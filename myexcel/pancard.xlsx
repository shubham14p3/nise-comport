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f91f1af5a7b6986/MYEXCEL/"/>
    </mc:Choice>
  </mc:AlternateContent>
  <xr:revisionPtr revIDLastSave="4197" documentId="14_{45BBFAD3-96FD-4ADE-970E-5B9E48C8A482}" xr6:coauthVersionLast="47" xr6:coauthVersionMax="47" xr10:uidLastSave="{9DF884DF-2E19-41DC-8F6D-98A207A53D59}"/>
  <bookViews>
    <workbookView xWindow="-108" yWindow="-108" windowWidth="23256" windowHeight="12576" activeTab="1" xr2:uid="{00000000-000D-0000-FFFF-FFFF00000000}"/>
  </bookViews>
  <sheets>
    <sheet name="rates" sheetId="2" r:id="rId1"/>
    <sheet name="PAN DETAIL" sheetId="3" r:id="rId2"/>
    <sheet name="Passport" sheetId="7" r:id="rId3"/>
    <sheet name="ITR" sheetId="10" r:id="rId4"/>
    <sheet name="DL" sheetId="11" r:id="rId5"/>
  </sheets>
  <definedNames>
    <definedName name="_xlnm._FilterDatabase" localSheetId="1" hidden="1">'PAN DETAIL'!$A$2:$K$2448</definedName>
    <definedName name="Z_040E2B87_7533_4707_9322_D403F4F7577B_.wvu.FilterData" localSheetId="1" hidden="1">'PAN DETAIL'!$A$5:$Q$806</definedName>
    <definedName name="Z_17BB0635_933F_4031_AA1B_02B47946C686_.wvu.Cols" localSheetId="0">rates!$N:$N</definedName>
    <definedName name="Z_17BB0635_933F_4031_AA1B_02B47946C686_.wvu.Rows" localSheetId="0">rates!$10:$10</definedName>
    <definedName name="Z_1DB3B8BB_FF13_43E4_91E2_4D5FE1537F47_.wvu.Cols" localSheetId="0">rates!$N:$N</definedName>
    <definedName name="Z_1DB3B8BB_FF13_43E4_91E2_4D5FE1537F47_.wvu.Rows" localSheetId="0">rates!$10:$10</definedName>
    <definedName name="Z_2725018A_75FC_4F1C_84B0_F6408FBACE16_.wvu.FilterData" localSheetId="1" hidden="1">'PAN DETAIL'!$A$5:$Q$807</definedName>
    <definedName name="Z_3AED7B35_86CA_4B6C_A2EC_CD4DE422B896_.wvu.Cols" localSheetId="1">'PAN DETAIL'!#REF!</definedName>
    <definedName name="Z_3AED7B35_86CA_4B6C_A2EC_CD4DE422B896_.wvu.Rows" localSheetId="0">rates!$10:$10</definedName>
    <definedName name="Z_5436A929_FCD6_4CC8_AC5F_737E2C2C3552_.wvu.Rows" localSheetId="0">rates!$10:$10</definedName>
    <definedName name="Z_5B977F16_71B0_46A5_85B0_37803B6F8619_.wvu.FilterData" localSheetId="1" hidden="1">'PAN DETAIL'!$A$5:$Q$869</definedName>
    <definedName name="Z_62279284_2A04_4898_9B19_D0B29F26DFD3_.wvu.FilterData" localSheetId="1" hidden="1">'PAN DETAIL'!$A$2:$K$2448</definedName>
    <definedName name="Z_6DBA1DF2_B961_4824_A638_68D2235E258C_.wvu.FilterData" localSheetId="1" hidden="1">'PAN DETAIL'!$A$2:$K$2448</definedName>
    <definedName name="Z_76DB48ED_F9D5_46EE_8B68_22302006932B_.wvu.Cols" localSheetId="0">rates!$N:$N</definedName>
    <definedName name="Z_76DB48ED_F9D5_46EE_8B68_22302006932B_.wvu.Rows" localSheetId="0">rates!$10:$10</definedName>
    <definedName name="Z_7D776790_6EE6_4890_AEAD_CC685CF5AC69_.wvu.FilterData" localSheetId="1" hidden="1">'PAN DETAIL'!$A$2:$K$1959</definedName>
    <definedName name="Z_9FBD6FCD_ABF0_44CA_B044_9B9EEA555F2A_.wvu.Cols" localSheetId="0">rates!$N:$N</definedName>
    <definedName name="Z_9FBD6FCD_ABF0_44CA_B044_9B9EEA555F2A_.wvu.Rows" localSheetId="0">rates!$10:$10</definedName>
    <definedName name="Z_A2126CFA_336F_4251_8FBA_F8792C4B397B_.wvu.FilterData" localSheetId="1" hidden="1">'PAN DETAIL'!$A$5:$Q$806</definedName>
    <definedName name="Z_B48AB9B1_ABCB_4969_9A44_080A32004BB6_.wvu.FilterData" localSheetId="1" hidden="1">'PAN DETAIL'!$A$2:$K$2448</definedName>
    <definedName name="Z_CFF18104_9957_4B22_A0BF_E0E9089CC41B_.wvu.Rows" localSheetId="0">rates!$10:$10</definedName>
    <definedName name="Z_E64C861B_828F_4357_A2C1_687220A83D03_.wvu.Rows" localSheetId="0">rates!$10:$10</definedName>
  </definedNames>
  <calcPr calcId="181029"/>
  <customWorkbookViews>
    <customWorkbookView name="NWEB - Personal View" guid="{A2126CFA-336F-4251-8FBA-F8792C4B397B}" maximized="1" windowWidth="0" windowHeight="0" activeSheetId="0"/>
    <customWorkbookView name="NISE-COMPUTER - Personal View" guid="{B48AB9B1-ABCB-4969-9A44-080A32004BB6}" maximized="1" windowWidth="0" windowHeight="0" activeSheetId="0"/>
    <customWorkbookView name="NISE-DESKTOP - Personal View" guid="{6DBA1DF2-B961-4824-A638-68D2235E258C}" maximized="1" windowWidth="0" windowHeight="0" activeSheetId="0"/>
    <customWorkbookView name="CSCVLE - Personal View" guid="{2725018A-75FC-4F1C-84B0-F6408FBACE16}" maximized="1" windowWidth="0" windowHeight="0" activeSheetId="0"/>
    <customWorkbookView name="CSC-KGN - Personal View" guid="{7D776790-6EE6-4890-AEAD-CC685CF5AC69}" maximized="1" windowWidth="0" windowHeight="0" activeSheetId="0"/>
    <customWorkbookView name="user2 - Personal View" guid="{040E2B87-7533-4707-9322-D403F4F7577B}" maximized="1" windowWidth="0" windowHeight="0" activeSheetId="0"/>
    <customWorkbookView name="Sanjay Kumar - Personal View" guid="{62279284-2A04-4898-9B19-D0B29F26DFD3}" maximized="1" windowWidth="0" windowHeight="0" activeSheetId="0"/>
    <customWorkbookView name="comport - Personal View" guid="{5B977F16-71B0-46A5-85B0-37803B6F8619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19" roundtripDataSignature="AMtx7mgjEuAM7tU6HuOhANTabFZssGQyCg=="/>
    </ext>
  </extLst>
</workbook>
</file>

<file path=xl/calcChain.xml><?xml version="1.0" encoding="utf-8"?>
<calcChain xmlns="http://schemas.openxmlformats.org/spreadsheetml/2006/main">
  <c r="B3533" i="3" l="1"/>
  <c r="B3534" i="3"/>
  <c r="B3535" i="3"/>
  <c r="B3536" i="3"/>
  <c r="B3537" i="3"/>
  <c r="B3538" i="3"/>
  <c r="B3532" i="3"/>
  <c r="B3531" i="3"/>
  <c r="L410" i="11"/>
  <c r="P409" i="11"/>
  <c r="N409" i="11"/>
  <c r="L409" i="11"/>
  <c r="L408" i="11"/>
  <c r="B3530" i="3"/>
  <c r="B3528" i="3"/>
  <c r="B3529" i="3"/>
  <c r="B3525" i="3"/>
  <c r="B3526" i="3"/>
  <c r="B3527" i="3"/>
  <c r="P408" i="11"/>
  <c r="P407" i="11"/>
  <c r="J407" i="11" l="1"/>
  <c r="L407" i="11" s="1"/>
  <c r="P406" i="11" l="1"/>
  <c r="P405" i="11"/>
  <c r="L404" i="11"/>
  <c r="L405" i="11"/>
  <c r="L406" i="11"/>
  <c r="J405" i="11"/>
  <c r="H402" i="11"/>
  <c r="P404" i="11"/>
  <c r="O393" i="11"/>
  <c r="O392" i="11"/>
  <c r="K393" i="11"/>
  <c r="K392" i="11"/>
  <c r="B3516" i="3"/>
  <c r="B3517" i="3"/>
  <c r="B3518" i="3"/>
  <c r="B3519" i="3"/>
  <c r="B3520" i="3"/>
  <c r="B3521" i="3"/>
  <c r="B3522" i="3"/>
  <c r="B3523" i="3"/>
  <c r="B3524" i="3"/>
  <c r="B3515" i="3"/>
  <c r="B3513" i="3"/>
  <c r="B3514" i="3"/>
  <c r="P403" i="11"/>
  <c r="L403" i="11"/>
  <c r="B3512" i="3"/>
  <c r="B3508" i="3"/>
  <c r="B3511" i="3"/>
  <c r="B3510" i="3"/>
  <c r="B3509" i="3"/>
  <c r="P402" i="11"/>
  <c r="L402" i="11"/>
  <c r="B3506" i="3"/>
  <c r="B3507" i="3"/>
  <c r="B3505" i="3" l="1"/>
  <c r="B3504" i="3"/>
  <c r="B3503" i="3"/>
  <c r="B3502" i="3"/>
  <c r="B3500" i="3" l="1"/>
  <c r="B3501" i="3"/>
  <c r="O401" i="11"/>
  <c r="P401" i="11" s="1"/>
  <c r="O385" i="11"/>
  <c r="O381" i="11"/>
  <c r="K381" i="11" l="1"/>
  <c r="B3499" i="3" l="1"/>
  <c r="B3498" i="3"/>
  <c r="K401" i="11"/>
  <c r="L401" i="11" s="1"/>
  <c r="B3497" i="3"/>
  <c r="B3496" i="3"/>
  <c r="P400" i="11"/>
  <c r="L400" i="11"/>
  <c r="P399" i="11"/>
  <c r="L399" i="11"/>
  <c r="B3494" i="3" l="1"/>
  <c r="B3495" i="3"/>
  <c r="B3493" i="3"/>
  <c r="O377" i="11"/>
  <c r="B3491" i="3"/>
  <c r="B3492" i="3"/>
  <c r="B3489" i="3" l="1"/>
  <c r="B3490" i="3"/>
  <c r="P398" i="11"/>
  <c r="L398" i="11"/>
  <c r="P397" i="11"/>
  <c r="L397" i="11"/>
  <c r="P396" i="11"/>
  <c r="L396" i="11"/>
  <c r="P392" i="11"/>
  <c r="P393" i="11"/>
  <c r="P394" i="11"/>
  <c r="P395" i="11"/>
  <c r="L392" i="11"/>
  <c r="L393" i="11"/>
  <c r="L394" i="11"/>
  <c r="L395" i="11"/>
  <c r="B3482" i="3"/>
  <c r="B3483" i="3"/>
  <c r="B3484" i="3"/>
  <c r="B3485" i="3"/>
  <c r="B3486" i="3"/>
  <c r="B3487" i="3"/>
  <c r="B3488" i="3"/>
  <c r="B3477" i="3"/>
  <c r="B3478" i="3"/>
  <c r="B3479" i="3"/>
  <c r="B3480" i="3"/>
  <c r="B3481" i="3"/>
  <c r="K378" i="11"/>
  <c r="B3475" i="3"/>
  <c r="B3476" i="3"/>
  <c r="P391" i="11"/>
  <c r="L391" i="11"/>
  <c r="B3473" i="3"/>
  <c r="B3474" i="3"/>
  <c r="B3472" i="3"/>
  <c r="P390" i="11"/>
  <c r="B3471" i="3"/>
  <c r="B3470" i="3" l="1"/>
  <c r="P389" i="11"/>
  <c r="L387" i="11"/>
  <c r="L388" i="11"/>
  <c r="L389" i="11"/>
  <c r="L390" i="11"/>
  <c r="B3469" i="3"/>
  <c r="P388" i="11"/>
  <c r="P387" i="11"/>
  <c r="B3467" i="3"/>
  <c r="B3468" i="3"/>
  <c r="B3466" i="3"/>
  <c r="B3464" i="3"/>
  <c r="B3465" i="3"/>
  <c r="B3463" i="3"/>
  <c r="B3462" i="3"/>
  <c r="B3461" i="3" l="1"/>
  <c r="B3460" i="3" l="1"/>
  <c r="P386" i="11" l="1"/>
  <c r="J386" i="11" l="1"/>
  <c r="L386" i="11" s="1"/>
  <c r="P385" i="11"/>
  <c r="L385" i="11"/>
  <c r="P384" i="11" l="1"/>
  <c r="L384" i="11"/>
  <c r="B3457" i="3" l="1"/>
  <c r="B3458" i="3"/>
  <c r="B3459" i="3"/>
  <c r="B3456" i="3"/>
  <c r="P383" i="11"/>
  <c r="L383" i="11"/>
  <c r="O373" i="11"/>
  <c r="K373" i="11"/>
  <c r="B3455" i="3"/>
  <c r="B3454" i="3"/>
  <c r="B3453" i="3"/>
  <c r="B3437" i="3" l="1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P382" i="11"/>
  <c r="P381" i="11"/>
  <c r="L382" i="11"/>
  <c r="L381" i="11"/>
  <c r="B3436" i="3" l="1"/>
  <c r="B3435" i="3"/>
  <c r="B3434" i="3"/>
  <c r="B3433" i="3"/>
  <c r="B3432" i="3"/>
  <c r="B3431" i="3"/>
  <c r="B3430" i="3" l="1"/>
  <c r="B3429" i="3"/>
  <c r="B3428" i="3"/>
  <c r="B3427" i="3"/>
  <c r="B3425" i="3"/>
  <c r="B3426" i="3"/>
  <c r="B3424" i="3"/>
  <c r="B3423" i="3"/>
  <c r="L380" i="11"/>
  <c r="P380" i="11"/>
  <c r="O360" i="11"/>
  <c r="K360" i="11"/>
  <c r="O370" i="11"/>
  <c r="O369" i="11"/>
  <c r="P379" i="11"/>
  <c r="H372" i="11"/>
  <c r="L379" i="11"/>
  <c r="B3420" i="3"/>
  <c r="B3421" i="3"/>
  <c r="B3422" i="3"/>
  <c r="B3419" i="3"/>
  <c r="L378" i="11"/>
  <c r="L377" i="11"/>
  <c r="L376" i="11"/>
  <c r="B3418" i="3"/>
  <c r="B3417" i="3"/>
  <c r="K370" i="11"/>
  <c r="L370" i="11" s="1"/>
  <c r="K369" i="11"/>
  <c r="L369" i="11" s="1"/>
  <c r="P378" i="11"/>
  <c r="P377" i="11"/>
  <c r="B3416" i="3"/>
  <c r="H448" i="7"/>
  <c r="J447" i="7"/>
  <c r="J448" i="7" s="1"/>
  <c r="I448" i="7" s="1"/>
  <c r="J446" i="7"/>
  <c r="O336" i="11"/>
  <c r="O350" i="11"/>
  <c r="O351" i="11"/>
  <c r="O363" i="11"/>
  <c r="K363" i="11"/>
  <c r="P376" i="11"/>
  <c r="P375" i="11"/>
  <c r="L375" i="11"/>
  <c r="P374" i="11"/>
  <c r="L374" i="11"/>
  <c r="B3413" i="3"/>
  <c r="B3414" i="3"/>
  <c r="B3405" i="3"/>
  <c r="B3406" i="3"/>
  <c r="B3407" i="3"/>
  <c r="B3408" i="3"/>
  <c r="B3409" i="3"/>
  <c r="B3410" i="3"/>
  <c r="B3411" i="3"/>
  <c r="B3412" i="3"/>
  <c r="O367" i="11"/>
  <c r="P367" i="11" s="1"/>
  <c r="O366" i="11"/>
  <c r="P366" i="11" s="1"/>
  <c r="K367" i="11"/>
  <c r="K366" i="11"/>
  <c r="B3395" i="3"/>
  <c r="B3396" i="3"/>
  <c r="B3397" i="3"/>
  <c r="B3398" i="3"/>
  <c r="B3399" i="3"/>
  <c r="B3400" i="3"/>
  <c r="B3401" i="3"/>
  <c r="B3402" i="3"/>
  <c r="B3403" i="3"/>
  <c r="B3404" i="3"/>
  <c r="O364" i="11"/>
  <c r="P373" i="11"/>
  <c r="P372" i="11"/>
  <c r="L373" i="11"/>
  <c r="I3396" i="3"/>
  <c r="F3396" i="3"/>
  <c r="I3395" i="3"/>
  <c r="L3394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L372" i="11"/>
  <c r="P371" i="11"/>
  <c r="L371" i="11"/>
  <c r="K364" i="11"/>
  <c r="B3379" i="3"/>
  <c r="B3380" i="3"/>
  <c r="B3381" i="3"/>
  <c r="B3415" i="3"/>
  <c r="B3542" i="3"/>
  <c r="B3378" i="3"/>
  <c r="B3376" i="3"/>
  <c r="B3377" i="3"/>
  <c r="B3375" i="3"/>
  <c r="B3373" i="3"/>
  <c r="B3372" i="3"/>
  <c r="O321" i="11"/>
  <c r="K321" i="11"/>
  <c r="O355" i="11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544" i="3"/>
  <c r="B3369" i="3"/>
  <c r="B3370" i="3"/>
  <c r="B3371" i="3"/>
  <c r="B3374" i="3"/>
  <c r="B3543" i="3"/>
  <c r="K355" i="11"/>
  <c r="P368" i="11"/>
  <c r="P369" i="11"/>
  <c r="P370" i="11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K361" i="11"/>
  <c r="L368" i="11" l="1"/>
  <c r="L360" i="11" l="1"/>
  <c r="L362" i="11"/>
  <c r="L363" i="11"/>
  <c r="L364" i="11"/>
  <c r="L365" i="11"/>
  <c r="L366" i="11"/>
  <c r="L367" i="11"/>
  <c r="O349" i="11" l="1"/>
  <c r="K349" i="11"/>
  <c r="P365" i="11"/>
  <c r="L359" i="11"/>
  <c r="N361" i="11"/>
  <c r="P361" i="11" s="1"/>
  <c r="J361" i="11"/>
  <c r="L361" i="11" s="1"/>
  <c r="P358" i="11"/>
  <c r="P359" i="11"/>
  <c r="P360" i="11"/>
  <c r="P362" i="11"/>
  <c r="P363" i="11"/>
  <c r="P364" i="11"/>
  <c r="K351" i="11"/>
  <c r="J351" i="11"/>
  <c r="O331" i="11" l="1"/>
  <c r="O339" i="11"/>
  <c r="K339" i="11" l="1"/>
  <c r="K331" i="11"/>
  <c r="M3296" i="3"/>
  <c r="B3303" i="3"/>
  <c r="B3304" i="3"/>
  <c r="B3305" i="3"/>
  <c r="B3302" i="3"/>
  <c r="B3301" i="3"/>
  <c r="B3293" i="3"/>
  <c r="B3294" i="3"/>
  <c r="B3295" i="3"/>
  <c r="B3296" i="3"/>
  <c r="B3297" i="3"/>
  <c r="B3298" i="3"/>
  <c r="B3299" i="3"/>
  <c r="B3300" i="3"/>
  <c r="B3292" i="3"/>
  <c r="B3289" i="3"/>
  <c r="B3290" i="3"/>
  <c r="B3291" i="3"/>
  <c r="B3288" i="3"/>
  <c r="B3287" i="3"/>
  <c r="B3286" i="3" l="1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L358" i="11" l="1"/>
  <c r="P357" i="11"/>
  <c r="P356" i="11"/>
  <c r="L357" i="11"/>
  <c r="L356" i="11"/>
  <c r="B3272" i="3" l="1"/>
  <c r="O340" i="11"/>
  <c r="K340" i="11" l="1"/>
  <c r="O343" i="11"/>
  <c r="K343" i="11"/>
  <c r="P355" i="11"/>
  <c r="L355" i="11"/>
  <c r="B3257" i="3" l="1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50" i="3" l="1"/>
  <c r="B3251" i="3"/>
  <c r="B3252" i="3"/>
  <c r="B3253" i="3"/>
  <c r="B3254" i="3"/>
  <c r="B3255" i="3"/>
  <c r="B3256" i="3"/>
  <c r="B3249" i="3"/>
  <c r="P354" i="11" l="1"/>
  <c r="L354" i="11"/>
  <c r="B3248" i="3"/>
  <c r="B3243" i="3"/>
  <c r="B3244" i="3"/>
  <c r="B3245" i="3"/>
  <c r="B3246" i="3"/>
  <c r="B3247" i="3"/>
  <c r="P348" i="11"/>
  <c r="P349" i="11"/>
  <c r="P350" i="11"/>
  <c r="P351" i="11"/>
  <c r="P352" i="11"/>
  <c r="P353" i="11"/>
  <c r="L347" i="11"/>
  <c r="L348" i="11"/>
  <c r="L349" i="11"/>
  <c r="L350" i="11"/>
  <c r="L351" i="11"/>
  <c r="L352" i="11"/>
  <c r="L353" i="11"/>
  <c r="O335" i="11"/>
  <c r="R335" i="11"/>
  <c r="K335" i="11"/>
  <c r="O337" i="11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K337" i="11"/>
  <c r="B3209" i="3"/>
  <c r="B3208" i="3"/>
  <c r="B3198" i="3"/>
  <c r="B3199" i="3"/>
  <c r="B3200" i="3"/>
  <c r="B3201" i="3"/>
  <c r="B3202" i="3"/>
  <c r="B3203" i="3"/>
  <c r="B3204" i="3"/>
  <c r="B3205" i="3"/>
  <c r="B3206" i="3"/>
  <c r="B3207" i="3"/>
  <c r="P347" i="11"/>
  <c r="P346" i="11"/>
  <c r="O329" i="11"/>
  <c r="L346" i="11"/>
  <c r="O324" i="11"/>
  <c r="K324" i="11"/>
  <c r="P345" i="11"/>
  <c r="L345" i="11"/>
  <c r="L344" i="11"/>
  <c r="B3191" i="3"/>
  <c r="B3192" i="3"/>
  <c r="B3193" i="3"/>
  <c r="B3194" i="3"/>
  <c r="B3195" i="3"/>
  <c r="B3196" i="3"/>
  <c r="B3197" i="3"/>
  <c r="B3183" i="3"/>
  <c r="B3184" i="3"/>
  <c r="B3185" i="3"/>
  <c r="B3186" i="3"/>
  <c r="B3187" i="3"/>
  <c r="B3188" i="3"/>
  <c r="B3189" i="3"/>
  <c r="B3190" i="3"/>
  <c r="K329" i="11"/>
  <c r="P344" i="11"/>
  <c r="B3180" i="3"/>
  <c r="B3181" i="3"/>
  <c r="B3182" i="3"/>
  <c r="L3184" i="3" l="1"/>
  <c r="B3177" i="3"/>
  <c r="B3178" i="3"/>
  <c r="B3179" i="3"/>
  <c r="B3171" i="3"/>
  <c r="B3172" i="3"/>
  <c r="B3173" i="3"/>
  <c r="B3174" i="3"/>
  <c r="B3175" i="3"/>
  <c r="B3176" i="3"/>
  <c r="B3170" i="3"/>
  <c r="B3169" i="3"/>
  <c r="B3168" i="3"/>
  <c r="P343" i="11"/>
  <c r="L343" i="11"/>
  <c r="N334" i="11"/>
  <c r="O334" i="11"/>
  <c r="N340" i="11"/>
  <c r="B3167" i="3"/>
  <c r="N342" i="11"/>
  <c r="P342" i="11" s="1"/>
  <c r="J342" i="11"/>
  <c r="L342" i="11" s="1"/>
  <c r="L337" i="11"/>
  <c r="L338" i="11"/>
  <c r="L339" i="11"/>
  <c r="L340" i="11"/>
  <c r="O325" i="11"/>
  <c r="B3162" i="3"/>
  <c r="B3163" i="3"/>
  <c r="B3164" i="3"/>
  <c r="B3165" i="3"/>
  <c r="B3166" i="3"/>
  <c r="N341" i="11" l="1"/>
  <c r="P341" i="11" s="1"/>
  <c r="J341" i="11"/>
  <c r="L341" i="11" s="1"/>
  <c r="M335" i="11"/>
  <c r="P340" i="11"/>
  <c r="B3161" i="3"/>
  <c r="K325" i="11"/>
  <c r="B3160" i="3"/>
  <c r="P339" i="11"/>
  <c r="P338" i="11"/>
  <c r="B3159" i="3" l="1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P337" i="11" l="1"/>
  <c r="P336" i="11"/>
  <c r="K336" i="11" l="1"/>
  <c r="L336" i="11" s="1"/>
  <c r="P335" i="11"/>
  <c r="P334" i="11"/>
  <c r="L335" i="11"/>
  <c r="L334" i="11"/>
  <c r="P333" i="11" l="1"/>
  <c r="L333" i="11"/>
  <c r="J108" i="10"/>
  <c r="L332" i="11" l="1"/>
  <c r="P332" i="11"/>
  <c r="P331" i="11"/>
  <c r="L331" i="11"/>
  <c r="O318" i="11"/>
  <c r="O323" i="11"/>
  <c r="P330" i="11"/>
  <c r="P329" i="11"/>
  <c r="L330" i="11"/>
  <c r="L329" i="11"/>
  <c r="B3103" i="3"/>
  <c r="B3102" i="3"/>
  <c r="B3098" i="3"/>
  <c r="B3099" i="3"/>
  <c r="B3100" i="3"/>
  <c r="B3101" i="3"/>
  <c r="B3093" i="3"/>
  <c r="B3094" i="3"/>
  <c r="B3095" i="3"/>
  <c r="B3096" i="3"/>
  <c r="B3097" i="3"/>
  <c r="K318" i="11"/>
  <c r="B3092" i="3"/>
  <c r="B3090" i="3"/>
  <c r="B3091" i="3"/>
  <c r="B3088" i="3"/>
  <c r="B3089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K323" i="11"/>
  <c r="O317" i="11"/>
  <c r="P317" i="11" s="1"/>
  <c r="K317" i="11"/>
  <c r="K326" i="11"/>
  <c r="P328" i="11"/>
  <c r="L328" i="11"/>
  <c r="B3048" i="3"/>
  <c r="B3042" i="3"/>
  <c r="B3043" i="3"/>
  <c r="B3041" i="3"/>
  <c r="B3044" i="3"/>
  <c r="B3045" i="3"/>
  <c r="B3046" i="3"/>
  <c r="B3047" i="3"/>
  <c r="P327" i="11"/>
  <c r="L327" i="11"/>
  <c r="B3039" i="3"/>
  <c r="B3040" i="3"/>
  <c r="B3038" i="3"/>
  <c r="B3037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P326" i="11"/>
  <c r="O319" i="11"/>
  <c r="P319" i="11" s="1"/>
  <c r="K319" i="11"/>
  <c r="O308" i="11"/>
  <c r="L326" i="11"/>
  <c r="B3011" i="3"/>
  <c r="K308" i="11"/>
  <c r="O315" i="11"/>
  <c r="P325" i="11"/>
  <c r="L325" i="11"/>
  <c r="K315" i="11"/>
  <c r="P324" i="11"/>
  <c r="L324" i="11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N2985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N1782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O314" i="11"/>
  <c r="P314" i="11" s="1"/>
  <c r="K314" i="11"/>
  <c r="P323" i="11"/>
  <c r="L323" i="11"/>
  <c r="O311" i="11"/>
  <c r="P311" i="11" s="1"/>
  <c r="K311" i="11"/>
  <c r="P322" i="11"/>
  <c r="L322" i="11"/>
  <c r="O310" i="11"/>
  <c r="P310" i="11" s="1"/>
  <c r="P321" i="11"/>
  <c r="L321" i="11"/>
  <c r="K310" i="11"/>
  <c r="L310" i="11" s="1"/>
  <c r="P320" i="11"/>
  <c r="L320" i="11"/>
  <c r="P318" i="11"/>
  <c r="L319" i="11"/>
  <c r="L318" i="11"/>
  <c r="P316" i="11"/>
  <c r="L316" i="11"/>
  <c r="L317" i="11"/>
  <c r="P315" i="11"/>
  <c r="L315" i="11"/>
  <c r="K302" i="11"/>
  <c r="L302" i="11" s="1"/>
  <c r="L314" i="11"/>
  <c r="P313" i="11"/>
  <c r="L313" i="11"/>
  <c r="P312" i="11"/>
  <c r="L312" i="11"/>
  <c r="L311" i="11"/>
  <c r="O287" i="11"/>
  <c r="P287" i="11" s="1"/>
  <c r="K287" i="11"/>
  <c r="L287" i="11" s="1"/>
  <c r="P309" i="11"/>
  <c r="L309" i="11"/>
  <c r="P308" i="11"/>
  <c r="P307" i="11"/>
  <c r="L308" i="11"/>
  <c r="L307" i="11"/>
  <c r="O295" i="11"/>
  <c r="K295" i="11"/>
  <c r="L295" i="11" s="1"/>
  <c r="P306" i="11"/>
  <c r="L306" i="11"/>
  <c r="O296" i="11"/>
  <c r="P296" i="11" s="1"/>
  <c r="K293" i="11"/>
  <c r="L293" i="11" s="1"/>
  <c r="O293" i="11"/>
  <c r="P293" i="11" s="1"/>
  <c r="K296" i="11"/>
  <c r="L296" i="11" s="1"/>
  <c r="O304" i="11"/>
  <c r="P304" i="11" s="1"/>
  <c r="P305" i="11"/>
  <c r="L305" i="11"/>
  <c r="O291" i="11"/>
  <c r="P291" i="11" s="1"/>
  <c r="O288" i="11"/>
  <c r="P288" i="11" s="1"/>
  <c r="K291" i="11"/>
  <c r="L291" i="11" s="1"/>
  <c r="L304" i="11"/>
  <c r="K288" i="11"/>
  <c r="L288" i="11" s="1"/>
  <c r="P302" i="11"/>
  <c r="P301" i="11"/>
  <c r="L301" i="11"/>
  <c r="O285" i="11"/>
  <c r="P285" i="11" s="1"/>
  <c r="K285" i="11"/>
  <c r="P300" i="11"/>
  <c r="L300" i="11"/>
  <c r="P299" i="11"/>
  <c r="L299" i="11"/>
  <c r="P298" i="11"/>
  <c r="L298" i="11"/>
  <c r="P297" i="11"/>
  <c r="L297" i="11"/>
  <c r="P295" i="11"/>
  <c r="P294" i="11"/>
  <c r="L294" i="11"/>
  <c r="P292" i="11"/>
  <c r="O273" i="11"/>
  <c r="P273" i="11" s="1"/>
  <c r="O275" i="11"/>
  <c r="P275" i="11" s="1"/>
  <c r="K273" i="11"/>
  <c r="L273" i="11" s="1"/>
  <c r="K275" i="11"/>
  <c r="L292" i="11"/>
  <c r="O272" i="11"/>
  <c r="P272" i="11" s="1"/>
  <c r="P290" i="11"/>
  <c r="L290" i="11"/>
  <c r="P289" i="11"/>
  <c r="L289" i="11"/>
  <c r="P286" i="11"/>
  <c r="L286" i="11"/>
  <c r="K265" i="11"/>
  <c r="O266" i="11"/>
  <c r="L285" i="11"/>
  <c r="O271" i="11"/>
  <c r="K271" i="11"/>
  <c r="P284" i="11"/>
  <c r="L284" i="11"/>
  <c r="P281" i="11"/>
  <c r="P282" i="11"/>
  <c r="P283" i="11"/>
  <c r="L283" i="11"/>
  <c r="L282" i="11"/>
  <c r="P280" i="11"/>
  <c r="L280" i="11"/>
  <c r="K266" i="11"/>
  <c r="L266" i="11" s="1"/>
  <c r="O262" i="11"/>
  <c r="P262" i="11" s="1"/>
  <c r="K262" i="11"/>
  <c r="K263" i="11"/>
  <c r="L263" i="11" s="1"/>
  <c r="O267" i="11"/>
  <c r="P267" i="11" s="1"/>
  <c r="K267" i="11"/>
  <c r="L267" i="11" s="1"/>
  <c r="P279" i="11"/>
  <c r="L279" i="11"/>
  <c r="O265" i="11"/>
  <c r="P265" i="11" s="1"/>
  <c r="P278" i="11"/>
  <c r="L278" i="11"/>
  <c r="P277" i="11"/>
  <c r="L277" i="11"/>
  <c r="P274" i="11"/>
  <c r="P276" i="11"/>
  <c r="L276" i="11"/>
  <c r="L275" i="11"/>
  <c r="L274" i="11"/>
  <c r="L272" i="11"/>
  <c r="P271" i="11"/>
  <c r="P270" i="11"/>
  <c r="L271" i="11"/>
  <c r="L270" i="11"/>
  <c r="O259" i="11"/>
  <c r="P259" i="11" s="1"/>
  <c r="O256" i="11"/>
  <c r="P256" i="11" s="1"/>
  <c r="K256" i="11"/>
  <c r="L256" i="11" s="1"/>
  <c r="P269" i="11"/>
  <c r="L268" i="11"/>
  <c r="L269" i="11"/>
  <c r="J107" i="10"/>
  <c r="P268" i="11"/>
  <c r="P266" i="11"/>
  <c r="L265" i="11"/>
  <c r="K257" i="11"/>
  <c r="P264" i="11"/>
  <c r="L264" i="11"/>
  <c r="P263" i="11"/>
  <c r="L262" i="11"/>
  <c r="P261" i="11"/>
  <c r="L261" i="11"/>
  <c r="P260" i="11"/>
  <c r="L260" i="11"/>
  <c r="L259" i="11"/>
  <c r="J258" i="11"/>
  <c r="L258" i="11" s="1"/>
  <c r="J257" i="11"/>
  <c r="L257" i="11" s="1"/>
  <c r="P258" i="11"/>
  <c r="P257" i="11"/>
  <c r="O244" i="11"/>
  <c r="O253" i="11"/>
  <c r="O252" i="11"/>
  <c r="P252" i="11" s="1"/>
  <c r="O251" i="11"/>
  <c r="P251" i="11" s="1"/>
  <c r="K252" i="11"/>
  <c r="K251" i="11"/>
  <c r="J251" i="11"/>
  <c r="K253" i="11"/>
  <c r="N253" i="11"/>
  <c r="K244" i="11"/>
  <c r="L244" i="11" s="1"/>
  <c r="O248" i="11"/>
  <c r="P248" i="11" s="1"/>
  <c r="K248" i="11"/>
  <c r="L248" i="11" s="1"/>
  <c r="J253" i="11"/>
  <c r="J252" i="11"/>
  <c r="P255" i="11"/>
  <c r="K246" i="11"/>
  <c r="K225" i="11"/>
  <c r="L225" i="11" s="1"/>
  <c r="L255" i="11"/>
  <c r="K240" i="11"/>
  <c r="L240" i="11" s="1"/>
  <c r="O243" i="11"/>
  <c r="P243" i="11" s="1"/>
  <c r="K243" i="11"/>
  <c r="L243" i="11" s="1"/>
  <c r="L249" i="11"/>
  <c r="L250" i="11"/>
  <c r="L254" i="11"/>
  <c r="L247" i="11"/>
  <c r="P254" i="11"/>
  <c r="O241" i="11"/>
  <c r="P241" i="11" s="1"/>
  <c r="P250" i="11"/>
  <c r="K242" i="11"/>
  <c r="L242" i="11" s="1"/>
  <c r="K241" i="11"/>
  <c r="O242" i="11"/>
  <c r="P242" i="11" s="1"/>
  <c r="O249" i="11"/>
  <c r="P249" i="11" s="1"/>
  <c r="P247" i="11"/>
  <c r="J246" i="11"/>
  <c r="J245" i="11"/>
  <c r="L245" i="11" s="1"/>
  <c r="P246" i="11"/>
  <c r="P245" i="11"/>
  <c r="O231" i="11"/>
  <c r="P231" i="11" s="1"/>
  <c r="O224" i="11"/>
  <c r="P224" i="11" s="1"/>
  <c r="O221" i="11"/>
  <c r="P221" i="11" s="1"/>
  <c r="K221" i="11"/>
  <c r="L221" i="11" s="1"/>
  <c r="K231" i="11"/>
  <c r="L231" i="11" s="1"/>
  <c r="P244" i="11"/>
  <c r="O216" i="11"/>
  <c r="K201" i="11"/>
  <c r="L201" i="11" s="1"/>
  <c r="K216" i="11"/>
  <c r="L216" i="11" s="1"/>
  <c r="J241" i="11"/>
  <c r="P240" i="11"/>
  <c r="O199" i="11"/>
  <c r="P199" i="11" s="1"/>
  <c r="P239" i="11"/>
  <c r="L239" i="11"/>
  <c r="O232" i="11"/>
  <c r="P232" i="11" s="1"/>
  <c r="O228" i="11"/>
  <c r="P228" i="11" s="1"/>
  <c r="K228" i="11"/>
  <c r="L228" i="11" s="1"/>
  <c r="K232" i="11"/>
  <c r="L232" i="11" s="1"/>
  <c r="K199" i="11"/>
  <c r="L199" i="11" s="1"/>
  <c r="O107" i="11"/>
  <c r="P107" i="11" s="1"/>
  <c r="O109" i="11"/>
  <c r="P109" i="11" s="1"/>
  <c r="K109" i="11"/>
  <c r="L109" i="11" s="1"/>
  <c r="K158" i="11"/>
  <c r="K223" i="11"/>
  <c r="L223" i="11" s="1"/>
  <c r="O225" i="11"/>
  <c r="P225" i="11" s="1"/>
  <c r="P238" i="11"/>
  <c r="P237" i="11"/>
  <c r="L238" i="11"/>
  <c r="L237" i="11"/>
  <c r="O190" i="11"/>
  <c r="P190" i="11" s="1"/>
  <c r="O207" i="11"/>
  <c r="P207" i="11" s="1"/>
  <c r="K190" i="11"/>
  <c r="K207" i="11"/>
  <c r="L207" i="11" s="1"/>
  <c r="O227" i="11"/>
  <c r="P227" i="11" s="1"/>
  <c r="K227" i="11"/>
  <c r="L227" i="11" s="1"/>
  <c r="O223" i="11"/>
  <c r="P223" i="11" s="1"/>
  <c r="O222" i="11"/>
  <c r="P222" i="11" s="1"/>
  <c r="J190" i="11"/>
  <c r="K222" i="11"/>
  <c r="L222" i="11" s="1"/>
  <c r="P236" i="11"/>
  <c r="L236" i="11"/>
  <c r="P235" i="11"/>
  <c r="P234" i="11"/>
  <c r="L235" i="11"/>
  <c r="L234" i="11"/>
  <c r="O209" i="11"/>
  <c r="P209" i="11" s="1"/>
  <c r="O219" i="11"/>
  <c r="P219" i="11" s="1"/>
  <c r="K219" i="11"/>
  <c r="L219" i="11" s="1"/>
  <c r="K209" i="11"/>
  <c r="L209" i="11" s="1"/>
  <c r="O212" i="11"/>
  <c r="P212" i="11" s="1"/>
  <c r="K212" i="11"/>
  <c r="L212" i="11" s="1"/>
  <c r="K211" i="11"/>
  <c r="L211" i="11" s="1"/>
  <c r="K210" i="11"/>
  <c r="L210" i="11" s="1"/>
  <c r="P233" i="11"/>
  <c r="L233" i="11"/>
  <c r="S232" i="11"/>
  <c r="O211" i="11"/>
  <c r="P211" i="11" s="1"/>
  <c r="O210" i="11"/>
  <c r="P210" i="11" s="1"/>
  <c r="J161" i="11"/>
  <c r="O161" i="11"/>
  <c r="N161" i="11"/>
  <c r="K161" i="11"/>
  <c r="P230" i="11"/>
  <c r="P229" i="11"/>
  <c r="L230" i="11"/>
  <c r="L229" i="11"/>
  <c r="O202" i="11"/>
  <c r="P202" i="11" s="1"/>
  <c r="O196" i="11"/>
  <c r="P196" i="11" s="1"/>
  <c r="K202" i="11"/>
  <c r="L202" i="11" s="1"/>
  <c r="O194" i="11"/>
  <c r="P194" i="11" s="1"/>
  <c r="K220" i="11"/>
  <c r="K194" i="11"/>
  <c r="L194" i="11" s="1"/>
  <c r="O197" i="11"/>
  <c r="P197" i="11" s="1"/>
  <c r="K197" i="11"/>
  <c r="L197" i="11" s="1"/>
  <c r="L224" i="11"/>
  <c r="K196" i="11"/>
  <c r="L196" i="11" s="1"/>
  <c r="P220" i="11"/>
  <c r="L220" i="11"/>
  <c r="L226" i="11"/>
  <c r="P226" i="11"/>
  <c r="L218" i="11"/>
  <c r="P218" i="11"/>
  <c r="P217" i="11"/>
  <c r="P216" i="11"/>
  <c r="L217" i="11"/>
  <c r="L215" i="11"/>
  <c r="L214" i="11"/>
  <c r="P215" i="11"/>
  <c r="P214" i="11"/>
  <c r="P213" i="11"/>
  <c r="L213" i="11"/>
  <c r="P208" i="11"/>
  <c r="L208" i="11"/>
  <c r="P206" i="11"/>
  <c r="P205" i="11"/>
  <c r="L206" i="11"/>
  <c r="L205" i="11"/>
  <c r="P204" i="11"/>
  <c r="L204" i="11"/>
  <c r="P203" i="11"/>
  <c r="L203" i="11"/>
  <c r="K150" i="11"/>
  <c r="L150" i="11" s="1"/>
  <c r="K156" i="11"/>
  <c r="L156" i="11" s="1"/>
  <c r="K157" i="11"/>
  <c r="L157" i="11" s="1"/>
  <c r="K166" i="11"/>
  <c r="L166" i="11" s="1"/>
  <c r="K176" i="11"/>
  <c r="L176" i="11" s="1"/>
  <c r="O193" i="11"/>
  <c r="O189" i="11"/>
  <c r="P189" i="11" s="1"/>
  <c r="O157" i="11"/>
  <c r="P200" i="11"/>
  <c r="P201" i="11"/>
  <c r="K189" i="11"/>
  <c r="L189" i="11" s="1"/>
  <c r="K193" i="11"/>
  <c r="P198" i="11"/>
  <c r="L198" i="11"/>
  <c r="O188" i="11"/>
  <c r="P188" i="11" s="1"/>
  <c r="K188" i="11"/>
  <c r="L188" i="11" s="1"/>
  <c r="P195" i="11"/>
  <c r="L195" i="11"/>
  <c r="N193" i="11"/>
  <c r="J193" i="11"/>
  <c r="K178" i="11"/>
  <c r="P192" i="11"/>
  <c r="L192" i="11"/>
  <c r="P191" i="11"/>
  <c r="L191" i="11"/>
  <c r="O168" i="11"/>
  <c r="P168" i="11" s="1"/>
  <c r="K168" i="11"/>
  <c r="L168" i="11" s="1"/>
  <c r="O176" i="11"/>
  <c r="O183" i="11"/>
  <c r="P183" i="11" s="1"/>
  <c r="K183" i="11"/>
  <c r="L183" i="11" s="1"/>
  <c r="O172" i="11"/>
  <c r="P172" i="11" s="1"/>
  <c r="O180" i="11"/>
  <c r="O182" i="11"/>
  <c r="P182" i="11" s="1"/>
  <c r="O177" i="11"/>
  <c r="P177" i="11" s="1"/>
  <c r="K177" i="11"/>
  <c r="L177" i="11" s="1"/>
  <c r="K172" i="11"/>
  <c r="K180" i="11"/>
  <c r="L180" i="11" s="1"/>
  <c r="O179" i="11"/>
  <c r="P179" i="11" s="1"/>
  <c r="K179" i="11"/>
  <c r="L179" i="11" s="1"/>
  <c r="P187" i="11"/>
  <c r="L187" i="11"/>
  <c r="P186" i="11"/>
  <c r="L186" i="11"/>
  <c r="O178" i="11"/>
  <c r="N185" i="11"/>
  <c r="P185" i="11" s="1"/>
  <c r="L185" i="11"/>
  <c r="O173" i="11"/>
  <c r="P173" i="11" s="1"/>
  <c r="K173" i="11"/>
  <c r="P184" i="11"/>
  <c r="L184" i="11"/>
  <c r="K174" i="11"/>
  <c r="L174" i="11" s="1"/>
  <c r="O175" i="11"/>
  <c r="P175" i="11" s="1"/>
  <c r="K175" i="11"/>
  <c r="O149" i="11"/>
  <c r="N149" i="11"/>
  <c r="J149" i="11"/>
  <c r="L149" i="11" s="1"/>
  <c r="O163" i="11"/>
  <c r="O167" i="11"/>
  <c r="N167" i="11"/>
  <c r="K163" i="11"/>
  <c r="L163" i="11" s="1"/>
  <c r="L182" i="11"/>
  <c r="O171" i="11"/>
  <c r="P171" i="11" s="1"/>
  <c r="O162" i="11"/>
  <c r="N162" i="11"/>
  <c r="K171" i="11"/>
  <c r="L171" i="11" s="1"/>
  <c r="K162" i="11"/>
  <c r="J162" i="11"/>
  <c r="O154" i="11"/>
  <c r="P154" i="11" s="1"/>
  <c r="P181" i="11"/>
  <c r="P180" i="11"/>
  <c r="L181" i="11"/>
  <c r="K154" i="11"/>
  <c r="L154" i="11" s="1"/>
  <c r="O170" i="11"/>
  <c r="K170" i="11"/>
  <c r="L170" i="11" s="1"/>
  <c r="O158" i="11"/>
  <c r="N158" i="11"/>
  <c r="O166" i="11"/>
  <c r="P178" i="11"/>
  <c r="L178" i="11"/>
  <c r="O169" i="11"/>
  <c r="K169" i="11"/>
  <c r="P176" i="11"/>
  <c r="L175" i="11"/>
  <c r="P174" i="11"/>
  <c r="N170" i="11"/>
  <c r="O118" i="11"/>
  <c r="P118" i="11" s="1"/>
  <c r="L173" i="11"/>
  <c r="K118" i="11"/>
  <c r="L118" i="11" s="1"/>
  <c r="L172" i="11"/>
  <c r="N169" i="11"/>
  <c r="J169" i="11"/>
  <c r="O156" i="11"/>
  <c r="P156" i="11" s="1"/>
  <c r="L167" i="11"/>
  <c r="O160" i="11"/>
  <c r="N160" i="11"/>
  <c r="N166" i="11"/>
  <c r="P166" i="11" s="1"/>
  <c r="O155" i="11"/>
  <c r="P155" i="11" s="1"/>
  <c r="P164" i="11"/>
  <c r="L164" i="11"/>
  <c r="K155" i="11"/>
  <c r="J158" i="11"/>
  <c r="L158" i="11" s="1"/>
  <c r="L9" i="10"/>
  <c r="O152" i="11"/>
  <c r="P152" i="11" s="1"/>
  <c r="O151" i="11"/>
  <c r="K151" i="11"/>
  <c r="L151" i="11" s="1"/>
  <c r="P163" i="11"/>
  <c r="O145" i="11"/>
  <c r="P145" i="11" s="1"/>
  <c r="L160" i="11"/>
  <c r="K152" i="11"/>
  <c r="L152" i="11" s="1"/>
  <c r="P159" i="11"/>
  <c r="L159" i="11"/>
  <c r="L155" i="11"/>
  <c r="P157" i="11"/>
  <c r="O146" i="11"/>
  <c r="P146" i="11" s="1"/>
  <c r="K146" i="11"/>
  <c r="L146" i="11" s="1"/>
  <c r="O150" i="11"/>
  <c r="P150" i="11" s="1"/>
  <c r="O139" i="11"/>
  <c r="P139" i="11" s="1"/>
  <c r="P153" i="11"/>
  <c r="L153" i="11"/>
  <c r="K92" i="11"/>
  <c r="L92" i="11" s="1"/>
  <c r="K98" i="11"/>
  <c r="K129" i="11"/>
  <c r="L129" i="11" s="1"/>
  <c r="O121" i="11"/>
  <c r="P121" i="11" s="1"/>
  <c r="O127" i="11"/>
  <c r="P127" i="11" s="1"/>
  <c r="K121" i="11"/>
  <c r="L121" i="11" s="1"/>
  <c r="O144" i="11"/>
  <c r="P144" i="11" s="1"/>
  <c r="L144" i="11"/>
  <c r="P151" i="11"/>
  <c r="L164" i="7"/>
  <c r="L166" i="7"/>
  <c r="P148" i="11"/>
  <c r="L148" i="11"/>
  <c r="P147" i="11"/>
  <c r="L147" i="11"/>
  <c r="L145" i="11"/>
  <c r="N143" i="11"/>
  <c r="P143" i="11" s="1"/>
  <c r="J143" i="11"/>
  <c r="L143" i="11" s="1"/>
  <c r="P142" i="11"/>
  <c r="L142" i="11"/>
  <c r="P141" i="11"/>
  <c r="L141" i="11"/>
  <c r="P140" i="11"/>
  <c r="L140" i="11"/>
  <c r="K139" i="11"/>
  <c r="L139" i="11" s="1"/>
  <c r="P138" i="11"/>
  <c r="L138" i="11"/>
  <c r="O137" i="11"/>
  <c r="P137" i="11" s="1"/>
  <c r="K137" i="11"/>
  <c r="L137" i="11" s="1"/>
  <c r="O136" i="11"/>
  <c r="P136" i="11" s="1"/>
  <c r="K136" i="11"/>
  <c r="L136" i="11" s="1"/>
  <c r="P135" i="11"/>
  <c r="L135" i="11"/>
  <c r="P134" i="11"/>
  <c r="L134" i="11"/>
  <c r="O133" i="11"/>
  <c r="N133" i="11"/>
  <c r="P133" i="11" s="1"/>
  <c r="K133" i="11"/>
  <c r="J133" i="11"/>
  <c r="O132" i="11"/>
  <c r="N132" i="11"/>
  <c r="K132" i="11"/>
  <c r="J132" i="11"/>
  <c r="O131" i="11"/>
  <c r="P131" i="11" s="1"/>
  <c r="K131" i="11"/>
  <c r="L131" i="11" s="1"/>
  <c r="O130" i="11"/>
  <c r="P130" i="11" s="1"/>
  <c r="K130" i="11"/>
  <c r="L130" i="11" s="1"/>
  <c r="O129" i="11"/>
  <c r="P129" i="11" s="1"/>
  <c r="O128" i="11"/>
  <c r="P128" i="11" s="1"/>
  <c r="K128" i="11"/>
  <c r="L128" i="11" s="1"/>
  <c r="K127" i="11"/>
  <c r="L127" i="11" s="1"/>
  <c r="P126" i="11"/>
  <c r="L126" i="11"/>
  <c r="O125" i="11"/>
  <c r="P125" i="11" s="1"/>
  <c r="K125" i="11"/>
  <c r="J125" i="11"/>
  <c r="O124" i="11"/>
  <c r="P124" i="11" s="1"/>
  <c r="K124" i="11"/>
  <c r="L124" i="11" s="1"/>
  <c r="P123" i="11"/>
  <c r="K123" i="11"/>
  <c r="L123" i="11" s="1"/>
  <c r="O122" i="11"/>
  <c r="P122" i="11" s="1"/>
  <c r="K122" i="11"/>
  <c r="L122" i="11" s="1"/>
  <c r="P120" i="11"/>
  <c r="L120" i="11"/>
  <c r="O119" i="11"/>
  <c r="P119" i="11" s="1"/>
  <c r="K119" i="11"/>
  <c r="L119" i="11" s="1"/>
  <c r="O117" i="11"/>
  <c r="P117" i="11" s="1"/>
  <c r="K117" i="11"/>
  <c r="L117" i="11" s="1"/>
  <c r="O116" i="11"/>
  <c r="P116" i="11" s="1"/>
  <c r="K116" i="11"/>
  <c r="L116" i="11" s="1"/>
  <c r="P115" i="11"/>
  <c r="L115" i="11"/>
  <c r="O114" i="11"/>
  <c r="P114" i="11" s="1"/>
  <c r="K114" i="11"/>
  <c r="L114" i="11" s="1"/>
  <c r="N113" i="11"/>
  <c r="P113" i="11" s="1"/>
  <c r="L113" i="11"/>
  <c r="P112" i="11"/>
  <c r="L112" i="11"/>
  <c r="P111" i="11"/>
  <c r="L111" i="11"/>
  <c r="P110" i="11"/>
  <c r="L110" i="11"/>
  <c r="P108" i="11"/>
  <c r="L108" i="11"/>
  <c r="K107" i="11"/>
  <c r="J107" i="11"/>
  <c r="O106" i="11"/>
  <c r="N106" i="11"/>
  <c r="K106" i="11"/>
  <c r="J106" i="11"/>
  <c r="P105" i="11"/>
  <c r="L105" i="11"/>
  <c r="P104" i="11"/>
  <c r="L104" i="11"/>
  <c r="P103" i="11"/>
  <c r="L103" i="11"/>
  <c r="O102" i="11"/>
  <c r="N102" i="11"/>
  <c r="J102" i="11"/>
  <c r="L102" i="11" s="1"/>
  <c r="N101" i="11"/>
  <c r="P101" i="11" s="1"/>
  <c r="J101" i="11"/>
  <c r="L101" i="11" s="1"/>
  <c r="O100" i="11"/>
  <c r="N100" i="11"/>
  <c r="K100" i="11"/>
  <c r="J100" i="11"/>
  <c r="O99" i="11"/>
  <c r="N99" i="11"/>
  <c r="K99" i="11"/>
  <c r="J99" i="11"/>
  <c r="O98" i="11"/>
  <c r="N98" i="11"/>
  <c r="J98" i="11"/>
  <c r="P97" i="11"/>
  <c r="L97" i="11"/>
  <c r="P96" i="11"/>
  <c r="L96" i="11"/>
  <c r="P95" i="11"/>
  <c r="L95" i="11"/>
  <c r="O94" i="11"/>
  <c r="N94" i="11"/>
  <c r="K94" i="11"/>
  <c r="L94" i="11" s="1"/>
  <c r="J94" i="11"/>
  <c r="N93" i="11"/>
  <c r="P93" i="11" s="1"/>
  <c r="J93" i="11"/>
  <c r="L93" i="11" s="1"/>
  <c r="O92" i="11"/>
  <c r="P92" i="11" s="1"/>
  <c r="N92" i="11"/>
  <c r="O91" i="11"/>
  <c r="N91" i="11"/>
  <c r="K91" i="11"/>
  <c r="L91" i="11" s="1"/>
  <c r="J91" i="11"/>
  <c r="P90" i="11"/>
  <c r="L90" i="11"/>
  <c r="O89" i="11"/>
  <c r="P89" i="11" s="1"/>
  <c r="K89" i="11"/>
  <c r="L89" i="11" s="1"/>
  <c r="O88" i="11"/>
  <c r="N88" i="11"/>
  <c r="K88" i="11"/>
  <c r="L88" i="11" s="1"/>
  <c r="J88" i="11"/>
  <c r="O87" i="11"/>
  <c r="P87" i="11" s="1"/>
  <c r="K87" i="11"/>
  <c r="L87" i="11" s="1"/>
  <c r="T86" i="11"/>
  <c r="P86" i="11"/>
  <c r="L86" i="11"/>
  <c r="O85" i="11"/>
  <c r="P85" i="11" s="1"/>
  <c r="K85" i="11"/>
  <c r="L85" i="11" s="1"/>
  <c r="P84" i="11"/>
  <c r="L84" i="11"/>
  <c r="O83" i="11"/>
  <c r="P83" i="11" s="1"/>
  <c r="K83" i="11"/>
  <c r="L83" i="11" s="1"/>
  <c r="P82" i="11"/>
  <c r="L82" i="11"/>
  <c r="O81" i="11"/>
  <c r="P81" i="11" s="1"/>
  <c r="K81" i="11"/>
  <c r="L81" i="11" s="1"/>
  <c r="O80" i="11"/>
  <c r="N80" i="11"/>
  <c r="K80" i="11"/>
  <c r="L80" i="11" s="1"/>
  <c r="O79" i="11"/>
  <c r="P79" i="11" s="1"/>
  <c r="K79" i="11"/>
  <c r="L79" i="11" s="1"/>
  <c r="O78" i="11"/>
  <c r="N78" i="11"/>
  <c r="K78" i="11"/>
  <c r="L78" i="11" s="1"/>
  <c r="P77" i="11"/>
  <c r="J77" i="11"/>
  <c r="L77" i="11" s="1"/>
  <c r="O76" i="11"/>
  <c r="P76" i="11" s="1"/>
  <c r="L76" i="11"/>
  <c r="P75" i="11"/>
  <c r="L75" i="11"/>
  <c r="P74" i="11"/>
  <c r="L74" i="11"/>
  <c r="O73" i="11"/>
  <c r="P73" i="11" s="1"/>
  <c r="K73" i="11"/>
  <c r="L73" i="11" s="1"/>
  <c r="O72" i="11"/>
  <c r="P72" i="11" s="1"/>
  <c r="K72" i="11"/>
  <c r="J72" i="11"/>
  <c r="N71" i="11"/>
  <c r="P71" i="11" s="1"/>
  <c r="L71" i="11"/>
  <c r="O70" i="11"/>
  <c r="P70" i="11" s="1"/>
  <c r="L70" i="11"/>
  <c r="P69" i="11"/>
  <c r="L69" i="11"/>
  <c r="P68" i="11"/>
  <c r="L68" i="11"/>
  <c r="O67" i="11"/>
  <c r="P67" i="11" s="1"/>
  <c r="L67" i="11"/>
  <c r="P66" i="11"/>
  <c r="L66" i="11"/>
  <c r="O65" i="11"/>
  <c r="P65" i="11" s="1"/>
  <c r="K65" i="11"/>
  <c r="L65" i="11" s="1"/>
  <c r="O64" i="11"/>
  <c r="P64" i="11" s="1"/>
  <c r="K64" i="11"/>
  <c r="L64" i="11" s="1"/>
  <c r="N63" i="11"/>
  <c r="P63" i="11" s="1"/>
  <c r="K63" i="11"/>
  <c r="J63" i="11"/>
  <c r="N62" i="11"/>
  <c r="P62" i="11" s="1"/>
  <c r="K62" i="11"/>
  <c r="J62" i="11"/>
  <c r="P61" i="11"/>
  <c r="K61" i="11"/>
  <c r="L61" i="11" s="1"/>
  <c r="O60" i="11"/>
  <c r="P60" i="11" s="1"/>
  <c r="L60" i="11"/>
  <c r="P59" i="11"/>
  <c r="L59" i="11"/>
  <c r="P58" i="11"/>
  <c r="L58" i="11"/>
  <c r="O57" i="11"/>
  <c r="N57" i="11"/>
  <c r="K57" i="11"/>
  <c r="L57" i="11" s="1"/>
  <c r="P56" i="11"/>
  <c r="L56" i="11"/>
  <c r="P55" i="11"/>
  <c r="L55" i="11"/>
  <c r="P54" i="11"/>
  <c r="L54" i="11"/>
  <c r="P53" i="11"/>
  <c r="L53" i="11"/>
  <c r="P52" i="11"/>
  <c r="J52" i="11"/>
  <c r="L52" i="11" s="1"/>
  <c r="P51" i="11"/>
  <c r="J51" i="11"/>
  <c r="L51" i="11" s="1"/>
  <c r="P50" i="11"/>
  <c r="L50" i="11"/>
  <c r="P49" i="11"/>
  <c r="L49" i="11"/>
  <c r="P48" i="11"/>
  <c r="K48" i="11"/>
  <c r="L48" i="11" s="1"/>
  <c r="P47" i="11"/>
  <c r="L47" i="11"/>
  <c r="P46" i="11"/>
  <c r="L46" i="11"/>
  <c r="O45" i="11"/>
  <c r="P45" i="11" s="1"/>
  <c r="L45" i="11"/>
  <c r="P44" i="11"/>
  <c r="L44" i="11"/>
  <c r="P43" i="11"/>
  <c r="L43" i="11"/>
  <c r="O42" i="11"/>
  <c r="P42" i="11" s="1"/>
  <c r="L42" i="11"/>
  <c r="L41" i="11"/>
  <c r="O40" i="11"/>
  <c r="P40" i="11" s="1"/>
  <c r="L40" i="11"/>
  <c r="O38" i="11"/>
  <c r="P38" i="11" s="1"/>
  <c r="L38" i="11"/>
  <c r="P37" i="11"/>
  <c r="K37" i="11"/>
  <c r="L37" i="11" s="1"/>
  <c r="P36" i="11"/>
  <c r="L36" i="11"/>
  <c r="O35" i="11"/>
  <c r="P35" i="11" s="1"/>
  <c r="K35" i="11"/>
  <c r="L35" i="11" s="1"/>
  <c r="O34" i="11"/>
  <c r="P34" i="11" s="1"/>
  <c r="K34" i="11"/>
  <c r="L34" i="11" s="1"/>
  <c r="N33" i="11"/>
  <c r="P33" i="11" s="1"/>
  <c r="K33" i="11"/>
  <c r="J33" i="11"/>
  <c r="P32" i="11"/>
  <c r="L32" i="11"/>
  <c r="O31" i="11"/>
  <c r="P31" i="11" s="1"/>
  <c r="K31" i="11"/>
  <c r="L31" i="11" s="1"/>
  <c r="O30" i="11"/>
  <c r="P30" i="11" s="1"/>
  <c r="L30" i="11"/>
  <c r="O29" i="11"/>
  <c r="P29" i="11" s="1"/>
  <c r="K29" i="11"/>
  <c r="L29" i="11" s="1"/>
  <c r="O28" i="11"/>
  <c r="P28" i="11" s="1"/>
  <c r="K28" i="11"/>
  <c r="L28" i="11" s="1"/>
  <c r="O27" i="11"/>
  <c r="P27" i="11" s="1"/>
  <c r="L27" i="11"/>
  <c r="O26" i="11"/>
  <c r="P26" i="11" s="1"/>
  <c r="L26" i="11"/>
  <c r="O25" i="11"/>
  <c r="P25" i="11" s="1"/>
  <c r="K25" i="11"/>
  <c r="J25" i="11"/>
  <c r="O24" i="11"/>
  <c r="P24" i="11" s="1"/>
  <c r="K24" i="11"/>
  <c r="L24" i="11" s="1"/>
  <c r="P23" i="11"/>
  <c r="K23" i="11"/>
  <c r="L23" i="11" s="1"/>
  <c r="O22" i="11"/>
  <c r="P22" i="11" s="1"/>
  <c r="K22" i="11"/>
  <c r="L22" i="11" s="1"/>
  <c r="N21" i="11"/>
  <c r="P21" i="11" s="1"/>
  <c r="J21" i="11"/>
  <c r="L21" i="11" s="1"/>
  <c r="O20" i="11"/>
  <c r="P20" i="11" s="1"/>
  <c r="L20" i="11"/>
  <c r="P19" i="11"/>
  <c r="L19" i="11"/>
  <c r="O18" i="11"/>
  <c r="P18" i="11" s="1"/>
  <c r="K18" i="11"/>
  <c r="L18" i="11" s="1"/>
  <c r="O16" i="11"/>
  <c r="P16" i="11" s="1"/>
  <c r="L16" i="11"/>
  <c r="N15" i="11"/>
  <c r="P15" i="11" s="1"/>
  <c r="J15" i="11"/>
  <c r="L15" i="11" s="1"/>
  <c r="N14" i="11"/>
  <c r="P14" i="11" s="1"/>
  <c r="J14" i="11"/>
  <c r="L14" i="11" s="1"/>
  <c r="P13" i="11"/>
  <c r="L13" i="11"/>
  <c r="P10" i="11"/>
  <c r="L10" i="11"/>
  <c r="O9" i="11"/>
  <c r="P9" i="11" s="1"/>
  <c r="K9" i="11"/>
  <c r="L9" i="11" s="1"/>
  <c r="P8" i="11"/>
  <c r="L8" i="11"/>
  <c r="P7" i="11"/>
  <c r="L7" i="11"/>
  <c r="P6" i="11"/>
  <c r="L6" i="11"/>
  <c r="P5" i="11"/>
  <c r="K5" i="11"/>
  <c r="L5" i="11" s="1"/>
  <c r="P4" i="11"/>
  <c r="L4" i="11"/>
  <c r="E16" i="2"/>
  <c r="D16" i="2"/>
  <c r="C16" i="2"/>
  <c r="B16" i="2"/>
  <c r="W8" i="2"/>
  <c r="M8" i="2"/>
  <c r="P8" i="2" s="1"/>
  <c r="Q8" i="2" s="1"/>
  <c r="M7" i="2"/>
  <c r="P7" i="2" s="1"/>
  <c r="Q7" i="2" s="1"/>
  <c r="M6" i="2"/>
  <c r="P6" i="2" s="1"/>
  <c r="Q6" i="2" s="1"/>
  <c r="M5" i="2"/>
  <c r="P5" i="2" s="1"/>
  <c r="Q5" i="2" s="1"/>
  <c r="L125" i="11" l="1"/>
  <c r="P170" i="11"/>
  <c r="L162" i="11"/>
  <c r="P253" i="11"/>
  <c r="L252" i="11"/>
  <c r="P106" i="11"/>
  <c r="L190" i="11"/>
  <c r="L106" i="11"/>
  <c r="L251" i="11"/>
  <c r="L33" i="11"/>
  <c r="P91" i="11"/>
  <c r="P94" i="11"/>
  <c r="L98" i="11"/>
  <c r="L161" i="11"/>
  <c r="P88" i="11"/>
  <c r="L241" i="11"/>
  <c r="L99" i="11"/>
  <c r="L107" i="11"/>
  <c r="L25" i="11"/>
  <c r="L193" i="11"/>
  <c r="P161" i="11"/>
  <c r="L246" i="11"/>
  <c r="L100" i="11"/>
  <c r="P160" i="11"/>
  <c r="P57" i="11"/>
  <c r="P193" i="11"/>
  <c r="L253" i="11"/>
  <c r="L62" i="11"/>
  <c r="L2" i="11" s="1"/>
  <c r="L63" i="11"/>
  <c r="P80" i="11"/>
  <c r="P169" i="11"/>
  <c r="L72" i="11"/>
  <c r="P98" i="11"/>
  <c r="P99" i="11"/>
  <c r="P100" i="11"/>
  <c r="P132" i="11"/>
  <c r="P158" i="11"/>
  <c r="L132" i="11"/>
  <c r="L133" i="11"/>
  <c r="P162" i="11"/>
  <c r="P167" i="11"/>
  <c r="P149" i="11"/>
  <c r="P78" i="11"/>
  <c r="P102" i="11"/>
  <c r="P2" i="11" s="1"/>
  <c r="L169" i="11"/>
  <c r="Q2" i="11" l="1"/>
</calcChain>
</file>

<file path=xl/sharedStrings.xml><?xml version="1.0" encoding="utf-8"?>
<sst xmlns="http://schemas.openxmlformats.org/spreadsheetml/2006/main" count="19926" uniqueCount="11475">
  <si>
    <t>DC</t>
  </si>
  <si>
    <t>I3</t>
  </si>
  <si>
    <t>PHOTOS</t>
  </si>
  <si>
    <t>pdate</t>
  </si>
  <si>
    <t>model</t>
  </si>
  <si>
    <t>cdate</t>
  </si>
  <si>
    <t>cost</t>
  </si>
  <si>
    <t>mod</t>
  </si>
  <si>
    <t>cab</t>
  </si>
  <si>
    <t>SW 3490</t>
  </si>
  <si>
    <t>cpu</t>
  </si>
  <si>
    <t>dc 4th</t>
  </si>
  <si>
    <t>IT KILLER</t>
  </si>
  <si>
    <t>mbod</t>
  </si>
  <si>
    <t>gigabyte</t>
  </si>
  <si>
    <t>IT 2580</t>
  </si>
  <si>
    <t>ram</t>
  </si>
  <si>
    <t>BT 3430</t>
  </si>
  <si>
    <t>hdd</t>
  </si>
  <si>
    <t>500 gb</t>
  </si>
  <si>
    <t>dvd</t>
  </si>
  <si>
    <t>sam</t>
  </si>
  <si>
    <t>kb</t>
  </si>
  <si>
    <t>mou</t>
  </si>
  <si>
    <t>monitor</t>
  </si>
  <si>
    <t>ups</t>
  </si>
  <si>
    <t xml:space="preserve">Coupon No. </t>
  </si>
  <si>
    <t>Name</t>
  </si>
  <si>
    <t>DOB</t>
  </si>
  <si>
    <t>DOA</t>
  </si>
  <si>
    <t>DOU</t>
  </si>
  <si>
    <t>MOB</t>
  </si>
  <si>
    <t>PAN</t>
  </si>
  <si>
    <t>p</t>
  </si>
  <si>
    <t>881060227566676</t>
  </si>
  <si>
    <t>Ashoka Rani Prasad</t>
  </si>
  <si>
    <t>CBXXXXXX1B</t>
  </si>
  <si>
    <t>05-Apr-2018 </t>
  </si>
  <si>
    <t>VELEX LOGISTICS PVT LTD</t>
  </si>
  <si>
    <t>881069102950175</t>
  </si>
  <si>
    <t>Anita Sharma</t>
  </si>
  <si>
    <t>JYXXXXXX1B</t>
  </si>
  <si>
    <t>10-Apr-2018.</t>
  </si>
  <si>
    <t>23302782000,</t>
  </si>
  <si>
    <t>881069102994356</t>
  </si>
  <si>
    <t>Tulsi Lohar</t>
  </si>
  <si>
    <t>AXXXXXXX2B</t>
  </si>
  <si>
    <t>23-Apr-2018.</t>
  </si>
  <si>
    <t>23302885890,</t>
  </si>
  <si>
    <t>881069102947235</t>
  </si>
  <si>
    <t>Laxmi Mahato</t>
  </si>
  <si>
    <t>EOXXXXXX8L</t>
  </si>
  <si>
    <t> 05-Apr-2018.</t>
  </si>
  <si>
    <t>23302727868, </t>
  </si>
  <si>
    <t>881069102934436</t>
  </si>
  <si>
    <t>Saba Nasreen</t>
  </si>
  <si>
    <t>BPXXXXXX4B</t>
  </si>
  <si>
    <t>. 23302727866, </t>
  </si>
  <si>
    <t>881069103100911</t>
  </si>
  <si>
    <t>Sourav Prasad</t>
  </si>
  <si>
    <t>EKXXXXXX1K</t>
  </si>
  <si>
    <t>23302727881,</t>
  </si>
  <si>
    <t>881069103198384</t>
  </si>
  <si>
    <t>SEEMA DEVI</t>
  </si>
  <si>
    <t>ELXXXXXX6P</t>
  </si>
  <si>
    <t>31-Mar-2018 </t>
  </si>
  <si>
    <t>881060227604911</t>
  </si>
  <si>
    <t>Gopi Mukhi</t>
  </si>
  <si>
    <t>NOT SAMIT DOC.</t>
  </si>
  <si>
    <t>881069103330640</t>
  </si>
  <si>
    <t>Shushila Devi</t>
  </si>
  <si>
    <t>08-12-1976</t>
  </si>
  <si>
    <t>ELXXXXXX0C</t>
  </si>
  <si>
    <t>06-Apr-2018.</t>
  </si>
  <si>
    <t>B903Z5389710, </t>
  </si>
  <si>
    <t>881060227613790</t>
  </si>
  <si>
    <t>Jai Narayan Singh</t>
  </si>
  <si>
    <t>AXXXXXXX1D</t>
  </si>
  <si>
    <t> 03-Apr-2018</t>
  </si>
  <si>
    <t>881069103482654</t>
  </si>
  <si>
    <t>Rekha Sharma</t>
  </si>
  <si>
    <t>JXXXXXXX7M</t>
  </si>
  <si>
    <t>881069103719840</t>
  </si>
  <si>
    <t>Nahied Begum</t>
  </si>
  <si>
    <t>DSXXXXXX5A</t>
  </si>
  <si>
    <t> 09-Apr-2018.</t>
  </si>
  <si>
    <t>23302769722,</t>
  </si>
  <si>
    <t>881069103929383</t>
  </si>
  <si>
    <t>Savinder Kaur</t>
  </si>
  <si>
    <t>881069103806161</t>
  </si>
  <si>
    <t>Shabia Sharique</t>
  </si>
  <si>
    <t>JYXXXXXX4N</t>
  </si>
  <si>
    <t>15-Apr-2018.</t>
  </si>
  <si>
    <t>881069103896726</t>
  </si>
  <si>
    <t>Abhishek Jojo</t>
  </si>
  <si>
    <t>BRXXXXXX5Q</t>
  </si>
  <si>
    <t>23302909554,</t>
  </si>
  <si>
    <t>881060227672240</t>
  </si>
  <si>
    <t>Usha Maithy</t>
  </si>
  <si>
    <t>delivered</t>
  </si>
  <si>
    <t>881060227672030</t>
  </si>
  <si>
    <t>Amrit Kaur</t>
  </si>
  <si>
    <t>881069104027416</t>
  </si>
  <si>
    <t>Sadhana Sinha</t>
  </si>
  <si>
    <t>JZXXXXXX8D</t>
  </si>
  <si>
    <t>23302873091,</t>
  </si>
  <si>
    <t>881069104044990</t>
  </si>
  <si>
    <t>Lalita Devi</t>
  </si>
  <si>
    <t>ELXXXXXX7J</t>
  </si>
  <si>
    <t> 23302827424</t>
  </si>
  <si>
    <t>881069104077186</t>
  </si>
  <si>
    <t>Krishna Singh</t>
  </si>
  <si>
    <t>JYXXXXXX3F</t>
  </si>
  <si>
    <t>. 23302771223</t>
  </si>
  <si>
    <t>881060227689751</t>
  </si>
  <si>
    <t>Purnima Verma</t>
  </si>
  <si>
    <t>AIXXXXXX8D</t>
  </si>
  <si>
    <t> 17-Apr-2018.</t>
  </si>
  <si>
    <t>881069104359533</t>
  </si>
  <si>
    <t>Farhat Jahan</t>
  </si>
  <si>
    <t>BRXXXXXX8N</t>
  </si>
  <si>
    <t> 23-Apr-2018.</t>
  </si>
  <si>
    <t>881060227720612</t>
  </si>
  <si>
    <t>Shiv Kumar Ram</t>
  </si>
  <si>
    <t>881069104432823</t>
  </si>
  <si>
    <t>Jaswant Kaur</t>
  </si>
  <si>
    <t>GZXXXXXX8M</t>
  </si>
  <si>
    <t>23302873114,</t>
  </si>
  <si>
    <t>881060227705140</t>
  </si>
  <si>
    <t>Santosh Singh</t>
  </si>
  <si>
    <t>CZXXXXXX0B</t>
  </si>
  <si>
    <t> 17-Apr-2018 </t>
  </si>
  <si>
    <t>881069104413514</t>
  </si>
  <si>
    <t>Chhanda Ghosh</t>
  </si>
  <si>
    <t>received</t>
  </si>
  <si>
    <t>881069104503350</t>
  </si>
  <si>
    <t>Ram Chander Chorasiya</t>
  </si>
  <si>
    <t>BUXXXXXX9E</t>
  </si>
  <si>
    <t>23302830178,</t>
  </si>
  <si>
    <t>881069104530366</t>
  </si>
  <si>
    <t>Harshit Anand</t>
  </si>
  <si>
    <t>CTXXXXXX3N</t>
  </si>
  <si>
    <t>881060227713131</t>
  </si>
  <si>
    <t>Anand</t>
  </si>
  <si>
    <t>881069104741556</t>
  </si>
  <si>
    <t>Madhusudan Behara</t>
  </si>
  <si>
    <t>DSXXXXXX0E</t>
  </si>
  <si>
    <t> EA292172115IN</t>
  </si>
  <si>
    <t>881069104867162</t>
  </si>
  <si>
    <t>Ananda Gorai</t>
  </si>
  <si>
    <t>881069105015061</t>
  </si>
  <si>
    <t>Rubi Jha</t>
  </si>
  <si>
    <t>881060227753506</t>
  </si>
  <si>
    <t>Samir Day</t>
  </si>
  <si>
    <t>ARXXXXXX9F</t>
  </si>
  <si>
    <t>P</t>
  </si>
  <si>
    <t>881069105138110</t>
  </si>
  <si>
    <t>Zainab Khatoon</t>
  </si>
  <si>
    <t>HAXXXXXX6A</t>
  </si>
  <si>
    <t>20-Apr-2018 </t>
  </si>
  <si>
    <t>881069105151012</t>
  </si>
  <si>
    <t>Bina Maity</t>
  </si>
  <si>
    <t>EPXXXXXX0G</t>
  </si>
  <si>
    <t>060227757345</t>
  </si>
  <si>
    <t>Naba Kuamr Ghosh</t>
  </si>
  <si>
    <t>A010476079</t>
  </si>
  <si>
    <t>Anchal Dev</t>
  </si>
  <si>
    <t>ENIPD0714D</t>
  </si>
  <si>
    <t>RM194752790IN ON 25/04/2018 </t>
  </si>
  <si>
    <t>A010467174</t>
  </si>
  <si>
    <t>Renu Bhattacharjee</t>
  </si>
  <si>
    <t>881069105406501</t>
  </si>
  <si>
    <t>Seema Dungdung</t>
  </si>
  <si>
    <t>EMXXXXXX4L</t>
  </si>
  <si>
    <t>B903Z5918782,</t>
  </si>
  <si>
    <t>881069105554654</t>
  </si>
  <si>
    <t>Sweta Kullu</t>
  </si>
  <si>
    <t>GZXXXXXX2C</t>
  </si>
  <si>
    <t> 24-Apr-2018.</t>
  </si>
  <si>
    <t>881069105709575</t>
  </si>
  <si>
    <t>Abhishek Kumar Sharma</t>
  </si>
  <si>
    <t>JZXXXXXX7N</t>
  </si>
  <si>
    <t>881069105692985</t>
  </si>
  <si>
    <t>Shivnath behra</t>
  </si>
  <si>
    <t>DTXXXXXX7Q</t>
  </si>
  <si>
    <t> B903Z5821773</t>
  </si>
  <si>
    <t>881069105710500</t>
  </si>
  <si>
    <t>Asha Kumari</t>
  </si>
  <si>
    <t>HAXXXXXX3P</t>
  </si>
  <si>
    <t> 19-Apr-2018 </t>
  </si>
  <si>
    <t>881069105779822</t>
  </si>
  <si>
    <t>Shabana Parween</t>
  </si>
  <si>
    <t>ELXXXXXX3K</t>
  </si>
  <si>
    <t>881069106006132</t>
  </si>
  <si>
    <t>Kakuli Adak</t>
  </si>
  <si>
    <t>CTXXXXXX0N</t>
  </si>
  <si>
    <t>26-Apr-2018.</t>
  </si>
  <si>
    <t> B903Z5867507,</t>
  </si>
  <si>
    <t>A010536968</t>
  </si>
  <si>
    <t>Bijay Singh</t>
  </si>
  <si>
    <t>881069106160924</t>
  </si>
  <si>
    <t>Vinit Kumar Singh</t>
  </si>
  <si>
    <t>KAXXXXXX0K</t>
  </si>
  <si>
    <t> 25-Apr-2018.</t>
  </si>
  <si>
    <t>EA860466542IN,</t>
  </si>
  <si>
    <t>A010568808</t>
  </si>
  <si>
    <t>Parwinder Singh</t>
  </si>
  <si>
    <t>Q000700788</t>
  </si>
  <si>
    <t>Ranjit Kumar Chakraborty</t>
  </si>
  <si>
    <t>ANRPC7574K</t>
  </si>
  <si>
    <t>RM600598863IN</t>
  </si>
  <si>
    <t>A010574070</t>
  </si>
  <si>
    <t>Shreya Srivastava</t>
  </si>
  <si>
    <t>881069106215502</t>
  </si>
  <si>
    <t>Vishal Ravi Das</t>
  </si>
  <si>
    <t>ENXXXXXX2A</t>
  </si>
  <si>
    <t>05-May-2018.</t>
  </si>
  <si>
    <t> 23302647172, </t>
  </si>
  <si>
    <t>881060227872204</t>
  </si>
  <si>
    <t>Sumona Kundu</t>
  </si>
  <si>
    <t>COXXXXXX2D</t>
  </si>
  <si>
    <t>881069106450945</t>
  </si>
  <si>
    <t>Akash Sharma</t>
  </si>
  <si>
    <t>KAXXXXXX0M</t>
  </si>
  <si>
    <t>881069106425476</t>
  </si>
  <si>
    <t>Shahida Begum</t>
  </si>
  <si>
    <t>DTXXXXXX8F</t>
  </si>
  <si>
    <t>23302645589,</t>
  </si>
  <si>
    <t>881069106764044</t>
  </si>
  <si>
    <t>Sanjay Sahu</t>
  </si>
  <si>
    <t> 05-May-2018.</t>
  </si>
  <si>
    <t> 23302645674,</t>
  </si>
  <si>
    <t>881060227918231</t>
  </si>
  <si>
    <t>Majin Karmkar</t>
  </si>
  <si>
    <t>EOXXXXXX8K</t>
  </si>
  <si>
    <t> 02-May-2018 </t>
  </si>
  <si>
    <t>881060227912060</t>
  </si>
  <si>
    <t>Sanjay Kumar Singh</t>
  </si>
  <si>
    <t>BDXXXXXX0J</t>
  </si>
  <si>
    <t>Q000706928</t>
  </si>
  <si>
    <t>Elama</t>
  </si>
  <si>
    <t>881069107099090</t>
  </si>
  <si>
    <t>Sandhya Devi</t>
  </si>
  <si>
    <t>ENXXXXXX1K</t>
  </si>
  <si>
    <t> 23302647342,</t>
  </si>
  <si>
    <t>881069107159220</t>
  </si>
  <si>
    <t>Nitish Kumar Thakur</t>
  </si>
  <si>
    <t>BLXXXXXX7E</t>
  </si>
  <si>
    <t>30-Apr-2018 </t>
  </si>
  <si>
    <t>881069107208194</t>
  </si>
  <si>
    <t>Harendra Sah</t>
  </si>
  <si>
    <t>KBXXXXXX5K</t>
  </si>
  <si>
    <t>Q000708705</t>
  </si>
  <si>
    <t>Mohammad Abid</t>
  </si>
  <si>
    <t>881060227941412</t>
  </si>
  <si>
    <t>Mamta kar</t>
  </si>
  <si>
    <t>BZXXXXXX3G</t>
  </si>
  <si>
    <t>10-May-2018.</t>
  </si>
  <si>
    <t> 23301153059,</t>
  </si>
  <si>
    <t>881069107276514</t>
  </si>
  <si>
    <t>Saraswati Ganguly</t>
  </si>
  <si>
    <t>COXXXXXX4C</t>
  </si>
  <si>
    <t>23302688948,</t>
  </si>
  <si>
    <t>881069107332610</t>
  </si>
  <si>
    <t>Shaikh riyaz</t>
  </si>
  <si>
    <t>DMXXXXXX0H</t>
  </si>
  <si>
    <t> 30-Apr-2018</t>
  </si>
  <si>
    <t>881069107337753</t>
  </si>
  <si>
    <t>Isha Singh</t>
  </si>
  <si>
    <t>KAXXXXXX2R</t>
  </si>
  <si>
    <t>04-May-2018.</t>
  </si>
  <si>
    <t>23302961614, </t>
  </si>
  <si>
    <t>881069107347273</t>
  </si>
  <si>
    <t>Aman Raj</t>
  </si>
  <si>
    <t>DMXXXXXX2Q</t>
  </si>
  <si>
    <t> 04-May-2018</t>
  </si>
  <si>
    <t> 23302961618,</t>
  </si>
  <si>
    <t>881069107299371</t>
  </si>
  <si>
    <t>Khushbu Kumari</t>
  </si>
  <si>
    <t>ABXXXXXX0R</t>
  </si>
  <si>
    <t> 10-May-2018</t>
  </si>
  <si>
    <t> 23301153060,</t>
  </si>
  <si>
    <t>881060227954340</t>
  </si>
  <si>
    <t>Prem Singh Mandley</t>
  </si>
  <si>
    <t> 23301153060, </t>
  </si>
  <si>
    <t>881069107370314</t>
  </si>
  <si>
    <t>Rohit Gorai</t>
  </si>
  <si>
    <t>COXXXXXX8N</t>
  </si>
  <si>
    <t> 07-May-2018.</t>
  </si>
  <si>
    <t> 23302664660</t>
  </si>
  <si>
    <t>881069107613936</t>
  </si>
  <si>
    <t>Anjali Kumari</t>
  </si>
  <si>
    <t>23302650855,</t>
  </si>
  <si>
    <t>881069107612875</t>
  </si>
  <si>
    <t>Salma Khatoon</t>
  </si>
  <si>
    <t>UP</t>
  </si>
  <si>
    <t>881069107736576</t>
  </si>
  <si>
    <t>Georgedeep Senapati</t>
  </si>
  <si>
    <t>881069107738455</t>
  </si>
  <si>
    <t>Mala Gorai</t>
  </si>
  <si>
    <t>881069107864842</t>
  </si>
  <si>
    <t>Rohan Verma</t>
  </si>
  <si>
    <t>BMXXXXXX7G</t>
  </si>
  <si>
    <t>09-May-2018.</t>
  </si>
  <si>
    <t>. 23302681450, </t>
  </si>
  <si>
    <t>881060227988824</t>
  </si>
  <si>
    <t>Bechan Devi</t>
  </si>
  <si>
    <t>CPXPD3999B</t>
  </si>
  <si>
    <t>881060227987564</t>
  </si>
  <si>
    <t xml:space="preserve">Dulal Chandra Tantubay </t>
  </si>
  <si>
    <t>AFXXXXXX2B</t>
  </si>
  <si>
    <t> 23301153086, </t>
  </si>
  <si>
    <t>881069107907682</t>
  </si>
  <si>
    <t>Sunil Mukherjee</t>
  </si>
  <si>
    <t>EQXXXXXX3H</t>
  </si>
  <si>
    <t> 11-May-2018.</t>
  </si>
  <si>
    <t> 23302695004, </t>
  </si>
  <si>
    <t>881069107974425</t>
  </si>
  <si>
    <t>Meera Kumari</t>
  </si>
  <si>
    <t>HBXXXXXX6M</t>
  </si>
  <si>
    <t>23302681453, </t>
  </si>
  <si>
    <t>A010766661</t>
  </si>
  <si>
    <t>Urmila Devi</t>
  </si>
  <si>
    <t>resend on 25-10-2018</t>
  </si>
  <si>
    <t>881069107980331</t>
  </si>
  <si>
    <t>Sahana Parveen</t>
  </si>
  <si>
    <t>EMXXXXXX1L</t>
  </si>
  <si>
    <t> 23302681454</t>
  </si>
  <si>
    <t>881060228019042</t>
  </si>
  <si>
    <t>Bijay Shit</t>
  </si>
  <si>
    <t>CZXXXXXX4M</t>
  </si>
  <si>
    <t>23301153088, </t>
  </si>
  <si>
    <t>881069107607894</t>
  </si>
  <si>
    <t>Ram Vivek Kumar</t>
  </si>
  <si>
    <t>882060227974041</t>
  </si>
  <si>
    <t>Vikas Samities Telco</t>
  </si>
  <si>
    <t>AAXXXXXX8B</t>
  </si>
  <si>
    <t>881060228001741</t>
  </si>
  <si>
    <t>Mir Sahud Ali</t>
  </si>
  <si>
    <t>AJXXXXXX7D</t>
  </si>
  <si>
    <t>881060228019790</t>
  </si>
  <si>
    <t>Ram Kumar Singh</t>
  </si>
  <si>
    <t>FWXXXXXX2P</t>
  </si>
  <si>
    <t>881069108304346</t>
  </si>
  <si>
    <t>Bharti Kumari</t>
  </si>
  <si>
    <t>HCXXXXXX1K</t>
  </si>
  <si>
    <t xml:space="preserve">23303732430, </t>
  </si>
  <si>
    <t>881060228050660</t>
  </si>
  <si>
    <t>Sudeshna Dutta</t>
  </si>
  <si>
    <t>BQXXXXXX6B</t>
  </si>
  <si>
    <t>881069109022001</t>
  </si>
  <si>
    <t>Dharmendra Kumar Verma</t>
  </si>
  <si>
    <t>881069109221221</t>
  </si>
  <si>
    <t>Ashok Kumar Dubey</t>
  </si>
  <si>
    <t>881069109303563</t>
  </si>
  <si>
    <t>Nishita Sareen</t>
  </si>
  <si>
    <t>881069109307262</t>
  </si>
  <si>
    <t>Madhuri Mahato</t>
  </si>
  <si>
    <t>881060228118652</t>
  </si>
  <si>
    <t>Heena Mukhi</t>
  </si>
  <si>
    <t>881069109337115</t>
  </si>
  <si>
    <t>Kush Kumar</t>
  </si>
  <si>
    <t>881060228093323</t>
  </si>
  <si>
    <t>Jatindar Sukhdeo Thorat</t>
  </si>
  <si>
    <t>881069109593702</t>
  </si>
  <si>
    <t>Syed Faiz</t>
  </si>
  <si>
    <t>881069109444020</t>
  </si>
  <si>
    <t>Pinki Kumari</t>
  </si>
  <si>
    <t>881069109714216</t>
  </si>
  <si>
    <t>Mary Hembrom</t>
  </si>
  <si>
    <t>881069109941705</t>
  </si>
  <si>
    <t>Majoj Das</t>
  </si>
  <si>
    <t>881069109825564</t>
  </si>
  <si>
    <t>Ramesh Sardar</t>
  </si>
  <si>
    <t>881060228175374</t>
  </si>
  <si>
    <t>Madhuri Kalpana Kujur</t>
  </si>
  <si>
    <t>881069110391724</t>
  </si>
  <si>
    <t>Sukanti Devi</t>
  </si>
  <si>
    <t>881069110575415</t>
  </si>
  <si>
    <t>Sadaf Tahseen Khan</t>
  </si>
  <si>
    <t>881069110573606</t>
  </si>
  <si>
    <t>Vishal Singh</t>
  </si>
  <si>
    <t>881069110715791</t>
  </si>
  <si>
    <t>Simmi Kumari Rahelu</t>
  </si>
  <si>
    <t>881060228247544</t>
  </si>
  <si>
    <t>Swagata Bhattacharjee</t>
  </si>
  <si>
    <t>881069111072216</t>
  </si>
  <si>
    <t>Ajay Rantay</t>
  </si>
  <si>
    <t>881069111174140</t>
  </si>
  <si>
    <t>Prabila Devi</t>
  </si>
  <si>
    <t>881069111234244</t>
  </si>
  <si>
    <t>Rashmi Kumari</t>
  </si>
  <si>
    <t>A011241123</t>
  </si>
  <si>
    <t>SUMITRA BESRA</t>
  </si>
  <si>
    <t>Q000747800</t>
  </si>
  <si>
    <t>Nilu Singh</t>
  </si>
  <si>
    <t>A011242989</t>
  </si>
  <si>
    <t>Barun Gorai</t>
  </si>
  <si>
    <t>A011242617</t>
  </si>
  <si>
    <t>Manorama Devi</t>
  </si>
  <si>
    <t>A011236792</t>
  </si>
  <si>
    <t>Poonam Munda</t>
  </si>
  <si>
    <t>Q000747759</t>
  </si>
  <si>
    <t>Srabani Giri Dey</t>
  </si>
  <si>
    <t>A011257193</t>
  </si>
  <si>
    <t>Durga Gorai</t>
  </si>
  <si>
    <t>25/05/18</t>
  </si>
  <si>
    <t>A000747759</t>
  </si>
  <si>
    <t>Srabani  Giri Dey</t>
  </si>
  <si>
    <t>Sumitra Besra</t>
  </si>
  <si>
    <t>A011279881</t>
  </si>
  <si>
    <t>Shek Reyaz</t>
  </si>
  <si>
    <t>A011278620</t>
  </si>
  <si>
    <t>Shaikh Shanawaz</t>
  </si>
  <si>
    <t>26/05/2016</t>
  </si>
  <si>
    <t>Q000749899</t>
  </si>
  <si>
    <t>Amit Paul</t>
  </si>
  <si>
    <t>28/05/2018</t>
  </si>
  <si>
    <t>Q000751097</t>
  </si>
  <si>
    <t>Ramadhar Singh</t>
  </si>
  <si>
    <t>29/05/2018</t>
  </si>
  <si>
    <t>A011295894</t>
  </si>
  <si>
    <t>Indro Besra</t>
  </si>
  <si>
    <t>DWCPB1581A</t>
  </si>
  <si>
    <t>Q000751444</t>
  </si>
  <si>
    <t>Kanchan Thomasina Ekka</t>
  </si>
  <si>
    <t>A011348564</t>
  </si>
  <si>
    <t>Pooja Kumar Singh</t>
  </si>
  <si>
    <t>31/05/2018</t>
  </si>
  <si>
    <t>Ack  Print</t>
  </si>
  <si>
    <t>A011355793</t>
  </si>
  <si>
    <t>Pallavi Singh</t>
  </si>
  <si>
    <t>A011356045</t>
  </si>
  <si>
    <t>Rajesh Sen</t>
  </si>
  <si>
    <t>A011316263</t>
  </si>
  <si>
    <t>Akhilesh Kumar rai</t>
  </si>
  <si>
    <t>Q000759776</t>
  </si>
  <si>
    <t>Pritam Das</t>
  </si>
  <si>
    <t>Q000761037</t>
  </si>
  <si>
    <t>Nawab Ali Akhaar</t>
  </si>
  <si>
    <t>Q000762116</t>
  </si>
  <si>
    <t>CHANDAN KUMAR PATHAK</t>
  </si>
  <si>
    <t>Q000761319</t>
  </si>
  <si>
    <t>A011440186</t>
  </si>
  <si>
    <t>RAJA PAUL</t>
  </si>
  <si>
    <t>A011469757</t>
  </si>
  <si>
    <t>MOHAMMAD AFRIDI</t>
  </si>
  <si>
    <t>Q000762982</t>
  </si>
  <si>
    <t>Utkalika Patra</t>
  </si>
  <si>
    <t>A011473681</t>
  </si>
  <si>
    <t>Bal Mukund Pandey</t>
  </si>
  <si>
    <t>A011465399</t>
  </si>
  <si>
    <t>Kritibash Mahato</t>
  </si>
  <si>
    <t>EPCPP0929G</t>
  </si>
  <si>
    <t>29/06/2018</t>
  </si>
  <si>
    <t>A011467232</t>
  </si>
  <si>
    <t>ANIL TIRKEY</t>
  </si>
  <si>
    <t>Q000762423</t>
  </si>
  <si>
    <t>Narayan Mahal</t>
  </si>
  <si>
    <t>Q000763752</t>
  </si>
  <si>
    <t>Amit Kumar patel</t>
  </si>
  <si>
    <t>A011503505</t>
  </si>
  <si>
    <t>Trisha Ganguly</t>
  </si>
  <si>
    <t>Alok</t>
  </si>
  <si>
    <t>A011508984</t>
  </si>
  <si>
    <t>Jiten Mahato</t>
  </si>
  <si>
    <t xml:space="preserve">Q000765385 </t>
  </si>
  <si>
    <t>ANIRUDDHA SHIVAJI TIRUKHE</t>
  </si>
  <si>
    <t>A011513180</t>
  </si>
  <si>
    <t>Amrendra Kumar Singh</t>
  </si>
  <si>
    <t>Objection Name</t>
  </si>
  <si>
    <t>A011513371</t>
  </si>
  <si>
    <t>Dilip HO</t>
  </si>
  <si>
    <t>Q000765691</t>
  </si>
  <si>
    <t>Piyas Mujherjee</t>
  </si>
  <si>
    <t>RM812293192IN ON 14/09/2018</t>
  </si>
  <si>
    <t>Q000765722</t>
  </si>
  <si>
    <t>Rohidas Nag</t>
  </si>
  <si>
    <t>A011522894</t>
  </si>
  <si>
    <t>Ravi Karmakar</t>
  </si>
  <si>
    <t>A011524285</t>
  </si>
  <si>
    <t>Sneha</t>
  </si>
  <si>
    <t>A011526643</t>
  </si>
  <si>
    <t>Apratim Ranjan Chakrabarty</t>
  </si>
  <si>
    <t>A011525510</t>
  </si>
  <si>
    <t>Vivek Kumar Srivastava</t>
  </si>
  <si>
    <t>Objection</t>
  </si>
  <si>
    <t>AADHAR NOT MATCHED</t>
  </si>
  <si>
    <t>Q000768089</t>
  </si>
  <si>
    <t>Deepak Kumar</t>
  </si>
  <si>
    <t>mailed</t>
  </si>
  <si>
    <t>Q000768097</t>
  </si>
  <si>
    <t>Niranjan Behera</t>
  </si>
  <si>
    <t>Q000768100</t>
  </si>
  <si>
    <t>Sakal Dev</t>
  </si>
  <si>
    <t>A011550282</t>
  </si>
  <si>
    <t>Anand Kumar Thakur</t>
  </si>
  <si>
    <t>A011550333</t>
  </si>
  <si>
    <t>Pragya Raj</t>
  </si>
  <si>
    <t>A011550382</t>
  </si>
  <si>
    <t>Shivani Shrivastva</t>
  </si>
  <si>
    <t>A011543770</t>
  </si>
  <si>
    <t>Ravi Gorai</t>
  </si>
  <si>
    <t>Q000771295</t>
  </si>
  <si>
    <t>Gereya Chattar</t>
  </si>
  <si>
    <t>given</t>
  </si>
  <si>
    <t>A011620246</t>
  </si>
  <si>
    <t>Sulekha Sarkar</t>
  </si>
  <si>
    <t>A011600157</t>
  </si>
  <si>
    <t>Rajeev Mukherjee</t>
  </si>
  <si>
    <t>A011620120</t>
  </si>
  <si>
    <t>Sankhadeep Sur</t>
  </si>
  <si>
    <t>A011619726</t>
  </si>
  <si>
    <t>Avinash Kumar SIngh</t>
  </si>
  <si>
    <t>A011605940</t>
  </si>
  <si>
    <t>Titali Ravidas</t>
  </si>
  <si>
    <t>A011599632</t>
  </si>
  <si>
    <t>A011625684</t>
  </si>
  <si>
    <t>Khadak SIngh</t>
  </si>
  <si>
    <t>KIOPS8671D</t>
  </si>
  <si>
    <t>Reapplied</t>
  </si>
  <si>
    <t>A011636325</t>
  </si>
  <si>
    <t>Rina Maithy</t>
  </si>
  <si>
    <t>Q000774119</t>
  </si>
  <si>
    <t>Binit Jaiswal</t>
  </si>
  <si>
    <t>A011661291</t>
  </si>
  <si>
    <t>Bhawna Talari</t>
  </si>
  <si>
    <t>A011667469</t>
  </si>
  <si>
    <t>Laxmi Murmu</t>
  </si>
  <si>
    <t>A011667371</t>
  </si>
  <si>
    <t>Chandana Patna</t>
  </si>
  <si>
    <t>A011667236</t>
  </si>
  <si>
    <t>Dinesh Mahato</t>
  </si>
  <si>
    <t>A011666958</t>
  </si>
  <si>
    <t>Sonka Gorai</t>
  </si>
  <si>
    <t>CQTPG9659N</t>
  </si>
  <si>
    <t>Q000776349</t>
  </si>
  <si>
    <t>Tejo Kumar Measala</t>
  </si>
  <si>
    <t>A011753034</t>
  </si>
  <si>
    <t>Mangal Singh</t>
  </si>
  <si>
    <t>A011763158</t>
  </si>
  <si>
    <t>Jayprakash Swansi</t>
  </si>
  <si>
    <t>Q000783225</t>
  </si>
  <si>
    <t>Shreya Chatterjee</t>
  </si>
  <si>
    <t>BEMPC1480B</t>
  </si>
  <si>
    <t>RETURNED</t>
  </si>
  <si>
    <t>Srikrishna Sahu</t>
  </si>
  <si>
    <t>A011791354</t>
  </si>
  <si>
    <t>Tapan Gorai</t>
  </si>
  <si>
    <t>Q000785106</t>
  </si>
  <si>
    <t>Sobha Mondal</t>
  </si>
  <si>
    <t>A011844694</t>
  </si>
  <si>
    <t>Bali Mardi</t>
  </si>
  <si>
    <t>krishna</t>
  </si>
  <si>
    <t>A011863433</t>
  </si>
  <si>
    <t>Mukesh Kumar</t>
  </si>
  <si>
    <t>alok</t>
  </si>
  <si>
    <t>A011863599</t>
  </si>
  <si>
    <t>Devraj Godsora</t>
  </si>
  <si>
    <t>A011863717</t>
  </si>
  <si>
    <t>Raj Lohar</t>
  </si>
  <si>
    <t>Lokesh Gounder</t>
  </si>
  <si>
    <t>A011864890</t>
  </si>
  <si>
    <t>Shama Khatoon</t>
  </si>
  <si>
    <t>Q000789388</t>
  </si>
  <si>
    <t>Jageshwar Mahto</t>
  </si>
  <si>
    <t>A011869412</t>
  </si>
  <si>
    <t>Madan Mahato</t>
  </si>
  <si>
    <t>A011886556</t>
  </si>
  <si>
    <t>Sawmik Guha</t>
  </si>
  <si>
    <t>aLOK</t>
  </si>
  <si>
    <t>Q000790015</t>
  </si>
  <si>
    <t>Neha Pandey</t>
  </si>
  <si>
    <t>DEL</t>
  </si>
  <si>
    <t>Q000795820</t>
  </si>
  <si>
    <t>Tilak Sarkar</t>
  </si>
  <si>
    <t>A011947037</t>
  </si>
  <si>
    <t>Sourav Anand</t>
  </si>
  <si>
    <t>Q000798423</t>
  </si>
  <si>
    <t>Soma Singh</t>
  </si>
  <si>
    <t>send</t>
  </si>
  <si>
    <t>A011959881</t>
  </si>
  <si>
    <t>Beauty Kumari</t>
  </si>
  <si>
    <t>i</t>
  </si>
  <si>
    <t>A011977964</t>
  </si>
  <si>
    <t>Ankit Kumar Sinha</t>
  </si>
  <si>
    <t>A011978427</t>
  </si>
  <si>
    <t>Fulmuni Hansada</t>
  </si>
  <si>
    <t>A011980350</t>
  </si>
  <si>
    <t>Akash Kumar Sony</t>
  </si>
  <si>
    <t>A012001642</t>
  </si>
  <si>
    <t>Rashmi Singh</t>
  </si>
  <si>
    <t>A011967496</t>
  </si>
  <si>
    <t>Amisha Verma</t>
  </si>
  <si>
    <t>Q000800257</t>
  </si>
  <si>
    <t>Manjula Mahato</t>
  </si>
  <si>
    <t>A012001949</t>
  </si>
  <si>
    <t>Satwik Kumar</t>
  </si>
  <si>
    <t>A012047174</t>
  </si>
  <si>
    <t>Sonali Adhikary</t>
  </si>
  <si>
    <t>9/7/2018</t>
  </si>
  <si>
    <t>A012046432</t>
  </si>
  <si>
    <t>Sudipta Pramanik</t>
  </si>
  <si>
    <t xml:space="preserve">Failed </t>
  </si>
  <si>
    <t>Q000806095</t>
  </si>
  <si>
    <t>Santanu Majumder</t>
  </si>
  <si>
    <t>10/7/2018</t>
  </si>
  <si>
    <t>A012064088</t>
  </si>
  <si>
    <t>Sushila Devi</t>
  </si>
  <si>
    <t>11/7/2018</t>
  </si>
  <si>
    <t>A012070891</t>
  </si>
  <si>
    <t>Prabha Rai</t>
  </si>
  <si>
    <t>Q000805949</t>
  </si>
  <si>
    <t>Rahul Kumar Gupta</t>
  </si>
  <si>
    <t>Q000807901</t>
  </si>
  <si>
    <t>Samsun Bibi</t>
  </si>
  <si>
    <t>Q000808365</t>
  </si>
  <si>
    <t>Harendra Narayan Singh</t>
  </si>
  <si>
    <t>Send</t>
  </si>
  <si>
    <t>Q000808393</t>
  </si>
  <si>
    <t>Shudu Devi</t>
  </si>
  <si>
    <t>Q000808381</t>
  </si>
  <si>
    <t>Menjo Bari</t>
  </si>
  <si>
    <t>A012107939</t>
  </si>
  <si>
    <t>Laxman Ruhidas</t>
  </si>
  <si>
    <t>A012119247</t>
  </si>
  <si>
    <t>Shankar Mahato</t>
  </si>
  <si>
    <t>12/7/2018</t>
  </si>
  <si>
    <t>Q000809623</t>
  </si>
  <si>
    <t>Moly Chaki</t>
  </si>
  <si>
    <t>13/7/2018</t>
  </si>
  <si>
    <t>Q000809635</t>
  </si>
  <si>
    <t>Amitava Chaki</t>
  </si>
  <si>
    <t>A012141062</t>
  </si>
  <si>
    <t>Ananda Bisui</t>
  </si>
  <si>
    <t>A012141275</t>
  </si>
  <si>
    <t>Milan Bisui</t>
  </si>
  <si>
    <t>14/7/2018</t>
  </si>
  <si>
    <t>Q000810882</t>
  </si>
  <si>
    <t>A012142562</t>
  </si>
  <si>
    <t>Abeda Zeya</t>
  </si>
  <si>
    <t>A012153156</t>
  </si>
  <si>
    <t>Renu Devi</t>
  </si>
  <si>
    <t>A012153322</t>
  </si>
  <si>
    <t>manoj Kumar</t>
  </si>
  <si>
    <t>Insuff</t>
  </si>
  <si>
    <t>Q000811693</t>
  </si>
  <si>
    <t>A012145763</t>
  </si>
  <si>
    <t>Pratima Kundu</t>
  </si>
  <si>
    <t>Q000811178</t>
  </si>
  <si>
    <t>Kamal Sahu</t>
  </si>
  <si>
    <t>A012147154</t>
  </si>
  <si>
    <t>Raj Kaur</t>
  </si>
  <si>
    <t>A012147911</t>
  </si>
  <si>
    <t xml:space="preserve">Abhishek Kumar </t>
  </si>
  <si>
    <t>A012148566</t>
  </si>
  <si>
    <t>Nigar Bano</t>
  </si>
  <si>
    <t>A012151708</t>
  </si>
  <si>
    <t>Shailini Prasad</t>
  </si>
  <si>
    <t xml:space="preserve">Not Filled </t>
  </si>
  <si>
    <t>DOB Not given</t>
  </si>
  <si>
    <t>A012150795</t>
  </si>
  <si>
    <t>Anandini Topno</t>
  </si>
  <si>
    <t>Q000812546</t>
  </si>
  <si>
    <t>Sunita Sha</t>
  </si>
  <si>
    <t>Q000813627</t>
  </si>
  <si>
    <t>Sushovan Dey</t>
  </si>
  <si>
    <t>Q000813617</t>
  </si>
  <si>
    <t>Dilip Kumar Verma</t>
  </si>
  <si>
    <t>A012162136</t>
  </si>
  <si>
    <t>Shivam Kumar</t>
  </si>
  <si>
    <t>Q000815167</t>
  </si>
  <si>
    <t>Radhe Shyam Pandey</t>
  </si>
  <si>
    <t>Q000815158</t>
  </si>
  <si>
    <t>Sikha Rani Mahato</t>
  </si>
  <si>
    <t>A012213843</t>
  </si>
  <si>
    <t>Varsha Srivastava</t>
  </si>
  <si>
    <t>15/7/2018</t>
  </si>
  <si>
    <t xml:space="preserve">A012151708 </t>
  </si>
  <si>
    <t>Rupa Devi</t>
  </si>
  <si>
    <t>A012260741</t>
  </si>
  <si>
    <t>Hareram Yadav</t>
  </si>
  <si>
    <t>18/7/2018</t>
  </si>
  <si>
    <t xml:space="preserve">A012260706 </t>
  </si>
  <si>
    <t>Sonu Das</t>
  </si>
  <si>
    <t>Q000819884</t>
  </si>
  <si>
    <t>Rabi Mahato</t>
  </si>
  <si>
    <t>Q000819956</t>
  </si>
  <si>
    <t>Ram Kumar Saw</t>
  </si>
  <si>
    <t>Q000821317</t>
  </si>
  <si>
    <t>Baban Kumar Sah</t>
  </si>
  <si>
    <t>19/7/2018</t>
  </si>
  <si>
    <t>Q000821333</t>
  </si>
  <si>
    <t>Vikash Kumar Agarwal</t>
  </si>
  <si>
    <t>7/27/2018</t>
  </si>
  <si>
    <t>Krishna</t>
  </si>
  <si>
    <t>Q000824505</t>
  </si>
  <si>
    <t>Manik Poira</t>
  </si>
  <si>
    <t>A012328684</t>
  </si>
  <si>
    <t>Supriya Chakraborty</t>
  </si>
  <si>
    <t>21/7/2018</t>
  </si>
  <si>
    <t>A012344653</t>
  </si>
  <si>
    <t>Akash Bhardwaj</t>
  </si>
  <si>
    <t>A012345724</t>
  </si>
  <si>
    <t>Sana Aaliya</t>
  </si>
  <si>
    <t>Q000833815</t>
  </si>
  <si>
    <t>Laxmi hembrom</t>
  </si>
  <si>
    <t>A012441753</t>
  </si>
  <si>
    <t>Sikandar Singh</t>
  </si>
  <si>
    <t>biometric</t>
  </si>
  <si>
    <t>A012441453</t>
  </si>
  <si>
    <t>Vijay Kumar Singh</t>
  </si>
  <si>
    <t>A012441313</t>
  </si>
  <si>
    <t>Amit Kumar</t>
  </si>
  <si>
    <t>A012441003</t>
  </si>
  <si>
    <t>Simran Kumar</t>
  </si>
  <si>
    <t>A012441190</t>
  </si>
  <si>
    <t>Subhashish Ravidas</t>
  </si>
  <si>
    <t>DRPPR4366P</t>
  </si>
  <si>
    <t>A012432148</t>
  </si>
  <si>
    <t>Hopna Soren</t>
  </si>
  <si>
    <t>A012445965</t>
  </si>
  <si>
    <t>Sonamani Hembram</t>
  </si>
  <si>
    <t>Q000834730</t>
  </si>
  <si>
    <t>Madan Kumar Rajak</t>
  </si>
  <si>
    <t>Q000836168</t>
  </si>
  <si>
    <t>Chetram</t>
  </si>
  <si>
    <t>A012457800</t>
  </si>
  <si>
    <t>Shalini Prasad</t>
  </si>
  <si>
    <t>Q000836157</t>
  </si>
  <si>
    <t>Abhijit Dutta</t>
  </si>
  <si>
    <t>Q000836152</t>
  </si>
  <si>
    <t>Rintu Bhattacharjee</t>
  </si>
  <si>
    <t>Q000836174</t>
  </si>
  <si>
    <t>Prerna Singhania</t>
  </si>
  <si>
    <t>A012458001</t>
  </si>
  <si>
    <t>Mihir Das</t>
  </si>
  <si>
    <t>Sikander Singh</t>
  </si>
  <si>
    <t>Q000835217</t>
  </si>
  <si>
    <t>Monojit Chakraborty</t>
  </si>
  <si>
    <t>A012476719</t>
  </si>
  <si>
    <t>Usha Devi</t>
  </si>
  <si>
    <t>returned</t>
  </si>
  <si>
    <t>A012477289</t>
  </si>
  <si>
    <t>Raymoni Gope</t>
  </si>
  <si>
    <t>A012477146</t>
  </si>
  <si>
    <t>Rajender Kaur</t>
  </si>
  <si>
    <t>A012477060</t>
  </si>
  <si>
    <t>Baby Devi</t>
  </si>
  <si>
    <t>Q000836833</t>
  </si>
  <si>
    <t>Sukhminder Kaur</t>
  </si>
  <si>
    <t>Q000833968</t>
  </si>
  <si>
    <t>Antara Mitra</t>
  </si>
  <si>
    <t>A012506240</t>
  </si>
  <si>
    <t>A012526098</t>
  </si>
  <si>
    <t>Shweta Singh</t>
  </si>
  <si>
    <t>A012602043</t>
  </si>
  <si>
    <t>Suresh Hembrom</t>
  </si>
  <si>
    <t>A012602342</t>
  </si>
  <si>
    <t>NITAI CHANDRA PRAMANIK</t>
  </si>
  <si>
    <t>A012606505</t>
  </si>
  <si>
    <t>Swapan Ruhidas</t>
  </si>
  <si>
    <t>A012611278</t>
  </si>
  <si>
    <t>Ganganalu Rupa</t>
  </si>
  <si>
    <t>Q000852553</t>
  </si>
  <si>
    <t>Jitendra Prasad</t>
  </si>
  <si>
    <t>A012693144</t>
  </si>
  <si>
    <t>Deepu Gorai</t>
  </si>
  <si>
    <t>A012702819</t>
  </si>
  <si>
    <t>Irfan Alam</t>
  </si>
  <si>
    <t>A012715060</t>
  </si>
  <si>
    <t>Bimla Mukhi</t>
  </si>
  <si>
    <t>A012745647</t>
  </si>
  <si>
    <t>Nitu Singh Malla</t>
  </si>
  <si>
    <t>sent</t>
  </si>
  <si>
    <t>Q000857597</t>
  </si>
  <si>
    <t>Suresh Chandra Patnaik</t>
  </si>
  <si>
    <t>Q000858071</t>
  </si>
  <si>
    <t>Arvind Prasad</t>
  </si>
  <si>
    <t>A012753599</t>
  </si>
  <si>
    <t>Kalpana Gorai</t>
  </si>
  <si>
    <t>A012788017</t>
  </si>
  <si>
    <t>Subasini Patnaik</t>
  </si>
  <si>
    <t>A012767521</t>
  </si>
  <si>
    <t>Nazia Tabassum</t>
  </si>
  <si>
    <t>A012789219</t>
  </si>
  <si>
    <t>Piyusha Mazumdar</t>
  </si>
  <si>
    <t>A012789284</t>
  </si>
  <si>
    <t>Nimai Gorai</t>
  </si>
  <si>
    <t>Q0008584168</t>
  </si>
  <si>
    <t>A012934381</t>
  </si>
  <si>
    <t>Q000860810</t>
  </si>
  <si>
    <t>Shama Sanowar</t>
  </si>
  <si>
    <t>Q000861931</t>
  </si>
  <si>
    <t>Bikash Chandra Mahato</t>
  </si>
  <si>
    <t>A012835174</t>
  </si>
  <si>
    <t>Mahfooz Alam</t>
  </si>
  <si>
    <t>Q000871880</t>
  </si>
  <si>
    <t>Rajesh Kumar Singh</t>
  </si>
  <si>
    <t>A012901710</t>
  </si>
  <si>
    <t>Indu Subedi</t>
  </si>
  <si>
    <t>A012901851</t>
  </si>
  <si>
    <t>Rani Madhuni</t>
  </si>
  <si>
    <t>Sanju Birua</t>
  </si>
  <si>
    <t>Q000871867</t>
  </si>
  <si>
    <t>Jayeeta Roy</t>
  </si>
  <si>
    <t>A012934268</t>
  </si>
  <si>
    <t>Neha kumari</t>
  </si>
  <si>
    <t>A012933247</t>
  </si>
  <si>
    <t>Suraj Priyadarshi</t>
  </si>
  <si>
    <t>A013021058</t>
  </si>
  <si>
    <t>Ganesh Munda</t>
  </si>
  <si>
    <t>A013021228</t>
  </si>
  <si>
    <t>Mohammad Matlub Khan</t>
  </si>
  <si>
    <t>A013033168</t>
  </si>
  <si>
    <t>Suresh Sha</t>
  </si>
  <si>
    <t>A013032597</t>
  </si>
  <si>
    <t>Sanju Devi</t>
  </si>
  <si>
    <t>A013021386</t>
  </si>
  <si>
    <t>Afridi Mazhar</t>
  </si>
  <si>
    <t>A013102323</t>
  </si>
  <si>
    <t>BISHOKA DEVI</t>
  </si>
  <si>
    <t>A013102135</t>
  </si>
  <si>
    <t>JITENDRA NATH ROHIDAS</t>
  </si>
  <si>
    <t>A013147222</t>
  </si>
  <si>
    <t>Hirdaya nath Tiwary</t>
  </si>
  <si>
    <t>A013175392</t>
  </si>
  <si>
    <t>Arti Kumari</t>
  </si>
  <si>
    <t>363829700258776</t>
  </si>
  <si>
    <t>Krishna Prasad</t>
  </si>
  <si>
    <t>ESTPP5724B</t>
  </si>
  <si>
    <t>VELEX</t>
  </si>
  <si>
    <t>363829700261720</t>
  </si>
  <si>
    <t>Ankita Upadhyay</t>
  </si>
  <si>
    <t>A013276181</t>
  </si>
  <si>
    <t>Amrit Gorai</t>
  </si>
  <si>
    <t>A013276797</t>
  </si>
  <si>
    <t>Bablu Khan</t>
  </si>
  <si>
    <t>A013276977</t>
  </si>
  <si>
    <t>Anurag Kumar Ram</t>
  </si>
  <si>
    <t>Q000899807</t>
  </si>
  <si>
    <t>Kunta Sharma</t>
  </si>
  <si>
    <t>363829700276571</t>
  </si>
  <si>
    <t>Mallika Mallik</t>
  </si>
  <si>
    <t>1-jan-72</t>
  </si>
  <si>
    <t>Q000903506</t>
  </si>
  <si>
    <t>Man Bahadur Adhikari</t>
  </si>
  <si>
    <t>A013381187</t>
  </si>
  <si>
    <t>Diwakar Ravidas</t>
  </si>
  <si>
    <t>A013381096</t>
  </si>
  <si>
    <t>Govinda Ravidas</t>
  </si>
  <si>
    <t>363829700286824</t>
  </si>
  <si>
    <t>Savitri Devi</t>
  </si>
  <si>
    <t>363829700286754</t>
  </si>
  <si>
    <t>Swarnalata Goarai</t>
  </si>
  <si>
    <t>363829700286695</t>
  </si>
  <si>
    <t>Deepak Thapa</t>
  </si>
  <si>
    <t>363829700286581</t>
  </si>
  <si>
    <t>Arun Gorai</t>
  </si>
  <si>
    <t>363829700286570</t>
  </si>
  <si>
    <t>Jayanti Lohar</t>
  </si>
  <si>
    <t>Anjna Xaxa</t>
  </si>
  <si>
    <t>pending</t>
  </si>
  <si>
    <t>363829700286360</t>
  </si>
  <si>
    <t>Tapojyoti Bhattacharjee</t>
  </si>
  <si>
    <t>ISSUED</t>
  </si>
  <si>
    <t>A013841683</t>
  </si>
  <si>
    <t>Nutan Jyoti Hassa Purti</t>
  </si>
  <si>
    <t>A013841553</t>
  </si>
  <si>
    <t>Christina Xalxo</t>
  </si>
  <si>
    <t>D</t>
  </si>
  <si>
    <t>A013543482</t>
  </si>
  <si>
    <t>Aparna Bhattacharya</t>
  </si>
  <si>
    <t>Q000915361</t>
  </si>
  <si>
    <t>Harichandan Bhattacharge</t>
  </si>
  <si>
    <t>done</t>
  </si>
  <si>
    <t>363829700294443</t>
  </si>
  <si>
    <t>Johan Topno</t>
  </si>
  <si>
    <t>SUCCESS</t>
  </si>
  <si>
    <t>363829700294410</t>
  </si>
  <si>
    <t>Jagjit Kaur</t>
  </si>
  <si>
    <t>AT TIN CENTER</t>
  </si>
  <si>
    <t>363829700293883</t>
  </si>
  <si>
    <t>Abdul Aziz</t>
  </si>
  <si>
    <t>A013481768</t>
  </si>
  <si>
    <t>Rahil Tuti</t>
  </si>
  <si>
    <t>uid authentication</t>
  </si>
  <si>
    <t>A013553414</t>
  </si>
  <si>
    <t>Veena Devi</t>
  </si>
  <si>
    <t>A013682068</t>
  </si>
  <si>
    <t>Subhash Banerjee</t>
  </si>
  <si>
    <t>A013679120</t>
  </si>
  <si>
    <t>Mohammad Nayeem</t>
  </si>
  <si>
    <t>Q000928277</t>
  </si>
  <si>
    <t>Narayan Modi</t>
  </si>
  <si>
    <t>A013639521</t>
  </si>
  <si>
    <t>Dinesh Tiwary</t>
  </si>
  <si>
    <t>A013627428</t>
  </si>
  <si>
    <t>Puspa Devi</t>
  </si>
  <si>
    <t>A013678456</t>
  </si>
  <si>
    <t>Ajay Mahato</t>
  </si>
  <si>
    <t>A013678709</t>
  </si>
  <si>
    <t>Suraj Kumar Dhibar</t>
  </si>
  <si>
    <t>363829700310904</t>
  </si>
  <si>
    <t>Dipak banerjee</t>
  </si>
  <si>
    <t>EBXXXXXX8B</t>
  </si>
  <si>
    <t>386389700000043</t>
  </si>
  <si>
    <t>Pratima Devi</t>
  </si>
  <si>
    <t>csc</t>
  </si>
  <si>
    <t>363829700320100</t>
  </si>
  <si>
    <t>Sunil Gorai</t>
  </si>
  <si>
    <t>A013689038</t>
  </si>
  <si>
    <t>Sintu Kumar</t>
  </si>
  <si>
    <t>A013688952</t>
  </si>
  <si>
    <t>Sagar Mukhi</t>
  </si>
  <si>
    <t>363829700</t>
  </si>
  <si>
    <t>Sharmili Roy</t>
  </si>
  <si>
    <t>363829700335496</t>
  </si>
  <si>
    <t>Savitri Soren</t>
  </si>
  <si>
    <t>KTFPS4787E</t>
  </si>
  <si>
    <t>17-10-18</t>
  </si>
  <si>
    <t>363829700335533</t>
  </si>
  <si>
    <t>Shilpa Kerketta</t>
  </si>
  <si>
    <t>HQXXXXXX8M</t>
  </si>
  <si>
    <t>363829700338053</t>
  </si>
  <si>
    <t>Arshi Perween</t>
  </si>
  <si>
    <t>EUXXXXXX2</t>
  </si>
  <si>
    <t>A013968443</t>
  </si>
  <si>
    <t>Rita Sherpa</t>
  </si>
  <si>
    <t>KUEPS3050J</t>
  </si>
  <si>
    <t>Q000943530</t>
  </si>
  <si>
    <t>Faisal Bakhsh</t>
  </si>
  <si>
    <t>7301497220</t>
  </si>
  <si>
    <t>Q000945104</t>
  </si>
  <si>
    <t>Nepal Parmanik</t>
  </si>
  <si>
    <t>BCSPP8609P</t>
  </si>
  <si>
    <t>20-10-18</t>
  </si>
  <si>
    <t>Q000953455</t>
  </si>
  <si>
    <t>Kanchan Singh Solanki</t>
  </si>
  <si>
    <t>FNWPS8058E</t>
  </si>
  <si>
    <t>A014097324</t>
  </si>
  <si>
    <t>Aparna Das</t>
  </si>
  <si>
    <t>A014205754</t>
  </si>
  <si>
    <t>Sanchita Kumari</t>
  </si>
  <si>
    <t>A014165666</t>
  </si>
  <si>
    <t>Sushila Sharma</t>
  </si>
  <si>
    <t>A014169035</t>
  </si>
  <si>
    <t>Meharun Nisha</t>
  </si>
  <si>
    <t>A014186136</t>
  </si>
  <si>
    <t>Ranjeeta Kumari</t>
  </si>
  <si>
    <t>Q000969707</t>
  </si>
  <si>
    <t>Jakso james</t>
  </si>
  <si>
    <t>A014240533</t>
  </si>
  <si>
    <t>Abira Sarkar</t>
  </si>
  <si>
    <t>A014244090</t>
  </si>
  <si>
    <t>Abhishek Kumar Singh</t>
  </si>
  <si>
    <t>a014251158</t>
  </si>
  <si>
    <t>Asif Ansari</t>
  </si>
  <si>
    <t>A014255964</t>
  </si>
  <si>
    <t>Ranjeet Mahato</t>
  </si>
  <si>
    <t>A014257172</t>
  </si>
  <si>
    <t>Kanan biswas</t>
  </si>
  <si>
    <t xml:space="preserve">EDGPB0711J </t>
  </si>
  <si>
    <t>A014275730</t>
  </si>
  <si>
    <t>Asha Rani Mohanty</t>
  </si>
  <si>
    <t>A014338701</t>
  </si>
  <si>
    <t>Deepak Sah</t>
  </si>
  <si>
    <t>KWJPS8749R</t>
  </si>
  <si>
    <t>A014400610</t>
  </si>
  <si>
    <t>Nikia Singh</t>
  </si>
  <si>
    <t>A014403679</t>
  </si>
  <si>
    <t>Mohit Kumar Singh</t>
  </si>
  <si>
    <t>A014439011</t>
  </si>
  <si>
    <t>Anita Munda</t>
  </si>
  <si>
    <t>A014438580</t>
  </si>
  <si>
    <t>Kinkar Mandal</t>
  </si>
  <si>
    <t>Q000989536</t>
  </si>
  <si>
    <t>Abhijit Sarkar</t>
  </si>
  <si>
    <t>A014439120</t>
  </si>
  <si>
    <t>Shivani Munda</t>
  </si>
  <si>
    <t>Q000989186</t>
  </si>
  <si>
    <t>Pradip Kumar Mazumdar</t>
  </si>
  <si>
    <t>Q000991664</t>
  </si>
  <si>
    <t>Tarique Anwar</t>
  </si>
  <si>
    <t>A014479804</t>
  </si>
  <si>
    <t>Sadhu Singh</t>
  </si>
  <si>
    <t>A014466043</t>
  </si>
  <si>
    <t>Payal Mitra Neogi</t>
  </si>
  <si>
    <t>A014479871</t>
  </si>
  <si>
    <t>Nabanita Bose</t>
  </si>
  <si>
    <t>A014479311</t>
  </si>
  <si>
    <t>Prasenjit Mandal</t>
  </si>
  <si>
    <t>A014479669</t>
  </si>
  <si>
    <t>Bablu Gorai</t>
  </si>
  <si>
    <t>A014487031</t>
  </si>
  <si>
    <t>Sahani Khatoon</t>
  </si>
  <si>
    <t>A014495220</t>
  </si>
  <si>
    <t>Ratna Pandey</t>
  </si>
  <si>
    <t>A014496149</t>
  </si>
  <si>
    <t>swayam sahayata samuh</t>
  </si>
  <si>
    <t>A014496783</t>
  </si>
  <si>
    <t>Gul Jabeen</t>
  </si>
  <si>
    <t>BUSPJ2775C</t>
  </si>
  <si>
    <t>RM164111727IN ON 22/11/2018</t>
  </si>
  <si>
    <t>Anisha Chaki</t>
  </si>
  <si>
    <t>minor</t>
  </si>
  <si>
    <t>A014498639</t>
  </si>
  <si>
    <t>Shriyadita Chaki</t>
  </si>
  <si>
    <t>Q000997020</t>
  </si>
  <si>
    <t>Padma Adhikari</t>
  </si>
  <si>
    <t>A014595882</t>
  </si>
  <si>
    <t>Jaba Gorai</t>
  </si>
  <si>
    <t>A014614718</t>
  </si>
  <si>
    <t>Ally Base</t>
  </si>
  <si>
    <t>firm</t>
  </si>
  <si>
    <t> ABNFA5549G</t>
  </si>
  <si>
    <t>13/12/2018</t>
  </si>
  <si>
    <t>A014724920</t>
  </si>
  <si>
    <t>Bhagyadhar Sahis</t>
  </si>
  <si>
    <t>Q001013862</t>
  </si>
  <si>
    <t>Gurdeep Singh</t>
  </si>
  <si>
    <t>Q001015654</t>
  </si>
  <si>
    <t>Sunita Devi</t>
  </si>
  <si>
    <t>manoj</t>
  </si>
  <si>
    <t>Q001017316</t>
  </si>
  <si>
    <t>Lakshmi</t>
  </si>
  <si>
    <t>A014779558</t>
  </si>
  <si>
    <t>Jasabanta Mohanta</t>
  </si>
  <si>
    <t>A014772147</t>
  </si>
  <si>
    <t>Manoj Kumar Bediya</t>
  </si>
  <si>
    <t>Q001019436</t>
  </si>
  <si>
    <t>Ashok Kumar Singh</t>
  </si>
  <si>
    <t>A014803012</t>
  </si>
  <si>
    <t>Kalipado Goswami</t>
  </si>
  <si>
    <t>ALOK</t>
  </si>
  <si>
    <t>A014802947</t>
  </si>
  <si>
    <t>Bhagirath Mardi</t>
  </si>
  <si>
    <t>A014801023</t>
  </si>
  <si>
    <t>Vimla Thapa</t>
  </si>
  <si>
    <t>BPCPT5413A</t>
  </si>
  <si>
    <t>RM173479109IN ON 10/12/2018</t>
  </si>
  <si>
    <t>Q001024420</t>
  </si>
  <si>
    <t>Vivek Prasad</t>
  </si>
  <si>
    <t>A014762435</t>
  </si>
  <si>
    <t>Jhuma Goswami</t>
  </si>
  <si>
    <t>A014800978</t>
  </si>
  <si>
    <t>Ankita</t>
  </si>
  <si>
    <t>DBLPA3106A</t>
  </si>
  <si>
    <t>A014884101</t>
  </si>
  <si>
    <t>Dhrub Oraon</t>
  </si>
  <si>
    <t>A014862707</t>
  </si>
  <si>
    <t>Gurubari Pramanik</t>
  </si>
  <si>
    <t>A014863455</t>
  </si>
  <si>
    <t>Shabnam Sultana</t>
  </si>
  <si>
    <t> KYXPS7857G</t>
  </si>
  <si>
    <t>A014867600</t>
  </si>
  <si>
    <t>Preeti Narayan</t>
  </si>
  <si>
    <t>Q001027964</t>
  </si>
  <si>
    <t>Amrit Kumar Upadhyay</t>
  </si>
  <si>
    <t>386389700006903</t>
  </si>
  <si>
    <t>Subrato Roy Choudhury</t>
  </si>
  <si>
    <t>386389700006881</t>
  </si>
  <si>
    <t>Deeparnita Biswas</t>
  </si>
  <si>
    <t>Q001029604</t>
  </si>
  <si>
    <t>Zohara begum</t>
  </si>
  <si>
    <t>A014966510</t>
  </si>
  <si>
    <t>Ajay Karmakar</t>
  </si>
  <si>
    <t>386389700007780</t>
  </si>
  <si>
    <t>Rinku Mukherjee</t>
  </si>
  <si>
    <t>386389700007791</t>
  </si>
  <si>
    <t>Somnath Lohar</t>
  </si>
  <si>
    <t>386389700007835</t>
  </si>
  <si>
    <t>Shweta Guha</t>
  </si>
  <si>
    <t>386389700007802</t>
  </si>
  <si>
    <t>Minu Devi</t>
  </si>
  <si>
    <t>A014968290</t>
  </si>
  <si>
    <t>Priyanka Chaudhary</t>
  </si>
  <si>
    <t>A014989327</t>
  </si>
  <si>
    <t>Binoti Hembram</t>
  </si>
  <si>
    <t>Q001035694</t>
  </si>
  <si>
    <t>Upadhyay</t>
  </si>
  <si>
    <t>A015054004</t>
  </si>
  <si>
    <t>Mamoni Haldhar</t>
  </si>
  <si>
    <t>lakshmi</t>
  </si>
  <si>
    <t> BADPH8703F</t>
  </si>
  <si>
    <t>RM177464232IN ON 19/12/2018</t>
  </si>
  <si>
    <t>A015009628</t>
  </si>
  <si>
    <t>Kalpana Bhawal</t>
  </si>
  <si>
    <t> EFFPB3445J</t>
  </si>
  <si>
    <t>386389700008502</t>
  </si>
  <si>
    <t>Moni Bala Shome</t>
  </si>
  <si>
    <t>386389700008513</t>
  </si>
  <si>
    <t>Sudhir Chandra Mahato</t>
  </si>
  <si>
    <t>dob pending</t>
  </si>
  <si>
    <t>Ravindra mardi</t>
  </si>
  <si>
    <t>386389700008443</t>
  </si>
  <si>
    <t>Ashwin Anand</t>
  </si>
  <si>
    <t>386389700008476</t>
  </si>
  <si>
    <t>Ishpal Singh Singh</t>
  </si>
  <si>
    <t>386389700008480</t>
  </si>
  <si>
    <t>Raju Lohar</t>
  </si>
  <si>
    <t>386389700008491</t>
  </si>
  <si>
    <t>386389700008734</t>
  </si>
  <si>
    <t>Mehrun Nisha</t>
  </si>
  <si>
    <t>386389700008454</t>
  </si>
  <si>
    <t>Poonam Devi</t>
  </si>
  <si>
    <t>386389700008804</t>
  </si>
  <si>
    <t>Madan Pal</t>
  </si>
  <si>
    <t>386389700009821</t>
  </si>
  <si>
    <t>Manorma Devi</t>
  </si>
  <si>
    <t>386389700009843</t>
  </si>
  <si>
    <t>Ranjit Kumar</t>
  </si>
  <si>
    <t>386389700009832</t>
  </si>
  <si>
    <t>Mehul Srivastava</t>
  </si>
  <si>
    <t>386389700010101</t>
  </si>
  <si>
    <t>Priyanka Kumari</t>
  </si>
  <si>
    <t xml:space="preserve">386389700010694 </t>
  </si>
  <si>
    <t>Dumaki Mahali</t>
  </si>
  <si>
    <t>386389700010112</t>
  </si>
  <si>
    <t>Sangeeta Singh</t>
  </si>
  <si>
    <t>386389700010134</t>
  </si>
  <si>
    <t>Babu Mukherjee</t>
  </si>
  <si>
    <t>386389700010123</t>
  </si>
  <si>
    <t>Tabassum Parveen</t>
  </si>
  <si>
    <t>386389700011604</t>
  </si>
  <si>
    <t>chandu Kui</t>
  </si>
  <si>
    <t>A015236484</t>
  </si>
  <si>
    <t>Mangari</t>
  </si>
  <si>
    <t>A014833117</t>
  </si>
  <si>
    <t>Riya Verma</t>
  </si>
  <si>
    <t>A015270944</t>
  </si>
  <si>
    <t>Dharmendra Saw</t>
  </si>
  <si>
    <t>A015270913</t>
  </si>
  <si>
    <t>Asha Devi</t>
  </si>
  <si>
    <t>A015271010</t>
  </si>
  <si>
    <t>Kanchan Devi</t>
  </si>
  <si>
    <t>A015270974</t>
  </si>
  <si>
    <t>Vinita Kumari</t>
  </si>
  <si>
    <t>A015252450</t>
  </si>
  <si>
    <t>Nikita Narayan</t>
  </si>
  <si>
    <t>Q001059740</t>
  </si>
  <si>
    <t>Susen Lohara</t>
  </si>
  <si>
    <t>A015338818</t>
  </si>
  <si>
    <t>Goutam Chandra</t>
  </si>
  <si>
    <t>A015312974</t>
  </si>
  <si>
    <t>Monika Purty</t>
  </si>
  <si>
    <t>A015346845</t>
  </si>
  <si>
    <t>Smita Dey</t>
  </si>
  <si>
    <t>A015316312</t>
  </si>
  <si>
    <t>Rupa Chakraborty</t>
  </si>
  <si>
    <t>A015325258</t>
  </si>
  <si>
    <t>Amresh Kumar Singh</t>
  </si>
  <si>
    <t>Q001064777</t>
  </si>
  <si>
    <t>Gourang Dey</t>
  </si>
  <si>
    <t>Q001065351</t>
  </si>
  <si>
    <t>Dhananjay Gorai</t>
  </si>
  <si>
    <t>Q001065302</t>
  </si>
  <si>
    <t>Binod Giri</t>
  </si>
  <si>
    <t>A015368358</t>
  </si>
  <si>
    <t>Mohammad Israrul Haque</t>
  </si>
  <si>
    <t>Q001068740</t>
  </si>
  <si>
    <t>Ambuj Gorain</t>
  </si>
  <si>
    <t>386389700012492</t>
  </si>
  <si>
    <t>Chanchala Devi</t>
  </si>
  <si>
    <t> Q001070616 </t>
  </si>
  <si>
    <t>Brijit John Kalapura</t>
  </si>
  <si>
    <t>Q001070585</t>
  </si>
  <si>
    <t>Satyajit Mukherjee</t>
  </si>
  <si>
    <t>A015559278</t>
  </si>
  <si>
    <t>Vaishvi Krishnan</t>
  </si>
  <si>
    <t>Q001072174</t>
  </si>
  <si>
    <t>A015479068</t>
  </si>
  <si>
    <t>Shubha</t>
  </si>
  <si>
    <t>A015496090</t>
  </si>
  <si>
    <t>Rani Kumari</t>
  </si>
  <si>
    <t>Q001080034</t>
  </si>
  <si>
    <t>Q001080043</t>
  </si>
  <si>
    <t>Amita Singh</t>
  </si>
  <si>
    <t>Q001080648</t>
  </si>
  <si>
    <t>A015628308</t>
  </si>
  <si>
    <t>Soni Singh</t>
  </si>
  <si>
    <t>A015621891</t>
  </si>
  <si>
    <t>Archana Sanyal</t>
  </si>
  <si>
    <t>A015621974</t>
  </si>
  <si>
    <t>Rahul Gorai</t>
  </si>
  <si>
    <t>Q001085615</t>
  </si>
  <si>
    <t>Bikash Kumar</t>
  </si>
  <si>
    <t>A015628324</t>
  </si>
  <si>
    <t>Karmu Gorai</t>
  </si>
  <si>
    <t>Q001080628</t>
  </si>
  <si>
    <t>Birendra Kumar Singh</t>
  </si>
  <si>
    <t>Q001087456</t>
  </si>
  <si>
    <t>Harcharan Singh</t>
  </si>
  <si>
    <t>A015645995</t>
  </si>
  <si>
    <t>Kalwant Kaur</t>
  </si>
  <si>
    <t>A015644272</t>
  </si>
  <si>
    <t>Kumar Shivam</t>
  </si>
  <si>
    <t>A015643955</t>
  </si>
  <si>
    <t>Priti Kumari</t>
  </si>
  <si>
    <t>Q001090602</t>
  </si>
  <si>
    <t>Hema Devi</t>
  </si>
  <si>
    <t>A015726940</t>
  </si>
  <si>
    <t>Aman Kumar Singh</t>
  </si>
  <si>
    <t>A015687598</t>
  </si>
  <si>
    <t>Archana Dixit</t>
  </si>
  <si>
    <t>Shankar Prasad</t>
  </si>
  <si>
    <t>A015740131</t>
  </si>
  <si>
    <t>Iftekharul Hasan</t>
  </si>
  <si>
    <t>A015712193</t>
  </si>
  <si>
    <t>Sangeeta Devi</t>
  </si>
  <si>
    <t>A015762307</t>
  </si>
  <si>
    <t>Kausar Fatima</t>
  </si>
  <si>
    <t>A015765965</t>
  </si>
  <si>
    <t>Laxmi Hansda</t>
  </si>
  <si>
    <t>A015766457</t>
  </si>
  <si>
    <t>Ashok Kumar Upadhyay</t>
  </si>
  <si>
    <t>Q001097671</t>
  </si>
  <si>
    <t>Laxmi Devi</t>
  </si>
  <si>
    <t>A015774359</t>
  </si>
  <si>
    <t>Beas Nandi</t>
  </si>
  <si>
    <t>A015792275</t>
  </si>
  <si>
    <t>Jhuni Kumari</t>
  </si>
  <si>
    <t>A015839601</t>
  </si>
  <si>
    <t>Aditya Kumar</t>
  </si>
  <si>
    <t>A015839219</t>
  </si>
  <si>
    <t>Pratyush Priye</t>
  </si>
  <si>
    <t>A015839339</t>
  </si>
  <si>
    <t>A015839750</t>
  </si>
  <si>
    <t>Akshay Vohra</t>
  </si>
  <si>
    <t>A015878841</t>
  </si>
  <si>
    <t>Umesh Choudhary</t>
  </si>
  <si>
    <t>Q001106131</t>
  </si>
  <si>
    <t>Jogendra Ram Varma</t>
  </si>
  <si>
    <t>Q001105853</t>
  </si>
  <si>
    <t>Prabhat Kumar Srivastava</t>
  </si>
  <si>
    <t>A015925482</t>
  </si>
  <si>
    <t>Madhuri Kumari</t>
  </si>
  <si>
    <t>A015940519</t>
  </si>
  <si>
    <t>Akash Kumar Sah</t>
  </si>
  <si>
    <t>A015981410</t>
  </si>
  <si>
    <t>Prabjot Singh</t>
  </si>
  <si>
    <t>A015979469</t>
  </si>
  <si>
    <t>Khurshid Mansuree</t>
  </si>
  <si>
    <t>A016034236</t>
  </si>
  <si>
    <t>Alok Mahato</t>
  </si>
  <si>
    <t>A016034541</t>
  </si>
  <si>
    <t>Amla Hembram</t>
  </si>
  <si>
    <t>A016036727</t>
  </si>
  <si>
    <t>Sakuntala Gorai</t>
  </si>
  <si>
    <t>A016037037</t>
  </si>
  <si>
    <t>Tapashri Mahato</t>
  </si>
  <si>
    <t>Q001118513</t>
  </si>
  <si>
    <t>Reyaz Ahmad Siddique</t>
  </si>
  <si>
    <t>A016056769</t>
  </si>
  <si>
    <t>Umesh Kumar Singh</t>
  </si>
  <si>
    <t>Q001123011</t>
  </si>
  <si>
    <t>Kuldeep Pandey</t>
  </si>
  <si>
    <t>Q001120397</t>
  </si>
  <si>
    <t>A016123538</t>
  </si>
  <si>
    <t>Asha Gorai</t>
  </si>
  <si>
    <t>dispatched on 7-2</t>
  </si>
  <si>
    <t>A016107101</t>
  </si>
  <si>
    <t>A016123362</t>
  </si>
  <si>
    <t>Simanta Gorai</t>
  </si>
  <si>
    <t>A016108565</t>
  </si>
  <si>
    <t>Madhvi Kumaravel</t>
  </si>
  <si>
    <t>A016108046</t>
  </si>
  <si>
    <t>Mohit Mishra</t>
  </si>
  <si>
    <t>A016106812</t>
  </si>
  <si>
    <t>Mohammad Shafiullah</t>
  </si>
  <si>
    <t>A016107531</t>
  </si>
  <si>
    <t>Chutu Karmakar</t>
  </si>
  <si>
    <t>Q001122872</t>
  </si>
  <si>
    <t>Indrajit Singh</t>
  </si>
  <si>
    <t>21-01-1970</t>
  </si>
  <si>
    <t>A016207912</t>
  </si>
  <si>
    <t>Ratan Chandra Mahato</t>
  </si>
  <si>
    <t>A016166060</t>
  </si>
  <si>
    <t>Kabita Mukherjee</t>
  </si>
  <si>
    <t>A016206421</t>
  </si>
  <si>
    <t>Shiriti Kumari</t>
  </si>
  <si>
    <t>A016182536</t>
  </si>
  <si>
    <t>Guruwa Rohidas</t>
  </si>
  <si>
    <t>Q001131830</t>
  </si>
  <si>
    <t>Q001131854</t>
  </si>
  <si>
    <t>Q001142088</t>
  </si>
  <si>
    <t>Jaspal Singh</t>
  </si>
  <si>
    <t>A016445759</t>
  </si>
  <si>
    <t>Sanju Ho</t>
  </si>
  <si>
    <t>Q001145953</t>
  </si>
  <si>
    <t>Rabish Kumar</t>
  </si>
  <si>
    <t>A016263520</t>
  </si>
  <si>
    <t>Surbhi Suman</t>
  </si>
  <si>
    <t>A016442822</t>
  </si>
  <si>
    <t>Gulnaz Khatoon</t>
  </si>
  <si>
    <t>Q001150454</t>
  </si>
  <si>
    <t>Gayatri Tripathy</t>
  </si>
  <si>
    <t>A016445535</t>
  </si>
  <si>
    <t>Nilu Kaur</t>
  </si>
  <si>
    <t>Q001148662</t>
  </si>
  <si>
    <t>Shahina Perween</t>
  </si>
  <si>
    <t>29/06/2019</t>
  </si>
  <si>
    <t>A016443441</t>
  </si>
  <si>
    <t>Kamal Singh</t>
  </si>
  <si>
    <t>A016450707</t>
  </si>
  <si>
    <t>Arjun Mahali</t>
  </si>
  <si>
    <t>A016476264</t>
  </si>
  <si>
    <t>Pinky Rai</t>
  </si>
  <si>
    <t>A016474590</t>
  </si>
  <si>
    <t>Shaktipad Gorai</t>
  </si>
  <si>
    <t>A016475613</t>
  </si>
  <si>
    <t>Shaista Naaz</t>
  </si>
  <si>
    <t>A016328801</t>
  </si>
  <si>
    <t>Lakkhimani Biruli</t>
  </si>
  <si>
    <t>A016421484</t>
  </si>
  <si>
    <t>Najma Begum</t>
  </si>
  <si>
    <t>A016417024</t>
  </si>
  <si>
    <t>Rasida Khatoon</t>
  </si>
  <si>
    <t>A016476842</t>
  </si>
  <si>
    <t>Hassan Rizvi</t>
  </si>
  <si>
    <t>A016476918</t>
  </si>
  <si>
    <t>Shahrukh Akmal</t>
  </si>
  <si>
    <t>A016477056</t>
  </si>
  <si>
    <t>Tehrun Nisha</t>
  </si>
  <si>
    <t>A016486468</t>
  </si>
  <si>
    <t>Sila Sahu</t>
  </si>
  <si>
    <t>A016475924</t>
  </si>
  <si>
    <t>Sunita Prajapati</t>
  </si>
  <si>
    <t>A016474808</t>
  </si>
  <si>
    <t>Aloka Gorai</t>
  </si>
  <si>
    <t>A016485108</t>
  </si>
  <si>
    <t>Najbun Nisha</t>
  </si>
  <si>
    <t>Q001155015</t>
  </si>
  <si>
    <t>Mohammad Hamjala</t>
  </si>
  <si>
    <t>A01651118</t>
  </si>
  <si>
    <t>Ravi Kumar Prasad</t>
  </si>
  <si>
    <t>a016510581</t>
  </si>
  <si>
    <t>Jasbir Kaur Suri</t>
  </si>
  <si>
    <t>A016529149</t>
  </si>
  <si>
    <t>Aniket Panda</t>
  </si>
  <si>
    <t>A016541733</t>
  </si>
  <si>
    <t>Shubham Kumra</t>
  </si>
  <si>
    <t>A016416796</t>
  </si>
  <si>
    <t>Sanjay Prasd</t>
  </si>
  <si>
    <t>A016576874</t>
  </si>
  <si>
    <t>Guina Karmakar</t>
  </si>
  <si>
    <t>A016581996</t>
  </si>
  <si>
    <t>Singh</t>
  </si>
  <si>
    <t>A016581660</t>
  </si>
  <si>
    <t>Indrakshi Dey</t>
  </si>
  <si>
    <t>Q001159074</t>
  </si>
  <si>
    <t>The Harijan</t>
  </si>
  <si>
    <t>A016590355</t>
  </si>
  <si>
    <t>Ujjwal Sahu</t>
  </si>
  <si>
    <t>A016624507</t>
  </si>
  <si>
    <t>Samima Khatun</t>
  </si>
  <si>
    <t>A016637404</t>
  </si>
  <si>
    <t>Raju Mikhi</t>
  </si>
  <si>
    <t>A016637984</t>
  </si>
  <si>
    <t>Kalawati Singh</t>
  </si>
  <si>
    <t>A016655869</t>
  </si>
  <si>
    <t>Puja Karmakar</t>
  </si>
  <si>
    <t>A016656822</t>
  </si>
  <si>
    <t>Kanika Pal</t>
  </si>
  <si>
    <t>Q001166598</t>
  </si>
  <si>
    <t>Jalaluddin Ahmed</t>
  </si>
  <si>
    <t>A016704463</t>
  </si>
  <si>
    <t>Heena Singh</t>
  </si>
  <si>
    <t>A016712411</t>
  </si>
  <si>
    <t>Saiyad Sakib</t>
  </si>
  <si>
    <t>A016713288</t>
  </si>
  <si>
    <t>Ramesh Kumar</t>
  </si>
  <si>
    <t>A016717904</t>
  </si>
  <si>
    <t>Varadi Ravanamma</t>
  </si>
  <si>
    <t>A016809232</t>
  </si>
  <si>
    <t>Dilip Rai</t>
  </si>
  <si>
    <t>A016840167</t>
  </si>
  <si>
    <t>Sarfaraz Sabbir</t>
  </si>
  <si>
    <t>A016840836</t>
  </si>
  <si>
    <t>Ranjit Singh</t>
  </si>
  <si>
    <t>A016840634</t>
  </si>
  <si>
    <t>Pintu Dutta</t>
  </si>
  <si>
    <t>A016840456</t>
  </si>
  <si>
    <t>Krishna Karmakar</t>
  </si>
  <si>
    <t>Q001175181</t>
  </si>
  <si>
    <t>Jasbir Singh</t>
  </si>
  <si>
    <t>A016870395</t>
  </si>
  <si>
    <t>Shail Verma</t>
  </si>
  <si>
    <t>Q001176753</t>
  </si>
  <si>
    <t>Vijaya Laxmi</t>
  </si>
  <si>
    <t>A017034358</t>
  </si>
  <si>
    <t>Sarwari Bibi</t>
  </si>
  <si>
    <t>A017076382`</t>
  </si>
  <si>
    <t>Anamika Kumri</t>
  </si>
  <si>
    <t>A017076334</t>
  </si>
  <si>
    <t>Avinash Kumar</t>
  </si>
  <si>
    <t>Q001185290</t>
  </si>
  <si>
    <t>Ram Prasad Mahato</t>
  </si>
  <si>
    <t>A017097452</t>
  </si>
  <si>
    <t>Bimla Kaur</t>
  </si>
  <si>
    <t>A017076414</t>
  </si>
  <si>
    <t>Nirmal Kumar</t>
  </si>
  <si>
    <t>A017123682</t>
  </si>
  <si>
    <t>Karuna Kumar</t>
  </si>
  <si>
    <t>A016947365</t>
  </si>
  <si>
    <t>Arjun Mardi</t>
  </si>
  <si>
    <t>11-11-1988</t>
  </si>
  <si>
    <t>A017007927</t>
  </si>
  <si>
    <t>Manju Parida</t>
  </si>
  <si>
    <t>A017099730</t>
  </si>
  <si>
    <t>Manik Banerjee</t>
  </si>
  <si>
    <t>A017101973</t>
  </si>
  <si>
    <t>Gurucharan Sardar</t>
  </si>
  <si>
    <t>A017127133</t>
  </si>
  <si>
    <t>Rehana Begum</t>
  </si>
  <si>
    <t>07-09-1994</t>
  </si>
  <si>
    <t>A017137223</t>
  </si>
  <si>
    <t>Gourav Anand</t>
  </si>
  <si>
    <t>A017149708</t>
  </si>
  <si>
    <t>Mohammad Ali Sher</t>
  </si>
  <si>
    <t>Q001188733</t>
  </si>
  <si>
    <t>Raj Kumari</t>
  </si>
  <si>
    <t>A017195568</t>
  </si>
  <si>
    <t>Govind Swami</t>
  </si>
  <si>
    <t>A017273870</t>
  </si>
  <si>
    <t>Shashi Kumar</t>
  </si>
  <si>
    <t>A017301611</t>
  </si>
  <si>
    <t>Nikhat Perween</t>
  </si>
  <si>
    <t>A017297767</t>
  </si>
  <si>
    <t>Sweety Kumari</t>
  </si>
  <si>
    <t>A017297326</t>
  </si>
  <si>
    <t>Athar Khan</t>
  </si>
  <si>
    <t>A017296850</t>
  </si>
  <si>
    <t>Som Gorai</t>
  </si>
  <si>
    <t>A017383512</t>
  </si>
  <si>
    <t>Nimai Mahato</t>
  </si>
  <si>
    <t>A017430966</t>
  </si>
  <si>
    <t>Sajda Tabassum</t>
  </si>
  <si>
    <t>A017598870</t>
  </si>
  <si>
    <t>Jaychand Mahato</t>
  </si>
  <si>
    <t>A017545200</t>
  </si>
  <si>
    <t>RiZwana Khatoon</t>
  </si>
  <si>
    <t>A017686814</t>
  </si>
  <si>
    <t>Anil Kumar Parsad</t>
  </si>
  <si>
    <t>Sambhu Das</t>
  </si>
  <si>
    <t>sinha</t>
  </si>
  <si>
    <t>Q001214476</t>
  </si>
  <si>
    <t>Mohammad Nasimuddin</t>
  </si>
  <si>
    <t>A017931636</t>
  </si>
  <si>
    <t>Mohan Gorai</t>
  </si>
  <si>
    <t>24-05-1997</t>
  </si>
  <si>
    <t>A017931897</t>
  </si>
  <si>
    <t>Bablu Singh</t>
  </si>
  <si>
    <t>01-01-1986</t>
  </si>
  <si>
    <t>A017932063</t>
  </si>
  <si>
    <t>Raghunath Singh</t>
  </si>
  <si>
    <t>01-01-1970</t>
  </si>
  <si>
    <t>Shambhu Singh</t>
  </si>
  <si>
    <t>01-01-1987</t>
  </si>
  <si>
    <t>A017932416</t>
  </si>
  <si>
    <t>Pintu Singh</t>
  </si>
  <si>
    <t>01-01-1989</t>
  </si>
  <si>
    <t>A017932588</t>
  </si>
  <si>
    <t>Karan Singh</t>
  </si>
  <si>
    <t>Q001222564</t>
  </si>
  <si>
    <t>Domyanti Mukhi</t>
  </si>
  <si>
    <t>due-200</t>
  </si>
  <si>
    <t>A017979303</t>
  </si>
  <si>
    <t>Kshetramohan Mahato</t>
  </si>
  <si>
    <t>01-01-1953</t>
  </si>
  <si>
    <t>A017979523 </t>
  </si>
  <si>
    <t>Rabindra Sunani</t>
  </si>
  <si>
    <t>06-01-1974</t>
  </si>
  <si>
    <t>A017979685</t>
  </si>
  <si>
    <t>Seikh Imtiyaz Ali</t>
  </si>
  <si>
    <t>25-06-1999</t>
  </si>
  <si>
    <t>A018003397</t>
  </si>
  <si>
    <t>Rina Dutta</t>
  </si>
  <si>
    <t>12-12-1979</t>
  </si>
  <si>
    <t>Q001224049 </t>
  </si>
  <si>
    <t>Niranjan Kumar Srivastava</t>
  </si>
  <si>
    <t>A018019826</t>
  </si>
  <si>
    <t>Golak Dhibar</t>
  </si>
  <si>
    <t>01-01-1996</t>
  </si>
  <si>
    <t>A018078644</t>
  </si>
  <si>
    <t>Shubham Pathak</t>
  </si>
  <si>
    <t>31-12-2000</t>
  </si>
  <si>
    <t>Q001184390</t>
  </si>
  <si>
    <t>Kamal Narayan Singh</t>
  </si>
  <si>
    <t>20-04-1954</t>
  </si>
  <si>
    <t>due</t>
  </si>
  <si>
    <t>A018181466</t>
  </si>
  <si>
    <t>Tuli Singh</t>
  </si>
  <si>
    <t>01-01-1954</t>
  </si>
  <si>
    <t>15-03-2019</t>
  </si>
  <si>
    <t>A018181543</t>
  </si>
  <si>
    <t>Sarswati Sardar</t>
  </si>
  <si>
    <t>01-01-1960</t>
  </si>
  <si>
    <t>A018181587</t>
  </si>
  <si>
    <t>Soniya Prasad</t>
  </si>
  <si>
    <t>A018181622</t>
  </si>
  <si>
    <t>Dilip Sardar</t>
  </si>
  <si>
    <t>01-01-1983</t>
  </si>
  <si>
    <t>A018181650</t>
  </si>
  <si>
    <t>Aparti Sardar</t>
  </si>
  <si>
    <t>01-01-1980</t>
  </si>
  <si>
    <t>A018181685</t>
  </si>
  <si>
    <t>Anita Sardar</t>
  </si>
  <si>
    <t>A018227447</t>
  </si>
  <si>
    <t>Sirola Karmakar</t>
  </si>
  <si>
    <t>01-01-1965</t>
  </si>
  <si>
    <t>16-03-2019</t>
  </si>
  <si>
    <t>A018226948</t>
  </si>
  <si>
    <t>Ganesh Mahakur</t>
  </si>
  <si>
    <t>10-03-1997</t>
  </si>
  <si>
    <t>Q001235632</t>
  </si>
  <si>
    <t>Sumer Kumar Thakur</t>
  </si>
  <si>
    <t>03-03-1961</t>
  </si>
  <si>
    <t>Q001240270</t>
  </si>
  <si>
    <t>Vicki Singh</t>
  </si>
  <si>
    <t>10-02-1983</t>
  </si>
  <si>
    <t>Q001240523</t>
  </si>
  <si>
    <t>Ajit Kumar</t>
  </si>
  <si>
    <t>13-01-1993</t>
  </si>
  <si>
    <t>A018340140</t>
  </si>
  <si>
    <t>Ursulina Tudu</t>
  </si>
  <si>
    <t>08-02-1992</t>
  </si>
  <si>
    <t>19-03-2019</t>
  </si>
  <si>
    <t>A018363691</t>
  </si>
  <si>
    <t>Gurucharan singh</t>
  </si>
  <si>
    <t>01-01-1979</t>
  </si>
  <si>
    <t>A018363979</t>
  </si>
  <si>
    <t>Basumati Singh</t>
  </si>
  <si>
    <t>01-01-1985</t>
  </si>
  <si>
    <t>A018364325</t>
  </si>
  <si>
    <t>Atif Afsar Khan</t>
  </si>
  <si>
    <t>15-10-1999</t>
  </si>
  <si>
    <t>A018364627</t>
  </si>
  <si>
    <t>Asif Afsar Khan</t>
  </si>
  <si>
    <t>22-12-2000</t>
  </si>
  <si>
    <t>A018378722</t>
  </si>
  <si>
    <t>Neha KUmari</t>
  </si>
  <si>
    <t>29-10-2000</t>
  </si>
  <si>
    <t>A018381151</t>
  </si>
  <si>
    <t>Tarannum Nisha</t>
  </si>
  <si>
    <t>22-05-2000</t>
  </si>
  <si>
    <t>A018486317</t>
  </si>
  <si>
    <t>Md Faiyaz Khan</t>
  </si>
  <si>
    <t>01-01-1975</t>
  </si>
  <si>
    <t>23-03-2019</t>
  </si>
  <si>
    <t>A018484138</t>
  </si>
  <si>
    <t>Shubham Dev Nath</t>
  </si>
  <si>
    <t>23-04-2000</t>
  </si>
  <si>
    <t>A018485322</t>
  </si>
  <si>
    <t>Deepak Kumar Mahato</t>
  </si>
  <si>
    <t>05-021998</t>
  </si>
  <si>
    <t>A018536076</t>
  </si>
  <si>
    <t>Malti Soren</t>
  </si>
  <si>
    <t>01-01-1974</t>
  </si>
  <si>
    <t>Rahin Lohra</t>
  </si>
  <si>
    <t>Q001253466</t>
  </si>
  <si>
    <t>Trilok Singh</t>
  </si>
  <si>
    <t>08-07-1964</t>
  </si>
  <si>
    <t>Q001253407</t>
  </si>
  <si>
    <t>Rajinder Kaur</t>
  </si>
  <si>
    <t>12-09-1976</t>
  </si>
  <si>
    <t>Q001253762</t>
  </si>
  <si>
    <t>Syed Mahfoozur Rahman</t>
  </si>
  <si>
    <t>03-10-1948</t>
  </si>
  <si>
    <t>A018582265</t>
  </si>
  <si>
    <t>27-10-1980</t>
  </si>
  <si>
    <t>A018574496</t>
  </si>
  <si>
    <t>Prem Sagar</t>
  </si>
  <si>
    <t>07-08-1994</t>
  </si>
  <si>
    <t>Q001255862 </t>
  </si>
  <si>
    <t>Hardeep Singh</t>
  </si>
  <si>
    <t>16-06-1973</t>
  </si>
  <si>
    <t>A018652703</t>
  </si>
  <si>
    <t>Abhinav Mukherjee</t>
  </si>
  <si>
    <t>08-11-2000</t>
  </si>
  <si>
    <t>Q001256686 </t>
  </si>
  <si>
    <t>Krishna Nand Prasad Singh</t>
  </si>
  <si>
    <t>Q001258406</t>
  </si>
  <si>
    <t>Bijay Kumar Mishra</t>
  </si>
  <si>
    <t>04-07-1962</t>
  </si>
  <si>
    <t>A018699345</t>
  </si>
  <si>
    <t>Supriya Patra</t>
  </si>
  <si>
    <t>A018702941</t>
  </si>
  <si>
    <t>Ramjhari Devi</t>
  </si>
  <si>
    <t>A018703406</t>
  </si>
  <si>
    <t>Prabhat Ranjan Mahato</t>
  </si>
  <si>
    <t>A018704610</t>
  </si>
  <si>
    <t>Gobinda Das</t>
  </si>
  <si>
    <t>21-04-1993</t>
  </si>
  <si>
    <t>A018719456</t>
  </si>
  <si>
    <t>Mayank Kumar</t>
  </si>
  <si>
    <t>24/12/2000</t>
  </si>
  <si>
    <t>A018745790</t>
  </si>
  <si>
    <t>Priyanka Nandkuliyar</t>
  </si>
  <si>
    <t>Q001265218</t>
  </si>
  <si>
    <t>Bhawani Khan</t>
  </si>
  <si>
    <t>21-12-1951</t>
  </si>
  <si>
    <t>01-04-2019</t>
  </si>
  <si>
    <t>A018837075</t>
  </si>
  <si>
    <t>Vasmoni Sardar</t>
  </si>
  <si>
    <t>A018911211</t>
  </si>
  <si>
    <t>Sujaat Ali</t>
  </si>
  <si>
    <t>14-01-1983</t>
  </si>
  <si>
    <t>Q001269799</t>
  </si>
  <si>
    <t>Pradeep Yadav</t>
  </si>
  <si>
    <t>18-06-1988</t>
  </si>
  <si>
    <t>A018926928</t>
  </si>
  <si>
    <t>Priya Kumari</t>
  </si>
  <si>
    <t>18-10-1998</t>
  </si>
  <si>
    <t>A018903868</t>
  </si>
  <si>
    <t>Manju Kundu</t>
  </si>
  <si>
    <t>01-01-1964</t>
  </si>
  <si>
    <t>A018992702</t>
  </si>
  <si>
    <t>Avishake Chatterjee</t>
  </si>
  <si>
    <t>17-10-2000</t>
  </si>
  <si>
    <t>A019049644</t>
  </si>
  <si>
    <t>Soumya Verma</t>
  </si>
  <si>
    <t>05-03-1990</t>
  </si>
  <si>
    <t>A019056503</t>
  </si>
  <si>
    <t>Laxmi Sandil</t>
  </si>
  <si>
    <t>A019117955</t>
  </si>
  <si>
    <t>Sanju Mukhi</t>
  </si>
  <si>
    <t>A019112054</t>
  </si>
  <si>
    <t>Sibani Rani Jana</t>
  </si>
  <si>
    <t>31-12-1949</t>
  </si>
  <si>
    <t>A019119961</t>
  </si>
  <si>
    <t>Rasmita Jana</t>
  </si>
  <si>
    <t>08-06-1988</t>
  </si>
  <si>
    <t>A019171931 </t>
  </si>
  <si>
    <t>Mobassrin Khan</t>
  </si>
  <si>
    <t>26-01-2000</t>
  </si>
  <si>
    <t>A019190447 </t>
  </si>
  <si>
    <t>23-06-1968</t>
  </si>
  <si>
    <t>A019234647</t>
  </si>
  <si>
    <t>Tuklu Karmakar</t>
  </si>
  <si>
    <t>13-08-1998</t>
  </si>
  <si>
    <t>Q001288081</t>
  </si>
  <si>
    <t>Anupriya Agnihotry</t>
  </si>
  <si>
    <t>31-12-1990</t>
  </si>
  <si>
    <t>A019292198</t>
  </si>
  <si>
    <t>Sunita Kumari</t>
  </si>
  <si>
    <t>09-04-1992</t>
  </si>
  <si>
    <t>A019263047</t>
  </si>
  <si>
    <t>Beena Devi</t>
  </si>
  <si>
    <t>09-04-1989</t>
  </si>
  <si>
    <t>A019339243</t>
  </si>
  <si>
    <t>Dilkash Khan</t>
  </si>
  <si>
    <t>31-01-2001</t>
  </si>
  <si>
    <t>A019340217</t>
  </si>
  <si>
    <t>Akhatri Khatoon</t>
  </si>
  <si>
    <t>A019361665</t>
  </si>
  <si>
    <t>Singre bari</t>
  </si>
  <si>
    <t>01-01-1995</t>
  </si>
  <si>
    <t>A018424522</t>
  </si>
  <si>
    <t>Syed Osama Hussain</t>
  </si>
  <si>
    <t>21-06-1999</t>
  </si>
  <si>
    <t>A019552230</t>
  </si>
  <si>
    <t>Shek Seraj</t>
  </si>
  <si>
    <t>28-06-1994</t>
  </si>
  <si>
    <t>No Response</t>
  </si>
  <si>
    <t>Q001306524</t>
  </si>
  <si>
    <t>Bharati Devi</t>
  </si>
  <si>
    <t>01-01-1971</t>
  </si>
  <si>
    <t>A019614599</t>
  </si>
  <si>
    <t>Mamta Devi</t>
  </si>
  <si>
    <t>04-12-1991</t>
  </si>
  <si>
    <t>Q001312189</t>
  </si>
  <si>
    <t>Ritu Kumari</t>
  </si>
  <si>
    <t>01-02-1983</t>
  </si>
  <si>
    <t>A019640732</t>
  </si>
  <si>
    <t>Sanjeet Gorai</t>
  </si>
  <si>
    <t>11-02-1998</t>
  </si>
  <si>
    <t>A019672763</t>
  </si>
  <si>
    <t>Usha Karmakar</t>
  </si>
  <si>
    <t>Q001325045</t>
  </si>
  <si>
    <t>Nandu Karwa</t>
  </si>
  <si>
    <t>02-08-1976</t>
  </si>
  <si>
    <t>Q001325233</t>
  </si>
  <si>
    <t>11-05-1969</t>
  </si>
  <si>
    <t>Q001326034</t>
  </si>
  <si>
    <t>Gouri Kumari</t>
  </si>
  <si>
    <t>Q001329859</t>
  </si>
  <si>
    <t>Ajay Kumar Yadav</t>
  </si>
  <si>
    <t>06-05-2015</t>
  </si>
  <si>
    <t>Q001331740</t>
  </si>
  <si>
    <t>Dinesh Kumar pandey</t>
  </si>
  <si>
    <t>31/01/1972</t>
  </si>
  <si>
    <t>08/05/2019</t>
  </si>
  <si>
    <t>Q001335452</t>
  </si>
  <si>
    <t>10-05-2019</t>
  </si>
  <si>
    <t>Q001337665 </t>
  </si>
  <si>
    <t>Nuzha Maaz</t>
  </si>
  <si>
    <t>10-07-1988</t>
  </si>
  <si>
    <t>A0199843174</t>
  </si>
  <si>
    <t>ppppppp</t>
  </si>
  <si>
    <t>02-02-1995</t>
  </si>
  <si>
    <t>A020009919</t>
  </si>
  <si>
    <t>25-01-1987</t>
  </si>
  <si>
    <t>A020071181</t>
  </si>
  <si>
    <t>Pinky Verma</t>
  </si>
  <si>
    <t>24-03-1988</t>
  </si>
  <si>
    <t>Q001345122</t>
  </si>
  <si>
    <t>Malkit Singh Suri</t>
  </si>
  <si>
    <t>26-08-1959</t>
  </si>
  <si>
    <t>15-05-2019</t>
  </si>
  <si>
    <t>Q001350318</t>
  </si>
  <si>
    <t>Neelam Singh</t>
  </si>
  <si>
    <t>23-02-1997</t>
  </si>
  <si>
    <t>A020169264</t>
  </si>
  <si>
    <t>Dolly Gorai</t>
  </si>
  <si>
    <t>05-03-1987</t>
  </si>
  <si>
    <t xml:space="preserve">Q001351783 </t>
  </si>
  <si>
    <t>Shruti</t>
  </si>
  <si>
    <t>20-02-2019</t>
  </si>
  <si>
    <t>A020218119</t>
  </si>
  <si>
    <t>Shalu Singh</t>
  </si>
  <si>
    <t>01-01-1997</t>
  </si>
  <si>
    <t>Q001360761</t>
  </si>
  <si>
    <t>Reyaz Ahmad Khan</t>
  </si>
  <si>
    <t>05-07-1957</t>
  </si>
  <si>
    <t xml:space="preserve"> </t>
  </si>
  <si>
    <t>A020380189</t>
  </si>
  <si>
    <t>Nilmani Besra</t>
  </si>
  <si>
    <t>01-01-1984</t>
  </si>
  <si>
    <t>A020409035</t>
  </si>
  <si>
    <t>Mala Devi</t>
  </si>
  <si>
    <t>10-12-1987</t>
  </si>
  <si>
    <t>A020405697</t>
  </si>
  <si>
    <t>Paramjeet Kour</t>
  </si>
  <si>
    <t>03-09-1994</t>
  </si>
  <si>
    <t>Q001369561</t>
  </si>
  <si>
    <t>Lipika Gorai</t>
  </si>
  <si>
    <t>13-08-1955</t>
  </si>
  <si>
    <t>A020436715</t>
  </si>
  <si>
    <t>Jagannath Gorai</t>
  </si>
  <si>
    <t>07-04-1991</t>
  </si>
  <si>
    <t>Q001385632</t>
  </si>
  <si>
    <t>Anup Kumar Agarwal</t>
  </si>
  <si>
    <t>21-12-1980</t>
  </si>
  <si>
    <t>08-06-2019</t>
  </si>
  <si>
    <t>A020652775</t>
  </si>
  <si>
    <t>Rajo bala Gorai</t>
  </si>
  <si>
    <t>01-05-1978</t>
  </si>
  <si>
    <t>A020652553</t>
  </si>
  <si>
    <t>Deepika Gorai</t>
  </si>
  <si>
    <t>11-11-1990</t>
  </si>
  <si>
    <t>A020693009</t>
  </si>
  <si>
    <t>Razia Begam</t>
  </si>
  <si>
    <t>07-05-1956</t>
  </si>
  <si>
    <t>09-06-2019</t>
  </si>
  <si>
    <t>A020693711 </t>
  </si>
  <si>
    <t>Shiksha Shivangi</t>
  </si>
  <si>
    <t>01-01-2000</t>
  </si>
  <si>
    <t>10-06-2019</t>
  </si>
  <si>
    <t>A020739451</t>
  </si>
  <si>
    <t>Anurag Kumar Pandey</t>
  </si>
  <si>
    <t>11-06-2019</t>
  </si>
  <si>
    <t>A020743432</t>
  </si>
  <si>
    <t>Subal Gorai</t>
  </si>
  <si>
    <t>01-01-1957</t>
  </si>
  <si>
    <t>12-06-2019</t>
  </si>
  <si>
    <t>A020773301</t>
  </si>
  <si>
    <t>Sahnaz Perween</t>
  </si>
  <si>
    <t>01-01-1992</t>
  </si>
  <si>
    <t>13-06-2019</t>
  </si>
  <si>
    <t>A020773942 </t>
  </si>
  <si>
    <t>Mohammad Miraj</t>
  </si>
  <si>
    <t>18-05-1979</t>
  </si>
  <si>
    <t>A020833146</t>
  </si>
  <si>
    <t>Nandu Saw</t>
  </si>
  <si>
    <t>03-02-1970</t>
  </si>
  <si>
    <t>15-06-2019</t>
  </si>
  <si>
    <t>Q001398559</t>
  </si>
  <si>
    <t>Manju Devi</t>
  </si>
  <si>
    <t>01-01-1981</t>
  </si>
  <si>
    <t>Q001400077</t>
  </si>
  <si>
    <t>Dhnanjay Kumar</t>
  </si>
  <si>
    <t>21-01-1984</t>
  </si>
  <si>
    <t>Q001403762</t>
  </si>
  <si>
    <t>Premshila Devi</t>
  </si>
  <si>
    <t>20-09-1957</t>
  </si>
  <si>
    <t>18-06-2019</t>
  </si>
  <si>
    <t>Q001403962</t>
  </si>
  <si>
    <t>Ram Bilash Singh</t>
  </si>
  <si>
    <t>03-02-1957</t>
  </si>
  <si>
    <t>A020969202</t>
  </si>
  <si>
    <t>Nalini Sinha</t>
  </si>
  <si>
    <t>22-07-1993</t>
  </si>
  <si>
    <t>19-06-2019</t>
  </si>
  <si>
    <t>A020982327</t>
  </si>
  <si>
    <t>Kamal Kumar Singh</t>
  </si>
  <si>
    <t>02-10-1979</t>
  </si>
  <si>
    <t>20-06-2019</t>
  </si>
  <si>
    <t>A021141964</t>
  </si>
  <si>
    <t>Dimpal Kumari</t>
  </si>
  <si>
    <t>05-06-1995</t>
  </si>
  <si>
    <t>25-06-2019</t>
  </si>
  <si>
    <t>A021141291</t>
  </si>
  <si>
    <t>Usha Vishwakarma</t>
  </si>
  <si>
    <t>07-09-1969</t>
  </si>
  <si>
    <t>Q001423233</t>
  </si>
  <si>
    <t>Sanju Yadav</t>
  </si>
  <si>
    <t>02-01-1985</t>
  </si>
  <si>
    <t>26-06-2019</t>
  </si>
  <si>
    <t>a021182811</t>
  </si>
  <si>
    <t>Hirawati Pandey</t>
  </si>
  <si>
    <t>01-01-1969</t>
  </si>
  <si>
    <t>A021190382</t>
  </si>
  <si>
    <t>Alomati Mahato</t>
  </si>
  <si>
    <t>02-06-1999</t>
  </si>
  <si>
    <t>A021192900</t>
  </si>
  <si>
    <t>Jay Prakash Gupta</t>
  </si>
  <si>
    <t>A021264943</t>
  </si>
  <si>
    <t>Anam Khurshid</t>
  </si>
  <si>
    <t>12-11-1997</t>
  </si>
  <si>
    <t>29-06-2019</t>
  </si>
  <si>
    <t>A021312367</t>
  </si>
  <si>
    <t>Kumkum Devi</t>
  </si>
  <si>
    <t>15-02-1989</t>
  </si>
  <si>
    <t>01-07-2019</t>
  </si>
  <si>
    <t>Q001433511</t>
  </si>
  <si>
    <t>A021394559</t>
  </si>
  <si>
    <t>Shabina Perveen</t>
  </si>
  <si>
    <t>21-01-1995</t>
  </si>
  <si>
    <t>04-17-2019</t>
  </si>
  <si>
    <t>Q001439235</t>
  </si>
  <si>
    <t>Mohammad Ekhlak</t>
  </si>
  <si>
    <t>09-12-1976</t>
  </si>
  <si>
    <t>A021452150</t>
  </si>
  <si>
    <t>Rizwana Perween</t>
  </si>
  <si>
    <t>12-01-1988</t>
  </si>
  <si>
    <t>A021492257</t>
  </si>
  <si>
    <t>Nishi Kumari Soni</t>
  </si>
  <si>
    <t>04-05-2001</t>
  </si>
  <si>
    <t>07-07-2019</t>
  </si>
  <si>
    <t>A021492114</t>
  </si>
  <si>
    <t>Neha Kumari Soni</t>
  </si>
  <si>
    <t>12-02-1998</t>
  </si>
  <si>
    <t>A021500467</t>
  </si>
  <si>
    <t>Maya Devi Pandey</t>
  </si>
  <si>
    <t>11-12-1981</t>
  </si>
  <si>
    <t>Returned</t>
  </si>
  <si>
    <t>Q001447883</t>
  </si>
  <si>
    <t>Sandip Das</t>
  </si>
  <si>
    <t>02-06-1976</t>
  </si>
  <si>
    <t>Objection Address</t>
  </si>
  <si>
    <t>Re-uploaded</t>
  </si>
  <si>
    <t>A021513271</t>
  </si>
  <si>
    <t>Rounak Chakraborty</t>
  </si>
  <si>
    <t>28-01-2001</t>
  </si>
  <si>
    <t>Q001449414 </t>
  </si>
  <si>
    <t>Dadi Vara Noka Lakshmi</t>
  </si>
  <si>
    <t>21-03-1963</t>
  </si>
  <si>
    <t>08-07-2019</t>
  </si>
  <si>
    <t>A021596930</t>
  </si>
  <si>
    <t>Reena Karmakar</t>
  </si>
  <si>
    <t>07-11-2000</t>
  </si>
  <si>
    <t>11-07-2019</t>
  </si>
  <si>
    <t>A021588233</t>
  </si>
  <si>
    <t>Rajvansh Sah</t>
  </si>
  <si>
    <t>13-11-2000</t>
  </si>
  <si>
    <t>Q001455713</t>
  </si>
  <si>
    <t>Raghunath Prasad Kuri</t>
  </si>
  <si>
    <t>01-01-1978</t>
  </si>
  <si>
    <t>Q001457289</t>
  </si>
  <si>
    <t>Haider Ali</t>
  </si>
  <si>
    <t>31-03-1998</t>
  </si>
  <si>
    <t>Q001457326</t>
  </si>
  <si>
    <t>A021634675</t>
  </si>
  <si>
    <t>Asha Bhuiya</t>
  </si>
  <si>
    <t>12-09-1997</t>
  </si>
  <si>
    <t>Q001458590</t>
  </si>
  <si>
    <t>Neha Tiwari</t>
  </si>
  <si>
    <t>26-08-1993</t>
  </si>
  <si>
    <t>Q001462906</t>
  </si>
  <si>
    <t>Sunil Kumar Sha</t>
  </si>
  <si>
    <t>12-06-1972</t>
  </si>
  <si>
    <t>14-07-19</t>
  </si>
  <si>
    <t>A021705114</t>
  </si>
  <si>
    <t>Faizyab Hussain</t>
  </si>
  <si>
    <t>08-02-2000</t>
  </si>
  <si>
    <t>Q001473628</t>
  </si>
  <si>
    <t>Dukhan Prasad</t>
  </si>
  <si>
    <t>16-06-1968</t>
  </si>
  <si>
    <t>Q001473425</t>
  </si>
  <si>
    <t>Putul Devi</t>
  </si>
  <si>
    <t>Q001479359</t>
  </si>
  <si>
    <t>Shiv Shankar Pradhan</t>
  </si>
  <si>
    <t>08-05-2000</t>
  </si>
  <si>
    <t>A021896268</t>
  </si>
  <si>
    <t>Santosh Kumar Verma</t>
  </si>
  <si>
    <t>A021898665</t>
  </si>
  <si>
    <t>Saima Shaheen</t>
  </si>
  <si>
    <t>03-12-1993</t>
  </si>
  <si>
    <t>A022019511 </t>
  </si>
  <si>
    <t>Nishu Upadhyay</t>
  </si>
  <si>
    <t>11-12-2000</t>
  </si>
  <si>
    <t>A022019676</t>
  </si>
  <si>
    <t>Halima Begum</t>
  </si>
  <si>
    <t>A022023483</t>
  </si>
  <si>
    <t>Yash Baanwal</t>
  </si>
  <si>
    <t>11-01-2001</t>
  </si>
  <si>
    <t>A021596781</t>
  </si>
  <si>
    <t>Gurupodo Gorai</t>
  </si>
  <si>
    <t>A022068982</t>
  </si>
  <si>
    <t>Damini Devi</t>
  </si>
  <si>
    <t>24-12-1991</t>
  </si>
  <si>
    <t>A022075626</t>
  </si>
  <si>
    <t>01-03-1977</t>
  </si>
  <si>
    <t>A022127030</t>
  </si>
  <si>
    <t>Parmeshwar Sharma</t>
  </si>
  <si>
    <t>18-05-1977</t>
  </si>
  <si>
    <t>Q001501754</t>
  </si>
  <si>
    <t>11-01-1960</t>
  </si>
  <si>
    <t>A022098415</t>
  </si>
  <si>
    <t>Rajni Sharma</t>
  </si>
  <si>
    <t>27-04-1984</t>
  </si>
  <si>
    <t>A022273424</t>
  </si>
  <si>
    <t>Shivani</t>
  </si>
  <si>
    <t>27/12/1997</t>
  </si>
  <si>
    <t>Q001509301</t>
  </si>
  <si>
    <t>15/01/1964</t>
  </si>
  <si>
    <t>A022274750</t>
  </si>
  <si>
    <t>Khushnuma Bano</t>
  </si>
  <si>
    <t>15-03-1998</t>
  </si>
  <si>
    <t>Q001508550</t>
  </si>
  <si>
    <t>Anand Kumar</t>
  </si>
  <si>
    <t>14-08-1981</t>
  </si>
  <si>
    <t>A022311393</t>
  </si>
  <si>
    <t>Harsh Kumar Mishra</t>
  </si>
  <si>
    <t>10-03-2001</t>
  </si>
  <si>
    <t>A022322458</t>
  </si>
  <si>
    <t>Sujata devi</t>
  </si>
  <si>
    <t>Q001536594</t>
  </si>
  <si>
    <t>Jhadaija Khatoon</t>
  </si>
  <si>
    <t>07-04-1965</t>
  </si>
  <si>
    <t>Q001531676</t>
  </si>
  <si>
    <t>Birender Gorai</t>
  </si>
  <si>
    <t>09-09-1974</t>
  </si>
  <si>
    <t>09-08-2019</t>
  </si>
  <si>
    <t>Rec Delivered</t>
  </si>
  <si>
    <t>A022521780</t>
  </si>
  <si>
    <t>Sudha Dwivedy</t>
  </si>
  <si>
    <t>09-10-1979</t>
  </si>
  <si>
    <t>Q001533492</t>
  </si>
  <si>
    <t>Hari Prasad</t>
  </si>
  <si>
    <t>02-05-1977</t>
  </si>
  <si>
    <t>A022565833 </t>
  </si>
  <si>
    <t>Suman Kumari</t>
  </si>
  <si>
    <t>20-06-1999</t>
  </si>
  <si>
    <t>A022550879</t>
  </si>
  <si>
    <t>Rashmi Dubey</t>
  </si>
  <si>
    <t>22-10-1999</t>
  </si>
  <si>
    <t>Khodaija Khatoon</t>
  </si>
  <si>
    <t>A022567551</t>
  </si>
  <si>
    <t>Rajiv Pradhan</t>
  </si>
  <si>
    <t>01/07/2000</t>
  </si>
  <si>
    <t>A022568385</t>
  </si>
  <si>
    <t>Ajay Das</t>
  </si>
  <si>
    <t>A022593335</t>
  </si>
  <si>
    <t>Shyam Kumar</t>
  </si>
  <si>
    <t>25/02/2002</t>
  </si>
  <si>
    <t>Aahar Mismatch</t>
  </si>
  <si>
    <t>A022619797</t>
  </si>
  <si>
    <t>Aitoon Khatoon</t>
  </si>
  <si>
    <t>A022656714</t>
  </si>
  <si>
    <t>Lakshmi Devi</t>
  </si>
  <si>
    <t>Q001549884</t>
  </si>
  <si>
    <t>Badal Chandra Paine</t>
  </si>
  <si>
    <t>31-12-1981</t>
  </si>
  <si>
    <t>Q001551206</t>
  </si>
  <si>
    <t>Pinki Jaiswal</t>
  </si>
  <si>
    <t>31/07/1986</t>
  </si>
  <si>
    <t>A022712524</t>
  </si>
  <si>
    <t>Seema Kumari</t>
  </si>
  <si>
    <t>11/10/1983</t>
  </si>
  <si>
    <t>19-08-2019</t>
  </si>
  <si>
    <t>Rec Printed</t>
  </si>
  <si>
    <t>A022711264</t>
  </si>
  <si>
    <t>Tuna Pandey</t>
  </si>
  <si>
    <t>14/04/1992</t>
  </si>
  <si>
    <t>Q001554232</t>
  </si>
  <si>
    <t>Kavita Singh</t>
  </si>
  <si>
    <t>12/11/1980</t>
  </si>
  <si>
    <t>A022717978</t>
  </si>
  <si>
    <t>Navneet Kaur</t>
  </si>
  <si>
    <t>15/06/1974</t>
  </si>
  <si>
    <t>Q001556962</t>
  </si>
  <si>
    <t>Triloki Nath Singh</t>
  </si>
  <si>
    <t>01/01/1980</t>
  </si>
  <si>
    <t>20-08-2019</t>
  </si>
  <si>
    <t>A022748936</t>
  </si>
  <si>
    <t>Gauav Pandey</t>
  </si>
  <si>
    <t>16/08/2001</t>
  </si>
  <si>
    <t>A022904500</t>
  </si>
  <si>
    <t>Tinku Kumar Singh</t>
  </si>
  <si>
    <t>21/08/1991</t>
  </si>
  <si>
    <t>25-08-2019</t>
  </si>
  <si>
    <t>A022911340</t>
  </si>
  <si>
    <t>Tripti Kumari</t>
  </si>
  <si>
    <t>10-10-1998</t>
  </si>
  <si>
    <t>darbhanga</t>
  </si>
  <si>
    <t>A022955229 </t>
  </si>
  <si>
    <t>PANKAJ MAHATO</t>
  </si>
  <si>
    <t>24/03/1997</t>
  </si>
  <si>
    <t>27/08/2019</t>
  </si>
  <si>
    <t>A022998554</t>
  </si>
  <si>
    <t>Prabin Bano</t>
  </si>
  <si>
    <t>11/05/1994</t>
  </si>
  <si>
    <t>28-08-2019</t>
  </si>
  <si>
    <t>A022994966</t>
  </si>
  <si>
    <t>Kaushar Perween</t>
  </si>
  <si>
    <t>15/09/1984</t>
  </si>
  <si>
    <t>A022995264</t>
  </si>
  <si>
    <t>Antu Kumar</t>
  </si>
  <si>
    <t>07/08/2001</t>
  </si>
  <si>
    <t>Q001581142 </t>
  </si>
  <si>
    <t>Suman Kumari Verma</t>
  </si>
  <si>
    <t>10/01/1967</t>
  </si>
  <si>
    <t>Aadhar Mismatch</t>
  </si>
  <si>
    <t>A023052145</t>
  </si>
  <si>
    <t>Vikky Karmakar</t>
  </si>
  <si>
    <t>17-05-1998</t>
  </si>
  <si>
    <t>30-08-2019</t>
  </si>
  <si>
    <t>A023065032</t>
  </si>
  <si>
    <t>Anup Singh</t>
  </si>
  <si>
    <t>01/01/1984</t>
  </si>
  <si>
    <t>A023084890</t>
  </si>
  <si>
    <t>Megha Rajak</t>
  </si>
  <si>
    <t>12/02/1996</t>
  </si>
  <si>
    <t>Q001598838</t>
  </si>
  <si>
    <t>Jiban Kumar Giri</t>
  </si>
  <si>
    <t>19-08-1982</t>
  </si>
  <si>
    <t>04-09-2019</t>
  </si>
  <si>
    <t>Q001600714 </t>
  </si>
  <si>
    <t>Dinesh Prasad Singh</t>
  </si>
  <si>
    <t>09/10/1972</t>
  </si>
  <si>
    <t>04/09/2019</t>
  </si>
  <si>
    <t>A023206520</t>
  </si>
  <si>
    <t>Kanhaiya Ray</t>
  </si>
  <si>
    <t>09/01/1989</t>
  </si>
  <si>
    <t>Payment Pending</t>
  </si>
  <si>
    <t>Q0016002648</t>
  </si>
  <si>
    <t>SYED MOHAMMAD SHARIQUE ANWER</t>
  </si>
  <si>
    <t>06/05/1973</t>
  </si>
  <si>
    <t>05/09/2019</t>
  </si>
  <si>
    <t>140 Due</t>
  </si>
  <si>
    <t>A023337550</t>
  </si>
  <si>
    <t>Kiran Kumari Singh</t>
  </si>
  <si>
    <t>11/10/1984</t>
  </si>
  <si>
    <t>08/09/2019</t>
  </si>
  <si>
    <t>Q001613142</t>
  </si>
  <si>
    <t>Suman Kerketta</t>
  </si>
  <si>
    <t>21/10/1984</t>
  </si>
  <si>
    <t>09/09/2019</t>
  </si>
  <si>
    <t>Q001619335</t>
  </si>
  <si>
    <t>Mohamad Salim</t>
  </si>
  <si>
    <t>01/01/1966</t>
  </si>
  <si>
    <t>12/09/2019</t>
  </si>
  <si>
    <t>A023472497</t>
  </si>
  <si>
    <t>Puja Pal</t>
  </si>
  <si>
    <t>12/04/1993</t>
  </si>
  <si>
    <t>13/09/2019</t>
  </si>
  <si>
    <t>A023504855</t>
  </si>
  <si>
    <t>Urmila Rai</t>
  </si>
  <si>
    <t>01/01/1971</t>
  </si>
  <si>
    <t>A023536628</t>
  </si>
  <si>
    <t>Pinki Das</t>
  </si>
  <si>
    <t>01/01/1979</t>
  </si>
  <si>
    <t>190 Due</t>
  </si>
  <si>
    <t>A023541208</t>
  </si>
  <si>
    <t>Sharique Jamil</t>
  </si>
  <si>
    <t>02/01/1979</t>
  </si>
  <si>
    <t>15/09/2019</t>
  </si>
  <si>
    <t>A023547633</t>
  </si>
  <si>
    <t>Chandrakala Devi</t>
  </si>
  <si>
    <t>16-09-2019</t>
  </si>
  <si>
    <t>A023547937</t>
  </si>
  <si>
    <t>Kajatwa Rajwar</t>
  </si>
  <si>
    <t>01/01/1970</t>
  </si>
  <si>
    <t>A023562542</t>
  </si>
  <si>
    <t>Indu Jha</t>
  </si>
  <si>
    <t>01/01/1975</t>
  </si>
  <si>
    <t>A023563221</t>
  </si>
  <si>
    <t>Akash Jha</t>
  </si>
  <si>
    <t>10/07/2000</t>
  </si>
  <si>
    <t>Q001632187</t>
  </si>
  <si>
    <t>Debasish Mahato</t>
  </si>
  <si>
    <t>07/09/1975</t>
  </si>
  <si>
    <t>A023590483</t>
  </si>
  <si>
    <t>Akash Kumar Singh</t>
  </si>
  <si>
    <t>15/08/2003</t>
  </si>
  <si>
    <t>A023591100</t>
  </si>
  <si>
    <t>Neelam Sinha</t>
  </si>
  <si>
    <t>08/12/1968</t>
  </si>
  <si>
    <t>Q001636346</t>
  </si>
  <si>
    <t>Dhabal Kanti Sinha</t>
  </si>
  <si>
    <t>09/01/1937</t>
  </si>
  <si>
    <t>18-09-2019</t>
  </si>
  <si>
    <t>20-09-2019</t>
  </si>
  <si>
    <t>Q001640094</t>
  </si>
  <si>
    <t>Gajendra Kumar</t>
  </si>
  <si>
    <t>01/12/1981</t>
  </si>
  <si>
    <t>19-09-2019</t>
  </si>
  <si>
    <t>Q001642463</t>
  </si>
  <si>
    <t>Afroz Jahan</t>
  </si>
  <si>
    <t>01/01/1965</t>
  </si>
  <si>
    <t>A023711597</t>
  </si>
  <si>
    <t>Sourav Sau</t>
  </si>
  <si>
    <t>18/12/1998</t>
  </si>
  <si>
    <t>A023709484</t>
  </si>
  <si>
    <t>Rashmi Rekha Jena</t>
  </si>
  <si>
    <t>09/07/1982</t>
  </si>
  <si>
    <t>A023708078</t>
  </si>
  <si>
    <t>VIMLA LOHAR</t>
  </si>
  <si>
    <t>Q001646315</t>
  </si>
  <si>
    <t>Jainulah Ansari</t>
  </si>
  <si>
    <t>05/05/1984</t>
  </si>
  <si>
    <t>21-09-2019</t>
  </si>
  <si>
    <t>A023772034</t>
  </si>
  <si>
    <t>Rekha Tudu</t>
  </si>
  <si>
    <t>01/11/1987</t>
  </si>
  <si>
    <t>A023769211</t>
  </si>
  <si>
    <t>Dodhika Lohar</t>
  </si>
  <si>
    <t>07/01/1975</t>
  </si>
  <si>
    <t>A023769934</t>
  </si>
  <si>
    <t>Chura Mani Soren</t>
  </si>
  <si>
    <t>01/01/1985</t>
  </si>
  <si>
    <t>A023770312</t>
  </si>
  <si>
    <t>Rupa Kisku</t>
  </si>
  <si>
    <t>28/03/2001</t>
  </si>
  <si>
    <t>A023770175</t>
  </si>
  <si>
    <t>20/05/1979</t>
  </si>
  <si>
    <t>Q001649298</t>
  </si>
  <si>
    <t>Vijay Kumar Sahi</t>
  </si>
  <si>
    <t>21/04/1957</t>
  </si>
  <si>
    <t>Q001649792</t>
  </si>
  <si>
    <t>Sukhbinder Singh</t>
  </si>
  <si>
    <t>09/09/1988</t>
  </si>
  <si>
    <t>22-09-2019</t>
  </si>
  <si>
    <t>Q001659800</t>
  </si>
  <si>
    <t>Chandra Shekhar Singh</t>
  </si>
  <si>
    <t>22/10/1956</t>
  </si>
  <si>
    <t>25-09-19</t>
  </si>
  <si>
    <t>25-09-2019</t>
  </si>
  <si>
    <t>A023904801</t>
  </si>
  <si>
    <t>27/05/2002</t>
  </si>
  <si>
    <t>27-09-2019</t>
  </si>
  <si>
    <t>A023905823</t>
  </si>
  <si>
    <t>Harpal Singh Mathur</t>
  </si>
  <si>
    <t>06/07/2001</t>
  </si>
  <si>
    <t>A023845256</t>
  </si>
  <si>
    <t>Sabiha Parween</t>
  </si>
  <si>
    <t>04/12/1991</t>
  </si>
  <si>
    <t>Q001668976</t>
  </si>
  <si>
    <t>Niranjan Prajapati</t>
  </si>
  <si>
    <t>04/05/1997</t>
  </si>
  <si>
    <t>Q001669292</t>
  </si>
  <si>
    <t>Sarathi Munda</t>
  </si>
  <si>
    <t>01/01/1978</t>
  </si>
  <si>
    <t>A023980746</t>
  </si>
  <si>
    <t>Archana Kumari</t>
  </si>
  <si>
    <t>31/12/1996</t>
  </si>
  <si>
    <t>28-09-2019</t>
  </si>
  <si>
    <t>01-10-2019</t>
  </si>
  <si>
    <t>A023980254</t>
  </si>
  <si>
    <t>Tania Aram</t>
  </si>
  <si>
    <t>05/06/1995</t>
  </si>
  <si>
    <t>A023982727</t>
  </si>
  <si>
    <t>Roshan Jahan</t>
  </si>
  <si>
    <t>01/01/1981</t>
  </si>
  <si>
    <t>A023985285</t>
  </si>
  <si>
    <t>Sadhu Saran Yadav</t>
  </si>
  <si>
    <t>A023986120</t>
  </si>
  <si>
    <t>A024049209</t>
  </si>
  <si>
    <t>Deepak Das Tantubai</t>
  </si>
  <si>
    <t>12/09/1979</t>
  </si>
  <si>
    <t>Q001680410</t>
  </si>
  <si>
    <t>Maqsuda Begum</t>
  </si>
  <si>
    <t>14/09/1954</t>
  </si>
  <si>
    <t>Q001680009</t>
  </si>
  <si>
    <t>Rakesh Kumar-due 50</t>
  </si>
  <si>
    <t>25/12/1984</t>
  </si>
  <si>
    <t>A024078581</t>
  </si>
  <si>
    <t>Antora Chakraborty</t>
  </si>
  <si>
    <t>27/02/1998</t>
  </si>
  <si>
    <t>A024081011</t>
  </si>
  <si>
    <t>Munna Munda</t>
  </si>
  <si>
    <t>03/09/2001</t>
  </si>
  <si>
    <t>A024081071</t>
  </si>
  <si>
    <t>Anthony Munda</t>
  </si>
  <si>
    <t>05/03/2000</t>
  </si>
  <si>
    <t>A001684443</t>
  </si>
  <si>
    <t>Surendra Kumar Dwivedy</t>
  </si>
  <si>
    <t>08/06/1948</t>
  </si>
  <si>
    <t>02-10-2019</t>
  </si>
  <si>
    <t>ABEPD5476G</t>
  </si>
  <si>
    <t>Q001684495</t>
  </si>
  <si>
    <t>Bimla Dwivedy</t>
  </si>
  <si>
    <t>09/06/1953</t>
  </si>
  <si>
    <t>BOGPD5774M</t>
  </si>
  <si>
    <t>A024125423</t>
  </si>
  <si>
    <t>Sultana Parween</t>
  </si>
  <si>
    <t>26/12/1997</t>
  </si>
  <si>
    <t>03-10-2019</t>
  </si>
  <si>
    <t>Q001689241</t>
  </si>
  <si>
    <t>Bhriguram Mahato</t>
  </si>
  <si>
    <t>10/08/1973</t>
  </si>
  <si>
    <t>05-10-2019</t>
  </si>
  <si>
    <t>Q001694013</t>
  </si>
  <si>
    <t>Salya Khatoon</t>
  </si>
  <si>
    <t>17/05/1946</t>
  </si>
  <si>
    <t>BYYPK1070P</t>
  </si>
  <si>
    <t>A024168371</t>
  </si>
  <si>
    <t>Rina Das</t>
  </si>
  <si>
    <t>04/07/1985</t>
  </si>
  <si>
    <t>A024184659</t>
  </si>
  <si>
    <t>Saraswati Karmakar</t>
  </si>
  <si>
    <t>16/07/1985</t>
  </si>
  <si>
    <t>Q001694947</t>
  </si>
  <si>
    <t>Netrapal</t>
  </si>
  <si>
    <t>10/12/1994</t>
  </si>
  <si>
    <t>A024258525</t>
  </si>
  <si>
    <t>Khatiza Khatoon</t>
  </si>
  <si>
    <t>01/01/1960</t>
  </si>
  <si>
    <t>09-10-2019</t>
  </si>
  <si>
    <t>Q001705920</t>
  </si>
  <si>
    <t>Madhurima Saha</t>
  </si>
  <si>
    <t>29/09/1995</t>
  </si>
  <si>
    <t>A024288858</t>
  </si>
  <si>
    <t>Alka Devi</t>
  </si>
  <si>
    <t>02/01/1972</t>
  </si>
  <si>
    <t>10-10-2019</t>
  </si>
  <si>
    <t>A024293099</t>
  </si>
  <si>
    <t>Mahwish Anjum</t>
  </si>
  <si>
    <t>10/04/1999</t>
  </si>
  <si>
    <t>A024317398</t>
  </si>
  <si>
    <t>Aaliya Zainab</t>
  </si>
  <si>
    <t>26/10/1999</t>
  </si>
  <si>
    <t>A024345407</t>
  </si>
  <si>
    <t>Jitendra Mahato</t>
  </si>
  <si>
    <t>21/01/1996</t>
  </si>
  <si>
    <t>11-10-2019</t>
  </si>
  <si>
    <t>12-10-2019</t>
  </si>
  <si>
    <t>Q001714757</t>
  </si>
  <si>
    <t>Nazrin Khatoon</t>
  </si>
  <si>
    <t>01/01/1988</t>
  </si>
  <si>
    <t>Q001713218</t>
  </si>
  <si>
    <t>Kumar Shitanshu</t>
  </si>
  <si>
    <t>24/03/1991</t>
  </si>
  <si>
    <t>A024361822</t>
  </si>
  <si>
    <t>Dasrath Soren</t>
  </si>
  <si>
    <t>02/05/1986</t>
  </si>
  <si>
    <t>A024362057</t>
  </si>
  <si>
    <t>Neha Priyambada</t>
  </si>
  <si>
    <t>22/11/1987</t>
  </si>
  <si>
    <t>A024383976</t>
  </si>
  <si>
    <t>Nidhi Singh</t>
  </si>
  <si>
    <t>10/07/1999</t>
  </si>
  <si>
    <t>13-10-2019</t>
  </si>
  <si>
    <t>A024394689</t>
  </si>
  <si>
    <t>Naushina Anwar</t>
  </si>
  <si>
    <t>12/07/1977</t>
  </si>
  <si>
    <t>14-10-2019</t>
  </si>
  <si>
    <t>Q001721162</t>
  </si>
  <si>
    <t>Avijeet Ranjan</t>
  </si>
  <si>
    <t>04/10/1990</t>
  </si>
  <si>
    <t>A024401128</t>
  </si>
  <si>
    <t>Shahnawaz Haque</t>
  </si>
  <si>
    <t>30/11/1998</t>
  </si>
  <si>
    <t>Q001723192</t>
  </si>
  <si>
    <t>Bhoto Krishna Tudu</t>
  </si>
  <si>
    <t>15/12/1969</t>
  </si>
  <si>
    <t>A024430575</t>
  </si>
  <si>
    <t>Champawati Gorai</t>
  </si>
  <si>
    <t>01/01/1991</t>
  </si>
  <si>
    <t>A024427205</t>
  </si>
  <si>
    <t>Sandhya Dubey</t>
  </si>
  <si>
    <t>Q001650373</t>
  </si>
  <si>
    <t>Sudhir Kumar Sinha</t>
  </si>
  <si>
    <t>A024504808</t>
  </si>
  <si>
    <t>Minati Bhattacharjee</t>
  </si>
  <si>
    <t>23/10/1950</t>
  </si>
  <si>
    <t>17-10-2019</t>
  </si>
  <si>
    <t>Q00173624</t>
  </si>
  <si>
    <t>Shivani Singh</t>
  </si>
  <si>
    <t>19-10-2019</t>
  </si>
  <si>
    <t>Q001736272</t>
  </si>
  <si>
    <t>Samina Naznee</t>
  </si>
  <si>
    <t>23/03/1980</t>
  </si>
  <si>
    <t>A024540783</t>
  </si>
  <si>
    <t>Nidhi</t>
  </si>
  <si>
    <t>01/02/2000</t>
  </si>
  <si>
    <t>A024615297</t>
  </si>
  <si>
    <t>Satyendra Kumar Singh</t>
  </si>
  <si>
    <t>01/07/1972</t>
  </si>
  <si>
    <t>20-10-2019</t>
  </si>
  <si>
    <t>Q001744414</t>
  </si>
  <si>
    <t>Aashma Khatoon</t>
  </si>
  <si>
    <t>Q001745747</t>
  </si>
  <si>
    <t>Prafullo Mahato</t>
  </si>
  <si>
    <t>15/09/1968</t>
  </si>
  <si>
    <t>21-10-2019</t>
  </si>
  <si>
    <t>A024627253</t>
  </si>
  <si>
    <t>Laxmi Gon</t>
  </si>
  <si>
    <t>03/11/1967</t>
  </si>
  <si>
    <t>A024643971</t>
  </si>
  <si>
    <t>Jagat Mahato</t>
  </si>
  <si>
    <t>17/10/1989</t>
  </si>
  <si>
    <t>Q001749031</t>
  </si>
  <si>
    <t>Asrak Ahamd</t>
  </si>
  <si>
    <t>10/02/1992</t>
  </si>
  <si>
    <t>22-10-2019</t>
  </si>
  <si>
    <t>A024671432</t>
  </si>
  <si>
    <t>Sephali Nayak</t>
  </si>
  <si>
    <t>Q001751071</t>
  </si>
  <si>
    <t>05/06/1997</t>
  </si>
  <si>
    <t>A024710856</t>
  </si>
  <si>
    <t>Shaista Parween</t>
  </si>
  <si>
    <t>20/06/1988</t>
  </si>
  <si>
    <t>24-10-2019</t>
  </si>
  <si>
    <t>A024745592</t>
  </si>
  <si>
    <t>Manish Kumar Ray</t>
  </si>
  <si>
    <t>01/01/1995</t>
  </si>
  <si>
    <t>25-10-2019</t>
  </si>
  <si>
    <t>A024799768</t>
  </si>
  <si>
    <t>Zeeshan Ahmad</t>
  </si>
  <si>
    <t>14/11/2000</t>
  </si>
  <si>
    <t>29-10-2019</t>
  </si>
  <si>
    <t>A024824736</t>
  </si>
  <si>
    <t>Bijay Baskey</t>
  </si>
  <si>
    <t>30-10-2019</t>
  </si>
  <si>
    <t>Q001771648</t>
  </si>
  <si>
    <t>Prakash Mahato</t>
  </si>
  <si>
    <t>04/04/1981</t>
  </si>
  <si>
    <t>31-10-2019</t>
  </si>
  <si>
    <t>Q001774182</t>
  </si>
  <si>
    <t>25/12/1998</t>
  </si>
  <si>
    <t>Q001774861</t>
  </si>
  <si>
    <t>Mohammad Arshad Alam</t>
  </si>
  <si>
    <t>15/08/1992</t>
  </si>
  <si>
    <t>01-11-2019</t>
  </si>
  <si>
    <t>A024881286</t>
  </si>
  <si>
    <t>Zeenat Perween</t>
  </si>
  <si>
    <t>25/07/1998</t>
  </si>
  <si>
    <t>Q001783014</t>
  </si>
  <si>
    <t>Debasish Paul</t>
  </si>
  <si>
    <t>28/10/1961</t>
  </si>
  <si>
    <t>03-11-2019</t>
  </si>
  <si>
    <t>A024945100</t>
  </si>
  <si>
    <t>Mahboob Ahmad</t>
  </si>
  <si>
    <t>05-01-2000</t>
  </si>
  <si>
    <t>04-11-2019</t>
  </si>
  <si>
    <t>Q001860609</t>
  </si>
  <si>
    <t>Anamika Dwivedi</t>
  </si>
  <si>
    <t>14-01-1989</t>
  </si>
  <si>
    <t>A025001535</t>
  </si>
  <si>
    <t>Raju Sarkar</t>
  </si>
  <si>
    <t>04-05-2000</t>
  </si>
  <si>
    <t>05-11-2019</t>
  </si>
  <si>
    <t>Shailendra Kumar Mishra</t>
  </si>
  <si>
    <t>03/04/1970</t>
  </si>
  <si>
    <t>06-11-2019</t>
  </si>
  <si>
    <t>A025038194</t>
  </si>
  <si>
    <t>Nisha Singh</t>
  </si>
  <si>
    <t>03/07/1986</t>
  </si>
  <si>
    <t>07-11-2019</t>
  </si>
  <si>
    <t>Q001794809</t>
  </si>
  <si>
    <t>Namita Das</t>
  </si>
  <si>
    <t>29-08-1966</t>
  </si>
  <si>
    <t>A025044947</t>
  </si>
  <si>
    <t>Taharun Perween</t>
  </si>
  <si>
    <t>Q001803258</t>
  </si>
  <si>
    <t>Giridhari Bishayi</t>
  </si>
  <si>
    <t>01-01-1968</t>
  </si>
  <si>
    <t>09-11-2019</t>
  </si>
  <si>
    <t>16-11-2019</t>
  </si>
  <si>
    <t>A025213622</t>
  </si>
  <si>
    <t>Sumit Roy</t>
  </si>
  <si>
    <t>11-09-1996</t>
  </si>
  <si>
    <t>14-11-2019</t>
  </si>
  <si>
    <t>A025122061</t>
  </si>
  <si>
    <t>Amrita Kumari</t>
  </si>
  <si>
    <t>14-03-1996</t>
  </si>
  <si>
    <t>A025242047</t>
  </si>
  <si>
    <t>A025270763</t>
  </si>
  <si>
    <t>Ankit Dubey</t>
  </si>
  <si>
    <t>30-06-1991</t>
  </si>
  <si>
    <t>15-11-2019</t>
  </si>
  <si>
    <t>A025280981</t>
  </si>
  <si>
    <t>Surai Tudu</t>
  </si>
  <si>
    <t>08-04-1977</t>
  </si>
  <si>
    <t>A025306300</t>
  </si>
  <si>
    <t>Shama Parween</t>
  </si>
  <si>
    <t>09-11-2001</t>
  </si>
  <si>
    <t>17-11-2019</t>
  </si>
  <si>
    <t>Q001828027</t>
  </si>
  <si>
    <t>Shabbir Alam</t>
  </si>
  <si>
    <t>07-08-1981</t>
  </si>
  <si>
    <t>18-11-2019</t>
  </si>
  <si>
    <t>Adhar Not Matvh</t>
  </si>
  <si>
    <t>A025329073</t>
  </si>
  <si>
    <t>Purnima Kumari</t>
  </si>
  <si>
    <t>04-02-1996</t>
  </si>
  <si>
    <t>Q001828483</t>
  </si>
  <si>
    <t>Mohammad Jalil</t>
  </si>
  <si>
    <t>09-03-1951</t>
  </si>
  <si>
    <t>A025378678</t>
  </si>
  <si>
    <t>Sankari Choudhary</t>
  </si>
  <si>
    <t>20-11-1980</t>
  </si>
  <si>
    <t>20-11-2019</t>
  </si>
  <si>
    <t>A025417602</t>
  </si>
  <si>
    <t>Sayada Khatoon</t>
  </si>
  <si>
    <t>01-01-1976</t>
  </si>
  <si>
    <t>21-11-2019</t>
  </si>
  <si>
    <t>A025490864</t>
  </si>
  <si>
    <t>Soni Devi</t>
  </si>
  <si>
    <t>01/12/1986</t>
  </si>
  <si>
    <t>24-11-2019</t>
  </si>
  <si>
    <t>Q001850605</t>
  </si>
  <si>
    <t>Ashim Chakraborty</t>
  </si>
  <si>
    <t>15/11/1960</t>
  </si>
  <si>
    <t>25-11-2019</t>
  </si>
  <si>
    <t>Q001852546</t>
  </si>
  <si>
    <t>Ruby Barua</t>
  </si>
  <si>
    <t>24-06-1993</t>
  </si>
  <si>
    <t>A025534548</t>
  </si>
  <si>
    <t>Tupma Dutta</t>
  </si>
  <si>
    <t>A025594523</t>
  </si>
  <si>
    <t>31-12-1967</t>
  </si>
  <si>
    <t>27-11-19</t>
  </si>
  <si>
    <t>Q001258182</t>
  </si>
  <si>
    <t>Tarannum  Praveen</t>
  </si>
  <si>
    <t>05/03/1979</t>
  </si>
  <si>
    <t>28-03-19</t>
  </si>
  <si>
    <t>A025575144</t>
  </si>
  <si>
    <t>Jamuna Ho</t>
  </si>
  <si>
    <t>A025650126</t>
  </si>
  <si>
    <t>Vipin Prasad</t>
  </si>
  <si>
    <t>10-07-1997</t>
  </si>
  <si>
    <t>29-11-19</t>
  </si>
  <si>
    <t>A025622912</t>
  </si>
  <si>
    <t>Guru Prasad Karuwa</t>
  </si>
  <si>
    <t>02/02/1982</t>
  </si>
  <si>
    <t>28-11-19</t>
  </si>
  <si>
    <t>A025604221</t>
  </si>
  <si>
    <t>Saba Shakrin</t>
  </si>
  <si>
    <t>20/07/1986</t>
  </si>
  <si>
    <t>30-11-19</t>
  </si>
  <si>
    <t>A025605239</t>
  </si>
  <si>
    <t>Sunny Kumar Rahelu</t>
  </si>
  <si>
    <t>28/08/2002</t>
  </si>
  <si>
    <t>Q001860935</t>
  </si>
  <si>
    <t>Sonu Giri</t>
  </si>
  <si>
    <t>01/01/1986</t>
  </si>
  <si>
    <t>Q001872798</t>
  </si>
  <si>
    <t>Soma Bhabani Nag</t>
  </si>
  <si>
    <t>02-12-19</t>
  </si>
  <si>
    <t>A025767378</t>
  </si>
  <si>
    <t>Nisha Devi</t>
  </si>
  <si>
    <t>04-12-19</t>
  </si>
  <si>
    <t>A025764302</t>
  </si>
  <si>
    <t>Pooja Jena</t>
  </si>
  <si>
    <t>16/10/1995</t>
  </si>
  <si>
    <t>A025781920</t>
  </si>
  <si>
    <t>Taiyeb Faraz</t>
  </si>
  <si>
    <t>25/10/1997</t>
  </si>
  <si>
    <t>A025812720</t>
  </si>
  <si>
    <t>Mafruza Khatoon</t>
  </si>
  <si>
    <t>25/03/1967</t>
  </si>
  <si>
    <t>05-12-19</t>
  </si>
  <si>
    <t>Q001885624</t>
  </si>
  <si>
    <t>Daljeet Kaur</t>
  </si>
  <si>
    <t>31/12/1997</t>
  </si>
  <si>
    <t>A025838710</t>
  </si>
  <si>
    <t>Ravindra Kumar</t>
  </si>
  <si>
    <t>01/01/1977</t>
  </si>
  <si>
    <t>06-12-19</t>
  </si>
  <si>
    <t>A025829916</t>
  </si>
  <si>
    <t>Sonu Bhumij</t>
  </si>
  <si>
    <t>A025886073</t>
  </si>
  <si>
    <t>Akash Kumar Prasad</t>
  </si>
  <si>
    <t>27/10/1998</t>
  </si>
  <si>
    <t>08-12-19</t>
  </si>
  <si>
    <t>Q001895670</t>
  </si>
  <si>
    <t>Pampa Chel</t>
  </si>
  <si>
    <t>27/03/1986</t>
  </si>
  <si>
    <t>09-12-19</t>
  </si>
  <si>
    <t>A025969429</t>
  </si>
  <si>
    <t>Binay Hajari</t>
  </si>
  <si>
    <t>20/05/1980</t>
  </si>
  <si>
    <t>11-12-19</t>
  </si>
  <si>
    <t>A025969047</t>
  </si>
  <si>
    <t>Md Shahbaz</t>
  </si>
  <si>
    <t>18/05/2000</t>
  </si>
  <si>
    <t>Q001900081</t>
  </si>
  <si>
    <t>Satyendra Kumar Rajak</t>
  </si>
  <si>
    <t>05-04-1984</t>
  </si>
  <si>
    <t>10-12-19</t>
  </si>
  <si>
    <t>Q001903940</t>
  </si>
  <si>
    <t>Alexander Hirvthaya</t>
  </si>
  <si>
    <t>28-06-1969</t>
  </si>
  <si>
    <t>14-12-19</t>
  </si>
  <si>
    <t>A025972531</t>
  </si>
  <si>
    <t>Dvinder Pal Singh</t>
  </si>
  <si>
    <t>10-11-1997</t>
  </si>
  <si>
    <t>A025983854</t>
  </si>
  <si>
    <t>Urmila Devi Shaharia</t>
  </si>
  <si>
    <t>24/04/1955</t>
  </si>
  <si>
    <t>12-12-19</t>
  </si>
  <si>
    <t>A025985077</t>
  </si>
  <si>
    <t>Ishrat Parween</t>
  </si>
  <si>
    <t>15/07/2000</t>
  </si>
  <si>
    <t>Q001914267</t>
  </si>
  <si>
    <t>Anushka Amey Maindarge</t>
  </si>
  <si>
    <t>25/01/1985</t>
  </si>
  <si>
    <t>Q001915279</t>
  </si>
  <si>
    <t>Azmat Rahmani</t>
  </si>
  <si>
    <t>10/05/1988</t>
  </si>
  <si>
    <t>15-12-19</t>
  </si>
  <si>
    <t>Q001917361</t>
  </si>
  <si>
    <t>Mahboob Hussain</t>
  </si>
  <si>
    <t>16-12-19</t>
  </si>
  <si>
    <t>G028764104</t>
  </si>
  <si>
    <t>MD Badruzzama</t>
  </si>
  <si>
    <t>16/09/1943</t>
  </si>
  <si>
    <t>G028764105</t>
  </si>
  <si>
    <t>Hazra Khatoon</t>
  </si>
  <si>
    <t>14/07/1951</t>
  </si>
  <si>
    <t>G028764106</t>
  </si>
  <si>
    <t>Kausar Ara</t>
  </si>
  <si>
    <t>15/06/1984</t>
  </si>
  <si>
    <t>G028764107</t>
  </si>
  <si>
    <t>Khalida Zeya</t>
  </si>
  <si>
    <t>30/10/1993</t>
  </si>
  <si>
    <t>G028764108</t>
  </si>
  <si>
    <t>Shakra Zeya</t>
  </si>
  <si>
    <t>20/01/2001</t>
  </si>
  <si>
    <t>G028764109</t>
  </si>
  <si>
    <t>Shagufta Shaheen</t>
  </si>
  <si>
    <t>12/10/1989</t>
  </si>
  <si>
    <t>G028764110</t>
  </si>
  <si>
    <t>Prankrishna Chatterjee</t>
  </si>
  <si>
    <t>01/01/1973</t>
  </si>
  <si>
    <t>G028764111</t>
  </si>
  <si>
    <t>Pratima Pathak</t>
  </si>
  <si>
    <t>22/02/1985</t>
  </si>
  <si>
    <t>18-12-19</t>
  </si>
  <si>
    <t>Q001924747</t>
  </si>
  <si>
    <t>Babalu Kumar</t>
  </si>
  <si>
    <t>05/11/1987</t>
  </si>
  <si>
    <t>Q001924842</t>
  </si>
  <si>
    <t>Faruque Ahmad</t>
  </si>
  <si>
    <t>10/04/1974</t>
  </si>
  <si>
    <t>Q001928427</t>
  </si>
  <si>
    <t>Rajesh Kumar Sahu Gond</t>
  </si>
  <si>
    <t>21-12-1974</t>
  </si>
  <si>
    <t>19-12-19</t>
  </si>
  <si>
    <t>Q001928172</t>
  </si>
  <si>
    <t>A026173100</t>
  </si>
  <si>
    <t>Shahjahan</t>
  </si>
  <si>
    <t>04-09-1979</t>
  </si>
  <si>
    <t>Q001934677</t>
  </si>
  <si>
    <t>Shadab Alam</t>
  </si>
  <si>
    <t>18-08-1985</t>
  </si>
  <si>
    <t>20-12-19</t>
  </si>
  <si>
    <t>A026253411</t>
  </si>
  <si>
    <t>Ayush Kumar</t>
  </si>
  <si>
    <t>24-10-2001</t>
  </si>
  <si>
    <t>21-12-19</t>
  </si>
  <si>
    <t>A026280836</t>
  </si>
  <si>
    <t>Abhishek Kumar Pandey</t>
  </si>
  <si>
    <t>06/03/1996</t>
  </si>
  <si>
    <t>23-12-19</t>
  </si>
  <si>
    <t xml:space="preserve">   </t>
  </si>
  <si>
    <t>Q001959460</t>
  </si>
  <si>
    <t>27-12-19</t>
  </si>
  <si>
    <t>Q001965762</t>
  </si>
  <si>
    <t>Rama Devi</t>
  </si>
  <si>
    <t>12/02/1970</t>
  </si>
  <si>
    <t>29/12/19</t>
  </si>
  <si>
    <t>Q001965826</t>
  </si>
  <si>
    <t>Manik Chakraborty</t>
  </si>
  <si>
    <t>25/12/1975</t>
  </si>
  <si>
    <t>29-12-19</t>
  </si>
  <si>
    <t>Q001966159</t>
  </si>
  <si>
    <t>Jagadish Mahata</t>
  </si>
  <si>
    <t>01/11/1971</t>
  </si>
  <si>
    <t>30-12-19</t>
  </si>
  <si>
    <t>A026494128</t>
  </si>
  <si>
    <t>Prashant Mahato</t>
  </si>
  <si>
    <t>31-12-19</t>
  </si>
  <si>
    <t>A026503013</t>
  </si>
  <si>
    <t>Asima Mumtaz</t>
  </si>
  <si>
    <t>16-02-1960</t>
  </si>
  <si>
    <t>Sabina Kujur</t>
  </si>
  <si>
    <t>15-09-1998</t>
  </si>
  <si>
    <t>02-01-2020</t>
  </si>
  <si>
    <t>A026567763</t>
  </si>
  <si>
    <t>Smriti Julie Topno</t>
  </si>
  <si>
    <t>17-07-1999</t>
  </si>
  <si>
    <t>Q001992102</t>
  </si>
  <si>
    <t>Madhuri Das</t>
  </si>
  <si>
    <t>07/02/1986</t>
  </si>
  <si>
    <t>04-01-2020</t>
  </si>
  <si>
    <t>Q001994127</t>
  </si>
  <si>
    <t>Mamta Dung Dung</t>
  </si>
  <si>
    <t>11/07/1980</t>
  </si>
  <si>
    <t>Q002002418</t>
  </si>
  <si>
    <t>Toishiya Parween</t>
  </si>
  <si>
    <t>04/08/1985</t>
  </si>
  <si>
    <t>07-01-2020</t>
  </si>
  <si>
    <t>A026737628</t>
  </si>
  <si>
    <t>Shanaj Perween</t>
  </si>
  <si>
    <t>01/01/1996</t>
  </si>
  <si>
    <t>A026778043</t>
  </si>
  <si>
    <t>Abhishek Kumar</t>
  </si>
  <si>
    <t>01-03-1967</t>
  </si>
  <si>
    <t>08-01-2020</t>
  </si>
  <si>
    <t>Q002005360</t>
  </si>
  <si>
    <t>Dwarika Saw</t>
  </si>
  <si>
    <t>01/01/1959</t>
  </si>
  <si>
    <t>A026778974</t>
  </si>
  <si>
    <t>Mohammad Azim</t>
  </si>
  <si>
    <t>05/07/1977</t>
  </si>
  <si>
    <t>Q002008510</t>
  </si>
  <si>
    <t>Manasi Barik</t>
  </si>
  <si>
    <t>15/09/1989</t>
  </si>
  <si>
    <t>Q002015952</t>
  </si>
  <si>
    <t>Usha Gupta</t>
  </si>
  <si>
    <t>12/02/1960</t>
  </si>
  <si>
    <t>10-01-20</t>
  </si>
  <si>
    <t>Not Paid</t>
  </si>
  <si>
    <t>A026850091</t>
  </si>
  <si>
    <t>Sahima Khatoon</t>
  </si>
  <si>
    <t>01//03/1986</t>
  </si>
  <si>
    <t>Q002015980</t>
  </si>
  <si>
    <t>Chandu Tiue</t>
  </si>
  <si>
    <t>01/01/1931</t>
  </si>
  <si>
    <t>HXWPK0782D</t>
  </si>
  <si>
    <t>A026827364</t>
  </si>
  <si>
    <t>Namita Paramanik</t>
  </si>
  <si>
    <t>Q002019915</t>
  </si>
  <si>
    <t>Abdul Bari</t>
  </si>
  <si>
    <t>15/08/1972</t>
  </si>
  <si>
    <t>ABKPB4289M</t>
  </si>
  <si>
    <t>A026967721</t>
  </si>
  <si>
    <t>Lalu Singh Sardar</t>
  </si>
  <si>
    <t>14-01-20</t>
  </si>
  <si>
    <t>G028764113</t>
  </si>
  <si>
    <t>Farida Khatoon</t>
  </si>
  <si>
    <t>15/10/1996</t>
  </si>
  <si>
    <t>13-01-20</t>
  </si>
  <si>
    <t>A026940838</t>
  </si>
  <si>
    <t>Sujata Gounder</t>
  </si>
  <si>
    <t>18/07/1995</t>
  </si>
  <si>
    <t>A026941220</t>
  </si>
  <si>
    <t>Ravi Gounder</t>
  </si>
  <si>
    <t>10/04/1985</t>
  </si>
  <si>
    <t>A026984485</t>
  </si>
  <si>
    <t>Sandiya Devi</t>
  </si>
  <si>
    <t>15/01/20</t>
  </si>
  <si>
    <t>A027204739</t>
  </si>
  <si>
    <t>Nikhat Parween</t>
  </si>
  <si>
    <t>25/12/1987</t>
  </si>
  <si>
    <t>22-01-2020</t>
  </si>
  <si>
    <t>A027249099</t>
  </si>
  <si>
    <t>Laxmi Kumari</t>
  </si>
  <si>
    <t>24/01/1996</t>
  </si>
  <si>
    <t>23-01-2020</t>
  </si>
  <si>
    <t>a027247193</t>
  </si>
  <si>
    <t>Tara Moni Mahato</t>
  </si>
  <si>
    <t>06-04-1990</t>
  </si>
  <si>
    <t>A027284573</t>
  </si>
  <si>
    <t>Maninder Singh  Rayat</t>
  </si>
  <si>
    <t>08/11/2000</t>
  </si>
  <si>
    <t>24-01-2020</t>
  </si>
  <si>
    <t>A027132075</t>
  </si>
  <si>
    <t>Binda Devi</t>
  </si>
  <si>
    <t>10/05/1970</t>
  </si>
  <si>
    <t>20-01-2020</t>
  </si>
  <si>
    <t>A027131858</t>
  </si>
  <si>
    <t>Gurvindar Kaur</t>
  </si>
  <si>
    <t>01/01/1976</t>
  </si>
  <si>
    <t>A027333983</t>
  </si>
  <si>
    <t>01/01/1998</t>
  </si>
  <si>
    <t>25-01-2020</t>
  </si>
  <si>
    <t>A027340804</t>
  </si>
  <si>
    <t>Mandeep Kaur</t>
  </si>
  <si>
    <t>27/10/1995</t>
  </si>
  <si>
    <t>Q002078140</t>
  </si>
  <si>
    <t>Najneen Parveen</t>
  </si>
  <si>
    <t>02/08/1993</t>
  </si>
  <si>
    <t>27-01-2020</t>
  </si>
  <si>
    <t>A027376598</t>
  </si>
  <si>
    <t>Paritosh Hansda</t>
  </si>
  <si>
    <t>05/08/2001</t>
  </si>
  <si>
    <t>A027398326</t>
  </si>
  <si>
    <t>Kapra Hansada</t>
  </si>
  <si>
    <t>20-02-1970</t>
  </si>
  <si>
    <t>29-01-2020</t>
  </si>
  <si>
    <t>A027435571</t>
  </si>
  <si>
    <t>Nazia Perween</t>
  </si>
  <si>
    <t>10/01/1998</t>
  </si>
  <si>
    <t>29-01-20</t>
  </si>
  <si>
    <t>Q002081901</t>
  </si>
  <si>
    <t>Chandra Mukhi</t>
  </si>
  <si>
    <t>01/04/1959</t>
  </si>
  <si>
    <t>28-01-2020</t>
  </si>
  <si>
    <t>Q002085419</t>
  </si>
  <si>
    <t>Ejaz Ahmad Khan</t>
  </si>
  <si>
    <t>22/12/1967</t>
  </si>
  <si>
    <t>A027432325</t>
  </si>
  <si>
    <t>Riya Maity</t>
  </si>
  <si>
    <t>29/11/1997</t>
  </si>
  <si>
    <t>a027479628</t>
  </si>
  <si>
    <t>Sagar Kumar</t>
  </si>
  <si>
    <t>25/11/2000</t>
  </si>
  <si>
    <t>30-01-2020</t>
  </si>
  <si>
    <t>Q002096269</t>
  </si>
  <si>
    <t>Vikash Kumar</t>
  </si>
  <si>
    <t>01-02-2020</t>
  </si>
  <si>
    <t>Q002095652</t>
  </si>
  <si>
    <t>Dhar Banshi Karmakar</t>
  </si>
  <si>
    <t>BYVPK1838G</t>
  </si>
  <si>
    <t>bansinweb20</t>
  </si>
  <si>
    <t>Mypass@2020</t>
  </si>
  <si>
    <t>A027520396</t>
  </si>
  <si>
    <t>Nioty Rana</t>
  </si>
  <si>
    <t>09/10/1970</t>
  </si>
  <si>
    <t>niotynweb20</t>
  </si>
  <si>
    <t>A027530941</t>
  </si>
  <si>
    <t>Suparna Singh</t>
  </si>
  <si>
    <t>18/11/1990</t>
  </si>
  <si>
    <t>suparnanweb20</t>
  </si>
  <si>
    <t>A027572009</t>
  </si>
  <si>
    <t>Binay Shrivastav</t>
  </si>
  <si>
    <t>31/01/1968</t>
  </si>
  <si>
    <t>03-02-2020</t>
  </si>
  <si>
    <t>Q002103819</t>
  </si>
  <si>
    <t>Anita Garai</t>
  </si>
  <si>
    <t>01/09/1983</t>
  </si>
  <si>
    <t>garai.bishal44@gmail.com</t>
  </si>
  <si>
    <t>A027630246</t>
  </si>
  <si>
    <t>Ayasa Khatoon</t>
  </si>
  <si>
    <t>25/06/1972</t>
  </si>
  <si>
    <t>05-02-2020</t>
  </si>
  <si>
    <t>Q002109652</t>
  </si>
  <si>
    <t>Mohammad Quamaruddin</t>
  </si>
  <si>
    <t>02/08/1942</t>
  </si>
  <si>
    <t>04-02-2020</t>
  </si>
  <si>
    <t>A027622250</t>
  </si>
  <si>
    <t>Alok Nath Das</t>
  </si>
  <si>
    <t>28/11/2001</t>
  </si>
  <si>
    <t>Q002110002</t>
  </si>
  <si>
    <t>Ratan Kumar Sharma</t>
  </si>
  <si>
    <t>23/11/1979</t>
  </si>
  <si>
    <t>A027594547</t>
  </si>
  <si>
    <t>Syeda Nazneen Saba</t>
  </si>
  <si>
    <t>25/12/1989</t>
  </si>
  <si>
    <t>Q002120612</t>
  </si>
  <si>
    <t>Shahjahan Quraishi</t>
  </si>
  <si>
    <t>07-02-2020</t>
  </si>
  <si>
    <t>Q002125752</t>
  </si>
  <si>
    <t>Md Ishrarul Haque</t>
  </si>
  <si>
    <t>26/02/1972</t>
  </si>
  <si>
    <t>09-02-2020</t>
  </si>
  <si>
    <t>BAIPH0173G</t>
  </si>
  <si>
    <t>Q002132482</t>
  </si>
  <si>
    <t>Shankar Roy</t>
  </si>
  <si>
    <t>19/11/1972</t>
  </si>
  <si>
    <t>11-02-2020</t>
  </si>
  <si>
    <t>AXQPR1031D</t>
  </si>
  <si>
    <t>shankarnweb20</t>
  </si>
  <si>
    <t>A027835529</t>
  </si>
  <si>
    <t>Ruksana Pravin</t>
  </si>
  <si>
    <t>06/07/1988</t>
  </si>
  <si>
    <t>12-02-2020</t>
  </si>
  <si>
    <t>Q002134561</t>
  </si>
  <si>
    <t>01/03/1986</t>
  </si>
  <si>
    <t>JHIPK3906D</t>
  </si>
  <si>
    <t>Q002134590</t>
  </si>
  <si>
    <t>Rishabh Kumar</t>
  </si>
  <si>
    <t>08/04/1999</t>
  </si>
  <si>
    <t>GECPK0974R</t>
  </si>
  <si>
    <t>sashikalaskumar123@gmail.com</t>
  </si>
  <si>
    <t>A027894922</t>
  </si>
  <si>
    <t>Kishan Kumar Singh</t>
  </si>
  <si>
    <t>29/04/2001</t>
  </si>
  <si>
    <t>13-02-20</t>
  </si>
  <si>
    <t>A027926963</t>
  </si>
  <si>
    <t>Sanjay Gorai</t>
  </si>
  <si>
    <t>02/02/2002</t>
  </si>
  <si>
    <t>14-02-20</t>
  </si>
  <si>
    <t>A027927206</t>
  </si>
  <si>
    <t>Abhishek Banerjee</t>
  </si>
  <si>
    <t>12/02/2002</t>
  </si>
  <si>
    <t>A027912761</t>
  </si>
  <si>
    <t>05/04/2002</t>
  </si>
  <si>
    <t>Q002140901</t>
  </si>
  <si>
    <t>Ranjit Kumar Singh</t>
  </si>
  <si>
    <t>25/06/1982</t>
  </si>
  <si>
    <t>HDHPS3298K</t>
  </si>
  <si>
    <t>A027994114</t>
  </si>
  <si>
    <t>16-02-20</t>
  </si>
  <si>
    <t>A028105807</t>
  </si>
  <si>
    <t>Amina Khatoon</t>
  </si>
  <si>
    <t>01/01/1949</t>
  </si>
  <si>
    <t>20-02-2020</t>
  </si>
  <si>
    <t>A028102307</t>
  </si>
  <si>
    <t>Hira Lal Sada</t>
  </si>
  <si>
    <t>A028107862</t>
  </si>
  <si>
    <t>Nazneen Perween</t>
  </si>
  <si>
    <t>31/03/1992</t>
  </si>
  <si>
    <t>A028124735</t>
  </si>
  <si>
    <t>Rekha Devi</t>
  </si>
  <si>
    <t>29/07/1982</t>
  </si>
  <si>
    <t>21-02-2020</t>
  </si>
  <si>
    <t>A028115678</t>
  </si>
  <si>
    <t>Punit Dung Dung</t>
  </si>
  <si>
    <t>26/12/2000</t>
  </si>
  <si>
    <t>A028124985</t>
  </si>
  <si>
    <t>Binay Kumar Srivastav</t>
  </si>
  <si>
    <t>01/01/1968</t>
  </si>
  <si>
    <t>A028125438</t>
  </si>
  <si>
    <t>Prakash Kumar</t>
  </si>
  <si>
    <t>05/03/1991</t>
  </si>
  <si>
    <t>Q002172323</t>
  </si>
  <si>
    <t>HARDEEP SINGH</t>
  </si>
  <si>
    <t>A028197906</t>
  </si>
  <si>
    <t>Pranati Mahato</t>
  </si>
  <si>
    <t>25-02-2020</t>
  </si>
  <si>
    <t>A028211271</t>
  </si>
  <si>
    <t>Md Rizwan</t>
  </si>
  <si>
    <t>25-12-2001</t>
  </si>
  <si>
    <t>26-02-2020</t>
  </si>
  <si>
    <t>A028202684</t>
  </si>
  <si>
    <t>Nutan Devi</t>
  </si>
  <si>
    <t>01-10-1982</t>
  </si>
  <si>
    <t>Q001912822</t>
  </si>
  <si>
    <t>Rajesh Kumar Sahu</t>
  </si>
  <si>
    <t>02-10-1984</t>
  </si>
  <si>
    <t>nweb.hub</t>
  </si>
  <si>
    <t>A028215313</t>
  </si>
  <si>
    <t>Susourav Bose</t>
  </si>
  <si>
    <t>26/11/1997</t>
  </si>
  <si>
    <t>A028247480</t>
  </si>
  <si>
    <t>Shrinivas Mahato</t>
  </si>
  <si>
    <t>27-02-2020</t>
  </si>
  <si>
    <t>Q002187023</t>
  </si>
  <si>
    <t>Shahin Perween</t>
  </si>
  <si>
    <t>16/04/1987</t>
  </si>
  <si>
    <t>Q002192197</t>
  </si>
  <si>
    <t>Nemat Raza</t>
  </si>
  <si>
    <t>03/05/1996</t>
  </si>
  <si>
    <t>28-02-2020</t>
  </si>
  <si>
    <t>A028262806</t>
  </si>
  <si>
    <t>Leela Devi</t>
  </si>
  <si>
    <t>27/02/2020</t>
  </si>
  <si>
    <t>Q002196868</t>
  </si>
  <si>
    <t>Punit Kindo</t>
  </si>
  <si>
    <t>12/05/1984</t>
  </si>
  <si>
    <t>01-03-2020</t>
  </si>
  <si>
    <t>A028381492</t>
  </si>
  <si>
    <t>Raju Karmakar</t>
  </si>
  <si>
    <t>05/03/1996</t>
  </si>
  <si>
    <t>03-03-2020</t>
  </si>
  <si>
    <t>sanjaygorai124</t>
  </si>
  <si>
    <t>A028381054</t>
  </si>
  <si>
    <t>Srishti Kumari</t>
  </si>
  <si>
    <t>31/07/2000</t>
  </si>
  <si>
    <t>Q002204991</t>
  </si>
  <si>
    <t>Akash Kumar</t>
  </si>
  <si>
    <t>06/05/1991</t>
  </si>
  <si>
    <t>04-03-2020</t>
  </si>
  <si>
    <t>Q002204960</t>
  </si>
  <si>
    <t>Nyamdat Devi</t>
  </si>
  <si>
    <t>13/07/1989</t>
  </si>
  <si>
    <t>Q002207842</t>
  </si>
  <si>
    <t>Rashida Khatoon</t>
  </si>
  <si>
    <t>Q002207891</t>
  </si>
  <si>
    <t>Syed Iftakhar Hussain</t>
  </si>
  <si>
    <t>03/11/1958</t>
  </si>
  <si>
    <t>05-03-2020</t>
  </si>
  <si>
    <t>A028487151</t>
  </si>
  <si>
    <t>Chanda Devi</t>
  </si>
  <si>
    <t>07-03-2020</t>
  </si>
  <si>
    <t>09-03-2020</t>
  </si>
  <si>
    <t>Q002218513</t>
  </si>
  <si>
    <t>Amit Gupta</t>
  </si>
  <si>
    <t>29/11/1994</t>
  </si>
  <si>
    <t>A028485069</t>
  </si>
  <si>
    <t>Ritika Singh</t>
  </si>
  <si>
    <t>11/02/2001</t>
  </si>
  <si>
    <t>Q002225706</t>
  </si>
  <si>
    <t>Mohammad Kamaluddin</t>
  </si>
  <si>
    <t>26/01/1978</t>
  </si>
  <si>
    <t>Q002226900</t>
  </si>
  <si>
    <t>Engula Hari Hara Moorty Nath</t>
  </si>
  <si>
    <t>14/06/1955</t>
  </si>
  <si>
    <t>Q002235928</t>
  </si>
  <si>
    <t>Krishna Kumar Sanigrahi</t>
  </si>
  <si>
    <t>01/01/1994</t>
  </si>
  <si>
    <t>12-03-20</t>
  </si>
  <si>
    <t>12-03-2020</t>
  </si>
  <si>
    <t>Q002235362</t>
  </si>
  <si>
    <t>Uday Nath Sahu</t>
  </si>
  <si>
    <t>02/02/1971</t>
  </si>
  <si>
    <t>12/03/2020</t>
  </si>
  <si>
    <t>A028585863</t>
  </si>
  <si>
    <t>Hasina Khatoon</t>
  </si>
  <si>
    <t>03-03-1986</t>
  </si>
  <si>
    <t>Q002240958</t>
  </si>
  <si>
    <t>Budheshwar Swansi</t>
  </si>
  <si>
    <t>08/10/1989</t>
  </si>
  <si>
    <t>13-03-2020</t>
  </si>
  <si>
    <t>A028611956</t>
  </si>
  <si>
    <t>Tamanna Khatoon</t>
  </si>
  <si>
    <t>01/02/1984</t>
  </si>
  <si>
    <t>A028611220</t>
  </si>
  <si>
    <t>Tabassum Sanya</t>
  </si>
  <si>
    <t>10/07/2006</t>
  </si>
  <si>
    <t>Q002244622</t>
  </si>
  <si>
    <t>Anita Prasad</t>
  </si>
  <si>
    <t>28/07/1966</t>
  </si>
  <si>
    <t>14-03-2020</t>
  </si>
  <si>
    <t>N</t>
  </si>
  <si>
    <t>881060185907495</t>
  </si>
  <si>
    <t>Momin Nisha</t>
  </si>
  <si>
    <t>Find Pan</t>
  </si>
  <si>
    <t>A028656433</t>
  </si>
  <si>
    <t>Ginkala Sunita</t>
  </si>
  <si>
    <t>12/01/1975</t>
  </si>
  <si>
    <t>15-03-2020</t>
  </si>
  <si>
    <t>A028655486</t>
  </si>
  <si>
    <t>Khusboo Kumari</t>
  </si>
  <si>
    <t>20/02/1996</t>
  </si>
  <si>
    <t>A028656630</t>
  </si>
  <si>
    <t>Nishant Giri</t>
  </si>
  <si>
    <t>28/03/2000</t>
  </si>
  <si>
    <t>A028719795</t>
  </si>
  <si>
    <t>Ashutosh Narayan</t>
  </si>
  <si>
    <t>29/09/2001</t>
  </si>
  <si>
    <t>17-03-2020</t>
  </si>
  <si>
    <t>Q002258343</t>
  </si>
  <si>
    <t>Bhim Prasad</t>
  </si>
  <si>
    <t>20/05/1967</t>
  </si>
  <si>
    <t>16-03-2020</t>
  </si>
  <si>
    <t>A028811846</t>
  </si>
  <si>
    <t>Ganesh</t>
  </si>
  <si>
    <t>21-03-2020</t>
  </si>
  <si>
    <t>A028812636</t>
  </si>
  <si>
    <t>Jannat Khan</t>
  </si>
  <si>
    <t>28/03/1996</t>
  </si>
  <si>
    <t>20-03-2020</t>
  </si>
  <si>
    <t>A028816224</t>
  </si>
  <si>
    <t>Parmeshwar Munda</t>
  </si>
  <si>
    <t>A028817708</t>
  </si>
  <si>
    <t>Dipa munda</t>
  </si>
  <si>
    <t>A028812679</t>
  </si>
  <si>
    <t>DUTTA ALAKA</t>
  </si>
  <si>
    <t>01/01/1932</t>
  </si>
  <si>
    <t>A028858653</t>
  </si>
  <si>
    <t>Shekher Goundor</t>
  </si>
  <si>
    <t>02/2/1974</t>
  </si>
  <si>
    <t>04-04-2020</t>
  </si>
  <si>
    <t>sanjay@minusoft.co.in</t>
  </si>
  <si>
    <t>A028979045</t>
  </si>
  <si>
    <t>Tulsi Tudu</t>
  </si>
  <si>
    <t>01/05/2020</t>
  </si>
  <si>
    <t>Q002287483</t>
  </si>
  <si>
    <t>17/01/1987</t>
  </si>
  <si>
    <t>24/04/2020</t>
  </si>
  <si>
    <t>A028899903</t>
  </si>
  <si>
    <t>Punam Sharma</t>
  </si>
  <si>
    <t>25/03/1977</t>
  </si>
  <si>
    <t>18/04/2020</t>
  </si>
  <si>
    <t>Sukher Gounder</t>
  </si>
  <si>
    <t>02/02/1974</t>
  </si>
  <si>
    <t>04/04/2020</t>
  </si>
  <si>
    <t>Q002278132</t>
  </si>
  <si>
    <t>Sangita Singh</t>
  </si>
  <si>
    <t>02/03/1974</t>
  </si>
  <si>
    <t>24/03/2020</t>
  </si>
  <si>
    <t>Q002307131</t>
  </si>
  <si>
    <t>Yashoda Devi</t>
  </si>
  <si>
    <t>01/01/1940</t>
  </si>
  <si>
    <t>19/05-2020</t>
  </si>
  <si>
    <t>A029380664</t>
  </si>
  <si>
    <t>Kalipada Sai</t>
  </si>
  <si>
    <t>30/05/2020</t>
  </si>
  <si>
    <t>A029611818</t>
  </si>
  <si>
    <t>Babuni Devi</t>
  </si>
  <si>
    <t>05/07/1932</t>
  </si>
  <si>
    <t>09/05/2020</t>
  </si>
  <si>
    <t>seemababy4@gmail.com</t>
  </si>
  <si>
    <t>A029625761</t>
  </si>
  <si>
    <t>Sohail khan</t>
  </si>
  <si>
    <t>21/11/2001</t>
  </si>
  <si>
    <t>22/05/2020</t>
  </si>
  <si>
    <t>Alka Dutta</t>
  </si>
  <si>
    <t>20/03/2020</t>
  </si>
  <si>
    <t>debdasduttatm@gmail.com</t>
  </si>
  <si>
    <t>A029707959</t>
  </si>
  <si>
    <t>ANJALI MAHATO</t>
  </si>
  <si>
    <t>25/03/1996</t>
  </si>
  <si>
    <t>12/06/2020</t>
  </si>
  <si>
    <t>mahatohirawati@gmail.com</t>
  </si>
  <si>
    <t>A029706372</t>
  </si>
  <si>
    <t>Hirabati Mahato</t>
  </si>
  <si>
    <t>20/06/1980</t>
  </si>
  <si>
    <t>A029718496</t>
  </si>
  <si>
    <t>Pabjot Kaur</t>
  </si>
  <si>
    <t>16/06/1993</t>
  </si>
  <si>
    <t>madymaninder007@gmail.com</t>
  </si>
  <si>
    <t>A029700551</t>
  </si>
  <si>
    <t>03/02/2002</t>
  </si>
  <si>
    <t>akumari2002.in@gmail.com</t>
  </si>
  <si>
    <t>A029578536</t>
  </si>
  <si>
    <t>Madhumita Ghosh</t>
  </si>
  <si>
    <t>17/11/1976</t>
  </si>
  <si>
    <t>08/06/2020</t>
  </si>
  <si>
    <t>ghoshsayan608@gmail.com</t>
  </si>
  <si>
    <t>A029505651</t>
  </si>
  <si>
    <t>Sitabia Devi</t>
  </si>
  <si>
    <t>12/08/1954</t>
  </si>
  <si>
    <t>05/06/2020</t>
  </si>
  <si>
    <t>sanjaygorai124@gmail.com</t>
  </si>
  <si>
    <t>Q002352346</t>
  </si>
  <si>
    <t>Pushpa Singh</t>
  </si>
  <si>
    <t>25/12/1976</t>
  </si>
  <si>
    <t>13/06/2020</t>
  </si>
  <si>
    <t>sunil.kum@gmail.com</t>
  </si>
  <si>
    <t>A029664266</t>
  </si>
  <si>
    <t>Musarrat Naaz</t>
  </si>
  <si>
    <t>11/06/2020</t>
  </si>
  <si>
    <t>karimkhan9955@gmail.com</t>
  </si>
  <si>
    <t>Q002356808</t>
  </si>
  <si>
    <t>Bikash Sarkar</t>
  </si>
  <si>
    <t>18/06/1964</t>
  </si>
  <si>
    <t>15/06/2020</t>
  </si>
  <si>
    <t>A029791283</t>
  </si>
  <si>
    <t>Rani Gorai</t>
  </si>
  <si>
    <t>01/01/1992</t>
  </si>
  <si>
    <t>A029791620</t>
  </si>
  <si>
    <t>Pooja Kumari</t>
  </si>
  <si>
    <t>13/10/1998</t>
  </si>
  <si>
    <t>Q002362635</t>
  </si>
  <si>
    <t>Nitai Chandra Gon</t>
  </si>
  <si>
    <t>24/11/1948</t>
  </si>
  <si>
    <t>17/06/2020</t>
  </si>
  <si>
    <t>Q002364132</t>
  </si>
  <si>
    <t>Dilip Kumar</t>
  </si>
  <si>
    <t>24/12/1964</t>
  </si>
  <si>
    <t>18/06/2020</t>
  </si>
  <si>
    <t>dk988504@gmail.com</t>
  </si>
  <si>
    <t>Q002363484</t>
  </si>
  <si>
    <t>Shiv Kishore Singh</t>
  </si>
  <si>
    <t>13/10/1957</t>
  </si>
  <si>
    <t>rupeshsingh317@gmail.com</t>
  </si>
  <si>
    <t>A029905173</t>
  </si>
  <si>
    <t>Sanyukta Singh</t>
  </si>
  <si>
    <t>15/11/1999</t>
  </si>
  <si>
    <t>19-06-2020</t>
  </si>
  <si>
    <t>A029921970</t>
  </si>
  <si>
    <t>Sanjida Khatoon</t>
  </si>
  <si>
    <t>Q002378386</t>
  </si>
  <si>
    <t>Yashoda devi</t>
  </si>
  <si>
    <t>23-06-2020</t>
  </si>
  <si>
    <t>Q002378645</t>
  </si>
  <si>
    <t>A030032020</t>
  </si>
  <si>
    <t>04/10/1991</t>
  </si>
  <si>
    <t>sonisingh53107@gmail.com</t>
  </si>
  <si>
    <t>A030032300</t>
  </si>
  <si>
    <t>Shilpi Devi</t>
  </si>
  <si>
    <t>25/06/1992</t>
  </si>
  <si>
    <t>mar15aug@gmail.com</t>
  </si>
  <si>
    <t>Q002383013</t>
  </si>
  <si>
    <t>16/03/1961</t>
  </si>
  <si>
    <t>25/06/2020</t>
  </si>
  <si>
    <t>ranjit.singh9611@gmail</t>
  </si>
  <si>
    <t>Q002386022</t>
  </si>
  <si>
    <t>02/05/1965</t>
  </si>
  <si>
    <t>vijaykrsingh02051965@gmail</t>
  </si>
  <si>
    <t>A030075551</t>
  </si>
  <si>
    <t>Binod Murmu</t>
  </si>
  <si>
    <t>09/01/1995</t>
  </si>
  <si>
    <t>A030115963</t>
  </si>
  <si>
    <t>Srivalli Susarla</t>
  </si>
  <si>
    <t>03/09/2000</t>
  </si>
  <si>
    <t>26/06/2020</t>
  </si>
  <si>
    <t>srivallisusarla09@gmail</t>
  </si>
  <si>
    <t>A030150300</t>
  </si>
  <si>
    <t>Faiz Ali</t>
  </si>
  <si>
    <t>20/03/2001</t>
  </si>
  <si>
    <t>27-06-2020</t>
  </si>
  <si>
    <t>faizalizaid01@gmail</t>
  </si>
  <si>
    <t>A030178670</t>
  </si>
  <si>
    <t>Ratani Mahato</t>
  </si>
  <si>
    <t>05/12/1976</t>
  </si>
  <si>
    <t>29-06-2020</t>
  </si>
  <si>
    <t>A030176954</t>
  </si>
  <si>
    <t>Kalpana Kumari</t>
  </si>
  <si>
    <t>01/01/1990</t>
  </si>
  <si>
    <t>A030182722</t>
  </si>
  <si>
    <t>Manju Munda</t>
  </si>
  <si>
    <t>18/02/2002</t>
  </si>
  <si>
    <t>Q002403014</t>
  </si>
  <si>
    <t>Sandhya Kumari</t>
  </si>
  <si>
    <t>26/12/1985</t>
  </si>
  <si>
    <t>30-06-2020</t>
  </si>
  <si>
    <t>Q002406400</t>
  </si>
  <si>
    <t>Tamojit Dutta</t>
  </si>
  <si>
    <t>16/02/2000</t>
  </si>
  <si>
    <t>01-07-20</t>
  </si>
  <si>
    <t>A030271013</t>
  </si>
  <si>
    <t>Nitu Mishra</t>
  </si>
  <si>
    <t>07/07/1994</t>
  </si>
  <si>
    <t>A030255201</t>
  </si>
  <si>
    <t>babita Devi</t>
  </si>
  <si>
    <t>08/08/1991</t>
  </si>
  <si>
    <t>01/07/20</t>
  </si>
  <si>
    <t>A030300759</t>
  </si>
  <si>
    <t>Senu Lal</t>
  </si>
  <si>
    <t>13/01/1972</t>
  </si>
  <si>
    <t>03-07-2020</t>
  </si>
  <si>
    <t>A030298911</t>
  </si>
  <si>
    <t>Akansha Tripathy</t>
  </si>
  <si>
    <t>24/01/1998</t>
  </si>
  <si>
    <t>akanshatripathy4@gmail.com</t>
  </si>
  <si>
    <t>Q002414656</t>
  </si>
  <si>
    <t>Nitu singh</t>
  </si>
  <si>
    <t>04-07-2020</t>
  </si>
  <si>
    <t>a7295056859@gmail.com</t>
  </si>
  <si>
    <t>A030396727</t>
  </si>
  <si>
    <t>Meeru Sharma</t>
  </si>
  <si>
    <t>04/11/1984</t>
  </si>
  <si>
    <t>06-07-2020</t>
  </si>
  <si>
    <t>Q002427846</t>
  </si>
  <si>
    <t>Seema Singh</t>
  </si>
  <si>
    <t>02/12/1964</t>
  </si>
  <si>
    <t>08-07-2020</t>
  </si>
  <si>
    <t>seemababy4@gmail</t>
  </si>
  <si>
    <t>A030440840</t>
  </si>
  <si>
    <t>01/01/1969</t>
  </si>
  <si>
    <t>shinekarmakar1979@gmail</t>
  </si>
  <si>
    <t>A030456961</t>
  </si>
  <si>
    <t>Rubi DeVI</t>
  </si>
  <si>
    <t>A030503164</t>
  </si>
  <si>
    <t>Lakhi Charan Dhibar</t>
  </si>
  <si>
    <t>09-09-1997</t>
  </si>
  <si>
    <t>10-07-2020</t>
  </si>
  <si>
    <t>charanlakhi2580@gmail.com</t>
  </si>
  <si>
    <t>A030504886</t>
  </si>
  <si>
    <t>Ajay Singh</t>
  </si>
  <si>
    <t>19/04/2000</t>
  </si>
  <si>
    <t>A030531765</t>
  </si>
  <si>
    <t>Ekta Jha</t>
  </si>
  <si>
    <t>29/12/2000</t>
  </si>
  <si>
    <t>11-07-2020</t>
  </si>
  <si>
    <t>ekta.jha29@gmail.com</t>
  </si>
  <si>
    <t>A030531937</t>
  </si>
  <si>
    <t>Reboti Nayak</t>
  </si>
  <si>
    <t>20/06/1954</t>
  </si>
  <si>
    <t>Q002434857</t>
  </si>
  <si>
    <t>Vicky Soni</t>
  </si>
  <si>
    <t>28/08/1988</t>
  </si>
  <si>
    <t>12-07-2020</t>
  </si>
  <si>
    <t>A030592652</t>
  </si>
  <si>
    <t>Farhat Saba</t>
  </si>
  <si>
    <t>07-01-1974</t>
  </si>
  <si>
    <t>14-07-2020</t>
  </si>
  <si>
    <t>nadimakhter1976@gmail.com</t>
  </si>
  <si>
    <t>A030626303</t>
  </si>
  <si>
    <t>Rakhi Munda</t>
  </si>
  <si>
    <t>06-06-1990</t>
  </si>
  <si>
    <t>15-07-2020</t>
  </si>
  <si>
    <t>A030653059</t>
  </si>
  <si>
    <t>Indrani Mukhuty</t>
  </si>
  <si>
    <t>23-03-1950</t>
  </si>
  <si>
    <t>16-07-2020</t>
  </si>
  <si>
    <t>jasbirsingh_2007@rediff</t>
  </si>
  <si>
    <t>A030658647</t>
  </si>
  <si>
    <t>Sumut Kujur</t>
  </si>
  <si>
    <t>04/12/1997</t>
  </si>
  <si>
    <t>kujursumit420@gmail.</t>
  </si>
  <si>
    <t>A030797066</t>
  </si>
  <si>
    <t>Mayna Gorai</t>
  </si>
  <si>
    <t>31-05-1988</t>
  </si>
  <si>
    <t>21-07-2020</t>
  </si>
  <si>
    <t>q002465129</t>
  </si>
  <si>
    <t>Harpreet singh</t>
  </si>
  <si>
    <t>17/02/2002</t>
  </si>
  <si>
    <t>singhharpreet9384@gmail</t>
  </si>
  <si>
    <t>A030853302</t>
  </si>
  <si>
    <t>Ashish Mukhi</t>
  </si>
  <si>
    <t>17/04/2002</t>
  </si>
  <si>
    <t>23-07-2020</t>
  </si>
  <si>
    <t>Q002485059</t>
  </si>
  <si>
    <t>Sangeeta Pandey</t>
  </si>
  <si>
    <t>15/12/1984</t>
  </si>
  <si>
    <t>28-07-2020</t>
  </si>
  <si>
    <t>shailendrakumarpandey65@g</t>
  </si>
  <si>
    <t>Q002491658</t>
  </si>
  <si>
    <t>Nasim Ahmad</t>
  </si>
  <si>
    <t>30/12/1973</t>
  </si>
  <si>
    <t>31-07-2020</t>
  </si>
  <si>
    <t>Q002496257</t>
  </si>
  <si>
    <t>02-08-2020</t>
  </si>
  <si>
    <t>A031049102</t>
  </si>
  <si>
    <t>Sulekha Pal</t>
  </si>
  <si>
    <t>A031045366</t>
  </si>
  <si>
    <t>Pankaj Kumar Upadhyay</t>
  </si>
  <si>
    <t>24/03/2001</t>
  </si>
  <si>
    <t>pankajsanju2403@gmail.com</t>
  </si>
  <si>
    <t>A031275494</t>
  </si>
  <si>
    <t>Shanti Devi</t>
  </si>
  <si>
    <t>01-01-1958</t>
  </si>
  <si>
    <t>13-08-2020</t>
  </si>
  <si>
    <t>A031352081</t>
  </si>
  <si>
    <t>Kriti Pandey</t>
  </si>
  <si>
    <t>24-07-2002</t>
  </si>
  <si>
    <t>15-08-2020</t>
  </si>
  <si>
    <t>kritipandey1412@gmail</t>
  </si>
  <si>
    <t>Q002511229</t>
  </si>
  <si>
    <t>Q002514352</t>
  </si>
  <si>
    <t>Amjad Khan</t>
  </si>
  <si>
    <t>Q002538908</t>
  </si>
  <si>
    <t>Rajni kant Sinha</t>
  </si>
  <si>
    <t>06-01-1968</t>
  </si>
  <si>
    <t>17-08-2020</t>
  </si>
  <si>
    <t>arajnikant@gmail</t>
  </si>
  <si>
    <t>A031430476</t>
  </si>
  <si>
    <t>Reeta Devi</t>
  </si>
  <si>
    <t>31-12-1976</t>
  </si>
  <si>
    <t>18-08-2020</t>
  </si>
  <si>
    <t>surajrathorebr@gmail.com</t>
  </si>
  <si>
    <t>Q002540472</t>
  </si>
  <si>
    <t>Sangeet Singh</t>
  </si>
  <si>
    <t>12-05-1982</t>
  </si>
  <si>
    <t>sangeetasinghdixit@gmail.com</t>
  </si>
  <si>
    <t>A031443299</t>
  </si>
  <si>
    <t>Surbhi Kumari</t>
  </si>
  <si>
    <t>03-07-2001</t>
  </si>
  <si>
    <t>surbhisinghjsr03@gmail.com</t>
  </si>
  <si>
    <t>Q002543507</t>
  </si>
  <si>
    <t>13-03-1973</t>
  </si>
  <si>
    <t>19-8-2020</t>
  </si>
  <si>
    <t>sanjay@minusoft</t>
  </si>
  <si>
    <t>A031513771</t>
  </si>
  <si>
    <t>Rahul Modak</t>
  </si>
  <si>
    <t>16-07-2002</t>
  </si>
  <si>
    <t>20-08-2020</t>
  </si>
  <si>
    <t>A031530487</t>
  </si>
  <si>
    <t>Sita Thakur</t>
  </si>
  <si>
    <t>10-05-1988</t>
  </si>
  <si>
    <t>snehabag56@gmail.co</t>
  </si>
  <si>
    <t>A031403704</t>
  </si>
  <si>
    <t>Ruma Sahu</t>
  </si>
  <si>
    <t>13-11-1989</t>
  </si>
  <si>
    <t>22-08-2020</t>
  </si>
  <si>
    <t>rajusahu4085@gmail.</t>
  </si>
  <si>
    <t>Q002551595</t>
  </si>
  <si>
    <t>Arbaz Ahmad</t>
  </si>
  <si>
    <t>20-05-2002</t>
  </si>
  <si>
    <t>21-08-2020</t>
  </si>
  <si>
    <t>arbazahmad273@gmail</t>
  </si>
  <si>
    <t>A031540785</t>
  </si>
  <si>
    <t>Jamila Bibi Khatoon</t>
  </si>
  <si>
    <t>31-12-1946</t>
  </si>
  <si>
    <t>mdmusaabamirhamza662@g</t>
  </si>
  <si>
    <t>A031607379</t>
  </si>
  <si>
    <t>Sanjeev Honhaga</t>
  </si>
  <si>
    <t>14-12-1994</t>
  </si>
  <si>
    <t>24-08-2020</t>
  </si>
  <si>
    <t>krishnastore001@gmail.com</t>
  </si>
  <si>
    <t>A031644367</t>
  </si>
  <si>
    <t>Priya Mukhi</t>
  </si>
  <si>
    <t>25-08-2020</t>
  </si>
  <si>
    <t>amarmukhi2627@gmail.com</t>
  </si>
  <si>
    <t>Q002563605</t>
  </si>
  <si>
    <t>Radhe Ravidas</t>
  </si>
  <si>
    <t>04-06-1972</t>
  </si>
  <si>
    <t>Q002563895</t>
  </si>
  <si>
    <t>Chandrama Devi</t>
  </si>
  <si>
    <t>01-01-1939</t>
  </si>
  <si>
    <t>vermark1503@gmail.com</t>
  </si>
  <si>
    <t>A031701659</t>
  </si>
  <si>
    <t>Rashmi Kumari Pandey</t>
  </si>
  <si>
    <t>11/07/1991</t>
  </si>
  <si>
    <t>A031701293</t>
  </si>
  <si>
    <t>Dilip Das</t>
  </si>
  <si>
    <t>A031742775</t>
  </si>
  <si>
    <t>Rita Shukla</t>
  </si>
  <si>
    <t>27-08-2020</t>
  </si>
  <si>
    <t>A031715597</t>
  </si>
  <si>
    <t>Kavita</t>
  </si>
  <si>
    <t>01/01/1983</t>
  </si>
  <si>
    <t>30-08-2020</t>
  </si>
  <si>
    <t>A031786304</t>
  </si>
  <si>
    <t>Sujata Kumari</t>
  </si>
  <si>
    <t>16/03/1996</t>
  </si>
  <si>
    <t>29-08-2020</t>
  </si>
  <si>
    <t>A031786532</t>
  </si>
  <si>
    <t>Payal Kumari</t>
  </si>
  <si>
    <t>17/03/1999</t>
  </si>
  <si>
    <t>A031794882</t>
  </si>
  <si>
    <t>Shanta paper Mill</t>
  </si>
  <si>
    <t>23/08/2020</t>
  </si>
  <si>
    <t>31-08-2020</t>
  </si>
  <si>
    <t>A031857318</t>
  </si>
  <si>
    <t>Tanweer Ejaz Khan</t>
  </si>
  <si>
    <t>02/08/1999</t>
  </si>
  <si>
    <t>ec.99.2019@gmail.com</t>
  </si>
  <si>
    <t>A031877344</t>
  </si>
  <si>
    <t>Shazia Khanam</t>
  </si>
  <si>
    <t>14/05/1987</t>
  </si>
  <si>
    <t>01-09-2020</t>
  </si>
  <si>
    <t>kalimrahi01@gmail.com</t>
  </si>
  <si>
    <t>A031892754</t>
  </si>
  <si>
    <t>Mahesh Saw</t>
  </si>
  <si>
    <t>10/03/1965</t>
  </si>
  <si>
    <t>A031892132</t>
  </si>
  <si>
    <t>15/01/1967</t>
  </si>
  <si>
    <t>A032049025</t>
  </si>
  <si>
    <t>Anusuya Mahato</t>
  </si>
  <si>
    <t>10/05/1997</t>
  </si>
  <si>
    <t>06-09-2020</t>
  </si>
  <si>
    <t>07-09-2020</t>
  </si>
  <si>
    <t>anusuya.cbs.201@gmail.com</t>
  </si>
  <si>
    <t>A032050037</t>
  </si>
  <si>
    <t>Chhaya Rani Mahato</t>
  </si>
  <si>
    <t>12/03/2001</t>
  </si>
  <si>
    <t>chhayarani.cbs201@gmail.com</t>
  </si>
  <si>
    <t>Q002604269</t>
  </si>
  <si>
    <t>Paranjit Singh</t>
  </si>
  <si>
    <t>31/10/1974</t>
  </si>
  <si>
    <t>jasbir.singh62044@gmail.om</t>
  </si>
  <si>
    <t>A032008829</t>
  </si>
  <si>
    <t>25/08/2002</t>
  </si>
  <si>
    <t>Q002604868</t>
  </si>
  <si>
    <t xml:space="preserve">Poornima </t>
  </si>
  <si>
    <t>10/09/1976</t>
  </si>
  <si>
    <t>jaipaljsr225@gmail.com</t>
  </si>
  <si>
    <t>A032042943</t>
  </si>
  <si>
    <t>Gandheswari Gorai</t>
  </si>
  <si>
    <t>Q002614664</t>
  </si>
  <si>
    <t>Ashim Kumar Mitra</t>
  </si>
  <si>
    <t>02/01/1968</t>
  </si>
  <si>
    <t>A032114436</t>
  </si>
  <si>
    <t>Raju Gorai</t>
  </si>
  <si>
    <t>17/07/1999</t>
  </si>
  <si>
    <t>08-09-2020</t>
  </si>
  <si>
    <t>q002614434</t>
  </si>
  <si>
    <t>Sanjeev Kumar Mishra</t>
  </si>
  <si>
    <t>05/11/1968</t>
  </si>
  <si>
    <t>Q002619231</t>
  </si>
  <si>
    <t>Lankalpalli Ravi Kumar</t>
  </si>
  <si>
    <t>23/02/1973</t>
  </si>
  <si>
    <t>Q002620433</t>
  </si>
  <si>
    <t>Md Irsad</t>
  </si>
  <si>
    <t>25/10/1972</t>
  </si>
  <si>
    <t>09-09-2020</t>
  </si>
  <si>
    <t>A032225533</t>
  </si>
  <si>
    <t>Sonam Kumari</t>
  </si>
  <si>
    <t>21-08-2001</t>
  </si>
  <si>
    <t>11-09-2020</t>
  </si>
  <si>
    <t>skofficial2307@g</t>
  </si>
  <si>
    <t>a032261444</t>
  </si>
  <si>
    <t>Apurva Kumari</t>
  </si>
  <si>
    <t>20/03/2000</t>
  </si>
  <si>
    <t>12-09-2020</t>
  </si>
  <si>
    <t>15-09-2020</t>
  </si>
  <si>
    <t>A032283354</t>
  </si>
  <si>
    <t>Mohammad Riyazuddin</t>
  </si>
  <si>
    <t>02/01/1981</t>
  </si>
  <si>
    <t>A032261886</t>
  </si>
  <si>
    <t>Aman Shukla</t>
  </si>
  <si>
    <t>21-02-1999</t>
  </si>
  <si>
    <t>A032350030</t>
  </si>
  <si>
    <t>Sunita Rajak</t>
  </si>
  <si>
    <t>01/01/1989</t>
  </si>
  <si>
    <t>A032382932</t>
  </si>
  <si>
    <t>Priya Mahato</t>
  </si>
  <si>
    <t>21/09/2001</t>
  </si>
  <si>
    <t>16-09-2020</t>
  </si>
  <si>
    <t>A032413582</t>
  </si>
  <si>
    <t>Suman Dutta</t>
  </si>
  <si>
    <t>26/01/1969</t>
  </si>
  <si>
    <t>sumandutta26jan@gmail.com</t>
  </si>
  <si>
    <t>A032397380</t>
  </si>
  <si>
    <t>JOGENDRA</t>
  </si>
  <si>
    <t>14/11/1955</t>
  </si>
  <si>
    <t>sonukumarasa787@g</t>
  </si>
  <si>
    <t>A032372609</t>
  </si>
  <si>
    <t>Atma Devi</t>
  </si>
  <si>
    <t>31-12-1954</t>
  </si>
  <si>
    <t>bbpdamit@gmail.com</t>
  </si>
  <si>
    <t>A032433251</t>
  </si>
  <si>
    <t>Mina Kumar Singh</t>
  </si>
  <si>
    <t>31-01-1965</t>
  </si>
  <si>
    <t>17-09-2020</t>
  </si>
  <si>
    <t>A032425825</t>
  </si>
  <si>
    <t>jagjeet singh Gill</t>
  </si>
  <si>
    <t>19-03-2002</t>
  </si>
  <si>
    <t>jagjeetsinghgill42600@gmail</t>
  </si>
  <si>
    <t>Q002656080</t>
  </si>
  <si>
    <t>Q002656219</t>
  </si>
  <si>
    <t>28/05/205</t>
  </si>
  <si>
    <t>18-09-2020</t>
  </si>
  <si>
    <t>Q002658280</t>
  </si>
  <si>
    <t>Aaquil Hasan</t>
  </si>
  <si>
    <t>02/06/1973</t>
  </si>
  <si>
    <t>zhasan987@gmail.com</t>
  </si>
  <si>
    <t>Q002658622</t>
  </si>
  <si>
    <t>Gargi Chowdhury</t>
  </si>
  <si>
    <t>02/11/1976</t>
  </si>
  <si>
    <t>A032531520</t>
  </si>
  <si>
    <t>Rahmatun Nisha</t>
  </si>
  <si>
    <t>01/01/1987</t>
  </si>
  <si>
    <t>20-09-2020</t>
  </si>
  <si>
    <t>Q002665098</t>
  </si>
  <si>
    <t>Sarbani Gupta</t>
  </si>
  <si>
    <t>18/12/1967</t>
  </si>
  <si>
    <t>19-09-2020</t>
  </si>
  <si>
    <t>sdd392487@gmail.com</t>
  </si>
  <si>
    <t>Q002557272</t>
  </si>
  <si>
    <t>Mandavi Pandey</t>
  </si>
  <si>
    <t>23/01/1976</t>
  </si>
  <si>
    <t>23-08-2020</t>
  </si>
  <si>
    <t>Q002683590</t>
  </si>
  <si>
    <t>Nasrul Hassan</t>
  </si>
  <si>
    <t>25/09/1979</t>
  </si>
  <si>
    <t>24-09-2020</t>
  </si>
  <si>
    <t>A032673524</t>
  </si>
  <si>
    <t>Rita Gorai</t>
  </si>
  <si>
    <t>01/01/1993</t>
  </si>
  <si>
    <t>DJAPG3830A</t>
  </si>
  <si>
    <t>sanjay1@minusoft.co.in</t>
  </si>
  <si>
    <t>Aatma Devi</t>
  </si>
  <si>
    <t>31/12/1954</t>
  </si>
  <si>
    <t>A033058505</t>
  </si>
  <si>
    <t>Ruchit Sharma</t>
  </si>
  <si>
    <t>17/11/2001</t>
  </si>
  <si>
    <t>06-10-2020</t>
  </si>
  <si>
    <t>A033229596</t>
  </si>
  <si>
    <t>Kanchan Pal</t>
  </si>
  <si>
    <t>12-12-1990</t>
  </si>
  <si>
    <t>12-10-2020</t>
  </si>
  <si>
    <t>sanjaygorai000@gmail.com</t>
  </si>
  <si>
    <t>A033391336</t>
  </si>
  <si>
    <t>Arti Samad</t>
  </si>
  <si>
    <t>29-11-2006</t>
  </si>
  <si>
    <t>17-10-2020</t>
  </si>
  <si>
    <t>A033256911</t>
  </si>
  <si>
    <t>Shek Kabir</t>
  </si>
  <si>
    <t>09-08-2000</t>
  </si>
  <si>
    <t>A033256569</t>
  </si>
  <si>
    <t>Farhat Imam</t>
  </si>
  <si>
    <t>03-03-1970</t>
  </si>
  <si>
    <t>Q002687236</t>
  </si>
  <si>
    <t>Renu Singh</t>
  </si>
  <si>
    <t>05-04-1988</t>
  </si>
  <si>
    <t>25-09-2020</t>
  </si>
  <si>
    <t>A032704322</t>
  </si>
  <si>
    <t>Areetra Sur</t>
  </si>
  <si>
    <t>01-01-2001</t>
  </si>
  <si>
    <t>A032758838</t>
  </si>
  <si>
    <t>Anuradha Pandey</t>
  </si>
  <si>
    <t>04-04-2002</t>
  </si>
  <si>
    <t>26-09-2020</t>
  </si>
  <si>
    <t>A032960561</t>
  </si>
  <si>
    <t>Savita Tiwaty</t>
  </si>
  <si>
    <t>22-10-1985</t>
  </si>
  <si>
    <t>03-10-2020</t>
  </si>
  <si>
    <t>A032987475</t>
  </si>
  <si>
    <t>Seema bhumij</t>
  </si>
  <si>
    <t>02-04-1995</t>
  </si>
  <si>
    <t>A032986268</t>
  </si>
  <si>
    <t>Rahul Prasad</t>
  </si>
  <si>
    <t>26-05-2000</t>
  </si>
  <si>
    <t>Q002723340</t>
  </si>
  <si>
    <t>09/07/1987</t>
  </si>
  <si>
    <t>A031794862</t>
  </si>
  <si>
    <t>Shanta Papers Mill</t>
  </si>
  <si>
    <t>Q002773510</t>
  </si>
  <si>
    <t>Sourav Agarwal</t>
  </si>
  <si>
    <t>03-08-2000</t>
  </si>
  <si>
    <t>16-102020</t>
  </si>
  <si>
    <t>A033417046</t>
  </si>
  <si>
    <t>Kartik Mahato</t>
  </si>
  <si>
    <t>22-07-1997</t>
  </si>
  <si>
    <t>kartikmahato5896@gmail.com</t>
  </si>
  <si>
    <t>A003430912</t>
  </si>
  <si>
    <t>Namita Mahato</t>
  </si>
  <si>
    <t>01-04-1999</t>
  </si>
  <si>
    <t>18-10-2020</t>
  </si>
  <si>
    <t>q002781982</t>
  </si>
  <si>
    <t>Aakriti Srivastava</t>
  </si>
  <si>
    <t>09-07-1999</t>
  </si>
  <si>
    <t>19-10-2020</t>
  </si>
  <si>
    <t>aakritifocus@gmail.com</t>
  </si>
  <si>
    <t>A033436315</t>
  </si>
  <si>
    <t>Manish Kumar Srivastava</t>
  </si>
  <si>
    <t>10-12-1986</t>
  </si>
  <si>
    <t>manishkumarcomsonu53811@gmail.com</t>
  </si>
  <si>
    <t>A033470736</t>
  </si>
  <si>
    <t>Punam Singh</t>
  </si>
  <si>
    <t>24-06-1986</t>
  </si>
  <si>
    <t>20-10-2020</t>
  </si>
  <si>
    <t>A033471960</t>
  </si>
  <si>
    <t>Sourav Tripathy</t>
  </si>
  <si>
    <t>15-08-1999</t>
  </si>
  <si>
    <t>souravtripathy67@gmail.com</t>
  </si>
  <si>
    <t>A033577251</t>
  </si>
  <si>
    <t>Yashpal Kaur</t>
  </si>
  <si>
    <t>07-06-1974</t>
  </si>
  <si>
    <t>23-10-2020</t>
  </si>
  <si>
    <t>simrankaur100200@g</t>
  </si>
  <si>
    <t>A033590340</t>
  </si>
  <si>
    <t>Md Adeen Khan</t>
  </si>
  <si>
    <t>25-08-2000</t>
  </si>
  <si>
    <t>24-10-2020</t>
  </si>
  <si>
    <t>adeenkhan25@gm</t>
  </si>
  <si>
    <t>A033713062</t>
  </si>
  <si>
    <t>Birbala Sinha</t>
  </si>
  <si>
    <t>01-10-1999</t>
  </si>
  <si>
    <t>29-10-2020</t>
  </si>
  <si>
    <t>shashi.shiv87@g</t>
  </si>
  <si>
    <t>A033662387</t>
  </si>
  <si>
    <t>Abhishek Kumar Vaibhav</t>
  </si>
  <si>
    <t>27-10-2002</t>
  </si>
  <si>
    <t>28-10-2020</t>
  </si>
  <si>
    <t>abhishek27kv@g</t>
  </si>
  <si>
    <t>A033736738</t>
  </si>
  <si>
    <t>Rumi Khatoon</t>
  </si>
  <si>
    <t>01-02-1988</t>
  </si>
  <si>
    <t>30-10-2020</t>
  </si>
  <si>
    <t>rumikhan5304@g</t>
  </si>
  <si>
    <t>A033736955</t>
  </si>
  <si>
    <t>Nisha Kumari</t>
  </si>
  <si>
    <t>05-12-1989</t>
  </si>
  <si>
    <t>sanjay1@mi</t>
  </si>
  <si>
    <t>Q002822653</t>
  </si>
  <si>
    <t>21-04-1964</t>
  </si>
  <si>
    <t>31-10-2020</t>
  </si>
  <si>
    <t>Q002823218</t>
  </si>
  <si>
    <t>16-02-2000</t>
  </si>
  <si>
    <t>tamojitdutta2000@gmai</t>
  </si>
  <si>
    <t>Q002823255</t>
  </si>
  <si>
    <t>Tamojoy Dutta</t>
  </si>
  <si>
    <t>tamojoyduta2000@g</t>
  </si>
  <si>
    <t>A033805176</t>
  </si>
  <si>
    <t>Meena Devi</t>
  </si>
  <si>
    <t>30-08-1967</t>
  </si>
  <si>
    <t>03-11-2020</t>
  </si>
  <si>
    <t>sanja1@minusoft.co.in</t>
  </si>
  <si>
    <t>Q002830487</t>
  </si>
  <si>
    <t>Dayananad Prasad</t>
  </si>
  <si>
    <t>04-06-1966</t>
  </si>
  <si>
    <t>02-11-2020</t>
  </si>
  <si>
    <t>Q002837452</t>
  </si>
  <si>
    <t>20-10-2002</t>
  </si>
  <si>
    <t>04-11-2020</t>
  </si>
  <si>
    <t>A033831104</t>
  </si>
  <si>
    <t>Bhawna</t>
  </si>
  <si>
    <t>30-10-2000</t>
  </si>
  <si>
    <t>A033854012</t>
  </si>
  <si>
    <t>Surjeet Kumar Panday</t>
  </si>
  <si>
    <t>20-04-1999</t>
  </si>
  <si>
    <t>A033868560</t>
  </si>
  <si>
    <t>Neha Singh</t>
  </si>
  <si>
    <t>26-12-2000</t>
  </si>
  <si>
    <t>05-11-2020</t>
  </si>
  <si>
    <t>ns966310@gmail.com</t>
  </si>
  <si>
    <t>A033938318</t>
  </si>
  <si>
    <t>Ahmad Shahbaz</t>
  </si>
  <si>
    <t>15-11-1994</t>
  </si>
  <si>
    <t>08-11-2020</t>
  </si>
  <si>
    <t>A033943925</t>
  </si>
  <si>
    <t>Suraj Kumar Chhatar</t>
  </si>
  <si>
    <t>11-09-1999</t>
  </si>
  <si>
    <t>A034090613</t>
  </si>
  <si>
    <t>Sarfaraz Akhtar</t>
  </si>
  <si>
    <t>27-12-2000</t>
  </si>
  <si>
    <t>15-11-2020</t>
  </si>
  <si>
    <t>A034050150</t>
  </si>
  <si>
    <t>Suku Tudu</t>
  </si>
  <si>
    <t>01-01-1973</t>
  </si>
  <si>
    <t>12-11-2020</t>
  </si>
  <si>
    <t>A034102950</t>
  </si>
  <si>
    <t>Gunjan Kumari</t>
  </si>
  <si>
    <t>05-03-1998</t>
  </si>
  <si>
    <t>16-11-2020</t>
  </si>
  <si>
    <t>gunjankumarijsr@gma</t>
  </si>
  <si>
    <t>A034114147</t>
  </si>
  <si>
    <t>Sharya Naaz</t>
  </si>
  <si>
    <t>31-03-2002</t>
  </si>
  <si>
    <t>Q002889015</t>
  </si>
  <si>
    <t>Manju Verma</t>
  </si>
  <si>
    <t>26-05-1963</t>
  </si>
  <si>
    <t>19-11-2020</t>
  </si>
  <si>
    <t>sanjay1@gma</t>
  </si>
  <si>
    <t>Q002894311</t>
  </si>
  <si>
    <t>07-03-1971</t>
  </si>
  <si>
    <t>21-11-2020</t>
  </si>
  <si>
    <t>23-11-2020</t>
  </si>
  <si>
    <t>desiringdilipkumar@gmail.com</t>
  </si>
  <si>
    <t>A034279055</t>
  </si>
  <si>
    <t>Ravinder Kaur</t>
  </si>
  <si>
    <t>15/05/2002</t>
  </si>
  <si>
    <t>Q002884852</t>
  </si>
  <si>
    <t>Moti Devi</t>
  </si>
  <si>
    <t>31/12/1956</t>
  </si>
  <si>
    <t>24-11-2020</t>
  </si>
  <si>
    <t>A034381164</t>
  </si>
  <si>
    <t>13-11-2002</t>
  </si>
  <si>
    <t>27-11-2020</t>
  </si>
  <si>
    <t>anshuk497@gmail.com</t>
  </si>
  <si>
    <t>A034414332</t>
  </si>
  <si>
    <t>Shital Mukhi</t>
  </si>
  <si>
    <t>29/11/1993</t>
  </si>
  <si>
    <t>29-11-2020</t>
  </si>
  <si>
    <t>A034420642</t>
  </si>
  <si>
    <t>A034430742</t>
  </si>
  <si>
    <t>Jaishankar Pandey</t>
  </si>
  <si>
    <t>27-12-1974</t>
  </si>
  <si>
    <t>30-11-2020</t>
  </si>
  <si>
    <t>034466141</t>
  </si>
  <si>
    <t>Jyoti Prakash</t>
  </si>
  <si>
    <t>07/06/2002</t>
  </si>
  <si>
    <t>01-12-2020</t>
  </si>
  <si>
    <t>A034502001</t>
  </si>
  <si>
    <t>Vilasi Mahato</t>
  </si>
  <si>
    <t>13/09/1978</t>
  </si>
  <si>
    <t>03-12-2020</t>
  </si>
  <si>
    <t>04-12-2020</t>
  </si>
  <si>
    <t>A034549664</t>
  </si>
  <si>
    <t>Rimi Bristi</t>
  </si>
  <si>
    <t>12/09/2001</t>
  </si>
  <si>
    <t>A034550771</t>
  </si>
  <si>
    <t>Shobharani Mahato</t>
  </si>
  <si>
    <t>A034577510</t>
  </si>
  <si>
    <t>Ayush Kumar Mishra</t>
  </si>
  <si>
    <t>27/09/2002</t>
  </si>
  <si>
    <t>05-12-2020</t>
  </si>
  <si>
    <t>binay.mishra@cummins.com</t>
  </si>
  <si>
    <t>A034566884</t>
  </si>
  <si>
    <t>Mohammad Nadim</t>
  </si>
  <si>
    <t>25/11/2002</t>
  </si>
  <si>
    <t>A034602674</t>
  </si>
  <si>
    <t>Jagdish Mahato</t>
  </si>
  <si>
    <t>19/12/2001</t>
  </si>
  <si>
    <t>06-12-2020</t>
  </si>
  <si>
    <t>Jagdishmahato316@gmail.com</t>
  </si>
  <si>
    <t>Q002960682</t>
  </si>
  <si>
    <t>Shesasis Mohanty</t>
  </si>
  <si>
    <t>04-04-1987</t>
  </si>
  <si>
    <t>08-12-2020</t>
  </si>
  <si>
    <t>shesasismohanty@g</t>
  </si>
  <si>
    <t>Q002962902</t>
  </si>
  <si>
    <t>Sumit Kumar</t>
  </si>
  <si>
    <t>26/10/2000</t>
  </si>
  <si>
    <t>09-12-2020</t>
  </si>
  <si>
    <t>sumitkingg786@gmail.com</t>
  </si>
  <si>
    <t>A034657859</t>
  </si>
  <si>
    <t>Manoj Sahu</t>
  </si>
  <si>
    <t>25/11/1978</t>
  </si>
  <si>
    <t>A034670693</t>
  </si>
  <si>
    <t>Navin Kumar Sharma</t>
  </si>
  <si>
    <t>05/12/2002</t>
  </si>
  <si>
    <t>nandasharma77500@gmail.com</t>
  </si>
  <si>
    <t>Q002976100</t>
  </si>
  <si>
    <t>Katadi Rajesh</t>
  </si>
  <si>
    <t>24/08/1988</t>
  </si>
  <si>
    <t>13-12-2020</t>
  </si>
  <si>
    <t>Q002976030</t>
  </si>
  <si>
    <t>Katadi Suresh</t>
  </si>
  <si>
    <t>15/06/1990</t>
  </si>
  <si>
    <t>A034739581</t>
  </si>
  <si>
    <t>Bangi Murmu</t>
  </si>
  <si>
    <t>Q002985287</t>
  </si>
  <si>
    <t>Beena Mahato</t>
  </si>
  <si>
    <t>02/03/1999</t>
  </si>
  <si>
    <t>14-12-2020</t>
  </si>
  <si>
    <t>16-12-2020</t>
  </si>
  <si>
    <t>beenamahato1@gmail.com</t>
  </si>
  <si>
    <t>Q002989305</t>
  </si>
  <si>
    <t>Sanjay Sharma</t>
  </si>
  <si>
    <t>10/05/1993</t>
  </si>
  <si>
    <t>15-12-2020</t>
  </si>
  <si>
    <t>A034834090</t>
  </si>
  <si>
    <t>Mamta Kumari</t>
  </si>
  <si>
    <t>17/01/1985</t>
  </si>
  <si>
    <t>A034865816</t>
  </si>
  <si>
    <t>Bipin Kumar Sah</t>
  </si>
  <si>
    <t>18/09/2003</t>
  </si>
  <si>
    <t>bipinkumarbipin676@gmail.com</t>
  </si>
  <si>
    <t>Q002994196</t>
  </si>
  <si>
    <t>Kunal Mehta</t>
  </si>
  <si>
    <t>25/12/1978</t>
  </si>
  <si>
    <t>A034882032</t>
  </si>
  <si>
    <t>Abhishek Mishra</t>
  </si>
  <si>
    <t>06-03-1999</t>
  </si>
  <si>
    <t>17-12-2020</t>
  </si>
  <si>
    <t>ahishekntp418773@g</t>
  </si>
  <si>
    <t>A035034153</t>
  </si>
  <si>
    <t>Priya Priyansha</t>
  </si>
  <si>
    <t>06/09/1997</t>
  </si>
  <si>
    <t>22/12/2020</t>
  </si>
  <si>
    <t>A035033622</t>
  </si>
  <si>
    <t>Mamta Sinha</t>
  </si>
  <si>
    <t>25/02/1973</t>
  </si>
  <si>
    <t>A035055883</t>
  </si>
  <si>
    <t>Tithi Nandi</t>
  </si>
  <si>
    <t>02/12/2002</t>
  </si>
  <si>
    <t>A035133532</t>
  </si>
  <si>
    <t>Somesh Patnaik</t>
  </si>
  <si>
    <t>02/03/1998</t>
  </si>
  <si>
    <t>24/12/2020</t>
  </si>
  <si>
    <t>25-12-2020</t>
  </si>
  <si>
    <t>A035171956</t>
  </si>
  <si>
    <t>Ratna Patra</t>
  </si>
  <si>
    <t>23/05/1996</t>
  </si>
  <si>
    <t>25/12/2020</t>
  </si>
  <si>
    <t>ratnapatra235@gmail.com</t>
  </si>
  <si>
    <t>A035192359</t>
  </si>
  <si>
    <t>Ravi Mahanandi</t>
  </si>
  <si>
    <t>01-08-1993</t>
  </si>
  <si>
    <t>26-12-2020</t>
  </si>
  <si>
    <t>sanjay1</t>
  </si>
  <si>
    <t>A035193519</t>
  </si>
  <si>
    <t>Kumari Pratyusha</t>
  </si>
  <si>
    <t>25-09-2000</t>
  </si>
  <si>
    <t>kumaripratyusha20@g</t>
  </si>
  <si>
    <t>A035198889</t>
  </si>
  <si>
    <t>Vishwanath Anand Sahu</t>
  </si>
  <si>
    <t>22-12-2002</t>
  </si>
  <si>
    <t>27-12-2020</t>
  </si>
  <si>
    <t>vishwanathsahu580@g</t>
  </si>
  <si>
    <t>Q003049535</t>
  </si>
  <si>
    <t>Pravin kumar sinha</t>
  </si>
  <si>
    <t>12-03-1982</t>
  </si>
  <si>
    <t>28-12-2020</t>
  </si>
  <si>
    <t>pravs.sinha@gmail.com</t>
  </si>
  <si>
    <t>A035241725</t>
  </si>
  <si>
    <t>kriti sinha</t>
  </si>
  <si>
    <t>24-12-1985</t>
  </si>
  <si>
    <t>A035261591</t>
  </si>
  <si>
    <t>Ranjita Patnaik</t>
  </si>
  <si>
    <t>09-11-1967</t>
  </si>
  <si>
    <t>29-12-2020</t>
  </si>
  <si>
    <t>A035262153</t>
  </si>
  <si>
    <t>Mustari Amir</t>
  </si>
  <si>
    <t>08-04-1981</t>
  </si>
  <si>
    <t>A035297504</t>
  </si>
  <si>
    <t>Shoaib Akhtar</t>
  </si>
  <si>
    <t>15-03-2000</t>
  </si>
  <si>
    <t>Q003070693</t>
  </si>
  <si>
    <t>Mohammed Imran Akhter</t>
  </si>
  <si>
    <t>07/06/1986</t>
  </si>
  <si>
    <t>02-01-2021</t>
  </si>
  <si>
    <t>Q003074960</t>
  </si>
  <si>
    <t>Aditi Lal</t>
  </si>
  <si>
    <t>11-07-2000</t>
  </si>
  <si>
    <t>03-01-2021</t>
  </si>
  <si>
    <t>aditi.athemolinete@gmai</t>
  </si>
  <si>
    <t>A035418092</t>
  </si>
  <si>
    <t>Umesh Devi</t>
  </si>
  <si>
    <t>01-01-1945</t>
  </si>
  <si>
    <t>A035464692</t>
  </si>
  <si>
    <t>Pratibha Prasad</t>
  </si>
  <si>
    <t>06-07-1965</t>
  </si>
  <si>
    <t>04-01-2021</t>
  </si>
  <si>
    <t>himanshukumar15926@g</t>
  </si>
  <si>
    <t>Q003080995</t>
  </si>
  <si>
    <t>Himani Tripathi</t>
  </si>
  <si>
    <t>23-02-1999</t>
  </si>
  <si>
    <t>himanitripathi23@g</t>
  </si>
  <si>
    <t>A035556071</t>
  </si>
  <si>
    <t>Sunita Tripathi</t>
  </si>
  <si>
    <t>15-09-1974</t>
  </si>
  <si>
    <t>07-01-2021</t>
  </si>
  <si>
    <t>adikumar8976@gmail</t>
  </si>
  <si>
    <t>A035555792</t>
  </si>
  <si>
    <t>Sulekha Kumari</t>
  </si>
  <si>
    <t>23-08-1999</t>
  </si>
  <si>
    <t>vishwajee.kumar1506@g</t>
  </si>
  <si>
    <t>A035567292</t>
  </si>
  <si>
    <t>Swadesh Sahoo</t>
  </si>
  <si>
    <t>22-04-1984</t>
  </si>
  <si>
    <t>08-01-2021</t>
  </si>
  <si>
    <t>Q003104107</t>
  </si>
  <si>
    <t>Rimjhim Kumari</t>
  </si>
  <si>
    <t>03-12-2002</t>
  </si>
  <si>
    <t>09-01-2021</t>
  </si>
  <si>
    <t>A035624155</t>
  </si>
  <si>
    <t>Krittibas Mahata</t>
  </si>
  <si>
    <t>04-12-1989</t>
  </si>
  <si>
    <t>krittibasvp@g</t>
  </si>
  <si>
    <t>A035692738</t>
  </si>
  <si>
    <t>Pinky Devi</t>
  </si>
  <si>
    <t>13-01-2021</t>
  </si>
  <si>
    <t>Q003123001</t>
  </si>
  <si>
    <t>Chandan Kumar</t>
  </si>
  <si>
    <t>21/06/1987</t>
  </si>
  <si>
    <t>14-01-2021</t>
  </si>
  <si>
    <t>A035806175</t>
  </si>
  <si>
    <t>Batash Pal</t>
  </si>
  <si>
    <t>01/01/2002</t>
  </si>
  <si>
    <t>15-01-2021</t>
  </si>
  <si>
    <t>A035818879</t>
  </si>
  <si>
    <t>Rina Singh</t>
  </si>
  <si>
    <t>06-09-1981</t>
  </si>
  <si>
    <t>A035823790</t>
  </si>
  <si>
    <t>Jahangir Alam</t>
  </si>
  <si>
    <t>01/12/1980</t>
  </si>
  <si>
    <t>A035856242</t>
  </si>
  <si>
    <t>Niraj Kumar</t>
  </si>
  <si>
    <t>10/10/2002</t>
  </si>
  <si>
    <t>16-01-2021</t>
  </si>
  <si>
    <t>A035915641</t>
  </si>
  <si>
    <t>18-01-2021</t>
  </si>
  <si>
    <t>A035911476</t>
  </si>
  <si>
    <t>Jaya Kumari</t>
  </si>
  <si>
    <t>25/12/1993</t>
  </si>
  <si>
    <t>A035915480</t>
  </si>
  <si>
    <t>Awanti Devi</t>
  </si>
  <si>
    <t>03/03/1964</t>
  </si>
  <si>
    <t>Q003140963</t>
  </si>
  <si>
    <t>Sarjit Singh</t>
  </si>
  <si>
    <t>23/05/1947</t>
  </si>
  <si>
    <t>A035915799</t>
  </si>
  <si>
    <t>Suraj Kumar</t>
  </si>
  <si>
    <t>16-11-2002</t>
  </si>
  <si>
    <t>19-01-2021</t>
  </si>
  <si>
    <t>sk.sidharth29@g</t>
  </si>
  <si>
    <t>Q003154813</t>
  </si>
  <si>
    <t>Binod Bhumij</t>
  </si>
  <si>
    <t>A036019548</t>
  </si>
  <si>
    <t>23/01/2002</t>
  </si>
  <si>
    <t>A035870709</t>
  </si>
  <si>
    <t>Wajid Ali</t>
  </si>
  <si>
    <t>11/03/2001</t>
  </si>
  <si>
    <t>Q003173631</t>
  </si>
  <si>
    <t>Seema Roy</t>
  </si>
  <si>
    <t>29/08/1966</t>
  </si>
  <si>
    <t>24-01-2021</t>
  </si>
  <si>
    <t>A036166172</t>
  </si>
  <si>
    <t>Mangal Lohar</t>
  </si>
  <si>
    <t>01/01/2001</t>
  </si>
  <si>
    <t>25-01-2021</t>
  </si>
  <si>
    <t>A036231980</t>
  </si>
  <si>
    <t>Devarpalli Dev</t>
  </si>
  <si>
    <t>27-01-2021</t>
  </si>
  <si>
    <t>A036368387</t>
  </si>
  <si>
    <t>Kamaljeet Manni Singh</t>
  </si>
  <si>
    <t>16/10/2002</t>
  </si>
  <si>
    <t>31-01-2021</t>
  </si>
  <si>
    <t>A036368528</t>
  </si>
  <si>
    <t>Hritik Kumar Shrivastava</t>
  </si>
  <si>
    <t>27-06-2001</t>
  </si>
  <si>
    <t>A0362380139</t>
  </si>
  <si>
    <t>Kanhaiya Singh</t>
  </si>
  <si>
    <t>01-02-1996</t>
  </si>
  <si>
    <t>01-01-2021</t>
  </si>
  <si>
    <t>A036380880</t>
  </si>
  <si>
    <t>Aman Maharana</t>
  </si>
  <si>
    <t>01-02-2021</t>
  </si>
  <si>
    <t>Q003212679</t>
  </si>
  <si>
    <t>Mala Saha</t>
  </si>
  <si>
    <t>01/06/1991</t>
  </si>
  <si>
    <t>Q003221994</t>
  </si>
  <si>
    <t>Dipika Bhattacherjee</t>
  </si>
  <si>
    <t>05/01/1958</t>
  </si>
  <si>
    <t>03-02-2021</t>
  </si>
  <si>
    <t>A036472149</t>
  </si>
  <si>
    <t>06/03-1983</t>
  </si>
  <si>
    <t>A036518383</t>
  </si>
  <si>
    <t>Aman Jha</t>
  </si>
  <si>
    <t>17-03-2002</t>
  </si>
  <si>
    <t>04-02-2021</t>
  </si>
  <si>
    <t>amanjha172002</t>
  </si>
  <si>
    <t>A036518847</t>
  </si>
  <si>
    <t>Soni Jha</t>
  </si>
  <si>
    <t>Q003237242</t>
  </si>
  <si>
    <t>Harbhajan Singh</t>
  </si>
  <si>
    <t>10-08-1945</t>
  </si>
  <si>
    <t>06-02-2020</t>
  </si>
  <si>
    <t>A036539218</t>
  </si>
  <si>
    <t>Q003247998</t>
  </si>
  <si>
    <t>Deepak Jana</t>
  </si>
  <si>
    <t>23/04/1971</t>
  </si>
  <si>
    <t>08/02/2021</t>
  </si>
  <si>
    <t>janadeepak79@gmail.com</t>
  </si>
  <si>
    <t>A036752409</t>
  </si>
  <si>
    <t>Manmoni Tantubay</t>
  </si>
  <si>
    <t>02/09/1981</t>
  </si>
  <si>
    <t>10-02-2021</t>
  </si>
  <si>
    <t>A036752750</t>
  </si>
  <si>
    <t>Subhadra</t>
  </si>
  <si>
    <t>A036814217</t>
  </si>
  <si>
    <t>Mohammad Alam</t>
  </si>
  <si>
    <t>13/09/1986</t>
  </si>
  <si>
    <t>12/02/2021</t>
  </si>
  <si>
    <t>Q003270001</t>
  </si>
  <si>
    <t>Kamlesh Sah</t>
  </si>
  <si>
    <t>A036829239</t>
  </si>
  <si>
    <t>Deepa Munda</t>
  </si>
  <si>
    <t>07/05/1998</t>
  </si>
  <si>
    <t>A036785553</t>
  </si>
  <si>
    <t>Gulapi Mahato</t>
  </si>
  <si>
    <t>10/10/1995</t>
  </si>
  <si>
    <t>11/02/2021</t>
  </si>
  <si>
    <t>Q003270100</t>
  </si>
  <si>
    <t>Ravindra Mahato</t>
  </si>
  <si>
    <t>05/09/1976</t>
  </si>
  <si>
    <t>A036835143</t>
  </si>
  <si>
    <t>Raviranjan Kumar</t>
  </si>
  <si>
    <t>01/05/2001</t>
  </si>
  <si>
    <t>A036881853</t>
  </si>
  <si>
    <t>01/03/1981</t>
  </si>
  <si>
    <t>14/02/2021</t>
  </si>
  <si>
    <t>A036882300</t>
  </si>
  <si>
    <t>Chandan Chakraborty</t>
  </si>
  <si>
    <t>14/04/1977</t>
  </si>
  <si>
    <t>A036881525</t>
  </si>
  <si>
    <t>16/08/1998</t>
  </si>
  <si>
    <t>A036881096</t>
  </si>
  <si>
    <t>Kalpana Routray</t>
  </si>
  <si>
    <t>18/02/1970</t>
  </si>
  <si>
    <t>Q003276854</t>
  </si>
  <si>
    <t>30/10/1970</t>
  </si>
  <si>
    <t>A036885296</t>
  </si>
  <si>
    <t>Anjali Priti</t>
  </si>
  <si>
    <t>23/02/2002</t>
  </si>
  <si>
    <t>Q003293804</t>
  </si>
  <si>
    <t>Mohammad Yahiya</t>
  </si>
  <si>
    <t>12/01/1960</t>
  </si>
  <si>
    <t>17/02/2021</t>
  </si>
  <si>
    <t>18/02/2021</t>
  </si>
  <si>
    <t>Q003293827</t>
  </si>
  <si>
    <t>Hena Chakraborty</t>
  </si>
  <si>
    <t>02/01/1955</t>
  </si>
  <si>
    <t>Q003293817</t>
  </si>
  <si>
    <t>Kamal Kumar Chakraborty</t>
  </si>
  <si>
    <t>05/07/1952</t>
  </si>
  <si>
    <t>A037036550</t>
  </si>
  <si>
    <t>Shahnaz Ali</t>
  </si>
  <si>
    <t>07/10/1991</t>
  </si>
  <si>
    <t>A037055097</t>
  </si>
  <si>
    <t>Aisha Mishra</t>
  </si>
  <si>
    <t>24/08/2002</t>
  </si>
  <si>
    <t>19/02/2021</t>
  </si>
  <si>
    <t>A037056571</t>
  </si>
  <si>
    <t>Meghangee Chowdhury</t>
  </si>
  <si>
    <t>25/08/2001</t>
  </si>
  <si>
    <t>Q003306734</t>
  </si>
  <si>
    <t>11/07/2000</t>
  </si>
  <si>
    <t>20/02/2021</t>
  </si>
  <si>
    <t>Q003306592</t>
  </si>
  <si>
    <t>Chhutu Karmakar</t>
  </si>
  <si>
    <t>16/12/1979</t>
  </si>
  <si>
    <t>A037112293</t>
  </si>
  <si>
    <t>Renuka Munda</t>
  </si>
  <si>
    <t>16/08/1990</t>
  </si>
  <si>
    <t>Q003313813</t>
  </si>
  <si>
    <t>Bhuwan Maitra</t>
  </si>
  <si>
    <t>10/08/1990</t>
  </si>
  <si>
    <t>23/02/2021</t>
  </si>
  <si>
    <t>A037181405</t>
  </si>
  <si>
    <t>Shabana Khatoon</t>
  </si>
  <si>
    <t>27/03/1984</t>
  </si>
  <si>
    <t>Q003322459</t>
  </si>
  <si>
    <t>Sanjiv Kumar Bera</t>
  </si>
  <si>
    <t>04/01/1994</t>
  </si>
  <si>
    <t>Q003322541</t>
  </si>
  <si>
    <t>Shambhavi Jaiswal</t>
  </si>
  <si>
    <t>11/06/1996</t>
  </si>
  <si>
    <t>A037181835</t>
  </si>
  <si>
    <t>Ganga Gorai</t>
  </si>
  <si>
    <t>23/08/1998</t>
  </si>
  <si>
    <t>A037290286</t>
  </si>
  <si>
    <t>Birendar Kumar Yadav</t>
  </si>
  <si>
    <t>03/04/1985</t>
  </si>
  <si>
    <t>26/02/2021</t>
  </si>
  <si>
    <t>A037331107</t>
  </si>
  <si>
    <t>Rahnuma Khanum</t>
  </si>
  <si>
    <t>13/04/1994</t>
  </si>
  <si>
    <t>27/02/2021</t>
  </si>
  <si>
    <t>A037366303</t>
  </si>
  <si>
    <t>Ratnesh Kumar Jha</t>
  </si>
  <si>
    <t>19-11-1974</t>
  </si>
  <si>
    <t>28-02-2021</t>
  </si>
  <si>
    <t>ratnesh74jha@gmail.com</t>
  </si>
  <si>
    <t>A037366037</t>
  </si>
  <si>
    <t>Jyoti Jha</t>
  </si>
  <si>
    <t>02-10-1981</t>
  </si>
  <si>
    <t>jyoti.hr.jha@gmail.com</t>
  </si>
  <si>
    <t>A037410485</t>
  </si>
  <si>
    <t>Santu Singh</t>
  </si>
  <si>
    <t>20-04-1998</t>
  </si>
  <si>
    <t>01-03-2021</t>
  </si>
  <si>
    <t>santusingh192020@gmail.com</t>
  </si>
  <si>
    <t>Q003346938</t>
  </si>
  <si>
    <t>05-04-2020</t>
  </si>
  <si>
    <t>sonipriyanshi339@gmail.com</t>
  </si>
  <si>
    <t>A037416947</t>
  </si>
  <si>
    <t>Durga Kumari</t>
  </si>
  <si>
    <t>06-11-1996</t>
  </si>
  <si>
    <t>02-03-2021</t>
  </si>
  <si>
    <t>Q003353811</t>
  </si>
  <si>
    <t>Braj Mohan Prasad Gupta</t>
  </si>
  <si>
    <t>03/05/1949</t>
  </si>
  <si>
    <t>Q003351076</t>
  </si>
  <si>
    <t>Rakesh Kumar Baranwal</t>
  </si>
  <si>
    <t>05-11-1975</t>
  </si>
  <si>
    <t>Q003357028</t>
  </si>
  <si>
    <t>Lakhhi Devi Sarkar</t>
  </si>
  <si>
    <t>02-03-1978</t>
  </si>
  <si>
    <t>A037485136</t>
  </si>
  <si>
    <t>Sneha Patro</t>
  </si>
  <si>
    <t>19-02-1998</t>
  </si>
  <si>
    <t>03-03-2021</t>
  </si>
  <si>
    <t>Q003364695</t>
  </si>
  <si>
    <t>09/10/1994</t>
  </si>
  <si>
    <t>04-03-2021</t>
  </si>
  <si>
    <t>A037598889</t>
  </si>
  <si>
    <t>Guriya Kumari</t>
  </si>
  <si>
    <t>24/06/2002</t>
  </si>
  <si>
    <t>06-03-2021</t>
  </si>
  <si>
    <t>A037541855</t>
  </si>
  <si>
    <t>Nanda Tiwary</t>
  </si>
  <si>
    <t>01/01/1963</t>
  </si>
  <si>
    <t>A037613244</t>
  </si>
  <si>
    <t>Ritik Maity</t>
  </si>
  <si>
    <t>01/03/2004</t>
  </si>
  <si>
    <t>A037606520</t>
  </si>
  <si>
    <t>23/11/1998</t>
  </si>
  <si>
    <t>A037606692</t>
  </si>
  <si>
    <t>Pintu Gupta</t>
  </si>
  <si>
    <t>A037542185</t>
  </si>
  <si>
    <t>Brij Bihari Tiwary</t>
  </si>
  <si>
    <t>a037689133</t>
  </si>
  <si>
    <t>Urmila Mahato</t>
  </si>
  <si>
    <t>09-03-2021</t>
  </si>
  <si>
    <t>A037688631</t>
  </si>
  <si>
    <t>Kahkansha Praween</t>
  </si>
  <si>
    <t>16-03-1972</t>
  </si>
  <si>
    <t>A037687122</t>
  </si>
  <si>
    <t>Ran Vijay</t>
  </si>
  <si>
    <t>18-08-2002</t>
  </si>
  <si>
    <t>pk7547839186</t>
  </si>
  <si>
    <t>A037693655</t>
  </si>
  <si>
    <t>Rohit kumar</t>
  </si>
  <si>
    <t>07-09-2001</t>
  </si>
  <si>
    <t>prasantogorai5845</t>
  </si>
  <si>
    <t>A037671845</t>
  </si>
  <si>
    <t>Saraswati Bera</t>
  </si>
  <si>
    <t>14-09-1971</t>
  </si>
  <si>
    <t>rajivbera91@gmail.com</t>
  </si>
  <si>
    <t>A037633542</t>
  </si>
  <si>
    <t>Neha Bharti</t>
  </si>
  <si>
    <t>04-06-2002</t>
  </si>
  <si>
    <t>07-03-2021</t>
  </si>
  <si>
    <t>A037735103</t>
  </si>
  <si>
    <t>Mukesh Kumar Singh</t>
  </si>
  <si>
    <t>30-09-1981</t>
  </si>
  <si>
    <t>10-03-2021</t>
  </si>
  <si>
    <t>A037738341</t>
  </si>
  <si>
    <t>Md Jaweid Akhtar</t>
  </si>
  <si>
    <t>08-04-2001</t>
  </si>
  <si>
    <t>A037725455</t>
  </si>
  <si>
    <t>Kaushalya Devi</t>
  </si>
  <si>
    <t>01-01-1963</t>
  </si>
  <si>
    <t>10-09-2021</t>
  </si>
  <si>
    <t>Q003403834</t>
  </si>
  <si>
    <t>05-01-1996</t>
  </si>
  <si>
    <t>11-03-2021</t>
  </si>
  <si>
    <t>Q003411926</t>
  </si>
  <si>
    <t>Minakshi Singh</t>
  </si>
  <si>
    <t>25/12/2021</t>
  </si>
  <si>
    <t>A037907960</t>
  </si>
  <si>
    <t>Haripada Sardar</t>
  </si>
  <si>
    <t>01/01/1951</t>
  </si>
  <si>
    <t>15-03-2021</t>
  </si>
  <si>
    <t>A037894625</t>
  </si>
  <si>
    <t>Maheswar Lohar</t>
  </si>
  <si>
    <t>A037893352</t>
  </si>
  <si>
    <t>Chitto Jana</t>
  </si>
  <si>
    <t>A037909478</t>
  </si>
  <si>
    <t xml:space="preserve">Prashant Panday  </t>
  </si>
  <si>
    <t>07/10/2001</t>
  </si>
  <si>
    <t>16-03-2021</t>
  </si>
  <si>
    <t>A037946940</t>
  </si>
  <si>
    <t>Hassina Bano</t>
  </si>
  <si>
    <t>13/06/1994</t>
  </si>
  <si>
    <t>17-03-2021</t>
  </si>
  <si>
    <t>A037971012</t>
  </si>
  <si>
    <t>Kasif Ali</t>
  </si>
  <si>
    <t>03/11/2002</t>
  </si>
  <si>
    <t>A038013794</t>
  </si>
  <si>
    <t>Kanchan Chakraborty</t>
  </si>
  <si>
    <t>25/08/1968</t>
  </si>
  <si>
    <t>19-03-2021</t>
  </si>
  <si>
    <t>A038024897</t>
  </si>
  <si>
    <t>Kalawati Devi</t>
  </si>
  <si>
    <t>A038026081</t>
  </si>
  <si>
    <t>Purnima Devi</t>
  </si>
  <si>
    <t>1/01/1970</t>
  </si>
  <si>
    <t>Q003450011</t>
  </si>
  <si>
    <t>Shahid Parwez</t>
  </si>
  <si>
    <t>22-04-1964</t>
  </si>
  <si>
    <t>21-03-2021</t>
  </si>
  <si>
    <t>A038180868</t>
  </si>
  <si>
    <t>Sima Chakraborty</t>
  </si>
  <si>
    <t>10-11-1984</t>
  </si>
  <si>
    <t>23-03-2021</t>
  </si>
  <si>
    <t>Q003461122</t>
  </si>
  <si>
    <t>Moin Ashraf</t>
  </si>
  <si>
    <t>22-09-1976</t>
  </si>
  <si>
    <t>A038189721</t>
  </si>
  <si>
    <t>Md Tanweer Ansari</t>
  </si>
  <si>
    <t>31-05-2002</t>
  </si>
  <si>
    <t>A038225469</t>
  </si>
  <si>
    <t>Mohammad Waris Manzar</t>
  </si>
  <si>
    <t>01/01/2005</t>
  </si>
  <si>
    <t>24-03-2021</t>
  </si>
  <si>
    <t>25-03-2021</t>
  </si>
  <si>
    <t>A038224728</t>
  </si>
  <si>
    <t>Vijay Anita</t>
  </si>
  <si>
    <t>10-07-1987</t>
  </si>
  <si>
    <t>Q003475486</t>
  </si>
  <si>
    <t>Santosh Gope</t>
  </si>
  <si>
    <t>11/06/1974</t>
  </si>
  <si>
    <t>26-03-2021</t>
  </si>
  <si>
    <t>A038318567</t>
  </si>
  <si>
    <t>Zaki hussain</t>
  </si>
  <si>
    <t>14-11-2002</t>
  </si>
  <si>
    <t>27-03-2021</t>
  </si>
  <si>
    <t>A038243708</t>
  </si>
  <si>
    <t>Samridh Kumar</t>
  </si>
  <si>
    <t>24-03-2002</t>
  </si>
  <si>
    <t>A038320110</t>
  </si>
  <si>
    <t>Reet Singh</t>
  </si>
  <si>
    <t>22-04-2003</t>
  </si>
  <si>
    <t>A038329706</t>
  </si>
  <si>
    <t>Kumari Pallavi Singh</t>
  </si>
  <si>
    <t>11/01/1992</t>
  </si>
  <si>
    <t>Q003483793</t>
  </si>
  <si>
    <t>12/12/1974</t>
  </si>
  <si>
    <t>Q003475342</t>
  </si>
  <si>
    <t>Nikhat Bano</t>
  </si>
  <si>
    <t>05/03/1976</t>
  </si>
  <si>
    <t>A038353327</t>
  </si>
  <si>
    <t>Durga Sardar</t>
  </si>
  <si>
    <t>01/02/1991</t>
  </si>
  <si>
    <t>28-03-2021</t>
  </si>
  <si>
    <t>A038380509</t>
  </si>
  <si>
    <t>Ajaz Ahmad</t>
  </si>
  <si>
    <t>14-08-1995</t>
  </si>
  <si>
    <t>30-03-2021</t>
  </si>
  <si>
    <t>ahmadajaz641@gmail.com</t>
  </si>
  <si>
    <t>A038397938</t>
  </si>
  <si>
    <t>Purnima Devi Gope</t>
  </si>
  <si>
    <t>01-01-1990</t>
  </si>
  <si>
    <t>A038397861</t>
  </si>
  <si>
    <t>Rafiya Akhter</t>
  </si>
  <si>
    <t>12-03-1994</t>
  </si>
  <si>
    <t>Q003503225</t>
  </si>
  <si>
    <t>Ashok Puran</t>
  </si>
  <si>
    <t>25-12-1995</t>
  </si>
  <si>
    <t>31-03-2021</t>
  </si>
  <si>
    <t>A038435505</t>
  </si>
  <si>
    <t>Renu Sinha</t>
  </si>
  <si>
    <t>01-04-2021</t>
  </si>
  <si>
    <t>A038436576</t>
  </si>
  <si>
    <t>Gaman Karmakar</t>
  </si>
  <si>
    <t>25/01/1992</t>
  </si>
  <si>
    <t>A038435745</t>
  </si>
  <si>
    <t>Vijeta Kumari</t>
  </si>
  <si>
    <t>16/08/1997</t>
  </si>
  <si>
    <t>A038436067</t>
  </si>
  <si>
    <t>Laxmi Rajak</t>
  </si>
  <si>
    <t>12/11/1995</t>
  </si>
  <si>
    <t>Q003501958</t>
  </si>
  <si>
    <t>Dinesh Kumar jha</t>
  </si>
  <si>
    <t>12/01/1973</t>
  </si>
  <si>
    <t>A038457464</t>
  </si>
  <si>
    <t>Roshan Kumar</t>
  </si>
  <si>
    <t>28-03-2003</t>
  </si>
  <si>
    <t>A038473945</t>
  </si>
  <si>
    <t>Koushalya Devi</t>
  </si>
  <si>
    <t>05-04-1947</t>
  </si>
  <si>
    <t>02-04-2021</t>
  </si>
  <si>
    <t>Q003510011</t>
  </si>
  <si>
    <t>Pankaj Gorai</t>
  </si>
  <si>
    <t>23-12-1997</t>
  </si>
  <si>
    <t>A038518215</t>
  </si>
  <si>
    <t>Snehal Sahu</t>
  </si>
  <si>
    <t>27/06/2007</t>
  </si>
  <si>
    <t>03-04-2021</t>
  </si>
  <si>
    <t>A038530257</t>
  </si>
  <si>
    <t>Shreya Sahu</t>
  </si>
  <si>
    <t>17/12/2011</t>
  </si>
  <si>
    <t>A038517649</t>
  </si>
  <si>
    <t>Joginder Singh</t>
  </si>
  <si>
    <t>13/10/1981</t>
  </si>
  <si>
    <t>A038522339</t>
  </si>
  <si>
    <t>Anand Shukla</t>
  </si>
  <si>
    <t>22/12/2002</t>
  </si>
  <si>
    <t>Q003526000</t>
  </si>
  <si>
    <t>Piyali Das</t>
  </si>
  <si>
    <t>15-01-1964</t>
  </si>
  <si>
    <t>05-04-2021</t>
  </si>
  <si>
    <t>Q003526515</t>
  </si>
  <si>
    <t>Mritunjay</t>
  </si>
  <si>
    <t>05-10-1985</t>
  </si>
  <si>
    <t>jaychousa@gmai</t>
  </si>
  <si>
    <t>A038602839</t>
  </si>
  <si>
    <t>Manish Kumar</t>
  </si>
  <si>
    <t>05/03/2003</t>
  </si>
  <si>
    <t>06-04-2021</t>
  </si>
  <si>
    <t>A038602677</t>
  </si>
  <si>
    <t>Harsh Mishra</t>
  </si>
  <si>
    <t>16/04/2003</t>
  </si>
  <si>
    <t>A038578252</t>
  </si>
  <si>
    <t>Mithali Devi</t>
  </si>
  <si>
    <t>01/01/1956</t>
  </si>
  <si>
    <t>A038621858</t>
  </si>
  <si>
    <t>Saurav Kumar</t>
  </si>
  <si>
    <t>03-03-2003</t>
  </si>
  <si>
    <t>sauravaasr316</t>
  </si>
  <si>
    <t>Q003542368</t>
  </si>
  <si>
    <t>Mohammad Firoz Khan</t>
  </si>
  <si>
    <t>14/02/1981</t>
  </si>
  <si>
    <t>08-04-2021</t>
  </si>
  <si>
    <t>A038658617</t>
  </si>
  <si>
    <t>Mohammad Saquib Khan</t>
  </si>
  <si>
    <t>16/03/2003</t>
  </si>
  <si>
    <t>Q003540214</t>
  </si>
  <si>
    <t>Meena Singh</t>
  </si>
  <si>
    <t>01/07/1975</t>
  </si>
  <si>
    <t>A038649924</t>
  </si>
  <si>
    <t>Somwari Hansda</t>
  </si>
  <si>
    <t>A038653572</t>
  </si>
  <si>
    <t>Anchal Karmakar</t>
  </si>
  <si>
    <t>12/09/2002</t>
  </si>
  <si>
    <t>Q003545823</t>
  </si>
  <si>
    <t>Dhiren Singh</t>
  </si>
  <si>
    <t>10/03/1998</t>
  </si>
  <si>
    <t>09-04-2021</t>
  </si>
  <si>
    <t>Q003548228</t>
  </si>
  <si>
    <t>Parmanand Singh</t>
  </si>
  <si>
    <t>15/05/1945</t>
  </si>
  <si>
    <t>A038702814</t>
  </si>
  <si>
    <t>Jasraj Singh</t>
  </si>
  <si>
    <t>28/09/2002</t>
  </si>
  <si>
    <t>A038692184</t>
  </si>
  <si>
    <t>Pani Pinguva</t>
  </si>
  <si>
    <t>A038730721</t>
  </si>
  <si>
    <t>13/02/1990</t>
  </si>
  <si>
    <t>10-04-2021</t>
  </si>
  <si>
    <t>A038731008</t>
  </si>
  <si>
    <t>Komal</t>
  </si>
  <si>
    <t>10/06/1998</t>
  </si>
  <si>
    <t>Q003551758</t>
  </si>
  <si>
    <t>Md Firoz</t>
  </si>
  <si>
    <t>01/01/1997</t>
  </si>
  <si>
    <t>Q003560446</t>
  </si>
  <si>
    <t>Uday Kumar Singh</t>
  </si>
  <si>
    <t>28-12-1985</t>
  </si>
  <si>
    <t>12-04-2021</t>
  </si>
  <si>
    <t>A038762856</t>
  </si>
  <si>
    <t>Rasi Biswas</t>
  </si>
  <si>
    <t>14-06-2000</t>
  </si>
  <si>
    <t>rasibiswas1406@g</t>
  </si>
  <si>
    <t>A038744366</t>
  </si>
  <si>
    <t>Sudha Kumari</t>
  </si>
  <si>
    <t>23-12-1981</t>
  </si>
  <si>
    <t>A038745128</t>
  </si>
  <si>
    <t>Mohammad Fiazan</t>
  </si>
  <si>
    <t>01-01-1994</t>
  </si>
  <si>
    <t>mdziaurjsr@g</t>
  </si>
  <si>
    <t>A038762445</t>
  </si>
  <si>
    <t>Tarsem Singh</t>
  </si>
  <si>
    <t>10-11-1956</t>
  </si>
  <si>
    <t>A038780801</t>
  </si>
  <si>
    <t>Nilofer</t>
  </si>
  <si>
    <t>08/12/1994</t>
  </si>
  <si>
    <t>13-04-2021</t>
  </si>
  <si>
    <t>10/11/1956</t>
  </si>
  <si>
    <t>A038799119</t>
  </si>
  <si>
    <t>Mantasha Perween</t>
  </si>
  <si>
    <t>02/06/2001</t>
  </si>
  <si>
    <t>14-04-2021</t>
  </si>
  <si>
    <t>A038745880</t>
  </si>
  <si>
    <t>Sekh Jiyaruddin</t>
  </si>
  <si>
    <t>27-01-1996</t>
  </si>
  <si>
    <t>Q003571827</t>
  </si>
  <si>
    <t>Vasantha Gopalakrishan</t>
  </si>
  <si>
    <t>24/10/1944</t>
  </si>
  <si>
    <t>15-04-2021</t>
  </si>
  <si>
    <t>A038828611</t>
  </si>
  <si>
    <t>Veronica Francis</t>
  </si>
  <si>
    <t>07/10/1979</t>
  </si>
  <si>
    <t>Q003574496</t>
  </si>
  <si>
    <t>Anup Gorai</t>
  </si>
  <si>
    <t>25/01/1983</t>
  </si>
  <si>
    <t>A038843458</t>
  </si>
  <si>
    <t>Anjali Mukhi</t>
  </si>
  <si>
    <t>A038847977</t>
  </si>
  <si>
    <t>Rakesh Kumar Sah</t>
  </si>
  <si>
    <t>09/03/1998</t>
  </si>
  <si>
    <t>16-04-2021</t>
  </si>
  <si>
    <t>Q003579844</t>
  </si>
  <si>
    <t>Nillam Mallick</t>
  </si>
  <si>
    <t>17-04-2021</t>
  </si>
  <si>
    <t>Q003578913</t>
  </si>
  <si>
    <t>SK Hasim</t>
  </si>
  <si>
    <t>05/02/1987</t>
  </si>
  <si>
    <t>A038869050</t>
  </si>
  <si>
    <t>Sunil Singh</t>
  </si>
  <si>
    <t>A038899186</t>
  </si>
  <si>
    <t>ROSHAN</t>
  </si>
  <si>
    <t>18/05/1978</t>
  </si>
  <si>
    <t>19-04-2021</t>
  </si>
  <si>
    <t>A0038891965</t>
  </si>
  <si>
    <t>Kahkasha Perween</t>
  </si>
  <si>
    <t>A038900282</t>
  </si>
  <si>
    <t>Priyanka Singh</t>
  </si>
  <si>
    <t>10/12/1988</t>
  </si>
  <si>
    <t>Q003591529</t>
  </si>
  <si>
    <t>Ania Gorai</t>
  </si>
  <si>
    <t>03-02-1998</t>
  </si>
  <si>
    <t>21-04-2021</t>
  </si>
  <si>
    <t>anitagorai122@g</t>
  </si>
  <si>
    <t>Q003597118</t>
  </si>
  <si>
    <t>Suresh Kumar Sonthalia</t>
  </si>
  <si>
    <t>22-04-2021</t>
  </si>
  <si>
    <t>sksonthalia196011@g</t>
  </si>
  <si>
    <t>A038965729</t>
  </si>
  <si>
    <t>Ayush Sinha</t>
  </si>
  <si>
    <t>23-03-2002</t>
  </si>
  <si>
    <t>23-04-2021</t>
  </si>
  <si>
    <t>ayushag955@gmail.</t>
  </si>
  <si>
    <t>A039015961</t>
  </si>
  <si>
    <t>Suresh Roy</t>
  </si>
  <si>
    <t>18-05-1970</t>
  </si>
  <si>
    <t>26-04-2021</t>
  </si>
  <si>
    <t>umeshroy2806@g</t>
  </si>
  <si>
    <t>A039020433</t>
  </si>
  <si>
    <t>Sanjay Lohar</t>
  </si>
  <si>
    <t>28-04-2021</t>
  </si>
  <si>
    <t>s17110191@gmail.com</t>
  </si>
  <si>
    <t>Q003616559</t>
  </si>
  <si>
    <t>07-10-1979</t>
  </si>
  <si>
    <t>30-04-2021</t>
  </si>
  <si>
    <t>veronica59598@g</t>
  </si>
  <si>
    <t>Q003619831</t>
  </si>
  <si>
    <t>31-08-1998</t>
  </si>
  <si>
    <t>02-05-2021</t>
  </si>
  <si>
    <t>A039094405</t>
  </si>
  <si>
    <t>Krishna Vijay</t>
  </si>
  <si>
    <t>17-08-2002</t>
  </si>
  <si>
    <t>A039096673</t>
  </si>
  <si>
    <t>25-05-1991</t>
  </si>
  <si>
    <t>03-05-2021</t>
  </si>
  <si>
    <t>A039117555</t>
  </si>
  <si>
    <t>Adrika Kumari</t>
  </si>
  <si>
    <t>20-07-2004</t>
  </si>
  <si>
    <t>05-05-2021</t>
  </si>
  <si>
    <t>A039117386</t>
  </si>
  <si>
    <t>Shouvik De</t>
  </si>
  <si>
    <t>03-05-2003</t>
  </si>
  <si>
    <t>A039133638</t>
  </si>
  <si>
    <t>Birju Baske</t>
  </si>
  <si>
    <t>01-08-2003</t>
  </si>
  <si>
    <t>06-05-2021</t>
  </si>
  <si>
    <t>birjubaske1@g</t>
  </si>
  <si>
    <t>Q003631690</t>
  </si>
  <si>
    <t>Om Prakash Prasad</t>
  </si>
  <si>
    <t>03/02/1963</t>
  </si>
  <si>
    <t>08-05-2021</t>
  </si>
  <si>
    <t>A039171177</t>
  </si>
  <si>
    <t>Reet Kumari</t>
  </si>
  <si>
    <t>19-07-2002</t>
  </si>
  <si>
    <t>10-05-2021</t>
  </si>
  <si>
    <t>triss1907@gmail.com</t>
  </si>
  <si>
    <t>Q003639423</t>
  </si>
  <si>
    <t>Manoj Kumar Mishra</t>
  </si>
  <si>
    <t>28-07-1970</t>
  </si>
  <si>
    <t>12-05-2021</t>
  </si>
  <si>
    <t>A039193331</t>
  </si>
  <si>
    <t>Sonal Kumari</t>
  </si>
  <si>
    <t>03-04-2003</t>
  </si>
  <si>
    <t>Q003639419</t>
  </si>
  <si>
    <t>Ranjeet Shukla</t>
  </si>
  <si>
    <t>Q003639409</t>
  </si>
  <si>
    <t>A039202883</t>
  </si>
  <si>
    <t>Rounit Tiwary</t>
  </si>
  <si>
    <t>06-01-2002</t>
  </si>
  <si>
    <t>13-5-2021</t>
  </si>
  <si>
    <t>rounit0601@gma</t>
  </si>
  <si>
    <t>A039212555</t>
  </si>
  <si>
    <t>Sahil Kumar Singh</t>
  </si>
  <si>
    <t>12/04/2003</t>
  </si>
  <si>
    <t>14-05-2021</t>
  </si>
  <si>
    <t>A039226615</t>
  </si>
  <si>
    <t>Abhishek Pandey</t>
  </si>
  <si>
    <t>10/12/2002</t>
  </si>
  <si>
    <t>16-05-2021</t>
  </si>
  <si>
    <t>abhiwhen9110066052@g</t>
  </si>
  <si>
    <t>Q003643925</t>
  </si>
  <si>
    <t>Santosh Kumar</t>
  </si>
  <si>
    <t>26/09/1977</t>
  </si>
  <si>
    <t>15/05/2021</t>
  </si>
  <si>
    <t>Q003651334</t>
  </si>
  <si>
    <t>Ram Lagan Thakur</t>
  </si>
  <si>
    <t>17/02/1945</t>
  </si>
  <si>
    <t>19-05-2021</t>
  </si>
  <si>
    <t>Q003655267</t>
  </si>
  <si>
    <t>Budheshwar Mahato</t>
  </si>
  <si>
    <t>21-05-2021</t>
  </si>
  <si>
    <t>Q003656058</t>
  </si>
  <si>
    <t>Totan Banerjee</t>
  </si>
  <si>
    <t>18/07/1985</t>
  </si>
  <si>
    <t>alokkumar1606</t>
  </si>
  <si>
    <t>Q003655935</t>
  </si>
  <si>
    <t>Gita Singh</t>
  </si>
  <si>
    <t>16/08/1972</t>
  </si>
  <si>
    <t>Q003655300</t>
  </si>
  <si>
    <t>Awadhesh Sharma</t>
  </si>
  <si>
    <t>04-05-1969</t>
  </si>
  <si>
    <t>Q003656024</t>
  </si>
  <si>
    <t>Avinash Kaur</t>
  </si>
  <si>
    <t>07-01-1986</t>
  </si>
  <si>
    <t>Q003655952</t>
  </si>
  <si>
    <t>Uma Bhowmick</t>
  </si>
  <si>
    <t>10-02-1980</t>
  </si>
  <si>
    <t>Q03653038</t>
  </si>
  <si>
    <t>Chintapalli Srinavas Rao</t>
  </si>
  <si>
    <t>06-11-1973</t>
  </si>
  <si>
    <t>Q003656048</t>
  </si>
  <si>
    <t>Ashrumochan Nayak</t>
  </si>
  <si>
    <t>15-03-1995</t>
  </si>
  <si>
    <t>A039281578</t>
  </si>
  <si>
    <t>Tushar Sharma</t>
  </si>
  <si>
    <t>08-10-1996</t>
  </si>
  <si>
    <t>A039285487</t>
  </si>
  <si>
    <t>Amir Hamza</t>
  </si>
  <si>
    <t>01/04/2003</t>
  </si>
  <si>
    <t>22-05-2021</t>
  </si>
  <si>
    <t>A039288269</t>
  </si>
  <si>
    <t>Sayandseep Ghosh</t>
  </si>
  <si>
    <t>02/07/2003</t>
  </si>
  <si>
    <t>23-05-2021</t>
  </si>
  <si>
    <t>A039438436</t>
  </si>
  <si>
    <t>10/08/1992</t>
  </si>
  <si>
    <t>01-06-2021</t>
  </si>
  <si>
    <t>Q003681622</t>
  </si>
  <si>
    <t>Dharam Machhwa</t>
  </si>
  <si>
    <t>04/10/2002</t>
  </si>
  <si>
    <t>03-06-2021</t>
  </si>
  <si>
    <t>Q003679714</t>
  </si>
  <si>
    <t>Jatinder Singh</t>
  </si>
  <si>
    <t>26-01-1991</t>
  </si>
  <si>
    <t>A039463337</t>
  </si>
  <si>
    <t>Suleskha Singh</t>
  </si>
  <si>
    <t>01-01-1993</t>
  </si>
  <si>
    <t>A039509617</t>
  </si>
  <si>
    <t>Deepak Gorai</t>
  </si>
  <si>
    <t>26/10/1998</t>
  </si>
  <si>
    <t>04-06-2021</t>
  </si>
  <si>
    <t>q003689943</t>
  </si>
  <si>
    <t>Rahul Kumar Singh</t>
  </si>
  <si>
    <t>A039600105</t>
  </si>
  <si>
    <t>Manisha mishra Shambhunath</t>
  </si>
  <si>
    <t>07/12/1996</t>
  </si>
  <si>
    <t>09-06-2021</t>
  </si>
  <si>
    <t>A039636159</t>
  </si>
  <si>
    <t>SARVESH NATH YADAV</t>
  </si>
  <si>
    <t>20-03-2002</t>
  </si>
  <si>
    <t>A039635001</t>
  </si>
  <si>
    <t>TUSHAR SHOURIE</t>
  </si>
  <si>
    <t>30/07/2002</t>
  </si>
  <si>
    <t>Q003710627</t>
  </si>
  <si>
    <t>Pandurang Ramaji Kandarkar</t>
  </si>
  <si>
    <t>11/02/1974</t>
  </si>
  <si>
    <t>10-06-2021</t>
  </si>
  <si>
    <t>Q003718193</t>
  </si>
  <si>
    <t>Uttkarsh</t>
  </si>
  <si>
    <t>04/02/1997</t>
  </si>
  <si>
    <t>12-06-2021</t>
  </si>
  <si>
    <t>A039728464</t>
  </si>
  <si>
    <t>Radhe Shyam Bandiya</t>
  </si>
  <si>
    <t>25/09/2006</t>
  </si>
  <si>
    <t>A039728583</t>
  </si>
  <si>
    <t>Prity Kumari</t>
  </si>
  <si>
    <t>31/12/1995</t>
  </si>
  <si>
    <t>Q003719998</t>
  </si>
  <si>
    <t>Budhni Birua</t>
  </si>
  <si>
    <t>28-01-2021</t>
  </si>
  <si>
    <t>MOBILE NUMBER PROBLEM</t>
  </si>
  <si>
    <t>Q003726251</t>
  </si>
  <si>
    <t>21/04/1980</t>
  </si>
  <si>
    <t>14-06-2021</t>
  </si>
  <si>
    <t>A039774789</t>
  </si>
  <si>
    <t>Durga Charan Singh Munda</t>
  </si>
  <si>
    <t>0/01/1980</t>
  </si>
  <si>
    <t>Q003729867</t>
  </si>
  <si>
    <t>Manka Tudu</t>
  </si>
  <si>
    <t>18-03-1981</t>
  </si>
  <si>
    <t>15-06-2021</t>
  </si>
  <si>
    <t>21-04-1980</t>
  </si>
  <si>
    <t>A039803596</t>
  </si>
  <si>
    <t>Rajendra Kumar</t>
  </si>
  <si>
    <t>10-02-1989</t>
  </si>
  <si>
    <t>Q003739794</t>
  </si>
  <si>
    <t>Aanchal Kumari</t>
  </si>
  <si>
    <t>05-04-1999</t>
  </si>
  <si>
    <t>17-06-2021</t>
  </si>
  <si>
    <t>Q0037340135</t>
  </si>
  <si>
    <t>Shila Singh</t>
  </si>
  <si>
    <t>A039889265</t>
  </si>
  <si>
    <t>Prinka Devi</t>
  </si>
  <si>
    <t>18-06-2021</t>
  </si>
  <si>
    <t>A039891086</t>
  </si>
  <si>
    <t>Akash Ghosh</t>
  </si>
  <si>
    <t>02/05/2003</t>
  </si>
  <si>
    <t>Q003750578</t>
  </si>
  <si>
    <t>Andula Devi</t>
  </si>
  <si>
    <t>01/02/1952</t>
  </si>
  <si>
    <t>19-06-2021</t>
  </si>
  <si>
    <t>Q003765275</t>
  </si>
  <si>
    <t>Simran Kumari</t>
  </si>
  <si>
    <t>16/02/2004</t>
  </si>
  <si>
    <t>22-06-2021</t>
  </si>
  <si>
    <t>Q003765223</t>
  </si>
  <si>
    <t>Saroj Kumar Akela</t>
  </si>
  <si>
    <t>26/01/1977</t>
  </si>
  <si>
    <t>Q003764700</t>
  </si>
  <si>
    <t>Bhuwaneshwar Mahato</t>
  </si>
  <si>
    <t>A039974186</t>
  </si>
  <si>
    <t>AnkitVerma</t>
  </si>
  <si>
    <t>01/08/2002</t>
  </si>
  <si>
    <t>A040016148</t>
  </si>
  <si>
    <t>Shagufta Naaz</t>
  </si>
  <si>
    <t>13/01/1994</t>
  </si>
  <si>
    <t>A040047561</t>
  </si>
  <si>
    <t>Sima Karmakar</t>
  </si>
  <si>
    <t>Q003771695</t>
  </si>
  <si>
    <t>Pushpa Maharana</t>
  </si>
  <si>
    <t>15/04/1986</t>
  </si>
  <si>
    <t>A040045312</t>
  </si>
  <si>
    <t>Shiv Ram Gope</t>
  </si>
  <si>
    <t>12/02/1997</t>
  </si>
  <si>
    <t>A040051373</t>
  </si>
  <si>
    <t>Rajat Tirkey</t>
  </si>
  <si>
    <t>23/08/2000</t>
  </si>
  <si>
    <t>A040087191</t>
  </si>
  <si>
    <t>Arti Patro</t>
  </si>
  <si>
    <t>25/04/1983</t>
  </si>
  <si>
    <t>24-06-2021</t>
  </si>
  <si>
    <t>Q003778106</t>
  </si>
  <si>
    <t>Anandi Prasad Singh</t>
  </si>
  <si>
    <t>01/01/1937</t>
  </si>
  <si>
    <t>A040109659</t>
  </si>
  <si>
    <t>Kabutari Devi</t>
  </si>
  <si>
    <t>31-12-1955</t>
  </si>
  <si>
    <t>25-06-2021</t>
  </si>
  <si>
    <t>r.n.pandit1949@g</t>
  </si>
  <si>
    <t>Q003790801</t>
  </si>
  <si>
    <t>Anjana Goswami</t>
  </si>
  <si>
    <t>23-10-1996</t>
  </si>
  <si>
    <t>26-06-2021</t>
  </si>
  <si>
    <t>Q003790539</t>
  </si>
  <si>
    <t>Ramharakh Prasad</t>
  </si>
  <si>
    <t>29-06-2021</t>
  </si>
  <si>
    <t>Q003746797</t>
  </si>
  <si>
    <t>Karuna Lohar</t>
  </si>
  <si>
    <t>A040247595</t>
  </si>
  <si>
    <t>Sarita Karmakar</t>
  </si>
  <si>
    <t>13-04-2005</t>
  </si>
  <si>
    <t>Q003804816</t>
  </si>
  <si>
    <t>Salman Khan</t>
  </si>
  <si>
    <t>31/07/1998</t>
  </si>
  <si>
    <t>A040293505</t>
  </si>
  <si>
    <t>GagndeepSingh</t>
  </si>
  <si>
    <t>02-01-2002</t>
  </si>
  <si>
    <t>30-06-2021</t>
  </si>
  <si>
    <t>Q003809648</t>
  </si>
  <si>
    <t>Sarita Srivastva</t>
  </si>
  <si>
    <t>31-12-1966</t>
  </si>
  <si>
    <t>Q003809983</t>
  </si>
  <si>
    <t>Mahendra Prasad Mandal</t>
  </si>
  <si>
    <t>02-07-1948</t>
  </si>
  <si>
    <t>02-07-2021</t>
  </si>
  <si>
    <t>Q003823702</t>
  </si>
  <si>
    <t>Rajmani Prasad</t>
  </si>
  <si>
    <t>13/01/1965</t>
  </si>
  <si>
    <t>Q003828566</t>
  </si>
  <si>
    <t>Md Shahanshah</t>
  </si>
  <si>
    <t>09/12/1989</t>
  </si>
  <si>
    <t>03-07-2021</t>
  </si>
  <si>
    <t>A040410461</t>
  </si>
  <si>
    <t>Anushka Chatterjee</t>
  </si>
  <si>
    <t>16/09/2000</t>
  </si>
  <si>
    <t>Q003831804</t>
  </si>
  <si>
    <t>Saswati Mitra</t>
  </si>
  <si>
    <t>12/03/1982</t>
  </si>
  <si>
    <t>Jaymala Kumari</t>
  </si>
  <si>
    <t>A040491203</t>
  </si>
  <si>
    <t>Sombari Soren</t>
  </si>
  <si>
    <t>15/03/1998</t>
  </si>
  <si>
    <t>05-07-2021</t>
  </si>
  <si>
    <t>Q003840523</t>
  </si>
  <si>
    <t>Mohammad Karim</t>
  </si>
  <si>
    <t>27/03/1954</t>
  </si>
  <si>
    <t>A040491627</t>
  </si>
  <si>
    <t>Q003840476</t>
  </si>
  <si>
    <t>Upload 0908/2021</t>
  </si>
  <si>
    <t>A040490625</t>
  </si>
  <si>
    <t>Harishvardhan Singh</t>
  </si>
  <si>
    <t>25/05/2003</t>
  </si>
  <si>
    <t>Q003845714</t>
  </si>
  <si>
    <t>Mohammad Israr Ahmed Khan</t>
  </si>
  <si>
    <t>01/09/1966</t>
  </si>
  <si>
    <t>06-07-2021</t>
  </si>
  <si>
    <t>A040507409</t>
  </si>
  <si>
    <t>Kaushik Paul</t>
  </si>
  <si>
    <t>18/05/2004</t>
  </si>
  <si>
    <t>Q003845789</t>
  </si>
  <si>
    <t>Q003855258</t>
  </si>
  <si>
    <t>Irshad Ali</t>
  </si>
  <si>
    <t>03/01/1968</t>
  </si>
  <si>
    <t>07-07-2021</t>
  </si>
  <si>
    <t>Q003855198</t>
  </si>
  <si>
    <t>Jungla Majhi</t>
  </si>
  <si>
    <t>20/03/1971</t>
  </si>
  <si>
    <t>A040594428</t>
  </si>
  <si>
    <t>Nikita Singh</t>
  </si>
  <si>
    <t>18/04/2003</t>
  </si>
  <si>
    <t>A040626462</t>
  </si>
  <si>
    <t>08-07-2021</t>
  </si>
  <si>
    <t>Q003860140</t>
  </si>
  <si>
    <t>Chhutu Gope</t>
  </si>
  <si>
    <t>18/10/1950</t>
  </si>
  <si>
    <t>A040642435</t>
  </si>
  <si>
    <t>Taskin Khatoon</t>
  </si>
  <si>
    <t>01/03/2003</t>
  </si>
  <si>
    <t>09-07-2021</t>
  </si>
  <si>
    <t>Q003883395</t>
  </si>
  <si>
    <t>Md Nayeem</t>
  </si>
  <si>
    <t>02-08-1984</t>
  </si>
  <si>
    <t>13-07-2021</t>
  </si>
  <si>
    <t>nayeemjsr1@gmail.com</t>
  </si>
  <si>
    <t>Q003887301</t>
  </si>
  <si>
    <t>Q003887269</t>
  </si>
  <si>
    <t>Urmila Maharana</t>
  </si>
  <si>
    <t>Q003887144</t>
  </si>
  <si>
    <t>Sarajit Chaki</t>
  </si>
  <si>
    <t>31/12/1976</t>
  </si>
  <si>
    <t>Q003887115</t>
  </si>
  <si>
    <t>Ramesh Gope</t>
  </si>
  <si>
    <t>15/11/1985</t>
  </si>
  <si>
    <t>Babita Kumari</t>
  </si>
  <si>
    <t>Q003887075</t>
  </si>
  <si>
    <t>Ranjeet Kumar Moharana</t>
  </si>
  <si>
    <t>28/04/1968</t>
  </si>
  <si>
    <t>Smiriti Julie Topno</t>
  </si>
  <si>
    <t>19/07/1999</t>
  </si>
  <si>
    <t>14-07-2021</t>
  </si>
  <si>
    <t>A040935482</t>
  </si>
  <si>
    <t>Jagdish Kaur</t>
  </si>
  <si>
    <t>14/02/1976</t>
  </si>
  <si>
    <t>16-07-2021</t>
  </si>
  <si>
    <t>A040863198</t>
  </si>
  <si>
    <t>Saba Yasmeen</t>
  </si>
  <si>
    <t>10-07-1991</t>
  </si>
  <si>
    <t>A040924776</t>
  </si>
  <si>
    <t>Prabhat Pandey</t>
  </si>
  <si>
    <t>Q003905778</t>
  </si>
  <si>
    <t>Iqbal Nadeem</t>
  </si>
  <si>
    <t>05/01/1980</t>
  </si>
  <si>
    <t>Q003908456</t>
  </si>
  <si>
    <t>Neha Sharma</t>
  </si>
  <si>
    <t>08/03/1998</t>
  </si>
  <si>
    <t>A040988692</t>
  </si>
  <si>
    <t>Nasihat Khatoon</t>
  </si>
  <si>
    <t>03/11/2001</t>
  </si>
  <si>
    <t>17-07-2021</t>
  </si>
  <si>
    <t>Q003913871</t>
  </si>
  <si>
    <t>Mani Kant</t>
  </si>
  <si>
    <t>25-02-1971</t>
  </si>
  <si>
    <t>aks9727kumari@gmail.com</t>
  </si>
  <si>
    <t>Q003926744</t>
  </si>
  <si>
    <t>Amik Singh Bajwa</t>
  </si>
  <si>
    <t>03-06-1970</t>
  </si>
  <si>
    <t>24-07-2021</t>
  </si>
  <si>
    <t>A041122618</t>
  </si>
  <si>
    <t>Rishu Tirkey</t>
  </si>
  <si>
    <t>31/03/2002</t>
  </si>
  <si>
    <t>21-07-2021</t>
  </si>
  <si>
    <t>Q003933004</t>
  </si>
  <si>
    <t>Bashist Kumar Mishra</t>
  </si>
  <si>
    <t>15/10/2001</t>
  </si>
  <si>
    <t>Q003927724</t>
  </si>
  <si>
    <t>Shakuntala Devi</t>
  </si>
  <si>
    <t>14/10/1967</t>
  </si>
  <si>
    <t>27-07-2021</t>
  </si>
  <si>
    <t>A041180936</t>
  </si>
  <si>
    <t>Priyanka Devi</t>
  </si>
  <si>
    <t>22-07-2021</t>
  </si>
  <si>
    <t>A041220426</t>
  </si>
  <si>
    <t>Hameed Khan</t>
  </si>
  <si>
    <t>05/09/2001</t>
  </si>
  <si>
    <t>23-07-2021</t>
  </si>
  <si>
    <t>A041221890</t>
  </si>
  <si>
    <t xml:space="preserve">Abid Khan </t>
  </si>
  <si>
    <t>22/01/2003</t>
  </si>
  <si>
    <t>A041243475</t>
  </si>
  <si>
    <t>Sarika Singh</t>
  </si>
  <si>
    <t>19/09/1988</t>
  </si>
  <si>
    <t>Q003961138</t>
  </si>
  <si>
    <t>Prabhkirath Singh</t>
  </si>
  <si>
    <t>10/01/2005</t>
  </si>
  <si>
    <t>26-07-2021</t>
  </si>
  <si>
    <t>A041305152</t>
  </si>
  <si>
    <t>Sufyan Taha</t>
  </si>
  <si>
    <t>06-12-2000</t>
  </si>
  <si>
    <t>Q003959502</t>
  </si>
  <si>
    <t>Kalyani Devi</t>
  </si>
  <si>
    <t>01/01/1946</t>
  </si>
  <si>
    <t>A041350085</t>
  </si>
  <si>
    <t>Ritu Rani Rahelu</t>
  </si>
  <si>
    <t>25/01/1998</t>
  </si>
  <si>
    <t>A041349824</t>
  </si>
  <si>
    <t>Prasanjit Sen</t>
  </si>
  <si>
    <t>A041349439</t>
  </si>
  <si>
    <t>Parvati Singh</t>
  </si>
  <si>
    <t>A041364397</t>
  </si>
  <si>
    <t>Rizwana Khatoon</t>
  </si>
  <si>
    <t>24/03/1987</t>
  </si>
  <si>
    <t>A041388450</t>
  </si>
  <si>
    <t>Harshit Kumar</t>
  </si>
  <si>
    <t>26/05/2002</t>
  </si>
  <si>
    <t>27/07/2021</t>
  </si>
  <si>
    <t>A041389304</t>
  </si>
  <si>
    <t>Vikash Kumar Singh</t>
  </si>
  <si>
    <t>06/04/2003</t>
  </si>
  <si>
    <t>28/07/2021</t>
  </si>
  <si>
    <t>Q003970669</t>
  </si>
  <si>
    <t>29-07-2021</t>
  </si>
  <si>
    <t>A041428421</t>
  </si>
  <si>
    <t>Anuradha Kumari</t>
  </si>
  <si>
    <t>29/09/1994</t>
  </si>
  <si>
    <t>A041429235</t>
  </si>
  <si>
    <t xml:space="preserve">Manisha </t>
  </si>
  <si>
    <t>Q003974776</t>
  </si>
  <si>
    <t>Q003982386</t>
  </si>
  <si>
    <t>Naresh Kumar Rajak</t>
  </si>
  <si>
    <t>26/03/1992</t>
  </si>
  <si>
    <t>30-07-2021</t>
  </si>
  <si>
    <t>A041492696</t>
  </si>
  <si>
    <t>Prisita Ghoshal</t>
  </si>
  <si>
    <t>13/12/2001</t>
  </si>
  <si>
    <t>31-07-2021</t>
  </si>
  <si>
    <t>8210211671</t>
  </si>
  <si>
    <t>A041629264</t>
  </si>
  <si>
    <t>Ganganalu Hemavati</t>
  </si>
  <si>
    <t>15/03/1949</t>
  </si>
  <si>
    <t>A041526245</t>
  </si>
  <si>
    <t>Gourav Kumar</t>
  </si>
  <si>
    <t>01/08/2003</t>
  </si>
  <si>
    <t>Q003989496</t>
  </si>
  <si>
    <t>Sachin Kumar Singh</t>
  </si>
  <si>
    <t>10/09/1998</t>
  </si>
  <si>
    <t>03-08-2021</t>
  </si>
  <si>
    <t>Q003989175</t>
  </si>
  <si>
    <t>Mahabhashyam Narsingh Rao</t>
  </si>
  <si>
    <t>16/05/1965</t>
  </si>
  <si>
    <t>02/08/2021</t>
  </si>
  <si>
    <t>Q003989310</t>
  </si>
  <si>
    <t>Mahabhashyam Shailaja</t>
  </si>
  <si>
    <t>19/07/1974</t>
  </si>
  <si>
    <t>Q003989417</t>
  </si>
  <si>
    <t>Gayatri Mahabhashyam</t>
  </si>
  <si>
    <t>30/06/2001</t>
  </si>
  <si>
    <t>A041630757</t>
  </si>
  <si>
    <t>Harkirat Singh</t>
  </si>
  <si>
    <t>17/01/2003</t>
  </si>
  <si>
    <t>A041692251</t>
  </si>
  <si>
    <t>Rinky Ghosh</t>
  </si>
  <si>
    <t>30-07-2003</t>
  </si>
  <si>
    <t>A041692122</t>
  </si>
  <si>
    <t>Ruma Acherya</t>
  </si>
  <si>
    <t>12-04-1997</t>
  </si>
  <si>
    <t>A041740264</t>
  </si>
  <si>
    <t>10-09-1998</t>
  </si>
  <si>
    <t>05-08-2021</t>
  </si>
  <si>
    <t>A041741009</t>
  </si>
  <si>
    <t>Aman Prasad</t>
  </si>
  <si>
    <t>17-07-1998</t>
  </si>
  <si>
    <t>A041813397</t>
  </si>
  <si>
    <t>Manisha Gowra</t>
  </si>
  <si>
    <t>24/07/2003</t>
  </si>
  <si>
    <t>07-08-2021</t>
  </si>
  <si>
    <t>A041814093</t>
  </si>
  <si>
    <t>Kriti Ambasta</t>
  </si>
  <si>
    <t>10-05-2003</t>
  </si>
  <si>
    <t>A041812950</t>
  </si>
  <si>
    <t>GayatriKumari</t>
  </si>
  <si>
    <t>26-10-1989</t>
  </si>
  <si>
    <t>A041814458</t>
  </si>
  <si>
    <t>Naushaba Khatoon</t>
  </si>
  <si>
    <t>31-12-1960</t>
  </si>
  <si>
    <t>Q004034185</t>
  </si>
  <si>
    <t>Prakash Das</t>
  </si>
  <si>
    <t>22/04/1997</t>
  </si>
  <si>
    <t xml:space="preserve">  </t>
  </si>
  <si>
    <t>A041840396</t>
  </si>
  <si>
    <t>Rohit Kumar Tiwary</t>
  </si>
  <si>
    <t>31/03/2001</t>
  </si>
  <si>
    <t>08-08-2021</t>
  </si>
  <si>
    <t>A041839065</t>
  </si>
  <si>
    <t>Saurav Sahu</t>
  </si>
  <si>
    <t>02-07-2003</t>
  </si>
  <si>
    <t>Q004035926</t>
  </si>
  <si>
    <t>Rekha Sethi</t>
  </si>
  <si>
    <t>25/06/1969</t>
  </si>
  <si>
    <t>Prakash Kumar Das</t>
  </si>
  <si>
    <t>A041841381</t>
  </si>
  <si>
    <t>Mohit Kumar Tiwary</t>
  </si>
  <si>
    <t>26/10/2002</t>
  </si>
  <si>
    <t>A041839503</t>
  </si>
  <si>
    <t>Rita Bhakat</t>
  </si>
  <si>
    <t>18-02-1968</t>
  </si>
  <si>
    <t>Q004046787</t>
  </si>
  <si>
    <t>Kriplani Roy</t>
  </si>
  <si>
    <t>09/02/1946</t>
  </si>
  <si>
    <t>10-08-2021</t>
  </si>
  <si>
    <t>A041974324</t>
  </si>
  <si>
    <t>11-08-2021</t>
  </si>
  <si>
    <t>Q004060732</t>
  </si>
  <si>
    <t>Digamber Singh</t>
  </si>
  <si>
    <t>15/02/1984</t>
  </si>
  <si>
    <t>12-08-2021</t>
  </si>
  <si>
    <t>digambersinghjsr77@g</t>
  </si>
  <si>
    <t>A042040416</t>
  </si>
  <si>
    <t>Saraswati Mundi</t>
  </si>
  <si>
    <t>01/05/1995</t>
  </si>
  <si>
    <t>A042039630</t>
  </si>
  <si>
    <t>Renu Hembram</t>
  </si>
  <si>
    <t>16/11/1999</t>
  </si>
  <si>
    <t>renuhembram59@g</t>
  </si>
  <si>
    <t>Q004063628</t>
  </si>
  <si>
    <t>Vibha Ranjan</t>
  </si>
  <si>
    <t>25/01/1984</t>
  </si>
  <si>
    <t>A042120448</t>
  </si>
  <si>
    <t>Abhishek Das</t>
  </si>
  <si>
    <t>03/10/2002</t>
  </si>
  <si>
    <t>14-08-2021</t>
  </si>
  <si>
    <t>abhidas977@g</t>
  </si>
  <si>
    <t>Aniket Kumar</t>
  </si>
  <si>
    <t>25-04-2003</t>
  </si>
  <si>
    <t>aniketani@g</t>
  </si>
  <si>
    <t>A042156117</t>
  </si>
  <si>
    <t>Pawandeep Singh</t>
  </si>
  <si>
    <t>rkaur1591@g</t>
  </si>
  <si>
    <t>A0421462244</t>
  </si>
  <si>
    <t>Shama Anjum</t>
  </si>
  <si>
    <t>17-04-1994</t>
  </si>
  <si>
    <t>fa0071@g</t>
  </si>
  <si>
    <t>A042172099</t>
  </si>
  <si>
    <t>Dipti Thakur</t>
  </si>
  <si>
    <t>05-04-2003</t>
  </si>
  <si>
    <t>15-08-2021</t>
  </si>
  <si>
    <t>A042269709</t>
  </si>
  <si>
    <t>Partha Sarathi Bera</t>
  </si>
  <si>
    <t>07-02-2003</t>
  </si>
  <si>
    <t>17-08-2021</t>
  </si>
  <si>
    <t>A042270419</t>
  </si>
  <si>
    <t>Antima Sahu</t>
  </si>
  <si>
    <t>27-10-1983</t>
  </si>
  <si>
    <t>A042285479</t>
  </si>
  <si>
    <t>Smriti Saxena</t>
  </si>
  <si>
    <t>24-01-2003</t>
  </si>
  <si>
    <t>A042250839</t>
  </si>
  <si>
    <t>Lochan Mahato</t>
  </si>
  <si>
    <t>02-04-2002</t>
  </si>
  <si>
    <t>A042330041</t>
  </si>
  <si>
    <t>Bibek Naik</t>
  </si>
  <si>
    <t>01/06/2004</t>
  </si>
  <si>
    <t>18-08-2021</t>
  </si>
  <si>
    <t>bibeknaik567</t>
  </si>
  <si>
    <t>Q004102195</t>
  </si>
  <si>
    <t>Shiv Rani Mishra</t>
  </si>
  <si>
    <t>11/03/1975</t>
  </si>
  <si>
    <t>21-08-2021</t>
  </si>
  <si>
    <t>A042436206</t>
  </si>
  <si>
    <t>Radha Patra</t>
  </si>
  <si>
    <t>12/01/1965</t>
  </si>
  <si>
    <t>A042436522</t>
  </si>
  <si>
    <t>Kamaljeet Kaur</t>
  </si>
  <si>
    <t>05/05/1959</t>
  </si>
  <si>
    <t>A042436851</t>
  </si>
  <si>
    <t>Sunil Lugun</t>
  </si>
  <si>
    <t>12/09/1997</t>
  </si>
  <si>
    <t>A042437054</t>
  </si>
  <si>
    <t>Deepak Singh Kumar</t>
  </si>
  <si>
    <t>25/03/203</t>
  </si>
  <si>
    <t>A042437380</t>
  </si>
  <si>
    <t>Rajmani Devi</t>
  </si>
  <si>
    <t>23/10/1963</t>
  </si>
  <si>
    <t>A042517534</t>
  </si>
  <si>
    <t>Anisha Kumari</t>
  </si>
  <si>
    <t>13/09/1997</t>
  </si>
  <si>
    <t>23-08-2021</t>
  </si>
  <si>
    <t>A042509723</t>
  </si>
  <si>
    <t>GULNAR PARWEZ</t>
  </si>
  <si>
    <t>02/02/2001</t>
  </si>
  <si>
    <t>Q004135576</t>
  </si>
  <si>
    <t>24/04/1986</t>
  </si>
  <si>
    <t>24-08-2021</t>
  </si>
  <si>
    <t>A042578530</t>
  </si>
  <si>
    <t>Suraj Kumar Dubey</t>
  </si>
  <si>
    <t>01/09/2003</t>
  </si>
  <si>
    <t>A042120559</t>
  </si>
  <si>
    <t>03/11/1942</t>
  </si>
  <si>
    <t>Q004131882</t>
  </si>
  <si>
    <t>Dharmenda Kumar Singh</t>
  </si>
  <si>
    <t>10/05/1972</t>
  </si>
  <si>
    <t>A042560349</t>
  </si>
  <si>
    <t>Sejal Singh</t>
  </si>
  <si>
    <t>A042564863</t>
  </si>
  <si>
    <t>Shakti Dhibar</t>
  </si>
  <si>
    <t>02/07/2004</t>
  </si>
  <si>
    <t>A042671255</t>
  </si>
  <si>
    <t>Masiur Rahman</t>
  </si>
  <si>
    <t>29/10/1999</t>
  </si>
  <si>
    <t>26-08-2021</t>
  </si>
  <si>
    <t>Q004148451</t>
  </si>
  <si>
    <t>Diya Ray</t>
  </si>
  <si>
    <t>01/08/2001</t>
  </si>
  <si>
    <t>A042670907</t>
  </si>
  <si>
    <t>Shaheen Perween</t>
  </si>
  <si>
    <t>10/10/2001</t>
  </si>
  <si>
    <t>A042675080</t>
  </si>
  <si>
    <t>Durga Das</t>
  </si>
  <si>
    <t>05/04/1995</t>
  </si>
  <si>
    <t>A042786825</t>
  </si>
  <si>
    <t>Rishika Sahay</t>
  </si>
  <si>
    <t>08/08/2000</t>
  </si>
  <si>
    <t>29-08-2021</t>
  </si>
  <si>
    <t>A042754510</t>
  </si>
  <si>
    <t>14/05/1997</t>
  </si>
  <si>
    <t>at local</t>
  </si>
  <si>
    <t>A042753783</t>
  </si>
  <si>
    <t>Santoshi Devi</t>
  </si>
  <si>
    <t>21/11/1991</t>
  </si>
  <si>
    <t>30-08-2021</t>
  </si>
  <si>
    <t>A042834543</t>
  </si>
  <si>
    <t>Ritik Kumar Srivastava</t>
  </si>
  <si>
    <t>13/07/2003</t>
  </si>
  <si>
    <t>A042836013</t>
  </si>
  <si>
    <t>Sabitri Sharma</t>
  </si>
  <si>
    <t>Harsh Vardhan Singh</t>
  </si>
  <si>
    <t>Q004159466</t>
  </si>
  <si>
    <t>Mohammad Irshad Ansari</t>
  </si>
  <si>
    <t>03/03/1991</t>
  </si>
  <si>
    <t>Q004176340</t>
  </si>
  <si>
    <t>Sangita Devi</t>
  </si>
  <si>
    <t>07/07/1975</t>
  </si>
  <si>
    <t>02-08-2021</t>
  </si>
  <si>
    <t>A042975255</t>
  </si>
  <si>
    <t>Shikha Sharma</t>
  </si>
  <si>
    <t>02-09-2021</t>
  </si>
  <si>
    <t>A042975757</t>
  </si>
  <si>
    <t>Bharat Forai</t>
  </si>
  <si>
    <t>Q004186219</t>
  </si>
  <si>
    <t>Saiyed Tajuddin</t>
  </si>
  <si>
    <t>17/05/1966</t>
  </si>
  <si>
    <t>Q004176293</t>
  </si>
  <si>
    <t>MAHABHASHYAM NARSINGH RAO</t>
  </si>
  <si>
    <t>Q004189303</t>
  </si>
  <si>
    <t>Amzad Khan</t>
  </si>
  <si>
    <t>15/12/1980</t>
  </si>
  <si>
    <t>03-09-2021</t>
  </si>
  <si>
    <t>A042991803</t>
  </si>
  <si>
    <t>Priyanshu Mishra</t>
  </si>
  <si>
    <t>15/06/2003</t>
  </si>
  <si>
    <t>Nharat Gorai</t>
  </si>
  <si>
    <t>1/01/1973</t>
  </si>
  <si>
    <t>Q004191021</t>
  </si>
  <si>
    <t>Khursheed Mansuree</t>
  </si>
  <si>
    <t>30/07/1999</t>
  </si>
  <si>
    <t>Q004194905</t>
  </si>
  <si>
    <t>Sonali Deb</t>
  </si>
  <si>
    <t>15/01/1969</t>
  </si>
  <si>
    <t>Q004194677</t>
  </si>
  <si>
    <t>Bidhan Chandra Deb</t>
  </si>
  <si>
    <t>29/10/1958</t>
  </si>
  <si>
    <t>Q004196114</t>
  </si>
  <si>
    <t>Binod Kumar Mahanty</t>
  </si>
  <si>
    <t>10/01/1969</t>
  </si>
  <si>
    <t>04-09-2021</t>
  </si>
  <si>
    <t>Rangit Mukhi</t>
  </si>
  <si>
    <t>10/05/1995</t>
  </si>
  <si>
    <t>06-09-2021</t>
  </si>
  <si>
    <t>A043157609</t>
  </si>
  <si>
    <t>Bipu Rani Singh Sardar</t>
  </si>
  <si>
    <t>03/06/1988</t>
  </si>
  <si>
    <t>A043064161</t>
  </si>
  <si>
    <t>Neesha</t>
  </si>
  <si>
    <t>Q004215967</t>
  </si>
  <si>
    <t>10/05/1992</t>
  </si>
  <si>
    <t>A043182057</t>
  </si>
  <si>
    <t>Himanshu Kumar Gupta</t>
  </si>
  <si>
    <t>14/07/2003</t>
  </si>
  <si>
    <t>A042992004</t>
  </si>
  <si>
    <t>Abhishek Paul</t>
  </si>
  <si>
    <t>20/08/2000</t>
  </si>
  <si>
    <t>A043181124</t>
  </si>
  <si>
    <t>Sarthak Pandey</t>
  </si>
  <si>
    <t>19/12/2002</t>
  </si>
  <si>
    <t>P Padma Nair</t>
  </si>
  <si>
    <t>10/01/1988</t>
  </si>
  <si>
    <t>08-09-2021</t>
  </si>
  <si>
    <t>A043236424</t>
  </si>
  <si>
    <t>Shankar Panchabhaya</t>
  </si>
  <si>
    <t>29/08/1988</t>
  </si>
  <si>
    <t>Q004225928</t>
  </si>
  <si>
    <t>Vikram Tiwari</t>
  </si>
  <si>
    <t>17/09/1993</t>
  </si>
  <si>
    <t>A043263290</t>
  </si>
  <si>
    <t>Hema Rani Sharma</t>
  </si>
  <si>
    <t>18/11/1982</t>
  </si>
  <si>
    <t>A043263540</t>
  </si>
  <si>
    <t>Rishav Raj</t>
  </si>
  <si>
    <t>A043263820</t>
  </si>
  <si>
    <t>Ravi Abhay Kumar</t>
  </si>
  <si>
    <t>01/01/2003</t>
  </si>
  <si>
    <t>Q004225843</t>
  </si>
  <si>
    <t>Umrawati Devi</t>
  </si>
  <si>
    <t>26/06/1957</t>
  </si>
  <si>
    <t>Q004225900</t>
  </si>
  <si>
    <t>Dewanti Devi</t>
  </si>
  <si>
    <t>12/05/1963</t>
  </si>
  <si>
    <t>Q004232002</t>
  </si>
  <si>
    <t>Nand Gopal Singh</t>
  </si>
  <si>
    <t>15/12/1981</t>
  </si>
  <si>
    <t>09-09-2021</t>
  </si>
  <si>
    <t>A043235756</t>
  </si>
  <si>
    <t>Chhabi Rani mahato</t>
  </si>
  <si>
    <t>12/08/1990</t>
  </si>
  <si>
    <t>Q004232358</t>
  </si>
  <si>
    <t>Q004232586</t>
  </si>
  <si>
    <t>A043280441</t>
  </si>
  <si>
    <t>Ruby Devi</t>
  </si>
  <si>
    <t>26/01/1988</t>
  </si>
  <si>
    <t>A043263988</t>
  </si>
  <si>
    <t>Gulabi Devi</t>
  </si>
  <si>
    <t>31/12/1944</t>
  </si>
  <si>
    <t>Q004235081</t>
  </si>
  <si>
    <t>Mona Karwa</t>
  </si>
  <si>
    <t>28/03/1989</t>
  </si>
  <si>
    <t>A043338351</t>
  </si>
  <si>
    <t>Zeba Perween</t>
  </si>
  <si>
    <t>26-03-1994</t>
  </si>
  <si>
    <t>11-09-2021</t>
  </si>
  <si>
    <t>Q004244530</t>
  </si>
  <si>
    <t>Ranjit Kumar Nandi</t>
  </si>
  <si>
    <t>15/01/1968</t>
  </si>
  <si>
    <t>A043315306</t>
  </si>
  <si>
    <t>Harshit Karn</t>
  </si>
  <si>
    <t>10/08/2003</t>
  </si>
  <si>
    <t>A043317635</t>
  </si>
  <si>
    <t>Radhika Devi</t>
  </si>
  <si>
    <t>04/05/1948</t>
  </si>
  <si>
    <t>A043339098</t>
  </si>
  <si>
    <t>Ashutosh Singh</t>
  </si>
  <si>
    <t>19/11/2002</t>
  </si>
  <si>
    <t>A043339378</t>
  </si>
  <si>
    <t>Q004246447</t>
  </si>
  <si>
    <t>Ajit Kumar Singh</t>
  </si>
  <si>
    <t>07/08/1992</t>
  </si>
  <si>
    <t>A043354833</t>
  </si>
  <si>
    <t>Pinki Binet</t>
  </si>
  <si>
    <t>15/12/1983</t>
  </si>
  <si>
    <t>A043420198</t>
  </si>
  <si>
    <t>10-12-1969</t>
  </si>
  <si>
    <t>13-09-2021</t>
  </si>
  <si>
    <t>A043422213</t>
  </si>
  <si>
    <t>Md Aftab</t>
  </si>
  <si>
    <t>A043421515</t>
  </si>
  <si>
    <t>Lawrence Gabrel</t>
  </si>
  <si>
    <t>10-08-1982</t>
  </si>
  <si>
    <t>A043486181</t>
  </si>
  <si>
    <t>Aaliya Perween</t>
  </si>
  <si>
    <t>14-01-2003</t>
  </si>
  <si>
    <t>14-09-2021</t>
  </si>
  <si>
    <t>A043475522</t>
  </si>
  <si>
    <t>17-10-1987</t>
  </si>
  <si>
    <t>a043534571</t>
  </si>
  <si>
    <t>Sandhya Dutta</t>
  </si>
  <si>
    <t>17-08-1951</t>
  </si>
  <si>
    <t>15-09-2021</t>
  </si>
  <si>
    <t>A043534894</t>
  </si>
  <si>
    <t>Rani Karmakar</t>
  </si>
  <si>
    <t>15-12-1995</t>
  </si>
  <si>
    <t>16-09-2021</t>
  </si>
  <si>
    <t>Q004271746</t>
  </si>
  <si>
    <t>Jagan Kumar Das</t>
  </si>
  <si>
    <t>09-04-2001</t>
  </si>
  <si>
    <t>A043531486</t>
  </si>
  <si>
    <t>Shobha Singh</t>
  </si>
  <si>
    <t>23-06-2001</t>
  </si>
  <si>
    <t>A043535236</t>
  </si>
  <si>
    <t>Kalpana Devi</t>
  </si>
  <si>
    <t>A043531927</t>
  </si>
  <si>
    <t>Rajia Khatoon</t>
  </si>
  <si>
    <t>02/08/1982</t>
  </si>
  <si>
    <t>A043532445</t>
  </si>
  <si>
    <t>Saleha Khatoon</t>
  </si>
  <si>
    <t>A043569443</t>
  </si>
  <si>
    <t>12/12/1983</t>
  </si>
  <si>
    <t>A043569696</t>
  </si>
  <si>
    <t>Dolly Gope</t>
  </si>
  <si>
    <t>19/03/2003</t>
  </si>
  <si>
    <t>dhirendranathgope54</t>
  </si>
  <si>
    <t>A043569907</t>
  </si>
  <si>
    <t>19/05/2003</t>
  </si>
  <si>
    <t>ayushsingh8235</t>
  </si>
  <si>
    <t>Q004277857</t>
  </si>
  <si>
    <t>Raj Kumar</t>
  </si>
  <si>
    <t>31/03/1976</t>
  </si>
  <si>
    <t>Q004277591</t>
  </si>
  <si>
    <t>Ankita Bharti</t>
  </si>
  <si>
    <t>16/06/1996</t>
  </si>
  <si>
    <t>Q004276920</t>
  </si>
  <si>
    <t>Kusum Kunwar</t>
  </si>
  <si>
    <t>25/01/1978</t>
  </si>
  <si>
    <t>Q004281037</t>
  </si>
  <si>
    <t>Sandeep Jhangol</t>
  </si>
  <si>
    <t>10/02/1986</t>
  </si>
  <si>
    <t>18-09-2021</t>
  </si>
  <si>
    <t>A043648902</t>
  </si>
  <si>
    <t>Ashish Raj Singh</t>
  </si>
  <si>
    <t>22/07/2003</t>
  </si>
  <si>
    <t>a043768238</t>
  </si>
  <si>
    <t>Rishav Kumar</t>
  </si>
  <si>
    <t>05/07/1998</t>
  </si>
  <si>
    <t>21-09-2021</t>
  </si>
  <si>
    <t>A043767694</t>
  </si>
  <si>
    <t>Aman Singh</t>
  </si>
  <si>
    <t>18/09/1997</t>
  </si>
  <si>
    <t>Q004302044</t>
  </si>
  <si>
    <t>Kanaklata Devi</t>
  </si>
  <si>
    <t>18/05/1981</t>
  </si>
  <si>
    <t>A043837785</t>
  </si>
  <si>
    <t>Sanchuri Munda</t>
  </si>
  <si>
    <t>19/08/1986</t>
  </si>
  <si>
    <t>23-09-2021</t>
  </si>
  <si>
    <t>A043891659</t>
  </si>
  <si>
    <t>Naila Rahman</t>
  </si>
  <si>
    <t>01-03-1984</t>
  </si>
  <si>
    <t>Q004326111</t>
  </si>
  <si>
    <t>SUNIL KUMAR SHARMA</t>
  </si>
  <si>
    <t>20/04/1976</t>
  </si>
  <si>
    <t>24-09-2021</t>
  </si>
  <si>
    <t>A043930902</t>
  </si>
  <si>
    <t>Nabirun Nisa</t>
  </si>
  <si>
    <t>25-09-2021</t>
  </si>
  <si>
    <t>Sunil Sharma</t>
  </si>
  <si>
    <t>Q004333019</t>
  </si>
  <si>
    <t>NASRIN KHATOON</t>
  </si>
  <si>
    <t>17/08/1977</t>
  </si>
  <si>
    <t>EGFPK3527M</t>
  </si>
  <si>
    <t>Zulekha Parween</t>
  </si>
  <si>
    <t>Fathername Missing</t>
  </si>
  <si>
    <t>Q004335536</t>
  </si>
  <si>
    <t>Mohammad Adnan Akhtar</t>
  </si>
  <si>
    <t>04/03/1983</t>
  </si>
  <si>
    <t>Nasrin Khatoon</t>
  </si>
  <si>
    <t>25/09/1977</t>
  </si>
  <si>
    <t>Q004342955</t>
  </si>
  <si>
    <t>Pabir Devi</t>
  </si>
  <si>
    <t>20/06/1952</t>
  </si>
  <si>
    <t>27-09-2021</t>
  </si>
  <si>
    <t>A044041122</t>
  </si>
  <si>
    <t>Ishrat Khatoon</t>
  </si>
  <si>
    <t>14/04/1967</t>
  </si>
  <si>
    <t>A044046132</t>
  </si>
  <si>
    <t>Q004350734</t>
  </si>
  <si>
    <t>01/03/1983</t>
  </si>
  <si>
    <t>28-09-2021</t>
  </si>
  <si>
    <t>annex-?</t>
  </si>
  <si>
    <t>A044111857</t>
  </si>
  <si>
    <t>Sanju Sardar</t>
  </si>
  <si>
    <t>Q004350497</t>
  </si>
  <si>
    <t>Hassan Ahmad</t>
  </si>
  <si>
    <t>18-08-1957</t>
  </si>
  <si>
    <t>A044162789</t>
  </si>
  <si>
    <t>30-09-2021</t>
  </si>
  <si>
    <t>A044162006</t>
  </si>
  <si>
    <t>Rani Sardar</t>
  </si>
  <si>
    <t>Q044116971</t>
  </si>
  <si>
    <t>A044242587</t>
  </si>
  <si>
    <t>Shilpa Ganguly</t>
  </si>
  <si>
    <t>08/02/2002</t>
  </si>
  <si>
    <t>01-10-2021</t>
  </si>
  <si>
    <t>A044207562</t>
  </si>
  <si>
    <t>Afsana Perween</t>
  </si>
  <si>
    <t>05/10/1999</t>
  </si>
  <si>
    <t>A044206994</t>
  </si>
  <si>
    <t>Rukhsena Perween</t>
  </si>
  <si>
    <t>30/06/1998</t>
  </si>
  <si>
    <t>A044280594</t>
  </si>
  <si>
    <t>Mina Devi</t>
  </si>
  <si>
    <t>02-10-2021</t>
  </si>
  <si>
    <t>A044305540</t>
  </si>
  <si>
    <t>Keya Banerjee</t>
  </si>
  <si>
    <t>25-11-1960</t>
  </si>
  <si>
    <t>03-10-2021</t>
  </si>
  <si>
    <t>Q004387802</t>
  </si>
  <si>
    <t>Mamata Mitra</t>
  </si>
  <si>
    <t>03-01-1977</t>
  </si>
  <si>
    <t>04-10-2021</t>
  </si>
  <si>
    <t>Q004221743</t>
  </si>
  <si>
    <t>Ekram Ulla</t>
  </si>
  <si>
    <t>05-08-1975</t>
  </si>
  <si>
    <t>Q004387472</t>
  </si>
  <si>
    <t>28-04-1968</t>
  </si>
  <si>
    <t>A044438603</t>
  </si>
  <si>
    <t>Akasnsha Sinha</t>
  </si>
  <si>
    <t>03-07-2003</t>
  </si>
  <si>
    <t>akansha250311</t>
  </si>
  <si>
    <t>A044439423</t>
  </si>
  <si>
    <t>Tilottama Gorai</t>
  </si>
  <si>
    <t>01/01/1955</t>
  </si>
  <si>
    <t>Kalpana</t>
  </si>
  <si>
    <t>A044441908</t>
  </si>
  <si>
    <t>10/02/2001</t>
  </si>
  <si>
    <t>A044442667</t>
  </si>
  <si>
    <t>Priyanshu Kumar Anand</t>
  </si>
  <si>
    <t>29-10-2002</t>
  </si>
  <si>
    <t>Q004393581</t>
  </si>
  <si>
    <t>Ashish Pandey</t>
  </si>
  <si>
    <t>26-03-1985</t>
  </si>
  <si>
    <t>A044443299</t>
  </si>
  <si>
    <t>Suman Lohar</t>
  </si>
  <si>
    <t>16-05-1992</t>
  </si>
  <si>
    <t>A044513860</t>
  </si>
  <si>
    <t>Amrit Singh</t>
  </si>
  <si>
    <t>02-03-2002</t>
  </si>
  <si>
    <t>08-10-2021</t>
  </si>
  <si>
    <t>A044443772</t>
  </si>
  <si>
    <t>01-11-1977</t>
  </si>
  <si>
    <t>07-10-2021</t>
  </si>
  <si>
    <t>A044498116</t>
  </si>
  <si>
    <t>05-08-1979</t>
  </si>
  <si>
    <t>A044482139</t>
  </si>
  <si>
    <t>Shila Devi</t>
  </si>
  <si>
    <t>A044560601</t>
  </si>
  <si>
    <t>Simran Kaur Chaddha</t>
  </si>
  <si>
    <t>21-06-2001</t>
  </si>
  <si>
    <t>09-10-2021</t>
  </si>
  <si>
    <t>A044586017</t>
  </si>
  <si>
    <t>Baha Mardi</t>
  </si>
  <si>
    <t>10-10-2021</t>
  </si>
  <si>
    <t>Q004417353</t>
  </si>
  <si>
    <t>Bijay Kalundia</t>
  </si>
  <si>
    <t>05/09/1994</t>
  </si>
  <si>
    <t>Q004429138</t>
  </si>
  <si>
    <t>Sukhdev Singh</t>
  </si>
  <si>
    <t>10-01-1981</t>
  </si>
  <si>
    <t>12-10-2021</t>
  </si>
  <si>
    <t>A044713571</t>
  </si>
  <si>
    <t>Habibur Rahman</t>
  </si>
  <si>
    <t>15-03-2001</t>
  </si>
  <si>
    <t>13-10-2021</t>
  </si>
  <si>
    <t>A044714781</t>
  </si>
  <si>
    <t>01-01-1961</t>
  </si>
  <si>
    <t>A044548929</t>
  </si>
  <si>
    <t>Arshad Khan</t>
  </si>
  <si>
    <t>22-10-2001</t>
  </si>
  <si>
    <t>Q004438122</t>
  </si>
  <si>
    <t>Dharmendra Pandit</t>
  </si>
  <si>
    <t>15/07/1988</t>
  </si>
  <si>
    <t>Q004442114</t>
  </si>
  <si>
    <t>Chandra shekhar prasad srivastava</t>
  </si>
  <si>
    <t>12-03-1945</t>
  </si>
  <si>
    <t>14-10-2021</t>
  </si>
  <si>
    <t>A044829109</t>
  </si>
  <si>
    <t>shankar mukhi</t>
  </si>
  <si>
    <t>16-10-2021</t>
  </si>
  <si>
    <t>A044829459</t>
  </si>
  <si>
    <t>Laxmi Ravidas</t>
  </si>
  <si>
    <t>03-11-199</t>
  </si>
  <si>
    <t>A044838210</t>
  </si>
  <si>
    <t>Yashoda Mahato</t>
  </si>
  <si>
    <t>17-10-2021</t>
  </si>
  <si>
    <t>A044858419</t>
  </si>
  <si>
    <t>Prabhjot Kaur</t>
  </si>
  <si>
    <t>10-09-1977</t>
  </si>
  <si>
    <t>18-10-2021</t>
  </si>
  <si>
    <t>jagjeetcady2000@g</t>
  </si>
  <si>
    <t>Q004451946</t>
  </si>
  <si>
    <t>Gaytri Devi</t>
  </si>
  <si>
    <t>Q004102032</t>
  </si>
  <si>
    <t>Kalicharan Singh</t>
  </si>
  <si>
    <t>Q004460008</t>
  </si>
  <si>
    <t>Moni Bose</t>
  </si>
  <si>
    <t>06/1/1970</t>
  </si>
  <si>
    <t>A044888414</t>
  </si>
  <si>
    <t>Avinash Sharma</t>
  </si>
  <si>
    <t>30-03-2003</t>
  </si>
  <si>
    <t>A044931165</t>
  </si>
  <si>
    <t>Reshmi Parween</t>
  </si>
  <si>
    <t>19-10-2021</t>
  </si>
  <si>
    <t>adeenkhan25@g</t>
  </si>
  <si>
    <t>Q004467230</t>
  </si>
  <si>
    <t>Ipshita Gupta Bakshi</t>
  </si>
  <si>
    <t>29/02/1988</t>
  </si>
  <si>
    <t>Q004467155</t>
  </si>
  <si>
    <t>Amirn Khan</t>
  </si>
  <si>
    <t>02/02/1972</t>
  </si>
  <si>
    <t>adeenkhan2t@</t>
  </si>
  <si>
    <t>A044931094</t>
  </si>
  <si>
    <t>Devansh Tiwary</t>
  </si>
  <si>
    <t>24/09/2003</t>
  </si>
  <si>
    <t>devanshtiwary2492g</t>
  </si>
  <si>
    <t>A044931251</t>
  </si>
  <si>
    <t>Homa Naznin</t>
  </si>
  <si>
    <t>12-02-1996</t>
  </si>
  <si>
    <t>homanaznin@</t>
  </si>
  <si>
    <t>Q004467187</t>
  </si>
  <si>
    <t>Rani Devi</t>
  </si>
  <si>
    <t>santosh.hiteshrani92@</t>
  </si>
  <si>
    <t>A045002142</t>
  </si>
  <si>
    <t>Sangita Kumari</t>
  </si>
  <si>
    <t>27-12-2021</t>
  </si>
  <si>
    <t>21-10-2021</t>
  </si>
  <si>
    <t>sangitak636@g</t>
  </si>
  <si>
    <t>Q004479765</t>
  </si>
  <si>
    <t>Jerome Stephen</t>
  </si>
  <si>
    <t>30-09-1954</t>
  </si>
  <si>
    <t>22-10-201</t>
  </si>
  <si>
    <t>Q004479834</t>
  </si>
  <si>
    <t>09-09-1976</t>
  </si>
  <si>
    <t>Q004481207</t>
  </si>
  <si>
    <t>01-03-1983</t>
  </si>
  <si>
    <t>A045029776</t>
  </si>
  <si>
    <t>Paltan Soren</t>
  </si>
  <si>
    <t>07-12-1995</t>
  </si>
  <si>
    <t>A045030177</t>
  </si>
  <si>
    <t>Selina Kujur</t>
  </si>
  <si>
    <t>02-10-1993</t>
  </si>
  <si>
    <t>A045014403</t>
  </si>
  <si>
    <t>Mukush Tudu</t>
  </si>
  <si>
    <t>15-11-1996</t>
  </si>
  <si>
    <t>A045029440</t>
  </si>
  <si>
    <t>Anju Devi</t>
  </si>
  <si>
    <t>22-10-2021</t>
  </si>
  <si>
    <t>A044966062</t>
  </si>
  <si>
    <t>Anita Devi</t>
  </si>
  <si>
    <t>05-01-1971</t>
  </si>
  <si>
    <t>A044951806</t>
  </si>
  <si>
    <t>Tushar Indra</t>
  </si>
  <si>
    <t>11-09-2003</t>
  </si>
  <si>
    <t>A044930043</t>
  </si>
  <si>
    <t>Gopal Akhila</t>
  </si>
  <si>
    <t>29-09-1999</t>
  </si>
  <si>
    <t>A045122055</t>
  </si>
  <si>
    <t>Sonamoni Giri</t>
  </si>
  <si>
    <t>03-07-1998</t>
  </si>
  <si>
    <t>25-10-2021</t>
  </si>
  <si>
    <t>a045122630</t>
  </si>
  <si>
    <t>Purnima Saha</t>
  </si>
  <si>
    <t>01-01-1977</t>
  </si>
  <si>
    <t>A045122343</t>
  </si>
  <si>
    <t>Dharm Shila Devi</t>
  </si>
  <si>
    <t>06-08-1952</t>
  </si>
  <si>
    <t>A045210607</t>
  </si>
  <si>
    <t>Juhi Khanam</t>
  </si>
  <si>
    <t>15-02-1996</t>
  </si>
  <si>
    <t>27-10-2021</t>
  </si>
  <si>
    <t>Amin Khan</t>
  </si>
  <si>
    <t>02-02-1972</t>
  </si>
  <si>
    <t>Q004495901</t>
  </si>
  <si>
    <t>Deepak Sahu</t>
  </si>
  <si>
    <t>29-10-2021</t>
  </si>
  <si>
    <t>Q004517231</t>
  </si>
  <si>
    <t>Nitinkumar Prakash Patil</t>
  </si>
  <si>
    <t>12/12/1979</t>
  </si>
  <si>
    <t>Q004517221</t>
  </si>
  <si>
    <t>Sanjay Kumar Sharma</t>
  </si>
  <si>
    <t>30/05/1972</t>
  </si>
  <si>
    <t>A045258896</t>
  </si>
  <si>
    <t>03-05-1999</t>
  </si>
  <si>
    <t>Q004517224</t>
  </si>
  <si>
    <t>Shaukat Ali</t>
  </si>
  <si>
    <t>27-12-1990</t>
  </si>
  <si>
    <t>Ispshita Gupta Bakshi</t>
  </si>
  <si>
    <t>29-02-1988</t>
  </si>
  <si>
    <t>A045258934</t>
  </si>
  <si>
    <t>Divya Kumari</t>
  </si>
  <si>
    <t>30-07-2004</t>
  </si>
  <si>
    <t>A045258886</t>
  </si>
  <si>
    <t>Surbhi Singh</t>
  </si>
  <si>
    <t>A045258892</t>
  </si>
  <si>
    <t>Mahak Singh</t>
  </si>
  <si>
    <t>10-06-2003</t>
  </si>
  <si>
    <t>A045320834</t>
  </si>
  <si>
    <t>Sameer Ahmed</t>
  </si>
  <si>
    <t>07-01-2001</t>
  </si>
  <si>
    <t>30-10-2021</t>
  </si>
  <si>
    <t>A045319701</t>
  </si>
  <si>
    <t>Jyoti Raj Sinha</t>
  </si>
  <si>
    <t>17-11-2001</t>
  </si>
  <si>
    <t>A045320113</t>
  </si>
  <si>
    <t>Akriti Prasad</t>
  </si>
  <si>
    <t>15-10-2003</t>
  </si>
  <si>
    <t>Q004524650</t>
  </si>
  <si>
    <t>Sarbjeet Kour</t>
  </si>
  <si>
    <t>05-12-1974</t>
  </si>
  <si>
    <t>Q004525652</t>
  </si>
  <si>
    <t>Tapas Das</t>
  </si>
  <si>
    <t>17-03-1999</t>
  </si>
  <si>
    <t>Q004517227</t>
  </si>
  <si>
    <t>Mukesh Tudu</t>
  </si>
  <si>
    <t>A045321535</t>
  </si>
  <si>
    <t>Irfan Shadan</t>
  </si>
  <si>
    <t>08-10-2000</t>
  </si>
  <si>
    <t>A045340629</t>
  </si>
  <si>
    <t>Suman Mishra</t>
  </si>
  <si>
    <t>01/07/1985</t>
  </si>
  <si>
    <t>ajaym031974@g</t>
  </si>
  <si>
    <t>A045339908</t>
  </si>
  <si>
    <t>Sushila Lohar</t>
  </si>
  <si>
    <t>19/01/1985</t>
  </si>
  <si>
    <t>A045338648</t>
  </si>
  <si>
    <t>Reshm Ara</t>
  </si>
  <si>
    <t>29/03/2003</t>
  </si>
  <si>
    <t>araanam3@g</t>
  </si>
  <si>
    <t>A045353785</t>
  </si>
  <si>
    <t>Khiro Munda</t>
  </si>
  <si>
    <t>31-10-2021</t>
  </si>
  <si>
    <t>Q004537330</t>
  </si>
  <si>
    <t>01-11-2021</t>
  </si>
  <si>
    <t>Q004537272</t>
  </si>
  <si>
    <t>Madhabananda Mohanty</t>
  </si>
  <si>
    <t>26/01/1950</t>
  </si>
  <si>
    <t>Q004532880</t>
  </si>
  <si>
    <t>14/11/1999</t>
  </si>
  <si>
    <t>A045474096</t>
  </si>
  <si>
    <t>Puja Pramanik</t>
  </si>
  <si>
    <t>09/01/1999</t>
  </si>
  <si>
    <t>03-11-2021</t>
  </si>
  <si>
    <t>A045473675</t>
  </si>
  <si>
    <t>Gita Bivar</t>
  </si>
  <si>
    <t>13-10-1990</t>
  </si>
  <si>
    <t>A045483108</t>
  </si>
  <si>
    <t>Monika Mahato</t>
  </si>
  <si>
    <t>04-03-1990</t>
  </si>
  <si>
    <t>04-11-2021</t>
  </si>
  <si>
    <t>mahatoshailendra45@</t>
  </si>
  <si>
    <t>A045541020</t>
  </si>
  <si>
    <t>14/02/2000</t>
  </si>
  <si>
    <t>06-11-2021</t>
  </si>
  <si>
    <t>Q004559146</t>
  </si>
  <si>
    <t>Anshu Shrma</t>
  </si>
  <si>
    <t>20-09-1986</t>
  </si>
  <si>
    <t>Q004559181</t>
  </si>
  <si>
    <t>Tarak Nath Sharma</t>
  </si>
  <si>
    <t>02-01-1982</t>
  </si>
  <si>
    <t>Q004559279</t>
  </si>
  <si>
    <t>Saloni Devi</t>
  </si>
  <si>
    <t>15-01-1969</t>
  </si>
  <si>
    <t>A045548526</t>
  </si>
  <si>
    <t>Meera Devi</t>
  </si>
  <si>
    <t>01-12-1980</t>
  </si>
  <si>
    <t>Q004573472</t>
  </si>
  <si>
    <t>Laljee Prasad Sharma</t>
  </si>
  <si>
    <t>12-10-1963</t>
  </si>
  <si>
    <t>09-11-2021</t>
  </si>
  <si>
    <t>laljeeprasad59@gma</t>
  </si>
  <si>
    <t>A045626857</t>
  </si>
  <si>
    <t>Durga Roy</t>
  </si>
  <si>
    <t>11-04-1956</t>
  </si>
  <si>
    <t>A045627671</t>
  </si>
  <si>
    <t>Hewanti Singh</t>
  </si>
  <si>
    <t>hewantisingh1957</t>
  </si>
  <si>
    <t>A045637976</t>
  </si>
  <si>
    <t>Shankar Majhi</t>
  </si>
  <si>
    <t>A045648311</t>
  </si>
  <si>
    <t>Veer Sandil</t>
  </si>
  <si>
    <t>27-03-2003</t>
  </si>
  <si>
    <t>Q004575182</t>
  </si>
  <si>
    <t>Basmato Devi</t>
  </si>
  <si>
    <t>25-04-1940</t>
  </si>
  <si>
    <t>A045737972</t>
  </si>
  <si>
    <t>Pooja Mahato</t>
  </si>
  <si>
    <t>03-02-2003</t>
  </si>
  <si>
    <t>12-11-2021</t>
  </si>
  <si>
    <t>A04566258</t>
  </si>
  <si>
    <t>Nidhi Gandhi</t>
  </si>
  <si>
    <t>17-02-1985</t>
  </si>
  <si>
    <t>10-11-2021</t>
  </si>
  <si>
    <t>gandhitml332@g</t>
  </si>
  <si>
    <t>A045654974</t>
  </si>
  <si>
    <t>Rajan Samad</t>
  </si>
  <si>
    <t>18-11-1997</t>
  </si>
  <si>
    <t>A045818911</t>
  </si>
  <si>
    <t>Nishant Kumar</t>
  </si>
  <si>
    <t>09-09-1999</t>
  </si>
  <si>
    <t>14-11-2021</t>
  </si>
  <si>
    <t>A045821645</t>
  </si>
  <si>
    <t>Pitambar Mahato</t>
  </si>
  <si>
    <t>A045821992</t>
  </si>
  <si>
    <t>Tarani Mahato</t>
  </si>
  <si>
    <t>12/09/1995</t>
  </si>
  <si>
    <t>A045905906</t>
  </si>
  <si>
    <t>Sohana Begum</t>
  </si>
  <si>
    <t>11-07-1994</t>
  </si>
  <si>
    <t>16-11-2021</t>
  </si>
  <si>
    <t>emailed</t>
  </si>
  <si>
    <t>sohanabegum96@gma</t>
  </si>
  <si>
    <t>Q004614059</t>
  </si>
  <si>
    <t>Akhilesh Kumar</t>
  </si>
  <si>
    <t>07-07-1986</t>
  </si>
  <si>
    <t>17-11-2021</t>
  </si>
  <si>
    <t>bemneinfinity@re</t>
  </si>
  <si>
    <t>Q004614751</t>
  </si>
  <si>
    <t>Mirza Siddique Ali beg</t>
  </si>
  <si>
    <t>25-03-1978</t>
  </si>
  <si>
    <t>mirzaalibeg758@g</t>
  </si>
  <si>
    <t>Q004619268</t>
  </si>
  <si>
    <t>mohammad Shahab Khalid Quasmi</t>
  </si>
  <si>
    <t>25-01-1961</t>
  </si>
  <si>
    <t>s.khalid268973@g</t>
  </si>
  <si>
    <t>A045892903</t>
  </si>
  <si>
    <t>Ranjeet Kaur</t>
  </si>
  <si>
    <t>05-08-1976</t>
  </si>
  <si>
    <t>rkaur1591@gma</t>
  </si>
  <si>
    <t>Q004612682</t>
  </si>
  <si>
    <t>sanjoymitra1977@g</t>
  </si>
  <si>
    <t>A045987071</t>
  </si>
  <si>
    <t>Deep Das</t>
  </si>
  <si>
    <t>26-10-2003</t>
  </si>
  <si>
    <t>18-11-2021</t>
  </si>
  <si>
    <t>deep26102003@</t>
  </si>
  <si>
    <t>Q004619521</t>
  </si>
  <si>
    <t>Bijan Kumar Dutta</t>
  </si>
  <si>
    <t>18-05-1954</t>
  </si>
  <si>
    <t>bkduttatelco@g</t>
  </si>
  <si>
    <t>A045886957</t>
  </si>
  <si>
    <t>Manish Kumar Sharma</t>
  </si>
  <si>
    <t>15-02-2000</t>
  </si>
  <si>
    <t>15-11-2021</t>
  </si>
  <si>
    <t>manishsharma22456</t>
  </si>
  <si>
    <t>Q004619483</t>
  </si>
  <si>
    <t>Subasish Ghosh</t>
  </si>
  <si>
    <t>28-01-1982</t>
  </si>
  <si>
    <t>Q004619590</t>
  </si>
  <si>
    <t>Sabitry Munda</t>
  </si>
  <si>
    <t>A045995186</t>
  </si>
  <si>
    <t>Sampato Devi</t>
  </si>
  <si>
    <t>01-01-1949</t>
  </si>
  <si>
    <t>jitendray978@g</t>
  </si>
  <si>
    <t>Q004620961</t>
  </si>
  <si>
    <t>Arindam mitra</t>
  </si>
  <si>
    <t>29-10-1964</t>
  </si>
  <si>
    <t>arindammitra497@g</t>
  </si>
  <si>
    <t>A045996949</t>
  </si>
  <si>
    <t>Sneha Kumari</t>
  </si>
  <si>
    <t>13-02-2003</t>
  </si>
  <si>
    <t>A046029369</t>
  </si>
  <si>
    <t>Arup Pramanik</t>
  </si>
  <si>
    <t>24-05-1992</t>
  </si>
  <si>
    <t>19-11-2021</t>
  </si>
  <si>
    <t>sanjay1@g</t>
  </si>
  <si>
    <t>Q004630968</t>
  </si>
  <si>
    <t>Q004653224</t>
  </si>
  <si>
    <t>Harihar Sharma</t>
  </si>
  <si>
    <t>20-04-1945</t>
  </si>
  <si>
    <t>23-11-2021</t>
  </si>
  <si>
    <t>A046173530</t>
  </si>
  <si>
    <t>Chabi Rani Ghosh</t>
  </si>
  <si>
    <t>A046174647</t>
  </si>
  <si>
    <t>Zoya Khan</t>
  </si>
  <si>
    <t>12-12-1996</t>
  </si>
  <si>
    <t>fatehalamkhan2@g</t>
  </si>
  <si>
    <t>A046176654</t>
  </si>
  <si>
    <t>Kuili Mardi</t>
  </si>
  <si>
    <t>Q004646892</t>
  </si>
  <si>
    <t>Rajendra kumar mishra</t>
  </si>
  <si>
    <t>24-03-1973</t>
  </si>
  <si>
    <t>rajendrakm41@f</t>
  </si>
  <si>
    <t>A046182868</t>
  </si>
  <si>
    <t>01-09-1985</t>
  </si>
  <si>
    <t>pintupremshrama@g</t>
  </si>
  <si>
    <t>881035295173891</t>
  </si>
  <si>
    <t>Dimple Mishra</t>
  </si>
  <si>
    <t>A046249502</t>
  </si>
  <si>
    <t>Shamima  Khatoon</t>
  </si>
  <si>
    <t>29/12/1987</t>
  </si>
  <si>
    <t>24-11-2021</t>
  </si>
  <si>
    <t>Q004662666</t>
  </si>
  <si>
    <t>Kamal Sardar</t>
  </si>
  <si>
    <t>12/06/1987</t>
  </si>
  <si>
    <t>A046338035</t>
  </si>
  <si>
    <t>Renuka Mahato</t>
  </si>
  <si>
    <t>27-11-2021</t>
  </si>
  <si>
    <t>A046338421</t>
  </si>
  <si>
    <t>Rima Devi</t>
  </si>
  <si>
    <t>07/12/1976</t>
  </si>
  <si>
    <t>Q004674900</t>
  </si>
  <si>
    <t>Kundan Kumar</t>
  </si>
  <si>
    <t>A046339384</t>
  </si>
  <si>
    <t>Shamsha Khatoon</t>
  </si>
  <si>
    <t>A046368599</t>
  </si>
  <si>
    <t>Ankit Kumar</t>
  </si>
  <si>
    <t>03-07-1993</t>
  </si>
  <si>
    <t>28-11-2021</t>
  </si>
  <si>
    <t>ankitkumar3071994@g</t>
  </si>
  <si>
    <t>A044116971</t>
  </si>
  <si>
    <t>SHIV NATH SAH</t>
  </si>
  <si>
    <t>01-08-1941</t>
  </si>
  <si>
    <t>A046463364</t>
  </si>
  <si>
    <t>Soni Sahu</t>
  </si>
  <si>
    <t>10/03/2001</t>
  </si>
  <si>
    <t>30/11/2021</t>
  </si>
  <si>
    <t>A046464038</t>
  </si>
  <si>
    <t>Sunita Mahato</t>
  </si>
  <si>
    <t>01/08/1988</t>
  </si>
  <si>
    <t>A046473787</t>
  </si>
  <si>
    <t>Priti Sinha</t>
  </si>
  <si>
    <t>11/01/1988</t>
  </si>
  <si>
    <t>A046472322</t>
  </si>
  <si>
    <t>Lalu Sandil</t>
  </si>
  <si>
    <t>Ganesh Lohra</t>
  </si>
  <si>
    <t>Q004724117</t>
  </si>
  <si>
    <t>Aman Kumar</t>
  </si>
  <si>
    <t>23/10/1996</t>
  </si>
  <si>
    <t>08-12-2021</t>
  </si>
  <si>
    <t>hardweepkaur@</t>
  </si>
  <si>
    <t>Q004713399</t>
  </si>
  <si>
    <t xml:space="preserve">Bikash Kumar Yadav </t>
  </si>
  <si>
    <t>04/12/2021</t>
  </si>
  <si>
    <t>A046612833</t>
  </si>
  <si>
    <t>Nilam Kumari</t>
  </si>
  <si>
    <t>05/03/1988</t>
  </si>
  <si>
    <t>A046679639</t>
  </si>
  <si>
    <t>Shva Gounder</t>
  </si>
  <si>
    <t>19-04-2003</t>
  </si>
  <si>
    <t>shivagounder6@g</t>
  </si>
  <si>
    <t>A046696439</t>
  </si>
  <si>
    <t>Rohit Pal</t>
  </si>
  <si>
    <t>24-09-2003</t>
  </si>
  <si>
    <t>rjpaljsr123@g</t>
  </si>
  <si>
    <t>A046696446</t>
  </si>
  <si>
    <t>Prahiad Kundu</t>
  </si>
  <si>
    <t>Deepak Kumar Singh</t>
  </si>
  <si>
    <t>A046696428</t>
  </si>
  <si>
    <t>07-02-1985</t>
  </si>
  <si>
    <t>sanjay1@</t>
  </si>
  <si>
    <t>Q004727931</t>
  </si>
  <si>
    <t>Sushil Verma</t>
  </si>
  <si>
    <t>01-08-1979</t>
  </si>
  <si>
    <t>sv3017371@</t>
  </si>
  <si>
    <t>A046730867</t>
  </si>
  <si>
    <t>Mansidh Barla</t>
  </si>
  <si>
    <t>07-10-1967</t>
  </si>
  <si>
    <t>10-12-2021</t>
  </si>
  <si>
    <t>asimbarla221@g</t>
  </si>
  <si>
    <t>A046730833</t>
  </si>
  <si>
    <t>Snigdha Singh</t>
  </si>
  <si>
    <t>19-10-2003</t>
  </si>
  <si>
    <t>A046730845</t>
  </si>
  <si>
    <t xml:space="preserve">Shriti Kumari </t>
  </si>
  <si>
    <t>08-11-2002</t>
  </si>
  <si>
    <t>shriti0802@g</t>
  </si>
  <si>
    <t>Q004749330</t>
  </si>
  <si>
    <t>Suresh Sharma</t>
  </si>
  <si>
    <t>10-07-1979</t>
  </si>
  <si>
    <t>Q004749322</t>
  </si>
  <si>
    <t>Sadique Siddique</t>
  </si>
  <si>
    <t>18-12-2021</t>
  </si>
  <si>
    <t>A047053418</t>
  </si>
  <si>
    <t>Loso Hansda</t>
  </si>
  <si>
    <t>17/03/1985</t>
  </si>
  <si>
    <t>Q004749327</t>
  </si>
  <si>
    <t>Prabir Kumar Das</t>
  </si>
  <si>
    <t>15-03-1956</t>
  </si>
  <si>
    <t>not applied because of DOB</t>
  </si>
  <si>
    <t>A046826462</t>
  </si>
  <si>
    <t>Muskan Kumari</t>
  </si>
  <si>
    <t>25-03-2003</t>
  </si>
  <si>
    <t>14-12-2021</t>
  </si>
  <si>
    <t>15-12-2021</t>
  </si>
  <si>
    <t>A046826453</t>
  </si>
  <si>
    <t>Rahul Deep</t>
  </si>
  <si>
    <t>03-06-202</t>
  </si>
  <si>
    <t>05-07-1998</t>
  </si>
  <si>
    <t>A046826440</t>
  </si>
  <si>
    <t xml:space="preserve">Shailendra Kumar Sharma </t>
  </si>
  <si>
    <t>05-07-2003</t>
  </si>
  <si>
    <t xml:space="preserve"> A046826416</t>
  </si>
  <si>
    <t xml:space="preserve">Sahil Kumar </t>
  </si>
  <si>
    <t>09-12-2003</t>
  </si>
  <si>
    <t>Q004749332</t>
  </si>
  <si>
    <t xml:space="preserve">Moni Kumari </t>
  </si>
  <si>
    <t>A046826428</t>
  </si>
  <si>
    <t>Kamaldeep</t>
  </si>
  <si>
    <t>21-11-2003</t>
  </si>
  <si>
    <t>A0468264487</t>
  </si>
  <si>
    <t>Mamata Mandal</t>
  </si>
  <si>
    <t>13-10-1995</t>
  </si>
  <si>
    <t>A046826465</t>
  </si>
  <si>
    <t xml:space="preserve">Pallavi Joshi </t>
  </si>
  <si>
    <t>20-07-2001</t>
  </si>
  <si>
    <t>Prabhas Kumar Das</t>
  </si>
  <si>
    <t>15/03/1956</t>
  </si>
  <si>
    <t>A046762255</t>
  </si>
  <si>
    <t>Jhalki Devi</t>
  </si>
  <si>
    <t>01/01/1967</t>
  </si>
  <si>
    <t>A046826500</t>
  </si>
  <si>
    <t>Girish Sharma</t>
  </si>
  <si>
    <t>12/03/1986</t>
  </si>
  <si>
    <t>A046826476</t>
  </si>
  <si>
    <t>Mangal Machhuwa</t>
  </si>
  <si>
    <t>01/01/1961</t>
  </si>
  <si>
    <t>A049944671</t>
  </si>
  <si>
    <t>Ritu Giri</t>
  </si>
  <si>
    <t>02-10-2001</t>
  </si>
  <si>
    <t>A046944034</t>
  </si>
  <si>
    <t>Farahana</t>
  </si>
  <si>
    <t>01-01-1988</t>
  </si>
  <si>
    <t>A046943703</t>
  </si>
  <si>
    <t>Laltika Bhakat</t>
  </si>
  <si>
    <t>16-12-2021</t>
  </si>
  <si>
    <t>A046943473</t>
  </si>
  <si>
    <t>Jyotsna Bhagat</t>
  </si>
  <si>
    <t>31/12/1959</t>
  </si>
  <si>
    <t>A046943091</t>
  </si>
  <si>
    <t>Binita Gorai</t>
  </si>
  <si>
    <t>Q004772595</t>
  </si>
  <si>
    <t>Ajay  Kumar</t>
  </si>
  <si>
    <t>31-10-1968</t>
  </si>
  <si>
    <t>A046991598</t>
  </si>
  <si>
    <t xml:space="preserve">Punam Devi </t>
  </si>
  <si>
    <t>05-09-1985</t>
  </si>
  <si>
    <t>17-12-2021</t>
  </si>
  <si>
    <t>A047001547</t>
  </si>
  <si>
    <t>Bikash  Sahu</t>
  </si>
  <si>
    <t>11-11-2003</t>
  </si>
  <si>
    <t>A047002319</t>
  </si>
  <si>
    <t>Anurag  Mishra</t>
  </si>
  <si>
    <t>03-09-2003</t>
  </si>
  <si>
    <t>paid</t>
  </si>
  <si>
    <t>Goutam Prasad Banerjee</t>
  </si>
  <si>
    <t>Voter</t>
  </si>
  <si>
    <t>A047049851</t>
  </si>
  <si>
    <t>Shilpa Laha</t>
  </si>
  <si>
    <t>04-08-1999</t>
  </si>
  <si>
    <t>19-12-2021</t>
  </si>
  <si>
    <t>Ajay kumar Giri</t>
  </si>
  <si>
    <t>04-04-1974</t>
  </si>
  <si>
    <t>Loso  Hansda</t>
  </si>
  <si>
    <t>20-12-2021</t>
  </si>
  <si>
    <t>A047049633</t>
  </si>
  <si>
    <t>Sarita Kumari</t>
  </si>
  <si>
    <t>05-07-1997</t>
  </si>
  <si>
    <t>A047048679</t>
  </si>
  <si>
    <t>sourav kumar das</t>
  </si>
  <si>
    <t>28-11-2000</t>
  </si>
  <si>
    <t>A047050001</t>
  </si>
  <si>
    <t>Prabhat Barik</t>
  </si>
  <si>
    <t>03-03-1999</t>
  </si>
  <si>
    <t>Q004792279</t>
  </si>
  <si>
    <t>Satendra Kumar Choudhary</t>
  </si>
  <si>
    <t>05-01-1976</t>
  </si>
  <si>
    <t>A047140292</t>
  </si>
  <si>
    <t>Anurag Kumar</t>
  </si>
  <si>
    <t>10-08-2006</t>
  </si>
  <si>
    <t>A047135053</t>
  </si>
  <si>
    <t>Sayan Bhadra</t>
  </si>
  <si>
    <t>14-05-2000</t>
  </si>
  <si>
    <t>A047135859</t>
  </si>
  <si>
    <t>Zulekha Khatoon</t>
  </si>
  <si>
    <t>04-01-1992</t>
  </si>
  <si>
    <t>Q004792633</t>
  </si>
  <si>
    <t>Mantu Mahato</t>
  </si>
  <si>
    <t>10-04-1989</t>
  </si>
  <si>
    <t>A047141352</t>
  </si>
  <si>
    <t>15-11-1986</t>
  </si>
  <si>
    <t>A047140924</t>
  </si>
  <si>
    <t>Munmun Sahu</t>
  </si>
  <si>
    <t>15-05-1993</t>
  </si>
  <si>
    <t>Q004814696</t>
  </si>
  <si>
    <t>Binay Kumra Singh</t>
  </si>
  <si>
    <t>25-10-1983</t>
  </si>
  <si>
    <t>24-12-2021</t>
  </si>
  <si>
    <t>Q004824327</t>
  </si>
  <si>
    <t>Anuradha Singh</t>
  </si>
  <si>
    <t>18-10-1996</t>
  </si>
  <si>
    <t>26-12-2021</t>
  </si>
  <si>
    <t>jsranu0000@g</t>
  </si>
  <si>
    <t>A047386596</t>
  </si>
  <si>
    <t>Bharti Mahato</t>
  </si>
  <si>
    <t>10-08-1991</t>
  </si>
  <si>
    <t>A047385367</t>
  </si>
  <si>
    <t>Binita Singh</t>
  </si>
  <si>
    <t>16-07-1984</t>
  </si>
  <si>
    <t>A047380990</t>
  </si>
  <si>
    <t>Rochita Sharma</t>
  </si>
  <si>
    <t>rochitasharma1@g</t>
  </si>
  <si>
    <t>A047387116</t>
  </si>
  <si>
    <t>Naghma Perween</t>
  </si>
  <si>
    <t>01-01-1998</t>
  </si>
  <si>
    <t>atharkhan10009@gmail.com</t>
  </si>
  <si>
    <t>A047311933</t>
  </si>
  <si>
    <t>Mohammad Tabish Hayat</t>
  </si>
  <si>
    <t>20-05-2005</t>
  </si>
  <si>
    <t>mohammadhayat35352@g</t>
  </si>
  <si>
    <t>A047476285</t>
  </si>
  <si>
    <t>Aliza Neha Tirkey</t>
  </si>
  <si>
    <t>10/10/1999</t>
  </si>
  <si>
    <t>28-12-2021</t>
  </si>
  <si>
    <t>A047474918</t>
  </si>
  <si>
    <t>Singomani Saren</t>
  </si>
  <si>
    <t>01/01/1962</t>
  </si>
  <si>
    <t>A047474035</t>
  </si>
  <si>
    <t>Priyanaka Kumari</t>
  </si>
  <si>
    <t>23/12/2000</t>
  </si>
  <si>
    <t>A047500586</t>
  </si>
  <si>
    <t xml:space="preserve">Natwar  Munda </t>
  </si>
  <si>
    <t>20/03/1976</t>
  </si>
  <si>
    <t>A047501815</t>
  </si>
  <si>
    <t xml:space="preserve">Satish  Sardar </t>
  </si>
  <si>
    <t>10/02/1985</t>
  </si>
  <si>
    <t>A047501043</t>
  </si>
  <si>
    <t>Sarita  Mahato</t>
  </si>
  <si>
    <t>15/12/2002</t>
  </si>
  <si>
    <t>A047524498</t>
  </si>
  <si>
    <t>Jaleshwari Nayak</t>
  </si>
  <si>
    <t>29-12-2021</t>
  </si>
  <si>
    <t>Q004845118</t>
  </si>
  <si>
    <t>Prashant Kumar barik</t>
  </si>
  <si>
    <t>28-12-1964</t>
  </si>
  <si>
    <t>A047555803</t>
  </si>
  <si>
    <t>Prya Kumari</t>
  </si>
  <si>
    <t>23/04/2002</t>
  </si>
  <si>
    <t>31-12-2021</t>
  </si>
  <si>
    <t>A047618039</t>
  </si>
  <si>
    <t>Krishna Kant Singh</t>
  </si>
  <si>
    <t>11/07/1942</t>
  </si>
  <si>
    <t>Q004858716</t>
  </si>
  <si>
    <t>PROBIR BAGCHI</t>
  </si>
  <si>
    <t>11/07/1998</t>
  </si>
  <si>
    <t>A047617495</t>
  </si>
  <si>
    <t>Sourav Kumar</t>
  </si>
  <si>
    <t>Q004848992</t>
  </si>
  <si>
    <t>Amarnath Tiwary</t>
  </si>
  <si>
    <t>15/01/1991</t>
  </si>
  <si>
    <t>A047548777</t>
  </si>
  <si>
    <t>Monu Gorai</t>
  </si>
  <si>
    <t>03-03-2001</t>
  </si>
  <si>
    <t>monugorai2001@gmail.com</t>
  </si>
  <si>
    <t>A047692180</t>
  </si>
  <si>
    <t>Akshat Raj Singh</t>
  </si>
  <si>
    <t>25-12-2003</t>
  </si>
  <si>
    <t>Q004865794</t>
  </si>
  <si>
    <t>FIROZ ALAM</t>
  </si>
  <si>
    <t>Q004870573</t>
  </si>
  <si>
    <t>Vandana Verma</t>
  </si>
  <si>
    <t>03-03-1990</t>
  </si>
  <si>
    <t>03-01-2022</t>
  </si>
  <si>
    <t>Q004872403</t>
  </si>
  <si>
    <t>Manok Kumar</t>
  </si>
  <si>
    <t>10-08-1975</t>
  </si>
  <si>
    <t>A047742768</t>
  </si>
  <si>
    <t>06-12-2003</t>
  </si>
  <si>
    <t>A047741755</t>
  </si>
  <si>
    <t>Apurva Das</t>
  </si>
  <si>
    <t>A047740218</t>
  </si>
  <si>
    <t>Narendra Pandey</t>
  </si>
  <si>
    <t>A047865166</t>
  </si>
  <si>
    <t>Naina Devi</t>
  </si>
  <si>
    <t>06/10/1984</t>
  </si>
  <si>
    <t>04-01-2022</t>
  </si>
  <si>
    <t>05-01-2022</t>
  </si>
  <si>
    <t>A047741117</t>
  </si>
  <si>
    <t>AAFIA PERWEEN</t>
  </si>
  <si>
    <t>25-02-2002</t>
  </si>
  <si>
    <t>A047827365</t>
  </si>
  <si>
    <t>Sabita Devi</t>
  </si>
  <si>
    <t>A047823551</t>
  </si>
  <si>
    <t>Anju Singh Modak</t>
  </si>
  <si>
    <t>15-05-1994</t>
  </si>
  <si>
    <t>A047860427</t>
  </si>
  <si>
    <t>Nehal Kumar Pandey</t>
  </si>
  <si>
    <t>19/06/2003</t>
  </si>
  <si>
    <t>Q004897027</t>
  </si>
  <si>
    <t>Mamta Tiwari</t>
  </si>
  <si>
    <t>11-06-1979</t>
  </si>
  <si>
    <t>07-01-2022</t>
  </si>
  <si>
    <t>Q004896918</t>
  </si>
  <si>
    <t>Abhishek Tiwary</t>
  </si>
  <si>
    <t>16-08-2000</t>
  </si>
  <si>
    <t>Q004885781</t>
  </si>
  <si>
    <t>Kiran Kour</t>
  </si>
  <si>
    <t>24-01-1994</t>
  </si>
  <si>
    <t>A048050540</t>
  </si>
  <si>
    <t>Anamika Kumari</t>
  </si>
  <si>
    <t>18-11-2002</t>
  </si>
  <si>
    <t>A048052787</t>
  </si>
  <si>
    <t>Bandana Devi</t>
  </si>
  <si>
    <t>03-01-1986</t>
  </si>
  <si>
    <t>A048074585</t>
  </si>
  <si>
    <t>Gourav Kumar Das</t>
  </si>
  <si>
    <t>29-01-2003</t>
  </si>
  <si>
    <t>08-01-2022</t>
  </si>
  <si>
    <t>A048069456</t>
  </si>
  <si>
    <t>Jyoti Pathak</t>
  </si>
  <si>
    <t>10-08-2000</t>
  </si>
  <si>
    <t>A048075946</t>
  </si>
  <si>
    <t>Shoaib Alam</t>
  </si>
  <si>
    <t>20-12-2002</t>
  </si>
  <si>
    <t>a048089981</t>
  </si>
  <si>
    <t>Humaira Shoaib</t>
  </si>
  <si>
    <t>10-12-1982</t>
  </si>
  <si>
    <t>humairashoaib@g</t>
  </si>
  <si>
    <t>Q004912161</t>
  </si>
  <si>
    <t>Supriya</t>
  </si>
  <si>
    <t>12-01-1963</t>
  </si>
  <si>
    <t>Q004908578</t>
  </si>
  <si>
    <t>Ankita Prasad</t>
  </si>
  <si>
    <t>10-11-1991</t>
  </si>
  <si>
    <t>09-01-2022</t>
  </si>
  <si>
    <t>A048387006</t>
  </si>
  <si>
    <t>12-12-1994</t>
  </si>
  <si>
    <t>12-01-2022</t>
  </si>
  <si>
    <t>A048386641</t>
  </si>
  <si>
    <t>01-01-192</t>
  </si>
  <si>
    <t>A048408671</t>
  </si>
  <si>
    <t>Mono Sandil</t>
  </si>
  <si>
    <t>05-05-2002</t>
  </si>
  <si>
    <t>13-01-2022</t>
  </si>
  <si>
    <t>sonysandil993@g</t>
  </si>
  <si>
    <t>A048463903</t>
  </si>
  <si>
    <t>Zainab Imtyaz</t>
  </si>
  <si>
    <t>29-04-1997</t>
  </si>
  <si>
    <t>14-01-2022</t>
  </si>
  <si>
    <t>zainab.imtyaz@g</t>
  </si>
  <si>
    <t>Q004953486</t>
  </si>
  <si>
    <t>Mamta Singh</t>
  </si>
  <si>
    <t>06-05-1977</t>
  </si>
  <si>
    <t>A048503193</t>
  </si>
  <si>
    <t>Mita Guru</t>
  </si>
  <si>
    <t>A048518452</t>
  </si>
  <si>
    <t>Meenu Kumari</t>
  </si>
  <si>
    <t>07-10-1994</t>
  </si>
  <si>
    <t>15-01-2022</t>
  </si>
  <si>
    <t>sandeepgaur68@g</t>
  </si>
  <si>
    <t>Q004953904</t>
  </si>
  <si>
    <t>Pieu Mallick</t>
  </si>
  <si>
    <t>15-01-1987</t>
  </si>
  <si>
    <t>kunduravi42@g</t>
  </si>
  <si>
    <t>Q004965612</t>
  </si>
  <si>
    <t>Gouri Devi</t>
  </si>
  <si>
    <t>06-05-1975</t>
  </si>
  <si>
    <t>16-01-2022</t>
  </si>
  <si>
    <t>narayan.kumar@g</t>
  </si>
  <si>
    <t>A048575751</t>
  </si>
  <si>
    <t>Prashant Gupta</t>
  </si>
  <si>
    <t>A048637193</t>
  </si>
  <si>
    <t>Kumar Satyam</t>
  </si>
  <si>
    <t>11-10-2007</t>
  </si>
  <si>
    <t>17-01-2022</t>
  </si>
  <si>
    <t>A048638877</t>
  </si>
  <si>
    <t>Abhinav Kumar</t>
  </si>
  <si>
    <t>17-12-2001</t>
  </si>
  <si>
    <t>abkr1712@g</t>
  </si>
  <si>
    <t>A048640429</t>
  </si>
  <si>
    <t>Sudhir Kumar</t>
  </si>
  <si>
    <t>01-01-2002</t>
  </si>
  <si>
    <t>sudhirkumar787027@g</t>
  </si>
  <si>
    <t>Q004975838</t>
  </si>
  <si>
    <t>23-12-2000</t>
  </si>
  <si>
    <t>archanakumari0657@g</t>
  </si>
  <si>
    <t>A048631033</t>
  </si>
  <si>
    <t>Dulali Manjhi</t>
  </si>
  <si>
    <t>A048686494</t>
  </si>
  <si>
    <t>Ravi Kumar</t>
  </si>
  <si>
    <t>27-02-2002</t>
  </si>
  <si>
    <t>18-01-2022</t>
  </si>
  <si>
    <t>A048735751</t>
  </si>
  <si>
    <t>Kishlay Verma</t>
  </si>
  <si>
    <t>15-06-1999</t>
  </si>
  <si>
    <t>19-01-2022</t>
  </si>
  <si>
    <t>kishlayverma1234@g</t>
  </si>
  <si>
    <t>A048750367</t>
  </si>
  <si>
    <t>Kanti Devi</t>
  </si>
  <si>
    <t>30-05-1966</t>
  </si>
  <si>
    <t>A048808026</t>
  </si>
  <si>
    <t>Reshma bano</t>
  </si>
  <si>
    <t>16-07-1987</t>
  </si>
  <si>
    <t>20-01-2022</t>
  </si>
  <si>
    <t>A048858359</t>
  </si>
  <si>
    <t>Pankaj Kumar Mahato</t>
  </si>
  <si>
    <t>04-08-1993</t>
  </si>
  <si>
    <t>21-01-2022</t>
  </si>
  <si>
    <t>A048852586</t>
  </si>
  <si>
    <t>Sourav Mazumdar</t>
  </si>
  <si>
    <t>20-04-2000</t>
  </si>
  <si>
    <t>Q005001862</t>
  </si>
  <si>
    <t>Rinky Kumari</t>
  </si>
  <si>
    <t>09-07-1987</t>
  </si>
  <si>
    <t>Q005002301</t>
  </si>
  <si>
    <t>Firdousi Begum</t>
  </si>
  <si>
    <t>15-10-1978</t>
  </si>
  <si>
    <t>A048920718</t>
  </si>
  <si>
    <t>Rohit Kumar</t>
  </si>
  <si>
    <t>30-12-2003</t>
  </si>
  <si>
    <t>22-01-2022</t>
  </si>
  <si>
    <t>rohit.choudhary.jsr15@g</t>
  </si>
  <si>
    <t>Q004917088</t>
  </si>
  <si>
    <t>06-04-2003</t>
  </si>
  <si>
    <t>Q004953846</t>
  </si>
  <si>
    <t>A049007581</t>
  </si>
  <si>
    <t>Rahul Barua</t>
  </si>
  <si>
    <t>15-05-2002</t>
  </si>
  <si>
    <t>24-01-2022</t>
  </si>
  <si>
    <t>due 20</t>
  </si>
  <si>
    <t>A049008721</t>
  </si>
  <si>
    <t>Ajay Sabar</t>
  </si>
  <si>
    <t>01-01-1999</t>
  </si>
  <si>
    <t>A049009426</t>
  </si>
  <si>
    <t>Anju Pandey</t>
  </si>
  <si>
    <t>22-11-1999</t>
  </si>
  <si>
    <t>A49076394</t>
  </si>
  <si>
    <t>Jaibun Nisha</t>
  </si>
  <si>
    <t>01-07-1964</t>
  </si>
  <si>
    <t>26-01-2022</t>
  </si>
  <si>
    <t>Q005034439</t>
  </si>
  <si>
    <t>Shrabani Gorai</t>
  </si>
  <si>
    <t>09-08-1994</t>
  </si>
  <si>
    <t>Q005052550</t>
  </si>
  <si>
    <t>Sanjay Kumar</t>
  </si>
  <si>
    <t>25-10-1979</t>
  </si>
  <si>
    <t>28-01-2022</t>
  </si>
  <si>
    <t>A049205555</t>
  </si>
  <si>
    <t>Joy Shalu</t>
  </si>
  <si>
    <t>16-09-2002</t>
  </si>
  <si>
    <t>A049206366</t>
  </si>
  <si>
    <t>13-05-1981</t>
  </si>
  <si>
    <t>A049228115</t>
  </si>
  <si>
    <t>31-12-2003</t>
  </si>
  <si>
    <t>A049283600</t>
  </si>
  <si>
    <t>Yash Kamal</t>
  </si>
  <si>
    <t>21-11-2002</t>
  </si>
  <si>
    <t>29-01-2022</t>
  </si>
  <si>
    <t>Q004737788</t>
  </si>
  <si>
    <t>ANDRIAS AIND</t>
  </si>
  <si>
    <t>11-12-2021</t>
  </si>
  <si>
    <t>A049345055</t>
  </si>
  <si>
    <t>Joba Purti</t>
  </si>
  <si>
    <t>31-01-20222</t>
  </si>
  <si>
    <t>A049398479</t>
  </si>
  <si>
    <t>Nitu Mukhi</t>
  </si>
  <si>
    <t>15-10-1992</t>
  </si>
  <si>
    <t>01-02-2022</t>
  </si>
  <si>
    <t>A049488627</t>
  </si>
  <si>
    <t>Mangura Gorai</t>
  </si>
  <si>
    <t>01-01-1991</t>
  </si>
  <si>
    <t>02-02-2022</t>
  </si>
  <si>
    <t>DUBPG5419K</t>
  </si>
  <si>
    <t>A049494239</t>
  </si>
  <si>
    <t>Manprit Kour</t>
  </si>
  <si>
    <t>26-10-1993</t>
  </si>
  <si>
    <t>A049588833</t>
  </si>
  <si>
    <t>Basanati Lakra</t>
  </si>
  <si>
    <t>20-12-1991</t>
  </si>
  <si>
    <t>04-02-2022</t>
  </si>
  <si>
    <t>A049650589</t>
  </si>
  <si>
    <t>Soni Gupta</t>
  </si>
  <si>
    <t>18-07-2003</t>
  </si>
  <si>
    <t>06-02-2022</t>
  </si>
  <si>
    <t>AT comport</t>
  </si>
  <si>
    <t>A049692818</t>
  </si>
  <si>
    <t>19-06-1998</t>
  </si>
  <si>
    <t>07-02-2022</t>
  </si>
  <si>
    <t>A049822361</t>
  </si>
  <si>
    <t>Richa Kumari</t>
  </si>
  <si>
    <t>19-04-2001</t>
  </si>
  <si>
    <t>09-02-2022</t>
  </si>
  <si>
    <t>Q005148859</t>
  </si>
  <si>
    <t>Rama Kanta Sahoo</t>
  </si>
  <si>
    <t>22-11-1963</t>
  </si>
  <si>
    <t>10-02-2022</t>
  </si>
  <si>
    <t>10-00-2022</t>
  </si>
  <si>
    <t>A049840131</t>
  </si>
  <si>
    <t>Biraj Purti</t>
  </si>
  <si>
    <t>10-12-2000</t>
  </si>
  <si>
    <t>A049834320</t>
  </si>
  <si>
    <t>jayanti sahoo</t>
  </si>
  <si>
    <t>05-07-1974</t>
  </si>
  <si>
    <t>A049831847</t>
  </si>
  <si>
    <t>Bijeta Kumari</t>
  </si>
  <si>
    <t>02-01-1997</t>
  </si>
  <si>
    <t>A049871081</t>
  </si>
  <si>
    <t>Rohit kumar Singh</t>
  </si>
  <si>
    <t>03-05-2002</t>
  </si>
  <si>
    <t>A049897540</t>
  </si>
  <si>
    <t>Puja Kumari</t>
  </si>
  <si>
    <t>11-02-2022</t>
  </si>
  <si>
    <t>Q005161006</t>
  </si>
  <si>
    <t>Raju Kumar Singh</t>
  </si>
  <si>
    <t>06-02-1986</t>
  </si>
  <si>
    <t>Q005161350</t>
  </si>
  <si>
    <t>anil Murmu</t>
  </si>
  <si>
    <t>21-01-1991</t>
  </si>
  <si>
    <t>A049981771</t>
  </si>
  <si>
    <t>Manas Kumar Singh</t>
  </si>
  <si>
    <t>23-09-2002</t>
  </si>
  <si>
    <t>12-02-2022</t>
  </si>
  <si>
    <t>A050032341</t>
  </si>
  <si>
    <t>Basanti Suren</t>
  </si>
  <si>
    <t>05-08-1995</t>
  </si>
  <si>
    <t>14-02-2022</t>
  </si>
  <si>
    <t>A050044278</t>
  </si>
  <si>
    <t>Urmila Solanki</t>
  </si>
  <si>
    <t>01-09-1990</t>
  </si>
  <si>
    <t>Q005179722</t>
  </si>
  <si>
    <t>Anjali Singh</t>
  </si>
  <si>
    <t>07-02-2002</t>
  </si>
  <si>
    <t>Q005183778</t>
  </si>
  <si>
    <t>Sukhbir Singh Mandal</t>
  </si>
  <si>
    <t>15-02-2022</t>
  </si>
  <si>
    <t>A050091776</t>
  </si>
  <si>
    <t>Rohit Kumar Singh</t>
  </si>
  <si>
    <t>05-06-2003</t>
  </si>
  <si>
    <t>Q005185264</t>
  </si>
  <si>
    <t>Rajesh Kumar Updhyay</t>
  </si>
  <si>
    <t>12-11-1987</t>
  </si>
  <si>
    <t>A050113264</t>
  </si>
  <si>
    <t>Shruti Kumari</t>
  </si>
  <si>
    <t>Q005190735</t>
  </si>
  <si>
    <t>Tileshwari Devi</t>
  </si>
  <si>
    <t>04-03-1951</t>
  </si>
  <si>
    <t>16-02-2022</t>
  </si>
  <si>
    <t>A050182571</t>
  </si>
  <si>
    <t>Edupilli Soumya</t>
  </si>
  <si>
    <t>09-07-2002</t>
  </si>
  <si>
    <t>17-02-2022</t>
  </si>
  <si>
    <t>A050192686</t>
  </si>
  <si>
    <t>Sunil Kumar</t>
  </si>
  <si>
    <t>15-06-1987</t>
  </si>
  <si>
    <t>A050200908</t>
  </si>
  <si>
    <t>Hena Naaz</t>
  </si>
  <si>
    <t>A050222636</t>
  </si>
  <si>
    <t>Ashman Karmakar</t>
  </si>
  <si>
    <t>03-04-1998</t>
  </si>
  <si>
    <t>Q050220842</t>
  </si>
  <si>
    <t>Sundara Mahato</t>
  </si>
  <si>
    <t>28-06-1974</t>
  </si>
  <si>
    <t>18-02-2022</t>
  </si>
  <si>
    <t>sanjay2</t>
  </si>
  <si>
    <t>A050245034</t>
  </si>
  <si>
    <t>12-04-2003</t>
  </si>
  <si>
    <t>Q005208835</t>
  </si>
  <si>
    <t>Manoj Sahoo</t>
  </si>
  <si>
    <t>23-03-1997</t>
  </si>
  <si>
    <t>A050262570</t>
  </si>
  <si>
    <t>Rachit Sharma</t>
  </si>
  <si>
    <t>18-11-2003</t>
  </si>
  <si>
    <t>A050269618</t>
  </si>
  <si>
    <t>Ramesh Vishwakarma</t>
  </si>
  <si>
    <t>03-03-1976</t>
  </si>
  <si>
    <t>A050268957</t>
  </si>
  <si>
    <t>Pammi Devi</t>
  </si>
  <si>
    <t>A050307163</t>
  </si>
  <si>
    <t>Babita Devi</t>
  </si>
  <si>
    <t>19-02-2022</t>
  </si>
  <si>
    <t>Q005193361</t>
  </si>
  <si>
    <t>19-01-1968</t>
  </si>
  <si>
    <t>20-02-2022</t>
  </si>
  <si>
    <t>Q005225831</t>
  </si>
  <si>
    <t>Babita Kumari Singh</t>
  </si>
  <si>
    <t>05-01-1978</t>
  </si>
  <si>
    <t>A050427835</t>
  </si>
  <si>
    <t>31-01-2004</t>
  </si>
  <si>
    <t>22-02-2022</t>
  </si>
  <si>
    <t>A050452570</t>
  </si>
  <si>
    <t>Momina Parveen</t>
  </si>
  <si>
    <t>23-11-1962</t>
  </si>
  <si>
    <t>23-02-2022</t>
  </si>
  <si>
    <t>A050479460</t>
  </si>
  <si>
    <t>08-03-2001</t>
  </si>
  <si>
    <t>A050494262</t>
  </si>
  <si>
    <t>Ajoy Kumar Giri</t>
  </si>
  <si>
    <t>24-02-2022</t>
  </si>
  <si>
    <t>A050524825</t>
  </si>
  <si>
    <t>Nitu Devi</t>
  </si>
  <si>
    <t>A050526557</t>
  </si>
  <si>
    <t>Bharti Munda</t>
  </si>
  <si>
    <t>A050529491</t>
  </si>
  <si>
    <t>Vidyawati Devi</t>
  </si>
  <si>
    <t>01-01-1966</t>
  </si>
  <si>
    <t>Q005253334</t>
  </si>
  <si>
    <t>Rina Dey</t>
  </si>
  <si>
    <t>25-02-2022</t>
  </si>
  <si>
    <t>Q005261618</t>
  </si>
  <si>
    <t>Balahari Das</t>
  </si>
  <si>
    <t>01-01-1951</t>
  </si>
  <si>
    <t>26-02-2022</t>
  </si>
  <si>
    <t>A050633294</t>
  </si>
  <si>
    <t>Bhimsen Karmakar</t>
  </si>
  <si>
    <t>18-07-1966</t>
  </si>
  <si>
    <t>Q005264959</t>
  </si>
  <si>
    <t>09-02-1992</t>
  </si>
  <si>
    <t>Q005267453</t>
  </si>
  <si>
    <t>Majid Equbal Akhtar</t>
  </si>
  <si>
    <t>26-07-1995</t>
  </si>
  <si>
    <t>27-02-2022</t>
  </si>
  <si>
    <t>Q005268153</t>
  </si>
  <si>
    <t>Musarrat Bano</t>
  </si>
  <si>
    <t>22-03-1976</t>
  </si>
  <si>
    <t>A050654542</t>
  </si>
  <si>
    <t>Abdul Quadir</t>
  </si>
  <si>
    <t>13-05-2001</t>
  </si>
  <si>
    <t>A050668687</t>
  </si>
  <si>
    <t>Nikhil Kumar Soni</t>
  </si>
  <si>
    <t>17-12-2003</t>
  </si>
  <si>
    <t>A050850927</t>
  </si>
  <si>
    <t>Meena Gorai</t>
  </si>
  <si>
    <t>13-03-1990</t>
  </si>
  <si>
    <t>03-04-2022</t>
  </si>
  <si>
    <t>A050895488</t>
  </si>
  <si>
    <t>Ashfiya Zubair</t>
  </si>
  <si>
    <t>08-05-2003</t>
  </si>
  <si>
    <t>04-03-2022</t>
  </si>
  <si>
    <t>Q005303183</t>
  </si>
  <si>
    <t>Zuber Alam</t>
  </si>
  <si>
    <t>13-12-1969</t>
  </si>
  <si>
    <t>Q005307299</t>
  </si>
  <si>
    <t>Roselin Toppo</t>
  </si>
  <si>
    <t>01-04-1972</t>
  </si>
  <si>
    <t>05-03-2022</t>
  </si>
  <si>
    <t>A051008487</t>
  </si>
  <si>
    <t>Kamla Devi</t>
  </si>
  <si>
    <t>01-01-1972</t>
  </si>
  <si>
    <t>07-03-2022</t>
  </si>
  <si>
    <t>A051026768</t>
  </si>
  <si>
    <t>Jyoti Verma</t>
  </si>
  <si>
    <t>25-07-2000</t>
  </si>
  <si>
    <t>Q005308390</t>
  </si>
  <si>
    <t>Dennis Sharang Willam</t>
  </si>
  <si>
    <t>27-02-1995</t>
  </si>
  <si>
    <t>08-03-2022</t>
  </si>
  <si>
    <t>A051076838</t>
  </si>
  <si>
    <t>Priyam Mani</t>
  </si>
  <si>
    <t>03-10-2003</t>
  </si>
  <si>
    <t>A051051891</t>
  </si>
  <si>
    <t>Kakuli Bhakat</t>
  </si>
  <si>
    <t>17-08-2000</t>
  </si>
  <si>
    <t>Q005334303</t>
  </si>
  <si>
    <t>Awdhesh kumar Bharti</t>
  </si>
  <si>
    <t>05-05-1979</t>
  </si>
  <si>
    <t>09-03-2022</t>
  </si>
  <si>
    <t>???????</t>
  </si>
  <si>
    <t>A051128162</t>
  </si>
  <si>
    <t>Kalyani Mishra</t>
  </si>
  <si>
    <t>Q005349841</t>
  </si>
  <si>
    <t>Pradeep Kumar Sharma</t>
  </si>
  <si>
    <t>16-04-1981</t>
  </si>
  <si>
    <t>11-03-2022</t>
  </si>
  <si>
    <t>A051206873</t>
  </si>
  <si>
    <t>Rashmi</t>
  </si>
  <si>
    <t>22-02-1980</t>
  </si>
  <si>
    <t>A051185801</t>
  </si>
  <si>
    <t>Saida Khatun</t>
  </si>
  <si>
    <t>15-06-1972</t>
  </si>
  <si>
    <t>10-03-2022</t>
  </si>
  <si>
    <t>Q005339588</t>
  </si>
  <si>
    <t>Maloy Kumar Dey</t>
  </si>
  <si>
    <t>17-11-1973</t>
  </si>
  <si>
    <t>A051341391</t>
  </si>
  <si>
    <t>Shvam Kumar</t>
  </si>
  <si>
    <t>14-05-2004</t>
  </si>
  <si>
    <t>14-03-2022</t>
  </si>
  <si>
    <t>A051323110</t>
  </si>
  <si>
    <t>Aman Verma</t>
  </si>
  <si>
    <t>16-09-2003</t>
  </si>
  <si>
    <t>A051290298</t>
  </si>
  <si>
    <t>Abhinav Nishith</t>
  </si>
  <si>
    <t>06-07-2003</t>
  </si>
  <si>
    <t>A051342787</t>
  </si>
  <si>
    <t>Nazneen Khanam</t>
  </si>
  <si>
    <t>10-09-2002</t>
  </si>
  <si>
    <t>A051359165</t>
  </si>
  <si>
    <t>Krishna Bahadur</t>
  </si>
  <si>
    <t>30-06-1992</t>
  </si>
  <si>
    <t>A051362718</t>
  </si>
  <si>
    <t>Suchitra Mahato</t>
  </si>
  <si>
    <t>20-12-1989</t>
  </si>
  <si>
    <t>A051515236</t>
  </si>
  <si>
    <t>Ashish Singh</t>
  </si>
  <si>
    <t>11-11-2002</t>
  </si>
  <si>
    <t>18-03-2022</t>
  </si>
  <si>
    <t>A051611525</t>
  </si>
  <si>
    <t>Nitu Kumari Singh</t>
  </si>
  <si>
    <t>05-12-2001</t>
  </si>
  <si>
    <t>21-03-2022</t>
  </si>
  <si>
    <t>A051614030</t>
  </si>
  <si>
    <t>Manpreet Behal</t>
  </si>
  <si>
    <t>21-112002</t>
  </si>
  <si>
    <t>22-03-2022</t>
  </si>
  <si>
    <t>Q005399629</t>
  </si>
  <si>
    <t>Sucharita Sarangi</t>
  </si>
  <si>
    <t>21-06-1960</t>
  </si>
  <si>
    <t>Q005399683</t>
  </si>
  <si>
    <t>Kumar Sagar</t>
  </si>
  <si>
    <t>06-05-1998</t>
  </si>
  <si>
    <t>A051691136</t>
  </si>
  <si>
    <t>Abdul Wahab</t>
  </si>
  <si>
    <t>11-09-2002</t>
  </si>
  <si>
    <t>A051723259</t>
  </si>
  <si>
    <t>Neelam Devi</t>
  </si>
  <si>
    <t>23-03-2022</t>
  </si>
  <si>
    <t>A051724597</t>
  </si>
  <si>
    <t>Sapna Kumari</t>
  </si>
  <si>
    <t>09-03-2000</t>
  </si>
  <si>
    <t>A051749949</t>
  </si>
  <si>
    <t>Payal Das</t>
  </si>
  <si>
    <t>10-05-2002</t>
  </si>
  <si>
    <t>A051757475</t>
  </si>
  <si>
    <t>Jitendra Srivastava</t>
  </si>
  <si>
    <t>23-10-1984</t>
  </si>
  <si>
    <t>24-03-2022</t>
  </si>
  <si>
    <t>sanjay2(self add)</t>
  </si>
  <si>
    <t>A051766558</t>
  </si>
  <si>
    <t>Devanti Devi</t>
  </si>
  <si>
    <t>Q005443332</t>
  </si>
  <si>
    <t>Upendra Singh</t>
  </si>
  <si>
    <t>14-01-1981</t>
  </si>
  <si>
    <t>A051848231</t>
  </si>
  <si>
    <t>jasvinder Kour</t>
  </si>
  <si>
    <t>26-12-1997</t>
  </si>
  <si>
    <t>25-03-2022</t>
  </si>
  <si>
    <t>Q005453247</t>
  </si>
  <si>
    <t>Anjali Sarkar</t>
  </si>
  <si>
    <t>15-06-1948</t>
  </si>
  <si>
    <t>26-03-2022</t>
  </si>
  <si>
    <t>A051875141</t>
  </si>
  <si>
    <t>Nazreen Tabassom</t>
  </si>
  <si>
    <t>15-09-1994</t>
  </si>
  <si>
    <t>A051898926</t>
  </si>
  <si>
    <t>Hemangini Bhakat</t>
  </si>
  <si>
    <t>15-04-1975</t>
  </si>
  <si>
    <t>Q005464674</t>
  </si>
  <si>
    <t>Bhuvan Bhaskar</t>
  </si>
  <si>
    <t>31-01-1981</t>
  </si>
  <si>
    <t>27-03-2022</t>
  </si>
  <si>
    <t>A051944880</t>
  </si>
  <si>
    <t>Uzma Afreen</t>
  </si>
  <si>
    <t>13-01-2001</t>
  </si>
  <si>
    <t>28-03-2022</t>
  </si>
  <si>
    <t>Q005477083</t>
  </si>
  <si>
    <t>29-03-2022</t>
  </si>
  <si>
    <t>Q005474224</t>
  </si>
  <si>
    <t>Nikhil majumdar</t>
  </si>
  <si>
    <t>31-12-1953</t>
  </si>
  <si>
    <t>Q005477221</t>
  </si>
  <si>
    <t>12-12-1969</t>
  </si>
  <si>
    <t>A052001317</t>
  </si>
  <si>
    <t>Sankar Kumar</t>
  </si>
  <si>
    <t>28-01-2006</t>
  </si>
  <si>
    <t>A051999680</t>
  </si>
  <si>
    <t>Aarti Devi</t>
  </si>
  <si>
    <t>HTRPD3464C</t>
  </si>
  <si>
    <t>A052000996</t>
  </si>
  <si>
    <t>Saloni Kumari</t>
  </si>
  <si>
    <t>15/11/2008</t>
  </si>
  <si>
    <t>Q005498394</t>
  </si>
  <si>
    <t>Ram Naresh Tiwari</t>
  </si>
  <si>
    <t>01/09/1975</t>
  </si>
  <si>
    <t>31-03-2022</t>
  </si>
  <si>
    <t>13-04-2022</t>
  </si>
  <si>
    <t>A052194434</t>
  </si>
  <si>
    <t>Surbhi Kumari Pandey</t>
  </si>
  <si>
    <t>25-07-2001</t>
  </si>
  <si>
    <t>A052190383</t>
  </si>
  <si>
    <t>Aaditya Shome</t>
  </si>
  <si>
    <t>25-05-2006</t>
  </si>
  <si>
    <t>A052210053</t>
  </si>
  <si>
    <t>Kiran Devi</t>
  </si>
  <si>
    <t>01-01-1982</t>
  </si>
  <si>
    <t>A052259138</t>
  </si>
  <si>
    <t>Sabi Devi</t>
  </si>
  <si>
    <t>1-01-1977</t>
  </si>
  <si>
    <t>04-04-2022</t>
  </si>
  <si>
    <t>A052263373</t>
  </si>
  <si>
    <t>14-02-1995</t>
  </si>
  <si>
    <t>A052263941</t>
  </si>
  <si>
    <t>Spandan Dutaa</t>
  </si>
  <si>
    <t>25-03-2004</t>
  </si>
  <si>
    <t>A052305856</t>
  </si>
  <si>
    <t>Anita Tanti</t>
  </si>
  <si>
    <t>10-02-2000</t>
  </si>
  <si>
    <t>05-04-2022</t>
  </si>
  <si>
    <t>A052353975</t>
  </si>
  <si>
    <t>Hritika</t>
  </si>
  <si>
    <t>12-09-2002</t>
  </si>
  <si>
    <t>06-04-2022</t>
  </si>
  <si>
    <t>A052386464</t>
  </si>
  <si>
    <t>Keshab Kumar</t>
  </si>
  <si>
    <t>15-07-1998</t>
  </si>
  <si>
    <t>08-04-2022</t>
  </si>
  <si>
    <t>A052426614</t>
  </si>
  <si>
    <t>24/08/2000</t>
  </si>
  <si>
    <t>A052488263</t>
  </si>
  <si>
    <t>Bholenath Das</t>
  </si>
  <si>
    <t>13-03-1998</t>
  </si>
  <si>
    <t>10-04-2022</t>
  </si>
  <si>
    <t>Q005515495</t>
  </si>
  <si>
    <t>01-03-2004</t>
  </si>
  <si>
    <t>A052713742</t>
  </si>
  <si>
    <t>Akbar Ali</t>
  </si>
  <si>
    <t>30-11-1980</t>
  </si>
  <si>
    <t>16-04-2022</t>
  </si>
  <si>
    <t>A052721286</t>
  </si>
  <si>
    <t>Rohit Shukla</t>
  </si>
  <si>
    <t>16-05-2002</t>
  </si>
  <si>
    <t>A052795387</t>
  </si>
  <si>
    <t>Soumendu Bhattcharjee</t>
  </si>
  <si>
    <t>16-07-1979</t>
  </si>
  <si>
    <t>18-04-2022</t>
  </si>
  <si>
    <t>A052884298</t>
  </si>
  <si>
    <t>Neha Kumari</t>
  </si>
  <si>
    <t>26-02-1995</t>
  </si>
  <si>
    <t>A053019441</t>
  </si>
  <si>
    <t>indu Ray</t>
  </si>
  <si>
    <t>09-02-1963</t>
  </si>
  <si>
    <t>23-04-2022</t>
  </si>
  <si>
    <t>A053127790</t>
  </si>
  <si>
    <t>Ritu Choudhary</t>
  </si>
  <si>
    <t>28-02-1991</t>
  </si>
  <si>
    <t>26-04-2022</t>
  </si>
  <si>
    <t>A053177258</t>
  </si>
  <si>
    <t>Anupama Pathak</t>
  </si>
  <si>
    <t>11-01-2003</t>
  </si>
  <si>
    <t>28-04-2022</t>
  </si>
  <si>
    <t>A053258189</t>
  </si>
  <si>
    <t>Asha Pandey</t>
  </si>
  <si>
    <t>07-10-1957</t>
  </si>
  <si>
    <t>29-04-2022</t>
  </si>
  <si>
    <t>A053272311</t>
  </si>
  <si>
    <t>Subham Karmakar</t>
  </si>
  <si>
    <t>11/04/2004</t>
  </si>
  <si>
    <t>30-04-2022</t>
  </si>
  <si>
    <t>A053344361</t>
  </si>
  <si>
    <t>Arindam Chandra</t>
  </si>
  <si>
    <t>02/05/2004</t>
  </si>
  <si>
    <t>02-05-2022</t>
  </si>
  <si>
    <t>A053348927</t>
  </si>
  <si>
    <t>Majindar Lohar</t>
  </si>
  <si>
    <t>A053374512</t>
  </si>
  <si>
    <t>Rajni Das</t>
  </si>
  <si>
    <t>A053424075</t>
  </si>
  <si>
    <t>Priyanka Ranjan</t>
  </si>
  <si>
    <t>01-12-1999</t>
  </si>
  <si>
    <t>04-05-2022</t>
  </si>
  <si>
    <t>A053512672</t>
  </si>
  <si>
    <t>Sumanti Devi</t>
  </si>
  <si>
    <t>06-05-2022</t>
  </si>
  <si>
    <t>Q005546913</t>
  </si>
  <si>
    <t>Jhuma Ghosh</t>
  </si>
  <si>
    <t>25-08-1977</t>
  </si>
  <si>
    <t>17-04-2022</t>
  </si>
  <si>
    <t>Q005665835</t>
  </si>
  <si>
    <t>Kiran Sinha</t>
  </si>
  <si>
    <t>11-08-1974</t>
  </si>
  <si>
    <t>09-05-2022</t>
  </si>
  <si>
    <t>A053661266</t>
  </si>
  <si>
    <t>Khushi Singh</t>
  </si>
  <si>
    <t>20-03-2004</t>
  </si>
  <si>
    <t>10-05-2022</t>
  </si>
  <si>
    <t>13-05-2022</t>
  </si>
  <si>
    <t>Q005686865</t>
  </si>
  <si>
    <t>Sachida Nanda Tewary</t>
  </si>
  <si>
    <t>16-01-1946</t>
  </si>
  <si>
    <t>A053743702</t>
  </si>
  <si>
    <t>Milan Srivastava</t>
  </si>
  <si>
    <t>A053825260</t>
  </si>
  <si>
    <t>Rohit Sharma</t>
  </si>
  <si>
    <t>24-01-2004</t>
  </si>
  <si>
    <t>A053777003</t>
  </si>
  <si>
    <t>Mahesh Munda</t>
  </si>
  <si>
    <t>21-10-2003</t>
  </si>
  <si>
    <t>12-05-2022</t>
  </si>
  <si>
    <t>Q005697543</t>
  </si>
  <si>
    <t>Sourav Shukla</t>
  </si>
  <si>
    <t>15-06-1996</t>
  </si>
  <si>
    <t>15-05-2022</t>
  </si>
  <si>
    <t>A053879969</t>
  </si>
  <si>
    <t>Rashi Khan</t>
  </si>
  <si>
    <t>30-07-2002</t>
  </si>
  <si>
    <t>A053931660</t>
  </si>
  <si>
    <t>Rajesh Lohar</t>
  </si>
  <si>
    <t>16-05-2022</t>
  </si>
  <si>
    <t>A053998721</t>
  </si>
  <si>
    <t>29-03-1978</t>
  </si>
  <si>
    <t>18-05-2022</t>
  </si>
  <si>
    <t>A054027172</t>
  </si>
  <si>
    <t>Md Fahad Jawed</t>
  </si>
  <si>
    <t>19-01-2003</t>
  </si>
  <si>
    <t>A054112871</t>
  </si>
  <si>
    <t>Anamika Mazumdar</t>
  </si>
  <si>
    <t>09-02-1996</t>
  </si>
  <si>
    <t>20-05-2022</t>
  </si>
  <si>
    <t>A054179202</t>
  </si>
  <si>
    <t>Roshni Munda</t>
  </si>
  <si>
    <t>19-10-2001</t>
  </si>
  <si>
    <t>22-05-2022</t>
  </si>
  <si>
    <t>A054172966</t>
  </si>
  <si>
    <t>Samit Paira</t>
  </si>
  <si>
    <t>Q005741037</t>
  </si>
  <si>
    <t>30-01-1990</t>
  </si>
  <si>
    <t>23-05-2022</t>
  </si>
  <si>
    <t>A054283638</t>
  </si>
  <si>
    <t>kayari Purty</t>
  </si>
  <si>
    <t>15-081970</t>
  </si>
  <si>
    <t>24-05-2022</t>
  </si>
  <si>
    <t>A054292934</t>
  </si>
  <si>
    <t>ShayakGhosh</t>
  </si>
  <si>
    <t>22-03-2004</t>
  </si>
  <si>
    <t>Q005748904</t>
  </si>
  <si>
    <t>18-05-2004</t>
  </si>
  <si>
    <t>25-05-2022</t>
  </si>
  <si>
    <t>Q005748834</t>
  </si>
  <si>
    <t>Manisa</t>
  </si>
  <si>
    <t>16-04-1991</t>
  </si>
  <si>
    <t>A054337314</t>
  </si>
  <si>
    <t>Ishika singh</t>
  </si>
  <si>
    <t>28-12-2000</t>
  </si>
  <si>
    <t>A054394529</t>
  </si>
  <si>
    <t>Kalpana Mahato</t>
  </si>
  <si>
    <t>03-07-1971</t>
  </si>
  <si>
    <t>27-05-2022</t>
  </si>
  <si>
    <t>A054436263</t>
  </si>
  <si>
    <t>Savita Sharma</t>
  </si>
  <si>
    <t>19-06-2003</t>
  </si>
  <si>
    <t>28-05-2022</t>
  </si>
  <si>
    <t>A054444318</t>
  </si>
  <si>
    <t>Gayatri Sharma</t>
  </si>
  <si>
    <t>25-12-1969</t>
  </si>
  <si>
    <t>A054460942</t>
  </si>
  <si>
    <t>23-07-2002</t>
  </si>
  <si>
    <t>A054475431</t>
  </si>
  <si>
    <t>Roshni Bodra</t>
  </si>
  <si>
    <t>29-05-2022</t>
  </si>
  <si>
    <t>A054474209</t>
  </si>
  <si>
    <t>Gayatri Devi</t>
  </si>
  <si>
    <t>30-05-2022</t>
  </si>
  <si>
    <t>A054585488</t>
  </si>
  <si>
    <t>Chaitan Singh Munda</t>
  </si>
  <si>
    <t>12-08-2000</t>
  </si>
  <si>
    <t>01-06-2022</t>
  </si>
  <si>
    <t>Q005787398</t>
  </si>
  <si>
    <t xml:space="preserve">Ranjay Rajbhar </t>
  </si>
  <si>
    <t>01-02-2002</t>
  </si>
  <si>
    <t>02-06-2022</t>
  </si>
  <si>
    <t>A054656163</t>
  </si>
  <si>
    <t>Rupa Das</t>
  </si>
  <si>
    <t>Q005791792</t>
  </si>
  <si>
    <t>Bibek naik</t>
  </si>
  <si>
    <t>01-06-2004</t>
  </si>
  <si>
    <t>Q005806781</t>
  </si>
  <si>
    <t>25-09-1972</t>
  </si>
  <si>
    <t>05-06-2022</t>
  </si>
  <si>
    <t>Q005808305</t>
  </si>
  <si>
    <t>Satya Prakash</t>
  </si>
  <si>
    <t>06-06-2022</t>
  </si>
  <si>
    <t>Q005826413</t>
  </si>
  <si>
    <t>Suman Sourabh Kumar</t>
  </si>
  <si>
    <t>10-01-1994</t>
  </si>
  <si>
    <t>09-06-2022</t>
  </si>
  <si>
    <t>Q005826600</t>
  </si>
  <si>
    <t>Prem Chand Kumar Singh</t>
  </si>
  <si>
    <t>15-08-1963</t>
  </si>
  <si>
    <t>A054873588</t>
  </si>
  <si>
    <t>Saleha Perween</t>
  </si>
  <si>
    <t>07-06-2022</t>
  </si>
  <si>
    <t>10-06-2022</t>
  </si>
  <si>
    <t>A055014691</t>
  </si>
  <si>
    <t>Kavita Biswas</t>
  </si>
  <si>
    <t>12-08-1989</t>
  </si>
  <si>
    <t>A055014194</t>
  </si>
  <si>
    <t>Anima Srivastava</t>
  </si>
  <si>
    <t>12-02-1984</t>
  </si>
  <si>
    <t>A055084168</t>
  </si>
  <si>
    <t>Kalyani Mahato</t>
  </si>
  <si>
    <t>16-07-1997</t>
  </si>
  <si>
    <t>11-06-2022</t>
  </si>
  <si>
    <t>Q005847425</t>
  </si>
  <si>
    <t>22-04-1990</t>
  </si>
  <si>
    <t>13-06-2022</t>
  </si>
  <si>
    <t>17-08-1997</t>
  </si>
  <si>
    <t>881036287596920</t>
  </si>
  <si>
    <t>Manoj Kumar</t>
  </si>
  <si>
    <t>10/11/1997</t>
  </si>
  <si>
    <t>14-06-2022</t>
  </si>
  <si>
    <t xml:space="preserve">At itd </t>
  </si>
  <si>
    <t>881036288162214</t>
  </si>
  <si>
    <t>Anuradha Jha</t>
  </si>
  <si>
    <t>05/11/1985</t>
  </si>
  <si>
    <t>881036288419630</t>
  </si>
  <si>
    <t>Laxmi Narayan Saw</t>
  </si>
  <si>
    <t>Q005853653</t>
  </si>
  <si>
    <t>Vinita Mishra</t>
  </si>
  <si>
    <t>06-06-1979</t>
  </si>
  <si>
    <t>A055214140</t>
  </si>
  <si>
    <t>Prathibha Singh</t>
  </si>
  <si>
    <t>881036288460016</t>
  </si>
  <si>
    <t>Ramlal Pandey</t>
  </si>
  <si>
    <t>11-02-1971</t>
  </si>
  <si>
    <t>Dhanjay kumar Roy</t>
  </si>
  <si>
    <t>15-06-2022</t>
  </si>
  <si>
    <t>ekyc</t>
  </si>
  <si>
    <t>A055271127</t>
  </si>
  <si>
    <t>SUNITA TANTI</t>
  </si>
  <si>
    <t>07/06/1998</t>
  </si>
  <si>
    <t>881036289139926</t>
  </si>
  <si>
    <t>Ashok Kumar Gope</t>
  </si>
  <si>
    <t>18-12-1991</t>
  </si>
  <si>
    <t>16-06-2022</t>
  </si>
  <si>
    <t>A055398157</t>
  </si>
  <si>
    <t>Md Zulfaquar</t>
  </si>
  <si>
    <t>18-06-2022</t>
  </si>
  <si>
    <t>18-16-2022</t>
  </si>
  <si>
    <t>A055397781</t>
  </si>
  <si>
    <t>Rubina Khatoon</t>
  </si>
  <si>
    <t>04-07-1994</t>
  </si>
  <si>
    <t>A055429684</t>
  </si>
  <si>
    <t>Swati Priya</t>
  </si>
  <si>
    <t>22-08-1999</t>
  </si>
  <si>
    <t>19-06-2022</t>
  </si>
  <si>
    <t>Q005878566</t>
  </si>
  <si>
    <t>Sheela Devi</t>
  </si>
  <si>
    <t>01-06-1974</t>
  </si>
  <si>
    <t>A055451993</t>
  </si>
  <si>
    <t>Ridhi Kumari</t>
  </si>
  <si>
    <t>04-07-2003</t>
  </si>
  <si>
    <t>20-06-2022</t>
  </si>
  <si>
    <t>A055453238</t>
  </si>
  <si>
    <t>2-01-2004</t>
  </si>
  <si>
    <t>Q005896452</t>
  </si>
  <si>
    <t>Rasha Khan</t>
  </si>
  <si>
    <t>21-06-2022</t>
  </si>
  <si>
    <t>Q005896768</t>
  </si>
  <si>
    <t>Aman Kumar Patel</t>
  </si>
  <si>
    <t>26-09-1997</t>
  </si>
  <si>
    <t>ANNEXTURE REQUIRED</t>
  </si>
  <si>
    <t>A055579012</t>
  </si>
  <si>
    <t>Rashmi Rekha Rout</t>
  </si>
  <si>
    <t>09-07-1982</t>
  </si>
  <si>
    <t>22-06-2022</t>
  </si>
  <si>
    <t>PAN ALRADY EXIST</t>
  </si>
  <si>
    <t>Khalid Raza</t>
  </si>
  <si>
    <t>18/06/2004</t>
  </si>
  <si>
    <t>881036291822864</t>
  </si>
  <si>
    <t>Prakash Kr Srivastava</t>
  </si>
  <si>
    <t>25-04-1974</t>
  </si>
  <si>
    <t>A055733297</t>
  </si>
  <si>
    <t>Kana Ghosh</t>
  </si>
  <si>
    <t>08-12-1954</t>
  </si>
  <si>
    <t>25-06-2022</t>
  </si>
  <si>
    <t>A055799144</t>
  </si>
  <si>
    <t>Sunny Sunani</t>
  </si>
  <si>
    <t>21-03-2002</t>
  </si>
  <si>
    <t>26-06-2022</t>
  </si>
  <si>
    <t>A055809411</t>
  </si>
  <si>
    <t>Kalyani Gope</t>
  </si>
  <si>
    <t>01-04-1978</t>
  </si>
  <si>
    <t>27-06-2022</t>
  </si>
  <si>
    <t>A055953725</t>
  </si>
  <si>
    <t>Rimi Mishra</t>
  </si>
  <si>
    <t>02-05-2004</t>
  </si>
  <si>
    <t>29-06-2022</t>
  </si>
  <si>
    <t>A055952835</t>
  </si>
  <si>
    <t>Shreyash Mishra</t>
  </si>
  <si>
    <t>21-9-2001</t>
  </si>
  <si>
    <t>A055966237</t>
  </si>
  <si>
    <t>05-01-2004</t>
  </si>
  <si>
    <t>30-06-2022</t>
  </si>
  <si>
    <t>Q005974744</t>
  </si>
  <si>
    <t>Ashvin Peter ambruce</t>
  </si>
  <si>
    <t>23-12-2003</t>
  </si>
  <si>
    <t>Q005977021</t>
  </si>
  <si>
    <t>Sanjeev Kumar</t>
  </si>
  <si>
    <t>02-01-1976</t>
  </si>
  <si>
    <t>Q005978703</t>
  </si>
  <si>
    <t>Ravindra Prasad</t>
  </si>
  <si>
    <t>25-07-1964</t>
  </si>
  <si>
    <t>A056019542</t>
  </si>
  <si>
    <t>29-08-2003</t>
  </si>
  <si>
    <t>01-07-2022</t>
  </si>
  <si>
    <t>A056013707</t>
  </si>
  <si>
    <t>Sundaram Kumar</t>
  </si>
  <si>
    <t>A056012108</t>
  </si>
  <si>
    <t>Shiwam Kumar</t>
  </si>
  <si>
    <t>14-06-1999</t>
  </si>
  <si>
    <t>A056050333</t>
  </si>
  <si>
    <t>Swastika Kumari</t>
  </si>
  <si>
    <t>14-08-2003</t>
  </si>
  <si>
    <t>02-07-2022</t>
  </si>
  <si>
    <t>Q005986097</t>
  </si>
  <si>
    <t>881036295506931</t>
  </si>
  <si>
    <t>09-10-1963</t>
  </si>
  <si>
    <t>EKYC</t>
  </si>
  <si>
    <t>A056121634</t>
  </si>
  <si>
    <t>Debanjan Sen</t>
  </si>
  <si>
    <t>13-01-2002</t>
  </si>
  <si>
    <t>03-07-2022</t>
  </si>
  <si>
    <t>Q006009076</t>
  </si>
  <si>
    <t>Mohammad Abu Obaida Farooqui</t>
  </si>
  <si>
    <t>08-11-1983</t>
  </si>
  <si>
    <t>04-07-2022</t>
  </si>
  <si>
    <t>881036296949126</t>
  </si>
  <si>
    <t>MIRZA SAWKAT ALI BEG</t>
  </si>
  <si>
    <t>05-07-1942</t>
  </si>
  <si>
    <t>06-07-2022</t>
  </si>
  <si>
    <t>A056272800</t>
  </si>
  <si>
    <t>Sabita Kumari</t>
  </si>
  <si>
    <t>15-08-2004</t>
  </si>
  <si>
    <t>A056322621</t>
  </si>
  <si>
    <t>Sagar Karwa</t>
  </si>
  <si>
    <t>01-09-1995</t>
  </si>
  <si>
    <t>08-07-2022</t>
  </si>
  <si>
    <t>A056318575</t>
  </si>
  <si>
    <t>Diya Kumari</t>
  </si>
  <si>
    <t>15-06-2005</t>
  </si>
  <si>
    <t>Q006042281</t>
  </si>
  <si>
    <t>Munmun Tewary</t>
  </si>
  <si>
    <t>07-05-1992</t>
  </si>
  <si>
    <t>25-01-1974</t>
  </si>
  <si>
    <t>09-07-2022</t>
  </si>
  <si>
    <t>keyc</t>
  </si>
  <si>
    <t>also pd 600 for link</t>
  </si>
  <si>
    <t>A056484968</t>
  </si>
  <si>
    <t>21-01-2004</t>
  </si>
  <si>
    <t>11-07-2022</t>
  </si>
  <si>
    <t>A056577030</t>
  </si>
  <si>
    <t>Ashim Sardar</t>
  </si>
  <si>
    <t>12-07-2022</t>
  </si>
  <si>
    <t>A056612272</t>
  </si>
  <si>
    <t>Sujay Dash</t>
  </si>
  <si>
    <t>17-03-2004</t>
  </si>
  <si>
    <t>15-07-2022</t>
  </si>
  <si>
    <t>A056701143</t>
  </si>
  <si>
    <t>12-03-2001</t>
  </si>
  <si>
    <t>A056786087</t>
  </si>
  <si>
    <t>Sumitra Gounder</t>
  </si>
  <si>
    <t>07-01-1985</t>
  </si>
  <si>
    <t>16-07-2022</t>
  </si>
  <si>
    <t>A056853870</t>
  </si>
  <si>
    <t>Subi Khatoon</t>
  </si>
  <si>
    <t>25-08-1999</t>
  </si>
  <si>
    <t>18-07-2022</t>
  </si>
  <si>
    <t>A056842863</t>
  </si>
  <si>
    <t>Nadia Alam</t>
  </si>
  <si>
    <t>12-04-2001</t>
  </si>
  <si>
    <t>A056981529</t>
  </si>
  <si>
    <t>Aditi</t>
  </si>
  <si>
    <t>22-10-2002</t>
  </si>
  <si>
    <t>20-07-2022</t>
  </si>
  <si>
    <t>A056982038</t>
  </si>
  <si>
    <t>Akash</t>
  </si>
  <si>
    <t>A056982694</t>
  </si>
  <si>
    <t>Navaneetham</t>
  </si>
  <si>
    <t>10-03-1979</t>
  </si>
  <si>
    <t>A056984033</t>
  </si>
  <si>
    <t>Imam Quraishi</t>
  </si>
  <si>
    <t>05-11-2003</t>
  </si>
  <si>
    <t>A056983561</t>
  </si>
  <si>
    <t>Monika Sahu</t>
  </si>
  <si>
    <t>03-05-1998</t>
  </si>
  <si>
    <t>Q006149557</t>
  </si>
  <si>
    <t>Tabassum Perveen</t>
  </si>
  <si>
    <t>01-07-1990</t>
  </si>
  <si>
    <t>21-07-2022</t>
  </si>
  <si>
    <t>A057049610</t>
  </si>
  <si>
    <t>Huma Musarrat</t>
  </si>
  <si>
    <t>19-04-1979</t>
  </si>
  <si>
    <t>A057081458</t>
  </si>
  <si>
    <t>Rajsi Mishra</t>
  </si>
  <si>
    <t>03-01-1975</t>
  </si>
  <si>
    <t>Q006155605</t>
  </si>
  <si>
    <t>Mahesh Kumar Tiwary</t>
  </si>
  <si>
    <t>16-11-1964</t>
  </si>
  <si>
    <t>A057049234</t>
  </si>
  <si>
    <t>Sameer Gorai</t>
  </si>
  <si>
    <t>26-06-2003</t>
  </si>
  <si>
    <t>Q006155696</t>
  </si>
  <si>
    <t>Bablu kar</t>
  </si>
  <si>
    <t>07-05-1971</t>
  </si>
  <si>
    <t>Q006169086</t>
  </si>
  <si>
    <t>Rani Singh</t>
  </si>
  <si>
    <t>07-08-1983</t>
  </si>
  <si>
    <t>23-07-2022</t>
  </si>
  <si>
    <t>A057157127</t>
  </si>
  <si>
    <t>balvir Kaur Mndley</t>
  </si>
  <si>
    <t>29-05-2004</t>
  </si>
  <si>
    <t>A057183225</t>
  </si>
  <si>
    <t>Ajay Sandil</t>
  </si>
  <si>
    <t>03-08-2003</t>
  </si>
  <si>
    <t>Q006174286</t>
  </si>
  <si>
    <t>Sonali Sarkar</t>
  </si>
  <si>
    <t>28-04-1974</t>
  </si>
  <si>
    <t>A057205317</t>
  </si>
  <si>
    <t>Omkar Mahanta</t>
  </si>
  <si>
    <t>14-10-2003</t>
  </si>
  <si>
    <t>24-07-2022</t>
  </si>
  <si>
    <t>A057326171</t>
  </si>
  <si>
    <t>Prabhjeet Kour</t>
  </si>
  <si>
    <t>A057353099</t>
  </si>
  <si>
    <t>A057394440</t>
  </si>
  <si>
    <t>Shomya Singh</t>
  </si>
  <si>
    <t>A057394282</t>
  </si>
  <si>
    <t>Shruti Singh</t>
  </si>
  <si>
    <t>A057394097</t>
  </si>
  <si>
    <t>Syed Akbar Ali</t>
  </si>
  <si>
    <t>Q006225659</t>
  </si>
  <si>
    <t>THOMAS Sebastian</t>
  </si>
  <si>
    <t>Q006225416</t>
  </si>
  <si>
    <t>Ajay Kumar</t>
  </si>
  <si>
    <t>A057477637</t>
  </si>
  <si>
    <t>Tanya Sharma</t>
  </si>
  <si>
    <t>Q006236189</t>
  </si>
  <si>
    <t>Q006276543</t>
  </si>
  <si>
    <t>Q006279399</t>
  </si>
  <si>
    <t>Sujit Kumar Bera</t>
  </si>
  <si>
    <t>A057784627</t>
  </si>
  <si>
    <t>Nanini Talari</t>
  </si>
  <si>
    <t>A057773187</t>
  </si>
  <si>
    <t>Q006292646</t>
  </si>
  <si>
    <t>A057835433</t>
  </si>
  <si>
    <t>Anu Dan</t>
  </si>
  <si>
    <t>Q006304782</t>
  </si>
  <si>
    <t>Supriyo Barua</t>
  </si>
  <si>
    <t>A057946753</t>
  </si>
  <si>
    <t>Kahkashan Eqbal</t>
  </si>
  <si>
    <t>Q006318004</t>
  </si>
  <si>
    <t>Ajeet Kumar</t>
  </si>
  <si>
    <t>A057996044</t>
  </si>
  <si>
    <t>Subojit Ghosh</t>
  </si>
  <si>
    <t>A058024000</t>
  </si>
  <si>
    <t>Sonika Shukla</t>
  </si>
  <si>
    <t>Q006334943</t>
  </si>
  <si>
    <t>Maheshwar Ahir</t>
  </si>
  <si>
    <t>Q006334802</t>
  </si>
  <si>
    <t>Kalawati Ahir</t>
  </si>
  <si>
    <t>A058052119</t>
  </si>
  <si>
    <t>Shiva Lohar</t>
  </si>
  <si>
    <t>A058088502</t>
  </si>
  <si>
    <t>binod Kumar Singh</t>
  </si>
  <si>
    <t>A058068739</t>
  </si>
  <si>
    <t>Mohammed Sajjad</t>
  </si>
  <si>
    <t>A058069564</t>
  </si>
  <si>
    <t>Naseera khatun</t>
  </si>
  <si>
    <t>A058153007</t>
  </si>
  <si>
    <t>Sahil Sharma</t>
  </si>
  <si>
    <t>A058266000</t>
  </si>
  <si>
    <t xml:space="preserve">Mohammad Tabish </t>
  </si>
  <si>
    <t>A058295385</t>
  </si>
  <si>
    <t>Isita Gorai</t>
  </si>
  <si>
    <t>Q006393091</t>
  </si>
  <si>
    <t>Yaduvansh Pd Sinha</t>
  </si>
  <si>
    <t>A058324068</t>
  </si>
  <si>
    <t>PUTUL GHOSH</t>
  </si>
  <si>
    <t>A058394943</t>
  </si>
  <si>
    <t>Q006412988</t>
  </si>
  <si>
    <t>Shweta Kumari</t>
  </si>
  <si>
    <t>A058401889</t>
  </si>
  <si>
    <t>Raisa Parween</t>
  </si>
  <si>
    <t>Q006417935</t>
  </si>
  <si>
    <t>Nilu Perween</t>
  </si>
  <si>
    <t>A058402343</t>
  </si>
  <si>
    <t>Shivani Kumari</t>
  </si>
  <si>
    <t>Q006417725</t>
  </si>
  <si>
    <t>A058575921</t>
  </si>
  <si>
    <t>Izarul Haque</t>
  </si>
  <si>
    <t>A058603496</t>
  </si>
  <si>
    <t>Saziya Anjum</t>
  </si>
  <si>
    <t>A058606886</t>
  </si>
  <si>
    <t>MAYANK PRANJAL</t>
  </si>
  <si>
    <t>A058810095</t>
  </si>
  <si>
    <t>Snigdha Princy</t>
  </si>
  <si>
    <t>A058726225</t>
  </si>
  <si>
    <t>Devansh Kaushik</t>
  </si>
  <si>
    <t>a058727675</t>
  </si>
  <si>
    <t>Minta Devi</t>
  </si>
  <si>
    <t>Q006467233</t>
  </si>
  <si>
    <t>Santi Kaur</t>
  </si>
  <si>
    <t>A058728766</t>
  </si>
  <si>
    <t>A058728229</t>
  </si>
  <si>
    <t>Ankit Srivastava</t>
  </si>
  <si>
    <t>A058727106</t>
  </si>
  <si>
    <t>Q006467294</t>
  </si>
  <si>
    <t>A058745757</t>
  </si>
  <si>
    <t>Naima Khatoon</t>
  </si>
  <si>
    <t>Q006473118</t>
  </si>
  <si>
    <t>Balwinder Kour</t>
  </si>
  <si>
    <t>Q006473312</t>
  </si>
  <si>
    <t>Binod Kumar Sharma</t>
  </si>
  <si>
    <t>Q006473225</t>
  </si>
  <si>
    <t>Arvind Kumar</t>
  </si>
  <si>
    <t>A058926532</t>
  </si>
  <si>
    <t>Parween shahin</t>
  </si>
  <si>
    <t>Q006507629</t>
  </si>
  <si>
    <t>Khurshida Bano</t>
  </si>
  <si>
    <t>A059033139</t>
  </si>
  <si>
    <t>Tushar Kumar</t>
  </si>
  <si>
    <t>A059047920</t>
  </si>
  <si>
    <t>Savita Devi</t>
  </si>
  <si>
    <t>Q006520639</t>
  </si>
  <si>
    <t>Aftab Alam</t>
  </si>
  <si>
    <t>Q006537338</t>
  </si>
  <si>
    <t>Mohan Mujhi</t>
  </si>
  <si>
    <t>A059177050</t>
  </si>
  <si>
    <t>Noor jhan Begum</t>
  </si>
  <si>
    <t>A059168920</t>
  </si>
  <si>
    <t>Hurlung Lamps Limited</t>
  </si>
  <si>
    <t>A059180085</t>
  </si>
  <si>
    <t>Mamta Tiwary</t>
  </si>
  <si>
    <t>Q006541142</t>
  </si>
  <si>
    <t>Md Alam Dilshad</t>
  </si>
  <si>
    <t>Q006544890</t>
  </si>
  <si>
    <t>Q006558592</t>
  </si>
  <si>
    <t>Rina Devi</t>
  </si>
  <si>
    <t>A059308833</t>
  </si>
  <si>
    <t>Kavita sharma</t>
  </si>
  <si>
    <t>A059285383</t>
  </si>
  <si>
    <t>Janhavi Sharma</t>
  </si>
  <si>
    <t>A059309306</t>
  </si>
  <si>
    <t>Poonam Sharma</t>
  </si>
  <si>
    <t>Q006558833</t>
  </si>
  <si>
    <t>Ashish Kumar Mridha</t>
  </si>
  <si>
    <t>Q006558754</t>
  </si>
  <si>
    <t>Chittranjan Prasad</t>
  </si>
  <si>
    <t>Q006566445</t>
  </si>
  <si>
    <t>Abu Shoaib</t>
  </si>
  <si>
    <t>A059429436</t>
  </si>
  <si>
    <t>Raju Gounder</t>
  </si>
  <si>
    <t>A059454740</t>
  </si>
  <si>
    <t>Sharmistha Mahato</t>
  </si>
  <si>
    <t>A059445323</t>
  </si>
  <si>
    <t>Dolly Kumari</t>
  </si>
  <si>
    <t>Q006604222</t>
  </si>
  <si>
    <t>Puja Sharma</t>
  </si>
  <si>
    <t>A059528636</t>
  </si>
  <si>
    <t>Ankur Kumarr Tiwary</t>
  </si>
  <si>
    <t>A059511515</t>
  </si>
  <si>
    <t>Shubham Giri</t>
  </si>
  <si>
    <t>Q006613356</t>
  </si>
  <si>
    <t>Mayank Pranjal</t>
  </si>
  <si>
    <t>A059591497</t>
  </si>
  <si>
    <t>Nandlal Gorai</t>
  </si>
  <si>
    <t>Q006628439</t>
  </si>
  <si>
    <t>Anupama Bagchi</t>
  </si>
  <si>
    <t>Q006628381</t>
  </si>
  <si>
    <t>Prabir Bagchi</t>
  </si>
  <si>
    <t>Q006632337</t>
  </si>
  <si>
    <t>Sufal Mahato</t>
  </si>
  <si>
    <t>A059808376</t>
  </si>
  <si>
    <t>Bharti Chakraborty</t>
  </si>
  <si>
    <t>A059861334</t>
  </si>
  <si>
    <t>Arsh Shahid</t>
  </si>
  <si>
    <t>Q006689638</t>
  </si>
  <si>
    <t>Nusrat Ali</t>
  </si>
  <si>
    <t>Q006698791</t>
  </si>
  <si>
    <t>Sayon Kundu</t>
  </si>
  <si>
    <t>Q006698861</t>
  </si>
  <si>
    <t>Mir Sirajul Ali</t>
  </si>
  <si>
    <t>A060118407</t>
  </si>
  <si>
    <t>Q006721716</t>
  </si>
  <si>
    <t>Amal Kumar Mahato</t>
  </si>
  <si>
    <t>Q006721839</t>
  </si>
  <si>
    <t>Rita Tiwary</t>
  </si>
  <si>
    <t>A060336419</t>
  </si>
  <si>
    <t>Lakshmi Hansda</t>
  </si>
  <si>
    <t>A060454712</t>
  </si>
  <si>
    <t>Mohammad Motallib</t>
  </si>
  <si>
    <t>A060461138</t>
  </si>
  <si>
    <t>Niyoti Mahato</t>
  </si>
  <si>
    <t>A060473077</t>
  </si>
  <si>
    <t>A060487379</t>
  </si>
  <si>
    <t>Soina Sahu</t>
  </si>
  <si>
    <t>A060511597</t>
  </si>
  <si>
    <t>Nitu Kumari</t>
  </si>
  <si>
    <t>Q006767457</t>
  </si>
  <si>
    <t>Pankaj Kumar Singh</t>
  </si>
  <si>
    <t>A060561889</t>
  </si>
  <si>
    <t>A060597486</t>
  </si>
  <si>
    <t>Mugli Hansda</t>
  </si>
  <si>
    <t>Q006783224</t>
  </si>
  <si>
    <t>Mudrika Mani Mishra</t>
  </si>
  <si>
    <t>A060616943</t>
  </si>
  <si>
    <t>Ajit Karmakar</t>
  </si>
  <si>
    <t>Q006810064</t>
  </si>
  <si>
    <t>Jitendra Kumar</t>
  </si>
  <si>
    <t>A060752704</t>
  </si>
  <si>
    <t>Nadim Ansari</t>
  </si>
  <si>
    <t>A060836854</t>
  </si>
  <si>
    <t>Bawana Jaya</t>
  </si>
  <si>
    <t>A060912521</t>
  </si>
  <si>
    <t>A060894689</t>
  </si>
  <si>
    <t>A060965486</t>
  </si>
  <si>
    <t>Aditya Singh</t>
  </si>
  <si>
    <t>A060972262</t>
  </si>
  <si>
    <t>Rohit Singh</t>
  </si>
  <si>
    <t>A061089978</t>
  </si>
  <si>
    <t>Shakuntala Mahato</t>
  </si>
  <si>
    <t>A061051254</t>
  </si>
  <si>
    <t>Lakhicharan Mahato</t>
  </si>
  <si>
    <t>Q006885885</t>
  </si>
  <si>
    <t>Pasuplate Ravi Kumar</t>
  </si>
  <si>
    <t>Q006888790</t>
  </si>
  <si>
    <t>Farhan Ashraf</t>
  </si>
  <si>
    <t>BNSPA0021P</t>
  </si>
  <si>
    <t>Photo in wp</t>
  </si>
  <si>
    <t>A061197079</t>
  </si>
  <si>
    <t>Nagha Naaz</t>
  </si>
  <si>
    <t>s</t>
  </si>
  <si>
    <t>A061369909</t>
  </si>
  <si>
    <t>Naziya Fateya</t>
  </si>
  <si>
    <t>A061408404</t>
  </si>
  <si>
    <t>Sujit Mahato</t>
  </si>
  <si>
    <t>A061409405</t>
  </si>
  <si>
    <t>A061480715</t>
  </si>
  <si>
    <t>Arman Kumar</t>
  </si>
  <si>
    <t>A061545079</t>
  </si>
  <si>
    <t>Md Shahnawaz Ansari</t>
  </si>
  <si>
    <t>A061564424</t>
  </si>
  <si>
    <t>Ayush Prabhat</t>
  </si>
  <si>
    <t>A061566269</t>
  </si>
  <si>
    <t>Shibani Karmakar</t>
  </si>
  <si>
    <t>A061585683</t>
  </si>
  <si>
    <t>Budhram Singh Munda</t>
  </si>
  <si>
    <t>Q006965049</t>
  </si>
  <si>
    <t>Snjay Mondal</t>
  </si>
  <si>
    <t>A061726630</t>
  </si>
  <si>
    <t>at us</t>
  </si>
  <si>
    <t>Q006998112</t>
  </si>
  <si>
    <t>Q006998054</t>
  </si>
  <si>
    <t>Latika Mandal</t>
  </si>
  <si>
    <t>Q007013719</t>
  </si>
  <si>
    <t>Sarita Joshi</t>
  </si>
  <si>
    <t>A061867464</t>
  </si>
  <si>
    <t>Kahish Manker</t>
  </si>
  <si>
    <t>A061904206</t>
  </si>
  <si>
    <t>Laiba Amash</t>
  </si>
  <si>
    <t>A061921208</t>
  </si>
  <si>
    <t>Karan Sharma</t>
  </si>
  <si>
    <t>A061986201</t>
  </si>
  <si>
    <t>Rounit Singh</t>
  </si>
  <si>
    <t>A061998134</t>
  </si>
  <si>
    <t>Subhankar Mahato</t>
  </si>
  <si>
    <t>A062079215</t>
  </si>
  <si>
    <t>Devanand Bandra</t>
  </si>
  <si>
    <t>Q007056913</t>
  </si>
  <si>
    <t>Baliram Singh</t>
  </si>
  <si>
    <t>Q007058570</t>
  </si>
  <si>
    <t>Ashraf Ali</t>
  </si>
  <si>
    <t>Q007063523</t>
  </si>
  <si>
    <t>Barnali Dutta</t>
  </si>
  <si>
    <t>A062083592</t>
  </si>
  <si>
    <t>Ganti Devi</t>
  </si>
  <si>
    <t>Q007058451</t>
  </si>
  <si>
    <t>Satish Sen</t>
  </si>
  <si>
    <t>Q007058154</t>
  </si>
  <si>
    <t>Meena Sen</t>
  </si>
  <si>
    <t>A062144575</t>
  </si>
  <si>
    <t>Manisha Kumari</t>
  </si>
  <si>
    <t>Q007069917</t>
  </si>
  <si>
    <t>A062180029</t>
  </si>
  <si>
    <t>Parmeshwari Sardar</t>
  </si>
  <si>
    <t>A062226603</t>
  </si>
  <si>
    <t>A062245856</t>
  </si>
  <si>
    <t>Jasbir Kaur Bhumra</t>
  </si>
  <si>
    <t>Q007094395</t>
  </si>
  <si>
    <t>Rinki Rani Gupta</t>
  </si>
  <si>
    <t>AP NOT LINKED</t>
  </si>
  <si>
    <t>A062292741</t>
  </si>
  <si>
    <t>Raju Dhara</t>
  </si>
  <si>
    <t>A062457794</t>
  </si>
  <si>
    <t>Q007126933</t>
  </si>
  <si>
    <t>Ajay Kumar Verma</t>
  </si>
  <si>
    <t>Q007133528</t>
  </si>
  <si>
    <t>Joy Sen Gupta</t>
  </si>
  <si>
    <t>Q007142703</t>
  </si>
  <si>
    <t>Samarpit Roychakrabotry</t>
  </si>
  <si>
    <t>A062550466</t>
  </si>
  <si>
    <t>Pallavi Kumari</t>
  </si>
  <si>
    <t>Q007169786</t>
  </si>
  <si>
    <t>Brajesh Kumar Singh</t>
  </si>
  <si>
    <t>Q007171182</t>
  </si>
  <si>
    <t>Md Mushtaque Alam</t>
  </si>
  <si>
    <t>A062752428</t>
  </si>
  <si>
    <t>Hritik Kumar</t>
  </si>
  <si>
    <t>Q007197815</t>
  </si>
  <si>
    <t>Amit Murmu</t>
  </si>
  <si>
    <t>Q007198822</t>
  </si>
  <si>
    <t>A062946227</t>
  </si>
  <si>
    <t>Ayaan Iqbal</t>
  </si>
  <si>
    <t>A062958119</t>
  </si>
  <si>
    <t>Mohammad Rayyan Shoaib</t>
  </si>
  <si>
    <t>Q007220331</t>
  </si>
  <si>
    <t>Mohinder Kaur</t>
  </si>
  <si>
    <t>A062957693</t>
  </si>
  <si>
    <t>Nitish Kumar</t>
  </si>
  <si>
    <t>A063120553</t>
  </si>
  <si>
    <t>Md Saquib hussain khan</t>
  </si>
  <si>
    <t>Q007265243</t>
  </si>
  <si>
    <t>Gulam Haider</t>
  </si>
  <si>
    <t>Q007269954</t>
  </si>
  <si>
    <t>Shiva Kumar Pillay</t>
  </si>
  <si>
    <t>No document</t>
  </si>
  <si>
    <t>Q007283338</t>
  </si>
  <si>
    <t>Jitendra Kumar Tiwary</t>
  </si>
  <si>
    <t>Q007283416</t>
  </si>
  <si>
    <t>Shashi Bala Devi</t>
  </si>
  <si>
    <t>A063312651</t>
  </si>
  <si>
    <t>A063407329</t>
  </si>
  <si>
    <t>Rinku Devi</t>
  </si>
  <si>
    <t>A063415981</t>
  </si>
  <si>
    <t>Sanju Sinha</t>
  </si>
  <si>
    <t>A063502114</t>
  </si>
  <si>
    <t>Sanjana Shree</t>
  </si>
  <si>
    <t>A063618043</t>
  </si>
  <si>
    <t>Lupika Guha</t>
  </si>
  <si>
    <t>A063695897</t>
  </si>
  <si>
    <t>Jyotika Sona</t>
  </si>
  <si>
    <t>Q007356198</t>
  </si>
  <si>
    <t>Hira Lal</t>
  </si>
  <si>
    <t>A063884331</t>
  </si>
  <si>
    <t>A063903080</t>
  </si>
  <si>
    <t>Manu Gorai</t>
  </si>
  <si>
    <t>A063907015</t>
  </si>
  <si>
    <t>Farhan Khan</t>
  </si>
  <si>
    <t>A063934130</t>
  </si>
  <si>
    <t>Sabiha Khatoon</t>
  </si>
  <si>
    <t>A063934579</t>
  </si>
  <si>
    <t>Sinu Reddy</t>
  </si>
  <si>
    <t>A064053629</t>
  </si>
  <si>
    <t>Farah Naaz</t>
  </si>
  <si>
    <t>Q007425818</t>
  </si>
  <si>
    <t>Anurag Sharan</t>
  </si>
  <si>
    <t>A064168159</t>
  </si>
  <si>
    <t>Sabita Mahato</t>
  </si>
  <si>
    <t>Q007454027</t>
  </si>
  <si>
    <t>Sumona Bhattchrjee</t>
  </si>
  <si>
    <t>A064289766</t>
  </si>
  <si>
    <t>A064323988</t>
  </si>
  <si>
    <t>Md Sharique</t>
  </si>
  <si>
    <t>A064291491</t>
  </si>
  <si>
    <t>A064334354</t>
  </si>
  <si>
    <t>Varsha Gupta</t>
  </si>
  <si>
    <t>A064430024</t>
  </si>
  <si>
    <t>Mira Devi</t>
  </si>
  <si>
    <t>Ao64901945</t>
  </si>
  <si>
    <t>Suraj Gorai</t>
  </si>
  <si>
    <t>A064902423</t>
  </si>
  <si>
    <t>Nazia Firdos</t>
  </si>
  <si>
    <t xml:space="preserve">wrong photo Uploaded </t>
  </si>
  <si>
    <t>A064916379</t>
  </si>
  <si>
    <t>Surinder Kaur</t>
  </si>
  <si>
    <t>A064971881</t>
  </si>
  <si>
    <t>Amisha Kumari</t>
  </si>
  <si>
    <t>Q007583956</t>
  </si>
  <si>
    <t>Suresh Kumar Sharma</t>
  </si>
  <si>
    <t>A064971561</t>
  </si>
  <si>
    <t>Khushi Mahato</t>
  </si>
  <si>
    <t>A065086098</t>
  </si>
  <si>
    <t>Sharda Kumari</t>
  </si>
  <si>
    <t>Q007602368</t>
  </si>
  <si>
    <t>Manzoor Khan</t>
  </si>
  <si>
    <t>Q007604128</t>
  </si>
  <si>
    <t>Rohit Loar</t>
  </si>
  <si>
    <t>A065080738</t>
  </si>
  <si>
    <t>A065166783</t>
  </si>
  <si>
    <t>Sangeeta Mahanta</t>
  </si>
  <si>
    <t>Q007618032</t>
  </si>
  <si>
    <t>A065216620</t>
  </si>
  <si>
    <t>Pinky Singh</t>
  </si>
  <si>
    <t>Q007631210</t>
  </si>
  <si>
    <t>Neralla Krishna Murty</t>
  </si>
  <si>
    <t>Q007638998</t>
  </si>
  <si>
    <t>Soma Rani Mitra</t>
  </si>
  <si>
    <t>Q007638905</t>
  </si>
  <si>
    <t>Tarak Nath Mitra</t>
  </si>
  <si>
    <t>A065298993</t>
  </si>
  <si>
    <t>Nilima Tudu</t>
  </si>
  <si>
    <t>Q007673900</t>
  </si>
  <si>
    <t>Mohammad Naushad</t>
  </si>
  <si>
    <t>Q007692955</t>
  </si>
  <si>
    <t>Rahul Birnat</t>
  </si>
  <si>
    <t>A065652034</t>
  </si>
  <si>
    <t>Q007724480</t>
  </si>
  <si>
    <t>Najare Imam</t>
  </si>
  <si>
    <t>A065803808</t>
  </si>
  <si>
    <t>A065852347</t>
  </si>
  <si>
    <t>Mallika Gorai</t>
  </si>
  <si>
    <t>A065980867</t>
  </si>
  <si>
    <t>Q007780978</t>
  </si>
  <si>
    <t>Ritu Kumari Rahelu</t>
  </si>
  <si>
    <t>Q007795689</t>
  </si>
  <si>
    <t>A066191171</t>
  </si>
  <si>
    <t>Siddhartha Sharma</t>
  </si>
  <si>
    <t>A066349469</t>
  </si>
  <si>
    <t>Sayra Khatoon</t>
  </si>
  <si>
    <t>Q007835293</t>
  </si>
  <si>
    <t>A066507615</t>
  </si>
  <si>
    <t>Aisha Naaz</t>
  </si>
  <si>
    <t>Q007868159</t>
  </si>
  <si>
    <t>Sunny Bharti</t>
  </si>
  <si>
    <t>A066579124</t>
  </si>
  <si>
    <t>Subhadra Mahato</t>
  </si>
  <si>
    <t>Q007887101</t>
  </si>
  <si>
    <t>Usha Rani Bhagat</t>
  </si>
  <si>
    <t>Q007890770</t>
  </si>
  <si>
    <t>Sanjay Kamat</t>
  </si>
  <si>
    <t>A066740197</t>
  </si>
  <si>
    <t>Kanchen Bhagat Rani</t>
  </si>
  <si>
    <t>A066762458</t>
  </si>
  <si>
    <t>Sushma Devi</t>
  </si>
  <si>
    <t>A066910027</t>
  </si>
  <si>
    <t>Ananya Sarkar</t>
  </si>
  <si>
    <t>A066909114</t>
  </si>
  <si>
    <t>Jharna Sarkar</t>
  </si>
  <si>
    <t>A066979831</t>
  </si>
  <si>
    <t>Seema Munda</t>
  </si>
  <si>
    <t>Q007974069</t>
  </si>
  <si>
    <t>Sudhangshu Sekhar Sen</t>
  </si>
  <si>
    <t>Q007996993</t>
  </si>
  <si>
    <t>Sajda Quamar</t>
  </si>
  <si>
    <t>A067195139</t>
  </si>
  <si>
    <t>Rahila Khanam</t>
  </si>
  <si>
    <t>A067266393</t>
  </si>
  <si>
    <t>Sadhan Gorai</t>
  </si>
  <si>
    <t>Q008028767</t>
  </si>
  <si>
    <t>Pratima Majhi</t>
  </si>
  <si>
    <t>Q008029788</t>
  </si>
  <si>
    <t>A067345647</t>
  </si>
  <si>
    <t>Saima Perween</t>
  </si>
  <si>
    <t>Q008072621</t>
  </si>
  <si>
    <t>Jasbinder Singh</t>
  </si>
  <si>
    <t>Q008074566</t>
  </si>
  <si>
    <t>Suren Prasad Saw</t>
  </si>
  <si>
    <t>Q008101866</t>
  </si>
  <si>
    <t>A067705115</t>
  </si>
  <si>
    <t>Shakuntala Garain</t>
  </si>
  <si>
    <t>A067699866</t>
  </si>
  <si>
    <t>Mamta Gorai</t>
  </si>
  <si>
    <t>A067728426</t>
  </si>
  <si>
    <t>Reshma Parveen</t>
  </si>
  <si>
    <t>A067830157</t>
  </si>
  <si>
    <t>Afreen Praveen</t>
  </si>
  <si>
    <t>A067910657</t>
  </si>
  <si>
    <t>Vinita Devi</t>
  </si>
  <si>
    <t>A067934669</t>
  </si>
  <si>
    <t>Lakkhi Gorai</t>
  </si>
  <si>
    <t>Q008140976</t>
  </si>
  <si>
    <t>Nasina Raju</t>
  </si>
  <si>
    <t>A067997066</t>
  </si>
  <si>
    <t>Riya Srivastava</t>
  </si>
  <si>
    <t>A067997694</t>
  </si>
  <si>
    <t>Indronil Biswas</t>
  </si>
  <si>
    <t xml:space="preserve">Arindam </t>
  </si>
  <si>
    <t>A067995831</t>
  </si>
  <si>
    <t>Q008151578</t>
  </si>
  <si>
    <t>ZAHID EQUBAL AKHTAR</t>
  </si>
  <si>
    <t>A068277944</t>
  </si>
  <si>
    <t>Ritu Rani Mahato</t>
  </si>
  <si>
    <t>A068299671</t>
  </si>
  <si>
    <t>Sonu Tantubai</t>
  </si>
  <si>
    <t>a068330633</t>
  </si>
  <si>
    <t>Tripti Mallick</t>
  </si>
  <si>
    <t>A068331294</t>
  </si>
  <si>
    <t>Tayyaba Khatoon</t>
  </si>
  <si>
    <t>A068360497</t>
  </si>
  <si>
    <t>Q008251361</t>
  </si>
  <si>
    <t>Md Jiyarul Ali Ansari</t>
  </si>
  <si>
    <t>Q008250722</t>
  </si>
  <si>
    <t>Alok Nath Saha</t>
  </si>
  <si>
    <t>A068422337</t>
  </si>
  <si>
    <t>Ritik Kumar</t>
  </si>
  <si>
    <t>A068424528</t>
  </si>
  <si>
    <t>Ojayfa Tanbir</t>
  </si>
  <si>
    <t>Q008258018</t>
  </si>
  <si>
    <t>Md Islam</t>
  </si>
  <si>
    <t>Q008264602</t>
  </si>
  <si>
    <t>Nirmal Dey</t>
  </si>
  <si>
    <t>Q008275788</t>
  </si>
  <si>
    <t>Saroj Devi</t>
  </si>
  <si>
    <t>Q008273643</t>
  </si>
  <si>
    <t>Ramkishun Yadav</t>
  </si>
  <si>
    <t>Q008318217</t>
  </si>
  <si>
    <t>Md Azad</t>
  </si>
  <si>
    <t>Q008331401</t>
  </si>
  <si>
    <t>Sumit Kumar Maity</t>
  </si>
  <si>
    <t>Q008334473</t>
  </si>
  <si>
    <t>Rizwan Ahmad Khan</t>
  </si>
  <si>
    <t>A068696082</t>
  </si>
  <si>
    <t>Narun Nisha</t>
  </si>
  <si>
    <t>Q008343373</t>
  </si>
  <si>
    <t>Aanchal Anand</t>
  </si>
  <si>
    <t>A068728716</t>
  </si>
  <si>
    <t>Kabita Mahato</t>
  </si>
  <si>
    <t>Q008372169</t>
  </si>
  <si>
    <t>Rani Hansda</t>
  </si>
  <si>
    <t>Q008370264</t>
  </si>
  <si>
    <t>Sarnestha Ghanty</t>
  </si>
  <si>
    <t>Q008391559</t>
  </si>
  <si>
    <t>Gurdev Singh</t>
  </si>
  <si>
    <t>A068872825</t>
  </si>
  <si>
    <t>Q008389221</t>
  </si>
  <si>
    <t>Bijendra Sharma</t>
  </si>
  <si>
    <t>Q008416713</t>
  </si>
  <si>
    <t>Abu Zohra</t>
  </si>
  <si>
    <t>Q008421818</t>
  </si>
  <si>
    <t>Simrat Kaur</t>
  </si>
  <si>
    <t>Q008445098</t>
  </si>
  <si>
    <t>Raju Biswas</t>
  </si>
  <si>
    <t>A069078754</t>
  </si>
  <si>
    <t>Bubun Mahapatra</t>
  </si>
  <si>
    <t>Q008468136</t>
  </si>
  <si>
    <t>Shabnam Parween</t>
  </si>
  <si>
    <t>A069170480</t>
  </si>
  <si>
    <t>Jamuna Thakur</t>
  </si>
  <si>
    <t>Q008505175</t>
  </si>
  <si>
    <t>JyotiR Moy Das</t>
  </si>
  <si>
    <t>Q008531017</t>
  </si>
  <si>
    <t>Madhu Sudan Tiwary</t>
  </si>
  <si>
    <t>Q008531054</t>
  </si>
  <si>
    <t>Polamarasetti Ashwini</t>
  </si>
  <si>
    <t>Q008528628</t>
  </si>
  <si>
    <t>imtiaz Akhtar</t>
  </si>
  <si>
    <t>A069263383</t>
  </si>
  <si>
    <t>Juni Sardar</t>
  </si>
  <si>
    <t>Q008536914</t>
  </si>
  <si>
    <t>Ramesh Thakur</t>
  </si>
  <si>
    <t>Q008538523</t>
  </si>
  <si>
    <t>Q008532100</t>
  </si>
  <si>
    <t>Shankar Bhadra</t>
  </si>
  <si>
    <t>A069292017</t>
  </si>
  <si>
    <t>Sunita Sharma</t>
  </si>
  <si>
    <t>Q008553946</t>
  </si>
  <si>
    <t>Antima Kumari</t>
  </si>
  <si>
    <t>Q008581018</t>
  </si>
  <si>
    <t>Q008573838</t>
  </si>
  <si>
    <t>Kamala Devi</t>
  </si>
  <si>
    <t>Q008571639</t>
  </si>
  <si>
    <t>Merajuddin Khan</t>
  </si>
  <si>
    <t>A069374383</t>
  </si>
  <si>
    <t>A069394553</t>
  </si>
  <si>
    <t>Arpita Tiwary</t>
  </si>
  <si>
    <t>Q008580946</t>
  </si>
  <si>
    <t>Abhilash Mahato</t>
  </si>
  <si>
    <t>Q008580683</t>
  </si>
  <si>
    <t>Sandhya Ghoshal</t>
  </si>
  <si>
    <t>Q008574555</t>
  </si>
  <si>
    <t>Suresh Ram</t>
  </si>
  <si>
    <t>A069454061</t>
  </si>
  <si>
    <t>Bisseshwer Sharma</t>
  </si>
  <si>
    <t>A069540630</t>
  </si>
  <si>
    <t>Arind Kumar Pandey</t>
  </si>
  <si>
    <t>Q008641615</t>
  </si>
  <si>
    <t>Shashi Dhar Mouli Karan</t>
  </si>
  <si>
    <t>A069523914</t>
  </si>
  <si>
    <t>Aatish Verma</t>
  </si>
  <si>
    <t>Q008647142</t>
  </si>
  <si>
    <t>Rajendra Prasad Gupta</t>
  </si>
  <si>
    <t>A069491836</t>
  </si>
  <si>
    <t>Bela Pramanik</t>
  </si>
  <si>
    <t>A069629738</t>
  </si>
  <si>
    <t>Mohammad Affan</t>
  </si>
  <si>
    <t>A069642188</t>
  </si>
  <si>
    <t>A069690820</t>
  </si>
  <si>
    <t>Simran Sahu</t>
  </si>
  <si>
    <t>Q008671477</t>
  </si>
  <si>
    <t>A069711726</t>
  </si>
  <si>
    <t>Rajashree Biswas</t>
  </si>
  <si>
    <t>Q008720082</t>
  </si>
  <si>
    <t>Rupesh Rout</t>
  </si>
  <si>
    <t>Q008723199</t>
  </si>
  <si>
    <t>Q008723509</t>
  </si>
  <si>
    <t>Ashok Mahato</t>
  </si>
  <si>
    <t>Q008724717</t>
  </si>
  <si>
    <t>Harish Chandra bera</t>
  </si>
  <si>
    <t>Q008735276</t>
  </si>
  <si>
    <t>Mohammad Anishur Rahman</t>
  </si>
  <si>
    <t>Q008731246</t>
  </si>
  <si>
    <t>Md Shahnawaz Aamir</t>
  </si>
  <si>
    <t>Q008764998</t>
  </si>
  <si>
    <t>Q008774266</t>
  </si>
  <si>
    <t>Md Zahir</t>
  </si>
  <si>
    <t>A069887714</t>
  </si>
  <si>
    <t>Menka Dhibar</t>
  </si>
  <si>
    <t>Q008781786</t>
  </si>
  <si>
    <t>Mohammad Ziaur Rahman</t>
  </si>
  <si>
    <t>Q008782678</t>
  </si>
  <si>
    <t>Dipesh Rai</t>
  </si>
  <si>
    <t>Q008791386</t>
  </si>
  <si>
    <t>Q008792540</t>
  </si>
  <si>
    <t>Sajda Khatoon</t>
  </si>
  <si>
    <t>Q008825346</t>
  </si>
  <si>
    <t>Arbind Kumar Bharti</t>
  </si>
  <si>
    <t>A070080745</t>
  </si>
  <si>
    <t>A070084697</t>
  </si>
  <si>
    <t>Sandhya Rani Giri</t>
  </si>
  <si>
    <t>Q008832970</t>
  </si>
  <si>
    <t>Baljeet Kaur</t>
  </si>
  <si>
    <t>Q008846122</t>
  </si>
  <si>
    <t>Arpita Chandra</t>
  </si>
  <si>
    <t>Q008870143</t>
  </si>
  <si>
    <t>Vikash Kumar Bhagat</t>
  </si>
  <si>
    <t>A070256335</t>
  </si>
  <si>
    <t>Q008893225</t>
  </si>
  <si>
    <t>Ram Bhaju Sah</t>
  </si>
  <si>
    <t>A070376652</t>
  </si>
  <si>
    <t>kavita thakur</t>
  </si>
  <si>
    <t>Q008905336</t>
  </si>
  <si>
    <t>Manoj Prasad</t>
  </si>
  <si>
    <t>Q008905165</t>
  </si>
  <si>
    <t>A070519998</t>
  </si>
  <si>
    <t>Lakhi Mani Lohar</t>
  </si>
  <si>
    <t>Q008941883</t>
  </si>
  <si>
    <t>Jamuna Biswas</t>
  </si>
  <si>
    <t>Q008941369</t>
  </si>
  <si>
    <t>Randhir Singh</t>
  </si>
  <si>
    <t>A070544359</t>
  </si>
  <si>
    <t>Ayush Kumar Sharma</t>
  </si>
  <si>
    <t>Q008963241</t>
  </si>
  <si>
    <t>Sushanta Sahu</t>
  </si>
  <si>
    <t>A070682875</t>
  </si>
  <si>
    <t>Shanti Munda</t>
  </si>
  <si>
    <t>A070687004</t>
  </si>
  <si>
    <t>Aditya Raj</t>
  </si>
  <si>
    <t>Q008995519</t>
  </si>
  <si>
    <t>MONDAKINI TRIPATHY</t>
  </si>
  <si>
    <t>Q009004805</t>
  </si>
  <si>
    <t>Bidhan Chandra Sarkar</t>
  </si>
  <si>
    <t>Q009013456</t>
  </si>
  <si>
    <t>Jema Melgandi</t>
  </si>
  <si>
    <t>Q009013706</t>
  </si>
  <si>
    <t>A070883399</t>
  </si>
  <si>
    <t>Suranjeet Kumar Singh</t>
  </si>
  <si>
    <t>Q009041354</t>
  </si>
  <si>
    <t>Damodar Thakur</t>
  </si>
  <si>
    <t>Q009053659</t>
  </si>
  <si>
    <t>Shaikh Wasim</t>
  </si>
  <si>
    <t>A070939115</t>
  </si>
  <si>
    <t>Subham Pal</t>
  </si>
  <si>
    <t>Q009062334</t>
  </si>
  <si>
    <t>Sachikant Sahoo</t>
  </si>
  <si>
    <t>A071001505</t>
  </si>
  <si>
    <t>Putul Adak</t>
  </si>
  <si>
    <t>Q009069226</t>
  </si>
  <si>
    <t>Lal Babu Sah</t>
  </si>
  <si>
    <t>Q009068948</t>
  </si>
  <si>
    <t>Pronob Kumar Ghanty</t>
  </si>
  <si>
    <t>A070999016</t>
  </si>
  <si>
    <t>A071021282</t>
  </si>
  <si>
    <t>Gita Patro</t>
  </si>
  <si>
    <t>A071052190</t>
  </si>
  <si>
    <t>Abhishek Ranjan</t>
  </si>
  <si>
    <t>Q009090537</t>
  </si>
  <si>
    <t>Ashish Kumar Mondal</t>
  </si>
  <si>
    <t>A071127710</t>
  </si>
  <si>
    <t>Q009101205</t>
  </si>
  <si>
    <t>Shiv Kumar</t>
  </si>
  <si>
    <t>A071093931</t>
  </si>
  <si>
    <t>Robbari Singh</t>
  </si>
  <si>
    <t>Q009120290</t>
  </si>
  <si>
    <t>Rajesh Kumar Ojha</t>
  </si>
  <si>
    <t>Q009121364</t>
  </si>
  <si>
    <t>Sanjeev Kumar Das</t>
  </si>
  <si>
    <t>A071417249</t>
  </si>
  <si>
    <t>Piyushi Das</t>
  </si>
  <si>
    <t>Q009172722</t>
  </si>
  <si>
    <t>A071378835</t>
  </si>
  <si>
    <t>Sohan Pan</t>
  </si>
  <si>
    <t>A071512282</t>
  </si>
  <si>
    <t>Anil Mahato</t>
  </si>
  <si>
    <t>A071506290</t>
  </si>
  <si>
    <t>Saraswati Mukhi</t>
  </si>
  <si>
    <t>Q009196325</t>
  </si>
  <si>
    <t>A071610842</t>
  </si>
  <si>
    <t>Vivek Kuri</t>
  </si>
  <si>
    <t>A071607457</t>
  </si>
  <si>
    <t>Punam Devi</t>
  </si>
  <si>
    <t>A071770195</t>
  </si>
  <si>
    <t>Jahan Ara</t>
  </si>
  <si>
    <t>A071755249</t>
  </si>
  <si>
    <t>Tausif Alam</t>
  </si>
  <si>
    <t>A071745671</t>
  </si>
  <si>
    <t>Q009257845</t>
  </si>
  <si>
    <t>Binod Kumra Singh</t>
  </si>
  <si>
    <t>A071883088</t>
  </si>
  <si>
    <t>Srijan Bhattacharya</t>
  </si>
  <si>
    <t>A071819146</t>
  </si>
  <si>
    <t>Noorain Khatoon</t>
  </si>
  <si>
    <t>Q009297447</t>
  </si>
  <si>
    <t>A071904598</t>
  </si>
  <si>
    <t>Nupur bhandari</t>
  </si>
  <si>
    <t>Q009308461</t>
  </si>
  <si>
    <t>Gazatee</t>
  </si>
  <si>
    <t>A071988764</t>
  </si>
  <si>
    <t>ANURAG BOSE</t>
  </si>
  <si>
    <t>Q009310189</t>
  </si>
  <si>
    <t>Sandeep Singh</t>
  </si>
  <si>
    <t>q009315004</t>
  </si>
  <si>
    <t>Margina Khatoon</t>
  </si>
  <si>
    <t>Q009321110</t>
  </si>
  <si>
    <t>Shamsher Khan</t>
  </si>
  <si>
    <t>Q009321951</t>
  </si>
  <si>
    <t>Sarbani Das Gupta</t>
  </si>
  <si>
    <t>A072041906</t>
  </si>
  <si>
    <t>Brihaspati Gorai</t>
  </si>
  <si>
    <t>A072040813</t>
  </si>
  <si>
    <t>Aditi Sharma</t>
  </si>
  <si>
    <t>Q009326325</t>
  </si>
  <si>
    <t>Shyam Pada Pani</t>
  </si>
  <si>
    <t>Q009314346</t>
  </si>
  <si>
    <t>Q009335710</t>
  </si>
  <si>
    <t>Dhananjay Kumar Giri</t>
  </si>
  <si>
    <t>Q009349604</t>
  </si>
  <si>
    <t>Q009359480</t>
  </si>
  <si>
    <t>Parwez Akhtar</t>
  </si>
  <si>
    <t>Q009358497</t>
  </si>
  <si>
    <t>Arun Kumar Sharma</t>
  </si>
  <si>
    <t>Q009361151</t>
  </si>
  <si>
    <t>Q009360565</t>
  </si>
  <si>
    <t>A072205054</t>
  </si>
  <si>
    <t>Shreya Vashist</t>
  </si>
  <si>
    <t>A072227439</t>
  </si>
  <si>
    <t>Prachi Kumari</t>
  </si>
  <si>
    <t>A072256376</t>
  </si>
  <si>
    <t>Arnav Mal</t>
  </si>
  <si>
    <t>Q00934496</t>
  </si>
  <si>
    <t>Nilam Choudhary</t>
  </si>
  <si>
    <t>A072281399</t>
  </si>
  <si>
    <t>Ashit Raj</t>
  </si>
  <si>
    <t>Q009381143</t>
  </si>
  <si>
    <t>Sanjay kumar srivastava</t>
  </si>
  <si>
    <t>Q009381450</t>
  </si>
  <si>
    <t>Ruhi Kumari</t>
  </si>
  <si>
    <t>Q009385649</t>
  </si>
  <si>
    <t>Q009396765</t>
  </si>
  <si>
    <t>Sanjay Kumar Das</t>
  </si>
  <si>
    <t>A072360594</t>
  </si>
  <si>
    <t>Sayandeep Das</t>
  </si>
  <si>
    <t>Q009405064</t>
  </si>
  <si>
    <t>Santosh Kumar Giri</t>
  </si>
  <si>
    <t>A072432332</t>
  </si>
  <si>
    <t>Kartikey Gupta</t>
  </si>
  <si>
    <t>Q009422179</t>
  </si>
  <si>
    <t>Mukesh Kumar Gupta</t>
  </si>
  <si>
    <t>Q009180775</t>
  </si>
  <si>
    <t>Sujit kumar kar</t>
  </si>
  <si>
    <t>Q009437709</t>
  </si>
  <si>
    <t>Sarada Devi</t>
  </si>
  <si>
    <t>Q009442328</t>
  </si>
  <si>
    <t>Md Sabir Khan</t>
  </si>
  <si>
    <t>A072584010</t>
  </si>
  <si>
    <t>Sahil Prasad</t>
  </si>
  <si>
    <t>Q009450393</t>
  </si>
  <si>
    <t>Ka,ona Kanjilal</t>
  </si>
  <si>
    <t>Q009456604</t>
  </si>
  <si>
    <t>A072601651</t>
  </si>
  <si>
    <t>Md Modassir Khan</t>
  </si>
  <si>
    <t>Q009457047</t>
  </si>
  <si>
    <t>NIMAI KANTI GHOSH</t>
  </si>
  <si>
    <t>Q009463924</t>
  </si>
  <si>
    <t>Tapeshwar Kumar Singh</t>
  </si>
  <si>
    <t>Q009464039</t>
  </si>
  <si>
    <t>Kamlesh Devi</t>
  </si>
  <si>
    <t>Q009467805</t>
  </si>
  <si>
    <t>Maya Sagar Thapa</t>
  </si>
  <si>
    <t>A072684314</t>
  </si>
  <si>
    <t>Priyanka Mahato</t>
  </si>
  <si>
    <t>Q009485018</t>
  </si>
  <si>
    <t>Md Nushad</t>
  </si>
  <si>
    <t>A072712623</t>
  </si>
  <si>
    <t>Saheb Singh Sandhu</t>
  </si>
  <si>
    <t>Q009467022</t>
  </si>
  <si>
    <t>Ram Naresh Singh</t>
  </si>
  <si>
    <t>Q009489680</t>
  </si>
  <si>
    <t>Q009490742</t>
  </si>
  <si>
    <t>Ranbir Kumar</t>
  </si>
  <si>
    <t>A072794439</t>
  </si>
  <si>
    <t>Mina Ugursandi</t>
  </si>
  <si>
    <t>Q009500509</t>
  </si>
  <si>
    <t>Sudipta Karmakar</t>
  </si>
  <si>
    <t>A072821819</t>
  </si>
  <si>
    <t>Aasma Tabassum</t>
  </si>
  <si>
    <t>Q009509511</t>
  </si>
  <si>
    <t>Rajnish Dwivedi</t>
  </si>
  <si>
    <t>A072891076</t>
  </si>
  <si>
    <t>Vikash Kumar Ram</t>
  </si>
  <si>
    <t>Q009522002</t>
  </si>
  <si>
    <t>Md Naseem</t>
  </si>
  <si>
    <t>A072916173</t>
  </si>
  <si>
    <t>Khusbu Mahato</t>
  </si>
  <si>
    <t>Q009534102</t>
  </si>
  <si>
    <t>Shree Krishna Sharma</t>
  </si>
  <si>
    <t>A072952038</t>
  </si>
  <si>
    <t>Aditya Kumar Sharma</t>
  </si>
  <si>
    <t>A072957106</t>
  </si>
  <si>
    <t>Khusboo Bindhani</t>
  </si>
  <si>
    <t>A073007105</t>
  </si>
  <si>
    <t>Owais Ahmad Sharfi</t>
  </si>
  <si>
    <t>Q009563714</t>
  </si>
  <si>
    <t>Sanjay Raj Bhar</t>
  </si>
  <si>
    <t>Q009563884</t>
  </si>
  <si>
    <t>Bennuri Suresh</t>
  </si>
  <si>
    <t>Q009564963</t>
  </si>
  <si>
    <t>Umesh Chandra Patel</t>
  </si>
  <si>
    <t>A073096218</t>
  </si>
  <si>
    <t>Subendu Gorai</t>
  </si>
  <si>
    <t>Q009578883</t>
  </si>
  <si>
    <t>Naiyar Rahman Khan</t>
  </si>
  <si>
    <t>Q009582417</t>
  </si>
  <si>
    <t>Shahnaz khatoon</t>
  </si>
  <si>
    <t>Q009582597</t>
  </si>
  <si>
    <t>Rabindra Kumar Kamat</t>
  </si>
  <si>
    <t>A073175230</t>
  </si>
  <si>
    <t>Muhammad Hamza</t>
  </si>
  <si>
    <t>Q009590520</t>
  </si>
  <si>
    <t>Ajay Kumar Jha</t>
  </si>
  <si>
    <t>Q009604245</t>
  </si>
  <si>
    <t>Sajal Sahu Kumar</t>
  </si>
  <si>
    <t>A073319750</t>
  </si>
  <si>
    <t>Apurva</t>
  </si>
  <si>
    <t>Q009629945</t>
  </si>
  <si>
    <t>Sanjeev Ojha</t>
  </si>
  <si>
    <t>Q009631439</t>
  </si>
  <si>
    <t>Manisha Hansda</t>
  </si>
  <si>
    <t>A073390532</t>
  </si>
  <si>
    <t>Ganesh Hembram</t>
  </si>
  <si>
    <t>Q009643451</t>
  </si>
  <si>
    <t>Ravinder Singh</t>
  </si>
  <si>
    <t>Q009647026</t>
  </si>
  <si>
    <t>Subash Chandr Senapaty</t>
  </si>
  <si>
    <t>Q009649831</t>
  </si>
  <si>
    <t>Jyoti Ailine Hemrom</t>
  </si>
  <si>
    <t>Q009666076</t>
  </si>
  <si>
    <t>Shailendra Kumar</t>
  </si>
  <si>
    <t>Q009686769</t>
  </si>
  <si>
    <t>A073692849</t>
  </si>
  <si>
    <t>Mahrush Rezwan</t>
  </si>
  <si>
    <t>A073742585</t>
  </si>
  <si>
    <t>Ritu Mukhi</t>
  </si>
  <si>
    <t>Q009709519</t>
  </si>
  <si>
    <t>Bijay Lal Sachdev</t>
  </si>
  <si>
    <t>Q009712222</t>
  </si>
  <si>
    <t>Kanchan Sharma</t>
  </si>
  <si>
    <t>Q009712658</t>
  </si>
  <si>
    <t>Arun Kumar Singh</t>
  </si>
  <si>
    <t>A073801771</t>
  </si>
  <si>
    <t>Kanhaiya Mishra</t>
  </si>
  <si>
    <t>A073798761</t>
  </si>
  <si>
    <t>Ashwarya Gupta</t>
  </si>
  <si>
    <t>Q009733714</t>
  </si>
  <si>
    <t>Surajit Guha</t>
  </si>
  <si>
    <t>Q009745974</t>
  </si>
  <si>
    <t>Somnath Bhattacharjee</t>
  </si>
  <si>
    <t>A073917040</t>
  </si>
  <si>
    <t>Rajkumari Devi</t>
  </si>
  <si>
    <t>sanjay2@</t>
  </si>
  <si>
    <t>A074019239</t>
  </si>
  <si>
    <t>Himansu Kumar</t>
  </si>
  <si>
    <t>A074023306</t>
  </si>
  <si>
    <t>Suruchi Ojha</t>
  </si>
  <si>
    <t>Q009767142</t>
  </si>
  <si>
    <t>A074025753</t>
  </si>
  <si>
    <t>Digvijay Singh</t>
  </si>
  <si>
    <t>Due-60</t>
  </si>
  <si>
    <t>Q009770713</t>
  </si>
  <si>
    <t>Harjeet Kaur</t>
  </si>
  <si>
    <t>Q009777764</t>
  </si>
  <si>
    <t>Munmun Kumari</t>
  </si>
  <si>
    <t>A074110679</t>
  </si>
  <si>
    <t>Rohit Karwa</t>
  </si>
  <si>
    <t>Q009800044</t>
  </si>
  <si>
    <t>Md Shakil</t>
  </si>
  <si>
    <t>Q009806587</t>
  </si>
  <si>
    <t>Swpna Mihir Dash</t>
  </si>
  <si>
    <t>Q009865317</t>
  </si>
  <si>
    <t>Q009865050</t>
  </si>
  <si>
    <t>Wajda Khatoon</t>
  </si>
  <si>
    <t>Q009897504</t>
  </si>
  <si>
    <t>Champa Mahato</t>
  </si>
  <si>
    <t>Q009912838</t>
  </si>
  <si>
    <t>Baisakhi Dutta</t>
  </si>
  <si>
    <t>Q009933465</t>
  </si>
  <si>
    <t>Kishor Kumar Mishra</t>
  </si>
  <si>
    <t>Q009933603</t>
  </si>
  <si>
    <t>Charanjit Kaur Panesar</t>
  </si>
  <si>
    <t>Q009933231</t>
  </si>
  <si>
    <t>Bhupender pal Singh</t>
  </si>
  <si>
    <t>Q009933343</t>
  </si>
  <si>
    <t>Rajendra Rai</t>
  </si>
  <si>
    <t>Q009932932</t>
  </si>
  <si>
    <t>Manager Singh</t>
  </si>
  <si>
    <t>Q009938120</t>
  </si>
  <si>
    <t>Swapna Kundu</t>
  </si>
  <si>
    <t>A074795427</t>
  </si>
  <si>
    <t>Ruby kumari verma</t>
  </si>
  <si>
    <t>Q009957000</t>
  </si>
  <si>
    <t>Q009957298</t>
  </si>
  <si>
    <t>Dheeraj Kumar</t>
  </si>
  <si>
    <t>Q009957547</t>
  </si>
  <si>
    <t>Sushma Kumari</t>
  </si>
  <si>
    <t>Q009960247</t>
  </si>
  <si>
    <t>Satish Kumar Sharma</t>
  </si>
  <si>
    <t>A074820548</t>
  </si>
  <si>
    <t>Sahil Goswami</t>
  </si>
  <si>
    <t>Q009965696</t>
  </si>
  <si>
    <t>Laxmi Priya Nayak</t>
  </si>
  <si>
    <t>A074874675</t>
  </si>
  <si>
    <t>Mohammad Azam Khan</t>
  </si>
  <si>
    <t>A075007806</t>
  </si>
  <si>
    <t>Suraj Munda</t>
  </si>
  <si>
    <t>Q010034231</t>
  </si>
  <si>
    <t>Om Prakash Verma</t>
  </si>
  <si>
    <t>Q010034055</t>
  </si>
  <si>
    <t>Sonajhri Devi</t>
  </si>
  <si>
    <t>A075109114</t>
  </si>
  <si>
    <t>Parmjeet Kaur</t>
  </si>
  <si>
    <t>Q010051616</t>
  </si>
  <si>
    <t>Sivadas Anu Nair</t>
  </si>
  <si>
    <t>Q010065653</t>
  </si>
  <si>
    <t>Sanjay Das</t>
  </si>
  <si>
    <t>Q010051103</t>
  </si>
  <si>
    <t>Surinder Singh</t>
  </si>
  <si>
    <t>Q010085129</t>
  </si>
  <si>
    <t>Jai Prakash Gorai</t>
  </si>
  <si>
    <t>Q010082949</t>
  </si>
  <si>
    <t>A075222699</t>
  </si>
  <si>
    <t>Rasmunna Devi</t>
  </si>
  <si>
    <t>Q010110264</t>
  </si>
  <si>
    <t>Himanshu Sekhar Das</t>
  </si>
  <si>
    <t>Q010115786</t>
  </si>
  <si>
    <t>Kemidi Nag</t>
  </si>
  <si>
    <t>Q010115638</t>
  </si>
  <si>
    <t>Rajeshwari Devi</t>
  </si>
  <si>
    <t>A075311246</t>
  </si>
  <si>
    <t>Ratan Gorai</t>
  </si>
  <si>
    <t>A075317537</t>
  </si>
  <si>
    <t>Manju Singh</t>
  </si>
  <si>
    <t>Q010123504</t>
  </si>
  <si>
    <t>Q010123692</t>
  </si>
  <si>
    <t>Q010178359</t>
  </si>
  <si>
    <t>Binod Kumar Shrivastava</t>
  </si>
  <si>
    <t>Q010179014</t>
  </si>
  <si>
    <t>Md Suhail</t>
  </si>
  <si>
    <t>A075518241</t>
  </si>
  <si>
    <t>Manisha Tripathy</t>
  </si>
  <si>
    <t>Q010197207</t>
  </si>
  <si>
    <t>Lokesh Chandra Prasad</t>
  </si>
  <si>
    <t>Q010197909</t>
  </si>
  <si>
    <t>Md Ashif Iqbal</t>
  </si>
  <si>
    <t>Q010198292</t>
  </si>
  <si>
    <t>Kamal Kant Singh</t>
  </si>
  <si>
    <t>Q010196958</t>
  </si>
  <si>
    <t>Ramesh Kumar Dubey</t>
  </si>
  <si>
    <t>Q010225450</t>
  </si>
  <si>
    <t>Munna lal Sah</t>
  </si>
  <si>
    <t>Q010235750</t>
  </si>
  <si>
    <t>Mohammand sahan sah</t>
  </si>
  <si>
    <t>A075807764</t>
  </si>
  <si>
    <t>new</t>
  </si>
  <si>
    <t>Aasiya hejab</t>
  </si>
  <si>
    <t>Q010269671</t>
  </si>
  <si>
    <t>dob</t>
  </si>
  <si>
    <t>Anuradha Gupta</t>
  </si>
  <si>
    <t>A075875557</t>
  </si>
  <si>
    <t>Tahseen Yusuf Zai</t>
  </si>
  <si>
    <t>Q010269314</t>
  </si>
  <si>
    <t>Dabburi Rajeshwari</t>
  </si>
  <si>
    <t>A075907162</t>
  </si>
  <si>
    <t>Akansha Singh</t>
  </si>
  <si>
    <t>A075917398</t>
  </si>
  <si>
    <t>A075939624</t>
  </si>
  <si>
    <t>Biky Lohar</t>
  </si>
  <si>
    <t>A076014135</t>
  </si>
  <si>
    <t>Q010306281</t>
  </si>
  <si>
    <t>Swetalika Samantray</t>
  </si>
  <si>
    <t>Q010309262</t>
  </si>
  <si>
    <t>Sudish Prasad</t>
  </si>
  <si>
    <t>Q010309574</t>
  </si>
  <si>
    <t>Rama Shankar Pandey</t>
  </si>
  <si>
    <t>Q010319777</t>
  </si>
  <si>
    <t>Q010321849</t>
  </si>
  <si>
    <t>rpring</t>
  </si>
  <si>
    <t>Aash Mohammed</t>
  </si>
  <si>
    <t>Q010335702</t>
  </si>
  <si>
    <t>n+d</t>
  </si>
  <si>
    <t>Girija Devi</t>
  </si>
  <si>
    <t>A076181850</t>
  </si>
  <si>
    <t>Jamuna Gope</t>
  </si>
  <si>
    <t>A076182712</t>
  </si>
  <si>
    <t>Shahnaj Perween</t>
  </si>
  <si>
    <t>Q010341816</t>
  </si>
  <si>
    <t>Ranjan Kumar Singh</t>
  </si>
  <si>
    <t>Q01034324</t>
  </si>
  <si>
    <t>f+d</t>
  </si>
  <si>
    <t>Q010344713</t>
  </si>
  <si>
    <t>fn</t>
  </si>
  <si>
    <t>Ashik Hossain</t>
  </si>
  <si>
    <t>Q010346255</t>
  </si>
  <si>
    <t>N+F</t>
  </si>
  <si>
    <t>Adil Rashid</t>
  </si>
  <si>
    <t>A076287546</t>
  </si>
  <si>
    <t>Reena Devi</t>
  </si>
  <si>
    <t>uid linked with other</t>
  </si>
  <si>
    <t>A076290873</t>
  </si>
  <si>
    <t>Q010376912</t>
  </si>
  <si>
    <t>Malay Goswami</t>
  </si>
  <si>
    <t>Q010395661</t>
  </si>
  <si>
    <t>F</t>
  </si>
  <si>
    <t>Neelam Kumari</t>
  </si>
  <si>
    <t>A076406450</t>
  </si>
  <si>
    <t>Momina Begum</t>
  </si>
  <si>
    <t>Q010395356</t>
  </si>
  <si>
    <t>Sabita Biswas</t>
  </si>
  <si>
    <t>A076422514</t>
  </si>
  <si>
    <t>A076424400</t>
  </si>
  <si>
    <t>Shaira Bano</t>
  </si>
  <si>
    <t>A076435757</t>
  </si>
  <si>
    <t>Ajmeri Khatoon</t>
  </si>
  <si>
    <t>A076435762</t>
  </si>
  <si>
    <t>Sania Yasmin</t>
  </si>
  <si>
    <t>A076435767</t>
  </si>
  <si>
    <t>Md Aslam</t>
  </si>
  <si>
    <t>Q010414337</t>
  </si>
  <si>
    <t>Ndob</t>
  </si>
  <si>
    <t>Sabnam Khatoon</t>
  </si>
  <si>
    <t>Q01041624</t>
  </si>
  <si>
    <t>Md Mumtaz</t>
  </si>
  <si>
    <t>A076529129</t>
  </si>
  <si>
    <t>A076720810</t>
  </si>
  <si>
    <t>Arif Afsar Khan</t>
  </si>
  <si>
    <t>A076762674</t>
  </si>
  <si>
    <t>Sunny Kumar</t>
  </si>
  <si>
    <t>Q010481232</t>
  </si>
  <si>
    <t>Sarita Devi</t>
  </si>
  <si>
    <t>A077032399</t>
  </si>
  <si>
    <t>A077040849</t>
  </si>
  <si>
    <t>Rahul Kumar Patra</t>
  </si>
  <si>
    <t>Q010518456</t>
  </si>
  <si>
    <t>Jagdish Prasad</t>
  </si>
  <si>
    <t>Q010520481</t>
  </si>
  <si>
    <t>Dhiren Pramanik</t>
  </si>
  <si>
    <t>Q010521524</t>
  </si>
  <si>
    <t>Md Aadil</t>
  </si>
  <si>
    <t>A077089796</t>
  </si>
  <si>
    <t>Dipali Jana</t>
  </si>
  <si>
    <t>01-01-197</t>
  </si>
  <si>
    <t>A077182259</t>
  </si>
  <si>
    <t>A077238528</t>
  </si>
  <si>
    <t>Subrojeet Sahu</t>
  </si>
  <si>
    <t>Rishu Raj</t>
  </si>
  <si>
    <t>Home</t>
  </si>
  <si>
    <t>Q010596441</t>
  </si>
  <si>
    <t>Mukul Dutta</t>
  </si>
  <si>
    <t>A077359070</t>
  </si>
  <si>
    <t>Amul Kumar</t>
  </si>
  <si>
    <t>Q010605679</t>
  </si>
  <si>
    <t>reprint</t>
  </si>
  <si>
    <t>Binod Kumar Sinha</t>
  </si>
  <si>
    <t>Q010616556</t>
  </si>
  <si>
    <t>laleshwar Singh</t>
  </si>
  <si>
    <t>Q010617273</t>
  </si>
  <si>
    <t>fname</t>
  </si>
  <si>
    <t>Mohan Singh</t>
  </si>
  <si>
    <t>A077534005</t>
  </si>
  <si>
    <t>Sharda Devi</t>
  </si>
  <si>
    <t>Q010642190</t>
  </si>
  <si>
    <t>Anand Vivek</t>
  </si>
  <si>
    <t>A077557158</t>
  </si>
  <si>
    <t>Nidhi Tiwary</t>
  </si>
  <si>
    <t>A077559688</t>
  </si>
  <si>
    <t>Ticket creted</t>
  </si>
  <si>
    <t>A077618500</t>
  </si>
  <si>
    <t>Sujata Jana</t>
  </si>
  <si>
    <t>A077619519</t>
  </si>
  <si>
    <t>Putul Jana</t>
  </si>
  <si>
    <t>A077616799</t>
  </si>
  <si>
    <t>Kumari Aarti Singh</t>
  </si>
  <si>
    <t>Q010663908</t>
  </si>
  <si>
    <t>kumud singh</t>
  </si>
  <si>
    <t>A077657892</t>
  </si>
  <si>
    <t>Naureen Khan</t>
  </si>
  <si>
    <t>A076602420</t>
  </si>
  <si>
    <t>Chandra Wati Devi</t>
  </si>
  <si>
    <t>A077743008</t>
  </si>
  <si>
    <t>A077743583</t>
  </si>
  <si>
    <t>Sujal Kumar</t>
  </si>
  <si>
    <t>Q010683168</t>
  </si>
  <si>
    <t>Asaph Purty</t>
  </si>
  <si>
    <t>Q010688964</t>
  </si>
  <si>
    <t>Ramakrishna Nagamal</t>
  </si>
  <si>
    <t>Q010759227</t>
  </si>
  <si>
    <t>Banashree Nayak</t>
  </si>
  <si>
    <t>Q010759478</t>
  </si>
  <si>
    <t>Bhabataran Khan</t>
  </si>
  <si>
    <t>Q010759362</t>
  </si>
  <si>
    <t>Sajal Kumar Munda</t>
  </si>
  <si>
    <t>Q010774099</t>
  </si>
  <si>
    <t>Sujay Das</t>
  </si>
  <si>
    <t>Q010777195</t>
  </si>
  <si>
    <t>Neeru Verma</t>
  </si>
  <si>
    <t>Q010813771</t>
  </si>
  <si>
    <t>A078339190</t>
  </si>
  <si>
    <t>A078732930</t>
  </si>
  <si>
    <t>Sabina Bano</t>
  </si>
  <si>
    <t>Q010902798</t>
  </si>
  <si>
    <t>Sijut Patro</t>
  </si>
  <si>
    <t>Q010905902</t>
  </si>
  <si>
    <t>Ankur Kumar Tiwary</t>
  </si>
  <si>
    <t>Q010969789</t>
  </si>
  <si>
    <t>Pramila Singh</t>
  </si>
  <si>
    <t>Q010917712</t>
  </si>
  <si>
    <t>Jaya Sahu Arokya</t>
  </si>
  <si>
    <t>A078797628</t>
  </si>
  <si>
    <t>Poojitha Eluru</t>
  </si>
  <si>
    <t>A079079438</t>
  </si>
  <si>
    <t>Shek Kashij</t>
  </si>
  <si>
    <t>A079112929</t>
  </si>
  <si>
    <t>Subham Kumar Singh</t>
  </si>
  <si>
    <t>A079118523</t>
  </si>
  <si>
    <t>Divyanshi Srivastava</t>
  </si>
  <si>
    <t>Q010981166</t>
  </si>
  <si>
    <t>Deepti</t>
  </si>
  <si>
    <t>A079156497</t>
  </si>
  <si>
    <t>Hamida Khatoon</t>
  </si>
  <si>
    <t>A079163254</t>
  </si>
  <si>
    <t>Riya Chauhan</t>
  </si>
  <si>
    <t>A079168126</t>
  </si>
  <si>
    <t>Jogender Karmakar</t>
  </si>
  <si>
    <t>Q011004371</t>
  </si>
  <si>
    <t>Lalti Gorai</t>
  </si>
  <si>
    <t>Q011020010</t>
  </si>
  <si>
    <t>Sheo Shankar Lal</t>
  </si>
  <si>
    <t>Q011019879</t>
  </si>
  <si>
    <t>Ashish Kumar</t>
  </si>
  <si>
    <t>Q011028063</t>
  </si>
  <si>
    <t>Shaista Shamim</t>
  </si>
  <si>
    <t>Q011034086</t>
  </si>
  <si>
    <t>Sanjeev Kumar Singh</t>
  </si>
  <si>
    <t>A079426265</t>
  </si>
  <si>
    <t>Ranjeet Gorai</t>
  </si>
  <si>
    <t>A079425352</t>
  </si>
  <si>
    <t>Basanti Jana</t>
  </si>
  <si>
    <t>Q011039229</t>
  </si>
  <si>
    <t>Rohit Pandey</t>
  </si>
  <si>
    <t>Q011053235</t>
  </si>
  <si>
    <t>Swapan Kumar Bhattacharjee</t>
  </si>
  <si>
    <t>Q011053161</t>
  </si>
  <si>
    <t>Shamsul Arfien</t>
  </si>
  <si>
    <t>A079462980</t>
  </si>
  <si>
    <t>Sourav</t>
  </si>
  <si>
    <t>Q011060251</t>
  </si>
  <si>
    <t>Gopi Kumar Mishra</t>
  </si>
  <si>
    <t>Q011055488</t>
  </si>
  <si>
    <t>Md Kalim Rahi</t>
  </si>
  <si>
    <t>A079573727</t>
  </si>
  <si>
    <t>Adarsh Kumar</t>
  </si>
  <si>
    <t>A079932069</t>
  </si>
  <si>
    <t>Dimpal Kaur</t>
  </si>
  <si>
    <t>Q011185302</t>
  </si>
  <si>
    <t>Sanjib Kumar Ghosh</t>
  </si>
  <si>
    <t>Q011185536</t>
  </si>
  <si>
    <t>Sudhakar Sahu</t>
  </si>
  <si>
    <t>Q011203093</t>
  </si>
  <si>
    <t>Father name</t>
  </si>
  <si>
    <t>Ravindra Kumar Mandal</t>
  </si>
  <si>
    <t>Q011286637</t>
  </si>
  <si>
    <t>Dinesh Kumar</t>
  </si>
  <si>
    <t>A080280223</t>
  </si>
  <si>
    <t>Q011292272</t>
  </si>
  <si>
    <t>name</t>
  </si>
  <si>
    <t>Ehsan Ahmad</t>
  </si>
  <si>
    <t>Q011347699</t>
  </si>
  <si>
    <t>Bijaya Choudhury</t>
  </si>
  <si>
    <t>A080926426</t>
  </si>
  <si>
    <t>Jitesh Kumar Bhagat</t>
  </si>
  <si>
    <t>Q011401669</t>
  </si>
  <si>
    <t>reissue</t>
  </si>
  <si>
    <t>Sweta Kumari</t>
  </si>
  <si>
    <t>Q0114403424</t>
  </si>
  <si>
    <t>Munazerul Islam</t>
  </si>
  <si>
    <t>Q011427848</t>
  </si>
  <si>
    <t>Shinu Kumari</t>
  </si>
  <si>
    <t>Q011435976</t>
  </si>
  <si>
    <t>Manjeet Kaur</t>
  </si>
  <si>
    <t>Q011439385</t>
  </si>
  <si>
    <t>Purnasish Sinha</t>
  </si>
  <si>
    <t>A081224112</t>
  </si>
  <si>
    <t>Airum Nushi</t>
  </si>
  <si>
    <t>A081258011</t>
  </si>
  <si>
    <t>Ayushka</t>
  </si>
  <si>
    <t>A081257039</t>
  </si>
  <si>
    <t>Smita Pradhan</t>
  </si>
  <si>
    <t>Q011461445</t>
  </si>
  <si>
    <t>f+dob</t>
  </si>
  <si>
    <t>Subodh Kumar Mishra</t>
  </si>
  <si>
    <t>A081340950</t>
  </si>
  <si>
    <t>Kajal Singh</t>
  </si>
  <si>
    <t>Q011478000</t>
  </si>
  <si>
    <t>N+dob</t>
  </si>
  <si>
    <t>Pritimai</t>
  </si>
  <si>
    <t>Q011485324</t>
  </si>
  <si>
    <t>Jayanti sengupta</t>
  </si>
  <si>
    <t>Q011494647</t>
  </si>
  <si>
    <t>Tumpa Gorai</t>
  </si>
  <si>
    <t>A081563452</t>
  </si>
  <si>
    <t>Shabana Perween</t>
  </si>
  <si>
    <t>A081603407</t>
  </si>
  <si>
    <t>Simran Deepti Kujur</t>
  </si>
  <si>
    <t>not uploaded</t>
  </si>
  <si>
    <t>A081606942</t>
  </si>
  <si>
    <t>Q011555713</t>
  </si>
  <si>
    <t>Manish kumar bharti</t>
  </si>
  <si>
    <t>A081907271</t>
  </si>
  <si>
    <t>Savbra Khatoon</t>
  </si>
  <si>
    <t>A082063936</t>
  </si>
  <si>
    <t>Kabita Banarjee</t>
  </si>
  <si>
    <t>Q011639763</t>
  </si>
  <si>
    <t>re</t>
  </si>
  <si>
    <t>Ankit Ranjan Mishra</t>
  </si>
  <si>
    <t>Q011639967</t>
  </si>
  <si>
    <t>Q011644979</t>
  </si>
  <si>
    <t>Devendra Kumar</t>
  </si>
  <si>
    <t>Q011645474</t>
  </si>
  <si>
    <t>A082134565</t>
  </si>
  <si>
    <t>Q011677852</t>
  </si>
  <si>
    <t>Annu Pathak</t>
  </si>
  <si>
    <t>A082391957</t>
  </si>
  <si>
    <t>Q011723202</t>
  </si>
  <si>
    <t>Swapna Sethi</t>
  </si>
  <si>
    <t>A082458463</t>
  </si>
  <si>
    <t>Kamrun Nisha</t>
  </si>
  <si>
    <t>Q011736039</t>
  </si>
  <si>
    <t>fnm</t>
  </si>
  <si>
    <t>Tanya</t>
  </si>
  <si>
    <t>A082757315</t>
  </si>
  <si>
    <t>Nutan Kumar</t>
  </si>
  <si>
    <t>Q011816595</t>
  </si>
  <si>
    <t>Subrata Sahu</t>
  </si>
  <si>
    <t>A082855321</t>
  </si>
  <si>
    <t>Vimla Devi</t>
  </si>
  <si>
    <t>A08285441</t>
  </si>
  <si>
    <t>Ajit Gorai</t>
  </si>
  <si>
    <t>Q011820612</t>
  </si>
  <si>
    <t>Ramesh Kumar Singh</t>
  </si>
  <si>
    <t>Q011821256</t>
  </si>
  <si>
    <t>NFD</t>
  </si>
  <si>
    <t>Gour Hari Khan</t>
  </si>
  <si>
    <t>A082992334</t>
  </si>
  <si>
    <t>Md Nasir Sharjeel</t>
  </si>
  <si>
    <t>Q011893635</t>
  </si>
  <si>
    <t>KULDEEP SINGH</t>
  </si>
  <si>
    <t>A083162209</t>
  </si>
  <si>
    <t>Nargis Bano</t>
  </si>
  <si>
    <t>Q011934295</t>
  </si>
  <si>
    <t>Ramjee Jee</t>
  </si>
  <si>
    <t>Q011936559</t>
  </si>
  <si>
    <t>Yunus Alam</t>
  </si>
  <si>
    <t>Q011951475</t>
  </si>
  <si>
    <t>Binod Kumar Srivastava</t>
  </si>
  <si>
    <t>A083443576</t>
  </si>
  <si>
    <t>Q011963707</t>
  </si>
  <si>
    <t>Anmola Tiwari</t>
  </si>
  <si>
    <t>A083516915</t>
  </si>
  <si>
    <t>Praveer Kumar Ravidas</t>
  </si>
  <si>
    <t>UTIITSL</t>
  </si>
  <si>
    <t>A083665439</t>
  </si>
  <si>
    <t>Saba Parveen</t>
  </si>
  <si>
    <t>q012026785</t>
  </si>
  <si>
    <t>NAME</t>
  </si>
  <si>
    <t>SHAKUNTALA DEVI</t>
  </si>
  <si>
    <t>Q012040117</t>
  </si>
  <si>
    <t>Rajendra Singh Mahato</t>
  </si>
  <si>
    <t>A083889016</t>
  </si>
  <si>
    <t>Saquib Ali</t>
  </si>
  <si>
    <t>A083888563</t>
  </si>
  <si>
    <t>Sajid Ali</t>
  </si>
  <si>
    <t>A083921496</t>
  </si>
  <si>
    <t>Dubraj Lahari</t>
  </si>
  <si>
    <t>Q012097861</t>
  </si>
  <si>
    <t>N B</t>
  </si>
  <si>
    <t>Binit Kumar Singh</t>
  </si>
  <si>
    <t>Q012122128</t>
  </si>
  <si>
    <t>Rajesh Giri</t>
  </si>
  <si>
    <t>A084146051</t>
  </si>
  <si>
    <t>A084220806</t>
  </si>
  <si>
    <t>A084219699</t>
  </si>
  <si>
    <t>Q012140417</t>
  </si>
  <si>
    <t>Nazim Khan</t>
  </si>
  <si>
    <t>A084223843</t>
  </si>
  <si>
    <t>Saina Begum</t>
  </si>
  <si>
    <t>A084253214</t>
  </si>
  <si>
    <t>A084291458</t>
  </si>
  <si>
    <t>Mohit Gorai</t>
  </si>
  <si>
    <t>Q012152007</t>
  </si>
  <si>
    <t>Ujjal Dutta</t>
  </si>
  <si>
    <t>Q012158463</t>
  </si>
  <si>
    <t>Urmila Pandey</t>
  </si>
  <si>
    <t>A084330802</t>
  </si>
  <si>
    <t>Akansha</t>
  </si>
  <si>
    <t>Q012168412</t>
  </si>
  <si>
    <t>Abhishek Kumar Verma</t>
  </si>
  <si>
    <t>A084408266</t>
  </si>
  <si>
    <t>Rinku Sahu</t>
  </si>
  <si>
    <t>Q012180643</t>
  </si>
  <si>
    <t>Ashok Kumar thapa</t>
  </si>
  <si>
    <t>A084491327</t>
  </si>
  <si>
    <t>Dipankar Mahato</t>
  </si>
  <si>
    <t>Q012192013</t>
  </si>
  <si>
    <t>Afsana Khatoon</t>
  </si>
  <si>
    <t>Q012198379</t>
  </si>
  <si>
    <t>Sname</t>
  </si>
  <si>
    <t>Shatakshi Kumar</t>
  </si>
  <si>
    <t>Q012198570</t>
  </si>
  <si>
    <t>Dipak Ojha</t>
  </si>
  <si>
    <t>A084547154</t>
  </si>
  <si>
    <t>Ankit Kumar Singh</t>
  </si>
  <si>
    <t>A084755356</t>
  </si>
  <si>
    <t>A085000108</t>
  </si>
  <si>
    <t>Abhijeet Banerjee</t>
  </si>
  <si>
    <t>Q012318975</t>
  </si>
  <si>
    <t>RE</t>
  </si>
  <si>
    <t>Q012326694</t>
  </si>
  <si>
    <t>Q012333866</t>
  </si>
  <si>
    <t>Annu Pandey</t>
  </si>
  <si>
    <t>Q012338511</t>
  </si>
  <si>
    <t>Mohammad Rajjak</t>
  </si>
  <si>
    <t>Q012346063</t>
  </si>
  <si>
    <t>Rashmi Gupta</t>
  </si>
  <si>
    <t>Q012375081</t>
  </si>
  <si>
    <t>A085241109</t>
  </si>
  <si>
    <t>Ashana kaur</t>
  </si>
  <si>
    <t>A085338543</t>
  </si>
  <si>
    <t>Hasina Perween</t>
  </si>
  <si>
    <t>Q012411716</t>
  </si>
  <si>
    <t>renew</t>
  </si>
  <si>
    <t>Rajesh Kumar Gandhi</t>
  </si>
  <si>
    <t>Q012411843</t>
  </si>
  <si>
    <t>Jyoti Gandhi</t>
  </si>
  <si>
    <t>A085496472</t>
  </si>
  <si>
    <t>Rajat Barori</t>
  </si>
  <si>
    <t>Q012450744</t>
  </si>
  <si>
    <t>Bahadur Mukhi</t>
  </si>
  <si>
    <t>A085534812</t>
  </si>
  <si>
    <t>Sushila Mahato</t>
  </si>
  <si>
    <t>Q012462526</t>
  </si>
  <si>
    <t>Ashok Kumar Sahu</t>
  </si>
  <si>
    <t>A085709202</t>
  </si>
  <si>
    <t>Noor Saba</t>
  </si>
  <si>
    <t>Q012499295</t>
  </si>
  <si>
    <t>Kiran Chhada</t>
  </si>
  <si>
    <t>Q012509467</t>
  </si>
  <si>
    <t>A085866710</t>
  </si>
  <si>
    <t>Sireen Khalid</t>
  </si>
  <si>
    <t>A085913516</t>
  </si>
  <si>
    <t>Joyotri Nandy</t>
  </si>
  <si>
    <t>Q012537257</t>
  </si>
  <si>
    <t>Basant Kumar Pal</t>
  </si>
  <si>
    <t>Q012537333</t>
  </si>
  <si>
    <t>Govind Kumar Singh</t>
  </si>
  <si>
    <t>Q012537465</t>
  </si>
  <si>
    <t>n</t>
  </si>
  <si>
    <t>Jay Kumar Chaudhary</t>
  </si>
  <si>
    <t>Q012549324</t>
  </si>
  <si>
    <t>Md Samiullah</t>
  </si>
  <si>
    <t>A086136194</t>
  </si>
  <si>
    <t>Shyama Devi</t>
  </si>
  <si>
    <t>Q012587613</t>
  </si>
  <si>
    <t>Badrun Nisha</t>
  </si>
  <si>
    <t>A086161386</t>
  </si>
  <si>
    <t>Naaz Perween</t>
  </si>
  <si>
    <t>A086400524</t>
  </si>
  <si>
    <t>A086402034</t>
  </si>
  <si>
    <t>Harsh Kumra</t>
  </si>
  <si>
    <t>A086467400</t>
  </si>
  <si>
    <t>Ara Anjum</t>
  </si>
  <si>
    <t>A086466167</t>
  </si>
  <si>
    <t>Deepa Kumari</t>
  </si>
  <si>
    <t>A086501965</t>
  </si>
  <si>
    <t>Manish Pandey</t>
  </si>
  <si>
    <t>A086566185</t>
  </si>
  <si>
    <t>Binita Devi</t>
  </si>
  <si>
    <t>Q012692401</t>
  </si>
  <si>
    <t>Parbati Lohar</t>
  </si>
  <si>
    <t>A086588533</t>
  </si>
  <si>
    <t>A086601027</t>
  </si>
  <si>
    <t>Anjalee Kumari</t>
  </si>
  <si>
    <t>Q012699615</t>
  </si>
  <si>
    <t>Prem Sharma</t>
  </si>
  <si>
    <t>A086620245</t>
  </si>
  <si>
    <t>Simran Solomon</t>
  </si>
  <si>
    <t>A086633511</t>
  </si>
  <si>
    <t>Aditya Patro</t>
  </si>
  <si>
    <t>Q012713355</t>
  </si>
  <si>
    <t>Bawana Sharda</t>
  </si>
  <si>
    <t>Q012713438</t>
  </si>
  <si>
    <t>Bawana Venket Saibaba</t>
  </si>
  <si>
    <t>A086670148</t>
  </si>
  <si>
    <t>Asmit Sharma</t>
  </si>
  <si>
    <t>Q012716222</t>
  </si>
  <si>
    <t>Seikh Iqbal Ali</t>
  </si>
  <si>
    <t>Q012731421</t>
  </si>
  <si>
    <t>Shamshun Nihar Khanam</t>
  </si>
  <si>
    <t>A086772146</t>
  </si>
  <si>
    <t>Rytisha sengupta</t>
  </si>
  <si>
    <t>A109745691</t>
  </si>
  <si>
    <t>Rahul Pal</t>
  </si>
  <si>
    <t>A109783084</t>
  </si>
  <si>
    <t>A109822217</t>
  </si>
  <si>
    <t>Ayush Tiwari</t>
  </si>
  <si>
    <t>A109698683</t>
  </si>
  <si>
    <t>Devabrata Sen Gupta</t>
  </si>
  <si>
    <t>A109823724</t>
  </si>
  <si>
    <t>Ekansh Prasad</t>
  </si>
  <si>
    <t>Q019956978</t>
  </si>
  <si>
    <t>Sonal Kaiswal</t>
  </si>
  <si>
    <t>Q019926069</t>
  </si>
  <si>
    <t>Subrato Sahu</t>
  </si>
  <si>
    <t>Q019865110</t>
  </si>
  <si>
    <t>Anara Devi</t>
  </si>
  <si>
    <t>Q019910645</t>
  </si>
  <si>
    <t>Madhu Singh</t>
  </si>
  <si>
    <t>A109918718</t>
  </si>
  <si>
    <t>Sufiyan Hussain</t>
  </si>
  <si>
    <t>Q020022787</t>
  </si>
  <si>
    <t>Manjit singh</t>
  </si>
  <si>
    <t>Q020022953</t>
  </si>
  <si>
    <t>Arti Singh</t>
  </si>
  <si>
    <t>A110074182</t>
  </si>
  <si>
    <t>Q020068645</t>
  </si>
  <si>
    <t>A110165197</t>
  </si>
  <si>
    <t>Tanmay Singh</t>
  </si>
  <si>
    <t>A110298793</t>
  </si>
  <si>
    <t>Niyati</t>
  </si>
  <si>
    <t>A110292584</t>
  </si>
  <si>
    <t>Q02136116</t>
  </si>
  <si>
    <t>Shashi Bhushan Prasad</t>
  </si>
  <si>
    <t>A110182589</t>
  </si>
  <si>
    <t>Milli Kumari</t>
  </si>
  <si>
    <t>Ali Nawaz Ansari</t>
  </si>
  <si>
    <t>A110396870</t>
  </si>
  <si>
    <t>Shreyansh Sahoo</t>
  </si>
  <si>
    <t>Q020182206</t>
  </si>
  <si>
    <t>Rishiraj Laskar</t>
  </si>
  <si>
    <t>A110413505</t>
  </si>
  <si>
    <t>Shuvojit Bhowmick</t>
  </si>
  <si>
    <t>Q020182385</t>
  </si>
  <si>
    <t>BRDPG4708A</t>
  </si>
  <si>
    <t>A110413863</t>
  </si>
  <si>
    <t>Md Chand</t>
  </si>
  <si>
    <t>Q020182341</t>
  </si>
  <si>
    <t>BEAPM8104C</t>
  </si>
  <si>
    <t>Jay Prakash Mishra</t>
  </si>
  <si>
    <t>A110413283</t>
  </si>
  <si>
    <t>Ranjeet Halder</t>
  </si>
  <si>
    <t>Q020182093</t>
  </si>
  <si>
    <t>AELPT6136M</t>
  </si>
  <si>
    <t>Rajesh Kumar Tiwary</t>
  </si>
  <si>
    <t>Q020188462</t>
  </si>
  <si>
    <t>Aditya Banerjee</t>
  </si>
  <si>
    <t>A110438206</t>
  </si>
  <si>
    <t>Ali Raza</t>
  </si>
  <si>
    <t>A110452859</t>
  </si>
  <si>
    <t>Raju Sandil</t>
  </si>
  <si>
    <t>Q020197759</t>
  </si>
  <si>
    <t>Md Adnan Sami</t>
  </si>
  <si>
    <t>A110164969</t>
  </si>
  <si>
    <t>Khushi Bera</t>
  </si>
  <si>
    <t>Q020081759</t>
  </si>
  <si>
    <t>Khwaish Kumari</t>
  </si>
  <si>
    <t>Q020081669</t>
  </si>
  <si>
    <t>Chanchal Singh Malla</t>
  </si>
  <si>
    <t>Q020081722</t>
  </si>
  <si>
    <t>Puspa Biswas</t>
  </si>
  <si>
    <t>Q020081791</t>
  </si>
  <si>
    <t>Rajiv Ranjan Rajpal</t>
  </si>
  <si>
    <t>Q020267629</t>
  </si>
  <si>
    <t>Nahid Sultana</t>
  </si>
  <si>
    <t>Q020257105</t>
  </si>
  <si>
    <t>Suga Lal</t>
  </si>
  <si>
    <t>Q020257190</t>
  </si>
  <si>
    <t>Dasmat Hembram</t>
  </si>
  <si>
    <t>A110579523</t>
  </si>
  <si>
    <t>Shahru Nisha</t>
  </si>
  <si>
    <t>A110540680</t>
  </si>
  <si>
    <t>Rahat Farheen</t>
  </si>
  <si>
    <t>A110579843</t>
  </si>
  <si>
    <t>Saniya Siddiqua</t>
  </si>
  <si>
    <t>A110621992</t>
  </si>
  <si>
    <t>Raj Majumdar</t>
  </si>
  <si>
    <t>A110664274</t>
  </si>
  <si>
    <t>Mandira Pal</t>
  </si>
  <si>
    <t>Q020293598</t>
  </si>
  <si>
    <t>Jaswant Singh</t>
  </si>
  <si>
    <t>Q020293394</t>
  </si>
  <si>
    <t>Bhagat Singh</t>
  </si>
  <si>
    <t>25-08-1-47</t>
  </si>
  <si>
    <t>Q020310698</t>
  </si>
  <si>
    <t>Jaiwanti Guria</t>
  </si>
  <si>
    <t>A110785384</t>
  </si>
  <si>
    <t>Akanshha Kumari</t>
  </si>
  <si>
    <t>A110785092</t>
  </si>
  <si>
    <t>Divya Bharti</t>
  </si>
  <si>
    <t>A110823116</t>
  </si>
  <si>
    <t>Tanzil Ezaj Khan</t>
  </si>
  <si>
    <t>Q020335196</t>
  </si>
  <si>
    <t>Kamla Mishra</t>
  </si>
  <si>
    <t>Q020335309</t>
  </si>
  <si>
    <t>soma chakraborty</t>
  </si>
  <si>
    <t>Q020347045</t>
  </si>
  <si>
    <t>Manas kumar behera</t>
  </si>
  <si>
    <t>Q020350520</t>
  </si>
  <si>
    <t>syed mamnoon raza akhter</t>
  </si>
  <si>
    <t>Q020343789</t>
  </si>
  <si>
    <t>Babin Sahu</t>
  </si>
  <si>
    <t>A110822500</t>
  </si>
  <si>
    <t>Ayush Dutta</t>
  </si>
  <si>
    <t>Q020362202</t>
  </si>
  <si>
    <t>Arnab Dasgupta</t>
  </si>
  <si>
    <t>Q020358273</t>
  </si>
  <si>
    <t>Pradeep Kumar Pandey</t>
  </si>
  <si>
    <t>Rahul Roy</t>
  </si>
  <si>
    <t>A110899769</t>
  </si>
  <si>
    <t>Jaba Mahato</t>
  </si>
  <si>
    <t>Q020383554</t>
  </si>
  <si>
    <t>Narbada Devi</t>
  </si>
  <si>
    <t>Q020383936</t>
  </si>
  <si>
    <t>Sarbani Dutta</t>
  </si>
  <si>
    <t>A109600758</t>
  </si>
  <si>
    <t>JAYENDRA PANDEY</t>
  </si>
  <si>
    <t>Q020405847</t>
  </si>
  <si>
    <t>Ramjee Sharma Prasad</t>
  </si>
  <si>
    <t>Q020406103</t>
  </si>
  <si>
    <t>Binit Nayak</t>
  </si>
  <si>
    <t>Q020412067</t>
  </si>
  <si>
    <t>Muskan Khatoon</t>
  </si>
  <si>
    <t>Q020438838</t>
  </si>
  <si>
    <t>Sandeep Kumar Sen</t>
  </si>
  <si>
    <t>A111028093</t>
  </si>
  <si>
    <t>Jyoti Kumari</t>
  </si>
  <si>
    <t>Q019857108</t>
  </si>
  <si>
    <t xml:space="preserve">to Upload </t>
  </si>
  <si>
    <t>Q020441590</t>
  </si>
  <si>
    <t>Bishwanath Mishra</t>
  </si>
  <si>
    <t>Q020457285</t>
  </si>
  <si>
    <t>Praveen Kumar Gaurav</t>
  </si>
  <si>
    <t>A111069592</t>
  </si>
  <si>
    <t>Aditya Verma</t>
  </si>
  <si>
    <t>Q020475491</t>
  </si>
  <si>
    <t>Madhulika Mehta</t>
  </si>
  <si>
    <t>A111111907</t>
  </si>
  <si>
    <t>Q020496373</t>
  </si>
  <si>
    <t>SUBROJEET SAHU</t>
  </si>
  <si>
    <t>Q020514618</t>
  </si>
  <si>
    <t>Rohit Yogeshwar</t>
  </si>
  <si>
    <t>A111200312</t>
  </si>
  <si>
    <t>Prateek Mahato</t>
  </si>
  <si>
    <t>A111199722</t>
  </si>
  <si>
    <t>Jayant Kumar</t>
  </si>
  <si>
    <t>Q020532002</t>
  </si>
  <si>
    <t>Anand Chaurasia</t>
  </si>
  <si>
    <t>A111239941</t>
  </si>
  <si>
    <t>A111240222</t>
  </si>
  <si>
    <t>Gunjan Rai</t>
  </si>
  <si>
    <t>.</t>
  </si>
  <si>
    <t>A111236330</t>
  </si>
  <si>
    <t>Dilshan</t>
  </si>
  <si>
    <t>a111240420</t>
  </si>
  <si>
    <t>Q020537865</t>
  </si>
  <si>
    <t>Q020547248</t>
  </si>
  <si>
    <t>Deb Narayan Singh</t>
  </si>
  <si>
    <t>A111358074</t>
  </si>
  <si>
    <t>Jasoda Devi</t>
  </si>
  <si>
    <t>A111437370</t>
  </si>
  <si>
    <t>Debasish Gorai</t>
  </si>
  <si>
    <t>A111437699</t>
  </si>
  <si>
    <t>Ram Rachit Dubey</t>
  </si>
  <si>
    <t>A111437918</t>
  </si>
  <si>
    <t>Anushree das</t>
  </si>
  <si>
    <t>Q020595717</t>
  </si>
  <si>
    <t>A111479633</t>
  </si>
  <si>
    <t>Putul Dutta</t>
  </si>
  <si>
    <t>A111480340</t>
  </si>
  <si>
    <t>Munu Lohar</t>
  </si>
  <si>
    <t>Q020650064</t>
  </si>
  <si>
    <t>Harsh Kumar</t>
  </si>
  <si>
    <t>Q020657752</t>
  </si>
  <si>
    <t>Satnam Singh</t>
  </si>
  <si>
    <t>A111541304</t>
  </si>
  <si>
    <t>Q020671564</t>
  </si>
  <si>
    <t>Murli Manohar</t>
  </si>
  <si>
    <t>Q020671628</t>
  </si>
  <si>
    <t>Lakhi Charan Mahato</t>
  </si>
  <si>
    <t>Q020675573</t>
  </si>
  <si>
    <t>Anish Nayak</t>
  </si>
  <si>
    <t>A111630182</t>
  </si>
  <si>
    <t>A111658839</t>
  </si>
  <si>
    <t>Shahid Ansari</t>
  </si>
  <si>
    <t>A111673184</t>
  </si>
  <si>
    <t>Kavita Kumari</t>
  </si>
  <si>
    <t>A111659427</t>
  </si>
  <si>
    <t>Mamta Triputhy</t>
  </si>
  <si>
    <t>Q020702971</t>
  </si>
  <si>
    <t>Tarun Gui</t>
  </si>
  <si>
    <t>Q020702748</t>
  </si>
  <si>
    <t>Kuljeet Kaur</t>
  </si>
  <si>
    <t>Q020702844</t>
  </si>
  <si>
    <t>Girja Devi</t>
  </si>
  <si>
    <t>Q020702914</t>
  </si>
  <si>
    <t>Manveer Singh</t>
  </si>
  <si>
    <t>Q020708089</t>
  </si>
  <si>
    <t>Jwala Prasad Singh</t>
  </si>
  <si>
    <t>A111780269</t>
  </si>
  <si>
    <t>Puja Rani Dey</t>
  </si>
  <si>
    <t>A111780788</t>
  </si>
  <si>
    <t>Shravani Ghosh</t>
  </si>
  <si>
    <t>A111768036</t>
  </si>
  <si>
    <t>Priyanka Gorai</t>
  </si>
  <si>
    <t>A111785611</t>
  </si>
  <si>
    <t>A111821509</t>
  </si>
  <si>
    <t>Mohammad sahir namdeem khan</t>
  </si>
  <si>
    <t>Q020765313</t>
  </si>
  <si>
    <t>Q020744309</t>
  </si>
  <si>
    <t>Saraswati Devi</t>
  </si>
  <si>
    <t>a111893346</t>
  </si>
  <si>
    <t>Rano Smita Hembram</t>
  </si>
  <si>
    <t>Q020793616</t>
  </si>
  <si>
    <t>A111892786</t>
  </si>
  <si>
    <t>Maheswata Panda</t>
  </si>
  <si>
    <t>Q020816136</t>
  </si>
  <si>
    <t>Devendra Pal Singh</t>
  </si>
  <si>
    <t>Q020816261</t>
  </si>
  <si>
    <t>A111951999</t>
  </si>
  <si>
    <t>Sanya Singh</t>
  </si>
  <si>
    <t>Q020821076</t>
  </si>
  <si>
    <t>Muskan perween</t>
  </si>
  <si>
    <t>Q020840168</t>
  </si>
  <si>
    <t xml:space="preserve"> GOKULA CHANDRA MAHATO</t>
  </si>
  <si>
    <t>Q020840041</t>
  </si>
  <si>
    <t>Anushree Das</t>
  </si>
  <si>
    <t>A112065231</t>
  </si>
  <si>
    <t>Khushnama Naznin</t>
  </si>
  <si>
    <t>A112062405</t>
  </si>
  <si>
    <t>Amarjit Kaur</t>
  </si>
  <si>
    <t>Q020852582</t>
  </si>
  <si>
    <t>Q020860062</t>
  </si>
  <si>
    <t>Shahjahan Khatoon</t>
  </si>
  <si>
    <t>A112120768</t>
  </si>
  <si>
    <t>Aditya Nag</t>
  </si>
  <si>
    <t>A112209528</t>
  </si>
  <si>
    <t>Neel Maity</t>
  </si>
  <si>
    <t>A112217950</t>
  </si>
  <si>
    <t>RANI BARUA</t>
  </si>
  <si>
    <t>Q019077967</t>
  </si>
  <si>
    <t>Maya Devi</t>
  </si>
  <si>
    <t>A112271913</t>
  </si>
  <si>
    <t>Dulari Devi</t>
  </si>
  <si>
    <t>A112271736</t>
  </si>
  <si>
    <t>Sunita Gorai</t>
  </si>
  <si>
    <t>A112271574</t>
  </si>
  <si>
    <t>Priti Tantubai</t>
  </si>
  <si>
    <t>Q020942667</t>
  </si>
  <si>
    <t>Prabhat Kumar</t>
  </si>
  <si>
    <t>A112272294</t>
  </si>
  <si>
    <t>Shalini Swamy</t>
  </si>
  <si>
    <t>Q020942812</t>
  </si>
  <si>
    <t>Nazimun Nisha</t>
  </si>
  <si>
    <t>A112272665</t>
  </si>
  <si>
    <t>Azmat Tahera</t>
  </si>
  <si>
    <t>A112293333</t>
  </si>
  <si>
    <t>Sulochana Kuiri</t>
  </si>
  <si>
    <t>A112411897</t>
  </si>
  <si>
    <t>Gita Devi</t>
  </si>
  <si>
    <t>A112412168</t>
  </si>
  <si>
    <t>Yashaswini Ghosh</t>
  </si>
  <si>
    <t>A112461618</t>
  </si>
  <si>
    <t>Saba Arshi</t>
  </si>
  <si>
    <t>Q0210441424</t>
  </si>
  <si>
    <t>Bushra Khatoon</t>
  </si>
  <si>
    <t>Q021036508</t>
  </si>
  <si>
    <t>Gagandeep singh</t>
  </si>
  <si>
    <t>A112563492</t>
  </si>
  <si>
    <t>Kunal Soni</t>
  </si>
  <si>
    <t>A112549766</t>
  </si>
  <si>
    <t>Md Nasruddin</t>
  </si>
  <si>
    <t>A112699191</t>
  </si>
  <si>
    <t>Bina Devi</t>
  </si>
  <si>
    <t>A112786867</t>
  </si>
  <si>
    <t>A112761966</t>
  </si>
  <si>
    <t>Siddharth Das</t>
  </si>
  <si>
    <t>A112800562</t>
  </si>
  <si>
    <t>Vaishnavi pandey</t>
  </si>
  <si>
    <t>A112817863</t>
  </si>
  <si>
    <t>Rukshana Perween</t>
  </si>
  <si>
    <t>A112825916</t>
  </si>
  <si>
    <t>Soni Kumari</t>
  </si>
  <si>
    <t>A112789102</t>
  </si>
  <si>
    <t>sonal</t>
  </si>
  <si>
    <t>Q021140114</t>
  </si>
  <si>
    <t>Mohammad Nezamuddin Khan</t>
  </si>
  <si>
    <t>A112826434</t>
  </si>
  <si>
    <t>Sadab Raza</t>
  </si>
  <si>
    <t>A112827402</t>
  </si>
  <si>
    <t>Pramila devi</t>
  </si>
  <si>
    <t>Q021148526</t>
  </si>
  <si>
    <t>Archita Verma</t>
  </si>
  <si>
    <t>A112940248</t>
  </si>
  <si>
    <t>Seema Karmakar</t>
  </si>
  <si>
    <t>A113050496</t>
  </si>
  <si>
    <t>esign</t>
  </si>
  <si>
    <t>a113078028</t>
  </si>
  <si>
    <t>Arpan Dey</t>
  </si>
  <si>
    <t>Q021231689</t>
  </si>
  <si>
    <t>Perwez Alam</t>
  </si>
  <si>
    <t>A113077669</t>
  </si>
  <si>
    <t>Naren Mahao</t>
  </si>
  <si>
    <t>Q021232103</t>
  </si>
  <si>
    <t>Zeeshan Laique Ali</t>
  </si>
  <si>
    <t>A113078271</t>
  </si>
  <si>
    <t>Jasmin Perween</t>
  </si>
  <si>
    <t>Q021246789</t>
  </si>
  <si>
    <t>Kunwar Chhotu</t>
  </si>
  <si>
    <t>A113227484</t>
  </si>
  <si>
    <t>namira gazal</t>
  </si>
  <si>
    <t>A113399284</t>
  </si>
  <si>
    <t>Q021352878</t>
  </si>
  <si>
    <t>Keshav Kumar Tiwary</t>
  </si>
  <si>
    <t>Q021353153</t>
  </si>
  <si>
    <t>ashok kumr</t>
  </si>
  <si>
    <t>Q021352996</t>
  </si>
  <si>
    <t>SUNNY MAZUMDAR</t>
  </si>
  <si>
    <t>Q021353127</t>
  </si>
  <si>
    <t>CHANDRAWATI DVI</t>
  </si>
  <si>
    <t>Q021370223</t>
  </si>
  <si>
    <t>Roshan Kumar Bantupalli</t>
  </si>
  <si>
    <t>A113647446</t>
  </si>
  <si>
    <t>Riya Bagti</t>
  </si>
  <si>
    <t>Q021447060</t>
  </si>
  <si>
    <t>Shamsher Ahmed</t>
  </si>
  <si>
    <t>A113618955</t>
  </si>
  <si>
    <t>Durga Lohar</t>
  </si>
  <si>
    <t>A113628813</t>
  </si>
  <si>
    <t>Kanchan Gope</t>
  </si>
  <si>
    <t>A113644423</t>
  </si>
  <si>
    <t>Sujoy Bhattacharjee</t>
  </si>
  <si>
    <t>A113645753</t>
  </si>
  <si>
    <t>Sana Naaz</t>
  </si>
  <si>
    <t>Q021440717</t>
  </si>
  <si>
    <t>Rita Choudhary</t>
  </si>
  <si>
    <t>Q021440626</t>
  </si>
  <si>
    <t>Hrushikesh Biswal</t>
  </si>
  <si>
    <t>Q021440515</t>
  </si>
  <si>
    <t>A113646941</t>
  </si>
  <si>
    <t>A113619761</t>
  </si>
  <si>
    <t>Wajid Alam</t>
  </si>
  <si>
    <t>Q021455861</t>
  </si>
  <si>
    <t>Sushil Kumar</t>
  </si>
  <si>
    <t>A113805272</t>
  </si>
  <si>
    <t>Naveen Kumar Singh</t>
  </si>
  <si>
    <t>Q021502331</t>
  </si>
  <si>
    <t>Rohit Sen</t>
  </si>
  <si>
    <t>Q021502259</t>
  </si>
  <si>
    <t>Nasim Ara</t>
  </si>
  <si>
    <t>Q021521485</t>
  </si>
  <si>
    <t>ABWPP7452Q</t>
  </si>
  <si>
    <t>Parasnath Prasad</t>
  </si>
  <si>
    <t>Q021521703</t>
  </si>
  <si>
    <t>Sumitra Gorai</t>
  </si>
  <si>
    <t>A113855955</t>
  </si>
  <si>
    <t>Shail Devi</t>
  </si>
  <si>
    <t>A113875084</t>
  </si>
  <si>
    <t>Aliya Akhtar</t>
  </si>
  <si>
    <t>Q021528448</t>
  </si>
  <si>
    <t>Imteyaz Ahmad</t>
  </si>
  <si>
    <t>A113976270</t>
  </si>
  <si>
    <t>Mahesh Kumar Singh</t>
  </si>
  <si>
    <t>Q021574414</t>
  </si>
  <si>
    <t>Devika Sen</t>
  </si>
  <si>
    <t>A113975979</t>
  </si>
  <si>
    <t>Vibhas Mishra</t>
  </si>
  <si>
    <t>Q021536846</t>
  </si>
  <si>
    <t>Nishtha Kumari</t>
  </si>
  <si>
    <t>A114035174</t>
  </si>
  <si>
    <t>Seema Lohar</t>
  </si>
  <si>
    <t>A114046394</t>
  </si>
  <si>
    <t>Tuba Tahsin</t>
  </si>
  <si>
    <t>Q021609016</t>
  </si>
  <si>
    <t>A114052090</t>
  </si>
  <si>
    <t>Champa rajwar</t>
  </si>
  <si>
    <t>Q021609264</t>
  </si>
  <si>
    <t>Shashi bhushan prasad</t>
  </si>
  <si>
    <t>A1141404623</t>
  </si>
  <si>
    <t>Roshni Perween</t>
  </si>
  <si>
    <t>A114364108</t>
  </si>
  <si>
    <t>Madhu Giri</t>
  </si>
  <si>
    <t>Q021727937</t>
  </si>
  <si>
    <t>Kali ojha Shankar</t>
  </si>
  <si>
    <t>Q021754967</t>
  </si>
  <si>
    <t>Bina Pandey</t>
  </si>
  <si>
    <t>Q021727911</t>
  </si>
  <si>
    <t>Sudipta Chatterhjee</t>
  </si>
  <si>
    <t>Q021664153</t>
  </si>
  <si>
    <t>Mritunjoy Patro</t>
  </si>
  <si>
    <t>A114234653</t>
  </si>
  <si>
    <t>Abdul RashiQ</t>
  </si>
  <si>
    <t>A114169243</t>
  </si>
  <si>
    <t>Anirudh Raj</t>
  </si>
  <si>
    <t>A114364788</t>
  </si>
  <si>
    <t>Jamila Khatoon</t>
  </si>
  <si>
    <t>A114365259</t>
  </si>
  <si>
    <t>Moina Sarkar</t>
  </si>
  <si>
    <t>A114365564</t>
  </si>
  <si>
    <t>Gulsidra Parween</t>
  </si>
  <si>
    <t>A114671410</t>
  </si>
  <si>
    <t>Shibani karmakar</t>
  </si>
  <si>
    <t>A114710726</t>
  </si>
  <si>
    <t>amulya das</t>
  </si>
  <si>
    <t>utkarsh dubey</t>
  </si>
  <si>
    <t>sl</t>
  </si>
  <si>
    <t>Date</t>
  </si>
  <si>
    <t>Mobile</t>
  </si>
  <si>
    <t>appointment</t>
  </si>
  <si>
    <t>User Id</t>
  </si>
  <si>
    <t>Pass</t>
  </si>
  <si>
    <t>pmt sta</t>
  </si>
  <si>
    <t>NO OF APP</t>
  </si>
  <si>
    <t>File No</t>
  </si>
  <si>
    <t>Abhishek Verma</t>
  </si>
  <si>
    <t>Abhishek_nweb</t>
  </si>
  <si>
    <t>Mypass@18</t>
  </si>
  <si>
    <t>No</t>
  </si>
  <si>
    <t>Amit Kumar Sharma</t>
  </si>
  <si>
    <t>Nisa</t>
  </si>
  <si>
    <t>Nand Kishore Prasad</t>
  </si>
  <si>
    <t>nand_nweb</t>
  </si>
  <si>
    <t>Chintamani Prasad</t>
  </si>
  <si>
    <t>Parvez Ahmad</t>
  </si>
  <si>
    <t>Ashraf Ansari</t>
  </si>
  <si>
    <t>ansari_nweb</t>
  </si>
  <si>
    <t>Aliya Surayya</t>
  </si>
  <si>
    <t>Md Samim</t>
  </si>
  <si>
    <t>Bharat Tiwary</t>
  </si>
  <si>
    <t>KANTI Tiwary</t>
  </si>
  <si>
    <t>Bablu Kumar</t>
  </si>
  <si>
    <t>PCC</t>
  </si>
  <si>
    <t>Firoz Khan</t>
  </si>
  <si>
    <t>pcc</t>
  </si>
  <si>
    <t>firoz_nweb</t>
  </si>
  <si>
    <t>Ajitesh Chaudhury</t>
  </si>
  <si>
    <t>canc</t>
  </si>
  <si>
    <t>R/N</t>
  </si>
  <si>
    <t>Sunny_Mazumdar</t>
  </si>
  <si>
    <t>New</t>
  </si>
  <si>
    <t>Abhinav Mridha</t>
  </si>
  <si>
    <t>Abhinav_csc</t>
  </si>
  <si>
    <t>ALI MUSTAFA</t>
  </si>
  <si>
    <t>SHEIKH JUNAID</t>
  </si>
  <si>
    <t>JAMIRUDDIN SAHA</t>
  </si>
  <si>
    <t>SARAJUN BIBI</t>
  </si>
  <si>
    <t>Lalin Dhal</t>
  </si>
  <si>
    <t>ldhal_nweb</t>
  </si>
  <si>
    <t>Mypass@2019</t>
  </si>
  <si>
    <t>Paid</t>
  </si>
  <si>
    <t>MANJU KUMARI SINGH</t>
  </si>
  <si>
    <t>manju_nweb</t>
  </si>
  <si>
    <t>Mypass@19</t>
  </si>
  <si>
    <t>ROUNAK CHAKRABORTY</t>
  </si>
  <si>
    <t>SABRA KHATOON</t>
  </si>
  <si>
    <t>ALI PARVEZ AKHTAR</t>
  </si>
  <si>
    <t>Ismotara Khatun</t>
  </si>
  <si>
    <t>Radha Kant Gorai</t>
  </si>
  <si>
    <t>K Goutami</t>
  </si>
  <si>
    <t>19-0012588768</t>
  </si>
  <si>
    <t>seikh_nweb</t>
  </si>
  <si>
    <t>Gayatri Chakraborty</t>
  </si>
  <si>
    <t>Priyanka Dutta</t>
  </si>
  <si>
    <t>Anil Kumar Jha</t>
  </si>
  <si>
    <t>Fasi Ahmad</t>
  </si>
  <si>
    <t>fasi_nweb</t>
  </si>
  <si>
    <t>19-0013471740</t>
  </si>
  <si>
    <t>Mohammad Afridi</t>
  </si>
  <si>
    <t>afridi_nweb</t>
  </si>
  <si>
    <t>19-0013902136</t>
  </si>
  <si>
    <t>Rakesh Negi</t>
  </si>
  <si>
    <t>Kausik</t>
  </si>
  <si>
    <t>Ajay Kumar Ram</t>
  </si>
  <si>
    <t>ajay_csc</t>
  </si>
  <si>
    <t>Munni Devi</t>
  </si>
  <si>
    <t>x Gupta</t>
  </si>
  <si>
    <t>nagir_csc</t>
  </si>
  <si>
    <t>Irfan Bag</t>
  </si>
  <si>
    <t>Syed meraj</t>
  </si>
  <si>
    <t>19-0015175914</t>
  </si>
  <si>
    <t>Tatkal</t>
  </si>
  <si>
    <t>Mohammad Asif ali</t>
  </si>
  <si>
    <t>asif_nweb</t>
  </si>
  <si>
    <t xml:space="preserve">19-0015805136 </t>
  </si>
  <si>
    <t>Mahtab Hussain</t>
  </si>
  <si>
    <t>kamal_csc</t>
  </si>
  <si>
    <t>mYPASS@19</t>
  </si>
  <si>
    <t>Sai Sunny Prasad</t>
  </si>
  <si>
    <t>sai_csc</t>
  </si>
  <si>
    <t>19-0016450222</t>
  </si>
  <si>
    <t>Anupriya Soumitra</t>
  </si>
  <si>
    <t>19-0017547170</t>
  </si>
  <si>
    <t>Jagadish Banerjee</t>
  </si>
  <si>
    <t>Prem Lata Kumari</t>
  </si>
  <si>
    <t>Mohammed Zara Mir</t>
  </si>
  <si>
    <t>New-M</t>
  </si>
  <si>
    <t>zara_nweb</t>
  </si>
  <si>
    <t>19-0017851164</t>
  </si>
  <si>
    <t>Shraddha Gupta</t>
  </si>
  <si>
    <t>Wrong Entry</t>
  </si>
  <si>
    <t>Patna</t>
  </si>
  <si>
    <t>Amit Kumar Mishra</t>
  </si>
  <si>
    <t>AKUMAR_nweb</t>
  </si>
  <si>
    <t>ranchi</t>
  </si>
  <si>
    <t>Prasanta Kumar Nandy</t>
  </si>
  <si>
    <t>nandy_csc</t>
  </si>
  <si>
    <t>Mypass@20</t>
  </si>
  <si>
    <t>SAMPITA NANDY</t>
  </si>
  <si>
    <t>RACHAITA BHATTACHARJEE</t>
  </si>
  <si>
    <t>AMIRA MOHAMMAD KAMAL</t>
  </si>
  <si>
    <t>AYASA KHATOON</t>
  </si>
  <si>
    <t>Md Irsad Alam</t>
  </si>
  <si>
    <t>IRSAD_nweb</t>
  </si>
  <si>
    <t>Zara_nweb</t>
  </si>
  <si>
    <t>Sourav Kumar Mahanty</t>
  </si>
  <si>
    <t>Asghar Ali</t>
  </si>
  <si>
    <t>Rajesh Mishra</t>
  </si>
  <si>
    <t>20-0002286144</t>
  </si>
  <si>
    <t>deep_nweb</t>
  </si>
  <si>
    <t>Mypass@2021</t>
  </si>
  <si>
    <t>20-0003518252</t>
  </si>
  <si>
    <t>Jamshedpur</t>
  </si>
  <si>
    <t>Nagma Rahman</t>
  </si>
  <si>
    <t>20-0003573774</t>
  </si>
  <si>
    <t>Ranchi</t>
  </si>
  <si>
    <t>Sohail Khan</t>
  </si>
  <si>
    <t>sk6474972@gmail.com</t>
  </si>
  <si>
    <t>tamojit_nweb</t>
  </si>
  <si>
    <t>20-0004376900</t>
  </si>
  <si>
    <t>SK Raj</t>
  </si>
  <si>
    <t>20-0005562488</t>
  </si>
  <si>
    <t>Shubham Kumar Verma</t>
  </si>
  <si>
    <t>shubham55_nweb</t>
  </si>
  <si>
    <t>beena_nweb</t>
  </si>
  <si>
    <t>1700paid</t>
  </si>
  <si>
    <t>Reena Mahato</t>
  </si>
  <si>
    <t>Mohammad Saiyad</t>
  </si>
  <si>
    <t>Renewal</t>
  </si>
  <si>
    <t>saiyad_nweb</t>
  </si>
  <si>
    <t>Delivered</t>
  </si>
  <si>
    <t>Oshi Akhtar</t>
  </si>
  <si>
    <t>alamnweb</t>
  </si>
  <si>
    <t>Enagula hari har nath</t>
  </si>
  <si>
    <t>kakoli sarkar</t>
  </si>
  <si>
    <t>Rahul Sakar</t>
  </si>
  <si>
    <t>Dhirendra Kumar Panday</t>
  </si>
  <si>
    <t>dhirendra_nweb</t>
  </si>
  <si>
    <t>Anup Kaur</t>
  </si>
  <si>
    <t>sukh_nweb</t>
  </si>
  <si>
    <t xml:space="preserve">20-0007935892 </t>
  </si>
  <si>
    <t>20-0007936350</t>
  </si>
  <si>
    <t>Md Sayeed Khan</t>
  </si>
  <si>
    <t>20-0008130226</t>
  </si>
  <si>
    <t>som_nweb</t>
  </si>
  <si>
    <t>21-0000029638</t>
  </si>
  <si>
    <t>Prakash Kumar Soni</t>
  </si>
  <si>
    <t>nothing paid</t>
  </si>
  <si>
    <t>Md Rashid Afzal</t>
  </si>
  <si>
    <t>Md Israfeel</t>
  </si>
  <si>
    <t>israfeel_nweb</t>
  </si>
  <si>
    <t>21-0001585280</t>
  </si>
  <si>
    <t>Md SERAJUDDIN</t>
  </si>
  <si>
    <t>21-0001585480</t>
  </si>
  <si>
    <t>Rahil Iqbal</t>
  </si>
  <si>
    <t xml:space="preserve">    </t>
  </si>
  <si>
    <t>21-0001704358</t>
  </si>
  <si>
    <t>Susreeta Kundu</t>
  </si>
  <si>
    <t>priyanka_nweb1</t>
  </si>
  <si>
    <t>Chaibaa</t>
  </si>
  <si>
    <t>sourav_nweb</t>
  </si>
  <si>
    <t>K Radhika</t>
  </si>
  <si>
    <t>21-0002950458</t>
  </si>
  <si>
    <t>Sarika</t>
  </si>
  <si>
    <t>Anabia Haque</t>
  </si>
  <si>
    <t>anabia_nweb1</t>
  </si>
  <si>
    <t>Chaibasa</t>
  </si>
  <si>
    <t>Priyanka Tiwari</t>
  </si>
  <si>
    <t>Devita Sengupta</t>
  </si>
  <si>
    <t>Telco</t>
  </si>
  <si>
    <t>Shamim Sajjad</t>
  </si>
  <si>
    <t>sajjad_nweb</t>
  </si>
  <si>
    <t>Pass@2021</t>
  </si>
  <si>
    <t>sajjadshamim786@gmail.com</t>
  </si>
  <si>
    <t>Souvik Dutta</t>
  </si>
  <si>
    <t>chaibasa</t>
  </si>
  <si>
    <t>Sumi Kar</t>
  </si>
  <si>
    <t>sumi_nweb</t>
  </si>
  <si>
    <t>Nayonika Bhattacharjee</t>
  </si>
  <si>
    <t>T DEEP</t>
  </si>
  <si>
    <t>DEEPNWEB</t>
  </si>
  <si>
    <t>Sarfaaraz Akhtar</t>
  </si>
  <si>
    <t>21-0004581616</t>
  </si>
  <si>
    <t>Ranjeet Kumar Sukhla</t>
  </si>
  <si>
    <t>iqbal_nweb</t>
  </si>
  <si>
    <t>Santosh Kumar Singh</t>
  </si>
  <si>
    <t>Isha Chanda</t>
  </si>
  <si>
    <t>isha_nweb</t>
  </si>
  <si>
    <t>tushar_nweb</t>
  </si>
  <si>
    <t>Bhim Mahato</t>
  </si>
  <si>
    <t>bhim_nweb</t>
  </si>
  <si>
    <t>Mypass@2002</t>
  </si>
  <si>
    <t>Avinash</t>
  </si>
  <si>
    <t>Avinash_nweb</t>
  </si>
  <si>
    <t>Mypass@21</t>
  </si>
  <si>
    <t>new pass set</t>
  </si>
  <si>
    <t>nisha_nweb</t>
  </si>
  <si>
    <t>JAMSHEDPUR</t>
  </si>
  <si>
    <t>Subrata Dutta</t>
  </si>
  <si>
    <t>subrata_nweb</t>
  </si>
  <si>
    <t>Manali Dey Dutta</t>
  </si>
  <si>
    <t>Smyan Dutta</t>
  </si>
  <si>
    <t>sahil_nweb</t>
  </si>
  <si>
    <t>Mypass@2022</t>
  </si>
  <si>
    <t>ankit_nweb</t>
  </si>
  <si>
    <t>ashish_nweb</t>
  </si>
  <si>
    <t>Sajan Verma</t>
  </si>
  <si>
    <t>sajan_nweb</t>
  </si>
  <si>
    <t>nweb.hub@gmail.com</t>
  </si>
  <si>
    <t>Vishal Verma</t>
  </si>
  <si>
    <t>Ishpal Singh Marwah</t>
  </si>
  <si>
    <t>ishpal_nweb</t>
  </si>
  <si>
    <t>dhirendra_nweb1</t>
  </si>
  <si>
    <t>Likhit Varma M</t>
  </si>
  <si>
    <t>nweb_likhit</t>
  </si>
  <si>
    <t>Md Akhlakh Mansuri</t>
  </si>
  <si>
    <t>Akhlakh_nweb</t>
  </si>
  <si>
    <t>Shivendu Kumar Tiwari</t>
  </si>
  <si>
    <t>shivendu_nweb</t>
  </si>
  <si>
    <t>mew</t>
  </si>
  <si>
    <t>debasish_nweb</t>
  </si>
  <si>
    <t>priyanka_nweb2</t>
  </si>
  <si>
    <t>ashish-nweb</t>
  </si>
  <si>
    <t>suruchi Kumari</t>
  </si>
  <si>
    <t>suruchi_nweb</t>
  </si>
  <si>
    <t>Aparupa Bagchi</t>
  </si>
  <si>
    <t>CHAIBASA</t>
  </si>
  <si>
    <t>aparupa_nweb</t>
  </si>
  <si>
    <t>kamal_nweb</t>
  </si>
  <si>
    <t xml:space="preserve">Bavana Pasupati </t>
  </si>
  <si>
    <t>bavana_nweb</t>
  </si>
  <si>
    <t>Pass@2022</t>
  </si>
  <si>
    <t>ANKITA BHADURI</t>
  </si>
  <si>
    <t>Ankitab_nweb</t>
  </si>
  <si>
    <t>Sharabjeet Sinah</t>
  </si>
  <si>
    <t>sarabjeet_nweb</t>
  </si>
  <si>
    <t>Rishav Mishra</t>
  </si>
  <si>
    <t>200 Paid</t>
  </si>
  <si>
    <t>antu_nweb</t>
  </si>
  <si>
    <t>Inderjit Choudhery</t>
  </si>
  <si>
    <t>Aashish Kumar Shukla</t>
  </si>
  <si>
    <t>shukla_nweb</t>
  </si>
  <si>
    <t>Parvinder Singh Jikky</t>
  </si>
  <si>
    <t>jikky_nweb</t>
  </si>
  <si>
    <t>Kirandeep Kaur</t>
  </si>
  <si>
    <t>sagar_nweb</t>
  </si>
  <si>
    <t>Syed Tanweer Alam</t>
  </si>
  <si>
    <t>attaul_nweh</t>
  </si>
  <si>
    <t>pASSs@2022</t>
  </si>
  <si>
    <t>Umair Attaul Haque</t>
  </si>
  <si>
    <t>Rani Dey</t>
  </si>
  <si>
    <t>rani_nweb</t>
  </si>
  <si>
    <t> 22-0004343506</t>
  </si>
  <si>
    <t>Akhilesh Kr singh</t>
  </si>
  <si>
    <t>200paid</t>
  </si>
  <si>
    <t>ashish_nweb22</t>
  </si>
  <si>
    <t>Gurdeet</t>
  </si>
  <si>
    <t>Sarabjeet Singh</t>
  </si>
  <si>
    <t>Shreya Majumdar</t>
  </si>
  <si>
    <t>shreya_nweb</t>
  </si>
  <si>
    <t>Binder_nweb</t>
  </si>
  <si>
    <t>Awadhesh Kumar</t>
  </si>
  <si>
    <t>Anushka Mitra</t>
  </si>
  <si>
    <t>anusha_nweb</t>
  </si>
  <si>
    <t>Mohammad Saif</t>
  </si>
  <si>
    <t>Soma Dey</t>
  </si>
  <si>
    <t>Soma_nweb</t>
  </si>
  <si>
    <t>Shukla_nweb</t>
  </si>
  <si>
    <t>Sohom Dasgupta</t>
  </si>
  <si>
    <t>sohom_nweb</t>
  </si>
  <si>
    <t>Ashvin Peter Ambruce</t>
  </si>
  <si>
    <t>Suraj</t>
  </si>
  <si>
    <t>suraj_nweb</t>
  </si>
  <si>
    <t>Shervin Anser Joseph</t>
  </si>
  <si>
    <t>shervin_nweb</t>
  </si>
  <si>
    <t>Peri Durga Prasad</t>
  </si>
  <si>
    <t>peri_nweb</t>
  </si>
  <si>
    <t>resheduled</t>
  </si>
  <si>
    <t>Peri Seetamma</t>
  </si>
  <si>
    <t>Peri Nagmani</t>
  </si>
  <si>
    <t>Pomangi Madhusudhan</t>
  </si>
  <si>
    <t>Keshav Kumar Thakur</t>
  </si>
  <si>
    <t>Keshav_nweb</t>
  </si>
  <si>
    <t>Sujata Roy</t>
  </si>
  <si>
    <t>sujata_nweb</t>
  </si>
  <si>
    <t>Vara Noka Lakshmi Dadi</t>
  </si>
  <si>
    <t>vara_nweb</t>
  </si>
  <si>
    <t>Sunny Kumar Singh</t>
  </si>
  <si>
    <t>sunnykumar_nweb</t>
  </si>
  <si>
    <t>Babita Singh</t>
  </si>
  <si>
    <t>CSC</t>
  </si>
  <si>
    <t>Pratik Ranjan</t>
  </si>
  <si>
    <t>Nirupama Hembram</t>
  </si>
  <si>
    <t>Mypass@2023</t>
  </si>
  <si>
    <t>Nayonica Bhattacharya</t>
  </si>
  <si>
    <t>Ananta Ghosh</t>
  </si>
  <si>
    <t>Ghosh_nweb</t>
  </si>
  <si>
    <t>Sislta Shravani</t>
  </si>
  <si>
    <t>VICTOR BHATTACHARYA</t>
  </si>
  <si>
    <t>Naureen Fatma</t>
  </si>
  <si>
    <t>akshansh</t>
  </si>
  <si>
    <t>Shobha Kiran</t>
  </si>
  <si>
    <t>shobha_nweb</t>
  </si>
  <si>
    <t>Akshay Tiwari</t>
  </si>
  <si>
    <t>Akshay_nweb</t>
  </si>
  <si>
    <t>Payment Due</t>
  </si>
  <si>
    <t>Md Zishan Khan</t>
  </si>
  <si>
    <t>Karan_nweb</t>
  </si>
  <si>
    <t>Ambiya Khan</t>
  </si>
  <si>
    <t>ambiya_nweb</t>
  </si>
  <si>
    <t>akash23_nweb</t>
  </si>
  <si>
    <t>ritu_nweb</t>
  </si>
  <si>
    <t>Mani MalaTiwary</t>
  </si>
  <si>
    <t>Ravikant Singh</t>
  </si>
  <si>
    <t>Abhay Kumar Mishra</t>
  </si>
  <si>
    <t>Usha Verma</t>
  </si>
  <si>
    <t>Rahul</t>
  </si>
  <si>
    <t>Mohammad Salamat Uddin</t>
  </si>
  <si>
    <t>salamat_nweb</t>
  </si>
  <si>
    <t>Mohammad Akhtar</t>
  </si>
  <si>
    <t>akhtar_nweb</t>
  </si>
  <si>
    <t>Bijay Choudhary</t>
  </si>
  <si>
    <t>Lata Srivastav</t>
  </si>
  <si>
    <t>AloK Bhiya</t>
  </si>
  <si>
    <t>Rabia Hassan Khan</t>
  </si>
  <si>
    <t>Sohail Ahmad Khan</t>
  </si>
  <si>
    <t>Danish Ahmad Khan</t>
  </si>
  <si>
    <t>Mubashir ahmad khan</t>
  </si>
  <si>
    <t>Furqan Ahmad Khan</t>
  </si>
  <si>
    <t>Sabreen Perveen</t>
  </si>
  <si>
    <t>Sab_nweb</t>
  </si>
  <si>
    <t>Wajda Mehboob Ansari</t>
  </si>
  <si>
    <t>nweb_ANSARI</t>
  </si>
  <si>
    <t>Mohammad Mehboob Ansari</t>
  </si>
  <si>
    <t>Laljee prasad sharma</t>
  </si>
  <si>
    <t>prasad_nweb</t>
  </si>
  <si>
    <t>Aaradhya prasad</t>
  </si>
  <si>
    <t>jamshedpur</t>
  </si>
  <si>
    <t>ADITYA_NWEB23</t>
  </si>
  <si>
    <t>Md Mumtaz Ansari</t>
  </si>
  <si>
    <t>mumtaz_nweb</t>
  </si>
  <si>
    <t>JAMSHED ALI ANSARI</t>
  </si>
  <si>
    <t>Irteza Karim Ansari</t>
  </si>
  <si>
    <t>Sakti pada Nandi</t>
  </si>
  <si>
    <t>Shayak Ghosh</t>
  </si>
  <si>
    <t>shayak_nweb</t>
  </si>
  <si>
    <t>Mypass@23</t>
  </si>
  <si>
    <t>shantanu chowdhury</t>
  </si>
  <si>
    <t>Prachi Singh</t>
  </si>
  <si>
    <t>Faislus Saud Quadri</t>
  </si>
  <si>
    <t>Tapas Chakraborty</t>
  </si>
  <si>
    <t>Om Kiran Singh</t>
  </si>
  <si>
    <t>Kiran_nweb</t>
  </si>
  <si>
    <t>Prabhat Kiran Singh</t>
  </si>
  <si>
    <t>0-11-1971</t>
  </si>
  <si>
    <t>Mahesh Prasad Singh</t>
  </si>
  <si>
    <t>Simran Bansal</t>
  </si>
  <si>
    <t>Bansal_nweb</t>
  </si>
  <si>
    <t>Gude Vani Mahalakshmi</t>
  </si>
  <si>
    <t>rohan_nweb</t>
  </si>
  <si>
    <t>Naitik Verma</t>
  </si>
  <si>
    <t>Sabnam_nweb</t>
  </si>
  <si>
    <t>Shifan Alam Raza</t>
  </si>
  <si>
    <t>Aafreen Parween</t>
  </si>
  <si>
    <t>Shartaz Alam Raza</t>
  </si>
  <si>
    <t>Nashina Parvin</t>
  </si>
  <si>
    <t>Mohammad Alim</t>
  </si>
  <si>
    <t>Md Tausim</t>
  </si>
  <si>
    <t>Tausim_nweb</t>
  </si>
  <si>
    <t>Shahanaz Khatun</t>
  </si>
  <si>
    <t>Saira Khatun</t>
  </si>
  <si>
    <t>Jane Alam</t>
  </si>
  <si>
    <t>Deep Raj Bera</t>
  </si>
  <si>
    <t>DEEPRAJ_nweb</t>
  </si>
  <si>
    <t>Nitu Atey</t>
  </si>
  <si>
    <t>atey_nweb</t>
  </si>
  <si>
    <t>Imamul Haque</t>
  </si>
  <si>
    <t>Vishal Kumar Upadhyay</t>
  </si>
  <si>
    <t>prabhat_nweb</t>
  </si>
  <si>
    <t>ARFIEN SHAMSUL</t>
  </si>
  <si>
    <t>Darakshan Naaz</t>
  </si>
  <si>
    <t>naaz@2023</t>
  </si>
  <si>
    <t>Shahin Ahmad Sharfi</t>
  </si>
  <si>
    <t>Ahmad_nweb</t>
  </si>
  <si>
    <t>Sistla nageswara sarma</t>
  </si>
  <si>
    <t>Sisla_nweb</t>
  </si>
  <si>
    <t>Subba Laxmi Sistla</t>
  </si>
  <si>
    <t>app pending</t>
  </si>
  <si>
    <t>bijay_nweb</t>
  </si>
  <si>
    <t>Imad Majid</t>
  </si>
  <si>
    <t>JSR</t>
  </si>
  <si>
    <t>Yashmin Firdos</t>
  </si>
  <si>
    <t>Firdos_nweb</t>
  </si>
  <si>
    <t>Mypass@1123</t>
  </si>
  <si>
    <t>G Vishal</t>
  </si>
  <si>
    <t>Tanuja Afrin</t>
  </si>
  <si>
    <t>tanuja_nweb</t>
  </si>
  <si>
    <t>Ankit Mahato</t>
  </si>
  <si>
    <t>Rimpa Pandit</t>
  </si>
  <si>
    <t>rimpa_nweb</t>
  </si>
  <si>
    <t>Kakali Pandit</t>
  </si>
  <si>
    <t>Ranjit Pandit</t>
  </si>
  <si>
    <t>Arvinder Singh Sokhi</t>
  </si>
  <si>
    <t>APPONT DUE 22LATER</t>
  </si>
  <si>
    <t>full paid</t>
  </si>
  <si>
    <t>Akash Nanda</t>
  </si>
  <si>
    <t>dfdfd  alam</t>
  </si>
  <si>
    <t>naila_nweb</t>
  </si>
  <si>
    <t>Mypass@2024</t>
  </si>
  <si>
    <t>Upendra singh</t>
  </si>
  <si>
    <t>R. Priya</t>
  </si>
  <si>
    <t>JAMSHEPDUR</t>
  </si>
  <si>
    <t>rpriya_nweb</t>
  </si>
  <si>
    <t>Simerpreet Kaur</t>
  </si>
  <si>
    <t>simerpreet_nweb</t>
  </si>
  <si>
    <t>Shashi Kumar Jha</t>
  </si>
  <si>
    <t>Kuldeep Kaur</t>
  </si>
  <si>
    <t>Shiv Shankar Prasad</t>
  </si>
  <si>
    <t>RAHUL_NWEB</t>
  </si>
  <si>
    <t>Geeta Kalsi</t>
  </si>
  <si>
    <t>Balraj Singh Kalsi</t>
  </si>
  <si>
    <t>Manoj Kumar Gupta</t>
  </si>
  <si>
    <t>Sanchaita Bhattacharjee</t>
  </si>
  <si>
    <t>Manoj_nweb</t>
  </si>
  <si>
    <t>Amardeep Singh</t>
  </si>
  <si>
    <t>amardeep_nweb</t>
  </si>
  <si>
    <t>Mohammad Modassar Alam</t>
  </si>
  <si>
    <t>Modassar_nweb</t>
  </si>
  <si>
    <t>Hasrat Rahmani</t>
  </si>
  <si>
    <t>ABHISHEK</t>
  </si>
  <si>
    <t>Shama Perween</t>
  </si>
  <si>
    <t>shama_nweb</t>
  </si>
  <si>
    <t>Shahama Uzma</t>
  </si>
  <si>
    <t>nweb_uzma</t>
  </si>
  <si>
    <t>Waris Quadri</t>
  </si>
  <si>
    <t>Shaheqa uzma</t>
  </si>
  <si>
    <t>Punam Kumari</t>
  </si>
  <si>
    <t>nweb_punam</t>
  </si>
  <si>
    <t>Afeeque ahmad quadri</t>
  </si>
  <si>
    <t>200 pain</t>
  </si>
  <si>
    <t>Anju Prasad</t>
  </si>
  <si>
    <t>namkum</t>
  </si>
  <si>
    <t>anju_nweb</t>
  </si>
  <si>
    <t>Arya Raj</t>
  </si>
  <si>
    <t>kahkeshan Khatoon</t>
  </si>
  <si>
    <t>nweb_sahu</t>
  </si>
  <si>
    <t>Annupurna Sahu</t>
  </si>
  <si>
    <t>Panatala Nilesh</t>
  </si>
  <si>
    <t>Nilesh_nweb</t>
  </si>
  <si>
    <t>Abhishek Rana</t>
  </si>
  <si>
    <t>Sardindu chakraborty</t>
  </si>
  <si>
    <t>web_chakra</t>
  </si>
  <si>
    <t>Barnali Chakraborty</t>
  </si>
  <si>
    <t>Santosh Kumar Srivastava</t>
  </si>
  <si>
    <t>web_singh</t>
  </si>
  <si>
    <t>Shobha</t>
  </si>
  <si>
    <t>Suraj Bhan Singh</t>
  </si>
  <si>
    <t>bhan_nweb</t>
  </si>
  <si>
    <t>Gulfran Ahmad Khan</t>
  </si>
  <si>
    <t>Anita Mahato</t>
  </si>
  <si>
    <t>anita_nweb</t>
  </si>
  <si>
    <t>RAKESH MAHATO</t>
  </si>
  <si>
    <t>Bhogendra Thakur</t>
  </si>
  <si>
    <t>Smriti Sahu</t>
  </si>
  <si>
    <t>ashok_nweb</t>
  </si>
  <si>
    <t>Vidyut mahato</t>
  </si>
  <si>
    <t>Amrit Gour</t>
  </si>
  <si>
    <t>md Khurshid Ekram</t>
  </si>
  <si>
    <t>ekram_nweb</t>
  </si>
  <si>
    <t>Baby Tabassum</t>
  </si>
  <si>
    <t>nafisa Khatoon</t>
  </si>
  <si>
    <t>Shafaque Khurshid</t>
  </si>
  <si>
    <t>Ruchika Kumari</t>
  </si>
  <si>
    <t>Gour_nweb</t>
  </si>
  <si>
    <t>Priyanka Rana</t>
  </si>
  <si>
    <t>Malkit singh</t>
  </si>
  <si>
    <t>Sanjeeda Iqbal</t>
  </si>
  <si>
    <t>Shanya Afrin</t>
  </si>
  <si>
    <t>shanya_nweb</t>
  </si>
  <si>
    <t>Mypass@2025</t>
  </si>
  <si>
    <t>Mehwish Anam</t>
  </si>
  <si>
    <t>nazimun_nweb</t>
  </si>
  <si>
    <t>Zunaira Sadique</t>
  </si>
  <si>
    <t>Razia Khatoon</t>
  </si>
  <si>
    <t>razia_nweb</t>
  </si>
  <si>
    <t>Saradindu Chakraborty</t>
  </si>
  <si>
    <t>saradindu_nweb</t>
  </si>
  <si>
    <t>Mangru Kumar</t>
  </si>
  <si>
    <t>mangru_nweb</t>
  </si>
  <si>
    <t>Raj KUmar</t>
  </si>
  <si>
    <t>tahir Ali Khan</t>
  </si>
  <si>
    <t>Ishratun Nisha</t>
  </si>
  <si>
    <t>Mahrush rezwan</t>
  </si>
  <si>
    <t>nweb_sohom</t>
  </si>
  <si>
    <t>B Suchitra</t>
  </si>
  <si>
    <t>Arnav mal</t>
  </si>
  <si>
    <t>Azhaan Siddiqui</t>
  </si>
  <si>
    <t>azhaan_nweb</t>
  </si>
  <si>
    <t>Sankari choudhury</t>
  </si>
  <si>
    <t>somenath choudhury</t>
  </si>
  <si>
    <t>Asha Karan</t>
  </si>
  <si>
    <t>Pritam Sahu</t>
  </si>
  <si>
    <t>pritam_sahu</t>
  </si>
  <si>
    <t>Nikhil Kumar</t>
  </si>
  <si>
    <t>nikhil_nweb</t>
  </si>
  <si>
    <t>Payment done</t>
  </si>
  <si>
    <t>Arvind Kumar Mishra</t>
  </si>
  <si>
    <t>2 to 5 March</t>
  </si>
  <si>
    <t>arind_nweb</t>
  </si>
  <si>
    <t>Kunal kumar chaki</t>
  </si>
  <si>
    <t>chaki_nweb</t>
  </si>
  <si>
    <t>Mousumi chaki</t>
  </si>
  <si>
    <t>Shamshad Khatoon</t>
  </si>
  <si>
    <t>R Priya</t>
  </si>
  <si>
    <t>priya_nweb</t>
  </si>
  <si>
    <t>Balvir Kaur Mandley</t>
  </si>
  <si>
    <t>mandley_nweb</t>
  </si>
  <si>
    <t>Prabjot Singh Mandley</t>
  </si>
  <si>
    <t>Avneet Singh Babrah</t>
  </si>
  <si>
    <t>avneet_nweb</t>
  </si>
  <si>
    <t xml:space="preserve">Ppayement Due </t>
  </si>
  <si>
    <t>Ruma Mukherjee</t>
  </si>
  <si>
    <t>tapan_nweb</t>
  </si>
  <si>
    <t>Tapan Kant Mukherjee</t>
  </si>
  <si>
    <t>Supriya Dey</t>
  </si>
  <si>
    <t>Supriya_nweb</t>
  </si>
  <si>
    <t>Manoranjan Dey</t>
  </si>
  <si>
    <t>Shakir Ali</t>
  </si>
  <si>
    <t>shakir_nweb</t>
  </si>
  <si>
    <t>Shiv Kishor Singh</t>
  </si>
  <si>
    <t>SHIVA_NWEB</t>
  </si>
  <si>
    <t>Rashiqua Menal</t>
  </si>
  <si>
    <t>menal_nweb</t>
  </si>
  <si>
    <t>Ayush Kumar Sinha</t>
  </si>
  <si>
    <t>ayushk_nweb</t>
  </si>
  <si>
    <t>k rajshree</t>
  </si>
  <si>
    <t>prabir_nweb</t>
  </si>
  <si>
    <t>prabir kumar das</t>
  </si>
  <si>
    <t>prity das</t>
  </si>
  <si>
    <t>Gouri Biswas</t>
  </si>
  <si>
    <t>gouri_nweb</t>
  </si>
  <si>
    <t>Souvik mandal</t>
  </si>
  <si>
    <t>Ashesh Kumar Singh</t>
  </si>
  <si>
    <t>Samreen anjum</t>
  </si>
  <si>
    <t>chaibsa</t>
  </si>
  <si>
    <t>Nazir Bakhsh</t>
  </si>
  <si>
    <t>nazir_nweb</t>
  </si>
  <si>
    <t>Ansura Khatoon</t>
  </si>
  <si>
    <t>Saurav Roy</t>
  </si>
  <si>
    <t>Bimal Kishore Sharan</t>
  </si>
  <si>
    <t>sharan_nweb</t>
  </si>
  <si>
    <t>Rita Sharan</t>
  </si>
  <si>
    <t>T Adarsh</t>
  </si>
  <si>
    <t>Jaswant_nweb</t>
  </si>
  <si>
    <t>Md shad ali</t>
  </si>
  <si>
    <t>somanag_nweb</t>
  </si>
  <si>
    <t>Wania Siddiqui</t>
  </si>
  <si>
    <t>wania_nweb</t>
  </si>
  <si>
    <t>Arpayan Sarkar</t>
  </si>
  <si>
    <t>subhankar_nweb</t>
  </si>
  <si>
    <t>Subhankar Pani</t>
  </si>
  <si>
    <t>Dhaneshwar Jena</t>
  </si>
  <si>
    <t>Dinesh Kumar Singh</t>
  </si>
  <si>
    <t>jams</t>
  </si>
  <si>
    <t>dinesh_nweb</t>
  </si>
  <si>
    <t>anjum parween</t>
  </si>
  <si>
    <t>15-02-11974</t>
  </si>
  <si>
    <t>kamla mishra</t>
  </si>
  <si>
    <t>aditya raj</t>
  </si>
  <si>
    <t>pcc-jsr</t>
  </si>
  <si>
    <t>shabana khatoon</t>
  </si>
  <si>
    <t>jsr</t>
  </si>
  <si>
    <t>Shruti kumari</t>
  </si>
  <si>
    <t>oct_nweb</t>
  </si>
  <si>
    <t>reverse</t>
  </si>
  <si>
    <t>mohammad ajmal khan</t>
  </si>
  <si>
    <t>aayush kumar</t>
  </si>
  <si>
    <t>Mohammad Suhayb</t>
  </si>
  <si>
    <t>mdaffan_nweb</t>
  </si>
  <si>
    <t>Md Affan Ahmad</t>
  </si>
  <si>
    <t>Pan</t>
  </si>
  <si>
    <t>pass</t>
  </si>
  <si>
    <t>Last filed</t>
  </si>
  <si>
    <t>uid</t>
  </si>
  <si>
    <t>mob</t>
  </si>
  <si>
    <t>refund</t>
  </si>
  <si>
    <t>FEE</t>
  </si>
  <si>
    <t>LCTPS4470C</t>
  </si>
  <si>
    <t>Singh@</t>
  </si>
  <si>
    <t>IMQPS6601K</t>
  </si>
  <si>
    <t>Binod Kumar Sahu</t>
  </si>
  <si>
    <t>Binod@1991</t>
  </si>
  <si>
    <t>Sahu@2024##</t>
  </si>
  <si>
    <t>DUE</t>
  </si>
  <si>
    <t>NEW</t>
  </si>
  <si>
    <t>IEGPS9464J</t>
  </si>
  <si>
    <t>Sanedeep Sahu</t>
  </si>
  <si>
    <t>S@ndeep96</t>
  </si>
  <si>
    <t>IAEPK6508K</t>
  </si>
  <si>
    <t>Akansha Kumari</t>
  </si>
  <si>
    <t>Kumari@2024##</t>
  </si>
  <si>
    <t>HNRPK0325P</t>
  </si>
  <si>
    <t>Sudha Jyoti Kumari</t>
  </si>
  <si>
    <t>Jy@ti1980</t>
  </si>
  <si>
    <t>HCGPS0647C</t>
  </si>
  <si>
    <t>BASANTI SARDAR</t>
  </si>
  <si>
    <t>Sardar@2024</t>
  </si>
  <si>
    <t>GSOPS6448Q</t>
  </si>
  <si>
    <t>Arati Singh</t>
  </si>
  <si>
    <t>Ar@ti1970</t>
  </si>
  <si>
    <t>FXMPK1680L</t>
  </si>
  <si>
    <t>Pieu@1987</t>
  </si>
  <si>
    <t>old</t>
  </si>
  <si>
    <t>Solanki@2024#</t>
  </si>
  <si>
    <t>FNWPS6909E</t>
  </si>
  <si>
    <t>Ranjeet Kumar Sinha</t>
  </si>
  <si>
    <t>Ranjeet@2021</t>
  </si>
  <si>
    <t>FCOPK7710Q</t>
  </si>
  <si>
    <t>ANKIT KUMAR</t>
  </si>
  <si>
    <t>Ankit@02051999</t>
  </si>
  <si>
    <t>EVJPS7779N</t>
  </si>
  <si>
    <t>Inderpal Singh</t>
  </si>
  <si>
    <t>Singh@2024##</t>
  </si>
  <si>
    <t>ELMPS4659J</t>
  </si>
  <si>
    <t>AMAR JYOTI SINGH</t>
  </si>
  <si>
    <t>Singh#2024@@</t>
  </si>
  <si>
    <t>8000+</t>
  </si>
  <si>
    <t>EIXPM7038H</t>
  </si>
  <si>
    <t>Riba Mahato</t>
  </si>
  <si>
    <t>M@hato77</t>
  </si>
  <si>
    <t>EIWPM0791L</t>
  </si>
  <si>
    <t>P@nkaj1978</t>
  </si>
  <si>
    <t>EFRPS0481D</t>
  </si>
  <si>
    <t>Sarwan Kumar</t>
  </si>
  <si>
    <t>Sarwan#1993</t>
  </si>
  <si>
    <t>DZRPS9261Q</t>
  </si>
  <si>
    <t>Mala Srivastava</t>
  </si>
  <si>
    <t>Mala@1990</t>
  </si>
  <si>
    <t>DUNPS4151J</t>
  </si>
  <si>
    <t>BiNOD KUMAR SINGH</t>
  </si>
  <si>
    <t>DMMPK1554A</t>
  </si>
  <si>
    <t>Pritpal Kaur</t>
  </si>
  <si>
    <t>Pritp@l62</t>
  </si>
  <si>
    <t>14-09-1962</t>
  </si>
  <si>
    <t>DJYPS1369L</t>
  </si>
  <si>
    <t>Manjit Singh</t>
  </si>
  <si>
    <t>Manjit@1978</t>
  </si>
  <si>
    <t>DIYPM8249C</t>
  </si>
  <si>
    <t>RANJIT MAHATO</t>
  </si>
  <si>
    <t>mAHATO@0303</t>
  </si>
  <si>
    <t>DFOPS8574H</t>
  </si>
  <si>
    <t>Soni Srivastava</t>
  </si>
  <si>
    <t>Soni@1234</t>
  </si>
  <si>
    <t>DBXPS9986N</t>
  </si>
  <si>
    <t>Rajesh Kumar Soni</t>
  </si>
  <si>
    <t>R@jesh1976</t>
  </si>
  <si>
    <t>DAQPS5076B</t>
  </si>
  <si>
    <t>Singh@2022</t>
  </si>
  <si>
    <t>CYIPS7104M</t>
  </si>
  <si>
    <t>Singh@2025</t>
  </si>
  <si>
    <t>CYDPK1756J</t>
  </si>
  <si>
    <t>Jeet@1975</t>
  </si>
  <si>
    <t>CWKPS9058N</t>
  </si>
  <si>
    <t>MUTHUSAMY SIVA</t>
  </si>
  <si>
    <t>Muthusamy@89</t>
  </si>
  <si>
    <t>masterjee</t>
  </si>
  <si>
    <t>CSQPS6094E</t>
  </si>
  <si>
    <t>Shankar Sharma</t>
  </si>
  <si>
    <t>linked</t>
  </si>
  <si>
    <t>CRUPS3000H</t>
  </si>
  <si>
    <t>Rajesh Prasad Singh</t>
  </si>
  <si>
    <t>linking</t>
  </si>
  <si>
    <t>CRPPS9588D</t>
  </si>
  <si>
    <t>AJAY KUMAR SINGH</t>
  </si>
  <si>
    <t>LINKING</t>
  </si>
  <si>
    <t>CRIPS5555H</t>
  </si>
  <si>
    <t>Angad Kumar Singh</t>
  </si>
  <si>
    <t>Linked</t>
  </si>
  <si>
    <t>CMVPS9522A</t>
  </si>
  <si>
    <t>Nikhil Raju Satpute</t>
  </si>
  <si>
    <t>Nikhil@1991</t>
  </si>
  <si>
    <t>CMJPP4511N</t>
  </si>
  <si>
    <t>mYPASS@95</t>
  </si>
  <si>
    <t>CLNPS6089R</t>
  </si>
  <si>
    <t>Sunita Singh</t>
  </si>
  <si>
    <t>Sunita@82</t>
  </si>
  <si>
    <t>CKYPS1769N</t>
  </si>
  <si>
    <t>RASHMI RANJAN SAHOO</t>
  </si>
  <si>
    <t>CHXPS6508K</t>
  </si>
  <si>
    <t>KABITA SEN</t>
  </si>
  <si>
    <t>Kab#ta1979</t>
  </si>
  <si>
    <t>CHVPK5920K</t>
  </si>
  <si>
    <t>MD MATIN KHAN</t>
  </si>
  <si>
    <t>Matin@2109</t>
  </si>
  <si>
    <t>CHKPM0638K</t>
  </si>
  <si>
    <t>kumari manisha</t>
  </si>
  <si>
    <t>Manish@2022</t>
  </si>
  <si>
    <t>OLD</t>
  </si>
  <si>
    <t>CFTPD3163B</t>
  </si>
  <si>
    <t>TAMOJIT DUTTA</t>
  </si>
  <si>
    <t>Tamojit@23</t>
  </si>
  <si>
    <t>Kakoli@1960</t>
  </si>
  <si>
    <t>CFSPD8692C</t>
  </si>
  <si>
    <t>Dutta@@2024#</t>
  </si>
  <si>
    <t>CFGPS6190J</t>
  </si>
  <si>
    <t>Dinesh Singh</t>
  </si>
  <si>
    <t>Dinesh@1974</t>
  </si>
  <si>
    <t>CFEPK9848D</t>
  </si>
  <si>
    <t>Anil Kumar</t>
  </si>
  <si>
    <t>Kumar@1979</t>
  </si>
  <si>
    <t>CFBPS0534P</t>
  </si>
  <si>
    <t>Ragini Sharma</t>
  </si>
  <si>
    <t>Ragini#2023</t>
  </si>
  <si>
    <t>CCIPD1992E</t>
  </si>
  <si>
    <t>Abhijit Das</t>
  </si>
  <si>
    <t>Abhijit@1996</t>
  </si>
  <si>
    <t>CCDPK1502N</t>
  </si>
  <si>
    <t>Kanchan Kumari</t>
  </si>
  <si>
    <t>Pandey@2024#</t>
  </si>
  <si>
    <t>BZYPS0591J</t>
  </si>
  <si>
    <t>Shashi Shekhar Singh</t>
  </si>
  <si>
    <t>Singh@2023</t>
  </si>
  <si>
    <t>BXQPK1484C</t>
  </si>
  <si>
    <t>Gauam Kumar</t>
  </si>
  <si>
    <t>Gautam@2021</t>
  </si>
  <si>
    <t>Gautam@2024#</t>
  </si>
  <si>
    <t>BWZPS1940K</t>
  </si>
  <si>
    <t>Jay Prakash Singh</t>
  </si>
  <si>
    <t>Singh@1975</t>
  </si>
  <si>
    <t>BWNPB7362N</t>
  </si>
  <si>
    <t>Satyajit Banerjee</t>
  </si>
  <si>
    <t>Nerjee@23</t>
  </si>
  <si>
    <t>BWDPK7679D</t>
  </si>
  <si>
    <t>Durga@1992</t>
  </si>
  <si>
    <t>BUZPS1133C</t>
  </si>
  <si>
    <t>Binod Kumar Soni</t>
  </si>
  <si>
    <t>Binod@1973</t>
  </si>
  <si>
    <t>BUOPS2029A</t>
  </si>
  <si>
    <t>Pramod Kumar Singh</t>
  </si>
  <si>
    <t>Singh@2024$$</t>
  </si>
  <si>
    <t>BSGPP3058J</t>
  </si>
  <si>
    <t>neha pandey</t>
  </si>
  <si>
    <t>Faha&amp;~6574</t>
  </si>
  <si>
    <t>BSDPJ2966A</t>
  </si>
  <si>
    <t>Naman Jha</t>
  </si>
  <si>
    <t>Namanjha10@</t>
  </si>
  <si>
    <t>BSCPR3173G</t>
  </si>
  <si>
    <t>Shubham</t>
  </si>
  <si>
    <t>Raj@1995#</t>
  </si>
  <si>
    <t>BRNPS8992Q</t>
  </si>
  <si>
    <t>Dhirendra Kumar Samal</t>
  </si>
  <si>
    <t>Samal@2024##</t>
  </si>
  <si>
    <t>BQBPS1748H</t>
  </si>
  <si>
    <t>Barun Kumar Singh</t>
  </si>
  <si>
    <t>PAN@A</t>
  </si>
  <si>
    <t>BPOPK6301N</t>
  </si>
  <si>
    <t>Shahabuddin Khan</t>
  </si>
  <si>
    <t>kHAN@1980</t>
  </si>
  <si>
    <t>BPMPK0433F</t>
  </si>
  <si>
    <t>Narendra Kumar</t>
  </si>
  <si>
    <t>Kumar@2024#</t>
  </si>
  <si>
    <t>BPLPK9545P</t>
  </si>
  <si>
    <t>Babita@1974</t>
  </si>
  <si>
    <t>BPEPB6288R</t>
  </si>
  <si>
    <t>Begum@1992@</t>
  </si>
  <si>
    <t>BPAPK1032E</t>
  </si>
  <si>
    <t>Ranjan Kumar</t>
  </si>
  <si>
    <t>kUMAR@2024#</t>
  </si>
  <si>
    <t>BOMPS8083N</t>
  </si>
  <si>
    <t>MANOJ SINGH</t>
  </si>
  <si>
    <t>Man@j1983</t>
  </si>
  <si>
    <t>BNVPS8217E</t>
  </si>
  <si>
    <t>Rewati Ram Singh</t>
  </si>
  <si>
    <t>Raman@2024#</t>
  </si>
  <si>
    <t>BNVPS8162E</t>
  </si>
  <si>
    <t>LAL BABU SAH</t>
  </si>
  <si>
    <t>BNVPS8141P</t>
  </si>
  <si>
    <t>BMQPK2623G</t>
  </si>
  <si>
    <t>Cummins@1234</t>
  </si>
  <si>
    <t>BMQPK2614H</t>
  </si>
  <si>
    <t>Jainuddin Khan</t>
  </si>
  <si>
    <t>Khan@2024#</t>
  </si>
  <si>
    <t>BLQPS6102R</t>
  </si>
  <si>
    <t>Mina Sinha</t>
  </si>
  <si>
    <t>Min@1964</t>
  </si>
  <si>
    <t>BLFPS7208P</t>
  </si>
  <si>
    <t>Avinash kumar singh</t>
  </si>
  <si>
    <t>Prasad@1963</t>
  </si>
  <si>
    <t>BKSPS0670R</t>
  </si>
  <si>
    <t>Singh@1973</t>
  </si>
  <si>
    <t>BKPPS4462Q</t>
  </si>
  <si>
    <t>Surendra Prasad Sinha</t>
  </si>
  <si>
    <t>Sinha@2022</t>
  </si>
  <si>
    <t>BKJPK1311G</t>
  </si>
  <si>
    <t>Mahanand Kumar</t>
  </si>
  <si>
    <t>kUMAR@2023</t>
  </si>
  <si>
    <t>BKGPM9507F</t>
  </si>
  <si>
    <t>SITA MUKHI</t>
  </si>
  <si>
    <t>Mukhi@2024</t>
  </si>
  <si>
    <t>BJCPR2351B</t>
  </si>
  <si>
    <t>Amit Kumar Ranjan</t>
  </si>
  <si>
    <t>Naesh@2022</t>
  </si>
  <si>
    <t>Chiku@23032016</t>
  </si>
  <si>
    <t>BIWPS5227E</t>
  </si>
  <si>
    <t>Saroj Kumar Singh</t>
  </si>
  <si>
    <t>mansI4455@</t>
  </si>
  <si>
    <t>SAROJ SINGH</t>
  </si>
  <si>
    <t>BIHPR9069J</t>
  </si>
  <si>
    <t>Arghya Roy</t>
  </si>
  <si>
    <t>Shriya@092</t>
  </si>
  <si>
    <t>BHSPS4224G</t>
  </si>
  <si>
    <t>Birendra Kumar Sah</t>
  </si>
  <si>
    <t>Sah@23Sah</t>
  </si>
  <si>
    <t>Kumar@2024##</t>
  </si>
  <si>
    <t>ITR2</t>
  </si>
  <si>
    <t>Old</t>
  </si>
  <si>
    <t>BHMPS8308B</t>
  </si>
  <si>
    <t>Shambhu Nath Singh</t>
  </si>
  <si>
    <t>Nath@2023</t>
  </si>
  <si>
    <t>BGCPM1821R</t>
  </si>
  <si>
    <t>Sanjay Kumar Mishra</t>
  </si>
  <si>
    <t>challan</t>
  </si>
  <si>
    <t>BGBPD9441C</t>
  </si>
  <si>
    <t>chandrakala</t>
  </si>
  <si>
    <t>Kala@2002#</t>
  </si>
  <si>
    <t>BGAPK2834D</t>
  </si>
  <si>
    <t>Navin Kumar</t>
  </si>
  <si>
    <t>nAvin1974@</t>
  </si>
  <si>
    <t>BEXPS2096Q</t>
  </si>
  <si>
    <t>PRAB SINGH</t>
  </si>
  <si>
    <t>BDQPM4594P</t>
  </si>
  <si>
    <t>TAPAN KUMAR MAHATO</t>
  </si>
  <si>
    <t>BDLPM4710L</t>
  </si>
  <si>
    <t>SAGAR KUMAR MAITY</t>
  </si>
  <si>
    <t>BCVPA9231M</t>
  </si>
  <si>
    <t>Chaiten Kumar Acharjee</t>
  </si>
  <si>
    <t>Acharjee@2024</t>
  </si>
  <si>
    <t>BCPPD7649E</t>
  </si>
  <si>
    <t>Tanushree Dutta</t>
  </si>
  <si>
    <t>Arup@123</t>
  </si>
  <si>
    <t>To Check</t>
  </si>
  <si>
    <t>BCEPK8832P</t>
  </si>
  <si>
    <t>Kumar@2023</t>
  </si>
  <si>
    <t>BBTPG1518E</t>
  </si>
  <si>
    <t>Sujata Gorai</t>
  </si>
  <si>
    <t>Sujata@1988</t>
  </si>
  <si>
    <t>BBPPD6623P</t>
  </si>
  <si>
    <t>BINOD DUTTA</t>
  </si>
  <si>
    <t>Dutta@2023</t>
  </si>
  <si>
    <t>BAZPR4304L</t>
  </si>
  <si>
    <t>Dab@1968</t>
  </si>
  <si>
    <t>BAWPD0996D</t>
  </si>
  <si>
    <t>MEERA DEVI</t>
  </si>
  <si>
    <t>Devi@2024#</t>
  </si>
  <si>
    <t>AZTPB0148A</t>
  </si>
  <si>
    <t>Kanchan Bharti</t>
  </si>
  <si>
    <t>ishan@0404</t>
  </si>
  <si>
    <t>AZSPM7811Q</t>
  </si>
  <si>
    <t>Narayan Singh Munda</t>
  </si>
  <si>
    <t>Munda@1976</t>
  </si>
  <si>
    <t>AZQPD7762H</t>
  </si>
  <si>
    <t>Sunita@2023</t>
  </si>
  <si>
    <t>AYXPS6721P</t>
  </si>
  <si>
    <t>Sh@rma2022</t>
  </si>
  <si>
    <t>AYKPP2294F</t>
  </si>
  <si>
    <t>Gulab Dhar Padey</t>
  </si>
  <si>
    <t>Dhar@1979</t>
  </si>
  <si>
    <t>AYCPS0841D</t>
  </si>
  <si>
    <t>Rajni Kant Sinha</t>
  </si>
  <si>
    <t>AYCPD8148C</t>
  </si>
  <si>
    <t>Sagar Dutta</t>
  </si>
  <si>
    <t>Mahab1r##</t>
  </si>
  <si>
    <t>AXDPP9306J</t>
  </si>
  <si>
    <t>Kajal Pakrashi</t>
  </si>
  <si>
    <t>K@jal8665</t>
  </si>
  <si>
    <t>AXDPM3187E</t>
  </si>
  <si>
    <t>Bharat Bhushanb Mishra</t>
  </si>
  <si>
    <t>Mishra@2024</t>
  </si>
  <si>
    <t>15000+</t>
  </si>
  <si>
    <t>Mishra@1973#</t>
  </si>
  <si>
    <t>axdpb4555d</t>
  </si>
  <si>
    <t>Suvendu Banerjee</t>
  </si>
  <si>
    <t>Vendu@4555#</t>
  </si>
  <si>
    <t>AWMPA1657K</t>
  </si>
  <si>
    <t>Akhtar Ali</t>
  </si>
  <si>
    <t>Tar@1657</t>
  </si>
  <si>
    <t>AWAPK7428C</t>
  </si>
  <si>
    <t>NIRAJ KUMAR</t>
  </si>
  <si>
    <t>AVWPK1918J</t>
  </si>
  <si>
    <t>Kum@r2022</t>
  </si>
  <si>
    <t>AVOPA3987H</t>
  </si>
  <si>
    <t>Mohammad Zia Alam</t>
  </si>
  <si>
    <t>Zia@alam80</t>
  </si>
  <si>
    <t>AVCPD1663K</t>
  </si>
  <si>
    <t>SUKUMAR DAS</t>
  </si>
  <si>
    <t>AVAPB8819K</t>
  </si>
  <si>
    <t>Asit Kumar Barua</t>
  </si>
  <si>
    <t>AUMPB5013C</t>
  </si>
  <si>
    <t>PURUSOTTAM BERA</t>
  </si>
  <si>
    <t>Bera@2024#</t>
  </si>
  <si>
    <t>AUHPK9554C</t>
  </si>
  <si>
    <t>Kum@r1983</t>
  </si>
  <si>
    <t>AUAPB6962G</t>
  </si>
  <si>
    <t>Mamali@143</t>
  </si>
  <si>
    <t>ATSPK3469J</t>
  </si>
  <si>
    <t>Kum@41968</t>
  </si>
  <si>
    <t>ATHPK4133C</t>
  </si>
  <si>
    <t>Kantesh Kumar</t>
  </si>
  <si>
    <t>Kantesh@82</t>
  </si>
  <si>
    <t>ASYPK7172R</t>
  </si>
  <si>
    <t>Abhay Kumar</t>
  </si>
  <si>
    <t>Abhay89066#</t>
  </si>
  <si>
    <t>ASWPB4065E</t>
  </si>
  <si>
    <t>Prashant Bhakat</t>
  </si>
  <si>
    <t>Bh@kat2022</t>
  </si>
  <si>
    <t>P bhagat</t>
  </si>
  <si>
    <t>bHAKAT@2021</t>
  </si>
  <si>
    <t>ASTPP6017H</t>
  </si>
  <si>
    <t>Nagendra Prasad</t>
  </si>
  <si>
    <t>Prasad@2024#</t>
  </si>
  <si>
    <t>ASOPG3242N</t>
  </si>
  <si>
    <t>DEBASISH GHOSH</t>
  </si>
  <si>
    <t>Ghosh@2024</t>
  </si>
  <si>
    <t>ASKPP3569M</t>
  </si>
  <si>
    <t>Arati Parida</t>
  </si>
  <si>
    <t>Arati@1968</t>
  </si>
  <si>
    <t>ASCPD9449G</t>
  </si>
  <si>
    <t>Sushila Dubey</t>
  </si>
  <si>
    <t>Dubey@2023</t>
  </si>
  <si>
    <t>ASAPA8429P</t>
  </si>
  <si>
    <t>Khurshid Alam</t>
  </si>
  <si>
    <t>aLAM@2023</t>
  </si>
  <si>
    <t>ARMPJ1925G</t>
  </si>
  <si>
    <t>Punit</t>
  </si>
  <si>
    <t>Punit@1992</t>
  </si>
  <si>
    <t>ARGPT4073K</t>
  </si>
  <si>
    <t>Mukesh Kumar Tiwary</t>
  </si>
  <si>
    <t>Tiwary@2023</t>
  </si>
  <si>
    <t>ARDPR0720L</t>
  </si>
  <si>
    <t>Naresh@1972</t>
  </si>
  <si>
    <t>AQSPP3694B</t>
  </si>
  <si>
    <t>vinAy91533@</t>
  </si>
  <si>
    <t>AQJPK7565K</t>
  </si>
  <si>
    <t>Anup Kumar</t>
  </si>
  <si>
    <t>Bipin@78</t>
  </si>
  <si>
    <t>APXPM2237D</t>
  </si>
  <si>
    <t>Alexander Theresa Mery</t>
  </si>
  <si>
    <t>APMPS1017E</t>
  </si>
  <si>
    <t>Sashi Bhushan kr Singh</t>
  </si>
  <si>
    <t>Bhushan@2024</t>
  </si>
  <si>
    <t>APMPB4212Q</t>
  </si>
  <si>
    <t>Somnath banerjee</t>
  </si>
  <si>
    <t>n@TH1962</t>
  </si>
  <si>
    <t>APEPM7519M</t>
  </si>
  <si>
    <t>Nand Lal Mahato</t>
  </si>
  <si>
    <t>LAL@2023</t>
  </si>
  <si>
    <t>AOGPS6688L</t>
  </si>
  <si>
    <t>Barun@1971</t>
  </si>
  <si>
    <t>nil</t>
  </si>
  <si>
    <t>AOGPS4022J</t>
  </si>
  <si>
    <t>Abdul Sattar</t>
  </si>
  <si>
    <t>Sattar@2024#</t>
  </si>
  <si>
    <t>AOAPR6741R</t>
  </si>
  <si>
    <t>Munna Rai</t>
  </si>
  <si>
    <t>Munna@1963</t>
  </si>
  <si>
    <t>ANQPJ9827R</t>
  </si>
  <si>
    <t>Birendra Kumar Jha</t>
  </si>
  <si>
    <t>Kumar@1970</t>
  </si>
  <si>
    <t>Kumar@1970#</t>
  </si>
  <si>
    <t>ANJPP0484D</t>
  </si>
  <si>
    <t>Pranaba Nanda Paul</t>
  </si>
  <si>
    <t>Nath196@</t>
  </si>
  <si>
    <t>AMPPB1840E</t>
  </si>
  <si>
    <t>Debjit Biswas</t>
  </si>
  <si>
    <t>Biswas@2024#</t>
  </si>
  <si>
    <t>AMFPB6511Q</t>
  </si>
  <si>
    <t>Shyam babu</t>
  </si>
  <si>
    <t>Raj@2014</t>
  </si>
  <si>
    <t>ALUPP8983A</t>
  </si>
  <si>
    <t>Pitambar</t>
  </si>
  <si>
    <t>India@1234#</t>
  </si>
  <si>
    <t>Lalit@2024##</t>
  </si>
  <si>
    <t>ALQPB8512K</t>
  </si>
  <si>
    <t>Pawan Kumar Barua</t>
  </si>
  <si>
    <t>P@wan2022</t>
  </si>
  <si>
    <t>ALJPA7196D</t>
  </si>
  <si>
    <t>Mohammad Ali</t>
  </si>
  <si>
    <t>Mohammad@2022</t>
  </si>
  <si>
    <t>17000+</t>
  </si>
  <si>
    <t>ALGPG0003J</t>
  </si>
  <si>
    <t>Mohini Mohan Gope</t>
  </si>
  <si>
    <t>Mohini@2022</t>
  </si>
  <si>
    <t>AKXPA8409L</t>
  </si>
  <si>
    <t>Sneha Agarwal</t>
  </si>
  <si>
    <t>Wal$wal2024</t>
  </si>
  <si>
    <t>sri krishna store</t>
  </si>
  <si>
    <t>AKRPM0321M</t>
  </si>
  <si>
    <t>Mahato@2021</t>
  </si>
  <si>
    <t>AKPPD7933C</t>
  </si>
  <si>
    <t>Das23Das#</t>
  </si>
  <si>
    <t>AKNPT9407B</t>
  </si>
  <si>
    <t>Jagdish Tanti</t>
  </si>
  <si>
    <t>Tanti@1974$</t>
  </si>
  <si>
    <t>AKLPT1942K</t>
  </si>
  <si>
    <t>LAXMI SUNDI</t>
  </si>
  <si>
    <t>Sundi@1234</t>
  </si>
  <si>
    <t>AKJPT1860E</t>
  </si>
  <si>
    <t>UDAY KUMAR THAPA</t>
  </si>
  <si>
    <t>Uday@1971</t>
  </si>
  <si>
    <t>AKGPV1452M</t>
  </si>
  <si>
    <t>Satish Vishwakarma</t>
  </si>
  <si>
    <t>Satish@2024##</t>
  </si>
  <si>
    <t>AKCPD6628F</t>
  </si>
  <si>
    <t>Amal Kumar Das</t>
  </si>
  <si>
    <t>Amal@1965</t>
  </si>
  <si>
    <t>AJVPD8911F</t>
  </si>
  <si>
    <t>ajvpd8911f@</t>
  </si>
  <si>
    <t>AJSPR5772P</t>
  </si>
  <si>
    <t>Raju Ratha</t>
  </si>
  <si>
    <t>Ratha@2022</t>
  </si>
  <si>
    <t>AIOPS7783A</t>
  </si>
  <si>
    <t>AIEPC6313L</t>
  </si>
  <si>
    <t>Sanjev Kumar Choudhary</t>
  </si>
  <si>
    <t>Sanjev@1975</t>
  </si>
  <si>
    <t>AIAPV4335R</t>
  </si>
  <si>
    <t>Sushant Kumar Verma</t>
  </si>
  <si>
    <t>Sushant@20</t>
  </si>
  <si>
    <t>AHYPD1473F</t>
  </si>
  <si>
    <t>Subhadeep Das</t>
  </si>
  <si>
    <t>Deep@1975</t>
  </si>
  <si>
    <t>AHVPJ5045J</t>
  </si>
  <si>
    <t>Naveen Kumar Jha</t>
  </si>
  <si>
    <t>AHOPC8193R</t>
  </si>
  <si>
    <t>Somenath Choudhury</t>
  </si>
  <si>
    <t>S@m#2023</t>
  </si>
  <si>
    <t>AHMPA9043J</t>
  </si>
  <si>
    <t>Mohammad Aslam</t>
  </si>
  <si>
    <t>Aslam@1205</t>
  </si>
  <si>
    <t>AHKPC9700G</t>
  </si>
  <si>
    <t>Sanjay chakraborty</t>
  </si>
  <si>
    <t>Sanjay@1973</t>
  </si>
  <si>
    <t>AHGPR3575G</t>
  </si>
  <si>
    <t>Vanapalli srinivas rao</t>
  </si>
  <si>
    <t>Nivas@2024#</t>
  </si>
  <si>
    <t>AHEPT4864C</t>
  </si>
  <si>
    <t>Bageshwar Tiwari</t>
  </si>
  <si>
    <t>Tiwari@1951</t>
  </si>
  <si>
    <t>AGXPS5916N</t>
  </si>
  <si>
    <t>AGVPD4353N</t>
  </si>
  <si>
    <t>KAKOLI DUTTA</t>
  </si>
  <si>
    <t>AGKPG1271D</t>
  </si>
  <si>
    <t>Utpal Kumar Ghosh</t>
  </si>
  <si>
    <t>Gh@sh12utpal</t>
  </si>
  <si>
    <t>AGHPB2051M</t>
  </si>
  <si>
    <t>Shantanu Biswas</t>
  </si>
  <si>
    <t>Biswas@23##</t>
  </si>
  <si>
    <t>AGFPB0167N</t>
  </si>
  <si>
    <t>Somnath@23</t>
  </si>
  <si>
    <t>AGEPM2659P</t>
  </si>
  <si>
    <t>Jitendra nath Mahato</t>
  </si>
  <si>
    <t>Nath@1973</t>
  </si>
  <si>
    <t>AGCPA4264C</t>
  </si>
  <si>
    <t>Nadim Akhtar Ansari</t>
  </si>
  <si>
    <t>nadim@1976</t>
  </si>
  <si>
    <t>AFYPH58661</t>
  </si>
  <si>
    <t>Sita Rani Hessa</t>
  </si>
  <si>
    <t>AFWPV4604E</t>
  </si>
  <si>
    <t>Awdhesh Kumar Verma</t>
  </si>
  <si>
    <t>Verma@2024#</t>
  </si>
  <si>
    <t>AFTPD5310E</t>
  </si>
  <si>
    <t>Kalyani Das</t>
  </si>
  <si>
    <t>Kalyani@61</t>
  </si>
  <si>
    <t>AEXPV8975J</t>
  </si>
  <si>
    <t>Saroj Verma</t>
  </si>
  <si>
    <t>Saroj@1960</t>
  </si>
  <si>
    <t>AEVPH3300R</t>
  </si>
  <si>
    <t>Shahnawaz Hussain</t>
  </si>
  <si>
    <t>Hussain@20</t>
  </si>
  <si>
    <t>Hussain@2024#</t>
  </si>
  <si>
    <t>AEUPG5564R</t>
  </si>
  <si>
    <t>Jogen Kumar Gorai</t>
  </si>
  <si>
    <t>Jogen@1976</t>
  </si>
  <si>
    <t>AENPS6818P</t>
  </si>
  <si>
    <t>Arvind Kumar Sinha</t>
  </si>
  <si>
    <t>Sinha@1953</t>
  </si>
  <si>
    <t>AENPA6276R</t>
  </si>
  <si>
    <t>Mohammad mumtaz ahmad</t>
  </si>
  <si>
    <t>Mumtaz@2023</t>
  </si>
  <si>
    <t>AEIPS6517E</t>
  </si>
  <si>
    <t>Jerome@1954</t>
  </si>
  <si>
    <t>30-0-1954</t>
  </si>
  <si>
    <t>AEIPS5415F</t>
  </si>
  <si>
    <t>Vivek Kumar Sinha</t>
  </si>
  <si>
    <t>Vivek@1962</t>
  </si>
  <si>
    <t>AEIPS4509L</t>
  </si>
  <si>
    <t>Singh@1962#</t>
  </si>
  <si>
    <t>AEIPS3416E</t>
  </si>
  <si>
    <t>Shiv Shambhu Singh</t>
  </si>
  <si>
    <t>Singh@1967</t>
  </si>
  <si>
    <t>AEIPS3362M</t>
  </si>
  <si>
    <t>Harinder Singh</t>
  </si>
  <si>
    <t>Singh@1956</t>
  </si>
  <si>
    <t>ADWPB2726M</t>
  </si>
  <si>
    <t>Binod@0900</t>
  </si>
  <si>
    <t>ADVPL8292R</t>
  </si>
  <si>
    <t>Rajan Lakra</t>
  </si>
  <si>
    <t>Lakra@1968</t>
  </si>
  <si>
    <t>adsps5492h</t>
  </si>
  <si>
    <t>ADSPS3975M</t>
  </si>
  <si>
    <t>Gorti Ram Krishna Sharma</t>
  </si>
  <si>
    <t>Krishna@2023</t>
  </si>
  <si>
    <t>ADBPP9999F</t>
  </si>
  <si>
    <t>G N Parida</t>
  </si>
  <si>
    <t>Parida@2022</t>
  </si>
  <si>
    <t>ACXPW6906G</t>
  </si>
  <si>
    <t>Dennis Sharang William</t>
  </si>
  <si>
    <t>Denn#s1995</t>
  </si>
  <si>
    <t>Dennis@1995</t>
  </si>
  <si>
    <t>ACXPS7674K</t>
  </si>
  <si>
    <t>rfnd</t>
  </si>
  <si>
    <t>ACVPL7603D</t>
  </si>
  <si>
    <t>Nibha Labh</t>
  </si>
  <si>
    <t>Ajit@2023</t>
  </si>
  <si>
    <t>ACUPW1293R</t>
  </si>
  <si>
    <t>Anna Garima Fatthful william</t>
  </si>
  <si>
    <t>Anna@2023</t>
  </si>
  <si>
    <t>Anna@8892</t>
  </si>
  <si>
    <t>ACUPP9885C</t>
  </si>
  <si>
    <t>Awadh Bihari Pandit</t>
  </si>
  <si>
    <t>Bihari@2022</t>
  </si>
  <si>
    <t>ACPPK0782L</t>
  </si>
  <si>
    <t>Shio Nandan Kamat</t>
  </si>
  <si>
    <t>Kamat@1944</t>
  </si>
  <si>
    <t>ACKPK5984B</t>
  </si>
  <si>
    <t>Pravin Kumar</t>
  </si>
  <si>
    <t>Kumar@2024</t>
  </si>
  <si>
    <t>ACHPH2477H</t>
  </si>
  <si>
    <t>mohammad Anwarul Haque</t>
  </si>
  <si>
    <t>Haque@0103</t>
  </si>
  <si>
    <t>ACEPG4183G</t>
  </si>
  <si>
    <t>TRILOCHAN SINGH GILL</t>
  </si>
  <si>
    <t>Singh@2024#</t>
  </si>
  <si>
    <t>ABUPM5565H</t>
  </si>
  <si>
    <t>Mani@1971</t>
  </si>
  <si>
    <t>ABSPM0970E</t>
  </si>
  <si>
    <t>Challapilla Srirama Chandra Murty</t>
  </si>
  <si>
    <t>abspm0970e*</t>
  </si>
  <si>
    <t>ABRPW6730F</t>
  </si>
  <si>
    <t>Mohammad Wasim</t>
  </si>
  <si>
    <t>Wasim@2024#</t>
  </si>
  <si>
    <t>abqpc6852p</t>
  </si>
  <si>
    <t>Stanley Cooke</t>
  </si>
  <si>
    <t>ABMPG9732E</t>
  </si>
  <si>
    <t>Rudra nath Ghosh</t>
  </si>
  <si>
    <t>Rudr@1957</t>
  </si>
  <si>
    <t>ABKPB3991J</t>
  </si>
  <si>
    <t>MOTI LAL BHAGAT</t>
  </si>
  <si>
    <t>Bhagat@20</t>
  </si>
  <si>
    <t>ABEPD4014G</t>
  </si>
  <si>
    <t>Chandrika Dubey</t>
  </si>
  <si>
    <t>ABCPU3527F</t>
  </si>
  <si>
    <t>Manoj Kumar Upadhyay</t>
  </si>
  <si>
    <t>ABCPR7212G</t>
  </si>
  <si>
    <t>Pawitra Ram</t>
  </si>
  <si>
    <t>Pawitra@1959</t>
  </si>
  <si>
    <t>ABBPA6972F</t>
  </si>
  <si>
    <t>Aleem Akhtar</t>
  </si>
  <si>
    <t>Akht@r1953</t>
  </si>
  <si>
    <t>30-12-1953</t>
  </si>
  <si>
    <t>ABBPA6939N</t>
  </si>
  <si>
    <t>Damian Anthony</t>
  </si>
  <si>
    <t>Das@2024##</t>
  </si>
  <si>
    <t>ABBPA6871F</t>
  </si>
  <si>
    <t>Bahadur@20</t>
  </si>
  <si>
    <t>AAZPD6805H</t>
  </si>
  <si>
    <t>Shyam pada dutta</t>
  </si>
  <si>
    <t>Dutta@2024</t>
  </si>
  <si>
    <t>AAVPO2292B</t>
  </si>
  <si>
    <t>Ojha@1975</t>
  </si>
  <si>
    <t>ojhar8675@gmail.com</t>
  </si>
  <si>
    <t>30034369758/sbin5301</t>
  </si>
  <si>
    <t>AATPI7607J</t>
  </si>
  <si>
    <t>Mohammad Mustafa</t>
  </si>
  <si>
    <t>Mustafa@1971</t>
  </si>
  <si>
    <t>AATPC5890K</t>
  </si>
  <si>
    <t>Tesh Lal Choudhury</t>
  </si>
  <si>
    <t>Tesh@1944</t>
  </si>
  <si>
    <t>AASPI7033B</t>
  </si>
  <si>
    <t>Islam@2023</t>
  </si>
  <si>
    <t>Saiful Islam</t>
  </si>
  <si>
    <t>AAPPT8292C</t>
  </si>
  <si>
    <t>Manoj Kumar Tiwary</t>
  </si>
  <si>
    <t>Tiwary@1964</t>
  </si>
  <si>
    <t>AAPPT8285M</t>
  </si>
  <si>
    <t>Triweni nath tiwari</t>
  </si>
  <si>
    <t>AAPPP9750P</t>
  </si>
  <si>
    <t>Subal Chanda Paul</t>
  </si>
  <si>
    <t>Subal@2024#</t>
  </si>
  <si>
    <t>AANPV8255B</t>
  </si>
  <si>
    <t>Jugal Kishore Verma</t>
  </si>
  <si>
    <t>Jugal@1951</t>
  </si>
  <si>
    <t>AAKPL9778Q</t>
  </si>
  <si>
    <t>Ajit Kumar Labh</t>
  </si>
  <si>
    <t>AAHPH8321C</t>
  </si>
  <si>
    <t>Shyam chambra hembram</t>
  </si>
  <si>
    <t>Shyam@2024#</t>
  </si>
  <si>
    <t>AAFPW5892b</t>
  </si>
  <si>
    <t>Faithful Eric William</t>
  </si>
  <si>
    <t>Eric@2023</t>
  </si>
  <si>
    <t>AADPY2262K</t>
  </si>
  <si>
    <t>Birendra Singh Yadav</t>
  </si>
  <si>
    <t>S#ngh1961</t>
  </si>
  <si>
    <t>AADPI0686D</t>
  </si>
  <si>
    <t>Manzar Imam</t>
  </si>
  <si>
    <t>Manz@r1969</t>
  </si>
  <si>
    <t>AACPU1462G</t>
  </si>
  <si>
    <t>Bani Mahadeo Upadhyay</t>
  </si>
  <si>
    <t>Bani@1965</t>
  </si>
  <si>
    <t>Arjun Verma</t>
  </si>
  <si>
    <t>CCJPB7109L</t>
  </si>
  <si>
    <t>Somnath Biswas</t>
  </si>
  <si>
    <t>Biswas@2024</t>
  </si>
  <si>
    <t>ALQPM5579H</t>
  </si>
  <si>
    <t>SHYAMAL KUMAR MUKHERJEE</t>
  </si>
  <si>
    <t>AXLPB0479J</t>
  </si>
  <si>
    <t>SONALI SARKR</t>
  </si>
  <si>
    <t>Sarkar@1974</t>
  </si>
  <si>
    <t>Jagdish1958@</t>
  </si>
  <si>
    <t>ABEPU8610M</t>
  </si>
  <si>
    <t>Kiran Upadhyay</t>
  </si>
  <si>
    <t>BGJPD0238B</t>
  </si>
  <si>
    <t>SOMA DUTTA</t>
  </si>
  <si>
    <t>Soma@0830</t>
  </si>
  <si>
    <t>05-07-0830</t>
  </si>
  <si>
    <t>?</t>
  </si>
  <si>
    <t>CXJPP7911H</t>
  </si>
  <si>
    <t>SHIVA PRAMANIK</t>
  </si>
  <si>
    <t>sHIVA@2025</t>
  </si>
  <si>
    <t>arspa8650m</t>
  </si>
  <si>
    <t>Md sohrab ansari</t>
  </si>
  <si>
    <t>Sohrab@2025_</t>
  </si>
  <si>
    <t>AWWPM9672J</t>
  </si>
  <si>
    <t>RVINDRA KUMAR MISHRA</t>
  </si>
  <si>
    <t>Mishra@2025</t>
  </si>
  <si>
    <t>BEJPS1277P</t>
  </si>
  <si>
    <t>BIRENDRA KUMAR SINGH</t>
  </si>
  <si>
    <t>Singh2025#</t>
  </si>
  <si>
    <t>?????</t>
  </si>
  <si>
    <t>BTCPK9162P</t>
  </si>
  <si>
    <t>kHAN@2025#</t>
  </si>
  <si>
    <t>AGCPN3872B</t>
  </si>
  <si>
    <t>ANJALI NAYAK</t>
  </si>
  <si>
    <t>Nayak@2025#</t>
  </si>
  <si>
    <t>ASHPS5845C</t>
  </si>
  <si>
    <t>Jay prakash singh</t>
  </si>
  <si>
    <t>Prakash@2025#</t>
  </si>
  <si>
    <t>AEIPS8514B</t>
  </si>
  <si>
    <t>bua dutt sharma</t>
  </si>
  <si>
    <t>Lakshya@3001</t>
  </si>
  <si>
    <t>aaspi7033b</t>
  </si>
  <si>
    <t>saiful islam</t>
  </si>
  <si>
    <t>Islam@2025#</t>
  </si>
  <si>
    <t>Singh@1972@</t>
  </si>
  <si>
    <t>GNBPM7332B</t>
  </si>
  <si>
    <t xml:space="preserve">Chhaya </t>
  </si>
  <si>
    <t>Chhaya@2003</t>
  </si>
  <si>
    <t>JBSPM0984D</t>
  </si>
  <si>
    <t>Thakurbati Munda</t>
  </si>
  <si>
    <t>Munda@01</t>
  </si>
  <si>
    <t>HCMPM0916A</t>
  </si>
  <si>
    <t>Nupur@02</t>
  </si>
  <si>
    <t>BNBPD1647M</t>
  </si>
  <si>
    <t>Vishnu pado ruhidas</t>
  </si>
  <si>
    <t>JaiBheem@123</t>
  </si>
  <si>
    <t>CSUPS5108P</t>
  </si>
  <si>
    <t>Partha Sarkar</t>
  </si>
  <si>
    <t>Sarkar@2025#</t>
  </si>
  <si>
    <t>Sobha Giri</t>
  </si>
  <si>
    <t>Gorai@2025#</t>
  </si>
  <si>
    <t>AIGPC0410J</t>
  </si>
  <si>
    <t>CKEPD0852R</t>
  </si>
  <si>
    <t>Swapan Das</t>
  </si>
  <si>
    <t>nIRAJ@2025#</t>
  </si>
  <si>
    <t>BPOPS3407R</t>
  </si>
  <si>
    <t>DHIRAJ KUMAR SHRIVASTAVA</t>
  </si>
  <si>
    <t>Dhiraj@2025#</t>
  </si>
  <si>
    <t>AHPPW2935G</t>
  </si>
  <si>
    <t>Mohammad manzar waris</t>
  </si>
  <si>
    <t>Manzar@2025#</t>
  </si>
  <si>
    <t>AIKPM5371Q</t>
  </si>
  <si>
    <t>PUDI PEEDI LAKSHMI N MURTY</t>
  </si>
  <si>
    <t>Murty@2025#</t>
  </si>
  <si>
    <t>AJLPY6619F</t>
  </si>
  <si>
    <t>Birendra Kumar Yadav</t>
  </si>
  <si>
    <t>Mukul@2024</t>
  </si>
  <si>
    <t>agapr4475q</t>
  </si>
  <si>
    <t>P Venkateshwar rao</t>
  </si>
  <si>
    <t>Venkat@2025#</t>
  </si>
  <si>
    <t>AZSPN6513G</t>
  </si>
  <si>
    <t>Manoj Kumar Nayak</t>
  </si>
  <si>
    <t>Manoj@2025#</t>
  </si>
  <si>
    <t>BKMPS0774G</t>
  </si>
  <si>
    <t>ASHOK SAHU</t>
  </si>
  <si>
    <t>Ashok@2025#</t>
  </si>
  <si>
    <t>AAHPQ7557K</t>
  </si>
  <si>
    <t>Abdul qudus</t>
  </si>
  <si>
    <t>Qudus@2025#</t>
  </si>
  <si>
    <t>AFZPS8833B</t>
  </si>
  <si>
    <t>DAYAL SWANSI</t>
  </si>
  <si>
    <t>Dayal@2025#</t>
  </si>
  <si>
    <t>akcpd6686k</t>
  </si>
  <si>
    <t>Sukalyan Dutta</t>
  </si>
  <si>
    <t>Tata@2025#</t>
  </si>
  <si>
    <t>EXAPS6931K</t>
  </si>
  <si>
    <t>Bampi Sahu</t>
  </si>
  <si>
    <t>Sahu@2025#</t>
  </si>
  <si>
    <t>AVSPK0513B</t>
  </si>
  <si>
    <t>ASHOK KUMAR</t>
  </si>
  <si>
    <t>CSQPS4273M</t>
  </si>
  <si>
    <t>AJSPP7939E</t>
  </si>
  <si>
    <t>HARI SHANKAR PRASAD</t>
  </si>
  <si>
    <t>AIEPG1370M</t>
  </si>
  <si>
    <t>MANOJ KUMAR GUPTA</t>
  </si>
  <si>
    <t>PYWPS1425N</t>
  </si>
  <si>
    <t>DURGA SAHU</t>
  </si>
  <si>
    <t>Durga2025#</t>
  </si>
  <si>
    <t>ACKPK4972D</t>
  </si>
  <si>
    <t>Bilasi Kour</t>
  </si>
  <si>
    <t>Bilasi2025</t>
  </si>
  <si>
    <t>BOQPM6923K</t>
  </si>
  <si>
    <t>Alam@2025#</t>
  </si>
  <si>
    <t>Sohrab@2025</t>
  </si>
  <si>
    <t>ABBPA7096G</t>
  </si>
  <si>
    <t>Nityanand Aich</t>
  </si>
  <si>
    <t>BRAPS7781L</t>
  </si>
  <si>
    <t>Vijay Kumar singh</t>
  </si>
  <si>
    <t>Singh@2025#</t>
  </si>
  <si>
    <t>ACLPK8076D</t>
  </si>
  <si>
    <t>Kumar@2025#_R</t>
  </si>
  <si>
    <t>AAPPV8215P</t>
  </si>
  <si>
    <t>Arun Kumar Verma</t>
  </si>
  <si>
    <t>CTEPS3920C</t>
  </si>
  <si>
    <t>Priya Singh</t>
  </si>
  <si>
    <t>ANOPD9243R</t>
  </si>
  <si>
    <t>Chanchal Kumar Das</t>
  </si>
  <si>
    <t>Kumar@1958#</t>
  </si>
  <si>
    <t>DAHPS7996M</t>
  </si>
  <si>
    <t>PAWAN KUMAR SINHA</t>
  </si>
  <si>
    <t>DFFPK0154A</t>
  </si>
  <si>
    <t>HARJINDAR KOUR</t>
  </si>
  <si>
    <t>Kour@2025#</t>
  </si>
  <si>
    <t>Mina@2025#</t>
  </si>
  <si>
    <t>MANJIT SINGH</t>
  </si>
  <si>
    <t>Manjit@1978_R</t>
  </si>
  <si>
    <t>GURJEET KAUR</t>
  </si>
  <si>
    <t>appl dt</t>
  </si>
  <si>
    <t>Appl NO.</t>
  </si>
  <si>
    <t>C Status</t>
  </si>
  <si>
    <t>DL APPL</t>
  </si>
  <si>
    <t>LL NO.</t>
  </si>
  <si>
    <t>RFCustomer</t>
  </si>
  <si>
    <t>Due frm cust</t>
  </si>
  <si>
    <t>chaged</t>
  </si>
  <si>
    <t>pd 2 tap</t>
  </si>
  <si>
    <t>Due 2 Tap</t>
  </si>
  <si>
    <t>918092231804</t>
  </si>
  <si>
    <t xml:space="preserve">JH05 /0009008/2018 </t>
  </si>
  <si>
    <t>CHARGE</t>
  </si>
  <si>
    <t>Sadia Aman</t>
  </si>
  <si>
    <t>919110186831</t>
  </si>
  <si>
    <t>DELIVERED</t>
  </si>
  <si>
    <t>JH05 /0004917/2019</t>
  </si>
  <si>
    <t> 628091719</t>
  </si>
  <si>
    <t>Harihar Choudhary</t>
  </si>
  <si>
    <t>918873555140</t>
  </si>
  <si>
    <t>JH05 /0013736/2019</t>
  </si>
  <si>
    <t>Anjan Kumar Sinha</t>
  </si>
  <si>
    <t>917004404619</t>
  </si>
  <si>
    <t>DL RENEW</t>
  </si>
  <si>
    <t>917488275033</t>
  </si>
  <si>
    <t>DL</t>
  </si>
  <si>
    <t>slot booked by me</t>
  </si>
  <si>
    <t>Md Mahibul</t>
  </si>
  <si>
    <t>919708669563</t>
  </si>
  <si>
    <t>919234131348</t>
  </si>
  <si>
    <t>new dl</t>
  </si>
  <si>
    <t>4107604719  2563496819</t>
  </si>
  <si>
    <t>Rakhi Kumari</t>
  </si>
  <si>
    <t>919204221901</t>
  </si>
  <si>
    <t>919204311494</t>
  </si>
  <si>
    <t>916200266828</t>
  </si>
  <si>
    <t>919835189579</t>
  </si>
  <si>
    <t>Abdul bari Khan</t>
  </si>
  <si>
    <t>919709210887</t>
  </si>
  <si>
    <t>Sudip Bhadra</t>
  </si>
  <si>
    <t>919431569365</t>
  </si>
  <si>
    <t>Bishwajit Prusty</t>
  </si>
  <si>
    <t>917209413452</t>
  </si>
  <si>
    <t>917903948659</t>
  </si>
  <si>
    <t>601705820,  2824057319</t>
  </si>
  <si>
    <t>918092161676</t>
  </si>
  <si>
    <t>AB+</t>
  </si>
  <si>
    <t>919279148348</t>
  </si>
  <si>
    <t>918797826254</t>
  </si>
  <si>
    <t>Chandra Shekhar</t>
  </si>
  <si>
    <t>918092496665</t>
  </si>
  <si>
    <t>Md Shabbir Ahmad</t>
  </si>
  <si>
    <t>919835477685</t>
  </si>
  <si>
    <t>Md Wasim</t>
  </si>
  <si>
    <t>917209950221</t>
  </si>
  <si>
    <t>Md Rafi Anwar</t>
  </si>
  <si>
    <t>919716966254</t>
  </si>
  <si>
    <t>SK RAFIQUDDIN</t>
  </si>
  <si>
    <t>917258879451</t>
  </si>
  <si>
    <t>Sneha Banra</t>
  </si>
  <si>
    <t>916203668967</t>
  </si>
  <si>
    <t>Kunal Kumar Gupta</t>
  </si>
  <si>
    <t>917070095589</t>
  </si>
  <si>
    <t>Dhananjay Sawashi</t>
  </si>
  <si>
    <t>918709533979</t>
  </si>
  <si>
    <t>Jay Kishan Keshori</t>
  </si>
  <si>
    <t>918092206717</t>
  </si>
  <si>
    <t>918210564677</t>
  </si>
  <si>
    <t>Nazeeb Ahmed</t>
  </si>
  <si>
    <t>917366919425</t>
  </si>
  <si>
    <t>Md Salim</t>
  </si>
  <si>
    <t>918603251790</t>
  </si>
  <si>
    <t>SHYAMCHAND SWANSI</t>
  </si>
  <si>
    <t>916201941775</t>
  </si>
  <si>
    <t>swansinweb@</t>
  </si>
  <si>
    <t>fail</t>
  </si>
  <si>
    <t>GOPINATH GORAI</t>
  </si>
  <si>
    <t>918709705340</t>
  </si>
  <si>
    <t>gopi.nweb</t>
  </si>
  <si>
    <t xml:space="preserve">new dl </t>
  </si>
  <si>
    <t>Deepak Tantubai</t>
  </si>
  <si>
    <t>917488948181</t>
  </si>
  <si>
    <t>deepaktantubairs</t>
  </si>
  <si>
    <t>919162141596</t>
  </si>
  <si>
    <t>Sadhan Patra</t>
  </si>
  <si>
    <t>919608931932</t>
  </si>
  <si>
    <t>sadhannweb@g</t>
  </si>
  <si>
    <t>Sandeep Kaur</t>
  </si>
  <si>
    <t>918660255932</t>
  </si>
  <si>
    <t>sandeepnweb129@gmail.com</t>
  </si>
  <si>
    <t>Gurdeet Singh</t>
  </si>
  <si>
    <t>919781759278</t>
  </si>
  <si>
    <t>gurdeetnweb@gmail.com</t>
  </si>
  <si>
    <t>917370891032</t>
  </si>
  <si>
    <t>Durga Pada Maity</t>
  </si>
  <si>
    <t>919801375687</t>
  </si>
  <si>
    <t>RC renew</t>
  </si>
  <si>
    <t>Mahendra Munda</t>
  </si>
  <si>
    <t>918002484625</t>
  </si>
  <si>
    <t>New dl</t>
  </si>
  <si>
    <t>sumeth thakur</t>
  </si>
  <si>
    <t>91</t>
  </si>
  <si>
    <t>Mahip Kumar Singh</t>
  </si>
  <si>
    <t>919661125755</t>
  </si>
  <si>
    <t>renewal</t>
  </si>
  <si>
    <t>Gurudeet Singh</t>
  </si>
  <si>
    <t>LL ISSUED</t>
  </si>
  <si>
    <t>918825340143</t>
  </si>
  <si>
    <t>Vishnu Pado Ruhidas</t>
  </si>
  <si>
    <t>new dl 2w</t>
  </si>
  <si>
    <t>Gunadhar Sahis</t>
  </si>
  <si>
    <t>916206382425</t>
  </si>
  <si>
    <t>new24</t>
  </si>
  <si>
    <t>Gurudayal Singh</t>
  </si>
  <si>
    <t>918340619383</t>
  </si>
  <si>
    <t>Jayanti Rani Das</t>
  </si>
  <si>
    <t>918797675277</t>
  </si>
  <si>
    <t>pstd on 01-05-2022</t>
  </si>
  <si>
    <t>Syed  Iftakhar Hussain</t>
  </si>
  <si>
    <t>917209152003</t>
  </si>
  <si>
    <t>Amrik Singh</t>
  </si>
  <si>
    <t>919304534774</t>
  </si>
  <si>
    <t>Del 23-09-2020</t>
  </si>
  <si>
    <t>Sujat Ali</t>
  </si>
  <si>
    <t>919031989594</t>
  </si>
  <si>
    <t>Del 24-09-2020</t>
  </si>
  <si>
    <t>D k Choudhary</t>
  </si>
  <si>
    <t>919931321832</t>
  </si>
  <si>
    <t>919113112064</t>
  </si>
  <si>
    <t>Nagalu Lakshman</t>
  </si>
  <si>
    <t>919835760251</t>
  </si>
  <si>
    <t>Chhatu Sardar</t>
  </si>
  <si>
    <t>918709357819</t>
  </si>
  <si>
    <t>Suchita Ghoshal</t>
  </si>
  <si>
    <t>919031038399</t>
  </si>
  <si>
    <t>Dup RC</t>
  </si>
  <si>
    <t>Deven singh sardar</t>
  </si>
  <si>
    <t>919771078319</t>
  </si>
  <si>
    <t>trans</t>
  </si>
  <si>
    <t>Ganapati Mishra</t>
  </si>
  <si>
    <t>916200609264</t>
  </si>
  <si>
    <t>2to4</t>
  </si>
  <si>
    <t>Rezwana Tabassum</t>
  </si>
  <si>
    <t>919955844105</t>
  </si>
  <si>
    <t>doc diven for LL</t>
  </si>
  <si>
    <t>S M Altamash Madni</t>
  </si>
  <si>
    <t>918271312110</t>
  </si>
  <si>
    <t>919572923483</t>
  </si>
  <si>
    <t>DL appont 15-03-21</t>
  </si>
  <si>
    <t>916205266370</t>
  </si>
  <si>
    <t>Tapas Kumar Das</t>
  </si>
  <si>
    <t>919031708341</t>
  </si>
  <si>
    <t>Md Asif Jamal</t>
  </si>
  <si>
    <t>916205191685</t>
  </si>
  <si>
    <t>learning rcvd</t>
  </si>
  <si>
    <t>Katapadi Gopi Krishna Rao</t>
  </si>
  <si>
    <t>918603873458</t>
  </si>
  <si>
    <t>Parasnath prasad</t>
  </si>
  <si>
    <t>919204976811</t>
  </si>
  <si>
    <t>Pankaj Kumar Sinha</t>
  </si>
  <si>
    <t>919573395115</t>
  </si>
  <si>
    <t>2+4</t>
  </si>
  <si>
    <t>Nand Kumar Singh</t>
  </si>
  <si>
    <t>919800461568</t>
  </si>
  <si>
    <t>hp+ot</t>
  </si>
  <si>
    <t>S Vadivelu</t>
  </si>
  <si>
    <t>918083631050</t>
  </si>
  <si>
    <t>given for LL</t>
  </si>
  <si>
    <t>917739044155</t>
  </si>
  <si>
    <t>918092577946</t>
  </si>
  <si>
    <t>919308457927</t>
  </si>
  <si>
    <t>JH0520070012015</t>
  </si>
  <si>
    <t>Noushine Fatama</t>
  </si>
  <si>
    <t>917543917665</t>
  </si>
  <si>
    <t>twoGL</t>
  </si>
  <si>
    <t>Shahid Perwez</t>
  </si>
  <si>
    <t>renuew</t>
  </si>
  <si>
    <t>Sharique Raza Anwar</t>
  </si>
  <si>
    <t>918797574708</t>
  </si>
  <si>
    <t>919031907108</t>
  </si>
  <si>
    <t>Deven Munda</t>
  </si>
  <si>
    <t>917209799520</t>
  </si>
  <si>
    <t>Shwetamberr Kumar</t>
  </si>
  <si>
    <t>919431167008</t>
  </si>
  <si>
    <t>12-03-2021 given for LL</t>
  </si>
  <si>
    <t>Ram Prasad Sahu</t>
  </si>
  <si>
    <t>917319732731</t>
  </si>
  <si>
    <t>Photo done</t>
  </si>
  <si>
    <t>Urvita Sharma</t>
  </si>
  <si>
    <t>917619362586</t>
  </si>
  <si>
    <t>12-03-2021 given to tpn</t>
  </si>
  <si>
    <t>Neena Sharma</t>
  </si>
  <si>
    <t>919534014105</t>
  </si>
  <si>
    <t>RC Trasfer</t>
  </si>
  <si>
    <t>Bhavna</t>
  </si>
  <si>
    <t>918210640569</t>
  </si>
  <si>
    <t>given for LL-12-03-2021</t>
  </si>
  <si>
    <t>Ram Chandra Pandey</t>
  </si>
  <si>
    <t>917033627737</t>
  </si>
  <si>
    <t>CARD RECVD</t>
  </si>
  <si>
    <t>Sujay Kumar mahato</t>
  </si>
  <si>
    <t>917004864934</t>
  </si>
  <si>
    <t>given for main</t>
  </si>
  <si>
    <t>Anshu Kumari</t>
  </si>
  <si>
    <t>919546001099</t>
  </si>
  <si>
    <t>given for main06/02/22</t>
  </si>
  <si>
    <t>Laxmi Saha</t>
  </si>
  <si>
    <t>918210237201</t>
  </si>
  <si>
    <t>Ranjit Kumar Das</t>
  </si>
  <si>
    <t>919031271967</t>
  </si>
  <si>
    <t>reewal</t>
  </si>
  <si>
    <t>Laxmi Hansdah</t>
  </si>
  <si>
    <t>918210523941</t>
  </si>
  <si>
    <t>CARD dlvred</t>
  </si>
  <si>
    <t>MCWOG</t>
  </si>
  <si>
    <t>917992344716</t>
  </si>
  <si>
    <t>Rajesh Tantubai</t>
  </si>
  <si>
    <t>918534700235</t>
  </si>
  <si>
    <t>given for scrutni</t>
  </si>
  <si>
    <t>MCWG</t>
  </si>
  <si>
    <t>918987864098</t>
  </si>
  <si>
    <t>given for final 25-12-21</t>
  </si>
  <si>
    <t>Naresh Kumar Tanti</t>
  </si>
  <si>
    <t>919304750779</t>
  </si>
  <si>
    <t>Sanjay Pandey</t>
  </si>
  <si>
    <t>919472315294</t>
  </si>
  <si>
    <t>refunded 1400</t>
  </si>
  <si>
    <t>md tamim</t>
  </si>
  <si>
    <t>919102370595</t>
  </si>
  <si>
    <t>918709102483</t>
  </si>
  <si>
    <t>917011152603</t>
  </si>
  <si>
    <t>SFML-04-10-21</t>
  </si>
  <si>
    <t>Vaibhav Mishra</t>
  </si>
  <si>
    <t>917004036221</t>
  </si>
  <si>
    <t>Rakesh Gope</t>
  </si>
  <si>
    <t>918969153202</t>
  </si>
  <si>
    <t>917091556451</t>
  </si>
  <si>
    <t>Deepaarnita biswas</t>
  </si>
  <si>
    <t>Subal Chandra Paul</t>
  </si>
  <si>
    <t>919931145822</t>
  </si>
  <si>
    <t>Yadavilli Rama Murty</t>
  </si>
  <si>
    <t>919835537202</t>
  </si>
  <si>
    <t>Krishna Kumar</t>
  </si>
  <si>
    <t>917209946815</t>
  </si>
  <si>
    <t>card rcvd</t>
  </si>
  <si>
    <t>919711146659</t>
  </si>
  <si>
    <t>JH05 20210027880</t>
  </si>
  <si>
    <t>Joyraj Paul</t>
  </si>
  <si>
    <t>918272990701</t>
  </si>
  <si>
    <t>Meena Sinha</t>
  </si>
  <si>
    <t>09-0-1964</t>
  </si>
  <si>
    <t>919431345961</t>
  </si>
  <si>
    <t>Shankhanil Basu</t>
  </si>
  <si>
    <t>919065733224</t>
  </si>
  <si>
    <t>Dhiraj Kr srivastava</t>
  </si>
  <si>
    <t>Shyam Kumar Singh</t>
  </si>
  <si>
    <t>917004939998</t>
  </si>
  <si>
    <t>Praveen Sharma</t>
  </si>
  <si>
    <t>918076886229</t>
  </si>
  <si>
    <t>2to 4</t>
  </si>
  <si>
    <t>Nurul Hakim</t>
  </si>
  <si>
    <t>918603319592</t>
  </si>
  <si>
    <t>916202909827</t>
  </si>
  <si>
    <t>Bhavya Tiwary</t>
  </si>
  <si>
    <t>919065339731</t>
  </si>
  <si>
    <t>card delivered</t>
  </si>
  <si>
    <t>Mangal Gope</t>
  </si>
  <si>
    <t>916203157028</t>
  </si>
  <si>
    <t>Sujoy Panda</t>
  </si>
  <si>
    <t>917903010419</t>
  </si>
  <si>
    <t>Delivered on 19-02-22</t>
  </si>
  <si>
    <t>Bijay Kumar Singh</t>
  </si>
  <si>
    <t>916202186630</t>
  </si>
  <si>
    <t>Bishwajeet Dhibar</t>
  </si>
  <si>
    <t>919304033860</t>
  </si>
  <si>
    <t>918409949983</t>
  </si>
  <si>
    <t>Lost</t>
  </si>
  <si>
    <t>Sanjeeb Kumar Mahanty</t>
  </si>
  <si>
    <t>918653845274</t>
  </si>
  <si>
    <t>lost</t>
  </si>
  <si>
    <t>Bivas Roy Karmakar</t>
  </si>
  <si>
    <t>919835356289</t>
  </si>
  <si>
    <t>2 to 4</t>
  </si>
  <si>
    <t>mani Kant(7909044681)</t>
  </si>
  <si>
    <t>916201105757</t>
  </si>
  <si>
    <t>Bhrigu Nath Sharma</t>
  </si>
  <si>
    <t>917209198771</t>
  </si>
  <si>
    <t>Md Sadiq Hussain</t>
  </si>
  <si>
    <t>919899267972</t>
  </si>
  <si>
    <t>Monisha Singh</t>
  </si>
  <si>
    <t>918789868750</t>
  </si>
  <si>
    <t>Kumar Shubham</t>
  </si>
  <si>
    <t>917209994300</t>
  </si>
  <si>
    <t>Shobha Sharma</t>
  </si>
  <si>
    <t>919798159111</t>
  </si>
  <si>
    <t>Tata Sandep</t>
  </si>
  <si>
    <t>919386818489</t>
  </si>
  <si>
    <t>Manoj Kumar Mahato</t>
  </si>
  <si>
    <t>919199299448</t>
  </si>
  <si>
    <t>Delivered on 24-02-22</t>
  </si>
  <si>
    <t>Dilbag Singh</t>
  </si>
  <si>
    <t>918235010195</t>
  </si>
  <si>
    <t>Shambhu nath Bhagat</t>
  </si>
  <si>
    <t>918603190548</t>
  </si>
  <si>
    <t>Dlvrd on 08-05-2022</t>
  </si>
  <si>
    <t>HP Rem</t>
  </si>
  <si>
    <t>10-12--2021</t>
  </si>
  <si>
    <t>917209000816</t>
  </si>
  <si>
    <t>Sahil Kumar</t>
  </si>
  <si>
    <t>919386297857</t>
  </si>
  <si>
    <t>Satyanarayan Das</t>
  </si>
  <si>
    <t>919631049704</t>
  </si>
  <si>
    <t>re-registration</t>
  </si>
  <si>
    <t>918084871616</t>
  </si>
  <si>
    <t>given for main on 22-02-22</t>
  </si>
  <si>
    <t>Madan Mohan prasad</t>
  </si>
  <si>
    <t>919835313039</t>
  </si>
  <si>
    <t>919835566462</t>
  </si>
  <si>
    <t>Barun Kumar Chauhan</t>
  </si>
  <si>
    <t>918873382821</t>
  </si>
  <si>
    <t>919975578467</t>
  </si>
  <si>
    <t>Re+addrs</t>
  </si>
  <si>
    <t>916202827901</t>
  </si>
  <si>
    <t>919108589779</t>
  </si>
  <si>
    <t>aplied fo rmain</t>
  </si>
  <si>
    <t>Ashutosh Gautam</t>
  </si>
  <si>
    <t>917258957104</t>
  </si>
  <si>
    <t>Deliverd 05-08-22</t>
  </si>
  <si>
    <t>Md Seraj Hussain</t>
  </si>
  <si>
    <t>917209943400</t>
  </si>
  <si>
    <t>Goutam Mondal</t>
  </si>
  <si>
    <t>916201325313</t>
  </si>
  <si>
    <t>JH055351</t>
  </si>
  <si>
    <t>re-register</t>
  </si>
  <si>
    <t>Bhojay Soren</t>
  </si>
  <si>
    <t>919576211749</t>
  </si>
  <si>
    <t>Ashok Kumar Upadhayay</t>
  </si>
  <si>
    <t>918092116186</t>
  </si>
  <si>
    <t>Rajib Chakraborty</t>
  </si>
  <si>
    <t>918789799863</t>
  </si>
  <si>
    <t>V Usha</t>
  </si>
  <si>
    <t>917209491924</t>
  </si>
  <si>
    <t>919934587315</t>
  </si>
  <si>
    <t>Renew</t>
  </si>
  <si>
    <t>Biswajit Dutta</t>
  </si>
  <si>
    <t>activated on 17-09-22</t>
  </si>
  <si>
    <t>Kumari Manisha</t>
  </si>
  <si>
    <t>GIVEN FOR MAIN</t>
  </si>
  <si>
    <t>Sushant Ganguly</t>
  </si>
  <si>
    <t>JH-05201770202919</t>
  </si>
  <si>
    <t>santosh Kumar</t>
  </si>
  <si>
    <t>Paritosh Mahato</t>
  </si>
  <si>
    <t>rcpt</t>
  </si>
  <si>
    <t>Pradip Kumar mazumdar</t>
  </si>
  <si>
    <t>jh05u0496</t>
  </si>
  <si>
    <t>rergb</t>
  </si>
  <si>
    <t>Jawaid Alam</t>
  </si>
  <si>
    <t>2whlr</t>
  </si>
  <si>
    <t>Rakhi Pandey</t>
  </si>
  <si>
    <t>CAROL MARKAS TOPNO</t>
  </si>
  <si>
    <t>Rajrani Mukhi</t>
  </si>
  <si>
    <t>Deepak Kumar Prasad</t>
  </si>
  <si>
    <t>JH05 /0027779/2022</t>
  </si>
  <si>
    <t>Sumit Dutta</t>
  </si>
  <si>
    <t>CARD RCVD</t>
  </si>
  <si>
    <t>APPLIED FOR MAIN</t>
  </si>
  <si>
    <t>Rajeev Singh Sardar</t>
  </si>
  <si>
    <t>Ved Prakash Puri</t>
  </si>
  <si>
    <t>rn+A</t>
  </si>
  <si>
    <t>Minu Bose</t>
  </si>
  <si>
    <t>DELVERED</t>
  </si>
  <si>
    <t>LL 26-11-2022</t>
  </si>
  <si>
    <t>LL 17-12-2022</t>
  </si>
  <si>
    <t>delivered 07-04-2023</t>
  </si>
  <si>
    <t>Bharat Kumar Thakur</t>
  </si>
  <si>
    <t>deliverd 08-04-2023</t>
  </si>
  <si>
    <t>Arvind Kr Tiwary</t>
  </si>
  <si>
    <t>RNW</t>
  </si>
  <si>
    <t>Md Saquib Hussain Khan</t>
  </si>
  <si>
    <t>fiven for main</t>
  </si>
  <si>
    <t>Mohammad Anwarul Haque</t>
  </si>
  <si>
    <t>Dulal Mahato</t>
  </si>
  <si>
    <t>photo done</t>
  </si>
  <si>
    <t>Amar Nath Chanda</t>
  </si>
  <si>
    <t>dl recvd</t>
  </si>
  <si>
    <t>renew+r</t>
  </si>
  <si>
    <t>four</t>
  </si>
  <si>
    <t>Shwet Kumar</t>
  </si>
  <si>
    <t>Sukra Mahato</t>
  </si>
  <si>
    <t>transfer</t>
  </si>
  <si>
    <t>Priyojoy Mahato</t>
  </si>
  <si>
    <t>Tanuja Jha</t>
  </si>
  <si>
    <t>given form main</t>
  </si>
  <si>
    <t>Given main</t>
  </si>
  <si>
    <t>endorse</t>
  </si>
  <si>
    <t>Pranab Nand Paul</t>
  </si>
  <si>
    <t>orignl pan + uid</t>
  </si>
  <si>
    <t>dup RC</t>
  </si>
  <si>
    <t>Sukanta Kumar Dutta</t>
  </si>
  <si>
    <t>deli on 12-07-2023</t>
  </si>
  <si>
    <t>reneal _removal</t>
  </si>
  <si>
    <t>Sonu Karmakar</t>
  </si>
  <si>
    <t>RN</t>
  </si>
  <si>
    <t>Vishnavi Kumari</t>
  </si>
  <si>
    <t>Rajat Kanti Biswas</t>
  </si>
  <si>
    <t>rn</t>
  </si>
  <si>
    <t>Anurag Mishra</t>
  </si>
  <si>
    <t>deliveredon 05/04/24</t>
  </si>
  <si>
    <t>LL on 26-10-23</t>
  </si>
  <si>
    <t>noT Picking Phone 07-01-2024</t>
  </si>
  <si>
    <t>1000 Paid 02-05-2024</t>
  </si>
  <si>
    <t>Chanchal Anand</t>
  </si>
  <si>
    <t>DL Received</t>
  </si>
  <si>
    <t>Saradendu Mahata</t>
  </si>
  <si>
    <t>Pranab kumar majumdar</t>
  </si>
  <si>
    <t>Ashok Kumar Pathak</t>
  </si>
  <si>
    <t>given for photo to custoerm</t>
  </si>
  <si>
    <t>Madhusudan Guru</t>
  </si>
  <si>
    <t>Transfer</t>
  </si>
  <si>
    <t>Sayon Sengupta</t>
  </si>
  <si>
    <t>Delivered on 20-01-2024</t>
  </si>
  <si>
    <t>sah</t>
  </si>
  <si>
    <t>Mahima Kumari</t>
  </si>
  <si>
    <t>given to tapan</t>
  </si>
  <si>
    <t>Putul Poddar</t>
  </si>
  <si>
    <t>Aditi  Sarkar</t>
  </si>
  <si>
    <t>Jagan Nath Oja</t>
  </si>
  <si>
    <t>Given to customrer</t>
  </si>
  <si>
    <t>HP</t>
  </si>
  <si>
    <t>given to tapan to main</t>
  </si>
  <si>
    <t>P K Mazumdar</t>
  </si>
  <si>
    <t>after photo given to TP</t>
  </si>
  <si>
    <t>Savitri Kumari Singh</t>
  </si>
  <si>
    <t>phto done</t>
  </si>
  <si>
    <t>Update</t>
  </si>
  <si>
    <t>Ranjit Gorai</t>
  </si>
  <si>
    <t>Paresh Mukhi</t>
  </si>
  <si>
    <t>L L rcvd</t>
  </si>
  <si>
    <t>Md Natique</t>
  </si>
  <si>
    <t>Sushanta Mahato</t>
  </si>
  <si>
    <t>LL rcvd</t>
  </si>
  <si>
    <t>Gandhi Biruli</t>
  </si>
  <si>
    <t>Shanti Jha</t>
  </si>
  <si>
    <t>Prakash Soren</t>
  </si>
  <si>
    <t>delivered on 05/04/24</t>
  </si>
  <si>
    <t>Reeta Yadav</t>
  </si>
  <si>
    <t>JOSEPH George</t>
  </si>
  <si>
    <t>NOC</t>
  </si>
  <si>
    <t>Arghya Ghosh</t>
  </si>
  <si>
    <t>rennew</t>
  </si>
  <si>
    <t>ANIRBAN GUPTA</t>
  </si>
  <si>
    <t>B K SHARMA</t>
  </si>
  <si>
    <t>RENEW</t>
  </si>
  <si>
    <t>Mirza siddique ali beg</t>
  </si>
  <si>
    <t>rergn</t>
  </si>
  <si>
    <t>rn+add</t>
  </si>
  <si>
    <t>Sanjay Mishra</t>
  </si>
  <si>
    <t>Sukhu Gorai</t>
  </si>
  <si>
    <t>(Customer Gorai said given 2000</t>
  </si>
  <si>
    <t>Firoz Alam</t>
  </si>
  <si>
    <t>Main applied</t>
  </si>
  <si>
    <t>full paid2000+3500</t>
  </si>
  <si>
    <t>Shama Praween</t>
  </si>
  <si>
    <t>Ramesh Jee</t>
  </si>
  <si>
    <t>apply for main</t>
  </si>
  <si>
    <t>Payment Sent To Shubham-23-12-2023, 2500-02-04-24</t>
  </si>
  <si>
    <t>Rayudu Venkat Srinivas</t>
  </si>
  <si>
    <t>uploaded</t>
  </si>
  <si>
    <t>slot booked</t>
  </si>
  <si>
    <t>Shahid Ali</t>
  </si>
  <si>
    <t>deliverd05-03-2024</t>
  </si>
  <si>
    <t>re-register2</t>
  </si>
  <si>
    <t>Delivered on 12-07-2024</t>
  </si>
  <si>
    <t xml:space="preserve"> Again rcvd 2800. on 20-04-2024</t>
  </si>
  <si>
    <t>Kasmir Singh</t>
  </si>
  <si>
    <t>Original Given on 04/03/2024</t>
  </si>
  <si>
    <t>Bipin Mahato</t>
  </si>
  <si>
    <t>70 DUE FOR PF WITHDRAWAL</t>
  </si>
  <si>
    <t>Bashirul Mustafa</t>
  </si>
  <si>
    <t>2800 on 09-05-2024</t>
  </si>
  <si>
    <t>Abdul Mustafa</t>
  </si>
  <si>
    <t>applied for main</t>
  </si>
  <si>
    <t>Apurba Mal</t>
  </si>
  <si>
    <t>reneu</t>
  </si>
  <si>
    <t>0-04-2024</t>
  </si>
  <si>
    <t>F name</t>
  </si>
  <si>
    <t>18-09-2024 slot fo rmain</t>
  </si>
  <si>
    <t>Luckshmi Govind Rajan</t>
  </si>
  <si>
    <t>Kamal Kishore Singh</t>
  </si>
  <si>
    <t>Manoj Kumar Prasad</t>
  </si>
  <si>
    <t>Osrenewal</t>
  </si>
  <si>
    <t>VEDAINA SRIVASTAVA</t>
  </si>
  <si>
    <t>Mohammad Kaif</t>
  </si>
  <si>
    <t>rregn</t>
  </si>
  <si>
    <t>Dasrath Ravi Das</t>
  </si>
  <si>
    <t>Payment 3000 Received on 10-10-2024</t>
  </si>
  <si>
    <t>Aquib Wasim</t>
  </si>
  <si>
    <t>APPLY FOR MAIN</t>
  </si>
  <si>
    <t>Delivered 07-12-2024</t>
  </si>
  <si>
    <t>Pm Prakash Singh</t>
  </si>
  <si>
    <t>Dipanakar Rana</t>
  </si>
  <si>
    <t>Dhrub Lal Puri</t>
  </si>
  <si>
    <t>Maira hasan</t>
  </si>
  <si>
    <t>Paid 2500 on 19-10-2024</t>
  </si>
  <si>
    <t>Trishir Thakur</t>
  </si>
  <si>
    <t>Vanapalli Srinivas Rao</t>
  </si>
  <si>
    <t>Hira Lal Sinha</t>
  </si>
  <si>
    <t>deilvereed</t>
  </si>
  <si>
    <t>V Prushotam</t>
  </si>
  <si>
    <t>Dadi Vara Noka Lakshma</t>
  </si>
  <si>
    <t>Deobrat Vishwakarma</t>
  </si>
  <si>
    <t>deliverede</t>
  </si>
  <si>
    <t>shiv shankar choudhary</t>
  </si>
  <si>
    <t>JAY PRAKASH VISHWAKARMA</t>
  </si>
  <si>
    <t>Usha Sinha</t>
  </si>
  <si>
    <t>owner transfer</t>
  </si>
  <si>
    <t>Rupesh CH Patra</t>
  </si>
  <si>
    <t>Reregistration</t>
  </si>
  <si>
    <t>Sudhir Kumar Singh</t>
  </si>
  <si>
    <t>dl recived</t>
  </si>
  <si>
    <t>given for main on24-12-2024</t>
  </si>
  <si>
    <t>Sujit Kumar Chakraborty</t>
  </si>
  <si>
    <t>applid for main</t>
  </si>
  <si>
    <t>Sanjay Kumar Mahato</t>
  </si>
  <si>
    <t>Ganesh Sharma</t>
  </si>
  <si>
    <t>rcvd</t>
  </si>
  <si>
    <t>Kumar Bintu</t>
  </si>
  <si>
    <t>Sandeep Kumar Gaur</t>
  </si>
  <si>
    <t>Deliverd on 22/04/2025</t>
  </si>
  <si>
    <t>Apara Kumari</t>
  </si>
  <si>
    <t>Dl Recived</t>
  </si>
  <si>
    <t>maria Omama</t>
  </si>
  <si>
    <t>Sakeeb Wasim</t>
  </si>
  <si>
    <t>Dhruba Kumar dey</t>
  </si>
  <si>
    <t>renewal+ad</t>
  </si>
  <si>
    <t>Taruna Kumar jana</t>
  </si>
  <si>
    <t>Farooq Khan</t>
  </si>
  <si>
    <t>Suranjan Kar</t>
  </si>
  <si>
    <t>delivered-18-04-2025</t>
  </si>
  <si>
    <t>2only</t>
  </si>
  <si>
    <t>Md Sameer</t>
  </si>
  <si>
    <t>Jagdeep kumar das</t>
  </si>
  <si>
    <t>deilverd on 10-03-025</t>
  </si>
  <si>
    <t>reneuwa</t>
  </si>
  <si>
    <t>Tapan Ranjan Gupta</t>
  </si>
  <si>
    <t>Syed Mansoor Raza Karim</t>
  </si>
  <si>
    <t>SHALU</t>
  </si>
  <si>
    <t>regn</t>
  </si>
  <si>
    <t>Satyajit mahata</t>
  </si>
  <si>
    <t>LL 09-06-2025</t>
  </si>
  <si>
    <t>Prabhav Sinha</t>
  </si>
  <si>
    <t>Full remaining payement received 24-05-2025</t>
  </si>
  <si>
    <t>Rajesh Mukhi</t>
  </si>
  <si>
    <t>Md Hasan</t>
  </si>
  <si>
    <t>Hira Lal Prasad</t>
  </si>
  <si>
    <t>Pinki Mukhi</t>
  </si>
  <si>
    <t>delivered on 29-08-2025</t>
  </si>
  <si>
    <t>Anshu Kumar</t>
  </si>
  <si>
    <t>Payment on 20-04-2025</t>
  </si>
  <si>
    <t>Ankit Sarkar</t>
  </si>
  <si>
    <t>reregn</t>
  </si>
  <si>
    <t>Anzar Imam</t>
  </si>
  <si>
    <t>Delivered on 13-10-2025</t>
  </si>
  <si>
    <t>Surya Kant Sharma</t>
  </si>
  <si>
    <t>Delvered on 14-10-2025</t>
  </si>
  <si>
    <t>Jaspreet singh</t>
  </si>
  <si>
    <t>19-06-2025 ll test</t>
  </si>
  <si>
    <t>resived</t>
  </si>
  <si>
    <t>Manoranjan Giri</t>
  </si>
  <si>
    <t>Radha Kumari</t>
  </si>
  <si>
    <t>Manprit kaur</t>
  </si>
  <si>
    <t>deliverd 31-07-2025</t>
  </si>
  <si>
    <t>add 4wh</t>
  </si>
  <si>
    <t>Divyam Singh</t>
  </si>
  <si>
    <t>Tanushree swain</t>
  </si>
  <si>
    <t>MAIN APPLIED GTP</t>
  </si>
  <si>
    <t>Aakash Kumar</t>
  </si>
  <si>
    <t>Sujit Kumar Patra</t>
  </si>
  <si>
    <t>Vinit Kumar</t>
  </si>
  <si>
    <t>Md Shamsher</t>
  </si>
  <si>
    <t>ful paid already given to tapan for main</t>
  </si>
  <si>
    <t>Puranjay Gorai</t>
  </si>
  <si>
    <t>Mohammad Nadeem Alam</t>
  </si>
  <si>
    <t>GTT</t>
  </si>
  <si>
    <t>Kishor Horo</t>
  </si>
  <si>
    <t>mr sahu</t>
  </si>
  <si>
    <t>Sanjeev Kumar Mahato</t>
  </si>
  <si>
    <t>deliverd on 13-1-2025</t>
  </si>
  <si>
    <t>hp--4</t>
  </si>
  <si>
    <t>Vijay Kumar pandey</t>
  </si>
  <si>
    <t>re-regn</t>
  </si>
  <si>
    <t xml:space="preserve">Choudhary uncle </t>
  </si>
  <si>
    <t>3000 Paid on 07-09-2025</t>
  </si>
  <si>
    <t>Md Ameen Ansari</t>
  </si>
  <si>
    <t>Shankar nath karmakar</t>
  </si>
  <si>
    <t>NEHA SINGH</t>
  </si>
  <si>
    <t>Shwet kumar</t>
  </si>
  <si>
    <t>Alto K-10</t>
  </si>
  <si>
    <t>mujtaba shamim</t>
  </si>
  <si>
    <t>hari shankar tiwary</t>
  </si>
  <si>
    <t>REGN</t>
  </si>
  <si>
    <t>Bimal kishore sharan</t>
  </si>
  <si>
    <t>manju das</t>
  </si>
  <si>
    <t>shivani kumari singh</t>
  </si>
  <si>
    <t>somya singh</t>
  </si>
  <si>
    <t>A115067957</t>
  </si>
  <si>
    <t>Reena Sarkar</t>
  </si>
  <si>
    <t>Q022082154</t>
  </si>
  <si>
    <t>Anita Kumari</t>
  </si>
  <si>
    <t>A114984863</t>
  </si>
  <si>
    <t>Shila Banerjee</t>
  </si>
  <si>
    <t>Q022042795</t>
  </si>
  <si>
    <t>Mohammad Idrish</t>
  </si>
  <si>
    <t>A114985130</t>
  </si>
  <si>
    <t>A114863103</t>
  </si>
  <si>
    <t>Sbahat Jahan</t>
  </si>
  <si>
    <t>A114759672</t>
  </si>
  <si>
    <t>Satender Rai</t>
  </si>
  <si>
    <t>Q021959514</t>
  </si>
  <si>
    <t>Q021956800</t>
  </si>
  <si>
    <t>Q021946622</t>
  </si>
  <si>
    <t>aryan kumar</t>
  </si>
  <si>
    <t>A1144779784</t>
  </si>
  <si>
    <t>Ghanshyam Rajbhar</t>
  </si>
  <si>
    <t>A114780597</t>
  </si>
  <si>
    <t>Sonia Munda</t>
  </si>
  <si>
    <t>A114779548</t>
  </si>
  <si>
    <t>Balma Sandil</t>
  </si>
  <si>
    <t>A114780283</t>
  </si>
  <si>
    <t>Rekha Kumari</t>
  </si>
  <si>
    <t>A114779063</t>
  </si>
  <si>
    <t>Anjali Godsora</t>
  </si>
  <si>
    <t>A114863552</t>
  </si>
  <si>
    <t>Mamoni Das</t>
  </si>
  <si>
    <t>A114801509</t>
  </si>
  <si>
    <t>Suresh Patar</t>
  </si>
  <si>
    <t>A114809984</t>
  </si>
  <si>
    <t>Sanjeeda Khatoon</t>
  </si>
  <si>
    <t>A114811123</t>
  </si>
  <si>
    <t>Shreyasi Chatterjee</t>
  </si>
  <si>
    <t>Q021959951</t>
  </si>
  <si>
    <t>Inderpal Kaur Panesar</t>
  </si>
  <si>
    <t>Q021957626</t>
  </si>
  <si>
    <t>Ramjee Kumar Sahu</t>
  </si>
  <si>
    <t>Q021959724</t>
  </si>
  <si>
    <t>Rajkishore</t>
  </si>
  <si>
    <t>Q021957538</t>
  </si>
  <si>
    <t>Sita devi</t>
  </si>
  <si>
    <t>Q021956481</t>
  </si>
  <si>
    <t>Amulya Das</t>
  </si>
  <si>
    <t>given to tp</t>
  </si>
  <si>
    <t>nagelu laxman</t>
  </si>
  <si>
    <t>A115154636</t>
  </si>
  <si>
    <t>Bihari Sardar</t>
  </si>
  <si>
    <t>Ashlyn Agnes Thomas</t>
  </si>
  <si>
    <t>A115154842</t>
  </si>
  <si>
    <t>A115165549</t>
  </si>
  <si>
    <t>Md Kaif Alam</t>
  </si>
  <si>
    <t>Sathvik Ghosh</t>
  </si>
  <si>
    <t>A115163089</t>
  </si>
  <si>
    <t>Q022105491</t>
  </si>
  <si>
    <t>Pratima Biswas</t>
  </si>
  <si>
    <t>Arun Gupta</t>
  </si>
  <si>
    <t>A115112597</t>
  </si>
  <si>
    <t>Nishant Mahato</t>
  </si>
  <si>
    <t>A115104799</t>
  </si>
  <si>
    <t>Aasma Parween</t>
  </si>
  <si>
    <t>A115112334</t>
  </si>
  <si>
    <t>Monika Kumari</t>
  </si>
  <si>
    <t>A113113209</t>
  </si>
  <si>
    <t>Sanju Kumari</t>
  </si>
  <si>
    <t>A115113446</t>
  </si>
  <si>
    <t>Sima Sandil</t>
  </si>
  <si>
    <t>A115113707</t>
  </si>
  <si>
    <t>Q022105080</t>
  </si>
  <si>
    <t>Bijoy Kumar Lodh</t>
  </si>
  <si>
    <t>A115220698</t>
  </si>
  <si>
    <t>Dhanyabhumi</t>
  </si>
  <si>
    <t>Q022156403</t>
  </si>
  <si>
    <t>Himadri Singh</t>
  </si>
  <si>
    <t>Ruma mukherjee</t>
  </si>
  <si>
    <t>Aparajita Kumari</t>
  </si>
  <si>
    <t>A115237446</t>
  </si>
  <si>
    <t>Anwesha Kashyap</t>
  </si>
  <si>
    <t>A115259157</t>
  </si>
  <si>
    <t>Sumona Das</t>
  </si>
  <si>
    <t>A115258951</t>
  </si>
  <si>
    <t>Q022174799</t>
  </si>
  <si>
    <t>Ashit kumar hota</t>
  </si>
  <si>
    <t>Shashwat singh</t>
  </si>
  <si>
    <t>A115258741</t>
  </si>
  <si>
    <t>02-10-200</t>
  </si>
  <si>
    <t>q022193960</t>
  </si>
  <si>
    <t>Farhana Begum</t>
  </si>
  <si>
    <t>Q022178355</t>
  </si>
  <si>
    <t>Anjali Sur</t>
  </si>
  <si>
    <t>Q022225505</t>
  </si>
  <si>
    <t>Vidya Rani Kujur</t>
  </si>
  <si>
    <t>Gulabi Soren</t>
  </si>
  <si>
    <t>A115364233</t>
  </si>
  <si>
    <t>Q022227906</t>
  </si>
  <si>
    <t>Q022242734</t>
  </si>
  <si>
    <t>Sunita Das</t>
  </si>
  <si>
    <t>Manas kumar</t>
  </si>
  <si>
    <t>A115400172</t>
  </si>
  <si>
    <t>nazmak_nweb</t>
  </si>
  <si>
    <t>NAJARE IMAM</t>
  </si>
  <si>
    <t>NAZMA KHATOON</t>
  </si>
  <si>
    <t>Q022274020</t>
  </si>
  <si>
    <t>Atanu Bose</t>
  </si>
  <si>
    <t>Anwesha Boxi</t>
  </si>
  <si>
    <t>Arushi</t>
  </si>
  <si>
    <t>Ghanashyam Gorai</t>
  </si>
  <si>
    <t>Q022310133</t>
  </si>
  <si>
    <t>11-12-025</t>
  </si>
  <si>
    <t>A115534947</t>
  </si>
  <si>
    <t>A115515844</t>
  </si>
  <si>
    <t>Subham Thakur</t>
  </si>
  <si>
    <t>normans educational and welfare trust</t>
  </si>
  <si>
    <t>A115216074</t>
  </si>
  <si>
    <t>Akshay Kumar Singh</t>
  </si>
  <si>
    <t>A115576503</t>
  </si>
  <si>
    <t>Q022331265</t>
  </si>
  <si>
    <t>Gunadhar Gope</t>
  </si>
  <si>
    <t>Malti Lohar</t>
  </si>
  <si>
    <t>A115569432</t>
  </si>
  <si>
    <t>main applied</t>
  </si>
  <si>
    <t>Q022370965</t>
  </si>
  <si>
    <t>Shagun Mahapatra</t>
  </si>
  <si>
    <t>Q022364362</t>
  </si>
  <si>
    <t>Putlam Janki</t>
  </si>
  <si>
    <t>Mohit Karmakar</t>
  </si>
  <si>
    <t>A115706004</t>
  </si>
  <si>
    <t>Q022391434</t>
  </si>
  <si>
    <t>Satish Kumar Sinha</t>
  </si>
  <si>
    <t>Anup Kumar Singha</t>
  </si>
  <si>
    <t>manoj kumar chourasia</t>
  </si>
  <si>
    <t>plasure</t>
  </si>
  <si>
    <t>Ravinder singh bhatti</t>
  </si>
  <si>
    <t>Q022457577</t>
  </si>
  <si>
    <t>Q022457565</t>
  </si>
  <si>
    <t>Razina Khatoon</t>
  </si>
  <si>
    <t>Q022457571</t>
  </si>
  <si>
    <t>Mohammad Yakub</t>
  </si>
  <si>
    <t>A115836733</t>
  </si>
  <si>
    <t>Shreya Maity</t>
  </si>
  <si>
    <t>A115762067</t>
  </si>
  <si>
    <t>Aarchi Dutta</t>
  </si>
  <si>
    <t>A115786282</t>
  </si>
  <si>
    <t>Khusbu Kumari</t>
  </si>
  <si>
    <t>A115785583</t>
  </si>
  <si>
    <t>Q022431090</t>
  </si>
  <si>
    <t>Samir Lohar</t>
  </si>
  <si>
    <t>Q022431620</t>
  </si>
  <si>
    <t>Leena Paul</t>
  </si>
  <si>
    <t>Q022430956</t>
  </si>
  <si>
    <t>Q022396907</t>
  </si>
  <si>
    <t>Prasad Kumar Dey</t>
  </si>
  <si>
    <t>Q022472198</t>
  </si>
  <si>
    <t>Amar Nath Pandey</t>
  </si>
  <si>
    <t>A115872860</t>
  </si>
  <si>
    <t>Ranjit Kaur</t>
  </si>
  <si>
    <t>Q022497977</t>
  </si>
  <si>
    <t>Shashwat Singh</t>
  </si>
  <si>
    <t>Shaheen Parween</t>
  </si>
  <si>
    <t>shashi bushan kumar singh</t>
  </si>
  <si>
    <t>Shashi@2025</t>
  </si>
  <si>
    <t>IMITIYAZ_NWEB</t>
  </si>
  <si>
    <t>IMTIYAZ AHMAD</t>
  </si>
  <si>
    <t>Subhojit Das</t>
  </si>
  <si>
    <t>Pratick das</t>
  </si>
  <si>
    <t>Santosh Tanti</t>
  </si>
  <si>
    <t>q022536324</t>
  </si>
  <si>
    <t>A116025553</t>
  </si>
  <si>
    <t>Q022536787</t>
  </si>
  <si>
    <t>Krishna Sagar Kulkarni</t>
  </si>
  <si>
    <t>A116025554</t>
  </si>
  <si>
    <t>Babay Ghosh</t>
  </si>
  <si>
    <t>Gayatri Das</t>
  </si>
  <si>
    <t>A115977463</t>
  </si>
  <si>
    <t>MADHVEBDRA_NWEB</t>
  </si>
  <si>
    <t>Madhvendra Mehta</t>
  </si>
  <si>
    <t>1000 paid 700 due</t>
  </si>
  <si>
    <t>Q022604428</t>
  </si>
  <si>
    <t>A116218256</t>
  </si>
  <si>
    <t>madan Mardi</t>
  </si>
  <si>
    <t>A116225058</t>
  </si>
  <si>
    <t>Bifula Gope</t>
  </si>
  <si>
    <t>A116158124</t>
  </si>
  <si>
    <t>Durgamani Ho</t>
  </si>
  <si>
    <t>A116158912</t>
  </si>
  <si>
    <t>Sujay Setua</t>
  </si>
  <si>
    <t>Q022616485</t>
  </si>
  <si>
    <t>Santosh Sahu</t>
  </si>
  <si>
    <t>Q022616292</t>
  </si>
  <si>
    <t>Lipika Dutta</t>
  </si>
  <si>
    <t>Q022616161</t>
  </si>
  <si>
    <t>Hemant Das</t>
  </si>
  <si>
    <t>Q022646500</t>
  </si>
  <si>
    <t>Bishnu Nath Nag</t>
  </si>
  <si>
    <t>Q022717872</t>
  </si>
  <si>
    <t>Gyarsi Lal Saharia</t>
  </si>
  <si>
    <t>IUDPS3128E</t>
  </si>
  <si>
    <t>Q022804025</t>
  </si>
  <si>
    <t>Balbir Singh</t>
  </si>
  <si>
    <t>A116729502</t>
  </si>
  <si>
    <t>Uday Kumar Sharma</t>
  </si>
  <si>
    <t>A116721691</t>
  </si>
  <si>
    <t>A116721001</t>
  </si>
  <si>
    <t>Diya Dey</t>
  </si>
  <si>
    <t>shilpi chatterjee</t>
  </si>
  <si>
    <t>Q022844811</t>
  </si>
  <si>
    <t>Q022844195</t>
  </si>
  <si>
    <t>Suman Sharma</t>
  </si>
  <si>
    <t>GPPPS9065P</t>
  </si>
  <si>
    <t>BHFPC62455L</t>
  </si>
  <si>
    <t>Sandeep Sharma</t>
  </si>
  <si>
    <t>IXKPS1939F</t>
  </si>
  <si>
    <t>Q022844349</t>
  </si>
  <si>
    <t>Q022844438</t>
  </si>
  <si>
    <t>KMNPD2191G</t>
  </si>
  <si>
    <t>ANUSHREE DAS</t>
  </si>
  <si>
    <t>SACHIPRIYA MAHATO</t>
  </si>
  <si>
    <t>CGPPM3553B</t>
  </si>
  <si>
    <t>Q022844088</t>
  </si>
  <si>
    <t>Payyment received on 06-01-2026</t>
  </si>
  <si>
    <t>Gulfam Quraishi</t>
  </si>
  <si>
    <t>rene</t>
  </si>
  <si>
    <t>Sushma Roy</t>
  </si>
  <si>
    <t>A116975052</t>
  </si>
  <si>
    <t>Kashiram Ruhidas</t>
  </si>
  <si>
    <t>A116979622</t>
  </si>
  <si>
    <t>Nahida Khatoon</t>
  </si>
  <si>
    <t>A116976179</t>
  </si>
  <si>
    <t>Anish Kumar</t>
  </si>
  <si>
    <t>Q022944238</t>
  </si>
  <si>
    <t>Subhash chandra mahato</t>
  </si>
  <si>
    <t>Q022944409</t>
  </si>
  <si>
    <t>Soni lal Saw</t>
  </si>
  <si>
    <t>BUGPS2140J</t>
  </si>
  <si>
    <t>Kuldeep kaur</t>
  </si>
  <si>
    <t>IAXPK9154A</t>
  </si>
  <si>
    <t>Q022945327</t>
  </si>
  <si>
    <t>Q022944735</t>
  </si>
  <si>
    <t>BCUPK7106G</t>
  </si>
  <si>
    <t>SHAKIR KKHAN</t>
  </si>
  <si>
    <t>self-7765917592</t>
  </si>
  <si>
    <t>Ananta Sinha</t>
  </si>
  <si>
    <t>Q022974790</t>
  </si>
  <si>
    <t>Sanatan Mahato</t>
  </si>
  <si>
    <t>ABUPM5736E</t>
  </si>
  <si>
    <t>Sabita Karmakar</t>
  </si>
  <si>
    <t>A117052841</t>
  </si>
  <si>
    <t>A117053270</t>
  </si>
  <si>
    <t>MONIKA HANSDA</t>
  </si>
  <si>
    <t>CHANDMANI LOHAR</t>
  </si>
  <si>
    <t>A117028838</t>
  </si>
  <si>
    <t>A117108285</t>
  </si>
  <si>
    <t>CHANDANI PERWEEN</t>
  </si>
  <si>
    <t>PARAM SARTHAK</t>
  </si>
  <si>
    <t>Q022995866</t>
  </si>
  <si>
    <t>A117108575</t>
  </si>
  <si>
    <t>MUNNI SOREN</t>
  </si>
  <si>
    <t>AASTHA SINGH</t>
  </si>
  <si>
    <t>A117103120</t>
  </si>
  <si>
    <t>Shilpi Sarkar</t>
  </si>
  <si>
    <t>shilpisarkar_nweb</t>
  </si>
  <si>
    <t>Mypass@2026</t>
  </si>
  <si>
    <t>Sonari Sarkar</t>
  </si>
  <si>
    <t>Q023022924</t>
  </si>
  <si>
    <t>SattpaL Singh</t>
  </si>
  <si>
    <t>Abhishek Sahu</t>
  </si>
  <si>
    <t>refunded to somyadeep singha 1700 (15-01-2026</t>
  </si>
  <si>
    <t>Subrata sahu</t>
  </si>
  <si>
    <t>Q023115697</t>
  </si>
  <si>
    <t>Sumitra bhagat</t>
  </si>
  <si>
    <t>Divya Kalindi</t>
  </si>
  <si>
    <t>Raju kalindi</t>
  </si>
  <si>
    <t>rajeev kumar sharma</t>
  </si>
  <si>
    <t>paper given to party for photo</t>
  </si>
  <si>
    <t>Mahender Sahu</t>
  </si>
  <si>
    <t>M Bhaskaran</t>
  </si>
  <si>
    <t xml:space="preserve">Cant be applied </t>
  </si>
  <si>
    <t>Syeda Naghma</t>
  </si>
  <si>
    <t>Adil Ansari</t>
  </si>
  <si>
    <t>Harsh Sharma</t>
  </si>
  <si>
    <t>Nahid Begum</t>
  </si>
  <si>
    <t>Sita Rani</t>
  </si>
  <si>
    <t>VERIFICATION PENDING FOR DPR RESOLUTION</t>
  </si>
  <si>
    <t>q023163335</t>
  </si>
  <si>
    <t>Genious John Bhengra</t>
  </si>
  <si>
    <t>A117713930</t>
  </si>
  <si>
    <t>Ayushman Hanshraj Singh</t>
  </si>
  <si>
    <t>Jabariun ansari</t>
  </si>
  <si>
    <t>A117563225</t>
  </si>
  <si>
    <t>A117562750</t>
  </si>
  <si>
    <t>Vanshika Kunal</t>
  </si>
  <si>
    <t>Mugli Karmakar</t>
  </si>
  <si>
    <t>A117562400</t>
  </si>
  <si>
    <t>A117564282</t>
  </si>
  <si>
    <t>Q023260384</t>
  </si>
  <si>
    <t>Q023260330</t>
  </si>
  <si>
    <t>A117821995</t>
  </si>
  <si>
    <t>a117821758</t>
  </si>
  <si>
    <t>A117821588</t>
  </si>
  <si>
    <t>A117821311</t>
  </si>
  <si>
    <t>Q023263561</t>
  </si>
  <si>
    <t>Imran Khan</t>
  </si>
  <si>
    <t>A117821075</t>
  </si>
  <si>
    <t>Laxmi Ho</t>
  </si>
  <si>
    <t>Salina Smat</t>
  </si>
  <si>
    <t>Q023356288</t>
  </si>
  <si>
    <t>HIRA RAJ</t>
  </si>
  <si>
    <t>Q0236343758</t>
  </si>
  <si>
    <t>RASHIDA KHATOON</t>
  </si>
  <si>
    <t>A118033289</t>
  </si>
  <si>
    <t>PRASHIV SHARMA</t>
  </si>
  <si>
    <t>A118033793</t>
  </si>
  <si>
    <t>HEERA LALHEMANSHU</t>
  </si>
  <si>
    <t>A118034186</t>
  </si>
  <si>
    <t>REKHA RANI SINGH</t>
  </si>
  <si>
    <t>A118034802</t>
  </si>
  <si>
    <t>RASHIKA SHARMA</t>
  </si>
  <si>
    <t>Samir Mandal</t>
  </si>
  <si>
    <t>Chandana Rohidas</t>
  </si>
  <si>
    <t>gowri shankar rabidas</t>
  </si>
  <si>
    <t>Q023405573</t>
  </si>
  <si>
    <t>Balbir Mohan Khullar</t>
  </si>
  <si>
    <t>Ratni Gargi</t>
  </si>
  <si>
    <t>Neelam Khullar</t>
  </si>
  <si>
    <t>Q023438886</t>
  </si>
  <si>
    <t>A118255042</t>
  </si>
  <si>
    <t>Anu Kumar</t>
  </si>
  <si>
    <t>Q023440257</t>
  </si>
  <si>
    <t>A118253183</t>
  </si>
  <si>
    <t>Nishant Kumar Pandey</t>
  </si>
  <si>
    <t>Baliram Pandey</t>
  </si>
  <si>
    <t>Q023405505</t>
  </si>
  <si>
    <t>A118194940</t>
  </si>
  <si>
    <t>Mantasha Parween</t>
  </si>
  <si>
    <t>A118344980</t>
  </si>
  <si>
    <t>Rajoshi Mallik</t>
  </si>
  <si>
    <t>FULL PAID</t>
  </si>
  <si>
    <t>Q023487536</t>
  </si>
  <si>
    <t>Sarabjit Kaur</t>
  </si>
  <si>
    <t>GHOPD5588P</t>
  </si>
  <si>
    <t>LEELA DEVI</t>
  </si>
  <si>
    <t>Leela@2026</t>
  </si>
  <si>
    <t>Kumar Vaibhav</t>
  </si>
  <si>
    <t>Rifyat Jahan</t>
  </si>
  <si>
    <t>Lakhicharan Munda</t>
  </si>
  <si>
    <t>Sushmita Mahato</t>
  </si>
  <si>
    <t>Rishika Raj</t>
  </si>
  <si>
    <t>Soma Gagrai</t>
  </si>
  <si>
    <t>Debi Ghosh</t>
  </si>
  <si>
    <t>Pushpa Das</t>
  </si>
  <si>
    <t>A118569155</t>
  </si>
  <si>
    <t>Akash Sehgal</t>
  </si>
  <si>
    <t>Q023512999</t>
  </si>
  <si>
    <t>CQAPS5902B</t>
  </si>
  <si>
    <t>A118592874</t>
  </si>
  <si>
    <t>A118578497</t>
  </si>
  <si>
    <t>A118576910</t>
  </si>
  <si>
    <t>A118576245</t>
  </si>
  <si>
    <t>a118570456</t>
  </si>
  <si>
    <t>A118569949</t>
  </si>
  <si>
    <t>A118569618</t>
  </si>
  <si>
    <t>A118618959</t>
  </si>
  <si>
    <t>Gupta_nweb</t>
  </si>
  <si>
    <t>Deepa Sharma</t>
  </si>
  <si>
    <t>Akash Bedia</t>
  </si>
  <si>
    <t>Q019770530</t>
  </si>
  <si>
    <t>GURVINDER KAUR GURVINDER SINGH DHILLON</t>
  </si>
  <si>
    <t>A118787723</t>
  </si>
  <si>
    <t>A118786740</t>
  </si>
  <si>
    <t>given formain</t>
  </si>
  <si>
    <t>A118918642</t>
  </si>
  <si>
    <t>JOHAN LAMGA</t>
  </si>
  <si>
    <t>A118916587</t>
  </si>
  <si>
    <t>NAVYA GUPTA</t>
  </si>
  <si>
    <t>a118955707</t>
  </si>
  <si>
    <t>Shreya Mahanti</t>
  </si>
  <si>
    <t>A119095964</t>
  </si>
  <si>
    <t>Shreya Surupa</t>
  </si>
  <si>
    <t>A119095320</t>
  </si>
  <si>
    <t>Manish Kumar Jha</t>
  </si>
  <si>
    <t>Q023787859</t>
  </si>
  <si>
    <t>Sunil Kumar Singh</t>
  </si>
  <si>
    <t>Ridhi Srivastava</t>
  </si>
  <si>
    <t>Natan_nweb</t>
  </si>
  <si>
    <t>Natan kumar bose</t>
  </si>
  <si>
    <t>Biswajeet das</t>
  </si>
  <si>
    <t>A119208756</t>
  </si>
  <si>
    <t>A119270262</t>
  </si>
  <si>
    <t>Tahseen Ejaz</t>
  </si>
  <si>
    <t>Q023893052</t>
  </si>
  <si>
    <t>Tahera Parween</t>
  </si>
  <si>
    <t>A119360582</t>
  </si>
  <si>
    <t>Parminder Kour</t>
  </si>
  <si>
    <t>Arti kumari</t>
  </si>
  <si>
    <t>delivered on 13-03-2026</t>
  </si>
  <si>
    <t>Kalpana Bhuit</t>
  </si>
  <si>
    <t>Bhuit_nweb</t>
  </si>
  <si>
    <t>A119618644</t>
  </si>
  <si>
    <t>Ishika kumario</t>
  </si>
  <si>
    <t>shankaR BIRUA</t>
  </si>
  <si>
    <t>a119617434</t>
  </si>
  <si>
    <t>A119619042</t>
  </si>
  <si>
    <t>Ranji giri</t>
  </si>
  <si>
    <t>Bimal Mahato</t>
  </si>
  <si>
    <t>A119619382</t>
  </si>
  <si>
    <t>Q024010203</t>
  </si>
  <si>
    <t>Amal majhi</t>
  </si>
  <si>
    <t>Sanvi Singh</t>
  </si>
  <si>
    <t>A119617056</t>
  </si>
  <si>
    <t>Yashsvi</t>
  </si>
  <si>
    <t>Himanshu shekhar mahato</t>
  </si>
  <si>
    <t>A119619747</t>
  </si>
  <si>
    <t>A119616448</t>
  </si>
  <si>
    <t>Q024051150</t>
  </si>
  <si>
    <t>Inderjeet Singh</t>
  </si>
  <si>
    <t>Kamaljeet singh manni</t>
  </si>
  <si>
    <t>given to tapan for main apply</t>
  </si>
  <si>
    <t>A119791984</t>
  </si>
  <si>
    <t>Shivanya Singh</t>
  </si>
  <si>
    <t>Q024090881</t>
  </si>
  <si>
    <t>RAMAYAN PRASAD</t>
  </si>
  <si>
    <t>A119829227</t>
  </si>
  <si>
    <t>Induvati Chandil</t>
  </si>
  <si>
    <t>Q024110018</t>
  </si>
  <si>
    <t>Q024108941</t>
  </si>
  <si>
    <t>Swapan Raha</t>
  </si>
  <si>
    <t>Charanjit Singh Golan</t>
  </si>
  <si>
    <t>Reissue</t>
  </si>
  <si>
    <t>A119902515</t>
  </si>
  <si>
    <t>Birochan Mahato</t>
  </si>
  <si>
    <t>Annu Sahu</t>
  </si>
  <si>
    <t>Q024114735</t>
  </si>
  <si>
    <t>Gurpreet Singh</t>
  </si>
  <si>
    <t>A119901927</t>
  </si>
  <si>
    <t>A119900879</t>
  </si>
  <si>
    <t>Kavita Karmakar</t>
  </si>
  <si>
    <t>A119900172</t>
  </si>
  <si>
    <t>Payal Lohar</t>
  </si>
  <si>
    <t>A119901598</t>
  </si>
  <si>
    <t>Shanti Karmakar</t>
  </si>
  <si>
    <t>A119899425</t>
  </si>
  <si>
    <t>Shilpika Mohanta</t>
  </si>
  <si>
    <t>A119901188</t>
  </si>
  <si>
    <t>Krish Sharma</t>
  </si>
  <si>
    <t>Q024122094</t>
  </si>
  <si>
    <t>Sidhartha Bhakat</t>
  </si>
  <si>
    <t>Q018761835</t>
  </si>
  <si>
    <t>RAMBIKA KUMAR</t>
  </si>
  <si>
    <t>reuploded</t>
  </si>
  <si>
    <t>haque_nweb</t>
  </si>
  <si>
    <t>A120098129</t>
  </si>
  <si>
    <t>Basanti Baskey</t>
  </si>
  <si>
    <t>A120099033</t>
  </si>
  <si>
    <t>Suman Jana</t>
  </si>
  <si>
    <t>A120107113</t>
  </si>
  <si>
    <t>Anushka Mahanty</t>
  </si>
  <si>
    <t>Q024189736</t>
  </si>
  <si>
    <t>muhammad shamim</t>
  </si>
  <si>
    <t>ishrat jahan</t>
  </si>
  <si>
    <t>Nweb_jahan</t>
  </si>
  <si>
    <t>Q024200505</t>
  </si>
  <si>
    <t>jayanta choudhury</t>
  </si>
  <si>
    <t>A120321268</t>
  </si>
  <si>
    <t>shreya indra</t>
  </si>
  <si>
    <t>Hriday Shankar Tiwary</t>
  </si>
  <si>
    <t>Vivek kumar singh</t>
  </si>
  <si>
    <t>4hp</t>
  </si>
  <si>
    <t>Tamanna Singh</t>
  </si>
  <si>
    <t>990059750730330</t>
  </si>
  <si>
    <t>6102122227846270</t>
  </si>
  <si>
    <t>Karandeep singh</t>
  </si>
  <si>
    <t>sameya raunaq haque</t>
  </si>
  <si>
    <t>6103143723288933</t>
  </si>
  <si>
    <t>Esha Kumari</t>
  </si>
  <si>
    <t>given to tapan for main apply-7903395186</t>
  </si>
  <si>
    <t>nitish-7739044155</t>
  </si>
  <si>
    <t>Sudhanshu narayan pandey</t>
  </si>
  <si>
    <t>appleid for main</t>
  </si>
  <si>
    <t>6105205127095030</t>
  </si>
  <si>
    <t>Aditya Srivastava</t>
  </si>
  <si>
    <t>m</t>
  </si>
  <si>
    <t>A120679363</t>
  </si>
  <si>
    <t>Mahita Das</t>
  </si>
  <si>
    <t>A120679271</t>
  </si>
  <si>
    <t>Lakshmi kant jha</t>
  </si>
  <si>
    <t>Jiya SEN</t>
  </si>
  <si>
    <t>SIDDHI SEN</t>
  </si>
  <si>
    <t>Prabhav sinha</t>
  </si>
  <si>
    <t>Prabha_nweb</t>
  </si>
  <si>
    <t>200 paid</t>
  </si>
  <si>
    <t>Bisharjan Rai</t>
  </si>
  <si>
    <t>DELIVERED ON 21-04-2026</t>
  </si>
  <si>
    <t>shahid hussain</t>
  </si>
  <si>
    <t>sudhir kumar mishra</t>
  </si>
  <si>
    <t>Medha Sinha</t>
  </si>
  <si>
    <t>A120852298</t>
  </si>
  <si>
    <t>Q024376105</t>
  </si>
  <si>
    <t>A120771949</t>
  </si>
  <si>
    <t>A120772183</t>
  </si>
  <si>
    <t>shree_nweb</t>
  </si>
  <si>
    <t>sanjana shree</t>
  </si>
  <si>
    <t>ARSALAN SOHAIL</t>
  </si>
  <si>
    <t>Mishika DAS</t>
  </si>
  <si>
    <t>990059756218901</t>
  </si>
  <si>
    <t>Santosh dhar dubey</t>
  </si>
  <si>
    <t>990059756221675</t>
  </si>
  <si>
    <t>990059756225341</t>
  </si>
  <si>
    <t>sneha kumari</t>
  </si>
  <si>
    <t>sahala salim</t>
  </si>
  <si>
    <t>A120940900</t>
  </si>
  <si>
    <t>Asmita Kumari</t>
  </si>
  <si>
    <t>990059756446563</t>
  </si>
  <si>
    <t>champai karmakar</t>
  </si>
  <si>
    <t>990059756472172</t>
  </si>
  <si>
    <t>Archana Mahato</t>
  </si>
  <si>
    <t>Q024405564</t>
  </si>
  <si>
    <t>shailesh kumar sinha</t>
  </si>
  <si>
    <t>990059756506505</t>
  </si>
  <si>
    <t>Seema Bhumij</t>
  </si>
  <si>
    <t>990059757013832</t>
  </si>
  <si>
    <t>sumit dutta</t>
  </si>
  <si>
    <t>990059757199811</t>
  </si>
  <si>
    <t>990059757490086</t>
  </si>
  <si>
    <t>Mehwish manwar</t>
  </si>
  <si>
    <t>som nath maity</t>
  </si>
  <si>
    <t>990059758012522</t>
  </si>
  <si>
    <t>990059758153152</t>
  </si>
  <si>
    <t>Eshan Rana</t>
  </si>
  <si>
    <t>Kalim Khan</t>
  </si>
  <si>
    <t>A121268335</t>
  </si>
  <si>
    <t>Avani Bharadwaj Singh</t>
  </si>
  <si>
    <t>A121270883</t>
  </si>
  <si>
    <t>Krishna Ranjan</t>
  </si>
  <si>
    <t>A121269323</t>
  </si>
  <si>
    <t>Shambhavi Singh</t>
  </si>
  <si>
    <t>A121268852</t>
  </si>
  <si>
    <t>Rukhsar Khanam</t>
  </si>
  <si>
    <t>A121269863</t>
  </si>
  <si>
    <t>Usha Tiwary</t>
  </si>
  <si>
    <t>A121274073</t>
  </si>
  <si>
    <t>Ravi Hansda</t>
  </si>
  <si>
    <t>A121272746</t>
  </si>
  <si>
    <t>Tania Dey</t>
  </si>
  <si>
    <t>A121079753</t>
  </si>
  <si>
    <t>A121272140</t>
  </si>
  <si>
    <t>A121273701</t>
  </si>
  <si>
    <t>A121273431</t>
  </si>
  <si>
    <t>Muskan Sharma</t>
  </si>
  <si>
    <t>A121271892</t>
  </si>
  <si>
    <t>A121282194</t>
  </si>
  <si>
    <t>Kunal Verma</t>
  </si>
  <si>
    <t>A121281914</t>
  </si>
  <si>
    <t>Parwati Lohar</t>
  </si>
  <si>
    <t>Q024520566</t>
  </si>
  <si>
    <t>Sk Sohail</t>
  </si>
  <si>
    <t>Q024521242</t>
  </si>
  <si>
    <t>Amandeep Singh</t>
  </si>
  <si>
    <t>S Rahul</t>
  </si>
  <si>
    <t>srahul_nweb</t>
  </si>
  <si>
    <t>Md Shadil Nazim</t>
  </si>
  <si>
    <t>Samridhi Pragya</t>
  </si>
  <si>
    <t>Shaswat Singh</t>
  </si>
  <si>
    <t>q024550252</t>
  </si>
  <si>
    <t>Ranjan kumar singh</t>
  </si>
  <si>
    <t>Kiran@8310M</t>
  </si>
  <si>
    <t>Manoj@3527f</t>
  </si>
  <si>
    <t>Shreya maity</t>
  </si>
  <si>
    <t>Md shadil nazim</t>
  </si>
  <si>
    <t>A121556015</t>
  </si>
  <si>
    <t>A121554887</t>
  </si>
  <si>
    <t>Harshit Ranjan</t>
  </si>
  <si>
    <t>A121555283</t>
  </si>
  <si>
    <t>Aditi Padey</t>
  </si>
  <si>
    <t>A121556226</t>
  </si>
  <si>
    <t>Hanzala Seemak</t>
  </si>
  <si>
    <t>PRABHU NATH PAUL</t>
  </si>
  <si>
    <t>DL-RENEW</t>
  </si>
  <si>
    <t>ANS</t>
  </si>
  <si>
    <t>Muneer ahmad</t>
  </si>
  <si>
    <t>aparna raju</t>
  </si>
  <si>
    <t>Manish kumar thakur</t>
  </si>
  <si>
    <t>hpr4</t>
  </si>
  <si>
    <t>4trnsfr-tpn2K</t>
  </si>
  <si>
    <t>HP-TP=2K8H</t>
  </si>
  <si>
    <t>HP-1.5K(4)-1.4k(2)</t>
  </si>
  <si>
    <t>Shilpa Patra</t>
  </si>
  <si>
    <t>hadi khan</t>
  </si>
  <si>
    <t>Aich@2025#</t>
  </si>
  <si>
    <t>itr2</t>
  </si>
  <si>
    <t>Aniket kumar singh</t>
  </si>
  <si>
    <t>Rohit Srivastava</t>
  </si>
  <si>
    <t>Q024692951</t>
  </si>
  <si>
    <t>Malti Devi</t>
  </si>
  <si>
    <t>A121805099</t>
  </si>
  <si>
    <t>Sukirti Pathak</t>
  </si>
  <si>
    <t>A121605445</t>
  </si>
  <si>
    <t>Foziya Parveen</t>
  </si>
  <si>
    <t>Fatima Khatoon</t>
  </si>
  <si>
    <t>Pratha Kumari</t>
  </si>
  <si>
    <t>DELIVERED ON 13-06-2026</t>
  </si>
  <si>
    <t>Q024706114</t>
  </si>
  <si>
    <t>A121857925</t>
  </si>
  <si>
    <t>hp</t>
  </si>
  <si>
    <t>Uttam Ganguli-Anil kr vishwkarma</t>
  </si>
  <si>
    <t>A121860123</t>
  </si>
  <si>
    <t>UPENDRA SINGH(HUF)</t>
  </si>
  <si>
    <t>nibha bharati</t>
  </si>
  <si>
    <t>Nikhat Khatoon</t>
  </si>
  <si>
    <t>A121923665</t>
  </si>
  <si>
    <t>praneel sahu</t>
  </si>
  <si>
    <t>BKJPS8033H</t>
  </si>
  <si>
    <t>md saleem</t>
  </si>
  <si>
    <t>Saleem@2026#</t>
  </si>
  <si>
    <t>AEQPS3582M</t>
  </si>
  <si>
    <t>SUBRATA SAHU</t>
  </si>
  <si>
    <t>Verma@2026#</t>
  </si>
  <si>
    <t>BNVPS8167B</t>
  </si>
  <si>
    <t>Sah@2026##</t>
  </si>
  <si>
    <t>MD TAUQEER IQBAL</t>
  </si>
  <si>
    <t>Khokan Kumari</t>
  </si>
  <si>
    <t>re-regn(2)</t>
  </si>
  <si>
    <t>Q024793572</t>
  </si>
  <si>
    <t>INFPK1204L</t>
  </si>
  <si>
    <t>Q024793680</t>
  </si>
  <si>
    <t>DROPK4061F</t>
  </si>
  <si>
    <t>RAJANI KUMARI</t>
  </si>
  <si>
    <t>APARNA NARAYANI</t>
  </si>
  <si>
    <t>A122094570</t>
  </si>
  <si>
    <t>bindu mandal</t>
  </si>
  <si>
    <t>Indira lodh</t>
  </si>
  <si>
    <t>Q024822511</t>
  </si>
  <si>
    <t>agbpl4558p</t>
  </si>
  <si>
    <t>Nikita Mahato</t>
  </si>
  <si>
    <t>A122167435</t>
  </si>
  <si>
    <t>Subham Kumar</t>
  </si>
  <si>
    <t>Shrestha Sarkar</t>
  </si>
  <si>
    <t>Full paid Gpay 2500 on 27-06-2026</t>
  </si>
  <si>
    <t>Renwal</t>
  </si>
  <si>
    <t>Q024839445</t>
  </si>
  <si>
    <t>Nasir Hussain</t>
  </si>
  <si>
    <t>A122213951</t>
  </si>
  <si>
    <t>Q024839640</t>
  </si>
  <si>
    <t>Angad Darwe</t>
  </si>
  <si>
    <t>BCMPS2451Q</t>
  </si>
  <si>
    <t>JITENDRA KUMAR SINGH</t>
  </si>
  <si>
    <t>Aditya kumar</t>
  </si>
  <si>
    <t>A122286591</t>
  </si>
  <si>
    <t>Sandeep kumar singh</t>
  </si>
  <si>
    <t>A122256497</t>
  </si>
  <si>
    <t>Q024884495</t>
  </si>
  <si>
    <t>Rizwana tabassum</t>
  </si>
  <si>
    <t>BJXPT5198K</t>
  </si>
  <si>
    <t>A122330310</t>
  </si>
  <si>
    <t>Joshmin Bhumij</t>
  </si>
  <si>
    <t>Q024884326</t>
  </si>
  <si>
    <t>Sharvesh</t>
  </si>
  <si>
    <t>A122331422</t>
  </si>
  <si>
    <t>A122330730</t>
  </si>
  <si>
    <t>Dulari  Hansda</t>
  </si>
  <si>
    <t>A122331934</t>
  </si>
  <si>
    <t>nanina gorai</t>
  </si>
  <si>
    <t>Vijay@2026#</t>
  </si>
  <si>
    <t>dl rcvd</t>
  </si>
  <si>
    <t>AMVPJ5013D</t>
  </si>
  <si>
    <t>AJATY KUMAR JHA</t>
  </si>
  <si>
    <t>BNYPS5172F</t>
  </si>
  <si>
    <t>PRAMOD KUMAR SHARMA</t>
  </si>
  <si>
    <t>Navin@2026#</t>
  </si>
  <si>
    <t>AKRPD5506D</t>
  </si>
  <si>
    <t>Vinod prasad dinkar</t>
  </si>
  <si>
    <t>Prasad@2026#</t>
  </si>
  <si>
    <t>???</t>
  </si>
  <si>
    <t>Sharma@2026#</t>
  </si>
  <si>
    <t>Avani Mishra</t>
  </si>
  <si>
    <t>Q024885396</t>
  </si>
  <si>
    <t>LABH@2026</t>
  </si>
  <si>
    <t>manish kumar mandal</t>
  </si>
  <si>
    <t>ANFPP7410B</t>
  </si>
  <si>
    <t>VED PRAKASHPURI</t>
  </si>
  <si>
    <t>Puri@2026#</t>
  </si>
  <si>
    <t>AKMPN0336N</t>
  </si>
  <si>
    <t>SHAGUFTA NAZ</t>
  </si>
  <si>
    <t>Naz@2026#</t>
  </si>
  <si>
    <t>BKYPK9519D</t>
  </si>
  <si>
    <t>MOHAMAD IMRAN KHAN</t>
  </si>
  <si>
    <t>Imran@2026#</t>
  </si>
  <si>
    <t>Sanjay Choudhary</t>
  </si>
  <si>
    <t>APAPM8889A</t>
  </si>
  <si>
    <t>Anup kumar mukherjee</t>
  </si>
  <si>
    <t>Anup@2026#</t>
  </si>
  <si>
    <t>Ashok Thakur</t>
  </si>
  <si>
    <t>AKIPT1109M</t>
  </si>
  <si>
    <t>Thakur@2026#</t>
  </si>
  <si>
    <t>chintu anand</t>
  </si>
  <si>
    <t>Dutta@2026#</t>
  </si>
  <si>
    <t>Mahato@2026#</t>
  </si>
  <si>
    <t>Tamojit@2026#</t>
  </si>
  <si>
    <t>BJTPS3973F</t>
  </si>
  <si>
    <t>Shree Ram Singh</t>
  </si>
  <si>
    <t>Singh@2026#</t>
  </si>
  <si>
    <t>Kumar@2026#</t>
  </si>
  <si>
    <t>AFKPT8566J</t>
  </si>
  <si>
    <t>Shashi bhushan tiwary</t>
  </si>
  <si>
    <t>Tiwary@2026#</t>
  </si>
  <si>
    <t>Arup Kumar guha</t>
  </si>
  <si>
    <t>AYTPS9538E</t>
  </si>
  <si>
    <t>Shambhu Kumar Srivastava</t>
  </si>
  <si>
    <t>AEIPS8238L</t>
  </si>
  <si>
    <t>Jaydeep sahu</t>
  </si>
  <si>
    <t>Sahu@2026#</t>
  </si>
  <si>
    <t>BKMPK5656B</t>
  </si>
  <si>
    <t>PANKAJ KUMAR</t>
  </si>
  <si>
    <t>Kumar@2026@</t>
  </si>
  <si>
    <t>Kumari@2026#</t>
  </si>
  <si>
    <t>MVYPK3475L</t>
  </si>
  <si>
    <t>sabnam khatoon</t>
  </si>
  <si>
    <t>Sabnam@2026#</t>
  </si>
  <si>
    <t>Kartik Kundu</t>
  </si>
  <si>
    <t>Q025032301</t>
  </si>
  <si>
    <t>Tapas Ranjan Gupta</t>
  </si>
  <si>
    <t>Q025032983</t>
  </si>
  <si>
    <t>Chirag Roy</t>
  </si>
  <si>
    <t>BZCPK1784R</t>
  </si>
  <si>
    <t>Chandana karmakar</t>
  </si>
  <si>
    <t>Chandana@2026#</t>
  </si>
  <si>
    <t>Mani Gorai</t>
  </si>
  <si>
    <t>A122637652</t>
  </si>
  <si>
    <t>A122849782</t>
  </si>
  <si>
    <t>23/24/25/</t>
  </si>
  <si>
    <t>Vaishnavi Bharti</t>
  </si>
  <si>
    <t>Q025117582</t>
  </si>
  <si>
    <t>23/24/25</t>
  </si>
  <si>
    <t>ABHPG7162K</t>
  </si>
  <si>
    <t>Hardeep@1964</t>
  </si>
  <si>
    <t>????</t>
  </si>
  <si>
    <t>Vandana Kumari</t>
  </si>
  <si>
    <t>A123059478</t>
  </si>
  <si>
    <t>A123074782</t>
  </si>
  <si>
    <t>biswajit sahu</t>
  </si>
  <si>
    <t>BLFPK6849C</t>
  </si>
  <si>
    <t>ashok Kumar</t>
  </si>
  <si>
    <t>Sinha@2026#</t>
  </si>
  <si>
    <t>AKKPK9409M</t>
  </si>
  <si>
    <t>ioipk9499r</t>
  </si>
  <si>
    <t>Kant@2026#</t>
  </si>
  <si>
    <t>Ashish Kant</t>
  </si>
  <si>
    <t>Shyama Pada sahu</t>
  </si>
  <si>
    <t>Smita kumari</t>
  </si>
  <si>
    <t>a123116656</t>
  </si>
  <si>
    <t>Ashna Naz</t>
  </si>
  <si>
    <t>Gupta@2026#</t>
  </si>
  <si>
    <t>A123132933</t>
  </si>
  <si>
    <t>Abdul Zaid</t>
  </si>
  <si>
    <t>Aniket KumaR</t>
  </si>
  <si>
    <t>A123178742</t>
  </si>
  <si>
    <t>Lakshya Sharma</t>
  </si>
  <si>
    <t>A123187774</t>
  </si>
  <si>
    <t>Ravi Raj Singh</t>
  </si>
  <si>
    <t>rcvd. 2500 on 01/08/2026</t>
  </si>
  <si>
    <t>ABDPJ9727H</t>
  </si>
  <si>
    <t>Mithilendu Kumar Jha</t>
  </si>
  <si>
    <t>A123239987</t>
  </si>
  <si>
    <t>DURGA KAUR</t>
  </si>
  <si>
    <t>DEBOSHREE SAHU</t>
  </si>
  <si>
    <t>A123240343</t>
  </si>
  <si>
    <t>Q025250530</t>
  </si>
  <si>
    <t>parween tahera</t>
  </si>
  <si>
    <t>A123340804</t>
  </si>
  <si>
    <t>nandini sharma</t>
  </si>
  <si>
    <t>Jiya Pandey</t>
  </si>
  <si>
    <t>A123361634</t>
  </si>
  <si>
    <t>Q0252711444</t>
  </si>
  <si>
    <t>Rashmi Verma</t>
  </si>
  <si>
    <t>A123407436</t>
  </si>
  <si>
    <t>BHOOMIKA GORAI</t>
  </si>
  <si>
    <t>ZAARA USMANI</t>
  </si>
  <si>
    <t>Sanish Kumar</t>
  </si>
  <si>
    <t>A123407878</t>
  </si>
  <si>
    <t>Q025320941</t>
  </si>
  <si>
    <t>sanjay singh</t>
  </si>
  <si>
    <t>Md Soyam mallik</t>
  </si>
  <si>
    <t>A123501430</t>
  </si>
  <si>
    <t>Aman kumar ray</t>
  </si>
  <si>
    <t>A123501752</t>
  </si>
  <si>
    <t>Q025314201</t>
  </si>
  <si>
    <t>UMAKANT BEHERA</t>
  </si>
  <si>
    <t>delivered on 13-08-2026</t>
  </si>
  <si>
    <t>A123563171</t>
  </si>
  <si>
    <t>Ayush Paul</t>
  </si>
  <si>
    <t>1st file</t>
  </si>
  <si>
    <t>Susmia raha</t>
  </si>
  <si>
    <t>Ranjeet Kumar Mahato</t>
  </si>
  <si>
    <t>Sahil Thakur</t>
  </si>
  <si>
    <t>Q025413311</t>
  </si>
  <si>
    <t>Shashank Kumar Shome</t>
  </si>
  <si>
    <t>Q025413443</t>
  </si>
  <si>
    <t>Shreyan Bhattacharjee</t>
  </si>
  <si>
    <t>A123844622</t>
  </si>
  <si>
    <t>Q025474441</t>
  </si>
  <si>
    <t>Ansh Bawa</t>
  </si>
  <si>
    <t>Q025474517</t>
  </si>
  <si>
    <t>Q025474567</t>
  </si>
  <si>
    <t>AKASH RAM</t>
  </si>
  <si>
    <t>AKSHAY GORAI</t>
  </si>
  <si>
    <t>A123954366</t>
  </si>
  <si>
    <t>Riya Singh</t>
  </si>
  <si>
    <t>Q025475002</t>
  </si>
  <si>
    <t>Nimra Fatima</t>
  </si>
  <si>
    <t>A123990236</t>
  </si>
  <si>
    <t>Md Jalil</t>
  </si>
  <si>
    <t>9-0</t>
  </si>
  <si>
    <t>4000+</t>
  </si>
  <si>
    <t>Mypass@26</t>
  </si>
  <si>
    <t>Ashim kumar khan</t>
  </si>
  <si>
    <t>two</t>
  </si>
  <si>
    <t>3500+</t>
  </si>
  <si>
    <t>slot for main test</t>
  </si>
  <si>
    <t>A025539445</t>
  </si>
  <si>
    <t>Muhamad Gouse Beebi</t>
  </si>
  <si>
    <t>A124144121</t>
  </si>
  <si>
    <t>Kajal Sardar</t>
  </si>
  <si>
    <t>Araf Alam</t>
  </si>
  <si>
    <t>A124174853</t>
  </si>
  <si>
    <t>Kiran Kumari</t>
  </si>
  <si>
    <t>Two</t>
  </si>
  <si>
    <t>Sylvester Tirkey</t>
  </si>
  <si>
    <t>Q025584409</t>
  </si>
  <si>
    <t>Mou Mukherjee</t>
  </si>
  <si>
    <t>A124287321</t>
  </si>
  <si>
    <t>A124286921</t>
  </si>
  <si>
    <t>KUSHAGRA DIKSHIT</t>
  </si>
  <si>
    <t>A124343253</t>
  </si>
  <si>
    <t>SONI SINGH</t>
  </si>
  <si>
    <t>SAMAR NAIN</t>
  </si>
  <si>
    <t>Q025600078</t>
  </si>
  <si>
    <t>A124378726</t>
  </si>
  <si>
    <t>piyush kumar singh</t>
  </si>
  <si>
    <t>Mohammad Azam Ali</t>
  </si>
  <si>
    <t>(four+ADDRESS)</t>
  </si>
  <si>
    <t>Sajid ali Khan</t>
  </si>
  <si>
    <t>sajid_nweb</t>
  </si>
  <si>
    <t>Abhirup raha</t>
  </si>
  <si>
    <t>fee paid</t>
  </si>
  <si>
    <t>tfr2-14</t>
  </si>
  <si>
    <t>Priyojay mahato-seller</t>
  </si>
  <si>
    <t>8092150479(P)</t>
  </si>
  <si>
    <t>transf-2</t>
  </si>
  <si>
    <t>A124603540</t>
  </si>
  <si>
    <t>Tuhin Tewary</t>
  </si>
  <si>
    <t>Guriya Devi</t>
  </si>
  <si>
    <t>A124608362</t>
  </si>
  <si>
    <t>sonali mahato</t>
  </si>
  <si>
    <t>A124626666</t>
  </si>
  <si>
    <t>Q025743494</t>
  </si>
  <si>
    <t>RADHEY SHYAM BANDIYA</t>
  </si>
  <si>
    <t>A124776712</t>
  </si>
  <si>
    <t>NEELAM SHARMA</t>
  </si>
  <si>
    <t>A124805691</t>
  </si>
  <si>
    <t>RABITA TUTI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</si>
</sst>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dd\-mm\-yyyy"/>
    <numFmt numFmtId="165" formatCode="\X\X"/>
  </numFmts>
  <fonts count="18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9"/>
      <color rgb="FF000000"/>
      <name val="Arial"/>
      <family val="2"/>
    </font>
    <font>
      <sz val="11"/>
      <color theme="10"/>
      <name val="Calibri"/>
      <family val="2"/>
    </font>
    <font>
      <b/>
      <sz val="11"/>
      <color rgb="FF000000"/>
      <name val="Arial"/>
      <family val="2"/>
    </font>
    <font>
      <sz val="14"/>
      <color theme="1"/>
      <name val="Calibri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b/>
      <u/>
      <sz val="9"/>
      <color rgb="FF000000"/>
      <name val="Arial"/>
      <family val="2"/>
    </font>
    <font>
      <b/>
      <sz val="14"/>
      <color theme="1"/>
      <name val="Calibri"/>
      <family val="2"/>
    </font>
    <font>
      <sz val="14"/>
      <color rgb="FFFF0000"/>
      <name val="Calibri"/>
      <family val="2"/>
    </font>
    <font>
      <b/>
      <sz val="14"/>
      <color rgb="FF00B050"/>
      <name val="Calibri"/>
      <family val="2"/>
    </font>
    <font>
      <sz val="14"/>
      <color rgb="FF0070C0"/>
      <name val="Calibri"/>
      <family val="2"/>
    </font>
    <font>
      <b/>
      <u/>
      <sz val="14"/>
      <color rgb="FF00B050"/>
      <name val="Calibri"/>
      <family val="2"/>
    </font>
    <font>
      <b/>
      <u/>
      <sz val="11"/>
      <color rgb="FF00B050"/>
      <name val="Calibri"/>
      <family val="2"/>
    </font>
    <font>
      <b/>
      <sz val="11"/>
      <color rgb="FF00B050"/>
      <name val="Arial"/>
      <family val="2"/>
    </font>
    <font>
      <u/>
      <sz val="14"/>
      <color rgb="FF0000FF"/>
      <name val="Calibri"/>
      <family val="2"/>
    </font>
    <font>
      <sz val="14"/>
      <color rgb="FF00B050"/>
      <name val="Calibri"/>
      <family val="2"/>
    </font>
    <font>
      <u/>
      <sz val="14"/>
      <color theme="10"/>
      <name val="Calibri"/>
      <family val="2"/>
    </font>
    <font>
      <b/>
      <sz val="14"/>
      <color rgb="FF00000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Calibri"/>
      <family val="2"/>
    </font>
    <font>
      <b/>
      <sz val="11"/>
      <color rgb="FF4DA9FF"/>
      <name val="Arial"/>
      <family val="2"/>
    </font>
    <font>
      <b/>
      <u/>
      <sz val="11"/>
      <color rgb="FF2A6496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rial"/>
      <family val="2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0"/>
      <name val="Calibri"/>
      <family val="2"/>
    </font>
    <font>
      <u/>
      <sz val="14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FF"/>
      <name val="Arial"/>
      <family val="2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name val="Calibri"/>
      <family val="2"/>
    </font>
    <font>
      <sz val="11"/>
      <color theme="1"/>
      <name val="Roboto"/>
    </font>
    <font>
      <u/>
      <sz val="11"/>
      <color rgb="FFFF0000"/>
      <name val="Calibri"/>
      <family val="2"/>
      <scheme val="minor"/>
    </font>
    <font>
      <b/>
      <sz val="11"/>
      <color rgb="FF484646"/>
      <name val="Arial"/>
      <family val="2"/>
    </font>
    <font>
      <sz val="14"/>
      <color rgb="FFFF0000"/>
      <name val="Calibri"/>
      <family val="2"/>
      <scheme val="minor"/>
    </font>
    <font>
      <b/>
      <sz val="11"/>
      <color rgb="FF212529"/>
      <name val="Times New Roman"/>
      <family val="1"/>
    </font>
    <font>
      <b/>
      <sz val="11"/>
      <color theme="1"/>
      <name val="Calibri"/>
      <family val="2"/>
      <scheme val="minor"/>
    </font>
    <font>
      <i/>
      <sz val="10"/>
      <color rgb="FF000000"/>
      <name val="Arial"/>
      <family val="2"/>
    </font>
    <font>
      <i/>
      <sz val="12"/>
      <color rgb="FFA52A2A"/>
      <name val="Calibri"/>
      <family val="2"/>
    </font>
    <font>
      <b/>
      <sz val="11"/>
      <color theme="1"/>
      <name val="Calibri"/>
      <family val="2"/>
    </font>
    <font>
      <b/>
      <sz val="9"/>
      <color rgb="FF333333"/>
      <name val="Trebuchet MS"/>
      <family val="2"/>
    </font>
    <font>
      <sz val="10"/>
      <color rgb="FF222222"/>
      <name val="Arial"/>
      <family val="2"/>
    </font>
    <font>
      <b/>
      <sz val="9"/>
      <color rgb="FF000000"/>
      <name val="Arial"/>
      <family val="2"/>
    </font>
    <font>
      <sz val="11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0"/>
      <color rgb="FF242E66"/>
      <name val="Verdana"/>
      <family val="2"/>
    </font>
    <font>
      <sz val="11"/>
      <color rgb="FFE36C09"/>
      <name val="Calibri"/>
      <family val="2"/>
    </font>
    <font>
      <b/>
      <sz val="14"/>
      <color rgb="FF000000"/>
      <name val="Times New Roman"/>
      <family val="1"/>
    </font>
    <font>
      <b/>
      <sz val="8"/>
      <color rgb="FF242E66"/>
      <name val="Verdana"/>
      <family val="2"/>
    </font>
    <font>
      <b/>
      <sz val="7"/>
      <color rgb="FF000000"/>
      <name val="Arial"/>
      <family val="2"/>
    </font>
    <font>
      <sz val="11"/>
      <color rgb="FF0070C0"/>
      <name val="Calibri"/>
      <family val="2"/>
    </font>
    <font>
      <sz val="11"/>
      <color rgb="FF00B050"/>
      <name val="Calibr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7"/>
      <color rgb="FF191919"/>
      <name val="Arial"/>
      <family val="2"/>
    </font>
    <font>
      <b/>
      <sz val="7"/>
      <color rgb="FF333333"/>
      <name val="Arial"/>
      <family val="2"/>
    </font>
    <font>
      <sz val="10"/>
      <color rgb="FF212529"/>
      <name val="Arial"/>
      <family val="2"/>
    </font>
    <font>
      <b/>
      <sz val="8"/>
      <color theme="1"/>
      <name val="Roboto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6F7F8"/>
        <bgColor rgb="FFF6F7F8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E36C09"/>
        <bgColor rgb="FFE36C0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0" fontId="147" fillId="0" borderId="0" applyNumberFormat="0" applyFill="0" applyBorder="0" applyAlignment="0" applyProtection="0"/>
    <xf numFmtId="0" fontId="156" fillId="10" borderId="0" applyNumberFormat="0" applyBorder="0" applyAlignment="0" applyProtection="0"/>
  </cellStyleXfs>
  <cellXfs count="594">
    <xf numFmtId="0" fontId="0" fillId="0" borderId="0" xfId="0"/>
    <xf numFmtId="14" fontId="120" fillId="0" borderId="0" xfId="0" applyNumberFormat="1" applyFont="1"/>
    <xf numFmtId="0" fontId="120" fillId="0" borderId="0" xfId="0" applyFont="1"/>
    <xf numFmtId="0" fontId="120" fillId="3" borderId="1" xfId="0" applyFont="1" applyFill="1" applyBorder="1"/>
    <xf numFmtId="0" fontId="120" fillId="4" borderId="1" xfId="0" applyFont="1" applyFill="1" applyBorder="1"/>
    <xf numFmtId="2" fontId="120" fillId="0" borderId="0" xfId="0" applyNumberFormat="1" applyFont="1"/>
    <xf numFmtId="1" fontId="120" fillId="0" borderId="0" xfId="0" applyNumberFormat="1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14" fontId="123" fillId="0" borderId="0" xfId="0" applyNumberFormat="1" applyFont="1"/>
    <xf numFmtId="0" fontId="128" fillId="0" borderId="0" xfId="0" applyFont="1"/>
    <xf numFmtId="0" fontId="120" fillId="0" borderId="0" xfId="0" applyFont="1" applyAlignment="1">
      <alignment horizontal="center" vertical="center"/>
    </xf>
    <xf numFmtId="2" fontId="120" fillId="0" borderId="0" xfId="0" applyNumberFormat="1" applyFont="1" applyAlignment="1">
      <alignment horizontal="center" vertical="center"/>
    </xf>
    <xf numFmtId="0" fontId="120" fillId="5" borderId="1" xfId="0" applyFont="1" applyFill="1" applyBorder="1"/>
    <xf numFmtId="0" fontId="129" fillId="0" borderId="0" xfId="0" applyFont="1"/>
    <xf numFmtId="0" fontId="129" fillId="5" borderId="1" xfId="0" applyFont="1" applyFill="1" applyBorder="1" applyAlignment="1">
      <alignment vertical="center" wrapText="1"/>
    </xf>
    <xf numFmtId="0" fontId="130" fillId="0" borderId="0" xfId="0" applyFont="1"/>
    <xf numFmtId="0" fontId="131" fillId="6" borderId="1" xfId="0" applyFont="1" applyFill="1" applyBorder="1" applyAlignment="1">
      <alignment vertical="center" wrapText="1"/>
    </xf>
    <xf numFmtId="2" fontId="123" fillId="0" borderId="0" xfId="0" applyNumberFormat="1" applyFont="1"/>
    <xf numFmtId="14" fontId="132" fillId="0" borderId="0" xfId="0" applyNumberFormat="1" applyFont="1" applyAlignment="1">
      <alignment horizontal="right" wrapText="1"/>
    </xf>
    <xf numFmtId="0" fontId="132" fillId="0" borderId="0" xfId="0" applyFont="1" applyAlignment="1">
      <alignment horizontal="center" wrapText="1"/>
    </xf>
    <xf numFmtId="14" fontId="132" fillId="0" borderId="0" xfId="0" applyNumberFormat="1" applyFont="1" applyAlignment="1">
      <alignment wrapText="1"/>
    </xf>
    <xf numFmtId="0" fontId="132" fillId="0" borderId="0" xfId="0" applyFont="1" applyAlignment="1">
      <alignment wrapText="1"/>
    </xf>
    <xf numFmtId="14" fontId="132" fillId="0" borderId="0" xfId="0" applyNumberFormat="1" applyFont="1" applyAlignment="1">
      <alignment horizontal="center" wrapText="1"/>
    </xf>
    <xf numFmtId="14" fontId="128" fillId="0" borderId="0" xfId="0" applyNumberFormat="1" applyFont="1" applyAlignment="1">
      <alignment horizontal="right"/>
    </xf>
    <xf numFmtId="0" fontId="128" fillId="0" borderId="0" xfId="0" applyFont="1" applyAlignment="1">
      <alignment horizontal="center" wrapText="1"/>
    </xf>
    <xf numFmtId="14" fontId="128" fillId="0" borderId="0" xfId="0" applyNumberFormat="1" applyFont="1"/>
    <xf numFmtId="14" fontId="128" fillId="0" borderId="0" xfId="0" applyNumberFormat="1" applyFont="1" applyAlignment="1">
      <alignment horizontal="center" wrapText="1"/>
    </xf>
    <xf numFmtId="0" fontId="133" fillId="0" borderId="0" xfId="0" applyFont="1"/>
    <xf numFmtId="14" fontId="134" fillId="0" borderId="0" xfId="0" applyNumberFormat="1" applyFont="1" applyAlignment="1">
      <alignment horizontal="right"/>
    </xf>
    <xf numFmtId="14" fontId="134" fillId="0" borderId="0" xfId="0" applyNumberFormat="1" applyFont="1"/>
    <xf numFmtId="0" fontId="134" fillId="0" borderId="0" xfId="0" applyFont="1"/>
    <xf numFmtId="1" fontId="134" fillId="0" borderId="0" xfId="0" applyNumberFormat="1" applyFont="1" applyAlignment="1">
      <alignment horizontal="center"/>
    </xf>
    <xf numFmtId="0" fontId="128" fillId="0" borderId="0" xfId="0" applyFont="1" applyAlignment="1">
      <alignment horizontal="center"/>
    </xf>
    <xf numFmtId="0" fontId="128" fillId="0" borderId="0" xfId="0" applyFont="1" applyAlignment="1">
      <alignment horizontal="right"/>
    </xf>
    <xf numFmtId="0" fontId="134" fillId="0" borderId="0" xfId="0" applyFont="1" applyAlignment="1">
      <alignment horizontal="center"/>
    </xf>
    <xf numFmtId="14" fontId="128" fillId="4" borderId="1" xfId="0" applyNumberFormat="1" applyFont="1" applyFill="1" applyBorder="1"/>
    <xf numFmtId="14" fontId="135" fillId="0" borderId="0" xfId="0" applyNumberFormat="1" applyFont="1"/>
    <xf numFmtId="0" fontId="136" fillId="0" borderId="0" xfId="0" applyFont="1" applyAlignment="1">
      <alignment horizontal="center"/>
    </xf>
    <xf numFmtId="14" fontId="132" fillId="0" borderId="0" xfId="0" applyNumberFormat="1" applyFont="1" applyAlignment="1">
      <alignment horizontal="right"/>
    </xf>
    <xf numFmtId="0" fontId="132" fillId="0" borderId="0" xfId="0" applyFont="1"/>
    <xf numFmtId="14" fontId="132" fillId="0" borderId="0" xfId="0" applyNumberFormat="1" applyFont="1"/>
    <xf numFmtId="0" fontId="132" fillId="0" borderId="0" xfId="0" applyFont="1" applyAlignment="1">
      <alignment horizontal="center"/>
    </xf>
    <xf numFmtId="0" fontId="137" fillId="0" borderId="0" xfId="0" applyFont="1" applyAlignment="1">
      <alignment horizontal="center"/>
    </xf>
    <xf numFmtId="0" fontId="134" fillId="0" borderId="0" xfId="0" applyFont="1" applyAlignment="1">
      <alignment horizontal="right"/>
    </xf>
    <xf numFmtId="0" fontId="138" fillId="0" borderId="0" xfId="0" applyFont="1" applyAlignment="1">
      <alignment horizontal="center"/>
    </xf>
    <xf numFmtId="14" fontId="133" fillId="0" borderId="0" xfId="0" applyNumberFormat="1" applyFont="1"/>
    <xf numFmtId="0" fontId="139" fillId="0" borderId="0" xfId="0" applyFont="1"/>
    <xf numFmtId="14" fontId="140" fillId="0" borderId="0" xfId="0" applyNumberFormat="1" applyFont="1" applyAlignment="1">
      <alignment horizontal="right"/>
    </xf>
    <xf numFmtId="0" fontId="140" fillId="0" borderId="0" xfId="0" applyFont="1"/>
    <xf numFmtId="14" fontId="140" fillId="0" borderId="0" xfId="0" applyNumberFormat="1" applyFont="1"/>
    <xf numFmtId="0" fontId="138" fillId="0" borderId="0" xfId="0" applyFont="1" applyAlignment="1">
      <alignment horizontal="left" vertical="center" wrapText="1"/>
    </xf>
    <xf numFmtId="0" fontId="141" fillId="0" borderId="0" xfId="0" applyFont="1"/>
    <xf numFmtId="0" fontId="142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14" fontId="133" fillId="0" borderId="0" xfId="0" applyNumberFormat="1" applyFont="1" applyAlignment="1">
      <alignment horizontal="left"/>
    </xf>
    <xf numFmtId="0" fontId="140" fillId="0" borderId="0" xfId="0" applyFont="1" applyAlignment="1">
      <alignment horizontal="center"/>
    </xf>
    <xf numFmtId="14" fontId="134" fillId="0" borderId="0" xfId="0" applyNumberFormat="1" applyFont="1" applyAlignment="1">
      <alignment horizontal="left"/>
    </xf>
    <xf numFmtId="0" fontId="134" fillId="0" borderId="0" xfId="0" applyFont="1" applyAlignment="1">
      <alignment horizontal="left"/>
    </xf>
    <xf numFmtId="0" fontId="138" fillId="0" borderId="0" xfId="0" applyFont="1" applyAlignment="1">
      <alignment horizontal="center" vertical="center" wrapText="1"/>
    </xf>
    <xf numFmtId="14" fontId="144" fillId="0" borderId="0" xfId="0" applyNumberFormat="1" applyFont="1" applyAlignment="1">
      <alignment horizontal="left"/>
    </xf>
    <xf numFmtId="0" fontId="138" fillId="0" borderId="0" xfId="0" applyFont="1" applyAlignment="1">
      <alignment horizontal="right" vertical="center" wrapText="1"/>
    </xf>
    <xf numFmtId="0" fontId="133" fillId="0" borderId="0" xfId="0" applyFont="1" applyAlignment="1">
      <alignment horizontal="left"/>
    </xf>
    <xf numFmtId="14" fontId="140" fillId="0" borderId="0" xfId="0" applyNumberFormat="1" applyFont="1" applyAlignment="1">
      <alignment horizontal="left"/>
    </xf>
    <xf numFmtId="14" fontId="128" fillId="4" borderId="1" xfId="0" applyNumberFormat="1" applyFont="1" applyFill="1" applyBorder="1" applyAlignment="1">
      <alignment horizontal="right"/>
    </xf>
    <xf numFmtId="0" fontId="128" fillId="4" borderId="1" xfId="0" applyFont="1" applyFill="1" applyBorder="1"/>
    <xf numFmtId="14" fontId="133" fillId="4" borderId="1" xfId="0" applyNumberFormat="1" applyFont="1" applyFill="1" applyBorder="1" applyAlignment="1">
      <alignment horizontal="left"/>
    </xf>
    <xf numFmtId="0" fontId="144" fillId="0" borderId="0" xfId="0" applyFont="1" applyAlignment="1">
      <alignment horizontal="right"/>
    </xf>
    <xf numFmtId="0" fontId="144" fillId="0" borderId="0" xfId="0" applyFont="1"/>
    <xf numFmtId="0" fontId="144" fillId="0" borderId="0" xfId="0" applyFont="1" applyAlignment="1">
      <alignment horizontal="center"/>
    </xf>
    <xf numFmtId="0" fontId="145" fillId="0" borderId="0" xfId="0" applyFont="1"/>
    <xf numFmtId="0" fontId="133" fillId="4" borderId="1" xfId="0" applyFont="1" applyFill="1" applyBorder="1"/>
    <xf numFmtId="0" fontId="146" fillId="0" borderId="0" xfId="0" applyFont="1"/>
    <xf numFmtId="0" fontId="128" fillId="4" borderId="1" xfId="0" applyFont="1" applyFill="1" applyBorder="1" applyAlignment="1">
      <alignment horizontal="center"/>
    </xf>
    <xf numFmtId="0" fontId="128" fillId="2" borderId="1" xfId="0" applyFont="1" applyFill="1" applyBorder="1"/>
    <xf numFmtId="0" fontId="128" fillId="2" borderId="1" xfId="0" applyFont="1" applyFill="1" applyBorder="1" applyAlignment="1">
      <alignment horizontal="center"/>
    </xf>
    <xf numFmtId="0" fontId="148" fillId="0" borderId="0" xfId="0" applyFont="1"/>
    <xf numFmtId="14" fontId="0" fillId="0" borderId="0" xfId="0" applyNumberFormat="1"/>
    <xf numFmtId="2" fontId="147" fillId="0" borderId="0" xfId="1" applyNumberFormat="1"/>
    <xf numFmtId="0" fontId="128" fillId="7" borderId="0" xfId="0" applyFont="1" applyFill="1"/>
    <xf numFmtId="0" fontId="147" fillId="0" borderId="0" xfId="1" applyAlignment="1"/>
    <xf numFmtId="0" fontId="128" fillId="8" borderId="0" xfId="0" applyFont="1" applyFill="1"/>
    <xf numFmtId="14" fontId="128" fillId="0" borderId="0" xfId="0" applyNumberFormat="1" applyFont="1" applyAlignment="1">
      <alignment horizontal="center"/>
    </xf>
    <xf numFmtId="14" fontId="134" fillId="0" borderId="0" xfId="0" applyNumberFormat="1" applyFont="1" applyAlignment="1">
      <alignment horizontal="center"/>
    </xf>
    <xf numFmtId="14" fontId="128" fillId="4" borderId="1" xfId="0" applyNumberFormat="1" applyFont="1" applyFill="1" applyBorder="1" applyAlignment="1">
      <alignment horizontal="center"/>
    </xf>
    <xf numFmtId="14" fontId="135" fillId="0" borderId="0" xfId="0" applyNumberFormat="1" applyFont="1" applyAlignment="1">
      <alignment horizontal="center"/>
    </xf>
    <xf numFmtId="14" fontId="132" fillId="0" borderId="0" xfId="0" applyNumberFormat="1" applyFont="1" applyAlignment="1">
      <alignment horizontal="center"/>
    </xf>
    <xf numFmtId="14" fontId="133" fillId="0" borderId="0" xfId="0" applyNumberFormat="1" applyFont="1" applyAlignment="1">
      <alignment horizontal="center"/>
    </xf>
    <xf numFmtId="14" fontId="140" fillId="0" borderId="0" xfId="0" applyNumberFormat="1" applyFont="1" applyAlignment="1">
      <alignment horizontal="center"/>
    </xf>
    <xf numFmtId="0" fontId="128" fillId="8" borderId="0" xfId="0" applyFont="1" applyFill="1" applyAlignment="1">
      <alignment horizontal="center"/>
    </xf>
    <xf numFmtId="0" fontId="128" fillId="7" borderId="0" xfId="0" applyFont="1" applyFill="1" applyAlignment="1">
      <alignment horizontal="center"/>
    </xf>
    <xf numFmtId="1" fontId="12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9" fillId="0" borderId="0" xfId="0" applyFont="1"/>
    <xf numFmtId="0" fontId="150" fillId="0" borderId="0" xfId="0" applyFont="1"/>
    <xf numFmtId="0" fontId="151" fillId="0" borderId="0" xfId="0" applyFont="1"/>
    <xf numFmtId="49" fontId="128" fillId="0" borderId="0" xfId="0" applyNumberFormat="1" applyFont="1"/>
    <xf numFmtId="0" fontId="152" fillId="0" borderId="0" xfId="1" applyFont="1" applyAlignment="1"/>
    <xf numFmtId="164" fontId="128" fillId="0" borderId="0" xfId="0" applyNumberFormat="1" applyFont="1" applyAlignment="1">
      <alignment horizontal="center"/>
    </xf>
    <xf numFmtId="0" fontId="150" fillId="0" borderId="0" xfId="0" applyFont="1" applyAlignment="1">
      <alignment horizontal="center"/>
    </xf>
    <xf numFmtId="14" fontId="150" fillId="0" borderId="0" xfId="0" applyNumberFormat="1" applyFont="1" applyAlignment="1">
      <alignment horizontal="center"/>
    </xf>
    <xf numFmtId="0" fontId="153" fillId="0" borderId="0" xfId="0" applyFont="1"/>
    <xf numFmtId="0" fontId="147" fillId="0" borderId="0" xfId="1"/>
    <xf numFmtId="14" fontId="149" fillId="0" borderId="0" xfId="0" applyNumberFormat="1" applyFont="1"/>
    <xf numFmtId="1" fontId="128" fillId="7" borderId="0" xfId="0" applyNumberFormat="1" applyFont="1" applyFill="1" applyAlignment="1">
      <alignment horizontal="center"/>
    </xf>
    <xf numFmtId="0" fontId="154" fillId="0" borderId="0" xfId="0" applyFont="1"/>
    <xf numFmtId="2" fontId="132" fillId="0" borderId="0" xfId="0" applyNumberFormat="1" applyFont="1" applyAlignment="1">
      <alignment horizontal="center"/>
    </xf>
    <xf numFmtId="1" fontId="150" fillId="0" borderId="0" xfId="0" applyNumberFormat="1" applyFont="1" applyAlignment="1">
      <alignment horizontal="center"/>
    </xf>
    <xf numFmtId="2" fontId="128" fillId="0" borderId="0" xfId="0" applyNumberFormat="1" applyFont="1" applyAlignment="1">
      <alignment horizontal="center"/>
    </xf>
    <xf numFmtId="1" fontId="133" fillId="0" borderId="0" xfId="0" applyNumberFormat="1" applyFont="1" applyAlignment="1">
      <alignment horizontal="center"/>
    </xf>
    <xf numFmtId="0" fontId="150" fillId="9" borderId="0" xfId="0" applyFont="1" applyFill="1"/>
    <xf numFmtId="0" fontId="150" fillId="9" borderId="0" xfId="0" applyFont="1" applyFill="1" applyAlignment="1">
      <alignment horizontal="center"/>
    </xf>
    <xf numFmtId="14" fontId="150" fillId="9" borderId="0" xfId="0" applyNumberFormat="1" applyFont="1" applyFill="1" applyAlignment="1">
      <alignment horizontal="center"/>
    </xf>
    <xf numFmtId="0" fontId="0" fillId="0" borderId="1" xfId="0" applyBorder="1"/>
    <xf numFmtId="0" fontId="156" fillId="10" borderId="1" xfId="2" applyBorder="1"/>
    <xf numFmtId="0" fontId="147" fillId="0" borderId="1" xfId="1" applyBorder="1"/>
    <xf numFmtId="14" fontId="128" fillId="7" borderId="0" xfId="0" applyNumberFormat="1" applyFont="1" applyFill="1"/>
    <xf numFmtId="0" fontId="147" fillId="0" borderId="1" xfId="1" applyFill="1" applyBorder="1"/>
    <xf numFmtId="0" fontId="145" fillId="7" borderId="0" xfId="0" applyFont="1" applyFill="1"/>
    <xf numFmtId="0" fontId="157" fillId="7" borderId="0" xfId="0" applyFont="1" applyFill="1"/>
    <xf numFmtId="1" fontId="157" fillId="7" borderId="0" xfId="0" applyNumberFormat="1" applyFont="1" applyFill="1" applyAlignment="1">
      <alignment horizontal="center"/>
    </xf>
    <xf numFmtId="0" fontId="157" fillId="7" borderId="0" xfId="0" applyFont="1" applyFill="1" applyAlignment="1">
      <alignment horizontal="center"/>
    </xf>
    <xf numFmtId="1" fontId="128" fillId="8" borderId="0" xfId="0" applyNumberFormat="1" applyFont="1" applyFill="1" applyAlignment="1">
      <alignment horizontal="center"/>
    </xf>
    <xf numFmtId="0" fontId="128" fillId="7" borderId="0" xfId="0" applyFont="1" applyFill="1" applyAlignment="1">
      <alignment horizontal="right"/>
    </xf>
    <xf numFmtId="14" fontId="144" fillId="0" borderId="0" xfId="0" applyNumberFormat="1" applyFont="1" applyAlignment="1">
      <alignment horizontal="center"/>
    </xf>
    <xf numFmtId="14" fontId="128" fillId="7" borderId="0" xfId="0" applyNumberFormat="1" applyFont="1" applyFill="1" applyAlignment="1">
      <alignment horizontal="center"/>
    </xf>
    <xf numFmtId="14" fontId="157" fillId="7" borderId="0" xfId="0" applyNumberFormat="1" applyFont="1" applyFill="1" applyAlignment="1">
      <alignment horizontal="center"/>
    </xf>
    <xf numFmtId="14" fontId="128" fillId="8" borderId="0" xfId="0" applyNumberFormat="1" applyFont="1" applyFill="1" applyAlignment="1">
      <alignment horizontal="center"/>
    </xf>
    <xf numFmtId="0" fontId="0" fillId="0" borderId="0" xfId="0" applyAlignment="1">
      <alignment horizontal="right"/>
    </xf>
    <xf numFmtId="1" fontId="132" fillId="0" borderId="0" xfId="0" applyNumberFormat="1" applyFont="1" applyAlignment="1">
      <alignment vertical="center"/>
    </xf>
    <xf numFmtId="0" fontId="150" fillId="0" borderId="0" xfId="0" applyFont="1" applyAlignment="1">
      <alignment vertical="center"/>
    </xf>
    <xf numFmtId="1" fontId="128" fillId="0" borderId="0" xfId="0" applyNumberFormat="1" applyFont="1" applyAlignment="1">
      <alignment vertical="center"/>
    </xf>
    <xf numFmtId="0" fontId="128" fillId="0" borderId="0" xfId="0" applyFont="1" applyAlignment="1">
      <alignment vertical="center"/>
    </xf>
    <xf numFmtId="14" fontId="128" fillId="7" borderId="0" xfId="0" applyNumberFormat="1" applyFont="1" applyFill="1" applyAlignment="1">
      <alignment horizontal="right"/>
    </xf>
    <xf numFmtId="0" fontId="150" fillId="0" borderId="1" xfId="0" applyFont="1" applyBorder="1"/>
    <xf numFmtId="0" fontId="158" fillId="0" borderId="0" xfId="0" applyFont="1"/>
    <xf numFmtId="0" fontId="151" fillId="0" borderId="1" xfId="0" applyFont="1" applyBorder="1"/>
    <xf numFmtId="0" fontId="128" fillId="0" borderId="1" xfId="0" applyFont="1" applyBorder="1"/>
    <xf numFmtId="0" fontId="153" fillId="0" borderId="0" xfId="0" applyFont="1" applyAlignment="1">
      <alignment horizontal="right"/>
    </xf>
    <xf numFmtId="1" fontId="128" fillId="0" borderId="0" xfId="0" applyNumberFormat="1" applyFont="1" applyAlignment="1">
      <alignment horizontal="right"/>
    </xf>
    <xf numFmtId="0" fontId="150" fillId="0" borderId="0" xfId="0" applyFont="1" applyAlignment="1">
      <alignment horizontal="right"/>
    </xf>
    <xf numFmtId="0" fontId="159" fillId="0" borderId="0" xfId="1" applyFont="1"/>
    <xf numFmtId="0" fontId="0" fillId="7" borderId="0" xfId="0" applyFill="1"/>
    <xf numFmtId="0" fontId="161" fillId="0" borderId="0" xfId="0" applyFont="1"/>
    <xf numFmtId="0" fontId="161" fillId="0" borderId="0" xfId="0" applyFont="1" applyAlignment="1">
      <alignment horizontal="center"/>
    </xf>
    <xf numFmtId="14" fontId="161" fillId="0" borderId="0" xfId="0" applyNumberFormat="1" applyFont="1" applyAlignment="1">
      <alignment horizontal="center"/>
    </xf>
    <xf numFmtId="0" fontId="161" fillId="0" borderId="0" xfId="0" applyFont="1" applyAlignment="1">
      <alignment vertical="center"/>
    </xf>
    <xf numFmtId="0" fontId="161" fillId="0" borderId="0" xfId="0" applyFont="1" applyAlignment="1">
      <alignment horizontal="right"/>
    </xf>
    <xf numFmtId="0" fontId="0" fillId="7" borderId="0" xfId="0" applyFill="1" applyAlignment="1">
      <alignment horizontal="center"/>
    </xf>
    <xf numFmtId="3" fontId="150" fillId="0" borderId="0" xfId="0" applyNumberFormat="1" applyFont="1" applyAlignment="1">
      <alignment horizontal="right"/>
    </xf>
    <xf numFmtId="14" fontId="128" fillId="11" borderId="0" xfId="0" applyNumberFormat="1" applyFont="1" applyFill="1" applyAlignment="1">
      <alignment horizontal="right"/>
    </xf>
    <xf numFmtId="0" fontId="128" fillId="11" borderId="0" xfId="0" applyFont="1" applyFill="1"/>
    <xf numFmtId="14" fontId="128" fillId="11" borderId="0" xfId="0" applyNumberFormat="1" applyFont="1" applyFill="1" applyAlignment="1">
      <alignment horizontal="center"/>
    </xf>
    <xf numFmtId="1" fontId="128" fillId="11" borderId="0" xfId="0" applyNumberFormat="1" applyFont="1" applyFill="1" applyAlignment="1">
      <alignment horizontal="center"/>
    </xf>
    <xf numFmtId="14" fontId="128" fillId="11" borderId="0" xfId="0" applyNumberFormat="1" applyFont="1" applyFill="1"/>
    <xf numFmtId="0" fontId="128" fillId="11" borderId="0" xfId="0" applyFont="1" applyFill="1" applyAlignment="1">
      <alignment horizontal="center"/>
    </xf>
    <xf numFmtId="14" fontId="133" fillId="11" borderId="0" xfId="0" applyNumberFormat="1" applyFont="1" applyFill="1"/>
    <xf numFmtId="14" fontId="128" fillId="12" borderId="0" xfId="0" applyNumberFormat="1" applyFont="1" applyFill="1" applyAlignment="1">
      <alignment horizontal="right"/>
    </xf>
    <xf numFmtId="0" fontId="128" fillId="12" borderId="0" xfId="0" applyFont="1" applyFill="1"/>
    <xf numFmtId="14" fontId="128" fillId="12" borderId="0" xfId="0" applyNumberFormat="1" applyFont="1" applyFill="1" applyAlignment="1">
      <alignment horizontal="center"/>
    </xf>
    <xf numFmtId="1" fontId="128" fillId="12" borderId="0" xfId="0" applyNumberFormat="1" applyFont="1" applyFill="1" applyAlignment="1">
      <alignment horizontal="center"/>
    </xf>
    <xf numFmtId="0" fontId="128" fillId="12" borderId="0" xfId="0" applyFont="1" applyFill="1" applyAlignment="1">
      <alignment horizontal="center"/>
    </xf>
    <xf numFmtId="0" fontId="0" fillId="12" borderId="0" xfId="0" applyFill="1"/>
    <xf numFmtId="0" fontId="140" fillId="12" borderId="0" xfId="0" applyFont="1" applyFill="1" applyAlignment="1">
      <alignment horizontal="center"/>
    </xf>
    <xf numFmtId="14" fontId="0" fillId="7" borderId="0" xfId="0" applyNumberFormat="1" applyFill="1"/>
    <xf numFmtId="0" fontId="132" fillId="0" borderId="0" xfId="0" applyFont="1" applyAlignment="1">
      <alignment horizontal="right" wrapText="1"/>
    </xf>
    <xf numFmtId="0" fontId="128" fillId="0" borderId="0" xfId="0" applyFont="1" applyAlignment="1">
      <alignment horizontal="right" wrapText="1"/>
    </xf>
    <xf numFmtId="1" fontId="134" fillId="0" borderId="0" xfId="0" applyNumberFormat="1" applyFont="1" applyAlignment="1">
      <alignment horizontal="right"/>
    </xf>
    <xf numFmtId="0" fontId="132" fillId="0" borderId="0" xfId="0" applyFont="1" applyAlignment="1">
      <alignment horizontal="right"/>
    </xf>
    <xf numFmtId="0" fontId="140" fillId="0" borderId="0" xfId="0" applyFont="1" applyAlignment="1">
      <alignment horizontal="right"/>
    </xf>
    <xf numFmtId="0" fontId="138" fillId="0" borderId="0" xfId="0" applyFont="1" applyAlignment="1">
      <alignment horizontal="right"/>
    </xf>
    <xf numFmtId="0" fontId="127" fillId="0" borderId="0" xfId="0" applyFont="1" applyAlignment="1">
      <alignment horizontal="right"/>
    </xf>
    <xf numFmtId="0" fontId="128" fillId="4" borderId="1" xfId="0" applyFont="1" applyFill="1" applyBorder="1" applyAlignment="1">
      <alignment horizontal="right"/>
    </xf>
    <xf numFmtId="0" fontId="128" fillId="8" borderId="0" xfId="0" applyFont="1" applyFill="1" applyAlignment="1">
      <alignment horizontal="right"/>
    </xf>
    <xf numFmtId="0" fontId="128" fillId="2" borderId="1" xfId="0" applyFont="1" applyFill="1" applyBorder="1" applyAlignment="1">
      <alignment horizontal="right"/>
    </xf>
    <xf numFmtId="0" fontId="128" fillId="12" borderId="0" xfId="0" applyFont="1" applyFill="1" applyAlignment="1">
      <alignment horizontal="right"/>
    </xf>
    <xf numFmtId="0" fontId="133" fillId="0" borderId="0" xfId="0" applyFont="1" applyAlignment="1">
      <alignment horizontal="right"/>
    </xf>
    <xf numFmtId="0" fontId="127" fillId="12" borderId="0" xfId="0" applyFont="1" applyFill="1" applyAlignment="1">
      <alignment horizontal="right"/>
    </xf>
    <xf numFmtId="0" fontId="127" fillId="7" borderId="0" xfId="0" applyFont="1" applyFill="1" applyAlignment="1">
      <alignment horizontal="right"/>
    </xf>
    <xf numFmtId="0" fontId="157" fillId="7" borderId="0" xfId="0" applyFont="1" applyFill="1" applyAlignment="1">
      <alignment horizontal="right"/>
    </xf>
    <xf numFmtId="0" fontId="127" fillId="7" borderId="0" xfId="0" applyFont="1" applyFill="1" applyAlignment="1">
      <alignment horizontal="right" vertical="center" wrapText="1"/>
    </xf>
    <xf numFmtId="0" fontId="160" fillId="7" borderId="0" xfId="0" applyFont="1" applyFill="1" applyAlignment="1">
      <alignment horizontal="right"/>
    </xf>
    <xf numFmtId="0" fontId="128" fillId="11" borderId="0" xfId="0" applyFont="1" applyFill="1" applyAlignment="1">
      <alignment horizontal="right"/>
    </xf>
    <xf numFmtId="14" fontId="128" fillId="8" borderId="0" xfId="0" applyNumberFormat="1" applyFont="1" applyFill="1" applyAlignment="1">
      <alignment horizontal="right"/>
    </xf>
    <xf numFmtId="14" fontId="157" fillId="7" borderId="0" xfId="0" applyNumberFormat="1" applyFont="1" applyFill="1" applyAlignment="1">
      <alignment horizontal="right"/>
    </xf>
    <xf numFmtId="0" fontId="160" fillId="0" borderId="0" xfId="0" applyFont="1"/>
    <xf numFmtId="0" fontId="150" fillId="7" borderId="0" xfId="0" applyFont="1" applyFill="1" applyAlignment="1">
      <alignment horizontal="right"/>
    </xf>
    <xf numFmtId="0" fontId="153" fillId="0" borderId="0" xfId="0" applyFont="1" applyAlignment="1">
      <alignment horizontal="center"/>
    </xf>
    <xf numFmtId="0" fontId="125" fillId="13" borderId="0" xfId="0" applyFont="1" applyFill="1" applyAlignment="1">
      <alignment vertical="center" wrapText="1"/>
    </xf>
    <xf numFmtId="0" fontId="150" fillId="9" borderId="0" xfId="0" applyFont="1" applyFill="1" applyAlignment="1">
      <alignment vertical="center"/>
    </xf>
    <xf numFmtId="0" fontId="135" fillId="0" borderId="0" xfId="0" applyFont="1"/>
    <xf numFmtId="0" fontId="133" fillId="7" borderId="0" xfId="0" applyFont="1" applyFill="1"/>
    <xf numFmtId="16" fontId="128" fillId="7" borderId="0" xfId="0" applyNumberFormat="1" applyFont="1" applyFill="1" applyAlignment="1">
      <alignment horizontal="center"/>
    </xf>
    <xf numFmtId="0" fontId="140" fillId="7" borderId="0" xfId="0" applyFont="1" applyFill="1"/>
    <xf numFmtId="0" fontId="0" fillId="7" borderId="0" xfId="0" applyFill="1" applyAlignment="1">
      <alignment horizontal="right"/>
    </xf>
    <xf numFmtId="1" fontId="150" fillId="9" borderId="0" xfId="0" applyNumberFormat="1" applyFont="1" applyFill="1" applyAlignment="1">
      <alignment horizontal="center"/>
    </xf>
    <xf numFmtId="14" fontId="150" fillId="12" borderId="0" xfId="0" applyNumberFormat="1" applyFont="1" applyFill="1"/>
    <xf numFmtId="0" fontId="150" fillId="12" borderId="0" xfId="0" applyFont="1" applyFill="1" applyAlignment="1">
      <alignment horizontal="right"/>
    </xf>
    <xf numFmtId="14" fontId="150" fillId="12" borderId="0" xfId="0" applyNumberFormat="1" applyFont="1" applyFill="1" applyAlignment="1">
      <alignment horizontal="center"/>
    </xf>
    <xf numFmtId="14" fontId="128" fillId="12" borderId="0" xfId="0" applyNumberFormat="1" applyFont="1" applyFill="1"/>
    <xf numFmtId="0" fontId="127" fillId="14" borderId="0" xfId="0" applyFont="1" applyFill="1" applyAlignment="1">
      <alignment horizontal="left" vertical="center" wrapText="1"/>
    </xf>
    <xf numFmtId="49" fontId="120" fillId="0" borderId="0" xfId="0" applyNumberFormat="1" applyFont="1" applyAlignment="1">
      <alignment horizontal="center"/>
    </xf>
    <xf numFmtId="14" fontId="120" fillId="0" borderId="0" xfId="0" applyNumberFormat="1" applyFont="1" applyAlignment="1">
      <alignment horizontal="center"/>
    </xf>
    <xf numFmtId="0" fontId="164" fillId="0" borderId="0" xfId="0" applyFont="1" applyAlignment="1">
      <alignment horizontal="left" vertical="center" wrapText="1"/>
    </xf>
    <xf numFmtId="14" fontId="120" fillId="0" borderId="0" xfId="0" applyNumberFormat="1" applyFont="1" applyAlignment="1">
      <alignment horizontal="right"/>
    </xf>
    <xf numFmtId="0" fontId="121" fillId="0" borderId="0" xfId="0" applyFont="1" applyAlignment="1">
      <alignment vertical="center" wrapText="1"/>
    </xf>
    <xf numFmtId="15" fontId="164" fillId="0" borderId="0" xfId="0" applyNumberFormat="1" applyFont="1" applyAlignment="1">
      <alignment horizontal="left" vertical="center" wrapText="1"/>
    </xf>
    <xf numFmtId="0" fontId="120" fillId="0" borderId="0" xfId="0" applyFont="1" applyAlignment="1">
      <alignment horizontal="right"/>
    </xf>
    <xf numFmtId="0" fontId="120" fillId="0" borderId="0" xfId="0" applyFont="1" applyAlignment="1">
      <alignment horizontal="left"/>
    </xf>
    <xf numFmtId="0" fontId="120" fillId="3" borderId="1" xfId="0" applyFont="1" applyFill="1" applyBorder="1" applyAlignment="1">
      <alignment horizontal="center"/>
    </xf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49" fontId="123" fillId="0" borderId="0" xfId="0" applyNumberFormat="1" applyFont="1" applyAlignment="1">
      <alignment horizontal="center"/>
    </xf>
    <xf numFmtId="14" fontId="123" fillId="0" borderId="0" xfId="0" applyNumberFormat="1" applyFont="1" applyAlignment="1">
      <alignment horizontal="center"/>
    </xf>
    <xf numFmtId="0" fontId="123" fillId="0" borderId="0" xfId="0" applyFont="1" applyAlignment="1">
      <alignment horizontal="center"/>
    </xf>
    <xf numFmtId="0" fontId="123" fillId="0" borderId="0" xfId="0" applyFont="1" applyAlignment="1">
      <alignment horizontal="right"/>
    </xf>
    <xf numFmtId="0" fontId="120" fillId="0" borderId="2" xfId="0" applyFont="1" applyBorder="1" applyAlignment="1">
      <alignment vertical="center" wrapText="1"/>
    </xf>
    <xf numFmtId="0" fontId="120" fillId="0" borderId="3" xfId="0" applyFont="1" applyBorder="1" applyAlignment="1">
      <alignment horizontal="center" vertical="center" wrapText="1"/>
    </xf>
    <xf numFmtId="0" fontId="120" fillId="2" borderId="1" xfId="0" applyFont="1" applyFill="1" applyBorder="1" applyAlignment="1">
      <alignment horizontal="center"/>
    </xf>
    <xf numFmtId="0" fontId="120" fillId="2" borderId="1" xfId="0" applyFont="1" applyFill="1" applyBorder="1"/>
    <xf numFmtId="49" fontId="120" fillId="2" borderId="1" xfId="0" applyNumberFormat="1" applyFont="1" applyFill="1" applyBorder="1" applyAlignment="1">
      <alignment horizontal="center"/>
    </xf>
    <xf numFmtId="14" fontId="120" fillId="2" borderId="1" xfId="0" applyNumberFormat="1" applyFont="1" applyFill="1" applyBorder="1" applyAlignment="1">
      <alignment horizontal="center"/>
    </xf>
    <xf numFmtId="0" fontId="123" fillId="2" borderId="1" xfId="0" applyFont="1" applyFill="1" applyBorder="1" applyAlignment="1">
      <alignment horizontal="center"/>
    </xf>
    <xf numFmtId="0" fontId="123" fillId="2" borderId="1" xfId="0" applyFont="1" applyFill="1" applyBorder="1"/>
    <xf numFmtId="49" fontId="123" fillId="2" borderId="1" xfId="0" applyNumberFormat="1" applyFont="1" applyFill="1" applyBorder="1" applyAlignment="1">
      <alignment horizontal="center"/>
    </xf>
    <xf numFmtId="0" fontId="123" fillId="2" borderId="1" xfId="0" applyFont="1" applyFill="1" applyBorder="1" applyAlignment="1">
      <alignment horizontal="right"/>
    </xf>
    <xf numFmtId="0" fontId="123" fillId="2" borderId="1" xfId="0" applyFont="1" applyFill="1" applyBorder="1" applyAlignment="1">
      <alignment horizontal="left"/>
    </xf>
    <xf numFmtId="16" fontId="120" fillId="0" borderId="0" xfId="0" applyNumberFormat="1" applyFont="1" applyAlignment="1">
      <alignment horizontal="right"/>
    </xf>
    <xf numFmtId="0" fontId="120" fillId="0" borderId="3" xfId="0" applyFont="1" applyBorder="1" applyAlignment="1">
      <alignment vertical="center" wrapText="1"/>
    </xf>
    <xf numFmtId="0" fontId="170" fillId="0" borderId="0" xfId="0" applyFont="1"/>
    <xf numFmtId="0" fontId="171" fillId="0" borderId="0" xfId="0" applyFont="1"/>
    <xf numFmtId="0" fontId="120" fillId="4" borderId="1" xfId="0" applyFont="1" applyFill="1" applyBorder="1" applyAlignment="1">
      <alignment horizontal="center"/>
    </xf>
    <xf numFmtId="49" fontId="120" fillId="4" borderId="1" xfId="0" applyNumberFormat="1" applyFont="1" applyFill="1" applyBorder="1" applyAlignment="1">
      <alignment horizontal="center"/>
    </xf>
    <xf numFmtId="14" fontId="120" fillId="4" borderId="1" xfId="0" applyNumberFormat="1" applyFont="1" applyFill="1" applyBorder="1" applyAlignment="1">
      <alignment horizontal="center"/>
    </xf>
    <xf numFmtId="0" fontId="120" fillId="4" borderId="1" xfId="0" applyFont="1" applyFill="1" applyBorder="1" applyAlignment="1">
      <alignment horizontal="right"/>
    </xf>
    <xf numFmtId="0" fontId="120" fillId="4" borderId="1" xfId="0" applyFont="1" applyFill="1" applyBorder="1" applyAlignment="1">
      <alignment horizontal="left"/>
    </xf>
    <xf numFmtId="14" fontId="120" fillId="4" borderId="1" xfId="0" applyNumberFormat="1" applyFont="1" applyFill="1" applyBorder="1" applyAlignment="1">
      <alignment horizontal="right"/>
    </xf>
    <xf numFmtId="0" fontId="166" fillId="4" borderId="1" xfId="0" applyFont="1" applyFill="1" applyBorder="1"/>
    <xf numFmtId="0" fontId="172" fillId="0" borderId="0" xfId="0" applyFont="1"/>
    <xf numFmtId="0" fontId="167" fillId="4" borderId="1" xfId="0" applyFont="1" applyFill="1" applyBorder="1"/>
    <xf numFmtId="0" fontId="123" fillId="0" borderId="0" xfId="0" applyFont="1" applyAlignment="1">
      <alignment horizontal="left"/>
    </xf>
    <xf numFmtId="14" fontId="123" fillId="0" borderId="0" xfId="0" applyNumberFormat="1" applyFont="1" applyAlignment="1">
      <alignment horizontal="right"/>
    </xf>
    <xf numFmtId="0" fontId="174" fillId="0" borderId="0" xfId="0" applyFont="1" applyAlignment="1">
      <alignment horizontal="center"/>
    </xf>
    <xf numFmtId="0" fontId="174" fillId="0" borderId="0" xfId="0" applyFont="1"/>
    <xf numFmtId="49" fontId="174" fillId="0" borderId="0" xfId="0" applyNumberFormat="1" applyFont="1" applyAlignment="1">
      <alignment horizontal="center"/>
    </xf>
    <xf numFmtId="0" fontId="174" fillId="0" borderId="0" xfId="0" applyFont="1" applyAlignment="1">
      <alignment horizontal="right"/>
    </xf>
    <xf numFmtId="0" fontId="174" fillId="0" borderId="0" xfId="0" applyFont="1" applyAlignment="1">
      <alignment horizontal="left"/>
    </xf>
    <xf numFmtId="14" fontId="174" fillId="0" borderId="0" xfId="0" applyNumberFormat="1" applyFont="1" applyAlignment="1">
      <alignment horizontal="right"/>
    </xf>
    <xf numFmtId="14" fontId="120" fillId="4" borderId="1" xfId="0" applyNumberFormat="1" applyFont="1" applyFill="1" applyBorder="1" applyAlignment="1">
      <alignment horizontal="center" vertical="top"/>
    </xf>
    <xf numFmtId="14" fontId="120" fillId="0" borderId="0" xfId="0" applyNumberFormat="1" applyFont="1" applyAlignment="1">
      <alignment horizontal="center" vertical="top"/>
    </xf>
    <xf numFmtId="49" fontId="120" fillId="0" borderId="0" xfId="0" applyNumberFormat="1" applyFont="1" applyAlignment="1">
      <alignment horizontal="center" vertical="center"/>
    </xf>
    <xf numFmtId="14" fontId="120" fillId="0" borderId="0" xfId="0" applyNumberFormat="1" applyFont="1" applyAlignment="1">
      <alignment horizontal="center" vertical="center"/>
    </xf>
    <xf numFmtId="49" fontId="120" fillId="4" borderId="1" xfId="0" applyNumberFormat="1" applyFont="1" applyFill="1" applyBorder="1" applyAlignment="1">
      <alignment horizontal="center" vertical="center"/>
    </xf>
    <xf numFmtId="0" fontId="120" fillId="16" borderId="1" xfId="0" applyFont="1" applyFill="1" applyBorder="1" applyAlignment="1">
      <alignment horizontal="center"/>
    </xf>
    <xf numFmtId="0" fontId="120" fillId="16" borderId="1" xfId="0" applyFont="1" applyFill="1" applyBorder="1"/>
    <xf numFmtId="49" fontId="120" fillId="16" borderId="1" xfId="0" applyNumberFormat="1" applyFont="1" applyFill="1" applyBorder="1" applyAlignment="1">
      <alignment horizontal="center"/>
    </xf>
    <xf numFmtId="49" fontId="120" fillId="16" borderId="1" xfId="0" applyNumberFormat="1" applyFont="1" applyFill="1" applyBorder="1" applyAlignment="1">
      <alignment horizontal="center" vertical="center"/>
    </xf>
    <xf numFmtId="0" fontId="120" fillId="16" borderId="1" xfId="0" applyFont="1" applyFill="1" applyBorder="1" applyAlignment="1">
      <alignment horizontal="right"/>
    </xf>
    <xf numFmtId="0" fontId="120" fillId="16" borderId="1" xfId="0" applyFont="1" applyFill="1" applyBorder="1" applyAlignment="1">
      <alignment horizontal="left"/>
    </xf>
    <xf numFmtId="14" fontId="120" fillId="16" borderId="1" xfId="0" applyNumberFormat="1" applyFont="1" applyFill="1" applyBorder="1" applyAlignment="1">
      <alignment horizontal="right"/>
    </xf>
    <xf numFmtId="0" fontId="120" fillId="0" borderId="0" xfId="0" applyFont="1" applyAlignment="1">
      <alignment horizontal="left" vertical="top"/>
    </xf>
    <xf numFmtId="0" fontId="126" fillId="0" borderId="0" xfId="0" applyFont="1" applyAlignment="1">
      <alignment horizontal="right"/>
    </xf>
    <xf numFmtId="0" fontId="177" fillId="0" borderId="0" xfId="0" applyFont="1"/>
    <xf numFmtId="0" fontId="122" fillId="0" borderId="0" xfId="0" applyFont="1" applyAlignment="1">
      <alignment horizontal="left" vertical="top"/>
    </xf>
    <xf numFmtId="49" fontId="122" fillId="0" borderId="0" xfId="0" applyNumberFormat="1" applyFont="1" applyAlignment="1">
      <alignment horizontal="center"/>
    </xf>
    <xf numFmtId="0" fontId="122" fillId="4" borderId="1" xfId="0" applyFont="1" applyFill="1" applyBorder="1"/>
    <xf numFmtId="49" fontId="126" fillId="0" borderId="0" xfId="0" applyNumberFormat="1" applyFont="1" applyAlignment="1">
      <alignment horizontal="center"/>
    </xf>
    <xf numFmtId="0" fontId="178" fillId="0" borderId="0" xfId="0" applyFont="1"/>
    <xf numFmtId="49" fontId="178" fillId="0" borderId="0" xfId="0" applyNumberFormat="1" applyFont="1" applyAlignment="1">
      <alignment horizontal="center"/>
    </xf>
    <xf numFmtId="0" fontId="178" fillId="0" borderId="0" xfId="0" applyFont="1" applyAlignment="1">
      <alignment horizontal="center"/>
    </xf>
    <xf numFmtId="14" fontId="166" fillId="0" borderId="0" xfId="0" applyNumberFormat="1" applyFont="1" applyAlignment="1">
      <alignment horizontal="center"/>
    </xf>
    <xf numFmtId="0" fontId="163" fillId="0" borderId="0" xfId="0" applyFont="1"/>
    <xf numFmtId="0" fontId="120" fillId="9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9" borderId="0" xfId="0" applyNumberFormat="1" applyFill="1" applyAlignment="1">
      <alignment horizontal="center"/>
    </xf>
    <xf numFmtId="49" fontId="120" fillId="9" borderId="0" xfId="0" applyNumberFormat="1" applyFont="1" applyFill="1" applyAlignment="1">
      <alignment horizontal="center"/>
    </xf>
    <xf numFmtId="14" fontId="120" fillId="9" borderId="0" xfId="0" applyNumberFormat="1" applyFont="1" applyFill="1" applyAlignment="1">
      <alignment horizontal="center"/>
    </xf>
    <xf numFmtId="0" fontId="0" fillId="9" borderId="0" xfId="0" applyFill="1"/>
    <xf numFmtId="0" fontId="149" fillId="9" borderId="0" xfId="0" applyFont="1" applyFill="1"/>
    <xf numFmtId="49" fontId="123" fillId="9" borderId="0" xfId="0" applyNumberFormat="1" applyFont="1" applyFill="1" applyAlignment="1">
      <alignment horizontal="center"/>
    </xf>
    <xf numFmtId="0" fontId="123" fillId="9" borderId="0" xfId="0" applyFont="1" applyFill="1" applyAlignment="1">
      <alignment horizontal="center"/>
    </xf>
    <xf numFmtId="14" fontId="149" fillId="0" borderId="0" xfId="0" applyNumberFormat="1" applyFont="1" applyAlignment="1">
      <alignment horizontal="center"/>
    </xf>
    <xf numFmtId="0" fontId="149" fillId="0" borderId="0" xfId="0" applyFont="1" applyAlignment="1">
      <alignment horizontal="center"/>
    </xf>
    <xf numFmtId="8" fontId="0" fillId="0" borderId="0" xfId="0" applyNumberFormat="1"/>
    <xf numFmtId="0" fontId="163" fillId="0" borderId="0" xfId="0" applyFont="1" applyAlignment="1">
      <alignment horizontal="center"/>
    </xf>
    <xf numFmtId="0" fontId="166" fillId="0" borderId="0" xfId="0" applyFont="1" applyAlignment="1">
      <alignment horizontal="center"/>
    </xf>
    <xf numFmtId="1" fontId="120" fillId="0" borderId="0" xfId="0" applyNumberFormat="1" applyFont="1" applyAlignment="1">
      <alignment horizontal="center"/>
    </xf>
    <xf numFmtId="0" fontId="166" fillId="0" borderId="0" xfId="0" applyFont="1" applyAlignment="1">
      <alignment horizontal="center" vertical="center" wrapText="1"/>
    </xf>
    <xf numFmtId="0" fontId="169" fillId="4" borderId="1" xfId="0" applyFont="1" applyFill="1" applyBorder="1" applyAlignment="1">
      <alignment horizontal="center"/>
    </xf>
    <xf numFmtId="0" fontId="120" fillId="0" borderId="0" xfId="0" applyFont="1" applyAlignment="1">
      <alignment horizontal="center" vertical="top"/>
    </xf>
    <xf numFmtId="1" fontId="120" fillId="0" borderId="0" xfId="0" applyNumberFormat="1" applyFont="1" applyAlignment="1">
      <alignment horizontal="center" vertical="center"/>
    </xf>
    <xf numFmtId="0" fontId="0" fillId="9" borderId="0" xfId="0" applyFill="1" applyAlignment="1">
      <alignment horizontal="center"/>
    </xf>
    <xf numFmtId="0" fontId="149" fillId="9" borderId="0" xfId="0" applyFont="1" applyFill="1" applyAlignment="1">
      <alignment horizontal="center"/>
    </xf>
    <xf numFmtId="0" fontId="127" fillId="0" borderId="0" xfId="0" applyFont="1" applyAlignment="1">
      <alignment horizontal="center"/>
    </xf>
    <xf numFmtId="0" fontId="119" fillId="0" borderId="0" xfId="0" applyFont="1"/>
    <xf numFmtId="0" fontId="120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14" fontId="119" fillId="0" borderId="0" xfId="0" applyNumberFormat="1" applyFont="1" applyAlignment="1">
      <alignment horizontal="center"/>
    </xf>
    <xf numFmtId="0" fontId="122" fillId="0" borderId="0" xfId="0" applyFont="1" applyAlignment="1">
      <alignment horizontal="center" vertical="center"/>
    </xf>
    <xf numFmtId="14" fontId="119" fillId="0" borderId="0" xfId="0" applyNumberFormat="1" applyFont="1"/>
    <xf numFmtId="0" fontId="147" fillId="0" borderId="1" xfId="1" applyBorder="1" applyAlignment="1"/>
    <xf numFmtId="0" fontId="136" fillId="0" borderId="0" xfId="0" applyFont="1"/>
    <xf numFmtId="0" fontId="119" fillId="7" borderId="0" xfId="0" applyFont="1" applyFill="1"/>
    <xf numFmtId="0" fontId="118" fillId="0" borderId="0" xfId="0" applyFont="1"/>
    <xf numFmtId="0" fontId="111" fillId="0" borderId="0" xfId="0" applyFont="1"/>
    <xf numFmtId="0" fontId="185" fillId="0" borderId="0" xfId="0" applyFont="1"/>
    <xf numFmtId="0" fontId="110" fillId="0" borderId="0" xfId="0" applyFont="1"/>
    <xf numFmtId="0" fontId="103" fillId="0" borderId="0" xfId="0" applyFont="1"/>
    <xf numFmtId="0" fontId="102" fillId="0" borderId="0" xfId="0" applyFont="1"/>
    <xf numFmtId="0" fontId="100" fillId="0" borderId="0" xfId="0" applyFont="1"/>
    <xf numFmtId="0" fontId="94" fillId="0" borderId="0" xfId="0" applyFont="1"/>
    <xf numFmtId="0" fontId="92" fillId="0" borderId="0" xfId="0" applyFont="1"/>
    <xf numFmtId="0" fontId="147" fillId="0" borderId="0" xfId="1" applyBorder="1"/>
    <xf numFmtId="0" fontId="147" fillId="0" borderId="0" xfId="1" applyFill="1" applyBorder="1" applyAlignment="1"/>
    <xf numFmtId="0" fontId="147" fillId="0" borderId="0" xfId="1" applyBorder="1" applyAlignment="1"/>
    <xf numFmtId="0" fontId="152" fillId="0" borderId="0" xfId="1" applyFont="1" applyBorder="1" applyAlignment="1"/>
    <xf numFmtId="0" fontId="87" fillId="0" borderId="0" xfId="0" applyFont="1"/>
    <xf numFmtId="14" fontId="92" fillId="0" borderId="0" xfId="0" applyNumberFormat="1" applyFont="1"/>
    <xf numFmtId="0" fontId="84" fillId="0" borderId="0" xfId="0" applyFont="1"/>
    <xf numFmtId="165" fontId="163" fillId="0" borderId="0" xfId="0" applyNumberFormat="1" applyFont="1"/>
    <xf numFmtId="165" fontId="120" fillId="0" borderId="0" xfId="0" applyNumberFormat="1" applyFont="1"/>
    <xf numFmtId="165" fontId="166" fillId="0" borderId="0" xfId="0" applyNumberFormat="1" applyFont="1"/>
    <xf numFmtId="165" fontId="123" fillId="0" borderId="0" xfId="0" applyNumberFormat="1" applyFont="1"/>
    <xf numFmtId="165" fontId="120" fillId="0" borderId="1" xfId="0" applyNumberFormat="1" applyFont="1" applyBorder="1" applyAlignment="1">
      <alignment vertical="center" wrapText="1"/>
    </xf>
    <xf numFmtId="165" fontId="120" fillId="2" borderId="1" xfId="0" applyNumberFormat="1" applyFont="1" applyFill="1" applyBorder="1"/>
    <xf numFmtId="165" fontId="123" fillId="2" borderId="1" xfId="0" applyNumberFormat="1" applyFont="1" applyFill="1" applyBorder="1"/>
    <xf numFmtId="165" fontId="169" fillId="0" borderId="0" xfId="0" applyNumberFormat="1" applyFont="1"/>
    <xf numFmtId="165" fontId="125" fillId="0" borderId="0" xfId="0" applyNumberFormat="1" applyFont="1"/>
    <xf numFmtId="165" fontId="120" fillId="4" borderId="1" xfId="0" applyNumberFormat="1" applyFont="1" applyFill="1" applyBorder="1"/>
    <xf numFmtId="165" fontId="173" fillId="0" borderId="0" xfId="0" applyNumberFormat="1" applyFont="1"/>
    <xf numFmtId="165" fontId="120" fillId="15" borderId="1" xfId="0" applyNumberFormat="1" applyFont="1" applyFill="1" applyBorder="1"/>
    <xf numFmtId="165" fontId="120" fillId="0" borderId="0" xfId="0" applyNumberFormat="1" applyFont="1" applyAlignment="1">
      <alignment horizontal="left"/>
    </xf>
    <xf numFmtId="165" fontId="174" fillId="0" borderId="0" xfId="0" applyNumberFormat="1" applyFont="1"/>
    <xf numFmtId="165" fontId="175" fillId="0" borderId="0" xfId="0" applyNumberFormat="1" applyFont="1"/>
    <xf numFmtId="165" fontId="120" fillId="0" borderId="0" xfId="0" applyNumberFormat="1" applyFont="1" applyAlignment="1">
      <alignment horizontal="left" vertical="top"/>
    </xf>
    <xf numFmtId="165" fontId="120" fillId="4" borderId="1" xfId="0" applyNumberFormat="1" applyFont="1" applyFill="1" applyBorder="1" applyAlignment="1">
      <alignment horizontal="left"/>
    </xf>
    <xf numFmtId="165" fontId="120" fillId="16" borderId="1" xfId="0" applyNumberFormat="1" applyFont="1" applyFill="1" applyBorder="1"/>
    <xf numFmtId="165" fontId="120" fillId="4" borderId="1" xfId="0" applyNumberFormat="1" applyFont="1" applyFill="1" applyBorder="1" applyAlignment="1">
      <alignment horizontal="left" vertical="top"/>
    </xf>
    <xf numFmtId="165" fontId="176" fillId="0" borderId="0" xfId="0" applyNumberFormat="1" applyFont="1"/>
    <xf numFmtId="165" fontId="120" fillId="0" borderId="0" xfId="0" applyNumberFormat="1" applyFont="1" applyAlignment="1">
      <alignment horizontal="center"/>
    </xf>
    <xf numFmtId="165" fontId="123" fillId="0" borderId="0" xfId="0" applyNumberFormat="1" applyFont="1" applyAlignment="1">
      <alignment horizontal="left" vertical="top"/>
    </xf>
    <xf numFmtId="165" fontId="120" fillId="2" borderId="1" xfId="0" applyNumberFormat="1" applyFont="1" applyFill="1" applyBorder="1" applyAlignment="1">
      <alignment horizontal="left" vertical="top"/>
    </xf>
    <xf numFmtId="165" fontId="148" fillId="0" borderId="0" xfId="0" applyNumberFormat="1" applyFont="1"/>
    <xf numFmtId="165" fontId="177" fillId="0" borderId="0" xfId="0" applyNumberFormat="1" applyFont="1"/>
    <xf numFmtId="165" fontId="127" fillId="0" borderId="0" xfId="0" applyNumberFormat="1" applyFont="1"/>
    <xf numFmtId="165" fontId="178" fillId="0" borderId="0" xfId="0" applyNumberFormat="1" applyFont="1"/>
    <xf numFmtId="165" fontId="0" fillId="0" borderId="0" xfId="0" applyNumberFormat="1"/>
    <xf numFmtId="165" fontId="179" fillId="0" borderId="0" xfId="0" applyNumberFormat="1" applyFont="1"/>
    <xf numFmtId="165" fontId="167" fillId="0" borderId="0" xfId="0" applyNumberFormat="1" applyFont="1"/>
    <xf numFmtId="165" fontId="119" fillId="0" borderId="0" xfId="0" applyNumberFormat="1" applyFont="1"/>
    <xf numFmtId="165" fontId="120" fillId="9" borderId="0" xfId="0" applyNumberFormat="1" applyFont="1" applyFill="1"/>
    <xf numFmtId="165" fontId="119" fillId="9" borderId="0" xfId="0" applyNumberFormat="1" applyFont="1" applyFill="1"/>
    <xf numFmtId="165" fontId="0" fillId="0" borderId="0" xfId="0" applyNumberFormat="1" applyAlignment="1">
      <alignment horizontal="left"/>
    </xf>
    <xf numFmtId="165" fontId="123" fillId="9" borderId="0" xfId="0" applyNumberFormat="1" applyFont="1" applyFill="1"/>
    <xf numFmtId="165" fontId="149" fillId="9" borderId="0" xfId="0" applyNumberFormat="1" applyFont="1" applyFill="1"/>
    <xf numFmtId="165" fontId="180" fillId="0" borderId="0" xfId="0" applyNumberFormat="1" applyFont="1" applyAlignment="1">
      <alignment vertical="center"/>
    </xf>
    <xf numFmtId="165" fontId="181" fillId="0" borderId="0" xfId="0" applyNumberFormat="1" applyFont="1" applyAlignment="1">
      <alignment vertical="center"/>
    </xf>
    <xf numFmtId="165" fontId="149" fillId="0" borderId="0" xfId="0" applyNumberFormat="1" applyFont="1"/>
    <xf numFmtId="165" fontId="182" fillId="0" borderId="0" xfId="0" applyNumberFormat="1" applyFont="1"/>
    <xf numFmtId="165" fontId="183" fillId="0" borderId="0" xfId="0" applyNumberFormat="1" applyFont="1"/>
    <xf numFmtId="165" fontId="184" fillId="0" borderId="0" xfId="0" applyNumberFormat="1" applyFont="1"/>
    <xf numFmtId="165" fontId="0" fillId="9" borderId="0" xfId="0" applyNumberFormat="1" applyFill="1"/>
    <xf numFmtId="165" fontId="118" fillId="0" borderId="0" xfId="0" applyNumberFormat="1" applyFont="1"/>
    <xf numFmtId="165" fontId="117" fillId="0" borderId="0" xfId="0" applyNumberFormat="1" applyFont="1"/>
    <xf numFmtId="165" fontId="115" fillId="0" borderId="0" xfId="0" applyNumberFormat="1" applyFont="1"/>
    <xf numFmtId="165" fontId="114" fillId="0" borderId="0" xfId="0" applyNumberFormat="1" applyFont="1"/>
    <xf numFmtId="165" fontId="113" fillId="0" borderId="0" xfId="0" applyNumberFormat="1" applyFont="1"/>
    <xf numFmtId="165" fontId="112" fillId="0" borderId="0" xfId="0" applyNumberFormat="1" applyFont="1"/>
    <xf numFmtId="165" fontId="111" fillId="0" borderId="0" xfId="0" applyNumberFormat="1" applyFont="1"/>
    <xf numFmtId="165" fontId="109" fillId="0" borderId="0" xfId="0" applyNumberFormat="1" applyFont="1"/>
    <xf numFmtId="165" fontId="110" fillId="0" borderId="0" xfId="0" applyNumberFormat="1" applyFont="1"/>
    <xf numFmtId="165" fontId="108" fillId="0" borderId="0" xfId="0" applyNumberFormat="1" applyFont="1"/>
    <xf numFmtId="165" fontId="107" fillId="0" borderId="0" xfId="0" applyNumberFormat="1" applyFont="1"/>
    <xf numFmtId="165" fontId="106" fillId="0" borderId="0" xfId="0" applyNumberFormat="1" applyFont="1"/>
    <xf numFmtId="165" fontId="105" fillId="0" borderId="0" xfId="0" applyNumberFormat="1" applyFont="1"/>
    <xf numFmtId="165" fontId="104" fillId="0" borderId="0" xfId="0" applyNumberFormat="1" applyFont="1"/>
    <xf numFmtId="165" fontId="101" fillId="0" borderId="0" xfId="0" applyNumberFormat="1" applyFont="1"/>
    <xf numFmtId="165" fontId="100" fillId="0" borderId="0" xfId="0" applyNumberFormat="1" applyFont="1"/>
    <xf numFmtId="165" fontId="99" fillId="0" borderId="0" xfId="0" applyNumberFormat="1" applyFont="1"/>
    <xf numFmtId="165" fontId="98" fillId="0" borderId="0" xfId="0" applyNumberFormat="1" applyFont="1"/>
    <xf numFmtId="165" fontId="97" fillId="0" borderId="0" xfId="0" applyNumberFormat="1" applyFont="1"/>
    <xf numFmtId="165" fontId="96" fillId="0" borderId="0" xfId="0" applyNumberFormat="1" applyFont="1"/>
    <xf numFmtId="165" fontId="95" fillId="0" borderId="0" xfId="0" applyNumberFormat="1" applyFont="1"/>
    <xf numFmtId="165" fontId="94" fillId="0" borderId="0" xfId="0" applyNumberFormat="1" applyFont="1"/>
    <xf numFmtId="165" fontId="93" fillId="0" borderId="0" xfId="0" applyNumberFormat="1" applyFont="1"/>
    <xf numFmtId="165" fontId="88" fillId="0" borderId="0" xfId="0" applyNumberFormat="1" applyFont="1"/>
    <xf numFmtId="165" fontId="86" fillId="0" borderId="0" xfId="0" applyNumberFormat="1" applyFont="1"/>
    <xf numFmtId="165" fontId="85" fillId="0" borderId="0" xfId="0" applyNumberFormat="1" applyFont="1"/>
    <xf numFmtId="165" fontId="84" fillId="0" borderId="0" xfId="0" applyNumberFormat="1" applyFont="1"/>
    <xf numFmtId="165" fontId="83" fillId="0" borderId="0" xfId="0" applyNumberFormat="1" applyFont="1"/>
    <xf numFmtId="165" fontId="128" fillId="0" borderId="0" xfId="0" applyNumberFormat="1" applyFont="1"/>
    <xf numFmtId="165" fontId="90" fillId="9" borderId="0" xfId="0" applyNumberFormat="1" applyFont="1" applyFill="1"/>
    <xf numFmtId="0" fontId="81" fillId="0" borderId="0" xfId="0" applyFont="1"/>
    <xf numFmtId="165" fontId="80" fillId="0" borderId="0" xfId="0" applyNumberFormat="1" applyFont="1"/>
    <xf numFmtId="165" fontId="78" fillId="0" borderId="0" xfId="0" applyNumberFormat="1" applyFont="1"/>
    <xf numFmtId="0" fontId="78" fillId="0" borderId="0" xfId="0" applyFont="1"/>
    <xf numFmtId="165" fontId="77" fillId="0" borderId="0" xfId="0" applyNumberFormat="1" applyFont="1"/>
    <xf numFmtId="165" fontId="76" fillId="0" borderId="0" xfId="0" applyNumberFormat="1" applyFont="1"/>
    <xf numFmtId="165" fontId="75" fillId="0" borderId="0" xfId="0" applyNumberFormat="1" applyFont="1"/>
    <xf numFmtId="0" fontId="75" fillId="0" borderId="0" xfId="0" applyFont="1"/>
    <xf numFmtId="165" fontId="74" fillId="0" borderId="0" xfId="0" applyNumberFormat="1" applyFont="1"/>
    <xf numFmtId="165" fontId="73" fillId="0" borderId="0" xfId="0" applyNumberFormat="1" applyFont="1"/>
    <xf numFmtId="49" fontId="0" fillId="0" borderId="0" xfId="0" applyNumberFormat="1"/>
    <xf numFmtId="165" fontId="72" fillId="0" borderId="0" xfId="0" applyNumberFormat="1" applyFont="1"/>
    <xf numFmtId="0" fontId="72" fillId="0" borderId="0" xfId="0" applyFont="1"/>
    <xf numFmtId="165" fontId="71" fillId="0" borderId="0" xfId="0" applyNumberFormat="1" applyFont="1"/>
    <xf numFmtId="0" fontId="71" fillId="0" borderId="0" xfId="0" applyFont="1"/>
    <xf numFmtId="165" fontId="70" fillId="0" borderId="0" xfId="0" applyNumberFormat="1" applyFont="1"/>
    <xf numFmtId="165" fontId="69" fillId="0" borderId="0" xfId="0" applyNumberFormat="1" applyFont="1"/>
    <xf numFmtId="165" fontId="68" fillId="0" borderId="0" xfId="0" applyNumberFormat="1" applyFont="1"/>
    <xf numFmtId="0" fontId="67" fillId="0" borderId="0" xfId="0" applyFont="1"/>
    <xf numFmtId="165" fontId="67" fillId="0" borderId="0" xfId="0" applyNumberFormat="1" applyFont="1"/>
    <xf numFmtId="165" fontId="66" fillId="0" borderId="0" xfId="0" applyNumberFormat="1" applyFont="1"/>
    <xf numFmtId="0" fontId="65" fillId="0" borderId="0" xfId="0" applyFont="1"/>
    <xf numFmtId="165" fontId="64" fillId="0" borderId="0" xfId="0" applyNumberFormat="1" applyFont="1"/>
    <xf numFmtId="0" fontId="64" fillId="0" borderId="0" xfId="0" applyFont="1"/>
    <xf numFmtId="165" fontId="63" fillId="0" borderId="0" xfId="0" applyNumberFormat="1" applyFont="1"/>
    <xf numFmtId="0" fontId="62" fillId="0" borderId="0" xfId="0" applyFont="1"/>
    <xf numFmtId="165" fontId="61" fillId="0" borderId="0" xfId="0" applyNumberFormat="1" applyFont="1"/>
    <xf numFmtId="165" fontId="60" fillId="0" borderId="0" xfId="0" applyNumberFormat="1" applyFont="1"/>
    <xf numFmtId="165" fontId="59" fillId="0" borderId="0" xfId="0" applyNumberFormat="1" applyFont="1"/>
    <xf numFmtId="165" fontId="58" fillId="0" borderId="0" xfId="0" applyNumberFormat="1" applyFont="1"/>
    <xf numFmtId="0" fontId="58" fillId="0" borderId="0" xfId="0" applyFont="1" applyAlignment="1">
      <alignment horizontal="center"/>
    </xf>
    <xf numFmtId="0" fontId="58" fillId="0" borderId="0" xfId="0" applyFont="1"/>
    <xf numFmtId="0" fontId="128" fillId="0" borderId="0" xfId="0" applyFont="1" applyAlignment="1">
      <alignment horizontal="left"/>
    </xf>
    <xf numFmtId="165" fontId="57" fillId="0" borderId="0" xfId="0" applyNumberFormat="1" applyFont="1"/>
    <xf numFmtId="0" fontId="57" fillId="0" borderId="0" xfId="0" applyFont="1"/>
    <xf numFmtId="165" fontId="56" fillId="0" borderId="0" xfId="0" applyNumberFormat="1" applyFont="1"/>
    <xf numFmtId="165" fontId="55" fillId="0" borderId="0" xfId="0" applyNumberFormat="1" applyFont="1"/>
    <xf numFmtId="165" fontId="54" fillId="0" borderId="0" xfId="0" applyNumberFormat="1" applyFont="1"/>
    <xf numFmtId="165" fontId="53" fillId="0" borderId="0" xfId="0" applyNumberFormat="1" applyFont="1"/>
    <xf numFmtId="0" fontId="52" fillId="0" borderId="0" xfId="0" applyFont="1"/>
    <xf numFmtId="165" fontId="52" fillId="0" borderId="0" xfId="0" applyNumberFormat="1" applyFont="1"/>
    <xf numFmtId="165" fontId="51" fillId="0" borderId="0" xfId="0" applyNumberFormat="1" applyFont="1"/>
    <xf numFmtId="165" fontId="50" fillId="0" borderId="0" xfId="0" applyNumberFormat="1" applyFont="1"/>
    <xf numFmtId="0" fontId="50" fillId="0" borderId="0" xfId="0" applyFont="1"/>
    <xf numFmtId="165" fontId="49" fillId="0" borderId="0" xfId="0" applyNumberFormat="1" applyFont="1"/>
    <xf numFmtId="165" fontId="48" fillId="0" borderId="0" xfId="0" applyNumberFormat="1" applyFont="1"/>
    <xf numFmtId="165" fontId="47" fillId="0" borderId="0" xfId="0" applyNumberFormat="1" applyFont="1"/>
    <xf numFmtId="165" fontId="46" fillId="0" borderId="0" xfId="0" applyNumberFormat="1" applyFont="1"/>
    <xf numFmtId="165" fontId="45" fillId="0" borderId="0" xfId="0" applyNumberFormat="1" applyFont="1"/>
    <xf numFmtId="165" fontId="44" fillId="0" borderId="0" xfId="0" applyNumberFormat="1" applyFont="1"/>
    <xf numFmtId="1" fontId="163" fillId="0" borderId="0" xfId="0" applyNumberFormat="1" applyFont="1"/>
    <xf numFmtId="1" fontId="166" fillId="0" borderId="0" xfId="0" applyNumberFormat="1" applyFont="1"/>
    <xf numFmtId="1" fontId="123" fillId="0" borderId="0" xfId="0" applyNumberFormat="1" applyFont="1"/>
    <xf numFmtId="1" fontId="120" fillId="0" borderId="2" xfId="0" applyNumberFormat="1" applyFont="1" applyBorder="1" applyAlignment="1">
      <alignment vertical="center" wrapText="1"/>
    </xf>
    <xf numFmtId="1" fontId="120" fillId="2" borderId="1" xfId="0" applyNumberFormat="1" applyFont="1" applyFill="1" applyBorder="1"/>
    <xf numFmtId="1" fontId="123" fillId="2" borderId="1" xfId="0" applyNumberFormat="1" applyFont="1" applyFill="1" applyBorder="1"/>
    <xf numFmtId="1" fontId="169" fillId="0" borderId="0" xfId="0" applyNumberFormat="1" applyFont="1"/>
    <xf numFmtId="1" fontId="120" fillId="0" borderId="3" xfId="0" applyNumberFormat="1" applyFont="1" applyBorder="1" applyAlignment="1">
      <alignment vertical="center" wrapText="1"/>
    </xf>
    <xf numFmtId="1" fontId="120" fillId="4" borderId="1" xfId="0" applyNumberFormat="1" applyFont="1" applyFill="1" applyBorder="1"/>
    <xf numFmtId="1" fontId="125" fillId="0" borderId="0" xfId="0" applyNumberFormat="1" applyFont="1"/>
    <xf numFmtId="1" fontId="173" fillId="0" borderId="0" xfId="0" applyNumberFormat="1" applyFont="1"/>
    <xf numFmtId="1" fontId="120" fillId="15" borderId="1" xfId="0" applyNumberFormat="1" applyFont="1" applyFill="1" applyBorder="1"/>
    <xf numFmtId="1" fontId="174" fillId="0" borderId="0" xfId="0" applyNumberFormat="1" applyFont="1"/>
    <xf numFmtId="1" fontId="175" fillId="0" borderId="0" xfId="0" applyNumberFormat="1" applyFont="1"/>
    <xf numFmtId="1" fontId="120" fillId="16" borderId="1" xfId="0" applyNumberFormat="1" applyFont="1" applyFill="1" applyBorder="1"/>
    <xf numFmtId="1" fontId="176" fillId="0" borderId="0" xfId="0" applyNumberFormat="1" applyFont="1"/>
    <xf numFmtId="1" fontId="148" fillId="0" borderId="0" xfId="0" applyNumberFormat="1" applyFont="1"/>
    <xf numFmtId="1" fontId="177" fillId="0" borderId="0" xfId="0" applyNumberFormat="1" applyFont="1"/>
    <xf numFmtId="1" fontId="120" fillId="0" borderId="0" xfId="0" applyNumberFormat="1" applyFont="1" applyAlignment="1">
      <alignment horizontal="left" vertical="top"/>
    </xf>
    <xf numFmtId="1" fontId="123" fillId="0" borderId="0" xfId="0" applyNumberFormat="1" applyFont="1" applyAlignment="1">
      <alignment horizontal="left" vertical="top"/>
    </xf>
    <xf numFmtId="1" fontId="127" fillId="0" borderId="0" xfId="0" applyNumberFormat="1" applyFont="1"/>
    <xf numFmtId="1" fontId="178" fillId="0" borderId="0" xfId="0" applyNumberFormat="1" applyFont="1"/>
    <xf numFmtId="1" fontId="167" fillId="0" borderId="0" xfId="0" applyNumberFormat="1" applyFont="1"/>
    <xf numFmtId="1" fontId="120" fillId="0" borderId="0" xfId="0" applyNumberFormat="1" applyFont="1" applyAlignment="1">
      <alignment horizontal="left"/>
    </xf>
    <xf numFmtId="1" fontId="0" fillId="0" borderId="0" xfId="0" applyNumberFormat="1"/>
    <xf numFmtId="1" fontId="120" fillId="9" borderId="0" xfId="0" applyNumberFormat="1" applyFont="1" applyFill="1"/>
    <xf numFmtId="1" fontId="0" fillId="0" borderId="0" xfId="0" applyNumberFormat="1" applyAlignment="1">
      <alignment horizontal="left"/>
    </xf>
    <xf numFmtId="1" fontId="123" fillId="9" borderId="0" xfId="0" applyNumberFormat="1" applyFont="1" applyFill="1"/>
    <xf numFmtId="1" fontId="180" fillId="0" borderId="0" xfId="0" applyNumberFormat="1" applyFont="1" applyAlignment="1">
      <alignment vertical="center"/>
    </xf>
    <xf numFmtId="1" fontId="181" fillId="0" borderId="0" xfId="0" applyNumberFormat="1" applyFont="1" applyAlignment="1">
      <alignment vertical="center"/>
    </xf>
    <xf numFmtId="1" fontId="119" fillId="0" borderId="0" xfId="0" applyNumberFormat="1" applyFont="1"/>
    <xf numFmtId="1" fontId="149" fillId="0" borderId="0" xfId="0" applyNumberFormat="1" applyFont="1"/>
    <xf numFmtId="1" fontId="119" fillId="9" borderId="0" xfId="0" applyNumberFormat="1" applyFont="1" applyFill="1"/>
    <xf numFmtId="1" fontId="182" fillId="0" borderId="0" xfId="0" applyNumberFormat="1" applyFont="1"/>
    <xf numFmtId="1" fontId="183" fillId="0" borderId="0" xfId="0" applyNumberFormat="1" applyFont="1"/>
    <xf numFmtId="1" fontId="184" fillId="0" borderId="0" xfId="0" applyNumberFormat="1" applyFont="1"/>
    <xf numFmtId="1" fontId="118" fillId="0" borderId="0" xfId="0" applyNumberFormat="1" applyFont="1"/>
    <xf numFmtId="1" fontId="117" fillId="0" borderId="0" xfId="0" applyNumberFormat="1" applyFont="1"/>
    <xf numFmtId="1" fontId="116" fillId="0" borderId="0" xfId="0" applyNumberFormat="1" applyFont="1"/>
    <xf numFmtId="1" fontId="115" fillId="0" borderId="0" xfId="0" applyNumberFormat="1" applyFont="1"/>
    <xf numFmtId="1" fontId="114" fillId="0" borderId="0" xfId="0" applyNumberFormat="1" applyFont="1"/>
    <xf numFmtId="1" fontId="113" fillId="0" borderId="0" xfId="0" applyNumberFormat="1" applyFont="1"/>
    <xf numFmtId="1" fontId="111" fillId="0" borderId="0" xfId="0" applyNumberFormat="1" applyFont="1"/>
    <xf numFmtId="1" fontId="109" fillId="0" borderId="0" xfId="0" applyNumberFormat="1" applyFont="1"/>
    <xf numFmtId="1" fontId="108" fillId="0" borderId="0" xfId="0" applyNumberFormat="1" applyFont="1"/>
    <xf numFmtId="1" fontId="107" fillId="0" borderId="0" xfId="0" applyNumberFormat="1" applyFont="1"/>
    <xf numFmtId="1" fontId="106" fillId="0" borderId="0" xfId="0" applyNumberFormat="1" applyFont="1"/>
    <xf numFmtId="1" fontId="105" fillId="0" borderId="0" xfId="0" applyNumberFormat="1" applyFont="1"/>
    <xf numFmtId="1" fontId="90" fillId="0" borderId="0" xfId="0" applyNumberFormat="1" applyFont="1"/>
    <xf numFmtId="1" fontId="101" fillId="0" borderId="0" xfId="0" applyNumberFormat="1" applyFont="1"/>
    <xf numFmtId="1" fontId="75" fillId="0" borderId="0" xfId="0" applyNumberFormat="1" applyFont="1"/>
    <xf numFmtId="1" fontId="100" fillId="0" borderId="0" xfId="0" applyNumberFormat="1" applyFont="1"/>
    <xf numFmtId="1" fontId="99" fillId="0" borderId="0" xfId="0" applyNumberFormat="1" applyFont="1"/>
    <xf numFmtId="1" fontId="98" fillId="0" borderId="0" xfId="0" applyNumberFormat="1" applyFont="1"/>
    <xf numFmtId="1" fontId="97" fillId="0" borderId="0" xfId="0" applyNumberFormat="1" applyFont="1"/>
    <xf numFmtId="1" fontId="96" fillId="0" borderId="0" xfId="0" applyNumberFormat="1" applyFont="1"/>
    <xf numFmtId="1" fontId="95" fillId="0" borderId="0" xfId="0" applyNumberFormat="1" applyFont="1"/>
    <xf numFmtId="1" fontId="94" fillId="0" borderId="0" xfId="0" applyNumberFormat="1" applyFont="1"/>
    <xf numFmtId="1" fontId="93" fillId="0" borderId="0" xfId="0" applyNumberFormat="1" applyFont="1"/>
    <xf numFmtId="1" fontId="92" fillId="0" borderId="0" xfId="0" applyNumberFormat="1" applyFont="1"/>
    <xf numFmtId="1" fontId="91" fillId="0" borderId="0" xfId="0" applyNumberFormat="1" applyFont="1"/>
    <xf numFmtId="1" fontId="89" fillId="0" borderId="0" xfId="0" applyNumberFormat="1" applyFont="1"/>
    <xf numFmtId="1" fontId="88" fillId="0" borderId="0" xfId="0" applyNumberFormat="1" applyFont="1"/>
    <xf numFmtId="1" fontId="86" fillId="0" borderId="0" xfId="0" applyNumberFormat="1" applyFont="1"/>
    <xf numFmtId="1" fontId="85" fillId="0" borderId="0" xfId="0" applyNumberFormat="1" applyFont="1"/>
    <xf numFmtId="1" fontId="83" fillId="0" borderId="0" xfId="0" applyNumberFormat="1" applyFont="1"/>
    <xf numFmtId="1" fontId="82" fillId="0" borderId="0" xfId="0" applyNumberFormat="1" applyFont="1"/>
    <xf numFmtId="1" fontId="79" fillId="0" borderId="0" xfId="0" applyNumberFormat="1" applyFont="1"/>
    <xf numFmtId="1" fontId="78" fillId="0" borderId="0" xfId="0" applyNumberFormat="1" applyFont="1"/>
    <xf numFmtId="1" fontId="72" fillId="0" borderId="0" xfId="0" applyNumberFormat="1" applyFont="1"/>
    <xf numFmtId="1" fontId="76" fillId="0" borderId="0" xfId="0" applyNumberFormat="1" applyFont="1"/>
    <xf numFmtId="1" fontId="74" fillId="0" borderId="0" xfId="0" applyNumberFormat="1" applyFont="1"/>
    <xf numFmtId="1" fontId="73" fillId="0" borderId="0" xfId="0" applyNumberFormat="1" applyFont="1"/>
    <xf numFmtId="1" fontId="71" fillId="0" borderId="0" xfId="0" applyNumberFormat="1" applyFont="1"/>
    <xf numFmtId="1" fontId="70" fillId="0" borderId="0" xfId="0" applyNumberFormat="1" applyFont="1"/>
    <xf numFmtId="1" fontId="69" fillId="0" borderId="0" xfId="0" applyNumberFormat="1" applyFont="1"/>
    <xf numFmtId="1" fontId="68" fillId="0" borderId="0" xfId="0" applyNumberFormat="1" applyFont="1"/>
    <xf numFmtId="1" fontId="67" fillId="0" borderId="0" xfId="0" applyNumberFormat="1" applyFont="1"/>
    <xf numFmtId="1" fontId="66" fillId="0" borderId="0" xfId="0" applyNumberFormat="1" applyFont="1"/>
    <xf numFmtId="1" fontId="129" fillId="0" borderId="0" xfId="0" applyNumberFormat="1" applyFont="1"/>
    <xf numFmtId="1" fontId="64" fillId="0" borderId="0" xfId="0" applyNumberFormat="1" applyFont="1"/>
    <xf numFmtId="1" fontId="63" fillId="0" borderId="0" xfId="0" applyNumberFormat="1" applyFont="1"/>
    <xf numFmtId="1" fontId="61" fillId="0" borderId="0" xfId="0" applyNumberFormat="1" applyFont="1"/>
    <xf numFmtId="1" fontId="187" fillId="0" borderId="0" xfId="0" applyNumberFormat="1" applyFont="1"/>
    <xf numFmtId="1" fontId="90" fillId="9" borderId="0" xfId="0" applyNumberFormat="1" applyFont="1" applyFill="1"/>
    <xf numFmtId="165" fontId="43" fillId="0" borderId="0" xfId="0" applyNumberFormat="1" applyFont="1"/>
    <xf numFmtId="0" fontId="133" fillId="0" borderId="0" xfId="0" applyFont="1" applyAlignment="1">
      <alignment horizontal="center"/>
    </xf>
    <xf numFmtId="165" fontId="42" fillId="0" borderId="0" xfId="0" applyNumberFormat="1" applyFont="1"/>
    <xf numFmtId="165" fontId="41" fillId="0" borderId="0" xfId="0" applyNumberFormat="1" applyFont="1"/>
    <xf numFmtId="0" fontId="187" fillId="0" borderId="0" xfId="0" applyFont="1"/>
    <xf numFmtId="165" fontId="40" fillId="0" borderId="0" xfId="0" applyNumberFormat="1" applyFont="1"/>
    <xf numFmtId="165" fontId="39" fillId="0" borderId="0" xfId="0" applyNumberFormat="1" applyFont="1"/>
    <xf numFmtId="165" fontId="38" fillId="0" borderId="0" xfId="0" applyNumberFormat="1" applyFont="1"/>
    <xf numFmtId="165" fontId="37" fillId="0" borderId="0" xfId="0" applyNumberFormat="1" applyFont="1"/>
    <xf numFmtId="165" fontId="36" fillId="0" borderId="0" xfId="0" applyNumberFormat="1" applyFont="1"/>
    <xf numFmtId="165" fontId="35" fillId="0" borderId="0" xfId="0" applyNumberFormat="1" applyFont="1"/>
    <xf numFmtId="165" fontId="34" fillId="0" borderId="0" xfId="0" applyNumberFormat="1" applyFont="1"/>
    <xf numFmtId="3" fontId="150" fillId="0" borderId="0" xfId="0" applyNumberFormat="1" applyFont="1"/>
    <xf numFmtId="165" fontId="33" fillId="0" borderId="0" xfId="0" applyNumberFormat="1" applyFont="1"/>
    <xf numFmtId="165" fontId="32" fillId="0" borderId="0" xfId="0" applyNumberFormat="1" applyFont="1"/>
    <xf numFmtId="0" fontId="32" fillId="0" borderId="0" xfId="0" applyFont="1"/>
    <xf numFmtId="0" fontId="133" fillId="9" borderId="0" xfId="0" applyFont="1" applyFill="1"/>
    <xf numFmtId="0" fontId="133" fillId="9" borderId="0" xfId="0" applyFont="1" applyFill="1" applyAlignment="1">
      <alignment horizontal="center"/>
    </xf>
    <xf numFmtId="165" fontId="31" fillId="0" borderId="0" xfId="0" applyNumberFormat="1" applyFont="1"/>
    <xf numFmtId="165" fontId="30" fillId="0" borderId="0" xfId="0" applyNumberFormat="1" applyFont="1"/>
    <xf numFmtId="165" fontId="29" fillId="0" borderId="0" xfId="0" applyNumberFormat="1" applyFont="1"/>
    <xf numFmtId="165" fontId="28" fillId="0" borderId="0" xfId="0" applyNumberFormat="1" applyFont="1"/>
    <xf numFmtId="165" fontId="27" fillId="0" borderId="0" xfId="0" applyNumberFormat="1" applyFont="1"/>
    <xf numFmtId="0" fontId="147" fillId="9" borderId="0" xfId="1" applyFill="1" applyBorder="1"/>
    <xf numFmtId="0" fontId="188" fillId="0" borderId="0" xfId="0" applyFont="1"/>
    <xf numFmtId="165" fontId="26" fillId="0" borderId="0" xfId="0" applyNumberFormat="1" applyFont="1"/>
    <xf numFmtId="165" fontId="25" fillId="0" borderId="0" xfId="0" applyNumberFormat="1" applyFont="1"/>
    <xf numFmtId="165" fontId="24" fillId="0" borderId="0" xfId="0" applyNumberFormat="1" applyFont="1"/>
    <xf numFmtId="165" fontId="23" fillId="0" borderId="0" xfId="0" applyNumberFormat="1" applyFont="1"/>
    <xf numFmtId="165" fontId="22" fillId="0" borderId="0" xfId="0" applyNumberFormat="1" applyFont="1"/>
    <xf numFmtId="165" fontId="21" fillId="0" borderId="0" xfId="0" applyNumberFormat="1" applyFont="1"/>
    <xf numFmtId="165" fontId="20" fillId="0" borderId="0" xfId="0" applyNumberFormat="1" applyFont="1"/>
    <xf numFmtId="165" fontId="19" fillId="0" borderId="0" xfId="0" applyNumberFormat="1" applyFont="1"/>
    <xf numFmtId="1" fontId="19" fillId="0" borderId="0" xfId="0" applyNumberFormat="1" applyFont="1"/>
    <xf numFmtId="165" fontId="18" fillId="0" borderId="0" xfId="0" applyNumberFormat="1" applyFont="1"/>
    <xf numFmtId="165" fontId="17" fillId="0" borderId="0" xfId="0" applyNumberFormat="1" applyFont="1"/>
    <xf numFmtId="165" fontId="16" fillId="0" borderId="0" xfId="0" applyNumberFormat="1" applyFont="1"/>
    <xf numFmtId="165" fontId="15" fillId="0" borderId="0" xfId="0" applyNumberFormat="1" applyFont="1"/>
    <xf numFmtId="0" fontId="15" fillId="0" borderId="0" xfId="0" applyFont="1"/>
    <xf numFmtId="165" fontId="14" fillId="0" borderId="0" xfId="0" applyNumberFormat="1" applyFont="1"/>
    <xf numFmtId="165" fontId="13" fillId="0" borderId="0" xfId="0" applyNumberFormat="1" applyFont="1"/>
    <xf numFmtId="165" fontId="12" fillId="0" borderId="0" xfId="0" applyNumberFormat="1" applyFont="1"/>
    <xf numFmtId="165" fontId="11" fillId="0" borderId="0" xfId="0" applyNumberFormat="1" applyFont="1"/>
    <xf numFmtId="0" fontId="11" fillId="0" borderId="0" xfId="0" applyFont="1"/>
    <xf numFmtId="165" fontId="10" fillId="0" borderId="0" xfId="0" applyNumberFormat="1" applyFont="1"/>
    <xf numFmtId="165" fontId="9" fillId="0" borderId="0" xfId="0" applyNumberFormat="1" applyFont="1"/>
    <xf numFmtId="165" fontId="8" fillId="0" borderId="0" xfId="0" applyNumberFormat="1" applyFont="1"/>
    <xf numFmtId="0" fontId="0" fillId="12" borderId="0" xfId="0" applyFill="1" applyAlignment="1">
      <alignment horizontal="right"/>
    </xf>
    <xf numFmtId="0" fontId="162" fillId="12" borderId="0" xfId="0" applyFont="1" applyFill="1" applyAlignment="1">
      <alignment horizontal="right"/>
    </xf>
    <xf numFmtId="165" fontId="7" fillId="0" borderId="0" xfId="0" applyNumberFormat="1" applyFont="1"/>
    <xf numFmtId="165" fontId="6" fillId="0" borderId="0" xfId="0" applyNumberFormat="1" applyFont="1"/>
    <xf numFmtId="165" fontId="5" fillId="0" borderId="0" xfId="0" applyNumberFormat="1" applyFont="1"/>
    <xf numFmtId="165" fontId="4" fillId="0" borderId="0" xfId="0" applyNumberFormat="1" applyFont="1"/>
    <xf numFmtId="0" fontId="4" fillId="0" borderId="0" xfId="0" applyFont="1"/>
    <xf numFmtId="165" fontId="3" fillId="0" borderId="0" xfId="0" applyNumberFormat="1" applyFont="1"/>
    <xf numFmtId="165" fontId="2" fillId="0" borderId="0" xfId="0" applyNumberFormat="1" applyFont="1"/>
    <xf numFmtId="0" fontId="120" fillId="0" borderId="0" xfId="0" applyFont="1" applyAlignment="1">
      <alignment horizontal="center"/>
    </xf>
    <xf numFmtId="0" fontId="0" fillId="0" borderId="0" xfId="0"/>
    <xf numFmtId="0" fontId="186" fillId="9" borderId="0" xfId="0" applyFont="1" applyFill="1" applyAlignment="1">
      <alignment horizontal="center" vertical="center" wrapText="1"/>
    </xf>
    <xf numFmtId="165" fontId="1" fillId="0" borderId="0" xfId="0" applyNumberFormat="1" applyFont="1"/>
  </cellXfs>
  <cellStyles count="3">
    <cellStyle name="Bad" xfId="2" builtinId="27"/>
    <cellStyle name="Hyperlink" xfId="1" builtinId="8"/>
    <cellStyle name="Normal" xfId="0" builtinId="0"/>
  </cellStyles>
  <dxfs count="4">
    <dxf>
      <font>
        <b/>
        <color rgb="FFFF000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none"/>
      </fill>
    </dxf>
    <dxf>
      <font>
        <color rgb="FFC0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23" Type="http://schemas.openxmlformats.org/officeDocument/2006/relationships/calcChain" Target="calcChain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sanjay@minusoft.co.in" TargetMode="External"/><Relationship Id="rId21" Type="http://schemas.openxmlformats.org/officeDocument/2006/relationships/hyperlink" Target="mailto:sonisingh53107@gmail.com" TargetMode="External"/><Relationship Id="rId42" Type="http://schemas.openxmlformats.org/officeDocument/2006/relationships/hyperlink" Target="mailto:sanjay@minusoft.co.in" TargetMode="External"/><Relationship Id="rId47" Type="http://schemas.openxmlformats.org/officeDocument/2006/relationships/hyperlink" Target="mailto:krishnastore001@gmail.com" TargetMode="External"/><Relationship Id="rId63" Type="http://schemas.openxmlformats.org/officeDocument/2006/relationships/hyperlink" Target="mailto:sumandutta26jan@gmail.com" TargetMode="External"/><Relationship Id="rId68" Type="http://schemas.openxmlformats.org/officeDocument/2006/relationships/hyperlink" Target="mailto:sanjay@minusoft.co.in" TargetMode="External"/><Relationship Id="rId84" Type="http://schemas.openxmlformats.org/officeDocument/2006/relationships/hyperlink" Target="mailto:sanjay1@minusoft.co.in" TargetMode="External"/><Relationship Id="rId89" Type="http://schemas.openxmlformats.org/officeDocument/2006/relationships/hyperlink" Target="mailto:sumitkingg786@gmail.com" TargetMode="External"/><Relationship Id="rId112" Type="http://schemas.openxmlformats.org/officeDocument/2006/relationships/hyperlink" Target="mailto:sanjay2@" TargetMode="External"/><Relationship Id="rId16" Type="http://schemas.openxmlformats.org/officeDocument/2006/relationships/hyperlink" Target="mailto:sanjay@minusoft.co.in" TargetMode="External"/><Relationship Id="rId107" Type="http://schemas.openxmlformats.org/officeDocument/2006/relationships/hyperlink" Target="mailto:jyoti.hr.jha@gmail.com" TargetMode="External"/><Relationship Id="rId11" Type="http://schemas.openxmlformats.org/officeDocument/2006/relationships/hyperlink" Target="mailto:madymaninder007@gmail.com" TargetMode="External"/><Relationship Id="rId24" Type="http://schemas.openxmlformats.org/officeDocument/2006/relationships/hyperlink" Target="mailto:sanjay@minusoft.co.in" TargetMode="External"/><Relationship Id="rId32" Type="http://schemas.openxmlformats.org/officeDocument/2006/relationships/hyperlink" Target="mailto:ekta.jha29@gmail.com" TargetMode="External"/><Relationship Id="rId37" Type="http://schemas.openxmlformats.org/officeDocument/2006/relationships/hyperlink" Target="mailto:sanjay@minusoft.co.in" TargetMode="External"/><Relationship Id="rId40" Type="http://schemas.openxmlformats.org/officeDocument/2006/relationships/hyperlink" Target="mailto:sanjay@minusoft.co.in" TargetMode="External"/><Relationship Id="rId45" Type="http://schemas.openxmlformats.org/officeDocument/2006/relationships/hyperlink" Target="mailto:surbhisinghjsr03@gmail.com" TargetMode="External"/><Relationship Id="rId53" Type="http://schemas.openxmlformats.org/officeDocument/2006/relationships/hyperlink" Target="mailto:sanjay@minusoft.co.in" TargetMode="External"/><Relationship Id="rId58" Type="http://schemas.openxmlformats.org/officeDocument/2006/relationships/hyperlink" Target="mailto:jaipaljsr225@gmail.com" TargetMode="External"/><Relationship Id="rId66" Type="http://schemas.openxmlformats.org/officeDocument/2006/relationships/hyperlink" Target="mailto:sanjay@minusoft.co.in" TargetMode="External"/><Relationship Id="rId74" Type="http://schemas.openxmlformats.org/officeDocument/2006/relationships/hyperlink" Target="mailto:aakritifocus@gmail.com" TargetMode="External"/><Relationship Id="rId79" Type="http://schemas.openxmlformats.org/officeDocument/2006/relationships/hyperlink" Target="mailto:ns966310@gmail.com" TargetMode="External"/><Relationship Id="rId87" Type="http://schemas.openxmlformats.org/officeDocument/2006/relationships/hyperlink" Target="mailto:binay.mishra@cummins.com" TargetMode="External"/><Relationship Id="rId102" Type="http://schemas.openxmlformats.org/officeDocument/2006/relationships/hyperlink" Target="mailto:ratnapatra235@gmail.com" TargetMode="External"/><Relationship Id="rId110" Type="http://schemas.openxmlformats.org/officeDocument/2006/relationships/hyperlink" Target="mailto:rajivbera91@gmail.com" TargetMode="External"/><Relationship Id="rId115" Type="http://schemas.openxmlformats.org/officeDocument/2006/relationships/printerSettings" Target="../printerSettings/printerSettings2.bin"/><Relationship Id="rId5" Type="http://schemas.openxmlformats.org/officeDocument/2006/relationships/hyperlink" Target="mailto:sanjay@minusoft.co.in" TargetMode="External"/><Relationship Id="rId61" Type="http://schemas.openxmlformats.org/officeDocument/2006/relationships/hyperlink" Target="mailto:sanjay@minusoft.co.in" TargetMode="External"/><Relationship Id="rId82" Type="http://schemas.openxmlformats.org/officeDocument/2006/relationships/hyperlink" Target="mailto:sanjay1@minusoft.co.in" TargetMode="External"/><Relationship Id="rId90" Type="http://schemas.openxmlformats.org/officeDocument/2006/relationships/hyperlink" Target="mailto:sanjay1@minusoft.co.in" TargetMode="External"/><Relationship Id="rId95" Type="http://schemas.openxmlformats.org/officeDocument/2006/relationships/hyperlink" Target="mailto:beenamahato1@gmail.com" TargetMode="External"/><Relationship Id="rId19" Type="http://schemas.openxmlformats.org/officeDocument/2006/relationships/hyperlink" Target="mailto:sanjay@minusoft.co.in" TargetMode="External"/><Relationship Id="rId14" Type="http://schemas.openxmlformats.org/officeDocument/2006/relationships/hyperlink" Target="mailto:sunil.kum@gmail.com" TargetMode="External"/><Relationship Id="rId22" Type="http://schemas.openxmlformats.org/officeDocument/2006/relationships/hyperlink" Target="mailto:mar15aug@gmail.com" TargetMode="External"/><Relationship Id="rId27" Type="http://schemas.openxmlformats.org/officeDocument/2006/relationships/hyperlink" Target="mailto:akanshatripathy4@gmail.com" TargetMode="External"/><Relationship Id="rId30" Type="http://schemas.openxmlformats.org/officeDocument/2006/relationships/hyperlink" Target="mailto:sanjay@minusoft.co.in" TargetMode="External"/><Relationship Id="rId35" Type="http://schemas.openxmlformats.org/officeDocument/2006/relationships/hyperlink" Target="mailto:nadimakhter1976@gmail.com" TargetMode="External"/><Relationship Id="rId43" Type="http://schemas.openxmlformats.org/officeDocument/2006/relationships/hyperlink" Target="mailto:surajrathorebr@gmail.com" TargetMode="External"/><Relationship Id="rId48" Type="http://schemas.openxmlformats.org/officeDocument/2006/relationships/hyperlink" Target="mailto:amarmukhi2627@gmail.com" TargetMode="External"/><Relationship Id="rId56" Type="http://schemas.openxmlformats.org/officeDocument/2006/relationships/hyperlink" Target="mailto:jasbir.singh62044@gmail.om" TargetMode="External"/><Relationship Id="rId64" Type="http://schemas.openxmlformats.org/officeDocument/2006/relationships/hyperlink" Target="mailto:bbpdamit@gmail.com" TargetMode="External"/><Relationship Id="rId69" Type="http://schemas.openxmlformats.org/officeDocument/2006/relationships/hyperlink" Target="mailto:sdd392487@gmail.com" TargetMode="External"/><Relationship Id="rId77" Type="http://schemas.openxmlformats.org/officeDocument/2006/relationships/hyperlink" Target="mailto:souravtripathy67@gmail.com" TargetMode="External"/><Relationship Id="rId100" Type="http://schemas.openxmlformats.org/officeDocument/2006/relationships/hyperlink" Target="mailto:sanjay1@minusoft.co.in" TargetMode="External"/><Relationship Id="rId105" Type="http://schemas.openxmlformats.org/officeDocument/2006/relationships/hyperlink" Target="mailto:janadeepak79@gmail.com" TargetMode="External"/><Relationship Id="rId113" Type="http://schemas.openxmlformats.org/officeDocument/2006/relationships/hyperlink" Target="mailto:sanjay2@" TargetMode="External"/><Relationship Id="rId8" Type="http://schemas.openxmlformats.org/officeDocument/2006/relationships/hyperlink" Target="mailto:debdasduttatm@gmail.com" TargetMode="External"/><Relationship Id="rId51" Type="http://schemas.openxmlformats.org/officeDocument/2006/relationships/hyperlink" Target="mailto:kalimrahi01@gmail.com" TargetMode="External"/><Relationship Id="rId72" Type="http://schemas.openxmlformats.org/officeDocument/2006/relationships/hyperlink" Target="mailto:kartikmahato5896@gmail.com" TargetMode="External"/><Relationship Id="rId80" Type="http://schemas.openxmlformats.org/officeDocument/2006/relationships/hyperlink" Target="mailto:desiringdilipkumar@gmail.com" TargetMode="External"/><Relationship Id="rId85" Type="http://schemas.openxmlformats.org/officeDocument/2006/relationships/hyperlink" Target="mailto:sanjay1@minusoft.co.in" TargetMode="External"/><Relationship Id="rId93" Type="http://schemas.openxmlformats.org/officeDocument/2006/relationships/hyperlink" Target="mailto:sanjay1@minusoft.co.in" TargetMode="External"/><Relationship Id="rId98" Type="http://schemas.openxmlformats.org/officeDocument/2006/relationships/hyperlink" Target="mailto:bipinkumarbipin676@gmail.com" TargetMode="External"/><Relationship Id="rId3" Type="http://schemas.openxmlformats.org/officeDocument/2006/relationships/hyperlink" Target="mailto:sanjay@minusoft.co.in" TargetMode="External"/><Relationship Id="rId12" Type="http://schemas.openxmlformats.org/officeDocument/2006/relationships/hyperlink" Target="mailto:akumari2002.in@gmail.com" TargetMode="External"/><Relationship Id="rId17" Type="http://schemas.openxmlformats.org/officeDocument/2006/relationships/hyperlink" Target="mailto:dk988504@gmail.com" TargetMode="External"/><Relationship Id="rId25" Type="http://schemas.openxmlformats.org/officeDocument/2006/relationships/hyperlink" Target="mailto:sanjay@minusoft.co.in" TargetMode="External"/><Relationship Id="rId33" Type="http://schemas.openxmlformats.org/officeDocument/2006/relationships/hyperlink" Target="mailto:sanjay@minusoft.co.in" TargetMode="External"/><Relationship Id="rId38" Type="http://schemas.openxmlformats.org/officeDocument/2006/relationships/hyperlink" Target="mailto:sanjay@minusoft.co.in" TargetMode="External"/><Relationship Id="rId46" Type="http://schemas.openxmlformats.org/officeDocument/2006/relationships/hyperlink" Target="mailto:snehabag56@gmail.co" TargetMode="External"/><Relationship Id="rId59" Type="http://schemas.openxmlformats.org/officeDocument/2006/relationships/hyperlink" Target="mailto:sanjay@minusoft.co.in" TargetMode="External"/><Relationship Id="rId67" Type="http://schemas.openxmlformats.org/officeDocument/2006/relationships/hyperlink" Target="mailto:zhasan987@gmail.com" TargetMode="External"/><Relationship Id="rId103" Type="http://schemas.openxmlformats.org/officeDocument/2006/relationships/hyperlink" Target="mailto:pravs.sinha@gmail.com" TargetMode="External"/><Relationship Id="rId108" Type="http://schemas.openxmlformats.org/officeDocument/2006/relationships/hyperlink" Target="mailto:santusingh192020@gmail.com" TargetMode="External"/><Relationship Id="rId20" Type="http://schemas.openxmlformats.org/officeDocument/2006/relationships/hyperlink" Target="mailto:rupeshsingh317@gmail.com" TargetMode="External"/><Relationship Id="rId41" Type="http://schemas.openxmlformats.org/officeDocument/2006/relationships/hyperlink" Target="mailto:pankajsanju2403@gmail.com" TargetMode="External"/><Relationship Id="rId54" Type="http://schemas.openxmlformats.org/officeDocument/2006/relationships/hyperlink" Target="mailto:anusuya.cbs.201@gmail.com" TargetMode="External"/><Relationship Id="rId62" Type="http://schemas.openxmlformats.org/officeDocument/2006/relationships/hyperlink" Target="mailto:sanjay@minusoft.co.in" TargetMode="External"/><Relationship Id="rId70" Type="http://schemas.openxmlformats.org/officeDocument/2006/relationships/hyperlink" Target="mailto:sanjay1@minusoft.co.in" TargetMode="External"/><Relationship Id="rId75" Type="http://schemas.openxmlformats.org/officeDocument/2006/relationships/hyperlink" Target="mailto:manishkumarcomsonu53811@gmail.com" TargetMode="External"/><Relationship Id="rId83" Type="http://schemas.openxmlformats.org/officeDocument/2006/relationships/hyperlink" Target="mailto:sanjay1@minusoft.co.in" TargetMode="External"/><Relationship Id="rId88" Type="http://schemas.openxmlformats.org/officeDocument/2006/relationships/hyperlink" Target="mailto:Jagdishmahato316@gmail.com" TargetMode="External"/><Relationship Id="rId91" Type="http://schemas.openxmlformats.org/officeDocument/2006/relationships/hyperlink" Target="mailto:nandasharma77500@gmail.com" TargetMode="External"/><Relationship Id="rId96" Type="http://schemas.openxmlformats.org/officeDocument/2006/relationships/hyperlink" Target="mailto:sanjay1@minusoft.co.in" TargetMode="External"/><Relationship Id="rId111" Type="http://schemas.openxmlformats.org/officeDocument/2006/relationships/hyperlink" Target="mailto:ahmadajaz641@gmail.com" TargetMode="External"/><Relationship Id="rId1" Type="http://schemas.openxmlformats.org/officeDocument/2006/relationships/hyperlink" Target="mailto:garai.bishal44@gmail.com" TargetMode="External"/><Relationship Id="rId6" Type="http://schemas.openxmlformats.org/officeDocument/2006/relationships/hyperlink" Target="mailto:seemababy4@gmail.com" TargetMode="External"/><Relationship Id="rId15" Type="http://schemas.openxmlformats.org/officeDocument/2006/relationships/hyperlink" Target="mailto:karimkhan9955@gmail.com" TargetMode="External"/><Relationship Id="rId23" Type="http://schemas.openxmlformats.org/officeDocument/2006/relationships/hyperlink" Target="mailto:sanjay@minusoft.co.in" TargetMode="External"/><Relationship Id="rId28" Type="http://schemas.openxmlformats.org/officeDocument/2006/relationships/hyperlink" Target="mailto:a7295056859@gmail.com" TargetMode="External"/><Relationship Id="rId36" Type="http://schemas.openxmlformats.org/officeDocument/2006/relationships/hyperlink" Target="mailto:sanjay@minusoft.co.in" TargetMode="External"/><Relationship Id="rId49" Type="http://schemas.openxmlformats.org/officeDocument/2006/relationships/hyperlink" Target="mailto:vermark1503@gmail.com" TargetMode="External"/><Relationship Id="rId57" Type="http://schemas.openxmlformats.org/officeDocument/2006/relationships/hyperlink" Target="mailto:jasbir.singh62044@gmail.om" TargetMode="External"/><Relationship Id="rId106" Type="http://schemas.openxmlformats.org/officeDocument/2006/relationships/hyperlink" Target="mailto:ratnesh74jha@gmail.com" TargetMode="External"/><Relationship Id="rId114" Type="http://schemas.openxmlformats.org/officeDocument/2006/relationships/hyperlink" Target="mailto:sanjay2@" TargetMode="External"/><Relationship Id="rId10" Type="http://schemas.openxmlformats.org/officeDocument/2006/relationships/hyperlink" Target="mailto:mahatohirawati@gmail.com" TargetMode="External"/><Relationship Id="rId31" Type="http://schemas.openxmlformats.org/officeDocument/2006/relationships/hyperlink" Target="mailto:charanlakhi2580@gmail.com" TargetMode="External"/><Relationship Id="rId44" Type="http://schemas.openxmlformats.org/officeDocument/2006/relationships/hyperlink" Target="mailto:sangeetasinghdixit@gmail.com" TargetMode="External"/><Relationship Id="rId52" Type="http://schemas.openxmlformats.org/officeDocument/2006/relationships/hyperlink" Target="mailto:sanjay@minusoft.co.in" TargetMode="External"/><Relationship Id="rId60" Type="http://schemas.openxmlformats.org/officeDocument/2006/relationships/hyperlink" Target="mailto:sanjay@minusoft.co.in" TargetMode="External"/><Relationship Id="rId65" Type="http://schemas.openxmlformats.org/officeDocument/2006/relationships/hyperlink" Target="mailto:sanjay@minusoft.co.in" TargetMode="External"/><Relationship Id="rId73" Type="http://schemas.openxmlformats.org/officeDocument/2006/relationships/hyperlink" Target="mailto:kartikmahato5896@gmail.com" TargetMode="External"/><Relationship Id="rId78" Type="http://schemas.openxmlformats.org/officeDocument/2006/relationships/hyperlink" Target="mailto:sanja1@minusoft.co.in" TargetMode="External"/><Relationship Id="rId81" Type="http://schemas.openxmlformats.org/officeDocument/2006/relationships/hyperlink" Target="mailto:anshuk497@gmail.com" TargetMode="External"/><Relationship Id="rId86" Type="http://schemas.openxmlformats.org/officeDocument/2006/relationships/hyperlink" Target="mailto:sanjay1@minusoft.co.in" TargetMode="External"/><Relationship Id="rId94" Type="http://schemas.openxmlformats.org/officeDocument/2006/relationships/hyperlink" Target="mailto:sanjay1@minusoft.co.in" TargetMode="External"/><Relationship Id="rId99" Type="http://schemas.openxmlformats.org/officeDocument/2006/relationships/hyperlink" Target="mailto:sanjay1@minusoft.co.in" TargetMode="External"/><Relationship Id="rId101" Type="http://schemas.openxmlformats.org/officeDocument/2006/relationships/hyperlink" Target="mailto:sanjay1@minusoft.co.in" TargetMode="External"/><Relationship Id="rId4" Type="http://schemas.openxmlformats.org/officeDocument/2006/relationships/hyperlink" Target="mailto:sanjay@minusoft.co.in" TargetMode="External"/><Relationship Id="rId9" Type="http://schemas.openxmlformats.org/officeDocument/2006/relationships/hyperlink" Target="mailto:mahatohirawati@gmail.com" TargetMode="External"/><Relationship Id="rId13" Type="http://schemas.openxmlformats.org/officeDocument/2006/relationships/hyperlink" Target="mailto:sanjaygorai124@gmail.com" TargetMode="External"/><Relationship Id="rId18" Type="http://schemas.openxmlformats.org/officeDocument/2006/relationships/hyperlink" Target="mailto:rupeshsingh317@gmail.com" TargetMode="External"/><Relationship Id="rId39" Type="http://schemas.openxmlformats.org/officeDocument/2006/relationships/hyperlink" Target="mailto:sanjay@minusoft.co.in" TargetMode="External"/><Relationship Id="rId109" Type="http://schemas.openxmlformats.org/officeDocument/2006/relationships/hyperlink" Target="mailto:sonipriyanshi339@gmail.com" TargetMode="External"/><Relationship Id="rId34" Type="http://schemas.openxmlformats.org/officeDocument/2006/relationships/hyperlink" Target="mailto:sanjay@minusoft.co.in" TargetMode="External"/><Relationship Id="rId50" Type="http://schemas.openxmlformats.org/officeDocument/2006/relationships/hyperlink" Target="mailto:ec.99.2019@gmail.com" TargetMode="External"/><Relationship Id="rId55" Type="http://schemas.openxmlformats.org/officeDocument/2006/relationships/hyperlink" Target="mailto:chhayarani.cbs201@gmail.com" TargetMode="External"/><Relationship Id="rId76" Type="http://schemas.openxmlformats.org/officeDocument/2006/relationships/hyperlink" Target="mailto:sanjay1@minusoft.co.in" TargetMode="External"/><Relationship Id="rId97" Type="http://schemas.openxmlformats.org/officeDocument/2006/relationships/hyperlink" Target="mailto:sanjay1@minusoft.co.in" TargetMode="External"/><Relationship Id="rId104" Type="http://schemas.openxmlformats.org/officeDocument/2006/relationships/hyperlink" Target="mailto:pravs.sinha@gmail.com" TargetMode="External"/><Relationship Id="rId7" Type="http://schemas.openxmlformats.org/officeDocument/2006/relationships/hyperlink" Target="mailto:sanjay@minusoft.co.in" TargetMode="External"/><Relationship Id="rId71" Type="http://schemas.openxmlformats.org/officeDocument/2006/relationships/hyperlink" Target="mailto:sanjaygorai000@gmail.com" TargetMode="External"/><Relationship Id="rId92" Type="http://schemas.openxmlformats.org/officeDocument/2006/relationships/hyperlink" Target="mailto:sanjay1@minusoft.co.in" TargetMode="External"/><Relationship Id="rId2" Type="http://schemas.openxmlformats.org/officeDocument/2006/relationships/hyperlink" Target="mailto:nweb.hub@gmail.com" TargetMode="External"/><Relationship Id="rId29" Type="http://schemas.openxmlformats.org/officeDocument/2006/relationships/hyperlink" Target="mailto:sanjay@minusoft.co.in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Mypass@2024" TargetMode="External"/><Relationship Id="rId21" Type="http://schemas.openxmlformats.org/officeDocument/2006/relationships/hyperlink" Target="mailto:Mypass@2022" TargetMode="External"/><Relationship Id="rId42" Type="http://schemas.openxmlformats.org/officeDocument/2006/relationships/hyperlink" Target="mailto:Mypass@2023" TargetMode="External"/><Relationship Id="rId63" Type="http://schemas.openxmlformats.org/officeDocument/2006/relationships/hyperlink" Target="mailto:Mypass@23" TargetMode="External"/><Relationship Id="rId84" Type="http://schemas.openxmlformats.org/officeDocument/2006/relationships/hyperlink" Target="mailto:Mypass@2023" TargetMode="External"/><Relationship Id="rId138" Type="http://schemas.openxmlformats.org/officeDocument/2006/relationships/hyperlink" Target="mailto:Mypass@2024" TargetMode="External"/><Relationship Id="rId159" Type="http://schemas.openxmlformats.org/officeDocument/2006/relationships/hyperlink" Target="mailto:Mypass@2024" TargetMode="External"/><Relationship Id="rId170" Type="http://schemas.openxmlformats.org/officeDocument/2006/relationships/hyperlink" Target="mailto:Mypass@2025" TargetMode="External"/><Relationship Id="rId191" Type="http://schemas.openxmlformats.org/officeDocument/2006/relationships/hyperlink" Target="mailto:Mypass@2025" TargetMode="External"/><Relationship Id="rId205" Type="http://schemas.openxmlformats.org/officeDocument/2006/relationships/hyperlink" Target="mailto:Mypass@2025" TargetMode="External"/><Relationship Id="rId226" Type="http://schemas.openxmlformats.org/officeDocument/2006/relationships/hyperlink" Target="mailto:Mypass@2026" TargetMode="External"/><Relationship Id="rId107" Type="http://schemas.openxmlformats.org/officeDocument/2006/relationships/hyperlink" Target="mailto:Mypass@2024" TargetMode="External"/><Relationship Id="rId11" Type="http://schemas.openxmlformats.org/officeDocument/2006/relationships/hyperlink" Target="mailto:Mypass@2022" TargetMode="External"/><Relationship Id="rId32" Type="http://schemas.openxmlformats.org/officeDocument/2006/relationships/hyperlink" Target="mailto:pASSs@2022" TargetMode="External"/><Relationship Id="rId53" Type="http://schemas.openxmlformats.org/officeDocument/2006/relationships/hyperlink" Target="mailto:Mypass@2023" TargetMode="External"/><Relationship Id="rId74" Type="http://schemas.openxmlformats.org/officeDocument/2006/relationships/hyperlink" Target="mailto:Mypass@23" TargetMode="External"/><Relationship Id="rId128" Type="http://schemas.openxmlformats.org/officeDocument/2006/relationships/hyperlink" Target="mailto:Mypass@2024" TargetMode="External"/><Relationship Id="rId149" Type="http://schemas.openxmlformats.org/officeDocument/2006/relationships/hyperlink" Target="mailto:Mypass@2024" TargetMode="External"/><Relationship Id="rId5" Type="http://schemas.openxmlformats.org/officeDocument/2006/relationships/hyperlink" Target="mailto:Mypass@2022" TargetMode="External"/><Relationship Id="rId95" Type="http://schemas.openxmlformats.org/officeDocument/2006/relationships/hyperlink" Target="mailto:Mypass@2024" TargetMode="External"/><Relationship Id="rId160" Type="http://schemas.openxmlformats.org/officeDocument/2006/relationships/hyperlink" Target="mailto:Mypass@2025" TargetMode="External"/><Relationship Id="rId181" Type="http://schemas.openxmlformats.org/officeDocument/2006/relationships/hyperlink" Target="mailto:Mypass@2025" TargetMode="External"/><Relationship Id="rId216" Type="http://schemas.openxmlformats.org/officeDocument/2006/relationships/hyperlink" Target="mailto:Mypass@2025" TargetMode="External"/><Relationship Id="rId22" Type="http://schemas.openxmlformats.org/officeDocument/2006/relationships/hyperlink" Target="mailto:Mypass@2022" TargetMode="External"/><Relationship Id="rId43" Type="http://schemas.openxmlformats.org/officeDocument/2006/relationships/hyperlink" Target="mailto:Mypass@2023" TargetMode="External"/><Relationship Id="rId64" Type="http://schemas.openxmlformats.org/officeDocument/2006/relationships/hyperlink" Target="mailto:Mypass@23" TargetMode="External"/><Relationship Id="rId118" Type="http://schemas.openxmlformats.org/officeDocument/2006/relationships/hyperlink" Target="mailto:Mypass@2024" TargetMode="External"/><Relationship Id="rId139" Type="http://schemas.openxmlformats.org/officeDocument/2006/relationships/hyperlink" Target="mailto:Mypass@2024" TargetMode="External"/><Relationship Id="rId80" Type="http://schemas.openxmlformats.org/officeDocument/2006/relationships/hyperlink" Target="mailto:Mypass@2023" TargetMode="External"/><Relationship Id="rId85" Type="http://schemas.openxmlformats.org/officeDocument/2006/relationships/hyperlink" Target="mailto:naaz@2023" TargetMode="External"/><Relationship Id="rId150" Type="http://schemas.openxmlformats.org/officeDocument/2006/relationships/hyperlink" Target="mailto:Mypass@2024" TargetMode="External"/><Relationship Id="rId155" Type="http://schemas.openxmlformats.org/officeDocument/2006/relationships/hyperlink" Target="mailto:Mypass@2024" TargetMode="External"/><Relationship Id="rId171" Type="http://schemas.openxmlformats.org/officeDocument/2006/relationships/hyperlink" Target="mailto:Mypass@2025" TargetMode="External"/><Relationship Id="rId176" Type="http://schemas.openxmlformats.org/officeDocument/2006/relationships/hyperlink" Target="mailto:Mypass@2025" TargetMode="External"/><Relationship Id="rId192" Type="http://schemas.openxmlformats.org/officeDocument/2006/relationships/hyperlink" Target="mailto:Mypass@2025" TargetMode="External"/><Relationship Id="rId197" Type="http://schemas.openxmlformats.org/officeDocument/2006/relationships/hyperlink" Target="mailto:Mypass@2025" TargetMode="External"/><Relationship Id="rId206" Type="http://schemas.openxmlformats.org/officeDocument/2006/relationships/hyperlink" Target="mailto:Mypass@2025" TargetMode="External"/><Relationship Id="rId227" Type="http://schemas.openxmlformats.org/officeDocument/2006/relationships/hyperlink" Target="mailto:Mypass@2026" TargetMode="External"/><Relationship Id="rId201" Type="http://schemas.openxmlformats.org/officeDocument/2006/relationships/hyperlink" Target="mailto:Mypass@2025" TargetMode="External"/><Relationship Id="rId222" Type="http://schemas.openxmlformats.org/officeDocument/2006/relationships/hyperlink" Target="mailto:Mypass@2025" TargetMode="External"/><Relationship Id="rId12" Type="http://schemas.openxmlformats.org/officeDocument/2006/relationships/hyperlink" Target="mailto:Mypass@2022" TargetMode="External"/><Relationship Id="rId17" Type="http://schemas.openxmlformats.org/officeDocument/2006/relationships/hyperlink" Target="mailto:Pass@2022" TargetMode="External"/><Relationship Id="rId33" Type="http://schemas.openxmlformats.org/officeDocument/2006/relationships/hyperlink" Target="mailto:pASSs@2022" TargetMode="External"/><Relationship Id="rId38" Type="http://schemas.openxmlformats.org/officeDocument/2006/relationships/hyperlink" Target="mailto:Mypass@2023" TargetMode="External"/><Relationship Id="rId59" Type="http://schemas.openxmlformats.org/officeDocument/2006/relationships/hyperlink" Target="mailto:Mypass@2023" TargetMode="External"/><Relationship Id="rId103" Type="http://schemas.openxmlformats.org/officeDocument/2006/relationships/hyperlink" Target="mailto:Mypass@2024" TargetMode="External"/><Relationship Id="rId108" Type="http://schemas.openxmlformats.org/officeDocument/2006/relationships/hyperlink" Target="mailto:Mypass@2024" TargetMode="External"/><Relationship Id="rId124" Type="http://schemas.openxmlformats.org/officeDocument/2006/relationships/hyperlink" Target="mailto:Mypass@2024" TargetMode="External"/><Relationship Id="rId129" Type="http://schemas.openxmlformats.org/officeDocument/2006/relationships/hyperlink" Target="mailto:Mypass@2024" TargetMode="External"/><Relationship Id="rId54" Type="http://schemas.openxmlformats.org/officeDocument/2006/relationships/hyperlink" Target="mailto:Mypass@2023" TargetMode="External"/><Relationship Id="rId70" Type="http://schemas.openxmlformats.org/officeDocument/2006/relationships/hyperlink" Target="mailto:Mypass@23" TargetMode="External"/><Relationship Id="rId75" Type="http://schemas.openxmlformats.org/officeDocument/2006/relationships/hyperlink" Target="mailto:Mypass@23" TargetMode="External"/><Relationship Id="rId91" Type="http://schemas.openxmlformats.org/officeDocument/2006/relationships/hyperlink" Target="mailto:Mypass@2023" TargetMode="External"/><Relationship Id="rId96" Type="http://schemas.openxmlformats.org/officeDocument/2006/relationships/hyperlink" Target="mailto:Mypass@2024" TargetMode="External"/><Relationship Id="rId140" Type="http://schemas.openxmlformats.org/officeDocument/2006/relationships/hyperlink" Target="mailto:Mypass@2024" TargetMode="External"/><Relationship Id="rId145" Type="http://schemas.openxmlformats.org/officeDocument/2006/relationships/hyperlink" Target="mailto:Mypass@2024" TargetMode="External"/><Relationship Id="rId161" Type="http://schemas.openxmlformats.org/officeDocument/2006/relationships/hyperlink" Target="mailto:Mypass@2025" TargetMode="External"/><Relationship Id="rId166" Type="http://schemas.openxmlformats.org/officeDocument/2006/relationships/hyperlink" Target="mailto:Mypass@2025" TargetMode="External"/><Relationship Id="rId182" Type="http://schemas.openxmlformats.org/officeDocument/2006/relationships/hyperlink" Target="mailto:Mypass@2026" TargetMode="External"/><Relationship Id="rId187" Type="http://schemas.openxmlformats.org/officeDocument/2006/relationships/hyperlink" Target="mailto:Mypass@2026" TargetMode="External"/><Relationship Id="rId217" Type="http://schemas.openxmlformats.org/officeDocument/2006/relationships/hyperlink" Target="mailto:Mypass@2025" TargetMode="External"/><Relationship Id="rId1" Type="http://schemas.openxmlformats.org/officeDocument/2006/relationships/hyperlink" Target="mailto:sk6474972@gmail.com" TargetMode="External"/><Relationship Id="rId6" Type="http://schemas.openxmlformats.org/officeDocument/2006/relationships/hyperlink" Target="mailto:Mypass@2022" TargetMode="External"/><Relationship Id="rId212" Type="http://schemas.openxmlformats.org/officeDocument/2006/relationships/hyperlink" Target="mailto:Mypass@2025" TargetMode="External"/><Relationship Id="rId233" Type="http://schemas.openxmlformats.org/officeDocument/2006/relationships/hyperlink" Target="mailto:Mypass@2026" TargetMode="External"/><Relationship Id="rId23" Type="http://schemas.openxmlformats.org/officeDocument/2006/relationships/hyperlink" Target="mailto:Mypass@2022" TargetMode="External"/><Relationship Id="rId28" Type="http://schemas.openxmlformats.org/officeDocument/2006/relationships/hyperlink" Target="mailto:Mypass@2022" TargetMode="External"/><Relationship Id="rId49" Type="http://schemas.openxmlformats.org/officeDocument/2006/relationships/hyperlink" Target="mailto:Mypass@2023" TargetMode="External"/><Relationship Id="rId114" Type="http://schemas.openxmlformats.org/officeDocument/2006/relationships/hyperlink" Target="mailto:Mypass@2024" TargetMode="External"/><Relationship Id="rId119" Type="http://schemas.openxmlformats.org/officeDocument/2006/relationships/hyperlink" Target="mailto:Mypass@2024" TargetMode="External"/><Relationship Id="rId44" Type="http://schemas.openxmlformats.org/officeDocument/2006/relationships/hyperlink" Target="mailto:Mypass@2023" TargetMode="External"/><Relationship Id="rId60" Type="http://schemas.openxmlformats.org/officeDocument/2006/relationships/hyperlink" Target="mailto:Mypass@2023" TargetMode="External"/><Relationship Id="rId65" Type="http://schemas.openxmlformats.org/officeDocument/2006/relationships/hyperlink" Target="mailto:Mypass@23" TargetMode="External"/><Relationship Id="rId81" Type="http://schemas.openxmlformats.org/officeDocument/2006/relationships/hyperlink" Target="mailto:Mypass@2023" TargetMode="External"/><Relationship Id="rId86" Type="http://schemas.openxmlformats.org/officeDocument/2006/relationships/hyperlink" Target="mailto:Mypass@2023" TargetMode="External"/><Relationship Id="rId130" Type="http://schemas.openxmlformats.org/officeDocument/2006/relationships/hyperlink" Target="mailto:Mypass@2024" TargetMode="External"/><Relationship Id="rId135" Type="http://schemas.openxmlformats.org/officeDocument/2006/relationships/hyperlink" Target="mailto:Mypass@2024" TargetMode="External"/><Relationship Id="rId151" Type="http://schemas.openxmlformats.org/officeDocument/2006/relationships/hyperlink" Target="mailto:Mypass@2024" TargetMode="External"/><Relationship Id="rId156" Type="http://schemas.openxmlformats.org/officeDocument/2006/relationships/hyperlink" Target="mailto:Mypass@2024" TargetMode="External"/><Relationship Id="rId177" Type="http://schemas.openxmlformats.org/officeDocument/2006/relationships/hyperlink" Target="mailto:Mypass@2025" TargetMode="External"/><Relationship Id="rId198" Type="http://schemas.openxmlformats.org/officeDocument/2006/relationships/hyperlink" Target="mailto:Mypass@2025" TargetMode="External"/><Relationship Id="rId172" Type="http://schemas.openxmlformats.org/officeDocument/2006/relationships/hyperlink" Target="mailto:Mypass@2025" TargetMode="External"/><Relationship Id="rId193" Type="http://schemas.openxmlformats.org/officeDocument/2006/relationships/hyperlink" Target="mailto:Mypass@2025" TargetMode="External"/><Relationship Id="rId202" Type="http://schemas.openxmlformats.org/officeDocument/2006/relationships/hyperlink" Target="mailto:Mypass@2025" TargetMode="External"/><Relationship Id="rId207" Type="http://schemas.openxmlformats.org/officeDocument/2006/relationships/hyperlink" Target="mailto:Mypass@2025" TargetMode="External"/><Relationship Id="rId223" Type="http://schemas.openxmlformats.org/officeDocument/2006/relationships/hyperlink" Target="mailto:Mypass@2025" TargetMode="External"/><Relationship Id="rId228" Type="http://schemas.openxmlformats.org/officeDocument/2006/relationships/hyperlink" Target="mailto:Mypass@2026" TargetMode="External"/><Relationship Id="rId13" Type="http://schemas.openxmlformats.org/officeDocument/2006/relationships/hyperlink" Target="mailto:Mypass@2022" TargetMode="External"/><Relationship Id="rId18" Type="http://schemas.openxmlformats.org/officeDocument/2006/relationships/hyperlink" Target="mailto:Mypass@2022" TargetMode="External"/><Relationship Id="rId39" Type="http://schemas.openxmlformats.org/officeDocument/2006/relationships/hyperlink" Target="mailto:Mypass@2023" TargetMode="External"/><Relationship Id="rId109" Type="http://schemas.openxmlformats.org/officeDocument/2006/relationships/hyperlink" Target="mailto:Mypass@2024" TargetMode="External"/><Relationship Id="rId34" Type="http://schemas.openxmlformats.org/officeDocument/2006/relationships/hyperlink" Target="mailto:Mypass@2023" TargetMode="External"/><Relationship Id="rId50" Type="http://schemas.openxmlformats.org/officeDocument/2006/relationships/hyperlink" Target="mailto:Mypass@2023" TargetMode="External"/><Relationship Id="rId55" Type="http://schemas.openxmlformats.org/officeDocument/2006/relationships/hyperlink" Target="mailto:Mypass@2023" TargetMode="External"/><Relationship Id="rId76" Type="http://schemas.openxmlformats.org/officeDocument/2006/relationships/hyperlink" Target="mailto:Mypass@23" TargetMode="External"/><Relationship Id="rId97" Type="http://schemas.openxmlformats.org/officeDocument/2006/relationships/hyperlink" Target="mailto:Mypass@2024" TargetMode="External"/><Relationship Id="rId104" Type="http://schemas.openxmlformats.org/officeDocument/2006/relationships/hyperlink" Target="mailto:Mypass@2024" TargetMode="External"/><Relationship Id="rId120" Type="http://schemas.openxmlformats.org/officeDocument/2006/relationships/hyperlink" Target="mailto:Mypass@2024" TargetMode="External"/><Relationship Id="rId125" Type="http://schemas.openxmlformats.org/officeDocument/2006/relationships/hyperlink" Target="mailto:Mypass@2024" TargetMode="External"/><Relationship Id="rId141" Type="http://schemas.openxmlformats.org/officeDocument/2006/relationships/hyperlink" Target="mailto:Mypass@2024" TargetMode="External"/><Relationship Id="rId146" Type="http://schemas.openxmlformats.org/officeDocument/2006/relationships/hyperlink" Target="mailto:Mypass@2024" TargetMode="External"/><Relationship Id="rId167" Type="http://schemas.openxmlformats.org/officeDocument/2006/relationships/hyperlink" Target="mailto:Mypass@2025" TargetMode="External"/><Relationship Id="rId188" Type="http://schemas.openxmlformats.org/officeDocument/2006/relationships/hyperlink" Target="mailto:Mypass@2026" TargetMode="External"/><Relationship Id="rId7" Type="http://schemas.openxmlformats.org/officeDocument/2006/relationships/hyperlink" Target="mailto:Mypass@2022" TargetMode="External"/><Relationship Id="rId71" Type="http://schemas.openxmlformats.org/officeDocument/2006/relationships/hyperlink" Target="mailto:Mypass@23" TargetMode="External"/><Relationship Id="rId92" Type="http://schemas.openxmlformats.org/officeDocument/2006/relationships/hyperlink" Target="mailto:Mypass@2023" TargetMode="External"/><Relationship Id="rId162" Type="http://schemas.openxmlformats.org/officeDocument/2006/relationships/hyperlink" Target="mailto:Mypass@2025" TargetMode="External"/><Relationship Id="rId183" Type="http://schemas.openxmlformats.org/officeDocument/2006/relationships/hyperlink" Target="mailto:Mypass@2026" TargetMode="External"/><Relationship Id="rId213" Type="http://schemas.openxmlformats.org/officeDocument/2006/relationships/hyperlink" Target="mailto:Mypass@2025" TargetMode="External"/><Relationship Id="rId218" Type="http://schemas.openxmlformats.org/officeDocument/2006/relationships/hyperlink" Target="mailto:Mypass@2025" TargetMode="External"/><Relationship Id="rId234" Type="http://schemas.openxmlformats.org/officeDocument/2006/relationships/hyperlink" Target="mailto:Mypass@2026" TargetMode="External"/><Relationship Id="rId2" Type="http://schemas.openxmlformats.org/officeDocument/2006/relationships/hyperlink" Target="mailto:sk6474972@gmail.com" TargetMode="External"/><Relationship Id="rId29" Type="http://schemas.openxmlformats.org/officeDocument/2006/relationships/hyperlink" Target="mailto:Mypass@2023" TargetMode="External"/><Relationship Id="rId24" Type="http://schemas.openxmlformats.org/officeDocument/2006/relationships/hyperlink" Target="mailto:Mypass@2022" TargetMode="External"/><Relationship Id="rId40" Type="http://schemas.openxmlformats.org/officeDocument/2006/relationships/hyperlink" Target="mailto:Mypass@2023" TargetMode="External"/><Relationship Id="rId45" Type="http://schemas.openxmlformats.org/officeDocument/2006/relationships/hyperlink" Target="mailto:Mypass@2023" TargetMode="External"/><Relationship Id="rId66" Type="http://schemas.openxmlformats.org/officeDocument/2006/relationships/hyperlink" Target="mailto:Mypass@23" TargetMode="External"/><Relationship Id="rId87" Type="http://schemas.openxmlformats.org/officeDocument/2006/relationships/hyperlink" Target="mailto:Mypass@2024" TargetMode="External"/><Relationship Id="rId110" Type="http://schemas.openxmlformats.org/officeDocument/2006/relationships/hyperlink" Target="mailto:Mypass@2024" TargetMode="External"/><Relationship Id="rId115" Type="http://schemas.openxmlformats.org/officeDocument/2006/relationships/hyperlink" Target="mailto:Mypass@2024" TargetMode="External"/><Relationship Id="rId131" Type="http://schemas.openxmlformats.org/officeDocument/2006/relationships/hyperlink" Target="mailto:Mypass@2024" TargetMode="External"/><Relationship Id="rId136" Type="http://schemas.openxmlformats.org/officeDocument/2006/relationships/hyperlink" Target="mailto:Mypass@2024" TargetMode="External"/><Relationship Id="rId157" Type="http://schemas.openxmlformats.org/officeDocument/2006/relationships/hyperlink" Target="mailto:Mypass@2024" TargetMode="External"/><Relationship Id="rId178" Type="http://schemas.openxmlformats.org/officeDocument/2006/relationships/hyperlink" Target="mailto:Mypass@2025" TargetMode="External"/><Relationship Id="rId61" Type="http://schemas.openxmlformats.org/officeDocument/2006/relationships/hyperlink" Target="mailto:Mypass@2023" TargetMode="External"/><Relationship Id="rId82" Type="http://schemas.openxmlformats.org/officeDocument/2006/relationships/hyperlink" Target="mailto:Mypass@2023" TargetMode="External"/><Relationship Id="rId152" Type="http://schemas.openxmlformats.org/officeDocument/2006/relationships/hyperlink" Target="mailto:Mypass@2024" TargetMode="External"/><Relationship Id="rId173" Type="http://schemas.openxmlformats.org/officeDocument/2006/relationships/hyperlink" Target="mailto:Mypass@2025" TargetMode="External"/><Relationship Id="rId194" Type="http://schemas.openxmlformats.org/officeDocument/2006/relationships/hyperlink" Target="mailto:Mypass@2025" TargetMode="External"/><Relationship Id="rId199" Type="http://schemas.openxmlformats.org/officeDocument/2006/relationships/hyperlink" Target="mailto:Mypass@2025" TargetMode="External"/><Relationship Id="rId203" Type="http://schemas.openxmlformats.org/officeDocument/2006/relationships/hyperlink" Target="mailto:Mypass@2025" TargetMode="External"/><Relationship Id="rId208" Type="http://schemas.openxmlformats.org/officeDocument/2006/relationships/hyperlink" Target="mailto:Mypass@2025" TargetMode="External"/><Relationship Id="rId229" Type="http://schemas.openxmlformats.org/officeDocument/2006/relationships/hyperlink" Target="mailto:Mypass@26" TargetMode="External"/><Relationship Id="rId19" Type="http://schemas.openxmlformats.org/officeDocument/2006/relationships/hyperlink" Target="mailto:Mypass@2022" TargetMode="External"/><Relationship Id="rId224" Type="http://schemas.openxmlformats.org/officeDocument/2006/relationships/hyperlink" Target="mailto:Mypass@2026" TargetMode="External"/><Relationship Id="rId14" Type="http://schemas.openxmlformats.org/officeDocument/2006/relationships/hyperlink" Target="mailto:Mypass@2022" TargetMode="External"/><Relationship Id="rId30" Type="http://schemas.openxmlformats.org/officeDocument/2006/relationships/hyperlink" Target="mailto:Pass@2022" TargetMode="External"/><Relationship Id="rId35" Type="http://schemas.openxmlformats.org/officeDocument/2006/relationships/hyperlink" Target="mailto:Mypass@2023" TargetMode="External"/><Relationship Id="rId56" Type="http://schemas.openxmlformats.org/officeDocument/2006/relationships/hyperlink" Target="mailto:Mypass@2023" TargetMode="External"/><Relationship Id="rId77" Type="http://schemas.openxmlformats.org/officeDocument/2006/relationships/hyperlink" Target="mailto:Mypass@2023" TargetMode="External"/><Relationship Id="rId100" Type="http://schemas.openxmlformats.org/officeDocument/2006/relationships/hyperlink" Target="mailto:Mypass@2024" TargetMode="External"/><Relationship Id="rId105" Type="http://schemas.openxmlformats.org/officeDocument/2006/relationships/hyperlink" Target="mailto:Mypass@2024" TargetMode="External"/><Relationship Id="rId126" Type="http://schemas.openxmlformats.org/officeDocument/2006/relationships/hyperlink" Target="mailto:Mypass@2024" TargetMode="External"/><Relationship Id="rId147" Type="http://schemas.openxmlformats.org/officeDocument/2006/relationships/hyperlink" Target="mailto:Mypass@2025" TargetMode="External"/><Relationship Id="rId168" Type="http://schemas.openxmlformats.org/officeDocument/2006/relationships/hyperlink" Target="mailto:Mypass@2025" TargetMode="External"/><Relationship Id="rId8" Type="http://schemas.openxmlformats.org/officeDocument/2006/relationships/hyperlink" Target="mailto:Mypass@2022" TargetMode="External"/><Relationship Id="rId51" Type="http://schemas.openxmlformats.org/officeDocument/2006/relationships/hyperlink" Target="mailto:Mypass@2023" TargetMode="External"/><Relationship Id="rId72" Type="http://schemas.openxmlformats.org/officeDocument/2006/relationships/hyperlink" Target="mailto:Mypass@23" TargetMode="External"/><Relationship Id="rId93" Type="http://schemas.openxmlformats.org/officeDocument/2006/relationships/hyperlink" Target="mailto:Mypass@2023" TargetMode="External"/><Relationship Id="rId98" Type="http://schemas.openxmlformats.org/officeDocument/2006/relationships/hyperlink" Target="mailto:Mypass@2023" TargetMode="External"/><Relationship Id="rId121" Type="http://schemas.openxmlformats.org/officeDocument/2006/relationships/hyperlink" Target="mailto:Mypass@2024" TargetMode="External"/><Relationship Id="rId142" Type="http://schemas.openxmlformats.org/officeDocument/2006/relationships/hyperlink" Target="mailto:Mypass@2024" TargetMode="External"/><Relationship Id="rId163" Type="http://schemas.openxmlformats.org/officeDocument/2006/relationships/hyperlink" Target="mailto:Mypass@2025" TargetMode="External"/><Relationship Id="rId184" Type="http://schemas.openxmlformats.org/officeDocument/2006/relationships/hyperlink" Target="mailto:Mypass@2026" TargetMode="External"/><Relationship Id="rId189" Type="http://schemas.openxmlformats.org/officeDocument/2006/relationships/hyperlink" Target="mailto:Mypass@2026" TargetMode="External"/><Relationship Id="rId219" Type="http://schemas.openxmlformats.org/officeDocument/2006/relationships/hyperlink" Target="mailto:Mypass@2025" TargetMode="External"/><Relationship Id="rId3" Type="http://schemas.openxmlformats.org/officeDocument/2006/relationships/hyperlink" Target="mailto:shubham55mm@gmail.com" TargetMode="External"/><Relationship Id="rId214" Type="http://schemas.openxmlformats.org/officeDocument/2006/relationships/hyperlink" Target="mailto:Mypass@2025" TargetMode="External"/><Relationship Id="rId230" Type="http://schemas.openxmlformats.org/officeDocument/2006/relationships/hyperlink" Target="mailto:Mypass@2026" TargetMode="External"/><Relationship Id="rId235" Type="http://schemas.openxmlformats.org/officeDocument/2006/relationships/printerSettings" Target="../printerSettings/printerSettings3.bin"/><Relationship Id="rId25" Type="http://schemas.openxmlformats.org/officeDocument/2006/relationships/hyperlink" Target="mailto:Mypass@2022" TargetMode="External"/><Relationship Id="rId46" Type="http://schemas.openxmlformats.org/officeDocument/2006/relationships/hyperlink" Target="mailto:Mypass@2023" TargetMode="External"/><Relationship Id="rId67" Type="http://schemas.openxmlformats.org/officeDocument/2006/relationships/hyperlink" Target="mailto:Mypass@23" TargetMode="External"/><Relationship Id="rId116" Type="http://schemas.openxmlformats.org/officeDocument/2006/relationships/hyperlink" Target="mailto:Mypass@2024" TargetMode="External"/><Relationship Id="rId137" Type="http://schemas.openxmlformats.org/officeDocument/2006/relationships/hyperlink" Target="mailto:Mypass@2024" TargetMode="External"/><Relationship Id="rId158" Type="http://schemas.openxmlformats.org/officeDocument/2006/relationships/hyperlink" Target="mailto:Mypass@2024" TargetMode="External"/><Relationship Id="rId20" Type="http://schemas.openxmlformats.org/officeDocument/2006/relationships/hyperlink" Target="mailto:Mypass@2022" TargetMode="External"/><Relationship Id="rId41" Type="http://schemas.openxmlformats.org/officeDocument/2006/relationships/hyperlink" Target="mailto:Mypass@2023" TargetMode="External"/><Relationship Id="rId62" Type="http://schemas.openxmlformats.org/officeDocument/2006/relationships/hyperlink" Target="mailto:Mypass@2023" TargetMode="External"/><Relationship Id="rId83" Type="http://schemas.openxmlformats.org/officeDocument/2006/relationships/hyperlink" Target="mailto:Mypass@2023" TargetMode="External"/><Relationship Id="rId88" Type="http://schemas.openxmlformats.org/officeDocument/2006/relationships/hyperlink" Target="mailto:Mypass@2024" TargetMode="External"/><Relationship Id="rId111" Type="http://schemas.openxmlformats.org/officeDocument/2006/relationships/hyperlink" Target="mailto:Mypass@2024" TargetMode="External"/><Relationship Id="rId132" Type="http://schemas.openxmlformats.org/officeDocument/2006/relationships/hyperlink" Target="mailto:Mypass@2024" TargetMode="External"/><Relationship Id="rId153" Type="http://schemas.openxmlformats.org/officeDocument/2006/relationships/hyperlink" Target="mailto:Mypass@2024" TargetMode="External"/><Relationship Id="rId174" Type="http://schemas.openxmlformats.org/officeDocument/2006/relationships/hyperlink" Target="mailto:Mypass@2025" TargetMode="External"/><Relationship Id="rId179" Type="http://schemas.openxmlformats.org/officeDocument/2006/relationships/hyperlink" Target="mailto:Mypass@2025" TargetMode="External"/><Relationship Id="rId195" Type="http://schemas.openxmlformats.org/officeDocument/2006/relationships/hyperlink" Target="mailto:Mypass@2025" TargetMode="External"/><Relationship Id="rId209" Type="http://schemas.openxmlformats.org/officeDocument/2006/relationships/hyperlink" Target="mailto:Mypass@2025" TargetMode="External"/><Relationship Id="rId190" Type="http://schemas.openxmlformats.org/officeDocument/2006/relationships/hyperlink" Target="mailto:Mypass@2026" TargetMode="External"/><Relationship Id="rId204" Type="http://schemas.openxmlformats.org/officeDocument/2006/relationships/hyperlink" Target="mailto:Mypass@2025" TargetMode="External"/><Relationship Id="rId220" Type="http://schemas.openxmlformats.org/officeDocument/2006/relationships/hyperlink" Target="mailto:Mypass@2025" TargetMode="External"/><Relationship Id="rId225" Type="http://schemas.openxmlformats.org/officeDocument/2006/relationships/hyperlink" Target="mailto:Mypass@2026" TargetMode="External"/><Relationship Id="rId15" Type="http://schemas.openxmlformats.org/officeDocument/2006/relationships/hyperlink" Target="mailto:Mypass@2022" TargetMode="External"/><Relationship Id="rId36" Type="http://schemas.openxmlformats.org/officeDocument/2006/relationships/hyperlink" Target="mailto:Mypass@2023" TargetMode="External"/><Relationship Id="rId57" Type="http://schemas.openxmlformats.org/officeDocument/2006/relationships/hyperlink" Target="mailto:Mypass@2023" TargetMode="External"/><Relationship Id="rId106" Type="http://schemas.openxmlformats.org/officeDocument/2006/relationships/hyperlink" Target="mailto:Mypass@2024" TargetMode="External"/><Relationship Id="rId127" Type="http://schemas.openxmlformats.org/officeDocument/2006/relationships/hyperlink" Target="mailto:Mypass@2024" TargetMode="External"/><Relationship Id="rId10" Type="http://schemas.openxmlformats.org/officeDocument/2006/relationships/hyperlink" Target="mailto:Pass@2022" TargetMode="External"/><Relationship Id="rId31" Type="http://schemas.openxmlformats.org/officeDocument/2006/relationships/hyperlink" Target="mailto:pASSs@2022" TargetMode="External"/><Relationship Id="rId52" Type="http://schemas.openxmlformats.org/officeDocument/2006/relationships/hyperlink" Target="mailto:Mypass@2023" TargetMode="External"/><Relationship Id="rId73" Type="http://schemas.openxmlformats.org/officeDocument/2006/relationships/hyperlink" Target="mailto:Mypass@23" TargetMode="External"/><Relationship Id="rId78" Type="http://schemas.openxmlformats.org/officeDocument/2006/relationships/hyperlink" Target="mailto:Mypass@2023" TargetMode="External"/><Relationship Id="rId94" Type="http://schemas.openxmlformats.org/officeDocument/2006/relationships/hyperlink" Target="mailto:Mypass@2024" TargetMode="External"/><Relationship Id="rId99" Type="http://schemas.openxmlformats.org/officeDocument/2006/relationships/hyperlink" Target="mailto:Mypass@2024" TargetMode="External"/><Relationship Id="rId101" Type="http://schemas.openxmlformats.org/officeDocument/2006/relationships/hyperlink" Target="mailto:Mypass@2024" TargetMode="External"/><Relationship Id="rId122" Type="http://schemas.openxmlformats.org/officeDocument/2006/relationships/hyperlink" Target="mailto:Mypass@2024" TargetMode="External"/><Relationship Id="rId143" Type="http://schemas.openxmlformats.org/officeDocument/2006/relationships/hyperlink" Target="mailto:Mypass@2025" TargetMode="External"/><Relationship Id="rId148" Type="http://schemas.openxmlformats.org/officeDocument/2006/relationships/hyperlink" Target="mailto:Mypass@2024" TargetMode="External"/><Relationship Id="rId164" Type="http://schemas.openxmlformats.org/officeDocument/2006/relationships/hyperlink" Target="mailto:Mypass@2025" TargetMode="External"/><Relationship Id="rId169" Type="http://schemas.openxmlformats.org/officeDocument/2006/relationships/hyperlink" Target="mailto:Mypass@2025" TargetMode="External"/><Relationship Id="rId185" Type="http://schemas.openxmlformats.org/officeDocument/2006/relationships/hyperlink" Target="mailto:Mypass@2026" TargetMode="External"/><Relationship Id="rId4" Type="http://schemas.openxmlformats.org/officeDocument/2006/relationships/hyperlink" Target="mailto:nweb.hub@gmail.com" TargetMode="External"/><Relationship Id="rId9" Type="http://schemas.openxmlformats.org/officeDocument/2006/relationships/hyperlink" Target="mailto:Mypass@2022" TargetMode="External"/><Relationship Id="rId180" Type="http://schemas.openxmlformats.org/officeDocument/2006/relationships/hyperlink" Target="mailto:Mypass@2025" TargetMode="External"/><Relationship Id="rId210" Type="http://schemas.openxmlformats.org/officeDocument/2006/relationships/hyperlink" Target="mailto:Mypass@2025" TargetMode="External"/><Relationship Id="rId215" Type="http://schemas.openxmlformats.org/officeDocument/2006/relationships/hyperlink" Target="mailto:Mypass@2025" TargetMode="External"/><Relationship Id="rId26" Type="http://schemas.openxmlformats.org/officeDocument/2006/relationships/hyperlink" Target="mailto:Mypass@2022" TargetMode="External"/><Relationship Id="rId231" Type="http://schemas.openxmlformats.org/officeDocument/2006/relationships/hyperlink" Target="mailto:Mypass@2026" TargetMode="External"/><Relationship Id="rId47" Type="http://schemas.openxmlformats.org/officeDocument/2006/relationships/hyperlink" Target="mailto:Mypass@2023" TargetMode="External"/><Relationship Id="rId68" Type="http://schemas.openxmlformats.org/officeDocument/2006/relationships/hyperlink" Target="mailto:Mypass@23" TargetMode="External"/><Relationship Id="rId89" Type="http://schemas.openxmlformats.org/officeDocument/2006/relationships/hyperlink" Target="mailto:Mypass@2024" TargetMode="External"/><Relationship Id="rId112" Type="http://schemas.openxmlformats.org/officeDocument/2006/relationships/hyperlink" Target="mailto:Mypass@2024" TargetMode="External"/><Relationship Id="rId133" Type="http://schemas.openxmlformats.org/officeDocument/2006/relationships/hyperlink" Target="mailto:Mypass@2024" TargetMode="External"/><Relationship Id="rId154" Type="http://schemas.openxmlformats.org/officeDocument/2006/relationships/hyperlink" Target="mailto:Mypass@2024" TargetMode="External"/><Relationship Id="rId175" Type="http://schemas.openxmlformats.org/officeDocument/2006/relationships/hyperlink" Target="mailto:Mypass@2025" TargetMode="External"/><Relationship Id="rId196" Type="http://schemas.openxmlformats.org/officeDocument/2006/relationships/hyperlink" Target="mailto:Mypass@2025" TargetMode="External"/><Relationship Id="rId200" Type="http://schemas.openxmlformats.org/officeDocument/2006/relationships/hyperlink" Target="mailto:Mypass@2025" TargetMode="External"/><Relationship Id="rId16" Type="http://schemas.openxmlformats.org/officeDocument/2006/relationships/hyperlink" Target="mailto:Pass@2022" TargetMode="External"/><Relationship Id="rId221" Type="http://schemas.openxmlformats.org/officeDocument/2006/relationships/hyperlink" Target="mailto:Mypass@2025" TargetMode="External"/><Relationship Id="rId37" Type="http://schemas.openxmlformats.org/officeDocument/2006/relationships/hyperlink" Target="mailto:Mypass@2023" TargetMode="External"/><Relationship Id="rId58" Type="http://schemas.openxmlformats.org/officeDocument/2006/relationships/hyperlink" Target="mailto:Mypass@2023" TargetMode="External"/><Relationship Id="rId79" Type="http://schemas.openxmlformats.org/officeDocument/2006/relationships/hyperlink" Target="mailto:Mypass@2023" TargetMode="External"/><Relationship Id="rId102" Type="http://schemas.openxmlformats.org/officeDocument/2006/relationships/hyperlink" Target="mailto:Mypass@2024" TargetMode="External"/><Relationship Id="rId123" Type="http://schemas.openxmlformats.org/officeDocument/2006/relationships/hyperlink" Target="mailto:Mypass@2024" TargetMode="External"/><Relationship Id="rId144" Type="http://schemas.openxmlformats.org/officeDocument/2006/relationships/hyperlink" Target="mailto:Mypass@2024" TargetMode="External"/><Relationship Id="rId90" Type="http://schemas.openxmlformats.org/officeDocument/2006/relationships/hyperlink" Target="mailto:Mypass@2023" TargetMode="External"/><Relationship Id="rId165" Type="http://schemas.openxmlformats.org/officeDocument/2006/relationships/hyperlink" Target="mailto:Mypass@2025" TargetMode="External"/><Relationship Id="rId186" Type="http://schemas.openxmlformats.org/officeDocument/2006/relationships/hyperlink" Target="mailto:Mypass@2026" TargetMode="External"/><Relationship Id="rId211" Type="http://schemas.openxmlformats.org/officeDocument/2006/relationships/hyperlink" Target="mailto:Mypass@2025" TargetMode="External"/><Relationship Id="rId232" Type="http://schemas.openxmlformats.org/officeDocument/2006/relationships/hyperlink" Target="mailto:Mypass@2026" TargetMode="External"/><Relationship Id="rId27" Type="http://schemas.openxmlformats.org/officeDocument/2006/relationships/hyperlink" Target="mailto:Mypass@2022" TargetMode="External"/><Relationship Id="rId48" Type="http://schemas.openxmlformats.org/officeDocument/2006/relationships/hyperlink" Target="mailto:Mypass@2023" TargetMode="External"/><Relationship Id="rId69" Type="http://schemas.openxmlformats.org/officeDocument/2006/relationships/hyperlink" Target="mailto:Mypass@23" TargetMode="External"/><Relationship Id="rId113" Type="http://schemas.openxmlformats.org/officeDocument/2006/relationships/hyperlink" Target="mailto:Mypass@2024" TargetMode="External"/><Relationship Id="rId134" Type="http://schemas.openxmlformats.org/officeDocument/2006/relationships/hyperlink" Target="mailto:Mypass@2024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Wasim@2024#" TargetMode="External"/><Relationship Id="rId21" Type="http://schemas.openxmlformats.org/officeDocument/2006/relationships/hyperlink" Target="mailto:Kantesh@82" TargetMode="External"/><Relationship Id="rId42" Type="http://schemas.openxmlformats.org/officeDocument/2006/relationships/hyperlink" Target="mailto:Kumar@2023" TargetMode="External"/><Relationship Id="rId63" Type="http://schemas.openxmlformats.org/officeDocument/2006/relationships/hyperlink" Target="mailto:Jeet@1975" TargetMode="External"/><Relationship Id="rId84" Type="http://schemas.openxmlformats.org/officeDocument/2006/relationships/hyperlink" Target="mailto:Dutta@2023" TargetMode="External"/><Relationship Id="rId138" Type="http://schemas.openxmlformats.org/officeDocument/2006/relationships/hyperlink" Target="mailto:Singh@2023" TargetMode="External"/><Relationship Id="rId159" Type="http://schemas.openxmlformats.org/officeDocument/2006/relationships/hyperlink" Target="mailto:S@m#2023" TargetMode="External"/><Relationship Id="rId170" Type="http://schemas.openxmlformats.org/officeDocument/2006/relationships/hyperlink" Target="mailto:Islam@2025#" TargetMode="External"/><Relationship Id="rId191" Type="http://schemas.openxmlformats.org/officeDocument/2006/relationships/hyperlink" Target="mailto:Anna@8892" TargetMode="External"/><Relationship Id="rId205" Type="http://schemas.openxmlformats.org/officeDocument/2006/relationships/hyperlink" Target="mailto:Tata@2025#" TargetMode="External"/><Relationship Id="rId226" Type="http://schemas.openxmlformats.org/officeDocument/2006/relationships/hyperlink" Target="mailto:Kour@2025#" TargetMode="External"/><Relationship Id="rId247" Type="http://schemas.openxmlformats.org/officeDocument/2006/relationships/hyperlink" Target="mailto:Puri@2026#" TargetMode="External"/><Relationship Id="rId107" Type="http://schemas.openxmlformats.org/officeDocument/2006/relationships/hyperlink" Target="mailto:Soni@1234" TargetMode="External"/><Relationship Id="rId268" Type="http://schemas.openxmlformats.org/officeDocument/2006/relationships/hyperlink" Target="mailto:Singh@2026#" TargetMode="External"/><Relationship Id="rId11" Type="http://schemas.openxmlformats.org/officeDocument/2006/relationships/hyperlink" Target="mailto:Manish@2022" TargetMode="External"/><Relationship Id="rId32" Type="http://schemas.openxmlformats.org/officeDocument/2006/relationships/hyperlink" Target="mailto:Barun@1971" TargetMode="External"/><Relationship Id="rId53" Type="http://schemas.openxmlformats.org/officeDocument/2006/relationships/hyperlink" Target="mailto:ajvpd8911f@" TargetMode="External"/><Relationship Id="rId74" Type="http://schemas.openxmlformats.org/officeDocument/2006/relationships/hyperlink" Target="mailto:Begum@1992@" TargetMode="External"/><Relationship Id="rId128" Type="http://schemas.openxmlformats.org/officeDocument/2006/relationships/hyperlink" Target="mailto:Tar@1657" TargetMode="External"/><Relationship Id="rId149" Type="http://schemas.openxmlformats.org/officeDocument/2006/relationships/hyperlink" Target="mailto:Sarkar@1974" TargetMode="External"/><Relationship Id="rId5" Type="http://schemas.openxmlformats.org/officeDocument/2006/relationships/hyperlink" Target="mailto:n@TH1962" TargetMode="External"/><Relationship Id="rId95" Type="http://schemas.openxmlformats.org/officeDocument/2006/relationships/hyperlink" Target="mailto:Islam@2023" TargetMode="External"/><Relationship Id="rId160" Type="http://schemas.openxmlformats.org/officeDocument/2006/relationships/hyperlink" Target="mailto:Lakra@1968" TargetMode="External"/><Relationship Id="rId181" Type="http://schemas.openxmlformats.org/officeDocument/2006/relationships/hyperlink" Target="mailto:Mypass@2025" TargetMode="External"/><Relationship Id="rId216" Type="http://schemas.openxmlformats.org/officeDocument/2006/relationships/hyperlink" Target="mailto:Singh@2025#" TargetMode="External"/><Relationship Id="rId237" Type="http://schemas.openxmlformats.org/officeDocument/2006/relationships/hyperlink" Target="mailto:Manoj@3527f" TargetMode="External"/><Relationship Id="rId258" Type="http://schemas.openxmlformats.org/officeDocument/2006/relationships/hyperlink" Target="mailto:Sahu@2026#" TargetMode="External"/><Relationship Id="rId22" Type="http://schemas.openxmlformats.org/officeDocument/2006/relationships/hyperlink" Target="mailto:Prasad@1963" TargetMode="External"/><Relationship Id="rId43" Type="http://schemas.openxmlformats.org/officeDocument/2006/relationships/hyperlink" Target="mailto:Islam@2023" TargetMode="External"/><Relationship Id="rId64" Type="http://schemas.openxmlformats.org/officeDocument/2006/relationships/hyperlink" Target="mailto:Singh@1967" TargetMode="External"/><Relationship Id="rId118" Type="http://schemas.openxmlformats.org/officeDocument/2006/relationships/hyperlink" Target="mailto:Prasad@2024#" TargetMode="External"/><Relationship Id="rId139" Type="http://schemas.openxmlformats.org/officeDocument/2006/relationships/hyperlink" Target="mailto:Kumar@2024##" TargetMode="External"/><Relationship Id="rId85" Type="http://schemas.openxmlformats.org/officeDocument/2006/relationships/hyperlink" Target="mailto:K@jal8665" TargetMode="External"/><Relationship Id="rId150" Type="http://schemas.openxmlformats.org/officeDocument/2006/relationships/hyperlink" Target="mailto:Jagdish1958@" TargetMode="External"/><Relationship Id="rId171" Type="http://schemas.openxmlformats.org/officeDocument/2006/relationships/hyperlink" Target="mailto:Sanjay@1973" TargetMode="External"/><Relationship Id="rId192" Type="http://schemas.openxmlformats.org/officeDocument/2006/relationships/hyperlink" Target="mailto:Dennis@1995" TargetMode="External"/><Relationship Id="rId206" Type="http://schemas.openxmlformats.org/officeDocument/2006/relationships/hyperlink" Target="mailto:Sahu@2025#" TargetMode="External"/><Relationship Id="rId227" Type="http://schemas.openxmlformats.org/officeDocument/2006/relationships/hyperlink" Target="mailto:Mina@2025#" TargetMode="External"/><Relationship Id="rId248" Type="http://schemas.openxmlformats.org/officeDocument/2006/relationships/hyperlink" Target="mailto:Naz@2026#" TargetMode="External"/><Relationship Id="rId269" Type="http://schemas.openxmlformats.org/officeDocument/2006/relationships/printerSettings" Target="../printerSettings/printerSettings4.bin"/><Relationship Id="rId12" Type="http://schemas.openxmlformats.org/officeDocument/2006/relationships/hyperlink" Target="mailto:Tamojit@23" TargetMode="External"/><Relationship Id="rId33" Type="http://schemas.openxmlformats.org/officeDocument/2006/relationships/hyperlink" Target="mailto:Tanti@1974$" TargetMode="External"/><Relationship Id="rId108" Type="http://schemas.openxmlformats.org/officeDocument/2006/relationships/hyperlink" Target="mailto:Barun@1971" TargetMode="External"/><Relationship Id="rId129" Type="http://schemas.openxmlformats.org/officeDocument/2006/relationships/hyperlink" Target="mailto:Pandey@2024#" TargetMode="External"/><Relationship Id="rId54" Type="http://schemas.openxmlformats.org/officeDocument/2006/relationships/hyperlink" Target="mailto:Kum@r1983" TargetMode="External"/><Relationship Id="rId75" Type="http://schemas.openxmlformats.org/officeDocument/2006/relationships/hyperlink" Target="mailto:Devi@2024#" TargetMode="External"/><Relationship Id="rId96" Type="http://schemas.openxmlformats.org/officeDocument/2006/relationships/hyperlink" Target="mailto:Nerjee@23" TargetMode="External"/><Relationship Id="rId140" Type="http://schemas.openxmlformats.org/officeDocument/2006/relationships/hyperlink" Target="mailto:Satish@2024##" TargetMode="External"/><Relationship Id="rId161" Type="http://schemas.openxmlformats.org/officeDocument/2006/relationships/hyperlink" Target="mailto:Solanki@2024#" TargetMode="External"/><Relationship Id="rId182" Type="http://schemas.openxmlformats.org/officeDocument/2006/relationships/hyperlink" Target="mailto:nIRAJ@2025#" TargetMode="External"/><Relationship Id="rId217" Type="http://schemas.openxmlformats.org/officeDocument/2006/relationships/hyperlink" Target="mailto:Ghosh@2024" TargetMode="External"/><Relationship Id="rId6" Type="http://schemas.openxmlformats.org/officeDocument/2006/relationships/hyperlink" Target="mailto:Soni@1234" TargetMode="External"/><Relationship Id="rId238" Type="http://schemas.openxmlformats.org/officeDocument/2006/relationships/hyperlink" Target="mailto:Shashi@2025" TargetMode="External"/><Relationship Id="rId259" Type="http://schemas.openxmlformats.org/officeDocument/2006/relationships/hyperlink" Target="mailto:Kumar@2026@" TargetMode="External"/><Relationship Id="rId23" Type="http://schemas.openxmlformats.org/officeDocument/2006/relationships/hyperlink" Target="mailto:Tesh@1944" TargetMode="External"/><Relationship Id="rId28" Type="http://schemas.openxmlformats.org/officeDocument/2006/relationships/hyperlink" Target="mailto:Mishra@2024" TargetMode="External"/><Relationship Id="rId49" Type="http://schemas.openxmlformats.org/officeDocument/2006/relationships/hyperlink" Target="mailto:Ankit@02051999" TargetMode="External"/><Relationship Id="rId114" Type="http://schemas.openxmlformats.org/officeDocument/2006/relationships/hyperlink" Target="mailto:Namanjha10@" TargetMode="External"/><Relationship Id="rId119" Type="http://schemas.openxmlformats.org/officeDocument/2006/relationships/hyperlink" Target="mailto:Parida@2022" TargetMode="External"/><Relationship Id="rId44" Type="http://schemas.openxmlformats.org/officeDocument/2006/relationships/hyperlink" Target="mailto:LAL@2023" TargetMode="External"/><Relationship Id="rId60" Type="http://schemas.openxmlformats.org/officeDocument/2006/relationships/hyperlink" Target="mailto:vinAy91533@" TargetMode="External"/><Relationship Id="rId65" Type="http://schemas.openxmlformats.org/officeDocument/2006/relationships/hyperlink" Target="mailto:Shriya@092" TargetMode="External"/><Relationship Id="rId81" Type="http://schemas.openxmlformats.org/officeDocument/2006/relationships/hyperlink" Target="mailto:Kamat@1944" TargetMode="External"/><Relationship Id="rId86" Type="http://schemas.openxmlformats.org/officeDocument/2006/relationships/hyperlink" Target="mailto:ajvpd8911f@" TargetMode="External"/><Relationship Id="rId130" Type="http://schemas.openxmlformats.org/officeDocument/2006/relationships/hyperlink" Target="mailto:Nivas@2024#" TargetMode="External"/><Relationship Id="rId135" Type="http://schemas.openxmlformats.org/officeDocument/2006/relationships/hyperlink" Target="mailto:Mamali@143" TargetMode="External"/><Relationship Id="rId151" Type="http://schemas.openxmlformats.org/officeDocument/2006/relationships/hyperlink" Target="mailto:Soma@0830" TargetMode="External"/><Relationship Id="rId156" Type="http://schemas.openxmlformats.org/officeDocument/2006/relationships/hyperlink" Target="mailto:Mishra@2025" TargetMode="External"/><Relationship Id="rId177" Type="http://schemas.openxmlformats.org/officeDocument/2006/relationships/hyperlink" Target="mailto:Bh@kat2022" TargetMode="External"/><Relationship Id="rId198" Type="http://schemas.openxmlformats.org/officeDocument/2006/relationships/hyperlink" Target="mailto:Prasad@1963" TargetMode="External"/><Relationship Id="rId172" Type="http://schemas.openxmlformats.org/officeDocument/2006/relationships/hyperlink" Target="mailto:Singh@1962#" TargetMode="External"/><Relationship Id="rId193" Type="http://schemas.openxmlformats.org/officeDocument/2006/relationships/hyperlink" Target="mailto:Mukul@2024" TargetMode="External"/><Relationship Id="rId202" Type="http://schemas.openxmlformats.org/officeDocument/2006/relationships/hyperlink" Target="mailto:Chiku@23032016" TargetMode="External"/><Relationship Id="rId207" Type="http://schemas.openxmlformats.org/officeDocument/2006/relationships/hyperlink" Target="mailto:Navin@2026#" TargetMode="External"/><Relationship Id="rId223" Type="http://schemas.openxmlformats.org/officeDocument/2006/relationships/hyperlink" Target="mailto:Singh@2024##" TargetMode="External"/><Relationship Id="rId228" Type="http://schemas.openxmlformats.org/officeDocument/2006/relationships/hyperlink" Target="mailto:Jeet@1975" TargetMode="External"/><Relationship Id="rId244" Type="http://schemas.openxmlformats.org/officeDocument/2006/relationships/hyperlink" Target="mailto:Singh@2025#" TargetMode="External"/><Relationship Id="rId249" Type="http://schemas.openxmlformats.org/officeDocument/2006/relationships/hyperlink" Target="mailto:Imran@2026#" TargetMode="External"/><Relationship Id="rId13" Type="http://schemas.openxmlformats.org/officeDocument/2006/relationships/hyperlink" Target="mailto:Mypass@2022" TargetMode="External"/><Relationship Id="rId18" Type="http://schemas.openxmlformats.org/officeDocument/2006/relationships/hyperlink" Target="mailto:Nikhil@1991" TargetMode="External"/><Relationship Id="rId39" Type="http://schemas.openxmlformats.org/officeDocument/2006/relationships/hyperlink" Target="mailto:Ojha@1975" TargetMode="External"/><Relationship Id="rId109" Type="http://schemas.openxmlformats.org/officeDocument/2006/relationships/hyperlink" Target="mailto:Dennis@1995" TargetMode="External"/><Relationship Id="rId260" Type="http://schemas.openxmlformats.org/officeDocument/2006/relationships/hyperlink" Target="mailto:Sabnam@2026#" TargetMode="External"/><Relationship Id="rId265" Type="http://schemas.openxmlformats.org/officeDocument/2006/relationships/hyperlink" Target="mailto:Kant@2026#" TargetMode="External"/><Relationship Id="rId34" Type="http://schemas.openxmlformats.org/officeDocument/2006/relationships/hyperlink" Target="mailto:Sanjev@1975" TargetMode="External"/><Relationship Id="rId50" Type="http://schemas.openxmlformats.org/officeDocument/2006/relationships/hyperlink" Target="mailto:nAvin1974@" TargetMode="External"/><Relationship Id="rId55" Type="http://schemas.openxmlformats.org/officeDocument/2006/relationships/hyperlink" Target="mailto:Nath@2023" TargetMode="External"/><Relationship Id="rId76" Type="http://schemas.openxmlformats.org/officeDocument/2006/relationships/hyperlink" Target="mailto:Binod@0900" TargetMode="External"/><Relationship Id="rId97" Type="http://schemas.openxmlformats.org/officeDocument/2006/relationships/hyperlink" Target="mailto:Acharjee@2024" TargetMode="External"/><Relationship Id="rId104" Type="http://schemas.openxmlformats.org/officeDocument/2006/relationships/hyperlink" Target="mailto:Shyam@2024#" TargetMode="External"/><Relationship Id="rId120" Type="http://schemas.openxmlformats.org/officeDocument/2006/relationships/hyperlink" Target="mailto:Arati@1968" TargetMode="External"/><Relationship Id="rId125" Type="http://schemas.openxmlformats.org/officeDocument/2006/relationships/hyperlink" Target="mailto:Mypass@2022" TargetMode="External"/><Relationship Id="rId141" Type="http://schemas.openxmlformats.org/officeDocument/2006/relationships/hyperlink" Target="mailto:Sahu@2024##" TargetMode="External"/><Relationship Id="rId146" Type="http://schemas.openxmlformats.org/officeDocument/2006/relationships/hyperlink" Target="mailto:Biswas@2024" TargetMode="External"/><Relationship Id="rId167" Type="http://schemas.openxmlformats.org/officeDocument/2006/relationships/hyperlink" Target="mailto:Verma@2026#" TargetMode="External"/><Relationship Id="rId188" Type="http://schemas.openxmlformats.org/officeDocument/2006/relationships/hyperlink" Target="mailto:Khan@2024#" TargetMode="External"/><Relationship Id="rId7" Type="http://schemas.openxmlformats.org/officeDocument/2006/relationships/hyperlink" Target="mailto:Kum@41968" TargetMode="External"/><Relationship Id="rId71" Type="http://schemas.openxmlformats.org/officeDocument/2006/relationships/hyperlink" Target="mailto:Singh@1975" TargetMode="External"/><Relationship Id="rId92" Type="http://schemas.openxmlformats.org/officeDocument/2006/relationships/hyperlink" Target="mailto:Kala@2002#" TargetMode="External"/><Relationship Id="rId162" Type="http://schemas.openxmlformats.org/officeDocument/2006/relationships/hyperlink" Target="mailto:Singh@2024$$" TargetMode="External"/><Relationship Id="rId183" Type="http://schemas.openxmlformats.org/officeDocument/2006/relationships/hyperlink" Target="mailto:Jugal@1951" TargetMode="External"/><Relationship Id="rId213" Type="http://schemas.openxmlformats.org/officeDocument/2006/relationships/hyperlink" Target="mailto:Khan@2024#" TargetMode="External"/><Relationship Id="rId218" Type="http://schemas.openxmlformats.org/officeDocument/2006/relationships/hyperlink" Target="mailto:Kumar@2025#_R" TargetMode="External"/><Relationship Id="rId234" Type="http://schemas.openxmlformats.org/officeDocument/2006/relationships/hyperlink" Target="mailto:Leela@2026" TargetMode="External"/><Relationship Id="rId239" Type="http://schemas.openxmlformats.org/officeDocument/2006/relationships/hyperlink" Target="mailto:Aich@2025#" TargetMode="External"/><Relationship Id="rId2" Type="http://schemas.openxmlformats.org/officeDocument/2006/relationships/hyperlink" Target="mailto:Ratha@2022" TargetMode="External"/><Relationship Id="rId29" Type="http://schemas.openxmlformats.org/officeDocument/2006/relationships/hyperlink" Target="mailto:Mohini@2022" TargetMode="External"/><Relationship Id="rId250" Type="http://schemas.openxmlformats.org/officeDocument/2006/relationships/hyperlink" Target="mailto:Anup@2026#" TargetMode="External"/><Relationship Id="rId255" Type="http://schemas.openxmlformats.org/officeDocument/2006/relationships/hyperlink" Target="mailto:Kumar@2026#" TargetMode="External"/><Relationship Id="rId24" Type="http://schemas.openxmlformats.org/officeDocument/2006/relationships/hyperlink" Target="mailto:Parida@2022" TargetMode="External"/><Relationship Id="rId40" Type="http://schemas.openxmlformats.org/officeDocument/2006/relationships/hyperlink" Target="mailto:ojhar8675@gmail.com" TargetMode="External"/><Relationship Id="rId45" Type="http://schemas.openxmlformats.org/officeDocument/2006/relationships/hyperlink" Target="mailto:Singh@2023" TargetMode="External"/><Relationship Id="rId66" Type="http://schemas.openxmlformats.org/officeDocument/2006/relationships/hyperlink" Target="mailto:Tar@1657" TargetMode="External"/><Relationship Id="rId87" Type="http://schemas.openxmlformats.org/officeDocument/2006/relationships/hyperlink" Target="mailto:Kumar@2024#" TargetMode="External"/><Relationship Id="rId110" Type="http://schemas.openxmlformats.org/officeDocument/2006/relationships/hyperlink" Target="mailto:Dhar@1979" TargetMode="External"/><Relationship Id="rId115" Type="http://schemas.openxmlformats.org/officeDocument/2006/relationships/hyperlink" Target="mailto:Singh@" TargetMode="External"/><Relationship Id="rId131" Type="http://schemas.openxmlformats.org/officeDocument/2006/relationships/hyperlink" Target="mailto:Mishra@1973#" TargetMode="External"/><Relationship Id="rId136" Type="http://schemas.openxmlformats.org/officeDocument/2006/relationships/hyperlink" Target="mailto:Das@2024##" TargetMode="External"/><Relationship Id="rId157" Type="http://schemas.openxmlformats.org/officeDocument/2006/relationships/hyperlink" Target="mailto:kUMAR@2024#" TargetMode="External"/><Relationship Id="rId178" Type="http://schemas.openxmlformats.org/officeDocument/2006/relationships/hyperlink" Target="mailto:JaiBheem@123" TargetMode="External"/><Relationship Id="rId61" Type="http://schemas.openxmlformats.org/officeDocument/2006/relationships/hyperlink" Target="mailto:PAN@A" TargetMode="External"/><Relationship Id="rId82" Type="http://schemas.openxmlformats.org/officeDocument/2006/relationships/hyperlink" Target="mailto:Kakoli@1960" TargetMode="External"/><Relationship Id="rId152" Type="http://schemas.openxmlformats.org/officeDocument/2006/relationships/hyperlink" Target="mailto:Mukhi@2024" TargetMode="External"/><Relationship Id="rId173" Type="http://schemas.openxmlformats.org/officeDocument/2006/relationships/hyperlink" Target="mailto:Singh@1972@" TargetMode="External"/><Relationship Id="rId194" Type="http://schemas.openxmlformats.org/officeDocument/2006/relationships/hyperlink" Target="mailto:Kamat@1944" TargetMode="External"/><Relationship Id="rId199" Type="http://schemas.openxmlformats.org/officeDocument/2006/relationships/hyperlink" Target="mailto:Tar@1657" TargetMode="External"/><Relationship Id="rId203" Type="http://schemas.openxmlformats.org/officeDocument/2006/relationships/hyperlink" Target="mailto:Qudus@2025#" TargetMode="External"/><Relationship Id="rId208" Type="http://schemas.openxmlformats.org/officeDocument/2006/relationships/hyperlink" Target="mailto:LABH@2026" TargetMode="External"/><Relationship Id="rId229" Type="http://schemas.openxmlformats.org/officeDocument/2006/relationships/hyperlink" Target="mailto:Lalit@2024##" TargetMode="External"/><Relationship Id="rId19" Type="http://schemas.openxmlformats.org/officeDocument/2006/relationships/hyperlink" Target="mailto:S@m#2023" TargetMode="External"/><Relationship Id="rId224" Type="http://schemas.openxmlformats.org/officeDocument/2006/relationships/hyperlink" Target="mailto:Kumar@1958#" TargetMode="External"/><Relationship Id="rId240" Type="http://schemas.openxmlformats.org/officeDocument/2006/relationships/hyperlink" Target="mailto:Dhiraj@2025#" TargetMode="External"/><Relationship Id="rId245" Type="http://schemas.openxmlformats.org/officeDocument/2006/relationships/hyperlink" Target="mailto:Prasad@2026#" TargetMode="External"/><Relationship Id="rId261" Type="http://schemas.openxmlformats.org/officeDocument/2006/relationships/hyperlink" Target="mailto:Chandana@2026#" TargetMode="External"/><Relationship Id="rId266" Type="http://schemas.openxmlformats.org/officeDocument/2006/relationships/hyperlink" Target="mailto:Akht@r1953" TargetMode="External"/><Relationship Id="rId14" Type="http://schemas.openxmlformats.org/officeDocument/2006/relationships/hyperlink" Target="mailto:Kum@r2022" TargetMode="External"/><Relationship Id="rId30" Type="http://schemas.openxmlformats.org/officeDocument/2006/relationships/hyperlink" Target="mailto:Munda@1976" TargetMode="External"/><Relationship Id="rId35" Type="http://schemas.openxmlformats.org/officeDocument/2006/relationships/hyperlink" Target="mailto:Jy@ti1980" TargetMode="External"/><Relationship Id="rId56" Type="http://schemas.openxmlformats.org/officeDocument/2006/relationships/hyperlink" Target="mailto:Dubey@2023" TargetMode="External"/><Relationship Id="rId77" Type="http://schemas.openxmlformats.org/officeDocument/2006/relationships/hyperlink" Target="mailto:Mala@1990" TargetMode="External"/><Relationship Id="rId100" Type="http://schemas.openxmlformats.org/officeDocument/2006/relationships/hyperlink" Target="mailto:kUMAR@2024#" TargetMode="External"/><Relationship Id="rId105" Type="http://schemas.openxmlformats.org/officeDocument/2006/relationships/hyperlink" Target="mailto:Anna@8892" TargetMode="External"/><Relationship Id="rId126" Type="http://schemas.openxmlformats.org/officeDocument/2006/relationships/hyperlink" Target="mailto:n@TH1962" TargetMode="External"/><Relationship Id="rId147" Type="http://schemas.openxmlformats.org/officeDocument/2006/relationships/hyperlink" Target="mailto:India@1234#" TargetMode="External"/><Relationship Id="rId168" Type="http://schemas.openxmlformats.org/officeDocument/2006/relationships/hyperlink" Target="mailto:Lakshya@3001" TargetMode="External"/><Relationship Id="rId8" Type="http://schemas.openxmlformats.org/officeDocument/2006/relationships/hyperlink" Target="mailto:Mustafa@1971" TargetMode="External"/><Relationship Id="rId51" Type="http://schemas.openxmlformats.org/officeDocument/2006/relationships/hyperlink" Target="mailto:Singh@1956" TargetMode="External"/><Relationship Id="rId72" Type="http://schemas.openxmlformats.org/officeDocument/2006/relationships/hyperlink" Target="mailto:mAHATO@0303" TargetMode="External"/><Relationship Id="rId93" Type="http://schemas.openxmlformats.org/officeDocument/2006/relationships/hyperlink" Target="mailto:mansI4455@" TargetMode="External"/><Relationship Id="rId98" Type="http://schemas.openxmlformats.org/officeDocument/2006/relationships/hyperlink" Target="mailto:Singh@1956" TargetMode="External"/><Relationship Id="rId121" Type="http://schemas.openxmlformats.org/officeDocument/2006/relationships/hyperlink" Target="mailto:Biswas@23##" TargetMode="External"/><Relationship Id="rId142" Type="http://schemas.openxmlformats.org/officeDocument/2006/relationships/hyperlink" Target="mailto:Arup@123" TargetMode="External"/><Relationship Id="rId163" Type="http://schemas.openxmlformats.org/officeDocument/2006/relationships/hyperlink" Target="mailto:Nayak@2025#" TargetMode="External"/><Relationship Id="rId184" Type="http://schemas.openxmlformats.org/officeDocument/2006/relationships/hyperlink" Target="mailto:Dhiraj@2025#" TargetMode="External"/><Relationship Id="rId189" Type="http://schemas.openxmlformats.org/officeDocument/2006/relationships/hyperlink" Target="mailto:Manzar@2025#" TargetMode="External"/><Relationship Id="rId219" Type="http://schemas.openxmlformats.org/officeDocument/2006/relationships/hyperlink" Target="mailto:Soni@1234" TargetMode="External"/><Relationship Id="rId3" Type="http://schemas.openxmlformats.org/officeDocument/2006/relationships/hyperlink" Target="mailto:Singh@2022" TargetMode="External"/><Relationship Id="rId214" Type="http://schemas.openxmlformats.org/officeDocument/2006/relationships/hyperlink" Target="mailto:Alam@2025#" TargetMode="External"/><Relationship Id="rId230" Type="http://schemas.openxmlformats.org/officeDocument/2006/relationships/hyperlink" Target="mailto:Nerjee@23" TargetMode="External"/><Relationship Id="rId235" Type="http://schemas.openxmlformats.org/officeDocument/2006/relationships/hyperlink" Target="mailto:Kiran@8310M" TargetMode="External"/><Relationship Id="rId251" Type="http://schemas.openxmlformats.org/officeDocument/2006/relationships/hyperlink" Target="mailto:Thakur@2026#" TargetMode="External"/><Relationship Id="rId256" Type="http://schemas.openxmlformats.org/officeDocument/2006/relationships/hyperlink" Target="mailto:Tiwary@2026#" TargetMode="External"/><Relationship Id="rId25" Type="http://schemas.openxmlformats.org/officeDocument/2006/relationships/hyperlink" Target="mailto:Binod@1991" TargetMode="External"/><Relationship Id="rId46" Type="http://schemas.openxmlformats.org/officeDocument/2006/relationships/hyperlink" Target="mailto:Eric@2023" TargetMode="External"/><Relationship Id="rId67" Type="http://schemas.openxmlformats.org/officeDocument/2006/relationships/hyperlink" Target="mailto:Mumtaz@2023" TargetMode="External"/><Relationship Id="rId116" Type="http://schemas.openxmlformats.org/officeDocument/2006/relationships/hyperlink" Target="mailto:Gautam@2024#" TargetMode="External"/><Relationship Id="rId137" Type="http://schemas.openxmlformats.org/officeDocument/2006/relationships/hyperlink" Target="mailto:Lalit@2024##" TargetMode="External"/><Relationship Id="rId158" Type="http://schemas.openxmlformats.org/officeDocument/2006/relationships/hyperlink" Target="mailto:Dhar@1979" TargetMode="External"/><Relationship Id="rId20" Type="http://schemas.openxmlformats.org/officeDocument/2006/relationships/hyperlink" Target="mailto:Singh@2022" TargetMode="External"/><Relationship Id="rId41" Type="http://schemas.openxmlformats.org/officeDocument/2006/relationships/hyperlink" Target="mailto:Dinesh@1974" TargetMode="External"/><Relationship Id="rId62" Type="http://schemas.openxmlformats.org/officeDocument/2006/relationships/hyperlink" Target="mailto:Manjit@1978" TargetMode="External"/><Relationship Id="rId83" Type="http://schemas.openxmlformats.org/officeDocument/2006/relationships/hyperlink" Target="mailto:Bhushan@2024" TargetMode="External"/><Relationship Id="rId88" Type="http://schemas.openxmlformats.org/officeDocument/2006/relationships/hyperlink" Target="mailto:Chiku@23032016" TargetMode="External"/><Relationship Id="rId111" Type="http://schemas.openxmlformats.org/officeDocument/2006/relationships/hyperlink" Target="mailto:Kumar@1970#" TargetMode="External"/><Relationship Id="rId132" Type="http://schemas.openxmlformats.org/officeDocument/2006/relationships/hyperlink" Target="mailto:Kumari@2024##" TargetMode="External"/><Relationship Id="rId153" Type="http://schemas.openxmlformats.org/officeDocument/2006/relationships/hyperlink" Target="mailto:sHIVA@2025" TargetMode="External"/><Relationship Id="rId174" Type="http://schemas.openxmlformats.org/officeDocument/2006/relationships/hyperlink" Target="mailto:Chhaya@2003" TargetMode="External"/><Relationship Id="rId179" Type="http://schemas.openxmlformats.org/officeDocument/2006/relationships/hyperlink" Target="mailto:Sarkar@2025#" TargetMode="External"/><Relationship Id="rId195" Type="http://schemas.openxmlformats.org/officeDocument/2006/relationships/hyperlink" Target="mailto:Eric@2023" TargetMode="External"/><Relationship Id="rId209" Type="http://schemas.openxmlformats.org/officeDocument/2006/relationships/hyperlink" Target="mailto:Ajit@2023" TargetMode="External"/><Relationship Id="rId190" Type="http://schemas.openxmlformats.org/officeDocument/2006/relationships/hyperlink" Target="mailto:Murty@2025#" TargetMode="External"/><Relationship Id="rId204" Type="http://schemas.openxmlformats.org/officeDocument/2006/relationships/hyperlink" Target="mailto:Dayal@2025#" TargetMode="External"/><Relationship Id="rId220" Type="http://schemas.openxmlformats.org/officeDocument/2006/relationships/hyperlink" Target="mailto:Tamojit@2026#" TargetMode="External"/><Relationship Id="rId225" Type="http://schemas.openxmlformats.org/officeDocument/2006/relationships/hyperlink" Target="mailto:Feha@~6574" TargetMode="External"/><Relationship Id="rId241" Type="http://schemas.openxmlformats.org/officeDocument/2006/relationships/hyperlink" Target="mailto:Kumar@1958#" TargetMode="External"/><Relationship Id="rId246" Type="http://schemas.openxmlformats.org/officeDocument/2006/relationships/hyperlink" Target="mailto:Sharma@2026#" TargetMode="External"/><Relationship Id="rId267" Type="http://schemas.openxmlformats.org/officeDocument/2006/relationships/hyperlink" Target="mailto:Gupta@2026#" TargetMode="External"/><Relationship Id="rId15" Type="http://schemas.openxmlformats.org/officeDocument/2006/relationships/hyperlink" Target="mailto:P@wan2022" TargetMode="External"/><Relationship Id="rId36" Type="http://schemas.openxmlformats.org/officeDocument/2006/relationships/hyperlink" Target="mailto:Man@j1983" TargetMode="External"/><Relationship Id="rId57" Type="http://schemas.openxmlformats.org/officeDocument/2006/relationships/hyperlink" Target="mailto:Haque@0103" TargetMode="External"/><Relationship Id="rId106" Type="http://schemas.openxmlformats.org/officeDocument/2006/relationships/hyperlink" Target="mailto:Raman@2024#" TargetMode="External"/><Relationship Id="rId127" Type="http://schemas.openxmlformats.org/officeDocument/2006/relationships/hyperlink" Target="mailto:Vendu@4555#" TargetMode="External"/><Relationship Id="rId262" Type="http://schemas.openxmlformats.org/officeDocument/2006/relationships/hyperlink" Target="mailto:Dutta@2026#" TargetMode="External"/><Relationship Id="rId10" Type="http://schemas.openxmlformats.org/officeDocument/2006/relationships/hyperlink" Target="mailto:Sh@rma2022" TargetMode="External"/><Relationship Id="rId31" Type="http://schemas.openxmlformats.org/officeDocument/2006/relationships/hyperlink" Target="mailto:Raj@2014" TargetMode="External"/><Relationship Id="rId52" Type="http://schemas.openxmlformats.org/officeDocument/2006/relationships/hyperlink" Target="mailto:mansI4455@" TargetMode="External"/><Relationship Id="rId73" Type="http://schemas.openxmlformats.org/officeDocument/2006/relationships/hyperlink" Target="mailto:Sundi@1234" TargetMode="External"/><Relationship Id="rId78" Type="http://schemas.openxmlformats.org/officeDocument/2006/relationships/hyperlink" Target="mailto:Man@j1983" TargetMode="External"/><Relationship Id="rId94" Type="http://schemas.openxmlformats.org/officeDocument/2006/relationships/hyperlink" Target="mailto:Raj@1995#" TargetMode="External"/><Relationship Id="rId99" Type="http://schemas.openxmlformats.org/officeDocument/2006/relationships/hyperlink" Target="mailto:Eric@2023" TargetMode="External"/><Relationship Id="rId101" Type="http://schemas.openxmlformats.org/officeDocument/2006/relationships/hyperlink" Target="mailto:Hussain@2024#" TargetMode="External"/><Relationship Id="rId122" Type="http://schemas.openxmlformats.org/officeDocument/2006/relationships/hyperlink" Target="mailto:Sinha@2026#" TargetMode="External"/><Relationship Id="rId143" Type="http://schemas.openxmlformats.org/officeDocument/2006/relationships/hyperlink" Target="mailto:Dab@1968" TargetMode="External"/><Relationship Id="rId148" Type="http://schemas.openxmlformats.org/officeDocument/2006/relationships/hyperlink" Target="mailto:Kumar@2024" TargetMode="External"/><Relationship Id="rId164" Type="http://schemas.openxmlformats.org/officeDocument/2006/relationships/hyperlink" Target="mailto:Aslam@1205" TargetMode="External"/><Relationship Id="rId169" Type="http://schemas.openxmlformats.org/officeDocument/2006/relationships/hyperlink" Target="mailto:Namanjha10@" TargetMode="External"/><Relationship Id="rId185" Type="http://schemas.openxmlformats.org/officeDocument/2006/relationships/hyperlink" Target="mailto:Tiwary@1964" TargetMode="External"/><Relationship Id="rId4" Type="http://schemas.openxmlformats.org/officeDocument/2006/relationships/hyperlink" Target="mailto:Naesh@2022" TargetMode="External"/><Relationship Id="rId9" Type="http://schemas.openxmlformats.org/officeDocument/2006/relationships/hyperlink" Target="mailto:Sinha@2022" TargetMode="External"/><Relationship Id="rId180" Type="http://schemas.openxmlformats.org/officeDocument/2006/relationships/hyperlink" Target="mailto:Gorai@2025#" TargetMode="External"/><Relationship Id="rId210" Type="http://schemas.openxmlformats.org/officeDocument/2006/relationships/hyperlink" Target="mailto:Manz@r1969" TargetMode="External"/><Relationship Id="rId215" Type="http://schemas.openxmlformats.org/officeDocument/2006/relationships/hyperlink" Target="mailto:Singh@2024#" TargetMode="External"/><Relationship Id="rId236" Type="http://schemas.openxmlformats.org/officeDocument/2006/relationships/hyperlink" Target="mailto:Kiran@8310M" TargetMode="External"/><Relationship Id="rId257" Type="http://schemas.openxmlformats.org/officeDocument/2006/relationships/hyperlink" Target="mailto:Kumar@2026#" TargetMode="External"/><Relationship Id="rId26" Type="http://schemas.openxmlformats.org/officeDocument/2006/relationships/hyperlink" Target="mailto:Bihari@2022" TargetMode="External"/><Relationship Id="rId231" Type="http://schemas.openxmlformats.org/officeDocument/2006/relationships/hyperlink" Target="mailto:Jeet@1975" TargetMode="External"/><Relationship Id="rId252" Type="http://schemas.openxmlformats.org/officeDocument/2006/relationships/hyperlink" Target="mailto:Dutta@2026#" TargetMode="External"/><Relationship Id="rId47" Type="http://schemas.openxmlformats.org/officeDocument/2006/relationships/hyperlink" Target="mailto:aLAM@2023" TargetMode="External"/><Relationship Id="rId68" Type="http://schemas.openxmlformats.org/officeDocument/2006/relationships/hyperlink" Target="mailto:Sah@23Sah" TargetMode="External"/><Relationship Id="rId89" Type="http://schemas.openxmlformats.org/officeDocument/2006/relationships/hyperlink" Target="mailto:Khan@2024#" TargetMode="External"/><Relationship Id="rId112" Type="http://schemas.openxmlformats.org/officeDocument/2006/relationships/hyperlink" Target="mailto:Biswas@2024#" TargetMode="External"/><Relationship Id="rId133" Type="http://schemas.openxmlformats.org/officeDocument/2006/relationships/hyperlink" Target="mailto:Kumari@2026#" TargetMode="External"/><Relationship Id="rId154" Type="http://schemas.openxmlformats.org/officeDocument/2006/relationships/hyperlink" Target="mailto:Vijay@2026#" TargetMode="External"/><Relationship Id="rId175" Type="http://schemas.openxmlformats.org/officeDocument/2006/relationships/hyperlink" Target="mailto:Munda@01" TargetMode="External"/><Relationship Id="rId196" Type="http://schemas.openxmlformats.org/officeDocument/2006/relationships/hyperlink" Target="mailto:Dutta@2024" TargetMode="External"/><Relationship Id="rId200" Type="http://schemas.openxmlformats.org/officeDocument/2006/relationships/hyperlink" Target="mailto:Manoj@2025#" TargetMode="External"/><Relationship Id="rId16" Type="http://schemas.openxmlformats.org/officeDocument/2006/relationships/hyperlink" Target="mailto:Singh@1956" TargetMode="External"/><Relationship Id="rId221" Type="http://schemas.openxmlformats.org/officeDocument/2006/relationships/hyperlink" Target="mailto:Biswas@2024" TargetMode="External"/><Relationship Id="rId242" Type="http://schemas.openxmlformats.org/officeDocument/2006/relationships/hyperlink" Target="mailto:Saleem@2026#" TargetMode="External"/><Relationship Id="rId263" Type="http://schemas.openxmlformats.org/officeDocument/2006/relationships/hyperlink" Target="mailto:Hardeep@1964" TargetMode="External"/><Relationship Id="rId37" Type="http://schemas.openxmlformats.org/officeDocument/2006/relationships/hyperlink" Target="mailto:Tiwary@2023" TargetMode="External"/><Relationship Id="rId58" Type="http://schemas.openxmlformats.org/officeDocument/2006/relationships/hyperlink" Target="mailto:Cummins@1234" TargetMode="External"/><Relationship Id="rId79" Type="http://schemas.openxmlformats.org/officeDocument/2006/relationships/hyperlink" Target="mailto:Ratha@2022" TargetMode="External"/><Relationship Id="rId102" Type="http://schemas.openxmlformats.org/officeDocument/2006/relationships/hyperlink" Target="mailto:S@m#2023" TargetMode="External"/><Relationship Id="rId123" Type="http://schemas.openxmlformats.org/officeDocument/2006/relationships/hyperlink" Target="mailto:Singh@2024$$" TargetMode="External"/><Relationship Id="rId144" Type="http://schemas.openxmlformats.org/officeDocument/2006/relationships/hyperlink" Target="mailto:Mukhi@2024" TargetMode="External"/><Relationship Id="rId90" Type="http://schemas.openxmlformats.org/officeDocument/2006/relationships/hyperlink" Target="mailto:Bera@2024#" TargetMode="External"/><Relationship Id="rId165" Type="http://schemas.openxmlformats.org/officeDocument/2006/relationships/hyperlink" Target="mailto:Sattar@2024#" TargetMode="External"/><Relationship Id="rId186" Type="http://schemas.openxmlformats.org/officeDocument/2006/relationships/hyperlink" Target="mailto:Subal@2024#" TargetMode="External"/><Relationship Id="rId211" Type="http://schemas.openxmlformats.org/officeDocument/2006/relationships/hyperlink" Target="mailto:Singh@2025" TargetMode="External"/><Relationship Id="rId232" Type="http://schemas.openxmlformats.org/officeDocument/2006/relationships/hyperlink" Target="mailto:Dennis@1995" TargetMode="External"/><Relationship Id="rId253" Type="http://schemas.openxmlformats.org/officeDocument/2006/relationships/hyperlink" Target="mailto:Mahato@2026#" TargetMode="External"/><Relationship Id="rId27" Type="http://schemas.openxmlformats.org/officeDocument/2006/relationships/hyperlink" Target="mailto:Mohammad@2022" TargetMode="External"/><Relationship Id="rId48" Type="http://schemas.openxmlformats.org/officeDocument/2006/relationships/hyperlink" Target="mailto:Dhar@1979" TargetMode="External"/><Relationship Id="rId69" Type="http://schemas.openxmlformats.org/officeDocument/2006/relationships/hyperlink" Target="mailto:Sunita@2023" TargetMode="External"/><Relationship Id="rId113" Type="http://schemas.openxmlformats.org/officeDocument/2006/relationships/hyperlink" Target="mailto:Verma@2024#" TargetMode="External"/><Relationship Id="rId134" Type="http://schemas.openxmlformats.org/officeDocument/2006/relationships/hyperlink" Target="mailto:Manish@2022" TargetMode="External"/><Relationship Id="rId80" Type="http://schemas.openxmlformats.org/officeDocument/2006/relationships/hyperlink" Target="mailto:Kumar@2024" TargetMode="External"/><Relationship Id="rId155" Type="http://schemas.openxmlformats.org/officeDocument/2006/relationships/hyperlink" Target="mailto:Sohrab@2025_" TargetMode="External"/><Relationship Id="rId176" Type="http://schemas.openxmlformats.org/officeDocument/2006/relationships/hyperlink" Target="mailto:Nupur@02" TargetMode="External"/><Relationship Id="rId197" Type="http://schemas.openxmlformats.org/officeDocument/2006/relationships/hyperlink" Target="mailto:Venkat@2025#" TargetMode="External"/><Relationship Id="rId201" Type="http://schemas.openxmlformats.org/officeDocument/2006/relationships/hyperlink" Target="mailto:Ashok@2025#" TargetMode="External"/><Relationship Id="rId222" Type="http://schemas.openxmlformats.org/officeDocument/2006/relationships/hyperlink" Target="mailto:Samal@2024##" TargetMode="External"/><Relationship Id="rId243" Type="http://schemas.openxmlformats.org/officeDocument/2006/relationships/hyperlink" Target="mailto:Sah@2026##" TargetMode="External"/><Relationship Id="rId264" Type="http://schemas.openxmlformats.org/officeDocument/2006/relationships/hyperlink" Target="mailto:Verma@2026#" TargetMode="External"/><Relationship Id="rId17" Type="http://schemas.openxmlformats.org/officeDocument/2006/relationships/hyperlink" Target="mailto:Mypass@2022" TargetMode="External"/><Relationship Id="rId38" Type="http://schemas.openxmlformats.org/officeDocument/2006/relationships/hyperlink" Target="mailto:Somnath@23" TargetMode="External"/><Relationship Id="rId59" Type="http://schemas.openxmlformats.org/officeDocument/2006/relationships/hyperlink" Target="mailto:Nerjee@23" TargetMode="External"/><Relationship Id="rId103" Type="http://schemas.openxmlformats.org/officeDocument/2006/relationships/hyperlink" Target="mailto:Pieu@1987" TargetMode="External"/><Relationship Id="rId124" Type="http://schemas.openxmlformats.org/officeDocument/2006/relationships/hyperlink" Target="mailto:Prasad@1963" TargetMode="External"/><Relationship Id="rId70" Type="http://schemas.openxmlformats.org/officeDocument/2006/relationships/hyperlink" Target="mailto:Dubey@2023" TargetMode="External"/><Relationship Id="rId91" Type="http://schemas.openxmlformats.org/officeDocument/2006/relationships/hyperlink" Target="mailto:Singh@1962#" TargetMode="External"/><Relationship Id="rId145" Type="http://schemas.openxmlformats.org/officeDocument/2006/relationships/hyperlink" Target="mailto:Sardar@2024" TargetMode="External"/><Relationship Id="rId166" Type="http://schemas.openxmlformats.org/officeDocument/2006/relationships/hyperlink" Target="mailto:Prakash@2025#" TargetMode="External"/><Relationship Id="rId187" Type="http://schemas.openxmlformats.org/officeDocument/2006/relationships/hyperlink" Target="mailto:Barun@1971" TargetMode="External"/><Relationship Id="rId1" Type="http://schemas.openxmlformats.org/officeDocument/2006/relationships/hyperlink" Target="mailto:Kumar@1979" TargetMode="External"/><Relationship Id="rId212" Type="http://schemas.openxmlformats.org/officeDocument/2006/relationships/hyperlink" Target="mailto:Sohrab@2025" TargetMode="External"/><Relationship Id="rId233" Type="http://schemas.openxmlformats.org/officeDocument/2006/relationships/hyperlink" Target="mailto:Shashi@2025" TargetMode="External"/><Relationship Id="rId254" Type="http://schemas.openxmlformats.org/officeDocument/2006/relationships/hyperlink" Target="mailto:Singh@2026#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arathi.parivahan.gov.in/sarathiservice/applViewStages.do" TargetMode="External"/><Relationship Id="rId13" Type="http://schemas.openxmlformats.org/officeDocument/2006/relationships/hyperlink" Target="https://sarathi.parivahan.gov.in/sarathiservice/applViewStages.do" TargetMode="External"/><Relationship Id="rId3" Type="http://schemas.openxmlformats.org/officeDocument/2006/relationships/hyperlink" Target="mailto:sandeepnweb129@gmail.com" TargetMode="External"/><Relationship Id="rId7" Type="http://schemas.openxmlformats.org/officeDocument/2006/relationships/hyperlink" Target="mailto:swansinweb@" TargetMode="External"/><Relationship Id="rId12" Type="http://schemas.openxmlformats.org/officeDocument/2006/relationships/hyperlink" Target="https://sarathi.parivahan.gov.in/sarathiservice/applViewStages.do" TargetMode="External"/><Relationship Id="rId2" Type="http://schemas.openxmlformats.org/officeDocument/2006/relationships/hyperlink" Target="https://sarathi.parivahan.gov.in/sarathiservicecov3/applViewStages.do?applNum=3352360720&amp;dateOfBirth=12-09-1979" TargetMode="External"/><Relationship Id="rId1" Type="http://schemas.openxmlformats.org/officeDocument/2006/relationships/hyperlink" Target="https://sarathi.parivahan.gov.in/sarathiservicecov28/applViewStages.do?applNum=1083441220&amp;dateOfBirth=10-01-1988" TargetMode="External"/><Relationship Id="rId6" Type="http://schemas.openxmlformats.org/officeDocument/2006/relationships/hyperlink" Target="https://sarathi.parivahan.gov.in/sarathiservicecov19/applViewStages.do?applNum=3352289120&amp;dateOfBirth=01-12-1994" TargetMode="External"/><Relationship Id="rId11" Type="http://schemas.openxmlformats.org/officeDocument/2006/relationships/hyperlink" Target="https://sarathi.parivahan.gov.in/sarathiservice/applViewStages.do" TargetMode="External"/><Relationship Id="rId5" Type="http://schemas.openxmlformats.org/officeDocument/2006/relationships/hyperlink" Target="https://sarathi.parivahan.gov.in/sarathiservicecov3/applViewStages.do?applNum=3352316220&amp;dateOfBirth=01-01-1975" TargetMode="External"/><Relationship Id="rId10" Type="http://schemas.openxmlformats.org/officeDocument/2006/relationships/hyperlink" Target="https://sarathi.parivahan.gov.in/sarathiservice/applViewStages.do" TargetMode="External"/><Relationship Id="rId4" Type="http://schemas.openxmlformats.org/officeDocument/2006/relationships/hyperlink" Target="mailto:gurdeetnweb@gmail.com" TargetMode="External"/><Relationship Id="rId9" Type="http://schemas.openxmlformats.org/officeDocument/2006/relationships/hyperlink" Target="https://sarathi.parivahan.gov.in/sarathiservice/applViewStages.do" TargetMode="External"/><Relationship Id="rId1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3AEE-F09C-4132-8E28-170C35174AC1}">
  <dimension ref="A1:W1000"/>
  <sheetViews>
    <sheetView workbookViewId="0">
      <selection activeCell="U12" sqref="U12"/>
    </sheetView>
  </sheetViews>
  <sheetFormatPr defaultColWidth="14.44140625" defaultRowHeight="15" customHeight="1" x14ac:dyDescent="0.3"/>
  <cols>
    <col min="1" max="5" width="8.5546875" customWidth="1"/>
    <col min="6" max="6" width="1.88671875" customWidth="1"/>
    <col min="7" max="7" width="7.5546875" customWidth="1"/>
    <col min="8" max="8" width="7.33203125" customWidth="1"/>
    <col min="9" max="9" width="7.6640625" customWidth="1"/>
    <col min="10" max="10" width="2.33203125" customWidth="1"/>
    <col min="11" max="11" width="11.88671875" customWidth="1"/>
    <col min="12" max="12" width="12.109375" customWidth="1"/>
    <col min="13" max="13" width="10.88671875" customWidth="1"/>
    <col min="14" max="14" width="10.33203125" customWidth="1"/>
    <col min="15" max="15" width="6.44140625" customWidth="1"/>
    <col min="16" max="16" width="5.6640625" customWidth="1"/>
    <col min="17" max="17" width="10.88671875" customWidth="1"/>
    <col min="18" max="19" width="8.5546875" customWidth="1"/>
    <col min="20" max="20" width="11.44140625" customWidth="1"/>
    <col min="21" max="26" width="8.5546875" customWidth="1"/>
  </cols>
  <sheetData>
    <row r="1" spans="1:23" ht="14.25" customHeight="1" x14ac:dyDescent="0.3">
      <c r="F1" s="3"/>
      <c r="J1" s="3"/>
    </row>
    <row r="2" spans="1:23" ht="14.25" customHeight="1" x14ac:dyDescent="0.3">
      <c r="B2" s="2">
        <v>865</v>
      </c>
      <c r="C2" s="2">
        <v>945</v>
      </c>
      <c r="D2" s="2" t="s">
        <v>0</v>
      </c>
      <c r="E2" s="2" t="s">
        <v>1</v>
      </c>
      <c r="F2" s="3"/>
      <c r="J2" s="3"/>
    </row>
    <row r="3" spans="1:23" ht="14.25" customHeight="1" x14ac:dyDescent="0.3">
      <c r="F3" s="3"/>
      <c r="J3" s="3"/>
    </row>
    <row r="4" spans="1:23" ht="14.25" customHeight="1" x14ac:dyDescent="0.3">
      <c r="F4" s="3"/>
      <c r="G4" s="590" t="s">
        <v>2</v>
      </c>
      <c r="H4" s="591"/>
      <c r="I4" s="591"/>
      <c r="J4" s="3"/>
      <c r="K4" s="2" t="s">
        <v>3</v>
      </c>
      <c r="L4" s="2" t="s">
        <v>4</v>
      </c>
      <c r="M4" s="2" t="s">
        <v>5</v>
      </c>
      <c r="N4" s="2" t="s">
        <v>6</v>
      </c>
      <c r="O4" s="2" t="s">
        <v>7</v>
      </c>
      <c r="T4" s="1">
        <v>42593</v>
      </c>
    </row>
    <row r="5" spans="1:23" ht="14.25" customHeight="1" x14ac:dyDescent="0.3">
      <c r="A5" s="2" t="s">
        <v>8</v>
      </c>
      <c r="B5" s="2">
        <v>875</v>
      </c>
      <c r="C5" s="2">
        <v>1000</v>
      </c>
      <c r="D5" s="2">
        <v>1000</v>
      </c>
      <c r="E5" s="2">
        <v>1200</v>
      </c>
      <c r="F5" s="3"/>
      <c r="I5" s="2">
        <v>40</v>
      </c>
      <c r="J5" s="3"/>
      <c r="K5" s="1">
        <v>42262</v>
      </c>
      <c r="L5" s="4" t="s">
        <v>9</v>
      </c>
      <c r="M5" s="1">
        <f t="shared" ref="M5:M8" ca="1" si="0">TODAY()</f>
        <v>46293</v>
      </c>
      <c r="N5" s="2">
        <v>1850</v>
      </c>
      <c r="O5" s="2">
        <v>4.0999999999999996</v>
      </c>
      <c r="P5" s="5">
        <f t="shared" ref="P5:P8" ca="1" si="1">DAYS360(K5,M5)*14%/365</f>
        <v>1.5238904109589042</v>
      </c>
      <c r="Q5" s="6">
        <f t="shared" ref="Q5:Q8" ca="1" si="2">N5+N5*P5</f>
        <v>4669.1972602739734</v>
      </c>
      <c r="T5" s="6">
        <v>2081.3260273972605</v>
      </c>
    </row>
    <row r="6" spans="1:23" ht="14.25" customHeight="1" x14ac:dyDescent="0.3">
      <c r="A6" s="2" t="s">
        <v>10</v>
      </c>
      <c r="B6" s="2" t="s">
        <v>11</v>
      </c>
      <c r="C6" s="2">
        <v>7200</v>
      </c>
      <c r="D6" s="2">
        <v>600</v>
      </c>
      <c r="E6" s="2">
        <v>8200</v>
      </c>
      <c r="F6" s="3"/>
      <c r="G6" s="2">
        <v>810</v>
      </c>
      <c r="H6" s="2">
        <v>20</v>
      </c>
      <c r="I6" s="2">
        <v>40</v>
      </c>
      <c r="J6" s="3"/>
      <c r="K6" s="1">
        <v>42262</v>
      </c>
      <c r="L6" s="2" t="s">
        <v>12</v>
      </c>
      <c r="M6" s="1">
        <f t="shared" ca="1" si="0"/>
        <v>46293</v>
      </c>
      <c r="N6" s="2">
        <v>1950</v>
      </c>
      <c r="O6" s="2">
        <v>2.1</v>
      </c>
      <c r="P6" s="5">
        <f t="shared" ca="1" si="1"/>
        <v>1.5238904109589042</v>
      </c>
      <c r="Q6" s="6">
        <f t="shared" ca="1" si="2"/>
        <v>4921.5863013698636</v>
      </c>
      <c r="T6" s="6">
        <v>2193.8301369863016</v>
      </c>
    </row>
    <row r="7" spans="1:23" ht="14.25" customHeight="1" x14ac:dyDescent="0.3">
      <c r="A7" s="2" t="s">
        <v>13</v>
      </c>
      <c r="B7" s="2" t="s">
        <v>14</v>
      </c>
      <c r="C7" s="2">
        <v>0</v>
      </c>
      <c r="D7" s="2">
        <v>1900</v>
      </c>
      <c r="E7" s="2">
        <v>3250</v>
      </c>
      <c r="F7" s="3"/>
      <c r="G7" s="2">
        <v>811</v>
      </c>
      <c r="H7" s="2">
        <v>40</v>
      </c>
      <c r="I7" s="2">
        <v>80</v>
      </c>
      <c r="J7" s="3"/>
      <c r="K7" s="1">
        <v>42262</v>
      </c>
      <c r="L7" s="4" t="s">
        <v>15</v>
      </c>
      <c r="M7" s="1">
        <f t="shared" ca="1" si="0"/>
        <v>46293</v>
      </c>
      <c r="N7" s="2">
        <v>1950</v>
      </c>
      <c r="P7" s="5">
        <f t="shared" ca="1" si="1"/>
        <v>1.5238904109589042</v>
      </c>
      <c r="Q7" s="6">
        <f t="shared" ca="1" si="2"/>
        <v>4921.5863013698636</v>
      </c>
      <c r="T7" s="6">
        <v>2193.8301369863016</v>
      </c>
    </row>
    <row r="8" spans="1:23" ht="14.25" customHeight="1" x14ac:dyDescent="0.3">
      <c r="A8" s="2" t="s">
        <v>16</v>
      </c>
      <c r="B8" s="2">
        <v>4</v>
      </c>
      <c r="C8" s="2">
        <v>1350</v>
      </c>
      <c r="D8" s="2">
        <v>1200</v>
      </c>
      <c r="E8" s="2">
        <v>1500</v>
      </c>
      <c r="F8" s="3"/>
      <c r="G8" s="2">
        <v>1012</v>
      </c>
      <c r="H8" s="2">
        <v>40</v>
      </c>
      <c r="I8" s="2">
        <v>80</v>
      </c>
      <c r="J8" s="3"/>
      <c r="K8" s="1">
        <v>42203</v>
      </c>
      <c r="L8" s="4" t="s">
        <v>17</v>
      </c>
      <c r="M8" s="1">
        <f t="shared" ca="1" si="0"/>
        <v>46293</v>
      </c>
      <c r="N8" s="2">
        <v>1980</v>
      </c>
      <c r="O8" s="2">
        <v>2.1</v>
      </c>
      <c r="P8" s="5">
        <f t="shared" ca="1" si="1"/>
        <v>1.5457534246575344</v>
      </c>
      <c r="Q8" s="6">
        <f t="shared" ca="1" si="2"/>
        <v>5040.5917808219183</v>
      </c>
      <c r="T8" s="6">
        <v>2270.8701369863015</v>
      </c>
      <c r="W8" s="2">
        <f>12*18*0.85*2+120</f>
        <v>487.2</v>
      </c>
    </row>
    <row r="9" spans="1:23" ht="14.25" customHeight="1" x14ac:dyDescent="0.3">
      <c r="A9" s="2" t="s">
        <v>18</v>
      </c>
      <c r="B9" s="2" t="s">
        <v>19</v>
      </c>
      <c r="C9" s="2">
        <v>3250</v>
      </c>
      <c r="D9" s="2">
        <v>1200</v>
      </c>
      <c r="E9" s="2">
        <v>3300</v>
      </c>
      <c r="F9" s="3"/>
      <c r="G9" s="2">
        <v>1015</v>
      </c>
      <c r="H9" s="2">
        <v>40</v>
      </c>
      <c r="I9" s="2">
        <v>100</v>
      </c>
      <c r="J9" s="3"/>
    </row>
    <row r="10" spans="1:23" ht="14.25" hidden="1" customHeight="1" x14ac:dyDescent="0.3">
      <c r="A10" s="2" t="s">
        <v>20</v>
      </c>
      <c r="B10" s="2" t="s">
        <v>21</v>
      </c>
      <c r="C10" s="2">
        <v>1000</v>
      </c>
      <c r="D10" s="2">
        <v>0</v>
      </c>
      <c r="E10" s="2">
        <v>950</v>
      </c>
      <c r="F10" s="3"/>
      <c r="G10" s="2">
        <v>1215</v>
      </c>
      <c r="H10" s="2">
        <v>70</v>
      </c>
      <c r="I10" s="2">
        <v>140</v>
      </c>
      <c r="J10" s="3"/>
    </row>
    <row r="11" spans="1:23" ht="14.25" customHeight="1" x14ac:dyDescent="0.3">
      <c r="A11" s="2" t="s">
        <v>22</v>
      </c>
      <c r="D11" s="2">
        <v>200</v>
      </c>
      <c r="E11" s="2">
        <v>400</v>
      </c>
      <c r="F11" s="3"/>
      <c r="G11" s="2">
        <v>1218</v>
      </c>
      <c r="H11" s="2">
        <v>60</v>
      </c>
      <c r="I11" s="2">
        <v>150</v>
      </c>
      <c r="J11" s="3"/>
    </row>
    <row r="12" spans="1:23" ht="14.25" customHeight="1" x14ac:dyDescent="0.3">
      <c r="A12" s="2" t="s">
        <v>23</v>
      </c>
      <c r="D12" s="2">
        <v>200</v>
      </c>
      <c r="F12" s="3"/>
      <c r="G12" s="2">
        <v>1620</v>
      </c>
      <c r="H12" s="2">
        <v>180</v>
      </c>
      <c r="I12" s="2">
        <v>400</v>
      </c>
      <c r="J12" s="3"/>
    </row>
    <row r="13" spans="1:23" ht="14.25" customHeight="1" x14ac:dyDescent="0.3">
      <c r="A13" s="2" t="s">
        <v>24</v>
      </c>
      <c r="D13" s="2">
        <v>5400</v>
      </c>
      <c r="E13" s="2">
        <v>5350</v>
      </c>
      <c r="F13" s="3"/>
      <c r="G13" s="2">
        <v>2030</v>
      </c>
      <c r="J13" s="3"/>
    </row>
    <row r="14" spans="1:23" ht="14.25" customHeight="1" x14ac:dyDescent="0.3">
      <c r="A14" s="2" t="s">
        <v>25</v>
      </c>
      <c r="F14" s="3"/>
      <c r="J14" s="3"/>
    </row>
    <row r="15" spans="1:23" ht="14.25" customHeight="1" x14ac:dyDescent="0.3">
      <c r="F15" s="3"/>
      <c r="J15" s="3"/>
    </row>
    <row r="16" spans="1:23" ht="15" customHeight="1" x14ac:dyDescent="0.3">
      <c r="B16" s="2">
        <f t="shared" ref="B16:E16" si="3">SUM(B5:B15)</f>
        <v>879</v>
      </c>
      <c r="C16" s="2">
        <f t="shared" si="3"/>
        <v>13800</v>
      </c>
      <c r="D16" s="2">
        <f t="shared" si="3"/>
        <v>11700</v>
      </c>
      <c r="E16" s="2">
        <f t="shared" si="3"/>
        <v>24150</v>
      </c>
      <c r="F16" s="3"/>
      <c r="J16" s="3"/>
    </row>
    <row r="17" spans="6:10" ht="14.25" customHeight="1" x14ac:dyDescent="0.3">
      <c r="F17" s="3"/>
      <c r="J17" s="3"/>
    </row>
    <row r="18" spans="6:10" ht="14.25" customHeight="1" x14ac:dyDescent="0.3">
      <c r="F18" s="3"/>
      <c r="J18" s="3"/>
    </row>
    <row r="19" spans="6:10" ht="14.25" customHeight="1" x14ac:dyDescent="0.3">
      <c r="F19" s="3"/>
      <c r="J19" s="3"/>
    </row>
    <row r="20" spans="6:10" ht="14.25" customHeight="1" x14ac:dyDescent="0.3">
      <c r="F20" s="3"/>
      <c r="J20" s="3"/>
    </row>
    <row r="21" spans="6:10" ht="14.25" customHeight="1" x14ac:dyDescent="0.3">
      <c r="F21" s="3"/>
      <c r="J21" s="3"/>
    </row>
    <row r="22" spans="6:10" ht="14.25" customHeight="1" x14ac:dyDescent="0.3">
      <c r="F22" s="3"/>
      <c r="J22" s="3"/>
    </row>
    <row r="23" spans="6:10" ht="14.25" customHeight="1" x14ac:dyDescent="0.3">
      <c r="F23" s="3"/>
      <c r="J23" s="3"/>
    </row>
    <row r="24" spans="6:10" ht="14.25" customHeight="1" x14ac:dyDescent="0.3">
      <c r="F24" s="3"/>
      <c r="J24" s="3"/>
    </row>
    <row r="25" spans="6:10" ht="14.25" customHeight="1" x14ac:dyDescent="0.3">
      <c r="F25" s="3"/>
      <c r="J25" s="3"/>
    </row>
    <row r="26" spans="6:10" ht="14.25" customHeight="1" x14ac:dyDescent="0.3">
      <c r="F26" s="3"/>
      <c r="J26" s="3"/>
    </row>
    <row r="27" spans="6:10" ht="14.25" customHeight="1" x14ac:dyDescent="0.3">
      <c r="F27" s="3"/>
      <c r="J27" s="3"/>
    </row>
    <row r="28" spans="6:10" ht="14.25" customHeight="1" x14ac:dyDescent="0.3">
      <c r="F28" s="3"/>
      <c r="J28" s="3"/>
    </row>
    <row r="29" spans="6:10" ht="15" customHeight="1" x14ac:dyDescent="0.3">
      <c r="F29" s="3"/>
      <c r="J29" s="3"/>
    </row>
    <row r="30" spans="6:10" ht="14.25" customHeight="1" x14ac:dyDescent="0.3">
      <c r="F30" s="3"/>
      <c r="J30" s="3"/>
    </row>
    <row r="31" spans="6:10" ht="14.25" customHeight="1" x14ac:dyDescent="0.3">
      <c r="F31" s="3"/>
      <c r="J31" s="3"/>
    </row>
    <row r="32" spans="6:10" ht="14.25" customHeight="1" x14ac:dyDescent="0.3">
      <c r="F32" s="3"/>
      <c r="J32" s="3"/>
    </row>
    <row r="33" spans="6:10" ht="14.25" customHeight="1" x14ac:dyDescent="0.3">
      <c r="F33" s="3"/>
      <c r="J33" s="3"/>
    </row>
    <row r="34" spans="6:10" ht="14.25" customHeight="1" x14ac:dyDescent="0.3">
      <c r="F34" s="3"/>
      <c r="J34" s="3"/>
    </row>
    <row r="35" spans="6:10" ht="14.25" customHeight="1" x14ac:dyDescent="0.3">
      <c r="F35" s="3"/>
      <c r="J35" s="3"/>
    </row>
    <row r="36" spans="6:10" ht="14.25" customHeight="1" x14ac:dyDescent="0.3">
      <c r="F36" s="3"/>
      <c r="J36" s="3"/>
    </row>
    <row r="37" spans="6:10" ht="14.25" customHeight="1" x14ac:dyDescent="0.3">
      <c r="F37" s="3"/>
      <c r="J37" s="3"/>
    </row>
    <row r="38" spans="6:10" ht="14.25" customHeight="1" x14ac:dyDescent="0.3">
      <c r="F38" s="3"/>
      <c r="J38" s="3"/>
    </row>
    <row r="39" spans="6:10" ht="14.25" customHeight="1" x14ac:dyDescent="0.3">
      <c r="F39" s="3"/>
      <c r="J39" s="3"/>
    </row>
    <row r="40" spans="6:10" ht="14.25" customHeight="1" x14ac:dyDescent="0.3">
      <c r="F40" s="3"/>
      <c r="J40" s="3"/>
    </row>
    <row r="41" spans="6:10" ht="14.25" customHeight="1" x14ac:dyDescent="0.3">
      <c r="F41" s="3"/>
      <c r="J41" s="3"/>
    </row>
    <row r="42" spans="6:10" ht="14.25" customHeight="1" x14ac:dyDescent="0.3">
      <c r="F42" s="3"/>
      <c r="J42" s="3"/>
    </row>
    <row r="43" spans="6:10" ht="14.25" customHeight="1" x14ac:dyDescent="0.3">
      <c r="F43" s="3"/>
      <c r="J43" s="3"/>
    </row>
    <row r="44" spans="6:10" ht="14.25" customHeight="1" x14ac:dyDescent="0.3">
      <c r="F44" s="3"/>
      <c r="J44" s="3"/>
    </row>
    <row r="45" spans="6:10" ht="14.25" customHeight="1" x14ac:dyDescent="0.3">
      <c r="F45" s="3"/>
      <c r="J45" s="3"/>
    </row>
    <row r="46" spans="6:10" ht="14.25" customHeight="1" x14ac:dyDescent="0.3">
      <c r="F46" s="3"/>
      <c r="J46" s="3"/>
    </row>
    <row r="47" spans="6:10" ht="14.25" customHeight="1" x14ac:dyDescent="0.3">
      <c r="F47" s="3"/>
      <c r="J47" s="3"/>
    </row>
    <row r="48" spans="6:10" ht="14.25" customHeight="1" x14ac:dyDescent="0.3">
      <c r="F48" s="3"/>
      <c r="J48" s="3"/>
    </row>
    <row r="49" spans="6:10" ht="14.25" customHeight="1" x14ac:dyDescent="0.3">
      <c r="F49" s="3"/>
      <c r="J49" s="3"/>
    </row>
    <row r="50" spans="6:10" ht="14.25" customHeight="1" x14ac:dyDescent="0.3">
      <c r="F50" s="3"/>
      <c r="J50" s="3"/>
    </row>
    <row r="51" spans="6:10" ht="14.25" customHeight="1" x14ac:dyDescent="0.3">
      <c r="F51" s="3"/>
      <c r="J51" s="3"/>
    </row>
    <row r="52" spans="6:10" ht="14.25" customHeight="1" x14ac:dyDescent="0.3">
      <c r="F52" s="3"/>
      <c r="J52" s="3"/>
    </row>
    <row r="53" spans="6:10" ht="14.25" customHeight="1" x14ac:dyDescent="0.3">
      <c r="F53" s="3"/>
      <c r="J53" s="3"/>
    </row>
    <row r="54" spans="6:10" ht="14.25" customHeight="1" x14ac:dyDescent="0.3">
      <c r="F54" s="3"/>
      <c r="J54" s="3"/>
    </row>
    <row r="55" spans="6:10" ht="14.25" customHeight="1" x14ac:dyDescent="0.3">
      <c r="F55" s="3"/>
      <c r="J55" s="3"/>
    </row>
    <row r="56" spans="6:10" ht="14.25" customHeight="1" x14ac:dyDescent="0.3">
      <c r="F56" s="3"/>
      <c r="J56" s="3"/>
    </row>
    <row r="57" spans="6:10" ht="14.25" customHeight="1" x14ac:dyDescent="0.3">
      <c r="F57" s="3"/>
      <c r="J57" s="3"/>
    </row>
    <row r="58" spans="6:10" ht="14.25" customHeight="1" x14ac:dyDescent="0.3">
      <c r="F58" s="3"/>
      <c r="J58" s="3"/>
    </row>
    <row r="59" spans="6:10" ht="14.25" customHeight="1" x14ac:dyDescent="0.3">
      <c r="F59" s="3"/>
      <c r="J59" s="3"/>
    </row>
    <row r="60" spans="6:10" ht="14.25" customHeight="1" x14ac:dyDescent="0.3">
      <c r="F60" s="3"/>
      <c r="J60" s="3"/>
    </row>
    <row r="61" spans="6:10" ht="14.25" customHeight="1" x14ac:dyDescent="0.3">
      <c r="F61" s="3"/>
      <c r="J61" s="3"/>
    </row>
    <row r="62" spans="6:10" ht="14.25" customHeight="1" x14ac:dyDescent="0.3">
      <c r="F62" s="3"/>
      <c r="J62" s="3"/>
    </row>
    <row r="63" spans="6:10" ht="14.25" customHeight="1" x14ac:dyDescent="0.3">
      <c r="F63" s="3"/>
      <c r="J63" s="3"/>
    </row>
    <row r="64" spans="6:10" ht="14.25" customHeight="1" x14ac:dyDescent="0.3">
      <c r="F64" s="3"/>
      <c r="J64" s="3"/>
    </row>
    <row r="65" spans="6:10" ht="14.25" customHeight="1" x14ac:dyDescent="0.3">
      <c r="F65" s="3"/>
      <c r="J65" s="3"/>
    </row>
    <row r="66" spans="6:10" ht="14.25" customHeight="1" x14ac:dyDescent="0.3">
      <c r="F66" s="3"/>
      <c r="J66" s="3"/>
    </row>
    <row r="67" spans="6:10" ht="14.25" customHeight="1" x14ac:dyDescent="0.3">
      <c r="F67" s="3"/>
      <c r="J67" s="3"/>
    </row>
    <row r="68" spans="6:10" ht="14.25" customHeight="1" x14ac:dyDescent="0.3">
      <c r="F68" s="3"/>
      <c r="J68" s="3"/>
    </row>
    <row r="69" spans="6:10" ht="14.25" customHeight="1" x14ac:dyDescent="0.3">
      <c r="F69" s="3"/>
      <c r="J69" s="3"/>
    </row>
    <row r="70" spans="6:10" ht="14.25" customHeight="1" x14ac:dyDescent="0.3">
      <c r="F70" s="3"/>
      <c r="J70" s="3"/>
    </row>
    <row r="71" spans="6:10" ht="14.25" customHeight="1" x14ac:dyDescent="0.3">
      <c r="F71" s="3"/>
      <c r="J71" s="3"/>
    </row>
    <row r="72" spans="6:10" ht="14.25" customHeight="1" x14ac:dyDescent="0.3">
      <c r="F72" s="3"/>
      <c r="J72" s="3"/>
    </row>
    <row r="73" spans="6:10" ht="14.25" customHeight="1" x14ac:dyDescent="0.3">
      <c r="F73" s="3"/>
      <c r="J73" s="3"/>
    </row>
    <row r="74" spans="6:10" ht="14.25" customHeight="1" x14ac:dyDescent="0.3">
      <c r="F74" s="3"/>
      <c r="J74" s="3"/>
    </row>
    <row r="75" spans="6:10" ht="14.25" customHeight="1" x14ac:dyDescent="0.3">
      <c r="F75" s="3"/>
      <c r="J75" s="3"/>
    </row>
    <row r="76" spans="6:10" ht="14.25" customHeight="1" x14ac:dyDescent="0.3">
      <c r="F76" s="3"/>
      <c r="J76" s="3"/>
    </row>
    <row r="77" spans="6:10" ht="14.25" customHeight="1" x14ac:dyDescent="0.3">
      <c r="F77" s="3"/>
      <c r="J77" s="3"/>
    </row>
    <row r="78" spans="6:10" ht="14.25" customHeight="1" x14ac:dyDescent="0.3">
      <c r="F78" s="3"/>
      <c r="J78" s="3"/>
    </row>
    <row r="79" spans="6:10" ht="14.25" customHeight="1" x14ac:dyDescent="0.3">
      <c r="F79" s="3"/>
      <c r="J79" s="3"/>
    </row>
    <row r="80" spans="6:10" ht="14.25" customHeight="1" x14ac:dyDescent="0.3">
      <c r="F80" s="3"/>
      <c r="J80" s="3"/>
    </row>
    <row r="81" spans="6:10" ht="14.25" customHeight="1" x14ac:dyDescent="0.3">
      <c r="F81" s="3"/>
      <c r="J81" s="3"/>
    </row>
    <row r="82" spans="6:10" ht="14.25" customHeight="1" x14ac:dyDescent="0.3">
      <c r="F82" s="3"/>
      <c r="J82" s="3"/>
    </row>
    <row r="83" spans="6:10" ht="14.25" customHeight="1" x14ac:dyDescent="0.3">
      <c r="F83" s="3"/>
      <c r="J83" s="3"/>
    </row>
    <row r="84" spans="6:10" ht="14.25" customHeight="1" x14ac:dyDescent="0.3">
      <c r="F84" s="3"/>
      <c r="J84" s="3"/>
    </row>
    <row r="85" spans="6:10" ht="14.25" customHeight="1" x14ac:dyDescent="0.3">
      <c r="F85" s="3"/>
      <c r="J85" s="3"/>
    </row>
    <row r="86" spans="6:10" ht="14.25" customHeight="1" x14ac:dyDescent="0.3">
      <c r="F86" s="3"/>
      <c r="J86" s="3"/>
    </row>
    <row r="87" spans="6:10" ht="14.25" customHeight="1" x14ac:dyDescent="0.3">
      <c r="F87" s="3"/>
      <c r="J87" s="3"/>
    </row>
    <row r="88" spans="6:10" ht="14.25" customHeight="1" x14ac:dyDescent="0.3">
      <c r="F88" s="3"/>
      <c r="J88" s="3"/>
    </row>
    <row r="89" spans="6:10" ht="14.25" customHeight="1" x14ac:dyDescent="0.3">
      <c r="F89" s="3"/>
      <c r="J89" s="3"/>
    </row>
    <row r="90" spans="6:10" ht="14.25" customHeight="1" x14ac:dyDescent="0.3">
      <c r="F90" s="3"/>
      <c r="J90" s="3"/>
    </row>
    <row r="91" spans="6:10" ht="14.25" customHeight="1" x14ac:dyDescent="0.3">
      <c r="F91" s="3"/>
      <c r="J91" s="3"/>
    </row>
    <row r="92" spans="6:10" ht="14.25" customHeight="1" x14ac:dyDescent="0.3">
      <c r="F92" s="3"/>
      <c r="J92" s="3"/>
    </row>
    <row r="93" spans="6:10" ht="14.25" customHeight="1" x14ac:dyDescent="0.3">
      <c r="F93" s="3"/>
      <c r="J93" s="3"/>
    </row>
    <row r="94" spans="6:10" ht="14.25" customHeight="1" x14ac:dyDescent="0.3">
      <c r="F94" s="3"/>
      <c r="J94" s="3"/>
    </row>
    <row r="95" spans="6:10" ht="14.25" customHeight="1" x14ac:dyDescent="0.3">
      <c r="F95" s="3"/>
      <c r="J95" s="3"/>
    </row>
    <row r="96" spans="6:10" ht="14.25" customHeight="1" x14ac:dyDescent="0.3">
      <c r="F96" s="3"/>
      <c r="J96" s="3"/>
    </row>
    <row r="97" spans="6:10" ht="14.25" customHeight="1" x14ac:dyDescent="0.3">
      <c r="F97" s="3"/>
      <c r="J97" s="3"/>
    </row>
    <row r="98" spans="6:10" ht="14.25" customHeight="1" x14ac:dyDescent="0.3">
      <c r="F98" s="3"/>
      <c r="J98" s="3"/>
    </row>
    <row r="99" spans="6:10" ht="14.25" customHeight="1" x14ac:dyDescent="0.3">
      <c r="F99" s="3"/>
      <c r="J99" s="3"/>
    </row>
    <row r="100" spans="6:10" ht="14.25" customHeight="1" x14ac:dyDescent="0.3">
      <c r="F100" s="3"/>
      <c r="J100" s="3"/>
    </row>
    <row r="101" spans="6:10" ht="14.25" customHeight="1" x14ac:dyDescent="0.3">
      <c r="F101" s="3"/>
      <c r="J101" s="3"/>
    </row>
    <row r="102" spans="6:10" ht="14.25" customHeight="1" x14ac:dyDescent="0.3">
      <c r="F102" s="3"/>
      <c r="J102" s="3"/>
    </row>
    <row r="103" spans="6:10" ht="14.25" customHeight="1" x14ac:dyDescent="0.3">
      <c r="F103" s="3"/>
      <c r="J103" s="3"/>
    </row>
    <row r="104" spans="6:10" ht="14.25" customHeight="1" x14ac:dyDescent="0.3">
      <c r="F104" s="3"/>
      <c r="J104" s="3"/>
    </row>
    <row r="105" spans="6:10" ht="14.25" customHeight="1" x14ac:dyDescent="0.3">
      <c r="F105" s="3"/>
      <c r="J105" s="3"/>
    </row>
    <row r="106" spans="6:10" ht="14.25" customHeight="1" x14ac:dyDescent="0.3">
      <c r="F106" s="3"/>
      <c r="J106" s="3"/>
    </row>
    <row r="107" spans="6:10" ht="14.25" customHeight="1" x14ac:dyDescent="0.3">
      <c r="F107" s="3"/>
      <c r="J107" s="3"/>
    </row>
    <row r="108" spans="6:10" ht="14.25" customHeight="1" x14ac:dyDescent="0.3">
      <c r="F108" s="3"/>
      <c r="J108" s="3"/>
    </row>
    <row r="109" spans="6:10" ht="14.25" customHeight="1" x14ac:dyDescent="0.3">
      <c r="F109" s="3"/>
      <c r="J109" s="3"/>
    </row>
    <row r="110" spans="6:10" ht="14.25" customHeight="1" x14ac:dyDescent="0.3">
      <c r="F110" s="3"/>
      <c r="J110" s="3"/>
    </row>
    <row r="111" spans="6:10" ht="14.25" customHeight="1" x14ac:dyDescent="0.3">
      <c r="F111" s="3"/>
      <c r="J111" s="3"/>
    </row>
    <row r="112" spans="6:10" ht="14.25" customHeight="1" x14ac:dyDescent="0.3">
      <c r="F112" s="3"/>
      <c r="J112" s="3"/>
    </row>
    <row r="113" spans="6:10" ht="14.25" customHeight="1" x14ac:dyDescent="0.3">
      <c r="F113" s="3"/>
      <c r="J113" s="3"/>
    </row>
    <row r="114" spans="6:10" ht="14.25" customHeight="1" x14ac:dyDescent="0.3">
      <c r="F114" s="3"/>
      <c r="J114" s="3"/>
    </row>
    <row r="115" spans="6:10" ht="14.25" customHeight="1" x14ac:dyDescent="0.3">
      <c r="F115" s="3"/>
      <c r="J115" s="3"/>
    </row>
    <row r="116" spans="6:10" ht="14.25" customHeight="1" x14ac:dyDescent="0.3">
      <c r="F116" s="3"/>
      <c r="J116" s="3"/>
    </row>
    <row r="117" spans="6:10" ht="14.25" customHeight="1" x14ac:dyDescent="0.3">
      <c r="F117" s="3"/>
      <c r="J117" s="3"/>
    </row>
    <row r="118" spans="6:10" ht="14.25" customHeight="1" x14ac:dyDescent="0.3">
      <c r="F118" s="3"/>
      <c r="J118" s="3"/>
    </row>
    <row r="119" spans="6:10" ht="14.25" customHeight="1" x14ac:dyDescent="0.3">
      <c r="F119" s="3"/>
      <c r="J119" s="3"/>
    </row>
    <row r="120" spans="6:10" ht="14.25" customHeight="1" x14ac:dyDescent="0.3">
      <c r="F120" s="3"/>
      <c r="J120" s="3"/>
    </row>
    <row r="121" spans="6:10" ht="14.25" customHeight="1" x14ac:dyDescent="0.3">
      <c r="F121" s="3"/>
      <c r="J121" s="3"/>
    </row>
    <row r="122" spans="6:10" ht="14.25" customHeight="1" x14ac:dyDescent="0.3">
      <c r="F122" s="3"/>
      <c r="J122" s="3"/>
    </row>
    <row r="123" spans="6:10" ht="14.25" customHeight="1" x14ac:dyDescent="0.3">
      <c r="F123" s="3"/>
      <c r="J123" s="3"/>
    </row>
    <row r="124" spans="6:10" ht="14.25" customHeight="1" x14ac:dyDescent="0.3">
      <c r="F124" s="3"/>
      <c r="J124" s="3"/>
    </row>
    <row r="125" spans="6:10" ht="14.25" customHeight="1" x14ac:dyDescent="0.3">
      <c r="F125" s="3"/>
      <c r="J125" s="3"/>
    </row>
    <row r="126" spans="6:10" ht="14.25" customHeight="1" x14ac:dyDescent="0.3">
      <c r="F126" s="3"/>
      <c r="J126" s="3"/>
    </row>
    <row r="127" spans="6:10" ht="14.25" customHeight="1" x14ac:dyDescent="0.3">
      <c r="F127" s="3"/>
      <c r="J127" s="3"/>
    </row>
    <row r="128" spans="6:10" ht="14.25" customHeight="1" x14ac:dyDescent="0.3">
      <c r="F128" s="3"/>
      <c r="J128" s="3"/>
    </row>
    <row r="129" spans="6:10" ht="14.25" customHeight="1" x14ac:dyDescent="0.3">
      <c r="F129" s="3"/>
      <c r="J129" s="3"/>
    </row>
    <row r="130" spans="6:10" ht="14.25" customHeight="1" x14ac:dyDescent="0.3">
      <c r="F130" s="3"/>
      <c r="J130" s="3"/>
    </row>
    <row r="131" spans="6:10" ht="14.25" customHeight="1" x14ac:dyDescent="0.3">
      <c r="F131" s="3"/>
      <c r="J131" s="3"/>
    </row>
    <row r="132" spans="6:10" ht="14.25" customHeight="1" x14ac:dyDescent="0.3">
      <c r="F132" s="3"/>
      <c r="J132" s="3"/>
    </row>
    <row r="133" spans="6:10" ht="14.25" customHeight="1" x14ac:dyDescent="0.3">
      <c r="F133" s="3"/>
      <c r="J133" s="3"/>
    </row>
    <row r="134" spans="6:10" ht="14.25" customHeight="1" x14ac:dyDescent="0.3">
      <c r="F134" s="3"/>
      <c r="J134" s="3"/>
    </row>
    <row r="135" spans="6:10" ht="14.25" customHeight="1" x14ac:dyDescent="0.3">
      <c r="F135" s="3"/>
      <c r="J135" s="3"/>
    </row>
    <row r="136" spans="6:10" ht="14.25" customHeight="1" x14ac:dyDescent="0.3">
      <c r="F136" s="3"/>
      <c r="J136" s="3"/>
    </row>
    <row r="137" spans="6:10" ht="14.25" customHeight="1" x14ac:dyDescent="0.3">
      <c r="F137" s="3"/>
      <c r="J137" s="3"/>
    </row>
    <row r="138" spans="6:10" ht="14.25" customHeight="1" x14ac:dyDescent="0.3">
      <c r="F138" s="3"/>
      <c r="J138" s="3"/>
    </row>
    <row r="139" spans="6:10" ht="14.25" customHeight="1" x14ac:dyDescent="0.3">
      <c r="F139" s="3"/>
      <c r="J139" s="3"/>
    </row>
    <row r="140" spans="6:10" ht="14.25" customHeight="1" x14ac:dyDescent="0.3">
      <c r="F140" s="3"/>
      <c r="J140" s="3"/>
    </row>
    <row r="141" spans="6:10" ht="14.25" customHeight="1" x14ac:dyDescent="0.3">
      <c r="F141" s="3"/>
      <c r="J141" s="3"/>
    </row>
    <row r="142" spans="6:10" ht="14.25" customHeight="1" x14ac:dyDescent="0.3">
      <c r="F142" s="3"/>
      <c r="J142" s="3"/>
    </row>
    <row r="143" spans="6:10" ht="14.25" customHeight="1" x14ac:dyDescent="0.3">
      <c r="F143" s="3"/>
      <c r="J143" s="3"/>
    </row>
    <row r="144" spans="6:10" ht="14.25" customHeight="1" x14ac:dyDescent="0.3">
      <c r="F144" s="3"/>
      <c r="J144" s="3"/>
    </row>
    <row r="145" spans="6:10" ht="14.25" customHeight="1" x14ac:dyDescent="0.3">
      <c r="F145" s="3"/>
      <c r="J145" s="3"/>
    </row>
    <row r="146" spans="6:10" ht="14.25" customHeight="1" x14ac:dyDescent="0.3">
      <c r="F146" s="3"/>
      <c r="J146" s="3"/>
    </row>
    <row r="147" spans="6:10" ht="14.25" customHeight="1" x14ac:dyDescent="0.3">
      <c r="F147" s="3"/>
      <c r="J147" s="3"/>
    </row>
    <row r="148" spans="6:10" ht="14.25" customHeight="1" x14ac:dyDescent="0.3">
      <c r="F148" s="3"/>
      <c r="J148" s="3"/>
    </row>
    <row r="149" spans="6:10" ht="14.25" customHeight="1" x14ac:dyDescent="0.3">
      <c r="F149" s="3"/>
      <c r="J149" s="3"/>
    </row>
    <row r="150" spans="6:10" ht="14.25" customHeight="1" x14ac:dyDescent="0.3">
      <c r="F150" s="3"/>
      <c r="J150" s="3"/>
    </row>
    <row r="151" spans="6:10" ht="14.25" customHeight="1" x14ac:dyDescent="0.3">
      <c r="F151" s="3"/>
      <c r="J151" s="3"/>
    </row>
    <row r="152" spans="6:10" ht="14.25" customHeight="1" x14ac:dyDescent="0.3">
      <c r="F152" s="3"/>
      <c r="J152" s="3"/>
    </row>
    <row r="153" spans="6:10" ht="14.25" customHeight="1" x14ac:dyDescent="0.3">
      <c r="F153" s="3"/>
      <c r="J153" s="3"/>
    </row>
    <row r="154" spans="6:10" ht="14.25" customHeight="1" x14ac:dyDescent="0.3">
      <c r="F154" s="3"/>
      <c r="J154" s="3"/>
    </row>
    <row r="155" spans="6:10" ht="14.25" customHeight="1" x14ac:dyDescent="0.3">
      <c r="F155" s="3"/>
      <c r="J155" s="3"/>
    </row>
    <row r="156" spans="6:10" ht="14.25" customHeight="1" x14ac:dyDescent="0.3">
      <c r="F156" s="3"/>
      <c r="J156" s="3"/>
    </row>
    <row r="157" spans="6:10" ht="14.25" customHeight="1" x14ac:dyDescent="0.3">
      <c r="F157" s="3"/>
      <c r="J157" s="3"/>
    </row>
    <row r="158" spans="6:10" ht="14.25" customHeight="1" x14ac:dyDescent="0.3">
      <c r="F158" s="3"/>
      <c r="J158" s="3"/>
    </row>
    <row r="159" spans="6:10" ht="14.25" customHeight="1" x14ac:dyDescent="0.3">
      <c r="F159" s="3"/>
      <c r="J159" s="3"/>
    </row>
    <row r="160" spans="6:10" ht="14.25" customHeight="1" x14ac:dyDescent="0.3">
      <c r="F160" s="3"/>
      <c r="J160" s="3"/>
    </row>
    <row r="161" spans="6:10" ht="14.25" customHeight="1" x14ac:dyDescent="0.3">
      <c r="F161" s="3"/>
      <c r="J161" s="3"/>
    </row>
    <row r="162" spans="6:10" ht="14.25" customHeight="1" x14ac:dyDescent="0.3">
      <c r="F162" s="3"/>
      <c r="J162" s="3"/>
    </row>
    <row r="163" spans="6:10" ht="14.25" customHeight="1" x14ac:dyDescent="0.3">
      <c r="F163" s="3"/>
      <c r="J163" s="3"/>
    </row>
    <row r="164" spans="6:10" ht="14.25" customHeight="1" x14ac:dyDescent="0.3">
      <c r="F164" s="3"/>
      <c r="J164" s="3"/>
    </row>
    <row r="165" spans="6:10" ht="14.25" customHeight="1" x14ac:dyDescent="0.3">
      <c r="F165" s="3"/>
      <c r="J165" s="3"/>
    </row>
    <row r="166" spans="6:10" ht="14.25" customHeight="1" x14ac:dyDescent="0.3">
      <c r="F166" s="3"/>
      <c r="J166" s="3"/>
    </row>
    <row r="167" spans="6:10" ht="14.25" customHeight="1" x14ac:dyDescent="0.3">
      <c r="F167" s="3"/>
      <c r="J167" s="3"/>
    </row>
    <row r="168" spans="6:10" ht="14.25" customHeight="1" x14ac:dyDescent="0.3">
      <c r="F168" s="3"/>
      <c r="J168" s="3"/>
    </row>
    <row r="169" spans="6:10" ht="14.25" customHeight="1" x14ac:dyDescent="0.3">
      <c r="F169" s="3"/>
      <c r="J169" s="3"/>
    </row>
    <row r="170" spans="6:10" ht="14.25" customHeight="1" x14ac:dyDescent="0.3">
      <c r="F170" s="3"/>
      <c r="J170" s="3"/>
    </row>
    <row r="171" spans="6:10" ht="14.25" customHeight="1" x14ac:dyDescent="0.3">
      <c r="F171" s="3"/>
      <c r="J171" s="3"/>
    </row>
    <row r="172" spans="6:10" ht="14.25" customHeight="1" x14ac:dyDescent="0.3">
      <c r="F172" s="3"/>
      <c r="J172" s="3"/>
    </row>
    <row r="173" spans="6:10" ht="14.25" customHeight="1" x14ac:dyDescent="0.3">
      <c r="F173" s="3"/>
      <c r="J173" s="3"/>
    </row>
    <row r="174" spans="6:10" ht="14.25" customHeight="1" x14ac:dyDescent="0.3">
      <c r="F174" s="3"/>
      <c r="J174" s="3"/>
    </row>
    <row r="175" spans="6:10" ht="14.25" customHeight="1" x14ac:dyDescent="0.3">
      <c r="F175" s="3"/>
      <c r="J175" s="3"/>
    </row>
    <row r="176" spans="6:10" ht="14.25" customHeight="1" x14ac:dyDescent="0.3">
      <c r="F176" s="3"/>
      <c r="J176" s="3"/>
    </row>
    <row r="177" spans="6:10" ht="14.25" customHeight="1" x14ac:dyDescent="0.3">
      <c r="F177" s="3"/>
      <c r="J177" s="3"/>
    </row>
    <row r="178" spans="6:10" ht="14.25" customHeight="1" x14ac:dyDescent="0.3">
      <c r="F178" s="3"/>
      <c r="J178" s="3"/>
    </row>
    <row r="179" spans="6:10" ht="14.25" customHeight="1" x14ac:dyDescent="0.3">
      <c r="F179" s="3"/>
      <c r="J179" s="3"/>
    </row>
    <row r="180" spans="6:10" ht="14.25" customHeight="1" x14ac:dyDescent="0.3">
      <c r="F180" s="3"/>
      <c r="J180" s="3"/>
    </row>
    <row r="181" spans="6:10" ht="14.25" customHeight="1" x14ac:dyDescent="0.3">
      <c r="F181" s="3"/>
      <c r="J181" s="3"/>
    </row>
    <row r="182" spans="6:10" ht="14.25" customHeight="1" x14ac:dyDescent="0.3">
      <c r="F182" s="3"/>
      <c r="J182" s="3"/>
    </row>
    <row r="183" spans="6:10" ht="14.25" customHeight="1" x14ac:dyDescent="0.3">
      <c r="F183" s="3"/>
      <c r="J183" s="3"/>
    </row>
    <row r="184" spans="6:10" ht="14.25" customHeight="1" x14ac:dyDescent="0.3">
      <c r="F184" s="3"/>
      <c r="J184" s="3"/>
    </row>
    <row r="185" spans="6:10" ht="14.25" customHeight="1" x14ac:dyDescent="0.3">
      <c r="F185" s="3"/>
      <c r="J185" s="3"/>
    </row>
    <row r="186" spans="6:10" ht="14.25" customHeight="1" x14ac:dyDescent="0.3">
      <c r="F186" s="3"/>
      <c r="J186" s="3"/>
    </row>
    <row r="187" spans="6:10" ht="14.25" customHeight="1" x14ac:dyDescent="0.3">
      <c r="F187" s="3"/>
      <c r="J187" s="3"/>
    </row>
    <row r="188" spans="6:10" ht="14.25" customHeight="1" x14ac:dyDescent="0.3">
      <c r="F188" s="3"/>
      <c r="J188" s="3"/>
    </row>
    <row r="189" spans="6:10" ht="14.25" customHeight="1" x14ac:dyDescent="0.3">
      <c r="F189" s="3"/>
      <c r="J189" s="3"/>
    </row>
    <row r="190" spans="6:10" ht="14.25" customHeight="1" x14ac:dyDescent="0.3">
      <c r="F190" s="3"/>
      <c r="J190" s="3"/>
    </row>
    <row r="191" spans="6:10" ht="14.25" customHeight="1" x14ac:dyDescent="0.3">
      <c r="F191" s="3"/>
      <c r="J191" s="3"/>
    </row>
    <row r="192" spans="6:10" ht="14.25" customHeight="1" x14ac:dyDescent="0.3">
      <c r="F192" s="3"/>
      <c r="J192" s="3"/>
    </row>
    <row r="193" spans="6:10" ht="14.25" customHeight="1" x14ac:dyDescent="0.3">
      <c r="F193" s="3"/>
      <c r="J193" s="3"/>
    </row>
    <row r="194" spans="6:10" ht="14.25" customHeight="1" x14ac:dyDescent="0.3">
      <c r="F194" s="3"/>
      <c r="J194" s="3"/>
    </row>
    <row r="195" spans="6:10" ht="14.25" customHeight="1" x14ac:dyDescent="0.3">
      <c r="F195" s="3"/>
      <c r="J195" s="3"/>
    </row>
    <row r="196" spans="6:10" ht="14.25" customHeight="1" x14ac:dyDescent="0.3">
      <c r="F196" s="3"/>
      <c r="J196" s="3"/>
    </row>
    <row r="197" spans="6:10" ht="14.25" customHeight="1" x14ac:dyDescent="0.3">
      <c r="F197" s="3"/>
      <c r="J197" s="3"/>
    </row>
    <row r="198" spans="6:10" ht="14.25" customHeight="1" x14ac:dyDescent="0.3">
      <c r="F198" s="3"/>
      <c r="J198" s="3"/>
    </row>
    <row r="199" spans="6:10" ht="14.25" customHeight="1" x14ac:dyDescent="0.3">
      <c r="F199" s="3"/>
      <c r="J199" s="3"/>
    </row>
    <row r="200" spans="6:10" ht="14.25" customHeight="1" x14ac:dyDescent="0.3">
      <c r="F200" s="3"/>
      <c r="J200" s="3"/>
    </row>
    <row r="201" spans="6:10" ht="14.25" customHeight="1" x14ac:dyDescent="0.3">
      <c r="F201" s="3"/>
      <c r="J201" s="3"/>
    </row>
    <row r="202" spans="6:10" ht="14.25" customHeight="1" x14ac:dyDescent="0.3">
      <c r="F202" s="3"/>
      <c r="J202" s="3"/>
    </row>
    <row r="203" spans="6:10" ht="14.25" customHeight="1" x14ac:dyDescent="0.3">
      <c r="F203" s="3"/>
      <c r="J203" s="3"/>
    </row>
    <row r="204" spans="6:10" ht="14.25" customHeight="1" x14ac:dyDescent="0.3">
      <c r="F204" s="3"/>
      <c r="J204" s="3"/>
    </row>
    <row r="205" spans="6:10" ht="14.25" customHeight="1" x14ac:dyDescent="0.3">
      <c r="F205" s="3"/>
      <c r="J205" s="3"/>
    </row>
    <row r="206" spans="6:10" ht="14.25" customHeight="1" x14ac:dyDescent="0.3">
      <c r="F206" s="3"/>
      <c r="J206" s="3"/>
    </row>
    <row r="207" spans="6:10" ht="14.25" customHeight="1" x14ac:dyDescent="0.3">
      <c r="F207" s="3"/>
      <c r="J207" s="3"/>
    </row>
    <row r="208" spans="6:10" ht="14.25" customHeight="1" x14ac:dyDescent="0.3">
      <c r="F208" s="3"/>
      <c r="J208" s="3"/>
    </row>
    <row r="209" spans="6:10" ht="14.25" customHeight="1" x14ac:dyDescent="0.3">
      <c r="F209" s="3"/>
      <c r="J209" s="3"/>
    </row>
    <row r="210" spans="6:10" ht="14.25" customHeight="1" x14ac:dyDescent="0.3">
      <c r="F210" s="3"/>
      <c r="J210" s="3"/>
    </row>
    <row r="211" spans="6:10" ht="14.25" customHeight="1" x14ac:dyDescent="0.3">
      <c r="F211" s="3"/>
      <c r="J211" s="3"/>
    </row>
    <row r="212" spans="6:10" ht="14.25" customHeight="1" x14ac:dyDescent="0.3">
      <c r="F212" s="3"/>
      <c r="J212" s="3"/>
    </row>
    <row r="213" spans="6:10" ht="14.25" customHeight="1" x14ac:dyDescent="0.3">
      <c r="F213" s="3"/>
      <c r="J213" s="3"/>
    </row>
    <row r="214" spans="6:10" ht="14.25" customHeight="1" x14ac:dyDescent="0.3">
      <c r="F214" s="3"/>
      <c r="J214" s="3"/>
    </row>
    <row r="215" spans="6:10" ht="14.25" customHeight="1" x14ac:dyDescent="0.3">
      <c r="F215" s="3"/>
      <c r="J215" s="3"/>
    </row>
    <row r="216" spans="6:10" ht="14.25" customHeight="1" x14ac:dyDescent="0.3">
      <c r="F216" s="3"/>
      <c r="J216" s="3"/>
    </row>
    <row r="217" spans="6:10" ht="14.25" customHeight="1" x14ac:dyDescent="0.3">
      <c r="F217" s="3"/>
      <c r="J217" s="3"/>
    </row>
    <row r="218" spans="6:10" ht="14.25" customHeight="1" x14ac:dyDescent="0.3">
      <c r="F218" s="3"/>
      <c r="J218" s="3"/>
    </row>
    <row r="219" spans="6:10" ht="14.25" customHeight="1" x14ac:dyDescent="0.3">
      <c r="F219" s="3"/>
      <c r="J219" s="3"/>
    </row>
    <row r="220" spans="6:10" ht="14.25" customHeight="1" x14ac:dyDescent="0.3">
      <c r="F220" s="3"/>
      <c r="J220" s="3"/>
    </row>
    <row r="221" spans="6:10" ht="14.25" customHeight="1" x14ac:dyDescent="0.3">
      <c r="F221" s="3"/>
      <c r="J221" s="3"/>
    </row>
    <row r="222" spans="6:10" ht="14.25" customHeight="1" x14ac:dyDescent="0.3">
      <c r="F222" s="3"/>
      <c r="J222" s="3"/>
    </row>
    <row r="223" spans="6:10" ht="14.25" customHeight="1" x14ac:dyDescent="0.3">
      <c r="F223" s="3"/>
      <c r="J223" s="3"/>
    </row>
    <row r="224" spans="6:10" ht="14.25" customHeight="1" x14ac:dyDescent="0.3">
      <c r="F224" s="3"/>
      <c r="J224" s="3"/>
    </row>
    <row r="225" spans="6:10" ht="14.25" customHeight="1" x14ac:dyDescent="0.3">
      <c r="F225" s="3"/>
      <c r="J225" s="3"/>
    </row>
    <row r="226" spans="6:10" ht="14.25" customHeight="1" x14ac:dyDescent="0.3">
      <c r="F226" s="3"/>
      <c r="J226" s="3"/>
    </row>
    <row r="227" spans="6:10" ht="14.25" customHeight="1" x14ac:dyDescent="0.3">
      <c r="F227" s="3"/>
      <c r="J227" s="3"/>
    </row>
    <row r="228" spans="6:10" ht="14.25" customHeight="1" x14ac:dyDescent="0.3">
      <c r="F228" s="3"/>
      <c r="J228" s="3"/>
    </row>
    <row r="229" spans="6:10" ht="14.25" customHeight="1" x14ac:dyDescent="0.3">
      <c r="F229" s="3"/>
      <c r="J229" s="3"/>
    </row>
    <row r="230" spans="6:10" ht="14.25" customHeight="1" x14ac:dyDescent="0.3">
      <c r="F230" s="3"/>
      <c r="J230" s="3"/>
    </row>
    <row r="231" spans="6:10" ht="14.25" customHeight="1" x14ac:dyDescent="0.3">
      <c r="F231" s="3"/>
      <c r="J231" s="3"/>
    </row>
    <row r="232" spans="6:10" ht="14.25" customHeight="1" x14ac:dyDescent="0.3">
      <c r="F232" s="3"/>
      <c r="J232" s="3"/>
    </row>
    <row r="233" spans="6:10" ht="14.25" customHeight="1" x14ac:dyDescent="0.3">
      <c r="F233" s="3"/>
      <c r="J233" s="3"/>
    </row>
    <row r="234" spans="6:10" ht="14.25" customHeight="1" x14ac:dyDescent="0.3">
      <c r="F234" s="3"/>
      <c r="J234" s="3"/>
    </row>
    <row r="235" spans="6:10" ht="14.25" customHeight="1" x14ac:dyDescent="0.3">
      <c r="F235" s="3"/>
      <c r="J235" s="3"/>
    </row>
    <row r="236" spans="6:10" ht="14.25" customHeight="1" x14ac:dyDescent="0.3">
      <c r="F236" s="3"/>
      <c r="J236" s="3"/>
    </row>
    <row r="237" spans="6:10" ht="14.25" customHeight="1" x14ac:dyDescent="0.3">
      <c r="F237" s="3"/>
      <c r="J237" s="3"/>
    </row>
    <row r="238" spans="6:10" ht="14.25" customHeight="1" x14ac:dyDescent="0.3">
      <c r="F238" s="3"/>
      <c r="J238" s="3"/>
    </row>
    <row r="239" spans="6:10" ht="14.25" customHeight="1" x14ac:dyDescent="0.3">
      <c r="F239" s="3"/>
      <c r="J239" s="3"/>
    </row>
    <row r="240" spans="6:10" ht="14.25" customHeight="1" x14ac:dyDescent="0.3">
      <c r="F240" s="3"/>
      <c r="J240" s="3"/>
    </row>
    <row r="241" spans="6:10" ht="14.25" customHeight="1" x14ac:dyDescent="0.3">
      <c r="F241" s="3"/>
      <c r="J241" s="3"/>
    </row>
    <row r="242" spans="6:10" ht="14.25" customHeight="1" x14ac:dyDescent="0.3">
      <c r="F242" s="3"/>
      <c r="J242" s="3"/>
    </row>
    <row r="243" spans="6:10" ht="14.25" customHeight="1" x14ac:dyDescent="0.3">
      <c r="F243" s="3"/>
      <c r="J243" s="3"/>
    </row>
    <row r="244" spans="6:10" ht="14.25" customHeight="1" x14ac:dyDescent="0.3">
      <c r="F244" s="3"/>
      <c r="J244" s="3"/>
    </row>
    <row r="245" spans="6:10" ht="14.25" customHeight="1" x14ac:dyDescent="0.3">
      <c r="F245" s="3"/>
      <c r="J245" s="3"/>
    </row>
    <row r="246" spans="6:10" ht="14.25" customHeight="1" x14ac:dyDescent="0.3">
      <c r="F246" s="3"/>
      <c r="J246" s="3"/>
    </row>
    <row r="247" spans="6:10" ht="14.25" customHeight="1" x14ac:dyDescent="0.3">
      <c r="F247" s="3"/>
      <c r="J247" s="3"/>
    </row>
    <row r="248" spans="6:10" ht="14.25" customHeight="1" x14ac:dyDescent="0.3">
      <c r="F248" s="3"/>
      <c r="J248" s="3"/>
    </row>
    <row r="249" spans="6:10" ht="14.25" customHeight="1" x14ac:dyDescent="0.3">
      <c r="F249" s="3"/>
      <c r="J249" s="3"/>
    </row>
    <row r="250" spans="6:10" ht="14.25" customHeight="1" x14ac:dyDescent="0.3">
      <c r="F250" s="3"/>
      <c r="J250" s="3"/>
    </row>
    <row r="251" spans="6:10" ht="14.25" customHeight="1" x14ac:dyDescent="0.3">
      <c r="F251" s="3"/>
      <c r="J251" s="3"/>
    </row>
    <row r="252" spans="6:10" ht="14.25" customHeight="1" x14ac:dyDescent="0.3">
      <c r="F252" s="3"/>
      <c r="J252" s="3"/>
    </row>
    <row r="253" spans="6:10" ht="14.25" customHeight="1" x14ac:dyDescent="0.3">
      <c r="F253" s="3"/>
      <c r="J253" s="3"/>
    </row>
    <row r="254" spans="6:10" ht="14.25" customHeight="1" x14ac:dyDescent="0.3">
      <c r="F254" s="3"/>
      <c r="J254" s="3"/>
    </row>
    <row r="255" spans="6:10" ht="14.25" customHeight="1" x14ac:dyDescent="0.3">
      <c r="F255" s="3"/>
      <c r="J255" s="3"/>
    </row>
    <row r="256" spans="6:10" ht="14.25" customHeight="1" x14ac:dyDescent="0.3">
      <c r="F256" s="3"/>
      <c r="J256" s="3"/>
    </row>
    <row r="257" spans="6:10" ht="14.25" customHeight="1" x14ac:dyDescent="0.3">
      <c r="F257" s="3"/>
      <c r="J257" s="3"/>
    </row>
    <row r="258" spans="6:10" ht="14.25" customHeight="1" x14ac:dyDescent="0.3">
      <c r="F258" s="3"/>
      <c r="J258" s="3"/>
    </row>
    <row r="259" spans="6:10" ht="14.25" customHeight="1" x14ac:dyDescent="0.3">
      <c r="F259" s="3"/>
      <c r="J259" s="3"/>
    </row>
    <row r="260" spans="6:10" ht="14.25" customHeight="1" x14ac:dyDescent="0.3">
      <c r="F260" s="3"/>
      <c r="J260" s="3"/>
    </row>
    <row r="261" spans="6:10" ht="14.25" customHeight="1" x14ac:dyDescent="0.3">
      <c r="F261" s="3"/>
      <c r="J261" s="3"/>
    </row>
    <row r="262" spans="6:10" ht="14.25" customHeight="1" x14ac:dyDescent="0.3">
      <c r="F262" s="3"/>
      <c r="J262" s="3"/>
    </row>
    <row r="263" spans="6:10" ht="14.25" customHeight="1" x14ac:dyDescent="0.3">
      <c r="F263" s="3"/>
      <c r="J263" s="3"/>
    </row>
    <row r="264" spans="6:10" ht="14.25" customHeight="1" x14ac:dyDescent="0.3">
      <c r="F264" s="3"/>
      <c r="J264" s="3"/>
    </row>
    <row r="265" spans="6:10" ht="14.25" customHeight="1" x14ac:dyDescent="0.3">
      <c r="F265" s="3"/>
      <c r="J265" s="3"/>
    </row>
    <row r="266" spans="6:10" ht="14.25" customHeight="1" x14ac:dyDescent="0.3">
      <c r="F266" s="3"/>
      <c r="J266" s="3"/>
    </row>
    <row r="267" spans="6:10" ht="14.25" customHeight="1" x14ac:dyDescent="0.3">
      <c r="F267" s="3"/>
      <c r="J267" s="3"/>
    </row>
    <row r="268" spans="6:10" ht="14.25" customHeight="1" x14ac:dyDescent="0.3">
      <c r="F268" s="3"/>
      <c r="J268" s="3"/>
    </row>
    <row r="269" spans="6:10" ht="14.25" customHeight="1" x14ac:dyDescent="0.3">
      <c r="F269" s="3"/>
      <c r="J269" s="3"/>
    </row>
    <row r="270" spans="6:10" ht="14.25" customHeight="1" x14ac:dyDescent="0.3">
      <c r="F270" s="3"/>
      <c r="J270" s="3"/>
    </row>
    <row r="271" spans="6:10" ht="14.25" customHeight="1" x14ac:dyDescent="0.3">
      <c r="F271" s="3"/>
      <c r="J271" s="3"/>
    </row>
    <row r="272" spans="6:10" ht="14.25" customHeight="1" x14ac:dyDescent="0.3">
      <c r="F272" s="3"/>
      <c r="J272" s="3"/>
    </row>
    <row r="273" spans="6:10" ht="14.25" customHeight="1" x14ac:dyDescent="0.3">
      <c r="F273" s="3"/>
      <c r="J273" s="3"/>
    </row>
    <row r="274" spans="6:10" ht="14.25" customHeight="1" x14ac:dyDescent="0.3">
      <c r="F274" s="3"/>
      <c r="J274" s="3"/>
    </row>
    <row r="275" spans="6:10" ht="14.25" customHeight="1" x14ac:dyDescent="0.3">
      <c r="F275" s="3"/>
      <c r="J275" s="3"/>
    </row>
    <row r="276" spans="6:10" ht="14.25" customHeight="1" x14ac:dyDescent="0.3">
      <c r="F276" s="3"/>
      <c r="J276" s="3"/>
    </row>
    <row r="277" spans="6:10" ht="14.25" customHeight="1" x14ac:dyDescent="0.3">
      <c r="F277" s="3"/>
      <c r="J277" s="3"/>
    </row>
    <row r="278" spans="6:10" ht="14.25" customHeight="1" x14ac:dyDescent="0.3">
      <c r="F278" s="3"/>
      <c r="J278" s="3"/>
    </row>
    <row r="279" spans="6:10" ht="14.25" customHeight="1" x14ac:dyDescent="0.3">
      <c r="F279" s="3"/>
      <c r="J279" s="3"/>
    </row>
    <row r="280" spans="6:10" ht="14.25" customHeight="1" x14ac:dyDescent="0.3">
      <c r="F280" s="3"/>
      <c r="J280" s="3"/>
    </row>
    <row r="281" spans="6:10" ht="14.25" customHeight="1" x14ac:dyDescent="0.3">
      <c r="F281" s="3"/>
      <c r="J281" s="3"/>
    </row>
    <row r="282" spans="6:10" ht="14.25" customHeight="1" x14ac:dyDescent="0.3">
      <c r="F282" s="3"/>
      <c r="J282" s="3"/>
    </row>
    <row r="283" spans="6:10" ht="14.25" customHeight="1" x14ac:dyDescent="0.3">
      <c r="F283" s="3"/>
      <c r="J283" s="3"/>
    </row>
    <row r="284" spans="6:10" ht="14.25" customHeight="1" x14ac:dyDescent="0.3">
      <c r="F284" s="3"/>
      <c r="J284" s="3"/>
    </row>
    <row r="285" spans="6:10" ht="14.25" customHeight="1" x14ac:dyDescent="0.3">
      <c r="F285" s="3"/>
      <c r="J285" s="3"/>
    </row>
    <row r="286" spans="6:10" ht="14.25" customHeight="1" x14ac:dyDescent="0.3">
      <c r="F286" s="3"/>
      <c r="J286" s="3"/>
    </row>
    <row r="287" spans="6:10" ht="14.25" customHeight="1" x14ac:dyDescent="0.3">
      <c r="F287" s="3"/>
      <c r="J287" s="3"/>
    </row>
    <row r="288" spans="6:10" ht="14.25" customHeight="1" x14ac:dyDescent="0.3">
      <c r="F288" s="3"/>
      <c r="J288" s="3"/>
    </row>
    <row r="289" spans="6:10" ht="14.25" customHeight="1" x14ac:dyDescent="0.3">
      <c r="F289" s="3"/>
      <c r="J289" s="3"/>
    </row>
    <row r="290" spans="6:10" ht="14.25" customHeight="1" x14ac:dyDescent="0.3">
      <c r="F290" s="3"/>
      <c r="J290" s="3"/>
    </row>
    <row r="291" spans="6:10" ht="14.25" customHeight="1" x14ac:dyDescent="0.3">
      <c r="F291" s="3"/>
      <c r="J291" s="3"/>
    </row>
    <row r="292" spans="6:10" ht="14.25" customHeight="1" x14ac:dyDescent="0.3">
      <c r="F292" s="3"/>
      <c r="J292" s="3"/>
    </row>
    <row r="293" spans="6:10" ht="14.25" customHeight="1" x14ac:dyDescent="0.3">
      <c r="F293" s="3"/>
      <c r="J293" s="3"/>
    </row>
    <row r="294" spans="6:10" ht="14.25" customHeight="1" x14ac:dyDescent="0.3">
      <c r="F294" s="3"/>
      <c r="J294" s="3"/>
    </row>
    <row r="295" spans="6:10" ht="14.25" customHeight="1" x14ac:dyDescent="0.3">
      <c r="F295" s="3"/>
      <c r="J295" s="3"/>
    </row>
    <row r="296" spans="6:10" ht="14.25" customHeight="1" x14ac:dyDescent="0.3">
      <c r="F296" s="3"/>
      <c r="J296" s="3"/>
    </row>
    <row r="297" spans="6:10" ht="14.25" customHeight="1" x14ac:dyDescent="0.3">
      <c r="F297" s="3"/>
      <c r="J297" s="3"/>
    </row>
    <row r="298" spans="6:10" ht="14.25" customHeight="1" x14ac:dyDescent="0.3">
      <c r="F298" s="3"/>
      <c r="J298" s="3"/>
    </row>
    <row r="299" spans="6:10" ht="14.25" customHeight="1" x14ac:dyDescent="0.3">
      <c r="F299" s="3"/>
      <c r="J299" s="3"/>
    </row>
    <row r="300" spans="6:10" ht="14.25" customHeight="1" x14ac:dyDescent="0.3">
      <c r="F300" s="3"/>
      <c r="J300" s="3"/>
    </row>
    <row r="301" spans="6:10" ht="14.25" customHeight="1" x14ac:dyDescent="0.3">
      <c r="F301" s="3"/>
      <c r="J301" s="3"/>
    </row>
    <row r="302" spans="6:10" ht="14.25" customHeight="1" x14ac:dyDescent="0.3">
      <c r="F302" s="3"/>
      <c r="J302" s="3"/>
    </row>
    <row r="303" spans="6:10" ht="14.25" customHeight="1" x14ac:dyDescent="0.3">
      <c r="F303" s="3"/>
      <c r="J303" s="3"/>
    </row>
    <row r="304" spans="6:10" ht="14.25" customHeight="1" x14ac:dyDescent="0.3">
      <c r="F304" s="3"/>
      <c r="J304" s="3"/>
    </row>
    <row r="305" spans="6:10" ht="14.25" customHeight="1" x14ac:dyDescent="0.3">
      <c r="F305" s="3"/>
      <c r="J305" s="3"/>
    </row>
    <row r="306" spans="6:10" ht="14.25" customHeight="1" x14ac:dyDescent="0.3">
      <c r="F306" s="3"/>
      <c r="J306" s="3"/>
    </row>
    <row r="307" spans="6:10" ht="14.25" customHeight="1" x14ac:dyDescent="0.3">
      <c r="F307" s="3"/>
      <c r="J307" s="3"/>
    </row>
    <row r="308" spans="6:10" ht="14.25" customHeight="1" x14ac:dyDescent="0.3">
      <c r="F308" s="3"/>
      <c r="J308" s="3"/>
    </row>
    <row r="309" spans="6:10" ht="14.25" customHeight="1" x14ac:dyDescent="0.3">
      <c r="F309" s="3"/>
      <c r="J309" s="3"/>
    </row>
    <row r="310" spans="6:10" ht="14.25" customHeight="1" x14ac:dyDescent="0.3">
      <c r="F310" s="3"/>
      <c r="J310" s="3"/>
    </row>
    <row r="311" spans="6:10" ht="14.25" customHeight="1" x14ac:dyDescent="0.3">
      <c r="F311" s="3"/>
      <c r="J311" s="3"/>
    </row>
    <row r="312" spans="6:10" ht="14.25" customHeight="1" x14ac:dyDescent="0.3">
      <c r="F312" s="3"/>
      <c r="J312" s="3"/>
    </row>
    <row r="313" spans="6:10" ht="14.25" customHeight="1" x14ac:dyDescent="0.3">
      <c r="F313" s="3"/>
      <c r="J313" s="3"/>
    </row>
    <row r="314" spans="6:10" ht="14.25" customHeight="1" x14ac:dyDescent="0.3">
      <c r="F314" s="3"/>
      <c r="J314" s="3"/>
    </row>
    <row r="315" spans="6:10" ht="14.25" customHeight="1" x14ac:dyDescent="0.3">
      <c r="F315" s="3"/>
      <c r="J315" s="3"/>
    </row>
    <row r="316" spans="6:10" ht="14.25" customHeight="1" x14ac:dyDescent="0.3">
      <c r="F316" s="3"/>
      <c r="J316" s="3"/>
    </row>
    <row r="317" spans="6:10" ht="14.25" customHeight="1" x14ac:dyDescent="0.3">
      <c r="F317" s="3"/>
      <c r="J317" s="3"/>
    </row>
    <row r="318" spans="6:10" ht="14.25" customHeight="1" x14ac:dyDescent="0.3">
      <c r="F318" s="3"/>
      <c r="J318" s="3"/>
    </row>
    <row r="319" spans="6:10" ht="14.25" customHeight="1" x14ac:dyDescent="0.3">
      <c r="F319" s="3"/>
      <c r="J319" s="3"/>
    </row>
    <row r="320" spans="6:10" ht="14.25" customHeight="1" x14ac:dyDescent="0.3">
      <c r="F320" s="3"/>
      <c r="J320" s="3"/>
    </row>
    <row r="321" spans="6:10" ht="14.25" customHeight="1" x14ac:dyDescent="0.3">
      <c r="F321" s="3"/>
      <c r="J321" s="3"/>
    </row>
    <row r="322" spans="6:10" ht="14.25" customHeight="1" x14ac:dyDescent="0.3">
      <c r="F322" s="3"/>
      <c r="J322" s="3"/>
    </row>
    <row r="323" spans="6:10" ht="14.25" customHeight="1" x14ac:dyDescent="0.3">
      <c r="F323" s="3"/>
      <c r="J323" s="3"/>
    </row>
    <row r="324" spans="6:10" ht="14.25" customHeight="1" x14ac:dyDescent="0.3">
      <c r="F324" s="3"/>
      <c r="J324" s="3"/>
    </row>
    <row r="325" spans="6:10" ht="14.25" customHeight="1" x14ac:dyDescent="0.3">
      <c r="F325" s="3"/>
      <c r="J325" s="3"/>
    </row>
    <row r="326" spans="6:10" ht="14.25" customHeight="1" x14ac:dyDescent="0.3">
      <c r="F326" s="3"/>
      <c r="J326" s="3"/>
    </row>
    <row r="327" spans="6:10" ht="14.25" customHeight="1" x14ac:dyDescent="0.3">
      <c r="F327" s="3"/>
      <c r="J327" s="3"/>
    </row>
    <row r="328" spans="6:10" ht="14.25" customHeight="1" x14ac:dyDescent="0.3">
      <c r="F328" s="3"/>
      <c r="J328" s="3"/>
    </row>
    <row r="329" spans="6:10" ht="14.25" customHeight="1" x14ac:dyDescent="0.3">
      <c r="F329" s="3"/>
      <c r="J329" s="3"/>
    </row>
    <row r="330" spans="6:10" ht="14.25" customHeight="1" x14ac:dyDescent="0.3">
      <c r="F330" s="3"/>
      <c r="J330" s="3"/>
    </row>
    <row r="331" spans="6:10" ht="14.25" customHeight="1" x14ac:dyDescent="0.3">
      <c r="F331" s="3"/>
      <c r="J331" s="3"/>
    </row>
    <row r="332" spans="6:10" ht="14.25" customHeight="1" x14ac:dyDescent="0.3">
      <c r="F332" s="3"/>
      <c r="J332" s="3"/>
    </row>
    <row r="333" spans="6:10" ht="14.25" customHeight="1" x14ac:dyDescent="0.3">
      <c r="F333" s="3"/>
      <c r="J333" s="3"/>
    </row>
    <row r="334" spans="6:10" ht="14.25" customHeight="1" x14ac:dyDescent="0.3">
      <c r="F334" s="3"/>
      <c r="J334" s="3"/>
    </row>
    <row r="335" spans="6:10" ht="14.25" customHeight="1" x14ac:dyDescent="0.3">
      <c r="F335" s="3"/>
      <c r="J335" s="3"/>
    </row>
    <row r="336" spans="6:10" ht="14.25" customHeight="1" x14ac:dyDescent="0.3">
      <c r="F336" s="3"/>
      <c r="J336" s="3"/>
    </row>
    <row r="337" spans="6:10" ht="14.25" customHeight="1" x14ac:dyDescent="0.3">
      <c r="F337" s="3"/>
      <c r="J337" s="3"/>
    </row>
    <row r="338" spans="6:10" ht="14.25" customHeight="1" x14ac:dyDescent="0.3">
      <c r="F338" s="3"/>
      <c r="J338" s="3"/>
    </row>
    <row r="339" spans="6:10" ht="14.25" customHeight="1" x14ac:dyDescent="0.3">
      <c r="F339" s="3"/>
      <c r="J339" s="3"/>
    </row>
    <row r="340" spans="6:10" ht="14.25" customHeight="1" x14ac:dyDescent="0.3">
      <c r="F340" s="3"/>
      <c r="J340" s="3"/>
    </row>
    <row r="341" spans="6:10" ht="14.25" customHeight="1" x14ac:dyDescent="0.3">
      <c r="F341" s="3"/>
      <c r="J341" s="3"/>
    </row>
    <row r="342" spans="6:10" ht="14.25" customHeight="1" x14ac:dyDescent="0.3">
      <c r="F342" s="3"/>
      <c r="J342" s="3"/>
    </row>
    <row r="343" spans="6:10" ht="14.25" customHeight="1" x14ac:dyDescent="0.3">
      <c r="F343" s="3"/>
      <c r="J343" s="3"/>
    </row>
    <row r="344" spans="6:10" ht="14.25" customHeight="1" x14ac:dyDescent="0.3">
      <c r="F344" s="3"/>
      <c r="J344" s="3"/>
    </row>
    <row r="345" spans="6:10" ht="14.25" customHeight="1" x14ac:dyDescent="0.3">
      <c r="F345" s="3"/>
      <c r="J345" s="3"/>
    </row>
    <row r="346" spans="6:10" ht="14.25" customHeight="1" x14ac:dyDescent="0.3">
      <c r="F346" s="3"/>
      <c r="J346" s="3"/>
    </row>
    <row r="347" spans="6:10" ht="14.25" customHeight="1" x14ac:dyDescent="0.3">
      <c r="F347" s="3"/>
      <c r="J347" s="3"/>
    </row>
    <row r="348" spans="6:10" ht="14.25" customHeight="1" x14ac:dyDescent="0.3">
      <c r="F348" s="3"/>
      <c r="J348" s="3"/>
    </row>
    <row r="349" spans="6:10" ht="14.25" customHeight="1" x14ac:dyDescent="0.3">
      <c r="F349" s="3"/>
      <c r="J349" s="3"/>
    </row>
    <row r="350" spans="6:10" ht="14.25" customHeight="1" x14ac:dyDescent="0.3">
      <c r="F350" s="3"/>
      <c r="J350" s="3"/>
    </row>
    <row r="351" spans="6:10" ht="14.25" customHeight="1" x14ac:dyDescent="0.3">
      <c r="F351" s="3"/>
      <c r="J351" s="3"/>
    </row>
    <row r="352" spans="6:10" ht="14.25" customHeight="1" x14ac:dyDescent="0.3">
      <c r="F352" s="3"/>
      <c r="J352" s="3"/>
    </row>
    <row r="353" spans="6:10" ht="14.25" customHeight="1" x14ac:dyDescent="0.3">
      <c r="F353" s="3"/>
      <c r="J353" s="3"/>
    </row>
    <row r="354" spans="6:10" ht="14.25" customHeight="1" x14ac:dyDescent="0.3">
      <c r="F354" s="3"/>
      <c r="J354" s="3"/>
    </row>
    <row r="355" spans="6:10" ht="14.25" customHeight="1" x14ac:dyDescent="0.3">
      <c r="F355" s="3"/>
      <c r="J355" s="3"/>
    </row>
    <row r="356" spans="6:10" ht="14.25" customHeight="1" x14ac:dyDescent="0.3">
      <c r="F356" s="3"/>
      <c r="J356" s="3"/>
    </row>
    <row r="357" spans="6:10" ht="14.25" customHeight="1" x14ac:dyDescent="0.3">
      <c r="F357" s="3"/>
      <c r="J357" s="3"/>
    </row>
    <row r="358" spans="6:10" ht="14.25" customHeight="1" x14ac:dyDescent="0.3">
      <c r="F358" s="3"/>
      <c r="J358" s="3"/>
    </row>
    <row r="359" spans="6:10" ht="14.25" customHeight="1" x14ac:dyDescent="0.3">
      <c r="F359" s="3"/>
      <c r="J359" s="3"/>
    </row>
    <row r="360" spans="6:10" ht="14.25" customHeight="1" x14ac:dyDescent="0.3">
      <c r="F360" s="3"/>
      <c r="J360" s="3"/>
    </row>
    <row r="361" spans="6:10" ht="14.25" customHeight="1" x14ac:dyDescent="0.3">
      <c r="F361" s="3"/>
      <c r="J361" s="3"/>
    </row>
    <row r="362" spans="6:10" ht="14.25" customHeight="1" x14ac:dyDescent="0.3">
      <c r="F362" s="3"/>
      <c r="J362" s="3"/>
    </row>
    <row r="363" spans="6:10" ht="14.25" customHeight="1" x14ac:dyDescent="0.3">
      <c r="F363" s="3"/>
      <c r="J363" s="3"/>
    </row>
    <row r="364" spans="6:10" ht="14.25" customHeight="1" x14ac:dyDescent="0.3">
      <c r="F364" s="3"/>
      <c r="J364" s="3"/>
    </row>
    <row r="365" spans="6:10" ht="14.25" customHeight="1" x14ac:dyDescent="0.3">
      <c r="F365" s="3"/>
      <c r="J365" s="3"/>
    </row>
    <row r="366" spans="6:10" ht="14.25" customHeight="1" x14ac:dyDescent="0.3">
      <c r="F366" s="3"/>
      <c r="J366" s="3"/>
    </row>
    <row r="367" spans="6:10" ht="14.25" customHeight="1" x14ac:dyDescent="0.3">
      <c r="F367" s="3"/>
      <c r="J367" s="3"/>
    </row>
    <row r="368" spans="6:10" ht="14.25" customHeight="1" x14ac:dyDescent="0.3">
      <c r="F368" s="3"/>
      <c r="J368" s="3"/>
    </row>
    <row r="369" spans="6:10" ht="14.25" customHeight="1" x14ac:dyDescent="0.3">
      <c r="F369" s="3"/>
      <c r="J369" s="3"/>
    </row>
    <row r="370" spans="6:10" ht="14.25" customHeight="1" x14ac:dyDescent="0.3">
      <c r="F370" s="3"/>
      <c r="J370" s="3"/>
    </row>
    <row r="371" spans="6:10" ht="14.25" customHeight="1" x14ac:dyDescent="0.3">
      <c r="F371" s="3"/>
      <c r="J371" s="3"/>
    </row>
    <row r="372" spans="6:10" ht="14.25" customHeight="1" x14ac:dyDescent="0.3">
      <c r="F372" s="3"/>
      <c r="J372" s="3"/>
    </row>
    <row r="373" spans="6:10" ht="14.25" customHeight="1" x14ac:dyDescent="0.3">
      <c r="F373" s="3"/>
      <c r="J373" s="3"/>
    </row>
    <row r="374" spans="6:10" ht="14.25" customHeight="1" x14ac:dyDescent="0.3">
      <c r="F374" s="3"/>
      <c r="J374" s="3"/>
    </row>
    <row r="375" spans="6:10" ht="14.25" customHeight="1" x14ac:dyDescent="0.3">
      <c r="F375" s="3"/>
      <c r="J375" s="3"/>
    </row>
    <row r="376" spans="6:10" ht="14.25" customHeight="1" x14ac:dyDescent="0.3">
      <c r="F376" s="3"/>
      <c r="J376" s="3"/>
    </row>
    <row r="377" spans="6:10" ht="14.25" customHeight="1" x14ac:dyDescent="0.3">
      <c r="F377" s="3"/>
      <c r="J377" s="3"/>
    </row>
    <row r="378" spans="6:10" ht="14.25" customHeight="1" x14ac:dyDescent="0.3">
      <c r="F378" s="3"/>
      <c r="J378" s="3"/>
    </row>
    <row r="379" spans="6:10" ht="14.25" customHeight="1" x14ac:dyDescent="0.3">
      <c r="F379" s="3"/>
      <c r="J379" s="3"/>
    </row>
    <row r="380" spans="6:10" ht="14.25" customHeight="1" x14ac:dyDescent="0.3">
      <c r="F380" s="3"/>
      <c r="J380" s="3"/>
    </row>
    <row r="381" spans="6:10" ht="14.25" customHeight="1" x14ac:dyDescent="0.3">
      <c r="F381" s="3"/>
      <c r="J381" s="3"/>
    </row>
    <row r="382" spans="6:10" ht="14.25" customHeight="1" x14ac:dyDescent="0.3">
      <c r="F382" s="3"/>
      <c r="J382" s="3"/>
    </row>
    <row r="383" spans="6:10" ht="14.25" customHeight="1" x14ac:dyDescent="0.3">
      <c r="F383" s="3"/>
      <c r="J383" s="3"/>
    </row>
    <row r="384" spans="6:10" ht="14.25" customHeight="1" x14ac:dyDescent="0.3">
      <c r="F384" s="3"/>
      <c r="J384" s="3"/>
    </row>
    <row r="385" spans="6:10" ht="14.25" customHeight="1" x14ac:dyDescent="0.3">
      <c r="F385" s="3"/>
      <c r="J385" s="3"/>
    </row>
    <row r="386" spans="6:10" ht="14.25" customHeight="1" x14ac:dyDescent="0.3">
      <c r="F386" s="3"/>
      <c r="J386" s="3"/>
    </row>
    <row r="387" spans="6:10" ht="14.25" customHeight="1" x14ac:dyDescent="0.3">
      <c r="F387" s="3"/>
      <c r="J387" s="3"/>
    </row>
    <row r="388" spans="6:10" ht="14.25" customHeight="1" x14ac:dyDescent="0.3">
      <c r="F388" s="3"/>
      <c r="J388" s="3"/>
    </row>
    <row r="389" spans="6:10" ht="14.25" customHeight="1" x14ac:dyDescent="0.3">
      <c r="F389" s="3"/>
      <c r="J389" s="3"/>
    </row>
    <row r="390" spans="6:10" ht="14.25" customHeight="1" x14ac:dyDescent="0.3">
      <c r="F390" s="3"/>
      <c r="J390" s="3"/>
    </row>
    <row r="391" spans="6:10" ht="14.25" customHeight="1" x14ac:dyDescent="0.3">
      <c r="F391" s="3"/>
      <c r="J391" s="3"/>
    </row>
    <row r="392" spans="6:10" ht="14.25" customHeight="1" x14ac:dyDescent="0.3">
      <c r="F392" s="3"/>
      <c r="J392" s="3"/>
    </row>
    <row r="393" spans="6:10" ht="14.25" customHeight="1" x14ac:dyDescent="0.3">
      <c r="F393" s="3"/>
      <c r="J393" s="3"/>
    </row>
    <row r="394" spans="6:10" ht="14.25" customHeight="1" x14ac:dyDescent="0.3">
      <c r="F394" s="3"/>
      <c r="J394" s="3"/>
    </row>
    <row r="395" spans="6:10" ht="14.25" customHeight="1" x14ac:dyDescent="0.3">
      <c r="F395" s="3"/>
      <c r="J395" s="3"/>
    </row>
    <row r="396" spans="6:10" ht="14.25" customHeight="1" x14ac:dyDescent="0.3">
      <c r="F396" s="3"/>
      <c r="J396" s="3"/>
    </row>
    <row r="397" spans="6:10" ht="14.25" customHeight="1" x14ac:dyDescent="0.3">
      <c r="F397" s="3"/>
      <c r="J397" s="3"/>
    </row>
    <row r="398" spans="6:10" ht="14.25" customHeight="1" x14ac:dyDescent="0.3">
      <c r="F398" s="3"/>
      <c r="J398" s="3"/>
    </row>
    <row r="399" spans="6:10" ht="14.25" customHeight="1" x14ac:dyDescent="0.3">
      <c r="F399" s="3"/>
      <c r="J399" s="3"/>
    </row>
    <row r="400" spans="6:10" ht="14.25" customHeight="1" x14ac:dyDescent="0.3">
      <c r="F400" s="3"/>
      <c r="J400" s="3"/>
    </row>
    <row r="401" spans="6:10" ht="14.25" customHeight="1" x14ac:dyDescent="0.3">
      <c r="F401" s="3"/>
      <c r="J401" s="3"/>
    </row>
    <row r="402" spans="6:10" ht="14.25" customHeight="1" x14ac:dyDescent="0.3">
      <c r="F402" s="3"/>
      <c r="J402" s="3"/>
    </row>
    <row r="403" spans="6:10" ht="14.25" customHeight="1" x14ac:dyDescent="0.3">
      <c r="F403" s="3"/>
      <c r="J403" s="3"/>
    </row>
    <row r="404" spans="6:10" ht="14.25" customHeight="1" x14ac:dyDescent="0.3">
      <c r="F404" s="3"/>
      <c r="J404" s="3"/>
    </row>
    <row r="405" spans="6:10" ht="14.25" customHeight="1" x14ac:dyDescent="0.3">
      <c r="F405" s="3"/>
      <c r="J405" s="3"/>
    </row>
    <row r="406" spans="6:10" ht="14.25" customHeight="1" x14ac:dyDescent="0.3">
      <c r="F406" s="3"/>
      <c r="J406" s="3"/>
    </row>
    <row r="407" spans="6:10" ht="14.25" customHeight="1" x14ac:dyDescent="0.3">
      <c r="F407" s="3"/>
      <c r="J407" s="3"/>
    </row>
    <row r="408" spans="6:10" ht="14.25" customHeight="1" x14ac:dyDescent="0.3">
      <c r="F408" s="3"/>
      <c r="J408" s="3"/>
    </row>
    <row r="409" spans="6:10" ht="14.25" customHeight="1" x14ac:dyDescent="0.3">
      <c r="F409" s="3"/>
      <c r="J409" s="3"/>
    </row>
    <row r="410" spans="6:10" ht="14.25" customHeight="1" x14ac:dyDescent="0.3">
      <c r="F410" s="3"/>
      <c r="J410" s="3"/>
    </row>
    <row r="411" spans="6:10" ht="14.25" customHeight="1" x14ac:dyDescent="0.3">
      <c r="F411" s="3"/>
      <c r="J411" s="3"/>
    </row>
    <row r="412" spans="6:10" ht="14.25" customHeight="1" x14ac:dyDescent="0.3">
      <c r="F412" s="3"/>
      <c r="J412" s="3"/>
    </row>
    <row r="413" spans="6:10" ht="14.25" customHeight="1" x14ac:dyDescent="0.3">
      <c r="F413" s="3"/>
      <c r="J413" s="3"/>
    </row>
    <row r="414" spans="6:10" ht="14.25" customHeight="1" x14ac:dyDescent="0.3">
      <c r="F414" s="3"/>
      <c r="J414" s="3"/>
    </row>
    <row r="415" spans="6:10" ht="14.25" customHeight="1" x14ac:dyDescent="0.3">
      <c r="F415" s="3"/>
      <c r="J415" s="3"/>
    </row>
    <row r="416" spans="6:10" ht="14.25" customHeight="1" x14ac:dyDescent="0.3">
      <c r="F416" s="3"/>
      <c r="J416" s="3"/>
    </row>
    <row r="417" spans="6:10" ht="14.25" customHeight="1" x14ac:dyDescent="0.3">
      <c r="F417" s="3"/>
      <c r="J417" s="3"/>
    </row>
    <row r="418" spans="6:10" ht="14.25" customHeight="1" x14ac:dyDescent="0.3">
      <c r="F418" s="3"/>
      <c r="J418" s="3"/>
    </row>
    <row r="419" spans="6:10" ht="14.25" customHeight="1" x14ac:dyDescent="0.3">
      <c r="F419" s="3"/>
      <c r="J419" s="3"/>
    </row>
    <row r="420" spans="6:10" ht="14.25" customHeight="1" x14ac:dyDescent="0.3">
      <c r="F420" s="3"/>
      <c r="J420" s="3"/>
    </row>
    <row r="421" spans="6:10" ht="14.25" customHeight="1" x14ac:dyDescent="0.3">
      <c r="F421" s="3"/>
      <c r="J421" s="3"/>
    </row>
    <row r="422" spans="6:10" ht="14.25" customHeight="1" x14ac:dyDescent="0.3">
      <c r="F422" s="3"/>
      <c r="J422" s="3"/>
    </row>
    <row r="423" spans="6:10" ht="14.25" customHeight="1" x14ac:dyDescent="0.3">
      <c r="F423" s="3"/>
      <c r="J423" s="3"/>
    </row>
    <row r="424" spans="6:10" ht="14.25" customHeight="1" x14ac:dyDescent="0.3">
      <c r="F424" s="3"/>
      <c r="J424" s="3"/>
    </row>
    <row r="425" spans="6:10" ht="14.25" customHeight="1" x14ac:dyDescent="0.3">
      <c r="F425" s="3"/>
      <c r="J425" s="3"/>
    </row>
    <row r="426" spans="6:10" ht="14.25" customHeight="1" x14ac:dyDescent="0.3">
      <c r="F426" s="3"/>
      <c r="J426" s="3"/>
    </row>
    <row r="427" spans="6:10" ht="14.25" customHeight="1" x14ac:dyDescent="0.3">
      <c r="F427" s="3"/>
      <c r="J427" s="3"/>
    </row>
    <row r="428" spans="6:10" ht="14.25" customHeight="1" x14ac:dyDescent="0.3">
      <c r="F428" s="3"/>
      <c r="J428" s="3"/>
    </row>
    <row r="429" spans="6:10" ht="14.25" customHeight="1" x14ac:dyDescent="0.3">
      <c r="F429" s="3"/>
      <c r="J429" s="3"/>
    </row>
    <row r="430" spans="6:10" ht="14.25" customHeight="1" x14ac:dyDescent="0.3">
      <c r="F430" s="3"/>
      <c r="J430" s="3"/>
    </row>
    <row r="431" spans="6:10" ht="14.25" customHeight="1" x14ac:dyDescent="0.3">
      <c r="F431" s="3"/>
      <c r="J431" s="3"/>
    </row>
    <row r="432" spans="6:10" ht="14.25" customHeight="1" x14ac:dyDescent="0.3">
      <c r="F432" s="3"/>
      <c r="J432" s="3"/>
    </row>
    <row r="433" spans="6:10" ht="14.25" customHeight="1" x14ac:dyDescent="0.3">
      <c r="F433" s="3"/>
      <c r="J433" s="3"/>
    </row>
    <row r="434" spans="6:10" ht="14.25" customHeight="1" x14ac:dyDescent="0.3">
      <c r="F434" s="3"/>
      <c r="J434" s="3"/>
    </row>
    <row r="435" spans="6:10" ht="14.25" customHeight="1" x14ac:dyDescent="0.3">
      <c r="F435" s="3"/>
      <c r="J435" s="3"/>
    </row>
    <row r="436" spans="6:10" ht="14.25" customHeight="1" x14ac:dyDescent="0.3">
      <c r="F436" s="3"/>
      <c r="J436" s="3"/>
    </row>
    <row r="437" spans="6:10" ht="14.25" customHeight="1" x14ac:dyDescent="0.3">
      <c r="F437" s="3"/>
      <c r="J437" s="3"/>
    </row>
    <row r="438" spans="6:10" ht="14.25" customHeight="1" x14ac:dyDescent="0.3">
      <c r="F438" s="3"/>
      <c r="J438" s="3"/>
    </row>
    <row r="439" spans="6:10" ht="14.25" customHeight="1" x14ac:dyDescent="0.3">
      <c r="F439" s="3"/>
      <c r="J439" s="3"/>
    </row>
    <row r="440" spans="6:10" ht="14.25" customHeight="1" x14ac:dyDescent="0.3">
      <c r="F440" s="3"/>
      <c r="J440" s="3"/>
    </row>
    <row r="441" spans="6:10" ht="14.25" customHeight="1" x14ac:dyDescent="0.3">
      <c r="F441" s="3"/>
      <c r="J441" s="3"/>
    </row>
    <row r="442" spans="6:10" ht="14.25" customHeight="1" x14ac:dyDescent="0.3">
      <c r="F442" s="3"/>
      <c r="J442" s="3"/>
    </row>
    <row r="443" spans="6:10" ht="14.25" customHeight="1" x14ac:dyDescent="0.3">
      <c r="F443" s="3"/>
      <c r="J443" s="3"/>
    </row>
    <row r="444" spans="6:10" ht="14.25" customHeight="1" x14ac:dyDescent="0.3">
      <c r="F444" s="3"/>
      <c r="J444" s="3"/>
    </row>
    <row r="445" spans="6:10" ht="14.25" customHeight="1" x14ac:dyDescent="0.3">
      <c r="F445" s="3"/>
      <c r="J445" s="3"/>
    </row>
    <row r="446" spans="6:10" ht="14.25" customHeight="1" x14ac:dyDescent="0.3">
      <c r="F446" s="3"/>
      <c r="J446" s="3"/>
    </row>
    <row r="447" spans="6:10" ht="14.25" customHeight="1" x14ac:dyDescent="0.3">
      <c r="F447" s="3"/>
      <c r="J447" s="3"/>
    </row>
    <row r="448" spans="6:10" ht="14.25" customHeight="1" x14ac:dyDescent="0.3">
      <c r="F448" s="3"/>
      <c r="J448" s="3"/>
    </row>
    <row r="449" spans="6:10" ht="14.25" customHeight="1" x14ac:dyDescent="0.3">
      <c r="F449" s="3"/>
      <c r="J449" s="3"/>
    </row>
    <row r="450" spans="6:10" ht="14.25" customHeight="1" x14ac:dyDescent="0.3">
      <c r="F450" s="3"/>
      <c r="J450" s="3"/>
    </row>
    <row r="451" spans="6:10" ht="14.25" customHeight="1" x14ac:dyDescent="0.3">
      <c r="F451" s="3"/>
      <c r="J451" s="3"/>
    </row>
    <row r="452" spans="6:10" ht="14.25" customHeight="1" x14ac:dyDescent="0.3">
      <c r="F452" s="3"/>
      <c r="J452" s="3"/>
    </row>
    <row r="453" spans="6:10" ht="14.25" customHeight="1" x14ac:dyDescent="0.3">
      <c r="F453" s="3"/>
      <c r="J453" s="3"/>
    </row>
    <row r="454" spans="6:10" ht="14.25" customHeight="1" x14ac:dyDescent="0.3">
      <c r="F454" s="3"/>
      <c r="J454" s="3"/>
    </row>
    <row r="455" spans="6:10" ht="14.25" customHeight="1" x14ac:dyDescent="0.3">
      <c r="F455" s="3"/>
      <c r="J455" s="3"/>
    </row>
    <row r="456" spans="6:10" ht="14.25" customHeight="1" x14ac:dyDescent="0.3">
      <c r="F456" s="3"/>
      <c r="J456" s="3"/>
    </row>
    <row r="457" spans="6:10" ht="14.25" customHeight="1" x14ac:dyDescent="0.3">
      <c r="F457" s="3"/>
      <c r="J457" s="3"/>
    </row>
    <row r="458" spans="6:10" ht="14.25" customHeight="1" x14ac:dyDescent="0.3">
      <c r="F458" s="3"/>
      <c r="J458" s="3"/>
    </row>
    <row r="459" spans="6:10" ht="14.25" customHeight="1" x14ac:dyDescent="0.3">
      <c r="F459" s="3"/>
      <c r="J459" s="3"/>
    </row>
    <row r="460" spans="6:10" ht="14.25" customHeight="1" x14ac:dyDescent="0.3">
      <c r="F460" s="3"/>
      <c r="J460" s="3"/>
    </row>
    <row r="461" spans="6:10" ht="14.25" customHeight="1" x14ac:dyDescent="0.3">
      <c r="F461" s="3"/>
      <c r="J461" s="3"/>
    </row>
    <row r="462" spans="6:10" ht="14.25" customHeight="1" x14ac:dyDescent="0.3">
      <c r="F462" s="3"/>
      <c r="J462" s="3"/>
    </row>
    <row r="463" spans="6:10" ht="14.25" customHeight="1" x14ac:dyDescent="0.3">
      <c r="F463" s="3"/>
      <c r="J463" s="3"/>
    </row>
    <row r="464" spans="6:10" ht="14.25" customHeight="1" x14ac:dyDescent="0.3">
      <c r="F464" s="3"/>
      <c r="J464" s="3"/>
    </row>
    <row r="465" spans="6:10" ht="14.25" customHeight="1" x14ac:dyDescent="0.3">
      <c r="F465" s="3"/>
      <c r="J465" s="3"/>
    </row>
    <row r="466" spans="6:10" ht="14.25" customHeight="1" x14ac:dyDescent="0.3">
      <c r="F466" s="3"/>
      <c r="J466" s="3"/>
    </row>
    <row r="467" spans="6:10" ht="14.25" customHeight="1" x14ac:dyDescent="0.3">
      <c r="F467" s="3"/>
      <c r="J467" s="3"/>
    </row>
    <row r="468" spans="6:10" ht="14.25" customHeight="1" x14ac:dyDescent="0.3">
      <c r="F468" s="3"/>
      <c r="J468" s="3"/>
    </row>
    <row r="469" spans="6:10" ht="14.25" customHeight="1" x14ac:dyDescent="0.3">
      <c r="F469" s="3"/>
      <c r="J469" s="3"/>
    </row>
    <row r="470" spans="6:10" ht="14.25" customHeight="1" x14ac:dyDescent="0.3">
      <c r="F470" s="3"/>
      <c r="J470" s="3"/>
    </row>
    <row r="471" spans="6:10" ht="14.25" customHeight="1" x14ac:dyDescent="0.3">
      <c r="F471" s="3"/>
      <c r="J471" s="3"/>
    </row>
    <row r="472" spans="6:10" ht="14.25" customHeight="1" x14ac:dyDescent="0.3">
      <c r="F472" s="3"/>
      <c r="J472" s="3"/>
    </row>
    <row r="473" spans="6:10" ht="14.25" customHeight="1" x14ac:dyDescent="0.3">
      <c r="F473" s="3"/>
      <c r="J473" s="3"/>
    </row>
    <row r="474" spans="6:10" ht="14.25" customHeight="1" x14ac:dyDescent="0.3">
      <c r="F474" s="3"/>
      <c r="J474" s="3"/>
    </row>
    <row r="475" spans="6:10" ht="14.25" customHeight="1" x14ac:dyDescent="0.3">
      <c r="F475" s="3"/>
      <c r="J475" s="3"/>
    </row>
    <row r="476" spans="6:10" ht="14.25" customHeight="1" x14ac:dyDescent="0.3">
      <c r="F476" s="3"/>
      <c r="J476" s="3"/>
    </row>
    <row r="477" spans="6:10" ht="14.25" customHeight="1" x14ac:dyDescent="0.3">
      <c r="F477" s="3"/>
      <c r="J477" s="3"/>
    </row>
    <row r="478" spans="6:10" ht="14.25" customHeight="1" x14ac:dyDescent="0.3">
      <c r="F478" s="3"/>
      <c r="J478" s="3"/>
    </row>
    <row r="479" spans="6:10" ht="14.25" customHeight="1" x14ac:dyDescent="0.3">
      <c r="F479" s="3"/>
      <c r="J479" s="3"/>
    </row>
    <row r="480" spans="6:10" ht="14.25" customHeight="1" x14ac:dyDescent="0.3">
      <c r="F480" s="3"/>
      <c r="J480" s="3"/>
    </row>
    <row r="481" spans="6:10" ht="14.25" customHeight="1" x14ac:dyDescent="0.3">
      <c r="F481" s="3"/>
      <c r="J481" s="3"/>
    </row>
    <row r="482" spans="6:10" ht="14.25" customHeight="1" x14ac:dyDescent="0.3">
      <c r="F482" s="3"/>
      <c r="J482" s="3"/>
    </row>
    <row r="483" spans="6:10" ht="14.25" customHeight="1" x14ac:dyDescent="0.3">
      <c r="F483" s="3"/>
      <c r="J483" s="3"/>
    </row>
    <row r="484" spans="6:10" ht="14.25" customHeight="1" x14ac:dyDescent="0.3">
      <c r="F484" s="3"/>
      <c r="J484" s="3"/>
    </row>
    <row r="485" spans="6:10" ht="14.25" customHeight="1" x14ac:dyDescent="0.3">
      <c r="F485" s="3"/>
      <c r="J485" s="3"/>
    </row>
    <row r="486" spans="6:10" ht="14.25" customHeight="1" x14ac:dyDescent="0.3">
      <c r="F486" s="3"/>
      <c r="J486" s="3"/>
    </row>
    <row r="487" spans="6:10" ht="14.25" customHeight="1" x14ac:dyDescent="0.3">
      <c r="F487" s="3"/>
      <c r="J487" s="3"/>
    </row>
    <row r="488" spans="6:10" ht="14.25" customHeight="1" x14ac:dyDescent="0.3">
      <c r="F488" s="3"/>
      <c r="J488" s="3"/>
    </row>
    <row r="489" spans="6:10" ht="14.25" customHeight="1" x14ac:dyDescent="0.3">
      <c r="F489" s="3"/>
      <c r="J489" s="3"/>
    </row>
    <row r="490" spans="6:10" ht="14.25" customHeight="1" x14ac:dyDescent="0.3">
      <c r="F490" s="3"/>
      <c r="J490" s="3"/>
    </row>
    <row r="491" spans="6:10" ht="14.25" customHeight="1" x14ac:dyDescent="0.3">
      <c r="F491" s="3"/>
      <c r="J491" s="3"/>
    </row>
    <row r="492" spans="6:10" ht="14.25" customHeight="1" x14ac:dyDescent="0.3">
      <c r="F492" s="3"/>
      <c r="J492" s="3"/>
    </row>
    <row r="493" spans="6:10" ht="14.25" customHeight="1" x14ac:dyDescent="0.3">
      <c r="F493" s="3"/>
      <c r="J493" s="3"/>
    </row>
    <row r="494" spans="6:10" ht="14.25" customHeight="1" x14ac:dyDescent="0.3">
      <c r="F494" s="3"/>
      <c r="J494" s="3"/>
    </row>
    <row r="495" spans="6:10" ht="14.25" customHeight="1" x14ac:dyDescent="0.3">
      <c r="F495" s="3"/>
      <c r="J495" s="3"/>
    </row>
    <row r="496" spans="6:10" ht="14.25" customHeight="1" x14ac:dyDescent="0.3">
      <c r="F496" s="3"/>
      <c r="J496" s="3"/>
    </row>
    <row r="497" spans="6:10" ht="14.25" customHeight="1" x14ac:dyDescent="0.3">
      <c r="F497" s="3"/>
      <c r="J497" s="3"/>
    </row>
    <row r="498" spans="6:10" ht="14.25" customHeight="1" x14ac:dyDescent="0.3">
      <c r="F498" s="3"/>
      <c r="J498" s="3"/>
    </row>
    <row r="499" spans="6:10" ht="14.25" customHeight="1" x14ac:dyDescent="0.3">
      <c r="F499" s="3"/>
      <c r="J499" s="3"/>
    </row>
    <row r="500" spans="6:10" ht="14.25" customHeight="1" x14ac:dyDescent="0.3">
      <c r="F500" s="3"/>
      <c r="J500" s="3"/>
    </row>
    <row r="501" spans="6:10" ht="14.25" customHeight="1" x14ac:dyDescent="0.3">
      <c r="F501" s="3"/>
      <c r="J501" s="3"/>
    </row>
    <row r="502" spans="6:10" ht="14.25" customHeight="1" x14ac:dyDescent="0.3">
      <c r="F502" s="3"/>
      <c r="J502" s="3"/>
    </row>
    <row r="503" spans="6:10" ht="14.25" customHeight="1" x14ac:dyDescent="0.3">
      <c r="F503" s="3"/>
      <c r="J503" s="3"/>
    </row>
    <row r="504" spans="6:10" ht="14.25" customHeight="1" x14ac:dyDescent="0.3">
      <c r="F504" s="3"/>
      <c r="J504" s="3"/>
    </row>
    <row r="505" spans="6:10" ht="14.25" customHeight="1" x14ac:dyDescent="0.3">
      <c r="F505" s="3"/>
      <c r="J505" s="3"/>
    </row>
    <row r="506" spans="6:10" ht="14.25" customHeight="1" x14ac:dyDescent="0.3">
      <c r="F506" s="3"/>
      <c r="J506" s="3"/>
    </row>
    <row r="507" spans="6:10" ht="14.25" customHeight="1" x14ac:dyDescent="0.3">
      <c r="F507" s="3"/>
      <c r="J507" s="3"/>
    </row>
    <row r="508" spans="6:10" ht="14.25" customHeight="1" x14ac:dyDescent="0.3">
      <c r="F508" s="3"/>
      <c r="J508" s="3"/>
    </row>
    <row r="509" spans="6:10" ht="14.25" customHeight="1" x14ac:dyDescent="0.3">
      <c r="F509" s="3"/>
      <c r="J509" s="3"/>
    </row>
    <row r="510" spans="6:10" ht="14.25" customHeight="1" x14ac:dyDescent="0.3">
      <c r="F510" s="3"/>
      <c r="J510" s="3"/>
    </row>
    <row r="511" spans="6:10" ht="14.25" customHeight="1" x14ac:dyDescent="0.3">
      <c r="F511" s="3"/>
      <c r="J511" s="3"/>
    </row>
    <row r="512" spans="6:10" ht="14.25" customHeight="1" x14ac:dyDescent="0.3">
      <c r="F512" s="3"/>
      <c r="J512" s="3"/>
    </row>
    <row r="513" spans="6:10" ht="14.25" customHeight="1" x14ac:dyDescent="0.3">
      <c r="F513" s="3"/>
      <c r="J513" s="3"/>
    </row>
    <row r="514" spans="6:10" ht="14.25" customHeight="1" x14ac:dyDescent="0.3">
      <c r="F514" s="3"/>
      <c r="J514" s="3"/>
    </row>
    <row r="515" spans="6:10" ht="14.25" customHeight="1" x14ac:dyDescent="0.3">
      <c r="F515" s="3"/>
      <c r="J515" s="3"/>
    </row>
    <row r="516" spans="6:10" ht="14.25" customHeight="1" x14ac:dyDescent="0.3">
      <c r="F516" s="3"/>
      <c r="J516" s="3"/>
    </row>
    <row r="517" spans="6:10" ht="14.25" customHeight="1" x14ac:dyDescent="0.3">
      <c r="F517" s="3"/>
      <c r="J517" s="3"/>
    </row>
    <row r="518" spans="6:10" ht="14.25" customHeight="1" x14ac:dyDescent="0.3">
      <c r="F518" s="3"/>
      <c r="J518" s="3"/>
    </row>
    <row r="519" spans="6:10" ht="14.25" customHeight="1" x14ac:dyDescent="0.3">
      <c r="F519" s="3"/>
      <c r="J519" s="3"/>
    </row>
    <row r="520" spans="6:10" ht="14.25" customHeight="1" x14ac:dyDescent="0.3">
      <c r="F520" s="3"/>
      <c r="J520" s="3"/>
    </row>
    <row r="521" spans="6:10" ht="14.25" customHeight="1" x14ac:dyDescent="0.3">
      <c r="F521" s="3"/>
      <c r="J521" s="3"/>
    </row>
    <row r="522" spans="6:10" ht="14.25" customHeight="1" x14ac:dyDescent="0.3">
      <c r="F522" s="3"/>
      <c r="J522" s="3"/>
    </row>
    <row r="523" spans="6:10" ht="14.25" customHeight="1" x14ac:dyDescent="0.3">
      <c r="F523" s="3"/>
      <c r="J523" s="3"/>
    </row>
    <row r="524" spans="6:10" ht="14.25" customHeight="1" x14ac:dyDescent="0.3">
      <c r="F524" s="3"/>
      <c r="J524" s="3"/>
    </row>
    <row r="525" spans="6:10" ht="14.25" customHeight="1" x14ac:dyDescent="0.3">
      <c r="F525" s="3"/>
      <c r="J525" s="3"/>
    </row>
    <row r="526" spans="6:10" ht="14.25" customHeight="1" x14ac:dyDescent="0.3">
      <c r="F526" s="3"/>
      <c r="J526" s="3"/>
    </row>
    <row r="527" spans="6:10" ht="14.25" customHeight="1" x14ac:dyDescent="0.3">
      <c r="F527" s="3"/>
      <c r="J527" s="3"/>
    </row>
    <row r="528" spans="6:10" ht="14.25" customHeight="1" x14ac:dyDescent="0.3">
      <c r="F528" s="3"/>
      <c r="J528" s="3"/>
    </row>
    <row r="529" spans="6:10" ht="14.25" customHeight="1" x14ac:dyDescent="0.3">
      <c r="F529" s="3"/>
      <c r="J529" s="3"/>
    </row>
    <row r="530" spans="6:10" ht="14.25" customHeight="1" x14ac:dyDescent="0.3">
      <c r="F530" s="3"/>
      <c r="J530" s="3"/>
    </row>
    <row r="531" spans="6:10" ht="14.25" customHeight="1" x14ac:dyDescent="0.3">
      <c r="F531" s="3"/>
      <c r="J531" s="3"/>
    </row>
    <row r="532" spans="6:10" ht="14.25" customHeight="1" x14ac:dyDescent="0.3">
      <c r="F532" s="3"/>
      <c r="J532" s="3"/>
    </row>
    <row r="533" spans="6:10" ht="14.25" customHeight="1" x14ac:dyDescent="0.3">
      <c r="F533" s="3"/>
      <c r="J533" s="3"/>
    </row>
    <row r="534" spans="6:10" ht="14.25" customHeight="1" x14ac:dyDescent="0.3">
      <c r="F534" s="3"/>
      <c r="J534" s="3"/>
    </row>
    <row r="535" spans="6:10" ht="14.25" customHeight="1" x14ac:dyDescent="0.3">
      <c r="F535" s="3"/>
      <c r="J535" s="3"/>
    </row>
    <row r="536" spans="6:10" ht="14.25" customHeight="1" x14ac:dyDescent="0.3">
      <c r="F536" s="3"/>
      <c r="J536" s="3"/>
    </row>
    <row r="537" spans="6:10" ht="14.25" customHeight="1" x14ac:dyDescent="0.3">
      <c r="F537" s="3"/>
      <c r="J537" s="3"/>
    </row>
    <row r="538" spans="6:10" ht="14.25" customHeight="1" x14ac:dyDescent="0.3">
      <c r="F538" s="3"/>
      <c r="J538" s="3"/>
    </row>
    <row r="539" spans="6:10" ht="14.25" customHeight="1" x14ac:dyDescent="0.3">
      <c r="F539" s="3"/>
      <c r="J539" s="3"/>
    </row>
    <row r="540" spans="6:10" ht="14.25" customHeight="1" x14ac:dyDescent="0.3">
      <c r="F540" s="3"/>
      <c r="J540" s="3"/>
    </row>
    <row r="541" spans="6:10" ht="14.25" customHeight="1" x14ac:dyDescent="0.3">
      <c r="F541" s="3"/>
      <c r="J541" s="3"/>
    </row>
    <row r="542" spans="6:10" ht="14.25" customHeight="1" x14ac:dyDescent="0.3">
      <c r="F542" s="3"/>
      <c r="J542" s="3"/>
    </row>
    <row r="543" spans="6:10" ht="14.25" customHeight="1" x14ac:dyDescent="0.3">
      <c r="F543" s="3"/>
      <c r="J543" s="3"/>
    </row>
    <row r="544" spans="6:10" ht="14.25" customHeight="1" x14ac:dyDescent="0.3">
      <c r="F544" s="3"/>
      <c r="J544" s="3"/>
    </row>
    <row r="545" spans="6:10" ht="14.25" customHeight="1" x14ac:dyDescent="0.3">
      <c r="F545" s="3"/>
      <c r="J545" s="3"/>
    </row>
    <row r="546" spans="6:10" ht="14.25" customHeight="1" x14ac:dyDescent="0.3">
      <c r="F546" s="3"/>
      <c r="J546" s="3"/>
    </row>
    <row r="547" spans="6:10" ht="14.25" customHeight="1" x14ac:dyDescent="0.3">
      <c r="F547" s="3"/>
      <c r="J547" s="3"/>
    </row>
    <row r="548" spans="6:10" ht="14.25" customHeight="1" x14ac:dyDescent="0.3">
      <c r="F548" s="3"/>
      <c r="J548" s="3"/>
    </row>
    <row r="549" spans="6:10" ht="14.25" customHeight="1" x14ac:dyDescent="0.3">
      <c r="F549" s="3"/>
      <c r="J549" s="3"/>
    </row>
    <row r="550" spans="6:10" ht="14.25" customHeight="1" x14ac:dyDescent="0.3">
      <c r="F550" s="3"/>
      <c r="J550" s="3"/>
    </row>
    <row r="551" spans="6:10" ht="14.25" customHeight="1" x14ac:dyDescent="0.3">
      <c r="F551" s="3"/>
      <c r="J551" s="3"/>
    </row>
    <row r="552" spans="6:10" ht="14.25" customHeight="1" x14ac:dyDescent="0.3">
      <c r="F552" s="3"/>
      <c r="J552" s="3"/>
    </row>
    <row r="553" spans="6:10" ht="14.25" customHeight="1" x14ac:dyDescent="0.3">
      <c r="F553" s="3"/>
      <c r="J553" s="3"/>
    </row>
    <row r="554" spans="6:10" ht="14.25" customHeight="1" x14ac:dyDescent="0.3">
      <c r="F554" s="3"/>
      <c r="J554" s="3"/>
    </row>
    <row r="555" spans="6:10" ht="14.25" customHeight="1" x14ac:dyDescent="0.3">
      <c r="F555" s="3"/>
      <c r="J555" s="3"/>
    </row>
    <row r="556" spans="6:10" ht="14.25" customHeight="1" x14ac:dyDescent="0.3">
      <c r="F556" s="3"/>
      <c r="J556" s="3"/>
    </row>
    <row r="557" spans="6:10" ht="14.25" customHeight="1" x14ac:dyDescent="0.3">
      <c r="F557" s="3"/>
      <c r="J557" s="3"/>
    </row>
    <row r="558" spans="6:10" ht="14.25" customHeight="1" x14ac:dyDescent="0.3">
      <c r="F558" s="3"/>
      <c r="J558" s="3"/>
    </row>
    <row r="559" spans="6:10" ht="14.25" customHeight="1" x14ac:dyDescent="0.3">
      <c r="F559" s="3"/>
      <c r="J559" s="3"/>
    </row>
    <row r="560" spans="6:10" ht="14.25" customHeight="1" x14ac:dyDescent="0.3">
      <c r="F560" s="3"/>
      <c r="J560" s="3"/>
    </row>
    <row r="561" spans="6:10" ht="14.25" customHeight="1" x14ac:dyDescent="0.3">
      <c r="F561" s="3"/>
      <c r="J561" s="3"/>
    </row>
    <row r="562" spans="6:10" ht="14.25" customHeight="1" x14ac:dyDescent="0.3">
      <c r="F562" s="3"/>
      <c r="J562" s="3"/>
    </row>
    <row r="563" spans="6:10" ht="14.25" customHeight="1" x14ac:dyDescent="0.3">
      <c r="F563" s="3"/>
      <c r="J563" s="3"/>
    </row>
    <row r="564" spans="6:10" ht="14.25" customHeight="1" x14ac:dyDescent="0.3">
      <c r="F564" s="3"/>
      <c r="J564" s="3"/>
    </row>
    <row r="565" spans="6:10" ht="14.25" customHeight="1" x14ac:dyDescent="0.3">
      <c r="F565" s="3"/>
      <c r="J565" s="3"/>
    </row>
    <row r="566" spans="6:10" ht="14.25" customHeight="1" x14ac:dyDescent="0.3">
      <c r="F566" s="3"/>
      <c r="J566" s="3"/>
    </row>
    <row r="567" spans="6:10" ht="14.25" customHeight="1" x14ac:dyDescent="0.3">
      <c r="F567" s="3"/>
      <c r="J567" s="3"/>
    </row>
    <row r="568" spans="6:10" ht="14.25" customHeight="1" x14ac:dyDescent="0.3">
      <c r="F568" s="3"/>
      <c r="J568" s="3"/>
    </row>
    <row r="569" spans="6:10" ht="14.25" customHeight="1" x14ac:dyDescent="0.3">
      <c r="F569" s="3"/>
      <c r="J569" s="3"/>
    </row>
    <row r="570" spans="6:10" ht="14.25" customHeight="1" x14ac:dyDescent="0.3">
      <c r="F570" s="3"/>
      <c r="J570" s="3"/>
    </row>
    <row r="571" spans="6:10" ht="14.25" customHeight="1" x14ac:dyDescent="0.3">
      <c r="F571" s="3"/>
      <c r="J571" s="3"/>
    </row>
    <row r="572" spans="6:10" ht="14.25" customHeight="1" x14ac:dyDescent="0.3">
      <c r="F572" s="3"/>
      <c r="J572" s="3"/>
    </row>
    <row r="573" spans="6:10" ht="14.25" customHeight="1" x14ac:dyDescent="0.3">
      <c r="F573" s="3"/>
      <c r="J573" s="3"/>
    </row>
    <row r="574" spans="6:10" ht="14.25" customHeight="1" x14ac:dyDescent="0.3">
      <c r="F574" s="3"/>
      <c r="J574" s="3"/>
    </row>
    <row r="575" spans="6:10" ht="14.25" customHeight="1" x14ac:dyDescent="0.3">
      <c r="F575" s="3"/>
      <c r="J575" s="3"/>
    </row>
    <row r="576" spans="6:10" ht="14.25" customHeight="1" x14ac:dyDescent="0.3">
      <c r="F576" s="3"/>
      <c r="J576" s="3"/>
    </row>
    <row r="577" spans="6:10" ht="14.25" customHeight="1" x14ac:dyDescent="0.3">
      <c r="F577" s="3"/>
      <c r="J577" s="3"/>
    </row>
    <row r="578" spans="6:10" ht="14.25" customHeight="1" x14ac:dyDescent="0.3">
      <c r="F578" s="3"/>
      <c r="J578" s="3"/>
    </row>
    <row r="579" spans="6:10" ht="14.25" customHeight="1" x14ac:dyDescent="0.3">
      <c r="F579" s="3"/>
      <c r="J579" s="3"/>
    </row>
    <row r="580" spans="6:10" ht="14.25" customHeight="1" x14ac:dyDescent="0.3">
      <c r="F580" s="3"/>
      <c r="J580" s="3"/>
    </row>
    <row r="581" spans="6:10" ht="14.25" customHeight="1" x14ac:dyDescent="0.3">
      <c r="F581" s="3"/>
      <c r="J581" s="3"/>
    </row>
    <row r="582" spans="6:10" ht="14.25" customHeight="1" x14ac:dyDescent="0.3">
      <c r="F582" s="3"/>
      <c r="J582" s="3"/>
    </row>
    <row r="583" spans="6:10" ht="14.25" customHeight="1" x14ac:dyDescent="0.3">
      <c r="F583" s="3"/>
      <c r="J583" s="3"/>
    </row>
    <row r="584" spans="6:10" ht="14.25" customHeight="1" x14ac:dyDescent="0.3">
      <c r="F584" s="3"/>
      <c r="J584" s="3"/>
    </row>
    <row r="585" spans="6:10" ht="14.25" customHeight="1" x14ac:dyDescent="0.3">
      <c r="F585" s="3"/>
      <c r="J585" s="3"/>
    </row>
    <row r="586" spans="6:10" ht="14.25" customHeight="1" x14ac:dyDescent="0.3">
      <c r="F586" s="3"/>
      <c r="J586" s="3"/>
    </row>
    <row r="587" spans="6:10" ht="14.25" customHeight="1" x14ac:dyDescent="0.3">
      <c r="F587" s="3"/>
      <c r="J587" s="3"/>
    </row>
    <row r="588" spans="6:10" ht="14.25" customHeight="1" x14ac:dyDescent="0.3">
      <c r="F588" s="3"/>
      <c r="J588" s="3"/>
    </row>
    <row r="589" spans="6:10" ht="14.25" customHeight="1" x14ac:dyDescent="0.3">
      <c r="F589" s="3"/>
      <c r="J589" s="3"/>
    </row>
    <row r="590" spans="6:10" ht="14.25" customHeight="1" x14ac:dyDescent="0.3">
      <c r="F590" s="3"/>
      <c r="J590" s="3"/>
    </row>
    <row r="591" spans="6:10" ht="14.25" customHeight="1" x14ac:dyDescent="0.3">
      <c r="F591" s="3"/>
      <c r="J591" s="3"/>
    </row>
    <row r="592" spans="6:10" ht="14.25" customHeight="1" x14ac:dyDescent="0.3">
      <c r="F592" s="3"/>
      <c r="J592" s="3"/>
    </row>
    <row r="593" spans="6:10" ht="14.25" customHeight="1" x14ac:dyDescent="0.3">
      <c r="F593" s="3"/>
      <c r="J593" s="3"/>
    </row>
    <row r="594" spans="6:10" ht="14.25" customHeight="1" x14ac:dyDescent="0.3">
      <c r="F594" s="3"/>
      <c r="J594" s="3"/>
    </row>
    <row r="595" spans="6:10" ht="14.25" customHeight="1" x14ac:dyDescent="0.3">
      <c r="F595" s="3"/>
      <c r="J595" s="3"/>
    </row>
    <row r="596" spans="6:10" ht="14.25" customHeight="1" x14ac:dyDescent="0.3">
      <c r="F596" s="3"/>
      <c r="J596" s="3"/>
    </row>
    <row r="597" spans="6:10" ht="14.25" customHeight="1" x14ac:dyDescent="0.3">
      <c r="F597" s="3"/>
      <c r="J597" s="3"/>
    </row>
    <row r="598" spans="6:10" ht="14.25" customHeight="1" x14ac:dyDescent="0.3">
      <c r="F598" s="3"/>
      <c r="J598" s="3"/>
    </row>
    <row r="599" spans="6:10" ht="14.25" customHeight="1" x14ac:dyDescent="0.3">
      <c r="F599" s="3"/>
      <c r="J599" s="3"/>
    </row>
    <row r="600" spans="6:10" ht="14.25" customHeight="1" x14ac:dyDescent="0.3">
      <c r="F600" s="3"/>
      <c r="J600" s="3"/>
    </row>
    <row r="601" spans="6:10" ht="14.25" customHeight="1" x14ac:dyDescent="0.3">
      <c r="F601" s="3"/>
      <c r="J601" s="3"/>
    </row>
    <row r="602" spans="6:10" ht="14.25" customHeight="1" x14ac:dyDescent="0.3">
      <c r="F602" s="3"/>
      <c r="J602" s="3"/>
    </row>
    <row r="603" spans="6:10" ht="14.25" customHeight="1" x14ac:dyDescent="0.3">
      <c r="F603" s="3"/>
      <c r="J603" s="3"/>
    </row>
    <row r="604" spans="6:10" ht="14.25" customHeight="1" x14ac:dyDescent="0.3">
      <c r="F604" s="3"/>
      <c r="J604" s="3"/>
    </row>
    <row r="605" spans="6:10" ht="14.25" customHeight="1" x14ac:dyDescent="0.3">
      <c r="F605" s="3"/>
      <c r="J605" s="3"/>
    </row>
    <row r="606" spans="6:10" ht="14.25" customHeight="1" x14ac:dyDescent="0.3">
      <c r="F606" s="3"/>
      <c r="J606" s="3"/>
    </row>
    <row r="607" spans="6:10" ht="14.25" customHeight="1" x14ac:dyDescent="0.3">
      <c r="F607" s="3"/>
      <c r="J607" s="3"/>
    </row>
    <row r="608" spans="6:10" ht="14.25" customHeight="1" x14ac:dyDescent="0.3">
      <c r="F608" s="3"/>
      <c r="J608" s="3"/>
    </row>
    <row r="609" spans="6:10" ht="14.25" customHeight="1" x14ac:dyDescent="0.3">
      <c r="F609" s="3"/>
      <c r="J609" s="3"/>
    </row>
    <row r="610" spans="6:10" ht="14.25" customHeight="1" x14ac:dyDescent="0.3">
      <c r="F610" s="3"/>
      <c r="J610" s="3"/>
    </row>
    <row r="611" spans="6:10" ht="14.25" customHeight="1" x14ac:dyDescent="0.3">
      <c r="F611" s="3"/>
      <c r="J611" s="3"/>
    </row>
    <row r="612" spans="6:10" ht="14.25" customHeight="1" x14ac:dyDescent="0.3">
      <c r="F612" s="3"/>
      <c r="J612" s="3"/>
    </row>
    <row r="613" spans="6:10" ht="14.25" customHeight="1" x14ac:dyDescent="0.3">
      <c r="F613" s="3"/>
      <c r="J613" s="3"/>
    </row>
    <row r="614" spans="6:10" ht="14.25" customHeight="1" x14ac:dyDescent="0.3">
      <c r="F614" s="3"/>
      <c r="J614" s="3"/>
    </row>
    <row r="615" spans="6:10" ht="14.25" customHeight="1" x14ac:dyDescent="0.3">
      <c r="F615" s="3"/>
      <c r="J615" s="3"/>
    </row>
    <row r="616" spans="6:10" ht="14.25" customHeight="1" x14ac:dyDescent="0.3">
      <c r="F616" s="3"/>
      <c r="J616" s="3"/>
    </row>
    <row r="617" spans="6:10" ht="14.25" customHeight="1" x14ac:dyDescent="0.3">
      <c r="F617" s="3"/>
      <c r="J617" s="3"/>
    </row>
    <row r="618" spans="6:10" ht="14.25" customHeight="1" x14ac:dyDescent="0.3">
      <c r="F618" s="3"/>
      <c r="J618" s="3"/>
    </row>
    <row r="619" spans="6:10" ht="14.25" customHeight="1" x14ac:dyDescent="0.3">
      <c r="F619" s="3"/>
      <c r="J619" s="3"/>
    </row>
    <row r="620" spans="6:10" ht="14.25" customHeight="1" x14ac:dyDescent="0.3">
      <c r="F620" s="3"/>
      <c r="J620" s="3"/>
    </row>
    <row r="621" spans="6:10" ht="14.25" customHeight="1" x14ac:dyDescent="0.3">
      <c r="F621" s="3"/>
      <c r="J621" s="3"/>
    </row>
    <row r="622" spans="6:10" ht="14.25" customHeight="1" x14ac:dyDescent="0.3">
      <c r="F622" s="3"/>
      <c r="J622" s="3"/>
    </row>
    <row r="623" spans="6:10" ht="14.25" customHeight="1" x14ac:dyDescent="0.3">
      <c r="F623" s="3"/>
      <c r="J623" s="3"/>
    </row>
    <row r="624" spans="6:10" ht="14.25" customHeight="1" x14ac:dyDescent="0.3">
      <c r="F624" s="3"/>
      <c r="J624" s="3"/>
    </row>
    <row r="625" spans="6:10" ht="14.25" customHeight="1" x14ac:dyDescent="0.3">
      <c r="F625" s="3"/>
      <c r="J625" s="3"/>
    </row>
    <row r="626" spans="6:10" ht="14.25" customHeight="1" x14ac:dyDescent="0.3">
      <c r="F626" s="3"/>
      <c r="J626" s="3"/>
    </row>
    <row r="627" spans="6:10" ht="14.25" customHeight="1" x14ac:dyDescent="0.3">
      <c r="F627" s="3"/>
      <c r="J627" s="3"/>
    </row>
    <row r="628" spans="6:10" ht="14.25" customHeight="1" x14ac:dyDescent="0.3">
      <c r="F628" s="3"/>
      <c r="J628" s="3"/>
    </row>
    <row r="629" spans="6:10" ht="14.25" customHeight="1" x14ac:dyDescent="0.3">
      <c r="F629" s="3"/>
      <c r="J629" s="3"/>
    </row>
    <row r="630" spans="6:10" ht="14.25" customHeight="1" x14ac:dyDescent="0.3">
      <c r="F630" s="3"/>
      <c r="J630" s="3"/>
    </row>
    <row r="631" spans="6:10" ht="14.25" customHeight="1" x14ac:dyDescent="0.3">
      <c r="F631" s="3"/>
      <c r="J631" s="3"/>
    </row>
    <row r="632" spans="6:10" ht="14.25" customHeight="1" x14ac:dyDescent="0.3">
      <c r="F632" s="3"/>
      <c r="J632" s="3"/>
    </row>
    <row r="633" spans="6:10" ht="14.25" customHeight="1" x14ac:dyDescent="0.3">
      <c r="F633" s="3"/>
      <c r="J633" s="3"/>
    </row>
    <row r="634" spans="6:10" ht="14.25" customHeight="1" x14ac:dyDescent="0.3">
      <c r="F634" s="3"/>
      <c r="J634" s="3"/>
    </row>
    <row r="635" spans="6:10" ht="14.25" customHeight="1" x14ac:dyDescent="0.3">
      <c r="F635" s="3"/>
      <c r="J635" s="3"/>
    </row>
    <row r="636" spans="6:10" ht="14.25" customHeight="1" x14ac:dyDescent="0.3">
      <c r="F636" s="3"/>
      <c r="J636" s="3"/>
    </row>
    <row r="637" spans="6:10" ht="14.25" customHeight="1" x14ac:dyDescent="0.3">
      <c r="F637" s="3"/>
      <c r="J637" s="3"/>
    </row>
    <row r="638" spans="6:10" ht="14.25" customHeight="1" x14ac:dyDescent="0.3">
      <c r="F638" s="3"/>
      <c r="J638" s="3"/>
    </row>
    <row r="639" spans="6:10" ht="14.25" customHeight="1" x14ac:dyDescent="0.3">
      <c r="F639" s="3"/>
      <c r="J639" s="3"/>
    </row>
    <row r="640" spans="6:10" ht="14.25" customHeight="1" x14ac:dyDescent="0.3">
      <c r="F640" s="3"/>
      <c r="J640" s="3"/>
    </row>
    <row r="641" spans="6:10" ht="14.25" customHeight="1" x14ac:dyDescent="0.3">
      <c r="F641" s="3"/>
      <c r="J641" s="3"/>
    </row>
    <row r="642" spans="6:10" ht="14.25" customHeight="1" x14ac:dyDescent="0.3">
      <c r="F642" s="3"/>
      <c r="J642" s="3"/>
    </row>
    <row r="643" spans="6:10" ht="14.25" customHeight="1" x14ac:dyDescent="0.3">
      <c r="F643" s="3"/>
      <c r="J643" s="3"/>
    </row>
    <row r="644" spans="6:10" ht="14.25" customHeight="1" x14ac:dyDescent="0.3">
      <c r="F644" s="3"/>
      <c r="J644" s="3"/>
    </row>
    <row r="645" spans="6:10" ht="14.25" customHeight="1" x14ac:dyDescent="0.3">
      <c r="F645" s="3"/>
      <c r="J645" s="3"/>
    </row>
    <row r="646" spans="6:10" ht="14.25" customHeight="1" x14ac:dyDescent="0.3">
      <c r="F646" s="3"/>
      <c r="J646" s="3"/>
    </row>
    <row r="647" spans="6:10" ht="14.25" customHeight="1" x14ac:dyDescent="0.3">
      <c r="F647" s="3"/>
      <c r="J647" s="3"/>
    </row>
    <row r="648" spans="6:10" ht="14.25" customHeight="1" x14ac:dyDescent="0.3">
      <c r="F648" s="3"/>
      <c r="J648" s="3"/>
    </row>
    <row r="649" spans="6:10" ht="14.25" customHeight="1" x14ac:dyDescent="0.3">
      <c r="F649" s="3"/>
      <c r="J649" s="3"/>
    </row>
    <row r="650" spans="6:10" ht="14.25" customHeight="1" x14ac:dyDescent="0.3">
      <c r="F650" s="3"/>
      <c r="J650" s="3"/>
    </row>
    <row r="651" spans="6:10" ht="14.25" customHeight="1" x14ac:dyDescent="0.3">
      <c r="F651" s="3"/>
      <c r="J651" s="3"/>
    </row>
    <row r="652" spans="6:10" ht="14.25" customHeight="1" x14ac:dyDescent="0.3">
      <c r="F652" s="3"/>
      <c r="J652" s="3"/>
    </row>
    <row r="653" spans="6:10" ht="14.25" customHeight="1" x14ac:dyDescent="0.3">
      <c r="F653" s="3"/>
      <c r="J653" s="3"/>
    </row>
    <row r="654" spans="6:10" ht="14.25" customHeight="1" x14ac:dyDescent="0.3">
      <c r="F654" s="3"/>
      <c r="J654" s="3"/>
    </row>
    <row r="655" spans="6:10" ht="14.25" customHeight="1" x14ac:dyDescent="0.3">
      <c r="F655" s="3"/>
      <c r="J655" s="3"/>
    </row>
    <row r="656" spans="6:10" ht="14.25" customHeight="1" x14ac:dyDescent="0.3">
      <c r="F656" s="3"/>
      <c r="J656" s="3"/>
    </row>
    <row r="657" spans="6:10" ht="14.25" customHeight="1" x14ac:dyDescent="0.3">
      <c r="F657" s="3"/>
      <c r="J657" s="3"/>
    </row>
    <row r="658" spans="6:10" ht="14.25" customHeight="1" x14ac:dyDescent="0.3">
      <c r="F658" s="3"/>
      <c r="J658" s="3"/>
    </row>
    <row r="659" spans="6:10" ht="14.25" customHeight="1" x14ac:dyDescent="0.3">
      <c r="F659" s="3"/>
      <c r="J659" s="3"/>
    </row>
    <row r="660" spans="6:10" ht="14.25" customHeight="1" x14ac:dyDescent="0.3">
      <c r="F660" s="3"/>
      <c r="J660" s="3"/>
    </row>
    <row r="661" spans="6:10" ht="14.25" customHeight="1" x14ac:dyDescent="0.3">
      <c r="F661" s="3"/>
      <c r="J661" s="3"/>
    </row>
    <row r="662" spans="6:10" ht="14.25" customHeight="1" x14ac:dyDescent="0.3">
      <c r="F662" s="3"/>
      <c r="J662" s="3"/>
    </row>
    <row r="663" spans="6:10" ht="14.25" customHeight="1" x14ac:dyDescent="0.3">
      <c r="F663" s="3"/>
      <c r="J663" s="3"/>
    </row>
    <row r="664" spans="6:10" ht="14.25" customHeight="1" x14ac:dyDescent="0.3">
      <c r="F664" s="3"/>
      <c r="J664" s="3"/>
    </row>
    <row r="665" spans="6:10" ht="14.25" customHeight="1" x14ac:dyDescent="0.3">
      <c r="F665" s="3"/>
      <c r="J665" s="3"/>
    </row>
    <row r="666" spans="6:10" ht="14.25" customHeight="1" x14ac:dyDescent="0.3">
      <c r="F666" s="3"/>
      <c r="J666" s="3"/>
    </row>
    <row r="667" spans="6:10" ht="14.25" customHeight="1" x14ac:dyDescent="0.3">
      <c r="F667" s="3"/>
      <c r="J667" s="3"/>
    </row>
    <row r="668" spans="6:10" ht="14.25" customHeight="1" x14ac:dyDescent="0.3">
      <c r="F668" s="3"/>
      <c r="J668" s="3"/>
    </row>
    <row r="669" spans="6:10" ht="14.25" customHeight="1" x14ac:dyDescent="0.3">
      <c r="F669" s="3"/>
      <c r="J669" s="3"/>
    </row>
    <row r="670" spans="6:10" ht="14.25" customHeight="1" x14ac:dyDescent="0.3">
      <c r="F670" s="3"/>
      <c r="J670" s="3"/>
    </row>
    <row r="671" spans="6:10" ht="14.25" customHeight="1" x14ac:dyDescent="0.3">
      <c r="F671" s="3"/>
      <c r="J671" s="3"/>
    </row>
    <row r="672" spans="6:10" ht="14.25" customHeight="1" x14ac:dyDescent="0.3">
      <c r="F672" s="3"/>
      <c r="J672" s="3"/>
    </row>
    <row r="673" spans="6:10" ht="14.25" customHeight="1" x14ac:dyDescent="0.3">
      <c r="F673" s="3"/>
      <c r="J673" s="3"/>
    </row>
    <row r="674" spans="6:10" ht="14.25" customHeight="1" x14ac:dyDescent="0.3">
      <c r="F674" s="3"/>
      <c r="J674" s="3"/>
    </row>
    <row r="675" spans="6:10" ht="14.25" customHeight="1" x14ac:dyDescent="0.3">
      <c r="F675" s="3"/>
      <c r="J675" s="3"/>
    </row>
    <row r="676" spans="6:10" ht="14.25" customHeight="1" x14ac:dyDescent="0.3">
      <c r="F676" s="3"/>
      <c r="J676" s="3"/>
    </row>
    <row r="677" spans="6:10" ht="14.25" customHeight="1" x14ac:dyDescent="0.3">
      <c r="F677" s="3"/>
      <c r="J677" s="3"/>
    </row>
    <row r="678" spans="6:10" ht="14.25" customHeight="1" x14ac:dyDescent="0.3">
      <c r="F678" s="3"/>
      <c r="J678" s="3"/>
    </row>
    <row r="679" spans="6:10" ht="14.25" customHeight="1" x14ac:dyDescent="0.3">
      <c r="F679" s="3"/>
      <c r="J679" s="3"/>
    </row>
    <row r="680" spans="6:10" ht="14.25" customHeight="1" x14ac:dyDescent="0.3">
      <c r="F680" s="3"/>
      <c r="J680" s="3"/>
    </row>
    <row r="681" spans="6:10" ht="14.25" customHeight="1" x14ac:dyDescent="0.3">
      <c r="F681" s="3"/>
      <c r="J681" s="3"/>
    </row>
    <row r="682" spans="6:10" ht="14.25" customHeight="1" x14ac:dyDescent="0.3">
      <c r="F682" s="3"/>
      <c r="J682" s="3"/>
    </row>
    <row r="683" spans="6:10" ht="14.25" customHeight="1" x14ac:dyDescent="0.3">
      <c r="F683" s="3"/>
      <c r="J683" s="3"/>
    </row>
    <row r="684" spans="6:10" ht="14.25" customHeight="1" x14ac:dyDescent="0.3">
      <c r="F684" s="3"/>
      <c r="J684" s="3"/>
    </row>
    <row r="685" spans="6:10" ht="14.25" customHeight="1" x14ac:dyDescent="0.3">
      <c r="F685" s="3"/>
      <c r="J685" s="3"/>
    </row>
    <row r="686" spans="6:10" ht="14.25" customHeight="1" x14ac:dyDescent="0.3">
      <c r="F686" s="3"/>
      <c r="J686" s="3"/>
    </row>
    <row r="687" spans="6:10" ht="14.25" customHeight="1" x14ac:dyDescent="0.3">
      <c r="F687" s="3"/>
      <c r="J687" s="3"/>
    </row>
    <row r="688" spans="6:10" ht="14.25" customHeight="1" x14ac:dyDescent="0.3">
      <c r="F688" s="3"/>
      <c r="J688" s="3"/>
    </row>
    <row r="689" spans="6:10" ht="14.25" customHeight="1" x14ac:dyDescent="0.3">
      <c r="F689" s="3"/>
      <c r="J689" s="3"/>
    </row>
    <row r="690" spans="6:10" ht="14.25" customHeight="1" x14ac:dyDescent="0.3">
      <c r="F690" s="3"/>
      <c r="J690" s="3"/>
    </row>
    <row r="691" spans="6:10" ht="14.25" customHeight="1" x14ac:dyDescent="0.3">
      <c r="F691" s="3"/>
      <c r="J691" s="3"/>
    </row>
    <row r="692" spans="6:10" ht="14.25" customHeight="1" x14ac:dyDescent="0.3">
      <c r="F692" s="3"/>
      <c r="J692" s="3"/>
    </row>
    <row r="693" spans="6:10" ht="14.25" customHeight="1" x14ac:dyDescent="0.3">
      <c r="F693" s="3"/>
      <c r="J693" s="3"/>
    </row>
    <row r="694" spans="6:10" ht="14.25" customHeight="1" x14ac:dyDescent="0.3">
      <c r="F694" s="3"/>
      <c r="J694" s="3"/>
    </row>
    <row r="695" spans="6:10" ht="14.25" customHeight="1" x14ac:dyDescent="0.3">
      <c r="F695" s="3"/>
      <c r="J695" s="3"/>
    </row>
    <row r="696" spans="6:10" ht="14.25" customHeight="1" x14ac:dyDescent="0.3">
      <c r="F696" s="3"/>
      <c r="J696" s="3"/>
    </row>
    <row r="697" spans="6:10" ht="14.25" customHeight="1" x14ac:dyDescent="0.3">
      <c r="F697" s="3"/>
      <c r="J697" s="3"/>
    </row>
    <row r="698" spans="6:10" ht="14.25" customHeight="1" x14ac:dyDescent="0.3">
      <c r="F698" s="3"/>
      <c r="J698" s="3"/>
    </row>
    <row r="699" spans="6:10" ht="14.25" customHeight="1" x14ac:dyDescent="0.3">
      <c r="F699" s="3"/>
      <c r="J699" s="3"/>
    </row>
    <row r="700" spans="6:10" ht="14.25" customHeight="1" x14ac:dyDescent="0.3">
      <c r="F700" s="3"/>
      <c r="J700" s="3"/>
    </row>
    <row r="701" spans="6:10" ht="14.25" customHeight="1" x14ac:dyDescent="0.3">
      <c r="F701" s="3"/>
      <c r="J701" s="3"/>
    </row>
    <row r="702" spans="6:10" ht="14.25" customHeight="1" x14ac:dyDescent="0.3">
      <c r="F702" s="3"/>
      <c r="J702" s="3"/>
    </row>
    <row r="703" spans="6:10" ht="14.25" customHeight="1" x14ac:dyDescent="0.3">
      <c r="F703" s="3"/>
      <c r="J703" s="3"/>
    </row>
    <row r="704" spans="6:10" ht="14.25" customHeight="1" x14ac:dyDescent="0.3">
      <c r="F704" s="3"/>
      <c r="J704" s="3"/>
    </row>
    <row r="705" spans="6:10" ht="14.25" customHeight="1" x14ac:dyDescent="0.3">
      <c r="F705" s="3"/>
      <c r="J705" s="3"/>
    </row>
    <row r="706" spans="6:10" ht="14.25" customHeight="1" x14ac:dyDescent="0.3">
      <c r="F706" s="3"/>
      <c r="J706" s="3"/>
    </row>
    <row r="707" spans="6:10" ht="14.25" customHeight="1" x14ac:dyDescent="0.3">
      <c r="F707" s="3"/>
      <c r="J707" s="3"/>
    </row>
    <row r="708" spans="6:10" ht="14.25" customHeight="1" x14ac:dyDescent="0.3">
      <c r="F708" s="3"/>
      <c r="J708" s="3"/>
    </row>
    <row r="709" spans="6:10" ht="14.25" customHeight="1" x14ac:dyDescent="0.3">
      <c r="F709" s="3"/>
      <c r="J709" s="3"/>
    </row>
    <row r="710" spans="6:10" ht="14.25" customHeight="1" x14ac:dyDescent="0.3">
      <c r="F710" s="3"/>
      <c r="J710" s="3"/>
    </row>
    <row r="711" spans="6:10" ht="14.25" customHeight="1" x14ac:dyDescent="0.3">
      <c r="F711" s="3"/>
      <c r="J711" s="3"/>
    </row>
    <row r="712" spans="6:10" ht="14.25" customHeight="1" x14ac:dyDescent="0.3">
      <c r="F712" s="3"/>
      <c r="J712" s="3"/>
    </row>
    <row r="713" spans="6:10" ht="14.25" customHeight="1" x14ac:dyDescent="0.3">
      <c r="F713" s="3"/>
      <c r="J713" s="3"/>
    </row>
    <row r="714" spans="6:10" ht="14.25" customHeight="1" x14ac:dyDescent="0.3">
      <c r="F714" s="3"/>
      <c r="J714" s="3"/>
    </row>
    <row r="715" spans="6:10" ht="14.25" customHeight="1" x14ac:dyDescent="0.3">
      <c r="F715" s="3"/>
      <c r="J715" s="3"/>
    </row>
    <row r="716" spans="6:10" ht="14.25" customHeight="1" x14ac:dyDescent="0.3">
      <c r="F716" s="3"/>
      <c r="J716" s="3"/>
    </row>
    <row r="717" spans="6:10" ht="14.25" customHeight="1" x14ac:dyDescent="0.3">
      <c r="F717" s="3"/>
      <c r="J717" s="3"/>
    </row>
    <row r="718" spans="6:10" ht="14.25" customHeight="1" x14ac:dyDescent="0.3">
      <c r="F718" s="3"/>
      <c r="J718" s="3"/>
    </row>
    <row r="719" spans="6:10" ht="14.25" customHeight="1" x14ac:dyDescent="0.3">
      <c r="F719" s="3"/>
      <c r="J719" s="3"/>
    </row>
    <row r="720" spans="6:10" ht="14.25" customHeight="1" x14ac:dyDescent="0.3">
      <c r="F720" s="3"/>
      <c r="J720" s="3"/>
    </row>
    <row r="721" spans="6:10" ht="14.25" customHeight="1" x14ac:dyDescent="0.3">
      <c r="F721" s="3"/>
      <c r="J721" s="3"/>
    </row>
    <row r="722" spans="6:10" ht="14.25" customHeight="1" x14ac:dyDescent="0.3">
      <c r="F722" s="3"/>
      <c r="J722" s="3"/>
    </row>
    <row r="723" spans="6:10" ht="14.25" customHeight="1" x14ac:dyDescent="0.3">
      <c r="F723" s="3"/>
      <c r="J723" s="3"/>
    </row>
    <row r="724" spans="6:10" ht="14.25" customHeight="1" x14ac:dyDescent="0.3">
      <c r="F724" s="3"/>
      <c r="J724" s="3"/>
    </row>
    <row r="725" spans="6:10" ht="14.25" customHeight="1" x14ac:dyDescent="0.3">
      <c r="F725" s="3"/>
      <c r="J725" s="3"/>
    </row>
    <row r="726" spans="6:10" ht="14.25" customHeight="1" x14ac:dyDescent="0.3">
      <c r="F726" s="3"/>
      <c r="J726" s="3"/>
    </row>
    <row r="727" spans="6:10" ht="14.25" customHeight="1" x14ac:dyDescent="0.3">
      <c r="F727" s="3"/>
      <c r="J727" s="3"/>
    </row>
    <row r="728" spans="6:10" ht="14.25" customHeight="1" x14ac:dyDescent="0.3">
      <c r="F728" s="3"/>
      <c r="J728" s="3"/>
    </row>
    <row r="729" spans="6:10" ht="14.25" customHeight="1" x14ac:dyDescent="0.3">
      <c r="F729" s="3"/>
      <c r="J729" s="3"/>
    </row>
    <row r="730" spans="6:10" ht="14.25" customHeight="1" x14ac:dyDescent="0.3">
      <c r="F730" s="3"/>
      <c r="J730" s="3"/>
    </row>
    <row r="731" spans="6:10" ht="14.25" customHeight="1" x14ac:dyDescent="0.3">
      <c r="F731" s="3"/>
      <c r="J731" s="3"/>
    </row>
    <row r="732" spans="6:10" ht="14.25" customHeight="1" x14ac:dyDescent="0.3">
      <c r="F732" s="3"/>
      <c r="J732" s="3"/>
    </row>
    <row r="733" spans="6:10" ht="14.25" customHeight="1" x14ac:dyDescent="0.3">
      <c r="F733" s="3"/>
      <c r="J733" s="3"/>
    </row>
    <row r="734" spans="6:10" ht="14.25" customHeight="1" x14ac:dyDescent="0.3">
      <c r="F734" s="3"/>
      <c r="J734" s="3"/>
    </row>
    <row r="735" spans="6:10" ht="14.25" customHeight="1" x14ac:dyDescent="0.3">
      <c r="F735" s="3"/>
      <c r="J735" s="3"/>
    </row>
    <row r="736" spans="6:10" ht="14.25" customHeight="1" x14ac:dyDescent="0.3">
      <c r="F736" s="3"/>
      <c r="J736" s="3"/>
    </row>
    <row r="737" spans="6:10" ht="14.25" customHeight="1" x14ac:dyDescent="0.3">
      <c r="F737" s="3"/>
      <c r="J737" s="3"/>
    </row>
    <row r="738" spans="6:10" ht="14.25" customHeight="1" x14ac:dyDescent="0.3">
      <c r="F738" s="3"/>
      <c r="J738" s="3"/>
    </row>
    <row r="739" spans="6:10" ht="14.25" customHeight="1" x14ac:dyDescent="0.3">
      <c r="F739" s="3"/>
      <c r="J739" s="3"/>
    </row>
    <row r="740" spans="6:10" ht="14.25" customHeight="1" x14ac:dyDescent="0.3">
      <c r="F740" s="3"/>
      <c r="J740" s="3"/>
    </row>
    <row r="741" spans="6:10" ht="14.25" customHeight="1" x14ac:dyDescent="0.3">
      <c r="F741" s="3"/>
      <c r="J741" s="3"/>
    </row>
    <row r="742" spans="6:10" ht="14.25" customHeight="1" x14ac:dyDescent="0.3">
      <c r="F742" s="3"/>
      <c r="J742" s="3"/>
    </row>
    <row r="743" spans="6:10" ht="14.25" customHeight="1" x14ac:dyDescent="0.3">
      <c r="F743" s="3"/>
      <c r="J743" s="3"/>
    </row>
    <row r="744" spans="6:10" ht="14.25" customHeight="1" x14ac:dyDescent="0.3">
      <c r="F744" s="3"/>
      <c r="J744" s="3"/>
    </row>
    <row r="745" spans="6:10" ht="14.25" customHeight="1" x14ac:dyDescent="0.3">
      <c r="F745" s="3"/>
      <c r="J745" s="3"/>
    </row>
    <row r="746" spans="6:10" ht="14.25" customHeight="1" x14ac:dyDescent="0.3">
      <c r="F746" s="3"/>
      <c r="J746" s="3"/>
    </row>
    <row r="747" spans="6:10" ht="14.25" customHeight="1" x14ac:dyDescent="0.3">
      <c r="F747" s="3"/>
      <c r="J747" s="3"/>
    </row>
    <row r="748" spans="6:10" ht="14.25" customHeight="1" x14ac:dyDescent="0.3">
      <c r="F748" s="3"/>
      <c r="J748" s="3"/>
    </row>
    <row r="749" spans="6:10" ht="14.25" customHeight="1" x14ac:dyDescent="0.3">
      <c r="F749" s="3"/>
      <c r="J749" s="3"/>
    </row>
    <row r="750" spans="6:10" ht="14.25" customHeight="1" x14ac:dyDescent="0.3">
      <c r="F750" s="3"/>
      <c r="J750" s="3"/>
    </row>
    <row r="751" spans="6:10" ht="14.25" customHeight="1" x14ac:dyDescent="0.3">
      <c r="F751" s="3"/>
      <c r="J751" s="3"/>
    </row>
    <row r="752" spans="6:10" ht="14.25" customHeight="1" x14ac:dyDescent="0.3">
      <c r="F752" s="3"/>
      <c r="J752" s="3"/>
    </row>
    <row r="753" spans="6:10" ht="14.25" customHeight="1" x14ac:dyDescent="0.3">
      <c r="F753" s="3"/>
      <c r="J753" s="3"/>
    </row>
    <row r="754" spans="6:10" ht="14.25" customHeight="1" x14ac:dyDescent="0.3">
      <c r="F754" s="3"/>
      <c r="J754" s="3"/>
    </row>
    <row r="755" spans="6:10" ht="14.25" customHeight="1" x14ac:dyDescent="0.3">
      <c r="F755" s="3"/>
      <c r="J755" s="3"/>
    </row>
    <row r="756" spans="6:10" ht="14.25" customHeight="1" x14ac:dyDescent="0.3">
      <c r="F756" s="3"/>
      <c r="J756" s="3"/>
    </row>
    <row r="757" spans="6:10" ht="14.25" customHeight="1" x14ac:dyDescent="0.3">
      <c r="F757" s="3"/>
      <c r="J757" s="3"/>
    </row>
    <row r="758" spans="6:10" ht="14.25" customHeight="1" x14ac:dyDescent="0.3">
      <c r="F758" s="3"/>
      <c r="J758" s="3"/>
    </row>
    <row r="759" spans="6:10" ht="14.25" customHeight="1" x14ac:dyDescent="0.3">
      <c r="F759" s="3"/>
      <c r="J759" s="3"/>
    </row>
    <row r="760" spans="6:10" ht="14.25" customHeight="1" x14ac:dyDescent="0.3">
      <c r="F760" s="3"/>
      <c r="J760" s="3"/>
    </row>
    <row r="761" spans="6:10" ht="14.25" customHeight="1" x14ac:dyDescent="0.3">
      <c r="F761" s="3"/>
      <c r="J761" s="3"/>
    </row>
    <row r="762" spans="6:10" ht="14.25" customHeight="1" x14ac:dyDescent="0.3">
      <c r="F762" s="3"/>
      <c r="J762" s="3"/>
    </row>
    <row r="763" spans="6:10" ht="14.25" customHeight="1" x14ac:dyDescent="0.3">
      <c r="F763" s="3"/>
      <c r="J763" s="3"/>
    </row>
    <row r="764" spans="6:10" ht="14.25" customHeight="1" x14ac:dyDescent="0.3">
      <c r="F764" s="3"/>
      <c r="J764" s="3"/>
    </row>
    <row r="765" spans="6:10" ht="14.25" customHeight="1" x14ac:dyDescent="0.3">
      <c r="F765" s="3"/>
      <c r="J765" s="3"/>
    </row>
    <row r="766" spans="6:10" ht="14.25" customHeight="1" x14ac:dyDescent="0.3">
      <c r="F766" s="3"/>
      <c r="J766" s="3"/>
    </row>
    <row r="767" spans="6:10" ht="14.25" customHeight="1" x14ac:dyDescent="0.3">
      <c r="F767" s="3"/>
      <c r="J767" s="3"/>
    </row>
    <row r="768" spans="6:10" ht="14.25" customHeight="1" x14ac:dyDescent="0.3">
      <c r="F768" s="3"/>
      <c r="J768" s="3"/>
    </row>
    <row r="769" spans="6:10" ht="14.25" customHeight="1" x14ac:dyDescent="0.3">
      <c r="F769" s="3"/>
      <c r="J769" s="3"/>
    </row>
    <row r="770" spans="6:10" ht="14.25" customHeight="1" x14ac:dyDescent="0.3">
      <c r="F770" s="3"/>
      <c r="J770" s="3"/>
    </row>
    <row r="771" spans="6:10" ht="14.25" customHeight="1" x14ac:dyDescent="0.3">
      <c r="F771" s="3"/>
      <c r="J771" s="3"/>
    </row>
    <row r="772" spans="6:10" ht="14.25" customHeight="1" x14ac:dyDescent="0.3">
      <c r="F772" s="3"/>
      <c r="J772" s="3"/>
    </row>
    <row r="773" spans="6:10" ht="14.25" customHeight="1" x14ac:dyDescent="0.3">
      <c r="F773" s="3"/>
      <c r="J773" s="3"/>
    </row>
    <row r="774" spans="6:10" ht="14.25" customHeight="1" x14ac:dyDescent="0.3">
      <c r="F774" s="3"/>
      <c r="J774" s="3"/>
    </row>
    <row r="775" spans="6:10" ht="14.25" customHeight="1" x14ac:dyDescent="0.3">
      <c r="F775" s="3"/>
      <c r="J775" s="3"/>
    </row>
    <row r="776" spans="6:10" ht="14.25" customHeight="1" x14ac:dyDescent="0.3">
      <c r="F776" s="3"/>
      <c r="J776" s="3"/>
    </row>
    <row r="777" spans="6:10" ht="14.25" customHeight="1" x14ac:dyDescent="0.3">
      <c r="F777" s="3"/>
      <c r="J777" s="3"/>
    </row>
    <row r="778" spans="6:10" ht="14.25" customHeight="1" x14ac:dyDescent="0.3">
      <c r="F778" s="3"/>
      <c r="J778" s="3"/>
    </row>
    <row r="779" spans="6:10" ht="14.25" customHeight="1" x14ac:dyDescent="0.3">
      <c r="F779" s="3"/>
      <c r="J779" s="3"/>
    </row>
    <row r="780" spans="6:10" ht="14.25" customHeight="1" x14ac:dyDescent="0.3">
      <c r="F780" s="3"/>
      <c r="J780" s="3"/>
    </row>
    <row r="781" spans="6:10" ht="14.25" customHeight="1" x14ac:dyDescent="0.3">
      <c r="F781" s="3"/>
      <c r="J781" s="3"/>
    </row>
    <row r="782" spans="6:10" ht="14.25" customHeight="1" x14ac:dyDescent="0.3">
      <c r="F782" s="3"/>
      <c r="J782" s="3"/>
    </row>
    <row r="783" spans="6:10" ht="14.25" customHeight="1" x14ac:dyDescent="0.3">
      <c r="F783" s="3"/>
      <c r="J783" s="3"/>
    </row>
    <row r="784" spans="6:10" ht="14.25" customHeight="1" x14ac:dyDescent="0.3">
      <c r="F784" s="3"/>
      <c r="J784" s="3"/>
    </row>
    <row r="785" spans="6:10" ht="14.25" customHeight="1" x14ac:dyDescent="0.3">
      <c r="F785" s="3"/>
      <c r="J785" s="3"/>
    </row>
    <row r="786" spans="6:10" ht="14.25" customHeight="1" x14ac:dyDescent="0.3">
      <c r="F786" s="3"/>
      <c r="J786" s="3"/>
    </row>
    <row r="787" spans="6:10" ht="14.25" customHeight="1" x14ac:dyDescent="0.3">
      <c r="F787" s="3"/>
      <c r="J787" s="3"/>
    </row>
    <row r="788" spans="6:10" ht="14.25" customHeight="1" x14ac:dyDescent="0.3">
      <c r="F788" s="3"/>
      <c r="J788" s="3"/>
    </row>
    <row r="789" spans="6:10" ht="14.25" customHeight="1" x14ac:dyDescent="0.3">
      <c r="F789" s="3"/>
      <c r="J789" s="3"/>
    </row>
    <row r="790" spans="6:10" ht="14.25" customHeight="1" x14ac:dyDescent="0.3">
      <c r="F790" s="3"/>
      <c r="J790" s="3"/>
    </row>
    <row r="791" spans="6:10" ht="14.25" customHeight="1" x14ac:dyDescent="0.3">
      <c r="F791" s="3"/>
      <c r="J791" s="3"/>
    </row>
    <row r="792" spans="6:10" ht="14.25" customHeight="1" x14ac:dyDescent="0.3">
      <c r="F792" s="3"/>
      <c r="J792" s="3"/>
    </row>
    <row r="793" spans="6:10" ht="14.25" customHeight="1" x14ac:dyDescent="0.3">
      <c r="F793" s="3"/>
      <c r="J793" s="3"/>
    </row>
    <row r="794" spans="6:10" ht="14.25" customHeight="1" x14ac:dyDescent="0.3">
      <c r="F794" s="3"/>
      <c r="J794" s="3"/>
    </row>
    <row r="795" spans="6:10" ht="14.25" customHeight="1" x14ac:dyDescent="0.3">
      <c r="F795" s="3"/>
      <c r="J795" s="3"/>
    </row>
    <row r="796" spans="6:10" ht="14.25" customHeight="1" x14ac:dyDescent="0.3">
      <c r="F796" s="3"/>
      <c r="J796" s="3"/>
    </row>
    <row r="797" spans="6:10" ht="14.25" customHeight="1" x14ac:dyDescent="0.3">
      <c r="F797" s="3"/>
      <c r="J797" s="3"/>
    </row>
    <row r="798" spans="6:10" ht="14.25" customHeight="1" x14ac:dyDescent="0.3">
      <c r="F798" s="3"/>
      <c r="J798" s="3"/>
    </row>
    <row r="799" spans="6:10" ht="14.25" customHeight="1" x14ac:dyDescent="0.3">
      <c r="F799" s="3"/>
      <c r="J799" s="3"/>
    </row>
    <row r="800" spans="6:10" ht="14.25" customHeight="1" x14ac:dyDescent="0.3">
      <c r="F800" s="3"/>
      <c r="J800" s="3"/>
    </row>
    <row r="801" spans="6:10" ht="14.25" customHeight="1" x14ac:dyDescent="0.3">
      <c r="F801" s="3"/>
      <c r="J801" s="3"/>
    </row>
    <row r="802" spans="6:10" ht="14.25" customHeight="1" x14ac:dyDescent="0.3">
      <c r="F802" s="3"/>
      <c r="J802" s="3"/>
    </row>
    <row r="803" spans="6:10" ht="14.25" customHeight="1" x14ac:dyDescent="0.3">
      <c r="F803" s="3"/>
      <c r="J803" s="3"/>
    </row>
    <row r="804" spans="6:10" ht="14.25" customHeight="1" x14ac:dyDescent="0.3">
      <c r="F804" s="3"/>
      <c r="J804" s="3"/>
    </row>
    <row r="805" spans="6:10" ht="14.25" customHeight="1" x14ac:dyDescent="0.3">
      <c r="F805" s="3"/>
      <c r="J805" s="3"/>
    </row>
    <row r="806" spans="6:10" ht="14.25" customHeight="1" x14ac:dyDescent="0.3">
      <c r="F806" s="3"/>
      <c r="J806" s="3"/>
    </row>
    <row r="807" spans="6:10" ht="14.25" customHeight="1" x14ac:dyDescent="0.3">
      <c r="F807" s="3"/>
      <c r="J807" s="3"/>
    </row>
    <row r="808" spans="6:10" ht="14.25" customHeight="1" x14ac:dyDescent="0.3">
      <c r="F808" s="3"/>
      <c r="J808" s="3"/>
    </row>
    <row r="809" spans="6:10" ht="14.25" customHeight="1" x14ac:dyDescent="0.3">
      <c r="F809" s="3"/>
      <c r="J809" s="3"/>
    </row>
    <row r="810" spans="6:10" ht="14.25" customHeight="1" x14ac:dyDescent="0.3">
      <c r="F810" s="3"/>
      <c r="J810" s="3"/>
    </row>
    <row r="811" spans="6:10" ht="14.25" customHeight="1" x14ac:dyDescent="0.3">
      <c r="F811" s="3"/>
      <c r="J811" s="3"/>
    </row>
    <row r="812" spans="6:10" ht="14.25" customHeight="1" x14ac:dyDescent="0.3">
      <c r="F812" s="3"/>
      <c r="J812" s="3"/>
    </row>
    <row r="813" spans="6:10" ht="14.25" customHeight="1" x14ac:dyDescent="0.3">
      <c r="F813" s="3"/>
      <c r="J813" s="3"/>
    </row>
    <row r="814" spans="6:10" ht="14.25" customHeight="1" x14ac:dyDescent="0.3">
      <c r="F814" s="3"/>
      <c r="J814" s="3"/>
    </row>
    <row r="815" spans="6:10" ht="14.25" customHeight="1" x14ac:dyDescent="0.3">
      <c r="F815" s="3"/>
      <c r="J815" s="3"/>
    </row>
    <row r="816" spans="6:10" ht="14.25" customHeight="1" x14ac:dyDescent="0.3">
      <c r="F816" s="3"/>
      <c r="J816" s="3"/>
    </row>
    <row r="817" spans="6:10" ht="14.25" customHeight="1" x14ac:dyDescent="0.3">
      <c r="F817" s="3"/>
      <c r="J817" s="3"/>
    </row>
    <row r="818" spans="6:10" ht="14.25" customHeight="1" x14ac:dyDescent="0.3">
      <c r="F818" s="3"/>
      <c r="J818" s="3"/>
    </row>
    <row r="819" spans="6:10" ht="14.25" customHeight="1" x14ac:dyDescent="0.3">
      <c r="F819" s="3"/>
      <c r="J819" s="3"/>
    </row>
    <row r="820" spans="6:10" ht="14.25" customHeight="1" x14ac:dyDescent="0.3">
      <c r="F820" s="3"/>
      <c r="J820" s="3"/>
    </row>
    <row r="821" spans="6:10" ht="14.25" customHeight="1" x14ac:dyDescent="0.3">
      <c r="F821" s="3"/>
      <c r="J821" s="3"/>
    </row>
    <row r="822" spans="6:10" ht="14.25" customHeight="1" x14ac:dyDescent="0.3">
      <c r="F822" s="3"/>
      <c r="J822" s="3"/>
    </row>
    <row r="823" spans="6:10" ht="14.25" customHeight="1" x14ac:dyDescent="0.3">
      <c r="F823" s="3"/>
      <c r="J823" s="3"/>
    </row>
    <row r="824" spans="6:10" ht="14.25" customHeight="1" x14ac:dyDescent="0.3">
      <c r="F824" s="3"/>
      <c r="J824" s="3"/>
    </row>
    <row r="825" spans="6:10" ht="14.25" customHeight="1" x14ac:dyDescent="0.3">
      <c r="F825" s="3"/>
      <c r="J825" s="3"/>
    </row>
    <row r="826" spans="6:10" ht="14.25" customHeight="1" x14ac:dyDescent="0.3">
      <c r="F826" s="3"/>
      <c r="J826" s="3"/>
    </row>
    <row r="827" spans="6:10" ht="14.25" customHeight="1" x14ac:dyDescent="0.3">
      <c r="F827" s="3"/>
      <c r="J827" s="3"/>
    </row>
    <row r="828" spans="6:10" ht="14.25" customHeight="1" x14ac:dyDescent="0.3">
      <c r="F828" s="3"/>
      <c r="J828" s="3"/>
    </row>
    <row r="829" spans="6:10" ht="14.25" customHeight="1" x14ac:dyDescent="0.3">
      <c r="F829" s="3"/>
      <c r="J829" s="3"/>
    </row>
    <row r="830" spans="6:10" ht="14.25" customHeight="1" x14ac:dyDescent="0.3">
      <c r="F830" s="3"/>
      <c r="J830" s="3"/>
    </row>
    <row r="831" spans="6:10" ht="14.25" customHeight="1" x14ac:dyDescent="0.3">
      <c r="F831" s="3"/>
      <c r="J831" s="3"/>
    </row>
    <row r="832" spans="6:10" ht="14.25" customHeight="1" x14ac:dyDescent="0.3">
      <c r="F832" s="3"/>
      <c r="J832" s="3"/>
    </row>
    <row r="833" spans="6:10" ht="14.25" customHeight="1" x14ac:dyDescent="0.3">
      <c r="F833" s="3"/>
      <c r="J833" s="3"/>
    </row>
    <row r="834" spans="6:10" ht="14.25" customHeight="1" x14ac:dyDescent="0.3">
      <c r="F834" s="3"/>
      <c r="J834" s="3"/>
    </row>
    <row r="835" spans="6:10" ht="14.25" customHeight="1" x14ac:dyDescent="0.3">
      <c r="F835" s="3"/>
      <c r="J835" s="3"/>
    </row>
    <row r="836" spans="6:10" ht="14.25" customHeight="1" x14ac:dyDescent="0.3">
      <c r="F836" s="3"/>
      <c r="J836" s="3"/>
    </row>
    <row r="837" spans="6:10" ht="14.25" customHeight="1" x14ac:dyDescent="0.3">
      <c r="F837" s="3"/>
      <c r="J837" s="3"/>
    </row>
    <row r="838" spans="6:10" ht="14.25" customHeight="1" x14ac:dyDescent="0.3">
      <c r="F838" s="3"/>
      <c r="J838" s="3"/>
    </row>
    <row r="839" spans="6:10" ht="14.25" customHeight="1" x14ac:dyDescent="0.3">
      <c r="F839" s="3"/>
      <c r="J839" s="3"/>
    </row>
    <row r="840" spans="6:10" ht="14.25" customHeight="1" x14ac:dyDescent="0.3">
      <c r="F840" s="3"/>
      <c r="J840" s="3"/>
    </row>
    <row r="841" spans="6:10" ht="14.25" customHeight="1" x14ac:dyDescent="0.3">
      <c r="F841" s="3"/>
      <c r="J841" s="3"/>
    </row>
    <row r="842" spans="6:10" ht="14.25" customHeight="1" x14ac:dyDescent="0.3">
      <c r="F842" s="3"/>
      <c r="J842" s="3"/>
    </row>
    <row r="843" spans="6:10" ht="14.25" customHeight="1" x14ac:dyDescent="0.3">
      <c r="F843" s="3"/>
      <c r="J843" s="3"/>
    </row>
    <row r="844" spans="6:10" ht="14.25" customHeight="1" x14ac:dyDescent="0.3">
      <c r="F844" s="3"/>
      <c r="J844" s="3"/>
    </row>
    <row r="845" spans="6:10" ht="14.25" customHeight="1" x14ac:dyDescent="0.3">
      <c r="F845" s="3"/>
      <c r="J845" s="3"/>
    </row>
    <row r="846" spans="6:10" ht="14.25" customHeight="1" x14ac:dyDescent="0.3">
      <c r="F846" s="3"/>
      <c r="J846" s="3"/>
    </row>
    <row r="847" spans="6:10" ht="14.25" customHeight="1" x14ac:dyDescent="0.3">
      <c r="F847" s="3"/>
      <c r="J847" s="3"/>
    </row>
    <row r="848" spans="6:10" ht="14.25" customHeight="1" x14ac:dyDescent="0.3">
      <c r="F848" s="3"/>
      <c r="J848" s="3"/>
    </row>
    <row r="849" spans="6:10" ht="14.25" customHeight="1" x14ac:dyDescent="0.3">
      <c r="F849" s="3"/>
      <c r="J849" s="3"/>
    </row>
    <row r="850" spans="6:10" ht="14.25" customHeight="1" x14ac:dyDescent="0.3">
      <c r="F850" s="3"/>
      <c r="J850" s="3"/>
    </row>
    <row r="851" spans="6:10" ht="14.25" customHeight="1" x14ac:dyDescent="0.3">
      <c r="F851" s="3"/>
      <c r="J851" s="3"/>
    </row>
    <row r="852" spans="6:10" ht="14.25" customHeight="1" x14ac:dyDescent="0.3">
      <c r="F852" s="3"/>
      <c r="J852" s="3"/>
    </row>
    <row r="853" spans="6:10" ht="14.25" customHeight="1" x14ac:dyDescent="0.3">
      <c r="F853" s="3"/>
      <c r="J853" s="3"/>
    </row>
    <row r="854" spans="6:10" ht="14.25" customHeight="1" x14ac:dyDescent="0.3">
      <c r="F854" s="3"/>
      <c r="J854" s="3"/>
    </row>
    <row r="855" spans="6:10" ht="14.25" customHeight="1" x14ac:dyDescent="0.3">
      <c r="F855" s="3"/>
      <c r="J855" s="3"/>
    </row>
    <row r="856" spans="6:10" ht="14.25" customHeight="1" x14ac:dyDescent="0.3">
      <c r="F856" s="3"/>
      <c r="J856" s="3"/>
    </row>
    <row r="857" spans="6:10" ht="14.25" customHeight="1" x14ac:dyDescent="0.3">
      <c r="F857" s="3"/>
      <c r="J857" s="3"/>
    </row>
    <row r="858" spans="6:10" ht="14.25" customHeight="1" x14ac:dyDescent="0.3">
      <c r="F858" s="3"/>
      <c r="J858" s="3"/>
    </row>
    <row r="859" spans="6:10" ht="14.25" customHeight="1" x14ac:dyDescent="0.3">
      <c r="F859" s="3"/>
      <c r="J859" s="3"/>
    </row>
    <row r="860" spans="6:10" ht="14.25" customHeight="1" x14ac:dyDescent="0.3">
      <c r="F860" s="3"/>
      <c r="J860" s="3"/>
    </row>
    <row r="861" spans="6:10" ht="14.25" customHeight="1" x14ac:dyDescent="0.3">
      <c r="F861" s="3"/>
      <c r="J861" s="3"/>
    </row>
    <row r="862" spans="6:10" ht="14.25" customHeight="1" x14ac:dyDescent="0.3">
      <c r="F862" s="3"/>
      <c r="J862" s="3"/>
    </row>
    <row r="863" spans="6:10" ht="14.25" customHeight="1" x14ac:dyDescent="0.3">
      <c r="F863" s="3"/>
      <c r="J863" s="3"/>
    </row>
    <row r="864" spans="6:10" ht="14.25" customHeight="1" x14ac:dyDescent="0.3">
      <c r="F864" s="3"/>
      <c r="J864" s="3"/>
    </row>
    <row r="865" spans="6:10" ht="14.25" customHeight="1" x14ac:dyDescent="0.3">
      <c r="F865" s="3"/>
      <c r="J865" s="3"/>
    </row>
    <row r="866" spans="6:10" ht="14.25" customHeight="1" x14ac:dyDescent="0.3">
      <c r="F866" s="3"/>
      <c r="J866" s="3"/>
    </row>
    <row r="867" spans="6:10" ht="14.25" customHeight="1" x14ac:dyDescent="0.3">
      <c r="F867" s="3"/>
      <c r="J867" s="3"/>
    </row>
    <row r="868" spans="6:10" ht="14.25" customHeight="1" x14ac:dyDescent="0.3">
      <c r="F868" s="3"/>
      <c r="J868" s="3"/>
    </row>
    <row r="869" spans="6:10" ht="14.25" customHeight="1" x14ac:dyDescent="0.3">
      <c r="F869" s="3"/>
      <c r="J869" s="3"/>
    </row>
    <row r="870" spans="6:10" ht="14.25" customHeight="1" x14ac:dyDescent="0.3">
      <c r="F870" s="3"/>
      <c r="J870" s="3"/>
    </row>
    <row r="871" spans="6:10" ht="14.25" customHeight="1" x14ac:dyDescent="0.3">
      <c r="F871" s="3"/>
      <c r="J871" s="3"/>
    </row>
    <row r="872" spans="6:10" ht="14.25" customHeight="1" x14ac:dyDescent="0.3">
      <c r="F872" s="3"/>
      <c r="J872" s="3"/>
    </row>
    <row r="873" spans="6:10" ht="14.25" customHeight="1" x14ac:dyDescent="0.3">
      <c r="F873" s="3"/>
      <c r="J873" s="3"/>
    </row>
    <row r="874" spans="6:10" ht="14.25" customHeight="1" x14ac:dyDescent="0.3">
      <c r="F874" s="3"/>
      <c r="J874" s="3"/>
    </row>
    <row r="875" spans="6:10" ht="14.25" customHeight="1" x14ac:dyDescent="0.3">
      <c r="F875" s="3"/>
      <c r="J875" s="3"/>
    </row>
    <row r="876" spans="6:10" ht="14.25" customHeight="1" x14ac:dyDescent="0.3">
      <c r="F876" s="3"/>
      <c r="J876" s="3"/>
    </row>
    <row r="877" spans="6:10" ht="14.25" customHeight="1" x14ac:dyDescent="0.3">
      <c r="F877" s="3"/>
      <c r="J877" s="3"/>
    </row>
    <row r="878" spans="6:10" ht="14.25" customHeight="1" x14ac:dyDescent="0.3">
      <c r="F878" s="3"/>
      <c r="J878" s="3"/>
    </row>
    <row r="879" spans="6:10" ht="14.25" customHeight="1" x14ac:dyDescent="0.3">
      <c r="F879" s="3"/>
      <c r="J879" s="3"/>
    </row>
    <row r="880" spans="6:10" ht="14.25" customHeight="1" x14ac:dyDescent="0.3">
      <c r="F880" s="3"/>
      <c r="J880" s="3"/>
    </row>
    <row r="881" spans="6:10" ht="14.25" customHeight="1" x14ac:dyDescent="0.3">
      <c r="F881" s="3"/>
      <c r="J881" s="3"/>
    </row>
    <row r="882" spans="6:10" ht="14.25" customHeight="1" x14ac:dyDescent="0.3">
      <c r="F882" s="3"/>
      <c r="J882" s="3"/>
    </row>
    <row r="883" spans="6:10" ht="14.25" customHeight="1" x14ac:dyDescent="0.3">
      <c r="F883" s="3"/>
      <c r="J883" s="3"/>
    </row>
    <row r="884" spans="6:10" ht="14.25" customHeight="1" x14ac:dyDescent="0.3">
      <c r="F884" s="3"/>
      <c r="J884" s="3"/>
    </row>
    <row r="885" spans="6:10" ht="14.25" customHeight="1" x14ac:dyDescent="0.3">
      <c r="F885" s="3"/>
      <c r="J885" s="3"/>
    </row>
    <row r="886" spans="6:10" ht="14.25" customHeight="1" x14ac:dyDescent="0.3">
      <c r="F886" s="3"/>
      <c r="J886" s="3"/>
    </row>
    <row r="887" spans="6:10" ht="14.25" customHeight="1" x14ac:dyDescent="0.3">
      <c r="F887" s="3"/>
      <c r="J887" s="3"/>
    </row>
    <row r="888" spans="6:10" ht="14.25" customHeight="1" x14ac:dyDescent="0.3">
      <c r="F888" s="3"/>
      <c r="J888" s="3"/>
    </row>
    <row r="889" spans="6:10" ht="14.25" customHeight="1" x14ac:dyDescent="0.3">
      <c r="F889" s="3"/>
      <c r="J889" s="3"/>
    </row>
    <row r="890" spans="6:10" ht="14.25" customHeight="1" x14ac:dyDescent="0.3">
      <c r="F890" s="3"/>
      <c r="J890" s="3"/>
    </row>
    <row r="891" spans="6:10" ht="14.25" customHeight="1" x14ac:dyDescent="0.3">
      <c r="F891" s="3"/>
      <c r="J891" s="3"/>
    </row>
    <row r="892" spans="6:10" ht="14.25" customHeight="1" x14ac:dyDescent="0.3">
      <c r="F892" s="3"/>
      <c r="J892" s="3"/>
    </row>
    <row r="893" spans="6:10" ht="14.25" customHeight="1" x14ac:dyDescent="0.3">
      <c r="F893" s="3"/>
      <c r="J893" s="3"/>
    </row>
    <row r="894" spans="6:10" ht="14.25" customHeight="1" x14ac:dyDescent="0.3">
      <c r="F894" s="3"/>
      <c r="J894" s="3"/>
    </row>
    <row r="895" spans="6:10" ht="14.25" customHeight="1" x14ac:dyDescent="0.3">
      <c r="F895" s="3"/>
      <c r="J895" s="3"/>
    </row>
    <row r="896" spans="6:10" ht="14.25" customHeight="1" x14ac:dyDescent="0.3">
      <c r="F896" s="3"/>
      <c r="J896" s="3"/>
    </row>
    <row r="897" spans="6:10" ht="14.25" customHeight="1" x14ac:dyDescent="0.3">
      <c r="F897" s="3"/>
      <c r="J897" s="3"/>
    </row>
    <row r="898" spans="6:10" ht="14.25" customHeight="1" x14ac:dyDescent="0.3">
      <c r="F898" s="3"/>
      <c r="J898" s="3"/>
    </row>
    <row r="899" spans="6:10" ht="14.25" customHeight="1" x14ac:dyDescent="0.3">
      <c r="F899" s="3"/>
      <c r="J899" s="3"/>
    </row>
    <row r="900" spans="6:10" ht="14.25" customHeight="1" x14ac:dyDescent="0.3">
      <c r="F900" s="3"/>
      <c r="J900" s="3"/>
    </row>
    <row r="901" spans="6:10" ht="14.25" customHeight="1" x14ac:dyDescent="0.3">
      <c r="F901" s="3"/>
      <c r="J901" s="3"/>
    </row>
    <row r="902" spans="6:10" ht="14.25" customHeight="1" x14ac:dyDescent="0.3">
      <c r="F902" s="3"/>
      <c r="J902" s="3"/>
    </row>
    <row r="903" spans="6:10" ht="14.25" customHeight="1" x14ac:dyDescent="0.3">
      <c r="F903" s="3"/>
      <c r="J903" s="3"/>
    </row>
    <row r="904" spans="6:10" ht="14.25" customHeight="1" x14ac:dyDescent="0.3">
      <c r="F904" s="3"/>
      <c r="J904" s="3"/>
    </row>
    <row r="905" spans="6:10" ht="14.25" customHeight="1" x14ac:dyDescent="0.3">
      <c r="F905" s="3"/>
      <c r="J905" s="3"/>
    </row>
    <row r="906" spans="6:10" ht="14.25" customHeight="1" x14ac:dyDescent="0.3">
      <c r="F906" s="3"/>
      <c r="J906" s="3"/>
    </row>
    <row r="907" spans="6:10" ht="14.25" customHeight="1" x14ac:dyDescent="0.3">
      <c r="F907" s="3"/>
      <c r="J907" s="3"/>
    </row>
    <row r="908" spans="6:10" ht="14.25" customHeight="1" x14ac:dyDescent="0.3">
      <c r="F908" s="3"/>
      <c r="J908" s="3"/>
    </row>
    <row r="909" spans="6:10" ht="14.25" customHeight="1" x14ac:dyDescent="0.3">
      <c r="F909" s="3"/>
      <c r="J909" s="3"/>
    </row>
    <row r="910" spans="6:10" ht="14.25" customHeight="1" x14ac:dyDescent="0.3">
      <c r="F910" s="3"/>
      <c r="J910" s="3"/>
    </row>
    <row r="911" spans="6:10" ht="14.25" customHeight="1" x14ac:dyDescent="0.3">
      <c r="F911" s="3"/>
      <c r="J911" s="3"/>
    </row>
    <row r="912" spans="6:10" ht="14.25" customHeight="1" x14ac:dyDescent="0.3">
      <c r="F912" s="3"/>
      <c r="J912" s="3"/>
    </row>
    <row r="913" spans="6:10" ht="14.25" customHeight="1" x14ac:dyDescent="0.3">
      <c r="F913" s="3"/>
      <c r="J913" s="3"/>
    </row>
    <row r="914" spans="6:10" ht="14.25" customHeight="1" x14ac:dyDescent="0.3">
      <c r="F914" s="3"/>
      <c r="J914" s="3"/>
    </row>
    <row r="915" spans="6:10" ht="14.25" customHeight="1" x14ac:dyDescent="0.3">
      <c r="F915" s="3"/>
      <c r="J915" s="3"/>
    </row>
    <row r="916" spans="6:10" ht="14.25" customHeight="1" x14ac:dyDescent="0.3">
      <c r="F916" s="3"/>
      <c r="J916" s="3"/>
    </row>
    <row r="917" spans="6:10" ht="14.25" customHeight="1" x14ac:dyDescent="0.3">
      <c r="F917" s="3"/>
      <c r="J917" s="3"/>
    </row>
    <row r="918" spans="6:10" ht="14.25" customHeight="1" x14ac:dyDescent="0.3">
      <c r="F918" s="3"/>
      <c r="J918" s="3"/>
    </row>
    <row r="919" spans="6:10" ht="14.25" customHeight="1" x14ac:dyDescent="0.3">
      <c r="F919" s="3"/>
      <c r="J919" s="3"/>
    </row>
    <row r="920" spans="6:10" ht="14.25" customHeight="1" x14ac:dyDescent="0.3">
      <c r="F920" s="3"/>
      <c r="J920" s="3"/>
    </row>
    <row r="921" spans="6:10" ht="14.25" customHeight="1" x14ac:dyDescent="0.3">
      <c r="F921" s="3"/>
      <c r="J921" s="3"/>
    </row>
    <row r="922" spans="6:10" ht="14.25" customHeight="1" x14ac:dyDescent="0.3">
      <c r="F922" s="3"/>
      <c r="J922" s="3"/>
    </row>
    <row r="923" spans="6:10" ht="14.25" customHeight="1" x14ac:dyDescent="0.3">
      <c r="F923" s="3"/>
      <c r="J923" s="3"/>
    </row>
    <row r="924" spans="6:10" ht="14.25" customHeight="1" x14ac:dyDescent="0.3">
      <c r="F924" s="3"/>
      <c r="J924" s="3"/>
    </row>
    <row r="925" spans="6:10" ht="14.25" customHeight="1" x14ac:dyDescent="0.3">
      <c r="F925" s="3"/>
      <c r="J925" s="3"/>
    </row>
    <row r="926" spans="6:10" ht="14.25" customHeight="1" x14ac:dyDescent="0.3">
      <c r="F926" s="3"/>
      <c r="J926" s="3"/>
    </row>
    <row r="927" spans="6:10" ht="14.25" customHeight="1" x14ac:dyDescent="0.3">
      <c r="F927" s="3"/>
      <c r="J927" s="3"/>
    </row>
    <row r="928" spans="6:10" ht="14.25" customHeight="1" x14ac:dyDescent="0.3">
      <c r="F928" s="3"/>
      <c r="J928" s="3"/>
    </row>
    <row r="929" spans="6:10" ht="14.25" customHeight="1" x14ac:dyDescent="0.3">
      <c r="F929" s="3"/>
      <c r="J929" s="3"/>
    </row>
    <row r="930" spans="6:10" ht="14.25" customHeight="1" x14ac:dyDescent="0.3">
      <c r="F930" s="3"/>
      <c r="J930" s="3"/>
    </row>
    <row r="931" spans="6:10" ht="14.25" customHeight="1" x14ac:dyDescent="0.3">
      <c r="F931" s="3"/>
      <c r="J931" s="3"/>
    </row>
    <row r="932" spans="6:10" ht="14.25" customHeight="1" x14ac:dyDescent="0.3">
      <c r="F932" s="3"/>
      <c r="J932" s="3"/>
    </row>
    <row r="933" spans="6:10" ht="14.25" customHeight="1" x14ac:dyDescent="0.3">
      <c r="F933" s="3"/>
      <c r="J933" s="3"/>
    </row>
    <row r="934" spans="6:10" ht="14.25" customHeight="1" x14ac:dyDescent="0.3">
      <c r="F934" s="3"/>
      <c r="J934" s="3"/>
    </row>
    <row r="935" spans="6:10" ht="14.25" customHeight="1" x14ac:dyDescent="0.3">
      <c r="F935" s="3"/>
      <c r="J935" s="3"/>
    </row>
    <row r="936" spans="6:10" ht="14.25" customHeight="1" x14ac:dyDescent="0.3">
      <c r="F936" s="3"/>
      <c r="J936" s="3"/>
    </row>
    <row r="937" spans="6:10" ht="14.25" customHeight="1" x14ac:dyDescent="0.3">
      <c r="F937" s="3"/>
      <c r="J937" s="3"/>
    </row>
    <row r="938" spans="6:10" ht="14.25" customHeight="1" x14ac:dyDescent="0.3">
      <c r="F938" s="3"/>
      <c r="J938" s="3"/>
    </row>
    <row r="939" spans="6:10" ht="14.25" customHeight="1" x14ac:dyDescent="0.3">
      <c r="F939" s="3"/>
      <c r="J939" s="3"/>
    </row>
    <row r="940" spans="6:10" ht="14.25" customHeight="1" x14ac:dyDescent="0.3">
      <c r="F940" s="3"/>
      <c r="J940" s="3"/>
    </row>
    <row r="941" spans="6:10" ht="14.25" customHeight="1" x14ac:dyDescent="0.3">
      <c r="F941" s="3"/>
      <c r="J941" s="3"/>
    </row>
    <row r="942" spans="6:10" ht="14.25" customHeight="1" x14ac:dyDescent="0.3">
      <c r="F942" s="3"/>
      <c r="J942" s="3"/>
    </row>
    <row r="943" spans="6:10" ht="14.25" customHeight="1" x14ac:dyDescent="0.3">
      <c r="F943" s="3"/>
      <c r="J943" s="3"/>
    </row>
    <row r="944" spans="6:10" ht="14.25" customHeight="1" x14ac:dyDescent="0.3">
      <c r="F944" s="3"/>
      <c r="J944" s="3"/>
    </row>
    <row r="945" spans="6:10" ht="14.25" customHeight="1" x14ac:dyDescent="0.3">
      <c r="F945" s="3"/>
      <c r="J945" s="3"/>
    </row>
    <row r="946" spans="6:10" ht="14.25" customHeight="1" x14ac:dyDescent="0.3">
      <c r="F946" s="3"/>
      <c r="J946" s="3"/>
    </row>
    <row r="947" spans="6:10" ht="14.25" customHeight="1" x14ac:dyDescent="0.3">
      <c r="F947" s="3"/>
      <c r="J947" s="3"/>
    </row>
    <row r="948" spans="6:10" ht="14.25" customHeight="1" x14ac:dyDescent="0.3">
      <c r="F948" s="3"/>
      <c r="J948" s="3"/>
    </row>
    <row r="949" spans="6:10" ht="14.25" customHeight="1" x14ac:dyDescent="0.3">
      <c r="F949" s="3"/>
      <c r="J949" s="3"/>
    </row>
    <row r="950" spans="6:10" ht="14.25" customHeight="1" x14ac:dyDescent="0.3">
      <c r="F950" s="3"/>
      <c r="J950" s="3"/>
    </row>
    <row r="951" spans="6:10" ht="14.25" customHeight="1" x14ac:dyDescent="0.3">
      <c r="F951" s="3"/>
      <c r="J951" s="3"/>
    </row>
    <row r="952" spans="6:10" ht="14.25" customHeight="1" x14ac:dyDescent="0.3">
      <c r="F952" s="3"/>
      <c r="J952" s="3"/>
    </row>
    <row r="953" spans="6:10" ht="14.25" customHeight="1" x14ac:dyDescent="0.3">
      <c r="F953" s="3"/>
      <c r="J953" s="3"/>
    </row>
    <row r="954" spans="6:10" ht="14.25" customHeight="1" x14ac:dyDescent="0.3">
      <c r="F954" s="3"/>
      <c r="J954" s="3"/>
    </row>
    <row r="955" spans="6:10" ht="14.25" customHeight="1" x14ac:dyDescent="0.3">
      <c r="F955" s="3"/>
      <c r="J955" s="3"/>
    </row>
    <row r="956" spans="6:10" ht="14.25" customHeight="1" x14ac:dyDescent="0.3">
      <c r="F956" s="3"/>
      <c r="J956" s="3"/>
    </row>
    <row r="957" spans="6:10" ht="14.25" customHeight="1" x14ac:dyDescent="0.3">
      <c r="F957" s="3"/>
      <c r="J957" s="3"/>
    </row>
    <row r="958" spans="6:10" ht="14.25" customHeight="1" x14ac:dyDescent="0.3">
      <c r="F958" s="3"/>
      <c r="J958" s="3"/>
    </row>
    <row r="959" spans="6:10" ht="14.25" customHeight="1" x14ac:dyDescent="0.3">
      <c r="F959" s="3"/>
      <c r="J959" s="3"/>
    </row>
    <row r="960" spans="6:10" ht="14.25" customHeight="1" x14ac:dyDescent="0.3">
      <c r="F960" s="3"/>
      <c r="J960" s="3"/>
    </row>
    <row r="961" spans="6:10" ht="14.25" customHeight="1" x14ac:dyDescent="0.3">
      <c r="F961" s="3"/>
      <c r="J961" s="3"/>
    </row>
    <row r="962" spans="6:10" ht="14.25" customHeight="1" x14ac:dyDescent="0.3">
      <c r="F962" s="3"/>
      <c r="J962" s="3"/>
    </row>
    <row r="963" spans="6:10" ht="14.25" customHeight="1" x14ac:dyDescent="0.3">
      <c r="F963" s="3"/>
      <c r="J963" s="3"/>
    </row>
    <row r="964" spans="6:10" ht="14.25" customHeight="1" x14ac:dyDescent="0.3">
      <c r="F964" s="3"/>
      <c r="J964" s="3"/>
    </row>
    <row r="965" spans="6:10" ht="14.25" customHeight="1" x14ac:dyDescent="0.3">
      <c r="F965" s="3"/>
      <c r="J965" s="3"/>
    </row>
    <row r="966" spans="6:10" ht="14.25" customHeight="1" x14ac:dyDescent="0.3">
      <c r="F966" s="3"/>
      <c r="J966" s="3"/>
    </row>
    <row r="967" spans="6:10" ht="14.25" customHeight="1" x14ac:dyDescent="0.3">
      <c r="F967" s="3"/>
      <c r="J967" s="3"/>
    </row>
    <row r="968" spans="6:10" ht="14.25" customHeight="1" x14ac:dyDescent="0.3">
      <c r="F968" s="3"/>
      <c r="J968" s="3"/>
    </row>
    <row r="969" spans="6:10" ht="14.25" customHeight="1" x14ac:dyDescent="0.3">
      <c r="F969" s="3"/>
      <c r="J969" s="3"/>
    </row>
    <row r="970" spans="6:10" ht="14.25" customHeight="1" x14ac:dyDescent="0.3">
      <c r="F970" s="3"/>
      <c r="J970" s="3"/>
    </row>
    <row r="971" spans="6:10" ht="14.25" customHeight="1" x14ac:dyDescent="0.3">
      <c r="F971" s="3"/>
      <c r="J971" s="3"/>
    </row>
    <row r="972" spans="6:10" ht="14.25" customHeight="1" x14ac:dyDescent="0.3">
      <c r="F972" s="3"/>
      <c r="J972" s="3"/>
    </row>
    <row r="973" spans="6:10" ht="14.25" customHeight="1" x14ac:dyDescent="0.3">
      <c r="F973" s="3"/>
      <c r="J973" s="3"/>
    </row>
    <row r="974" spans="6:10" ht="14.25" customHeight="1" x14ac:dyDescent="0.3">
      <c r="F974" s="3"/>
      <c r="J974" s="3"/>
    </row>
    <row r="975" spans="6:10" ht="14.25" customHeight="1" x14ac:dyDescent="0.3">
      <c r="F975" s="3"/>
      <c r="J975" s="3"/>
    </row>
    <row r="976" spans="6:10" ht="14.25" customHeight="1" x14ac:dyDescent="0.3">
      <c r="F976" s="3"/>
      <c r="J976" s="3"/>
    </row>
    <row r="977" spans="6:10" ht="14.25" customHeight="1" x14ac:dyDescent="0.3">
      <c r="F977" s="3"/>
      <c r="J977" s="3"/>
    </row>
    <row r="978" spans="6:10" ht="14.25" customHeight="1" x14ac:dyDescent="0.3">
      <c r="F978" s="3"/>
      <c r="J978" s="3"/>
    </row>
    <row r="979" spans="6:10" ht="14.25" customHeight="1" x14ac:dyDescent="0.3">
      <c r="F979" s="3"/>
      <c r="J979" s="3"/>
    </row>
    <row r="980" spans="6:10" ht="14.25" customHeight="1" x14ac:dyDescent="0.3">
      <c r="F980" s="3"/>
      <c r="J980" s="3"/>
    </row>
    <row r="981" spans="6:10" ht="14.25" customHeight="1" x14ac:dyDescent="0.3">
      <c r="F981" s="3"/>
      <c r="J981" s="3"/>
    </row>
    <row r="982" spans="6:10" ht="14.25" customHeight="1" x14ac:dyDescent="0.3">
      <c r="F982" s="3"/>
      <c r="J982" s="3"/>
    </row>
    <row r="983" spans="6:10" ht="14.25" customHeight="1" x14ac:dyDescent="0.3">
      <c r="F983" s="3"/>
      <c r="J983" s="3"/>
    </row>
    <row r="984" spans="6:10" ht="14.25" customHeight="1" x14ac:dyDescent="0.3">
      <c r="F984" s="3"/>
      <c r="J984" s="3"/>
    </row>
    <row r="985" spans="6:10" ht="14.25" customHeight="1" x14ac:dyDescent="0.3">
      <c r="F985" s="3"/>
      <c r="J985" s="3"/>
    </row>
    <row r="986" spans="6:10" ht="14.25" customHeight="1" x14ac:dyDescent="0.3">
      <c r="F986" s="3"/>
      <c r="J986" s="3"/>
    </row>
    <row r="987" spans="6:10" ht="14.25" customHeight="1" x14ac:dyDescent="0.3">
      <c r="F987" s="3"/>
      <c r="J987" s="3"/>
    </row>
    <row r="988" spans="6:10" ht="14.25" customHeight="1" x14ac:dyDescent="0.3">
      <c r="F988" s="3"/>
      <c r="J988" s="3"/>
    </row>
    <row r="989" spans="6:10" ht="14.25" customHeight="1" x14ac:dyDescent="0.3">
      <c r="F989" s="3"/>
      <c r="J989" s="3"/>
    </row>
    <row r="990" spans="6:10" ht="14.25" customHeight="1" x14ac:dyDescent="0.3">
      <c r="F990" s="3"/>
      <c r="J990" s="3"/>
    </row>
    <row r="991" spans="6:10" ht="14.25" customHeight="1" x14ac:dyDescent="0.3">
      <c r="F991" s="3"/>
      <c r="J991" s="3"/>
    </row>
    <row r="992" spans="6:10" ht="14.25" customHeight="1" x14ac:dyDescent="0.3">
      <c r="F992" s="3"/>
      <c r="J992" s="3"/>
    </row>
    <row r="993" spans="6:10" ht="14.25" customHeight="1" x14ac:dyDescent="0.3">
      <c r="F993" s="3"/>
      <c r="J993" s="3"/>
    </row>
    <row r="994" spans="6:10" ht="14.25" customHeight="1" x14ac:dyDescent="0.3">
      <c r="F994" s="3"/>
      <c r="J994" s="3"/>
    </row>
    <row r="995" spans="6:10" ht="14.25" customHeight="1" x14ac:dyDescent="0.3">
      <c r="F995" s="3"/>
      <c r="J995" s="3"/>
    </row>
    <row r="996" spans="6:10" ht="14.25" customHeight="1" x14ac:dyDescent="0.3">
      <c r="F996" s="3"/>
      <c r="J996" s="3"/>
    </row>
    <row r="997" spans="6:10" ht="14.25" customHeight="1" x14ac:dyDescent="0.3">
      <c r="F997" s="3"/>
      <c r="J997" s="3"/>
    </row>
    <row r="998" spans="6:10" ht="14.25" customHeight="1" x14ac:dyDescent="0.3">
      <c r="F998" s="3"/>
      <c r="J998" s="3"/>
    </row>
    <row r="999" spans="6:10" ht="14.25" customHeight="1" x14ac:dyDescent="0.3">
      <c r="F999" s="3"/>
      <c r="J999" s="3"/>
    </row>
    <row r="1000" spans="6:10" ht="14.25" customHeight="1" x14ac:dyDescent="0.3">
      <c r="F1000" s="3"/>
      <c r="J1000" s="3"/>
    </row>
  </sheetData>
  <mergeCells count="1">
    <mergeCell ref="G4:I4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26C8-0789-4058-87B2-2989F17C32B7}">
  <dimension ref="A1:P3546"/>
  <sheetViews>
    <sheetView tabSelected="1" zoomScale="115" zoomScaleNormal="115" workbookViewId="0">
      <pane ySplit="1" topLeftCell="A3524" activePane="bottomLeft" state="frozen"/>
      <selection pane="bottomLeft" activeCell="A3536" sqref="A3536"/>
    </sheetView>
  </sheetViews>
  <sheetFormatPr defaultRowHeight="14.4" x14ac:dyDescent="0.3"/>
  <cols>
    <col min="1" max="1" width="4.5546875" customWidth="1"/>
    <col min="2" max="2" width="4.88671875" customWidth="1"/>
    <col min="3" max="3" width="17.109375" style="473" customWidth="1"/>
    <col min="4" max="4" width="13" style="353" customWidth="1"/>
    <col min="5" max="5" width="31.5546875" style="353" customWidth="1"/>
    <col min="6" max="6" width="17.33203125" style="97" customWidth="1"/>
    <col min="7" max="7" width="11.33203125" style="97" customWidth="1"/>
    <col min="8" max="8" width="11.109375" style="97" customWidth="1"/>
    <col min="9" max="9" width="12.33203125" customWidth="1"/>
    <col min="10" max="10" width="9.109375" hidden="1" customWidth="1"/>
    <col min="11" max="11" width="15.88671875" style="97" customWidth="1"/>
    <col min="12" max="12" width="18.5546875" customWidth="1"/>
    <col min="13" max="13" width="14.88671875" customWidth="1"/>
    <col min="14" max="14" width="19.109375" customWidth="1"/>
    <col min="15" max="15" width="18.6640625" customWidth="1"/>
  </cols>
  <sheetData>
    <row r="1" spans="1:15" s="278" customFormat="1" x14ac:dyDescent="0.3">
      <c r="C1" s="449" t="s">
        <v>26</v>
      </c>
      <c r="D1" s="326"/>
      <c r="E1" s="326" t="s">
        <v>27</v>
      </c>
      <c r="F1" s="291" t="s">
        <v>28</v>
      </c>
      <c r="G1" s="291" t="s">
        <v>29</v>
      </c>
      <c r="H1" s="291" t="s">
        <v>30</v>
      </c>
      <c r="K1" s="291" t="s">
        <v>31</v>
      </c>
      <c r="L1" s="278" t="s">
        <v>32</v>
      </c>
    </row>
    <row r="2" spans="1:15" x14ac:dyDescent="0.3">
      <c r="A2" s="302" t="s">
        <v>33</v>
      </c>
      <c r="B2" s="302" t="str">
        <f t="shared" ref="B2:B256" si="0">IF(H2="","N","Y")</f>
        <v>Y</v>
      </c>
      <c r="C2" s="6" t="s">
        <v>34</v>
      </c>
      <c r="D2" s="327"/>
      <c r="E2" s="327" t="s">
        <v>35</v>
      </c>
      <c r="F2" s="206"/>
      <c r="G2" s="206"/>
      <c r="H2" s="207">
        <v>43174</v>
      </c>
      <c r="K2" s="302">
        <v>7004733496</v>
      </c>
      <c r="L2" s="7" t="s">
        <v>36</v>
      </c>
      <c r="M2" s="208" t="s">
        <v>37</v>
      </c>
      <c r="N2" s="208">
        <v>23302812098</v>
      </c>
      <c r="O2" s="209" t="s">
        <v>38</v>
      </c>
    </row>
    <row r="3" spans="1:15" x14ac:dyDescent="0.3">
      <c r="A3" s="302" t="s">
        <v>33</v>
      </c>
      <c r="B3" s="302" t="str">
        <f t="shared" si="0"/>
        <v>Y</v>
      </c>
      <c r="C3" s="6" t="s">
        <v>39</v>
      </c>
      <c r="D3" s="327"/>
      <c r="E3" s="327" t="s">
        <v>40</v>
      </c>
      <c r="F3" s="206"/>
      <c r="G3" s="207"/>
      <c r="H3" s="207">
        <v>43175</v>
      </c>
      <c r="K3" s="302">
        <v>7761830778</v>
      </c>
      <c r="L3" s="7" t="s">
        <v>41</v>
      </c>
      <c r="M3" s="208" t="s">
        <v>42</v>
      </c>
      <c r="N3" s="208" t="s">
        <v>43</v>
      </c>
      <c r="O3" s="209" t="s">
        <v>38</v>
      </c>
    </row>
    <row r="4" spans="1:15" x14ac:dyDescent="0.3">
      <c r="A4" s="302" t="s">
        <v>33</v>
      </c>
      <c r="B4" s="302" t="str">
        <f t="shared" si="0"/>
        <v>Y</v>
      </c>
      <c r="C4" s="6" t="s">
        <v>44</v>
      </c>
      <c r="D4" s="327"/>
      <c r="E4" s="327" t="s">
        <v>45</v>
      </c>
      <c r="F4" s="206"/>
      <c r="G4" s="207"/>
      <c r="H4" s="207">
        <v>43174</v>
      </c>
      <c r="K4" s="302">
        <v>9102518453</v>
      </c>
      <c r="L4" s="210" t="s">
        <v>46</v>
      </c>
      <c r="M4" s="208" t="s">
        <v>47</v>
      </c>
      <c r="N4" s="208" t="s">
        <v>48</v>
      </c>
      <c r="O4" s="209" t="s">
        <v>38</v>
      </c>
    </row>
    <row r="5" spans="1:15" x14ac:dyDescent="0.3">
      <c r="A5" s="302" t="s">
        <v>33</v>
      </c>
      <c r="B5" s="302" t="str">
        <f t="shared" si="0"/>
        <v>Y</v>
      </c>
      <c r="C5" s="6" t="s">
        <v>49</v>
      </c>
      <c r="D5" s="327"/>
      <c r="E5" s="327" t="s">
        <v>50</v>
      </c>
      <c r="F5" s="206"/>
      <c r="G5" s="207"/>
      <c r="H5" s="207">
        <v>43174</v>
      </c>
      <c r="K5" s="302">
        <v>8084495149</v>
      </c>
      <c r="L5" s="7" t="s">
        <v>51</v>
      </c>
      <c r="M5" s="208" t="s">
        <v>52</v>
      </c>
      <c r="N5" s="208" t="s">
        <v>53</v>
      </c>
      <c r="O5" s="209" t="s">
        <v>38</v>
      </c>
    </row>
    <row r="6" spans="1:15" x14ac:dyDescent="0.3">
      <c r="A6" s="302" t="s">
        <v>33</v>
      </c>
      <c r="B6" s="302" t="str">
        <f t="shared" si="0"/>
        <v>Y</v>
      </c>
      <c r="C6" s="6" t="s">
        <v>54</v>
      </c>
      <c r="D6" s="327"/>
      <c r="E6" s="327" t="s">
        <v>55</v>
      </c>
      <c r="F6" s="206"/>
      <c r="G6" s="207"/>
      <c r="H6" s="207">
        <v>43174</v>
      </c>
      <c r="K6" s="302">
        <v>8235274380</v>
      </c>
      <c r="L6" s="7" t="s">
        <v>56</v>
      </c>
      <c r="M6" s="208" t="s">
        <v>52</v>
      </c>
      <c r="N6" s="208" t="s">
        <v>57</v>
      </c>
      <c r="O6" s="209" t="s">
        <v>38</v>
      </c>
    </row>
    <row r="7" spans="1:15" x14ac:dyDescent="0.3">
      <c r="A7" s="302" t="s">
        <v>33</v>
      </c>
      <c r="B7" s="302" t="str">
        <f t="shared" si="0"/>
        <v>Y</v>
      </c>
      <c r="C7" s="6" t="s">
        <v>58</v>
      </c>
      <c r="D7" s="327"/>
      <c r="E7" s="327" t="s">
        <v>59</v>
      </c>
      <c r="F7" s="206"/>
      <c r="G7" s="207"/>
      <c r="H7" s="207">
        <v>43174</v>
      </c>
      <c r="K7" s="302">
        <v>7209963506</v>
      </c>
      <c r="L7" s="7" t="s">
        <v>60</v>
      </c>
      <c r="M7" s="211">
        <v>43188</v>
      </c>
      <c r="N7" s="208" t="s">
        <v>61</v>
      </c>
      <c r="O7" s="209" t="s">
        <v>38</v>
      </c>
    </row>
    <row r="8" spans="1:15" x14ac:dyDescent="0.3">
      <c r="A8" s="302" t="s">
        <v>33</v>
      </c>
      <c r="B8" s="302" t="str">
        <f t="shared" si="0"/>
        <v>Y</v>
      </c>
      <c r="C8" s="6" t="s">
        <v>62</v>
      </c>
      <c r="D8" s="327"/>
      <c r="E8" s="327" t="s">
        <v>63</v>
      </c>
      <c r="F8" s="206"/>
      <c r="G8" s="207"/>
      <c r="H8" s="207">
        <v>43175</v>
      </c>
      <c r="K8" s="302">
        <v>7646050301</v>
      </c>
      <c r="L8" s="7" t="s">
        <v>64</v>
      </c>
      <c r="M8" s="208" t="s">
        <v>65</v>
      </c>
      <c r="N8" s="208">
        <v>23302750122</v>
      </c>
      <c r="O8" s="209" t="s">
        <v>38</v>
      </c>
    </row>
    <row r="9" spans="1:15" x14ac:dyDescent="0.3">
      <c r="A9" s="302" t="s">
        <v>33</v>
      </c>
      <c r="B9" s="302" t="str">
        <f t="shared" si="0"/>
        <v>Y</v>
      </c>
      <c r="C9" s="6" t="s">
        <v>66</v>
      </c>
      <c r="D9" s="327"/>
      <c r="E9" s="327" t="s">
        <v>67</v>
      </c>
      <c r="F9" s="206"/>
      <c r="G9" s="207">
        <v>43175</v>
      </c>
      <c r="H9" s="207">
        <v>43175</v>
      </c>
      <c r="K9" s="302">
        <v>9470554257</v>
      </c>
      <c r="L9" s="7" t="s">
        <v>68</v>
      </c>
      <c r="M9" s="212"/>
      <c r="N9" s="213"/>
      <c r="O9" s="209"/>
    </row>
    <row r="10" spans="1:15" x14ac:dyDescent="0.3">
      <c r="A10" s="302" t="s">
        <v>33</v>
      </c>
      <c r="B10" s="302" t="str">
        <f t="shared" si="0"/>
        <v>Y</v>
      </c>
      <c r="C10" s="6" t="s">
        <v>69</v>
      </c>
      <c r="D10" s="327"/>
      <c r="E10" s="327" t="s">
        <v>70</v>
      </c>
      <c r="F10" s="206" t="s">
        <v>71</v>
      </c>
      <c r="G10" s="207">
        <v>43175</v>
      </c>
      <c r="H10" s="207">
        <v>43177</v>
      </c>
      <c r="K10" s="302">
        <v>9204483558</v>
      </c>
      <c r="L10" s="7" t="s">
        <v>72</v>
      </c>
      <c r="M10" s="208" t="s">
        <v>73</v>
      </c>
      <c r="N10" s="208" t="s">
        <v>74</v>
      </c>
      <c r="O10" s="209"/>
    </row>
    <row r="11" spans="1:15" x14ac:dyDescent="0.3">
      <c r="A11" s="214" t="s">
        <v>33</v>
      </c>
      <c r="B11" s="302" t="str">
        <f t="shared" si="0"/>
        <v>Y</v>
      </c>
      <c r="C11" s="6" t="s">
        <v>75</v>
      </c>
      <c r="D11" s="327"/>
      <c r="E11" s="327" t="s">
        <v>76</v>
      </c>
      <c r="F11" s="206"/>
      <c r="G11" s="207">
        <v>43175</v>
      </c>
      <c r="H11" s="207">
        <v>43177</v>
      </c>
      <c r="K11" s="302">
        <v>9431172576</v>
      </c>
      <c r="L11" s="210" t="s">
        <v>77</v>
      </c>
      <c r="M11" s="208" t="s">
        <v>78</v>
      </c>
      <c r="N11" s="208">
        <v>23302773052</v>
      </c>
      <c r="O11" s="209" t="s">
        <v>38</v>
      </c>
    </row>
    <row r="12" spans="1:15" x14ac:dyDescent="0.3">
      <c r="A12" s="302" t="s">
        <v>33</v>
      </c>
      <c r="B12" s="302" t="str">
        <f t="shared" si="0"/>
        <v>Y</v>
      </c>
      <c r="C12" s="6" t="s">
        <v>79</v>
      </c>
      <c r="D12" s="327"/>
      <c r="E12" s="327" t="s">
        <v>80</v>
      </c>
      <c r="F12" s="206"/>
      <c r="G12" s="207">
        <v>43177</v>
      </c>
      <c r="H12" s="207">
        <v>43177</v>
      </c>
      <c r="K12" s="302">
        <v>8986761085</v>
      </c>
      <c r="L12" s="210" t="s">
        <v>81</v>
      </c>
      <c r="M12" s="211">
        <v>43190</v>
      </c>
      <c r="N12" s="208">
        <v>23302739641</v>
      </c>
      <c r="O12" s="209" t="s">
        <v>38</v>
      </c>
    </row>
    <row r="13" spans="1:15" x14ac:dyDescent="0.3">
      <c r="A13" s="302" t="s">
        <v>33</v>
      </c>
      <c r="B13" s="302" t="str">
        <f t="shared" si="0"/>
        <v>Y</v>
      </c>
      <c r="C13" s="6" t="s">
        <v>82</v>
      </c>
      <c r="D13" s="327"/>
      <c r="E13" s="327" t="s">
        <v>83</v>
      </c>
      <c r="F13" s="206"/>
      <c r="G13" s="207">
        <v>43178</v>
      </c>
      <c r="H13" s="207">
        <v>43178</v>
      </c>
      <c r="K13" s="302">
        <v>8434515278</v>
      </c>
      <c r="L13" s="210" t="s">
        <v>84</v>
      </c>
      <c r="M13" s="208" t="s">
        <v>85</v>
      </c>
      <c r="N13" s="208" t="s">
        <v>86</v>
      </c>
      <c r="O13" s="209" t="s">
        <v>38</v>
      </c>
    </row>
    <row r="14" spans="1:15" x14ac:dyDescent="0.3">
      <c r="A14" s="302" t="s">
        <v>33</v>
      </c>
      <c r="B14" s="302" t="str">
        <f t="shared" si="0"/>
        <v>Y</v>
      </c>
      <c r="C14" s="6" t="s">
        <v>87</v>
      </c>
      <c r="D14" s="327"/>
      <c r="E14" s="327" t="s">
        <v>88</v>
      </c>
      <c r="F14" s="206"/>
      <c r="G14" s="207">
        <v>43180</v>
      </c>
      <c r="H14" s="207">
        <v>43179</v>
      </c>
      <c r="K14" s="302">
        <v>9801613001</v>
      </c>
      <c r="L14" s="7" t="s">
        <v>68</v>
      </c>
      <c r="M14" s="212"/>
      <c r="N14" s="213"/>
      <c r="O14" s="209"/>
    </row>
    <row r="15" spans="1:15" x14ac:dyDescent="0.3">
      <c r="A15" s="302" t="s">
        <v>33</v>
      </c>
      <c r="B15" s="302" t="str">
        <f t="shared" si="0"/>
        <v>Y</v>
      </c>
      <c r="C15" s="6" t="s">
        <v>89</v>
      </c>
      <c r="D15" s="327"/>
      <c r="E15" s="327" t="s">
        <v>90</v>
      </c>
      <c r="F15" s="206"/>
      <c r="G15" s="207">
        <v>43179</v>
      </c>
      <c r="H15" s="207">
        <v>43179</v>
      </c>
      <c r="K15" s="302">
        <v>8274068540</v>
      </c>
      <c r="L15" s="7" t="s">
        <v>91</v>
      </c>
      <c r="M15" s="208" t="s">
        <v>92</v>
      </c>
      <c r="N15" s="208">
        <v>23302827410</v>
      </c>
      <c r="O15" s="209" t="s">
        <v>38</v>
      </c>
    </row>
    <row r="16" spans="1:15" x14ac:dyDescent="0.3">
      <c r="A16" s="302" t="s">
        <v>33</v>
      </c>
      <c r="B16" s="302" t="str">
        <f t="shared" si="0"/>
        <v>Y</v>
      </c>
      <c r="C16" s="6" t="s">
        <v>93</v>
      </c>
      <c r="D16" s="327"/>
      <c r="E16" s="327" t="s">
        <v>94</v>
      </c>
      <c r="F16" s="206"/>
      <c r="G16" s="207">
        <v>43179</v>
      </c>
      <c r="H16" s="207">
        <v>43187</v>
      </c>
      <c r="K16" s="302">
        <v>7209474759</v>
      </c>
      <c r="L16" s="7" t="s">
        <v>95</v>
      </c>
      <c r="M16" s="211">
        <v>43207</v>
      </c>
      <c r="N16" s="208" t="s">
        <v>96</v>
      </c>
      <c r="O16" s="209"/>
    </row>
    <row r="17" spans="1:15" x14ac:dyDescent="0.3">
      <c r="A17" s="214" t="s">
        <v>33</v>
      </c>
      <c r="B17" s="302" t="str">
        <f t="shared" si="0"/>
        <v>Y</v>
      </c>
      <c r="C17" s="6" t="s">
        <v>97</v>
      </c>
      <c r="D17" s="327"/>
      <c r="E17" s="327" t="s">
        <v>98</v>
      </c>
      <c r="F17" s="206"/>
      <c r="G17" s="207">
        <v>43180</v>
      </c>
      <c r="H17" s="207">
        <v>43182</v>
      </c>
      <c r="K17" s="302">
        <v>8986633963</v>
      </c>
      <c r="L17" s="7"/>
      <c r="M17" s="212" t="s">
        <v>99</v>
      </c>
      <c r="N17" s="213"/>
      <c r="O17" s="209"/>
    </row>
    <row r="18" spans="1:15" x14ac:dyDescent="0.3">
      <c r="A18" s="302" t="s">
        <v>33</v>
      </c>
      <c r="B18" s="302" t="str">
        <f t="shared" si="0"/>
        <v>Y</v>
      </c>
      <c r="C18" s="6" t="s">
        <v>100</v>
      </c>
      <c r="D18" s="327"/>
      <c r="E18" s="327" t="s">
        <v>101</v>
      </c>
      <c r="F18" s="206"/>
      <c r="G18" s="207">
        <v>43180</v>
      </c>
      <c r="H18" s="207">
        <v>43182</v>
      </c>
      <c r="K18" s="302">
        <v>7367828074</v>
      </c>
      <c r="L18" s="7" t="s">
        <v>68</v>
      </c>
      <c r="M18" s="212"/>
      <c r="N18" s="213"/>
      <c r="O18" s="209"/>
    </row>
    <row r="19" spans="1:15" x14ac:dyDescent="0.3">
      <c r="A19" s="302" t="s">
        <v>33</v>
      </c>
      <c r="B19" s="302" t="str">
        <f t="shared" si="0"/>
        <v>Y</v>
      </c>
      <c r="C19" s="6" t="s">
        <v>102</v>
      </c>
      <c r="D19" s="327"/>
      <c r="E19" s="327" t="s">
        <v>103</v>
      </c>
      <c r="F19" s="206"/>
      <c r="G19" s="207">
        <v>43180</v>
      </c>
      <c r="H19" s="207">
        <v>43182</v>
      </c>
      <c r="K19" s="302">
        <v>8797270007</v>
      </c>
      <c r="L19" s="7" t="s">
        <v>104</v>
      </c>
      <c r="M19" s="211">
        <v>43207</v>
      </c>
      <c r="N19" s="208" t="s">
        <v>105</v>
      </c>
      <c r="O19" s="209"/>
    </row>
    <row r="20" spans="1:15" x14ac:dyDescent="0.3">
      <c r="A20" s="302" t="s">
        <v>33</v>
      </c>
      <c r="B20" s="302" t="str">
        <f t="shared" si="0"/>
        <v>Y</v>
      </c>
      <c r="C20" s="6" t="s">
        <v>106</v>
      </c>
      <c r="D20" s="327"/>
      <c r="E20" s="327" t="s">
        <v>107</v>
      </c>
      <c r="F20" s="206"/>
      <c r="G20" s="207">
        <v>43180</v>
      </c>
      <c r="H20" s="207">
        <v>43182</v>
      </c>
      <c r="K20" s="302">
        <v>8092713108</v>
      </c>
      <c r="L20" s="7" t="s">
        <v>108</v>
      </c>
      <c r="M20" s="208" t="s">
        <v>92</v>
      </c>
      <c r="N20" s="208" t="s">
        <v>109</v>
      </c>
      <c r="O20" s="209" t="s">
        <v>38</v>
      </c>
    </row>
    <row r="21" spans="1:15" x14ac:dyDescent="0.3">
      <c r="A21" s="302" t="s">
        <v>33</v>
      </c>
      <c r="B21" s="302" t="str">
        <f t="shared" si="0"/>
        <v>Y</v>
      </c>
      <c r="C21" s="6" t="s">
        <v>110</v>
      </c>
      <c r="D21" s="327"/>
      <c r="E21" s="327" t="s">
        <v>111</v>
      </c>
      <c r="F21" s="206"/>
      <c r="G21" s="207">
        <v>43181</v>
      </c>
      <c r="H21" s="207">
        <v>43182</v>
      </c>
      <c r="K21" s="302">
        <v>7482084122</v>
      </c>
      <c r="L21" s="7" t="s">
        <v>112</v>
      </c>
      <c r="M21" s="208" t="s">
        <v>85</v>
      </c>
      <c r="N21" s="208" t="s">
        <v>113</v>
      </c>
      <c r="O21" s="209" t="s">
        <v>38</v>
      </c>
    </row>
    <row r="22" spans="1:15" ht="15.6" x14ac:dyDescent="0.3">
      <c r="A22" s="302" t="s">
        <v>33</v>
      </c>
      <c r="B22" s="302" t="str">
        <f t="shared" si="0"/>
        <v>Y</v>
      </c>
      <c r="C22" s="6" t="s">
        <v>114</v>
      </c>
      <c r="D22" s="327"/>
      <c r="E22" s="327" t="s">
        <v>115</v>
      </c>
      <c r="F22" s="206"/>
      <c r="G22" s="207">
        <v>43182</v>
      </c>
      <c r="H22" s="207">
        <v>43182</v>
      </c>
      <c r="K22" s="302">
        <v>9470164009</v>
      </c>
      <c r="L22" s="7" t="s">
        <v>116</v>
      </c>
      <c r="M22" s="208" t="s">
        <v>117</v>
      </c>
      <c r="N22" s="215">
        <v>23302840435</v>
      </c>
      <c r="O22" s="209" t="s">
        <v>38</v>
      </c>
    </row>
    <row r="23" spans="1:15" ht="15.6" x14ac:dyDescent="0.3">
      <c r="A23" s="302" t="s">
        <v>33</v>
      </c>
      <c r="B23" s="302" t="str">
        <f t="shared" si="0"/>
        <v>Y</v>
      </c>
      <c r="C23" s="6" t="s">
        <v>118</v>
      </c>
      <c r="D23" s="327"/>
      <c r="E23" s="327" t="s">
        <v>119</v>
      </c>
      <c r="F23" s="206"/>
      <c r="G23" s="207">
        <v>43182</v>
      </c>
      <c r="H23" s="207">
        <v>43183</v>
      </c>
      <c r="K23" s="302">
        <v>9631380704</v>
      </c>
      <c r="L23" s="2" t="s">
        <v>120</v>
      </c>
      <c r="M23" s="208" t="s">
        <v>121</v>
      </c>
      <c r="N23" s="215">
        <v>23302885929</v>
      </c>
      <c r="O23" s="209"/>
    </row>
    <row r="24" spans="1:15" x14ac:dyDescent="0.3">
      <c r="A24" s="302" t="s">
        <v>33</v>
      </c>
      <c r="B24" s="302" t="str">
        <f t="shared" si="0"/>
        <v>Y</v>
      </c>
      <c r="C24" s="6" t="s">
        <v>122</v>
      </c>
      <c r="D24" s="327"/>
      <c r="E24" s="327" t="s">
        <v>123</v>
      </c>
      <c r="F24" s="206"/>
      <c r="G24" s="207">
        <v>43182</v>
      </c>
      <c r="H24" s="207">
        <v>43183</v>
      </c>
      <c r="K24" s="302">
        <v>9852347679</v>
      </c>
      <c r="M24" s="212"/>
      <c r="N24" s="213"/>
      <c r="O24" s="209"/>
    </row>
    <row r="25" spans="1:15" x14ac:dyDescent="0.3">
      <c r="A25" s="302" t="s">
        <v>33</v>
      </c>
      <c r="B25" s="302" t="str">
        <f t="shared" si="0"/>
        <v>Y</v>
      </c>
      <c r="C25" s="6" t="s">
        <v>124</v>
      </c>
      <c r="D25" s="327"/>
      <c r="E25" s="327" t="s">
        <v>125</v>
      </c>
      <c r="F25" s="206"/>
      <c r="G25" s="207">
        <v>43183</v>
      </c>
      <c r="H25" s="207">
        <v>43183</v>
      </c>
      <c r="K25" s="302">
        <v>8603825071</v>
      </c>
      <c r="L25" s="7" t="s">
        <v>126</v>
      </c>
      <c r="M25" s="211">
        <v>43207</v>
      </c>
      <c r="N25" s="208" t="s">
        <v>127</v>
      </c>
      <c r="O25" s="209"/>
    </row>
    <row r="26" spans="1:15" x14ac:dyDescent="0.3">
      <c r="A26" s="302" t="s">
        <v>33</v>
      </c>
      <c r="B26" s="302" t="str">
        <f t="shared" si="0"/>
        <v>Y</v>
      </c>
      <c r="C26" s="6" t="s">
        <v>128</v>
      </c>
      <c r="D26" s="327"/>
      <c r="E26" s="327" t="s">
        <v>129</v>
      </c>
      <c r="F26" s="206"/>
      <c r="G26" s="207">
        <v>43183</v>
      </c>
      <c r="H26" s="207">
        <v>43183</v>
      </c>
      <c r="K26" s="302">
        <v>8603825071</v>
      </c>
      <c r="L26" s="7" t="s">
        <v>130</v>
      </c>
      <c r="M26" s="208" t="s">
        <v>131</v>
      </c>
      <c r="N26" s="208">
        <v>23302905356</v>
      </c>
      <c r="O26" s="209"/>
    </row>
    <row r="27" spans="1:15" x14ac:dyDescent="0.3">
      <c r="A27" s="302" t="s">
        <v>33</v>
      </c>
      <c r="B27" s="302" t="str">
        <f t="shared" si="0"/>
        <v>Y</v>
      </c>
      <c r="C27" s="6" t="s">
        <v>132</v>
      </c>
      <c r="D27" s="327"/>
      <c r="E27" s="327" t="s">
        <v>133</v>
      </c>
      <c r="F27" s="206"/>
      <c r="G27" s="207">
        <v>43183</v>
      </c>
      <c r="H27" s="207">
        <v>43183</v>
      </c>
      <c r="K27" s="302">
        <v>9234514411</v>
      </c>
      <c r="L27" s="7"/>
      <c r="M27" s="212" t="s">
        <v>134</v>
      </c>
      <c r="N27" s="213"/>
      <c r="O27" s="209"/>
    </row>
    <row r="28" spans="1:15" x14ac:dyDescent="0.3">
      <c r="A28" s="302" t="s">
        <v>33</v>
      </c>
      <c r="B28" s="302" t="str">
        <f t="shared" si="0"/>
        <v>Y</v>
      </c>
      <c r="C28" s="6" t="s">
        <v>135</v>
      </c>
      <c r="D28" s="327"/>
      <c r="E28" s="327" t="s">
        <v>136</v>
      </c>
      <c r="F28" s="206"/>
      <c r="G28" s="207">
        <v>43183</v>
      </c>
      <c r="H28" s="207">
        <v>43186</v>
      </c>
      <c r="K28" s="302">
        <v>7209145688</v>
      </c>
      <c r="L28" s="7" t="s">
        <v>137</v>
      </c>
      <c r="M28" s="208" t="s">
        <v>92</v>
      </c>
      <c r="N28" s="208" t="s">
        <v>138</v>
      </c>
      <c r="O28" s="209" t="s">
        <v>38</v>
      </c>
    </row>
    <row r="29" spans="1:15" x14ac:dyDescent="0.3">
      <c r="A29" s="302" t="s">
        <v>33</v>
      </c>
      <c r="B29" s="302" t="str">
        <f t="shared" si="0"/>
        <v>Y</v>
      </c>
      <c r="C29" s="6" t="s">
        <v>139</v>
      </c>
      <c r="D29" s="327"/>
      <c r="E29" s="327" t="s">
        <v>140</v>
      </c>
      <c r="F29" s="206"/>
      <c r="G29" s="207">
        <v>43184</v>
      </c>
      <c r="H29" s="207">
        <v>43186</v>
      </c>
      <c r="K29" s="302">
        <v>9234551750</v>
      </c>
      <c r="L29" s="7" t="s">
        <v>141</v>
      </c>
      <c r="M29" s="212" t="s">
        <v>92</v>
      </c>
      <c r="N29" s="208">
        <v>23302830181</v>
      </c>
      <c r="O29" s="209" t="s">
        <v>38</v>
      </c>
    </row>
    <row r="30" spans="1:15" x14ac:dyDescent="0.3">
      <c r="A30" s="302" t="s">
        <v>33</v>
      </c>
      <c r="B30" s="302" t="str">
        <f t="shared" si="0"/>
        <v>Y</v>
      </c>
      <c r="C30" s="6" t="s">
        <v>142</v>
      </c>
      <c r="D30" s="327"/>
      <c r="E30" s="327" t="s">
        <v>143</v>
      </c>
      <c r="F30" s="206"/>
      <c r="G30" s="207">
        <v>43184</v>
      </c>
      <c r="H30" s="207">
        <v>43192</v>
      </c>
      <c r="K30" s="302">
        <v>9234551750</v>
      </c>
      <c r="M30" s="212"/>
      <c r="N30" s="213"/>
      <c r="O30" s="209"/>
    </row>
    <row r="31" spans="1:15" x14ac:dyDescent="0.3">
      <c r="A31" s="302" t="s">
        <v>33</v>
      </c>
      <c r="B31" s="302" t="str">
        <f t="shared" si="0"/>
        <v>Y</v>
      </c>
      <c r="C31" s="6" t="s">
        <v>144</v>
      </c>
      <c r="D31" s="327"/>
      <c r="E31" s="327" t="s">
        <v>145</v>
      </c>
      <c r="F31" s="206"/>
      <c r="G31" s="207">
        <v>43186</v>
      </c>
      <c r="H31" s="207">
        <v>43186</v>
      </c>
      <c r="K31" s="302">
        <v>8235130354</v>
      </c>
      <c r="L31" s="7" t="s">
        <v>146</v>
      </c>
      <c r="M31" s="208" t="s">
        <v>92</v>
      </c>
      <c r="N31" s="208" t="s">
        <v>147</v>
      </c>
      <c r="O31" s="209"/>
    </row>
    <row r="32" spans="1:15" x14ac:dyDescent="0.3">
      <c r="A32" s="302" t="s">
        <v>33</v>
      </c>
      <c r="B32" s="302" t="str">
        <f t="shared" si="0"/>
        <v>Y</v>
      </c>
      <c r="C32" s="6" t="s">
        <v>148</v>
      </c>
      <c r="D32" s="327"/>
      <c r="E32" s="327" t="s">
        <v>149</v>
      </c>
      <c r="F32" s="206"/>
      <c r="G32" s="207">
        <v>43186</v>
      </c>
      <c r="H32" s="207">
        <v>43187</v>
      </c>
      <c r="K32" s="302">
        <v>7091997572</v>
      </c>
      <c r="M32" s="212"/>
      <c r="N32" s="213"/>
      <c r="O32" s="209"/>
    </row>
    <row r="33" spans="1:15" x14ac:dyDescent="0.3">
      <c r="A33" s="302" t="s">
        <v>33</v>
      </c>
      <c r="B33" s="302" t="str">
        <f t="shared" si="0"/>
        <v>Y</v>
      </c>
      <c r="C33" s="6" t="s">
        <v>150</v>
      </c>
      <c r="D33" s="327"/>
      <c r="E33" s="327" t="s">
        <v>151</v>
      </c>
      <c r="F33" s="206"/>
      <c r="G33" s="207">
        <v>43187</v>
      </c>
      <c r="H33" s="207">
        <v>43188</v>
      </c>
      <c r="K33" s="302">
        <v>8092248694</v>
      </c>
      <c r="M33" s="212"/>
      <c r="N33" s="213"/>
      <c r="O33" s="209"/>
    </row>
    <row r="34" spans="1:15" x14ac:dyDescent="0.3">
      <c r="A34" s="302" t="s">
        <v>33</v>
      </c>
      <c r="B34" s="302" t="str">
        <f t="shared" si="0"/>
        <v>Y</v>
      </c>
      <c r="C34" s="6" t="s">
        <v>152</v>
      </c>
      <c r="D34" s="327"/>
      <c r="E34" s="327" t="s">
        <v>153</v>
      </c>
      <c r="F34" s="206"/>
      <c r="G34" s="207">
        <v>43187</v>
      </c>
      <c r="H34" s="207">
        <v>43188</v>
      </c>
      <c r="K34" s="302">
        <v>9031723899</v>
      </c>
      <c r="L34" s="7" t="s">
        <v>154</v>
      </c>
      <c r="M34" s="212"/>
      <c r="N34" s="213"/>
      <c r="O34" s="213">
        <v>831004</v>
      </c>
    </row>
    <row r="35" spans="1:15" x14ac:dyDescent="0.3">
      <c r="A35" s="302" t="s">
        <v>155</v>
      </c>
      <c r="B35" s="302" t="str">
        <f t="shared" si="0"/>
        <v>Y</v>
      </c>
      <c r="C35" s="6" t="s">
        <v>156</v>
      </c>
      <c r="D35" s="327"/>
      <c r="E35" s="327" t="s">
        <v>157</v>
      </c>
      <c r="F35" s="206"/>
      <c r="G35" s="207">
        <v>43188</v>
      </c>
      <c r="H35" s="207">
        <v>43188</v>
      </c>
      <c r="K35" s="302">
        <v>7209717847</v>
      </c>
      <c r="L35" s="7" t="s">
        <v>158</v>
      </c>
      <c r="M35" s="208" t="s">
        <v>159</v>
      </c>
      <c r="N35" s="208">
        <v>23302925177</v>
      </c>
      <c r="O35" s="213">
        <v>831003</v>
      </c>
    </row>
    <row r="36" spans="1:15" x14ac:dyDescent="0.3">
      <c r="A36" s="302" t="s">
        <v>155</v>
      </c>
      <c r="B36" s="302" t="str">
        <f t="shared" si="0"/>
        <v>Y</v>
      </c>
      <c r="C36" s="6" t="s">
        <v>160</v>
      </c>
      <c r="D36" s="327"/>
      <c r="E36" s="327" t="s">
        <v>161</v>
      </c>
      <c r="F36" s="206"/>
      <c r="G36" s="207">
        <v>43188</v>
      </c>
      <c r="H36" s="207">
        <v>43190</v>
      </c>
      <c r="K36" s="302">
        <v>9279217946</v>
      </c>
      <c r="L36" s="7" t="s">
        <v>162</v>
      </c>
      <c r="M36" s="212"/>
      <c r="N36" s="213"/>
      <c r="O36" s="213">
        <v>831004</v>
      </c>
    </row>
    <row r="37" spans="1:15" x14ac:dyDescent="0.3">
      <c r="A37" s="302" t="s">
        <v>155</v>
      </c>
      <c r="B37" s="302" t="str">
        <f t="shared" si="0"/>
        <v>Y</v>
      </c>
      <c r="C37" s="6" t="s">
        <v>163</v>
      </c>
      <c r="D37" s="327"/>
      <c r="E37" s="327" t="s">
        <v>164</v>
      </c>
      <c r="F37" s="206"/>
      <c r="G37" s="207">
        <v>43188</v>
      </c>
      <c r="H37" s="207">
        <v>43190</v>
      </c>
      <c r="K37" s="302">
        <v>9234514411</v>
      </c>
      <c r="M37" s="212"/>
      <c r="N37" s="213"/>
      <c r="O37" s="213">
        <v>831004</v>
      </c>
    </row>
    <row r="38" spans="1:15" x14ac:dyDescent="0.3">
      <c r="A38" s="302" t="s">
        <v>155</v>
      </c>
      <c r="B38" s="302" t="str">
        <f t="shared" si="0"/>
        <v>Y</v>
      </c>
      <c r="C38" s="6" t="s">
        <v>165</v>
      </c>
      <c r="D38" s="327"/>
      <c r="E38" s="327" t="s">
        <v>166</v>
      </c>
      <c r="F38" s="206"/>
      <c r="G38" s="207">
        <v>43190</v>
      </c>
      <c r="H38" s="207">
        <v>43163</v>
      </c>
      <c r="K38" s="302">
        <v>9031331561</v>
      </c>
      <c r="L38" s="216" t="s">
        <v>167</v>
      </c>
      <c r="M38" s="217" t="s">
        <v>168</v>
      </c>
      <c r="N38" s="213"/>
      <c r="O38" s="213">
        <v>831004</v>
      </c>
    </row>
    <row r="39" spans="1:15" x14ac:dyDescent="0.3">
      <c r="A39" s="302" t="s">
        <v>155</v>
      </c>
      <c r="B39" s="302" t="str">
        <f t="shared" si="0"/>
        <v>N</v>
      </c>
      <c r="C39" s="6" t="s">
        <v>169</v>
      </c>
      <c r="D39" s="327"/>
      <c r="E39" s="327" t="s">
        <v>170</v>
      </c>
      <c r="F39" s="206"/>
      <c r="G39" s="207">
        <v>43190</v>
      </c>
      <c r="H39" s="207"/>
      <c r="K39" s="302">
        <v>7367883102</v>
      </c>
      <c r="M39" s="212"/>
      <c r="N39" s="213"/>
      <c r="O39" s="213"/>
    </row>
    <row r="40" spans="1:15" x14ac:dyDescent="0.3">
      <c r="A40" s="302" t="s">
        <v>155</v>
      </c>
      <c r="B40" s="302" t="str">
        <f t="shared" si="0"/>
        <v>Y</v>
      </c>
      <c r="C40" s="6" t="s">
        <v>171</v>
      </c>
      <c r="D40" s="327"/>
      <c r="E40" s="327" t="s">
        <v>172</v>
      </c>
      <c r="F40" s="206"/>
      <c r="G40" s="207">
        <v>43191</v>
      </c>
      <c r="H40" s="207">
        <v>43192</v>
      </c>
      <c r="K40" s="302">
        <v>9955828481</v>
      </c>
      <c r="L40" s="7" t="s">
        <v>173</v>
      </c>
      <c r="M40" s="211">
        <v>43211</v>
      </c>
      <c r="N40" s="208" t="s">
        <v>174</v>
      </c>
      <c r="O40" s="213">
        <v>835223</v>
      </c>
    </row>
    <row r="41" spans="1:15" x14ac:dyDescent="0.3">
      <c r="A41" s="302" t="s">
        <v>155</v>
      </c>
      <c r="B41" s="302" t="str">
        <f t="shared" si="0"/>
        <v>Y</v>
      </c>
      <c r="C41" s="6" t="s">
        <v>175</v>
      </c>
      <c r="D41" s="327"/>
      <c r="E41" s="327" t="s">
        <v>176</v>
      </c>
      <c r="F41" s="206"/>
      <c r="G41" s="207">
        <v>43192</v>
      </c>
      <c r="H41" s="207">
        <v>43193</v>
      </c>
      <c r="K41" s="302">
        <v>7739952868</v>
      </c>
      <c r="L41" s="7" t="s">
        <v>177</v>
      </c>
      <c r="M41" s="208" t="s">
        <v>178</v>
      </c>
      <c r="N41" s="213"/>
      <c r="O41" s="213">
        <v>835212</v>
      </c>
    </row>
    <row r="42" spans="1:15" x14ac:dyDescent="0.3">
      <c r="A42" s="302" t="s">
        <v>155</v>
      </c>
      <c r="B42" s="302" t="str">
        <f t="shared" si="0"/>
        <v>Y</v>
      </c>
      <c r="C42" s="6" t="s">
        <v>179</v>
      </c>
      <c r="D42" s="327"/>
      <c r="E42" s="327" t="s">
        <v>180</v>
      </c>
      <c r="F42" s="206"/>
      <c r="G42" s="207">
        <v>43193</v>
      </c>
      <c r="H42" s="207">
        <v>43194</v>
      </c>
      <c r="K42" s="302">
        <v>8621800333</v>
      </c>
      <c r="L42" s="7" t="s">
        <v>181</v>
      </c>
      <c r="M42" s="208" t="s">
        <v>131</v>
      </c>
      <c r="N42" s="208">
        <v>23302903306</v>
      </c>
      <c r="O42" s="213">
        <v>831016</v>
      </c>
    </row>
    <row r="43" spans="1:15" x14ac:dyDescent="0.3">
      <c r="A43" s="302" t="s">
        <v>155</v>
      </c>
      <c r="B43" s="302" t="str">
        <f t="shared" si="0"/>
        <v>Y</v>
      </c>
      <c r="C43" s="6" t="s">
        <v>182</v>
      </c>
      <c r="D43" s="327"/>
      <c r="E43" s="327" t="s">
        <v>183</v>
      </c>
      <c r="F43" s="206"/>
      <c r="G43" s="207">
        <v>43193</v>
      </c>
      <c r="H43" s="207">
        <v>43194</v>
      </c>
      <c r="K43" s="302">
        <v>7255068066</v>
      </c>
      <c r="L43" s="7" t="s">
        <v>184</v>
      </c>
      <c r="M43" s="208" t="s">
        <v>178</v>
      </c>
      <c r="N43" s="208" t="s">
        <v>185</v>
      </c>
      <c r="O43" s="213"/>
    </row>
    <row r="44" spans="1:15" x14ac:dyDescent="0.3">
      <c r="A44" s="302" t="s">
        <v>155</v>
      </c>
      <c r="B44" s="302" t="str">
        <f t="shared" si="0"/>
        <v>Y</v>
      </c>
      <c r="C44" s="6" t="s">
        <v>186</v>
      </c>
      <c r="D44" s="327"/>
      <c r="E44" s="327" t="s">
        <v>187</v>
      </c>
      <c r="F44" s="206"/>
      <c r="G44" s="207">
        <v>43193</v>
      </c>
      <c r="H44" s="207">
        <v>43194</v>
      </c>
      <c r="K44" s="302">
        <v>8235404818</v>
      </c>
      <c r="L44" s="7" t="s">
        <v>188</v>
      </c>
      <c r="M44" s="208" t="s">
        <v>189</v>
      </c>
      <c r="N44" s="208">
        <v>23302945863</v>
      </c>
      <c r="O44" s="213">
        <v>831007</v>
      </c>
    </row>
    <row r="45" spans="1:15" x14ac:dyDescent="0.3">
      <c r="A45" s="302" t="s">
        <v>155</v>
      </c>
      <c r="B45" s="302" t="str">
        <f t="shared" si="0"/>
        <v>Y</v>
      </c>
      <c r="C45" s="6" t="s">
        <v>190</v>
      </c>
      <c r="D45" s="327"/>
      <c r="E45" s="327" t="s">
        <v>191</v>
      </c>
      <c r="F45" s="206"/>
      <c r="G45" s="207">
        <v>43194</v>
      </c>
      <c r="H45" s="207">
        <v>43194</v>
      </c>
      <c r="K45" s="302">
        <v>9546338230</v>
      </c>
      <c r="L45" s="7" t="s">
        <v>192</v>
      </c>
      <c r="M45" s="211">
        <v>43208</v>
      </c>
      <c r="N45" s="208">
        <v>23302903311</v>
      </c>
      <c r="O45" s="213"/>
    </row>
    <row r="46" spans="1:15" x14ac:dyDescent="0.3">
      <c r="A46" s="302" t="s">
        <v>155</v>
      </c>
      <c r="B46" s="302" t="str">
        <f t="shared" si="0"/>
        <v>Y</v>
      </c>
      <c r="C46" s="6" t="s">
        <v>193</v>
      </c>
      <c r="D46" s="327"/>
      <c r="E46" s="327" t="s">
        <v>194</v>
      </c>
      <c r="F46" s="206"/>
      <c r="G46" s="207">
        <v>43195</v>
      </c>
      <c r="H46" s="207">
        <v>43197</v>
      </c>
      <c r="K46" s="302">
        <v>9031958801</v>
      </c>
      <c r="L46" s="7" t="s">
        <v>195</v>
      </c>
      <c r="M46" s="208" t="s">
        <v>196</v>
      </c>
      <c r="N46" s="208" t="s">
        <v>197</v>
      </c>
      <c r="O46" s="213">
        <v>831002</v>
      </c>
    </row>
    <row r="47" spans="1:15" x14ac:dyDescent="0.3">
      <c r="A47" s="302" t="s">
        <v>155</v>
      </c>
      <c r="B47" s="302" t="str">
        <f t="shared" si="0"/>
        <v>Y</v>
      </c>
      <c r="C47" s="6" t="s">
        <v>198</v>
      </c>
      <c r="D47" s="327"/>
      <c r="E47" s="327" t="s">
        <v>199</v>
      </c>
      <c r="F47" s="206"/>
      <c r="G47" s="207">
        <v>43195</v>
      </c>
      <c r="H47" s="207">
        <v>43197</v>
      </c>
      <c r="K47" s="302">
        <v>7209275861</v>
      </c>
      <c r="M47" s="212"/>
      <c r="N47" s="213"/>
      <c r="O47" s="213">
        <v>831004</v>
      </c>
    </row>
    <row r="48" spans="1:15" x14ac:dyDescent="0.3">
      <c r="A48" s="302" t="s">
        <v>155</v>
      </c>
      <c r="B48" s="302" t="str">
        <f t="shared" si="0"/>
        <v>Y</v>
      </c>
      <c r="C48" s="6" t="s">
        <v>200</v>
      </c>
      <c r="D48" s="327"/>
      <c r="E48" s="327" t="s">
        <v>201</v>
      </c>
      <c r="F48" s="206"/>
      <c r="G48" s="207">
        <v>43196</v>
      </c>
      <c r="H48" s="207">
        <v>43197</v>
      </c>
      <c r="K48" s="302">
        <v>7369960952</v>
      </c>
      <c r="L48" s="7" t="s">
        <v>202</v>
      </c>
      <c r="M48" s="208" t="s">
        <v>203</v>
      </c>
      <c r="N48" s="208" t="s">
        <v>204</v>
      </c>
      <c r="O48" s="213">
        <v>802165</v>
      </c>
    </row>
    <row r="49" spans="1:15" x14ac:dyDescent="0.3">
      <c r="A49" s="302" t="s">
        <v>155</v>
      </c>
      <c r="B49" s="302" t="str">
        <f t="shared" si="0"/>
        <v>Y</v>
      </c>
      <c r="C49" s="6" t="s">
        <v>205</v>
      </c>
      <c r="D49" s="327"/>
      <c r="E49" s="327" t="s">
        <v>206</v>
      </c>
      <c r="F49" s="206"/>
      <c r="G49" s="207">
        <v>43196</v>
      </c>
      <c r="H49" s="207">
        <v>43197</v>
      </c>
      <c r="K49" s="302">
        <v>7781037391</v>
      </c>
      <c r="M49" s="212"/>
      <c r="N49" s="213"/>
      <c r="O49" s="213"/>
    </row>
    <row r="50" spans="1:15" x14ac:dyDescent="0.3">
      <c r="A50" s="302" t="s">
        <v>155</v>
      </c>
      <c r="B50" s="302" t="str">
        <f t="shared" si="0"/>
        <v>Y</v>
      </c>
      <c r="C50" s="6" t="s">
        <v>207</v>
      </c>
      <c r="D50" s="327"/>
      <c r="E50" s="327" t="s">
        <v>208</v>
      </c>
      <c r="F50" s="206"/>
      <c r="G50" s="207">
        <v>43197</v>
      </c>
      <c r="H50" s="207">
        <v>43197</v>
      </c>
      <c r="K50" s="302">
        <v>7209935080</v>
      </c>
      <c r="L50" s="216" t="s">
        <v>209</v>
      </c>
      <c r="M50" s="209">
        <v>43229</v>
      </c>
      <c r="N50" s="216" t="s">
        <v>210</v>
      </c>
      <c r="O50" s="213">
        <v>831004</v>
      </c>
    </row>
    <row r="51" spans="1:15" x14ac:dyDescent="0.3">
      <c r="A51" s="302" t="s">
        <v>155</v>
      </c>
      <c r="B51" s="302" t="str">
        <f t="shared" si="0"/>
        <v>Y</v>
      </c>
      <c r="C51" s="450" t="s">
        <v>211</v>
      </c>
      <c r="D51" s="328"/>
      <c r="E51" s="327" t="s">
        <v>212</v>
      </c>
      <c r="F51" s="206"/>
      <c r="G51" s="207">
        <v>43197</v>
      </c>
      <c r="H51" s="207">
        <v>43202</v>
      </c>
      <c r="K51" s="302">
        <v>9471588127</v>
      </c>
      <c r="M51" s="212"/>
      <c r="N51" s="213"/>
      <c r="O51" s="213">
        <v>831004</v>
      </c>
    </row>
    <row r="52" spans="1:15" x14ac:dyDescent="0.3">
      <c r="A52" s="302" t="s">
        <v>155</v>
      </c>
      <c r="B52" s="302" t="str">
        <f t="shared" si="0"/>
        <v>Y</v>
      </c>
      <c r="C52" s="6" t="s">
        <v>213</v>
      </c>
      <c r="D52" s="327"/>
      <c r="E52" s="327" t="s">
        <v>214</v>
      </c>
      <c r="F52" s="206"/>
      <c r="G52" s="207">
        <v>43197</v>
      </c>
      <c r="H52" s="207">
        <v>43198</v>
      </c>
      <c r="K52" s="302">
        <v>8409112567</v>
      </c>
      <c r="L52" s="7" t="s">
        <v>215</v>
      </c>
      <c r="M52" s="208" t="s">
        <v>216</v>
      </c>
      <c r="N52" s="208" t="s">
        <v>217</v>
      </c>
      <c r="O52" s="213">
        <v>831004</v>
      </c>
    </row>
    <row r="53" spans="1:15" x14ac:dyDescent="0.3">
      <c r="A53" s="302" t="s">
        <v>155</v>
      </c>
      <c r="B53" s="302" t="str">
        <f t="shared" si="0"/>
        <v>N</v>
      </c>
      <c r="C53" s="6" t="s">
        <v>218</v>
      </c>
      <c r="D53" s="327"/>
      <c r="E53" s="327" t="s">
        <v>219</v>
      </c>
      <c r="F53" s="206"/>
      <c r="G53" s="207">
        <v>43198</v>
      </c>
      <c r="H53" s="302"/>
      <c r="K53" s="302">
        <v>8867649944</v>
      </c>
      <c r="L53" s="210" t="s">
        <v>220</v>
      </c>
      <c r="M53" s="211">
        <v>43220</v>
      </c>
      <c r="N53" s="208">
        <v>23301150442</v>
      </c>
      <c r="O53" s="209"/>
    </row>
    <row r="54" spans="1:15" x14ac:dyDescent="0.3">
      <c r="A54" s="302" t="s">
        <v>155</v>
      </c>
      <c r="B54" s="302" t="str">
        <f t="shared" si="0"/>
        <v>Y</v>
      </c>
      <c r="C54" s="6" t="s">
        <v>221</v>
      </c>
      <c r="D54" s="327"/>
      <c r="E54" s="327" t="s">
        <v>222</v>
      </c>
      <c r="F54" s="206"/>
      <c r="G54" s="207">
        <v>43199</v>
      </c>
      <c r="H54" s="207">
        <v>43199</v>
      </c>
      <c r="K54" s="302">
        <v>9570000735</v>
      </c>
      <c r="L54" s="7" t="s">
        <v>223</v>
      </c>
      <c r="M54" s="208" t="s">
        <v>216</v>
      </c>
      <c r="N54" s="208">
        <v>23302647213</v>
      </c>
      <c r="O54" s="213">
        <v>831004</v>
      </c>
    </row>
    <row r="55" spans="1:15" x14ac:dyDescent="0.3">
      <c r="A55" s="302" t="s">
        <v>155</v>
      </c>
      <c r="B55" s="302" t="str">
        <f t="shared" si="0"/>
        <v>Y</v>
      </c>
      <c r="C55" s="6" t="s">
        <v>224</v>
      </c>
      <c r="D55" s="327"/>
      <c r="E55" s="327" t="s">
        <v>225</v>
      </c>
      <c r="F55" s="206"/>
      <c r="G55" s="207">
        <v>43199</v>
      </c>
      <c r="H55" s="207">
        <v>43203</v>
      </c>
      <c r="K55" s="302">
        <v>7903512466</v>
      </c>
      <c r="L55" s="7" t="s">
        <v>226</v>
      </c>
      <c r="M55" s="208" t="s">
        <v>216</v>
      </c>
      <c r="N55" s="208" t="s">
        <v>227</v>
      </c>
      <c r="O55" s="213">
        <v>831004</v>
      </c>
    </row>
    <row r="56" spans="1:15" x14ac:dyDescent="0.3">
      <c r="A56" s="302" t="s">
        <v>155</v>
      </c>
      <c r="B56" s="302" t="str">
        <f t="shared" si="0"/>
        <v>Y</v>
      </c>
      <c r="C56" s="6" t="s">
        <v>228</v>
      </c>
      <c r="D56" s="327"/>
      <c r="E56" s="327" t="s">
        <v>229</v>
      </c>
      <c r="F56" s="206"/>
      <c r="G56" s="207">
        <v>43201</v>
      </c>
      <c r="H56" s="207">
        <v>43201</v>
      </c>
      <c r="K56" s="302">
        <v>7209771052</v>
      </c>
      <c r="L56" s="210" t="s">
        <v>202</v>
      </c>
      <c r="M56" s="208" t="s">
        <v>230</v>
      </c>
      <c r="N56" s="208" t="s">
        <v>231</v>
      </c>
      <c r="O56" s="213">
        <v>831004</v>
      </c>
    </row>
    <row r="57" spans="1:15" x14ac:dyDescent="0.3">
      <c r="A57" s="302" t="s">
        <v>155</v>
      </c>
      <c r="B57" s="302" t="str">
        <f t="shared" si="0"/>
        <v>Y</v>
      </c>
      <c r="C57" s="6" t="s">
        <v>232</v>
      </c>
      <c r="D57" s="327"/>
      <c r="E57" s="327" t="s">
        <v>233</v>
      </c>
      <c r="F57" s="206"/>
      <c r="G57" s="207">
        <v>43202</v>
      </c>
      <c r="H57" s="207">
        <v>43202</v>
      </c>
      <c r="K57" s="302">
        <v>7209532177</v>
      </c>
      <c r="L57" s="7" t="s">
        <v>234</v>
      </c>
      <c r="M57" s="208" t="s">
        <v>235</v>
      </c>
      <c r="N57" s="208">
        <v>23301151695</v>
      </c>
      <c r="O57" s="213">
        <v>831008</v>
      </c>
    </row>
    <row r="58" spans="1:15" x14ac:dyDescent="0.3">
      <c r="A58" s="302" t="s">
        <v>155</v>
      </c>
      <c r="B58" s="302" t="str">
        <f t="shared" si="0"/>
        <v>Y</v>
      </c>
      <c r="C58" s="6" t="s">
        <v>236</v>
      </c>
      <c r="D58" s="327"/>
      <c r="E58" s="327" t="s">
        <v>237</v>
      </c>
      <c r="F58" s="206"/>
      <c r="G58" s="207">
        <v>43202</v>
      </c>
      <c r="H58" s="207">
        <v>43202</v>
      </c>
      <c r="K58" s="302">
        <v>7319771619</v>
      </c>
      <c r="L58" s="7" t="s">
        <v>238</v>
      </c>
      <c r="M58" s="212"/>
      <c r="N58" s="213"/>
      <c r="O58" s="213">
        <v>831004</v>
      </c>
    </row>
    <row r="59" spans="1:15" x14ac:dyDescent="0.3">
      <c r="A59" s="302" t="s">
        <v>155</v>
      </c>
      <c r="B59" s="302" t="str">
        <f t="shared" si="0"/>
        <v>Y</v>
      </c>
      <c r="C59" s="6" t="s">
        <v>239</v>
      </c>
      <c r="D59" s="327"/>
      <c r="E59" s="327" t="s">
        <v>240</v>
      </c>
      <c r="F59" s="206"/>
      <c r="G59" s="207">
        <v>43202</v>
      </c>
      <c r="H59" s="207">
        <v>43202</v>
      </c>
      <c r="K59" s="302">
        <v>9334069096</v>
      </c>
      <c r="M59" s="212"/>
      <c r="N59" s="213"/>
      <c r="O59" s="213">
        <v>831004</v>
      </c>
    </row>
    <row r="60" spans="1:15" x14ac:dyDescent="0.3">
      <c r="A60" s="302" t="s">
        <v>155</v>
      </c>
      <c r="B60" s="302" t="str">
        <f t="shared" si="0"/>
        <v>Y</v>
      </c>
      <c r="C60" s="6" t="s">
        <v>241</v>
      </c>
      <c r="D60" s="327"/>
      <c r="E60" s="327" t="s">
        <v>242</v>
      </c>
      <c r="F60" s="206"/>
      <c r="G60" s="207">
        <v>43202</v>
      </c>
      <c r="H60" s="207">
        <v>43203</v>
      </c>
      <c r="K60" s="302">
        <v>7209704639</v>
      </c>
      <c r="L60" s="7" t="s">
        <v>243</v>
      </c>
      <c r="M60" s="208" t="s">
        <v>216</v>
      </c>
      <c r="N60" s="208" t="s">
        <v>244</v>
      </c>
      <c r="O60" s="213">
        <v>831008</v>
      </c>
    </row>
    <row r="61" spans="1:15" x14ac:dyDescent="0.3">
      <c r="A61" s="302" t="s">
        <v>155</v>
      </c>
      <c r="B61" s="302" t="str">
        <f t="shared" si="0"/>
        <v>Y</v>
      </c>
      <c r="C61" s="6" t="s">
        <v>245</v>
      </c>
      <c r="D61" s="327"/>
      <c r="E61" s="327" t="s">
        <v>246</v>
      </c>
      <c r="F61" s="206"/>
      <c r="G61" s="207">
        <v>43203</v>
      </c>
      <c r="H61" s="207">
        <v>43203</v>
      </c>
      <c r="K61" s="302">
        <v>7762847337</v>
      </c>
      <c r="L61" s="7" t="s">
        <v>247</v>
      </c>
      <c r="M61" s="208" t="s">
        <v>248</v>
      </c>
      <c r="N61" s="208">
        <v>23302658813</v>
      </c>
      <c r="O61" s="213">
        <v>831004</v>
      </c>
    </row>
    <row r="62" spans="1:15" x14ac:dyDescent="0.3">
      <c r="A62" s="302" t="s">
        <v>155</v>
      </c>
      <c r="B62" s="302" t="str">
        <f t="shared" si="0"/>
        <v>Y</v>
      </c>
      <c r="C62" s="6" t="s">
        <v>249</v>
      </c>
      <c r="D62" s="327"/>
      <c r="E62" s="327" t="s">
        <v>250</v>
      </c>
      <c r="F62" s="206"/>
      <c r="G62" s="207">
        <v>43204</v>
      </c>
      <c r="H62" s="207">
        <v>43203</v>
      </c>
      <c r="K62" s="302">
        <v>7366088419</v>
      </c>
      <c r="L62" s="210" t="s">
        <v>251</v>
      </c>
      <c r="M62" s="211">
        <v>43220</v>
      </c>
      <c r="N62" s="208">
        <v>23302658818</v>
      </c>
      <c r="O62" s="213">
        <v>831004</v>
      </c>
    </row>
    <row r="63" spans="1:15" x14ac:dyDescent="0.3">
      <c r="A63" s="302" t="s">
        <v>155</v>
      </c>
      <c r="B63" s="302" t="str">
        <f t="shared" si="0"/>
        <v>Y</v>
      </c>
      <c r="C63" s="6" t="s">
        <v>252</v>
      </c>
      <c r="D63" s="327"/>
      <c r="E63" s="327" t="s">
        <v>253</v>
      </c>
      <c r="F63" s="206"/>
      <c r="G63" s="207">
        <v>43204</v>
      </c>
      <c r="H63" s="207">
        <v>43203</v>
      </c>
      <c r="K63" s="302">
        <v>7209356261</v>
      </c>
      <c r="M63" s="212"/>
      <c r="N63" s="213"/>
      <c r="O63" s="213">
        <v>831004</v>
      </c>
    </row>
    <row r="64" spans="1:15" x14ac:dyDescent="0.3">
      <c r="A64" s="302" t="s">
        <v>155</v>
      </c>
      <c r="B64" s="302" t="str">
        <f t="shared" si="0"/>
        <v>Y</v>
      </c>
      <c r="C64" s="6" t="s">
        <v>254</v>
      </c>
      <c r="D64" s="327"/>
      <c r="E64" s="327" t="s">
        <v>255</v>
      </c>
      <c r="F64" s="206"/>
      <c r="G64" s="207">
        <v>43204</v>
      </c>
      <c r="H64" s="207">
        <v>43205</v>
      </c>
      <c r="K64" s="302">
        <v>9430156682</v>
      </c>
      <c r="L64" s="7" t="s">
        <v>256</v>
      </c>
      <c r="M64" s="208" t="s">
        <v>257</v>
      </c>
      <c r="N64" s="208" t="s">
        <v>258</v>
      </c>
      <c r="O64" s="213">
        <v>831004</v>
      </c>
    </row>
    <row r="65" spans="1:15" x14ac:dyDescent="0.3">
      <c r="A65" s="302" t="s">
        <v>155</v>
      </c>
      <c r="B65" s="302" t="str">
        <f t="shared" si="0"/>
        <v>Y</v>
      </c>
      <c r="C65" s="6" t="s">
        <v>259</v>
      </c>
      <c r="D65" s="327"/>
      <c r="E65" s="327" t="s">
        <v>260</v>
      </c>
      <c r="F65" s="206"/>
      <c r="G65" s="207">
        <v>43204</v>
      </c>
      <c r="H65" s="207">
        <v>43213</v>
      </c>
      <c r="K65" s="302">
        <v>8603203100</v>
      </c>
      <c r="L65" s="7" t="s">
        <v>261</v>
      </c>
      <c r="M65" s="208" t="s">
        <v>257</v>
      </c>
      <c r="N65" s="208" t="s">
        <v>262</v>
      </c>
      <c r="O65" s="213">
        <v>831004</v>
      </c>
    </row>
    <row r="66" spans="1:15" x14ac:dyDescent="0.3">
      <c r="A66" s="302" t="s">
        <v>155</v>
      </c>
      <c r="B66" s="302" t="str">
        <f t="shared" si="0"/>
        <v>Y</v>
      </c>
      <c r="C66" s="6" t="s">
        <v>263</v>
      </c>
      <c r="D66" s="327"/>
      <c r="E66" s="327" t="s">
        <v>264</v>
      </c>
      <c r="F66" s="206"/>
      <c r="G66" s="207">
        <v>43205</v>
      </c>
      <c r="H66" s="207">
        <v>43205</v>
      </c>
      <c r="K66" s="302">
        <v>9931209458</v>
      </c>
      <c r="L66" s="7" t="s">
        <v>265</v>
      </c>
      <c r="M66" s="208" t="s">
        <v>266</v>
      </c>
      <c r="N66" s="208">
        <v>23302658821</v>
      </c>
      <c r="O66" s="213">
        <v>831004</v>
      </c>
    </row>
    <row r="67" spans="1:15" x14ac:dyDescent="0.3">
      <c r="A67" s="302" t="s">
        <v>155</v>
      </c>
      <c r="B67" s="302" t="str">
        <f t="shared" si="0"/>
        <v>Y</v>
      </c>
      <c r="C67" s="6" t="s">
        <v>267</v>
      </c>
      <c r="D67" s="327"/>
      <c r="E67" s="327" t="s">
        <v>268</v>
      </c>
      <c r="F67" s="206"/>
      <c r="G67" s="207">
        <v>43205</v>
      </c>
      <c r="H67" s="207">
        <v>43205</v>
      </c>
      <c r="K67" s="302">
        <v>8210442880</v>
      </c>
      <c r="L67" s="7" t="s">
        <v>269</v>
      </c>
      <c r="M67" s="208" t="s">
        <v>270</v>
      </c>
      <c r="N67" s="208" t="s">
        <v>271</v>
      </c>
      <c r="O67" s="213">
        <v>831004</v>
      </c>
    </row>
    <row r="68" spans="1:15" x14ac:dyDescent="0.3">
      <c r="A68" s="302" t="s">
        <v>155</v>
      </c>
      <c r="B68" s="302" t="str">
        <f t="shared" si="0"/>
        <v>Y</v>
      </c>
      <c r="C68" s="6" t="s">
        <v>272</v>
      </c>
      <c r="D68" s="327"/>
      <c r="E68" s="327" t="s">
        <v>273</v>
      </c>
      <c r="F68" s="206"/>
      <c r="G68" s="207">
        <v>43205</v>
      </c>
      <c r="H68" s="207">
        <v>43206</v>
      </c>
      <c r="K68" s="302">
        <v>9835364078</v>
      </c>
      <c r="L68" s="210" t="s">
        <v>274</v>
      </c>
      <c r="M68" s="208" t="s">
        <v>275</v>
      </c>
      <c r="N68" s="208" t="s">
        <v>276</v>
      </c>
      <c r="O68" s="213">
        <v>831004</v>
      </c>
    </row>
    <row r="69" spans="1:15" x14ac:dyDescent="0.3">
      <c r="A69" s="302" t="s">
        <v>155</v>
      </c>
      <c r="B69" s="302" t="str">
        <f t="shared" si="0"/>
        <v>Y</v>
      </c>
      <c r="C69" s="6" t="s">
        <v>277</v>
      </c>
      <c r="D69" s="327"/>
      <c r="E69" s="327" t="s">
        <v>278</v>
      </c>
      <c r="F69" s="206"/>
      <c r="G69" s="207">
        <v>43205</v>
      </c>
      <c r="H69" s="207">
        <v>43209</v>
      </c>
      <c r="K69" s="302">
        <v>7209651021</v>
      </c>
      <c r="L69" s="7" t="s">
        <v>279</v>
      </c>
      <c r="M69" s="208" t="s">
        <v>280</v>
      </c>
      <c r="N69" s="208" t="s">
        <v>281</v>
      </c>
      <c r="O69" s="213">
        <v>831004</v>
      </c>
    </row>
    <row r="70" spans="1:15" x14ac:dyDescent="0.3">
      <c r="A70" s="302" t="s">
        <v>155</v>
      </c>
      <c r="B70" s="302" t="str">
        <f t="shared" si="0"/>
        <v>Y</v>
      </c>
      <c r="C70" s="6" t="s">
        <v>282</v>
      </c>
      <c r="D70" s="327"/>
      <c r="E70" s="327" t="s">
        <v>283</v>
      </c>
      <c r="F70" s="206"/>
      <c r="G70" s="207">
        <v>43206</v>
      </c>
      <c r="H70" s="207">
        <v>43206</v>
      </c>
      <c r="K70" s="302">
        <v>9279148348</v>
      </c>
      <c r="L70" s="7" t="s">
        <v>279</v>
      </c>
      <c r="M70" s="208" t="s">
        <v>257</v>
      </c>
      <c r="N70" s="208" t="s">
        <v>284</v>
      </c>
      <c r="O70" s="213">
        <v>831004</v>
      </c>
    </row>
    <row r="71" spans="1:15" x14ac:dyDescent="0.3">
      <c r="A71" s="302" t="s">
        <v>155</v>
      </c>
      <c r="B71" s="302" t="str">
        <f t="shared" si="0"/>
        <v>Y</v>
      </c>
      <c r="C71" s="6" t="s">
        <v>285</v>
      </c>
      <c r="D71" s="327"/>
      <c r="E71" s="327" t="s">
        <v>286</v>
      </c>
      <c r="F71" s="206"/>
      <c r="G71" s="207">
        <v>43206</v>
      </c>
      <c r="H71" s="207">
        <v>43206</v>
      </c>
      <c r="K71" s="302">
        <v>8092402913</v>
      </c>
      <c r="L71" s="7" t="s">
        <v>287</v>
      </c>
      <c r="M71" s="208" t="s">
        <v>288</v>
      </c>
      <c r="N71" s="208" t="s">
        <v>289</v>
      </c>
      <c r="O71" s="213">
        <v>831004</v>
      </c>
    </row>
    <row r="72" spans="1:15" x14ac:dyDescent="0.3">
      <c r="A72" s="302" t="s">
        <v>155</v>
      </c>
      <c r="B72" s="302" t="str">
        <f t="shared" si="0"/>
        <v>Y</v>
      </c>
      <c r="C72" s="6" t="s">
        <v>290</v>
      </c>
      <c r="D72" s="327"/>
      <c r="E72" s="327" t="s">
        <v>291</v>
      </c>
      <c r="F72" s="206"/>
      <c r="G72" s="207">
        <v>43207</v>
      </c>
      <c r="H72" s="207">
        <v>43208</v>
      </c>
      <c r="K72" s="302">
        <v>7488546957</v>
      </c>
      <c r="L72" s="210" t="s">
        <v>188</v>
      </c>
      <c r="M72" s="208" t="s">
        <v>216</v>
      </c>
      <c r="N72" s="208" t="s">
        <v>292</v>
      </c>
      <c r="O72" s="213">
        <v>831016</v>
      </c>
    </row>
    <row r="73" spans="1:15" x14ac:dyDescent="0.3">
      <c r="A73" s="302" t="s">
        <v>155</v>
      </c>
      <c r="B73" s="302" t="str">
        <f t="shared" si="0"/>
        <v>Y</v>
      </c>
      <c r="C73" s="6" t="s">
        <v>293</v>
      </c>
      <c r="D73" s="327"/>
      <c r="E73" s="327" t="s">
        <v>294</v>
      </c>
      <c r="F73" s="206"/>
      <c r="G73" s="207">
        <v>43207</v>
      </c>
      <c r="H73" s="207">
        <v>43213</v>
      </c>
      <c r="K73" s="302">
        <v>7463062521</v>
      </c>
      <c r="L73" s="7" t="s">
        <v>295</v>
      </c>
      <c r="M73" s="212"/>
      <c r="N73" s="213"/>
      <c r="O73" s="213">
        <v>831004</v>
      </c>
    </row>
    <row r="74" spans="1:15" x14ac:dyDescent="0.3">
      <c r="A74" s="302" t="s">
        <v>155</v>
      </c>
      <c r="B74" s="302" t="str">
        <f t="shared" si="0"/>
        <v>Y</v>
      </c>
      <c r="C74" s="6" t="s">
        <v>296</v>
      </c>
      <c r="D74" s="327"/>
      <c r="E74" s="327" t="s">
        <v>297</v>
      </c>
      <c r="F74" s="206"/>
      <c r="G74" s="207">
        <v>43208</v>
      </c>
      <c r="H74" s="207">
        <v>43209</v>
      </c>
      <c r="K74" s="302">
        <v>8210045356</v>
      </c>
      <c r="L74" s="7" t="s">
        <v>295</v>
      </c>
      <c r="M74" s="212"/>
      <c r="N74" s="213"/>
      <c r="O74" s="213">
        <v>831004</v>
      </c>
    </row>
    <row r="75" spans="1:15" x14ac:dyDescent="0.3">
      <c r="A75" s="302" t="s">
        <v>155</v>
      </c>
      <c r="B75" s="302" t="str">
        <f t="shared" si="0"/>
        <v>Y</v>
      </c>
      <c r="C75" s="6" t="s">
        <v>298</v>
      </c>
      <c r="D75" s="327"/>
      <c r="E75" s="327" t="s">
        <v>299</v>
      </c>
      <c r="F75" s="206"/>
      <c r="G75" s="207">
        <v>43208</v>
      </c>
      <c r="H75" s="207">
        <v>43215</v>
      </c>
      <c r="K75" s="302">
        <v>7070361272</v>
      </c>
      <c r="L75" s="7" t="s">
        <v>295</v>
      </c>
      <c r="M75" s="212"/>
      <c r="N75" s="213"/>
      <c r="O75" s="213">
        <v>831008</v>
      </c>
    </row>
    <row r="76" spans="1:15" x14ac:dyDescent="0.3">
      <c r="A76" s="302" t="s">
        <v>155</v>
      </c>
      <c r="B76" s="302" t="str">
        <f t="shared" si="0"/>
        <v>Y</v>
      </c>
      <c r="C76" s="6" t="s">
        <v>300</v>
      </c>
      <c r="D76" s="327"/>
      <c r="E76" s="327" t="s">
        <v>301</v>
      </c>
      <c r="F76" s="206"/>
      <c r="G76" s="207">
        <v>43209</v>
      </c>
      <c r="H76" s="207">
        <v>43211</v>
      </c>
      <c r="K76" s="302">
        <v>9199348774</v>
      </c>
      <c r="L76" s="7" t="s">
        <v>302</v>
      </c>
      <c r="M76" s="208" t="s">
        <v>303</v>
      </c>
      <c r="N76" s="208" t="s">
        <v>304</v>
      </c>
      <c r="O76" s="213">
        <v>831004</v>
      </c>
    </row>
    <row r="77" spans="1:15" x14ac:dyDescent="0.3">
      <c r="A77" s="302" t="s">
        <v>155</v>
      </c>
      <c r="B77" s="302" t="str">
        <f t="shared" si="0"/>
        <v>Y</v>
      </c>
      <c r="C77" s="6" t="s">
        <v>305</v>
      </c>
      <c r="D77" s="327"/>
      <c r="E77" s="327" t="s">
        <v>306</v>
      </c>
      <c r="F77" s="206"/>
      <c r="G77" s="207">
        <v>43209</v>
      </c>
      <c r="H77" s="207">
        <v>43224</v>
      </c>
      <c r="K77" s="302">
        <v>9204526594</v>
      </c>
      <c r="L77" s="218" t="s">
        <v>307</v>
      </c>
      <c r="M77" s="212" t="s">
        <v>295</v>
      </c>
      <c r="N77" s="213"/>
      <c r="O77" s="213">
        <v>831004</v>
      </c>
    </row>
    <row r="78" spans="1:15" x14ac:dyDescent="0.3">
      <c r="A78" s="302" t="s">
        <v>155</v>
      </c>
      <c r="B78" s="302" t="str">
        <f t="shared" si="0"/>
        <v>Y</v>
      </c>
      <c r="C78" s="6" t="s">
        <v>308</v>
      </c>
      <c r="D78" s="327"/>
      <c r="E78" s="327" t="s">
        <v>309</v>
      </c>
      <c r="F78" s="206"/>
      <c r="G78" s="207">
        <v>43209</v>
      </c>
      <c r="H78" s="207">
        <v>43209</v>
      </c>
      <c r="K78" s="302">
        <v>7631081950</v>
      </c>
      <c r="L78" s="7" t="s">
        <v>310</v>
      </c>
      <c r="M78" s="208" t="s">
        <v>257</v>
      </c>
      <c r="N78" s="208" t="s">
        <v>311</v>
      </c>
      <c r="O78" s="213">
        <v>831004</v>
      </c>
    </row>
    <row r="79" spans="1:15" x14ac:dyDescent="0.3">
      <c r="A79" s="302" t="s">
        <v>155</v>
      </c>
      <c r="B79" s="302" t="str">
        <f t="shared" si="0"/>
        <v>Y</v>
      </c>
      <c r="C79" s="6" t="s">
        <v>312</v>
      </c>
      <c r="D79" s="327"/>
      <c r="E79" s="327" t="s">
        <v>313</v>
      </c>
      <c r="F79" s="206"/>
      <c r="G79" s="207">
        <v>43210</v>
      </c>
      <c r="H79" s="207">
        <v>43211</v>
      </c>
      <c r="K79" s="302">
        <v>9279846874</v>
      </c>
      <c r="L79" s="7" t="s">
        <v>314</v>
      </c>
      <c r="M79" s="208" t="s">
        <v>315</v>
      </c>
      <c r="N79" s="208" t="s">
        <v>316</v>
      </c>
      <c r="O79" s="213">
        <v>831004</v>
      </c>
    </row>
    <row r="80" spans="1:15" x14ac:dyDescent="0.3">
      <c r="A80" s="302" t="s">
        <v>155</v>
      </c>
      <c r="B80" s="302" t="str">
        <f t="shared" si="0"/>
        <v>Y</v>
      </c>
      <c r="C80" s="6" t="s">
        <v>317</v>
      </c>
      <c r="D80" s="327"/>
      <c r="E80" s="327" t="s">
        <v>318</v>
      </c>
      <c r="F80" s="206"/>
      <c r="G80" s="207">
        <v>43210</v>
      </c>
      <c r="H80" s="207">
        <v>43211</v>
      </c>
      <c r="K80" s="302">
        <v>9031685903</v>
      </c>
      <c r="L80" s="7" t="s">
        <v>319</v>
      </c>
      <c r="M80" s="211">
        <v>43229</v>
      </c>
      <c r="N80" s="208" t="s">
        <v>320</v>
      </c>
      <c r="O80" s="213">
        <v>831004</v>
      </c>
    </row>
    <row r="81" spans="1:15" x14ac:dyDescent="0.3">
      <c r="A81" s="302" t="s">
        <v>155</v>
      </c>
      <c r="B81" s="302" t="str">
        <f t="shared" si="0"/>
        <v>Y</v>
      </c>
      <c r="C81" s="451" t="s">
        <v>321</v>
      </c>
      <c r="D81" s="329"/>
      <c r="E81" s="329" t="s">
        <v>322</v>
      </c>
      <c r="F81" s="219"/>
      <c r="G81" s="220">
        <v>43210</v>
      </c>
      <c r="H81" s="220">
        <v>43211</v>
      </c>
      <c r="I81" s="9"/>
      <c r="J81" s="9"/>
      <c r="K81" s="221">
        <v>8434669856</v>
      </c>
      <c r="L81" s="9" t="s">
        <v>323</v>
      </c>
      <c r="M81" s="212"/>
      <c r="N81" s="213"/>
      <c r="O81" s="213">
        <v>831004</v>
      </c>
    </row>
    <row r="82" spans="1:15" x14ac:dyDescent="0.3">
      <c r="A82" s="302" t="s">
        <v>155</v>
      </c>
      <c r="B82" s="302" t="str">
        <f t="shared" si="0"/>
        <v>Y</v>
      </c>
      <c r="C82" s="6" t="s">
        <v>324</v>
      </c>
      <c r="D82" s="327"/>
      <c r="E82" s="327" t="s">
        <v>325</v>
      </c>
      <c r="F82" s="206"/>
      <c r="G82" s="207">
        <v>43210</v>
      </c>
      <c r="H82" s="207">
        <v>43211</v>
      </c>
      <c r="K82" s="302">
        <v>7366982220</v>
      </c>
      <c r="L82" s="7" t="s">
        <v>326</v>
      </c>
      <c r="M82" s="208" t="s">
        <v>303</v>
      </c>
      <c r="N82" s="208" t="s">
        <v>327</v>
      </c>
      <c r="O82" s="213">
        <v>831004</v>
      </c>
    </row>
    <row r="83" spans="1:15" x14ac:dyDescent="0.3">
      <c r="A83" s="302" t="s">
        <v>155</v>
      </c>
      <c r="B83" s="302" t="str">
        <f t="shared" si="0"/>
        <v>Y</v>
      </c>
      <c r="C83" s="6" t="s">
        <v>328</v>
      </c>
      <c r="D83" s="327"/>
      <c r="E83" s="327" t="s">
        <v>329</v>
      </c>
      <c r="F83" s="206"/>
      <c r="G83" s="207">
        <v>43213</v>
      </c>
      <c r="H83" s="207">
        <v>43213</v>
      </c>
      <c r="K83" s="302">
        <v>7209581251</v>
      </c>
      <c r="L83" s="7" t="s">
        <v>330</v>
      </c>
      <c r="M83" s="208" t="s">
        <v>257</v>
      </c>
      <c r="N83" s="208" t="s">
        <v>331</v>
      </c>
      <c r="O83" s="213">
        <v>831008</v>
      </c>
    </row>
    <row r="84" spans="1:15" x14ac:dyDescent="0.3">
      <c r="A84" s="302" t="s">
        <v>155</v>
      </c>
      <c r="B84" s="302" t="str">
        <f t="shared" si="0"/>
        <v>Y</v>
      </c>
      <c r="C84" s="6" t="s">
        <v>332</v>
      </c>
      <c r="D84" s="327"/>
      <c r="E84" s="327" t="s">
        <v>333</v>
      </c>
      <c r="F84" s="206"/>
      <c r="G84" s="207">
        <v>43207</v>
      </c>
      <c r="H84" s="207">
        <v>43221</v>
      </c>
      <c r="K84" s="302">
        <v>7070364785</v>
      </c>
      <c r="M84" s="212"/>
      <c r="N84" s="213"/>
      <c r="O84" s="213">
        <v>815314</v>
      </c>
    </row>
    <row r="85" spans="1:15" x14ac:dyDescent="0.3">
      <c r="A85" s="302" t="s">
        <v>155</v>
      </c>
      <c r="B85" s="302" t="str">
        <f t="shared" si="0"/>
        <v>Y</v>
      </c>
      <c r="C85" s="6" t="s">
        <v>334</v>
      </c>
      <c r="D85" s="327"/>
      <c r="E85" s="327" t="s">
        <v>335</v>
      </c>
      <c r="F85" s="206"/>
      <c r="G85" s="207">
        <v>43208</v>
      </c>
      <c r="H85" s="207">
        <v>43215</v>
      </c>
      <c r="K85" s="302">
        <v>9771441708</v>
      </c>
      <c r="L85" s="7" t="s">
        <v>336</v>
      </c>
      <c r="M85" s="212"/>
      <c r="N85" s="213"/>
      <c r="O85" s="213">
        <v>831004</v>
      </c>
    </row>
    <row r="86" spans="1:15" x14ac:dyDescent="0.3">
      <c r="A86" s="302" t="s">
        <v>155</v>
      </c>
      <c r="B86" s="302" t="str">
        <f t="shared" si="0"/>
        <v>Y</v>
      </c>
      <c r="C86" s="6" t="s">
        <v>337</v>
      </c>
      <c r="D86" s="327"/>
      <c r="E86" s="327" t="s">
        <v>338</v>
      </c>
      <c r="F86" s="206"/>
      <c r="G86" s="207">
        <v>43211</v>
      </c>
      <c r="H86" s="207">
        <v>43215</v>
      </c>
      <c r="K86" s="302">
        <v>9934172940</v>
      </c>
      <c r="L86" s="7" t="s">
        <v>339</v>
      </c>
      <c r="M86" s="212"/>
      <c r="N86" s="213"/>
      <c r="O86" s="213">
        <v>831004</v>
      </c>
    </row>
    <row r="87" spans="1:15" x14ac:dyDescent="0.3">
      <c r="A87" s="302" t="s">
        <v>155</v>
      </c>
      <c r="B87" s="302" t="str">
        <f t="shared" si="0"/>
        <v>Y</v>
      </c>
      <c r="C87" s="6" t="s">
        <v>340</v>
      </c>
      <c r="D87" s="327"/>
      <c r="E87" s="327" t="s">
        <v>341</v>
      </c>
      <c r="F87" s="206"/>
      <c r="G87" s="207">
        <v>43213</v>
      </c>
      <c r="H87" s="207">
        <v>43213</v>
      </c>
      <c r="K87" s="302">
        <v>7091337455</v>
      </c>
      <c r="L87" s="7" t="s">
        <v>342</v>
      </c>
      <c r="M87" s="211">
        <v>43239</v>
      </c>
      <c r="N87" s="208">
        <v>23303730206</v>
      </c>
      <c r="O87" s="213">
        <v>831004</v>
      </c>
    </row>
    <row r="88" spans="1:15" x14ac:dyDescent="0.3">
      <c r="A88" s="302" t="s">
        <v>155</v>
      </c>
      <c r="B88" s="302" t="str">
        <f t="shared" si="0"/>
        <v>Y</v>
      </c>
      <c r="C88" s="6" t="s">
        <v>343</v>
      </c>
      <c r="D88" s="327"/>
      <c r="E88" s="327" t="s">
        <v>344</v>
      </c>
      <c r="F88" s="206"/>
      <c r="G88" s="207">
        <v>43213</v>
      </c>
      <c r="H88" s="207">
        <v>43222</v>
      </c>
      <c r="K88" s="302">
        <v>8877222798</v>
      </c>
      <c r="L88" s="7" t="s">
        <v>345</v>
      </c>
      <c r="M88" s="211">
        <v>43239</v>
      </c>
      <c r="N88" s="208" t="s">
        <v>346</v>
      </c>
      <c r="O88" s="213">
        <v>831004</v>
      </c>
    </row>
    <row r="89" spans="1:15" x14ac:dyDescent="0.3">
      <c r="A89" s="302" t="s">
        <v>155</v>
      </c>
      <c r="B89" s="302" t="str">
        <f t="shared" si="0"/>
        <v>Y</v>
      </c>
      <c r="C89" s="6" t="s">
        <v>347</v>
      </c>
      <c r="D89" s="327"/>
      <c r="E89" s="327" t="s">
        <v>348</v>
      </c>
      <c r="F89" s="206"/>
      <c r="G89" s="207">
        <v>43215</v>
      </c>
      <c r="H89" s="207">
        <v>43215</v>
      </c>
      <c r="K89" s="302">
        <v>7091495464</v>
      </c>
      <c r="L89" s="7" t="s">
        <v>349</v>
      </c>
      <c r="M89" s="212"/>
      <c r="N89" s="213"/>
      <c r="O89" s="213">
        <v>832301</v>
      </c>
    </row>
    <row r="90" spans="1:15" x14ac:dyDescent="0.3">
      <c r="A90" s="302" t="s">
        <v>155</v>
      </c>
      <c r="B90" s="302" t="str">
        <f t="shared" si="0"/>
        <v>Y</v>
      </c>
      <c r="C90" s="6" t="s">
        <v>350</v>
      </c>
      <c r="D90" s="327"/>
      <c r="E90" s="327" t="s">
        <v>351</v>
      </c>
      <c r="F90" s="206"/>
      <c r="G90" s="207">
        <v>43220</v>
      </c>
      <c r="H90" s="207">
        <v>43223</v>
      </c>
      <c r="K90" s="302">
        <v>7979895911</v>
      </c>
      <c r="L90" s="7" t="s">
        <v>295</v>
      </c>
      <c r="M90" s="212"/>
      <c r="N90" s="213"/>
      <c r="O90" s="213">
        <v>831004</v>
      </c>
    </row>
    <row r="91" spans="1:15" x14ac:dyDescent="0.3">
      <c r="A91" s="302" t="s">
        <v>155</v>
      </c>
      <c r="B91" s="302" t="str">
        <f t="shared" si="0"/>
        <v>Y</v>
      </c>
      <c r="C91" s="6" t="s">
        <v>352</v>
      </c>
      <c r="D91" s="327"/>
      <c r="E91" s="327" t="s">
        <v>353</v>
      </c>
      <c r="F91" s="206"/>
      <c r="G91" s="207">
        <v>43222</v>
      </c>
      <c r="H91" s="207">
        <v>43222</v>
      </c>
      <c r="K91" s="302">
        <v>6201498763</v>
      </c>
      <c r="L91" s="7" t="s">
        <v>295</v>
      </c>
      <c r="M91" s="212"/>
      <c r="N91" s="213"/>
      <c r="O91" s="213">
        <v>831004</v>
      </c>
    </row>
    <row r="92" spans="1:15" x14ac:dyDescent="0.3">
      <c r="A92" s="302" t="s">
        <v>155</v>
      </c>
      <c r="B92" s="302" t="str">
        <f t="shared" si="0"/>
        <v>Y</v>
      </c>
      <c r="C92" s="6" t="s">
        <v>354</v>
      </c>
      <c r="D92" s="327"/>
      <c r="E92" s="327" t="s">
        <v>355</v>
      </c>
      <c r="F92" s="206"/>
      <c r="G92" s="207">
        <v>43222</v>
      </c>
      <c r="H92" s="207">
        <v>43222</v>
      </c>
      <c r="K92" s="302">
        <v>9507188858</v>
      </c>
      <c r="L92" s="2" t="s">
        <v>295</v>
      </c>
      <c r="M92" s="212"/>
      <c r="N92" s="213"/>
      <c r="O92" s="209"/>
    </row>
    <row r="93" spans="1:15" x14ac:dyDescent="0.3">
      <c r="A93" s="302" t="s">
        <v>155</v>
      </c>
      <c r="B93" s="302" t="str">
        <f t="shared" si="0"/>
        <v>Y</v>
      </c>
      <c r="C93" s="6" t="s">
        <v>356</v>
      </c>
      <c r="D93" s="327"/>
      <c r="E93" s="327" t="s">
        <v>357</v>
      </c>
      <c r="F93" s="206"/>
      <c r="G93" s="207">
        <v>43222</v>
      </c>
      <c r="H93" s="207">
        <v>43223</v>
      </c>
      <c r="L93" s="2" t="s">
        <v>295</v>
      </c>
      <c r="M93" s="212"/>
      <c r="N93" s="213"/>
      <c r="O93" s="209"/>
    </row>
    <row r="94" spans="1:15" x14ac:dyDescent="0.3">
      <c r="A94" s="302" t="s">
        <v>155</v>
      </c>
      <c r="B94" s="302" t="str">
        <f t="shared" si="0"/>
        <v>Y</v>
      </c>
      <c r="C94" s="6" t="s">
        <v>358</v>
      </c>
      <c r="D94" s="327"/>
      <c r="E94" s="327" t="s">
        <v>359</v>
      </c>
      <c r="F94" s="206"/>
      <c r="G94" s="207">
        <v>43223</v>
      </c>
      <c r="H94" s="207">
        <v>43223</v>
      </c>
      <c r="K94" s="302">
        <v>8092226040</v>
      </c>
      <c r="M94" s="212"/>
      <c r="N94" s="213"/>
      <c r="O94" s="209"/>
    </row>
    <row r="95" spans="1:15" x14ac:dyDescent="0.3">
      <c r="A95" s="302" t="s">
        <v>155</v>
      </c>
      <c r="B95" s="302" t="str">
        <f t="shared" si="0"/>
        <v>Y</v>
      </c>
      <c r="C95" s="6" t="s">
        <v>360</v>
      </c>
      <c r="D95" s="327"/>
      <c r="E95" s="327" t="s">
        <v>361</v>
      </c>
      <c r="F95" s="206"/>
      <c r="G95" s="207">
        <v>43223</v>
      </c>
      <c r="H95" s="207">
        <v>43223</v>
      </c>
      <c r="K95" s="302">
        <v>9204603905</v>
      </c>
      <c r="M95" s="212"/>
      <c r="N95" s="213"/>
      <c r="O95" s="209"/>
    </row>
    <row r="96" spans="1:15" x14ac:dyDescent="0.3">
      <c r="A96" s="302" t="s">
        <v>155</v>
      </c>
      <c r="B96" s="302" t="str">
        <f t="shared" si="0"/>
        <v>Y</v>
      </c>
      <c r="C96" s="6" t="s">
        <v>362</v>
      </c>
      <c r="D96" s="327"/>
      <c r="E96" s="327" t="s">
        <v>363</v>
      </c>
      <c r="F96" s="206"/>
      <c r="G96" s="207">
        <v>43220</v>
      </c>
      <c r="H96" s="207">
        <v>43224</v>
      </c>
      <c r="K96" s="302">
        <v>9049355695</v>
      </c>
      <c r="M96" s="212"/>
      <c r="N96" s="213"/>
      <c r="O96" s="209"/>
    </row>
    <row r="97" spans="1:15" x14ac:dyDescent="0.3">
      <c r="A97" s="302" t="s">
        <v>155</v>
      </c>
      <c r="B97" s="302" t="str">
        <f t="shared" si="0"/>
        <v>Y</v>
      </c>
      <c r="C97" s="6" t="s">
        <v>364</v>
      </c>
      <c r="D97" s="327"/>
      <c r="E97" s="327" t="s">
        <v>365</v>
      </c>
      <c r="F97" s="206"/>
      <c r="G97" s="207">
        <v>43224</v>
      </c>
      <c r="H97" s="207">
        <v>43232</v>
      </c>
      <c r="M97" s="212"/>
      <c r="N97" s="213"/>
      <c r="O97" s="209"/>
    </row>
    <row r="98" spans="1:15" x14ac:dyDescent="0.3">
      <c r="A98" s="302" t="s">
        <v>155</v>
      </c>
      <c r="B98" s="302" t="str">
        <f t="shared" si="0"/>
        <v>Y</v>
      </c>
      <c r="C98" s="6" t="s">
        <v>366</v>
      </c>
      <c r="D98" s="327"/>
      <c r="E98" s="327" t="s">
        <v>367</v>
      </c>
      <c r="F98" s="206"/>
      <c r="G98" s="207">
        <v>43223</v>
      </c>
      <c r="H98" s="207">
        <v>43224</v>
      </c>
      <c r="K98" s="302">
        <v>7319769981</v>
      </c>
      <c r="M98" s="212"/>
      <c r="N98" s="213"/>
      <c r="O98" s="209"/>
    </row>
    <row r="99" spans="1:15" x14ac:dyDescent="0.3">
      <c r="A99" s="302" t="s">
        <v>155</v>
      </c>
      <c r="B99" s="302" t="str">
        <f t="shared" si="0"/>
        <v>Y</v>
      </c>
      <c r="C99" s="6" t="s">
        <v>368</v>
      </c>
      <c r="D99" s="327"/>
      <c r="E99" s="327" t="s">
        <v>369</v>
      </c>
      <c r="F99" s="206"/>
      <c r="G99" s="207">
        <v>43225</v>
      </c>
      <c r="H99" s="207">
        <v>43228</v>
      </c>
      <c r="M99" s="212"/>
      <c r="N99" s="213"/>
      <c r="O99" s="209"/>
    </row>
    <row r="100" spans="1:15" x14ac:dyDescent="0.3">
      <c r="A100" s="302" t="s">
        <v>155</v>
      </c>
      <c r="B100" s="302" t="str">
        <f t="shared" si="0"/>
        <v>Y</v>
      </c>
      <c r="C100" s="6" t="s">
        <v>370</v>
      </c>
      <c r="D100" s="327"/>
      <c r="E100" s="327" t="s">
        <v>371</v>
      </c>
      <c r="F100" s="206"/>
      <c r="G100" s="207">
        <v>43227</v>
      </c>
      <c r="H100" s="207">
        <v>43228</v>
      </c>
      <c r="K100" s="302">
        <v>9570051339</v>
      </c>
      <c r="M100" s="212"/>
      <c r="N100" s="213"/>
      <c r="O100" s="209">
        <v>831004</v>
      </c>
    </row>
    <row r="101" spans="1:15" x14ac:dyDescent="0.3">
      <c r="A101" s="302" t="s">
        <v>155</v>
      </c>
      <c r="B101" s="302" t="str">
        <f t="shared" si="0"/>
        <v>Y</v>
      </c>
      <c r="C101" s="6" t="s">
        <v>372</v>
      </c>
      <c r="D101" s="327"/>
      <c r="E101" s="327" t="s">
        <v>373</v>
      </c>
      <c r="F101" s="206"/>
      <c r="G101" s="207">
        <v>43227</v>
      </c>
      <c r="H101" s="207">
        <v>43228</v>
      </c>
      <c r="K101" s="302">
        <v>8603403435</v>
      </c>
      <c r="M101" s="212"/>
      <c r="N101" s="213"/>
      <c r="O101" s="209"/>
    </row>
    <row r="102" spans="1:15" x14ac:dyDescent="0.3">
      <c r="A102" s="302" t="s">
        <v>155</v>
      </c>
      <c r="B102" s="302" t="str">
        <f t="shared" si="0"/>
        <v>Y</v>
      </c>
      <c r="C102" s="6" t="s">
        <v>374</v>
      </c>
      <c r="D102" s="327"/>
      <c r="E102" s="327" t="s">
        <v>375</v>
      </c>
      <c r="F102" s="206"/>
      <c r="G102" s="207">
        <v>43228</v>
      </c>
      <c r="H102" s="207">
        <v>43232</v>
      </c>
      <c r="K102" s="302">
        <v>7631070520</v>
      </c>
      <c r="M102" s="212"/>
      <c r="N102" s="213"/>
      <c r="O102" s="209"/>
    </row>
    <row r="103" spans="1:15" x14ac:dyDescent="0.3">
      <c r="A103" s="302" t="s">
        <v>155</v>
      </c>
      <c r="B103" s="302" t="str">
        <f t="shared" si="0"/>
        <v>Y</v>
      </c>
      <c r="C103" s="6" t="s">
        <v>376</v>
      </c>
      <c r="D103" s="327"/>
      <c r="E103" s="327" t="s">
        <v>377</v>
      </c>
      <c r="F103" s="206"/>
      <c r="G103" s="207">
        <v>43230</v>
      </c>
      <c r="H103" s="207">
        <v>43232</v>
      </c>
      <c r="K103" s="302">
        <v>9234011403</v>
      </c>
      <c r="M103" s="212"/>
      <c r="N103" s="213"/>
      <c r="O103" s="209"/>
    </row>
    <row r="104" spans="1:15" x14ac:dyDescent="0.3">
      <c r="A104" s="302" t="s">
        <v>155</v>
      </c>
      <c r="B104" s="302" t="str">
        <f t="shared" si="0"/>
        <v>Y</v>
      </c>
      <c r="C104" s="6" t="s">
        <v>378</v>
      </c>
      <c r="D104" s="327"/>
      <c r="E104" s="327" t="s">
        <v>379</v>
      </c>
      <c r="F104" s="206"/>
      <c r="G104" s="207">
        <v>43232</v>
      </c>
      <c r="H104" s="207">
        <v>43232</v>
      </c>
      <c r="K104" s="302">
        <v>8789998782</v>
      </c>
      <c r="M104" s="212"/>
      <c r="N104" s="213"/>
      <c r="O104" s="209"/>
    </row>
    <row r="105" spans="1:15" x14ac:dyDescent="0.3">
      <c r="A105" s="302" t="s">
        <v>155</v>
      </c>
      <c r="B105" s="302" t="str">
        <f t="shared" si="0"/>
        <v>Y</v>
      </c>
      <c r="C105" s="6" t="s">
        <v>380</v>
      </c>
      <c r="D105" s="327"/>
      <c r="E105" s="327" t="s">
        <v>381</v>
      </c>
      <c r="F105" s="206"/>
      <c r="G105" s="207">
        <v>43232</v>
      </c>
      <c r="H105" s="207">
        <v>43232</v>
      </c>
      <c r="K105" s="302">
        <v>8809901777</v>
      </c>
      <c r="M105" s="212"/>
      <c r="N105" s="213"/>
      <c r="O105" s="209"/>
    </row>
    <row r="106" spans="1:15" x14ac:dyDescent="0.3">
      <c r="A106" s="302" t="s">
        <v>155</v>
      </c>
      <c r="B106" s="302" t="str">
        <f t="shared" si="0"/>
        <v>Y</v>
      </c>
      <c r="C106" s="6" t="s">
        <v>382</v>
      </c>
      <c r="D106" s="327"/>
      <c r="E106" s="327" t="s">
        <v>383</v>
      </c>
      <c r="F106" s="206"/>
      <c r="G106" s="207">
        <v>43233</v>
      </c>
      <c r="H106" s="207">
        <v>43275</v>
      </c>
      <c r="K106" s="302">
        <v>7541877530</v>
      </c>
      <c r="M106" s="212"/>
      <c r="N106" s="213"/>
      <c r="O106" s="209"/>
    </row>
    <row r="107" spans="1:15" x14ac:dyDescent="0.3">
      <c r="A107" s="302" t="s">
        <v>155</v>
      </c>
      <c r="B107" s="302" t="str">
        <f t="shared" si="0"/>
        <v>Y</v>
      </c>
      <c r="C107" s="6" t="s">
        <v>384</v>
      </c>
      <c r="D107" s="327"/>
      <c r="E107" s="327" t="s">
        <v>385</v>
      </c>
      <c r="F107" s="206"/>
      <c r="G107" s="207">
        <v>43235</v>
      </c>
      <c r="H107" s="207">
        <v>43239</v>
      </c>
      <c r="K107" s="302">
        <v>8987600904</v>
      </c>
      <c r="M107" s="212"/>
      <c r="N107" s="213"/>
      <c r="O107" s="209"/>
    </row>
    <row r="108" spans="1:15" x14ac:dyDescent="0.3">
      <c r="A108" s="302" t="s">
        <v>155</v>
      </c>
      <c r="B108" s="302" t="str">
        <f t="shared" si="0"/>
        <v>Y</v>
      </c>
      <c r="C108" s="6" t="s">
        <v>386</v>
      </c>
      <c r="D108" s="327"/>
      <c r="E108" s="327" t="s">
        <v>387</v>
      </c>
      <c r="F108" s="206"/>
      <c r="G108" s="207">
        <v>43236</v>
      </c>
      <c r="H108" s="207">
        <v>43239</v>
      </c>
      <c r="K108" s="302">
        <v>9631500927</v>
      </c>
      <c r="M108" s="212"/>
      <c r="N108" s="213"/>
      <c r="O108" s="209"/>
    </row>
    <row r="109" spans="1:15" x14ac:dyDescent="0.3">
      <c r="A109" s="302" t="s">
        <v>155</v>
      </c>
      <c r="B109" s="302" t="str">
        <f t="shared" si="0"/>
        <v>Y</v>
      </c>
      <c r="C109" s="6" t="s">
        <v>388</v>
      </c>
      <c r="D109" s="327"/>
      <c r="E109" s="327" t="s">
        <v>389</v>
      </c>
      <c r="F109" s="206"/>
      <c r="G109" s="207">
        <v>43236</v>
      </c>
      <c r="H109" s="207">
        <v>43239</v>
      </c>
      <c r="K109" s="302">
        <v>9801306689</v>
      </c>
      <c r="M109" s="212"/>
      <c r="N109" s="213"/>
      <c r="O109" s="209"/>
    </row>
    <row r="110" spans="1:15" x14ac:dyDescent="0.3">
      <c r="A110" s="302" t="s">
        <v>155</v>
      </c>
      <c r="B110" s="302" t="str">
        <f t="shared" si="0"/>
        <v>Y</v>
      </c>
      <c r="C110" s="6" t="s">
        <v>390</v>
      </c>
      <c r="D110" s="327"/>
      <c r="E110" s="327" t="s">
        <v>391</v>
      </c>
      <c r="F110" s="206"/>
      <c r="G110" s="207">
        <v>43237</v>
      </c>
      <c r="H110" s="207">
        <v>43239</v>
      </c>
      <c r="K110" s="302">
        <v>8092178296</v>
      </c>
      <c r="M110" s="212"/>
      <c r="N110" s="213"/>
      <c r="O110" s="209"/>
    </row>
    <row r="111" spans="1:15" x14ac:dyDescent="0.3">
      <c r="A111" s="302" t="s">
        <v>155</v>
      </c>
      <c r="B111" s="302" t="str">
        <f t="shared" si="0"/>
        <v>Y</v>
      </c>
      <c r="C111" s="6" t="s">
        <v>392</v>
      </c>
      <c r="D111" s="327"/>
      <c r="E111" s="328" t="s">
        <v>393</v>
      </c>
      <c r="F111" s="206"/>
      <c r="G111" s="207">
        <v>43245</v>
      </c>
      <c r="H111" s="207">
        <v>43245</v>
      </c>
      <c r="K111" s="292">
        <v>7764050604</v>
      </c>
      <c r="M111" s="212"/>
      <c r="N111" s="213"/>
      <c r="O111" s="209"/>
    </row>
    <row r="112" spans="1:15" x14ac:dyDescent="0.3">
      <c r="A112" s="302" t="s">
        <v>155</v>
      </c>
      <c r="B112" s="302" t="str">
        <f t="shared" si="0"/>
        <v>Y</v>
      </c>
      <c r="C112" s="6" t="s">
        <v>394</v>
      </c>
      <c r="D112" s="327"/>
      <c r="E112" s="327" t="s">
        <v>395</v>
      </c>
      <c r="F112" s="206"/>
      <c r="G112" s="207">
        <v>43245</v>
      </c>
      <c r="H112" s="207">
        <v>43246</v>
      </c>
      <c r="K112" s="302">
        <v>7319771619</v>
      </c>
      <c r="M112" s="212"/>
      <c r="N112" s="213"/>
      <c r="O112" s="209"/>
    </row>
    <row r="113" spans="1:15" x14ac:dyDescent="0.3">
      <c r="A113" s="302" t="s">
        <v>155</v>
      </c>
      <c r="B113" s="302" t="str">
        <f t="shared" si="0"/>
        <v>Y</v>
      </c>
      <c r="C113" s="6" t="s">
        <v>396</v>
      </c>
      <c r="D113" s="327"/>
      <c r="E113" s="327" t="s">
        <v>397</v>
      </c>
      <c r="F113" s="206"/>
      <c r="G113" s="207">
        <v>43245</v>
      </c>
      <c r="H113" s="207">
        <v>43246</v>
      </c>
      <c r="K113" s="302">
        <v>8092636195</v>
      </c>
      <c r="M113" s="212"/>
      <c r="N113" s="213"/>
      <c r="O113" s="209"/>
    </row>
    <row r="114" spans="1:15" x14ac:dyDescent="0.3">
      <c r="A114" s="302" t="s">
        <v>155</v>
      </c>
      <c r="B114" s="302" t="str">
        <f t="shared" si="0"/>
        <v>Y</v>
      </c>
      <c r="C114" s="6" t="s">
        <v>398</v>
      </c>
      <c r="D114" s="327"/>
      <c r="E114" s="327" t="s">
        <v>399</v>
      </c>
      <c r="F114" s="206"/>
      <c r="G114" s="207">
        <v>43245</v>
      </c>
      <c r="H114" s="207">
        <v>43246</v>
      </c>
      <c r="K114" s="302">
        <v>8092904862</v>
      </c>
      <c r="M114" s="212"/>
      <c r="N114" s="213"/>
      <c r="O114" s="209"/>
    </row>
    <row r="115" spans="1:15" x14ac:dyDescent="0.3">
      <c r="A115" s="302" t="s">
        <v>155</v>
      </c>
      <c r="B115" s="302" t="str">
        <f t="shared" si="0"/>
        <v>N</v>
      </c>
      <c r="C115" s="6" t="s">
        <v>400</v>
      </c>
      <c r="D115" s="327"/>
      <c r="E115" s="327" t="s">
        <v>401</v>
      </c>
      <c r="F115" s="206"/>
      <c r="G115" s="207">
        <v>43245</v>
      </c>
      <c r="H115" s="207"/>
      <c r="K115" s="302">
        <v>9204976834</v>
      </c>
      <c r="M115" s="212"/>
      <c r="N115" s="213"/>
      <c r="O115" s="209"/>
    </row>
    <row r="116" spans="1:15" x14ac:dyDescent="0.3">
      <c r="A116" s="302" t="s">
        <v>155</v>
      </c>
      <c r="B116" s="302" t="str">
        <f t="shared" si="0"/>
        <v>Y</v>
      </c>
      <c r="C116" s="6" t="s">
        <v>402</v>
      </c>
      <c r="D116" s="327"/>
      <c r="E116" s="327" t="s">
        <v>403</v>
      </c>
      <c r="F116" s="206"/>
      <c r="G116" s="207">
        <v>43245</v>
      </c>
      <c r="H116" s="207">
        <v>43246</v>
      </c>
      <c r="K116" s="293">
        <v>7209958871</v>
      </c>
      <c r="M116" s="212"/>
      <c r="N116" s="213"/>
      <c r="O116" s="209"/>
    </row>
    <row r="117" spans="1:15" x14ac:dyDescent="0.3">
      <c r="A117" s="302" t="s">
        <v>155</v>
      </c>
      <c r="B117" s="302" t="str">
        <f t="shared" si="0"/>
        <v>N</v>
      </c>
      <c r="C117" s="6" t="s">
        <v>404</v>
      </c>
      <c r="D117" s="327"/>
      <c r="E117" s="327" t="s">
        <v>405</v>
      </c>
      <c r="F117" s="206"/>
      <c r="G117" s="207">
        <v>43245</v>
      </c>
      <c r="H117" s="302"/>
      <c r="K117" s="302">
        <v>8340302582</v>
      </c>
      <c r="M117" s="212"/>
      <c r="N117" s="213"/>
      <c r="O117" s="209"/>
    </row>
    <row r="118" spans="1:15" x14ac:dyDescent="0.3">
      <c r="A118" s="302" t="s">
        <v>155</v>
      </c>
      <c r="B118" s="302" t="str">
        <f t="shared" si="0"/>
        <v>Y</v>
      </c>
      <c r="C118" s="6" t="s">
        <v>396</v>
      </c>
      <c r="D118" s="327"/>
      <c r="E118" s="327" t="s">
        <v>397</v>
      </c>
      <c r="F118" s="206"/>
      <c r="G118" s="207">
        <v>43245</v>
      </c>
      <c r="H118" s="207" t="s">
        <v>406</v>
      </c>
      <c r="K118" s="302">
        <v>8092636195</v>
      </c>
      <c r="M118" s="212"/>
      <c r="N118" s="213"/>
      <c r="O118" s="209"/>
    </row>
    <row r="119" spans="1:15" x14ac:dyDescent="0.3">
      <c r="A119" s="302" t="s">
        <v>155</v>
      </c>
      <c r="B119" s="302" t="str">
        <f t="shared" si="0"/>
        <v>Y</v>
      </c>
      <c r="C119" s="6" t="s">
        <v>398</v>
      </c>
      <c r="D119" s="327"/>
      <c r="E119" s="327" t="s">
        <v>399</v>
      </c>
      <c r="F119" s="206"/>
      <c r="G119" s="207">
        <v>43245</v>
      </c>
      <c r="H119" s="207" t="s">
        <v>406</v>
      </c>
      <c r="K119" s="302">
        <v>8092904862</v>
      </c>
      <c r="M119" s="212"/>
      <c r="N119" s="213"/>
      <c r="O119" s="209"/>
    </row>
    <row r="120" spans="1:15" x14ac:dyDescent="0.3">
      <c r="A120" s="302" t="s">
        <v>155</v>
      </c>
      <c r="B120" s="302" t="str">
        <f t="shared" si="0"/>
        <v>Y</v>
      </c>
      <c r="C120" s="6" t="s">
        <v>394</v>
      </c>
      <c r="D120" s="327"/>
      <c r="E120" s="327" t="s">
        <v>395</v>
      </c>
      <c r="F120" s="206"/>
      <c r="G120" s="207">
        <v>43245</v>
      </c>
      <c r="H120" s="207" t="s">
        <v>406</v>
      </c>
      <c r="K120" s="302">
        <v>7319771619</v>
      </c>
      <c r="M120" s="212"/>
      <c r="N120" s="213"/>
      <c r="O120" s="209"/>
    </row>
    <row r="121" spans="1:15" x14ac:dyDescent="0.3">
      <c r="A121" s="302" t="s">
        <v>155</v>
      </c>
      <c r="B121" s="302" t="str">
        <f t="shared" si="0"/>
        <v>Y</v>
      </c>
      <c r="C121" s="6" t="s">
        <v>407</v>
      </c>
      <c r="D121" s="327"/>
      <c r="E121" s="327" t="s">
        <v>408</v>
      </c>
      <c r="F121" s="206"/>
      <c r="G121" s="207">
        <v>43245</v>
      </c>
      <c r="H121" s="207" t="s">
        <v>406</v>
      </c>
      <c r="K121" s="302">
        <v>7209958871</v>
      </c>
      <c r="M121" s="212"/>
      <c r="N121" s="213"/>
      <c r="O121" s="209"/>
    </row>
    <row r="122" spans="1:15" x14ac:dyDescent="0.3">
      <c r="A122" s="302" t="s">
        <v>155</v>
      </c>
      <c r="B122" s="302" t="str">
        <f t="shared" si="0"/>
        <v>Y</v>
      </c>
      <c r="C122" s="6" t="s">
        <v>392</v>
      </c>
      <c r="D122" s="327"/>
      <c r="E122" s="327" t="s">
        <v>409</v>
      </c>
      <c r="F122" s="206"/>
      <c r="G122" s="207">
        <v>43245</v>
      </c>
      <c r="H122" s="207" t="s">
        <v>406</v>
      </c>
      <c r="K122" s="302">
        <v>7764050604</v>
      </c>
      <c r="M122" s="212"/>
      <c r="N122" s="213"/>
      <c r="O122" s="209"/>
    </row>
    <row r="123" spans="1:15" x14ac:dyDescent="0.3">
      <c r="A123" s="302" t="s">
        <v>155</v>
      </c>
      <c r="B123" s="302" t="str">
        <f t="shared" si="0"/>
        <v>N</v>
      </c>
      <c r="C123" s="6" t="s">
        <v>410</v>
      </c>
      <c r="D123" s="327"/>
      <c r="E123" s="327" t="s">
        <v>411</v>
      </c>
      <c r="F123" s="206"/>
      <c r="G123" s="207">
        <v>43247</v>
      </c>
      <c r="H123" s="302"/>
      <c r="K123" s="302">
        <v>9263499819</v>
      </c>
      <c r="M123" s="212"/>
      <c r="N123" s="213"/>
      <c r="O123" s="209"/>
    </row>
    <row r="124" spans="1:15" x14ac:dyDescent="0.3">
      <c r="A124" s="302" t="s">
        <v>155</v>
      </c>
      <c r="B124" s="302" t="str">
        <f t="shared" si="0"/>
        <v>Y</v>
      </c>
      <c r="C124" s="6" t="s">
        <v>412</v>
      </c>
      <c r="D124" s="327"/>
      <c r="E124" s="327" t="s">
        <v>413</v>
      </c>
      <c r="F124" s="206"/>
      <c r="G124" s="207">
        <v>43246</v>
      </c>
      <c r="H124" s="207" t="s">
        <v>414</v>
      </c>
      <c r="K124" s="302">
        <v>8797107528</v>
      </c>
      <c r="M124" s="212"/>
      <c r="N124" s="213"/>
      <c r="O124" s="209"/>
    </row>
    <row r="125" spans="1:15" x14ac:dyDescent="0.3">
      <c r="A125" s="302" t="s">
        <v>155</v>
      </c>
      <c r="B125" s="302" t="str">
        <f t="shared" si="0"/>
        <v>Y</v>
      </c>
      <c r="C125" s="6" t="s">
        <v>415</v>
      </c>
      <c r="D125" s="327"/>
      <c r="E125" s="327" t="s">
        <v>416</v>
      </c>
      <c r="F125" s="206"/>
      <c r="G125" s="207">
        <v>43246</v>
      </c>
      <c r="H125" s="207" t="s">
        <v>417</v>
      </c>
      <c r="K125" s="302">
        <v>9304661509</v>
      </c>
      <c r="M125" s="212"/>
      <c r="N125" s="213"/>
      <c r="O125" s="209"/>
    </row>
    <row r="126" spans="1:15" x14ac:dyDescent="0.3">
      <c r="A126" s="302"/>
      <c r="B126" s="302" t="str">
        <f t="shared" si="0"/>
        <v>Y</v>
      </c>
      <c r="C126" s="6" t="s">
        <v>418</v>
      </c>
      <c r="D126" s="327"/>
      <c r="E126" s="327" t="s">
        <v>419</v>
      </c>
      <c r="F126" s="206"/>
      <c r="G126" s="207">
        <v>43248</v>
      </c>
      <c r="H126" s="207" t="s">
        <v>420</v>
      </c>
      <c r="K126" s="302">
        <v>8102701909</v>
      </c>
      <c r="M126" s="212"/>
      <c r="N126" s="213"/>
      <c r="O126" s="209"/>
    </row>
    <row r="127" spans="1:15" x14ac:dyDescent="0.3">
      <c r="A127" s="302" t="s">
        <v>155</v>
      </c>
      <c r="B127" s="302" t="str">
        <f t="shared" si="0"/>
        <v>Y</v>
      </c>
      <c r="C127" s="6" t="s">
        <v>404</v>
      </c>
      <c r="D127" s="327"/>
      <c r="E127" s="327" t="s">
        <v>405</v>
      </c>
      <c r="F127" s="206"/>
      <c r="G127" s="207">
        <v>43248</v>
      </c>
      <c r="H127" s="207" t="s">
        <v>417</v>
      </c>
      <c r="K127" s="302">
        <v>8340302582</v>
      </c>
      <c r="M127" s="212"/>
      <c r="N127" s="213"/>
      <c r="O127" s="209"/>
    </row>
    <row r="128" spans="1:15" x14ac:dyDescent="0.3">
      <c r="A128" s="302" t="s">
        <v>155</v>
      </c>
      <c r="B128" s="302" t="str">
        <f t="shared" si="0"/>
        <v>Y</v>
      </c>
      <c r="C128" s="6" t="s">
        <v>421</v>
      </c>
      <c r="D128" s="327"/>
      <c r="E128" s="327" t="s">
        <v>422</v>
      </c>
      <c r="F128" s="206"/>
      <c r="G128" s="207">
        <v>43248</v>
      </c>
      <c r="H128" s="207" t="s">
        <v>417</v>
      </c>
      <c r="K128" s="302">
        <v>8092323535</v>
      </c>
      <c r="L128" s="216" t="s">
        <v>423</v>
      </c>
      <c r="M128" s="212"/>
      <c r="N128" s="213"/>
      <c r="O128" s="209"/>
    </row>
    <row r="129" spans="1:15" x14ac:dyDescent="0.3">
      <c r="A129" s="302" t="s">
        <v>155</v>
      </c>
      <c r="B129" s="302" t="str">
        <f t="shared" si="0"/>
        <v>N</v>
      </c>
      <c r="C129" s="6" t="s">
        <v>424</v>
      </c>
      <c r="D129" s="327"/>
      <c r="E129" s="327" t="s">
        <v>425</v>
      </c>
      <c r="F129" s="206"/>
      <c r="G129" s="207">
        <v>43248</v>
      </c>
      <c r="H129" s="302"/>
      <c r="K129" s="302">
        <v>8349497847</v>
      </c>
      <c r="M129" s="212"/>
      <c r="N129" s="213"/>
      <c r="O129" s="209"/>
    </row>
    <row r="130" spans="1:15" x14ac:dyDescent="0.3">
      <c r="A130" s="302" t="s">
        <v>155</v>
      </c>
      <c r="B130" s="302" t="str">
        <f t="shared" si="0"/>
        <v>Y</v>
      </c>
      <c r="C130" s="6" t="s">
        <v>400</v>
      </c>
      <c r="D130" s="327"/>
      <c r="E130" s="327" t="s">
        <v>401</v>
      </c>
      <c r="F130" s="206"/>
      <c r="G130" s="207">
        <v>43248</v>
      </c>
      <c r="H130" s="207" t="s">
        <v>417</v>
      </c>
      <c r="K130" s="302">
        <v>9204976834</v>
      </c>
      <c r="M130" s="212"/>
      <c r="N130" s="213"/>
      <c r="O130" s="209"/>
    </row>
    <row r="131" spans="1:15" x14ac:dyDescent="0.3">
      <c r="A131" s="302" t="s">
        <v>155</v>
      </c>
      <c r="B131" s="302" t="str">
        <f t="shared" si="0"/>
        <v>Y</v>
      </c>
      <c r="C131" s="6" t="s">
        <v>426</v>
      </c>
      <c r="D131" s="327"/>
      <c r="E131" s="327" t="s">
        <v>427</v>
      </c>
      <c r="F131" s="206"/>
      <c r="G131" s="207">
        <v>43250</v>
      </c>
      <c r="H131" s="207" t="s">
        <v>428</v>
      </c>
      <c r="K131" s="302">
        <v>8789632037</v>
      </c>
      <c r="L131" s="2" t="s">
        <v>429</v>
      </c>
      <c r="M131" s="212"/>
      <c r="N131" s="213"/>
      <c r="O131" s="209"/>
    </row>
    <row r="132" spans="1:15" x14ac:dyDescent="0.3">
      <c r="A132" s="302"/>
      <c r="B132" s="302" t="str">
        <f t="shared" si="0"/>
        <v>Y</v>
      </c>
      <c r="C132" s="6" t="s">
        <v>430</v>
      </c>
      <c r="D132" s="327"/>
      <c r="E132" s="327" t="s">
        <v>431</v>
      </c>
      <c r="F132" s="206"/>
      <c r="G132" s="207">
        <v>43251</v>
      </c>
      <c r="H132" s="207">
        <v>43278</v>
      </c>
      <c r="K132" s="302">
        <v>9234739947</v>
      </c>
      <c r="M132" s="212"/>
      <c r="N132" s="213"/>
      <c r="O132" s="209"/>
    </row>
    <row r="133" spans="1:15" x14ac:dyDescent="0.3">
      <c r="A133" s="302"/>
      <c r="B133" s="302" t="str">
        <f t="shared" si="0"/>
        <v>Y</v>
      </c>
      <c r="C133" s="6" t="s">
        <v>432</v>
      </c>
      <c r="D133" s="327"/>
      <c r="E133" s="327" t="s">
        <v>433</v>
      </c>
      <c r="F133" s="206"/>
      <c r="G133" s="207">
        <v>43251</v>
      </c>
      <c r="H133" s="207">
        <v>43349</v>
      </c>
      <c r="K133" s="302">
        <v>7209584822</v>
      </c>
      <c r="M133" s="212"/>
      <c r="N133" s="213"/>
      <c r="O133" s="209"/>
    </row>
    <row r="134" spans="1:15" x14ac:dyDescent="0.3">
      <c r="A134" s="302" t="s">
        <v>155</v>
      </c>
      <c r="B134" s="302" t="str">
        <f t="shared" si="0"/>
        <v>Y</v>
      </c>
      <c r="C134" s="6" t="s">
        <v>434</v>
      </c>
      <c r="D134" s="327"/>
      <c r="E134" s="327" t="s">
        <v>435</v>
      </c>
      <c r="F134" s="206"/>
      <c r="G134" s="207">
        <v>43251</v>
      </c>
      <c r="H134" s="207">
        <v>43251</v>
      </c>
      <c r="K134" s="302">
        <v>7654084911</v>
      </c>
      <c r="L134" s="2" t="s">
        <v>429</v>
      </c>
      <c r="M134" s="212"/>
      <c r="N134" s="213"/>
      <c r="O134" s="209"/>
    </row>
    <row r="135" spans="1:15" x14ac:dyDescent="0.3">
      <c r="A135" s="302" t="s">
        <v>155</v>
      </c>
      <c r="B135" s="302" t="str">
        <f t="shared" si="0"/>
        <v>Y</v>
      </c>
      <c r="C135" s="6" t="s">
        <v>436</v>
      </c>
      <c r="D135" s="327"/>
      <c r="E135" s="327" t="s">
        <v>437</v>
      </c>
      <c r="F135" s="206"/>
      <c r="G135" s="207">
        <v>43255</v>
      </c>
      <c r="H135" s="207">
        <v>43256</v>
      </c>
      <c r="K135" s="302">
        <v>9031002088</v>
      </c>
      <c r="M135" s="212"/>
      <c r="N135" s="213"/>
      <c r="O135" s="209"/>
    </row>
    <row r="136" spans="1:15" x14ac:dyDescent="0.3">
      <c r="A136" s="302" t="s">
        <v>155</v>
      </c>
      <c r="B136" s="302" t="str">
        <f t="shared" si="0"/>
        <v>Y</v>
      </c>
      <c r="C136" s="6" t="s">
        <v>438</v>
      </c>
      <c r="D136" s="327"/>
      <c r="E136" s="327" t="s">
        <v>439</v>
      </c>
      <c r="F136" s="206"/>
      <c r="G136" s="207">
        <v>43255</v>
      </c>
      <c r="H136" s="207">
        <v>43379</v>
      </c>
      <c r="K136" s="302">
        <v>9939374146</v>
      </c>
      <c r="M136" s="212"/>
      <c r="N136" s="213"/>
      <c r="O136" s="209"/>
    </row>
    <row r="137" spans="1:15" x14ac:dyDescent="0.3">
      <c r="A137" s="302" t="s">
        <v>155</v>
      </c>
      <c r="B137" s="302" t="str">
        <f t="shared" si="0"/>
        <v>Y</v>
      </c>
      <c r="C137" s="6" t="s">
        <v>440</v>
      </c>
      <c r="D137" s="327"/>
      <c r="E137" s="327" t="s">
        <v>441</v>
      </c>
      <c r="F137" s="206"/>
      <c r="G137" s="207">
        <v>43256</v>
      </c>
      <c r="H137" s="207">
        <v>43256</v>
      </c>
      <c r="K137" s="302">
        <v>9525872392</v>
      </c>
      <c r="M137" s="212"/>
      <c r="N137" s="213"/>
      <c r="O137" s="209"/>
    </row>
    <row r="138" spans="1:15" x14ac:dyDescent="0.3">
      <c r="A138" s="302" t="s">
        <v>155</v>
      </c>
      <c r="B138" s="302" t="str">
        <f t="shared" si="0"/>
        <v>Y</v>
      </c>
      <c r="C138" s="6" t="s">
        <v>442</v>
      </c>
      <c r="D138" s="327"/>
      <c r="E138" s="327" t="s">
        <v>212</v>
      </c>
      <c r="F138" s="206"/>
      <c r="G138" s="207">
        <v>43256</v>
      </c>
      <c r="H138" s="207">
        <v>43271</v>
      </c>
      <c r="K138" s="302">
        <v>9471588127</v>
      </c>
      <c r="M138" s="212"/>
      <c r="N138" s="213"/>
      <c r="O138" s="209"/>
    </row>
    <row r="139" spans="1:15" x14ac:dyDescent="0.3">
      <c r="A139" s="302" t="s">
        <v>155</v>
      </c>
      <c r="B139" s="302" t="str">
        <f t="shared" si="0"/>
        <v>Y</v>
      </c>
      <c r="C139" s="6" t="s">
        <v>443</v>
      </c>
      <c r="D139" s="327"/>
      <c r="E139" s="327" t="s">
        <v>444</v>
      </c>
      <c r="F139" s="206"/>
      <c r="G139" s="207">
        <v>43256</v>
      </c>
      <c r="H139" s="207">
        <v>43256</v>
      </c>
      <c r="K139" s="302">
        <v>7079193249</v>
      </c>
      <c r="M139" s="212"/>
      <c r="N139" s="213"/>
      <c r="O139" s="209"/>
    </row>
    <row r="140" spans="1:15" x14ac:dyDescent="0.3">
      <c r="A140" s="302" t="s">
        <v>155</v>
      </c>
      <c r="B140" s="302" t="str">
        <f t="shared" si="0"/>
        <v>Y</v>
      </c>
      <c r="C140" s="6" t="s">
        <v>445</v>
      </c>
      <c r="D140" s="327"/>
      <c r="E140" s="327" t="s">
        <v>446</v>
      </c>
      <c r="F140" s="206"/>
      <c r="G140" s="207">
        <v>43257</v>
      </c>
      <c r="H140" s="207">
        <v>43257</v>
      </c>
      <c r="K140" s="302">
        <v>8294696993</v>
      </c>
      <c r="M140" s="212"/>
      <c r="N140" s="213"/>
      <c r="O140" s="209"/>
    </row>
    <row r="141" spans="1:15" x14ac:dyDescent="0.3">
      <c r="A141" s="302" t="s">
        <v>155</v>
      </c>
      <c r="B141" s="302" t="str">
        <f t="shared" si="0"/>
        <v>Y</v>
      </c>
      <c r="C141" s="6" t="s">
        <v>447</v>
      </c>
      <c r="D141" s="327"/>
      <c r="E141" s="327" t="s">
        <v>448</v>
      </c>
      <c r="F141" s="206"/>
      <c r="G141" s="207">
        <v>43257</v>
      </c>
      <c r="H141" s="207">
        <v>43379</v>
      </c>
      <c r="K141" s="302">
        <v>9204670280</v>
      </c>
      <c r="M141" s="212"/>
      <c r="N141" s="213"/>
      <c r="O141" s="209"/>
    </row>
    <row r="142" spans="1:15" x14ac:dyDescent="0.3">
      <c r="A142" s="302" t="s">
        <v>155</v>
      </c>
      <c r="B142" s="302" t="str">
        <f t="shared" si="0"/>
        <v>Y</v>
      </c>
      <c r="C142" s="6" t="s">
        <v>449</v>
      </c>
      <c r="D142" s="327"/>
      <c r="E142" s="327" t="s">
        <v>450</v>
      </c>
      <c r="F142" s="206"/>
      <c r="G142" s="207">
        <v>43257</v>
      </c>
      <c r="H142" s="207">
        <v>43287</v>
      </c>
      <c r="K142" s="302">
        <v>9386421911</v>
      </c>
      <c r="M142" s="212"/>
      <c r="N142" s="213"/>
      <c r="O142" s="209"/>
    </row>
    <row r="143" spans="1:15" x14ac:dyDescent="0.3">
      <c r="A143" s="302" t="s">
        <v>155</v>
      </c>
      <c r="B143" s="302" t="str">
        <f t="shared" si="0"/>
        <v>Y</v>
      </c>
      <c r="C143" s="6" t="s">
        <v>451</v>
      </c>
      <c r="D143" s="327"/>
      <c r="E143" s="327" t="s">
        <v>452</v>
      </c>
      <c r="F143" s="206"/>
      <c r="G143" s="207">
        <v>43257</v>
      </c>
      <c r="H143" s="207">
        <v>43257</v>
      </c>
      <c r="K143" s="302">
        <v>9523685547</v>
      </c>
      <c r="L143" s="216" t="s">
        <v>453</v>
      </c>
      <c r="M143" s="212" t="s">
        <v>454</v>
      </c>
      <c r="N143" s="213"/>
      <c r="O143" s="209"/>
    </row>
    <row r="144" spans="1:15" x14ac:dyDescent="0.3">
      <c r="A144" s="302" t="s">
        <v>155</v>
      </c>
      <c r="B144" s="302" t="str">
        <f t="shared" si="0"/>
        <v>Y</v>
      </c>
      <c r="C144" s="6" t="s">
        <v>455</v>
      </c>
      <c r="D144" s="327"/>
      <c r="E144" s="327" t="s">
        <v>456</v>
      </c>
      <c r="F144" s="206"/>
      <c r="G144" s="207">
        <v>43257</v>
      </c>
      <c r="H144" s="207">
        <v>43257</v>
      </c>
      <c r="K144" s="302">
        <v>9957928441</v>
      </c>
      <c r="M144" s="212"/>
      <c r="N144" s="213"/>
      <c r="O144" s="209"/>
    </row>
    <row r="145" spans="1:15" x14ac:dyDescent="0.3">
      <c r="A145" s="302" t="s">
        <v>155</v>
      </c>
      <c r="B145" s="302" t="str">
        <f t="shared" si="0"/>
        <v>Y</v>
      </c>
      <c r="C145" s="6" t="s">
        <v>457</v>
      </c>
      <c r="D145" s="327"/>
      <c r="E145" s="327" t="s">
        <v>458</v>
      </c>
      <c r="F145" s="206"/>
      <c r="G145" s="207">
        <v>43257</v>
      </c>
      <c r="H145" s="207">
        <v>43257</v>
      </c>
      <c r="K145" s="302">
        <v>9204670280</v>
      </c>
      <c r="M145" s="212"/>
      <c r="N145" s="213"/>
      <c r="O145" s="209"/>
    </row>
    <row r="146" spans="1:15" x14ac:dyDescent="0.3">
      <c r="A146" s="302" t="s">
        <v>155</v>
      </c>
      <c r="B146" s="302" t="str">
        <f t="shared" si="0"/>
        <v>Y</v>
      </c>
      <c r="C146" s="6" t="s">
        <v>459</v>
      </c>
      <c r="D146" s="327"/>
      <c r="E146" s="327" t="s">
        <v>460</v>
      </c>
      <c r="F146" s="206"/>
      <c r="G146" s="207">
        <v>43257</v>
      </c>
      <c r="H146" s="207">
        <v>43287</v>
      </c>
      <c r="K146" s="302">
        <v>9065523522</v>
      </c>
      <c r="M146" s="212"/>
      <c r="N146" s="213"/>
      <c r="O146" s="209"/>
    </row>
    <row r="147" spans="1:15" x14ac:dyDescent="0.3">
      <c r="A147" s="302" t="s">
        <v>155</v>
      </c>
      <c r="B147" s="302" t="str">
        <f t="shared" si="0"/>
        <v>Y</v>
      </c>
      <c r="C147" s="6" t="s">
        <v>461</v>
      </c>
      <c r="D147" s="327"/>
      <c r="E147" s="327" t="s">
        <v>462</v>
      </c>
      <c r="F147" s="206"/>
      <c r="G147" s="207">
        <v>43259</v>
      </c>
      <c r="H147" s="207">
        <v>43349</v>
      </c>
      <c r="K147" s="302">
        <v>8092808595</v>
      </c>
      <c r="L147" s="2" t="s">
        <v>463</v>
      </c>
      <c r="M147" s="212"/>
      <c r="N147" s="213"/>
      <c r="O147" s="209"/>
    </row>
    <row r="148" spans="1:15" x14ac:dyDescent="0.3">
      <c r="A148" s="302" t="s">
        <v>155</v>
      </c>
      <c r="B148" s="302" t="str">
        <f t="shared" si="0"/>
        <v>Y</v>
      </c>
      <c r="C148" s="6" t="s">
        <v>464</v>
      </c>
      <c r="D148" s="327"/>
      <c r="E148" s="327" t="s">
        <v>465</v>
      </c>
      <c r="F148" s="206"/>
      <c r="G148" s="207">
        <v>43259</v>
      </c>
      <c r="H148" s="207">
        <v>43349</v>
      </c>
      <c r="K148" s="302">
        <v>9934268397</v>
      </c>
      <c r="L148" s="2" t="s">
        <v>463</v>
      </c>
      <c r="M148" s="212"/>
      <c r="N148" s="213"/>
      <c r="O148" s="209"/>
    </row>
    <row r="149" spans="1:15" x14ac:dyDescent="0.3">
      <c r="A149" s="302" t="s">
        <v>155</v>
      </c>
      <c r="B149" s="302" t="str">
        <f t="shared" si="0"/>
        <v>Y</v>
      </c>
      <c r="C149" s="6" t="s">
        <v>466</v>
      </c>
      <c r="D149" s="327"/>
      <c r="E149" s="327" t="s">
        <v>467</v>
      </c>
      <c r="F149" s="206"/>
      <c r="G149" s="207">
        <v>43259</v>
      </c>
      <c r="H149" s="207">
        <v>43349</v>
      </c>
      <c r="K149" s="302">
        <v>8275238304</v>
      </c>
      <c r="M149" s="212"/>
      <c r="N149" s="213"/>
      <c r="O149" s="209"/>
    </row>
    <row r="150" spans="1:15" x14ac:dyDescent="0.3">
      <c r="A150" s="302" t="s">
        <v>155</v>
      </c>
      <c r="B150" s="302" t="str">
        <f t="shared" si="0"/>
        <v>Y</v>
      </c>
      <c r="C150" s="6" t="s">
        <v>468</v>
      </c>
      <c r="D150" s="327"/>
      <c r="E150" s="327" t="s">
        <v>469</v>
      </c>
      <c r="F150" s="206"/>
      <c r="G150" s="207">
        <v>43259</v>
      </c>
      <c r="H150" s="207">
        <v>43349</v>
      </c>
      <c r="K150" s="302">
        <v>7320062857</v>
      </c>
      <c r="L150" s="2" t="s">
        <v>463</v>
      </c>
      <c r="M150" s="212" t="s">
        <v>470</v>
      </c>
      <c r="N150" s="213"/>
      <c r="O150" s="209"/>
    </row>
    <row r="151" spans="1:15" x14ac:dyDescent="0.3">
      <c r="A151" s="302" t="s">
        <v>155</v>
      </c>
      <c r="B151" s="302" t="str">
        <f t="shared" si="0"/>
        <v>Y</v>
      </c>
      <c r="C151" s="6" t="s">
        <v>471</v>
      </c>
      <c r="D151" s="327"/>
      <c r="E151" s="327" t="s">
        <v>472</v>
      </c>
      <c r="F151" s="206"/>
      <c r="G151" s="207">
        <v>43259</v>
      </c>
      <c r="H151" s="207">
        <v>43349</v>
      </c>
      <c r="K151" s="302">
        <v>7633967829</v>
      </c>
      <c r="L151" s="2" t="s">
        <v>463</v>
      </c>
      <c r="M151" s="212"/>
      <c r="N151" s="213"/>
      <c r="O151" s="209"/>
    </row>
    <row r="152" spans="1:15" x14ac:dyDescent="0.3">
      <c r="A152" s="302" t="s">
        <v>155</v>
      </c>
      <c r="B152" s="302" t="str">
        <f t="shared" si="0"/>
        <v>Y</v>
      </c>
      <c r="C152" s="6" t="s">
        <v>473</v>
      </c>
      <c r="D152" s="327"/>
      <c r="E152" s="327" t="s">
        <v>474</v>
      </c>
      <c r="F152" s="206"/>
      <c r="G152" s="207">
        <v>43259</v>
      </c>
      <c r="H152" s="207">
        <v>43349</v>
      </c>
      <c r="I152" s="2"/>
      <c r="J152" s="2"/>
      <c r="K152" s="302">
        <v>8789161143</v>
      </c>
      <c r="L152" s="2" t="s">
        <v>463</v>
      </c>
      <c r="M152" s="216" t="s">
        <v>475</v>
      </c>
      <c r="N152" s="213"/>
      <c r="O152" s="209"/>
    </row>
    <row r="153" spans="1:15" x14ac:dyDescent="0.3">
      <c r="A153" s="302" t="s">
        <v>155</v>
      </c>
      <c r="B153" s="302" t="str">
        <f t="shared" si="0"/>
        <v>Y</v>
      </c>
      <c r="C153" s="6" t="s">
        <v>476</v>
      </c>
      <c r="D153" s="327"/>
      <c r="E153" s="327" t="s">
        <v>477</v>
      </c>
      <c r="F153" s="206"/>
      <c r="G153" s="207">
        <v>43259</v>
      </c>
      <c r="H153" s="207">
        <v>43349</v>
      </c>
      <c r="K153" s="302">
        <v>6203150689</v>
      </c>
      <c r="L153" s="2" t="s">
        <v>463</v>
      </c>
      <c r="M153" s="212"/>
      <c r="N153" s="213"/>
      <c r="O153" s="209"/>
    </row>
    <row r="154" spans="1:15" x14ac:dyDescent="0.3">
      <c r="A154" s="302" t="s">
        <v>155</v>
      </c>
      <c r="B154" s="302" t="str">
        <f t="shared" si="0"/>
        <v>Y</v>
      </c>
      <c r="C154" s="6" t="s">
        <v>478</v>
      </c>
      <c r="D154" s="327"/>
      <c r="E154" s="327" t="s">
        <v>479</v>
      </c>
      <c r="F154" s="206"/>
      <c r="G154" s="207">
        <v>43259</v>
      </c>
      <c r="H154" s="207">
        <v>43349</v>
      </c>
      <c r="K154" s="302">
        <v>9708589881</v>
      </c>
      <c r="M154" s="212"/>
      <c r="N154" s="213"/>
      <c r="O154" s="209"/>
    </row>
    <row r="155" spans="1:15" x14ac:dyDescent="0.3">
      <c r="A155" s="302" t="s">
        <v>155</v>
      </c>
      <c r="B155" s="302" t="str">
        <f t="shared" si="0"/>
        <v>Y</v>
      </c>
      <c r="C155" s="6" t="s">
        <v>480</v>
      </c>
      <c r="D155" s="327"/>
      <c r="E155" s="327" t="s">
        <v>481</v>
      </c>
      <c r="F155" s="206"/>
      <c r="G155" s="207">
        <v>43259</v>
      </c>
      <c r="H155" s="207">
        <v>43349</v>
      </c>
      <c r="K155" s="302">
        <v>8092790149</v>
      </c>
      <c r="M155" s="212"/>
      <c r="N155" s="213"/>
      <c r="O155" s="209"/>
    </row>
    <row r="156" spans="1:15" x14ac:dyDescent="0.3">
      <c r="A156" s="302" t="s">
        <v>155</v>
      </c>
      <c r="B156" s="302" t="str">
        <f t="shared" si="0"/>
        <v>Y</v>
      </c>
      <c r="C156" s="6" t="s">
        <v>482</v>
      </c>
      <c r="D156" s="327"/>
      <c r="E156" s="327" t="s">
        <v>483</v>
      </c>
      <c r="F156" s="206"/>
      <c r="G156" s="207">
        <v>43259</v>
      </c>
      <c r="H156" s="207">
        <v>43349</v>
      </c>
      <c r="K156" s="302">
        <v>8275238304</v>
      </c>
      <c r="M156" s="212"/>
      <c r="N156" s="213"/>
      <c r="O156" s="209"/>
    </row>
    <row r="157" spans="1:15" x14ac:dyDescent="0.3">
      <c r="A157" s="221" t="s">
        <v>155</v>
      </c>
      <c r="B157" s="221" t="str">
        <f t="shared" si="0"/>
        <v>Y</v>
      </c>
      <c r="C157" s="451" t="s">
        <v>484</v>
      </c>
      <c r="D157" s="329"/>
      <c r="E157" s="329" t="s">
        <v>485</v>
      </c>
      <c r="F157" s="219"/>
      <c r="G157" s="220">
        <v>43259</v>
      </c>
      <c r="H157" s="220">
        <v>43349</v>
      </c>
      <c r="I157" s="9"/>
      <c r="J157" s="9"/>
      <c r="K157" s="221">
        <v>8809414096</v>
      </c>
      <c r="L157" s="9" t="s">
        <v>486</v>
      </c>
      <c r="M157" s="9" t="s">
        <v>487</v>
      </c>
      <c r="N157" s="213"/>
      <c r="O157" s="209"/>
    </row>
    <row r="158" spans="1:15" x14ac:dyDescent="0.3">
      <c r="A158" s="302" t="s">
        <v>155</v>
      </c>
      <c r="B158" s="302" t="str">
        <f t="shared" si="0"/>
        <v>Y</v>
      </c>
      <c r="C158" s="6" t="s">
        <v>488</v>
      </c>
      <c r="D158" s="327"/>
      <c r="E158" s="327" t="s">
        <v>489</v>
      </c>
      <c r="F158" s="206"/>
      <c r="G158" s="207">
        <v>43260</v>
      </c>
      <c r="H158" s="207">
        <v>43410</v>
      </c>
      <c r="K158" s="302">
        <v>9430137546</v>
      </c>
      <c r="L158" s="2" t="s">
        <v>463</v>
      </c>
      <c r="M158" s="212" t="s">
        <v>490</v>
      </c>
      <c r="N158" s="213"/>
      <c r="O158" s="209"/>
    </row>
    <row r="159" spans="1:15" x14ac:dyDescent="0.3">
      <c r="A159" s="302" t="s">
        <v>155</v>
      </c>
      <c r="B159" s="302" t="str">
        <f t="shared" si="0"/>
        <v>Y</v>
      </c>
      <c r="C159" s="6" t="s">
        <v>491</v>
      </c>
      <c r="D159" s="327"/>
      <c r="E159" s="327" t="s">
        <v>492</v>
      </c>
      <c r="F159" s="206"/>
      <c r="G159" s="207">
        <v>43260</v>
      </c>
      <c r="H159" s="207">
        <v>43410</v>
      </c>
      <c r="K159" s="302">
        <v>8092906117</v>
      </c>
      <c r="L159" s="2" t="s">
        <v>463</v>
      </c>
      <c r="M159" s="212" t="s">
        <v>490</v>
      </c>
      <c r="N159" s="213"/>
      <c r="O159" s="209"/>
    </row>
    <row r="160" spans="1:15" x14ac:dyDescent="0.3">
      <c r="A160" s="302" t="s">
        <v>155</v>
      </c>
      <c r="B160" s="302" t="str">
        <f t="shared" si="0"/>
        <v>Y</v>
      </c>
      <c r="C160" s="6" t="s">
        <v>493</v>
      </c>
      <c r="D160" s="327"/>
      <c r="E160" s="327" t="s">
        <v>494</v>
      </c>
      <c r="F160" s="206"/>
      <c r="G160" s="207">
        <v>43260</v>
      </c>
      <c r="H160" s="207">
        <v>43410</v>
      </c>
      <c r="K160" s="302">
        <v>9905310239</v>
      </c>
      <c r="L160" s="2" t="s">
        <v>463</v>
      </c>
      <c r="M160" s="212"/>
      <c r="N160" s="213"/>
      <c r="O160" s="209"/>
    </row>
    <row r="161" spans="1:15" x14ac:dyDescent="0.3">
      <c r="A161" s="302" t="s">
        <v>155</v>
      </c>
      <c r="B161" s="302" t="str">
        <f t="shared" si="0"/>
        <v>Y</v>
      </c>
      <c r="C161" s="6" t="s">
        <v>495</v>
      </c>
      <c r="D161" s="327"/>
      <c r="E161" s="327" t="s">
        <v>496</v>
      </c>
      <c r="F161" s="206"/>
      <c r="G161" s="207">
        <v>43260</v>
      </c>
      <c r="H161" s="207">
        <v>43410</v>
      </c>
      <c r="K161" s="302">
        <v>7209229807</v>
      </c>
      <c r="L161" s="2" t="s">
        <v>463</v>
      </c>
      <c r="M161" s="212" t="s">
        <v>490</v>
      </c>
      <c r="N161" s="213"/>
      <c r="O161" s="209"/>
    </row>
    <row r="162" spans="1:15" x14ac:dyDescent="0.3">
      <c r="A162" s="302" t="s">
        <v>155</v>
      </c>
      <c r="B162" s="302" t="str">
        <f t="shared" si="0"/>
        <v>Y</v>
      </c>
      <c r="C162" s="6" t="s">
        <v>497</v>
      </c>
      <c r="D162" s="327"/>
      <c r="E162" s="327" t="s">
        <v>498</v>
      </c>
      <c r="F162" s="206"/>
      <c r="G162" s="207">
        <v>43260</v>
      </c>
      <c r="H162" s="207">
        <v>43410</v>
      </c>
      <c r="K162" s="302">
        <v>9279058459</v>
      </c>
      <c r="L162" s="2" t="s">
        <v>463</v>
      </c>
      <c r="M162" s="212" t="s">
        <v>490</v>
      </c>
      <c r="N162" s="213"/>
      <c r="O162" s="209"/>
    </row>
    <row r="163" spans="1:15" x14ac:dyDescent="0.3">
      <c r="A163" s="302" t="s">
        <v>155</v>
      </c>
      <c r="B163" s="302" t="str">
        <f t="shared" si="0"/>
        <v>Y</v>
      </c>
      <c r="C163" s="6" t="s">
        <v>499</v>
      </c>
      <c r="D163" s="327"/>
      <c r="E163" s="327" t="s">
        <v>500</v>
      </c>
      <c r="F163" s="206"/>
      <c r="G163" s="207">
        <v>43260</v>
      </c>
      <c r="H163" s="207">
        <v>43410</v>
      </c>
      <c r="K163" s="302">
        <v>9430137546</v>
      </c>
      <c r="L163" s="2" t="s">
        <v>463</v>
      </c>
      <c r="M163" s="212" t="s">
        <v>490</v>
      </c>
      <c r="N163" s="213"/>
      <c r="O163" s="209"/>
    </row>
    <row r="164" spans="1:15" x14ac:dyDescent="0.3">
      <c r="A164" s="302" t="s">
        <v>155</v>
      </c>
      <c r="B164" s="302" t="str">
        <f t="shared" si="0"/>
        <v>Y</v>
      </c>
      <c r="C164" s="6" t="s">
        <v>501</v>
      </c>
      <c r="D164" s="327"/>
      <c r="E164" s="327" t="s">
        <v>502</v>
      </c>
      <c r="F164" s="206"/>
      <c r="G164" s="207">
        <v>43260</v>
      </c>
      <c r="H164" s="207">
        <v>43410</v>
      </c>
      <c r="K164" s="302">
        <v>9534174029</v>
      </c>
      <c r="M164" s="212"/>
      <c r="N164" s="213"/>
      <c r="O164" s="209"/>
    </row>
    <row r="165" spans="1:15" x14ac:dyDescent="0.3">
      <c r="A165" s="302" t="s">
        <v>155</v>
      </c>
      <c r="B165" s="302" t="str">
        <f t="shared" si="0"/>
        <v>Y</v>
      </c>
      <c r="C165" s="6" t="s">
        <v>503</v>
      </c>
      <c r="D165" s="327"/>
      <c r="E165" s="327" t="s">
        <v>504</v>
      </c>
      <c r="F165" s="206"/>
      <c r="G165" s="207">
        <v>43265</v>
      </c>
      <c r="H165" s="207">
        <v>43265</v>
      </c>
      <c r="K165" s="302">
        <v>9973207109</v>
      </c>
      <c r="L165" s="2" t="s">
        <v>463</v>
      </c>
      <c r="M165" s="212" t="s">
        <v>505</v>
      </c>
      <c r="N165" s="213"/>
      <c r="O165" s="209"/>
    </row>
    <row r="166" spans="1:15" x14ac:dyDescent="0.3">
      <c r="A166" s="302" t="s">
        <v>155</v>
      </c>
      <c r="B166" s="302" t="str">
        <f t="shared" si="0"/>
        <v>Y</v>
      </c>
      <c r="C166" s="6" t="s">
        <v>506</v>
      </c>
      <c r="D166" s="327"/>
      <c r="E166" s="327" t="s">
        <v>507</v>
      </c>
      <c r="F166" s="206"/>
      <c r="G166" s="207">
        <v>43265</v>
      </c>
      <c r="H166" s="207">
        <v>43265</v>
      </c>
      <c r="K166" s="302">
        <v>8218033270</v>
      </c>
      <c r="L166" s="2" t="s">
        <v>463</v>
      </c>
      <c r="M166" s="212" t="s">
        <v>505</v>
      </c>
      <c r="N166" s="213"/>
      <c r="O166" s="209"/>
    </row>
    <row r="167" spans="1:15" x14ac:dyDescent="0.3">
      <c r="A167" s="302" t="s">
        <v>155</v>
      </c>
      <c r="B167" s="302" t="str">
        <f t="shared" si="0"/>
        <v>Y</v>
      </c>
      <c r="C167" s="6" t="s">
        <v>508</v>
      </c>
      <c r="D167" s="327"/>
      <c r="E167" s="327" t="s">
        <v>509</v>
      </c>
      <c r="F167" s="206"/>
      <c r="G167" s="207">
        <v>43265</v>
      </c>
      <c r="H167" s="207">
        <v>43265</v>
      </c>
      <c r="K167" s="302">
        <v>9234634312</v>
      </c>
      <c r="L167" s="2" t="s">
        <v>463</v>
      </c>
      <c r="M167" s="212" t="s">
        <v>505</v>
      </c>
      <c r="N167" s="213"/>
      <c r="O167" s="209"/>
    </row>
    <row r="168" spans="1:15" x14ac:dyDescent="0.3">
      <c r="A168" s="302" t="s">
        <v>155</v>
      </c>
      <c r="B168" s="302" t="str">
        <f t="shared" si="0"/>
        <v>Y</v>
      </c>
      <c r="C168" s="6" t="s">
        <v>510</v>
      </c>
      <c r="D168" s="327"/>
      <c r="E168" s="327" t="s">
        <v>511</v>
      </c>
      <c r="F168" s="206"/>
      <c r="G168" s="207">
        <v>43265</v>
      </c>
      <c r="H168" s="207">
        <v>43265</v>
      </c>
      <c r="K168" s="302">
        <v>8507840570</v>
      </c>
      <c r="L168" s="2" t="s">
        <v>463</v>
      </c>
      <c r="M168" s="212" t="s">
        <v>505</v>
      </c>
      <c r="N168" s="213"/>
      <c r="O168" s="209"/>
    </row>
    <row r="169" spans="1:15" x14ac:dyDescent="0.3">
      <c r="A169" s="302" t="s">
        <v>155</v>
      </c>
      <c r="B169" s="302" t="str">
        <f t="shared" si="0"/>
        <v>Y</v>
      </c>
      <c r="C169" s="6" t="s">
        <v>512</v>
      </c>
      <c r="D169" s="327"/>
      <c r="E169" s="327" t="s">
        <v>513</v>
      </c>
      <c r="F169" s="206"/>
      <c r="G169" s="207">
        <v>43265</v>
      </c>
      <c r="H169" s="207">
        <v>43265</v>
      </c>
      <c r="K169" s="302">
        <v>8797264484</v>
      </c>
      <c r="L169" s="2" t="s">
        <v>463</v>
      </c>
      <c r="M169" s="212" t="s">
        <v>505</v>
      </c>
      <c r="N169" s="213"/>
      <c r="O169" s="209"/>
    </row>
    <row r="170" spans="1:15" x14ac:dyDescent="0.3">
      <c r="A170" s="302" t="s">
        <v>155</v>
      </c>
      <c r="B170" s="302" t="str">
        <f t="shared" si="0"/>
        <v>Y</v>
      </c>
      <c r="C170" s="6" t="s">
        <v>514</v>
      </c>
      <c r="D170" s="327"/>
      <c r="E170" s="327" t="s">
        <v>515</v>
      </c>
      <c r="F170" s="206"/>
      <c r="G170" s="207">
        <v>43265</v>
      </c>
      <c r="H170" s="207">
        <v>43265</v>
      </c>
      <c r="K170" s="302">
        <v>8051106869</v>
      </c>
      <c r="L170" s="2" t="s">
        <v>463</v>
      </c>
      <c r="M170" s="212" t="s">
        <v>505</v>
      </c>
      <c r="N170" s="213"/>
      <c r="O170" s="209"/>
    </row>
    <row r="171" spans="1:15" x14ac:dyDescent="0.3">
      <c r="A171" s="302" t="s">
        <v>155</v>
      </c>
      <c r="B171" s="302" t="str">
        <f t="shared" si="0"/>
        <v>Y</v>
      </c>
      <c r="C171" s="6" t="s">
        <v>516</v>
      </c>
      <c r="D171" s="327"/>
      <c r="E171" s="327" t="s">
        <v>469</v>
      </c>
      <c r="F171" s="206"/>
      <c r="G171" s="207">
        <v>43265</v>
      </c>
      <c r="H171" s="207">
        <v>43265</v>
      </c>
      <c r="K171" s="302">
        <v>7320062857</v>
      </c>
      <c r="L171" s="2" t="s">
        <v>463</v>
      </c>
      <c r="M171" s="212" t="s">
        <v>505</v>
      </c>
      <c r="N171" s="213"/>
      <c r="O171" s="209"/>
    </row>
    <row r="172" spans="1:15" x14ac:dyDescent="0.3">
      <c r="A172" s="302" t="s">
        <v>155</v>
      </c>
      <c r="B172" s="302" t="str">
        <f t="shared" si="0"/>
        <v>Y</v>
      </c>
      <c r="C172" s="6" t="s">
        <v>517</v>
      </c>
      <c r="D172" s="327"/>
      <c r="E172" s="327" t="s">
        <v>518</v>
      </c>
      <c r="F172" s="206"/>
      <c r="G172" s="207">
        <v>43265</v>
      </c>
      <c r="H172" s="207">
        <v>43266</v>
      </c>
      <c r="K172" s="302">
        <v>8674946177</v>
      </c>
      <c r="L172" s="216" t="s">
        <v>519</v>
      </c>
      <c r="M172" s="212"/>
      <c r="N172" s="212" t="s">
        <v>520</v>
      </c>
      <c r="O172" s="209"/>
    </row>
    <row r="173" spans="1:15" x14ac:dyDescent="0.3">
      <c r="A173" s="302" t="s">
        <v>155</v>
      </c>
      <c r="B173" s="302" t="str">
        <f t="shared" si="0"/>
        <v>Y</v>
      </c>
      <c r="C173" s="6" t="s">
        <v>521</v>
      </c>
      <c r="D173" s="327"/>
      <c r="E173" s="327" t="s">
        <v>522</v>
      </c>
      <c r="F173" s="206"/>
      <c r="G173" s="207">
        <v>43265</v>
      </c>
      <c r="H173" s="207">
        <v>43266</v>
      </c>
      <c r="K173" s="302">
        <v>9102601156</v>
      </c>
      <c r="M173" s="212"/>
      <c r="N173" s="212" t="s">
        <v>520</v>
      </c>
      <c r="O173" s="209"/>
    </row>
    <row r="174" spans="1:15" x14ac:dyDescent="0.3">
      <c r="A174" s="302" t="s">
        <v>155</v>
      </c>
      <c r="B174" s="302" t="str">
        <f t="shared" si="0"/>
        <v>Y</v>
      </c>
      <c r="C174" s="6" t="s">
        <v>523</v>
      </c>
      <c r="D174" s="327"/>
      <c r="E174" s="327" t="s">
        <v>524</v>
      </c>
      <c r="F174" s="206"/>
      <c r="G174" s="207">
        <v>43266</v>
      </c>
      <c r="H174" s="207">
        <v>43266</v>
      </c>
      <c r="K174" s="302">
        <v>8210356757</v>
      </c>
      <c r="M174" s="212"/>
      <c r="N174" s="213"/>
      <c r="O174" s="209"/>
    </row>
    <row r="175" spans="1:15" x14ac:dyDescent="0.3">
      <c r="A175" s="302" t="s">
        <v>155</v>
      </c>
      <c r="B175" s="302" t="str">
        <f t="shared" si="0"/>
        <v>Y</v>
      </c>
      <c r="C175" s="6" t="s">
        <v>525</v>
      </c>
      <c r="D175" s="327"/>
      <c r="E175" s="327" t="s">
        <v>526</v>
      </c>
      <c r="F175" s="206"/>
      <c r="G175" s="207">
        <v>43268</v>
      </c>
      <c r="H175" s="207">
        <v>43272</v>
      </c>
      <c r="K175" s="302">
        <v>8797672403</v>
      </c>
      <c r="M175" s="212"/>
      <c r="N175" s="213"/>
      <c r="O175" s="209"/>
    </row>
    <row r="176" spans="1:15" x14ac:dyDescent="0.3">
      <c r="A176" s="302" t="s">
        <v>155</v>
      </c>
      <c r="B176" s="302" t="str">
        <f t="shared" si="0"/>
        <v>Y</v>
      </c>
      <c r="C176" s="6" t="s">
        <v>527</v>
      </c>
      <c r="D176" s="327"/>
      <c r="E176" s="327" t="s">
        <v>528</v>
      </c>
      <c r="F176" s="206"/>
      <c r="G176" s="207">
        <v>43268</v>
      </c>
      <c r="H176" s="207">
        <v>43268</v>
      </c>
      <c r="K176" s="302">
        <v>8521055357</v>
      </c>
      <c r="L176" s="2" t="s">
        <v>463</v>
      </c>
      <c r="M176" s="212" t="s">
        <v>505</v>
      </c>
      <c r="N176" s="213"/>
      <c r="O176" s="209"/>
    </row>
    <row r="177" spans="1:15" x14ac:dyDescent="0.3">
      <c r="A177" s="302" t="s">
        <v>155</v>
      </c>
      <c r="B177" s="302" t="str">
        <f t="shared" si="0"/>
        <v>Y</v>
      </c>
      <c r="C177" s="6" t="s">
        <v>529</v>
      </c>
      <c r="D177" s="327"/>
      <c r="E177" s="327" t="s">
        <v>530</v>
      </c>
      <c r="F177" s="206"/>
      <c r="G177" s="207">
        <v>43268</v>
      </c>
      <c r="H177" s="207">
        <v>43268</v>
      </c>
      <c r="K177" s="302">
        <v>8210284708</v>
      </c>
      <c r="L177" s="2" t="s">
        <v>463</v>
      </c>
      <c r="M177" s="212"/>
      <c r="N177" s="213"/>
      <c r="O177" s="209"/>
    </row>
    <row r="178" spans="1:15" x14ac:dyDescent="0.3">
      <c r="A178" s="302" t="s">
        <v>155</v>
      </c>
      <c r="B178" s="302" t="str">
        <f t="shared" si="0"/>
        <v>Y</v>
      </c>
      <c r="C178" s="6" t="s">
        <v>531</v>
      </c>
      <c r="D178" s="327"/>
      <c r="E178" s="327" t="s">
        <v>532</v>
      </c>
      <c r="F178" s="206"/>
      <c r="G178" s="207">
        <v>43268</v>
      </c>
      <c r="H178" s="207">
        <v>43268</v>
      </c>
      <c r="K178" s="302">
        <v>9279060508</v>
      </c>
      <c r="L178" s="2" t="s">
        <v>463</v>
      </c>
      <c r="M178" s="212" t="s">
        <v>505</v>
      </c>
      <c r="N178" s="213"/>
      <c r="O178" s="209"/>
    </row>
    <row r="179" spans="1:15" x14ac:dyDescent="0.3">
      <c r="A179" s="302" t="s">
        <v>155</v>
      </c>
      <c r="B179" s="302" t="str">
        <f t="shared" si="0"/>
        <v>Y</v>
      </c>
      <c r="C179" s="6" t="s">
        <v>533</v>
      </c>
      <c r="D179" s="327"/>
      <c r="E179" s="327" t="s">
        <v>534</v>
      </c>
      <c r="F179" s="206"/>
      <c r="G179" s="207">
        <v>43268</v>
      </c>
      <c r="H179" s="207">
        <v>43269</v>
      </c>
      <c r="K179" s="302">
        <v>9204096493</v>
      </c>
      <c r="L179" s="216" t="s">
        <v>535</v>
      </c>
      <c r="M179" s="212"/>
      <c r="N179" s="213"/>
      <c r="O179" s="209"/>
    </row>
    <row r="180" spans="1:15" x14ac:dyDescent="0.3">
      <c r="A180" s="302" t="s">
        <v>155</v>
      </c>
      <c r="B180" s="302" t="str">
        <f t="shared" si="0"/>
        <v>Y</v>
      </c>
      <c r="C180" s="6" t="s">
        <v>536</v>
      </c>
      <c r="D180" s="327"/>
      <c r="E180" s="327" t="s">
        <v>537</v>
      </c>
      <c r="F180" s="206"/>
      <c r="G180" s="207">
        <v>43269</v>
      </c>
      <c r="H180" s="207">
        <v>43271</v>
      </c>
      <c r="K180" s="302">
        <v>7010493292</v>
      </c>
      <c r="L180" s="2" t="s">
        <v>463</v>
      </c>
      <c r="M180" s="212" t="s">
        <v>505</v>
      </c>
      <c r="N180" s="213"/>
      <c r="O180" s="209"/>
    </row>
    <row r="181" spans="1:15" x14ac:dyDescent="0.3">
      <c r="A181" s="302" t="s">
        <v>155</v>
      </c>
      <c r="B181" s="302" t="str">
        <f t="shared" si="0"/>
        <v>Y</v>
      </c>
      <c r="C181" s="6" t="s">
        <v>538</v>
      </c>
      <c r="D181" s="327"/>
      <c r="E181" s="327" t="s">
        <v>539</v>
      </c>
      <c r="F181" s="206"/>
      <c r="G181" s="207">
        <v>43272</v>
      </c>
      <c r="H181" s="207">
        <v>43272</v>
      </c>
      <c r="K181" s="302">
        <v>8235118621</v>
      </c>
      <c r="M181" s="212"/>
      <c r="N181" s="213"/>
      <c r="O181" s="209"/>
    </row>
    <row r="182" spans="1:15" x14ac:dyDescent="0.3">
      <c r="A182" s="302" t="s">
        <v>155</v>
      </c>
      <c r="B182" s="302" t="str">
        <f t="shared" si="0"/>
        <v>Y</v>
      </c>
      <c r="C182" s="6" t="s">
        <v>540</v>
      </c>
      <c r="D182" s="327"/>
      <c r="E182" s="327" t="s">
        <v>541</v>
      </c>
      <c r="F182" s="206"/>
      <c r="G182" s="207">
        <v>43273</v>
      </c>
      <c r="H182" s="207">
        <v>43275</v>
      </c>
      <c r="K182" s="302">
        <v>7209163380</v>
      </c>
      <c r="M182" s="212"/>
      <c r="N182" s="213"/>
      <c r="O182" s="209"/>
    </row>
    <row r="183" spans="1:15" x14ac:dyDescent="0.3">
      <c r="A183" s="302" t="s">
        <v>155</v>
      </c>
      <c r="B183" s="302" t="str">
        <f t="shared" si="0"/>
        <v>Y</v>
      </c>
      <c r="C183" s="6" t="s">
        <v>542</v>
      </c>
      <c r="D183" s="327"/>
      <c r="E183" s="327" t="s">
        <v>543</v>
      </c>
      <c r="F183" s="206"/>
      <c r="G183" s="207">
        <v>43274</v>
      </c>
      <c r="H183" s="207">
        <v>43279</v>
      </c>
      <c r="K183" s="302">
        <v>8797471134</v>
      </c>
      <c r="L183" s="216" t="s">
        <v>544</v>
      </c>
      <c r="M183" s="212" t="s">
        <v>545</v>
      </c>
      <c r="N183" s="213"/>
      <c r="O183" s="209"/>
    </row>
    <row r="184" spans="1:15" x14ac:dyDescent="0.3">
      <c r="A184" s="302" t="s">
        <v>155</v>
      </c>
      <c r="B184" s="302" t="str">
        <f t="shared" si="0"/>
        <v>Y</v>
      </c>
      <c r="C184" s="6"/>
      <c r="D184" s="327"/>
      <c r="E184" s="327" t="s">
        <v>546</v>
      </c>
      <c r="F184" s="206"/>
      <c r="G184" s="207">
        <v>43274</v>
      </c>
      <c r="H184" s="207">
        <v>43275</v>
      </c>
      <c r="K184" s="302">
        <v>8809114601</v>
      </c>
      <c r="L184" s="2" t="s">
        <v>463</v>
      </c>
      <c r="M184" s="212" t="s">
        <v>490</v>
      </c>
      <c r="N184" s="213"/>
      <c r="O184" s="209"/>
    </row>
    <row r="185" spans="1:15" x14ac:dyDescent="0.3">
      <c r="A185" s="302" t="s">
        <v>155</v>
      </c>
      <c r="B185" s="302" t="str">
        <f t="shared" si="0"/>
        <v>Y</v>
      </c>
      <c r="C185" s="6" t="s">
        <v>547</v>
      </c>
      <c r="D185" s="327"/>
      <c r="E185" s="327" t="s">
        <v>548</v>
      </c>
      <c r="F185" s="206"/>
      <c r="G185" s="207">
        <v>43274</v>
      </c>
      <c r="H185" s="207">
        <v>43275</v>
      </c>
      <c r="K185" s="302">
        <v>9939249986</v>
      </c>
      <c r="L185" s="2" t="s">
        <v>463</v>
      </c>
      <c r="M185" s="212" t="s">
        <v>490</v>
      </c>
      <c r="N185" s="213"/>
      <c r="O185" s="209"/>
    </row>
    <row r="186" spans="1:15" x14ac:dyDescent="0.3">
      <c r="A186" s="302" t="s">
        <v>155</v>
      </c>
      <c r="B186" s="302" t="str">
        <f t="shared" si="0"/>
        <v>Y</v>
      </c>
      <c r="C186" s="6" t="s">
        <v>549</v>
      </c>
      <c r="D186" s="327"/>
      <c r="E186" s="327" t="s">
        <v>550</v>
      </c>
      <c r="F186" s="206"/>
      <c r="G186" s="207">
        <v>43275</v>
      </c>
      <c r="H186" s="207">
        <v>43275</v>
      </c>
      <c r="K186" s="302">
        <v>9279787349</v>
      </c>
      <c r="M186" s="212"/>
      <c r="N186" s="213"/>
      <c r="O186" s="209"/>
    </row>
    <row r="187" spans="1:15" x14ac:dyDescent="0.3">
      <c r="A187" s="221" t="s">
        <v>155</v>
      </c>
      <c r="B187" s="221" t="str">
        <f t="shared" si="0"/>
        <v>Y</v>
      </c>
      <c r="C187" s="451" t="s">
        <v>551</v>
      </c>
      <c r="D187" s="329"/>
      <c r="E187" s="329" t="s">
        <v>552</v>
      </c>
      <c r="F187" s="219"/>
      <c r="G187" s="220">
        <v>43277</v>
      </c>
      <c r="H187" s="220">
        <v>43279</v>
      </c>
      <c r="I187" s="9"/>
      <c r="J187" s="9"/>
      <c r="K187" s="221">
        <v>7643879364</v>
      </c>
      <c r="L187" s="9" t="s">
        <v>553</v>
      </c>
      <c r="M187" s="222"/>
      <c r="N187" s="213"/>
      <c r="O187" s="209"/>
    </row>
    <row r="188" spans="1:15" x14ac:dyDescent="0.3">
      <c r="A188" s="302" t="s">
        <v>155</v>
      </c>
      <c r="B188" s="302" t="str">
        <f t="shared" si="0"/>
        <v>Y</v>
      </c>
      <c r="C188" s="6" t="s">
        <v>554</v>
      </c>
      <c r="D188" s="327"/>
      <c r="E188" s="327" t="s">
        <v>555</v>
      </c>
      <c r="F188" s="206"/>
      <c r="G188" s="207">
        <v>43278</v>
      </c>
      <c r="H188" s="207">
        <v>43278</v>
      </c>
      <c r="K188" s="302">
        <v>79704463497</v>
      </c>
      <c r="L188" s="2" t="s">
        <v>556</v>
      </c>
      <c r="M188" s="212"/>
      <c r="N188" s="213"/>
      <c r="O188" s="209"/>
    </row>
    <row r="189" spans="1:15" x14ac:dyDescent="0.3">
      <c r="A189" s="302" t="s">
        <v>155</v>
      </c>
      <c r="B189" s="302" t="str">
        <f t="shared" si="0"/>
        <v>Y</v>
      </c>
      <c r="C189" s="6" t="s">
        <v>557</v>
      </c>
      <c r="D189" s="327"/>
      <c r="E189" s="327" t="s">
        <v>558</v>
      </c>
      <c r="F189" s="206"/>
      <c r="G189" s="207">
        <v>43278</v>
      </c>
      <c r="H189" s="207">
        <v>43278</v>
      </c>
      <c r="K189" s="302">
        <v>8002231344</v>
      </c>
      <c r="L189" s="2" t="s">
        <v>556</v>
      </c>
      <c r="M189" s="212"/>
      <c r="N189" s="213"/>
      <c r="O189" s="209"/>
    </row>
    <row r="190" spans="1:15" x14ac:dyDescent="0.3">
      <c r="A190" s="302" t="s">
        <v>155</v>
      </c>
      <c r="B190" s="302" t="str">
        <f t="shared" si="0"/>
        <v>Y</v>
      </c>
      <c r="C190" s="6" t="s">
        <v>559</v>
      </c>
      <c r="D190" s="327"/>
      <c r="E190" s="327" t="s">
        <v>560</v>
      </c>
      <c r="F190" s="206"/>
      <c r="G190" s="207">
        <v>43278</v>
      </c>
      <c r="H190" s="207">
        <v>43278</v>
      </c>
      <c r="K190" s="302">
        <v>9570876066</v>
      </c>
      <c r="L190" s="2" t="s">
        <v>556</v>
      </c>
      <c r="M190" s="212"/>
      <c r="N190" s="213"/>
      <c r="O190" s="209"/>
    </row>
    <row r="191" spans="1:15" x14ac:dyDescent="0.3">
      <c r="A191" s="302"/>
      <c r="B191" s="302" t="str">
        <f t="shared" si="0"/>
        <v>N</v>
      </c>
      <c r="C191" s="6"/>
      <c r="D191" s="327"/>
      <c r="E191" s="327" t="s">
        <v>561</v>
      </c>
      <c r="F191" s="206"/>
      <c r="G191" s="207">
        <v>43278</v>
      </c>
      <c r="H191" s="207"/>
      <c r="K191" s="302">
        <v>6203089707</v>
      </c>
      <c r="L191" s="2" t="s">
        <v>556</v>
      </c>
      <c r="M191" s="212"/>
      <c r="N191" s="213"/>
      <c r="O191" s="209"/>
    </row>
    <row r="192" spans="1:15" x14ac:dyDescent="0.3">
      <c r="A192" s="302" t="s">
        <v>155</v>
      </c>
      <c r="B192" s="302" t="str">
        <f t="shared" si="0"/>
        <v>Y</v>
      </c>
      <c r="C192" s="6" t="s">
        <v>562</v>
      </c>
      <c r="D192" s="327"/>
      <c r="E192" s="327" t="s">
        <v>563</v>
      </c>
      <c r="F192" s="206"/>
      <c r="G192" s="207">
        <v>43278</v>
      </c>
      <c r="H192" s="207">
        <v>43278</v>
      </c>
      <c r="K192" s="302">
        <v>9102768493</v>
      </c>
      <c r="M192" s="212"/>
      <c r="N192" s="213"/>
      <c r="O192" s="209"/>
    </row>
    <row r="193" spans="1:15" x14ac:dyDescent="0.3">
      <c r="A193" s="302" t="s">
        <v>155</v>
      </c>
      <c r="B193" s="302" t="str">
        <f t="shared" si="0"/>
        <v>Y</v>
      </c>
      <c r="C193" s="6" t="s">
        <v>564</v>
      </c>
      <c r="D193" s="327"/>
      <c r="E193" s="327" t="s">
        <v>565</v>
      </c>
      <c r="F193" s="206"/>
      <c r="G193" s="207">
        <v>43278</v>
      </c>
      <c r="H193" s="207">
        <v>43278</v>
      </c>
      <c r="K193" s="302">
        <v>8757728005</v>
      </c>
      <c r="M193" s="212"/>
      <c r="N193" s="213"/>
      <c r="O193" s="209"/>
    </row>
    <row r="194" spans="1:15" x14ac:dyDescent="0.3">
      <c r="A194" s="302" t="s">
        <v>155</v>
      </c>
      <c r="B194" s="302" t="str">
        <f t="shared" si="0"/>
        <v>N</v>
      </c>
      <c r="C194" s="6" t="s">
        <v>566</v>
      </c>
      <c r="D194" s="327"/>
      <c r="E194" s="327" t="s">
        <v>567</v>
      </c>
      <c r="F194" s="206"/>
      <c r="G194" s="207">
        <v>43279</v>
      </c>
      <c r="H194" s="302"/>
      <c r="K194" s="302">
        <v>7209389734</v>
      </c>
      <c r="M194" s="212"/>
      <c r="N194" s="213"/>
      <c r="O194" s="209"/>
    </row>
    <row r="195" spans="1:15" x14ac:dyDescent="0.3">
      <c r="A195" s="302"/>
      <c r="B195" s="302" t="str">
        <f t="shared" si="0"/>
        <v>N</v>
      </c>
      <c r="C195" s="452" t="s">
        <v>568</v>
      </c>
      <c r="D195" s="330"/>
      <c r="E195" s="327" t="s">
        <v>569</v>
      </c>
      <c r="F195" s="224"/>
      <c r="G195" s="207">
        <v>43279</v>
      </c>
      <c r="H195" s="302"/>
      <c r="L195" s="2" t="s">
        <v>570</v>
      </c>
      <c r="M195" s="212"/>
      <c r="N195" s="213"/>
      <c r="O195" s="209"/>
    </row>
    <row r="196" spans="1:15" x14ac:dyDescent="0.3">
      <c r="A196" s="302" t="s">
        <v>155</v>
      </c>
      <c r="B196" s="302" t="str">
        <f t="shared" si="0"/>
        <v>Y</v>
      </c>
      <c r="C196" s="6" t="s">
        <v>571</v>
      </c>
      <c r="D196" s="327"/>
      <c r="E196" s="327" t="s">
        <v>572</v>
      </c>
      <c r="F196" s="206" t="s">
        <v>573</v>
      </c>
      <c r="G196" s="207">
        <v>43278</v>
      </c>
      <c r="H196" s="207">
        <v>43278</v>
      </c>
      <c r="K196" s="302">
        <v>9955372833</v>
      </c>
      <c r="M196" s="212"/>
      <c r="N196" s="213"/>
      <c r="O196" s="209"/>
    </row>
    <row r="197" spans="1:15" x14ac:dyDescent="0.3">
      <c r="A197" s="302" t="s">
        <v>155</v>
      </c>
      <c r="B197" s="302" t="str">
        <f t="shared" si="0"/>
        <v>Y</v>
      </c>
      <c r="C197" s="6" t="s">
        <v>574</v>
      </c>
      <c r="D197" s="327"/>
      <c r="E197" s="327" t="s">
        <v>575</v>
      </c>
      <c r="F197" s="206"/>
      <c r="G197" s="207">
        <v>43283</v>
      </c>
      <c r="H197" s="207">
        <v>43283</v>
      </c>
      <c r="K197" s="302">
        <v>9204258537</v>
      </c>
      <c r="M197" s="212"/>
      <c r="N197" s="213"/>
      <c r="O197" s="209"/>
    </row>
    <row r="198" spans="1:15" x14ac:dyDescent="0.3">
      <c r="A198" s="302" t="s">
        <v>155</v>
      </c>
      <c r="B198" s="302" t="str">
        <f t="shared" si="0"/>
        <v>Y</v>
      </c>
      <c r="C198" s="6" t="s">
        <v>576</v>
      </c>
      <c r="D198" s="327"/>
      <c r="E198" s="327" t="s">
        <v>577</v>
      </c>
      <c r="F198" s="206"/>
      <c r="G198" s="207">
        <v>43283</v>
      </c>
      <c r="H198" s="207">
        <v>43283</v>
      </c>
      <c r="K198" s="302">
        <v>8797647540</v>
      </c>
      <c r="M198" s="212"/>
      <c r="N198" s="213"/>
      <c r="O198" s="209"/>
    </row>
    <row r="199" spans="1:15" x14ac:dyDescent="0.3">
      <c r="A199" s="302" t="s">
        <v>155</v>
      </c>
      <c r="B199" s="302" t="str">
        <f t="shared" si="0"/>
        <v>Y</v>
      </c>
      <c r="C199" s="6" t="s">
        <v>578</v>
      </c>
      <c r="D199" s="327"/>
      <c r="E199" s="327" t="s">
        <v>579</v>
      </c>
      <c r="F199" s="206"/>
      <c r="G199" s="207">
        <v>43283</v>
      </c>
      <c r="H199" s="207">
        <v>43286</v>
      </c>
      <c r="K199" s="302">
        <v>8797363322</v>
      </c>
      <c r="L199" s="2" t="s">
        <v>556</v>
      </c>
      <c r="M199" s="212" t="s">
        <v>580</v>
      </c>
      <c r="N199" s="213"/>
      <c r="O199" s="209"/>
    </row>
    <row r="200" spans="1:15" x14ac:dyDescent="0.3">
      <c r="A200" s="302" t="s">
        <v>155</v>
      </c>
      <c r="B200" s="302" t="str">
        <f t="shared" si="0"/>
        <v>Y</v>
      </c>
      <c r="C200" s="6" t="s">
        <v>581</v>
      </c>
      <c r="D200" s="327"/>
      <c r="E200" s="327" t="s">
        <v>582</v>
      </c>
      <c r="F200" s="206"/>
      <c r="G200" s="207">
        <v>43283</v>
      </c>
      <c r="H200" s="207">
        <v>43286</v>
      </c>
      <c r="K200" s="302">
        <v>8263634227</v>
      </c>
      <c r="L200" s="2" t="s">
        <v>556</v>
      </c>
      <c r="M200" s="212" t="s">
        <v>580</v>
      </c>
      <c r="N200" s="213" t="s">
        <v>583</v>
      </c>
      <c r="O200" s="209"/>
    </row>
    <row r="201" spans="1:15" x14ac:dyDescent="0.3">
      <c r="A201" s="302" t="s">
        <v>155</v>
      </c>
      <c r="B201" s="302" t="str">
        <f t="shared" si="0"/>
        <v>Y</v>
      </c>
      <c r="C201" s="6" t="s">
        <v>584</v>
      </c>
      <c r="D201" s="327"/>
      <c r="E201" s="327" t="s">
        <v>585</v>
      </c>
      <c r="F201" s="206"/>
      <c r="G201" s="207">
        <v>43283</v>
      </c>
      <c r="H201" s="207">
        <v>43286</v>
      </c>
      <c r="K201" s="302">
        <v>8210844873</v>
      </c>
      <c r="L201" s="2" t="s">
        <v>556</v>
      </c>
      <c r="M201" s="212" t="s">
        <v>580</v>
      </c>
      <c r="N201" s="213"/>
      <c r="O201" s="209"/>
    </row>
    <row r="202" spans="1:15" x14ac:dyDescent="0.3">
      <c r="A202" s="302" t="s">
        <v>155</v>
      </c>
      <c r="B202" s="302" t="str">
        <f t="shared" si="0"/>
        <v>Y</v>
      </c>
      <c r="C202" s="6" t="s">
        <v>586</v>
      </c>
      <c r="D202" s="327"/>
      <c r="E202" s="327" t="s">
        <v>587</v>
      </c>
      <c r="F202" s="206"/>
      <c r="G202" s="207">
        <v>43283</v>
      </c>
      <c r="H202" s="207">
        <v>43286</v>
      </c>
      <c r="K202" s="302">
        <v>9973924633</v>
      </c>
      <c r="L202" s="2" t="s">
        <v>556</v>
      </c>
      <c r="M202" s="212" t="s">
        <v>580</v>
      </c>
      <c r="N202" s="213"/>
      <c r="O202" s="209"/>
    </row>
    <row r="203" spans="1:15" x14ac:dyDescent="0.3">
      <c r="A203" s="302" t="s">
        <v>155</v>
      </c>
      <c r="B203" s="302" t="str">
        <f t="shared" si="0"/>
        <v>Y</v>
      </c>
      <c r="C203" s="6" t="s">
        <v>588</v>
      </c>
      <c r="D203" s="327"/>
      <c r="E203" s="327" t="s">
        <v>589</v>
      </c>
      <c r="F203" s="206"/>
      <c r="G203" s="207">
        <v>43284</v>
      </c>
      <c r="H203" s="207">
        <v>43286</v>
      </c>
      <c r="K203" s="302">
        <v>7979718006</v>
      </c>
      <c r="M203" s="212"/>
      <c r="N203" s="213"/>
      <c r="O203" s="209"/>
    </row>
    <row r="204" spans="1:15" x14ac:dyDescent="0.3">
      <c r="A204" s="302" t="s">
        <v>155</v>
      </c>
      <c r="B204" s="302" t="str">
        <f t="shared" si="0"/>
        <v>Y</v>
      </c>
      <c r="C204" s="6" t="s">
        <v>590</v>
      </c>
      <c r="D204" s="327"/>
      <c r="E204" s="327" t="s">
        <v>591</v>
      </c>
      <c r="F204" s="206"/>
      <c r="G204" s="207">
        <v>43285</v>
      </c>
      <c r="H204" s="207">
        <v>43286</v>
      </c>
      <c r="K204" s="302">
        <v>9031108358</v>
      </c>
      <c r="M204" s="212"/>
      <c r="N204" s="213"/>
      <c r="O204" s="209"/>
    </row>
    <row r="205" spans="1:15" x14ac:dyDescent="0.3">
      <c r="A205" s="302" t="s">
        <v>155</v>
      </c>
      <c r="B205" s="302" t="str">
        <f t="shared" si="0"/>
        <v>Y</v>
      </c>
      <c r="C205" s="6" t="s">
        <v>592</v>
      </c>
      <c r="D205" s="327"/>
      <c r="E205" s="327" t="s">
        <v>593</v>
      </c>
      <c r="F205" s="206"/>
      <c r="G205" s="207">
        <v>43285</v>
      </c>
      <c r="H205" s="207">
        <v>43286</v>
      </c>
      <c r="K205" s="302">
        <v>7004912520</v>
      </c>
      <c r="M205" s="212"/>
      <c r="N205" s="213"/>
      <c r="O205" s="209"/>
    </row>
    <row r="206" spans="1:15" x14ac:dyDescent="0.3">
      <c r="A206" s="302" t="s">
        <v>155</v>
      </c>
      <c r="B206" s="302" t="str">
        <f t="shared" si="0"/>
        <v>Y</v>
      </c>
      <c r="C206" s="6" t="s">
        <v>594</v>
      </c>
      <c r="D206" s="327"/>
      <c r="E206" s="327" t="s">
        <v>595</v>
      </c>
      <c r="F206" s="206"/>
      <c r="G206" s="207">
        <v>43285</v>
      </c>
      <c r="H206" s="207">
        <v>43286</v>
      </c>
      <c r="K206" s="302">
        <v>7463802515</v>
      </c>
      <c r="L206" s="2" t="s">
        <v>556</v>
      </c>
      <c r="M206" s="212" t="s">
        <v>580</v>
      </c>
      <c r="N206" s="213"/>
      <c r="O206" s="209"/>
    </row>
    <row r="207" spans="1:15" x14ac:dyDescent="0.3">
      <c r="A207" s="302" t="s">
        <v>155</v>
      </c>
      <c r="B207" s="302" t="str">
        <f t="shared" si="0"/>
        <v>Y</v>
      </c>
      <c r="C207" s="6" t="s">
        <v>596</v>
      </c>
      <c r="D207" s="327"/>
      <c r="E207" s="327" t="s">
        <v>597</v>
      </c>
      <c r="F207" s="206"/>
      <c r="G207" s="207">
        <v>43285</v>
      </c>
      <c r="H207" s="207">
        <v>43286</v>
      </c>
      <c r="K207" s="302">
        <v>6204822723</v>
      </c>
      <c r="L207" s="2" t="s">
        <v>556</v>
      </c>
      <c r="M207" s="212" t="s">
        <v>580</v>
      </c>
      <c r="N207" s="213"/>
      <c r="O207" s="209"/>
    </row>
    <row r="208" spans="1:15" x14ac:dyDescent="0.3">
      <c r="A208" s="302" t="s">
        <v>155</v>
      </c>
      <c r="B208" s="302" t="str">
        <f t="shared" si="0"/>
        <v>Y</v>
      </c>
      <c r="C208" s="6" t="s">
        <v>598</v>
      </c>
      <c r="D208" s="327"/>
      <c r="E208" s="327" t="s">
        <v>599</v>
      </c>
      <c r="F208" s="206"/>
      <c r="G208" s="207">
        <v>43287</v>
      </c>
      <c r="H208" s="206" t="s">
        <v>600</v>
      </c>
      <c r="K208" s="302">
        <v>9431965352</v>
      </c>
      <c r="L208" s="2" t="s">
        <v>556</v>
      </c>
      <c r="M208" s="212" t="s">
        <v>580</v>
      </c>
      <c r="N208" s="213"/>
      <c r="O208" s="209"/>
    </row>
    <row r="209" spans="1:15" x14ac:dyDescent="0.3">
      <c r="A209" s="225"/>
      <c r="B209" s="225" t="str">
        <f t="shared" si="0"/>
        <v>N</v>
      </c>
      <c r="C209" s="453" t="s">
        <v>601</v>
      </c>
      <c r="D209" s="331"/>
      <c r="E209" s="331" t="s">
        <v>602</v>
      </c>
      <c r="F209" s="227"/>
      <c r="G209" s="228">
        <v>43287</v>
      </c>
      <c r="H209" s="228"/>
      <c r="I209" s="226"/>
      <c r="J209" s="226"/>
      <c r="K209" s="225">
        <v>9679410262</v>
      </c>
      <c r="L209" s="226" t="s">
        <v>603</v>
      </c>
      <c r="M209" s="212"/>
      <c r="N209" s="213"/>
      <c r="O209" s="209"/>
    </row>
    <row r="210" spans="1:15" x14ac:dyDescent="0.3">
      <c r="A210" s="302" t="s">
        <v>155</v>
      </c>
      <c r="B210" s="302" t="str">
        <f t="shared" si="0"/>
        <v>Y</v>
      </c>
      <c r="C210" s="6" t="s">
        <v>604</v>
      </c>
      <c r="D210" s="327"/>
      <c r="E210" s="327" t="s">
        <v>605</v>
      </c>
      <c r="F210" s="206"/>
      <c r="G210" s="207">
        <v>43290</v>
      </c>
      <c r="H210" s="206" t="s">
        <v>606</v>
      </c>
      <c r="K210" s="302">
        <v>9234524421</v>
      </c>
      <c r="M210" s="212"/>
      <c r="N210" s="213"/>
      <c r="O210" s="209"/>
    </row>
    <row r="211" spans="1:15" x14ac:dyDescent="0.3">
      <c r="A211" s="302" t="s">
        <v>155</v>
      </c>
      <c r="B211" s="302" t="str">
        <f t="shared" si="0"/>
        <v>Y</v>
      </c>
      <c r="C211" s="6" t="s">
        <v>607</v>
      </c>
      <c r="D211" s="327"/>
      <c r="E211" s="327" t="s">
        <v>608</v>
      </c>
      <c r="F211" s="206"/>
      <c r="G211" s="207">
        <v>43288</v>
      </c>
      <c r="H211" s="206" t="s">
        <v>609</v>
      </c>
      <c r="K211" s="302">
        <v>9234266764</v>
      </c>
      <c r="M211" s="212"/>
      <c r="N211" s="213"/>
      <c r="O211" s="209"/>
    </row>
    <row r="212" spans="1:15" x14ac:dyDescent="0.3">
      <c r="A212" s="302" t="s">
        <v>155</v>
      </c>
      <c r="B212" s="302" t="str">
        <f t="shared" si="0"/>
        <v>Y</v>
      </c>
      <c r="C212" s="6" t="s">
        <v>610</v>
      </c>
      <c r="D212" s="327"/>
      <c r="E212" s="327" t="s">
        <v>611</v>
      </c>
      <c r="F212" s="206"/>
      <c r="G212" s="207">
        <v>43290</v>
      </c>
      <c r="H212" s="206" t="s">
        <v>606</v>
      </c>
      <c r="K212" s="302">
        <v>8541058250</v>
      </c>
      <c r="M212" s="212"/>
      <c r="N212" s="213"/>
      <c r="O212" s="209"/>
    </row>
    <row r="213" spans="1:15" x14ac:dyDescent="0.3">
      <c r="A213" s="302" t="s">
        <v>155</v>
      </c>
      <c r="B213" s="302" t="str">
        <f t="shared" si="0"/>
        <v>Y</v>
      </c>
      <c r="C213" s="6" t="s">
        <v>612</v>
      </c>
      <c r="D213" s="327"/>
      <c r="E213" s="327" t="s">
        <v>613</v>
      </c>
      <c r="F213" s="206"/>
      <c r="G213" s="207">
        <v>43290</v>
      </c>
      <c r="H213" s="206" t="s">
        <v>600</v>
      </c>
      <c r="K213" s="302">
        <v>9097133839</v>
      </c>
      <c r="M213" s="212"/>
      <c r="N213" s="213"/>
      <c r="O213" s="209"/>
    </row>
    <row r="214" spans="1:15" x14ac:dyDescent="0.3">
      <c r="A214" s="302" t="s">
        <v>155</v>
      </c>
      <c r="B214" s="302" t="str">
        <f t="shared" si="0"/>
        <v>Y</v>
      </c>
      <c r="C214" s="6" t="s">
        <v>614</v>
      </c>
      <c r="D214" s="327"/>
      <c r="E214" s="327" t="s">
        <v>615</v>
      </c>
      <c r="F214" s="206"/>
      <c r="G214" s="207">
        <v>43291</v>
      </c>
      <c r="H214" s="206" t="s">
        <v>606</v>
      </c>
      <c r="K214" s="302">
        <v>9934182245</v>
      </c>
      <c r="M214" s="212"/>
      <c r="N214" s="213"/>
      <c r="O214" s="209"/>
    </row>
    <row r="215" spans="1:15" x14ac:dyDescent="0.3">
      <c r="A215" s="302" t="s">
        <v>155</v>
      </c>
      <c r="B215" s="302" t="str">
        <f t="shared" si="0"/>
        <v>Y</v>
      </c>
      <c r="C215" s="6" t="s">
        <v>616</v>
      </c>
      <c r="D215" s="327"/>
      <c r="E215" s="327" t="s">
        <v>617</v>
      </c>
      <c r="F215" s="206"/>
      <c r="G215" s="207">
        <v>43291</v>
      </c>
      <c r="H215" s="206" t="s">
        <v>606</v>
      </c>
      <c r="K215" s="302">
        <v>9234530417</v>
      </c>
      <c r="M215" s="212" t="s">
        <v>618</v>
      </c>
      <c r="N215" s="213"/>
      <c r="O215" s="209"/>
    </row>
    <row r="216" spans="1:15" x14ac:dyDescent="0.3">
      <c r="A216" s="302" t="s">
        <v>155</v>
      </c>
      <c r="B216" s="302" t="str">
        <f t="shared" si="0"/>
        <v>Y</v>
      </c>
      <c r="C216" s="6" t="s">
        <v>619</v>
      </c>
      <c r="D216" s="327"/>
      <c r="E216" s="327" t="s">
        <v>620</v>
      </c>
      <c r="F216" s="206"/>
      <c r="G216" s="207">
        <v>43291</v>
      </c>
      <c r="H216" s="206" t="s">
        <v>609</v>
      </c>
      <c r="K216" s="302">
        <v>7250529379</v>
      </c>
      <c r="M216" s="212" t="s">
        <v>618</v>
      </c>
      <c r="N216" s="213"/>
      <c r="O216" s="209"/>
    </row>
    <row r="217" spans="1:15" x14ac:dyDescent="0.3">
      <c r="A217" s="302" t="s">
        <v>155</v>
      </c>
      <c r="B217" s="302" t="str">
        <f t="shared" si="0"/>
        <v>Y</v>
      </c>
      <c r="C217" s="6" t="s">
        <v>621</v>
      </c>
      <c r="D217" s="327"/>
      <c r="E217" s="327" t="s">
        <v>622</v>
      </c>
      <c r="F217" s="206"/>
      <c r="G217" s="207">
        <v>43291</v>
      </c>
      <c r="H217" s="206" t="s">
        <v>609</v>
      </c>
      <c r="K217" s="302">
        <v>9162976754</v>
      </c>
      <c r="M217" s="212" t="s">
        <v>618</v>
      </c>
      <c r="N217" s="213"/>
      <c r="O217" s="209"/>
    </row>
    <row r="218" spans="1:15" x14ac:dyDescent="0.3">
      <c r="A218" s="302" t="s">
        <v>155</v>
      </c>
      <c r="B218" s="302" t="str">
        <f t="shared" si="0"/>
        <v>Y</v>
      </c>
      <c r="C218" s="6" t="s">
        <v>623</v>
      </c>
      <c r="D218" s="327"/>
      <c r="E218" s="327" t="s">
        <v>624</v>
      </c>
      <c r="F218" s="206"/>
      <c r="G218" s="207">
        <v>43291</v>
      </c>
      <c r="H218" s="206" t="s">
        <v>606</v>
      </c>
      <c r="K218" s="302">
        <v>7319188380</v>
      </c>
      <c r="M218" s="212" t="s">
        <v>618</v>
      </c>
      <c r="N218" s="213"/>
      <c r="O218" s="209"/>
    </row>
    <row r="219" spans="1:15" x14ac:dyDescent="0.3">
      <c r="A219" s="302" t="s">
        <v>155</v>
      </c>
      <c r="B219" s="302" t="str">
        <f t="shared" si="0"/>
        <v>Y</v>
      </c>
      <c r="C219" s="6" t="s">
        <v>625</v>
      </c>
      <c r="D219" s="327"/>
      <c r="E219" s="327" t="s">
        <v>626</v>
      </c>
      <c r="F219" s="206"/>
      <c r="G219" s="207">
        <v>43291</v>
      </c>
      <c r="H219" s="206" t="s">
        <v>627</v>
      </c>
      <c r="K219" s="302">
        <v>8877071962</v>
      </c>
      <c r="M219" s="212"/>
      <c r="N219" s="213"/>
      <c r="O219" s="209"/>
    </row>
    <row r="220" spans="1:15" x14ac:dyDescent="0.3">
      <c r="A220" s="302" t="s">
        <v>155</v>
      </c>
      <c r="B220" s="302" t="str">
        <f t="shared" si="0"/>
        <v>Y</v>
      </c>
      <c r="C220" s="6" t="s">
        <v>628</v>
      </c>
      <c r="D220" s="327"/>
      <c r="E220" s="327" t="s">
        <v>629</v>
      </c>
      <c r="F220" s="206"/>
      <c r="G220" s="207">
        <v>43292</v>
      </c>
      <c r="H220" s="206" t="s">
        <v>630</v>
      </c>
      <c r="K220" s="302">
        <v>9534224414</v>
      </c>
      <c r="M220" s="212"/>
      <c r="N220" s="213"/>
      <c r="O220" s="209"/>
    </row>
    <row r="221" spans="1:15" x14ac:dyDescent="0.3">
      <c r="A221" s="302" t="s">
        <v>155</v>
      </c>
      <c r="B221" s="302" t="str">
        <f t="shared" si="0"/>
        <v>Y</v>
      </c>
      <c r="C221" s="6" t="s">
        <v>631</v>
      </c>
      <c r="D221" s="327"/>
      <c r="E221" s="327" t="s">
        <v>632</v>
      </c>
      <c r="F221" s="206"/>
      <c r="G221" s="207">
        <v>43292</v>
      </c>
      <c r="H221" s="206" t="s">
        <v>627</v>
      </c>
      <c r="K221" s="302">
        <v>9534224414</v>
      </c>
      <c r="M221" s="212"/>
      <c r="N221" s="213"/>
      <c r="O221" s="209"/>
    </row>
    <row r="222" spans="1:15" x14ac:dyDescent="0.3">
      <c r="A222" s="221" t="s">
        <v>155</v>
      </c>
      <c r="B222" s="221" t="str">
        <f t="shared" si="0"/>
        <v>Y</v>
      </c>
      <c r="C222" s="451" t="s">
        <v>633</v>
      </c>
      <c r="D222" s="329"/>
      <c r="E222" s="329" t="s">
        <v>634</v>
      </c>
      <c r="F222" s="219"/>
      <c r="G222" s="220">
        <v>43292</v>
      </c>
      <c r="H222" s="219" t="s">
        <v>627</v>
      </c>
      <c r="I222" s="9"/>
      <c r="J222" s="9"/>
      <c r="K222" s="221">
        <v>8877007360</v>
      </c>
      <c r="L222" s="9"/>
      <c r="M222" s="222"/>
      <c r="N222" s="213"/>
      <c r="O222" s="209"/>
    </row>
    <row r="223" spans="1:15" x14ac:dyDescent="0.3">
      <c r="A223" s="302" t="s">
        <v>155</v>
      </c>
      <c r="B223" s="302" t="str">
        <f t="shared" si="0"/>
        <v>Y</v>
      </c>
      <c r="C223" s="6" t="s">
        <v>635</v>
      </c>
      <c r="D223" s="327"/>
      <c r="E223" s="327" t="s">
        <v>636</v>
      </c>
      <c r="F223" s="206"/>
      <c r="G223" s="207">
        <v>43292</v>
      </c>
      <c r="H223" s="206" t="s">
        <v>637</v>
      </c>
      <c r="K223" s="302">
        <v>8877007360</v>
      </c>
      <c r="M223" s="212"/>
      <c r="N223" s="213"/>
      <c r="O223" s="209"/>
    </row>
    <row r="224" spans="1:15" x14ac:dyDescent="0.3">
      <c r="A224" s="302" t="s">
        <v>155</v>
      </c>
      <c r="B224" s="302" t="str">
        <f t="shared" si="0"/>
        <v>Y</v>
      </c>
      <c r="C224" s="6" t="s">
        <v>638</v>
      </c>
      <c r="D224" s="327"/>
      <c r="E224" s="327" t="s">
        <v>348</v>
      </c>
      <c r="F224" s="206"/>
      <c r="G224" s="207">
        <v>43292</v>
      </c>
      <c r="H224" s="206" t="s">
        <v>637</v>
      </c>
      <c r="K224" s="302">
        <v>7091495464</v>
      </c>
      <c r="M224" s="212"/>
      <c r="N224" s="213"/>
      <c r="O224" s="209"/>
    </row>
    <row r="225" spans="1:15" x14ac:dyDescent="0.3">
      <c r="A225" s="302" t="s">
        <v>155</v>
      </c>
      <c r="B225" s="302" t="str">
        <f t="shared" si="0"/>
        <v>Y</v>
      </c>
      <c r="C225" s="6" t="s">
        <v>639</v>
      </c>
      <c r="D225" s="327"/>
      <c r="E225" s="327" t="s">
        <v>640</v>
      </c>
      <c r="F225" s="206"/>
      <c r="G225" s="207">
        <v>43292</v>
      </c>
      <c r="H225" s="207">
        <v>43351</v>
      </c>
      <c r="K225" s="302">
        <v>7870597677</v>
      </c>
      <c r="M225" s="212"/>
      <c r="N225" s="213"/>
      <c r="O225" s="209"/>
    </row>
    <row r="226" spans="1:15" x14ac:dyDescent="0.3">
      <c r="A226" s="302" t="s">
        <v>155</v>
      </c>
      <c r="B226" s="302" t="str">
        <f t="shared" si="0"/>
        <v>Y</v>
      </c>
      <c r="C226" s="6" t="s">
        <v>641</v>
      </c>
      <c r="D226" s="327"/>
      <c r="E226" s="327" t="s">
        <v>642</v>
      </c>
      <c r="F226" s="206"/>
      <c r="G226" s="207">
        <v>43293</v>
      </c>
      <c r="H226" s="206" t="s">
        <v>637</v>
      </c>
      <c r="K226" s="302">
        <v>8235401099</v>
      </c>
      <c r="M226" s="212" t="s">
        <v>580</v>
      </c>
      <c r="N226" s="213"/>
      <c r="O226" s="209"/>
    </row>
    <row r="227" spans="1:15" x14ac:dyDescent="0.3">
      <c r="A227" s="302" t="s">
        <v>155</v>
      </c>
      <c r="B227" s="302" t="str">
        <f t="shared" si="0"/>
        <v>Y</v>
      </c>
      <c r="C227" s="6" t="s">
        <v>643</v>
      </c>
      <c r="D227" s="327"/>
      <c r="E227" s="327" t="s">
        <v>644</v>
      </c>
      <c r="F227" s="206"/>
      <c r="G227" s="207">
        <v>43293</v>
      </c>
      <c r="H227" s="206" t="s">
        <v>630</v>
      </c>
      <c r="K227" s="302">
        <v>7277207200</v>
      </c>
      <c r="M227" s="212" t="s">
        <v>645</v>
      </c>
      <c r="N227" s="213"/>
      <c r="O227" s="209"/>
    </row>
    <row r="228" spans="1:15" x14ac:dyDescent="0.3">
      <c r="A228" s="302" t="s">
        <v>155</v>
      </c>
      <c r="B228" s="302" t="str">
        <f t="shared" si="0"/>
        <v>Y</v>
      </c>
      <c r="C228" s="6" t="s">
        <v>646</v>
      </c>
      <c r="D228" s="327"/>
      <c r="E228" s="327" t="s">
        <v>338</v>
      </c>
      <c r="F228" s="206"/>
      <c r="G228" s="207">
        <v>43293</v>
      </c>
      <c r="H228" s="206" t="s">
        <v>630</v>
      </c>
      <c r="K228" s="302">
        <v>9934172940</v>
      </c>
      <c r="M228" s="212" t="s">
        <v>580</v>
      </c>
      <c r="N228" s="213"/>
      <c r="O228" s="209"/>
    </row>
    <row r="229" spans="1:15" x14ac:dyDescent="0.3">
      <c r="A229" s="302" t="s">
        <v>155</v>
      </c>
      <c r="B229" s="302" t="str">
        <f t="shared" si="0"/>
        <v>Y</v>
      </c>
      <c r="C229" s="6" t="s">
        <v>647</v>
      </c>
      <c r="D229" s="327"/>
      <c r="E229" s="327" t="s">
        <v>648</v>
      </c>
      <c r="F229" s="206"/>
      <c r="G229" s="207">
        <v>43293</v>
      </c>
      <c r="H229" s="206" t="s">
        <v>637</v>
      </c>
      <c r="K229" s="302">
        <v>8084179412</v>
      </c>
      <c r="M229" s="212"/>
      <c r="N229" s="213"/>
      <c r="O229" s="209"/>
    </row>
    <row r="230" spans="1:15" x14ac:dyDescent="0.3">
      <c r="A230" s="302" t="s">
        <v>155</v>
      </c>
      <c r="B230" s="302" t="str">
        <f t="shared" si="0"/>
        <v>Y</v>
      </c>
      <c r="C230" s="6" t="s">
        <v>649</v>
      </c>
      <c r="D230" s="327"/>
      <c r="E230" s="327" t="s">
        <v>650</v>
      </c>
      <c r="F230" s="206"/>
      <c r="G230" s="207">
        <v>43293</v>
      </c>
      <c r="H230" s="206" t="s">
        <v>630</v>
      </c>
      <c r="K230" s="302">
        <v>9204665845</v>
      </c>
      <c r="M230" s="212"/>
      <c r="N230" s="213"/>
      <c r="O230" s="209"/>
    </row>
    <row r="231" spans="1:15" x14ac:dyDescent="0.3">
      <c r="A231" s="302" t="s">
        <v>155</v>
      </c>
      <c r="B231" s="302" t="str">
        <f t="shared" si="0"/>
        <v>Y</v>
      </c>
      <c r="C231" s="6" t="s">
        <v>651</v>
      </c>
      <c r="D231" s="327"/>
      <c r="E231" s="327" t="s">
        <v>652</v>
      </c>
      <c r="F231" s="206"/>
      <c r="G231" s="207">
        <v>43293</v>
      </c>
      <c r="H231" s="206" t="s">
        <v>630</v>
      </c>
      <c r="K231" s="302">
        <v>7250271909</v>
      </c>
      <c r="M231" s="212"/>
      <c r="N231" s="213"/>
      <c r="O231" s="209"/>
    </row>
    <row r="232" spans="1:15" x14ac:dyDescent="0.3">
      <c r="A232" s="302" t="s">
        <v>155</v>
      </c>
      <c r="B232" s="302" t="str">
        <f t="shared" si="0"/>
        <v>Y</v>
      </c>
      <c r="C232" s="6" t="s">
        <v>653</v>
      </c>
      <c r="D232" s="327"/>
      <c r="E232" s="327" t="s">
        <v>654</v>
      </c>
      <c r="F232" s="206"/>
      <c r="G232" s="207">
        <v>43293</v>
      </c>
      <c r="H232" s="206" t="s">
        <v>630</v>
      </c>
      <c r="K232" s="302">
        <v>8797443042</v>
      </c>
      <c r="M232" s="212"/>
      <c r="N232" s="213"/>
      <c r="O232" s="209"/>
    </row>
    <row r="233" spans="1:15" x14ac:dyDescent="0.3">
      <c r="A233" s="302" t="s">
        <v>155</v>
      </c>
      <c r="B233" s="302" t="str">
        <f t="shared" si="0"/>
        <v>Y</v>
      </c>
      <c r="C233" s="6" t="s">
        <v>655</v>
      </c>
      <c r="D233" s="327"/>
      <c r="E233" s="327" t="s">
        <v>656</v>
      </c>
      <c r="F233" s="206"/>
      <c r="G233" s="207">
        <v>43293</v>
      </c>
      <c r="H233" s="206" t="s">
        <v>630</v>
      </c>
      <c r="K233" s="302">
        <v>9031703893</v>
      </c>
      <c r="M233" s="212"/>
      <c r="N233" s="213"/>
      <c r="O233" s="209"/>
    </row>
    <row r="234" spans="1:15" x14ac:dyDescent="0.3">
      <c r="A234" s="302" t="s">
        <v>155</v>
      </c>
      <c r="B234" s="302" t="str">
        <f t="shared" si="0"/>
        <v>Y</v>
      </c>
      <c r="C234" s="6" t="s">
        <v>657</v>
      </c>
      <c r="D234" s="327"/>
      <c r="E234" s="327" t="s">
        <v>656</v>
      </c>
      <c r="F234" s="206"/>
      <c r="G234" s="207">
        <v>43293</v>
      </c>
      <c r="H234" s="206" t="s">
        <v>630</v>
      </c>
      <c r="K234" s="302">
        <v>7643908877</v>
      </c>
      <c r="M234" s="212" t="s">
        <v>580</v>
      </c>
      <c r="N234" s="213"/>
      <c r="O234" s="209"/>
    </row>
    <row r="235" spans="1:15" x14ac:dyDescent="0.3">
      <c r="A235" s="229" t="s">
        <v>155</v>
      </c>
      <c r="B235" s="229" t="str">
        <f t="shared" si="0"/>
        <v>N</v>
      </c>
      <c r="C235" s="454"/>
      <c r="D235" s="332"/>
      <c r="E235" s="332" t="s">
        <v>658</v>
      </c>
      <c r="F235" s="231"/>
      <c r="G235" s="207">
        <v>43293</v>
      </c>
      <c r="H235" s="229"/>
      <c r="I235" s="230"/>
      <c r="J235" s="230"/>
      <c r="K235" s="229">
        <v>9279011319</v>
      </c>
      <c r="L235" s="230" t="s">
        <v>463</v>
      </c>
      <c r="M235" s="232" t="s">
        <v>659</v>
      </c>
      <c r="N235" s="233" t="s">
        <v>660</v>
      </c>
      <c r="O235" s="209"/>
    </row>
    <row r="236" spans="1:15" x14ac:dyDescent="0.3">
      <c r="A236" s="302" t="s">
        <v>155</v>
      </c>
      <c r="B236" s="302" t="str">
        <f t="shared" si="0"/>
        <v>Y</v>
      </c>
      <c r="C236" s="6" t="s">
        <v>661</v>
      </c>
      <c r="D236" s="327"/>
      <c r="E236" s="327" t="s">
        <v>662</v>
      </c>
      <c r="F236" s="206"/>
      <c r="G236" s="207">
        <v>43293</v>
      </c>
      <c r="H236" s="206" t="s">
        <v>630</v>
      </c>
      <c r="K236" s="302">
        <v>9801314997</v>
      </c>
      <c r="M236" s="212"/>
      <c r="N236" s="213"/>
      <c r="O236" s="209"/>
    </row>
    <row r="237" spans="1:15" x14ac:dyDescent="0.3">
      <c r="A237" s="302" t="s">
        <v>155</v>
      </c>
      <c r="B237" s="302" t="str">
        <f t="shared" si="0"/>
        <v>Y</v>
      </c>
      <c r="C237" s="6" t="s">
        <v>663</v>
      </c>
      <c r="D237" s="327"/>
      <c r="E237" s="327" t="s">
        <v>664</v>
      </c>
      <c r="F237" s="206"/>
      <c r="G237" s="207">
        <v>43293</v>
      </c>
      <c r="H237" s="206" t="s">
        <v>637</v>
      </c>
      <c r="K237" s="302">
        <v>9334340676</v>
      </c>
      <c r="M237" s="212"/>
      <c r="N237" s="213"/>
      <c r="O237" s="209"/>
    </row>
    <row r="238" spans="1:15" x14ac:dyDescent="0.3">
      <c r="A238" s="302" t="s">
        <v>155</v>
      </c>
      <c r="B238" s="302" t="str">
        <f t="shared" si="0"/>
        <v>Y</v>
      </c>
      <c r="C238" s="6" t="s">
        <v>665</v>
      </c>
      <c r="D238" s="327"/>
      <c r="E238" s="327" t="s">
        <v>666</v>
      </c>
      <c r="F238" s="206"/>
      <c r="G238" s="207">
        <v>43294</v>
      </c>
      <c r="H238" s="206" t="s">
        <v>637</v>
      </c>
      <c r="K238" s="302">
        <v>9835057503</v>
      </c>
      <c r="M238" s="212" t="s">
        <v>580</v>
      </c>
      <c r="N238" s="213"/>
      <c r="O238" s="209"/>
    </row>
    <row r="239" spans="1:15" x14ac:dyDescent="0.3">
      <c r="A239" s="302" t="s">
        <v>155</v>
      </c>
      <c r="B239" s="302" t="str">
        <f t="shared" si="0"/>
        <v>Y</v>
      </c>
      <c r="C239" s="6" t="s">
        <v>667</v>
      </c>
      <c r="D239" s="327"/>
      <c r="E239" s="327" t="s">
        <v>668</v>
      </c>
      <c r="F239" s="206"/>
      <c r="G239" s="207">
        <v>43294</v>
      </c>
      <c r="H239" s="206" t="s">
        <v>637</v>
      </c>
      <c r="K239" s="302">
        <v>7631065320</v>
      </c>
      <c r="M239" s="212"/>
      <c r="N239" s="213"/>
      <c r="O239" s="209"/>
    </row>
    <row r="240" spans="1:15" x14ac:dyDescent="0.3">
      <c r="A240" s="302" t="s">
        <v>155</v>
      </c>
      <c r="B240" s="302" t="str">
        <f t="shared" si="0"/>
        <v>Y</v>
      </c>
      <c r="C240" s="6" t="s">
        <v>669</v>
      </c>
      <c r="D240" s="327"/>
      <c r="E240" s="327" t="s">
        <v>670</v>
      </c>
      <c r="F240" s="206"/>
      <c r="G240" s="207">
        <v>43294</v>
      </c>
      <c r="H240" s="206" t="s">
        <v>637</v>
      </c>
      <c r="K240" s="302">
        <v>8226871995</v>
      </c>
      <c r="M240" s="212"/>
      <c r="N240" s="213"/>
      <c r="O240" s="209"/>
    </row>
    <row r="241" spans="1:15" x14ac:dyDescent="0.3">
      <c r="A241" s="302" t="s">
        <v>155</v>
      </c>
      <c r="B241" s="302" t="str">
        <f t="shared" si="0"/>
        <v>Y</v>
      </c>
      <c r="C241" s="6" t="s">
        <v>671</v>
      </c>
      <c r="D241" s="327"/>
      <c r="E241" s="327" t="s">
        <v>672</v>
      </c>
      <c r="F241" s="206"/>
      <c r="G241" s="207">
        <v>43295</v>
      </c>
      <c r="H241" s="206" t="s">
        <v>637</v>
      </c>
      <c r="K241" s="302">
        <v>8051106869</v>
      </c>
      <c r="M241" s="212" t="s">
        <v>580</v>
      </c>
      <c r="N241" s="213"/>
      <c r="O241" s="209"/>
    </row>
    <row r="242" spans="1:15" x14ac:dyDescent="0.3">
      <c r="A242" s="302" t="s">
        <v>155</v>
      </c>
      <c r="B242" s="302" t="str">
        <f t="shared" si="0"/>
        <v>Y</v>
      </c>
      <c r="C242" s="6" t="s">
        <v>673</v>
      </c>
      <c r="D242" s="327"/>
      <c r="E242" s="327" t="s">
        <v>674</v>
      </c>
      <c r="F242" s="206"/>
      <c r="G242" s="207">
        <v>43295</v>
      </c>
      <c r="H242" s="206" t="s">
        <v>637</v>
      </c>
      <c r="K242" s="302">
        <v>9334883775</v>
      </c>
      <c r="M242" s="212" t="s">
        <v>580</v>
      </c>
      <c r="N242" s="213"/>
      <c r="O242" s="209"/>
    </row>
    <row r="243" spans="1:15" x14ac:dyDescent="0.3">
      <c r="A243" s="302" t="s">
        <v>155</v>
      </c>
      <c r="B243" s="302" t="str">
        <f t="shared" si="0"/>
        <v>Y</v>
      </c>
      <c r="C243" s="6" t="s">
        <v>675</v>
      </c>
      <c r="D243" s="327"/>
      <c r="E243" s="327" t="s">
        <v>676</v>
      </c>
      <c r="F243" s="206"/>
      <c r="G243" s="207">
        <v>43296</v>
      </c>
      <c r="H243" s="206" t="s">
        <v>677</v>
      </c>
      <c r="K243" s="302">
        <v>9471309565</v>
      </c>
      <c r="M243" s="212"/>
      <c r="N243" s="213"/>
      <c r="O243" s="209"/>
    </row>
    <row r="244" spans="1:15" x14ac:dyDescent="0.3">
      <c r="A244" s="302" t="s">
        <v>155</v>
      </c>
      <c r="B244" s="302" t="str">
        <f t="shared" si="0"/>
        <v>Y</v>
      </c>
      <c r="C244" s="6" t="s">
        <v>678</v>
      </c>
      <c r="D244" s="327"/>
      <c r="E244" s="327" t="s">
        <v>679</v>
      </c>
      <c r="F244" s="206"/>
      <c r="G244" s="207">
        <v>43296</v>
      </c>
      <c r="H244" s="206" t="s">
        <v>630</v>
      </c>
      <c r="M244" s="212" t="s">
        <v>580</v>
      </c>
      <c r="N244" s="213"/>
      <c r="O244" s="209"/>
    </row>
    <row r="245" spans="1:15" x14ac:dyDescent="0.3">
      <c r="A245" s="302" t="s">
        <v>155</v>
      </c>
      <c r="B245" s="302" t="str">
        <f t="shared" si="0"/>
        <v>Y</v>
      </c>
      <c r="C245" s="6" t="s">
        <v>680</v>
      </c>
      <c r="D245" s="327"/>
      <c r="E245" s="327" t="s">
        <v>681</v>
      </c>
      <c r="F245" s="206"/>
      <c r="G245" s="207">
        <v>43298</v>
      </c>
      <c r="H245" s="206" t="s">
        <v>682</v>
      </c>
      <c r="K245" s="302">
        <v>9523673153</v>
      </c>
      <c r="M245" s="212" t="s">
        <v>580</v>
      </c>
      <c r="N245" s="213"/>
      <c r="O245" s="209"/>
    </row>
    <row r="246" spans="1:15" x14ac:dyDescent="0.3">
      <c r="A246" s="302" t="s">
        <v>155</v>
      </c>
      <c r="B246" s="302" t="str">
        <f t="shared" si="0"/>
        <v>Y</v>
      </c>
      <c r="C246" s="6" t="s">
        <v>683</v>
      </c>
      <c r="D246" s="327"/>
      <c r="E246" s="327" t="s">
        <v>684</v>
      </c>
      <c r="F246" s="206"/>
      <c r="G246" s="207">
        <v>43298</v>
      </c>
      <c r="H246" s="206" t="s">
        <v>682</v>
      </c>
      <c r="K246" s="302">
        <v>8271121696</v>
      </c>
      <c r="M246" s="212" t="s">
        <v>580</v>
      </c>
      <c r="N246" s="213"/>
      <c r="O246" s="209"/>
    </row>
    <row r="247" spans="1:15" x14ac:dyDescent="0.3">
      <c r="A247" s="302" t="s">
        <v>155</v>
      </c>
      <c r="B247" s="302" t="str">
        <f t="shared" si="0"/>
        <v>Y</v>
      </c>
      <c r="C247" s="6" t="s">
        <v>685</v>
      </c>
      <c r="D247" s="327"/>
      <c r="E247" s="327" t="s">
        <v>686</v>
      </c>
      <c r="F247" s="206"/>
      <c r="G247" s="207">
        <v>43299</v>
      </c>
      <c r="H247" s="206" t="s">
        <v>682</v>
      </c>
      <c r="K247" s="302">
        <v>9546769607</v>
      </c>
      <c r="M247" s="212"/>
      <c r="N247" s="213"/>
      <c r="O247" s="209"/>
    </row>
    <row r="248" spans="1:15" x14ac:dyDescent="0.3">
      <c r="A248" s="302" t="s">
        <v>155</v>
      </c>
      <c r="B248" s="302" t="str">
        <f t="shared" si="0"/>
        <v>Y</v>
      </c>
      <c r="C248" s="451" t="s">
        <v>687</v>
      </c>
      <c r="D248" s="329"/>
      <c r="E248" s="329" t="s">
        <v>688</v>
      </c>
      <c r="F248" s="219"/>
      <c r="G248" s="220">
        <v>43299</v>
      </c>
      <c r="H248" s="219" t="s">
        <v>682</v>
      </c>
      <c r="I248" s="9"/>
      <c r="K248" s="302">
        <v>7209657185</v>
      </c>
      <c r="M248" s="212"/>
      <c r="N248" s="213"/>
      <c r="O248" s="209"/>
    </row>
    <row r="249" spans="1:15" x14ac:dyDescent="0.3">
      <c r="A249" s="302" t="s">
        <v>155</v>
      </c>
      <c r="B249" s="302" t="str">
        <f t="shared" si="0"/>
        <v>Y</v>
      </c>
      <c r="C249" s="6" t="s">
        <v>689</v>
      </c>
      <c r="D249" s="327"/>
      <c r="E249" s="327" t="s">
        <v>690</v>
      </c>
      <c r="F249" s="206"/>
      <c r="G249" s="207">
        <v>43300</v>
      </c>
      <c r="H249" s="206" t="s">
        <v>691</v>
      </c>
      <c r="K249" s="302">
        <v>9031108073</v>
      </c>
      <c r="M249" s="212"/>
      <c r="N249" s="213"/>
      <c r="O249" s="209"/>
    </row>
    <row r="250" spans="1:15" x14ac:dyDescent="0.3">
      <c r="A250" s="302" t="s">
        <v>155</v>
      </c>
      <c r="B250" s="302" t="str">
        <f t="shared" si="0"/>
        <v>Y</v>
      </c>
      <c r="C250" s="6" t="s">
        <v>692</v>
      </c>
      <c r="D250" s="327"/>
      <c r="E250" s="327" t="s">
        <v>693</v>
      </c>
      <c r="F250" s="206"/>
      <c r="G250" s="207">
        <v>43300</v>
      </c>
      <c r="H250" s="206" t="s">
        <v>694</v>
      </c>
      <c r="K250" s="302">
        <v>9470995769</v>
      </c>
      <c r="M250" s="2" t="s">
        <v>695</v>
      </c>
      <c r="N250" s="213"/>
      <c r="O250" s="209"/>
    </row>
    <row r="251" spans="1:15" x14ac:dyDescent="0.3">
      <c r="A251" s="302" t="s">
        <v>155</v>
      </c>
      <c r="B251" s="302" t="str">
        <f t="shared" si="0"/>
        <v>Y</v>
      </c>
      <c r="C251" s="6" t="s">
        <v>696</v>
      </c>
      <c r="D251" s="327"/>
      <c r="E251" s="327" t="s">
        <v>697</v>
      </c>
      <c r="F251" s="206"/>
      <c r="G251" s="207">
        <v>43301</v>
      </c>
      <c r="H251" s="206" t="s">
        <v>691</v>
      </c>
      <c r="K251" s="302">
        <v>9693104517</v>
      </c>
      <c r="M251" s="212"/>
      <c r="N251" s="213"/>
      <c r="O251" s="209"/>
    </row>
    <row r="252" spans="1:15" x14ac:dyDescent="0.3">
      <c r="A252" s="302" t="s">
        <v>155</v>
      </c>
      <c r="B252" s="302" t="str">
        <f t="shared" si="0"/>
        <v>Y</v>
      </c>
      <c r="C252" s="6" t="s">
        <v>698</v>
      </c>
      <c r="D252" s="327"/>
      <c r="E252" s="327" t="s">
        <v>699</v>
      </c>
      <c r="F252" s="206"/>
      <c r="G252" s="207">
        <v>43301</v>
      </c>
      <c r="H252" s="206" t="s">
        <v>700</v>
      </c>
      <c r="K252" s="302">
        <v>9234541973</v>
      </c>
      <c r="M252" s="212"/>
      <c r="N252" s="213"/>
      <c r="O252" s="209"/>
    </row>
    <row r="253" spans="1:15" x14ac:dyDescent="0.3">
      <c r="A253" s="302" t="s">
        <v>155</v>
      </c>
      <c r="B253" s="302" t="str">
        <f t="shared" si="0"/>
        <v>Y</v>
      </c>
      <c r="C253" s="6" t="s">
        <v>701</v>
      </c>
      <c r="D253" s="327"/>
      <c r="E253" s="327" t="s">
        <v>702</v>
      </c>
      <c r="F253" s="206"/>
      <c r="G253" s="207">
        <v>43302</v>
      </c>
      <c r="H253" s="206" t="s">
        <v>700</v>
      </c>
      <c r="K253" s="302">
        <v>9031707120</v>
      </c>
      <c r="M253" s="212"/>
      <c r="N253" s="213"/>
      <c r="O253" s="209"/>
    </row>
    <row r="254" spans="1:15" x14ac:dyDescent="0.3">
      <c r="A254" s="302" t="s">
        <v>155</v>
      </c>
      <c r="B254" s="302" t="str">
        <f t="shared" si="0"/>
        <v>Y</v>
      </c>
      <c r="C254" s="6" t="s">
        <v>703</v>
      </c>
      <c r="D254" s="327"/>
      <c r="E254" s="327" t="s">
        <v>704</v>
      </c>
      <c r="F254" s="206"/>
      <c r="G254" s="207">
        <v>43302</v>
      </c>
      <c r="H254" s="206" t="s">
        <v>700</v>
      </c>
      <c r="K254" s="302">
        <v>7209778573</v>
      </c>
      <c r="M254" s="212"/>
      <c r="N254" s="213"/>
      <c r="O254" s="209"/>
    </row>
    <row r="255" spans="1:15" x14ac:dyDescent="0.3">
      <c r="A255" s="302" t="s">
        <v>155</v>
      </c>
      <c r="B255" s="302" t="str">
        <f t="shared" si="0"/>
        <v>Y</v>
      </c>
      <c r="C255" s="6" t="s">
        <v>705</v>
      </c>
      <c r="D255" s="327"/>
      <c r="E255" s="327" t="s">
        <v>706</v>
      </c>
      <c r="F255" s="206"/>
      <c r="G255" s="207">
        <v>43307</v>
      </c>
      <c r="H255" s="207">
        <v>43309</v>
      </c>
      <c r="K255" s="302">
        <v>7258886368</v>
      </c>
      <c r="L255" s="2" t="s">
        <v>580</v>
      </c>
      <c r="M255" s="212" t="s">
        <v>556</v>
      </c>
      <c r="N255" s="213"/>
      <c r="O255" s="209"/>
    </row>
    <row r="256" spans="1:15" x14ac:dyDescent="0.3">
      <c r="A256" s="302" t="s">
        <v>155</v>
      </c>
      <c r="B256" s="302" t="str">
        <f t="shared" si="0"/>
        <v>Y</v>
      </c>
      <c r="C256" s="6" t="s">
        <v>707</v>
      </c>
      <c r="D256" s="327"/>
      <c r="E256" s="327" t="s">
        <v>708</v>
      </c>
      <c r="F256" s="206"/>
      <c r="G256" s="207">
        <v>43307</v>
      </c>
      <c r="H256" s="207">
        <v>43309</v>
      </c>
      <c r="K256" s="302">
        <v>8092499873</v>
      </c>
      <c r="L256" s="2" t="s">
        <v>709</v>
      </c>
      <c r="M256" s="212" t="s">
        <v>556</v>
      </c>
      <c r="N256" s="213"/>
      <c r="O256" s="209"/>
    </row>
    <row r="257" spans="1:15" x14ac:dyDescent="0.3">
      <c r="A257" s="302" t="s">
        <v>155</v>
      </c>
      <c r="B257" s="302" t="str">
        <f t="shared" ref="B257:B389" si="1">IF(H257="","N","Y")</f>
        <v>Y</v>
      </c>
      <c r="C257" s="6" t="s">
        <v>710</v>
      </c>
      <c r="D257" s="327"/>
      <c r="E257" s="327" t="s">
        <v>711</v>
      </c>
      <c r="F257" s="206"/>
      <c r="G257" s="207">
        <v>43307</v>
      </c>
      <c r="H257" s="207">
        <v>43309</v>
      </c>
      <c r="K257" s="302">
        <v>6205129116</v>
      </c>
      <c r="L257" s="2" t="s">
        <v>580</v>
      </c>
      <c r="M257" s="212" t="s">
        <v>556</v>
      </c>
      <c r="N257" s="213"/>
      <c r="O257" s="209"/>
    </row>
    <row r="258" spans="1:15" x14ac:dyDescent="0.3">
      <c r="A258" s="302" t="s">
        <v>155</v>
      </c>
      <c r="B258" s="302" t="str">
        <f t="shared" si="1"/>
        <v>Y</v>
      </c>
      <c r="C258" s="6" t="s">
        <v>712</v>
      </c>
      <c r="D258" s="327"/>
      <c r="E258" s="327" t="s">
        <v>713</v>
      </c>
      <c r="F258" s="206"/>
      <c r="G258" s="207">
        <v>43307</v>
      </c>
      <c r="H258" s="207">
        <v>43310</v>
      </c>
      <c r="K258" s="302">
        <v>7461910206</v>
      </c>
      <c r="L258" s="2" t="s">
        <v>580</v>
      </c>
      <c r="M258" s="212" t="s">
        <v>556</v>
      </c>
      <c r="N258" s="213"/>
      <c r="O258" s="209"/>
    </row>
    <row r="259" spans="1:15" x14ac:dyDescent="0.3">
      <c r="A259" s="302" t="s">
        <v>155</v>
      </c>
      <c r="B259" s="302" t="str">
        <f t="shared" si="1"/>
        <v>Y</v>
      </c>
      <c r="C259" s="6" t="s">
        <v>714</v>
      </c>
      <c r="D259" s="327"/>
      <c r="E259" s="327" t="s">
        <v>715</v>
      </c>
      <c r="F259" s="206"/>
      <c r="G259" s="207">
        <v>43307</v>
      </c>
      <c r="H259" s="207">
        <v>43310</v>
      </c>
      <c r="K259" s="302">
        <v>6203191902</v>
      </c>
      <c r="M259" s="212"/>
      <c r="N259" s="213"/>
      <c r="O259" s="209"/>
    </row>
    <row r="260" spans="1:15" x14ac:dyDescent="0.3">
      <c r="A260" s="302" t="s">
        <v>155</v>
      </c>
      <c r="B260" s="302" t="str">
        <f t="shared" si="1"/>
        <v>Y</v>
      </c>
      <c r="C260" s="6" t="s">
        <v>716</v>
      </c>
      <c r="D260" s="327"/>
      <c r="E260" s="327" t="s">
        <v>717</v>
      </c>
      <c r="F260" s="206"/>
      <c r="G260" s="207">
        <v>43307</v>
      </c>
      <c r="H260" s="207">
        <v>43308</v>
      </c>
      <c r="K260" s="302">
        <v>9060458006</v>
      </c>
      <c r="L260" s="216" t="s">
        <v>718</v>
      </c>
      <c r="M260" s="234">
        <v>43330</v>
      </c>
      <c r="N260" s="213"/>
      <c r="O260" s="209"/>
    </row>
    <row r="261" spans="1:15" x14ac:dyDescent="0.3">
      <c r="A261" s="302" t="s">
        <v>155</v>
      </c>
      <c r="B261" s="302" t="str">
        <f t="shared" si="1"/>
        <v>Y</v>
      </c>
      <c r="C261" s="6" t="s">
        <v>719</v>
      </c>
      <c r="D261" s="327"/>
      <c r="E261" s="327" t="s">
        <v>720</v>
      </c>
      <c r="F261" s="206"/>
      <c r="G261" s="207">
        <v>43307</v>
      </c>
      <c r="H261" s="207">
        <v>43308</v>
      </c>
      <c r="K261" s="302">
        <v>8797755159</v>
      </c>
      <c r="M261" s="212"/>
      <c r="N261" s="213"/>
      <c r="O261" s="209"/>
    </row>
    <row r="262" spans="1:15" x14ac:dyDescent="0.3">
      <c r="A262" s="302" t="s">
        <v>155</v>
      </c>
      <c r="B262" s="302" t="str">
        <f t="shared" si="1"/>
        <v>Y</v>
      </c>
      <c r="C262" s="6" t="s">
        <v>721</v>
      </c>
      <c r="D262" s="327"/>
      <c r="E262" s="327" t="s">
        <v>722</v>
      </c>
      <c r="F262" s="206"/>
      <c r="G262" s="207">
        <v>43307</v>
      </c>
      <c r="H262" s="207">
        <v>43310</v>
      </c>
      <c r="K262" s="302">
        <v>8757156699</v>
      </c>
      <c r="M262" s="212" t="s">
        <v>553</v>
      </c>
      <c r="N262" s="213"/>
      <c r="O262" s="209"/>
    </row>
    <row r="263" spans="1:15" x14ac:dyDescent="0.3">
      <c r="A263" s="302" t="s">
        <v>155</v>
      </c>
      <c r="B263" s="302" t="str">
        <f t="shared" si="1"/>
        <v>Y</v>
      </c>
      <c r="C263" s="6" t="s">
        <v>723</v>
      </c>
      <c r="D263" s="327"/>
      <c r="E263" s="327" t="s">
        <v>724</v>
      </c>
      <c r="F263" s="206"/>
      <c r="G263" s="207">
        <v>43308</v>
      </c>
      <c r="H263" s="207">
        <v>43309</v>
      </c>
      <c r="K263" s="302">
        <v>8864049741</v>
      </c>
      <c r="M263" s="212" t="s">
        <v>553</v>
      </c>
      <c r="N263" s="213"/>
      <c r="O263" s="209"/>
    </row>
    <row r="264" spans="1:15" x14ac:dyDescent="0.3">
      <c r="A264" s="302" t="s">
        <v>155</v>
      </c>
      <c r="B264" s="302" t="str">
        <f t="shared" si="1"/>
        <v>Y</v>
      </c>
      <c r="C264" s="6" t="s">
        <v>725</v>
      </c>
      <c r="D264" s="327"/>
      <c r="E264" s="327" t="s">
        <v>726</v>
      </c>
      <c r="F264" s="206"/>
      <c r="G264" s="207">
        <v>43308</v>
      </c>
      <c r="H264" s="207">
        <v>43309</v>
      </c>
      <c r="K264" s="302">
        <v>7631202530</v>
      </c>
      <c r="L264" s="2" t="s">
        <v>580</v>
      </c>
      <c r="M264" s="212" t="s">
        <v>556</v>
      </c>
      <c r="N264" s="213"/>
      <c r="O264" s="209"/>
    </row>
    <row r="265" spans="1:15" x14ac:dyDescent="0.3">
      <c r="A265" s="302" t="s">
        <v>155</v>
      </c>
      <c r="B265" s="302" t="str">
        <f t="shared" si="1"/>
        <v>Y</v>
      </c>
      <c r="C265" s="6" t="s">
        <v>727</v>
      </c>
      <c r="D265" s="327"/>
      <c r="E265" s="327" t="s">
        <v>728</v>
      </c>
      <c r="F265" s="206"/>
      <c r="G265" s="207">
        <v>43308</v>
      </c>
      <c r="H265" s="207">
        <v>43309</v>
      </c>
      <c r="K265" s="302">
        <v>9279011319</v>
      </c>
      <c r="L265" s="2" t="s">
        <v>580</v>
      </c>
      <c r="M265" s="212" t="s">
        <v>556</v>
      </c>
      <c r="N265" s="213"/>
      <c r="O265" s="209"/>
    </row>
    <row r="266" spans="1:15" x14ac:dyDescent="0.3">
      <c r="A266" s="302" t="s">
        <v>155</v>
      </c>
      <c r="B266" s="302" t="str">
        <f t="shared" si="1"/>
        <v>Y</v>
      </c>
      <c r="C266" s="6" t="s">
        <v>729</v>
      </c>
      <c r="D266" s="327"/>
      <c r="E266" s="327" t="s">
        <v>730</v>
      </c>
      <c r="F266" s="206"/>
      <c r="G266" s="207">
        <v>43308</v>
      </c>
      <c r="H266" s="207">
        <v>43309</v>
      </c>
      <c r="K266" s="302">
        <v>9031393877</v>
      </c>
      <c r="L266" s="2" t="s">
        <v>580</v>
      </c>
      <c r="M266" s="212" t="s">
        <v>556</v>
      </c>
      <c r="N266" s="213"/>
      <c r="O266" s="209"/>
    </row>
    <row r="267" spans="1:15" x14ac:dyDescent="0.3">
      <c r="A267" s="302" t="s">
        <v>155</v>
      </c>
      <c r="B267" s="302" t="str">
        <f t="shared" si="1"/>
        <v>Y</v>
      </c>
      <c r="C267" s="6" t="s">
        <v>731</v>
      </c>
      <c r="D267" s="327"/>
      <c r="E267" s="327" t="s">
        <v>732</v>
      </c>
      <c r="F267" s="206"/>
      <c r="G267" s="207">
        <v>43308</v>
      </c>
      <c r="H267" s="207">
        <v>43309</v>
      </c>
      <c r="K267" s="302">
        <v>9570129746</v>
      </c>
      <c r="L267" s="2" t="s">
        <v>580</v>
      </c>
      <c r="M267" s="212" t="s">
        <v>556</v>
      </c>
      <c r="N267" s="213"/>
      <c r="O267" s="209"/>
    </row>
    <row r="268" spans="1:15" x14ac:dyDescent="0.3">
      <c r="A268" s="302" t="s">
        <v>155</v>
      </c>
      <c r="B268" s="302" t="str">
        <f t="shared" si="1"/>
        <v>Y</v>
      </c>
      <c r="C268" s="6" t="s">
        <v>733</v>
      </c>
      <c r="D268" s="327"/>
      <c r="E268" s="327" t="s">
        <v>734</v>
      </c>
      <c r="F268" s="206"/>
      <c r="G268" s="207">
        <v>43308</v>
      </c>
      <c r="H268" s="207">
        <v>43309</v>
      </c>
      <c r="K268" s="302">
        <v>9123185489</v>
      </c>
      <c r="L268" s="2" t="s">
        <v>580</v>
      </c>
      <c r="M268" s="212" t="s">
        <v>556</v>
      </c>
      <c r="N268" s="213"/>
      <c r="O268" s="209"/>
    </row>
    <row r="269" spans="1:15" x14ac:dyDescent="0.3">
      <c r="A269" s="302" t="s">
        <v>155</v>
      </c>
      <c r="B269" s="302" t="str">
        <f t="shared" si="1"/>
        <v>Y</v>
      </c>
      <c r="C269" s="6" t="s">
        <v>735</v>
      </c>
      <c r="D269" s="327"/>
      <c r="E269" s="327" t="s">
        <v>736</v>
      </c>
      <c r="F269" s="206"/>
      <c r="G269" s="207">
        <v>43308</v>
      </c>
      <c r="H269" s="207">
        <v>43309</v>
      </c>
      <c r="K269" s="302">
        <v>8797241054</v>
      </c>
      <c r="L269" s="2" t="s">
        <v>580</v>
      </c>
      <c r="M269" s="212" t="s">
        <v>556</v>
      </c>
      <c r="N269" s="213"/>
      <c r="O269" s="209"/>
    </row>
    <row r="270" spans="1:15" x14ac:dyDescent="0.3">
      <c r="A270" s="302" t="s">
        <v>155</v>
      </c>
      <c r="B270" s="302" t="str">
        <f t="shared" si="1"/>
        <v>Y</v>
      </c>
      <c r="C270" s="6" t="s">
        <v>707</v>
      </c>
      <c r="D270" s="327"/>
      <c r="E270" s="327" t="s">
        <v>737</v>
      </c>
      <c r="F270" s="206"/>
      <c r="G270" s="207">
        <v>43308</v>
      </c>
      <c r="H270" s="207">
        <v>43309</v>
      </c>
      <c r="K270" s="302">
        <v>8092499873</v>
      </c>
      <c r="L270" s="2" t="s">
        <v>580</v>
      </c>
      <c r="M270" s="212" t="s">
        <v>556</v>
      </c>
      <c r="N270" s="213"/>
      <c r="O270" s="209"/>
    </row>
    <row r="271" spans="1:15" x14ac:dyDescent="0.3">
      <c r="A271" s="302" t="s">
        <v>155</v>
      </c>
      <c r="B271" s="302" t="str">
        <f t="shared" si="1"/>
        <v>Y</v>
      </c>
      <c r="C271" s="6" t="s">
        <v>738</v>
      </c>
      <c r="D271" s="327"/>
      <c r="E271" s="327" t="s">
        <v>739</v>
      </c>
      <c r="F271" s="206"/>
      <c r="G271" s="207">
        <v>43308</v>
      </c>
      <c r="H271" s="207">
        <v>43309</v>
      </c>
      <c r="K271" s="302">
        <v>9234665251</v>
      </c>
      <c r="L271" s="2" t="s">
        <v>580</v>
      </c>
      <c r="M271" s="212" t="s">
        <v>556</v>
      </c>
      <c r="N271" s="213"/>
      <c r="O271" s="209"/>
    </row>
    <row r="272" spans="1:15" x14ac:dyDescent="0.3">
      <c r="A272" s="302" t="s">
        <v>155</v>
      </c>
      <c r="B272" s="302" t="str">
        <f t="shared" si="1"/>
        <v>Y</v>
      </c>
      <c r="C272" s="6" t="s">
        <v>740</v>
      </c>
      <c r="D272" s="327"/>
      <c r="E272" s="327" t="s">
        <v>741</v>
      </c>
      <c r="F272" s="206"/>
      <c r="G272" s="207">
        <v>43309</v>
      </c>
      <c r="H272" s="207">
        <v>43325</v>
      </c>
      <c r="K272" s="302">
        <v>9472789070</v>
      </c>
      <c r="L272" s="2" t="s">
        <v>742</v>
      </c>
      <c r="M272" s="212" t="s">
        <v>556</v>
      </c>
      <c r="N272" s="213"/>
      <c r="O272" s="209"/>
    </row>
    <row r="273" spans="1:15" x14ac:dyDescent="0.3">
      <c r="A273" s="302" t="s">
        <v>155</v>
      </c>
      <c r="B273" s="302" t="str">
        <f t="shared" si="1"/>
        <v>Y</v>
      </c>
      <c r="C273" s="6" t="s">
        <v>743</v>
      </c>
      <c r="D273" s="327"/>
      <c r="E273" s="327" t="s">
        <v>744</v>
      </c>
      <c r="F273" s="206"/>
      <c r="G273" s="207">
        <v>43309</v>
      </c>
      <c r="H273" s="207">
        <v>43325</v>
      </c>
      <c r="K273" s="302">
        <v>8434655669</v>
      </c>
      <c r="L273" s="2" t="s">
        <v>742</v>
      </c>
      <c r="M273" s="212" t="s">
        <v>556</v>
      </c>
      <c r="N273" s="213"/>
      <c r="O273" s="209"/>
    </row>
    <row r="274" spans="1:15" x14ac:dyDescent="0.3">
      <c r="A274" s="302" t="s">
        <v>155</v>
      </c>
      <c r="B274" s="302" t="str">
        <f t="shared" si="1"/>
        <v>Y</v>
      </c>
      <c r="C274" s="6" t="s">
        <v>745</v>
      </c>
      <c r="D274" s="327"/>
      <c r="E274" s="327" t="s">
        <v>746</v>
      </c>
      <c r="F274" s="206"/>
      <c r="G274" s="207">
        <v>43309</v>
      </c>
      <c r="H274" s="207">
        <v>43309</v>
      </c>
      <c r="K274" s="302">
        <v>9572880148</v>
      </c>
      <c r="L274" s="2" t="s">
        <v>580</v>
      </c>
      <c r="M274" s="212" t="s">
        <v>556</v>
      </c>
      <c r="N274" s="213"/>
      <c r="O274" s="209"/>
    </row>
    <row r="275" spans="1:15" x14ac:dyDescent="0.3">
      <c r="A275" s="302" t="s">
        <v>155</v>
      </c>
      <c r="B275" s="302" t="str">
        <f t="shared" si="1"/>
        <v>Y</v>
      </c>
      <c r="C275" s="6" t="s">
        <v>747</v>
      </c>
      <c r="D275" s="327"/>
      <c r="E275" s="327" t="s">
        <v>748</v>
      </c>
      <c r="F275" s="206"/>
      <c r="G275" s="207">
        <v>43309</v>
      </c>
      <c r="H275" s="207">
        <v>43309</v>
      </c>
      <c r="K275" s="302">
        <v>9472789070</v>
      </c>
      <c r="L275" s="2" t="s">
        <v>580</v>
      </c>
      <c r="M275" s="212" t="s">
        <v>556</v>
      </c>
      <c r="N275" s="213"/>
      <c r="O275" s="209"/>
    </row>
    <row r="276" spans="1:15" x14ac:dyDescent="0.3">
      <c r="A276" s="302" t="s">
        <v>155</v>
      </c>
      <c r="B276" s="302" t="str">
        <f t="shared" si="1"/>
        <v>Y</v>
      </c>
      <c r="C276" s="6" t="s">
        <v>749</v>
      </c>
      <c r="D276" s="327"/>
      <c r="E276" s="327" t="s">
        <v>750</v>
      </c>
      <c r="F276" s="206"/>
      <c r="G276" s="207">
        <v>43309</v>
      </c>
      <c r="H276" s="207">
        <v>43309</v>
      </c>
      <c r="K276" s="302">
        <v>7909004567</v>
      </c>
      <c r="L276" s="2" t="s">
        <v>580</v>
      </c>
      <c r="M276" s="212" t="s">
        <v>556</v>
      </c>
      <c r="N276" s="213"/>
      <c r="O276" s="209"/>
    </row>
    <row r="277" spans="1:15" x14ac:dyDescent="0.3">
      <c r="A277" s="302" t="s">
        <v>155</v>
      </c>
      <c r="B277" s="302" t="str">
        <f t="shared" si="1"/>
        <v>Y</v>
      </c>
      <c r="C277" s="6" t="s">
        <v>751</v>
      </c>
      <c r="D277" s="327"/>
      <c r="E277" s="327" t="s">
        <v>752</v>
      </c>
      <c r="F277" s="206"/>
      <c r="G277" s="207">
        <v>43308</v>
      </c>
      <c r="H277" s="207">
        <v>43309</v>
      </c>
      <c r="K277" s="302">
        <v>6290636447</v>
      </c>
      <c r="M277" s="212"/>
      <c r="N277" s="213"/>
      <c r="O277" s="209"/>
    </row>
    <row r="278" spans="1:15" x14ac:dyDescent="0.3">
      <c r="A278" s="302" t="s">
        <v>155</v>
      </c>
      <c r="B278" s="302" t="str">
        <f t="shared" si="1"/>
        <v>Y</v>
      </c>
      <c r="C278" s="450" t="s">
        <v>753</v>
      </c>
      <c r="D278" s="328"/>
      <c r="E278" s="327" t="s">
        <v>291</v>
      </c>
      <c r="F278" s="206"/>
      <c r="G278" s="207">
        <v>43310</v>
      </c>
      <c r="H278" s="207">
        <v>43310</v>
      </c>
      <c r="K278" s="294">
        <v>6200390433</v>
      </c>
      <c r="M278" s="212"/>
      <c r="N278" s="213"/>
      <c r="O278" s="209"/>
    </row>
    <row r="279" spans="1:15" x14ac:dyDescent="0.3">
      <c r="A279" s="302" t="s">
        <v>155</v>
      </c>
      <c r="B279" s="302" t="str">
        <f t="shared" si="1"/>
        <v>Y</v>
      </c>
      <c r="C279" s="450" t="s">
        <v>754</v>
      </c>
      <c r="D279" s="328"/>
      <c r="E279" s="327" t="s">
        <v>755</v>
      </c>
      <c r="F279" s="206"/>
      <c r="G279" s="207">
        <v>43310</v>
      </c>
      <c r="H279" s="207">
        <v>43312</v>
      </c>
      <c r="K279" s="294">
        <v>7903091892</v>
      </c>
      <c r="M279" s="212"/>
      <c r="N279" s="213"/>
      <c r="O279" s="209"/>
    </row>
    <row r="280" spans="1:15" x14ac:dyDescent="0.3">
      <c r="A280" s="302" t="s">
        <v>155</v>
      </c>
      <c r="B280" s="302" t="str">
        <f t="shared" si="1"/>
        <v>Y</v>
      </c>
      <c r="C280" s="6" t="s">
        <v>756</v>
      </c>
      <c r="D280" s="327"/>
      <c r="E280" s="327" t="s">
        <v>757</v>
      </c>
      <c r="F280" s="206"/>
      <c r="G280" s="207">
        <v>43315</v>
      </c>
      <c r="H280" s="207">
        <v>43315</v>
      </c>
      <c r="K280" s="302">
        <v>8709796965</v>
      </c>
      <c r="M280" s="212" t="s">
        <v>556</v>
      </c>
      <c r="N280" s="213"/>
      <c r="O280" s="209"/>
    </row>
    <row r="281" spans="1:15" x14ac:dyDescent="0.3">
      <c r="A281" s="302" t="s">
        <v>155</v>
      </c>
      <c r="B281" s="302" t="str">
        <f t="shared" si="1"/>
        <v>Y</v>
      </c>
      <c r="C281" s="6" t="s">
        <v>758</v>
      </c>
      <c r="D281" s="327"/>
      <c r="E281" s="327" t="s">
        <v>759</v>
      </c>
      <c r="F281" s="206"/>
      <c r="G281" s="207">
        <v>43315</v>
      </c>
      <c r="H281" s="207">
        <v>43315</v>
      </c>
      <c r="K281" s="302">
        <v>7632053140</v>
      </c>
      <c r="M281" s="212" t="s">
        <v>556</v>
      </c>
      <c r="N281" s="213"/>
      <c r="O281" s="209"/>
    </row>
    <row r="282" spans="1:15" x14ac:dyDescent="0.3">
      <c r="A282" s="302" t="s">
        <v>155</v>
      </c>
      <c r="B282" s="302" t="str">
        <f t="shared" si="1"/>
        <v>Y</v>
      </c>
      <c r="C282" s="6" t="s">
        <v>760</v>
      </c>
      <c r="D282" s="327"/>
      <c r="E282" s="327" t="s">
        <v>761</v>
      </c>
      <c r="F282" s="206"/>
      <c r="G282" s="207">
        <v>43315</v>
      </c>
      <c r="H282" s="207">
        <v>43326</v>
      </c>
      <c r="M282" s="212" t="s">
        <v>553</v>
      </c>
      <c r="N282" s="213"/>
      <c r="O282" s="209"/>
    </row>
    <row r="283" spans="1:15" x14ac:dyDescent="0.3">
      <c r="A283" s="302" t="s">
        <v>155</v>
      </c>
      <c r="B283" s="302" t="str">
        <f t="shared" si="1"/>
        <v>Y</v>
      </c>
      <c r="C283" s="6" t="s">
        <v>762</v>
      </c>
      <c r="D283" s="327"/>
      <c r="E283" s="327" t="s">
        <v>763</v>
      </c>
      <c r="F283" s="206"/>
      <c r="G283" s="207">
        <v>43316</v>
      </c>
      <c r="H283" s="207">
        <v>43316</v>
      </c>
      <c r="K283" s="302">
        <v>9934301876</v>
      </c>
      <c r="M283" s="212" t="s">
        <v>556</v>
      </c>
      <c r="N283" s="213"/>
      <c r="O283" s="209"/>
    </row>
    <row r="284" spans="1:15" x14ac:dyDescent="0.3">
      <c r="A284" s="302" t="s">
        <v>155</v>
      </c>
      <c r="B284" s="302" t="str">
        <f t="shared" si="1"/>
        <v>Y</v>
      </c>
      <c r="C284" s="455" t="s">
        <v>764</v>
      </c>
      <c r="D284" s="333"/>
      <c r="E284" s="327" t="s">
        <v>765</v>
      </c>
      <c r="F284" s="206"/>
      <c r="G284" s="207">
        <v>43319</v>
      </c>
      <c r="H284" s="207">
        <v>43329</v>
      </c>
      <c r="K284" s="302">
        <v>7870017006</v>
      </c>
      <c r="M284" s="212"/>
      <c r="N284" s="213"/>
      <c r="O284" s="209"/>
    </row>
    <row r="285" spans="1:15" x14ac:dyDescent="0.3">
      <c r="A285" s="302" t="s">
        <v>155</v>
      </c>
      <c r="B285" s="302" t="str">
        <f t="shared" si="1"/>
        <v>N</v>
      </c>
      <c r="C285" s="6" t="s">
        <v>766</v>
      </c>
      <c r="D285" s="327"/>
      <c r="E285" s="327" t="s">
        <v>767</v>
      </c>
      <c r="F285" s="206"/>
      <c r="G285" s="207">
        <v>43319</v>
      </c>
      <c r="H285" s="207"/>
      <c r="K285" s="302">
        <v>7541920867</v>
      </c>
      <c r="M285" s="212"/>
      <c r="N285" s="213"/>
      <c r="O285" s="209"/>
    </row>
    <row r="286" spans="1:15" x14ac:dyDescent="0.3">
      <c r="A286" s="302" t="s">
        <v>155</v>
      </c>
      <c r="B286" s="302" t="str">
        <f t="shared" si="1"/>
        <v>N</v>
      </c>
      <c r="C286" s="6" t="s">
        <v>768</v>
      </c>
      <c r="D286" s="327"/>
      <c r="E286" s="327" t="s">
        <v>769</v>
      </c>
      <c r="F286" s="206"/>
      <c r="G286" s="207">
        <v>43320</v>
      </c>
      <c r="H286" s="207"/>
      <c r="K286" s="302">
        <v>7209606418</v>
      </c>
      <c r="M286" s="212"/>
      <c r="N286" s="213"/>
      <c r="O286" s="209"/>
    </row>
    <row r="287" spans="1:15" x14ac:dyDescent="0.3">
      <c r="A287" s="302" t="s">
        <v>155</v>
      </c>
      <c r="B287" s="302" t="str">
        <f t="shared" si="1"/>
        <v>Y</v>
      </c>
      <c r="C287" s="6" t="s">
        <v>770</v>
      </c>
      <c r="D287" s="327"/>
      <c r="E287" s="327" t="s">
        <v>771</v>
      </c>
      <c r="F287" s="206"/>
      <c r="G287" s="207">
        <v>43320</v>
      </c>
      <c r="H287" s="207">
        <v>43326</v>
      </c>
      <c r="K287" s="302">
        <v>8298008633</v>
      </c>
      <c r="M287" s="212"/>
      <c r="N287" s="213"/>
      <c r="O287" s="209"/>
    </row>
    <row r="288" spans="1:15" x14ac:dyDescent="0.3">
      <c r="A288" s="302" t="s">
        <v>155</v>
      </c>
      <c r="B288" s="302" t="str">
        <f t="shared" si="1"/>
        <v>Y</v>
      </c>
      <c r="C288" s="6" t="s">
        <v>772</v>
      </c>
      <c r="D288" s="327"/>
      <c r="E288" s="327" t="s">
        <v>773</v>
      </c>
      <c r="F288" s="206"/>
      <c r="G288" s="207">
        <v>43321</v>
      </c>
      <c r="H288" s="207">
        <v>43326</v>
      </c>
      <c r="K288" s="302">
        <v>8709169293</v>
      </c>
      <c r="L288" s="2" t="s">
        <v>774</v>
      </c>
      <c r="M288" s="212" t="s">
        <v>556</v>
      </c>
      <c r="N288" s="213"/>
      <c r="O288" s="209"/>
    </row>
    <row r="289" spans="1:16" x14ac:dyDescent="0.3">
      <c r="A289" s="302" t="s">
        <v>155</v>
      </c>
      <c r="B289" s="302" t="str">
        <f t="shared" si="1"/>
        <v>Y</v>
      </c>
      <c r="C289" s="6" t="s">
        <v>775</v>
      </c>
      <c r="D289" s="327"/>
      <c r="E289" s="327" t="s">
        <v>776</v>
      </c>
      <c r="F289" s="206"/>
      <c r="G289" s="207">
        <v>43321</v>
      </c>
      <c r="H289" s="207">
        <v>76201</v>
      </c>
      <c r="K289" s="302">
        <v>8092353135</v>
      </c>
      <c r="L289" s="2" t="s">
        <v>774</v>
      </c>
      <c r="M289" s="212" t="s">
        <v>556</v>
      </c>
      <c r="N289" s="213"/>
      <c r="O289" s="209"/>
    </row>
    <row r="290" spans="1:16" x14ac:dyDescent="0.3">
      <c r="A290" s="302" t="s">
        <v>155</v>
      </c>
      <c r="B290" s="302" t="str">
        <f t="shared" si="1"/>
        <v>Y</v>
      </c>
      <c r="C290" s="6" t="s">
        <v>777</v>
      </c>
      <c r="D290" s="327"/>
      <c r="E290" s="327" t="s">
        <v>778</v>
      </c>
      <c r="F290" s="206"/>
      <c r="G290" s="207">
        <v>43321</v>
      </c>
      <c r="H290" s="207">
        <v>43329</v>
      </c>
      <c r="K290" s="302">
        <v>9204381765</v>
      </c>
      <c r="L290" s="2" t="s">
        <v>774</v>
      </c>
      <c r="M290" s="212" t="s">
        <v>556</v>
      </c>
      <c r="N290" s="213"/>
      <c r="O290" s="209"/>
    </row>
    <row r="291" spans="1:16" x14ac:dyDescent="0.3">
      <c r="A291" s="302" t="s">
        <v>155</v>
      </c>
      <c r="B291" s="302" t="str">
        <f t="shared" si="1"/>
        <v>Y</v>
      </c>
      <c r="C291" s="6" t="s">
        <v>779</v>
      </c>
      <c r="D291" s="327"/>
      <c r="E291" s="327" t="s">
        <v>780</v>
      </c>
      <c r="F291" s="206"/>
      <c r="G291" s="207">
        <v>43322</v>
      </c>
      <c r="H291" s="207">
        <v>43336</v>
      </c>
      <c r="K291" s="302">
        <v>7274925308</v>
      </c>
      <c r="L291" s="2" t="s">
        <v>774</v>
      </c>
      <c r="M291" s="212" t="s">
        <v>556</v>
      </c>
      <c r="N291" s="213"/>
      <c r="O291" s="209"/>
    </row>
    <row r="292" spans="1:16" x14ac:dyDescent="0.3">
      <c r="A292" s="302" t="s">
        <v>155</v>
      </c>
      <c r="B292" s="302" t="str">
        <f t="shared" si="1"/>
        <v>Y</v>
      </c>
      <c r="C292" s="6" t="s">
        <v>781</v>
      </c>
      <c r="D292" s="327"/>
      <c r="E292" s="327" t="s">
        <v>782</v>
      </c>
      <c r="F292" s="206"/>
      <c r="G292" s="207">
        <v>43323</v>
      </c>
      <c r="H292" s="207">
        <v>43326</v>
      </c>
      <c r="K292" s="302">
        <v>9934220095</v>
      </c>
      <c r="L292" s="2" t="s">
        <v>774</v>
      </c>
      <c r="M292" s="212" t="s">
        <v>556</v>
      </c>
      <c r="N292" s="213"/>
      <c r="O292" s="209"/>
    </row>
    <row r="293" spans="1:16" x14ac:dyDescent="0.3">
      <c r="A293" s="302" t="s">
        <v>155</v>
      </c>
      <c r="B293" s="302" t="str">
        <f t="shared" si="1"/>
        <v>Y</v>
      </c>
      <c r="C293" s="6" t="s">
        <v>783</v>
      </c>
      <c r="D293" s="327"/>
      <c r="E293" s="327" t="s">
        <v>784</v>
      </c>
      <c r="F293" s="206"/>
      <c r="G293" s="207">
        <v>43323</v>
      </c>
      <c r="H293" s="207">
        <v>43326</v>
      </c>
      <c r="K293" s="302">
        <v>8709352781</v>
      </c>
      <c r="M293" s="212"/>
      <c r="N293" s="213"/>
      <c r="O293" s="209"/>
    </row>
    <row r="294" spans="1:16" x14ac:dyDescent="0.3">
      <c r="A294" s="302" t="s">
        <v>155</v>
      </c>
      <c r="B294" s="302" t="str">
        <f t="shared" si="1"/>
        <v>Y</v>
      </c>
      <c r="C294" s="6" t="s">
        <v>785</v>
      </c>
      <c r="D294" s="327"/>
      <c r="E294" s="327" t="s">
        <v>786</v>
      </c>
      <c r="F294" s="206"/>
      <c r="G294" s="207">
        <v>43323</v>
      </c>
      <c r="H294" s="207">
        <v>43326</v>
      </c>
      <c r="K294" s="302">
        <v>9570528069</v>
      </c>
      <c r="L294" s="2" t="s">
        <v>774</v>
      </c>
      <c r="M294" s="212" t="s">
        <v>556</v>
      </c>
      <c r="N294" s="213"/>
      <c r="O294" s="209"/>
    </row>
    <row r="295" spans="1:16" x14ac:dyDescent="0.3">
      <c r="A295" s="302" t="s">
        <v>155</v>
      </c>
      <c r="B295" s="302" t="str">
        <f t="shared" si="1"/>
        <v>Y</v>
      </c>
      <c r="C295" s="6" t="s">
        <v>787</v>
      </c>
      <c r="D295" s="327"/>
      <c r="E295" s="327" t="s">
        <v>788</v>
      </c>
      <c r="F295" s="206"/>
      <c r="G295" s="207">
        <v>43323</v>
      </c>
      <c r="H295" s="207">
        <v>43326</v>
      </c>
      <c r="K295" s="302">
        <v>8340163662</v>
      </c>
      <c r="L295" s="2" t="s">
        <v>774</v>
      </c>
      <c r="M295" s="212" t="s">
        <v>556</v>
      </c>
      <c r="O295" s="209"/>
    </row>
    <row r="296" spans="1:16" x14ac:dyDescent="0.3">
      <c r="A296" s="302" t="s">
        <v>155</v>
      </c>
      <c r="B296" s="302" t="str">
        <f t="shared" si="1"/>
        <v>Y</v>
      </c>
      <c r="C296" s="6" t="s">
        <v>789</v>
      </c>
      <c r="D296" s="327"/>
      <c r="E296" s="327" t="s">
        <v>397</v>
      </c>
      <c r="F296" s="206"/>
      <c r="G296" s="207">
        <v>43323</v>
      </c>
      <c r="H296" s="207">
        <v>43326</v>
      </c>
      <c r="K296" s="302">
        <v>8092636195</v>
      </c>
      <c r="M296" s="212"/>
      <c r="O296" s="235" t="s">
        <v>790</v>
      </c>
    </row>
    <row r="297" spans="1:16" x14ac:dyDescent="0.3">
      <c r="A297" s="302" t="s">
        <v>155</v>
      </c>
      <c r="B297" s="302" t="str">
        <f t="shared" si="1"/>
        <v>Y</v>
      </c>
      <c r="C297" s="6" t="s">
        <v>791</v>
      </c>
      <c r="D297" s="327"/>
      <c r="E297" s="327" t="s">
        <v>792</v>
      </c>
      <c r="F297" s="206"/>
      <c r="G297" s="207">
        <v>43323</v>
      </c>
      <c r="H297" s="207">
        <v>43329</v>
      </c>
      <c r="K297" s="302">
        <v>9955143021</v>
      </c>
      <c r="L297" s="2" t="s">
        <v>774</v>
      </c>
      <c r="M297" s="212" t="s">
        <v>556</v>
      </c>
      <c r="O297" s="2" t="s">
        <v>762</v>
      </c>
    </row>
    <row r="298" spans="1:16" x14ac:dyDescent="0.3">
      <c r="A298" s="302" t="s">
        <v>155</v>
      </c>
      <c r="B298" s="302" t="str">
        <f t="shared" si="1"/>
        <v>Y</v>
      </c>
      <c r="C298" s="6" t="s">
        <v>793</v>
      </c>
      <c r="D298" s="327"/>
      <c r="E298" s="327" t="s">
        <v>794</v>
      </c>
      <c r="F298" s="206"/>
      <c r="G298" s="207">
        <v>43323</v>
      </c>
      <c r="H298" s="207">
        <v>43329</v>
      </c>
      <c r="K298" s="302">
        <v>7209920086</v>
      </c>
      <c r="L298" s="2" t="s">
        <v>774</v>
      </c>
      <c r="M298" s="212" t="s">
        <v>556</v>
      </c>
      <c r="N298" s="213"/>
      <c r="O298" s="2" t="s">
        <v>633</v>
      </c>
    </row>
    <row r="299" spans="1:16" x14ac:dyDescent="0.3">
      <c r="A299" s="302" t="s">
        <v>155</v>
      </c>
      <c r="B299" s="302" t="str">
        <f t="shared" si="1"/>
        <v>Y</v>
      </c>
      <c r="C299" s="6" t="s">
        <v>795</v>
      </c>
      <c r="D299" s="327"/>
      <c r="E299" s="327" t="s">
        <v>796</v>
      </c>
      <c r="F299" s="206"/>
      <c r="G299" s="207">
        <v>43326</v>
      </c>
      <c r="H299" s="207">
        <v>43331</v>
      </c>
      <c r="K299" s="302">
        <v>9709108506</v>
      </c>
      <c r="M299" s="212"/>
      <c r="N299" s="213"/>
      <c r="O299" s="2" t="s">
        <v>551</v>
      </c>
    </row>
    <row r="300" spans="1:16" ht="28.8" x14ac:dyDescent="0.3">
      <c r="A300" s="302" t="s">
        <v>155</v>
      </c>
      <c r="B300" s="302" t="str">
        <f t="shared" si="1"/>
        <v>Y</v>
      </c>
      <c r="C300" s="451" t="s">
        <v>797</v>
      </c>
      <c r="D300" s="329"/>
      <c r="E300" s="327" t="s">
        <v>798</v>
      </c>
      <c r="F300" s="206"/>
      <c r="G300" s="207">
        <v>43331</v>
      </c>
      <c r="H300" s="207">
        <v>43337</v>
      </c>
      <c r="K300" s="302">
        <v>9939326138</v>
      </c>
      <c r="L300" s="2" t="s">
        <v>774</v>
      </c>
      <c r="M300" s="212" t="s">
        <v>556</v>
      </c>
      <c r="N300" s="213"/>
      <c r="O300" s="223"/>
      <c r="P300" s="235" t="s">
        <v>529</v>
      </c>
    </row>
    <row r="301" spans="1:16" x14ac:dyDescent="0.3">
      <c r="A301" s="302" t="s">
        <v>155</v>
      </c>
      <c r="B301" s="302" t="str">
        <f t="shared" si="1"/>
        <v>Y</v>
      </c>
      <c r="C301" s="6" t="s">
        <v>799</v>
      </c>
      <c r="D301" s="327"/>
      <c r="E301" s="327" t="s">
        <v>800</v>
      </c>
      <c r="F301" s="206"/>
      <c r="G301" s="207">
        <v>43331</v>
      </c>
      <c r="H301" s="207">
        <v>43336</v>
      </c>
      <c r="K301" s="302">
        <v>7209829329</v>
      </c>
      <c r="L301" s="2" t="s">
        <v>774</v>
      </c>
      <c r="M301" s="212" t="s">
        <v>556</v>
      </c>
      <c r="N301" s="213"/>
      <c r="O301" s="209"/>
    </row>
    <row r="302" spans="1:16" x14ac:dyDescent="0.3">
      <c r="A302" s="302" t="s">
        <v>155</v>
      </c>
      <c r="B302" s="302" t="str">
        <f t="shared" si="1"/>
        <v>Y</v>
      </c>
      <c r="C302" s="6" t="s">
        <v>801</v>
      </c>
      <c r="D302" s="327"/>
      <c r="E302" s="327" t="s">
        <v>802</v>
      </c>
      <c r="F302" s="206"/>
      <c r="G302" s="207">
        <v>43331</v>
      </c>
      <c r="H302" s="207">
        <v>43331</v>
      </c>
      <c r="K302" s="302">
        <v>7004367906</v>
      </c>
      <c r="L302" s="2" t="s">
        <v>774</v>
      </c>
      <c r="M302" s="212" t="s">
        <v>556</v>
      </c>
      <c r="N302" s="213"/>
      <c r="O302" s="209"/>
    </row>
    <row r="303" spans="1:16" x14ac:dyDescent="0.3">
      <c r="A303" s="302" t="s">
        <v>155</v>
      </c>
      <c r="B303" s="302" t="str">
        <f t="shared" si="1"/>
        <v>Y</v>
      </c>
      <c r="C303" s="451" t="s">
        <v>790</v>
      </c>
      <c r="D303" s="329"/>
      <c r="E303" s="329" t="s">
        <v>803</v>
      </c>
      <c r="F303" s="219"/>
      <c r="G303" s="220">
        <v>43331</v>
      </c>
      <c r="H303" s="220">
        <v>43334</v>
      </c>
      <c r="I303" s="9"/>
      <c r="J303" s="9"/>
      <c r="K303" s="221">
        <v>9113364508</v>
      </c>
      <c r="L303" s="9" t="s">
        <v>774</v>
      </c>
      <c r="M303" s="222" t="s">
        <v>556</v>
      </c>
      <c r="N303" s="213"/>
      <c r="O303" s="209"/>
    </row>
    <row r="304" spans="1:16" x14ac:dyDescent="0.3">
      <c r="A304" s="302" t="s">
        <v>155</v>
      </c>
      <c r="B304" s="302" t="str">
        <f t="shared" si="1"/>
        <v>Y</v>
      </c>
      <c r="C304" s="6" t="s">
        <v>804</v>
      </c>
      <c r="D304" s="327"/>
      <c r="E304" s="327" t="s">
        <v>805</v>
      </c>
      <c r="F304" s="206"/>
      <c r="G304" s="207">
        <v>43331</v>
      </c>
      <c r="H304" s="207">
        <v>43334</v>
      </c>
      <c r="K304" s="302">
        <v>8986711902</v>
      </c>
      <c r="L304" s="2" t="s">
        <v>774</v>
      </c>
      <c r="M304" s="212" t="s">
        <v>556</v>
      </c>
      <c r="N304" s="213"/>
      <c r="O304" s="209"/>
    </row>
    <row r="305" spans="1:15" x14ac:dyDescent="0.3">
      <c r="A305" s="302" t="s">
        <v>155</v>
      </c>
      <c r="B305" s="302" t="str">
        <f t="shared" si="1"/>
        <v>Y</v>
      </c>
      <c r="C305" s="6" t="s">
        <v>806</v>
      </c>
      <c r="D305" s="327"/>
      <c r="E305" s="327" t="s">
        <v>807</v>
      </c>
      <c r="F305" s="206"/>
      <c r="G305" s="207">
        <v>43331</v>
      </c>
      <c r="H305" s="207">
        <v>43334</v>
      </c>
      <c r="K305" s="302">
        <v>8092669507</v>
      </c>
      <c r="M305" s="212"/>
      <c r="N305" s="213"/>
      <c r="O305" s="209"/>
    </row>
    <row r="306" spans="1:15" x14ac:dyDescent="0.3">
      <c r="A306" s="302" t="s">
        <v>155</v>
      </c>
      <c r="B306" s="302" t="str">
        <f t="shared" si="1"/>
        <v>Y</v>
      </c>
      <c r="C306" s="6" t="s">
        <v>808</v>
      </c>
      <c r="D306" s="327"/>
      <c r="E306" s="327" t="s">
        <v>809</v>
      </c>
      <c r="F306" s="206"/>
      <c r="G306" s="207">
        <v>43331</v>
      </c>
      <c r="H306" s="207">
        <v>43335</v>
      </c>
      <c r="K306" s="302">
        <v>9031703995</v>
      </c>
      <c r="M306" s="212"/>
      <c r="N306" s="213"/>
      <c r="O306" s="209"/>
    </row>
    <row r="307" spans="1:15" x14ac:dyDescent="0.3">
      <c r="A307" s="302" t="s">
        <v>155</v>
      </c>
      <c r="B307" s="302" t="str">
        <f t="shared" si="1"/>
        <v>Y</v>
      </c>
      <c r="C307" s="6" t="s">
        <v>810</v>
      </c>
      <c r="D307" s="327"/>
      <c r="E307" s="327" t="s">
        <v>811</v>
      </c>
      <c r="F307" s="206"/>
      <c r="G307" s="207">
        <v>43335</v>
      </c>
      <c r="H307" s="207">
        <v>43336</v>
      </c>
      <c r="K307" s="302">
        <v>9801051656</v>
      </c>
      <c r="M307" s="212"/>
      <c r="N307" s="213"/>
      <c r="O307" s="209"/>
    </row>
    <row r="308" spans="1:15" x14ac:dyDescent="0.3">
      <c r="A308" s="302" t="s">
        <v>155</v>
      </c>
      <c r="B308" s="302" t="str">
        <f t="shared" si="1"/>
        <v>Y</v>
      </c>
      <c r="C308" s="6" t="s">
        <v>812</v>
      </c>
      <c r="D308" s="327"/>
      <c r="E308" s="327" t="s">
        <v>813</v>
      </c>
      <c r="F308" s="206"/>
      <c r="G308" s="207">
        <v>43335</v>
      </c>
      <c r="H308" s="207">
        <v>43337</v>
      </c>
      <c r="K308" s="302">
        <v>8434515278</v>
      </c>
      <c r="M308" s="212"/>
      <c r="N308" s="213"/>
      <c r="O308" s="209"/>
    </row>
    <row r="309" spans="1:15" x14ac:dyDescent="0.3">
      <c r="A309" s="302" t="s">
        <v>155</v>
      </c>
      <c r="B309" s="302" t="str">
        <f t="shared" si="1"/>
        <v>Y</v>
      </c>
      <c r="C309" s="6" t="s">
        <v>814</v>
      </c>
      <c r="D309" s="327"/>
      <c r="E309" s="327" t="s">
        <v>815</v>
      </c>
      <c r="F309" s="206"/>
      <c r="G309" s="207">
        <v>43335</v>
      </c>
      <c r="H309" s="207">
        <v>43337</v>
      </c>
      <c r="K309" s="302">
        <v>8092504621</v>
      </c>
      <c r="M309" s="212"/>
      <c r="N309" s="213"/>
      <c r="O309" s="209"/>
    </row>
    <row r="310" spans="1:15" x14ac:dyDescent="0.3">
      <c r="A310" s="302" t="s">
        <v>155</v>
      </c>
      <c r="B310" s="302" t="str">
        <f t="shared" si="1"/>
        <v>Y</v>
      </c>
      <c r="C310" s="6" t="s">
        <v>816</v>
      </c>
      <c r="D310" s="327"/>
      <c r="E310" s="327" t="s">
        <v>817</v>
      </c>
      <c r="F310" s="206"/>
      <c r="G310" s="207">
        <v>43335</v>
      </c>
      <c r="H310" s="207">
        <v>43337</v>
      </c>
      <c r="K310" s="302">
        <v>7250833127</v>
      </c>
      <c r="M310" s="212"/>
      <c r="N310" s="213"/>
      <c r="O310" s="209"/>
    </row>
    <row r="311" spans="1:15" x14ac:dyDescent="0.3">
      <c r="A311" s="302" t="s">
        <v>155</v>
      </c>
      <c r="B311" s="302" t="str">
        <f t="shared" si="1"/>
        <v>Y</v>
      </c>
      <c r="C311" s="6" t="s">
        <v>818</v>
      </c>
      <c r="D311" s="327"/>
      <c r="E311" s="327" t="s">
        <v>819</v>
      </c>
      <c r="F311" s="206"/>
      <c r="G311" s="207">
        <v>43335</v>
      </c>
      <c r="H311" s="207">
        <v>43337</v>
      </c>
      <c r="K311" s="302">
        <v>9801376592</v>
      </c>
      <c r="M311" s="212"/>
      <c r="N311" s="213"/>
      <c r="O311" s="209"/>
    </row>
    <row r="312" spans="1:15" x14ac:dyDescent="0.3">
      <c r="A312" s="302" t="s">
        <v>155</v>
      </c>
      <c r="B312" s="302" t="str">
        <f t="shared" si="1"/>
        <v>Y</v>
      </c>
      <c r="C312" s="6" t="s">
        <v>820</v>
      </c>
      <c r="D312" s="327"/>
      <c r="E312" s="334" t="s">
        <v>821</v>
      </c>
      <c r="F312" s="206"/>
      <c r="G312" s="207">
        <v>43340</v>
      </c>
      <c r="H312" s="207">
        <v>43343</v>
      </c>
      <c r="M312" s="212" t="s">
        <v>553</v>
      </c>
      <c r="N312" s="213"/>
      <c r="O312" s="209"/>
    </row>
    <row r="313" spans="1:15" x14ac:dyDescent="0.3">
      <c r="A313" s="302" t="s">
        <v>155</v>
      </c>
      <c r="B313" s="302" t="str">
        <f t="shared" si="1"/>
        <v>Y</v>
      </c>
      <c r="C313" s="6" t="s">
        <v>822</v>
      </c>
      <c r="D313" s="327"/>
      <c r="E313" s="334" t="s">
        <v>823</v>
      </c>
      <c r="F313" s="206"/>
      <c r="G313" s="207">
        <v>43340</v>
      </c>
      <c r="H313" s="207">
        <v>43343</v>
      </c>
      <c r="M313" s="212" t="s">
        <v>553</v>
      </c>
      <c r="N313" s="213"/>
      <c r="O313" s="209"/>
    </row>
    <row r="314" spans="1:15" x14ac:dyDescent="0.3">
      <c r="A314" s="302" t="s">
        <v>155</v>
      </c>
      <c r="B314" s="302" t="str">
        <f t="shared" si="1"/>
        <v>Y</v>
      </c>
      <c r="C314" s="6" t="s">
        <v>824</v>
      </c>
      <c r="D314" s="327"/>
      <c r="E314" s="327" t="s">
        <v>825</v>
      </c>
      <c r="F314" s="206"/>
      <c r="G314" s="207">
        <v>43341</v>
      </c>
      <c r="H314" s="207">
        <v>43342</v>
      </c>
      <c r="K314" s="302">
        <v>9570067329</v>
      </c>
      <c r="M314" s="212" t="s">
        <v>556</v>
      </c>
      <c r="N314" s="213"/>
      <c r="O314" s="209"/>
    </row>
    <row r="315" spans="1:15" x14ac:dyDescent="0.3">
      <c r="A315" s="302" t="s">
        <v>155</v>
      </c>
      <c r="B315" s="302" t="str">
        <f t="shared" si="1"/>
        <v>N</v>
      </c>
      <c r="C315" s="6" t="s">
        <v>826</v>
      </c>
      <c r="D315" s="327"/>
      <c r="E315" s="327" t="s">
        <v>827</v>
      </c>
      <c r="F315" s="206"/>
      <c r="G315" s="207"/>
      <c r="H315" s="207"/>
      <c r="M315" s="212"/>
      <c r="N315" s="213"/>
      <c r="O315" s="209"/>
    </row>
    <row r="316" spans="1:15" x14ac:dyDescent="0.3">
      <c r="A316" s="302" t="s">
        <v>155</v>
      </c>
      <c r="B316" s="302" t="str">
        <f t="shared" si="1"/>
        <v>Y</v>
      </c>
      <c r="C316" s="6" t="s">
        <v>828</v>
      </c>
      <c r="D316" s="327"/>
      <c r="E316" s="327" t="s">
        <v>829</v>
      </c>
      <c r="F316" s="206"/>
      <c r="G316" s="207">
        <v>43343</v>
      </c>
      <c r="H316" s="207">
        <v>43343</v>
      </c>
      <c r="K316" s="302">
        <v>9523283062</v>
      </c>
      <c r="L316" s="236" t="s">
        <v>830</v>
      </c>
      <c r="M316" s="234">
        <v>43363</v>
      </c>
      <c r="N316" s="213" t="s">
        <v>831</v>
      </c>
      <c r="O316" s="209"/>
    </row>
    <row r="317" spans="1:15" x14ac:dyDescent="0.3">
      <c r="A317" s="302" t="s">
        <v>155</v>
      </c>
      <c r="B317" s="302" t="str">
        <f t="shared" si="1"/>
        <v>Y</v>
      </c>
      <c r="C317" s="6" t="s">
        <v>832</v>
      </c>
      <c r="D317" s="327"/>
      <c r="E317" s="327" t="s">
        <v>833</v>
      </c>
      <c r="F317" s="206"/>
      <c r="G317" s="207">
        <v>43346</v>
      </c>
      <c r="H317" s="207">
        <v>43346</v>
      </c>
      <c r="K317" s="302">
        <v>7985722560</v>
      </c>
      <c r="M317" s="212" t="s">
        <v>556</v>
      </c>
      <c r="N317" s="213"/>
      <c r="O317" s="209"/>
    </row>
    <row r="318" spans="1:15" x14ac:dyDescent="0.3">
      <c r="A318" s="302" t="s">
        <v>155</v>
      </c>
      <c r="B318" s="302" t="str">
        <f t="shared" si="1"/>
        <v>Y</v>
      </c>
      <c r="C318" s="6" t="s">
        <v>834</v>
      </c>
      <c r="D318" s="327"/>
      <c r="E318" s="327" t="s">
        <v>835</v>
      </c>
      <c r="F318" s="206"/>
      <c r="G318" s="207">
        <v>43347</v>
      </c>
      <c r="H318" s="207">
        <v>43348</v>
      </c>
      <c r="K318" s="302">
        <v>9199506437</v>
      </c>
      <c r="M318" s="212"/>
      <c r="N318" s="213"/>
      <c r="O318" s="209"/>
    </row>
    <row r="319" spans="1:15" x14ac:dyDescent="0.3">
      <c r="A319" s="302" t="s">
        <v>155</v>
      </c>
      <c r="B319" s="302" t="str">
        <f t="shared" si="1"/>
        <v>Y</v>
      </c>
      <c r="C319" s="6" t="s">
        <v>836</v>
      </c>
      <c r="D319" s="327"/>
      <c r="E319" s="327" t="s">
        <v>837</v>
      </c>
      <c r="F319" s="206"/>
      <c r="G319" s="207">
        <v>43347</v>
      </c>
      <c r="H319" s="207">
        <v>43348</v>
      </c>
      <c r="K319" s="302">
        <v>6203945892</v>
      </c>
      <c r="M319" s="212" t="s">
        <v>556</v>
      </c>
      <c r="N319" s="213"/>
      <c r="O319" s="209"/>
    </row>
    <row r="320" spans="1:15" x14ac:dyDescent="0.3">
      <c r="A320" s="302" t="s">
        <v>155</v>
      </c>
      <c r="B320" s="302" t="str">
        <f t="shared" si="1"/>
        <v>Y</v>
      </c>
      <c r="C320" s="6" t="s">
        <v>838</v>
      </c>
      <c r="D320" s="327"/>
      <c r="E320" s="327" t="s">
        <v>839</v>
      </c>
      <c r="F320" s="206"/>
      <c r="G320" s="207">
        <v>43347</v>
      </c>
      <c r="H320" s="207">
        <v>43348</v>
      </c>
      <c r="K320" s="302">
        <v>8340228900</v>
      </c>
      <c r="M320" s="212" t="s">
        <v>556</v>
      </c>
      <c r="N320" s="213"/>
      <c r="O320" s="209"/>
    </row>
    <row r="321" spans="1:15" x14ac:dyDescent="0.3">
      <c r="A321" s="302" t="s">
        <v>155</v>
      </c>
      <c r="B321" s="302" t="str">
        <f t="shared" si="1"/>
        <v>Y</v>
      </c>
      <c r="C321" s="6" t="s">
        <v>840</v>
      </c>
      <c r="D321" s="327"/>
      <c r="E321" s="327" t="s">
        <v>841</v>
      </c>
      <c r="F321" s="206"/>
      <c r="G321" s="207">
        <v>43348</v>
      </c>
      <c r="H321" s="207">
        <v>43348</v>
      </c>
      <c r="K321" s="302">
        <v>8603027664</v>
      </c>
      <c r="M321" s="212"/>
      <c r="N321" s="213"/>
      <c r="O321" s="209"/>
    </row>
    <row r="322" spans="1:15" x14ac:dyDescent="0.3">
      <c r="A322" s="302" t="s">
        <v>155</v>
      </c>
      <c r="B322" s="302" t="str">
        <f t="shared" si="1"/>
        <v>Y</v>
      </c>
      <c r="C322" s="6" t="s">
        <v>842</v>
      </c>
      <c r="D322" s="327"/>
      <c r="E322" s="327" t="s">
        <v>843</v>
      </c>
      <c r="F322" s="206" t="s">
        <v>844</v>
      </c>
      <c r="G322" s="207">
        <v>43350</v>
      </c>
      <c r="H322" s="207">
        <v>43351</v>
      </c>
      <c r="K322" s="302">
        <v>9234923855</v>
      </c>
      <c r="M322" s="234">
        <v>43365</v>
      </c>
      <c r="N322" s="213" t="s">
        <v>831</v>
      </c>
      <c r="O322" s="209"/>
    </row>
    <row r="323" spans="1:15" x14ac:dyDescent="0.3">
      <c r="A323" s="302" t="s">
        <v>155</v>
      </c>
      <c r="B323" s="302" t="str">
        <f t="shared" si="1"/>
        <v>Y</v>
      </c>
      <c r="C323" s="6" t="s">
        <v>845</v>
      </c>
      <c r="D323" s="327"/>
      <c r="E323" s="327" t="s">
        <v>846</v>
      </c>
      <c r="F323" s="206"/>
      <c r="G323" s="207">
        <v>43350</v>
      </c>
      <c r="H323" s="207">
        <v>43351</v>
      </c>
      <c r="K323" s="302">
        <v>9204110540</v>
      </c>
      <c r="M323" s="212"/>
      <c r="N323" s="213"/>
      <c r="O323" s="209"/>
    </row>
    <row r="324" spans="1:15" x14ac:dyDescent="0.3">
      <c r="A324" s="302" t="s">
        <v>155</v>
      </c>
      <c r="B324" s="302" t="str">
        <f t="shared" si="1"/>
        <v>Y</v>
      </c>
      <c r="C324" s="6" t="s">
        <v>847</v>
      </c>
      <c r="D324" s="327"/>
      <c r="E324" s="327" t="s">
        <v>848</v>
      </c>
      <c r="F324" s="206"/>
      <c r="G324" s="207">
        <v>43352</v>
      </c>
      <c r="H324" s="207">
        <v>43353</v>
      </c>
      <c r="K324" s="302">
        <v>8271187244</v>
      </c>
      <c r="M324" s="212"/>
      <c r="N324" s="213"/>
      <c r="O324" s="209"/>
    </row>
    <row r="325" spans="1:15" x14ac:dyDescent="0.3">
      <c r="A325" s="302" t="s">
        <v>155</v>
      </c>
      <c r="B325" s="302" t="str">
        <f t="shared" si="1"/>
        <v>Y</v>
      </c>
      <c r="C325" s="6" t="s">
        <v>849</v>
      </c>
      <c r="D325" s="327"/>
      <c r="E325" s="327" t="s">
        <v>850</v>
      </c>
      <c r="F325" s="206"/>
      <c r="G325" s="207">
        <v>43352</v>
      </c>
      <c r="H325" s="207">
        <v>43353</v>
      </c>
      <c r="K325" s="302">
        <v>8405032399</v>
      </c>
      <c r="M325" s="212"/>
      <c r="N325" s="213"/>
      <c r="O325" s="209"/>
    </row>
    <row r="326" spans="1:15" x14ac:dyDescent="0.3">
      <c r="A326" s="302" t="s">
        <v>155</v>
      </c>
      <c r="B326" s="302" t="str">
        <f t="shared" si="1"/>
        <v>Y</v>
      </c>
      <c r="C326" s="6" t="s">
        <v>851</v>
      </c>
      <c r="D326" s="327"/>
      <c r="E326" s="327" t="s">
        <v>852</v>
      </c>
      <c r="F326" s="206"/>
      <c r="G326" s="207">
        <v>43355</v>
      </c>
      <c r="H326" s="207">
        <v>43356</v>
      </c>
      <c r="K326" s="302">
        <v>9097042985</v>
      </c>
      <c r="L326" s="2" t="s">
        <v>580</v>
      </c>
      <c r="M326" s="212" t="s">
        <v>556</v>
      </c>
      <c r="N326" s="213"/>
      <c r="O326" s="209"/>
    </row>
    <row r="327" spans="1:15" x14ac:dyDescent="0.3">
      <c r="A327" s="302" t="s">
        <v>155</v>
      </c>
      <c r="B327" s="302" t="str">
        <f t="shared" si="1"/>
        <v>Y</v>
      </c>
      <c r="C327" s="6" t="s">
        <v>853</v>
      </c>
      <c r="D327" s="327"/>
      <c r="E327" s="327" t="s">
        <v>854</v>
      </c>
      <c r="F327" s="206"/>
      <c r="G327" s="207">
        <v>43355</v>
      </c>
      <c r="H327" s="207">
        <v>43356</v>
      </c>
      <c r="K327" s="302">
        <v>7274925308</v>
      </c>
      <c r="L327" s="2" t="s">
        <v>580</v>
      </c>
      <c r="M327" s="212" t="s">
        <v>556</v>
      </c>
      <c r="N327" s="213"/>
      <c r="O327" s="209"/>
    </row>
    <row r="328" spans="1:15" x14ac:dyDescent="0.3">
      <c r="A328" s="302" t="s">
        <v>155</v>
      </c>
      <c r="B328" s="302" t="str">
        <f t="shared" si="1"/>
        <v>Y</v>
      </c>
      <c r="C328" s="6" t="s">
        <v>855</v>
      </c>
      <c r="D328" s="327"/>
      <c r="E328" s="327" t="s">
        <v>856</v>
      </c>
      <c r="F328" s="206"/>
      <c r="G328" s="207">
        <v>43355</v>
      </c>
      <c r="H328" s="207">
        <v>43356</v>
      </c>
      <c r="K328" s="302">
        <v>9523458842</v>
      </c>
      <c r="L328" s="2" t="s">
        <v>580</v>
      </c>
      <c r="M328" s="212" t="s">
        <v>556</v>
      </c>
      <c r="N328" s="213"/>
      <c r="O328" s="209"/>
    </row>
    <row r="329" spans="1:15" x14ac:dyDescent="0.3">
      <c r="A329" s="302" t="s">
        <v>155</v>
      </c>
      <c r="B329" s="302" t="str">
        <f t="shared" si="1"/>
        <v>Y</v>
      </c>
      <c r="C329" s="6" t="s">
        <v>857</v>
      </c>
      <c r="D329" s="327"/>
      <c r="E329" s="327" t="s">
        <v>858</v>
      </c>
      <c r="F329" s="206"/>
      <c r="G329" s="207">
        <v>43355</v>
      </c>
      <c r="H329" s="207">
        <v>43356</v>
      </c>
      <c r="K329" s="302">
        <v>7274925308</v>
      </c>
      <c r="L329" s="2" t="s">
        <v>580</v>
      </c>
      <c r="M329" s="212" t="s">
        <v>556</v>
      </c>
      <c r="N329" s="213"/>
      <c r="O329" s="209"/>
    </row>
    <row r="330" spans="1:15" x14ac:dyDescent="0.3">
      <c r="A330" s="302" t="s">
        <v>155</v>
      </c>
      <c r="B330" s="302" t="str">
        <f t="shared" si="1"/>
        <v>Y</v>
      </c>
      <c r="C330" s="6" t="s">
        <v>859</v>
      </c>
      <c r="D330" s="327"/>
      <c r="E330" s="327" t="s">
        <v>860</v>
      </c>
      <c r="F330" s="206"/>
      <c r="G330" s="207">
        <v>43355</v>
      </c>
      <c r="H330" s="207">
        <v>43356</v>
      </c>
      <c r="K330" s="302">
        <v>7324904985</v>
      </c>
      <c r="L330" s="2" t="s">
        <v>580</v>
      </c>
      <c r="M330" s="212" t="s">
        <v>556</v>
      </c>
      <c r="N330" s="213"/>
      <c r="O330" s="209"/>
    </row>
    <row r="331" spans="1:15" x14ac:dyDescent="0.3">
      <c r="A331" s="302" t="s">
        <v>155</v>
      </c>
      <c r="B331" s="302" t="str">
        <f t="shared" si="1"/>
        <v>N</v>
      </c>
      <c r="C331" s="6"/>
      <c r="D331" s="327"/>
      <c r="E331" s="327" t="s">
        <v>861</v>
      </c>
      <c r="F331" s="206"/>
      <c r="G331" s="207">
        <v>43355</v>
      </c>
      <c r="H331" s="207"/>
      <c r="K331" s="302">
        <v>7294056552</v>
      </c>
      <c r="L331" s="2" t="s">
        <v>862</v>
      </c>
      <c r="M331" s="212" t="s">
        <v>556</v>
      </c>
      <c r="N331" s="213"/>
      <c r="O331" s="209"/>
    </row>
    <row r="332" spans="1:15" x14ac:dyDescent="0.3">
      <c r="A332" s="302" t="s">
        <v>155</v>
      </c>
      <c r="B332" s="302" t="str">
        <f t="shared" si="1"/>
        <v>Y</v>
      </c>
      <c r="C332" s="6" t="s">
        <v>863</v>
      </c>
      <c r="D332" s="327"/>
      <c r="E332" s="327" t="s">
        <v>864</v>
      </c>
      <c r="F332" s="206"/>
      <c r="G332" s="207">
        <v>43355</v>
      </c>
      <c r="H332" s="207">
        <v>43356</v>
      </c>
      <c r="K332" s="302">
        <v>9234500481</v>
      </c>
      <c r="L332" s="2" t="s">
        <v>865</v>
      </c>
      <c r="M332" s="212" t="s">
        <v>556</v>
      </c>
      <c r="N332" s="213"/>
      <c r="O332" s="209"/>
    </row>
    <row r="333" spans="1:15" x14ac:dyDescent="0.3">
      <c r="A333" s="302" t="s">
        <v>155</v>
      </c>
      <c r="B333" s="302" t="str">
        <f t="shared" si="1"/>
        <v>Y</v>
      </c>
      <c r="C333" s="6" t="s">
        <v>866</v>
      </c>
      <c r="D333" s="327"/>
      <c r="E333" s="327" t="s">
        <v>867</v>
      </c>
      <c r="F333" s="206"/>
      <c r="G333" s="207">
        <v>43373</v>
      </c>
      <c r="H333" s="207">
        <v>43261</v>
      </c>
      <c r="K333" s="302">
        <v>9470562533</v>
      </c>
      <c r="L333" s="2" t="s">
        <v>862</v>
      </c>
      <c r="M333" s="212" t="s">
        <v>556</v>
      </c>
      <c r="N333" s="213"/>
      <c r="O333" s="209"/>
    </row>
    <row r="334" spans="1:15" x14ac:dyDescent="0.3">
      <c r="A334" s="302" t="s">
        <v>155</v>
      </c>
      <c r="B334" s="302" t="str">
        <f t="shared" si="1"/>
        <v>Y</v>
      </c>
      <c r="C334" s="6" t="s">
        <v>868</v>
      </c>
      <c r="D334" s="327"/>
      <c r="E334" s="327" t="s">
        <v>869</v>
      </c>
      <c r="F334" s="206"/>
      <c r="G334" s="207">
        <v>43373</v>
      </c>
      <c r="H334" s="207">
        <v>43261</v>
      </c>
      <c r="K334" s="302">
        <v>7033435892</v>
      </c>
      <c r="M334" s="212" t="s">
        <v>556</v>
      </c>
      <c r="N334" s="213"/>
      <c r="O334" s="209"/>
    </row>
    <row r="335" spans="1:15" x14ac:dyDescent="0.3">
      <c r="A335" s="302" t="s">
        <v>870</v>
      </c>
      <c r="B335" s="302" t="str">
        <f t="shared" si="1"/>
        <v>Y</v>
      </c>
      <c r="C335" s="6" t="s">
        <v>871</v>
      </c>
      <c r="D335" s="327"/>
      <c r="E335" s="327" t="s">
        <v>872</v>
      </c>
      <c r="F335" s="206"/>
      <c r="G335" s="207">
        <v>43357</v>
      </c>
      <c r="H335" s="207">
        <v>43360</v>
      </c>
      <c r="K335" s="302">
        <v>9507517193</v>
      </c>
      <c r="M335" s="212" t="s">
        <v>556</v>
      </c>
      <c r="N335" s="213"/>
      <c r="O335" s="209"/>
    </row>
    <row r="336" spans="1:15" x14ac:dyDescent="0.3">
      <c r="A336" s="302" t="s">
        <v>870</v>
      </c>
      <c r="B336" s="302" t="str">
        <f t="shared" si="1"/>
        <v>Y</v>
      </c>
      <c r="C336" s="6" t="s">
        <v>873</v>
      </c>
      <c r="D336" s="327"/>
      <c r="E336" s="327" t="s">
        <v>874</v>
      </c>
      <c r="F336" s="206"/>
      <c r="G336" s="207">
        <v>43357</v>
      </c>
      <c r="H336" s="207">
        <v>43359</v>
      </c>
      <c r="K336" s="302">
        <v>9546833785</v>
      </c>
      <c r="L336" s="2" t="s">
        <v>875</v>
      </c>
      <c r="M336" s="212" t="s">
        <v>556</v>
      </c>
      <c r="N336" s="213"/>
      <c r="O336" s="209"/>
    </row>
    <row r="337" spans="1:15" x14ac:dyDescent="0.3">
      <c r="A337" s="302" t="s">
        <v>155</v>
      </c>
      <c r="B337" s="302" t="str">
        <f t="shared" si="1"/>
        <v>Y</v>
      </c>
      <c r="C337" s="6" t="s">
        <v>876</v>
      </c>
      <c r="D337" s="327"/>
      <c r="E337" s="327" t="s">
        <v>877</v>
      </c>
      <c r="F337" s="206"/>
      <c r="G337" s="207">
        <v>43357</v>
      </c>
      <c r="H337" s="207">
        <v>43358</v>
      </c>
      <c r="K337" s="302">
        <v>9122767709</v>
      </c>
      <c r="L337" s="2" t="s">
        <v>878</v>
      </c>
      <c r="M337" s="212"/>
      <c r="N337" s="213"/>
      <c r="O337" s="209"/>
    </row>
    <row r="338" spans="1:15" x14ac:dyDescent="0.3">
      <c r="A338" s="302" t="s">
        <v>155</v>
      </c>
      <c r="B338" s="302" t="str">
        <f t="shared" si="1"/>
        <v>Y</v>
      </c>
      <c r="C338" s="451" t="s">
        <v>879</v>
      </c>
      <c r="D338" s="329"/>
      <c r="E338" s="327" t="s">
        <v>880</v>
      </c>
      <c r="F338" s="206"/>
      <c r="G338" s="207">
        <v>43357</v>
      </c>
      <c r="H338" s="207">
        <v>43358</v>
      </c>
      <c r="K338" s="302">
        <v>8825395036</v>
      </c>
      <c r="L338" s="2" t="s">
        <v>881</v>
      </c>
      <c r="M338" s="212"/>
      <c r="N338" s="213"/>
      <c r="O338" s="209"/>
    </row>
    <row r="339" spans="1:15" x14ac:dyDescent="0.3">
      <c r="A339" s="302" t="s">
        <v>155</v>
      </c>
      <c r="B339" s="302" t="str">
        <f t="shared" si="1"/>
        <v>Y</v>
      </c>
      <c r="C339" s="451" t="s">
        <v>882</v>
      </c>
      <c r="D339" s="329"/>
      <c r="E339" s="327" t="s">
        <v>883</v>
      </c>
      <c r="F339" s="206"/>
      <c r="G339" s="207">
        <v>43357</v>
      </c>
      <c r="H339" s="207">
        <v>43358</v>
      </c>
      <c r="K339" s="302">
        <v>8674801147</v>
      </c>
      <c r="L339" s="2" t="s">
        <v>881</v>
      </c>
      <c r="M339" s="212"/>
      <c r="N339" s="213"/>
      <c r="O339" s="209"/>
    </row>
    <row r="340" spans="1:15" x14ac:dyDescent="0.3">
      <c r="A340" s="302" t="s">
        <v>155</v>
      </c>
      <c r="B340" s="302" t="str">
        <f t="shared" si="1"/>
        <v>Y</v>
      </c>
      <c r="C340" s="451" t="s">
        <v>884</v>
      </c>
      <c r="D340" s="329"/>
      <c r="E340" s="329" t="s">
        <v>885</v>
      </c>
      <c r="F340" s="219"/>
      <c r="G340" s="220">
        <v>43357</v>
      </c>
      <c r="H340" s="220">
        <v>43359</v>
      </c>
      <c r="I340" s="9"/>
      <c r="J340" s="9"/>
      <c r="K340" s="221">
        <v>9209084005</v>
      </c>
      <c r="L340" s="2" t="s">
        <v>886</v>
      </c>
      <c r="M340" s="212"/>
      <c r="N340" s="213"/>
      <c r="O340" s="209"/>
    </row>
    <row r="341" spans="1:15" x14ac:dyDescent="0.3">
      <c r="A341" s="302" t="s">
        <v>155</v>
      </c>
      <c r="B341" s="302" t="str">
        <f t="shared" si="1"/>
        <v>Y</v>
      </c>
      <c r="C341" s="6" t="s">
        <v>887</v>
      </c>
      <c r="D341" s="327"/>
      <c r="E341" s="327" t="s">
        <v>888</v>
      </c>
      <c r="F341" s="206"/>
      <c r="G341" s="207">
        <v>43360</v>
      </c>
      <c r="H341" s="207">
        <v>43360</v>
      </c>
      <c r="K341" s="302">
        <v>9279538618</v>
      </c>
      <c r="M341" s="212"/>
      <c r="N341" s="213"/>
      <c r="O341" s="209"/>
    </row>
    <row r="342" spans="1:15" x14ac:dyDescent="0.3">
      <c r="A342" s="302" t="s">
        <v>155</v>
      </c>
      <c r="B342" s="302" t="str">
        <f t="shared" si="1"/>
        <v>Y</v>
      </c>
      <c r="C342" s="456" t="s">
        <v>889</v>
      </c>
      <c r="D342" s="330"/>
      <c r="E342" s="327" t="s">
        <v>890</v>
      </c>
      <c r="F342" s="206"/>
      <c r="G342" s="207">
        <v>43365</v>
      </c>
      <c r="H342" s="207">
        <v>43365</v>
      </c>
      <c r="K342" s="302">
        <v>9546031778</v>
      </c>
      <c r="M342" s="212"/>
      <c r="N342" s="213"/>
      <c r="O342" s="209"/>
    </row>
    <row r="343" spans="1:15" x14ac:dyDescent="0.3">
      <c r="A343" s="302" t="s">
        <v>870</v>
      </c>
      <c r="B343" s="302" t="str">
        <f t="shared" si="1"/>
        <v>Y</v>
      </c>
      <c r="C343" s="6" t="s">
        <v>891</v>
      </c>
      <c r="D343" s="327"/>
      <c r="E343" s="327" t="s">
        <v>892</v>
      </c>
      <c r="F343" s="206"/>
      <c r="G343" s="207">
        <v>43365</v>
      </c>
      <c r="H343" s="207">
        <v>43366</v>
      </c>
      <c r="K343" s="302">
        <v>8092241701</v>
      </c>
      <c r="L343" s="2" t="s">
        <v>580</v>
      </c>
      <c r="M343" s="212" t="s">
        <v>556</v>
      </c>
      <c r="N343" s="213"/>
      <c r="O343" s="209"/>
    </row>
    <row r="344" spans="1:15" x14ac:dyDescent="0.3">
      <c r="A344" s="302" t="s">
        <v>870</v>
      </c>
      <c r="B344" s="302" t="str">
        <f t="shared" si="1"/>
        <v>Y</v>
      </c>
      <c r="C344" s="6" t="s">
        <v>893</v>
      </c>
      <c r="D344" s="327"/>
      <c r="E344" s="327" t="s">
        <v>894</v>
      </c>
      <c r="F344" s="206"/>
      <c r="G344" s="207">
        <v>43365</v>
      </c>
      <c r="H344" s="207">
        <v>43366</v>
      </c>
      <c r="K344" s="302">
        <v>7488598970</v>
      </c>
      <c r="M344" s="212" t="s">
        <v>556</v>
      </c>
      <c r="N344" s="213"/>
      <c r="O344" s="209"/>
    </row>
    <row r="345" spans="1:15" x14ac:dyDescent="0.3">
      <c r="A345" s="302" t="s">
        <v>155</v>
      </c>
      <c r="B345" s="302" t="str">
        <f t="shared" si="1"/>
        <v>Y</v>
      </c>
      <c r="C345" s="6" t="s">
        <v>895</v>
      </c>
      <c r="D345" s="327"/>
      <c r="E345" s="327" t="s">
        <v>896</v>
      </c>
      <c r="F345" s="206"/>
      <c r="G345" s="207">
        <v>43728</v>
      </c>
      <c r="H345" s="207">
        <v>43366</v>
      </c>
      <c r="K345" s="302">
        <v>7209588179</v>
      </c>
      <c r="M345" s="212"/>
      <c r="N345" s="213"/>
      <c r="O345" s="209"/>
    </row>
    <row r="346" spans="1:15" x14ac:dyDescent="0.3">
      <c r="A346" s="302" t="s">
        <v>155</v>
      </c>
      <c r="B346" s="302" t="str">
        <f t="shared" si="1"/>
        <v>Y</v>
      </c>
      <c r="C346" s="6" t="s">
        <v>897</v>
      </c>
      <c r="D346" s="327"/>
      <c r="E346" s="327" t="s">
        <v>898</v>
      </c>
      <c r="F346" s="206"/>
      <c r="G346" s="207">
        <v>43728</v>
      </c>
      <c r="H346" s="207">
        <v>43366</v>
      </c>
      <c r="K346" s="302">
        <v>7209588179</v>
      </c>
      <c r="M346" s="212"/>
      <c r="N346" s="213"/>
      <c r="O346" s="209"/>
    </row>
    <row r="347" spans="1:15" x14ac:dyDescent="0.3">
      <c r="A347" s="302" t="s">
        <v>155</v>
      </c>
      <c r="B347" s="302" t="str">
        <f t="shared" si="1"/>
        <v>Y</v>
      </c>
      <c r="C347" s="6" t="s">
        <v>899</v>
      </c>
      <c r="D347" s="327"/>
      <c r="E347" s="327" t="s">
        <v>900</v>
      </c>
      <c r="F347" s="206"/>
      <c r="G347" s="207">
        <v>43730</v>
      </c>
      <c r="H347" s="207">
        <v>43366</v>
      </c>
      <c r="K347" s="302">
        <v>9523678078</v>
      </c>
      <c r="M347" s="212"/>
      <c r="N347" s="213"/>
      <c r="O347" s="209"/>
    </row>
    <row r="348" spans="1:15" x14ac:dyDescent="0.3">
      <c r="A348" s="302" t="s">
        <v>155</v>
      </c>
      <c r="B348" s="302" t="str">
        <f t="shared" si="1"/>
        <v>Y</v>
      </c>
      <c r="C348" s="6" t="s">
        <v>901</v>
      </c>
      <c r="D348" s="327"/>
      <c r="E348" s="327" t="s">
        <v>902</v>
      </c>
      <c r="F348" s="206"/>
      <c r="G348" s="207">
        <v>43730</v>
      </c>
      <c r="H348" s="207">
        <v>43366</v>
      </c>
      <c r="K348" s="302">
        <v>6204177958</v>
      </c>
      <c r="M348" s="212"/>
      <c r="N348" s="213"/>
      <c r="O348" s="209"/>
    </row>
    <row r="349" spans="1:15" x14ac:dyDescent="0.3">
      <c r="A349" s="302" t="s">
        <v>155</v>
      </c>
      <c r="B349" s="302" t="str">
        <f t="shared" si="1"/>
        <v>Y</v>
      </c>
      <c r="C349" s="6" t="s">
        <v>903</v>
      </c>
      <c r="D349" s="327"/>
      <c r="E349" s="327" t="s">
        <v>904</v>
      </c>
      <c r="F349" s="206"/>
      <c r="G349" s="207">
        <v>43730</v>
      </c>
      <c r="H349" s="207">
        <v>43366</v>
      </c>
      <c r="K349" s="302">
        <v>9546031778</v>
      </c>
      <c r="L349" s="7" t="s">
        <v>905</v>
      </c>
      <c r="M349" s="209">
        <v>43353</v>
      </c>
      <c r="N349" s="213"/>
      <c r="O349" s="209"/>
    </row>
    <row r="350" spans="1:15" x14ac:dyDescent="0.3">
      <c r="A350" s="302" t="s">
        <v>155</v>
      </c>
      <c r="B350" s="302" t="str">
        <f t="shared" si="1"/>
        <v>Y</v>
      </c>
      <c r="C350" s="6" t="s">
        <v>906</v>
      </c>
      <c r="D350" s="327"/>
      <c r="E350" s="327" t="s">
        <v>907</v>
      </c>
      <c r="F350" s="206"/>
      <c r="G350" s="207">
        <v>43730</v>
      </c>
      <c r="H350" s="207">
        <v>43395</v>
      </c>
      <c r="K350" s="302">
        <v>7979981167</v>
      </c>
      <c r="M350" s="212" t="s">
        <v>908</v>
      </c>
      <c r="N350" s="213"/>
      <c r="O350" s="209"/>
    </row>
    <row r="351" spans="1:15" x14ac:dyDescent="0.3">
      <c r="A351" s="302" t="s">
        <v>155</v>
      </c>
      <c r="B351" s="302" t="str">
        <f t="shared" si="1"/>
        <v>Y</v>
      </c>
      <c r="C351" s="451" t="s">
        <v>909</v>
      </c>
      <c r="D351" s="329"/>
      <c r="E351" s="327" t="s">
        <v>910</v>
      </c>
      <c r="F351" s="206"/>
      <c r="G351" s="207">
        <v>43366</v>
      </c>
      <c r="H351" s="207">
        <v>43370</v>
      </c>
      <c r="K351" s="302">
        <v>9204365819</v>
      </c>
      <c r="M351" s="212" t="s">
        <v>908</v>
      </c>
      <c r="N351" s="213"/>
      <c r="O351" s="209"/>
    </row>
    <row r="352" spans="1:15" x14ac:dyDescent="0.3">
      <c r="A352" s="302" t="s">
        <v>155</v>
      </c>
      <c r="B352" s="302" t="str">
        <f t="shared" si="1"/>
        <v>Y</v>
      </c>
      <c r="C352" s="6" t="s">
        <v>911</v>
      </c>
      <c r="D352" s="327"/>
      <c r="E352" s="327" t="s">
        <v>912</v>
      </c>
      <c r="F352" s="206"/>
      <c r="G352" s="207">
        <v>43366</v>
      </c>
      <c r="H352" s="207">
        <v>43370</v>
      </c>
      <c r="K352" s="302">
        <v>7870240016</v>
      </c>
      <c r="M352" s="212" t="s">
        <v>553</v>
      </c>
      <c r="N352" s="213"/>
      <c r="O352" s="209"/>
    </row>
    <row r="353" spans="1:16" x14ac:dyDescent="0.3">
      <c r="A353" s="302" t="s">
        <v>155</v>
      </c>
      <c r="B353" s="302" t="str">
        <f t="shared" si="1"/>
        <v>Y</v>
      </c>
      <c r="C353" s="6" t="s">
        <v>913</v>
      </c>
      <c r="D353" s="327"/>
      <c r="E353" s="327" t="s">
        <v>914</v>
      </c>
      <c r="F353" s="206"/>
      <c r="G353" s="207">
        <v>43366</v>
      </c>
      <c r="H353" s="207">
        <v>43370</v>
      </c>
      <c r="K353" s="302">
        <v>7970496253</v>
      </c>
      <c r="M353" s="212" t="s">
        <v>553</v>
      </c>
      <c r="N353" s="213"/>
      <c r="O353" s="209"/>
    </row>
    <row r="354" spans="1:16" x14ac:dyDescent="0.3">
      <c r="A354" s="302" t="s">
        <v>155</v>
      </c>
      <c r="B354" s="302" t="str">
        <f t="shared" si="1"/>
        <v>N</v>
      </c>
      <c r="C354" s="6" t="s">
        <v>915</v>
      </c>
      <c r="D354" s="327"/>
      <c r="E354" s="327" t="s">
        <v>916</v>
      </c>
      <c r="F354" s="206"/>
      <c r="G354" s="207"/>
      <c r="H354" s="207"/>
      <c r="K354" s="302">
        <v>9771441846</v>
      </c>
      <c r="M354" s="212"/>
      <c r="N354" s="213"/>
      <c r="O354" s="209"/>
    </row>
    <row r="355" spans="1:16" x14ac:dyDescent="0.3">
      <c r="A355" s="302" t="s">
        <v>155</v>
      </c>
      <c r="B355" s="302" t="str">
        <f t="shared" si="1"/>
        <v>Y</v>
      </c>
      <c r="C355" s="6" t="s">
        <v>917</v>
      </c>
      <c r="D355" s="327"/>
      <c r="E355" s="327" t="s">
        <v>918</v>
      </c>
      <c r="F355" s="206"/>
      <c r="G355" s="207">
        <v>43374</v>
      </c>
      <c r="H355" s="207">
        <v>43375</v>
      </c>
      <c r="K355" s="302">
        <v>9199244825</v>
      </c>
      <c r="L355" s="7" t="s">
        <v>919</v>
      </c>
      <c r="M355" s="212" t="s">
        <v>920</v>
      </c>
      <c r="N355" s="213"/>
      <c r="O355" s="209"/>
    </row>
    <row r="356" spans="1:16" x14ac:dyDescent="0.3">
      <c r="A356" s="302" t="s">
        <v>155</v>
      </c>
      <c r="B356" s="302" t="str">
        <f t="shared" si="1"/>
        <v>Y</v>
      </c>
      <c r="C356" s="6" t="s">
        <v>921</v>
      </c>
      <c r="D356" s="327"/>
      <c r="E356" s="327" t="s">
        <v>922</v>
      </c>
      <c r="F356" s="206"/>
      <c r="G356" s="207">
        <v>43374</v>
      </c>
      <c r="H356" s="207">
        <v>43375</v>
      </c>
      <c r="K356" s="302">
        <v>6207233812</v>
      </c>
      <c r="L356" s="7" t="s">
        <v>923</v>
      </c>
      <c r="M356" s="212" t="s">
        <v>920</v>
      </c>
      <c r="N356" s="213"/>
      <c r="O356" s="209"/>
    </row>
    <row r="357" spans="1:16" x14ac:dyDescent="0.3">
      <c r="A357" s="302" t="s">
        <v>155</v>
      </c>
      <c r="B357" s="302" t="str">
        <f t="shared" si="1"/>
        <v>Y</v>
      </c>
      <c r="C357" s="6" t="s">
        <v>924</v>
      </c>
      <c r="D357" s="327"/>
      <c r="E357" s="327" t="s">
        <v>925</v>
      </c>
      <c r="F357" s="206"/>
      <c r="G357" s="207">
        <v>43374</v>
      </c>
      <c r="H357" s="207">
        <v>43375</v>
      </c>
      <c r="K357" s="302">
        <v>9031783607</v>
      </c>
      <c r="L357" s="7" t="s">
        <v>926</v>
      </c>
      <c r="M357" s="212"/>
      <c r="N357" s="213"/>
      <c r="O357" s="209"/>
    </row>
    <row r="358" spans="1:16" x14ac:dyDescent="0.3">
      <c r="A358" s="302" t="s">
        <v>155</v>
      </c>
      <c r="B358" s="302" t="str">
        <f t="shared" si="1"/>
        <v>Y</v>
      </c>
      <c r="C358" s="6" t="s">
        <v>927</v>
      </c>
      <c r="D358" s="327"/>
      <c r="E358" s="327" t="s">
        <v>928</v>
      </c>
      <c r="F358" s="206"/>
      <c r="G358" s="207">
        <v>43377</v>
      </c>
      <c r="H358" s="207">
        <v>43261</v>
      </c>
      <c r="K358" s="302">
        <v>9609860922</v>
      </c>
      <c r="L358" s="216" t="s">
        <v>929</v>
      </c>
      <c r="M358" s="212" t="s">
        <v>920</v>
      </c>
      <c r="N358" s="213"/>
      <c r="O358" s="209"/>
    </row>
    <row r="359" spans="1:16" x14ac:dyDescent="0.3">
      <c r="A359" s="302" t="s">
        <v>155</v>
      </c>
      <c r="B359" s="302" t="str">
        <f t="shared" si="1"/>
        <v>Y</v>
      </c>
      <c r="C359" s="6" t="s">
        <v>930</v>
      </c>
      <c r="D359" s="327"/>
      <c r="E359" s="327" t="s">
        <v>931</v>
      </c>
      <c r="F359" s="206"/>
      <c r="G359" s="207">
        <v>43375</v>
      </c>
      <c r="H359" s="207">
        <v>43400</v>
      </c>
      <c r="K359" s="206" t="s">
        <v>932</v>
      </c>
      <c r="M359" s="212"/>
      <c r="N359" s="213"/>
      <c r="O359" s="209"/>
    </row>
    <row r="360" spans="1:16" x14ac:dyDescent="0.3">
      <c r="A360" s="302">
        <v>100</v>
      </c>
      <c r="B360" s="302" t="str">
        <f t="shared" si="1"/>
        <v>Y</v>
      </c>
      <c r="C360" s="6" t="s">
        <v>933</v>
      </c>
      <c r="D360" s="327"/>
      <c r="E360" s="327" t="s">
        <v>934</v>
      </c>
      <c r="F360" s="206"/>
      <c r="G360" s="207">
        <v>43375</v>
      </c>
      <c r="H360" s="207">
        <v>43378</v>
      </c>
      <c r="L360" s="216" t="s">
        <v>935</v>
      </c>
      <c r="M360" s="212" t="s">
        <v>936</v>
      </c>
      <c r="N360" s="213"/>
      <c r="O360" s="209"/>
    </row>
    <row r="361" spans="1:16" x14ac:dyDescent="0.3">
      <c r="A361" s="302" t="s">
        <v>870</v>
      </c>
      <c r="B361" s="302" t="str">
        <f t="shared" si="1"/>
        <v>Y</v>
      </c>
      <c r="C361" s="6" t="s">
        <v>937</v>
      </c>
      <c r="D361" s="327"/>
      <c r="E361" s="327" t="s">
        <v>938</v>
      </c>
      <c r="F361" s="206"/>
      <c r="G361" s="207">
        <v>43380</v>
      </c>
      <c r="H361" s="207">
        <v>43382</v>
      </c>
      <c r="K361" s="302">
        <v>9939221082</v>
      </c>
      <c r="L361" s="237" t="s">
        <v>939</v>
      </c>
      <c r="M361" s="212" t="s">
        <v>936</v>
      </c>
      <c r="N361" s="213"/>
      <c r="O361" s="209"/>
    </row>
    <row r="362" spans="1:16" x14ac:dyDescent="0.3">
      <c r="A362" s="302" t="s">
        <v>155</v>
      </c>
      <c r="B362" s="302" t="str">
        <f t="shared" si="1"/>
        <v>Y</v>
      </c>
      <c r="C362" s="6" t="s">
        <v>940</v>
      </c>
      <c r="D362" s="327"/>
      <c r="E362" s="327" t="s">
        <v>941</v>
      </c>
      <c r="F362" s="206"/>
      <c r="G362" s="207">
        <v>43384</v>
      </c>
      <c r="H362" s="207">
        <v>43385</v>
      </c>
      <c r="K362" s="302">
        <v>7545802269</v>
      </c>
      <c r="M362" s="212"/>
      <c r="N362" s="213"/>
      <c r="O362" s="209"/>
    </row>
    <row r="363" spans="1:16" x14ac:dyDescent="0.3">
      <c r="A363" s="302" t="s">
        <v>155</v>
      </c>
      <c r="B363" s="302" t="str">
        <f t="shared" si="1"/>
        <v>Y</v>
      </c>
      <c r="C363" s="6" t="s">
        <v>942</v>
      </c>
      <c r="D363" s="327"/>
      <c r="E363" s="327" t="s">
        <v>943</v>
      </c>
      <c r="F363" s="206"/>
      <c r="G363" s="207">
        <v>43391</v>
      </c>
      <c r="H363" s="207">
        <v>43391</v>
      </c>
      <c r="K363" s="302">
        <v>9263137130</v>
      </c>
      <c r="M363" s="212"/>
      <c r="N363" s="213"/>
      <c r="O363" s="209"/>
    </row>
    <row r="364" spans="1:16" x14ac:dyDescent="0.3">
      <c r="A364" s="302" t="s">
        <v>155</v>
      </c>
      <c r="B364" s="302" t="str">
        <f t="shared" si="1"/>
        <v>Y</v>
      </c>
      <c r="C364" s="6" t="s">
        <v>944</v>
      </c>
      <c r="D364" s="327"/>
      <c r="E364" s="327" t="s">
        <v>945</v>
      </c>
      <c r="F364" s="206"/>
      <c r="G364" s="207">
        <v>43391</v>
      </c>
      <c r="H364" s="207">
        <v>43391</v>
      </c>
      <c r="K364" s="302">
        <v>9102699131</v>
      </c>
      <c r="M364" s="212"/>
      <c r="N364" s="213"/>
      <c r="O364" s="209"/>
    </row>
    <row r="365" spans="1:16" x14ac:dyDescent="0.3">
      <c r="A365" s="302" t="s">
        <v>155</v>
      </c>
      <c r="B365" s="302" t="str">
        <f t="shared" si="1"/>
        <v>Y</v>
      </c>
      <c r="C365" s="6" t="s">
        <v>946</v>
      </c>
      <c r="D365" s="327"/>
      <c r="E365" s="327" t="s">
        <v>947</v>
      </c>
      <c r="F365" s="206"/>
      <c r="G365" s="207">
        <v>43389</v>
      </c>
      <c r="H365" s="207">
        <v>43395</v>
      </c>
      <c r="K365" s="302">
        <v>9534101090</v>
      </c>
      <c r="M365" s="212"/>
      <c r="N365" s="213"/>
      <c r="O365" s="209"/>
    </row>
    <row r="366" spans="1:16" x14ac:dyDescent="0.3">
      <c r="A366" s="302" t="s">
        <v>155</v>
      </c>
      <c r="B366" s="302" t="str">
        <f t="shared" si="1"/>
        <v>Y</v>
      </c>
      <c r="C366" s="6" t="s">
        <v>948</v>
      </c>
      <c r="D366" s="327"/>
      <c r="E366" s="327" t="s">
        <v>949</v>
      </c>
      <c r="F366" s="206"/>
      <c r="G366" s="207">
        <v>43389</v>
      </c>
      <c r="H366" s="207">
        <v>43393</v>
      </c>
      <c r="K366" s="302">
        <v>9835930102</v>
      </c>
      <c r="M366" s="212"/>
      <c r="N366" s="213"/>
      <c r="O366" s="209"/>
    </row>
    <row r="367" spans="1:16" x14ac:dyDescent="0.3">
      <c r="A367" s="238" t="s">
        <v>155</v>
      </c>
      <c r="B367" s="238" t="str">
        <f t="shared" si="1"/>
        <v>Y</v>
      </c>
      <c r="C367" s="457" t="s">
        <v>950</v>
      </c>
      <c r="D367" s="335"/>
      <c r="E367" s="335" t="s">
        <v>951</v>
      </c>
      <c r="F367" s="239"/>
      <c r="G367" s="240">
        <v>43391</v>
      </c>
      <c r="H367" s="240">
        <v>43392</v>
      </c>
      <c r="I367" s="4"/>
      <c r="J367" s="4"/>
      <c r="K367" s="238">
        <v>8757314943</v>
      </c>
      <c r="L367" s="4"/>
      <c r="M367" s="241"/>
      <c r="N367" s="242"/>
      <c r="O367" s="243"/>
      <c r="P367" s="4"/>
    </row>
    <row r="368" spans="1:16" x14ac:dyDescent="0.3">
      <c r="A368" s="302" t="s">
        <v>155</v>
      </c>
      <c r="B368" s="302" t="str">
        <f t="shared" si="1"/>
        <v>Y</v>
      </c>
      <c r="C368" s="6" t="s">
        <v>952</v>
      </c>
      <c r="D368" s="327"/>
      <c r="E368" s="327" t="s">
        <v>953</v>
      </c>
      <c r="F368" s="206"/>
      <c r="G368" s="207">
        <v>43393</v>
      </c>
      <c r="H368" s="207">
        <v>43393</v>
      </c>
      <c r="K368" s="302">
        <v>8789921851</v>
      </c>
      <c r="M368" s="212"/>
      <c r="N368" s="213"/>
      <c r="O368" s="209"/>
    </row>
    <row r="369" spans="1:16" x14ac:dyDescent="0.3">
      <c r="A369" s="302" t="s">
        <v>155</v>
      </c>
      <c r="B369" s="302" t="str">
        <f t="shared" si="1"/>
        <v>Y</v>
      </c>
      <c r="C369" s="6" t="s">
        <v>954</v>
      </c>
      <c r="D369" s="327"/>
      <c r="E369" s="327" t="s">
        <v>955</v>
      </c>
      <c r="F369" s="206"/>
      <c r="G369" s="207">
        <v>43394</v>
      </c>
      <c r="H369" s="207">
        <v>43394</v>
      </c>
      <c r="K369" s="302">
        <v>9470552704</v>
      </c>
      <c r="M369" s="212"/>
      <c r="N369" s="213"/>
      <c r="O369" s="209"/>
    </row>
    <row r="370" spans="1:16" x14ac:dyDescent="0.3">
      <c r="A370" s="302" t="s">
        <v>155</v>
      </c>
      <c r="B370" s="302" t="str">
        <f t="shared" si="1"/>
        <v>Y</v>
      </c>
      <c r="C370" s="6" t="s">
        <v>956</v>
      </c>
      <c r="D370" s="327"/>
      <c r="E370" s="327" t="s">
        <v>957</v>
      </c>
      <c r="F370" s="206"/>
      <c r="G370" s="207">
        <v>43394</v>
      </c>
      <c r="H370" s="207">
        <v>43394</v>
      </c>
      <c r="K370" s="302">
        <v>7488540551</v>
      </c>
      <c r="M370" s="212"/>
      <c r="N370" s="213"/>
      <c r="O370" s="209"/>
    </row>
    <row r="371" spans="1:16" x14ac:dyDescent="0.3">
      <c r="A371" s="302" t="s">
        <v>155</v>
      </c>
      <c r="B371" s="302" t="str">
        <f t="shared" si="1"/>
        <v>Y</v>
      </c>
      <c r="C371" s="6" t="s">
        <v>958</v>
      </c>
      <c r="D371" s="327"/>
      <c r="E371" s="327" t="s">
        <v>959</v>
      </c>
      <c r="F371" s="206"/>
      <c r="G371" s="207">
        <v>43395</v>
      </c>
      <c r="H371" s="207">
        <v>43395</v>
      </c>
      <c r="K371" s="302">
        <v>9572873514</v>
      </c>
      <c r="M371" s="212"/>
      <c r="N371" s="213"/>
      <c r="O371" s="209"/>
    </row>
    <row r="372" spans="1:16" x14ac:dyDescent="0.3">
      <c r="A372" s="302" t="s">
        <v>155</v>
      </c>
      <c r="B372" s="302" t="str">
        <f t="shared" si="1"/>
        <v>Y</v>
      </c>
      <c r="C372" s="6" t="s">
        <v>960</v>
      </c>
      <c r="D372" s="327"/>
      <c r="E372" s="327" t="s">
        <v>961</v>
      </c>
      <c r="F372" s="206"/>
      <c r="G372" s="207">
        <v>43395</v>
      </c>
      <c r="H372" s="207">
        <v>43395</v>
      </c>
      <c r="K372" s="302">
        <v>9534189391</v>
      </c>
      <c r="L372" s="216" t="s">
        <v>962</v>
      </c>
      <c r="M372" s="212"/>
      <c r="N372" s="213"/>
      <c r="O372" s="209"/>
    </row>
    <row r="373" spans="1:16" x14ac:dyDescent="0.3">
      <c r="A373" s="302" t="s">
        <v>155</v>
      </c>
      <c r="B373" s="302" t="str">
        <f t="shared" si="1"/>
        <v>Y</v>
      </c>
      <c r="C373" s="6" t="s">
        <v>963</v>
      </c>
      <c r="D373" s="327"/>
      <c r="E373" s="327" t="s">
        <v>964</v>
      </c>
      <c r="F373" s="206"/>
      <c r="G373" s="207">
        <v>43396</v>
      </c>
      <c r="H373" s="207">
        <v>43396</v>
      </c>
      <c r="K373" s="302">
        <v>7909081697</v>
      </c>
      <c r="M373" s="212"/>
      <c r="N373" s="213"/>
      <c r="O373" s="209"/>
    </row>
    <row r="374" spans="1:16" x14ac:dyDescent="0.3">
      <c r="A374" s="238" t="s">
        <v>155</v>
      </c>
      <c r="B374" s="238" t="str">
        <f t="shared" si="1"/>
        <v>Y</v>
      </c>
      <c r="C374" s="457" t="s">
        <v>965</v>
      </c>
      <c r="D374" s="335"/>
      <c r="E374" s="335" t="s">
        <v>966</v>
      </c>
      <c r="F374" s="239"/>
      <c r="G374" s="240">
        <v>43399</v>
      </c>
      <c r="H374" s="240">
        <v>43399</v>
      </c>
      <c r="I374" s="4"/>
      <c r="J374" s="4"/>
      <c r="K374" s="238">
        <v>7903667196</v>
      </c>
      <c r="L374" s="244" t="s">
        <v>967</v>
      </c>
      <c r="M374" s="241"/>
      <c r="N374" s="242"/>
      <c r="O374" s="243"/>
      <c r="P374" s="4"/>
    </row>
    <row r="375" spans="1:16" x14ac:dyDescent="0.3">
      <c r="A375" s="302" t="s">
        <v>155</v>
      </c>
      <c r="B375" s="302" t="str">
        <f t="shared" si="1"/>
        <v>Y</v>
      </c>
      <c r="C375" s="6" t="s">
        <v>968</v>
      </c>
      <c r="D375" s="327"/>
      <c r="E375" s="327" t="s">
        <v>969</v>
      </c>
      <c r="F375" s="206"/>
      <c r="G375" s="207">
        <v>43402</v>
      </c>
      <c r="H375" s="207">
        <v>43403</v>
      </c>
      <c r="K375" s="302">
        <v>7488275033</v>
      </c>
      <c r="M375" s="212"/>
      <c r="N375" s="213"/>
      <c r="O375" s="209"/>
    </row>
    <row r="376" spans="1:16" x14ac:dyDescent="0.3">
      <c r="A376" s="238" t="s">
        <v>155</v>
      </c>
      <c r="B376" s="238" t="str">
        <f t="shared" si="1"/>
        <v>Y</v>
      </c>
      <c r="C376" s="457" t="s">
        <v>970</v>
      </c>
      <c r="D376" s="335"/>
      <c r="E376" s="335" t="s">
        <v>971</v>
      </c>
      <c r="F376" s="239"/>
      <c r="G376" s="240">
        <v>43403</v>
      </c>
      <c r="H376" s="240">
        <v>43403</v>
      </c>
      <c r="I376" s="4"/>
      <c r="J376" s="4"/>
      <c r="K376" s="238">
        <v>9955660083</v>
      </c>
      <c r="L376" s="4"/>
      <c r="M376" s="241"/>
      <c r="N376" s="242"/>
      <c r="O376" s="243"/>
      <c r="P376" s="4"/>
    </row>
    <row r="377" spans="1:16" x14ac:dyDescent="0.3">
      <c r="A377" s="238" t="s">
        <v>155</v>
      </c>
      <c r="B377" s="238" t="str">
        <f t="shared" si="1"/>
        <v>Y</v>
      </c>
      <c r="C377" s="457" t="s">
        <v>972</v>
      </c>
      <c r="D377" s="335"/>
      <c r="E377" s="335" t="s">
        <v>973</v>
      </c>
      <c r="F377" s="239"/>
      <c r="G377" s="240">
        <v>43405</v>
      </c>
      <c r="H377" s="240">
        <v>43406</v>
      </c>
      <c r="I377" s="4"/>
      <c r="J377" s="4"/>
      <c r="K377" s="238">
        <v>8092270860</v>
      </c>
      <c r="L377" s="4"/>
      <c r="M377" s="241" t="s">
        <v>463</v>
      </c>
      <c r="N377" s="242"/>
      <c r="O377" s="243"/>
      <c r="P377" s="4"/>
    </row>
    <row r="378" spans="1:16" x14ac:dyDescent="0.3">
      <c r="A378" s="238" t="s">
        <v>155</v>
      </c>
      <c r="B378" s="238" t="str">
        <f t="shared" si="1"/>
        <v>Y</v>
      </c>
      <c r="C378" s="457" t="s">
        <v>974</v>
      </c>
      <c r="D378" s="335"/>
      <c r="E378" s="335" t="s">
        <v>975</v>
      </c>
      <c r="F378" s="239"/>
      <c r="G378" s="240">
        <v>43405</v>
      </c>
      <c r="H378" s="240">
        <v>43406</v>
      </c>
      <c r="I378" s="4"/>
      <c r="J378" s="4"/>
      <c r="K378" s="238">
        <v>7</v>
      </c>
      <c r="L378" s="4"/>
      <c r="M378" s="241" t="s">
        <v>908</v>
      </c>
      <c r="N378" s="242"/>
      <c r="O378" s="243"/>
      <c r="P378" s="4"/>
    </row>
    <row r="379" spans="1:16" x14ac:dyDescent="0.3">
      <c r="A379" s="302" t="s">
        <v>155</v>
      </c>
      <c r="B379" s="302" t="str">
        <f t="shared" si="1"/>
        <v>Y</v>
      </c>
      <c r="C379" s="6" t="s">
        <v>976</v>
      </c>
      <c r="D379" s="327"/>
      <c r="E379" s="327" t="s">
        <v>977</v>
      </c>
      <c r="F379" s="206"/>
      <c r="G379" s="207">
        <v>43405</v>
      </c>
      <c r="H379" s="207">
        <v>43406</v>
      </c>
      <c r="K379" s="302">
        <v>9279457207</v>
      </c>
      <c r="M379" s="212" t="s">
        <v>556</v>
      </c>
      <c r="N379" s="213"/>
      <c r="O379" s="209"/>
    </row>
    <row r="380" spans="1:16" x14ac:dyDescent="0.3">
      <c r="A380" s="238" t="s">
        <v>155</v>
      </c>
      <c r="B380" s="238" t="str">
        <f t="shared" si="1"/>
        <v>Y</v>
      </c>
      <c r="C380" s="457" t="s">
        <v>978</v>
      </c>
      <c r="D380" s="335"/>
      <c r="E380" s="335" t="s">
        <v>979</v>
      </c>
      <c r="F380" s="239"/>
      <c r="G380" s="240">
        <v>43405</v>
      </c>
      <c r="H380" s="240">
        <v>43406</v>
      </c>
      <c r="I380" s="4"/>
      <c r="J380" s="4"/>
      <c r="K380" s="238">
        <v>7903361766</v>
      </c>
      <c r="L380" s="4"/>
      <c r="M380" s="241" t="s">
        <v>556</v>
      </c>
      <c r="N380" s="242"/>
      <c r="O380" s="243"/>
      <c r="P380" s="4"/>
    </row>
    <row r="381" spans="1:16" x14ac:dyDescent="0.3">
      <c r="A381" s="302" t="s">
        <v>155</v>
      </c>
      <c r="B381" s="302" t="str">
        <f t="shared" si="1"/>
        <v>Y</v>
      </c>
      <c r="C381" s="6" t="s">
        <v>980</v>
      </c>
      <c r="D381" s="327"/>
      <c r="E381" s="327" t="s">
        <v>981</v>
      </c>
      <c r="F381" s="206"/>
      <c r="G381" s="207">
        <v>43405</v>
      </c>
      <c r="H381" s="207">
        <v>43406</v>
      </c>
      <c r="K381" s="302">
        <v>9279250587</v>
      </c>
      <c r="M381" s="212" t="s">
        <v>908</v>
      </c>
      <c r="N381" s="213"/>
      <c r="O381" s="209"/>
    </row>
    <row r="382" spans="1:16" x14ac:dyDescent="0.3">
      <c r="A382" s="302" t="s">
        <v>155</v>
      </c>
      <c r="B382" s="302" t="str">
        <f t="shared" si="1"/>
        <v>Y</v>
      </c>
      <c r="C382" s="6" t="s">
        <v>982</v>
      </c>
      <c r="D382" s="327"/>
      <c r="E382" s="327" t="s">
        <v>983</v>
      </c>
      <c r="F382" s="206"/>
      <c r="G382" s="207">
        <v>43406</v>
      </c>
      <c r="H382" s="207">
        <v>43407</v>
      </c>
      <c r="K382" s="302">
        <v>7903652272</v>
      </c>
      <c r="M382" s="212" t="s">
        <v>556</v>
      </c>
      <c r="N382" s="213"/>
      <c r="O382" s="209"/>
    </row>
    <row r="383" spans="1:16" x14ac:dyDescent="0.3">
      <c r="A383" s="302" t="s">
        <v>155</v>
      </c>
      <c r="B383" s="302" t="str">
        <f t="shared" si="1"/>
        <v>Y</v>
      </c>
      <c r="C383" s="6" t="s">
        <v>984</v>
      </c>
      <c r="D383" s="327"/>
      <c r="E383" s="327" t="s">
        <v>985</v>
      </c>
      <c r="F383" s="206"/>
      <c r="G383" s="207">
        <v>43406</v>
      </c>
      <c r="H383" s="207">
        <v>43407</v>
      </c>
      <c r="K383" s="302">
        <v>9204205052</v>
      </c>
      <c r="M383" s="212" t="s">
        <v>556</v>
      </c>
      <c r="N383" s="213"/>
      <c r="O383" s="209"/>
    </row>
    <row r="384" spans="1:16" x14ac:dyDescent="0.3">
      <c r="A384" s="302" t="s">
        <v>155</v>
      </c>
      <c r="B384" s="302" t="str">
        <f t="shared" si="1"/>
        <v>Y</v>
      </c>
      <c r="C384" s="451" t="s">
        <v>986</v>
      </c>
      <c r="D384" s="329"/>
      <c r="E384" s="329" t="s">
        <v>987</v>
      </c>
      <c r="F384" s="219"/>
      <c r="G384" s="220">
        <v>43406</v>
      </c>
      <c r="H384" s="220">
        <v>43407</v>
      </c>
      <c r="I384" s="9"/>
      <c r="J384" s="9"/>
      <c r="K384" s="221">
        <v>9334816697</v>
      </c>
      <c r="L384" s="9"/>
      <c r="M384" s="222" t="s">
        <v>908</v>
      </c>
      <c r="N384" s="213"/>
      <c r="O384" s="209"/>
    </row>
    <row r="385" spans="1:16" x14ac:dyDescent="0.3">
      <c r="A385" s="238" t="s">
        <v>155</v>
      </c>
      <c r="B385" s="238" t="str">
        <f t="shared" si="1"/>
        <v>Y</v>
      </c>
      <c r="C385" s="457" t="s">
        <v>988</v>
      </c>
      <c r="D385" s="335"/>
      <c r="E385" s="335" t="s">
        <v>989</v>
      </c>
      <c r="F385" s="239"/>
      <c r="G385" s="240">
        <v>43406</v>
      </c>
      <c r="H385" s="240">
        <v>43407</v>
      </c>
      <c r="I385" s="4"/>
      <c r="J385" s="4"/>
      <c r="K385" s="238">
        <v>9470546501</v>
      </c>
      <c r="L385" s="4"/>
      <c r="M385" s="241" t="s">
        <v>556</v>
      </c>
      <c r="N385" s="242"/>
      <c r="O385" s="243"/>
      <c r="P385" s="4"/>
    </row>
    <row r="386" spans="1:16" x14ac:dyDescent="0.3">
      <c r="A386" s="238" t="s">
        <v>155</v>
      </c>
      <c r="B386" s="238" t="str">
        <f t="shared" si="1"/>
        <v>Y</v>
      </c>
      <c r="C386" s="457" t="s">
        <v>990</v>
      </c>
      <c r="D386" s="335"/>
      <c r="E386" s="335" t="s">
        <v>991</v>
      </c>
      <c r="F386" s="239"/>
      <c r="G386" s="240">
        <v>43406</v>
      </c>
      <c r="H386" s="240">
        <v>43407</v>
      </c>
      <c r="I386" s="4"/>
      <c r="J386" s="4"/>
      <c r="K386" s="238">
        <v>7209845854</v>
      </c>
      <c r="L386" s="4"/>
      <c r="M386" s="241" t="s">
        <v>556</v>
      </c>
      <c r="N386" s="242"/>
      <c r="O386" s="243"/>
      <c r="P386" s="4"/>
    </row>
    <row r="387" spans="1:16" x14ac:dyDescent="0.3">
      <c r="A387" s="238" t="s">
        <v>155</v>
      </c>
      <c r="B387" s="238" t="str">
        <f t="shared" si="1"/>
        <v>Y</v>
      </c>
      <c r="C387" s="457" t="s">
        <v>992</v>
      </c>
      <c r="D387" s="335"/>
      <c r="E387" s="335" t="s">
        <v>993</v>
      </c>
      <c r="F387" s="239"/>
      <c r="G387" s="240">
        <v>43406</v>
      </c>
      <c r="H387" s="240">
        <v>43407</v>
      </c>
      <c r="I387" s="4"/>
      <c r="J387" s="4"/>
      <c r="K387" s="238">
        <v>8797603606</v>
      </c>
      <c r="L387" s="4"/>
      <c r="M387" s="241" t="s">
        <v>556</v>
      </c>
      <c r="N387" s="242"/>
      <c r="O387" s="243"/>
      <c r="P387" s="4"/>
    </row>
    <row r="388" spans="1:16" x14ac:dyDescent="0.3">
      <c r="A388" s="238" t="s">
        <v>33</v>
      </c>
      <c r="B388" s="238" t="str">
        <f t="shared" si="1"/>
        <v>Y</v>
      </c>
      <c r="C388" s="457" t="s">
        <v>994</v>
      </c>
      <c r="D388" s="335"/>
      <c r="E388" s="335" t="s">
        <v>995</v>
      </c>
      <c r="F388" s="239"/>
      <c r="G388" s="240">
        <v>43407</v>
      </c>
      <c r="H388" s="240">
        <v>43407</v>
      </c>
      <c r="I388" s="4"/>
      <c r="J388" s="4"/>
      <c r="K388" s="238">
        <v>7766955507</v>
      </c>
      <c r="L388" s="4"/>
      <c r="M388" s="241"/>
      <c r="N388" s="242"/>
      <c r="O388" s="243"/>
      <c r="P388" s="4"/>
    </row>
    <row r="389" spans="1:16" x14ac:dyDescent="0.3">
      <c r="A389" s="238" t="s">
        <v>155</v>
      </c>
      <c r="B389" s="238" t="str">
        <f t="shared" si="1"/>
        <v>Y</v>
      </c>
      <c r="C389" s="457" t="s">
        <v>996</v>
      </c>
      <c r="D389" s="335"/>
      <c r="E389" s="335" t="s">
        <v>997</v>
      </c>
      <c r="F389" s="239"/>
      <c r="G389" s="240">
        <v>43407</v>
      </c>
      <c r="H389" s="240">
        <v>43407</v>
      </c>
      <c r="I389" s="4"/>
      <c r="J389" s="4"/>
      <c r="K389" s="238"/>
      <c r="L389" s="4"/>
      <c r="M389" s="241"/>
      <c r="N389" s="242"/>
      <c r="O389" s="243"/>
      <c r="P389" s="4"/>
    </row>
    <row r="390" spans="1:16" x14ac:dyDescent="0.3">
      <c r="A390" s="302" t="s">
        <v>155</v>
      </c>
      <c r="B390" s="302" t="str">
        <f t="shared" ref="B390:B394" si="2">IF(H391="","N","Y")</f>
        <v>Y</v>
      </c>
      <c r="C390" s="6" t="s">
        <v>998</v>
      </c>
      <c r="D390" s="327"/>
      <c r="E390" s="327" t="s">
        <v>999</v>
      </c>
      <c r="F390" s="206"/>
      <c r="G390" s="207">
        <v>43407</v>
      </c>
      <c r="H390" s="207">
        <v>43407</v>
      </c>
      <c r="M390" s="212" t="s">
        <v>556</v>
      </c>
      <c r="N390" s="213"/>
      <c r="O390" s="209"/>
    </row>
    <row r="391" spans="1:16" x14ac:dyDescent="0.3">
      <c r="A391" s="238" t="s">
        <v>155</v>
      </c>
      <c r="B391" s="238" t="str">
        <f t="shared" si="2"/>
        <v>Y</v>
      </c>
      <c r="C391" s="457" t="s">
        <v>1000</v>
      </c>
      <c r="D391" s="335"/>
      <c r="E391" s="335" t="s">
        <v>1001</v>
      </c>
      <c r="F391" s="239"/>
      <c r="G391" s="240">
        <v>43407</v>
      </c>
      <c r="H391" s="240">
        <v>43407</v>
      </c>
      <c r="I391" s="4"/>
      <c r="J391" s="4"/>
      <c r="K391" s="238">
        <v>7808584363</v>
      </c>
      <c r="L391" s="245" t="s">
        <v>1002</v>
      </c>
      <c r="M391" s="245" t="s">
        <v>1003</v>
      </c>
      <c r="N391" s="242"/>
      <c r="O391" s="243"/>
      <c r="P391" s="4"/>
    </row>
    <row r="392" spans="1:16" x14ac:dyDescent="0.3">
      <c r="A392" s="238" t="s">
        <v>155</v>
      </c>
      <c r="B392" s="238" t="str">
        <f t="shared" si="2"/>
        <v>Y</v>
      </c>
      <c r="C392" s="457" t="s">
        <v>1000</v>
      </c>
      <c r="D392" s="335"/>
      <c r="E392" s="335" t="s">
        <v>1004</v>
      </c>
      <c r="F392" s="239" t="s">
        <v>1005</v>
      </c>
      <c r="G392" s="240">
        <v>43407</v>
      </c>
      <c r="H392" s="240">
        <v>43412</v>
      </c>
      <c r="I392" s="4"/>
      <c r="J392" s="4"/>
      <c r="K392" s="238">
        <v>9102011530</v>
      </c>
      <c r="L392" s="4"/>
      <c r="M392" s="241"/>
      <c r="N392" s="242"/>
      <c r="O392" s="243"/>
      <c r="P392" s="4"/>
    </row>
    <row r="393" spans="1:16" x14ac:dyDescent="0.3">
      <c r="A393" s="238" t="s">
        <v>155</v>
      </c>
      <c r="B393" s="238" t="str">
        <f t="shared" si="2"/>
        <v>Y</v>
      </c>
      <c r="C393" s="457" t="s">
        <v>1006</v>
      </c>
      <c r="D393" s="335"/>
      <c r="E393" s="335" t="s">
        <v>1007</v>
      </c>
      <c r="F393" s="239" t="s">
        <v>1005</v>
      </c>
      <c r="G393" s="240">
        <v>43407</v>
      </c>
      <c r="H393" s="240">
        <v>43412</v>
      </c>
      <c r="I393" s="4"/>
      <c r="J393" s="4"/>
      <c r="K393" s="238">
        <v>9102011530</v>
      </c>
      <c r="L393" s="4"/>
      <c r="M393" s="241"/>
      <c r="N393" s="242"/>
      <c r="O393" s="243"/>
      <c r="P393" s="4"/>
    </row>
    <row r="394" spans="1:16" x14ac:dyDescent="0.3">
      <c r="A394" s="238" t="s">
        <v>155</v>
      </c>
      <c r="B394" s="238" t="str">
        <f t="shared" si="2"/>
        <v>Y</v>
      </c>
      <c r="C394" s="457" t="s">
        <v>1008</v>
      </c>
      <c r="D394" s="335"/>
      <c r="E394" s="335" t="s">
        <v>1009</v>
      </c>
      <c r="F394" s="239"/>
      <c r="G394" s="240">
        <v>43412</v>
      </c>
      <c r="H394" s="240">
        <v>43412</v>
      </c>
      <c r="I394" s="4"/>
      <c r="J394" s="4"/>
      <c r="K394" s="238">
        <v>8092678271</v>
      </c>
      <c r="L394" s="4"/>
      <c r="M394" s="241"/>
      <c r="N394" s="242"/>
      <c r="O394" s="243"/>
      <c r="P394" s="4"/>
    </row>
    <row r="395" spans="1:16" x14ac:dyDescent="0.3">
      <c r="A395" s="302" t="s">
        <v>155</v>
      </c>
      <c r="B395" s="302" t="str">
        <f t="shared" ref="B395:B649" si="3">IF(H395="","N","Y")</f>
        <v>Y</v>
      </c>
      <c r="C395" s="6" t="s">
        <v>1010</v>
      </c>
      <c r="D395" s="327"/>
      <c r="E395" s="327" t="s">
        <v>1011</v>
      </c>
      <c r="F395" s="206"/>
      <c r="G395" s="207">
        <v>43416</v>
      </c>
      <c r="H395" s="207">
        <v>43416</v>
      </c>
      <c r="K395" s="302">
        <v>8092310744</v>
      </c>
      <c r="M395" s="212"/>
      <c r="N395" s="213"/>
      <c r="O395" s="209"/>
    </row>
    <row r="396" spans="1:16" x14ac:dyDescent="0.3">
      <c r="A396" s="302" t="s">
        <v>155</v>
      </c>
      <c r="B396" s="302" t="str">
        <f t="shared" si="3"/>
        <v>Y</v>
      </c>
      <c r="C396" s="6" t="s">
        <v>1012</v>
      </c>
      <c r="D396" s="327"/>
      <c r="E396" s="327" t="s">
        <v>1013</v>
      </c>
      <c r="F396" s="206" t="s">
        <v>1014</v>
      </c>
      <c r="G396" s="207">
        <v>43417</v>
      </c>
      <c r="H396" s="207">
        <v>43417</v>
      </c>
      <c r="K396" s="302">
        <v>8603268570</v>
      </c>
      <c r="L396" s="217" t="s">
        <v>1015</v>
      </c>
      <c r="M396" s="212"/>
      <c r="N396" s="213" t="s">
        <v>1016</v>
      </c>
      <c r="O396" s="209"/>
    </row>
    <row r="397" spans="1:16" x14ac:dyDescent="0.3">
      <c r="A397" s="302" t="s">
        <v>155</v>
      </c>
      <c r="B397" s="302" t="str">
        <f t="shared" si="3"/>
        <v>Y</v>
      </c>
      <c r="C397" s="6" t="s">
        <v>1017</v>
      </c>
      <c r="D397" s="327"/>
      <c r="E397" s="327" t="s">
        <v>1018</v>
      </c>
      <c r="F397" s="206"/>
      <c r="G397" s="207">
        <v>43422</v>
      </c>
      <c r="H397" s="207">
        <v>43423</v>
      </c>
      <c r="K397" s="302">
        <v>7209458338</v>
      </c>
      <c r="M397" s="212"/>
      <c r="N397" s="213"/>
      <c r="O397" s="209"/>
    </row>
    <row r="398" spans="1:16" x14ac:dyDescent="0.3">
      <c r="A398" s="302" t="s">
        <v>155</v>
      </c>
      <c r="B398" s="302" t="str">
        <f t="shared" si="3"/>
        <v>Y</v>
      </c>
      <c r="C398" s="6" t="s">
        <v>1019</v>
      </c>
      <c r="D398" s="327"/>
      <c r="E398" s="327" t="s">
        <v>1020</v>
      </c>
      <c r="F398" s="206"/>
      <c r="G398" s="207">
        <v>43423</v>
      </c>
      <c r="H398" s="207">
        <v>43423</v>
      </c>
      <c r="K398" s="302">
        <v>9934179679</v>
      </c>
      <c r="M398" s="212"/>
      <c r="N398" s="213"/>
      <c r="O398" s="209"/>
    </row>
    <row r="399" spans="1:16" x14ac:dyDescent="0.3">
      <c r="A399" s="302" t="s">
        <v>155</v>
      </c>
      <c r="B399" s="302" t="str">
        <f t="shared" si="3"/>
        <v>Y</v>
      </c>
      <c r="C399" s="6" t="s">
        <v>1021</v>
      </c>
      <c r="D399" s="327"/>
      <c r="E399" s="327" t="s">
        <v>1022</v>
      </c>
      <c r="F399" s="206"/>
      <c r="G399" s="207">
        <v>43424</v>
      </c>
      <c r="H399" s="207">
        <v>43425</v>
      </c>
      <c r="K399" s="302" t="s">
        <v>1023</v>
      </c>
      <c r="M399" s="212" t="s">
        <v>908</v>
      </c>
      <c r="N399" s="213"/>
      <c r="O399" s="209"/>
    </row>
    <row r="400" spans="1:16" x14ac:dyDescent="0.3">
      <c r="A400" s="302" t="s">
        <v>155</v>
      </c>
      <c r="B400" s="302" t="str">
        <f t="shared" si="3"/>
        <v>Y</v>
      </c>
      <c r="C400" s="6" t="s">
        <v>1024</v>
      </c>
      <c r="D400" s="327"/>
      <c r="E400" s="327" t="s">
        <v>1025</v>
      </c>
      <c r="F400" s="206"/>
      <c r="G400" s="207">
        <v>43425</v>
      </c>
      <c r="H400" s="207">
        <v>43425</v>
      </c>
      <c r="M400" s="212" t="s">
        <v>556</v>
      </c>
      <c r="N400" s="213"/>
      <c r="O400" s="209"/>
    </row>
    <row r="401" spans="1:15" x14ac:dyDescent="0.3">
      <c r="A401" s="302" t="s">
        <v>155</v>
      </c>
      <c r="B401" s="302" t="str">
        <f t="shared" si="3"/>
        <v>Y</v>
      </c>
      <c r="C401" s="6" t="s">
        <v>1026</v>
      </c>
      <c r="D401" s="327"/>
      <c r="E401" s="327" t="s">
        <v>1027</v>
      </c>
      <c r="F401" s="206"/>
      <c r="G401" s="207">
        <v>43425</v>
      </c>
      <c r="H401" s="207">
        <v>43425</v>
      </c>
      <c r="K401" s="302">
        <v>9777982271</v>
      </c>
      <c r="M401" s="212" t="s">
        <v>908</v>
      </c>
      <c r="N401" s="213"/>
      <c r="O401" s="209"/>
    </row>
    <row r="402" spans="1:15" x14ac:dyDescent="0.3">
      <c r="A402" s="302" t="s">
        <v>155</v>
      </c>
      <c r="B402" s="302" t="str">
        <f t="shared" si="3"/>
        <v>Y</v>
      </c>
      <c r="C402" s="6" t="s">
        <v>1028</v>
      </c>
      <c r="D402" s="327"/>
      <c r="E402" s="327" t="s">
        <v>1029</v>
      </c>
      <c r="F402" s="206"/>
      <c r="G402" s="207">
        <v>43425</v>
      </c>
      <c r="H402" s="207">
        <v>43425</v>
      </c>
      <c r="K402" s="302">
        <v>9065237074</v>
      </c>
      <c r="M402" s="212" t="s">
        <v>556</v>
      </c>
      <c r="N402" s="213"/>
      <c r="O402" s="209"/>
    </row>
    <row r="403" spans="1:15" x14ac:dyDescent="0.3">
      <c r="A403" s="302" t="s">
        <v>155</v>
      </c>
      <c r="B403" s="302" t="str">
        <f t="shared" si="3"/>
        <v>Y</v>
      </c>
      <c r="C403" s="6" t="s">
        <v>1030</v>
      </c>
      <c r="D403" s="327"/>
      <c r="E403" s="327" t="s">
        <v>1031</v>
      </c>
      <c r="F403" s="206"/>
      <c r="G403" s="207">
        <v>43427</v>
      </c>
      <c r="H403" s="207">
        <v>43428</v>
      </c>
      <c r="K403" s="302">
        <v>9709254072</v>
      </c>
      <c r="M403" s="212"/>
      <c r="N403" s="213"/>
      <c r="O403" s="209"/>
    </row>
    <row r="404" spans="1:15" x14ac:dyDescent="0.3">
      <c r="A404" s="302" t="s">
        <v>155</v>
      </c>
      <c r="B404" s="302" t="str">
        <f t="shared" si="3"/>
        <v>Y</v>
      </c>
      <c r="C404" s="6" t="s">
        <v>1032</v>
      </c>
      <c r="D404" s="327"/>
      <c r="E404" s="327" t="s">
        <v>1033</v>
      </c>
      <c r="F404" s="206"/>
      <c r="G404" s="207">
        <v>43427</v>
      </c>
      <c r="H404" s="207">
        <v>43428</v>
      </c>
      <c r="K404" s="302">
        <v>7209163018</v>
      </c>
      <c r="M404" s="212" t="s">
        <v>1034</v>
      </c>
      <c r="N404" s="213"/>
      <c r="O404" s="209"/>
    </row>
    <row r="405" spans="1:15" x14ac:dyDescent="0.3">
      <c r="A405" s="302" t="s">
        <v>155</v>
      </c>
      <c r="B405" s="302" t="str">
        <f t="shared" si="3"/>
        <v>Y</v>
      </c>
      <c r="C405" s="6" t="s">
        <v>1035</v>
      </c>
      <c r="D405" s="327"/>
      <c r="E405" s="327" t="s">
        <v>1036</v>
      </c>
      <c r="F405" s="206"/>
      <c r="G405" s="207">
        <v>43427</v>
      </c>
      <c r="H405" s="207">
        <v>43428</v>
      </c>
      <c r="K405" s="302">
        <v>6207256207</v>
      </c>
      <c r="M405" s="212" t="s">
        <v>1034</v>
      </c>
      <c r="N405" s="213"/>
      <c r="O405" s="209"/>
    </row>
    <row r="406" spans="1:15" x14ac:dyDescent="0.3">
      <c r="A406" s="302" t="s">
        <v>155</v>
      </c>
      <c r="B406" s="302" t="str">
        <f t="shared" si="3"/>
        <v>Y</v>
      </c>
      <c r="C406" s="6" t="s">
        <v>1037</v>
      </c>
      <c r="D406" s="327"/>
      <c r="E406" s="327" t="s">
        <v>1038</v>
      </c>
      <c r="F406" s="206"/>
      <c r="G406" s="207">
        <v>43429</v>
      </c>
      <c r="H406" s="207">
        <v>43431</v>
      </c>
      <c r="K406" s="302">
        <v>6204585493</v>
      </c>
      <c r="L406" s="217" t="s">
        <v>1039</v>
      </c>
      <c r="M406" s="217" t="s">
        <v>1040</v>
      </c>
      <c r="N406" s="213"/>
      <c r="O406" s="209"/>
    </row>
    <row r="407" spans="1:15" x14ac:dyDescent="0.3">
      <c r="A407" s="302" t="s">
        <v>155</v>
      </c>
      <c r="B407" s="302" t="str">
        <f t="shared" si="3"/>
        <v>Y</v>
      </c>
      <c r="C407" s="6" t="s">
        <v>1041</v>
      </c>
      <c r="D407" s="327"/>
      <c r="E407" s="327" t="s">
        <v>1042</v>
      </c>
      <c r="F407" s="206"/>
      <c r="G407" s="207">
        <v>43429</v>
      </c>
      <c r="H407" s="207">
        <v>43431</v>
      </c>
      <c r="K407" s="302">
        <v>7004932216</v>
      </c>
      <c r="M407" s="212"/>
      <c r="N407" s="213"/>
      <c r="O407" s="209"/>
    </row>
    <row r="408" spans="1:15" x14ac:dyDescent="0.3">
      <c r="A408" s="302" t="s">
        <v>155</v>
      </c>
      <c r="B408" s="302" t="str">
        <f t="shared" si="3"/>
        <v>Y</v>
      </c>
      <c r="C408" s="6" t="s">
        <v>1043</v>
      </c>
      <c r="D408" s="327"/>
      <c r="E408" s="327" t="s">
        <v>1044</v>
      </c>
      <c r="F408" s="206"/>
      <c r="G408" s="207">
        <v>43429</v>
      </c>
      <c r="H408" s="207">
        <v>43431</v>
      </c>
      <c r="K408" s="302">
        <v>8603752894</v>
      </c>
      <c r="M408" s="212"/>
      <c r="N408" s="213"/>
      <c r="O408" s="209"/>
    </row>
    <row r="409" spans="1:15" x14ac:dyDescent="0.3">
      <c r="A409" s="302" t="s">
        <v>155</v>
      </c>
      <c r="B409" s="302" t="str">
        <f t="shared" si="3"/>
        <v>Y</v>
      </c>
      <c r="C409" s="6" t="s">
        <v>1045</v>
      </c>
      <c r="D409" s="327"/>
      <c r="E409" s="327" t="s">
        <v>1046</v>
      </c>
      <c r="F409" s="206"/>
      <c r="G409" s="207">
        <v>43429</v>
      </c>
      <c r="H409" s="207">
        <v>43431</v>
      </c>
      <c r="K409" s="302">
        <v>6203347524</v>
      </c>
      <c r="L409" s="217" t="s">
        <v>1047</v>
      </c>
      <c r="M409" s="212"/>
      <c r="N409" s="213"/>
      <c r="O409" s="209"/>
    </row>
    <row r="410" spans="1:15" x14ac:dyDescent="0.3">
      <c r="A410" s="302" t="s">
        <v>155</v>
      </c>
      <c r="B410" s="302" t="str">
        <f t="shared" si="3"/>
        <v>Y</v>
      </c>
      <c r="C410" s="6" t="s">
        <v>1048</v>
      </c>
      <c r="D410" s="327"/>
      <c r="E410" s="327" t="s">
        <v>1049</v>
      </c>
      <c r="F410" s="206"/>
      <c r="G410" s="207">
        <v>43431</v>
      </c>
      <c r="H410" s="207">
        <v>43431</v>
      </c>
      <c r="K410" s="302">
        <v>8804131831</v>
      </c>
      <c r="M410" s="212"/>
      <c r="N410" s="213"/>
      <c r="O410" s="209"/>
    </row>
    <row r="411" spans="1:15" x14ac:dyDescent="0.3">
      <c r="A411" s="302" t="s">
        <v>155</v>
      </c>
      <c r="B411" s="302" t="str">
        <f t="shared" si="3"/>
        <v>Y</v>
      </c>
      <c r="C411" s="6" t="s">
        <v>1050</v>
      </c>
      <c r="D411" s="327"/>
      <c r="E411" s="327" t="s">
        <v>1051</v>
      </c>
      <c r="F411" s="206"/>
      <c r="G411" s="207">
        <v>43431</v>
      </c>
      <c r="H411" s="207">
        <v>43432</v>
      </c>
      <c r="K411" s="302">
        <v>7759872431</v>
      </c>
      <c r="M411" s="212"/>
      <c r="N411" s="213"/>
      <c r="O411" s="209"/>
    </row>
    <row r="412" spans="1:15" x14ac:dyDescent="0.3">
      <c r="A412" s="238" t="s">
        <v>155</v>
      </c>
      <c r="B412" s="238" t="str">
        <f t="shared" si="3"/>
        <v>Y</v>
      </c>
      <c r="C412" s="457" t="s">
        <v>1052</v>
      </c>
      <c r="D412" s="335"/>
      <c r="E412" s="335" t="s">
        <v>1053</v>
      </c>
      <c r="F412" s="239"/>
      <c r="G412" s="240">
        <v>43431</v>
      </c>
      <c r="H412" s="240">
        <v>43432</v>
      </c>
      <c r="I412" s="4"/>
      <c r="J412" s="4"/>
      <c r="K412" s="238">
        <v>7209483044</v>
      </c>
      <c r="L412" s="246" t="s">
        <v>1054</v>
      </c>
      <c r="M412" s="212"/>
      <c r="N412" s="213"/>
      <c r="O412" s="209"/>
    </row>
    <row r="413" spans="1:15" x14ac:dyDescent="0.3">
      <c r="A413" s="302" t="s">
        <v>155</v>
      </c>
      <c r="B413" s="302" t="str">
        <f t="shared" si="3"/>
        <v>Y</v>
      </c>
      <c r="C413" s="6" t="s">
        <v>1055</v>
      </c>
      <c r="D413" s="327"/>
      <c r="E413" s="327" t="s">
        <v>1056</v>
      </c>
      <c r="F413" s="206"/>
      <c r="G413" s="207">
        <v>43431</v>
      </c>
      <c r="H413" s="207">
        <v>43432</v>
      </c>
      <c r="K413" s="302">
        <v>9709012863</v>
      </c>
      <c r="M413" s="212"/>
      <c r="N413" s="213"/>
      <c r="O413" s="209"/>
    </row>
    <row r="414" spans="1:15" x14ac:dyDescent="0.3">
      <c r="A414" s="302" t="s">
        <v>155</v>
      </c>
      <c r="B414" s="302" t="str">
        <f t="shared" si="3"/>
        <v>Y</v>
      </c>
      <c r="C414" s="6" t="s">
        <v>1057</v>
      </c>
      <c r="D414" s="327"/>
      <c r="E414" s="327" t="s">
        <v>1058</v>
      </c>
      <c r="F414" s="206"/>
      <c r="G414" s="207">
        <v>43432</v>
      </c>
      <c r="H414" s="207">
        <v>43433</v>
      </c>
      <c r="K414" s="302">
        <v>9570027446</v>
      </c>
      <c r="M414" s="212"/>
      <c r="N414" s="213"/>
      <c r="O414" s="209"/>
    </row>
    <row r="415" spans="1:15" x14ac:dyDescent="0.3">
      <c r="A415" s="302" t="s">
        <v>155</v>
      </c>
      <c r="B415" s="302" t="str">
        <f t="shared" si="3"/>
        <v>Y</v>
      </c>
      <c r="C415" s="6" t="s">
        <v>1059</v>
      </c>
      <c r="D415" s="327"/>
      <c r="E415" s="327" t="s">
        <v>1060</v>
      </c>
      <c r="F415" s="206"/>
      <c r="G415" s="207">
        <v>43433</v>
      </c>
      <c r="H415" s="207">
        <v>43433</v>
      </c>
      <c r="K415" s="302">
        <v>7488789573</v>
      </c>
      <c r="M415" s="212"/>
      <c r="N415" s="213"/>
      <c r="O415" s="209"/>
    </row>
    <row r="416" spans="1:15" x14ac:dyDescent="0.3">
      <c r="A416" s="302" t="s">
        <v>155</v>
      </c>
      <c r="B416" s="302" t="str">
        <f t="shared" si="3"/>
        <v>Y</v>
      </c>
      <c r="C416" s="6" t="s">
        <v>1061</v>
      </c>
      <c r="D416" s="327"/>
      <c r="E416" s="327" t="s">
        <v>1062</v>
      </c>
      <c r="F416" s="206"/>
      <c r="G416" s="207">
        <v>43433</v>
      </c>
      <c r="H416" s="207">
        <v>43433</v>
      </c>
      <c r="K416" s="302">
        <v>9279337611</v>
      </c>
      <c r="M416" s="212"/>
      <c r="N416" s="213"/>
      <c r="O416" s="209"/>
    </row>
    <row r="417" spans="1:15" x14ac:dyDescent="0.3">
      <c r="A417" s="302" t="s">
        <v>155</v>
      </c>
      <c r="B417" s="302" t="str">
        <f t="shared" si="3"/>
        <v>Y</v>
      </c>
      <c r="C417" s="6" t="s">
        <v>1063</v>
      </c>
      <c r="D417" s="327"/>
      <c r="E417" s="327" t="s">
        <v>1064</v>
      </c>
      <c r="F417" s="206"/>
      <c r="G417" s="207">
        <v>43433</v>
      </c>
      <c r="H417" s="207">
        <v>43435</v>
      </c>
      <c r="M417" s="212"/>
      <c r="N417" s="213"/>
      <c r="O417" s="209"/>
    </row>
    <row r="418" spans="1:15" x14ac:dyDescent="0.3">
      <c r="A418" s="302" t="s">
        <v>155</v>
      </c>
      <c r="B418" s="302" t="str">
        <f t="shared" si="3"/>
        <v>Y</v>
      </c>
      <c r="C418" s="457" t="s">
        <v>1065</v>
      </c>
      <c r="D418" s="335"/>
      <c r="E418" s="335" t="s">
        <v>1066</v>
      </c>
      <c r="F418" s="239"/>
      <c r="G418" s="240">
        <v>43435</v>
      </c>
      <c r="H418" s="240">
        <v>43436</v>
      </c>
      <c r="I418" s="4"/>
      <c r="J418" s="4"/>
      <c r="K418" s="238">
        <v>6207487308</v>
      </c>
      <c r="L418" s="4"/>
      <c r="M418" s="241" t="s">
        <v>556</v>
      </c>
      <c r="N418" s="213"/>
      <c r="O418" s="209"/>
    </row>
    <row r="419" spans="1:15" x14ac:dyDescent="0.3">
      <c r="A419" s="302" t="s">
        <v>155</v>
      </c>
      <c r="B419" s="302" t="str">
        <f t="shared" si="3"/>
        <v>Y</v>
      </c>
      <c r="C419" s="6" t="s">
        <v>1067</v>
      </c>
      <c r="D419" s="327"/>
      <c r="E419" s="327" t="s">
        <v>1068</v>
      </c>
      <c r="F419" s="206"/>
      <c r="G419" s="207">
        <v>43437</v>
      </c>
      <c r="H419" s="207">
        <v>43437</v>
      </c>
      <c r="K419" s="302">
        <v>9102554555</v>
      </c>
      <c r="M419" s="212" t="s">
        <v>556</v>
      </c>
      <c r="N419" s="213"/>
      <c r="O419" s="209"/>
    </row>
    <row r="420" spans="1:15" x14ac:dyDescent="0.3">
      <c r="A420" s="302" t="s">
        <v>155</v>
      </c>
      <c r="B420" s="302" t="str">
        <f t="shared" si="3"/>
        <v>Y</v>
      </c>
      <c r="C420" s="6" t="s">
        <v>1069</v>
      </c>
      <c r="D420" s="327"/>
      <c r="E420" s="327" t="s">
        <v>1070</v>
      </c>
      <c r="F420" s="206"/>
      <c r="G420" s="207">
        <v>43437</v>
      </c>
      <c r="H420" s="207">
        <v>43437</v>
      </c>
      <c r="K420" s="302">
        <v>8797131337</v>
      </c>
      <c r="M420" s="212" t="s">
        <v>556</v>
      </c>
      <c r="N420" s="213"/>
      <c r="O420" s="209"/>
    </row>
    <row r="421" spans="1:15" x14ac:dyDescent="0.3">
      <c r="A421" s="302" t="s">
        <v>155</v>
      </c>
      <c r="B421" s="302" t="str">
        <f t="shared" si="3"/>
        <v>Y</v>
      </c>
      <c r="C421" s="6" t="s">
        <v>1071</v>
      </c>
      <c r="D421" s="327"/>
      <c r="E421" s="327" t="s">
        <v>1072</v>
      </c>
      <c r="F421" s="206"/>
      <c r="G421" s="207">
        <v>43437</v>
      </c>
      <c r="H421" s="207">
        <v>43437</v>
      </c>
      <c r="K421" s="302">
        <v>9031400239</v>
      </c>
      <c r="M421" s="212" t="s">
        <v>556</v>
      </c>
      <c r="N421" s="213"/>
      <c r="O421" s="209"/>
    </row>
    <row r="422" spans="1:15" x14ac:dyDescent="0.3">
      <c r="A422" s="302" t="s">
        <v>155</v>
      </c>
      <c r="B422" s="302" t="str">
        <f t="shared" si="3"/>
        <v>Y</v>
      </c>
      <c r="C422" s="6" t="s">
        <v>1073</v>
      </c>
      <c r="D422" s="327"/>
      <c r="E422" s="327" t="s">
        <v>1074</v>
      </c>
      <c r="F422" s="206"/>
      <c r="G422" s="207">
        <v>43437</v>
      </c>
      <c r="H422" s="207">
        <v>43437</v>
      </c>
      <c r="K422" s="302">
        <v>957220316</v>
      </c>
      <c r="M422" s="212" t="s">
        <v>556</v>
      </c>
      <c r="N422" s="213"/>
      <c r="O422" s="209"/>
    </row>
    <row r="423" spans="1:15" x14ac:dyDescent="0.3">
      <c r="A423" s="302" t="s">
        <v>155</v>
      </c>
      <c r="B423" s="302" t="str">
        <f t="shared" si="3"/>
        <v>Y</v>
      </c>
      <c r="C423" s="6" t="s">
        <v>1075</v>
      </c>
      <c r="D423" s="327"/>
      <c r="E423" s="327" t="s">
        <v>1076</v>
      </c>
      <c r="F423" s="206"/>
      <c r="G423" s="207">
        <v>43437</v>
      </c>
      <c r="H423" s="207">
        <v>43437</v>
      </c>
      <c r="K423" s="302">
        <v>8797595759</v>
      </c>
      <c r="M423" s="212"/>
      <c r="N423" s="213"/>
      <c r="O423" s="209"/>
    </row>
    <row r="424" spans="1:15" x14ac:dyDescent="0.3">
      <c r="A424" s="302" t="s">
        <v>155</v>
      </c>
      <c r="B424" s="302" t="str">
        <f t="shared" si="3"/>
        <v>Y</v>
      </c>
      <c r="C424" s="6" t="s">
        <v>1077</v>
      </c>
      <c r="D424" s="327"/>
      <c r="E424" s="327" t="s">
        <v>1078</v>
      </c>
      <c r="F424" s="206"/>
      <c r="G424" s="207">
        <v>43437</v>
      </c>
      <c r="H424" s="207">
        <v>43437</v>
      </c>
      <c r="K424" s="302">
        <v>8292199709</v>
      </c>
      <c r="M424" s="212"/>
      <c r="N424" s="213"/>
      <c r="O424" s="209"/>
    </row>
    <row r="425" spans="1:15" x14ac:dyDescent="0.3">
      <c r="A425" s="302" t="s">
        <v>155</v>
      </c>
      <c r="B425" s="302" t="str">
        <f t="shared" si="3"/>
        <v>Y</v>
      </c>
      <c r="C425" s="6" t="s">
        <v>1079</v>
      </c>
      <c r="D425" s="327"/>
      <c r="E425" s="327" t="s">
        <v>798</v>
      </c>
      <c r="F425" s="206"/>
      <c r="G425" s="207">
        <v>43437</v>
      </c>
      <c r="H425" s="207">
        <v>43440</v>
      </c>
      <c r="K425" s="302">
        <v>9939326138</v>
      </c>
      <c r="M425" s="212" t="s">
        <v>556</v>
      </c>
      <c r="N425" s="213"/>
      <c r="O425" s="209"/>
    </row>
    <row r="426" spans="1:15" x14ac:dyDescent="0.3">
      <c r="A426" s="302" t="s">
        <v>155</v>
      </c>
      <c r="B426" s="302" t="str">
        <f t="shared" si="3"/>
        <v>N</v>
      </c>
      <c r="C426" s="6"/>
      <c r="D426" s="327"/>
      <c r="E426" s="327" t="s">
        <v>1080</v>
      </c>
      <c r="F426" s="206"/>
      <c r="G426" s="207"/>
      <c r="H426" s="207"/>
      <c r="M426" s="212" t="s">
        <v>556</v>
      </c>
      <c r="N426" s="213"/>
      <c r="O426" s="209"/>
    </row>
    <row r="427" spans="1:15" x14ac:dyDescent="0.3">
      <c r="A427" s="302" t="s">
        <v>155</v>
      </c>
      <c r="B427" s="302" t="str">
        <f t="shared" si="3"/>
        <v>Y</v>
      </c>
      <c r="C427" s="6" t="s">
        <v>1081</v>
      </c>
      <c r="D427" s="327"/>
      <c r="E427" s="327" t="s">
        <v>1082</v>
      </c>
      <c r="F427" s="302" t="s">
        <v>1083</v>
      </c>
      <c r="G427" s="207">
        <v>43440</v>
      </c>
      <c r="H427" s="207">
        <v>43441</v>
      </c>
      <c r="L427" s="217" t="s">
        <v>1084</v>
      </c>
      <c r="M427" s="217" t="s">
        <v>1085</v>
      </c>
      <c r="N427" s="213"/>
      <c r="O427" s="209"/>
    </row>
    <row r="428" spans="1:15" x14ac:dyDescent="0.3">
      <c r="A428" s="302" t="s">
        <v>155</v>
      </c>
      <c r="B428" s="302" t="str">
        <f t="shared" si="3"/>
        <v>Y</v>
      </c>
      <c r="C428" s="6" t="s">
        <v>1086</v>
      </c>
      <c r="D428" s="327"/>
      <c r="E428" s="327" t="s">
        <v>1087</v>
      </c>
      <c r="F428" s="206"/>
      <c r="G428" s="207">
        <v>43440</v>
      </c>
      <c r="H428" s="207">
        <v>43441</v>
      </c>
      <c r="L428" s="217" t="s">
        <v>1088</v>
      </c>
      <c r="M428" s="212" t="s">
        <v>1083</v>
      </c>
      <c r="N428" s="213"/>
      <c r="O428" s="209"/>
    </row>
    <row r="429" spans="1:15" x14ac:dyDescent="0.3">
      <c r="A429" s="302" t="s">
        <v>155</v>
      </c>
      <c r="B429" s="302" t="str">
        <f t="shared" si="3"/>
        <v>Y</v>
      </c>
      <c r="C429" s="6" t="s">
        <v>1089</v>
      </c>
      <c r="D429" s="327"/>
      <c r="E429" s="327" t="s">
        <v>1090</v>
      </c>
      <c r="F429" s="206"/>
      <c r="G429" s="207">
        <v>43441</v>
      </c>
      <c r="H429" s="207">
        <v>43441</v>
      </c>
      <c r="M429" s="212" t="s">
        <v>556</v>
      </c>
      <c r="N429" s="213"/>
      <c r="O429" s="209"/>
    </row>
    <row r="430" spans="1:15" x14ac:dyDescent="0.3">
      <c r="A430" s="302" t="s">
        <v>155</v>
      </c>
      <c r="B430" s="302" t="str">
        <f t="shared" si="3"/>
        <v>Y</v>
      </c>
      <c r="C430" s="6" t="s">
        <v>1091</v>
      </c>
      <c r="D430" s="327"/>
      <c r="E430" s="327" t="s">
        <v>1092</v>
      </c>
      <c r="F430" s="206"/>
      <c r="G430" s="207">
        <v>43441</v>
      </c>
      <c r="H430" s="207">
        <v>43441</v>
      </c>
      <c r="M430" s="212" t="s">
        <v>556</v>
      </c>
      <c r="N430" s="213"/>
      <c r="O430" s="209"/>
    </row>
    <row r="431" spans="1:15" x14ac:dyDescent="0.3">
      <c r="A431" s="302" t="s">
        <v>155</v>
      </c>
      <c r="B431" s="302" t="str">
        <f t="shared" si="3"/>
        <v>N</v>
      </c>
      <c r="C431" s="6" t="s">
        <v>1093</v>
      </c>
      <c r="D431" s="327"/>
      <c r="E431" s="327" t="s">
        <v>1094</v>
      </c>
      <c r="F431" s="206"/>
      <c r="G431" s="207"/>
      <c r="H431" s="207"/>
      <c r="M431" s="212" t="s">
        <v>556</v>
      </c>
      <c r="N431" s="213"/>
      <c r="O431" s="209"/>
    </row>
    <row r="432" spans="1:15" x14ac:dyDescent="0.3">
      <c r="A432" s="302" t="s">
        <v>155</v>
      </c>
      <c r="B432" s="302" t="str">
        <f t="shared" si="3"/>
        <v>Y</v>
      </c>
      <c r="C432" s="6" t="s">
        <v>1095</v>
      </c>
      <c r="D432" s="327"/>
      <c r="E432" s="327" t="s">
        <v>1096</v>
      </c>
      <c r="F432" s="206"/>
      <c r="G432" s="207">
        <v>43441</v>
      </c>
      <c r="H432" s="207">
        <v>43441</v>
      </c>
      <c r="M432" s="212" t="s">
        <v>908</v>
      </c>
      <c r="N432" s="213"/>
      <c r="O432" s="209"/>
    </row>
    <row r="433" spans="1:15" x14ac:dyDescent="0.3">
      <c r="A433" s="302" t="s">
        <v>155</v>
      </c>
      <c r="B433" s="302" t="str">
        <f t="shared" si="3"/>
        <v>Y</v>
      </c>
      <c r="C433" s="6" t="s">
        <v>1097</v>
      </c>
      <c r="D433" s="327"/>
      <c r="E433" s="327" t="s">
        <v>1098</v>
      </c>
      <c r="F433" s="206"/>
      <c r="G433" s="207">
        <v>43441</v>
      </c>
      <c r="H433" s="207">
        <v>43441</v>
      </c>
      <c r="K433" s="302">
        <v>8825395036</v>
      </c>
      <c r="M433" s="212" t="s">
        <v>908</v>
      </c>
      <c r="N433" s="213"/>
      <c r="O433" s="209"/>
    </row>
    <row r="434" spans="1:15" x14ac:dyDescent="0.3">
      <c r="A434" s="302" t="s">
        <v>155</v>
      </c>
      <c r="B434" s="302" t="str">
        <f t="shared" si="3"/>
        <v>Y</v>
      </c>
      <c r="C434" s="6" t="s">
        <v>1099</v>
      </c>
      <c r="D434" s="327"/>
      <c r="E434" s="327" t="s">
        <v>1100</v>
      </c>
      <c r="F434" s="206"/>
      <c r="G434" s="207">
        <v>43441</v>
      </c>
      <c r="H434" s="207">
        <v>43441</v>
      </c>
      <c r="M434" s="212" t="s">
        <v>556</v>
      </c>
      <c r="N434" s="213"/>
      <c r="O434" s="209"/>
    </row>
    <row r="435" spans="1:15" x14ac:dyDescent="0.3">
      <c r="A435" s="302" t="s">
        <v>870</v>
      </c>
      <c r="B435" s="302" t="str">
        <f t="shared" si="3"/>
        <v>Y</v>
      </c>
      <c r="C435" s="6" t="s">
        <v>1101</v>
      </c>
      <c r="D435" s="327"/>
      <c r="E435" s="327" t="s">
        <v>778</v>
      </c>
      <c r="F435" s="206"/>
      <c r="G435" s="207">
        <v>43441</v>
      </c>
      <c r="H435" s="207">
        <v>43441</v>
      </c>
      <c r="L435" s="2">
        <v>0</v>
      </c>
      <c r="M435" s="212" t="s">
        <v>556</v>
      </c>
      <c r="N435" s="213"/>
      <c r="O435" s="209"/>
    </row>
    <row r="436" spans="1:15" x14ac:dyDescent="0.3">
      <c r="A436" s="302" t="s">
        <v>155</v>
      </c>
      <c r="B436" s="302" t="str">
        <f t="shared" si="3"/>
        <v>Y</v>
      </c>
      <c r="C436" s="6" t="s">
        <v>1102</v>
      </c>
      <c r="D436" s="327"/>
      <c r="E436" s="327" t="s">
        <v>1103</v>
      </c>
      <c r="F436" s="206"/>
      <c r="G436" s="207">
        <v>43441</v>
      </c>
      <c r="H436" s="207">
        <v>43441</v>
      </c>
      <c r="K436" s="302">
        <v>8002023325</v>
      </c>
      <c r="M436" s="212"/>
      <c r="N436" s="213"/>
      <c r="O436" s="209"/>
    </row>
    <row r="437" spans="1:15" x14ac:dyDescent="0.3">
      <c r="A437" s="302" t="s">
        <v>155</v>
      </c>
      <c r="B437" s="302" t="str">
        <f t="shared" si="3"/>
        <v>Y</v>
      </c>
      <c r="C437" s="6" t="s">
        <v>1104</v>
      </c>
      <c r="D437" s="327"/>
      <c r="E437" s="327" t="s">
        <v>1105</v>
      </c>
      <c r="F437" s="206"/>
      <c r="G437" s="207">
        <v>43441</v>
      </c>
      <c r="H437" s="207">
        <v>43441</v>
      </c>
      <c r="K437" s="302">
        <v>9525218309</v>
      </c>
      <c r="M437" s="212"/>
      <c r="N437" s="213"/>
      <c r="O437" s="209"/>
    </row>
    <row r="438" spans="1:15" x14ac:dyDescent="0.3">
      <c r="A438" s="302" t="s">
        <v>155</v>
      </c>
      <c r="B438" s="302" t="str">
        <f t="shared" si="3"/>
        <v>Y</v>
      </c>
      <c r="C438" s="6" t="s">
        <v>1106</v>
      </c>
      <c r="D438" s="327"/>
      <c r="E438" s="327" t="s">
        <v>1107</v>
      </c>
      <c r="F438" s="206"/>
      <c r="G438" s="207">
        <v>43441</v>
      </c>
      <c r="H438" s="207">
        <v>43441</v>
      </c>
      <c r="K438" s="302">
        <v>9905498895</v>
      </c>
      <c r="M438" s="212"/>
      <c r="N438" s="213"/>
      <c r="O438" s="209"/>
    </row>
    <row r="439" spans="1:15" x14ac:dyDescent="0.3">
      <c r="A439" s="302" t="s">
        <v>155</v>
      </c>
      <c r="B439" s="302" t="str">
        <f t="shared" si="3"/>
        <v>Y</v>
      </c>
      <c r="C439" s="6" t="s">
        <v>1108</v>
      </c>
      <c r="D439" s="327"/>
      <c r="E439" s="327" t="s">
        <v>1109</v>
      </c>
      <c r="F439" s="206"/>
      <c r="G439" s="207">
        <v>43447</v>
      </c>
      <c r="H439" s="207">
        <v>43447</v>
      </c>
      <c r="K439" s="302">
        <v>7549410014</v>
      </c>
      <c r="M439" s="212" t="s">
        <v>463</v>
      </c>
      <c r="N439" s="213"/>
      <c r="O439" s="209"/>
    </row>
    <row r="440" spans="1:15" x14ac:dyDescent="0.3">
      <c r="A440" s="302" t="s">
        <v>155</v>
      </c>
      <c r="B440" s="302" t="str">
        <f t="shared" si="3"/>
        <v>Y</v>
      </c>
      <c r="C440" s="6" t="s">
        <v>1110</v>
      </c>
      <c r="D440" s="327"/>
      <c r="E440" s="327" t="s">
        <v>1111</v>
      </c>
      <c r="F440" s="206"/>
      <c r="G440" s="207">
        <v>43447</v>
      </c>
      <c r="H440" s="207">
        <v>43447</v>
      </c>
      <c r="K440" s="302">
        <v>8709014383</v>
      </c>
      <c r="M440" s="212" t="s">
        <v>463</v>
      </c>
      <c r="N440" s="213"/>
      <c r="O440" s="209"/>
    </row>
    <row r="441" spans="1:15" x14ac:dyDescent="0.3">
      <c r="A441" s="302" t="s">
        <v>155</v>
      </c>
      <c r="B441" s="302" t="str">
        <f t="shared" si="3"/>
        <v>Y</v>
      </c>
      <c r="C441" s="6" t="s">
        <v>1112</v>
      </c>
      <c r="D441" s="327"/>
      <c r="E441" s="327" t="s">
        <v>1113</v>
      </c>
      <c r="F441" s="206"/>
      <c r="G441" s="207">
        <v>43447</v>
      </c>
      <c r="H441" s="207">
        <v>43447</v>
      </c>
      <c r="K441" s="302">
        <v>8521633325</v>
      </c>
      <c r="M441" s="212" t="s">
        <v>463</v>
      </c>
      <c r="N441" s="213"/>
      <c r="O441" s="209"/>
    </row>
    <row r="442" spans="1:15" x14ac:dyDescent="0.3">
      <c r="A442" s="302" t="s">
        <v>155</v>
      </c>
      <c r="B442" s="302" t="str">
        <f t="shared" si="3"/>
        <v>Y</v>
      </c>
      <c r="C442" s="6" t="s">
        <v>1114</v>
      </c>
      <c r="D442" s="327"/>
      <c r="E442" s="327" t="s">
        <v>1115</v>
      </c>
      <c r="F442" s="206"/>
      <c r="G442" s="207">
        <v>43448</v>
      </c>
      <c r="H442" s="207">
        <v>43448</v>
      </c>
      <c r="K442" s="302">
        <v>8677887243</v>
      </c>
      <c r="M442" s="212" t="s">
        <v>463</v>
      </c>
      <c r="N442" s="213"/>
      <c r="O442" s="209"/>
    </row>
    <row r="443" spans="1:15" x14ac:dyDescent="0.3">
      <c r="A443" s="302" t="s">
        <v>155</v>
      </c>
      <c r="B443" s="302" t="str">
        <f t="shared" si="3"/>
        <v>Y</v>
      </c>
      <c r="C443" s="6" t="s">
        <v>1116</v>
      </c>
      <c r="D443" s="327"/>
      <c r="E443" s="327" t="s">
        <v>1117</v>
      </c>
      <c r="F443" s="206"/>
      <c r="G443" s="207">
        <v>43448</v>
      </c>
      <c r="H443" s="207">
        <v>43451</v>
      </c>
      <c r="K443" s="302">
        <v>9097188675</v>
      </c>
      <c r="M443" s="212"/>
      <c r="N443" s="213"/>
      <c r="O443" s="209"/>
    </row>
    <row r="444" spans="1:15" x14ac:dyDescent="0.3">
      <c r="A444" s="302" t="s">
        <v>155</v>
      </c>
      <c r="B444" s="302" t="str">
        <f t="shared" si="3"/>
        <v>Y</v>
      </c>
      <c r="C444" s="6" t="s">
        <v>1118</v>
      </c>
      <c r="D444" s="327"/>
      <c r="E444" s="327" t="s">
        <v>1119</v>
      </c>
      <c r="F444" s="206"/>
      <c r="G444" s="207">
        <v>43448</v>
      </c>
      <c r="H444" s="207">
        <v>43448</v>
      </c>
      <c r="K444" s="302">
        <v>9097188675</v>
      </c>
      <c r="M444" s="212"/>
      <c r="N444" s="213"/>
      <c r="O444" s="209"/>
    </row>
    <row r="445" spans="1:15" x14ac:dyDescent="0.3">
      <c r="A445" s="302" t="s">
        <v>155</v>
      </c>
      <c r="B445" s="302" t="str">
        <f t="shared" si="3"/>
        <v>Y</v>
      </c>
      <c r="C445" s="6" t="s">
        <v>1120</v>
      </c>
      <c r="D445" s="327"/>
      <c r="E445" s="327" t="s">
        <v>1121</v>
      </c>
      <c r="F445" s="206"/>
      <c r="G445" s="207">
        <v>43448</v>
      </c>
      <c r="H445" s="207">
        <v>43448</v>
      </c>
      <c r="M445" s="212" t="s">
        <v>556</v>
      </c>
      <c r="N445" s="213"/>
      <c r="O445" s="209"/>
    </row>
    <row r="446" spans="1:15" x14ac:dyDescent="0.3">
      <c r="A446" s="302" t="s">
        <v>155</v>
      </c>
      <c r="B446" s="302" t="str">
        <f t="shared" si="3"/>
        <v>Y</v>
      </c>
      <c r="C446" s="6" t="s">
        <v>1122</v>
      </c>
      <c r="D446" s="327"/>
      <c r="E446" s="327" t="s">
        <v>1123</v>
      </c>
      <c r="F446" s="206"/>
      <c r="G446" s="207">
        <v>43448</v>
      </c>
      <c r="H446" s="207">
        <v>43448</v>
      </c>
      <c r="M446" s="212" t="s">
        <v>556</v>
      </c>
      <c r="N446" s="213"/>
      <c r="O446" s="209"/>
    </row>
    <row r="447" spans="1:15" x14ac:dyDescent="0.3">
      <c r="A447" s="302" t="s">
        <v>155</v>
      </c>
      <c r="B447" s="302" t="str">
        <f t="shared" si="3"/>
        <v>Y</v>
      </c>
      <c r="C447" s="6" t="s">
        <v>1124</v>
      </c>
      <c r="D447" s="327"/>
      <c r="E447" s="327" t="s">
        <v>1125</v>
      </c>
      <c r="F447" s="206"/>
      <c r="G447" s="207">
        <v>43455</v>
      </c>
      <c r="H447" s="207">
        <v>43455</v>
      </c>
      <c r="K447" s="302">
        <v>9279068179</v>
      </c>
      <c r="M447" s="212"/>
      <c r="N447" s="213"/>
      <c r="O447" s="209"/>
    </row>
    <row r="448" spans="1:15" x14ac:dyDescent="0.3">
      <c r="A448" s="302" t="s">
        <v>155</v>
      </c>
      <c r="B448" s="302" t="str">
        <f t="shared" si="3"/>
        <v>Y</v>
      </c>
      <c r="C448" s="6" t="s">
        <v>1126</v>
      </c>
      <c r="D448" s="327"/>
      <c r="E448" s="327" t="s">
        <v>1127</v>
      </c>
      <c r="F448" s="206"/>
      <c r="G448" s="207">
        <v>43449</v>
      </c>
      <c r="H448" s="207">
        <v>43449</v>
      </c>
      <c r="K448" s="302">
        <v>8298008633</v>
      </c>
      <c r="M448" s="212"/>
      <c r="N448" s="213"/>
      <c r="O448" s="209"/>
    </row>
    <row r="449" spans="1:15" x14ac:dyDescent="0.3">
      <c r="A449" s="302" t="s">
        <v>155</v>
      </c>
      <c r="B449" s="302" t="str">
        <f t="shared" si="3"/>
        <v>Y</v>
      </c>
      <c r="C449" s="6" t="s">
        <v>1128</v>
      </c>
      <c r="D449" s="327"/>
      <c r="E449" s="327" t="s">
        <v>1129</v>
      </c>
      <c r="F449" s="206"/>
      <c r="G449" s="207">
        <v>43449</v>
      </c>
      <c r="H449" s="207">
        <v>43449</v>
      </c>
      <c r="K449" s="302">
        <v>9162013025</v>
      </c>
      <c r="M449" s="212"/>
      <c r="N449" s="213"/>
      <c r="O449" s="209"/>
    </row>
    <row r="450" spans="1:15" x14ac:dyDescent="0.3">
      <c r="A450" s="302" t="s">
        <v>155</v>
      </c>
      <c r="B450" s="302" t="str">
        <f t="shared" si="3"/>
        <v>Y</v>
      </c>
      <c r="C450" s="6" t="s">
        <v>1130</v>
      </c>
      <c r="D450" s="327"/>
      <c r="E450" s="327" t="s">
        <v>1131</v>
      </c>
      <c r="F450" s="206"/>
      <c r="G450" s="207">
        <v>43451</v>
      </c>
      <c r="H450" s="207">
        <v>43451</v>
      </c>
      <c r="K450" s="302">
        <v>9570020243</v>
      </c>
      <c r="M450" s="212" t="s">
        <v>556</v>
      </c>
      <c r="N450" s="213"/>
      <c r="O450" s="209"/>
    </row>
    <row r="451" spans="1:15" x14ac:dyDescent="0.3">
      <c r="A451" s="302" t="s">
        <v>155</v>
      </c>
      <c r="B451" s="302" t="str">
        <f t="shared" si="3"/>
        <v>Y</v>
      </c>
      <c r="C451" s="6" t="s">
        <v>1132</v>
      </c>
      <c r="D451" s="327"/>
      <c r="E451" s="327" t="s">
        <v>1133</v>
      </c>
      <c r="F451" s="206"/>
      <c r="G451" s="207">
        <v>43451</v>
      </c>
      <c r="H451" s="207">
        <v>43451</v>
      </c>
      <c r="K451" s="302">
        <v>8051106869</v>
      </c>
      <c r="M451" s="212" t="s">
        <v>556</v>
      </c>
      <c r="N451" s="213"/>
      <c r="O451" s="209"/>
    </row>
    <row r="452" spans="1:15" x14ac:dyDescent="0.3">
      <c r="A452" s="302" t="s">
        <v>155</v>
      </c>
      <c r="B452" s="302" t="str">
        <f t="shared" si="3"/>
        <v>Y</v>
      </c>
      <c r="C452" s="6" t="s">
        <v>1134</v>
      </c>
      <c r="D452" s="327"/>
      <c r="E452" s="327" t="s">
        <v>1135</v>
      </c>
      <c r="F452" s="206"/>
      <c r="G452" s="207">
        <v>43451</v>
      </c>
      <c r="H452" s="207">
        <v>43451</v>
      </c>
      <c r="K452" s="302">
        <v>7488763916</v>
      </c>
      <c r="M452" s="212" t="s">
        <v>556</v>
      </c>
      <c r="N452" s="213"/>
      <c r="O452" s="209"/>
    </row>
    <row r="453" spans="1:15" x14ac:dyDescent="0.3">
      <c r="A453" s="302" t="s">
        <v>155</v>
      </c>
      <c r="B453" s="302" t="str">
        <f t="shared" si="3"/>
        <v>Y</v>
      </c>
      <c r="C453" s="6" t="s">
        <v>1136</v>
      </c>
      <c r="D453" s="327"/>
      <c r="E453" s="327" t="s">
        <v>1137</v>
      </c>
      <c r="F453" s="206"/>
      <c r="G453" s="207">
        <v>43451</v>
      </c>
      <c r="H453" s="207">
        <v>43451</v>
      </c>
      <c r="K453" s="302">
        <v>9801338870</v>
      </c>
      <c r="M453" s="212" t="s">
        <v>556</v>
      </c>
      <c r="N453" s="213"/>
      <c r="O453" s="209"/>
    </row>
    <row r="454" spans="1:15" x14ac:dyDescent="0.3">
      <c r="A454" s="302" t="s">
        <v>155</v>
      </c>
      <c r="B454" s="302" t="str">
        <f t="shared" si="3"/>
        <v>Y</v>
      </c>
      <c r="C454" s="6" t="s">
        <v>1138</v>
      </c>
      <c r="D454" s="327"/>
      <c r="E454" s="327" t="s">
        <v>1139</v>
      </c>
      <c r="F454" s="206"/>
      <c r="G454" s="207">
        <v>43451</v>
      </c>
      <c r="H454" s="207">
        <v>43455</v>
      </c>
      <c r="K454" s="302">
        <v>9931568780</v>
      </c>
      <c r="M454" s="212"/>
      <c r="N454" s="213"/>
      <c r="O454" s="209"/>
    </row>
    <row r="455" spans="1:15" x14ac:dyDescent="0.3">
      <c r="A455" s="302" t="s">
        <v>155</v>
      </c>
      <c r="B455" s="302" t="str">
        <f t="shared" si="3"/>
        <v>Y</v>
      </c>
      <c r="C455" s="6" t="s">
        <v>1140</v>
      </c>
      <c r="D455" s="327"/>
      <c r="E455" s="327" t="s">
        <v>1141</v>
      </c>
      <c r="F455" s="206"/>
      <c r="G455" s="207">
        <v>43453</v>
      </c>
      <c r="H455" s="207">
        <v>43461</v>
      </c>
      <c r="K455" s="302">
        <v>7488267183</v>
      </c>
      <c r="M455" s="212"/>
      <c r="N455" s="213"/>
      <c r="O455" s="209"/>
    </row>
    <row r="456" spans="1:15" x14ac:dyDescent="0.3">
      <c r="A456" s="302" t="s">
        <v>155</v>
      </c>
      <c r="B456" s="302" t="str">
        <f t="shared" si="3"/>
        <v>Y</v>
      </c>
      <c r="C456" s="6" t="s">
        <v>1142</v>
      </c>
      <c r="D456" s="327"/>
      <c r="E456" s="327" t="s">
        <v>1143</v>
      </c>
      <c r="F456" s="206"/>
      <c r="G456" s="207">
        <v>43454</v>
      </c>
      <c r="H456" s="207">
        <v>43455</v>
      </c>
      <c r="K456" s="302">
        <v>8797264873</v>
      </c>
      <c r="M456" s="212"/>
      <c r="N456" s="213"/>
      <c r="O456" s="209"/>
    </row>
    <row r="457" spans="1:15" x14ac:dyDescent="0.3">
      <c r="A457" s="302" t="s">
        <v>155</v>
      </c>
      <c r="B457" s="302" t="str">
        <f t="shared" si="3"/>
        <v>Y</v>
      </c>
      <c r="C457" s="6" t="s">
        <v>1144</v>
      </c>
      <c r="D457" s="327"/>
      <c r="E457" s="327" t="s">
        <v>1145</v>
      </c>
      <c r="F457" s="206"/>
      <c r="G457" s="207">
        <v>43454</v>
      </c>
      <c r="H457" s="207">
        <v>43455</v>
      </c>
      <c r="K457" s="302">
        <v>7209601025</v>
      </c>
      <c r="M457" s="212"/>
      <c r="N457" s="213"/>
      <c r="O457" s="209"/>
    </row>
    <row r="458" spans="1:15" x14ac:dyDescent="0.3">
      <c r="A458" s="302" t="s">
        <v>155</v>
      </c>
      <c r="B458" s="302" t="str">
        <f t="shared" si="3"/>
        <v>Y</v>
      </c>
      <c r="C458" s="6" t="s">
        <v>1146</v>
      </c>
      <c r="D458" s="327"/>
      <c r="E458" s="327" t="s">
        <v>1147</v>
      </c>
      <c r="F458" s="206"/>
      <c r="G458" s="207">
        <v>43454</v>
      </c>
      <c r="H458" s="207">
        <v>43455</v>
      </c>
      <c r="K458" s="302">
        <v>8825309927</v>
      </c>
      <c r="M458" s="212"/>
      <c r="N458" s="213"/>
      <c r="O458" s="209"/>
    </row>
    <row r="459" spans="1:15" x14ac:dyDescent="0.3">
      <c r="A459" s="302" t="s">
        <v>155</v>
      </c>
      <c r="B459" s="302" t="str">
        <f t="shared" si="3"/>
        <v>Y</v>
      </c>
      <c r="C459" s="6" t="s">
        <v>1148</v>
      </c>
      <c r="D459" s="327"/>
      <c r="E459" s="327" t="s">
        <v>1149</v>
      </c>
      <c r="F459" s="206"/>
      <c r="G459" s="207">
        <v>43454</v>
      </c>
      <c r="H459" s="207">
        <v>43455</v>
      </c>
      <c r="K459" s="302">
        <v>7631028281</v>
      </c>
      <c r="M459" s="212"/>
      <c r="N459" s="213"/>
      <c r="O459" s="209"/>
    </row>
    <row r="460" spans="1:15" x14ac:dyDescent="0.3">
      <c r="A460" s="302" t="s">
        <v>155</v>
      </c>
      <c r="B460" s="302" t="str">
        <f t="shared" si="3"/>
        <v>Y</v>
      </c>
      <c r="C460" s="6" t="s">
        <v>1150</v>
      </c>
      <c r="D460" s="327"/>
      <c r="E460" s="327" t="s">
        <v>1151</v>
      </c>
      <c r="F460" s="206"/>
      <c r="G460" s="207">
        <v>43454</v>
      </c>
      <c r="H460" s="207">
        <v>43455</v>
      </c>
      <c r="K460" s="302">
        <v>8434669854</v>
      </c>
      <c r="M460" s="212"/>
      <c r="N460" s="213"/>
      <c r="O460" s="209"/>
    </row>
    <row r="461" spans="1:15" x14ac:dyDescent="0.3">
      <c r="A461" s="302" t="s">
        <v>155</v>
      </c>
      <c r="B461" s="302" t="str">
        <f t="shared" si="3"/>
        <v>Y</v>
      </c>
      <c r="C461" s="6" t="s">
        <v>1152</v>
      </c>
      <c r="D461" s="327"/>
      <c r="E461" s="327" t="s">
        <v>1153</v>
      </c>
      <c r="F461" s="206"/>
      <c r="G461" s="207">
        <v>43455</v>
      </c>
      <c r="H461" s="207">
        <v>43457</v>
      </c>
      <c r="K461" s="302">
        <v>7209978936</v>
      </c>
      <c r="M461" s="212" t="s">
        <v>463</v>
      </c>
      <c r="N461" s="213"/>
      <c r="O461" s="209"/>
    </row>
    <row r="462" spans="1:15" x14ac:dyDescent="0.3">
      <c r="A462" s="302" t="s">
        <v>155</v>
      </c>
      <c r="B462" s="302" t="str">
        <f t="shared" si="3"/>
        <v>Y</v>
      </c>
      <c r="C462" s="6" t="s">
        <v>1154</v>
      </c>
      <c r="D462" s="327"/>
      <c r="E462" s="327" t="s">
        <v>1155</v>
      </c>
      <c r="F462" s="206"/>
      <c r="G462" s="207">
        <v>43456</v>
      </c>
      <c r="H462" s="207">
        <v>43457</v>
      </c>
      <c r="K462" s="302">
        <v>7209978936</v>
      </c>
      <c r="M462" s="212" t="s">
        <v>463</v>
      </c>
      <c r="N462" s="213"/>
      <c r="O462" s="209"/>
    </row>
    <row r="463" spans="1:15" x14ac:dyDescent="0.3">
      <c r="A463" s="302" t="s">
        <v>155</v>
      </c>
      <c r="B463" s="302" t="str">
        <f t="shared" si="3"/>
        <v>Y</v>
      </c>
      <c r="C463" s="6" t="s">
        <v>1156</v>
      </c>
      <c r="D463" s="327"/>
      <c r="E463" s="327" t="s">
        <v>1157</v>
      </c>
      <c r="F463" s="206"/>
      <c r="G463" s="207">
        <v>43456</v>
      </c>
      <c r="H463" s="207">
        <v>43457</v>
      </c>
      <c r="K463" s="302">
        <v>8235280043</v>
      </c>
      <c r="M463" s="212"/>
      <c r="N463" s="213"/>
      <c r="O463" s="209"/>
    </row>
    <row r="464" spans="1:15" x14ac:dyDescent="0.3">
      <c r="A464" s="302" t="s">
        <v>155</v>
      </c>
      <c r="B464" s="302" t="str">
        <f t="shared" si="3"/>
        <v>Y</v>
      </c>
      <c r="C464" s="6" t="s">
        <v>1158</v>
      </c>
      <c r="D464" s="327"/>
      <c r="E464" s="327" t="s">
        <v>1159</v>
      </c>
      <c r="F464" s="206"/>
      <c r="G464" s="207">
        <v>43456</v>
      </c>
      <c r="H464" s="207">
        <v>43456</v>
      </c>
      <c r="M464" s="212"/>
      <c r="N464" s="213"/>
      <c r="O464" s="209"/>
    </row>
    <row r="465" spans="1:15" x14ac:dyDescent="0.3">
      <c r="A465" s="302" t="s">
        <v>155</v>
      </c>
      <c r="B465" s="302" t="str">
        <f t="shared" si="3"/>
        <v>Y</v>
      </c>
      <c r="C465" s="6" t="s">
        <v>1160</v>
      </c>
      <c r="D465" s="327"/>
      <c r="E465" s="327" t="s">
        <v>1161</v>
      </c>
      <c r="F465" s="206"/>
      <c r="G465" s="207">
        <v>43457</v>
      </c>
      <c r="H465" s="207">
        <v>43457</v>
      </c>
      <c r="K465" s="302">
        <v>8809498968</v>
      </c>
      <c r="M465" s="212"/>
      <c r="N465" s="213"/>
      <c r="O465" s="209"/>
    </row>
    <row r="466" spans="1:15" x14ac:dyDescent="0.3">
      <c r="A466" s="302" t="s">
        <v>155</v>
      </c>
      <c r="B466" s="302" t="str">
        <f t="shared" si="3"/>
        <v>Y</v>
      </c>
      <c r="C466" s="6" t="s">
        <v>1162</v>
      </c>
      <c r="D466" s="327"/>
      <c r="E466" s="327" t="s">
        <v>1163</v>
      </c>
      <c r="F466" s="206"/>
      <c r="G466" s="207">
        <v>43460</v>
      </c>
      <c r="H466" s="207">
        <v>43460</v>
      </c>
      <c r="K466" s="302">
        <v>7488965713</v>
      </c>
      <c r="M466" s="212"/>
      <c r="N466" s="213"/>
      <c r="O466" s="209"/>
    </row>
    <row r="467" spans="1:15" x14ac:dyDescent="0.3">
      <c r="A467" s="302" t="s">
        <v>155</v>
      </c>
      <c r="B467" s="302" t="str">
        <f t="shared" si="3"/>
        <v>Y</v>
      </c>
      <c r="C467" s="458" t="s">
        <v>1164</v>
      </c>
      <c r="D467" s="334"/>
      <c r="E467" s="327" t="s">
        <v>1165</v>
      </c>
      <c r="F467" s="206"/>
      <c r="G467" s="207">
        <v>43460</v>
      </c>
      <c r="H467" s="207">
        <v>43460</v>
      </c>
      <c r="K467" s="302">
        <v>8987545034</v>
      </c>
      <c r="M467" s="212"/>
      <c r="N467" s="213"/>
      <c r="O467" s="209"/>
    </row>
    <row r="468" spans="1:15" x14ac:dyDescent="0.3">
      <c r="A468" s="302" t="s">
        <v>155</v>
      </c>
      <c r="B468" s="302" t="str">
        <f t="shared" si="3"/>
        <v>Y</v>
      </c>
      <c r="C468" s="6" t="s">
        <v>1166</v>
      </c>
      <c r="D468" s="327"/>
      <c r="E468" s="327" t="s">
        <v>1167</v>
      </c>
      <c r="F468" s="206"/>
      <c r="G468" s="207">
        <v>43460</v>
      </c>
      <c r="H468" s="207">
        <v>43460</v>
      </c>
      <c r="K468" s="302">
        <v>9973914277</v>
      </c>
      <c r="M468" s="212" t="s">
        <v>556</v>
      </c>
      <c r="N468" s="213"/>
      <c r="O468" s="209"/>
    </row>
    <row r="469" spans="1:15" x14ac:dyDescent="0.3">
      <c r="A469" s="302" t="s">
        <v>155</v>
      </c>
      <c r="B469" s="302" t="str">
        <f t="shared" si="3"/>
        <v>Y</v>
      </c>
      <c r="C469" s="6" t="s">
        <v>1168</v>
      </c>
      <c r="D469" s="327"/>
      <c r="E469" s="327" t="s">
        <v>1169</v>
      </c>
      <c r="F469" s="206"/>
      <c r="G469" s="207">
        <v>43464</v>
      </c>
      <c r="H469" s="207">
        <v>43468</v>
      </c>
      <c r="K469" s="302">
        <v>6205519668</v>
      </c>
      <c r="M469" s="212" t="s">
        <v>556</v>
      </c>
      <c r="N469" s="213"/>
      <c r="O469" s="209"/>
    </row>
    <row r="470" spans="1:15" x14ac:dyDescent="0.3">
      <c r="A470" s="302" t="s">
        <v>155</v>
      </c>
      <c r="B470" s="302" t="str">
        <f t="shared" si="3"/>
        <v>Y</v>
      </c>
      <c r="C470" s="6" t="s">
        <v>1170</v>
      </c>
      <c r="D470" s="327"/>
      <c r="E470" s="327" t="s">
        <v>833</v>
      </c>
      <c r="F470" s="206"/>
      <c r="G470" s="207">
        <v>43461</v>
      </c>
      <c r="H470" s="207">
        <v>43461</v>
      </c>
      <c r="K470" s="302">
        <v>7985722560</v>
      </c>
      <c r="M470" s="212" t="s">
        <v>556</v>
      </c>
      <c r="N470" s="213"/>
      <c r="O470" s="209"/>
    </row>
    <row r="471" spans="1:15" x14ac:dyDescent="0.3">
      <c r="A471" s="302" t="s">
        <v>155</v>
      </c>
      <c r="B471" s="302" t="str">
        <f t="shared" si="3"/>
        <v>Y</v>
      </c>
      <c r="C471" s="6" t="s">
        <v>1171</v>
      </c>
      <c r="D471" s="327"/>
      <c r="E471" s="327" t="s">
        <v>1172</v>
      </c>
      <c r="F471" s="206"/>
      <c r="G471" s="207">
        <v>43462</v>
      </c>
      <c r="H471" s="207">
        <v>43463</v>
      </c>
      <c r="K471" s="302">
        <v>6205658028</v>
      </c>
      <c r="M471" s="212"/>
      <c r="N471" s="213"/>
      <c r="O471" s="209"/>
    </row>
    <row r="472" spans="1:15" x14ac:dyDescent="0.3">
      <c r="A472" s="302" t="s">
        <v>155</v>
      </c>
      <c r="B472" s="302" t="str">
        <f t="shared" si="3"/>
        <v>Y</v>
      </c>
      <c r="C472" s="6" t="s">
        <v>1173</v>
      </c>
      <c r="D472" s="327"/>
      <c r="E472" s="327" t="s">
        <v>1174</v>
      </c>
      <c r="F472" s="206"/>
      <c r="G472" s="207">
        <v>43463</v>
      </c>
      <c r="H472" s="207">
        <v>43465</v>
      </c>
      <c r="K472" s="302">
        <v>7488965713</v>
      </c>
      <c r="M472" s="212"/>
      <c r="N472" s="213"/>
      <c r="O472" s="209"/>
    </row>
    <row r="473" spans="1:15" x14ac:dyDescent="0.3">
      <c r="A473" s="302" t="s">
        <v>155</v>
      </c>
      <c r="B473" s="302" t="str">
        <f t="shared" si="3"/>
        <v>Y</v>
      </c>
      <c r="C473" s="6" t="s">
        <v>1175</v>
      </c>
      <c r="D473" s="327"/>
      <c r="E473" s="327" t="s">
        <v>617</v>
      </c>
      <c r="F473" s="206"/>
      <c r="G473" s="207">
        <v>43465</v>
      </c>
      <c r="H473" s="207">
        <v>43466</v>
      </c>
      <c r="K473" s="302">
        <v>9570206247</v>
      </c>
      <c r="M473" s="212"/>
      <c r="N473" s="213"/>
      <c r="O473" s="209"/>
    </row>
    <row r="474" spans="1:15" x14ac:dyDescent="0.3">
      <c r="A474" s="302" t="s">
        <v>155</v>
      </c>
      <c r="B474" s="302" t="str">
        <f t="shared" si="3"/>
        <v>Y</v>
      </c>
      <c r="C474" s="6" t="s">
        <v>1176</v>
      </c>
      <c r="D474" s="327"/>
      <c r="E474" s="327" t="s">
        <v>1177</v>
      </c>
      <c r="F474" s="206"/>
      <c r="G474" s="207">
        <v>43465</v>
      </c>
      <c r="H474" s="207">
        <v>43466</v>
      </c>
      <c r="K474" s="302">
        <v>9570206247</v>
      </c>
      <c r="M474" s="212"/>
      <c r="N474" s="213"/>
      <c r="O474" s="209"/>
    </row>
    <row r="475" spans="1:15" x14ac:dyDescent="0.3">
      <c r="A475" s="302" t="s">
        <v>155</v>
      </c>
      <c r="B475" s="302" t="str">
        <f t="shared" si="3"/>
        <v>Y</v>
      </c>
      <c r="C475" s="6" t="s">
        <v>1178</v>
      </c>
      <c r="D475" s="327"/>
      <c r="E475" s="327" t="s">
        <v>1031</v>
      </c>
      <c r="F475" s="206"/>
      <c r="G475" s="207">
        <v>43465</v>
      </c>
      <c r="H475" s="207">
        <v>43103</v>
      </c>
      <c r="M475" s="212" t="s">
        <v>556</v>
      </c>
      <c r="N475" s="213"/>
      <c r="O475" s="209"/>
    </row>
    <row r="476" spans="1:15" x14ac:dyDescent="0.3">
      <c r="A476" s="302" t="s">
        <v>155</v>
      </c>
      <c r="B476" s="302" t="str">
        <f t="shared" si="3"/>
        <v>Y</v>
      </c>
      <c r="C476" s="6" t="s">
        <v>1179</v>
      </c>
      <c r="D476" s="327"/>
      <c r="E476" s="327" t="s">
        <v>1180</v>
      </c>
      <c r="F476" s="206"/>
      <c r="G476" s="207">
        <v>43469</v>
      </c>
      <c r="H476" s="207">
        <v>43469</v>
      </c>
      <c r="K476" s="302">
        <v>8340395527</v>
      </c>
      <c r="M476" s="212" t="s">
        <v>556</v>
      </c>
      <c r="N476" s="213"/>
      <c r="O476" s="209"/>
    </row>
    <row r="477" spans="1:15" x14ac:dyDescent="0.3">
      <c r="A477" s="302" t="s">
        <v>155</v>
      </c>
      <c r="B477" s="302" t="str">
        <f t="shared" si="3"/>
        <v>Y</v>
      </c>
      <c r="C477" s="6" t="s">
        <v>1181</v>
      </c>
      <c r="D477" s="327"/>
      <c r="E477" s="327" t="s">
        <v>1182</v>
      </c>
      <c r="F477" s="206"/>
      <c r="G477" s="207">
        <v>43469</v>
      </c>
      <c r="H477" s="207">
        <v>43469</v>
      </c>
      <c r="K477" s="302">
        <v>8252313399</v>
      </c>
      <c r="M477" s="212" t="s">
        <v>556</v>
      </c>
      <c r="N477" s="213"/>
      <c r="O477" s="209"/>
    </row>
    <row r="478" spans="1:15" x14ac:dyDescent="0.3">
      <c r="A478" s="302" t="s">
        <v>155</v>
      </c>
      <c r="B478" s="302" t="str">
        <f t="shared" si="3"/>
        <v>Y</v>
      </c>
      <c r="C478" s="6" t="s">
        <v>1183</v>
      </c>
      <c r="D478" s="327"/>
      <c r="E478" s="327" t="s">
        <v>1184</v>
      </c>
      <c r="F478" s="206"/>
      <c r="G478" s="207">
        <v>43469</v>
      </c>
      <c r="H478" s="207">
        <v>43469</v>
      </c>
      <c r="K478" s="302">
        <v>9304117430</v>
      </c>
      <c r="M478" s="212" t="s">
        <v>556</v>
      </c>
      <c r="N478" s="213"/>
      <c r="O478" s="209"/>
    </row>
    <row r="479" spans="1:15" x14ac:dyDescent="0.3">
      <c r="A479" s="302" t="s">
        <v>155</v>
      </c>
      <c r="B479" s="302" t="str">
        <f t="shared" si="3"/>
        <v>Y</v>
      </c>
      <c r="C479" s="6" t="s">
        <v>1185</v>
      </c>
      <c r="D479" s="327"/>
      <c r="E479" s="327" t="s">
        <v>1186</v>
      </c>
      <c r="F479" s="206"/>
      <c r="G479" s="207">
        <v>43469</v>
      </c>
      <c r="H479" s="207">
        <v>43469</v>
      </c>
      <c r="K479" s="302">
        <v>8539971029</v>
      </c>
      <c r="M479" s="212" t="s">
        <v>556</v>
      </c>
      <c r="N479" s="213"/>
      <c r="O479" s="209"/>
    </row>
    <row r="480" spans="1:15" x14ac:dyDescent="0.3">
      <c r="A480" s="302" t="s">
        <v>155</v>
      </c>
      <c r="B480" s="302" t="str">
        <f t="shared" si="3"/>
        <v>Y</v>
      </c>
      <c r="C480" s="6" t="s">
        <v>1187</v>
      </c>
      <c r="D480" s="327"/>
      <c r="E480" s="327" t="s">
        <v>1188</v>
      </c>
      <c r="F480" s="206"/>
      <c r="G480" s="207">
        <v>43469</v>
      </c>
      <c r="H480" s="207">
        <v>43469</v>
      </c>
      <c r="K480" s="302">
        <v>7209399124</v>
      </c>
      <c r="M480" s="212" t="s">
        <v>556</v>
      </c>
      <c r="N480" s="213"/>
      <c r="O480" s="209"/>
    </row>
    <row r="481" spans="1:15" x14ac:dyDescent="0.3">
      <c r="A481" s="302" t="s">
        <v>155</v>
      </c>
      <c r="B481" s="302" t="str">
        <f t="shared" si="3"/>
        <v>N</v>
      </c>
      <c r="C481" s="6" t="s">
        <v>1189</v>
      </c>
      <c r="D481" s="327"/>
      <c r="E481" s="327" t="s">
        <v>1190</v>
      </c>
      <c r="F481" s="206"/>
      <c r="G481" s="207">
        <v>43469</v>
      </c>
      <c r="H481" s="207"/>
      <c r="K481" s="302">
        <v>8709607874</v>
      </c>
      <c r="M481" s="212"/>
      <c r="N481" s="213"/>
      <c r="O481" s="209"/>
    </row>
    <row r="482" spans="1:15" x14ac:dyDescent="0.3">
      <c r="A482" s="302" t="s">
        <v>155</v>
      </c>
      <c r="B482" s="302" t="str">
        <f t="shared" si="3"/>
        <v>Y</v>
      </c>
      <c r="C482" s="6" t="s">
        <v>1191</v>
      </c>
      <c r="D482" s="327"/>
      <c r="E482" s="327" t="s">
        <v>1192</v>
      </c>
      <c r="F482" s="206"/>
      <c r="G482" s="207">
        <v>43469</v>
      </c>
      <c r="H482" s="207">
        <v>43469</v>
      </c>
      <c r="K482" s="302">
        <v>9204611594</v>
      </c>
      <c r="M482" s="212" t="s">
        <v>556</v>
      </c>
      <c r="N482" s="213"/>
      <c r="O482" s="209"/>
    </row>
    <row r="483" spans="1:15" x14ac:dyDescent="0.3">
      <c r="A483" s="302" t="s">
        <v>155</v>
      </c>
      <c r="B483" s="302" t="str">
        <f t="shared" si="3"/>
        <v>Y</v>
      </c>
      <c r="C483" s="6" t="s">
        <v>1193</v>
      </c>
      <c r="D483" s="327"/>
      <c r="E483" s="327" t="s">
        <v>1194</v>
      </c>
      <c r="F483" s="206"/>
      <c r="G483" s="207">
        <v>43469</v>
      </c>
      <c r="H483" s="207">
        <v>43469</v>
      </c>
      <c r="K483" s="302">
        <v>9204611594</v>
      </c>
      <c r="M483" s="212" t="s">
        <v>556</v>
      </c>
      <c r="N483" s="213"/>
      <c r="O483" s="209"/>
    </row>
    <row r="484" spans="1:15" x14ac:dyDescent="0.3">
      <c r="A484" s="302" t="s">
        <v>155</v>
      </c>
      <c r="B484" s="302" t="str">
        <f t="shared" si="3"/>
        <v>Y</v>
      </c>
      <c r="C484" s="6" t="s">
        <v>1195</v>
      </c>
      <c r="D484" s="327"/>
      <c r="E484" s="327" t="s">
        <v>1196</v>
      </c>
      <c r="F484" s="206"/>
      <c r="G484" s="207">
        <v>43469</v>
      </c>
      <c r="H484" s="207">
        <v>43471</v>
      </c>
      <c r="K484" s="302">
        <v>8340742270</v>
      </c>
      <c r="M484" s="212"/>
      <c r="N484" s="213"/>
      <c r="O484" s="209"/>
    </row>
    <row r="485" spans="1:15" x14ac:dyDescent="0.3">
      <c r="A485" s="302" t="s">
        <v>155</v>
      </c>
      <c r="B485" s="302" t="str">
        <f t="shared" si="3"/>
        <v>Y</v>
      </c>
      <c r="C485" s="6" t="s">
        <v>1197</v>
      </c>
      <c r="D485" s="327"/>
      <c r="E485" s="327" t="s">
        <v>1198</v>
      </c>
      <c r="F485" s="206"/>
      <c r="G485" s="207">
        <v>43469</v>
      </c>
      <c r="H485" s="207">
        <v>43471</v>
      </c>
      <c r="K485" s="302">
        <v>8825227887</v>
      </c>
      <c r="M485" s="212"/>
      <c r="N485" s="213"/>
      <c r="O485" s="209"/>
    </row>
    <row r="486" spans="1:15" x14ac:dyDescent="0.3">
      <c r="A486" s="302" t="s">
        <v>155</v>
      </c>
      <c r="B486" s="302" t="str">
        <f t="shared" si="3"/>
        <v>Y</v>
      </c>
      <c r="C486" s="6" t="s">
        <v>1199</v>
      </c>
      <c r="D486" s="327"/>
      <c r="E486" s="327" t="s">
        <v>1200</v>
      </c>
      <c r="F486" s="206"/>
      <c r="G486" s="207">
        <v>43471</v>
      </c>
      <c r="H486" s="207">
        <v>43471</v>
      </c>
      <c r="K486" s="302">
        <v>9934180856</v>
      </c>
      <c r="M486" s="212"/>
      <c r="N486" s="213"/>
      <c r="O486" s="209"/>
    </row>
    <row r="487" spans="1:15" x14ac:dyDescent="0.3">
      <c r="A487" s="302" t="s">
        <v>155</v>
      </c>
      <c r="B487" s="302" t="str">
        <f t="shared" si="3"/>
        <v>Y</v>
      </c>
      <c r="C487" s="6" t="s">
        <v>1201</v>
      </c>
      <c r="D487" s="327"/>
      <c r="E487" s="327" t="s">
        <v>1202</v>
      </c>
      <c r="F487" s="206"/>
      <c r="G487" s="207">
        <v>43473</v>
      </c>
      <c r="H487" s="207">
        <v>43473</v>
      </c>
      <c r="K487" s="302">
        <v>6201195600</v>
      </c>
      <c r="M487" s="212"/>
      <c r="N487" s="213"/>
      <c r="O487" s="209"/>
    </row>
    <row r="488" spans="1:15" x14ac:dyDescent="0.3">
      <c r="A488" s="302" t="s">
        <v>155</v>
      </c>
      <c r="B488" s="302" t="str">
        <f t="shared" si="3"/>
        <v>Y</v>
      </c>
      <c r="C488" s="6" t="s">
        <v>1203</v>
      </c>
      <c r="D488" s="327"/>
      <c r="E488" s="327" t="s">
        <v>1204</v>
      </c>
      <c r="F488" s="206"/>
      <c r="G488" s="207">
        <v>43473</v>
      </c>
      <c r="H488" s="207">
        <v>43473</v>
      </c>
      <c r="K488" s="302">
        <v>6202046272</v>
      </c>
      <c r="M488" s="212"/>
      <c r="N488" s="213"/>
      <c r="O488" s="209"/>
    </row>
    <row r="489" spans="1:15" x14ac:dyDescent="0.3">
      <c r="A489" s="302" t="s">
        <v>155</v>
      </c>
      <c r="B489" s="302" t="str">
        <f t="shared" si="3"/>
        <v>Y</v>
      </c>
      <c r="C489" s="6" t="s">
        <v>1203</v>
      </c>
      <c r="D489" s="327"/>
      <c r="E489" s="327" t="s">
        <v>1205</v>
      </c>
      <c r="F489" s="206"/>
      <c r="G489" s="207">
        <v>43473</v>
      </c>
      <c r="H489" s="207">
        <v>43473</v>
      </c>
      <c r="K489" s="302">
        <v>8340467676</v>
      </c>
      <c r="M489" s="212"/>
      <c r="N489" s="213"/>
      <c r="O489" s="209"/>
    </row>
    <row r="490" spans="1:15" x14ac:dyDescent="0.3">
      <c r="A490" s="302" t="s">
        <v>155</v>
      </c>
      <c r="B490" s="302" t="str">
        <f t="shared" si="3"/>
        <v>Y</v>
      </c>
      <c r="C490" s="6" t="s">
        <v>1206</v>
      </c>
      <c r="D490" s="327"/>
      <c r="E490" s="327" t="s">
        <v>1207</v>
      </c>
      <c r="F490" s="206"/>
      <c r="G490" s="207">
        <v>43473</v>
      </c>
      <c r="H490" s="207">
        <v>43473</v>
      </c>
      <c r="K490" s="302">
        <v>7247234588</v>
      </c>
      <c r="M490" s="212"/>
      <c r="N490" s="213"/>
      <c r="O490" s="209"/>
    </row>
    <row r="491" spans="1:15" x14ac:dyDescent="0.3">
      <c r="A491" s="302" t="s">
        <v>155</v>
      </c>
      <c r="B491" s="302" t="str">
        <f t="shared" si="3"/>
        <v>Y</v>
      </c>
      <c r="C491" s="6" t="s">
        <v>1208</v>
      </c>
      <c r="D491" s="327"/>
      <c r="E491" s="327" t="s">
        <v>1209</v>
      </c>
      <c r="F491" s="206"/>
      <c r="G491" s="207">
        <v>43473</v>
      </c>
      <c r="H491" s="207">
        <v>43474</v>
      </c>
      <c r="K491" s="302">
        <v>8340467676</v>
      </c>
      <c r="M491" s="212"/>
      <c r="N491" s="213"/>
      <c r="O491" s="209"/>
    </row>
    <row r="492" spans="1:15" x14ac:dyDescent="0.3">
      <c r="A492" s="302" t="s">
        <v>155</v>
      </c>
      <c r="B492" s="302" t="str">
        <f t="shared" si="3"/>
        <v>Y</v>
      </c>
      <c r="C492" s="6" t="s">
        <v>1210</v>
      </c>
      <c r="D492" s="327"/>
      <c r="E492" s="327" t="s">
        <v>1211</v>
      </c>
      <c r="F492" s="206"/>
      <c r="G492" s="207">
        <v>43474</v>
      </c>
      <c r="H492" s="207">
        <v>43474</v>
      </c>
      <c r="K492" s="302">
        <v>7367005833</v>
      </c>
      <c r="M492" s="212"/>
      <c r="N492" s="213"/>
      <c r="O492" s="209"/>
    </row>
    <row r="493" spans="1:15" x14ac:dyDescent="0.3">
      <c r="A493" s="302" t="s">
        <v>155</v>
      </c>
      <c r="B493" s="302" t="str">
        <f t="shared" si="3"/>
        <v>Y</v>
      </c>
      <c r="C493" s="6" t="s">
        <v>1212</v>
      </c>
      <c r="D493" s="327"/>
      <c r="E493" s="327" t="s">
        <v>1213</v>
      </c>
      <c r="F493" s="206"/>
      <c r="G493" s="207">
        <v>43474</v>
      </c>
      <c r="H493" s="207">
        <v>43474</v>
      </c>
      <c r="K493" s="302">
        <v>7633966747</v>
      </c>
      <c r="M493" s="212"/>
      <c r="N493" s="213"/>
      <c r="O493" s="209"/>
    </row>
    <row r="494" spans="1:15" x14ac:dyDescent="0.3">
      <c r="A494" s="302" t="s">
        <v>155</v>
      </c>
      <c r="B494" s="302" t="str">
        <f t="shared" si="3"/>
        <v>Y</v>
      </c>
      <c r="C494" s="6" t="s">
        <v>1214</v>
      </c>
      <c r="D494" s="327"/>
      <c r="E494" s="327" t="s">
        <v>1215</v>
      </c>
      <c r="F494" s="206"/>
      <c r="G494" s="207">
        <v>43474</v>
      </c>
      <c r="H494" s="207">
        <v>43474</v>
      </c>
      <c r="K494" s="302">
        <v>8825343518</v>
      </c>
      <c r="M494" s="212"/>
      <c r="N494" s="213"/>
      <c r="O494" s="209"/>
    </row>
    <row r="495" spans="1:15" x14ac:dyDescent="0.3">
      <c r="A495" s="302"/>
      <c r="B495" s="302" t="str">
        <f t="shared" si="3"/>
        <v>Y</v>
      </c>
      <c r="C495" s="6" t="s">
        <v>1216</v>
      </c>
      <c r="D495" s="327"/>
      <c r="E495" s="327" t="s">
        <v>1217</v>
      </c>
      <c r="F495" s="206"/>
      <c r="G495" s="207">
        <v>43475</v>
      </c>
      <c r="H495" s="207">
        <v>43484</v>
      </c>
      <c r="K495" s="302">
        <v>9386741691</v>
      </c>
      <c r="M495" s="212"/>
      <c r="N495" s="213"/>
      <c r="O495" s="209"/>
    </row>
    <row r="496" spans="1:15" x14ac:dyDescent="0.3">
      <c r="A496" s="302" t="s">
        <v>155</v>
      </c>
      <c r="B496" s="302" t="str">
        <f t="shared" si="3"/>
        <v>Y</v>
      </c>
      <c r="C496" s="6" t="s">
        <v>1218</v>
      </c>
      <c r="D496" s="327"/>
      <c r="E496" s="327" t="s">
        <v>1219</v>
      </c>
      <c r="F496" s="206"/>
      <c r="G496" s="207">
        <v>43475</v>
      </c>
      <c r="H496" s="207">
        <v>43476</v>
      </c>
      <c r="K496" s="302">
        <v>6200104266</v>
      </c>
      <c r="M496" s="212"/>
      <c r="N496" s="213"/>
      <c r="O496" s="209"/>
    </row>
    <row r="497" spans="1:15" x14ac:dyDescent="0.3">
      <c r="A497" s="302" t="s">
        <v>155</v>
      </c>
      <c r="B497" s="302" t="str">
        <f t="shared" si="3"/>
        <v>Y</v>
      </c>
      <c r="C497" s="6" t="s">
        <v>1220</v>
      </c>
      <c r="D497" s="327"/>
      <c r="E497" s="327" t="s">
        <v>1221</v>
      </c>
      <c r="F497" s="206"/>
      <c r="G497" s="207">
        <v>43476</v>
      </c>
      <c r="H497" s="207">
        <v>43476</v>
      </c>
      <c r="K497" s="302">
        <v>966174769</v>
      </c>
      <c r="M497" s="212"/>
      <c r="N497" s="213"/>
      <c r="O497" s="209"/>
    </row>
    <row r="498" spans="1:15" x14ac:dyDescent="0.3">
      <c r="A498" s="302" t="s">
        <v>155</v>
      </c>
      <c r="B498" s="302" t="str">
        <f t="shared" si="3"/>
        <v>Y</v>
      </c>
      <c r="C498" s="6" t="s">
        <v>1222</v>
      </c>
      <c r="D498" s="327"/>
      <c r="E498" s="327" t="s">
        <v>1223</v>
      </c>
      <c r="F498" s="206"/>
      <c r="G498" s="207">
        <v>43477</v>
      </c>
      <c r="H498" s="207">
        <v>43480</v>
      </c>
      <c r="K498" s="302">
        <v>9931721475</v>
      </c>
      <c r="M498" s="212"/>
      <c r="N498" s="213"/>
      <c r="O498" s="209"/>
    </row>
    <row r="499" spans="1:15" x14ac:dyDescent="0.3">
      <c r="A499" s="302" t="s">
        <v>155</v>
      </c>
      <c r="B499" s="302" t="str">
        <f t="shared" si="3"/>
        <v>Y</v>
      </c>
      <c r="C499" s="6" t="s">
        <v>1224</v>
      </c>
      <c r="D499" s="327"/>
      <c r="E499" s="327" t="s">
        <v>1225</v>
      </c>
      <c r="F499" s="206"/>
      <c r="G499" s="207">
        <v>43477</v>
      </c>
      <c r="H499" s="207">
        <v>43481</v>
      </c>
      <c r="K499" s="302">
        <v>9771231269</v>
      </c>
      <c r="M499" s="212" t="s">
        <v>463</v>
      </c>
      <c r="N499" s="213"/>
      <c r="O499" s="209"/>
    </row>
    <row r="500" spans="1:15" x14ac:dyDescent="0.3">
      <c r="A500" s="302" t="s">
        <v>155</v>
      </c>
      <c r="B500" s="302" t="str">
        <f t="shared" si="3"/>
        <v>Y</v>
      </c>
      <c r="C500" s="6" t="s">
        <v>1226</v>
      </c>
      <c r="D500" s="327"/>
      <c r="E500" s="327" t="s">
        <v>1223</v>
      </c>
      <c r="F500" s="206"/>
      <c r="G500" s="207">
        <v>43477</v>
      </c>
      <c r="H500" s="207">
        <v>43478</v>
      </c>
      <c r="K500" s="302">
        <v>7320886332</v>
      </c>
      <c r="M500" s="212" t="s">
        <v>463</v>
      </c>
      <c r="N500" s="213"/>
      <c r="O500" s="209"/>
    </row>
    <row r="501" spans="1:15" x14ac:dyDescent="0.3">
      <c r="A501" s="302" t="s">
        <v>155</v>
      </c>
      <c r="B501" s="302" t="str">
        <f t="shared" si="3"/>
        <v>Y</v>
      </c>
      <c r="C501" s="6" t="s">
        <v>1227</v>
      </c>
      <c r="D501" s="327"/>
      <c r="E501" s="327" t="s">
        <v>1228</v>
      </c>
      <c r="F501" s="206"/>
      <c r="G501" s="207">
        <v>43477</v>
      </c>
      <c r="H501" s="207">
        <v>43478</v>
      </c>
      <c r="K501" s="302">
        <v>8051106869</v>
      </c>
      <c r="M501" s="212"/>
      <c r="N501" s="213"/>
      <c r="O501" s="209"/>
    </row>
    <row r="502" spans="1:15" x14ac:dyDescent="0.3">
      <c r="A502" s="302" t="s">
        <v>155</v>
      </c>
      <c r="B502" s="302" t="str">
        <f t="shared" si="3"/>
        <v>Y</v>
      </c>
      <c r="C502" s="6" t="s">
        <v>1229</v>
      </c>
      <c r="D502" s="327"/>
      <c r="E502" s="327" t="s">
        <v>1230</v>
      </c>
      <c r="F502" s="206"/>
      <c r="G502" s="207">
        <v>43479</v>
      </c>
      <c r="H502" s="207">
        <v>43480</v>
      </c>
      <c r="K502" s="302">
        <v>7209451649</v>
      </c>
      <c r="M502" s="212"/>
      <c r="N502" s="213"/>
      <c r="O502" s="209"/>
    </row>
    <row r="503" spans="1:15" x14ac:dyDescent="0.3">
      <c r="A503" s="302" t="s">
        <v>155</v>
      </c>
      <c r="B503" s="302" t="str">
        <f t="shared" si="3"/>
        <v>Y</v>
      </c>
      <c r="C503" s="6" t="s">
        <v>1231</v>
      </c>
      <c r="D503" s="327"/>
      <c r="E503" s="327" t="s">
        <v>1232</v>
      </c>
      <c r="F503" s="206"/>
      <c r="G503" s="207">
        <v>43480</v>
      </c>
      <c r="H503" s="207">
        <v>43481</v>
      </c>
      <c r="K503" s="302">
        <v>7631065320</v>
      </c>
      <c r="M503" s="212"/>
      <c r="N503" s="213"/>
      <c r="O503" s="209"/>
    </row>
    <row r="504" spans="1:15" x14ac:dyDescent="0.3">
      <c r="A504" s="302" t="s">
        <v>155</v>
      </c>
      <c r="B504" s="302" t="str">
        <f t="shared" si="3"/>
        <v>Y</v>
      </c>
      <c r="C504" s="6" t="s">
        <v>1233</v>
      </c>
      <c r="D504" s="327"/>
      <c r="E504" s="327" t="s">
        <v>1234</v>
      </c>
      <c r="F504" s="206"/>
      <c r="G504" s="207">
        <v>43480</v>
      </c>
      <c r="H504" s="207">
        <v>43481</v>
      </c>
      <c r="K504" s="302">
        <v>9386058249</v>
      </c>
      <c r="M504" s="212"/>
      <c r="N504" s="213"/>
      <c r="O504" s="209"/>
    </row>
    <row r="505" spans="1:15" x14ac:dyDescent="0.3">
      <c r="A505" s="302" t="s">
        <v>155</v>
      </c>
      <c r="B505" s="302" t="str">
        <f t="shared" si="3"/>
        <v>Y</v>
      </c>
      <c r="C505" s="6" t="s">
        <v>1235</v>
      </c>
      <c r="D505" s="327"/>
      <c r="E505" s="327" t="s">
        <v>1236</v>
      </c>
      <c r="F505" s="206"/>
      <c r="G505" s="207">
        <v>43481</v>
      </c>
      <c r="H505" s="207">
        <v>43482</v>
      </c>
      <c r="K505" s="302">
        <v>9570174716</v>
      </c>
      <c r="M505" s="212"/>
      <c r="N505" s="213"/>
      <c r="O505" s="209"/>
    </row>
    <row r="506" spans="1:15" x14ac:dyDescent="0.3">
      <c r="A506" s="302" t="s">
        <v>155</v>
      </c>
      <c r="B506" s="302" t="str">
        <f t="shared" si="3"/>
        <v>Y</v>
      </c>
      <c r="C506" s="6" t="s">
        <v>1237</v>
      </c>
      <c r="D506" s="327"/>
      <c r="E506" s="327" t="s">
        <v>1238</v>
      </c>
      <c r="F506" s="206"/>
      <c r="G506" s="207">
        <v>43482</v>
      </c>
      <c r="H506" s="207">
        <v>43484</v>
      </c>
      <c r="K506" s="302">
        <v>7488476946</v>
      </c>
      <c r="M506" s="212"/>
      <c r="N506" s="213"/>
      <c r="O506" s="209"/>
    </row>
    <row r="507" spans="1:15" x14ac:dyDescent="0.3">
      <c r="A507" s="302" t="s">
        <v>155</v>
      </c>
      <c r="B507" s="302" t="str">
        <f t="shared" si="3"/>
        <v>Y</v>
      </c>
      <c r="C507" s="6" t="s">
        <v>1239</v>
      </c>
      <c r="D507" s="327"/>
      <c r="E507" s="327" t="s">
        <v>1240</v>
      </c>
      <c r="F507" s="206"/>
      <c r="G507" s="207">
        <v>43483</v>
      </c>
      <c r="H507" s="207">
        <v>43119</v>
      </c>
      <c r="K507" s="302">
        <v>7209351434</v>
      </c>
      <c r="M507" s="212" t="s">
        <v>556</v>
      </c>
      <c r="N507" s="213"/>
      <c r="O507" s="209"/>
    </row>
    <row r="508" spans="1:15" x14ac:dyDescent="0.3">
      <c r="A508" s="302" t="s">
        <v>155</v>
      </c>
      <c r="B508" s="302" t="str">
        <f t="shared" si="3"/>
        <v>Y</v>
      </c>
      <c r="C508" s="458" t="s">
        <v>1241</v>
      </c>
      <c r="D508" s="334"/>
      <c r="E508" s="327" t="s">
        <v>1242</v>
      </c>
      <c r="F508" s="206"/>
      <c r="G508" s="207">
        <v>43483</v>
      </c>
      <c r="H508" s="207">
        <v>43119</v>
      </c>
      <c r="M508" s="212"/>
      <c r="N508" s="213"/>
      <c r="O508" s="209"/>
    </row>
    <row r="509" spans="1:15" x14ac:dyDescent="0.3">
      <c r="A509" s="302" t="s">
        <v>155</v>
      </c>
      <c r="B509" s="302" t="str">
        <f t="shared" si="3"/>
        <v>Y</v>
      </c>
      <c r="C509" s="6" t="s">
        <v>1243</v>
      </c>
      <c r="D509" s="327"/>
      <c r="E509" s="327" t="s">
        <v>1244</v>
      </c>
      <c r="F509" s="206"/>
      <c r="G509" s="207">
        <v>43486</v>
      </c>
      <c r="H509" s="207">
        <v>43486</v>
      </c>
      <c r="K509" s="302">
        <v>9955582553</v>
      </c>
      <c r="M509" s="212"/>
      <c r="N509" s="213"/>
      <c r="O509" s="209"/>
    </row>
    <row r="510" spans="1:15" x14ac:dyDescent="0.3">
      <c r="A510" s="302" t="s">
        <v>155</v>
      </c>
      <c r="B510" s="302" t="str">
        <f t="shared" si="3"/>
        <v>Y</v>
      </c>
      <c r="C510" s="6" t="s">
        <v>1245</v>
      </c>
      <c r="D510" s="327"/>
      <c r="E510" s="327" t="s">
        <v>1246</v>
      </c>
      <c r="F510" s="206"/>
      <c r="G510" s="207">
        <v>43486</v>
      </c>
      <c r="H510" s="207">
        <v>43486</v>
      </c>
      <c r="M510" s="212"/>
      <c r="N510" s="213"/>
      <c r="O510" s="209"/>
    </row>
    <row r="511" spans="1:15" x14ac:dyDescent="0.3">
      <c r="A511" s="302" t="s">
        <v>155</v>
      </c>
      <c r="B511" s="302" t="str">
        <f t="shared" si="3"/>
        <v>N</v>
      </c>
      <c r="C511" s="6" t="s">
        <v>1247</v>
      </c>
      <c r="D511" s="327"/>
      <c r="E511" s="327" t="s">
        <v>1248</v>
      </c>
      <c r="F511" s="206"/>
      <c r="G511" s="207">
        <v>43486</v>
      </c>
      <c r="H511" s="207"/>
      <c r="M511" s="212"/>
      <c r="N511" s="213"/>
      <c r="O511" s="209"/>
    </row>
    <row r="512" spans="1:15" x14ac:dyDescent="0.3">
      <c r="A512" s="302" t="s">
        <v>155</v>
      </c>
      <c r="B512" s="302" t="str">
        <f t="shared" si="3"/>
        <v>Y</v>
      </c>
      <c r="C512" s="6" t="s">
        <v>1249</v>
      </c>
      <c r="D512" s="327"/>
      <c r="E512" s="327" t="s">
        <v>1250</v>
      </c>
      <c r="F512" s="206"/>
      <c r="G512" s="207">
        <v>43486</v>
      </c>
      <c r="H512" s="207">
        <v>43486</v>
      </c>
      <c r="K512" s="302">
        <v>7250009722</v>
      </c>
      <c r="M512" s="212"/>
      <c r="N512" s="213"/>
      <c r="O512" s="209"/>
    </row>
    <row r="513" spans="1:15" x14ac:dyDescent="0.3">
      <c r="A513" s="302" t="s">
        <v>155</v>
      </c>
      <c r="B513" s="302" t="str">
        <f t="shared" si="3"/>
        <v>Y</v>
      </c>
      <c r="C513" s="6" t="s">
        <v>1251</v>
      </c>
      <c r="D513" s="327"/>
      <c r="E513" s="327" t="s">
        <v>1252</v>
      </c>
      <c r="F513" s="206"/>
      <c r="G513" s="207">
        <v>43486</v>
      </c>
      <c r="H513" s="207">
        <v>43486</v>
      </c>
      <c r="M513" s="212"/>
      <c r="N513" s="213"/>
      <c r="O513" s="209"/>
    </row>
    <row r="514" spans="1:15" x14ac:dyDescent="0.3">
      <c r="A514" s="302" t="s">
        <v>155</v>
      </c>
      <c r="B514" s="302" t="str">
        <f t="shared" si="3"/>
        <v>Y</v>
      </c>
      <c r="C514" s="6" t="s">
        <v>1253</v>
      </c>
      <c r="D514" s="327"/>
      <c r="E514" s="327" t="s">
        <v>1254</v>
      </c>
      <c r="F514" s="206"/>
      <c r="G514" s="207">
        <v>43487</v>
      </c>
      <c r="H514" s="207">
        <v>43487</v>
      </c>
      <c r="K514" s="302">
        <v>9835934374</v>
      </c>
      <c r="M514" s="212"/>
      <c r="N514" s="213"/>
      <c r="O514" s="209"/>
    </row>
    <row r="515" spans="1:15" x14ac:dyDescent="0.3">
      <c r="A515" s="302" t="s">
        <v>155</v>
      </c>
      <c r="B515" s="302" t="str">
        <f t="shared" si="3"/>
        <v>Y</v>
      </c>
      <c r="C515" s="6" t="s">
        <v>1255</v>
      </c>
      <c r="D515" s="327"/>
      <c r="E515" s="327" t="s">
        <v>1256</v>
      </c>
      <c r="F515" s="206"/>
      <c r="G515" s="207">
        <v>43489</v>
      </c>
      <c r="H515" s="207">
        <v>43491</v>
      </c>
      <c r="K515" s="302">
        <v>7408781352</v>
      </c>
      <c r="M515" s="212" t="s">
        <v>556</v>
      </c>
      <c r="N515" s="213"/>
      <c r="O515" s="209"/>
    </row>
    <row r="516" spans="1:15" x14ac:dyDescent="0.3">
      <c r="A516" s="302" t="s">
        <v>155</v>
      </c>
      <c r="B516" s="302" t="str">
        <f t="shared" si="3"/>
        <v>Y</v>
      </c>
      <c r="C516" s="6" t="s">
        <v>1257</v>
      </c>
      <c r="D516" s="327"/>
      <c r="E516" s="327" t="s">
        <v>1215</v>
      </c>
      <c r="F516" s="206"/>
      <c r="G516" s="207">
        <v>43487</v>
      </c>
      <c r="H516" s="207">
        <v>43491</v>
      </c>
      <c r="K516" s="302">
        <v>8825343517</v>
      </c>
      <c r="M516" s="212"/>
      <c r="N516" s="213"/>
      <c r="O516" s="209"/>
    </row>
    <row r="517" spans="1:15" x14ac:dyDescent="0.3">
      <c r="A517" s="302" t="s">
        <v>155</v>
      </c>
      <c r="B517" s="302" t="str">
        <f t="shared" si="3"/>
        <v>Y</v>
      </c>
      <c r="C517" s="6" t="s">
        <v>1258</v>
      </c>
      <c r="D517" s="327"/>
      <c r="E517" s="327" t="s">
        <v>1259</v>
      </c>
      <c r="F517" s="206"/>
      <c r="G517" s="207">
        <v>43489</v>
      </c>
      <c r="H517" s="207">
        <v>43491</v>
      </c>
      <c r="K517" s="302">
        <v>8092687089</v>
      </c>
      <c r="L517" s="2" t="s">
        <v>1260</v>
      </c>
      <c r="M517" s="212"/>
      <c r="N517" s="213"/>
      <c r="O517" s="209"/>
    </row>
    <row r="518" spans="1:15" x14ac:dyDescent="0.3">
      <c r="A518" s="302" t="s">
        <v>155</v>
      </c>
      <c r="B518" s="302" t="str">
        <f t="shared" si="3"/>
        <v>Y</v>
      </c>
      <c r="C518" s="6" t="s">
        <v>1261</v>
      </c>
      <c r="D518" s="327"/>
      <c r="E518" s="327" t="s">
        <v>916</v>
      </c>
      <c r="F518" s="206"/>
      <c r="G518" s="207">
        <v>43489</v>
      </c>
      <c r="H518" s="207">
        <v>43491</v>
      </c>
      <c r="K518" s="302">
        <v>9771441846</v>
      </c>
      <c r="M518" s="212"/>
      <c r="N518" s="213"/>
      <c r="O518" s="209"/>
    </row>
    <row r="519" spans="1:15" x14ac:dyDescent="0.3">
      <c r="A519" s="302" t="s">
        <v>155</v>
      </c>
      <c r="B519" s="302" t="str">
        <f t="shared" si="3"/>
        <v>Y</v>
      </c>
      <c r="C519" s="6" t="s">
        <v>1262</v>
      </c>
      <c r="D519" s="327"/>
      <c r="E519" s="327" t="s">
        <v>1263</v>
      </c>
      <c r="F519" s="206"/>
      <c r="G519" s="207">
        <v>43489</v>
      </c>
      <c r="H519" s="207">
        <v>43491</v>
      </c>
      <c r="K519" s="302">
        <v>8092687089</v>
      </c>
      <c r="M519" s="212"/>
      <c r="N519" s="213"/>
      <c r="O519" s="209"/>
    </row>
    <row r="520" spans="1:15" x14ac:dyDescent="0.3">
      <c r="A520" s="302" t="s">
        <v>155</v>
      </c>
      <c r="B520" s="302" t="str">
        <f t="shared" si="3"/>
        <v>Y</v>
      </c>
      <c r="C520" s="6" t="s">
        <v>1264</v>
      </c>
      <c r="D520" s="327"/>
      <c r="E520" s="327" t="s">
        <v>1265</v>
      </c>
      <c r="F520" s="206"/>
      <c r="G520" s="207">
        <v>43489</v>
      </c>
      <c r="H520" s="207">
        <v>43490</v>
      </c>
      <c r="K520" s="302">
        <v>6201773785</v>
      </c>
      <c r="M520" s="212" t="s">
        <v>463</v>
      </c>
      <c r="N520" s="213"/>
      <c r="O520" s="209"/>
    </row>
    <row r="521" spans="1:15" x14ac:dyDescent="0.3">
      <c r="A521" s="302" t="s">
        <v>155</v>
      </c>
      <c r="B521" s="302" t="str">
        <f t="shared" si="3"/>
        <v>Y</v>
      </c>
      <c r="C521" s="6" t="s">
        <v>1266</v>
      </c>
      <c r="D521" s="327"/>
      <c r="E521" s="327" t="s">
        <v>1267</v>
      </c>
      <c r="F521" s="206"/>
      <c r="G521" s="207">
        <v>43489</v>
      </c>
      <c r="H521" s="207">
        <v>43490</v>
      </c>
      <c r="K521" s="302">
        <v>8825208990</v>
      </c>
      <c r="M521" s="212" t="s">
        <v>463</v>
      </c>
      <c r="N521" s="213"/>
      <c r="O521" s="209"/>
    </row>
    <row r="522" spans="1:15" x14ac:dyDescent="0.3">
      <c r="A522" s="302" t="s">
        <v>155</v>
      </c>
      <c r="B522" s="302" t="str">
        <f t="shared" si="3"/>
        <v>Y</v>
      </c>
      <c r="C522" s="6" t="s">
        <v>1268</v>
      </c>
      <c r="D522" s="327"/>
      <c r="E522" s="327" t="s">
        <v>1269</v>
      </c>
      <c r="F522" s="206"/>
      <c r="G522" s="207">
        <v>43489</v>
      </c>
      <c r="H522" s="207">
        <v>43490</v>
      </c>
      <c r="K522" s="302">
        <v>9097071055</v>
      </c>
      <c r="M522" s="212"/>
      <c r="N522" s="213"/>
      <c r="O522" s="209"/>
    </row>
    <row r="523" spans="1:15" x14ac:dyDescent="0.3">
      <c r="A523" s="302" t="s">
        <v>155</v>
      </c>
      <c r="B523" s="302" t="str">
        <f t="shared" si="3"/>
        <v>Y</v>
      </c>
      <c r="C523" s="6" t="s">
        <v>1270</v>
      </c>
      <c r="D523" s="327"/>
      <c r="E523" s="327" t="s">
        <v>1271</v>
      </c>
      <c r="F523" s="206"/>
      <c r="G523" s="207">
        <v>43489</v>
      </c>
      <c r="H523" s="207">
        <v>43491</v>
      </c>
      <c r="K523" s="302">
        <v>6200507403</v>
      </c>
      <c r="L523" s="2" t="s">
        <v>580</v>
      </c>
      <c r="M523" s="212" t="s">
        <v>556</v>
      </c>
      <c r="N523" s="213"/>
      <c r="O523" s="209"/>
    </row>
    <row r="524" spans="1:15" x14ac:dyDescent="0.3">
      <c r="A524" s="302" t="s">
        <v>155</v>
      </c>
      <c r="B524" s="302" t="str">
        <f t="shared" si="3"/>
        <v>Y</v>
      </c>
      <c r="C524" s="6" t="s">
        <v>1272</v>
      </c>
      <c r="D524" s="327"/>
      <c r="E524" s="327" t="s">
        <v>1273</v>
      </c>
      <c r="F524" s="206" t="s">
        <v>1274</v>
      </c>
      <c r="G524" s="207">
        <v>43489</v>
      </c>
      <c r="H524" s="207">
        <v>43491</v>
      </c>
      <c r="K524" s="302">
        <v>8437797800</v>
      </c>
      <c r="M524" s="212"/>
      <c r="N524" s="213"/>
      <c r="O524" s="209"/>
    </row>
    <row r="525" spans="1:15" x14ac:dyDescent="0.3">
      <c r="A525" s="302" t="s">
        <v>155</v>
      </c>
      <c r="B525" s="302" t="str">
        <f t="shared" si="3"/>
        <v>Y</v>
      </c>
      <c r="C525" s="6" t="s">
        <v>1275</v>
      </c>
      <c r="D525" s="327"/>
      <c r="E525" s="327" t="s">
        <v>1276</v>
      </c>
      <c r="F525" s="206"/>
      <c r="G525" s="207">
        <v>43491</v>
      </c>
      <c r="H525" s="207">
        <v>43501</v>
      </c>
      <c r="K525" s="302">
        <v>8210418280</v>
      </c>
      <c r="M525" s="212" t="s">
        <v>556</v>
      </c>
      <c r="N525" s="213"/>
      <c r="O525" s="209"/>
    </row>
    <row r="526" spans="1:15" x14ac:dyDescent="0.3">
      <c r="A526" s="302" t="s">
        <v>155</v>
      </c>
      <c r="B526" s="302" t="str">
        <f t="shared" si="3"/>
        <v>Y</v>
      </c>
      <c r="C526" s="6" t="s">
        <v>1277</v>
      </c>
      <c r="D526" s="327"/>
      <c r="E526" s="327" t="s">
        <v>1278</v>
      </c>
      <c r="F526" s="206"/>
      <c r="G526" s="207">
        <v>43491</v>
      </c>
      <c r="H526" s="207">
        <v>43491</v>
      </c>
      <c r="K526" s="302">
        <v>6205505607</v>
      </c>
      <c r="M526" s="212"/>
      <c r="N526" s="213"/>
      <c r="O526" s="209"/>
    </row>
    <row r="527" spans="1:15" x14ac:dyDescent="0.3">
      <c r="A527" s="302" t="s">
        <v>155</v>
      </c>
      <c r="B527" s="302" t="str">
        <f t="shared" si="3"/>
        <v>Y</v>
      </c>
      <c r="C527" s="6" t="s">
        <v>1279</v>
      </c>
      <c r="D527" s="327"/>
      <c r="E527" s="327" t="s">
        <v>1280</v>
      </c>
      <c r="F527" s="206"/>
      <c r="G527" s="207">
        <v>43491</v>
      </c>
      <c r="H527" s="207">
        <v>43501</v>
      </c>
      <c r="K527" s="302">
        <v>8757876406</v>
      </c>
      <c r="L527" s="2" t="s">
        <v>580</v>
      </c>
      <c r="M527" s="212" t="s">
        <v>556</v>
      </c>
      <c r="N527" s="213"/>
      <c r="O527" s="209"/>
    </row>
    <row r="528" spans="1:15" x14ac:dyDescent="0.3">
      <c r="A528" s="302" t="s">
        <v>155</v>
      </c>
      <c r="B528" s="302" t="str">
        <f t="shared" si="3"/>
        <v>Y</v>
      </c>
      <c r="C528" s="6" t="s">
        <v>1281</v>
      </c>
      <c r="D528" s="327"/>
      <c r="E528" s="327" t="s">
        <v>1282</v>
      </c>
      <c r="F528" s="206"/>
      <c r="G528" s="207">
        <v>43491</v>
      </c>
      <c r="H528" s="207">
        <v>43492</v>
      </c>
      <c r="K528" s="302">
        <v>6205700513</v>
      </c>
      <c r="M528" s="212" t="s">
        <v>553</v>
      </c>
      <c r="N528" s="213"/>
      <c r="O528" s="209"/>
    </row>
    <row r="529" spans="1:15" x14ac:dyDescent="0.3">
      <c r="A529" s="302" t="s">
        <v>155</v>
      </c>
      <c r="B529" s="302" t="str">
        <f t="shared" si="3"/>
        <v>Y</v>
      </c>
      <c r="C529" s="6" t="s">
        <v>1283</v>
      </c>
      <c r="D529" s="327"/>
      <c r="E529" s="327" t="s">
        <v>750</v>
      </c>
      <c r="F529" s="206"/>
      <c r="G529" s="207">
        <v>43494</v>
      </c>
      <c r="H529" s="207">
        <v>43494</v>
      </c>
      <c r="K529" s="302">
        <v>9430348544</v>
      </c>
      <c r="L529" s="2" t="s">
        <v>580</v>
      </c>
      <c r="M529" s="212" t="s">
        <v>556</v>
      </c>
      <c r="N529" s="213"/>
      <c r="O529" s="209"/>
    </row>
    <row r="530" spans="1:15" x14ac:dyDescent="0.3">
      <c r="A530" s="302" t="s">
        <v>155</v>
      </c>
      <c r="B530" s="302" t="str">
        <f t="shared" si="3"/>
        <v>Y</v>
      </c>
      <c r="C530" s="6" t="s">
        <v>1284</v>
      </c>
      <c r="D530" s="327"/>
      <c r="E530" s="327" t="s">
        <v>750</v>
      </c>
      <c r="F530" s="206"/>
      <c r="G530" s="207">
        <v>43494</v>
      </c>
      <c r="H530" s="207">
        <v>43499</v>
      </c>
      <c r="K530" s="302">
        <v>8292867451</v>
      </c>
      <c r="L530" s="2" t="s">
        <v>580</v>
      </c>
      <c r="M530" s="212" t="s">
        <v>556</v>
      </c>
      <c r="N530" s="213"/>
      <c r="O530" s="209"/>
    </row>
    <row r="531" spans="1:15" x14ac:dyDescent="0.3">
      <c r="A531" s="302" t="s">
        <v>155</v>
      </c>
      <c r="B531" s="302" t="str">
        <f t="shared" si="3"/>
        <v>Y</v>
      </c>
      <c r="C531" s="6" t="s">
        <v>1285</v>
      </c>
      <c r="D531" s="327"/>
      <c r="E531" s="327" t="s">
        <v>1286</v>
      </c>
      <c r="F531" s="206"/>
      <c r="G531" s="207">
        <v>43498</v>
      </c>
      <c r="H531" s="207">
        <v>43501</v>
      </c>
      <c r="K531" s="302">
        <v>9534096354</v>
      </c>
      <c r="L531" s="2" t="s">
        <v>580</v>
      </c>
      <c r="M531" s="212" t="s">
        <v>556</v>
      </c>
      <c r="N531" s="213"/>
      <c r="O531" s="209"/>
    </row>
    <row r="532" spans="1:15" x14ac:dyDescent="0.3">
      <c r="A532" s="302" t="s">
        <v>155</v>
      </c>
      <c r="B532" s="302" t="str">
        <f t="shared" si="3"/>
        <v>Y</v>
      </c>
      <c r="C532" s="459" t="s">
        <v>1287</v>
      </c>
      <c r="D532" s="336"/>
      <c r="E532" s="327" t="s">
        <v>1288</v>
      </c>
      <c r="F532" s="206"/>
      <c r="G532" s="207">
        <v>43502</v>
      </c>
      <c r="H532" s="207">
        <v>43504</v>
      </c>
      <c r="K532" s="302">
        <v>9279808033</v>
      </c>
      <c r="M532" s="212" t="s">
        <v>556</v>
      </c>
      <c r="N532" s="213"/>
      <c r="O532" s="209"/>
    </row>
    <row r="533" spans="1:15" x14ac:dyDescent="0.3">
      <c r="A533" s="302" t="s">
        <v>155</v>
      </c>
      <c r="B533" s="302" t="str">
        <f t="shared" si="3"/>
        <v>Y</v>
      </c>
      <c r="C533" s="6" t="s">
        <v>1289</v>
      </c>
      <c r="D533" s="327"/>
      <c r="E533" s="327" t="s">
        <v>1290</v>
      </c>
      <c r="F533" s="206"/>
      <c r="G533" s="207">
        <v>43500</v>
      </c>
      <c r="H533" s="207">
        <v>43501</v>
      </c>
      <c r="K533" s="302">
        <v>8298048677</v>
      </c>
      <c r="M533" s="212"/>
      <c r="N533" s="213"/>
      <c r="O533" s="209"/>
    </row>
    <row r="534" spans="1:15" x14ac:dyDescent="0.3">
      <c r="A534" s="302" t="s">
        <v>155</v>
      </c>
      <c r="B534" s="302" t="str">
        <f t="shared" si="3"/>
        <v>Y</v>
      </c>
      <c r="C534" s="6" t="s">
        <v>1291</v>
      </c>
      <c r="D534" s="327"/>
      <c r="E534" s="327" t="s">
        <v>1292</v>
      </c>
      <c r="F534" s="206"/>
      <c r="G534" s="207">
        <v>43496</v>
      </c>
      <c r="H534" s="207">
        <v>43501</v>
      </c>
      <c r="K534" s="302">
        <v>7004660616</v>
      </c>
      <c r="M534" s="212"/>
      <c r="N534" s="213"/>
      <c r="O534" s="209"/>
    </row>
    <row r="535" spans="1:15" x14ac:dyDescent="0.3">
      <c r="A535" s="302" t="s">
        <v>155</v>
      </c>
      <c r="B535" s="302" t="str">
        <f t="shared" si="3"/>
        <v>Y</v>
      </c>
      <c r="C535" s="6" t="s">
        <v>1293</v>
      </c>
      <c r="D535" s="327"/>
      <c r="E535" s="327" t="s">
        <v>1294</v>
      </c>
      <c r="F535" s="206"/>
      <c r="G535" s="207">
        <v>43502</v>
      </c>
      <c r="H535" s="207">
        <v>43505</v>
      </c>
      <c r="K535" s="302">
        <v>8340788276</v>
      </c>
      <c r="M535" s="212"/>
      <c r="N535" s="213"/>
      <c r="O535" s="209"/>
    </row>
    <row r="536" spans="1:15" x14ac:dyDescent="0.3">
      <c r="A536" s="302" t="s">
        <v>155</v>
      </c>
      <c r="B536" s="302" t="str">
        <f t="shared" si="3"/>
        <v>N</v>
      </c>
      <c r="C536" s="455" t="s">
        <v>1295</v>
      </c>
      <c r="D536" s="333"/>
      <c r="E536" s="327" t="s">
        <v>1296</v>
      </c>
      <c r="F536" s="206"/>
      <c r="G536" s="207">
        <v>43502</v>
      </c>
      <c r="H536" s="207"/>
      <c r="K536" s="302">
        <v>823403005</v>
      </c>
      <c r="M536" s="212"/>
      <c r="N536" s="213"/>
      <c r="O536" s="209"/>
    </row>
    <row r="537" spans="1:15" x14ac:dyDescent="0.3">
      <c r="A537" s="302" t="s">
        <v>155</v>
      </c>
      <c r="B537" s="302" t="str">
        <f t="shared" si="3"/>
        <v>Y</v>
      </c>
      <c r="C537" s="459" t="s">
        <v>1297</v>
      </c>
      <c r="D537" s="336"/>
      <c r="E537" s="327" t="s">
        <v>1298</v>
      </c>
      <c r="F537" s="206"/>
      <c r="G537" s="207">
        <v>43502</v>
      </c>
      <c r="H537" s="207">
        <v>43504</v>
      </c>
      <c r="K537" s="302">
        <v>6204826153</v>
      </c>
      <c r="M537" s="212"/>
      <c r="N537" s="213"/>
      <c r="O537" s="209"/>
    </row>
    <row r="538" spans="1:15" x14ac:dyDescent="0.3">
      <c r="A538" s="302" t="s">
        <v>155</v>
      </c>
      <c r="B538" s="302" t="str">
        <f t="shared" si="3"/>
        <v>Y</v>
      </c>
      <c r="C538" s="459" t="s">
        <v>1299</v>
      </c>
      <c r="D538" s="336"/>
      <c r="E538" s="327" t="s">
        <v>1300</v>
      </c>
      <c r="F538" s="206" t="s">
        <v>1301</v>
      </c>
      <c r="G538" s="207">
        <v>43501</v>
      </c>
      <c r="H538" s="207">
        <v>43502</v>
      </c>
      <c r="K538" s="302">
        <v>9122357524</v>
      </c>
      <c r="M538" s="212"/>
      <c r="N538" s="213"/>
      <c r="O538" s="209"/>
    </row>
    <row r="539" spans="1:15" x14ac:dyDescent="0.3">
      <c r="A539" s="302" t="s">
        <v>155</v>
      </c>
      <c r="B539" s="302" t="str">
        <f t="shared" si="3"/>
        <v>Y</v>
      </c>
      <c r="C539" s="6" t="s">
        <v>1302</v>
      </c>
      <c r="D539" s="327"/>
      <c r="E539" s="327" t="s">
        <v>1303</v>
      </c>
      <c r="F539" s="206"/>
      <c r="G539" s="207">
        <v>43502</v>
      </c>
      <c r="H539" s="207">
        <v>43502</v>
      </c>
      <c r="K539" s="302">
        <v>6201248988</v>
      </c>
      <c r="M539" s="212"/>
      <c r="N539" s="213"/>
      <c r="O539" s="209"/>
    </row>
    <row r="540" spans="1:15" x14ac:dyDescent="0.3">
      <c r="A540" s="302" t="s">
        <v>155</v>
      </c>
      <c r="B540" s="302" t="str">
        <f t="shared" si="3"/>
        <v>Y</v>
      </c>
      <c r="C540" s="6" t="s">
        <v>1304</v>
      </c>
      <c r="D540" s="327"/>
      <c r="E540" s="327" t="s">
        <v>1305</v>
      </c>
      <c r="F540" s="206"/>
      <c r="G540" s="207">
        <v>43502</v>
      </c>
      <c r="H540" s="207">
        <v>43504</v>
      </c>
      <c r="K540" s="302">
        <v>7209632640</v>
      </c>
      <c r="M540" s="212"/>
      <c r="N540" s="213"/>
      <c r="O540" s="209"/>
    </row>
    <row r="541" spans="1:15" x14ac:dyDescent="0.3">
      <c r="A541" s="302" t="s">
        <v>155</v>
      </c>
      <c r="B541" s="302" t="str">
        <f t="shared" si="3"/>
        <v>Y</v>
      </c>
      <c r="C541" s="6" t="s">
        <v>1306</v>
      </c>
      <c r="D541" s="327"/>
      <c r="E541" s="327" t="s">
        <v>1307</v>
      </c>
      <c r="F541" s="206"/>
      <c r="G541" s="207">
        <v>43502</v>
      </c>
      <c r="H541" s="207">
        <v>43504</v>
      </c>
      <c r="K541" s="302">
        <v>8002668157</v>
      </c>
      <c r="M541" s="212"/>
      <c r="N541" s="213"/>
      <c r="O541" s="209"/>
    </row>
    <row r="542" spans="1:15" x14ac:dyDescent="0.3">
      <c r="A542" s="302" t="s">
        <v>155</v>
      </c>
      <c r="B542" s="302" t="str">
        <f t="shared" si="3"/>
        <v>Y</v>
      </c>
      <c r="C542" s="6" t="s">
        <v>1308</v>
      </c>
      <c r="D542" s="327"/>
      <c r="E542" s="327" t="s">
        <v>1309</v>
      </c>
      <c r="F542" s="206"/>
      <c r="G542" s="207">
        <v>43503</v>
      </c>
      <c r="H542" s="207">
        <v>43504</v>
      </c>
      <c r="K542" s="302">
        <v>6202676919</v>
      </c>
      <c r="M542" s="212"/>
      <c r="N542" s="213"/>
      <c r="O542" s="209"/>
    </row>
    <row r="543" spans="1:15" x14ac:dyDescent="0.3">
      <c r="A543" s="302" t="s">
        <v>155</v>
      </c>
      <c r="B543" s="302" t="str">
        <f t="shared" si="3"/>
        <v>Y</v>
      </c>
      <c r="C543" s="6" t="s">
        <v>1310</v>
      </c>
      <c r="D543" s="327"/>
      <c r="E543" s="327" t="s">
        <v>1311</v>
      </c>
      <c r="F543" s="206"/>
      <c r="G543" s="207">
        <v>43503</v>
      </c>
      <c r="H543" s="207">
        <v>43505</v>
      </c>
      <c r="K543" s="302">
        <v>8235662762</v>
      </c>
      <c r="M543" s="212"/>
      <c r="N543" s="213"/>
      <c r="O543" s="209"/>
    </row>
    <row r="544" spans="1:15" x14ac:dyDescent="0.3">
      <c r="A544" s="302" t="s">
        <v>155</v>
      </c>
      <c r="B544" s="302" t="str">
        <f t="shared" si="3"/>
        <v>Y</v>
      </c>
      <c r="C544" s="6" t="s">
        <v>1312</v>
      </c>
      <c r="D544" s="327"/>
      <c r="E544" s="327" t="s">
        <v>1313</v>
      </c>
      <c r="F544" s="206"/>
      <c r="G544" s="207">
        <v>43501</v>
      </c>
      <c r="H544" s="207">
        <v>43505</v>
      </c>
      <c r="K544" s="302">
        <v>7209755576</v>
      </c>
      <c r="M544" s="212"/>
      <c r="N544" s="213"/>
      <c r="O544" s="209"/>
    </row>
    <row r="545" spans="1:15" x14ac:dyDescent="0.3">
      <c r="A545" s="302" t="s">
        <v>155</v>
      </c>
      <c r="B545" s="302" t="str">
        <f t="shared" si="3"/>
        <v>Y</v>
      </c>
      <c r="C545" s="6" t="s">
        <v>1314</v>
      </c>
      <c r="D545" s="327"/>
      <c r="E545" s="327" t="s">
        <v>1315</v>
      </c>
      <c r="F545" s="206"/>
      <c r="G545" s="207">
        <v>43501</v>
      </c>
      <c r="H545" s="207">
        <v>43505</v>
      </c>
      <c r="K545" s="302">
        <v>7250552453</v>
      </c>
      <c r="M545" s="212"/>
      <c r="N545" s="213"/>
      <c r="O545" s="209"/>
    </row>
    <row r="546" spans="1:15" x14ac:dyDescent="0.3">
      <c r="A546" s="302" t="s">
        <v>155</v>
      </c>
      <c r="B546" s="302" t="str">
        <f t="shared" si="3"/>
        <v>Y</v>
      </c>
      <c r="C546" s="6" t="s">
        <v>1316</v>
      </c>
      <c r="D546" s="327"/>
      <c r="E546" s="327" t="s">
        <v>1317</v>
      </c>
      <c r="F546" s="206"/>
      <c r="G546" s="207">
        <v>43502</v>
      </c>
      <c r="H546" s="207">
        <v>43505</v>
      </c>
      <c r="K546" s="302">
        <v>7070906967</v>
      </c>
      <c r="M546" s="212"/>
      <c r="N546" s="213"/>
      <c r="O546" s="209"/>
    </row>
    <row r="547" spans="1:15" x14ac:dyDescent="0.3">
      <c r="A547" s="302" t="s">
        <v>155</v>
      </c>
      <c r="B547" s="302" t="str">
        <f t="shared" si="3"/>
        <v>Y</v>
      </c>
      <c r="C547" s="6" t="s">
        <v>1318</v>
      </c>
      <c r="D547" s="327"/>
      <c r="E547" s="327" t="s">
        <v>1319</v>
      </c>
      <c r="F547" s="206"/>
      <c r="G547" s="207">
        <v>43503</v>
      </c>
      <c r="H547" s="207">
        <v>43505</v>
      </c>
      <c r="K547" s="302">
        <v>9709276416</v>
      </c>
      <c r="M547" s="212"/>
      <c r="N547" s="213"/>
      <c r="O547" s="209"/>
    </row>
    <row r="548" spans="1:15" x14ac:dyDescent="0.3">
      <c r="A548" s="302" t="s">
        <v>155</v>
      </c>
      <c r="B548" s="302" t="str">
        <f t="shared" si="3"/>
        <v>Y</v>
      </c>
      <c r="C548" s="6" t="s">
        <v>1320</v>
      </c>
      <c r="D548" s="327"/>
      <c r="E548" s="327" t="s">
        <v>1321</v>
      </c>
      <c r="F548" s="206"/>
      <c r="G548" s="207">
        <v>43503</v>
      </c>
      <c r="H548" s="207">
        <v>43504</v>
      </c>
      <c r="K548" s="302">
        <v>9709276416</v>
      </c>
      <c r="M548" s="212"/>
      <c r="N548" s="213"/>
      <c r="O548" s="209"/>
    </row>
    <row r="549" spans="1:15" x14ac:dyDescent="0.3">
      <c r="A549" s="302" t="s">
        <v>155</v>
      </c>
      <c r="B549" s="302" t="str">
        <f t="shared" si="3"/>
        <v>Y</v>
      </c>
      <c r="C549" s="6" t="s">
        <v>1322</v>
      </c>
      <c r="D549" s="327"/>
      <c r="E549" s="327" t="s">
        <v>1323</v>
      </c>
      <c r="F549" s="206"/>
      <c r="G549" s="207">
        <v>43503</v>
      </c>
      <c r="H549" s="207">
        <v>43504</v>
      </c>
      <c r="K549" s="302">
        <v>9709276416</v>
      </c>
      <c r="M549" s="212"/>
      <c r="N549" s="213"/>
      <c r="O549" s="209"/>
    </row>
    <row r="550" spans="1:15" x14ac:dyDescent="0.3">
      <c r="A550" s="302" t="s">
        <v>155</v>
      </c>
      <c r="B550" s="302" t="str">
        <f t="shared" si="3"/>
        <v>Y</v>
      </c>
      <c r="C550" s="6" t="s">
        <v>1324</v>
      </c>
      <c r="D550" s="327"/>
      <c r="E550" s="327" t="s">
        <v>1325</v>
      </c>
      <c r="F550" s="206"/>
      <c r="G550" s="207">
        <v>43504</v>
      </c>
      <c r="H550" s="207">
        <v>43504</v>
      </c>
      <c r="K550" s="302">
        <v>9939660522</v>
      </c>
      <c r="M550" s="212"/>
      <c r="N550" s="213"/>
      <c r="O550" s="209"/>
    </row>
    <row r="551" spans="1:15" x14ac:dyDescent="0.3">
      <c r="A551" s="302" t="s">
        <v>155</v>
      </c>
      <c r="B551" s="302" t="str">
        <f t="shared" si="3"/>
        <v>Y</v>
      </c>
      <c r="C551" s="6" t="s">
        <v>1326</v>
      </c>
      <c r="D551" s="327"/>
      <c r="E551" s="327" t="s">
        <v>1327</v>
      </c>
      <c r="F551" s="206"/>
      <c r="G551" s="207">
        <v>43504</v>
      </c>
      <c r="H551" s="207">
        <v>43504</v>
      </c>
      <c r="K551" s="302">
        <v>9939183954</v>
      </c>
      <c r="M551" s="212"/>
      <c r="N551" s="213"/>
      <c r="O551" s="209"/>
    </row>
    <row r="552" spans="1:15" x14ac:dyDescent="0.3">
      <c r="A552" s="302" t="s">
        <v>155</v>
      </c>
      <c r="B552" s="302" t="str">
        <f t="shared" si="3"/>
        <v>Y</v>
      </c>
      <c r="C552" s="6" t="s">
        <v>1328</v>
      </c>
      <c r="D552" s="327"/>
      <c r="E552" s="327" t="s">
        <v>1329</v>
      </c>
      <c r="F552" s="206"/>
      <c r="G552" s="207">
        <v>43504</v>
      </c>
      <c r="H552" s="207">
        <v>43509</v>
      </c>
      <c r="K552" s="302">
        <v>6202676919</v>
      </c>
      <c r="M552" s="212"/>
      <c r="N552" s="213"/>
      <c r="O552" s="209"/>
    </row>
    <row r="553" spans="1:15" x14ac:dyDescent="0.3">
      <c r="A553" s="302" t="s">
        <v>155</v>
      </c>
      <c r="B553" s="302" t="str">
        <f t="shared" si="3"/>
        <v>Y</v>
      </c>
      <c r="C553" s="6" t="s">
        <v>1330</v>
      </c>
      <c r="D553" s="327"/>
      <c r="E553" s="327" t="s">
        <v>1331</v>
      </c>
      <c r="F553" s="206"/>
      <c r="G553" s="207">
        <v>43504</v>
      </c>
      <c r="H553" s="207">
        <v>43505</v>
      </c>
      <c r="K553" s="302">
        <v>9102665789</v>
      </c>
      <c r="M553" s="212"/>
      <c r="N553" s="213"/>
      <c r="O553" s="209"/>
    </row>
    <row r="554" spans="1:15" x14ac:dyDescent="0.3">
      <c r="A554" s="302" t="s">
        <v>155</v>
      </c>
      <c r="B554" s="302" t="str">
        <f t="shared" si="3"/>
        <v>Y</v>
      </c>
      <c r="C554" s="6" t="s">
        <v>1332</v>
      </c>
      <c r="D554" s="327"/>
      <c r="E554" s="327" t="s">
        <v>1333</v>
      </c>
      <c r="F554" s="206"/>
      <c r="G554" s="207">
        <v>43504</v>
      </c>
      <c r="H554" s="207">
        <v>43513</v>
      </c>
      <c r="K554" s="302">
        <v>8210538113</v>
      </c>
      <c r="M554" s="212"/>
      <c r="N554" s="213"/>
      <c r="O554" s="209"/>
    </row>
    <row r="555" spans="1:15" x14ac:dyDescent="0.3">
      <c r="A555" s="302" t="s">
        <v>155</v>
      </c>
      <c r="B555" s="302" t="str">
        <f t="shared" si="3"/>
        <v>Y</v>
      </c>
      <c r="C555" s="6" t="s">
        <v>1334</v>
      </c>
      <c r="D555" s="327"/>
      <c r="E555" s="327" t="s">
        <v>1335</v>
      </c>
      <c r="F555" s="206"/>
      <c r="G555" s="207">
        <v>43505</v>
      </c>
      <c r="H555" s="207">
        <v>43513</v>
      </c>
      <c r="K555" s="302">
        <v>9525218309</v>
      </c>
      <c r="M555" s="212"/>
      <c r="N555" s="213"/>
      <c r="O555" s="209"/>
    </row>
    <row r="556" spans="1:15" x14ac:dyDescent="0.3">
      <c r="A556" s="302" t="s">
        <v>155</v>
      </c>
      <c r="B556" s="302" t="str">
        <f t="shared" si="3"/>
        <v>Y</v>
      </c>
      <c r="C556" s="6" t="s">
        <v>1336</v>
      </c>
      <c r="D556" s="327"/>
      <c r="E556" s="327" t="s">
        <v>1337</v>
      </c>
      <c r="F556" s="206"/>
      <c r="G556" s="207">
        <v>43505</v>
      </c>
      <c r="H556" s="207">
        <v>43505</v>
      </c>
      <c r="K556" s="302">
        <v>9431372599</v>
      </c>
      <c r="M556" s="212"/>
      <c r="N556" s="213"/>
      <c r="O556" s="209"/>
    </row>
    <row r="557" spans="1:15" x14ac:dyDescent="0.3">
      <c r="A557" s="302" t="s">
        <v>155</v>
      </c>
      <c r="B557" s="302" t="str">
        <f t="shared" si="3"/>
        <v>Y</v>
      </c>
      <c r="C557" s="6" t="s">
        <v>1338</v>
      </c>
      <c r="D557" s="327"/>
      <c r="E557" s="327" t="s">
        <v>1339</v>
      </c>
      <c r="F557" s="206"/>
      <c r="G557" s="207">
        <v>43506</v>
      </c>
      <c r="H557" s="207">
        <v>43507</v>
      </c>
      <c r="K557" s="302">
        <v>9031203713</v>
      </c>
      <c r="M557" s="212"/>
      <c r="N557" s="213"/>
      <c r="O557" s="209"/>
    </row>
    <row r="558" spans="1:15" x14ac:dyDescent="0.3">
      <c r="A558" s="302" t="s">
        <v>155</v>
      </c>
      <c r="B558" s="302" t="str">
        <f t="shared" si="3"/>
        <v>Y</v>
      </c>
      <c r="C558" s="6" t="s">
        <v>1340</v>
      </c>
      <c r="D558" s="327"/>
      <c r="E558" s="327" t="s">
        <v>1341</v>
      </c>
      <c r="F558" s="206"/>
      <c r="G558" s="207">
        <v>43506</v>
      </c>
      <c r="H558" s="207">
        <v>43507</v>
      </c>
      <c r="K558" s="302">
        <v>8210564642</v>
      </c>
      <c r="L558" s="2" t="s">
        <v>580</v>
      </c>
      <c r="M558" s="212" t="s">
        <v>556</v>
      </c>
      <c r="N558" s="213"/>
      <c r="O558" s="209"/>
    </row>
    <row r="559" spans="1:15" x14ac:dyDescent="0.3">
      <c r="A559" s="302" t="s">
        <v>155</v>
      </c>
      <c r="B559" s="302" t="str">
        <f t="shared" si="3"/>
        <v>Y</v>
      </c>
      <c r="C559" s="6" t="s">
        <v>1342</v>
      </c>
      <c r="D559" s="327"/>
      <c r="E559" s="327" t="s">
        <v>1343</v>
      </c>
      <c r="F559" s="206"/>
      <c r="G559" s="207">
        <v>43506</v>
      </c>
      <c r="H559" s="207">
        <v>43507</v>
      </c>
      <c r="K559" s="302">
        <v>8789694483</v>
      </c>
      <c r="L559" s="2" t="s">
        <v>580</v>
      </c>
      <c r="M559" s="212" t="s">
        <v>556</v>
      </c>
      <c r="N559" s="213"/>
      <c r="O559" s="209"/>
    </row>
    <row r="560" spans="1:15" x14ac:dyDescent="0.3">
      <c r="A560" s="302" t="s">
        <v>155</v>
      </c>
      <c r="B560" s="302" t="str">
        <f t="shared" si="3"/>
        <v>Y</v>
      </c>
      <c r="C560" s="6" t="s">
        <v>1344</v>
      </c>
      <c r="D560" s="327"/>
      <c r="E560" s="327" t="s">
        <v>1345</v>
      </c>
      <c r="F560" s="206"/>
      <c r="G560" s="207">
        <v>43507</v>
      </c>
      <c r="H560" s="207">
        <v>43508</v>
      </c>
      <c r="K560" s="302">
        <v>7488687023</v>
      </c>
      <c r="M560" s="212"/>
      <c r="N560" s="213"/>
      <c r="O560" s="209"/>
    </row>
    <row r="561" spans="1:15" x14ac:dyDescent="0.3">
      <c r="A561" s="302" t="s">
        <v>155</v>
      </c>
      <c r="B561" s="302" t="str">
        <f t="shared" si="3"/>
        <v>Y</v>
      </c>
      <c r="C561" s="6" t="s">
        <v>1346</v>
      </c>
      <c r="D561" s="327"/>
      <c r="E561" s="327" t="s">
        <v>1347</v>
      </c>
      <c r="F561" s="206"/>
      <c r="G561" s="207">
        <v>43508</v>
      </c>
      <c r="H561" s="207">
        <v>43508</v>
      </c>
      <c r="K561" s="302">
        <v>9430348544</v>
      </c>
      <c r="L561" s="2" t="s">
        <v>580</v>
      </c>
      <c r="M561" s="212" t="s">
        <v>556</v>
      </c>
      <c r="N561" s="213"/>
      <c r="O561" s="209"/>
    </row>
    <row r="562" spans="1:15" x14ac:dyDescent="0.3">
      <c r="A562" s="302" t="s">
        <v>155</v>
      </c>
      <c r="B562" s="302" t="str">
        <f t="shared" si="3"/>
        <v>Y</v>
      </c>
      <c r="C562" s="6" t="s">
        <v>1348</v>
      </c>
      <c r="D562" s="327"/>
      <c r="E562" s="327" t="s">
        <v>1349</v>
      </c>
      <c r="F562" s="206"/>
      <c r="G562" s="207">
        <v>43508</v>
      </c>
      <c r="H562" s="207">
        <v>43508</v>
      </c>
      <c r="K562" s="302">
        <v>9546262989</v>
      </c>
      <c r="L562" s="2" t="s">
        <v>580</v>
      </c>
      <c r="M562" s="212" t="s">
        <v>556</v>
      </c>
      <c r="N562" s="213"/>
      <c r="O562" s="209"/>
    </row>
    <row r="563" spans="1:15" x14ac:dyDescent="0.3">
      <c r="A563" s="302" t="s">
        <v>155</v>
      </c>
      <c r="B563" s="302" t="str">
        <f t="shared" si="3"/>
        <v>Y</v>
      </c>
      <c r="C563" s="6" t="s">
        <v>1350</v>
      </c>
      <c r="D563" s="327"/>
      <c r="E563" s="327" t="s">
        <v>1351</v>
      </c>
      <c r="F563" s="206"/>
      <c r="G563" s="207">
        <v>43507</v>
      </c>
      <c r="H563" s="207">
        <v>43508</v>
      </c>
      <c r="K563" s="302">
        <v>9234529243</v>
      </c>
      <c r="M563" s="212"/>
      <c r="N563" s="213"/>
      <c r="O563" s="209"/>
    </row>
    <row r="564" spans="1:15" x14ac:dyDescent="0.3">
      <c r="A564" s="302" t="s">
        <v>155</v>
      </c>
      <c r="B564" s="302" t="str">
        <f t="shared" si="3"/>
        <v>Y</v>
      </c>
      <c r="C564" s="6" t="s">
        <v>1352</v>
      </c>
      <c r="D564" s="327"/>
      <c r="E564" s="327" t="s">
        <v>1353</v>
      </c>
      <c r="F564" s="206"/>
      <c r="G564" s="207">
        <v>43508</v>
      </c>
      <c r="H564" s="207">
        <v>43509</v>
      </c>
      <c r="K564" s="302">
        <v>9065339493</v>
      </c>
      <c r="M564" s="212"/>
      <c r="N564" s="213"/>
      <c r="O564" s="209"/>
    </row>
    <row r="565" spans="1:15" x14ac:dyDescent="0.3">
      <c r="A565" s="302" t="s">
        <v>155</v>
      </c>
      <c r="B565" s="302" t="str">
        <f t="shared" si="3"/>
        <v>Y</v>
      </c>
      <c r="C565" s="6" t="s">
        <v>1354</v>
      </c>
      <c r="D565" s="327"/>
      <c r="E565" s="327" t="s">
        <v>1355</v>
      </c>
      <c r="F565" s="206"/>
      <c r="G565" s="207">
        <v>43509</v>
      </c>
      <c r="H565" s="207">
        <v>43509</v>
      </c>
      <c r="K565" s="302">
        <v>9031271960</v>
      </c>
      <c r="M565" s="212"/>
      <c r="N565" s="213"/>
      <c r="O565" s="209"/>
    </row>
    <row r="566" spans="1:15" x14ac:dyDescent="0.3">
      <c r="A566" s="302" t="s">
        <v>155</v>
      </c>
      <c r="B566" s="302" t="str">
        <f t="shared" si="3"/>
        <v>Y</v>
      </c>
      <c r="C566" s="6" t="s">
        <v>1356</v>
      </c>
      <c r="D566" s="327"/>
      <c r="E566" s="327" t="s">
        <v>1357</v>
      </c>
      <c r="F566" s="206"/>
      <c r="G566" s="207">
        <v>43509</v>
      </c>
      <c r="H566" s="207">
        <v>43513</v>
      </c>
      <c r="K566" s="302">
        <v>6204930409</v>
      </c>
      <c r="M566" s="212" t="s">
        <v>556</v>
      </c>
      <c r="N566" s="213"/>
      <c r="O566" s="209"/>
    </row>
    <row r="567" spans="1:15" x14ac:dyDescent="0.3">
      <c r="A567" s="302" t="s">
        <v>155</v>
      </c>
      <c r="B567" s="302" t="str">
        <f t="shared" si="3"/>
        <v>Y</v>
      </c>
      <c r="C567" s="6" t="s">
        <v>1358</v>
      </c>
      <c r="D567" s="327"/>
      <c r="E567" s="327" t="s">
        <v>1359</v>
      </c>
      <c r="F567" s="206"/>
      <c r="G567" s="207">
        <v>43509</v>
      </c>
      <c r="H567" s="207">
        <v>43509</v>
      </c>
      <c r="K567" s="302">
        <v>7677615639</v>
      </c>
      <c r="M567" s="212"/>
      <c r="N567" s="213"/>
      <c r="O567" s="209"/>
    </row>
    <row r="568" spans="1:15" x14ac:dyDescent="0.3">
      <c r="A568" s="302" t="s">
        <v>155</v>
      </c>
      <c r="B568" s="302" t="str">
        <f t="shared" si="3"/>
        <v>Y</v>
      </c>
      <c r="C568" s="6" t="s">
        <v>1360</v>
      </c>
      <c r="D568" s="327"/>
      <c r="E568" s="327" t="s">
        <v>1361</v>
      </c>
      <c r="F568" s="206"/>
      <c r="G568" s="207">
        <v>43509</v>
      </c>
      <c r="H568" s="207">
        <v>43513</v>
      </c>
      <c r="K568" s="302">
        <v>7488290689</v>
      </c>
      <c r="M568" s="212" t="s">
        <v>556</v>
      </c>
      <c r="N568" s="213"/>
      <c r="O568" s="209"/>
    </row>
    <row r="569" spans="1:15" x14ac:dyDescent="0.3">
      <c r="A569" s="302" t="s">
        <v>155</v>
      </c>
      <c r="B569" s="302" t="str">
        <f t="shared" si="3"/>
        <v>Y</v>
      </c>
      <c r="C569" s="6" t="s">
        <v>1362</v>
      </c>
      <c r="D569" s="327"/>
      <c r="E569" s="327" t="s">
        <v>1363</v>
      </c>
      <c r="F569" s="206"/>
      <c r="G569" s="207">
        <v>43509</v>
      </c>
      <c r="H569" s="207">
        <v>43513</v>
      </c>
      <c r="K569" s="302">
        <v>9204306869</v>
      </c>
      <c r="M569" s="212" t="s">
        <v>556</v>
      </c>
      <c r="N569" s="213"/>
      <c r="O569" s="209"/>
    </row>
    <row r="570" spans="1:15" x14ac:dyDescent="0.3">
      <c r="A570" s="302" t="s">
        <v>155</v>
      </c>
      <c r="B570" s="302" t="str">
        <f t="shared" si="3"/>
        <v>Y</v>
      </c>
      <c r="C570" s="6" t="s">
        <v>1364</v>
      </c>
      <c r="D570" s="327"/>
      <c r="E570" s="327" t="s">
        <v>1365</v>
      </c>
      <c r="F570" s="206"/>
      <c r="G570" s="207">
        <v>43510</v>
      </c>
      <c r="H570" s="207">
        <v>43513</v>
      </c>
      <c r="K570" s="302">
        <v>9931246385</v>
      </c>
      <c r="M570" s="212"/>
      <c r="N570" s="213"/>
      <c r="O570" s="209"/>
    </row>
    <row r="571" spans="1:15" x14ac:dyDescent="0.3">
      <c r="A571" s="302" t="s">
        <v>155</v>
      </c>
      <c r="B571" s="302" t="str">
        <f t="shared" si="3"/>
        <v>Y</v>
      </c>
      <c r="C571" s="6" t="s">
        <v>1366</v>
      </c>
      <c r="D571" s="327"/>
      <c r="E571" s="327" t="s">
        <v>1367</v>
      </c>
      <c r="F571" s="206"/>
      <c r="G571" s="207">
        <v>43510</v>
      </c>
      <c r="H571" s="207">
        <v>43513</v>
      </c>
      <c r="K571" s="302">
        <v>7492021083</v>
      </c>
      <c r="M571" s="212"/>
      <c r="N571" s="213"/>
      <c r="O571" s="209"/>
    </row>
    <row r="572" spans="1:15" x14ac:dyDescent="0.3">
      <c r="A572" s="302" t="s">
        <v>155</v>
      </c>
      <c r="B572" s="302" t="str">
        <f t="shared" si="3"/>
        <v>Y</v>
      </c>
      <c r="C572" s="6" t="s">
        <v>1368</v>
      </c>
      <c r="D572" s="327"/>
      <c r="E572" s="327" t="s">
        <v>1369</v>
      </c>
      <c r="F572" s="206"/>
      <c r="G572" s="207">
        <v>43510</v>
      </c>
      <c r="H572" s="207">
        <v>43513</v>
      </c>
      <c r="K572" s="302">
        <v>9470281512</v>
      </c>
      <c r="M572" s="212"/>
      <c r="N572" s="213"/>
      <c r="O572" s="209"/>
    </row>
    <row r="573" spans="1:15" x14ac:dyDescent="0.3">
      <c r="A573" s="302" t="s">
        <v>155</v>
      </c>
      <c r="B573" s="302" t="str">
        <f t="shared" si="3"/>
        <v>Y</v>
      </c>
      <c r="C573" s="6" t="s">
        <v>1370</v>
      </c>
      <c r="D573" s="327"/>
      <c r="E573" s="327" t="s">
        <v>1371</v>
      </c>
      <c r="F573" s="206"/>
      <c r="G573" s="207">
        <v>43510</v>
      </c>
      <c r="H573" s="207">
        <v>43513</v>
      </c>
      <c r="K573" s="302">
        <v>7209411109</v>
      </c>
      <c r="M573" s="212"/>
      <c r="N573" s="213"/>
      <c r="O573" s="209"/>
    </row>
    <row r="574" spans="1:15" x14ac:dyDescent="0.3">
      <c r="A574" s="302" t="s">
        <v>155</v>
      </c>
      <c r="B574" s="302" t="str">
        <f t="shared" si="3"/>
        <v>Y</v>
      </c>
      <c r="C574" s="6" t="s">
        <v>1372</v>
      </c>
      <c r="D574" s="327"/>
      <c r="E574" s="327" t="s">
        <v>1373</v>
      </c>
      <c r="F574" s="206"/>
      <c r="G574" s="207">
        <v>43511</v>
      </c>
      <c r="H574" s="207">
        <v>43513</v>
      </c>
      <c r="K574" s="302">
        <v>8084692449</v>
      </c>
      <c r="M574" s="212"/>
      <c r="N574" s="213"/>
      <c r="O574" s="209"/>
    </row>
    <row r="575" spans="1:15" x14ac:dyDescent="0.3">
      <c r="A575" s="302" t="s">
        <v>155</v>
      </c>
      <c r="B575" s="302" t="str">
        <f t="shared" si="3"/>
        <v>Y</v>
      </c>
      <c r="C575" s="6" t="s">
        <v>1374</v>
      </c>
      <c r="D575" s="327"/>
      <c r="E575" s="327" t="s">
        <v>1375</v>
      </c>
      <c r="F575" s="206"/>
      <c r="G575" s="207">
        <v>43601</v>
      </c>
      <c r="H575" s="207">
        <v>43513</v>
      </c>
      <c r="K575" s="302">
        <v>8002668157</v>
      </c>
      <c r="M575" s="212"/>
      <c r="N575" s="213"/>
      <c r="O575" s="209"/>
    </row>
    <row r="576" spans="1:15" x14ac:dyDescent="0.3">
      <c r="A576" s="302" t="s">
        <v>155</v>
      </c>
      <c r="B576" s="302" t="str">
        <f t="shared" si="3"/>
        <v>Y</v>
      </c>
      <c r="C576" s="6" t="s">
        <v>1376</v>
      </c>
      <c r="D576" s="327"/>
      <c r="E576" s="327" t="s">
        <v>1377</v>
      </c>
      <c r="F576" s="206"/>
      <c r="G576" s="207">
        <v>43513</v>
      </c>
      <c r="H576" s="207">
        <v>43514</v>
      </c>
      <c r="K576" s="302">
        <v>9102942962</v>
      </c>
      <c r="M576" s="212" t="s">
        <v>556</v>
      </c>
      <c r="N576" s="213"/>
      <c r="O576" s="209"/>
    </row>
    <row r="577" spans="1:15" x14ac:dyDescent="0.3">
      <c r="A577" s="302" t="s">
        <v>155</v>
      </c>
      <c r="B577" s="302" t="str">
        <f t="shared" si="3"/>
        <v>Y</v>
      </c>
      <c r="C577" s="6" t="s">
        <v>1378</v>
      </c>
      <c r="D577" s="327"/>
      <c r="E577" s="327" t="s">
        <v>1379</v>
      </c>
      <c r="F577" s="206"/>
      <c r="G577" s="207">
        <v>43513</v>
      </c>
      <c r="H577" s="207">
        <v>43514</v>
      </c>
      <c r="K577" s="302">
        <v>8292799735</v>
      </c>
      <c r="M577" s="212" t="s">
        <v>556</v>
      </c>
      <c r="N577" s="213"/>
      <c r="O577" s="209"/>
    </row>
    <row r="578" spans="1:15" x14ac:dyDescent="0.3">
      <c r="A578" s="302" t="s">
        <v>155</v>
      </c>
      <c r="B578" s="302" t="str">
        <f t="shared" si="3"/>
        <v>Y</v>
      </c>
      <c r="C578" s="6" t="s">
        <v>1380</v>
      </c>
      <c r="D578" s="327"/>
      <c r="E578" s="327" t="s">
        <v>1381</v>
      </c>
      <c r="F578" s="206"/>
      <c r="G578" s="207">
        <v>43513</v>
      </c>
      <c r="H578" s="207">
        <v>43514</v>
      </c>
      <c r="K578" s="302">
        <v>7602317254</v>
      </c>
      <c r="M578" s="212" t="s">
        <v>556</v>
      </c>
      <c r="N578" s="213"/>
      <c r="O578" s="209"/>
    </row>
    <row r="579" spans="1:15" x14ac:dyDescent="0.3">
      <c r="A579" s="302" t="s">
        <v>155</v>
      </c>
      <c r="B579" s="302" t="str">
        <f t="shared" si="3"/>
        <v>Y</v>
      </c>
      <c r="C579" s="6" t="s">
        <v>1382</v>
      </c>
      <c r="D579" s="327"/>
      <c r="E579" s="327" t="s">
        <v>1383</v>
      </c>
      <c r="F579" s="206"/>
      <c r="G579" s="207">
        <v>43513</v>
      </c>
      <c r="H579" s="207">
        <v>43514</v>
      </c>
      <c r="K579" s="302">
        <v>9507579084</v>
      </c>
      <c r="M579" s="212" t="s">
        <v>556</v>
      </c>
      <c r="N579" s="213"/>
      <c r="O579" s="209"/>
    </row>
    <row r="580" spans="1:15" x14ac:dyDescent="0.3">
      <c r="A580" s="302" t="s">
        <v>155</v>
      </c>
      <c r="B580" s="302" t="str">
        <f t="shared" si="3"/>
        <v>Y</v>
      </c>
      <c r="C580" s="6" t="s">
        <v>1384</v>
      </c>
      <c r="D580" s="327"/>
      <c r="E580" s="327" t="s">
        <v>1385</v>
      </c>
      <c r="F580" s="206"/>
      <c r="G580" s="207">
        <v>43514</v>
      </c>
      <c r="H580" s="207">
        <v>43514</v>
      </c>
      <c r="K580" s="302">
        <v>8235383237</v>
      </c>
      <c r="M580" s="212"/>
      <c r="N580" s="213"/>
      <c r="O580" s="209"/>
    </row>
    <row r="581" spans="1:15" x14ac:dyDescent="0.3">
      <c r="A581" s="302" t="s">
        <v>155</v>
      </c>
      <c r="B581" s="302" t="str">
        <f t="shared" si="3"/>
        <v>Y</v>
      </c>
      <c r="C581" s="6" t="s">
        <v>1386</v>
      </c>
      <c r="D581" s="327"/>
      <c r="E581" s="327" t="s">
        <v>1387</v>
      </c>
      <c r="F581" s="206"/>
      <c r="G581" s="207">
        <v>43514</v>
      </c>
      <c r="H581" s="207">
        <v>43516</v>
      </c>
      <c r="K581" s="302">
        <v>9279278895</v>
      </c>
      <c r="M581" s="212"/>
      <c r="N581" s="213"/>
      <c r="O581" s="209"/>
    </row>
    <row r="582" spans="1:15" x14ac:dyDescent="0.3">
      <c r="A582" s="302" t="s">
        <v>155</v>
      </c>
      <c r="B582" s="302" t="str">
        <f t="shared" si="3"/>
        <v>N</v>
      </c>
      <c r="C582" s="6" t="s">
        <v>1388</v>
      </c>
      <c r="D582" s="327"/>
      <c r="E582" s="327" t="s">
        <v>1389</v>
      </c>
      <c r="F582" s="206"/>
      <c r="G582" s="207">
        <v>43514</v>
      </c>
      <c r="H582" s="302"/>
      <c r="K582" s="302">
        <v>8651421030</v>
      </c>
      <c r="M582" s="212"/>
      <c r="N582" s="213"/>
      <c r="O582" s="209"/>
    </row>
    <row r="583" spans="1:15" x14ac:dyDescent="0.3">
      <c r="A583" s="302" t="s">
        <v>155</v>
      </c>
      <c r="B583" s="302" t="str">
        <f t="shared" si="3"/>
        <v>Y</v>
      </c>
      <c r="C583" s="6" t="s">
        <v>1390</v>
      </c>
      <c r="D583" s="327"/>
      <c r="E583" s="327" t="s">
        <v>1391</v>
      </c>
      <c r="F583" s="206"/>
      <c r="G583" s="207">
        <v>43517</v>
      </c>
      <c r="H583" s="207">
        <v>43518</v>
      </c>
      <c r="K583" s="302">
        <v>9939278339</v>
      </c>
      <c r="M583" s="212"/>
      <c r="N583" s="213"/>
      <c r="O583" s="209"/>
    </row>
    <row r="584" spans="1:15" x14ac:dyDescent="0.3">
      <c r="A584" s="302" t="s">
        <v>155</v>
      </c>
      <c r="B584" s="302" t="str">
        <f t="shared" si="3"/>
        <v>Y</v>
      </c>
      <c r="C584" s="6" t="s">
        <v>1392</v>
      </c>
      <c r="D584" s="327"/>
      <c r="E584" s="327" t="s">
        <v>1393</v>
      </c>
      <c r="F584" s="206"/>
      <c r="G584" s="207">
        <v>43517</v>
      </c>
      <c r="H584" s="207">
        <v>43518</v>
      </c>
      <c r="K584" s="302">
        <v>7209637286</v>
      </c>
      <c r="L584" s="2" t="s">
        <v>580</v>
      </c>
      <c r="M584" s="212" t="s">
        <v>556</v>
      </c>
      <c r="N584" s="213"/>
      <c r="O584" s="209"/>
    </row>
    <row r="585" spans="1:15" x14ac:dyDescent="0.3">
      <c r="A585" s="302" t="s">
        <v>155</v>
      </c>
      <c r="B585" s="302" t="str">
        <f t="shared" si="3"/>
        <v>Y</v>
      </c>
      <c r="C585" s="6" t="s">
        <v>1394</v>
      </c>
      <c r="D585" s="327"/>
      <c r="E585" s="327" t="s">
        <v>1395</v>
      </c>
      <c r="F585" s="206"/>
      <c r="G585" s="207">
        <v>43517</v>
      </c>
      <c r="H585" s="207">
        <v>43518</v>
      </c>
      <c r="K585" s="302">
        <v>7209637286</v>
      </c>
      <c r="L585" s="2" t="s">
        <v>580</v>
      </c>
      <c r="M585" s="212" t="s">
        <v>556</v>
      </c>
      <c r="N585" s="213"/>
      <c r="O585" s="209"/>
    </row>
    <row r="586" spans="1:15" x14ac:dyDescent="0.3">
      <c r="A586" s="302" t="s">
        <v>155</v>
      </c>
      <c r="B586" s="302" t="str">
        <f t="shared" si="3"/>
        <v>Y</v>
      </c>
      <c r="C586" s="455" t="s">
        <v>1396</v>
      </c>
      <c r="D586" s="333"/>
      <c r="E586" s="327" t="s">
        <v>1397</v>
      </c>
      <c r="F586" s="206"/>
      <c r="G586" s="207">
        <v>43518</v>
      </c>
      <c r="H586" s="207">
        <v>43518</v>
      </c>
      <c r="K586" s="302">
        <v>8092248700</v>
      </c>
      <c r="L586" s="8"/>
      <c r="M586" s="212"/>
      <c r="N586" s="213"/>
      <c r="O586" s="209"/>
    </row>
    <row r="587" spans="1:15" x14ac:dyDescent="0.3">
      <c r="A587" s="302" t="s">
        <v>155</v>
      </c>
      <c r="B587" s="302" t="str">
        <f t="shared" si="3"/>
        <v>Y</v>
      </c>
      <c r="C587" s="6" t="s">
        <v>1398</v>
      </c>
      <c r="D587" s="327"/>
      <c r="E587" s="327" t="s">
        <v>1399</v>
      </c>
      <c r="F587" s="206"/>
      <c r="G587" s="207">
        <v>43518</v>
      </c>
      <c r="H587" s="207">
        <v>43518</v>
      </c>
      <c r="K587" s="302">
        <v>7067981371</v>
      </c>
      <c r="M587" s="212"/>
      <c r="N587" s="213"/>
      <c r="O587" s="209"/>
    </row>
    <row r="588" spans="1:15" x14ac:dyDescent="0.3">
      <c r="A588" s="302"/>
      <c r="B588" s="302" t="str">
        <f t="shared" si="3"/>
        <v>Y</v>
      </c>
      <c r="C588" s="6" t="s">
        <v>1400</v>
      </c>
      <c r="D588" s="327"/>
      <c r="E588" s="327" t="s">
        <v>1401</v>
      </c>
      <c r="F588" s="206"/>
      <c r="G588" s="207">
        <v>43518</v>
      </c>
      <c r="H588" s="207">
        <v>43518</v>
      </c>
      <c r="K588" s="302">
        <v>7209351710</v>
      </c>
      <c r="L588" s="2" t="s">
        <v>580</v>
      </c>
      <c r="M588" s="212" t="s">
        <v>556</v>
      </c>
      <c r="N588" s="213"/>
      <c r="O588" s="209"/>
    </row>
    <row r="589" spans="1:15" x14ac:dyDescent="0.3">
      <c r="A589" s="302"/>
      <c r="B589" s="302" t="str">
        <f t="shared" si="3"/>
        <v>Y</v>
      </c>
      <c r="C589" s="6" t="s">
        <v>1402</v>
      </c>
      <c r="D589" s="327"/>
      <c r="E589" s="327" t="s">
        <v>1403</v>
      </c>
      <c r="F589" s="206"/>
      <c r="G589" s="207">
        <v>43518</v>
      </c>
      <c r="H589" s="207">
        <v>43518</v>
      </c>
      <c r="K589" s="302">
        <v>7209351710</v>
      </c>
      <c r="L589" s="2" t="s">
        <v>580</v>
      </c>
      <c r="M589" s="212" t="s">
        <v>556</v>
      </c>
      <c r="N589" s="213"/>
      <c r="O589" s="209"/>
    </row>
    <row r="590" spans="1:15" x14ac:dyDescent="0.3">
      <c r="A590" s="302" t="s">
        <v>155</v>
      </c>
      <c r="B590" s="302" t="str">
        <f t="shared" si="3"/>
        <v>Y</v>
      </c>
      <c r="C590" s="6" t="s">
        <v>1404</v>
      </c>
      <c r="D590" s="327"/>
      <c r="E590" s="327" t="s">
        <v>1405</v>
      </c>
      <c r="F590" s="206" t="s">
        <v>1406</v>
      </c>
      <c r="G590" s="207">
        <v>43518</v>
      </c>
      <c r="H590" s="207">
        <v>43518</v>
      </c>
      <c r="K590" s="302">
        <v>6299400530</v>
      </c>
      <c r="M590" s="212"/>
      <c r="N590" s="213"/>
      <c r="O590" s="209"/>
    </row>
    <row r="591" spans="1:15" x14ac:dyDescent="0.3">
      <c r="A591" s="302" t="s">
        <v>155</v>
      </c>
      <c r="B591" s="302" t="str">
        <f t="shared" si="3"/>
        <v>Y</v>
      </c>
      <c r="C591" s="6" t="s">
        <v>1407</v>
      </c>
      <c r="D591" s="327"/>
      <c r="E591" s="327" t="s">
        <v>1408</v>
      </c>
      <c r="F591" s="206"/>
      <c r="G591" s="207">
        <v>43518</v>
      </c>
      <c r="H591" s="207">
        <v>43518</v>
      </c>
      <c r="K591" s="302">
        <v>9631587383</v>
      </c>
      <c r="M591" s="212"/>
      <c r="N591" s="213"/>
      <c r="O591" s="209"/>
    </row>
    <row r="592" spans="1:15" x14ac:dyDescent="0.3">
      <c r="A592" s="302" t="s">
        <v>155</v>
      </c>
      <c r="B592" s="302" t="str">
        <f t="shared" si="3"/>
        <v>Y</v>
      </c>
      <c r="C592" s="6" t="s">
        <v>1409</v>
      </c>
      <c r="D592" s="327"/>
      <c r="E592" s="327" t="s">
        <v>1410</v>
      </c>
      <c r="F592" s="206"/>
      <c r="G592" s="207">
        <v>43518</v>
      </c>
      <c r="H592" s="207">
        <v>43518</v>
      </c>
      <c r="K592" s="302">
        <v>6201912439</v>
      </c>
      <c r="L592" s="2" t="s">
        <v>580</v>
      </c>
      <c r="M592" s="212" t="s">
        <v>556</v>
      </c>
      <c r="N592" s="213"/>
      <c r="O592" s="209"/>
    </row>
    <row r="593" spans="1:15" x14ac:dyDescent="0.3">
      <c r="A593" s="302" t="s">
        <v>155</v>
      </c>
      <c r="B593" s="302" t="str">
        <f t="shared" si="3"/>
        <v>Y</v>
      </c>
      <c r="C593" s="459" t="s">
        <v>1411</v>
      </c>
      <c r="D593" s="336"/>
      <c r="E593" s="327" t="s">
        <v>1412</v>
      </c>
      <c r="F593" s="206"/>
      <c r="G593" s="207">
        <v>43518</v>
      </c>
      <c r="H593" s="207">
        <v>43520</v>
      </c>
      <c r="K593" s="302">
        <v>8340406670</v>
      </c>
      <c r="M593" s="212"/>
      <c r="N593" s="213"/>
      <c r="O593" s="209"/>
    </row>
    <row r="594" spans="1:15" x14ac:dyDescent="0.3">
      <c r="A594" s="302" t="s">
        <v>155</v>
      </c>
      <c r="B594" s="302" t="str">
        <f t="shared" si="3"/>
        <v>Y</v>
      </c>
      <c r="C594" s="6" t="s">
        <v>1413</v>
      </c>
      <c r="D594" s="327"/>
      <c r="E594" s="327" t="s">
        <v>1414</v>
      </c>
      <c r="F594" s="206" t="s">
        <v>1415</v>
      </c>
      <c r="G594" s="207">
        <v>43518</v>
      </c>
      <c r="H594" s="207">
        <v>43519</v>
      </c>
      <c r="K594" s="302">
        <v>8092639469</v>
      </c>
      <c r="M594" s="212"/>
      <c r="N594" s="213"/>
      <c r="O594" s="209"/>
    </row>
    <row r="595" spans="1:15" x14ac:dyDescent="0.3">
      <c r="A595" s="302" t="s">
        <v>155</v>
      </c>
      <c r="B595" s="302" t="str">
        <f t="shared" si="3"/>
        <v>Y</v>
      </c>
      <c r="C595" s="6" t="s">
        <v>1416</v>
      </c>
      <c r="D595" s="327"/>
      <c r="E595" s="327" t="s">
        <v>1417</v>
      </c>
      <c r="F595" s="206"/>
      <c r="G595" s="207">
        <v>43519</v>
      </c>
      <c r="H595" s="207">
        <v>43520</v>
      </c>
      <c r="K595" s="302">
        <v>8235352983</v>
      </c>
      <c r="M595" s="212"/>
      <c r="N595" s="213"/>
      <c r="O595" s="209"/>
    </row>
    <row r="596" spans="1:15" x14ac:dyDescent="0.3">
      <c r="A596" s="302" t="s">
        <v>155</v>
      </c>
      <c r="B596" s="302" t="str">
        <f t="shared" si="3"/>
        <v>Y</v>
      </c>
      <c r="C596" s="6" t="s">
        <v>1418</v>
      </c>
      <c r="D596" s="327"/>
      <c r="E596" s="327" t="s">
        <v>1419</v>
      </c>
      <c r="F596" s="206"/>
      <c r="G596" s="207">
        <v>43519</v>
      </c>
      <c r="H596" s="207">
        <v>43520</v>
      </c>
      <c r="K596" s="302">
        <v>9771223152</v>
      </c>
      <c r="M596" s="212"/>
      <c r="N596" s="213"/>
      <c r="O596" s="209"/>
    </row>
    <row r="597" spans="1:15" x14ac:dyDescent="0.3">
      <c r="A597" s="302" t="s">
        <v>155</v>
      </c>
      <c r="B597" s="302" t="str">
        <f t="shared" si="3"/>
        <v>Y</v>
      </c>
      <c r="C597" s="6" t="s">
        <v>1420</v>
      </c>
      <c r="D597" s="327"/>
      <c r="E597" s="327" t="s">
        <v>1421</v>
      </c>
      <c r="F597" s="206"/>
      <c r="G597" s="207">
        <v>43519</v>
      </c>
      <c r="H597" s="207">
        <v>43520</v>
      </c>
      <c r="K597" s="302">
        <v>9204596758</v>
      </c>
      <c r="M597" s="212"/>
      <c r="N597" s="213"/>
      <c r="O597" s="209"/>
    </row>
    <row r="598" spans="1:15" x14ac:dyDescent="0.3">
      <c r="A598" s="302" t="s">
        <v>155</v>
      </c>
      <c r="B598" s="302" t="str">
        <f t="shared" si="3"/>
        <v>Y</v>
      </c>
      <c r="C598" s="6" t="s">
        <v>1422</v>
      </c>
      <c r="D598" s="327"/>
      <c r="E598" s="327" t="s">
        <v>1423</v>
      </c>
      <c r="F598" s="206"/>
      <c r="G598" s="207">
        <v>43519</v>
      </c>
      <c r="H598" s="207">
        <v>43520</v>
      </c>
      <c r="K598" s="302">
        <v>9234334855</v>
      </c>
      <c r="M598" s="212"/>
      <c r="N598" s="213"/>
      <c r="O598" s="209"/>
    </row>
    <row r="599" spans="1:15" x14ac:dyDescent="0.3">
      <c r="A599" s="302" t="s">
        <v>155</v>
      </c>
      <c r="B599" s="302" t="str">
        <f t="shared" si="3"/>
        <v>Y</v>
      </c>
      <c r="C599" s="6" t="s">
        <v>1424</v>
      </c>
      <c r="D599" s="327"/>
      <c r="E599" s="327" t="s">
        <v>1425</v>
      </c>
      <c r="F599" s="206"/>
      <c r="G599" s="207">
        <v>43521</v>
      </c>
      <c r="H599" s="207">
        <v>43521</v>
      </c>
      <c r="K599" s="302">
        <v>7209767494</v>
      </c>
      <c r="M599" s="212"/>
      <c r="N599" s="213"/>
      <c r="O599" s="209"/>
    </row>
    <row r="600" spans="1:15" x14ac:dyDescent="0.3">
      <c r="A600" s="302" t="s">
        <v>155</v>
      </c>
      <c r="B600" s="302" t="str">
        <f t="shared" si="3"/>
        <v>Y</v>
      </c>
      <c r="C600" s="6" t="s">
        <v>1426</v>
      </c>
      <c r="D600" s="327"/>
      <c r="E600" s="327" t="s">
        <v>1427</v>
      </c>
      <c r="F600" s="206"/>
      <c r="G600" s="207">
        <v>43522</v>
      </c>
      <c r="H600" s="207">
        <v>43523</v>
      </c>
      <c r="K600" s="302">
        <v>7903364319</v>
      </c>
      <c r="M600" s="212"/>
      <c r="N600" s="213"/>
      <c r="O600" s="209"/>
    </row>
    <row r="601" spans="1:15" x14ac:dyDescent="0.3">
      <c r="A601" s="302" t="s">
        <v>155</v>
      </c>
      <c r="B601" s="302" t="str">
        <f t="shared" si="3"/>
        <v>Y</v>
      </c>
      <c r="C601" s="6" t="s">
        <v>1428</v>
      </c>
      <c r="D601" s="327"/>
      <c r="E601" s="327" t="s">
        <v>1429</v>
      </c>
      <c r="F601" s="206"/>
      <c r="G601" s="207">
        <v>43522</v>
      </c>
      <c r="H601" s="207">
        <v>43523</v>
      </c>
      <c r="K601" s="302">
        <v>9263499819</v>
      </c>
      <c r="M601" s="212"/>
      <c r="N601" s="213"/>
      <c r="O601" s="209"/>
    </row>
    <row r="602" spans="1:15" x14ac:dyDescent="0.3">
      <c r="A602" s="302" t="s">
        <v>155</v>
      </c>
      <c r="B602" s="302" t="str">
        <f t="shared" si="3"/>
        <v>Y</v>
      </c>
      <c r="C602" s="6" t="s">
        <v>1430</v>
      </c>
      <c r="D602" s="327"/>
      <c r="E602" s="327" t="s">
        <v>1431</v>
      </c>
      <c r="F602" s="206"/>
      <c r="G602" s="207">
        <v>43522</v>
      </c>
      <c r="H602" s="207">
        <v>43523</v>
      </c>
      <c r="K602" s="302">
        <v>7762078626</v>
      </c>
      <c r="M602" s="212"/>
      <c r="N602" s="213"/>
      <c r="O602" s="209"/>
    </row>
    <row r="603" spans="1:15" x14ac:dyDescent="0.3">
      <c r="A603" s="302" t="s">
        <v>155</v>
      </c>
      <c r="B603" s="302" t="str">
        <f t="shared" si="3"/>
        <v>Y</v>
      </c>
      <c r="C603" s="6" t="s">
        <v>1432</v>
      </c>
      <c r="D603" s="327"/>
      <c r="E603" s="327" t="s">
        <v>1433</v>
      </c>
      <c r="F603" s="206"/>
      <c r="G603" s="207">
        <v>43522</v>
      </c>
      <c r="H603" s="207">
        <v>43523</v>
      </c>
      <c r="K603" s="302">
        <v>8210027224</v>
      </c>
      <c r="M603" s="212"/>
      <c r="N603" s="213"/>
      <c r="O603" s="209"/>
    </row>
    <row r="604" spans="1:15" x14ac:dyDescent="0.3">
      <c r="A604" s="302" t="s">
        <v>155</v>
      </c>
      <c r="B604" s="302" t="str">
        <f t="shared" si="3"/>
        <v>Y</v>
      </c>
      <c r="C604" s="6" t="s">
        <v>1434</v>
      </c>
      <c r="D604" s="327"/>
      <c r="E604" s="327" t="s">
        <v>1435</v>
      </c>
      <c r="F604" s="206"/>
      <c r="G604" s="207">
        <v>43523</v>
      </c>
      <c r="H604" s="207">
        <v>43524</v>
      </c>
      <c r="K604" s="302">
        <v>7549066090</v>
      </c>
      <c r="M604" s="212"/>
      <c r="N604" s="213"/>
      <c r="O604" s="209"/>
    </row>
    <row r="605" spans="1:15" x14ac:dyDescent="0.3">
      <c r="A605" s="302" t="s">
        <v>155</v>
      </c>
      <c r="B605" s="302" t="str">
        <f t="shared" si="3"/>
        <v>Y</v>
      </c>
      <c r="C605" s="6" t="s">
        <v>1436</v>
      </c>
      <c r="D605" s="327"/>
      <c r="E605" s="327" t="s">
        <v>1437</v>
      </c>
      <c r="F605" s="206"/>
      <c r="G605" s="207">
        <v>43524</v>
      </c>
      <c r="H605" s="207">
        <v>47178</v>
      </c>
      <c r="K605" s="302">
        <v>9031783611</v>
      </c>
      <c r="M605" s="212"/>
      <c r="N605" s="213"/>
      <c r="O605" s="209"/>
    </row>
    <row r="606" spans="1:15" x14ac:dyDescent="0.3">
      <c r="A606" s="302" t="s">
        <v>155</v>
      </c>
      <c r="B606" s="302" t="str">
        <f t="shared" si="3"/>
        <v>Y</v>
      </c>
      <c r="C606" s="6" t="s">
        <v>1438</v>
      </c>
      <c r="D606" s="327"/>
      <c r="E606" s="327" t="s">
        <v>1439</v>
      </c>
      <c r="F606" s="206"/>
      <c r="G606" s="207">
        <v>43528</v>
      </c>
      <c r="H606" s="207">
        <v>43528</v>
      </c>
      <c r="K606" s="302">
        <v>8619255203</v>
      </c>
      <c r="M606" s="212"/>
      <c r="N606" s="213"/>
      <c r="O606" s="209"/>
    </row>
    <row r="607" spans="1:15" x14ac:dyDescent="0.3">
      <c r="A607" s="302" t="s">
        <v>155</v>
      </c>
      <c r="B607" s="302" t="str">
        <f t="shared" si="3"/>
        <v>Y</v>
      </c>
      <c r="C607" s="6" t="s">
        <v>1440</v>
      </c>
      <c r="D607" s="327"/>
      <c r="E607" s="327" t="s">
        <v>1441</v>
      </c>
      <c r="F607" s="206"/>
      <c r="G607" s="207">
        <v>43528</v>
      </c>
      <c r="H607" s="207">
        <v>43528</v>
      </c>
      <c r="K607" s="302">
        <v>9835973528</v>
      </c>
      <c r="M607" s="212"/>
      <c r="N607" s="213"/>
      <c r="O607" s="209"/>
    </row>
    <row r="608" spans="1:15" x14ac:dyDescent="0.3">
      <c r="A608" s="302" t="s">
        <v>155</v>
      </c>
      <c r="B608" s="302" t="str">
        <f t="shared" si="3"/>
        <v>Y</v>
      </c>
      <c r="C608" s="6" t="s">
        <v>1442</v>
      </c>
      <c r="D608" s="327"/>
      <c r="E608" s="327" t="s">
        <v>1443</v>
      </c>
      <c r="F608" s="206"/>
      <c r="G608" s="207">
        <v>43530</v>
      </c>
      <c r="H608" s="207">
        <v>43531</v>
      </c>
      <c r="K608" s="302">
        <v>7070921286</v>
      </c>
      <c r="M608" s="212"/>
      <c r="N608" s="213"/>
      <c r="O608" s="209"/>
    </row>
    <row r="609" spans="1:15" x14ac:dyDescent="0.3">
      <c r="A609" s="302" t="s">
        <v>155</v>
      </c>
      <c r="B609" s="302" t="str">
        <f t="shared" si="3"/>
        <v>Y</v>
      </c>
      <c r="C609" s="6" t="s">
        <v>1442</v>
      </c>
      <c r="D609" s="327"/>
      <c r="E609" s="327" t="s">
        <v>1444</v>
      </c>
      <c r="F609" s="206"/>
      <c r="G609" s="207">
        <v>43530</v>
      </c>
      <c r="H609" s="207">
        <v>43531</v>
      </c>
      <c r="K609" s="302">
        <v>9123233026</v>
      </c>
      <c r="M609" s="212" t="s">
        <v>1445</v>
      </c>
      <c r="N609" s="213"/>
      <c r="O609" s="209"/>
    </row>
    <row r="610" spans="1:15" x14ac:dyDescent="0.3">
      <c r="A610" s="302" t="s">
        <v>155</v>
      </c>
      <c r="B610" s="302" t="str">
        <f t="shared" si="3"/>
        <v>Y</v>
      </c>
      <c r="C610" s="6" t="s">
        <v>1446</v>
      </c>
      <c r="D610" s="327"/>
      <c r="E610" s="327" t="s">
        <v>1447</v>
      </c>
      <c r="F610" s="206"/>
      <c r="G610" s="207">
        <v>43532</v>
      </c>
      <c r="H610" s="207">
        <v>43532</v>
      </c>
      <c r="K610" s="302">
        <v>9931355479</v>
      </c>
      <c r="M610" s="212"/>
      <c r="N610" s="213"/>
      <c r="O610" s="209"/>
    </row>
    <row r="611" spans="1:15" x14ac:dyDescent="0.3">
      <c r="A611" s="302" t="s">
        <v>155</v>
      </c>
      <c r="B611" s="302" t="str">
        <f t="shared" si="3"/>
        <v>Y</v>
      </c>
      <c r="C611" s="6" t="s">
        <v>1448</v>
      </c>
      <c r="D611" s="327"/>
      <c r="E611" s="331" t="s">
        <v>1449</v>
      </c>
      <c r="F611" s="206" t="s">
        <v>1450</v>
      </c>
      <c r="G611" s="207">
        <v>43535</v>
      </c>
      <c r="H611" s="207">
        <v>43537</v>
      </c>
      <c r="K611" s="302">
        <v>8210535615</v>
      </c>
      <c r="M611" s="212"/>
      <c r="N611" s="213"/>
      <c r="O611" s="209"/>
    </row>
    <row r="612" spans="1:15" x14ac:dyDescent="0.3">
      <c r="A612" s="302" t="s">
        <v>155</v>
      </c>
      <c r="B612" s="302" t="str">
        <f t="shared" si="3"/>
        <v>Y</v>
      </c>
      <c r="C612" s="6" t="s">
        <v>1451</v>
      </c>
      <c r="D612" s="327"/>
      <c r="E612" s="331" t="s">
        <v>1452</v>
      </c>
      <c r="F612" s="206" t="s">
        <v>1453</v>
      </c>
      <c r="G612" s="207">
        <v>43535</v>
      </c>
      <c r="H612" s="207">
        <v>43537</v>
      </c>
      <c r="K612" s="302">
        <v>8210535615</v>
      </c>
      <c r="M612" s="212"/>
      <c r="N612" s="213"/>
      <c r="O612" s="209"/>
    </row>
    <row r="613" spans="1:15" x14ac:dyDescent="0.3">
      <c r="A613" s="302" t="s">
        <v>155</v>
      </c>
      <c r="B613" s="302" t="str">
        <f t="shared" si="3"/>
        <v>Y</v>
      </c>
      <c r="C613" s="6" t="s">
        <v>1454</v>
      </c>
      <c r="D613" s="327"/>
      <c r="E613" s="331" t="s">
        <v>1455</v>
      </c>
      <c r="F613" s="206" t="s">
        <v>1456</v>
      </c>
      <c r="G613" s="207">
        <v>43535</v>
      </c>
      <c r="H613" s="207">
        <v>43538</v>
      </c>
      <c r="K613" s="302">
        <v>8210535615</v>
      </c>
      <c r="M613" s="212"/>
      <c r="N613" s="213"/>
      <c r="O613" s="209"/>
    </row>
    <row r="614" spans="1:15" x14ac:dyDescent="0.3">
      <c r="A614" s="302" t="s">
        <v>155</v>
      </c>
      <c r="B614" s="302" t="str">
        <f t="shared" si="3"/>
        <v>Y</v>
      </c>
      <c r="C614" s="6" t="s">
        <v>1454</v>
      </c>
      <c r="D614" s="327"/>
      <c r="E614" s="331" t="s">
        <v>1457</v>
      </c>
      <c r="F614" s="206" t="s">
        <v>1458</v>
      </c>
      <c r="G614" s="207">
        <v>43535</v>
      </c>
      <c r="H614" s="207">
        <v>43538</v>
      </c>
      <c r="K614" s="302">
        <v>8210535615</v>
      </c>
      <c r="M614" s="212"/>
      <c r="N614" s="213"/>
      <c r="O614" s="209"/>
    </row>
    <row r="615" spans="1:15" x14ac:dyDescent="0.3">
      <c r="A615" s="302" t="s">
        <v>155</v>
      </c>
      <c r="B615" s="302" t="str">
        <f t="shared" si="3"/>
        <v>Y</v>
      </c>
      <c r="C615" s="6" t="s">
        <v>1459</v>
      </c>
      <c r="D615" s="327"/>
      <c r="E615" s="331" t="s">
        <v>1460</v>
      </c>
      <c r="F615" s="206" t="s">
        <v>1461</v>
      </c>
      <c r="G615" s="207">
        <v>43535</v>
      </c>
      <c r="H615" s="207">
        <v>43538</v>
      </c>
      <c r="K615" s="302">
        <v>8210535615</v>
      </c>
      <c r="M615" s="212"/>
      <c r="N615" s="213"/>
      <c r="O615" s="209"/>
    </row>
    <row r="616" spans="1:15" x14ac:dyDescent="0.3">
      <c r="A616" s="302" t="s">
        <v>155</v>
      </c>
      <c r="B616" s="302" t="str">
        <f t="shared" si="3"/>
        <v>Y</v>
      </c>
      <c r="C616" s="6" t="s">
        <v>1462</v>
      </c>
      <c r="D616" s="327"/>
      <c r="E616" s="331" t="s">
        <v>1463</v>
      </c>
      <c r="F616" s="206"/>
      <c r="G616" s="207">
        <v>43535</v>
      </c>
      <c r="H616" s="207">
        <v>43538</v>
      </c>
      <c r="K616" s="302">
        <v>8210535615</v>
      </c>
      <c r="M616" s="212"/>
      <c r="N616" s="213"/>
      <c r="O616" s="209"/>
    </row>
    <row r="617" spans="1:15" x14ac:dyDescent="0.3">
      <c r="A617" s="302" t="s">
        <v>155</v>
      </c>
      <c r="B617" s="302" t="str">
        <f t="shared" si="3"/>
        <v>N</v>
      </c>
      <c r="C617" s="6" t="s">
        <v>1464</v>
      </c>
      <c r="D617" s="327"/>
      <c r="E617" s="327" t="s">
        <v>1465</v>
      </c>
      <c r="F617" s="206"/>
      <c r="G617" s="207">
        <v>43535</v>
      </c>
      <c r="H617" s="302"/>
      <c r="M617" s="212" t="s">
        <v>1466</v>
      </c>
      <c r="N617" s="213"/>
      <c r="O617" s="209"/>
    </row>
    <row r="618" spans="1:15" x14ac:dyDescent="0.3">
      <c r="A618" s="302" t="s">
        <v>155</v>
      </c>
      <c r="B618" s="302" t="str">
        <f t="shared" si="3"/>
        <v>Y</v>
      </c>
      <c r="C618" s="6" t="s">
        <v>1467</v>
      </c>
      <c r="D618" s="327"/>
      <c r="E618" s="327" t="s">
        <v>1468</v>
      </c>
      <c r="F618" s="206" t="s">
        <v>1469</v>
      </c>
      <c r="G618" s="207">
        <v>43535</v>
      </c>
      <c r="H618" s="207">
        <v>43538</v>
      </c>
      <c r="K618" s="302">
        <v>6203130343</v>
      </c>
      <c r="M618" s="212"/>
      <c r="N618" s="213"/>
      <c r="O618" s="209"/>
    </row>
    <row r="619" spans="1:15" x14ac:dyDescent="0.3">
      <c r="A619" s="302" t="s">
        <v>155</v>
      </c>
      <c r="B619" s="302" t="str">
        <f t="shared" si="3"/>
        <v>Y</v>
      </c>
      <c r="C619" s="6" t="s">
        <v>1470</v>
      </c>
      <c r="D619" s="327"/>
      <c r="E619" s="327" t="s">
        <v>1471</v>
      </c>
      <c r="F619" s="206" t="s">
        <v>1472</v>
      </c>
      <c r="G619" s="207">
        <v>43535</v>
      </c>
      <c r="H619" s="207">
        <v>43537</v>
      </c>
      <c r="K619" s="302">
        <v>7461910437</v>
      </c>
      <c r="M619" s="212"/>
      <c r="N619" s="213"/>
      <c r="O619" s="209"/>
    </row>
    <row r="620" spans="1:15" x14ac:dyDescent="0.3">
      <c r="A620" s="302" t="s">
        <v>155</v>
      </c>
      <c r="B620" s="302" t="str">
        <f t="shared" si="3"/>
        <v>Y</v>
      </c>
      <c r="C620" s="6" t="s">
        <v>1473</v>
      </c>
      <c r="D620" s="327"/>
      <c r="E620" s="327" t="s">
        <v>1474</v>
      </c>
      <c r="F620" s="206" t="s">
        <v>1475</v>
      </c>
      <c r="G620" s="207">
        <v>43535</v>
      </c>
      <c r="H620" s="207">
        <v>43537</v>
      </c>
      <c r="K620" s="302">
        <v>7903798550</v>
      </c>
      <c r="M620" s="212"/>
      <c r="N620" s="213"/>
      <c r="O620" s="209"/>
    </row>
    <row r="621" spans="1:15" x14ac:dyDescent="0.3">
      <c r="A621" s="302" t="s">
        <v>155</v>
      </c>
      <c r="B621" s="302" t="str">
        <f t="shared" si="3"/>
        <v>Y</v>
      </c>
      <c r="C621" s="6" t="s">
        <v>1476</v>
      </c>
      <c r="D621" s="327"/>
      <c r="E621" s="327" t="s">
        <v>1477</v>
      </c>
      <c r="F621" s="206" t="s">
        <v>1478</v>
      </c>
      <c r="G621" s="207">
        <v>43536</v>
      </c>
      <c r="H621" s="207">
        <v>43537</v>
      </c>
      <c r="M621" s="212"/>
      <c r="N621" s="213"/>
      <c r="O621" s="209"/>
    </row>
    <row r="622" spans="1:15" x14ac:dyDescent="0.3">
      <c r="A622" s="302" t="s">
        <v>155</v>
      </c>
      <c r="B622" s="302" t="str">
        <f t="shared" si="3"/>
        <v>Y</v>
      </c>
      <c r="C622" s="6" t="s">
        <v>1479</v>
      </c>
      <c r="D622" s="327"/>
      <c r="E622" s="327" t="s">
        <v>1480</v>
      </c>
      <c r="F622" s="206"/>
      <c r="G622" s="207">
        <v>43536</v>
      </c>
      <c r="H622" s="207">
        <v>43538</v>
      </c>
      <c r="M622" s="212"/>
      <c r="N622" s="213"/>
      <c r="O622" s="209"/>
    </row>
    <row r="623" spans="1:15" x14ac:dyDescent="0.3">
      <c r="A623" s="302" t="s">
        <v>155</v>
      </c>
      <c r="B623" s="302" t="str">
        <f t="shared" si="3"/>
        <v>Y</v>
      </c>
      <c r="C623" s="6" t="s">
        <v>1481</v>
      </c>
      <c r="D623" s="327"/>
      <c r="E623" s="327" t="s">
        <v>1482</v>
      </c>
      <c r="F623" s="206" t="s">
        <v>1483</v>
      </c>
      <c r="G623" s="207">
        <v>43536</v>
      </c>
      <c r="H623" s="207">
        <v>43538</v>
      </c>
      <c r="K623" s="302">
        <v>6204916360</v>
      </c>
      <c r="M623" s="212"/>
      <c r="N623" s="213"/>
      <c r="O623" s="209"/>
    </row>
    <row r="624" spans="1:15" x14ac:dyDescent="0.3">
      <c r="A624" s="302" t="s">
        <v>155</v>
      </c>
      <c r="B624" s="302" t="str">
        <f t="shared" si="3"/>
        <v>Y</v>
      </c>
      <c r="C624" s="6" t="s">
        <v>1484</v>
      </c>
      <c r="D624" s="327"/>
      <c r="E624" s="327" t="s">
        <v>1485</v>
      </c>
      <c r="F624" s="206" t="s">
        <v>1486</v>
      </c>
      <c r="G624" s="207">
        <v>36599</v>
      </c>
      <c r="H624" s="207">
        <v>43571</v>
      </c>
      <c r="K624" s="302">
        <v>9123435076</v>
      </c>
      <c r="M624" s="212"/>
      <c r="N624" s="213"/>
      <c r="O624" s="209"/>
    </row>
    <row r="625" spans="1:15" x14ac:dyDescent="0.3">
      <c r="A625" s="302" t="s">
        <v>870</v>
      </c>
      <c r="B625" s="302" t="str">
        <f t="shared" si="3"/>
        <v>Y</v>
      </c>
      <c r="C625" s="6" t="s">
        <v>1487</v>
      </c>
      <c r="D625" s="327"/>
      <c r="E625" s="327" t="s">
        <v>1488</v>
      </c>
      <c r="F625" s="206" t="s">
        <v>1489</v>
      </c>
      <c r="G625" s="207">
        <v>43517</v>
      </c>
      <c r="H625" s="207">
        <v>43538</v>
      </c>
      <c r="K625" s="302">
        <v>7295903354</v>
      </c>
      <c r="L625" s="2" t="s">
        <v>1490</v>
      </c>
      <c r="M625" s="212"/>
      <c r="N625" s="213"/>
      <c r="O625" s="209"/>
    </row>
    <row r="626" spans="1:15" x14ac:dyDescent="0.3">
      <c r="A626" s="302" t="s">
        <v>155</v>
      </c>
      <c r="B626" s="302" t="str">
        <f t="shared" si="3"/>
        <v>Y</v>
      </c>
      <c r="C626" s="6" t="s">
        <v>1491</v>
      </c>
      <c r="D626" s="327"/>
      <c r="E626" s="327" t="s">
        <v>1492</v>
      </c>
      <c r="F626" s="206" t="s">
        <v>1493</v>
      </c>
      <c r="G626" s="207" t="s">
        <v>1494</v>
      </c>
      <c r="H626" s="207">
        <v>43550</v>
      </c>
      <c r="K626" s="302">
        <v>9934120572</v>
      </c>
      <c r="M626" s="212"/>
      <c r="N626" s="213"/>
      <c r="O626" s="209"/>
    </row>
    <row r="627" spans="1:15" x14ac:dyDescent="0.3">
      <c r="A627" s="302" t="s">
        <v>155</v>
      </c>
      <c r="B627" s="302" t="str">
        <f t="shared" si="3"/>
        <v>Y</v>
      </c>
      <c r="C627" s="6" t="s">
        <v>1495</v>
      </c>
      <c r="D627" s="327"/>
      <c r="E627" s="327" t="s">
        <v>1496</v>
      </c>
      <c r="F627" s="206" t="s">
        <v>1497</v>
      </c>
      <c r="G627" s="207" t="s">
        <v>1494</v>
      </c>
      <c r="H627" s="207">
        <v>43550</v>
      </c>
      <c r="K627" s="302">
        <v>9939402224</v>
      </c>
      <c r="M627" s="212"/>
      <c r="N627" s="213"/>
      <c r="O627" s="209"/>
    </row>
    <row r="628" spans="1:15" x14ac:dyDescent="0.3">
      <c r="A628" s="302" t="s">
        <v>155</v>
      </c>
      <c r="B628" s="302" t="str">
        <f t="shared" si="3"/>
        <v>Y</v>
      </c>
      <c r="C628" s="6" t="s">
        <v>1498</v>
      </c>
      <c r="D628" s="327"/>
      <c r="E628" s="327" t="s">
        <v>1499</v>
      </c>
      <c r="F628" s="206" t="s">
        <v>1453</v>
      </c>
      <c r="G628" s="207" t="s">
        <v>1494</v>
      </c>
      <c r="H628" s="207">
        <v>43550</v>
      </c>
      <c r="K628" s="302">
        <v>9572218354</v>
      </c>
      <c r="M628" s="212"/>
      <c r="N628" s="213"/>
      <c r="O628" s="209"/>
    </row>
    <row r="629" spans="1:15" x14ac:dyDescent="0.3">
      <c r="A629" s="302" t="s">
        <v>155</v>
      </c>
      <c r="B629" s="302" t="str">
        <f t="shared" si="3"/>
        <v>Y</v>
      </c>
      <c r="C629" s="6" t="s">
        <v>1500</v>
      </c>
      <c r="D629" s="327"/>
      <c r="E629" s="327" t="s">
        <v>1501</v>
      </c>
      <c r="F629" s="206" t="s">
        <v>1502</v>
      </c>
      <c r="G629" s="207" t="s">
        <v>1494</v>
      </c>
      <c r="H629" s="207">
        <v>43550</v>
      </c>
      <c r="K629" s="302">
        <v>9934120572</v>
      </c>
      <c r="M629" s="212"/>
      <c r="N629" s="213"/>
      <c r="O629" s="209"/>
    </row>
    <row r="630" spans="1:15" x14ac:dyDescent="0.3">
      <c r="A630" s="302" t="s">
        <v>155</v>
      </c>
      <c r="B630" s="302" t="str">
        <f t="shared" si="3"/>
        <v>Y</v>
      </c>
      <c r="C630" s="6" t="s">
        <v>1503</v>
      </c>
      <c r="D630" s="327"/>
      <c r="E630" s="327" t="s">
        <v>1504</v>
      </c>
      <c r="F630" s="206" t="s">
        <v>1505</v>
      </c>
      <c r="G630" s="207" t="s">
        <v>1494</v>
      </c>
      <c r="H630" s="207">
        <v>43544</v>
      </c>
      <c r="K630" s="302">
        <v>8092465625</v>
      </c>
      <c r="M630" s="212"/>
      <c r="N630" s="213"/>
      <c r="O630" s="209"/>
    </row>
    <row r="631" spans="1:15" x14ac:dyDescent="0.3">
      <c r="A631" s="302" t="s">
        <v>155</v>
      </c>
      <c r="B631" s="302" t="str">
        <f t="shared" si="3"/>
        <v>Y</v>
      </c>
      <c r="C631" s="6" t="s">
        <v>1506</v>
      </c>
      <c r="D631" s="327"/>
      <c r="E631" s="327" t="s">
        <v>1507</v>
      </c>
      <c r="F631" s="206" t="s">
        <v>1458</v>
      </c>
      <c r="G631" s="207" t="s">
        <v>1494</v>
      </c>
      <c r="H631" s="207">
        <v>43544</v>
      </c>
      <c r="K631" s="302">
        <v>8092465625</v>
      </c>
      <c r="M631" s="212"/>
      <c r="N631" s="213"/>
      <c r="O631" s="209"/>
    </row>
    <row r="632" spans="1:15" x14ac:dyDescent="0.3">
      <c r="A632" s="302" t="s">
        <v>155</v>
      </c>
      <c r="B632" s="302" t="str">
        <f t="shared" si="3"/>
        <v>Y</v>
      </c>
      <c r="C632" s="6" t="s">
        <v>1508</v>
      </c>
      <c r="D632" s="327"/>
      <c r="E632" s="327" t="s">
        <v>1509</v>
      </c>
      <c r="F632" s="206" t="s">
        <v>1510</v>
      </c>
      <c r="G632" s="207" t="s">
        <v>1511</v>
      </c>
      <c r="H632" s="207">
        <v>43550</v>
      </c>
      <c r="K632" s="302">
        <v>9934120572</v>
      </c>
      <c r="M632" s="212"/>
      <c r="N632" s="213"/>
      <c r="O632" s="209"/>
    </row>
    <row r="633" spans="1:15" x14ac:dyDescent="0.3">
      <c r="A633" s="302" t="s">
        <v>155</v>
      </c>
      <c r="B633" s="302" t="str">
        <f t="shared" si="3"/>
        <v>Y</v>
      </c>
      <c r="C633" s="6" t="s">
        <v>1512</v>
      </c>
      <c r="D633" s="327"/>
      <c r="E633" s="327" t="s">
        <v>1513</v>
      </c>
      <c r="F633" s="206" t="s">
        <v>1514</v>
      </c>
      <c r="G633" s="207" t="s">
        <v>1511</v>
      </c>
      <c r="H633" s="207">
        <v>43542</v>
      </c>
      <c r="K633" s="302">
        <v>6206822548</v>
      </c>
      <c r="M633" s="212"/>
      <c r="N633" s="213"/>
      <c r="O633" s="209"/>
    </row>
    <row r="634" spans="1:15" x14ac:dyDescent="0.3">
      <c r="A634" s="302" t="s">
        <v>155</v>
      </c>
      <c r="B634" s="302" t="str">
        <f t="shared" si="3"/>
        <v>Y</v>
      </c>
      <c r="C634" s="6" t="s">
        <v>1515</v>
      </c>
      <c r="D634" s="327"/>
      <c r="E634" s="327" t="s">
        <v>1516</v>
      </c>
      <c r="F634" s="206" t="s">
        <v>1517</v>
      </c>
      <c r="G634" s="207" t="s">
        <v>1511</v>
      </c>
      <c r="H634" s="207">
        <v>43542</v>
      </c>
      <c r="K634" s="302">
        <v>8603206085</v>
      </c>
      <c r="M634" s="212"/>
      <c r="N634" s="213"/>
      <c r="O634" s="209"/>
    </row>
    <row r="635" spans="1:15" x14ac:dyDescent="0.3">
      <c r="A635" s="302" t="s">
        <v>155</v>
      </c>
      <c r="B635" s="302" t="str">
        <f t="shared" si="3"/>
        <v>Y</v>
      </c>
      <c r="C635" s="6" t="s">
        <v>1518</v>
      </c>
      <c r="D635" s="327"/>
      <c r="E635" s="327" t="s">
        <v>1519</v>
      </c>
      <c r="F635" s="206" t="s">
        <v>1520</v>
      </c>
      <c r="G635" s="207">
        <v>43543</v>
      </c>
      <c r="H635" s="207">
        <v>43543</v>
      </c>
      <c r="K635" s="302">
        <v>6200538873</v>
      </c>
      <c r="M635" s="212" t="s">
        <v>556</v>
      </c>
      <c r="N635" s="213"/>
      <c r="O635" s="209"/>
    </row>
    <row r="636" spans="1:15" x14ac:dyDescent="0.3">
      <c r="A636" s="302" t="s">
        <v>155</v>
      </c>
      <c r="B636" s="302" t="str">
        <f t="shared" si="3"/>
        <v>Y</v>
      </c>
      <c r="C636" s="6" t="s">
        <v>1521</v>
      </c>
      <c r="D636" s="327"/>
      <c r="E636" s="327" t="s">
        <v>1522</v>
      </c>
      <c r="F636" s="206" t="s">
        <v>1523</v>
      </c>
      <c r="G636" s="207">
        <v>43543</v>
      </c>
      <c r="H636" s="207">
        <v>43543</v>
      </c>
      <c r="K636" s="302">
        <v>8409495280</v>
      </c>
      <c r="M636" s="212" t="s">
        <v>556</v>
      </c>
      <c r="N636" s="213"/>
      <c r="O636" s="209"/>
    </row>
    <row r="637" spans="1:15" x14ac:dyDescent="0.3">
      <c r="A637" s="302" t="s">
        <v>155</v>
      </c>
      <c r="B637" s="302" t="str">
        <f t="shared" si="3"/>
        <v>Y</v>
      </c>
      <c r="C637" s="6" t="s">
        <v>1524</v>
      </c>
      <c r="D637" s="327"/>
      <c r="E637" s="327" t="s">
        <v>1525</v>
      </c>
      <c r="F637" s="206" t="s">
        <v>1526</v>
      </c>
      <c r="G637" s="207" t="s">
        <v>1527</v>
      </c>
      <c r="H637" s="207">
        <v>43543</v>
      </c>
      <c r="M637" s="212"/>
      <c r="N637" s="213"/>
      <c r="O637" s="209"/>
    </row>
    <row r="638" spans="1:15" x14ac:dyDescent="0.3">
      <c r="A638" s="302" t="s">
        <v>155</v>
      </c>
      <c r="B638" s="302" t="str">
        <f t="shared" si="3"/>
        <v>Y</v>
      </c>
      <c r="C638" s="6" t="s">
        <v>1528</v>
      </c>
      <c r="D638" s="327"/>
      <c r="E638" s="327" t="s">
        <v>1529</v>
      </c>
      <c r="F638" s="206" t="s">
        <v>1530</v>
      </c>
      <c r="G638" s="207" t="s">
        <v>1527</v>
      </c>
      <c r="H638" s="207">
        <v>43544</v>
      </c>
      <c r="K638" s="302">
        <v>7070917782</v>
      </c>
      <c r="M638" s="212"/>
      <c r="N638" s="213"/>
      <c r="O638" s="209"/>
    </row>
    <row r="639" spans="1:15" x14ac:dyDescent="0.3">
      <c r="A639" s="302" t="s">
        <v>155</v>
      </c>
      <c r="B639" s="302" t="str">
        <f t="shared" si="3"/>
        <v>Y</v>
      </c>
      <c r="C639" s="6" t="s">
        <v>1531</v>
      </c>
      <c r="D639" s="327"/>
      <c r="E639" s="327" t="s">
        <v>1532</v>
      </c>
      <c r="F639" s="206" t="s">
        <v>1533</v>
      </c>
      <c r="G639" s="207" t="s">
        <v>1527</v>
      </c>
      <c r="H639" s="207">
        <v>43550</v>
      </c>
      <c r="K639" s="302">
        <v>7070917782</v>
      </c>
      <c r="M639" s="212"/>
      <c r="N639" s="213"/>
      <c r="O639" s="209"/>
    </row>
    <row r="640" spans="1:15" x14ac:dyDescent="0.3">
      <c r="A640" s="302" t="s">
        <v>155</v>
      </c>
      <c r="B640" s="302" t="str">
        <f t="shared" si="3"/>
        <v>Y</v>
      </c>
      <c r="C640" s="6" t="s">
        <v>1534</v>
      </c>
      <c r="D640" s="327"/>
      <c r="E640" s="327" t="s">
        <v>1535</v>
      </c>
      <c r="F640" s="206" t="s">
        <v>1536</v>
      </c>
      <c r="G640" s="207" t="s">
        <v>1527</v>
      </c>
      <c r="H640" s="207">
        <v>43544</v>
      </c>
      <c r="K640" s="302">
        <v>8409508026</v>
      </c>
      <c r="M640" s="212"/>
      <c r="N640" s="213"/>
      <c r="O640" s="209"/>
    </row>
    <row r="641" spans="1:15" x14ac:dyDescent="0.3">
      <c r="A641" s="302" t="s">
        <v>155</v>
      </c>
      <c r="B641" s="302" t="str">
        <f t="shared" si="3"/>
        <v>Y</v>
      </c>
      <c r="C641" s="6" t="s">
        <v>1537</v>
      </c>
      <c r="D641" s="327"/>
      <c r="E641" s="327" t="s">
        <v>1538</v>
      </c>
      <c r="F641" s="206" t="s">
        <v>1539</v>
      </c>
      <c r="G641" s="207" t="s">
        <v>1527</v>
      </c>
      <c r="H641" s="207">
        <v>43544</v>
      </c>
      <c r="K641" s="302">
        <v>8409508026</v>
      </c>
      <c r="M641" s="212"/>
      <c r="N641" s="213"/>
      <c r="O641" s="209"/>
    </row>
    <row r="642" spans="1:15" x14ac:dyDescent="0.3">
      <c r="A642" s="302" t="s">
        <v>155</v>
      </c>
      <c r="B642" s="302" t="str">
        <f t="shared" si="3"/>
        <v>Y</v>
      </c>
      <c r="C642" s="6" t="s">
        <v>1540</v>
      </c>
      <c r="D642" s="327"/>
      <c r="E642" s="327" t="s">
        <v>1541</v>
      </c>
      <c r="F642" s="206" t="s">
        <v>1542</v>
      </c>
      <c r="G642" s="207">
        <v>43544</v>
      </c>
      <c r="H642" s="207">
        <v>43544</v>
      </c>
      <c r="K642" s="302">
        <v>8797831268</v>
      </c>
      <c r="M642" s="212"/>
      <c r="N642" s="213"/>
      <c r="O642" s="209"/>
    </row>
    <row r="643" spans="1:15" x14ac:dyDescent="0.3">
      <c r="A643" s="302" t="s">
        <v>155</v>
      </c>
      <c r="B643" s="302" t="str">
        <f t="shared" si="3"/>
        <v>Y</v>
      </c>
      <c r="C643" s="6" t="s">
        <v>1543</v>
      </c>
      <c r="D643" s="327"/>
      <c r="E643" s="327" t="s">
        <v>1544</v>
      </c>
      <c r="F643" s="206" t="s">
        <v>1545</v>
      </c>
      <c r="G643" s="207">
        <v>43544</v>
      </c>
      <c r="H643" s="207">
        <v>43544</v>
      </c>
      <c r="K643" s="302">
        <v>8084014972</v>
      </c>
      <c r="M643" s="212"/>
      <c r="N643" s="213"/>
      <c r="O643" s="209"/>
    </row>
    <row r="644" spans="1:15" x14ac:dyDescent="0.3">
      <c r="A644" s="302" t="s">
        <v>155</v>
      </c>
      <c r="B644" s="302" t="str">
        <f t="shared" si="3"/>
        <v>Y</v>
      </c>
      <c r="C644" s="6" t="s">
        <v>1546</v>
      </c>
      <c r="D644" s="327"/>
      <c r="E644" s="327" t="s">
        <v>1547</v>
      </c>
      <c r="F644" s="206" t="s">
        <v>1548</v>
      </c>
      <c r="G644" s="207" t="s">
        <v>1549</v>
      </c>
      <c r="H644" s="207">
        <v>43549</v>
      </c>
      <c r="K644" s="302">
        <v>8092765060</v>
      </c>
      <c r="M644" s="212"/>
      <c r="N644" s="213"/>
      <c r="O644" s="209"/>
    </row>
    <row r="645" spans="1:15" x14ac:dyDescent="0.3">
      <c r="A645" s="302" t="s">
        <v>155</v>
      </c>
      <c r="B645" s="302" t="str">
        <f t="shared" si="3"/>
        <v>Y</v>
      </c>
      <c r="C645" s="6" t="s">
        <v>1550</v>
      </c>
      <c r="D645" s="327"/>
      <c r="E645" s="327" t="s">
        <v>1551</v>
      </c>
      <c r="F645" s="206" t="s">
        <v>1552</v>
      </c>
      <c r="G645" s="207" t="s">
        <v>1549</v>
      </c>
      <c r="H645" s="207">
        <v>43549</v>
      </c>
      <c r="K645" s="302">
        <v>7004658646</v>
      </c>
      <c r="M645" s="212"/>
      <c r="N645" s="213"/>
      <c r="O645" s="209"/>
    </row>
    <row r="646" spans="1:15" x14ac:dyDescent="0.3">
      <c r="A646" s="302" t="s">
        <v>155</v>
      </c>
      <c r="B646" s="302" t="str">
        <f t="shared" si="3"/>
        <v>Y</v>
      </c>
      <c r="C646" s="6" t="s">
        <v>1553</v>
      </c>
      <c r="D646" s="327"/>
      <c r="E646" s="327" t="s">
        <v>1554</v>
      </c>
      <c r="F646" s="206" t="s">
        <v>1555</v>
      </c>
      <c r="G646" s="207" t="s">
        <v>1549</v>
      </c>
      <c r="H646" s="207">
        <v>43549</v>
      </c>
      <c r="K646" s="302">
        <v>9113182499</v>
      </c>
      <c r="M646" s="212"/>
      <c r="N646" s="213"/>
      <c r="O646" s="209"/>
    </row>
    <row r="647" spans="1:15" x14ac:dyDescent="0.3">
      <c r="A647" s="302" t="s">
        <v>155</v>
      </c>
      <c r="B647" s="302" t="str">
        <f t="shared" si="3"/>
        <v>Y</v>
      </c>
      <c r="C647" s="6" t="s">
        <v>1556</v>
      </c>
      <c r="D647" s="327"/>
      <c r="E647" s="327" t="s">
        <v>1557</v>
      </c>
      <c r="F647" s="206" t="s">
        <v>1558</v>
      </c>
      <c r="G647" s="207">
        <v>43549</v>
      </c>
      <c r="H647" s="207">
        <v>43550</v>
      </c>
      <c r="K647" s="302">
        <v>8789387119</v>
      </c>
      <c r="M647" s="212"/>
      <c r="N647" s="213"/>
      <c r="O647" s="209"/>
    </row>
    <row r="648" spans="1:15" x14ac:dyDescent="0.3">
      <c r="A648" s="302" t="s">
        <v>155</v>
      </c>
      <c r="B648" s="302" t="str">
        <f t="shared" si="3"/>
        <v>Y</v>
      </c>
      <c r="C648" s="6"/>
      <c r="D648" s="327"/>
      <c r="E648" s="327" t="s">
        <v>1559</v>
      </c>
      <c r="F648" s="206"/>
      <c r="G648" s="207">
        <v>43550</v>
      </c>
      <c r="H648" s="207">
        <v>43550</v>
      </c>
      <c r="K648" s="302">
        <v>7643987768</v>
      </c>
      <c r="M648" s="212"/>
      <c r="N648" s="213"/>
      <c r="O648" s="209"/>
    </row>
    <row r="649" spans="1:15" x14ac:dyDescent="0.3">
      <c r="A649" s="302" t="s">
        <v>155</v>
      </c>
      <c r="B649" s="302" t="str">
        <f t="shared" si="3"/>
        <v>Y</v>
      </c>
      <c r="C649" s="6" t="s">
        <v>1560</v>
      </c>
      <c r="D649" s="327"/>
      <c r="E649" s="327" t="s">
        <v>1561</v>
      </c>
      <c r="F649" s="206" t="s">
        <v>1562</v>
      </c>
      <c r="G649" s="207">
        <v>43550</v>
      </c>
      <c r="H649" s="207">
        <v>43553</v>
      </c>
      <c r="K649" s="302">
        <v>9102518044</v>
      </c>
      <c r="M649" s="212"/>
      <c r="N649" s="213"/>
      <c r="O649" s="209"/>
    </row>
    <row r="650" spans="1:15" x14ac:dyDescent="0.3">
      <c r="A650" s="302" t="s">
        <v>155</v>
      </c>
      <c r="B650" s="302" t="str">
        <f t="shared" ref="B650:B885" si="4">IF(H650="","N","Y")</f>
        <v>Y</v>
      </c>
      <c r="C650" s="6" t="s">
        <v>1563</v>
      </c>
      <c r="D650" s="327"/>
      <c r="E650" s="327" t="s">
        <v>1564</v>
      </c>
      <c r="F650" s="206" t="s">
        <v>1565</v>
      </c>
      <c r="G650" s="207">
        <v>43550</v>
      </c>
      <c r="H650" s="207">
        <v>43550</v>
      </c>
      <c r="K650" s="302">
        <v>8986817569</v>
      </c>
      <c r="M650" s="212"/>
      <c r="N650" s="213"/>
      <c r="O650" s="209"/>
    </row>
    <row r="651" spans="1:15" x14ac:dyDescent="0.3">
      <c r="A651" s="302" t="s">
        <v>155</v>
      </c>
      <c r="B651" s="302" t="str">
        <f t="shared" si="4"/>
        <v>Y</v>
      </c>
      <c r="C651" s="453" t="s">
        <v>1566</v>
      </c>
      <c r="D651" s="331"/>
      <c r="E651" s="331" t="s">
        <v>1567</v>
      </c>
      <c r="F651" s="227" t="s">
        <v>1568</v>
      </c>
      <c r="G651" s="228">
        <v>43550</v>
      </c>
      <c r="H651" s="228">
        <v>43550</v>
      </c>
      <c r="I651" s="226"/>
      <c r="J651" s="226"/>
      <c r="K651" s="225">
        <v>9122112380</v>
      </c>
      <c r="L651" s="226" t="s">
        <v>486</v>
      </c>
      <c r="M651" s="212"/>
      <c r="N651" s="213"/>
      <c r="O651" s="209"/>
    </row>
    <row r="652" spans="1:15" x14ac:dyDescent="0.3">
      <c r="A652" s="302" t="s">
        <v>155</v>
      </c>
      <c r="B652" s="302" t="str">
        <f t="shared" si="4"/>
        <v>Y</v>
      </c>
      <c r="C652" s="6" t="s">
        <v>1569</v>
      </c>
      <c r="D652" s="327"/>
      <c r="E652" s="327" t="s">
        <v>907</v>
      </c>
      <c r="F652" s="206" t="s">
        <v>1570</v>
      </c>
      <c r="G652" s="207">
        <v>43550</v>
      </c>
      <c r="H652" s="207">
        <v>43551</v>
      </c>
      <c r="K652" s="302">
        <v>9631483151</v>
      </c>
      <c r="M652" s="212"/>
      <c r="N652" s="213"/>
      <c r="O652" s="209"/>
    </row>
    <row r="653" spans="1:15" x14ac:dyDescent="0.3">
      <c r="A653" s="302" t="s">
        <v>155</v>
      </c>
      <c r="B653" s="302" t="str">
        <f t="shared" si="4"/>
        <v>Y</v>
      </c>
      <c r="C653" s="6" t="s">
        <v>1571</v>
      </c>
      <c r="D653" s="327"/>
      <c r="E653" s="327" t="s">
        <v>1572</v>
      </c>
      <c r="F653" s="206" t="s">
        <v>1573</v>
      </c>
      <c r="G653" s="207">
        <v>43550</v>
      </c>
      <c r="H653" s="207">
        <v>43550</v>
      </c>
      <c r="K653" s="302">
        <v>8383095605</v>
      </c>
      <c r="M653" s="212"/>
      <c r="N653" s="213"/>
      <c r="O653" s="209"/>
    </row>
    <row r="654" spans="1:15" x14ac:dyDescent="0.3">
      <c r="A654" s="302" t="s">
        <v>155</v>
      </c>
      <c r="B654" s="302" t="str">
        <f t="shared" si="4"/>
        <v>Y</v>
      </c>
      <c r="C654" s="6" t="s">
        <v>1574</v>
      </c>
      <c r="D654" s="327"/>
      <c r="E654" s="327" t="s">
        <v>1575</v>
      </c>
      <c r="F654" s="206" t="s">
        <v>1576</v>
      </c>
      <c r="G654" s="207">
        <v>43551</v>
      </c>
      <c r="H654" s="207">
        <v>43554</v>
      </c>
      <c r="K654" s="302">
        <v>9102929041</v>
      </c>
      <c r="M654" s="212"/>
      <c r="N654" s="213"/>
      <c r="O654" s="209"/>
    </row>
    <row r="655" spans="1:15" x14ac:dyDescent="0.3">
      <c r="A655" s="302" t="s">
        <v>155</v>
      </c>
      <c r="B655" s="302" t="str">
        <f t="shared" si="4"/>
        <v>Y</v>
      </c>
      <c r="C655" s="6" t="s">
        <v>1577</v>
      </c>
      <c r="D655" s="327"/>
      <c r="E655" s="327" t="s">
        <v>1578</v>
      </c>
      <c r="F655" s="206" t="s">
        <v>1579</v>
      </c>
      <c r="G655" s="207">
        <v>43551</v>
      </c>
      <c r="H655" s="207">
        <v>43553</v>
      </c>
      <c r="K655" s="302">
        <v>6201459247</v>
      </c>
      <c r="M655" s="212"/>
      <c r="N655" s="213"/>
      <c r="O655" s="209"/>
    </row>
    <row r="656" spans="1:15" x14ac:dyDescent="0.3">
      <c r="A656" s="302" t="s">
        <v>155</v>
      </c>
      <c r="B656" s="302" t="str">
        <f t="shared" si="4"/>
        <v>Y</v>
      </c>
      <c r="C656" s="6" t="s">
        <v>1580</v>
      </c>
      <c r="D656" s="327"/>
      <c r="E656" s="327" t="s">
        <v>1581</v>
      </c>
      <c r="F656" s="206"/>
      <c r="G656" s="207">
        <v>43552</v>
      </c>
      <c r="H656" s="207">
        <v>43553</v>
      </c>
      <c r="M656" s="212"/>
      <c r="N656" s="213"/>
      <c r="O656" s="209"/>
    </row>
    <row r="657" spans="1:15" x14ac:dyDescent="0.3">
      <c r="A657" s="302" t="s">
        <v>155</v>
      </c>
      <c r="B657" s="302" t="str">
        <f t="shared" si="4"/>
        <v>Y</v>
      </c>
      <c r="C657" s="6" t="s">
        <v>1582</v>
      </c>
      <c r="D657" s="327"/>
      <c r="E657" s="327" t="s">
        <v>1583</v>
      </c>
      <c r="F657" s="206" t="s">
        <v>1584</v>
      </c>
      <c r="G657" s="207">
        <v>43552</v>
      </c>
      <c r="H657" s="207">
        <v>43555</v>
      </c>
      <c r="K657" s="302">
        <v>9204776264</v>
      </c>
      <c r="M657" s="212"/>
      <c r="N657" s="213"/>
      <c r="O657" s="209"/>
    </row>
    <row r="658" spans="1:15" x14ac:dyDescent="0.3">
      <c r="A658" s="302" t="s">
        <v>155</v>
      </c>
      <c r="B658" s="302" t="str">
        <f t="shared" si="4"/>
        <v>Y</v>
      </c>
      <c r="C658" s="6" t="s">
        <v>1585</v>
      </c>
      <c r="D658" s="327"/>
      <c r="E658" s="327" t="s">
        <v>1586</v>
      </c>
      <c r="F658" s="206"/>
      <c r="G658" s="207">
        <v>43552</v>
      </c>
      <c r="H658" s="207">
        <v>43555</v>
      </c>
      <c r="K658" s="302">
        <v>7209249819</v>
      </c>
      <c r="M658" s="212"/>
      <c r="N658" s="213"/>
      <c r="O658" s="209"/>
    </row>
    <row r="659" spans="1:15" x14ac:dyDescent="0.3">
      <c r="A659" s="302" t="s">
        <v>155</v>
      </c>
      <c r="B659" s="302" t="str">
        <f t="shared" si="4"/>
        <v>Y</v>
      </c>
      <c r="C659" s="6" t="s">
        <v>1587</v>
      </c>
      <c r="D659" s="327"/>
      <c r="E659" s="327" t="s">
        <v>1588</v>
      </c>
      <c r="F659" s="206"/>
      <c r="G659" s="207">
        <v>43552</v>
      </c>
      <c r="H659" s="207">
        <v>43556</v>
      </c>
      <c r="M659" s="212"/>
      <c r="N659" s="213"/>
      <c r="O659" s="209"/>
    </row>
    <row r="660" spans="1:15" x14ac:dyDescent="0.3">
      <c r="A660" s="302" t="s">
        <v>155</v>
      </c>
      <c r="B660" s="302" t="str">
        <f t="shared" si="4"/>
        <v>Y</v>
      </c>
      <c r="C660" s="6" t="s">
        <v>1589</v>
      </c>
      <c r="D660" s="327"/>
      <c r="E660" s="327" t="s">
        <v>1590</v>
      </c>
      <c r="F660" s="206"/>
      <c r="G660" s="207">
        <v>43552</v>
      </c>
      <c r="H660" s="207">
        <v>43553</v>
      </c>
      <c r="M660" s="212"/>
      <c r="N660" s="213"/>
      <c r="O660" s="209"/>
    </row>
    <row r="661" spans="1:15" x14ac:dyDescent="0.3">
      <c r="A661" s="302" t="s">
        <v>155</v>
      </c>
      <c r="B661" s="302" t="str">
        <f t="shared" si="4"/>
        <v>Y</v>
      </c>
      <c r="C661" s="6" t="s">
        <v>1591</v>
      </c>
      <c r="D661" s="327"/>
      <c r="E661" s="327" t="s">
        <v>1592</v>
      </c>
      <c r="F661" s="206" t="s">
        <v>1593</v>
      </c>
      <c r="G661" s="207">
        <v>43552</v>
      </c>
      <c r="H661" s="207">
        <v>43553</v>
      </c>
      <c r="K661" s="302">
        <v>7903580725</v>
      </c>
      <c r="M661" s="212"/>
      <c r="N661" s="213"/>
      <c r="O661" s="209"/>
    </row>
    <row r="662" spans="1:15" x14ac:dyDescent="0.3">
      <c r="A662" s="302" t="s">
        <v>155</v>
      </c>
      <c r="B662" s="302" t="str">
        <f t="shared" si="4"/>
        <v>Y</v>
      </c>
      <c r="C662" s="6" t="s">
        <v>1594</v>
      </c>
      <c r="D662" s="327"/>
      <c r="E662" s="327" t="s">
        <v>1595</v>
      </c>
      <c r="F662" s="206" t="s">
        <v>1596</v>
      </c>
      <c r="G662" s="207">
        <v>43553</v>
      </c>
      <c r="H662" s="207">
        <v>43553</v>
      </c>
      <c r="M662" s="212"/>
      <c r="N662" s="213"/>
      <c r="O662" s="209"/>
    </row>
    <row r="663" spans="1:15" x14ac:dyDescent="0.3">
      <c r="A663" s="302" t="s">
        <v>155</v>
      </c>
      <c r="B663" s="302" t="str">
        <f t="shared" si="4"/>
        <v>Y</v>
      </c>
      <c r="C663" s="6" t="s">
        <v>1597</v>
      </c>
      <c r="D663" s="327"/>
      <c r="E663" s="327" t="s">
        <v>1598</v>
      </c>
      <c r="F663" s="206"/>
      <c r="G663" s="207">
        <v>43553</v>
      </c>
      <c r="H663" s="207">
        <v>43555</v>
      </c>
      <c r="M663" s="212"/>
      <c r="N663" s="213"/>
      <c r="O663" s="209"/>
    </row>
    <row r="664" spans="1:15" x14ac:dyDescent="0.3">
      <c r="A664" s="302" t="s">
        <v>155</v>
      </c>
      <c r="B664" s="302" t="str">
        <f t="shared" si="4"/>
        <v>Y</v>
      </c>
      <c r="C664" s="455" t="s">
        <v>1599</v>
      </c>
      <c r="D664" s="333"/>
      <c r="E664" s="327" t="s">
        <v>1600</v>
      </c>
      <c r="F664" s="206" t="s">
        <v>1601</v>
      </c>
      <c r="G664" s="207" t="s">
        <v>1602</v>
      </c>
      <c r="H664" s="207">
        <v>43556</v>
      </c>
      <c r="K664" s="302">
        <v>9905171766</v>
      </c>
      <c r="M664" s="212"/>
      <c r="N664" s="213"/>
      <c r="O664" s="209"/>
    </row>
    <row r="665" spans="1:15" x14ac:dyDescent="0.3">
      <c r="A665" s="302" t="s">
        <v>155</v>
      </c>
      <c r="B665" s="302" t="str">
        <f t="shared" si="4"/>
        <v>Y</v>
      </c>
      <c r="C665" s="6" t="s">
        <v>1603</v>
      </c>
      <c r="D665" s="327"/>
      <c r="E665" s="327" t="s">
        <v>1604</v>
      </c>
      <c r="F665" s="206" t="s">
        <v>1510</v>
      </c>
      <c r="G665" s="207" t="s">
        <v>1602</v>
      </c>
      <c r="H665" s="207">
        <v>43556</v>
      </c>
      <c r="K665" s="302">
        <v>7762041641</v>
      </c>
      <c r="M665" s="212"/>
      <c r="N665" s="213"/>
      <c r="O665" s="209"/>
    </row>
    <row r="666" spans="1:15" x14ac:dyDescent="0.3">
      <c r="A666" s="302" t="s">
        <v>155</v>
      </c>
      <c r="B666" s="302" t="str">
        <f t="shared" si="4"/>
        <v>Y</v>
      </c>
      <c r="C666" s="6" t="s">
        <v>1605</v>
      </c>
      <c r="D666" s="327"/>
      <c r="E666" s="327" t="s">
        <v>1606</v>
      </c>
      <c r="F666" s="206" t="s">
        <v>1607</v>
      </c>
      <c r="G666" s="207">
        <v>43558</v>
      </c>
      <c r="H666" s="207">
        <v>43558</v>
      </c>
      <c r="K666" s="302">
        <v>9304694461</v>
      </c>
      <c r="M666" s="212"/>
      <c r="N666" s="213"/>
      <c r="O666" s="209"/>
    </row>
    <row r="667" spans="1:15" x14ac:dyDescent="0.3">
      <c r="A667" s="302" t="s">
        <v>155</v>
      </c>
      <c r="B667" s="302" t="str">
        <f t="shared" si="4"/>
        <v>Y</v>
      </c>
      <c r="C667" s="455" t="s">
        <v>1608</v>
      </c>
      <c r="D667" s="333"/>
      <c r="E667" s="327" t="s">
        <v>1609</v>
      </c>
      <c r="F667" s="206" t="s">
        <v>1610</v>
      </c>
      <c r="G667" s="207">
        <v>43558</v>
      </c>
      <c r="H667" s="207">
        <v>43558</v>
      </c>
      <c r="K667" s="302">
        <v>7870334001</v>
      </c>
      <c r="M667" s="212"/>
      <c r="N667" s="213"/>
      <c r="O667" s="209"/>
    </row>
    <row r="668" spans="1:15" x14ac:dyDescent="0.3">
      <c r="A668" s="302" t="s">
        <v>155</v>
      </c>
      <c r="B668" s="302" t="str">
        <f t="shared" si="4"/>
        <v>Y</v>
      </c>
      <c r="C668" s="6" t="s">
        <v>1611</v>
      </c>
      <c r="D668" s="327"/>
      <c r="E668" s="327" t="s">
        <v>1612</v>
      </c>
      <c r="F668" s="206" t="s">
        <v>1613</v>
      </c>
      <c r="G668" s="207">
        <v>43558</v>
      </c>
      <c r="H668" s="207">
        <v>43558</v>
      </c>
      <c r="K668" s="302">
        <v>6205784655</v>
      </c>
      <c r="M668" s="212"/>
      <c r="N668" s="213"/>
      <c r="O668" s="209"/>
    </row>
    <row r="669" spans="1:15" x14ac:dyDescent="0.3">
      <c r="A669" s="302" t="s">
        <v>155</v>
      </c>
      <c r="B669" s="302" t="str">
        <f t="shared" si="4"/>
        <v>Y</v>
      </c>
      <c r="C669" s="6" t="s">
        <v>1614</v>
      </c>
      <c r="D669" s="327"/>
      <c r="E669" s="327" t="s">
        <v>1615</v>
      </c>
      <c r="F669" s="206" t="s">
        <v>1616</v>
      </c>
      <c r="G669" s="207">
        <v>43558</v>
      </c>
      <c r="H669" s="207">
        <v>43559</v>
      </c>
      <c r="K669" s="302">
        <v>7250996689</v>
      </c>
      <c r="M669" s="212"/>
      <c r="N669" s="213"/>
      <c r="O669" s="209"/>
    </row>
    <row r="670" spans="1:15" x14ac:dyDescent="0.3">
      <c r="A670" s="302" t="s">
        <v>155</v>
      </c>
      <c r="B670" s="302" t="str">
        <f t="shared" si="4"/>
        <v>Y</v>
      </c>
      <c r="C670" s="6" t="s">
        <v>1617</v>
      </c>
      <c r="D670" s="327"/>
      <c r="E670" s="327" t="s">
        <v>1618</v>
      </c>
      <c r="F670" s="206" t="s">
        <v>1619</v>
      </c>
      <c r="G670" s="207">
        <v>43560</v>
      </c>
      <c r="H670" s="207">
        <v>43560</v>
      </c>
      <c r="K670" s="302">
        <v>7488260490</v>
      </c>
      <c r="M670" s="212"/>
      <c r="N670" s="213"/>
      <c r="O670" s="209"/>
    </row>
    <row r="671" spans="1:15" x14ac:dyDescent="0.3">
      <c r="A671" s="302" t="s">
        <v>155</v>
      </c>
      <c r="B671" s="302" t="str">
        <f t="shared" si="4"/>
        <v>Y</v>
      </c>
      <c r="C671" s="6" t="s">
        <v>1620</v>
      </c>
      <c r="D671" s="327"/>
      <c r="E671" s="327" t="s">
        <v>1621</v>
      </c>
      <c r="F671" s="206" t="s">
        <v>1622</v>
      </c>
      <c r="G671" s="207">
        <v>43561</v>
      </c>
      <c r="H671" s="207">
        <v>43561</v>
      </c>
      <c r="K671" s="302">
        <v>8340442073</v>
      </c>
      <c r="M671" s="212"/>
      <c r="N671" s="213"/>
      <c r="O671" s="209"/>
    </row>
    <row r="672" spans="1:15" x14ac:dyDescent="0.3">
      <c r="A672" s="302" t="s">
        <v>155</v>
      </c>
      <c r="B672" s="221" t="str">
        <f t="shared" si="4"/>
        <v>Y</v>
      </c>
      <c r="C672" s="451" t="s">
        <v>1623</v>
      </c>
      <c r="D672" s="329"/>
      <c r="E672" s="329" t="s">
        <v>1624</v>
      </c>
      <c r="F672" s="219" t="s">
        <v>1458</v>
      </c>
      <c r="G672" s="220">
        <v>43561</v>
      </c>
      <c r="H672" s="220">
        <v>43561</v>
      </c>
      <c r="I672" s="9"/>
      <c r="J672" s="9"/>
      <c r="K672" s="221">
        <v>9835964592</v>
      </c>
      <c r="M672" s="212"/>
      <c r="N672" s="213"/>
      <c r="O672" s="209"/>
    </row>
    <row r="673" spans="1:15" x14ac:dyDescent="0.3">
      <c r="A673" s="302" t="s">
        <v>155</v>
      </c>
      <c r="B673" s="302" t="str">
        <f t="shared" si="4"/>
        <v>Y</v>
      </c>
      <c r="C673" s="6" t="s">
        <v>1625</v>
      </c>
      <c r="D673" s="327"/>
      <c r="E673" s="327" t="s">
        <v>1626</v>
      </c>
      <c r="F673" s="206" t="s">
        <v>1458</v>
      </c>
      <c r="G673" s="207">
        <v>43563</v>
      </c>
      <c r="H673" s="207">
        <v>43563</v>
      </c>
      <c r="K673" s="302">
        <v>6201172775</v>
      </c>
      <c r="M673" s="212"/>
      <c r="N673" s="213"/>
      <c r="O673" s="209"/>
    </row>
    <row r="674" spans="1:15" x14ac:dyDescent="0.3">
      <c r="A674" s="302" t="s">
        <v>155</v>
      </c>
      <c r="B674" s="302" t="str">
        <f t="shared" si="4"/>
        <v>Y</v>
      </c>
      <c r="C674" s="6" t="s">
        <v>1627</v>
      </c>
      <c r="D674" s="327"/>
      <c r="E674" s="327" t="s">
        <v>1628</v>
      </c>
      <c r="F674" s="206" t="s">
        <v>1629</v>
      </c>
      <c r="G674" s="207">
        <v>43563</v>
      </c>
      <c r="H674" s="207">
        <v>43576</v>
      </c>
      <c r="K674" s="302">
        <v>8797901115</v>
      </c>
      <c r="M674" s="212"/>
      <c r="N674" s="213"/>
      <c r="O674" s="209"/>
    </row>
    <row r="675" spans="1:15" x14ac:dyDescent="0.3">
      <c r="A675" s="302" t="s">
        <v>155</v>
      </c>
      <c r="B675" s="302" t="str">
        <f t="shared" si="4"/>
        <v>Y</v>
      </c>
      <c r="C675" s="6" t="s">
        <v>1630</v>
      </c>
      <c r="D675" s="327"/>
      <c r="E675" s="327" t="s">
        <v>1631</v>
      </c>
      <c r="F675" s="206" t="s">
        <v>1632</v>
      </c>
      <c r="G675" s="207">
        <v>43563</v>
      </c>
      <c r="H675" s="207">
        <v>43576</v>
      </c>
      <c r="K675" s="302">
        <v>8797901113</v>
      </c>
      <c r="M675" s="212"/>
      <c r="N675" s="213"/>
      <c r="O675" s="209"/>
    </row>
    <row r="676" spans="1:15" x14ac:dyDescent="0.3">
      <c r="A676" s="302" t="s">
        <v>155</v>
      </c>
      <c r="B676" s="302" t="str">
        <f t="shared" si="4"/>
        <v>Y</v>
      </c>
      <c r="C676" s="6" t="s">
        <v>1633</v>
      </c>
      <c r="D676" s="327"/>
      <c r="E676" s="327" t="s">
        <v>1634</v>
      </c>
      <c r="F676" s="206" t="s">
        <v>1635</v>
      </c>
      <c r="G676" s="207">
        <v>43564</v>
      </c>
      <c r="H676" s="207">
        <v>43564</v>
      </c>
      <c r="K676" s="302">
        <v>6200770418</v>
      </c>
      <c r="M676" s="212"/>
      <c r="N676" s="213"/>
      <c r="O676" s="209"/>
    </row>
    <row r="677" spans="1:15" x14ac:dyDescent="0.3">
      <c r="A677" s="302" t="s">
        <v>155</v>
      </c>
      <c r="B677" s="302" t="str">
        <f t="shared" si="4"/>
        <v>Y</v>
      </c>
      <c r="C677" s="6" t="s">
        <v>1636</v>
      </c>
      <c r="D677" s="327"/>
      <c r="E677" s="327" t="s">
        <v>852</v>
      </c>
      <c r="F677" s="206" t="s">
        <v>1637</v>
      </c>
      <c r="G677" s="207">
        <v>43565</v>
      </c>
      <c r="H677" s="207">
        <v>43566</v>
      </c>
      <c r="K677" s="302">
        <v>9204703536</v>
      </c>
      <c r="M677" s="212"/>
      <c r="N677" s="213"/>
      <c r="O677" s="209"/>
    </row>
    <row r="678" spans="1:15" x14ac:dyDescent="0.3">
      <c r="A678" s="302" t="s">
        <v>155</v>
      </c>
      <c r="B678" s="302" t="str">
        <f t="shared" si="4"/>
        <v>Y</v>
      </c>
      <c r="C678" s="6" t="s">
        <v>1638</v>
      </c>
      <c r="D678" s="327"/>
      <c r="E678" s="327" t="s">
        <v>1639</v>
      </c>
      <c r="F678" s="206" t="s">
        <v>1640</v>
      </c>
      <c r="G678" s="207">
        <v>43566</v>
      </c>
      <c r="H678" s="207">
        <v>43567</v>
      </c>
      <c r="K678" s="302">
        <v>6201340840</v>
      </c>
      <c r="M678" s="212"/>
      <c r="N678" s="213"/>
      <c r="O678" s="209"/>
    </row>
    <row r="679" spans="1:15" x14ac:dyDescent="0.3">
      <c r="A679" s="302" t="s">
        <v>155</v>
      </c>
      <c r="B679" s="302" t="str">
        <f t="shared" si="4"/>
        <v>Y</v>
      </c>
      <c r="C679" s="6" t="s">
        <v>1641</v>
      </c>
      <c r="D679" s="327"/>
      <c r="E679" s="327" t="s">
        <v>1642</v>
      </c>
      <c r="F679" s="206" t="s">
        <v>1643</v>
      </c>
      <c r="G679" s="207">
        <v>43567</v>
      </c>
      <c r="H679" s="207">
        <v>43568</v>
      </c>
      <c r="K679" s="302">
        <v>8871871941</v>
      </c>
      <c r="M679" s="212"/>
      <c r="N679" s="213"/>
      <c r="O679" s="209"/>
    </row>
    <row r="680" spans="1:15" x14ac:dyDescent="0.3">
      <c r="A680" s="302" t="s">
        <v>155</v>
      </c>
      <c r="B680" s="302" t="str">
        <f t="shared" si="4"/>
        <v>Y</v>
      </c>
      <c r="C680" s="6" t="s">
        <v>1644</v>
      </c>
      <c r="D680" s="327"/>
      <c r="E680" s="327" t="s">
        <v>1645</v>
      </c>
      <c r="F680" s="206" t="s">
        <v>1646</v>
      </c>
      <c r="G680" s="207">
        <v>43568</v>
      </c>
      <c r="H680" s="207">
        <v>43568</v>
      </c>
      <c r="K680" s="302">
        <v>9430111201</v>
      </c>
      <c r="M680" s="212"/>
      <c r="N680" s="213"/>
      <c r="O680" s="209"/>
    </row>
    <row r="681" spans="1:15" x14ac:dyDescent="0.3">
      <c r="A681" s="302" t="s">
        <v>155</v>
      </c>
      <c r="B681" s="302" t="str">
        <f t="shared" si="4"/>
        <v>Y</v>
      </c>
      <c r="C681" s="6" t="s">
        <v>1647</v>
      </c>
      <c r="D681" s="327"/>
      <c r="E681" s="327" t="s">
        <v>1648</v>
      </c>
      <c r="F681" s="206" t="s">
        <v>1649</v>
      </c>
      <c r="G681" s="207">
        <v>43568</v>
      </c>
      <c r="H681" s="207">
        <v>43568</v>
      </c>
      <c r="K681" s="302">
        <v>9430111201</v>
      </c>
      <c r="M681" s="212"/>
      <c r="N681" s="213"/>
      <c r="O681" s="209"/>
    </row>
    <row r="682" spans="1:15" x14ac:dyDescent="0.3">
      <c r="A682" s="302" t="s">
        <v>155</v>
      </c>
      <c r="B682" s="302" t="str">
        <f t="shared" si="4"/>
        <v>Y</v>
      </c>
      <c r="C682" s="6" t="s">
        <v>1650</v>
      </c>
      <c r="D682" s="327"/>
      <c r="E682" s="327" t="s">
        <v>1651</v>
      </c>
      <c r="F682" s="206" t="s">
        <v>1652</v>
      </c>
      <c r="G682" s="207">
        <v>43570</v>
      </c>
      <c r="H682" s="207">
        <v>43570</v>
      </c>
      <c r="K682" s="302">
        <v>6204422425</v>
      </c>
      <c r="M682" s="212"/>
      <c r="N682" s="213"/>
      <c r="O682" s="209"/>
    </row>
    <row r="683" spans="1:15" x14ac:dyDescent="0.3">
      <c r="A683" s="302" t="s">
        <v>155</v>
      </c>
      <c r="B683" s="302" t="str">
        <f t="shared" si="4"/>
        <v>Y</v>
      </c>
      <c r="C683" s="6" t="s">
        <v>1653</v>
      </c>
      <c r="D683" s="327"/>
      <c r="E683" s="327" t="s">
        <v>1654</v>
      </c>
      <c r="F683" s="206" t="s">
        <v>1505</v>
      </c>
      <c r="G683" s="207">
        <v>43570</v>
      </c>
      <c r="H683" s="207">
        <v>43570</v>
      </c>
      <c r="K683" s="302">
        <v>6204422425</v>
      </c>
      <c r="M683" s="212"/>
      <c r="N683" s="213"/>
      <c r="O683" s="209"/>
    </row>
    <row r="684" spans="1:15" x14ac:dyDescent="0.3">
      <c r="A684" s="302" t="s">
        <v>155</v>
      </c>
      <c r="B684" s="302" t="str">
        <f t="shared" si="4"/>
        <v>Y</v>
      </c>
      <c r="C684" s="6" t="s">
        <v>1655</v>
      </c>
      <c r="D684" s="327"/>
      <c r="E684" s="327" t="s">
        <v>1656</v>
      </c>
      <c r="F684" s="206" t="s">
        <v>1657</v>
      </c>
      <c r="G684" s="207">
        <v>43571</v>
      </c>
      <c r="H684" s="207">
        <v>43571</v>
      </c>
      <c r="K684" s="302">
        <v>8184700199</v>
      </c>
      <c r="M684" s="212"/>
      <c r="N684" s="213"/>
      <c r="O684" s="209"/>
    </row>
    <row r="685" spans="1:15" x14ac:dyDescent="0.3">
      <c r="A685" s="302" t="s">
        <v>155</v>
      </c>
      <c r="B685" s="302" t="str">
        <f t="shared" si="4"/>
        <v>Y</v>
      </c>
      <c r="C685" s="6" t="s">
        <v>1658</v>
      </c>
      <c r="D685" s="327"/>
      <c r="E685" s="327" t="s">
        <v>1659</v>
      </c>
      <c r="F685" s="206" t="s">
        <v>1660</v>
      </c>
      <c r="G685" s="207">
        <v>43573</v>
      </c>
      <c r="H685" s="207">
        <v>43574</v>
      </c>
      <c r="K685" s="302">
        <v>6200014990</v>
      </c>
      <c r="M685" s="212"/>
      <c r="N685" s="213"/>
      <c r="O685" s="209"/>
    </row>
    <row r="686" spans="1:15" x14ac:dyDescent="0.3">
      <c r="A686" s="302" t="s">
        <v>155</v>
      </c>
      <c r="B686" s="302" t="str">
        <f t="shared" si="4"/>
        <v>Y</v>
      </c>
      <c r="C686" s="6" t="s">
        <v>1661</v>
      </c>
      <c r="D686" s="327"/>
      <c r="E686" s="327" t="s">
        <v>1662</v>
      </c>
      <c r="F686" s="206" t="s">
        <v>1663</v>
      </c>
      <c r="G686" s="207">
        <v>43577</v>
      </c>
      <c r="H686" s="207">
        <v>43578</v>
      </c>
      <c r="K686" s="302">
        <v>9263499819</v>
      </c>
      <c r="L686" s="2" t="s">
        <v>1664</v>
      </c>
      <c r="M686" s="212"/>
      <c r="N686" s="213"/>
      <c r="O686" s="209"/>
    </row>
    <row r="687" spans="1:15" x14ac:dyDescent="0.3">
      <c r="A687" s="302" t="s">
        <v>155</v>
      </c>
      <c r="B687" s="302" t="str">
        <f t="shared" si="4"/>
        <v>Y</v>
      </c>
      <c r="C687" s="6" t="s">
        <v>1665</v>
      </c>
      <c r="D687" s="327"/>
      <c r="E687" s="327" t="s">
        <v>1666</v>
      </c>
      <c r="F687" s="206" t="s">
        <v>1667</v>
      </c>
      <c r="G687" s="207">
        <v>43578</v>
      </c>
      <c r="H687" s="207">
        <v>43549</v>
      </c>
      <c r="K687" s="302">
        <v>9430111201</v>
      </c>
      <c r="M687" s="212"/>
      <c r="N687" s="213"/>
      <c r="O687" s="209"/>
    </row>
    <row r="688" spans="1:15" x14ac:dyDescent="0.3">
      <c r="A688" s="302" t="s">
        <v>155</v>
      </c>
      <c r="B688" s="302" t="str">
        <f t="shared" si="4"/>
        <v>Y</v>
      </c>
      <c r="C688" s="6" t="s">
        <v>1668</v>
      </c>
      <c r="D688" s="327"/>
      <c r="E688" s="327" t="s">
        <v>1669</v>
      </c>
      <c r="F688" s="206" t="s">
        <v>1670</v>
      </c>
      <c r="G688" s="207">
        <v>43580</v>
      </c>
      <c r="H688" s="207">
        <v>43549</v>
      </c>
      <c r="K688" s="302">
        <v>7004909358</v>
      </c>
      <c r="M688" s="212"/>
      <c r="N688" s="213"/>
      <c r="O688" s="209"/>
    </row>
    <row r="689" spans="1:15" x14ac:dyDescent="0.3">
      <c r="A689" s="302" t="s">
        <v>155</v>
      </c>
      <c r="B689" s="302" t="str">
        <f t="shared" si="4"/>
        <v>Y</v>
      </c>
      <c r="C689" s="6" t="s">
        <v>1671</v>
      </c>
      <c r="D689" s="327"/>
      <c r="E689" s="327" t="s">
        <v>1672</v>
      </c>
      <c r="F689" s="206" t="s">
        <v>1673</v>
      </c>
      <c r="G689" s="207">
        <v>43581</v>
      </c>
      <c r="H689" s="207">
        <v>43550</v>
      </c>
      <c r="K689" s="302">
        <v>7209522416</v>
      </c>
      <c r="M689" s="212"/>
      <c r="N689" s="213"/>
      <c r="O689" s="209"/>
    </row>
    <row r="690" spans="1:15" x14ac:dyDescent="0.3">
      <c r="A690" s="302" t="s">
        <v>155</v>
      </c>
      <c r="B690" s="302" t="str">
        <f t="shared" si="4"/>
        <v>Y</v>
      </c>
      <c r="C690" s="6" t="s">
        <v>1674</v>
      </c>
      <c r="D690" s="327"/>
      <c r="E690" s="327" t="s">
        <v>1675</v>
      </c>
      <c r="F690" s="206" t="s">
        <v>1676</v>
      </c>
      <c r="G690" s="207">
        <v>43581</v>
      </c>
      <c r="H690" s="207">
        <v>43582</v>
      </c>
      <c r="K690" s="302">
        <v>8969721943</v>
      </c>
      <c r="M690" s="212"/>
      <c r="N690" s="213"/>
      <c r="O690" s="209"/>
    </row>
    <row r="691" spans="1:15" x14ac:dyDescent="0.3">
      <c r="A691" s="302" t="s">
        <v>155</v>
      </c>
      <c r="B691" s="302" t="str">
        <f t="shared" si="4"/>
        <v>Y</v>
      </c>
      <c r="C691" s="6" t="s">
        <v>1677</v>
      </c>
      <c r="D691" s="327"/>
      <c r="E691" s="327" t="s">
        <v>1678</v>
      </c>
      <c r="F691" s="206" t="s">
        <v>1502</v>
      </c>
      <c r="G691" s="207">
        <v>43582</v>
      </c>
      <c r="H691" s="207">
        <v>43582</v>
      </c>
      <c r="K691" s="302">
        <v>7209531061</v>
      </c>
      <c r="M691" s="212"/>
      <c r="N691" s="213"/>
      <c r="O691" s="209"/>
    </row>
    <row r="692" spans="1:15" x14ac:dyDescent="0.3">
      <c r="A692" s="302" t="s">
        <v>155</v>
      </c>
      <c r="B692" s="302" t="str">
        <f t="shared" si="4"/>
        <v>Y</v>
      </c>
      <c r="C692" s="6" t="s">
        <v>1679</v>
      </c>
      <c r="D692" s="327"/>
      <c r="E692" s="327" t="s">
        <v>1680</v>
      </c>
      <c r="F692" s="206" t="s">
        <v>1681</v>
      </c>
      <c r="G692" s="207">
        <v>43588</v>
      </c>
      <c r="H692" s="207">
        <v>43589</v>
      </c>
      <c r="K692" s="302">
        <v>9279244637</v>
      </c>
      <c r="M692" s="212"/>
      <c r="N692" s="213"/>
      <c r="O692" s="209"/>
    </row>
    <row r="693" spans="1:15" x14ac:dyDescent="0.3">
      <c r="A693" s="302" t="s">
        <v>155</v>
      </c>
      <c r="B693" s="302" t="str">
        <f t="shared" si="4"/>
        <v>Y</v>
      </c>
      <c r="C693" s="6" t="s">
        <v>1682</v>
      </c>
      <c r="D693" s="327"/>
      <c r="E693" s="327" t="s">
        <v>76</v>
      </c>
      <c r="F693" s="206" t="s">
        <v>1683</v>
      </c>
      <c r="G693" s="207">
        <v>43588</v>
      </c>
      <c r="H693" s="207">
        <v>43591</v>
      </c>
      <c r="K693" s="302">
        <v>9430345366</v>
      </c>
      <c r="M693" s="212"/>
      <c r="N693" s="213"/>
      <c r="O693" s="209"/>
    </row>
    <row r="694" spans="1:15" x14ac:dyDescent="0.3">
      <c r="A694" s="302" t="s">
        <v>155</v>
      </c>
      <c r="B694" s="302" t="str">
        <f t="shared" si="4"/>
        <v>Y</v>
      </c>
      <c r="C694" s="6" t="s">
        <v>1684</v>
      </c>
      <c r="D694" s="327"/>
      <c r="E694" s="327" t="s">
        <v>1685</v>
      </c>
      <c r="F694" s="206" t="s">
        <v>1486</v>
      </c>
      <c r="G694" s="207">
        <v>43589</v>
      </c>
      <c r="H694" s="207">
        <v>43589</v>
      </c>
      <c r="K694" s="302">
        <v>9304104552</v>
      </c>
      <c r="M694" s="212"/>
      <c r="N694" s="213"/>
      <c r="O694" s="209"/>
    </row>
    <row r="695" spans="1:15" x14ac:dyDescent="0.3">
      <c r="A695" s="302" t="s">
        <v>155</v>
      </c>
      <c r="B695" s="302" t="str">
        <f t="shared" si="4"/>
        <v>Y</v>
      </c>
      <c r="C695" s="6" t="s">
        <v>1686</v>
      </c>
      <c r="D695" s="327"/>
      <c r="E695" s="327" t="s">
        <v>1687</v>
      </c>
      <c r="F695" s="206"/>
      <c r="G695" s="207" t="s">
        <v>1688</v>
      </c>
      <c r="H695" s="207">
        <v>43592</v>
      </c>
      <c r="K695" s="302">
        <v>9568465806</v>
      </c>
      <c r="M695" s="212"/>
      <c r="N695" s="213"/>
      <c r="O695" s="209"/>
    </row>
    <row r="696" spans="1:15" x14ac:dyDescent="0.3">
      <c r="A696" s="302" t="s">
        <v>155</v>
      </c>
      <c r="B696" s="302" t="str">
        <f t="shared" si="4"/>
        <v>Y</v>
      </c>
      <c r="C696" s="6" t="s">
        <v>1689</v>
      </c>
      <c r="D696" s="327"/>
      <c r="E696" s="327" t="s">
        <v>1690</v>
      </c>
      <c r="F696" s="206" t="s">
        <v>1691</v>
      </c>
      <c r="G696" s="207" t="s">
        <v>1692</v>
      </c>
      <c r="H696" s="207">
        <v>43593</v>
      </c>
      <c r="K696" s="302">
        <v>8969048033</v>
      </c>
      <c r="M696" s="212"/>
      <c r="N696" s="213"/>
      <c r="O696" s="209"/>
    </row>
    <row r="697" spans="1:15" x14ac:dyDescent="0.3">
      <c r="A697" s="302" t="s">
        <v>155</v>
      </c>
      <c r="B697" s="302" t="str">
        <f t="shared" si="4"/>
        <v>Y</v>
      </c>
      <c r="C697" s="6" t="s">
        <v>1693</v>
      </c>
      <c r="D697" s="327"/>
      <c r="E697" s="327" t="s">
        <v>1634</v>
      </c>
      <c r="F697" s="206" t="s">
        <v>1635</v>
      </c>
      <c r="G697" s="207" t="s">
        <v>1694</v>
      </c>
      <c r="H697" s="207">
        <v>43596</v>
      </c>
      <c r="K697" s="302">
        <v>6200770418</v>
      </c>
      <c r="M697" s="212"/>
      <c r="N697" s="213"/>
      <c r="O697" s="209"/>
    </row>
    <row r="698" spans="1:15" x14ac:dyDescent="0.3">
      <c r="A698" s="302" t="s">
        <v>155</v>
      </c>
      <c r="B698" s="302" t="str">
        <f t="shared" si="4"/>
        <v>Y</v>
      </c>
      <c r="C698" s="6" t="s">
        <v>1695</v>
      </c>
      <c r="D698" s="327"/>
      <c r="E698" s="327" t="s">
        <v>1696</v>
      </c>
      <c r="F698" s="206" t="s">
        <v>1697</v>
      </c>
      <c r="G698" s="207">
        <v>43596</v>
      </c>
      <c r="H698" s="207">
        <v>43597</v>
      </c>
      <c r="K698" s="302">
        <v>7761054651</v>
      </c>
      <c r="M698" s="212"/>
      <c r="N698" s="213"/>
      <c r="O698" s="209"/>
    </row>
    <row r="699" spans="1:15" x14ac:dyDescent="0.3">
      <c r="A699" s="302" t="s">
        <v>155</v>
      </c>
      <c r="B699" s="302" t="str">
        <f t="shared" si="4"/>
        <v>Y</v>
      </c>
      <c r="C699" s="6" t="s">
        <v>1698</v>
      </c>
      <c r="D699" s="327"/>
      <c r="E699" s="327" t="s">
        <v>1699</v>
      </c>
      <c r="F699" s="206" t="s">
        <v>1700</v>
      </c>
      <c r="G699" s="207">
        <v>43596</v>
      </c>
      <c r="H699" s="207">
        <v>43597</v>
      </c>
      <c r="K699" s="302">
        <v>9234719769</v>
      </c>
      <c r="M699" s="212"/>
      <c r="N699" s="213"/>
      <c r="O699" s="209"/>
    </row>
    <row r="700" spans="1:15" x14ac:dyDescent="0.3">
      <c r="A700" s="302" t="s">
        <v>155</v>
      </c>
      <c r="B700" s="302" t="str">
        <f t="shared" si="4"/>
        <v>Y</v>
      </c>
      <c r="C700" s="6" t="s">
        <v>1701</v>
      </c>
      <c r="D700" s="327"/>
      <c r="E700" s="327" t="s">
        <v>242</v>
      </c>
      <c r="F700" s="206" t="s">
        <v>1702</v>
      </c>
      <c r="G700" s="207">
        <v>43597</v>
      </c>
      <c r="H700" s="207">
        <v>43597</v>
      </c>
      <c r="K700" s="302">
        <v>7367962621</v>
      </c>
      <c r="M700" s="212"/>
      <c r="N700" s="213"/>
      <c r="O700" s="209"/>
    </row>
    <row r="701" spans="1:15" x14ac:dyDescent="0.3">
      <c r="A701" s="302" t="s">
        <v>155</v>
      </c>
      <c r="B701" s="302" t="str">
        <f t="shared" si="4"/>
        <v>Y</v>
      </c>
      <c r="C701" s="6" t="s">
        <v>1703</v>
      </c>
      <c r="D701" s="327"/>
      <c r="E701" s="327" t="s">
        <v>1704</v>
      </c>
      <c r="F701" s="206" t="s">
        <v>1705</v>
      </c>
      <c r="G701" s="207">
        <v>43600</v>
      </c>
      <c r="H701" s="207">
        <v>43600</v>
      </c>
      <c r="K701" s="302">
        <v>6299479278</v>
      </c>
      <c r="M701" s="212"/>
      <c r="N701" s="213"/>
      <c r="O701" s="209"/>
    </row>
    <row r="702" spans="1:15" x14ac:dyDescent="0.3">
      <c r="A702" s="302" t="s">
        <v>155</v>
      </c>
      <c r="B702" s="302" t="str">
        <f t="shared" si="4"/>
        <v>Y</v>
      </c>
      <c r="C702" s="6" t="s">
        <v>1706</v>
      </c>
      <c r="D702" s="327"/>
      <c r="E702" s="327" t="s">
        <v>1707</v>
      </c>
      <c r="F702" s="206" t="s">
        <v>1708</v>
      </c>
      <c r="G702" s="207" t="s">
        <v>1709</v>
      </c>
      <c r="H702" s="207">
        <v>43601</v>
      </c>
      <c r="K702" s="302">
        <v>9431372599</v>
      </c>
      <c r="M702" s="212"/>
      <c r="N702" s="213"/>
      <c r="O702" s="209"/>
    </row>
    <row r="703" spans="1:15" x14ac:dyDescent="0.3">
      <c r="A703" s="302" t="s">
        <v>155</v>
      </c>
      <c r="B703" s="302" t="str">
        <f t="shared" si="4"/>
        <v>Y</v>
      </c>
      <c r="C703" s="6" t="s">
        <v>1710</v>
      </c>
      <c r="D703" s="327"/>
      <c r="E703" s="327" t="s">
        <v>1711</v>
      </c>
      <c r="F703" s="206" t="s">
        <v>1712</v>
      </c>
      <c r="G703" s="207">
        <v>43603</v>
      </c>
      <c r="H703" s="207">
        <v>43603</v>
      </c>
      <c r="K703" s="302">
        <v>7992390331</v>
      </c>
      <c r="M703" s="212"/>
      <c r="N703" s="213"/>
      <c r="O703" s="209"/>
    </row>
    <row r="704" spans="1:15" x14ac:dyDescent="0.3">
      <c r="A704" s="302" t="s">
        <v>155</v>
      </c>
      <c r="B704" s="302" t="str">
        <f t="shared" si="4"/>
        <v>Y</v>
      </c>
      <c r="C704" s="6" t="s">
        <v>1713</v>
      </c>
      <c r="D704" s="327"/>
      <c r="E704" s="327" t="s">
        <v>1714</v>
      </c>
      <c r="F704" s="206" t="s">
        <v>1715</v>
      </c>
      <c r="G704" s="207">
        <v>43605</v>
      </c>
      <c r="H704" s="207">
        <v>43605</v>
      </c>
      <c r="K704" s="302">
        <v>9204740259</v>
      </c>
      <c r="M704" s="212"/>
      <c r="N704" s="213"/>
      <c r="O704" s="209"/>
    </row>
    <row r="705" spans="1:15" x14ac:dyDescent="0.3">
      <c r="A705" s="302" t="s">
        <v>155</v>
      </c>
      <c r="B705" s="302" t="str">
        <f t="shared" si="4"/>
        <v>Y</v>
      </c>
      <c r="C705" s="6" t="s">
        <v>1716</v>
      </c>
      <c r="D705" s="327"/>
      <c r="E705" s="327" t="s">
        <v>1717</v>
      </c>
      <c r="F705" s="206" t="s">
        <v>1718</v>
      </c>
      <c r="G705" s="207">
        <v>43605</v>
      </c>
      <c r="H705" s="207">
        <v>43605</v>
      </c>
      <c r="K705" s="302">
        <v>7549019415</v>
      </c>
      <c r="M705" s="212"/>
      <c r="N705" s="213"/>
      <c r="O705" s="209"/>
    </row>
    <row r="706" spans="1:15" x14ac:dyDescent="0.3">
      <c r="A706" s="302" t="s">
        <v>155</v>
      </c>
      <c r="B706" s="302" t="str">
        <f t="shared" si="4"/>
        <v>Y</v>
      </c>
      <c r="C706" s="6" t="s">
        <v>1719</v>
      </c>
      <c r="D706" s="327"/>
      <c r="E706" s="327" t="s">
        <v>1720</v>
      </c>
      <c r="F706" s="206" t="s">
        <v>1721</v>
      </c>
      <c r="G706" s="207">
        <v>43607</v>
      </c>
      <c r="H706" s="207">
        <v>43607</v>
      </c>
      <c r="K706" s="302">
        <v>7762982223</v>
      </c>
      <c r="M706" s="212"/>
      <c r="N706" s="213"/>
      <c r="O706" s="209"/>
    </row>
    <row r="707" spans="1:15" x14ac:dyDescent="0.3">
      <c r="A707" s="302" t="s">
        <v>155</v>
      </c>
      <c r="B707" s="302" t="str">
        <f t="shared" si="4"/>
        <v>Y</v>
      </c>
      <c r="C707" s="6" t="s">
        <v>1722</v>
      </c>
      <c r="D707" s="327"/>
      <c r="E707" s="327" t="s">
        <v>1723</v>
      </c>
      <c r="F707" s="206" t="s">
        <v>1724</v>
      </c>
      <c r="G707" s="207">
        <v>43610</v>
      </c>
      <c r="H707" s="207">
        <v>43610</v>
      </c>
      <c r="K707" s="302">
        <v>7705916376</v>
      </c>
      <c r="L707" s="2" t="s">
        <v>1725</v>
      </c>
      <c r="M707" s="212"/>
      <c r="N707" s="213"/>
      <c r="O707" s="209"/>
    </row>
    <row r="708" spans="1:15" x14ac:dyDescent="0.3">
      <c r="A708" s="302" t="s">
        <v>155</v>
      </c>
      <c r="B708" s="302" t="str">
        <f t="shared" si="4"/>
        <v>Y</v>
      </c>
      <c r="C708" s="6" t="s">
        <v>1726</v>
      </c>
      <c r="D708" s="327"/>
      <c r="E708" s="327" t="s">
        <v>1727</v>
      </c>
      <c r="F708" s="206" t="s">
        <v>1728</v>
      </c>
      <c r="G708" s="207">
        <v>43614</v>
      </c>
      <c r="H708" s="207">
        <v>43614</v>
      </c>
      <c r="K708" s="302">
        <v>9572480341</v>
      </c>
      <c r="M708" s="212"/>
      <c r="N708" s="213"/>
      <c r="O708" s="209"/>
    </row>
    <row r="709" spans="1:15" x14ac:dyDescent="0.3">
      <c r="A709" s="302" t="s">
        <v>155</v>
      </c>
      <c r="B709" s="302" t="str">
        <f t="shared" si="4"/>
        <v>Y</v>
      </c>
      <c r="C709" s="6" t="s">
        <v>1729</v>
      </c>
      <c r="D709" s="327"/>
      <c r="E709" s="327" t="s">
        <v>1730</v>
      </c>
      <c r="F709" s="206" t="s">
        <v>1731</v>
      </c>
      <c r="G709" s="207">
        <v>43615</v>
      </c>
      <c r="H709" s="207">
        <v>43615</v>
      </c>
      <c r="K709" s="302">
        <v>9570103381</v>
      </c>
      <c r="M709" s="212"/>
      <c r="N709" s="213"/>
      <c r="O709" s="209"/>
    </row>
    <row r="710" spans="1:15" x14ac:dyDescent="0.3">
      <c r="A710" s="302" t="s">
        <v>155</v>
      </c>
      <c r="B710" s="302" t="str">
        <f t="shared" si="4"/>
        <v>Y</v>
      </c>
      <c r="C710" s="6" t="s">
        <v>1732</v>
      </c>
      <c r="D710" s="327"/>
      <c r="E710" s="327" t="s">
        <v>1733</v>
      </c>
      <c r="F710" s="206" t="s">
        <v>1734</v>
      </c>
      <c r="G710" s="207">
        <v>43615</v>
      </c>
      <c r="H710" s="207">
        <v>43615</v>
      </c>
      <c r="K710" s="302">
        <v>9934757692</v>
      </c>
      <c r="M710" s="212"/>
      <c r="N710" s="213"/>
      <c r="O710" s="209"/>
    </row>
    <row r="711" spans="1:15" x14ac:dyDescent="0.3">
      <c r="A711" s="302" t="s">
        <v>155</v>
      </c>
      <c r="B711" s="302" t="str">
        <f t="shared" si="4"/>
        <v>Y</v>
      </c>
      <c r="C711" s="6" t="s">
        <v>1735</v>
      </c>
      <c r="D711" s="327"/>
      <c r="E711" s="327" t="s">
        <v>1736</v>
      </c>
      <c r="F711" s="206" t="s">
        <v>1737</v>
      </c>
      <c r="G711" s="207">
        <v>43615</v>
      </c>
      <c r="H711" s="207">
        <v>43615</v>
      </c>
      <c r="K711" s="302">
        <v>9031789119</v>
      </c>
      <c r="M711" s="212"/>
      <c r="N711" s="213"/>
      <c r="O711" s="209"/>
    </row>
    <row r="712" spans="1:15" x14ac:dyDescent="0.3">
      <c r="A712" s="302" t="s">
        <v>155</v>
      </c>
      <c r="B712" s="302" t="str">
        <f t="shared" si="4"/>
        <v>Y</v>
      </c>
      <c r="C712" s="6" t="s">
        <v>1738</v>
      </c>
      <c r="D712" s="327"/>
      <c r="E712" s="327" t="s">
        <v>1739</v>
      </c>
      <c r="F712" s="206" t="s">
        <v>1740</v>
      </c>
      <c r="G712" s="207">
        <v>39964</v>
      </c>
      <c r="H712" s="207">
        <v>43616</v>
      </c>
      <c r="K712" s="302">
        <v>7368029936</v>
      </c>
      <c r="M712" s="212"/>
      <c r="N712" s="213"/>
      <c r="O712" s="209"/>
    </row>
    <row r="713" spans="1:15" x14ac:dyDescent="0.3">
      <c r="A713" s="302" t="s">
        <v>155</v>
      </c>
      <c r="B713" s="302" t="str">
        <f t="shared" si="4"/>
        <v>Y</v>
      </c>
      <c r="C713" s="6" t="s">
        <v>1741</v>
      </c>
      <c r="D713" s="327"/>
      <c r="E713" s="327" t="s">
        <v>1742</v>
      </c>
      <c r="F713" s="206" t="s">
        <v>1743</v>
      </c>
      <c r="G713" s="207" t="s">
        <v>1744</v>
      </c>
      <c r="H713" s="207">
        <v>43625</v>
      </c>
      <c r="K713" s="302">
        <v>9334623447</v>
      </c>
      <c r="M713" s="212"/>
      <c r="N713" s="213"/>
      <c r="O713" s="209"/>
    </row>
    <row r="714" spans="1:15" x14ac:dyDescent="0.3">
      <c r="A714" s="302" t="s">
        <v>155</v>
      </c>
      <c r="B714" s="302" t="str">
        <f t="shared" si="4"/>
        <v>Y</v>
      </c>
      <c r="C714" s="6" t="s">
        <v>1745</v>
      </c>
      <c r="D714" s="327"/>
      <c r="E714" s="327" t="s">
        <v>1746</v>
      </c>
      <c r="F714" s="206" t="s">
        <v>1747</v>
      </c>
      <c r="G714" s="207" t="s">
        <v>1744</v>
      </c>
      <c r="H714" s="207">
        <v>43625</v>
      </c>
      <c r="M714" s="212"/>
      <c r="N714" s="213"/>
      <c r="O714" s="209"/>
    </row>
    <row r="715" spans="1:15" x14ac:dyDescent="0.3">
      <c r="A715" s="302" t="s">
        <v>155</v>
      </c>
      <c r="B715" s="302" t="str">
        <f t="shared" si="4"/>
        <v>Y</v>
      </c>
      <c r="C715" s="6" t="s">
        <v>1748</v>
      </c>
      <c r="D715" s="327"/>
      <c r="E715" s="327" t="s">
        <v>1749</v>
      </c>
      <c r="F715" s="206" t="s">
        <v>1750</v>
      </c>
      <c r="G715" s="207" t="s">
        <v>1744</v>
      </c>
      <c r="H715" s="207">
        <v>43625</v>
      </c>
      <c r="K715" s="302">
        <v>8797055579</v>
      </c>
      <c r="M715" s="212"/>
      <c r="N715" s="213"/>
      <c r="O715" s="209"/>
    </row>
    <row r="716" spans="1:15" x14ac:dyDescent="0.3">
      <c r="A716" s="302" t="s">
        <v>155</v>
      </c>
      <c r="B716" s="302" t="str">
        <f t="shared" si="4"/>
        <v>Y</v>
      </c>
      <c r="C716" s="6" t="s">
        <v>1751</v>
      </c>
      <c r="D716" s="327"/>
      <c r="E716" s="327" t="s">
        <v>1752</v>
      </c>
      <c r="F716" s="206" t="s">
        <v>1753</v>
      </c>
      <c r="G716" s="207" t="s">
        <v>1754</v>
      </c>
      <c r="H716" s="207">
        <v>43627</v>
      </c>
      <c r="K716" s="302">
        <v>7209105356</v>
      </c>
      <c r="M716" s="212"/>
      <c r="N716" s="213"/>
      <c r="O716" s="209"/>
    </row>
    <row r="717" spans="1:15" x14ac:dyDescent="0.3">
      <c r="A717" s="302" t="s">
        <v>155</v>
      </c>
      <c r="B717" s="302" t="str">
        <f t="shared" si="4"/>
        <v>Y</v>
      </c>
      <c r="C717" s="6" t="s">
        <v>1755</v>
      </c>
      <c r="D717" s="327"/>
      <c r="E717" s="327" t="s">
        <v>1756</v>
      </c>
      <c r="F717" s="206" t="s">
        <v>1757</v>
      </c>
      <c r="G717" s="207" t="s">
        <v>1758</v>
      </c>
      <c r="H717" s="207">
        <v>43626</v>
      </c>
      <c r="M717" s="212"/>
      <c r="N717" s="213"/>
      <c r="O717" s="209"/>
    </row>
    <row r="718" spans="1:15" x14ac:dyDescent="0.3">
      <c r="A718" s="302" t="s">
        <v>155</v>
      </c>
      <c r="B718" s="302" t="str">
        <f t="shared" si="4"/>
        <v>Y</v>
      </c>
      <c r="C718" s="6" t="s">
        <v>1759</v>
      </c>
      <c r="D718" s="327"/>
      <c r="E718" s="327" t="s">
        <v>1760</v>
      </c>
      <c r="F718" s="206" t="s">
        <v>1539</v>
      </c>
      <c r="G718" s="207" t="s">
        <v>1761</v>
      </c>
      <c r="H718" s="207">
        <v>43628</v>
      </c>
      <c r="K718" s="302">
        <v>9835143179</v>
      </c>
      <c r="M718" s="212"/>
      <c r="N718" s="213"/>
      <c r="O718" s="209"/>
    </row>
    <row r="719" spans="1:15" x14ac:dyDescent="0.3">
      <c r="A719" s="302" t="s">
        <v>155</v>
      </c>
      <c r="B719" s="302" t="str">
        <f t="shared" si="4"/>
        <v>Y</v>
      </c>
      <c r="C719" s="6" t="s">
        <v>1762</v>
      </c>
      <c r="D719" s="327"/>
      <c r="E719" s="327" t="s">
        <v>1763</v>
      </c>
      <c r="F719" s="206" t="s">
        <v>1764</v>
      </c>
      <c r="G719" s="207" t="s">
        <v>1765</v>
      </c>
      <c r="H719" s="207">
        <v>43629</v>
      </c>
      <c r="K719" s="302">
        <v>8873381186</v>
      </c>
      <c r="M719" s="212"/>
      <c r="N719" s="213"/>
      <c r="O719" s="209"/>
    </row>
    <row r="720" spans="1:15" x14ac:dyDescent="0.3">
      <c r="A720" s="302">
        <v>90</v>
      </c>
      <c r="B720" s="302" t="str">
        <f t="shared" si="4"/>
        <v>Y</v>
      </c>
      <c r="C720" s="6" t="s">
        <v>1766</v>
      </c>
      <c r="D720" s="327"/>
      <c r="E720" s="327" t="s">
        <v>1767</v>
      </c>
      <c r="F720" s="206" t="s">
        <v>1768</v>
      </c>
      <c r="G720" s="207" t="s">
        <v>1769</v>
      </c>
      <c r="H720" s="207">
        <v>43634</v>
      </c>
      <c r="K720" s="302">
        <v>9570071444</v>
      </c>
      <c r="M720" s="212"/>
      <c r="N720" s="213"/>
      <c r="O720" s="209"/>
    </row>
    <row r="721" spans="1:15" x14ac:dyDescent="0.3">
      <c r="A721" s="302" t="s">
        <v>155</v>
      </c>
      <c r="B721" s="302" t="str">
        <f t="shared" si="4"/>
        <v>Y</v>
      </c>
      <c r="C721" s="457" t="s">
        <v>1770</v>
      </c>
      <c r="D721" s="335"/>
      <c r="E721" s="327" t="s">
        <v>1771</v>
      </c>
      <c r="F721" s="206" t="s">
        <v>1772</v>
      </c>
      <c r="G721" s="207" t="s">
        <v>1769</v>
      </c>
      <c r="H721" s="207">
        <v>43634</v>
      </c>
      <c r="K721" s="302">
        <v>8434145500</v>
      </c>
      <c r="M721" s="212"/>
      <c r="N721" s="213"/>
      <c r="O721" s="209"/>
    </row>
    <row r="722" spans="1:15" x14ac:dyDescent="0.3">
      <c r="A722" s="302" t="s">
        <v>155</v>
      </c>
      <c r="B722" s="302" t="str">
        <f t="shared" si="4"/>
        <v>Y</v>
      </c>
      <c r="C722" s="6" t="s">
        <v>1773</v>
      </c>
      <c r="D722" s="327"/>
      <c r="E722" s="327" t="s">
        <v>1774</v>
      </c>
      <c r="F722" s="206" t="s">
        <v>1775</v>
      </c>
      <c r="G722" s="207" t="s">
        <v>1776</v>
      </c>
      <c r="H722" s="207">
        <v>43634</v>
      </c>
      <c r="K722" s="302">
        <v>9122497600</v>
      </c>
      <c r="M722" s="212"/>
      <c r="N722" s="213"/>
      <c r="O722" s="209"/>
    </row>
    <row r="723" spans="1:15" x14ac:dyDescent="0.3">
      <c r="A723" s="302" t="s">
        <v>155</v>
      </c>
      <c r="B723" s="302" t="str">
        <f t="shared" si="4"/>
        <v>Y</v>
      </c>
      <c r="C723" s="460" t="s">
        <v>1777</v>
      </c>
      <c r="D723" s="337"/>
      <c r="E723" s="327" t="s">
        <v>1778</v>
      </c>
      <c r="F723" s="206" t="s">
        <v>1779</v>
      </c>
      <c r="G723" s="207" t="s">
        <v>1776</v>
      </c>
      <c r="H723" s="207">
        <v>43634</v>
      </c>
      <c r="K723" s="302">
        <v>7209282682</v>
      </c>
      <c r="M723" s="212"/>
      <c r="N723" s="213"/>
      <c r="O723" s="209"/>
    </row>
    <row r="724" spans="1:15" x14ac:dyDescent="0.3">
      <c r="A724" s="302" t="s">
        <v>155</v>
      </c>
      <c r="B724" s="302" t="str">
        <f t="shared" si="4"/>
        <v>Y</v>
      </c>
      <c r="C724" s="455" t="s">
        <v>1780</v>
      </c>
      <c r="D724" s="333"/>
      <c r="E724" s="327" t="s">
        <v>1781</v>
      </c>
      <c r="F724" s="206" t="s">
        <v>1782</v>
      </c>
      <c r="G724" s="207" t="s">
        <v>1776</v>
      </c>
      <c r="H724" s="207">
        <v>43634</v>
      </c>
      <c r="K724" s="302">
        <v>7488943906</v>
      </c>
      <c r="M724" s="212"/>
      <c r="N724" s="213"/>
      <c r="O724" s="209"/>
    </row>
    <row r="725" spans="1:15" x14ac:dyDescent="0.3">
      <c r="A725" s="302" t="s">
        <v>155</v>
      </c>
      <c r="B725" s="302" t="str">
        <f t="shared" si="4"/>
        <v>Y</v>
      </c>
      <c r="C725" s="6" t="s">
        <v>1783</v>
      </c>
      <c r="D725" s="327"/>
      <c r="E725" s="327" t="s">
        <v>1784</v>
      </c>
      <c r="F725" s="206" t="s">
        <v>1785</v>
      </c>
      <c r="G725" s="207" t="s">
        <v>1786</v>
      </c>
      <c r="H725" s="207">
        <v>43634</v>
      </c>
      <c r="K725" s="302">
        <v>9801346791</v>
      </c>
      <c r="M725" s="212"/>
      <c r="N725" s="213"/>
      <c r="O725" s="209"/>
    </row>
    <row r="726" spans="1:15" x14ac:dyDescent="0.3">
      <c r="A726" s="302" t="s">
        <v>155</v>
      </c>
      <c r="B726" s="302" t="str">
        <f t="shared" si="4"/>
        <v>Y</v>
      </c>
      <c r="C726" s="6" t="s">
        <v>1787</v>
      </c>
      <c r="D726" s="327"/>
      <c r="E726" s="327" t="s">
        <v>1788</v>
      </c>
      <c r="F726" s="206" t="s">
        <v>1789</v>
      </c>
      <c r="G726" s="207" t="s">
        <v>1786</v>
      </c>
      <c r="H726" s="207">
        <v>43634</v>
      </c>
      <c r="K726" s="302">
        <v>9546438478</v>
      </c>
      <c r="M726" s="212"/>
      <c r="N726" s="213"/>
      <c r="O726" s="209"/>
    </row>
    <row r="727" spans="1:15" x14ac:dyDescent="0.3">
      <c r="A727" s="302" t="s">
        <v>155</v>
      </c>
      <c r="B727" s="302" t="str">
        <f t="shared" si="4"/>
        <v>Y</v>
      </c>
      <c r="C727" s="6" t="s">
        <v>1790</v>
      </c>
      <c r="D727" s="327"/>
      <c r="E727" s="327" t="s">
        <v>1791</v>
      </c>
      <c r="F727" s="206" t="s">
        <v>1792</v>
      </c>
      <c r="G727" s="207" t="s">
        <v>1793</v>
      </c>
      <c r="H727" s="207">
        <v>43544</v>
      </c>
      <c r="K727" s="302">
        <v>8860615958</v>
      </c>
      <c r="M727" s="212"/>
      <c r="N727" s="213"/>
      <c r="O727" s="209"/>
    </row>
    <row r="728" spans="1:15" x14ac:dyDescent="0.3">
      <c r="A728" s="302" t="s">
        <v>155</v>
      </c>
      <c r="B728" s="302" t="str">
        <f t="shared" si="4"/>
        <v>Y</v>
      </c>
      <c r="C728" s="6" t="s">
        <v>1794</v>
      </c>
      <c r="D728" s="327"/>
      <c r="E728" s="327" t="s">
        <v>1795</v>
      </c>
      <c r="F728" s="206" t="s">
        <v>1796</v>
      </c>
      <c r="G728" s="207" t="s">
        <v>1797</v>
      </c>
      <c r="H728" s="207">
        <v>43546</v>
      </c>
      <c r="K728" s="302">
        <v>7261033793</v>
      </c>
      <c r="M728" s="212"/>
      <c r="N728" s="213"/>
      <c r="O728" s="209"/>
    </row>
    <row r="729" spans="1:15" x14ac:dyDescent="0.3">
      <c r="A729" s="302" t="s">
        <v>155</v>
      </c>
      <c r="B729" s="302" t="str">
        <f t="shared" si="4"/>
        <v>Y</v>
      </c>
      <c r="C729" s="6" t="s">
        <v>1798</v>
      </c>
      <c r="D729" s="327"/>
      <c r="E729" s="327" t="s">
        <v>1799</v>
      </c>
      <c r="F729" s="206" t="s">
        <v>1800</v>
      </c>
      <c r="G729" s="207" t="s">
        <v>1801</v>
      </c>
      <c r="H729" s="207">
        <v>43642</v>
      </c>
      <c r="K729" s="302">
        <v>8789678947</v>
      </c>
      <c r="M729" s="212"/>
      <c r="N729" s="213"/>
      <c r="O729" s="209"/>
    </row>
    <row r="730" spans="1:15" x14ac:dyDescent="0.3">
      <c r="A730" s="302" t="s">
        <v>155</v>
      </c>
      <c r="B730" s="302" t="str">
        <f t="shared" si="4"/>
        <v>Y</v>
      </c>
      <c r="C730" s="6" t="s">
        <v>1802</v>
      </c>
      <c r="D730" s="327"/>
      <c r="E730" s="327" t="s">
        <v>1803</v>
      </c>
      <c r="F730" s="206" t="s">
        <v>1804</v>
      </c>
      <c r="G730" s="207" t="s">
        <v>1801</v>
      </c>
      <c r="H730" s="207">
        <v>43642</v>
      </c>
      <c r="K730" s="302">
        <v>8092329834</v>
      </c>
      <c r="M730" s="212"/>
      <c r="N730" s="213"/>
      <c r="O730" s="209"/>
    </row>
    <row r="731" spans="1:15" x14ac:dyDescent="0.3">
      <c r="A731" s="302" t="s">
        <v>155</v>
      </c>
      <c r="B731" s="302" t="str">
        <f t="shared" si="4"/>
        <v>Y</v>
      </c>
      <c r="C731" s="455" t="s">
        <v>1805</v>
      </c>
      <c r="D731" s="333"/>
      <c r="E731" s="327" t="s">
        <v>1806</v>
      </c>
      <c r="F731" s="206" t="s">
        <v>1807</v>
      </c>
      <c r="G731" s="207" t="s">
        <v>1808</v>
      </c>
      <c r="H731" s="207">
        <v>43644</v>
      </c>
      <c r="K731" s="302">
        <v>9931096336</v>
      </c>
      <c r="M731" s="212"/>
      <c r="N731" s="213"/>
      <c r="O731" s="209"/>
    </row>
    <row r="732" spans="1:15" x14ac:dyDescent="0.3">
      <c r="A732" s="302" t="s">
        <v>155</v>
      </c>
      <c r="B732" s="302" t="str">
        <f t="shared" si="4"/>
        <v>Y</v>
      </c>
      <c r="C732" s="6" t="s">
        <v>1809</v>
      </c>
      <c r="D732" s="327"/>
      <c r="E732" s="327" t="s">
        <v>1810</v>
      </c>
      <c r="F732" s="206" t="s">
        <v>1811</v>
      </c>
      <c r="G732" s="207" t="s">
        <v>1808</v>
      </c>
      <c r="H732" s="207">
        <v>43644</v>
      </c>
      <c r="K732" s="302">
        <v>9431702979</v>
      </c>
      <c r="M732" s="212"/>
      <c r="N732" s="213"/>
      <c r="O732" s="209"/>
    </row>
    <row r="733" spans="1:15" x14ac:dyDescent="0.3">
      <c r="A733" s="302" t="s">
        <v>155</v>
      </c>
      <c r="B733" s="302" t="str">
        <f t="shared" si="4"/>
        <v>Y</v>
      </c>
      <c r="C733" s="6" t="s">
        <v>1812</v>
      </c>
      <c r="D733" s="327"/>
      <c r="E733" s="327" t="s">
        <v>1813</v>
      </c>
      <c r="F733" s="206" t="s">
        <v>1814</v>
      </c>
      <c r="G733" s="207" t="s">
        <v>1808</v>
      </c>
      <c r="H733" s="207">
        <v>43644</v>
      </c>
      <c r="K733" s="302">
        <v>7765917895</v>
      </c>
      <c r="M733" s="212"/>
      <c r="N733" s="213"/>
      <c r="O733" s="209"/>
    </row>
    <row r="734" spans="1:15" x14ac:dyDescent="0.3">
      <c r="A734" s="302" t="s">
        <v>155</v>
      </c>
      <c r="B734" s="302" t="str">
        <f t="shared" si="4"/>
        <v>Y</v>
      </c>
      <c r="C734" s="6" t="s">
        <v>1815</v>
      </c>
      <c r="D734" s="327"/>
      <c r="E734" s="327" t="s">
        <v>1816</v>
      </c>
      <c r="F734" s="206" t="s">
        <v>1548</v>
      </c>
      <c r="G734" s="207" t="s">
        <v>1808</v>
      </c>
      <c r="H734" s="207">
        <v>43644</v>
      </c>
      <c r="K734" s="302">
        <v>8809429452</v>
      </c>
      <c r="M734" s="212"/>
      <c r="N734" s="213"/>
      <c r="O734" s="209"/>
    </row>
    <row r="735" spans="1:15" x14ac:dyDescent="0.3">
      <c r="A735" s="302" t="s">
        <v>155</v>
      </c>
      <c r="B735" s="302" t="str">
        <f t="shared" si="4"/>
        <v>Y</v>
      </c>
      <c r="C735" s="6" t="s">
        <v>1817</v>
      </c>
      <c r="D735" s="327"/>
      <c r="E735" s="327" t="s">
        <v>1818</v>
      </c>
      <c r="F735" s="206" t="s">
        <v>1819</v>
      </c>
      <c r="G735" s="207" t="s">
        <v>1820</v>
      </c>
      <c r="H735" s="207">
        <v>43646</v>
      </c>
      <c r="K735" s="302">
        <v>7895898001</v>
      </c>
      <c r="M735" s="212"/>
      <c r="N735" s="213"/>
      <c r="O735" s="209"/>
    </row>
    <row r="736" spans="1:15" x14ac:dyDescent="0.3">
      <c r="A736" s="302" t="s">
        <v>155</v>
      </c>
      <c r="B736" s="302" t="str">
        <f t="shared" si="4"/>
        <v>Y</v>
      </c>
      <c r="C736" s="6" t="s">
        <v>1821</v>
      </c>
      <c r="D736" s="327"/>
      <c r="E736" s="327" t="s">
        <v>1822</v>
      </c>
      <c r="F736" s="206" t="s">
        <v>1823</v>
      </c>
      <c r="G736" s="207" t="s">
        <v>1824</v>
      </c>
      <c r="H736" s="207">
        <v>43648</v>
      </c>
      <c r="K736" s="302">
        <v>7295941214</v>
      </c>
      <c r="M736" s="212"/>
      <c r="N736" s="213"/>
      <c r="O736" s="209"/>
    </row>
    <row r="737" spans="1:15" x14ac:dyDescent="0.3">
      <c r="A737" s="302" t="s">
        <v>155</v>
      </c>
      <c r="B737" s="302" t="str">
        <f t="shared" si="4"/>
        <v>Y</v>
      </c>
      <c r="C737" s="6" t="s">
        <v>1825</v>
      </c>
      <c r="D737" s="327"/>
      <c r="E737" s="327" t="s">
        <v>1564</v>
      </c>
      <c r="F737" s="206" t="s">
        <v>1565</v>
      </c>
      <c r="G737" s="207" t="s">
        <v>1824</v>
      </c>
      <c r="H737" s="207">
        <v>43648</v>
      </c>
      <c r="K737" s="302">
        <v>7549079447</v>
      </c>
      <c r="M737" s="212"/>
      <c r="N737" s="213"/>
      <c r="O737" s="209"/>
    </row>
    <row r="738" spans="1:15" x14ac:dyDescent="0.3">
      <c r="A738" s="302" t="s">
        <v>155</v>
      </c>
      <c r="B738" s="302" t="str">
        <f t="shared" si="4"/>
        <v>Y</v>
      </c>
      <c r="C738" s="6" t="s">
        <v>1826</v>
      </c>
      <c r="D738" s="327"/>
      <c r="E738" s="327" t="s">
        <v>1827</v>
      </c>
      <c r="F738" s="206" t="s">
        <v>1828</v>
      </c>
      <c r="G738" s="207" t="s">
        <v>1829</v>
      </c>
      <c r="H738" s="207">
        <v>43651</v>
      </c>
      <c r="K738" s="302">
        <v>7209994825</v>
      </c>
      <c r="M738" s="212"/>
      <c r="N738" s="213"/>
      <c r="O738" s="209"/>
    </row>
    <row r="739" spans="1:15" x14ac:dyDescent="0.3">
      <c r="A739" s="302" t="s">
        <v>155</v>
      </c>
      <c r="B739" s="302" t="str">
        <f t="shared" si="4"/>
        <v>Y</v>
      </c>
      <c r="C739" s="6" t="s">
        <v>1830</v>
      </c>
      <c r="D739" s="327"/>
      <c r="E739" s="327" t="s">
        <v>1831</v>
      </c>
      <c r="F739" s="206" t="s">
        <v>1832</v>
      </c>
      <c r="G739" s="207">
        <v>43650</v>
      </c>
      <c r="H739" s="207">
        <v>43651</v>
      </c>
      <c r="K739" s="302">
        <v>9608830368</v>
      </c>
      <c r="M739" s="212"/>
      <c r="N739" s="213"/>
      <c r="O739" s="209"/>
    </row>
    <row r="740" spans="1:15" x14ac:dyDescent="0.3">
      <c r="A740" s="302" t="s">
        <v>155</v>
      </c>
      <c r="B740" s="302" t="str">
        <f t="shared" si="4"/>
        <v>Y</v>
      </c>
      <c r="C740" s="6" t="s">
        <v>1833</v>
      </c>
      <c r="D740" s="327"/>
      <c r="E740" s="327" t="s">
        <v>1834</v>
      </c>
      <c r="F740" s="206" t="s">
        <v>1835</v>
      </c>
      <c r="G740" s="207">
        <v>43651</v>
      </c>
      <c r="H740" s="207">
        <v>43651</v>
      </c>
      <c r="K740" s="302">
        <v>8210587870</v>
      </c>
      <c r="M740" s="212"/>
      <c r="N740" s="213"/>
      <c r="O740" s="209"/>
    </row>
    <row r="741" spans="1:15" x14ac:dyDescent="0.3">
      <c r="A741" s="302" t="s">
        <v>155</v>
      </c>
      <c r="B741" s="302" t="str">
        <f t="shared" si="4"/>
        <v>Y</v>
      </c>
      <c r="C741" s="6" t="s">
        <v>1836</v>
      </c>
      <c r="D741" s="327"/>
      <c r="E741" s="327" t="s">
        <v>1837</v>
      </c>
      <c r="F741" s="206" t="s">
        <v>1838</v>
      </c>
      <c r="G741" s="207" t="s">
        <v>1839</v>
      </c>
      <c r="H741" s="207">
        <v>43654</v>
      </c>
      <c r="K741" s="302">
        <v>9397021528</v>
      </c>
      <c r="M741" s="212"/>
      <c r="N741" s="213"/>
      <c r="O741" s="209"/>
    </row>
    <row r="742" spans="1:15" x14ac:dyDescent="0.3">
      <c r="A742" s="302" t="s">
        <v>155</v>
      </c>
      <c r="B742" s="302" t="str">
        <f t="shared" si="4"/>
        <v>Y</v>
      </c>
      <c r="C742" s="6" t="s">
        <v>1840</v>
      </c>
      <c r="D742" s="327"/>
      <c r="E742" s="327" t="s">
        <v>1841</v>
      </c>
      <c r="F742" s="206" t="s">
        <v>1842</v>
      </c>
      <c r="G742" s="207" t="s">
        <v>1839</v>
      </c>
      <c r="H742" s="207">
        <v>43654</v>
      </c>
      <c r="K742" s="302">
        <v>9397021528</v>
      </c>
      <c r="M742" s="212"/>
      <c r="N742" s="213"/>
      <c r="O742" s="209"/>
    </row>
    <row r="743" spans="1:15" x14ac:dyDescent="0.3">
      <c r="A743" s="302" t="s">
        <v>155</v>
      </c>
      <c r="B743" s="302" t="str">
        <f t="shared" si="4"/>
        <v>Y</v>
      </c>
      <c r="C743" s="6" t="s">
        <v>1843</v>
      </c>
      <c r="D743" s="327"/>
      <c r="E743" s="327" t="s">
        <v>1844</v>
      </c>
      <c r="F743" s="206" t="s">
        <v>1845</v>
      </c>
      <c r="G743" s="207" t="s">
        <v>1839</v>
      </c>
      <c r="H743" s="207">
        <v>43654</v>
      </c>
      <c r="K743" s="302">
        <v>9304588126</v>
      </c>
      <c r="L743" s="2" t="s">
        <v>1846</v>
      </c>
      <c r="M743" s="212"/>
      <c r="N743" s="213"/>
      <c r="O743" s="209"/>
    </row>
    <row r="744" spans="1:15" x14ac:dyDescent="0.3">
      <c r="A744" s="225" t="s">
        <v>155</v>
      </c>
      <c r="B744" s="225" t="str">
        <f t="shared" si="4"/>
        <v>Y</v>
      </c>
      <c r="C744" s="453" t="s">
        <v>1847</v>
      </c>
      <c r="D744" s="331"/>
      <c r="E744" s="331" t="s">
        <v>1848</v>
      </c>
      <c r="F744" s="227" t="s">
        <v>1849</v>
      </c>
      <c r="G744" s="228">
        <v>43654</v>
      </c>
      <c r="H744" s="228">
        <v>43654</v>
      </c>
      <c r="I744" s="226"/>
      <c r="J744" s="226"/>
      <c r="K744" s="225">
        <v>9204787976</v>
      </c>
      <c r="L744" s="226" t="s">
        <v>1850</v>
      </c>
      <c r="M744" s="212" t="s">
        <v>1851</v>
      </c>
      <c r="N744" s="213"/>
      <c r="O744" s="209"/>
    </row>
    <row r="745" spans="1:15" x14ac:dyDescent="0.3">
      <c r="A745" s="302" t="s">
        <v>155</v>
      </c>
      <c r="B745" s="302" t="str">
        <f t="shared" si="4"/>
        <v>Y</v>
      </c>
      <c r="C745" s="6" t="s">
        <v>1852</v>
      </c>
      <c r="D745" s="327"/>
      <c r="E745" s="327" t="s">
        <v>1853</v>
      </c>
      <c r="F745" s="206" t="s">
        <v>1854</v>
      </c>
      <c r="G745" s="207">
        <v>43654</v>
      </c>
      <c r="H745" s="207">
        <v>43654</v>
      </c>
      <c r="K745" s="302">
        <v>6203948212</v>
      </c>
      <c r="M745" s="212"/>
      <c r="N745" s="213"/>
      <c r="O745" s="209"/>
    </row>
    <row r="746" spans="1:15" x14ac:dyDescent="0.3">
      <c r="A746" s="302" t="s">
        <v>33</v>
      </c>
      <c r="B746" s="302" t="str">
        <f t="shared" si="4"/>
        <v>N</v>
      </c>
      <c r="C746" s="455" t="s">
        <v>1855</v>
      </c>
      <c r="D746" s="333"/>
      <c r="E746" s="327" t="s">
        <v>1856</v>
      </c>
      <c r="F746" s="206" t="s">
        <v>1857</v>
      </c>
      <c r="G746" s="207" t="s">
        <v>1858</v>
      </c>
      <c r="H746" s="302"/>
      <c r="K746" s="302">
        <v>8797122911</v>
      </c>
      <c r="M746" s="212"/>
      <c r="N746" s="213"/>
      <c r="O746" s="209"/>
    </row>
    <row r="747" spans="1:15" x14ac:dyDescent="0.3">
      <c r="A747" s="302" t="s">
        <v>33</v>
      </c>
      <c r="B747" s="302" t="str">
        <f t="shared" si="4"/>
        <v>Y</v>
      </c>
      <c r="C747" s="6" t="s">
        <v>1859</v>
      </c>
      <c r="D747" s="327"/>
      <c r="E747" s="327" t="s">
        <v>1860</v>
      </c>
      <c r="F747" s="206" t="s">
        <v>1861</v>
      </c>
      <c r="G747" s="207" t="s">
        <v>1862</v>
      </c>
      <c r="H747" s="207">
        <v>43657</v>
      </c>
      <c r="K747" s="302">
        <v>9102091606</v>
      </c>
      <c r="M747" s="212"/>
      <c r="N747" s="213"/>
      <c r="O747" s="209"/>
    </row>
    <row r="748" spans="1:15" x14ac:dyDescent="0.3">
      <c r="A748" s="302" t="s">
        <v>33</v>
      </c>
      <c r="B748" s="302" t="str">
        <f t="shared" si="4"/>
        <v>Y</v>
      </c>
      <c r="C748" s="6" t="s">
        <v>1863</v>
      </c>
      <c r="D748" s="327"/>
      <c r="E748" s="327" t="s">
        <v>1864</v>
      </c>
      <c r="F748" s="206" t="s">
        <v>1865</v>
      </c>
      <c r="G748" s="207" t="s">
        <v>1862</v>
      </c>
      <c r="H748" s="207">
        <v>43657</v>
      </c>
      <c r="K748" s="302">
        <v>6201737324</v>
      </c>
      <c r="M748" s="212"/>
      <c r="N748" s="213"/>
      <c r="O748" s="209"/>
    </row>
    <row r="749" spans="1:15" x14ac:dyDescent="0.3">
      <c r="A749" s="302" t="s">
        <v>33</v>
      </c>
      <c r="B749" s="302" t="str">
        <f t="shared" si="4"/>
        <v>Y</v>
      </c>
      <c r="C749" s="6" t="s">
        <v>1866</v>
      </c>
      <c r="D749" s="327"/>
      <c r="E749" s="327" t="s">
        <v>1867</v>
      </c>
      <c r="F749" s="206" t="s">
        <v>1868</v>
      </c>
      <c r="G749" s="207" t="s">
        <v>1862</v>
      </c>
      <c r="H749" s="207">
        <v>43657</v>
      </c>
      <c r="K749" s="302">
        <v>7070921714</v>
      </c>
      <c r="M749" s="212"/>
      <c r="N749" s="213"/>
      <c r="O749" s="209"/>
    </row>
    <row r="750" spans="1:15" x14ac:dyDescent="0.3">
      <c r="A750" s="302" t="s">
        <v>33</v>
      </c>
      <c r="B750" s="302" t="str">
        <f t="shared" si="4"/>
        <v>Y</v>
      </c>
      <c r="C750" s="455" t="s">
        <v>1869</v>
      </c>
      <c r="D750" s="333"/>
      <c r="E750" s="327" t="s">
        <v>1870</v>
      </c>
      <c r="F750" s="206" t="s">
        <v>1871</v>
      </c>
      <c r="G750" s="207" t="s">
        <v>1862</v>
      </c>
      <c r="H750" s="207">
        <v>43658</v>
      </c>
      <c r="K750" s="302">
        <v>7995728673</v>
      </c>
      <c r="M750" s="212"/>
      <c r="N750" s="213"/>
      <c r="O750" s="209"/>
    </row>
    <row r="751" spans="1:15" x14ac:dyDescent="0.3">
      <c r="A751" s="302" t="s">
        <v>33</v>
      </c>
      <c r="B751" s="302" t="str">
        <f t="shared" si="4"/>
        <v>Y</v>
      </c>
      <c r="C751" s="455" t="s">
        <v>1872</v>
      </c>
      <c r="D751" s="333"/>
      <c r="E751" s="327" t="s">
        <v>1223</v>
      </c>
      <c r="F751" s="206" t="s">
        <v>1861</v>
      </c>
      <c r="G751" s="207" t="s">
        <v>1862</v>
      </c>
      <c r="H751" s="207">
        <v>43658</v>
      </c>
      <c r="K751" s="302">
        <v>9931721425</v>
      </c>
      <c r="M751" s="212"/>
      <c r="N751" s="213"/>
      <c r="O751" s="209"/>
    </row>
    <row r="752" spans="1:15" x14ac:dyDescent="0.3">
      <c r="A752" s="302" t="s">
        <v>33</v>
      </c>
      <c r="B752" s="302" t="str">
        <f t="shared" si="4"/>
        <v>Y</v>
      </c>
      <c r="C752" s="6" t="s">
        <v>1873</v>
      </c>
      <c r="D752" s="327"/>
      <c r="E752" s="327" t="s">
        <v>1874</v>
      </c>
      <c r="F752" s="206" t="s">
        <v>1875</v>
      </c>
      <c r="G752" s="207">
        <v>43658</v>
      </c>
      <c r="H752" s="207">
        <v>43658</v>
      </c>
      <c r="K752" s="302">
        <v>8582011500</v>
      </c>
      <c r="M752" s="212"/>
      <c r="N752" s="213"/>
      <c r="O752" s="209"/>
    </row>
    <row r="753" spans="1:15" x14ac:dyDescent="0.3">
      <c r="A753" s="302" t="s">
        <v>33</v>
      </c>
      <c r="B753" s="302" t="str">
        <f t="shared" si="4"/>
        <v>Y</v>
      </c>
      <c r="C753" s="6" t="s">
        <v>1876</v>
      </c>
      <c r="D753" s="327"/>
      <c r="E753" s="327" t="s">
        <v>1877</v>
      </c>
      <c r="F753" s="206" t="s">
        <v>1878</v>
      </c>
      <c r="G753" s="207">
        <v>43658</v>
      </c>
      <c r="H753" s="207">
        <v>43658</v>
      </c>
      <c r="K753" s="302">
        <v>7978932230</v>
      </c>
      <c r="M753" s="212"/>
      <c r="N753" s="213"/>
      <c r="O753" s="209"/>
    </row>
    <row r="754" spans="1:15" x14ac:dyDescent="0.3">
      <c r="A754" s="302" t="s">
        <v>33</v>
      </c>
      <c r="B754" s="302" t="str">
        <f t="shared" si="4"/>
        <v>Y</v>
      </c>
      <c r="C754" s="6" t="s">
        <v>1879</v>
      </c>
      <c r="D754" s="327"/>
      <c r="E754" s="327" t="s">
        <v>1880</v>
      </c>
      <c r="F754" s="206" t="s">
        <v>1881</v>
      </c>
      <c r="G754" s="207" t="s">
        <v>1882</v>
      </c>
      <c r="H754" s="207">
        <v>43670</v>
      </c>
      <c r="K754" s="302">
        <v>9334340626</v>
      </c>
      <c r="M754" s="212"/>
      <c r="N754" s="213"/>
      <c r="O754" s="209"/>
    </row>
    <row r="755" spans="1:15" x14ac:dyDescent="0.3">
      <c r="A755" s="302" t="s">
        <v>33</v>
      </c>
      <c r="B755" s="302" t="str">
        <f t="shared" si="4"/>
        <v>Y</v>
      </c>
      <c r="C755" s="6" t="s">
        <v>1883</v>
      </c>
      <c r="D755" s="327"/>
      <c r="E755" s="327" t="s">
        <v>1884</v>
      </c>
      <c r="F755" s="206" t="s">
        <v>1885</v>
      </c>
      <c r="G755" s="207">
        <v>43661</v>
      </c>
      <c r="H755" s="207">
        <v>43661</v>
      </c>
      <c r="K755" s="302">
        <v>9102977767</v>
      </c>
      <c r="M755" s="212"/>
      <c r="N755" s="213"/>
      <c r="O755" s="209"/>
    </row>
    <row r="756" spans="1:15" x14ac:dyDescent="0.3">
      <c r="A756" s="302" t="s">
        <v>33</v>
      </c>
      <c r="B756" s="302" t="str">
        <f t="shared" si="4"/>
        <v>Y</v>
      </c>
      <c r="C756" s="6" t="s">
        <v>1886</v>
      </c>
      <c r="D756" s="327"/>
      <c r="E756" s="327" t="s">
        <v>1887</v>
      </c>
      <c r="F756" s="206" t="s">
        <v>1888</v>
      </c>
      <c r="G756" s="207">
        <v>43663</v>
      </c>
      <c r="H756" s="207">
        <v>43665</v>
      </c>
      <c r="K756" s="302">
        <v>9006840263</v>
      </c>
      <c r="M756" s="212"/>
      <c r="N756" s="213"/>
      <c r="O756" s="209"/>
    </row>
    <row r="757" spans="1:15" x14ac:dyDescent="0.3">
      <c r="A757" s="302" t="s">
        <v>33</v>
      </c>
      <c r="B757" s="302" t="str">
        <f t="shared" si="4"/>
        <v>Y</v>
      </c>
      <c r="C757" s="6" t="s">
        <v>1889</v>
      </c>
      <c r="D757" s="327"/>
      <c r="E757" s="327" t="s">
        <v>1890</v>
      </c>
      <c r="F757" s="206" t="s">
        <v>1469</v>
      </c>
      <c r="G757" s="207">
        <v>43664</v>
      </c>
      <c r="H757" s="207">
        <v>43665</v>
      </c>
      <c r="K757" s="302">
        <v>7543990440</v>
      </c>
      <c r="M757" s="212"/>
      <c r="N757" s="213"/>
      <c r="O757" s="209"/>
    </row>
    <row r="758" spans="1:15" x14ac:dyDescent="0.3">
      <c r="A758" s="302" t="s">
        <v>33</v>
      </c>
      <c r="B758" s="302" t="str">
        <f t="shared" si="4"/>
        <v>Y</v>
      </c>
      <c r="C758" s="455" t="s">
        <v>1891</v>
      </c>
      <c r="D758" s="333"/>
      <c r="E758" s="327" t="s">
        <v>1892</v>
      </c>
      <c r="F758" s="206" t="s">
        <v>1893</v>
      </c>
      <c r="G758" s="207">
        <v>43665</v>
      </c>
      <c r="H758" s="207">
        <v>43665</v>
      </c>
      <c r="K758" s="302">
        <v>8809544365</v>
      </c>
      <c r="M758" s="212"/>
      <c r="N758" s="213"/>
      <c r="O758" s="209"/>
    </row>
    <row r="759" spans="1:15" x14ac:dyDescent="0.3">
      <c r="A759" s="302" t="s">
        <v>33</v>
      </c>
      <c r="B759" s="302" t="str">
        <f t="shared" si="4"/>
        <v>Y</v>
      </c>
      <c r="C759" s="455" t="s">
        <v>1894</v>
      </c>
      <c r="D759" s="333"/>
      <c r="E759" s="327" t="s">
        <v>1895</v>
      </c>
      <c r="F759" s="206" t="s">
        <v>1868</v>
      </c>
      <c r="G759" s="207">
        <v>43666</v>
      </c>
      <c r="H759" s="207">
        <v>43666</v>
      </c>
      <c r="K759" s="302">
        <v>7779945910</v>
      </c>
      <c r="M759" s="212"/>
      <c r="N759" s="213"/>
      <c r="O759" s="209"/>
    </row>
    <row r="760" spans="1:15" x14ac:dyDescent="0.3">
      <c r="A760" s="302" t="s">
        <v>33</v>
      </c>
      <c r="B760" s="302" t="str">
        <f t="shared" si="4"/>
        <v>Y</v>
      </c>
      <c r="C760" s="6" t="s">
        <v>1896</v>
      </c>
      <c r="D760" s="327"/>
      <c r="E760" s="327" t="s">
        <v>1897</v>
      </c>
      <c r="F760" s="206" t="s">
        <v>1898</v>
      </c>
      <c r="G760" s="207">
        <v>43666</v>
      </c>
      <c r="H760" s="207">
        <v>43666</v>
      </c>
      <c r="K760" s="302">
        <v>9708679279</v>
      </c>
      <c r="M760" s="212"/>
      <c r="N760" s="213"/>
      <c r="O760" s="209"/>
    </row>
    <row r="761" spans="1:15" x14ac:dyDescent="0.3">
      <c r="A761" s="302" t="s">
        <v>33</v>
      </c>
      <c r="B761" s="302" t="str">
        <f t="shared" si="4"/>
        <v>Y</v>
      </c>
      <c r="C761" s="459" t="s">
        <v>1899</v>
      </c>
      <c r="D761" s="336"/>
      <c r="E761" s="327" t="s">
        <v>1900</v>
      </c>
      <c r="F761" s="206" t="s">
        <v>1901</v>
      </c>
      <c r="G761" s="207">
        <v>43670</v>
      </c>
      <c r="H761" s="207">
        <v>43749</v>
      </c>
      <c r="K761" s="302">
        <v>8936012595</v>
      </c>
      <c r="M761" s="212"/>
      <c r="N761" s="213"/>
      <c r="O761" s="209"/>
    </row>
    <row r="762" spans="1:15" x14ac:dyDescent="0.3">
      <c r="A762" s="302" t="s">
        <v>155</v>
      </c>
      <c r="B762" s="302" t="str">
        <f t="shared" si="4"/>
        <v>Y</v>
      </c>
      <c r="C762" s="459" t="s">
        <v>1902</v>
      </c>
      <c r="D762" s="336"/>
      <c r="E762" s="327" t="s">
        <v>1903</v>
      </c>
      <c r="F762" s="206" t="s">
        <v>1667</v>
      </c>
      <c r="G762" s="207">
        <v>43670</v>
      </c>
      <c r="H762" s="207">
        <v>43672</v>
      </c>
      <c r="K762" s="302">
        <v>7209592794</v>
      </c>
      <c r="M762" s="212"/>
      <c r="N762" s="213"/>
      <c r="O762" s="209"/>
    </row>
    <row r="763" spans="1:15" x14ac:dyDescent="0.3">
      <c r="A763" s="302" t="s">
        <v>155</v>
      </c>
      <c r="B763" s="302" t="str">
        <f t="shared" si="4"/>
        <v>Y</v>
      </c>
      <c r="C763" s="6" t="s">
        <v>1904</v>
      </c>
      <c r="D763" s="327"/>
      <c r="E763" s="327" t="s">
        <v>1905</v>
      </c>
      <c r="F763" s="206" t="s">
        <v>1906</v>
      </c>
      <c r="G763" s="207">
        <v>43670</v>
      </c>
      <c r="H763" s="207">
        <v>43670</v>
      </c>
      <c r="K763" s="302">
        <v>9279585704</v>
      </c>
      <c r="M763" s="212"/>
      <c r="N763" s="213"/>
      <c r="O763" s="209"/>
    </row>
    <row r="764" spans="1:15" x14ac:dyDescent="0.3">
      <c r="A764" s="302" t="s">
        <v>155</v>
      </c>
      <c r="B764" s="302" t="str">
        <f t="shared" si="4"/>
        <v>Y</v>
      </c>
      <c r="C764" s="6" t="s">
        <v>1907</v>
      </c>
      <c r="D764" s="327"/>
      <c r="E764" s="327" t="s">
        <v>1908</v>
      </c>
      <c r="F764" s="206" t="s">
        <v>1458</v>
      </c>
      <c r="G764" s="207">
        <v>43670</v>
      </c>
      <c r="H764" s="207">
        <v>43672</v>
      </c>
      <c r="K764" s="302">
        <v>8851257728</v>
      </c>
      <c r="M764" s="212"/>
      <c r="N764" s="213"/>
      <c r="O764" s="209"/>
    </row>
    <row r="765" spans="1:15" x14ac:dyDescent="0.3">
      <c r="A765" s="302" t="s">
        <v>155</v>
      </c>
      <c r="B765" s="302" t="str">
        <f t="shared" si="4"/>
        <v>Y</v>
      </c>
      <c r="C765" s="6" t="s">
        <v>1909</v>
      </c>
      <c r="D765" s="327"/>
      <c r="E765" s="327" t="s">
        <v>1910</v>
      </c>
      <c r="F765" s="206" t="s">
        <v>1911</v>
      </c>
      <c r="G765" s="207">
        <v>43672</v>
      </c>
      <c r="H765" s="207">
        <v>43672</v>
      </c>
      <c r="K765" s="302">
        <v>9631070403</v>
      </c>
      <c r="M765" s="212"/>
      <c r="N765" s="213"/>
      <c r="O765" s="209"/>
    </row>
    <row r="766" spans="1:15" x14ac:dyDescent="0.3">
      <c r="A766" s="302" t="s">
        <v>155</v>
      </c>
      <c r="B766" s="302" t="str">
        <f t="shared" si="4"/>
        <v>Y</v>
      </c>
      <c r="C766" s="6" t="s">
        <v>1912</v>
      </c>
      <c r="D766" s="327"/>
      <c r="E766" s="327" t="s">
        <v>1730</v>
      </c>
      <c r="F766" s="206" t="s">
        <v>1913</v>
      </c>
      <c r="G766" s="207">
        <v>43672</v>
      </c>
      <c r="H766" s="207">
        <v>43677</v>
      </c>
      <c r="K766" s="302">
        <v>7979819496</v>
      </c>
      <c r="M766" s="212"/>
      <c r="N766" s="213"/>
      <c r="O766" s="209"/>
    </row>
    <row r="767" spans="1:15" x14ac:dyDescent="0.3">
      <c r="A767" s="302" t="s">
        <v>155</v>
      </c>
      <c r="B767" s="302" t="str">
        <f t="shared" si="4"/>
        <v>Y</v>
      </c>
      <c r="C767" s="6" t="s">
        <v>1914</v>
      </c>
      <c r="D767" s="327"/>
      <c r="E767" s="327" t="s">
        <v>1915</v>
      </c>
      <c r="F767" s="206" t="s">
        <v>1916</v>
      </c>
      <c r="G767" s="207">
        <v>43676</v>
      </c>
      <c r="H767" s="207">
        <v>43677</v>
      </c>
      <c r="K767" s="302">
        <v>9204581190</v>
      </c>
      <c r="M767" s="212"/>
      <c r="N767" s="213"/>
      <c r="O767" s="209"/>
    </row>
    <row r="768" spans="1:15" x14ac:dyDescent="0.3">
      <c r="A768" s="302" t="s">
        <v>155</v>
      </c>
      <c r="B768" s="302" t="str">
        <f t="shared" si="4"/>
        <v>Y</v>
      </c>
      <c r="C768" s="6" t="s">
        <v>1917</v>
      </c>
      <c r="D768" s="327"/>
      <c r="E768" s="327" t="s">
        <v>711</v>
      </c>
      <c r="F768" s="206" t="s">
        <v>1918</v>
      </c>
      <c r="G768" s="207">
        <v>43676</v>
      </c>
      <c r="H768" s="207">
        <v>43679</v>
      </c>
      <c r="K768" s="302">
        <v>7209120140</v>
      </c>
      <c r="M768" s="212"/>
      <c r="N768" s="213"/>
      <c r="O768" s="209"/>
    </row>
    <row r="769" spans="1:15" x14ac:dyDescent="0.3">
      <c r="A769" s="302" t="s">
        <v>155</v>
      </c>
      <c r="B769" s="302" t="str">
        <f t="shared" si="4"/>
        <v>Y</v>
      </c>
      <c r="C769" s="6" t="s">
        <v>1919</v>
      </c>
      <c r="D769" s="327"/>
      <c r="E769" s="327" t="s">
        <v>1920</v>
      </c>
      <c r="F769" s="206" t="s">
        <v>1921</v>
      </c>
      <c r="G769" s="207">
        <v>43676</v>
      </c>
      <c r="H769" s="207">
        <v>43677</v>
      </c>
      <c r="K769" s="302">
        <v>8002107424</v>
      </c>
      <c r="M769" s="212"/>
      <c r="N769" s="213"/>
      <c r="O769" s="209"/>
    </row>
    <row r="770" spans="1:15" x14ac:dyDescent="0.3">
      <c r="A770" s="302" t="s">
        <v>155</v>
      </c>
      <c r="B770" s="302" t="str">
        <f t="shared" si="4"/>
        <v>Y</v>
      </c>
      <c r="C770" s="6" t="s">
        <v>1922</v>
      </c>
      <c r="D770" s="327"/>
      <c r="E770" s="327" t="s">
        <v>1923</v>
      </c>
      <c r="F770" s="206" t="s">
        <v>1924</v>
      </c>
      <c r="G770" s="207">
        <v>43678</v>
      </c>
      <c r="H770" s="207">
        <v>43678</v>
      </c>
      <c r="K770" s="302">
        <v>8227064613</v>
      </c>
      <c r="M770" s="212"/>
      <c r="N770" s="213"/>
      <c r="O770" s="209"/>
    </row>
    <row r="771" spans="1:15" x14ac:dyDescent="0.3">
      <c r="A771" s="302" t="s">
        <v>155</v>
      </c>
      <c r="B771" s="302" t="str">
        <f t="shared" si="4"/>
        <v>Y</v>
      </c>
      <c r="C771" s="6" t="s">
        <v>1925</v>
      </c>
      <c r="D771" s="327"/>
      <c r="E771" s="327" t="s">
        <v>1031</v>
      </c>
      <c r="F771" s="206" t="s">
        <v>1926</v>
      </c>
      <c r="G771" s="207">
        <v>43678</v>
      </c>
      <c r="H771" s="207">
        <v>43678</v>
      </c>
      <c r="K771" s="302">
        <v>9973660110</v>
      </c>
      <c r="M771" s="212"/>
      <c r="N771" s="213"/>
      <c r="O771" s="209"/>
    </row>
    <row r="772" spans="1:15" x14ac:dyDescent="0.3">
      <c r="A772" s="302" t="s">
        <v>155</v>
      </c>
      <c r="B772" s="302" t="str">
        <f t="shared" si="4"/>
        <v>Y</v>
      </c>
      <c r="C772" s="6" t="s">
        <v>1927</v>
      </c>
      <c r="D772" s="327"/>
      <c r="E772" s="327" t="s">
        <v>1928</v>
      </c>
      <c r="F772" s="206" t="s">
        <v>1929</v>
      </c>
      <c r="G772" s="207">
        <v>43678</v>
      </c>
      <c r="H772" s="207">
        <v>43679</v>
      </c>
      <c r="K772" s="302">
        <v>7209173328</v>
      </c>
      <c r="M772" s="212"/>
      <c r="N772" s="213"/>
      <c r="O772" s="209"/>
    </row>
    <row r="773" spans="1:15" x14ac:dyDescent="0.3">
      <c r="A773" s="302" t="s">
        <v>155</v>
      </c>
      <c r="B773" s="302" t="str">
        <f t="shared" si="4"/>
        <v>Y</v>
      </c>
      <c r="C773" s="6" t="s">
        <v>1930</v>
      </c>
      <c r="D773" s="327"/>
      <c r="E773" s="327" t="s">
        <v>1931</v>
      </c>
      <c r="F773" s="206" t="s">
        <v>1932</v>
      </c>
      <c r="G773" s="207">
        <v>43678</v>
      </c>
      <c r="H773" s="207">
        <v>43678</v>
      </c>
      <c r="K773" s="302">
        <v>9234266534</v>
      </c>
      <c r="M773" s="212"/>
      <c r="N773" s="213"/>
      <c r="O773" s="209"/>
    </row>
    <row r="774" spans="1:15" x14ac:dyDescent="0.3">
      <c r="A774" s="302" t="s">
        <v>155</v>
      </c>
      <c r="B774" s="302" t="str">
        <f t="shared" si="4"/>
        <v>Y</v>
      </c>
      <c r="C774" s="6" t="s">
        <v>1933</v>
      </c>
      <c r="D774" s="327"/>
      <c r="E774" s="327" t="s">
        <v>1934</v>
      </c>
      <c r="F774" s="206" t="s">
        <v>1935</v>
      </c>
      <c r="G774" s="207">
        <v>43679</v>
      </c>
      <c r="H774" s="207">
        <v>43679</v>
      </c>
      <c r="K774" s="302">
        <v>9608705986</v>
      </c>
      <c r="M774" s="212"/>
      <c r="N774" s="213"/>
      <c r="O774" s="209"/>
    </row>
    <row r="775" spans="1:15" x14ac:dyDescent="0.3">
      <c r="A775" s="302" t="s">
        <v>155</v>
      </c>
      <c r="B775" s="302" t="str">
        <f t="shared" si="4"/>
        <v>Y</v>
      </c>
      <c r="C775" s="6" t="s">
        <v>1936</v>
      </c>
      <c r="D775" s="327"/>
      <c r="E775" s="327" t="s">
        <v>1937</v>
      </c>
      <c r="F775" s="206" t="s">
        <v>1728</v>
      </c>
      <c r="G775" s="207">
        <v>43680</v>
      </c>
      <c r="H775" s="207">
        <v>43680</v>
      </c>
      <c r="K775" s="302">
        <v>9199887372</v>
      </c>
      <c r="M775" s="212"/>
      <c r="N775" s="213"/>
      <c r="O775" s="209"/>
    </row>
    <row r="776" spans="1:15" x14ac:dyDescent="0.3">
      <c r="A776" s="302" t="s">
        <v>155</v>
      </c>
      <c r="B776" s="302" t="str">
        <f t="shared" si="4"/>
        <v>Y</v>
      </c>
      <c r="C776" s="6" t="s">
        <v>1938</v>
      </c>
      <c r="D776" s="327"/>
      <c r="E776" s="327" t="s">
        <v>1939</v>
      </c>
      <c r="F776" s="206" t="s">
        <v>1940</v>
      </c>
      <c r="G776" s="207">
        <v>43688</v>
      </c>
      <c r="H776" s="207">
        <v>43688</v>
      </c>
      <c r="K776" s="302">
        <v>9472754411</v>
      </c>
      <c r="M776" s="212"/>
      <c r="N776" s="213"/>
      <c r="O776" s="209"/>
    </row>
    <row r="777" spans="1:15" x14ac:dyDescent="0.3">
      <c r="A777" s="302" t="s">
        <v>155</v>
      </c>
      <c r="B777" s="302" t="str">
        <f t="shared" si="4"/>
        <v>Y</v>
      </c>
      <c r="C777" s="6" t="s">
        <v>1941</v>
      </c>
      <c r="D777" s="327"/>
      <c r="E777" s="327" t="s">
        <v>1942</v>
      </c>
      <c r="F777" s="206" t="s">
        <v>1943</v>
      </c>
      <c r="G777" s="207" t="s">
        <v>1944</v>
      </c>
      <c r="H777" s="207">
        <v>43688</v>
      </c>
      <c r="K777" s="302">
        <v>9234331405</v>
      </c>
      <c r="L777" s="2" t="s">
        <v>1945</v>
      </c>
      <c r="M777" s="212"/>
      <c r="N777" s="213"/>
      <c r="O777" s="209"/>
    </row>
    <row r="778" spans="1:15" x14ac:dyDescent="0.3">
      <c r="A778" s="302" t="s">
        <v>155</v>
      </c>
      <c r="B778" s="302" t="str">
        <f t="shared" si="4"/>
        <v>Y</v>
      </c>
      <c r="C778" s="6" t="s">
        <v>1946</v>
      </c>
      <c r="D778" s="327"/>
      <c r="E778" s="327" t="s">
        <v>1947</v>
      </c>
      <c r="F778" s="206" t="s">
        <v>1948</v>
      </c>
      <c r="G778" s="207">
        <v>43687</v>
      </c>
      <c r="H778" s="207">
        <v>43688</v>
      </c>
      <c r="K778" s="302">
        <v>8294464695</v>
      </c>
      <c r="M778" s="212"/>
      <c r="N778" s="213"/>
      <c r="O778" s="209"/>
    </row>
    <row r="779" spans="1:15" x14ac:dyDescent="0.3">
      <c r="A779" s="302" t="s">
        <v>155</v>
      </c>
      <c r="B779" s="302" t="str">
        <f t="shared" si="4"/>
        <v>Y</v>
      </c>
      <c r="C779" s="6" t="s">
        <v>1949</v>
      </c>
      <c r="D779" s="327"/>
      <c r="E779" s="327" t="s">
        <v>1950</v>
      </c>
      <c r="F779" s="206" t="s">
        <v>1951</v>
      </c>
      <c r="G779" s="207">
        <v>43687</v>
      </c>
      <c r="H779" s="207">
        <v>43688</v>
      </c>
      <c r="K779" s="302">
        <v>8235439038</v>
      </c>
      <c r="M779" s="212"/>
      <c r="N779" s="213"/>
      <c r="O779" s="209"/>
    </row>
    <row r="780" spans="1:15" x14ac:dyDescent="0.3">
      <c r="A780" s="302" t="s">
        <v>155</v>
      </c>
      <c r="B780" s="302" t="str">
        <f t="shared" si="4"/>
        <v>Y</v>
      </c>
      <c r="C780" s="6" t="s">
        <v>1952</v>
      </c>
      <c r="D780" s="327"/>
      <c r="E780" s="327" t="s">
        <v>1953</v>
      </c>
      <c r="F780" s="206" t="s">
        <v>1954</v>
      </c>
      <c r="G780" s="207">
        <v>43689</v>
      </c>
      <c r="H780" s="207">
        <v>43690</v>
      </c>
      <c r="K780" s="302">
        <v>8789514614</v>
      </c>
      <c r="M780" s="212"/>
      <c r="N780" s="213"/>
      <c r="O780" s="209"/>
    </row>
    <row r="781" spans="1:15" x14ac:dyDescent="0.3">
      <c r="A781" s="302" t="s">
        <v>155</v>
      </c>
      <c r="B781" s="302" t="str">
        <f t="shared" si="4"/>
        <v>Y</v>
      </c>
      <c r="C781" s="6" t="s">
        <v>1955</v>
      </c>
      <c r="D781" s="327"/>
      <c r="E781" s="327" t="s">
        <v>1956</v>
      </c>
      <c r="F781" s="206" t="s">
        <v>1957</v>
      </c>
      <c r="G781" s="207">
        <v>43688</v>
      </c>
      <c r="H781" s="207">
        <v>43688</v>
      </c>
      <c r="K781" s="302">
        <v>9065746698</v>
      </c>
      <c r="M781" s="212"/>
      <c r="N781" s="213"/>
      <c r="O781" s="209"/>
    </row>
    <row r="782" spans="1:15" x14ac:dyDescent="0.3">
      <c r="A782" s="302" t="s">
        <v>155</v>
      </c>
      <c r="B782" s="302" t="str">
        <f t="shared" si="4"/>
        <v>Y</v>
      </c>
      <c r="C782" s="6" t="s">
        <v>1938</v>
      </c>
      <c r="D782" s="327"/>
      <c r="E782" s="327" t="s">
        <v>1958</v>
      </c>
      <c r="F782" s="206" t="s">
        <v>1940</v>
      </c>
      <c r="G782" s="207">
        <v>43688</v>
      </c>
      <c r="H782" s="207">
        <v>43688</v>
      </c>
      <c r="K782" s="302">
        <v>9472754411</v>
      </c>
      <c r="M782" s="212"/>
      <c r="N782" s="213"/>
      <c r="O782" s="209"/>
    </row>
    <row r="783" spans="1:15" x14ac:dyDescent="0.3">
      <c r="A783" s="302" t="s">
        <v>155</v>
      </c>
      <c r="B783" s="302" t="str">
        <f t="shared" si="4"/>
        <v>Y</v>
      </c>
      <c r="C783" s="6" t="s">
        <v>1959</v>
      </c>
      <c r="D783" s="327"/>
      <c r="E783" s="327" t="s">
        <v>1960</v>
      </c>
      <c r="F783" s="206" t="s">
        <v>1961</v>
      </c>
      <c r="G783" s="207">
        <v>43689</v>
      </c>
      <c r="H783" s="207">
        <v>43690</v>
      </c>
      <c r="K783" s="302">
        <v>9113143893</v>
      </c>
      <c r="M783" s="212"/>
      <c r="N783" s="213"/>
      <c r="O783" s="209"/>
    </row>
    <row r="784" spans="1:15" x14ac:dyDescent="0.3">
      <c r="A784" s="302" t="s">
        <v>155</v>
      </c>
      <c r="B784" s="302" t="str">
        <f t="shared" si="4"/>
        <v>Y</v>
      </c>
      <c r="C784" s="6" t="s">
        <v>1962</v>
      </c>
      <c r="D784" s="327"/>
      <c r="E784" s="327" t="s">
        <v>1963</v>
      </c>
      <c r="F784" s="206" t="s">
        <v>1961</v>
      </c>
      <c r="G784" s="207">
        <v>43689</v>
      </c>
      <c r="H784" s="207">
        <v>43690</v>
      </c>
      <c r="K784" s="302">
        <v>9234706023</v>
      </c>
      <c r="M784" s="212"/>
      <c r="N784" s="213"/>
      <c r="O784" s="209"/>
    </row>
    <row r="785" spans="1:15" x14ac:dyDescent="0.3">
      <c r="A785" s="302" t="s">
        <v>155</v>
      </c>
      <c r="B785" s="302" t="str">
        <f t="shared" si="4"/>
        <v>Y</v>
      </c>
      <c r="C785" s="6" t="s">
        <v>1964</v>
      </c>
      <c r="D785" s="327"/>
      <c r="E785" s="327" t="s">
        <v>1965</v>
      </c>
      <c r="F785" s="206" t="s">
        <v>1966</v>
      </c>
      <c r="G785" s="207">
        <v>43690</v>
      </c>
      <c r="H785" s="207">
        <v>43707</v>
      </c>
      <c r="K785" s="302">
        <v>7992452115</v>
      </c>
      <c r="L785" s="2" t="s">
        <v>1967</v>
      </c>
      <c r="M785" s="212"/>
      <c r="N785" s="213"/>
      <c r="O785" s="209"/>
    </row>
    <row r="786" spans="1:15" x14ac:dyDescent="0.3">
      <c r="A786" s="302" t="s">
        <v>155</v>
      </c>
      <c r="B786" s="302" t="str">
        <f t="shared" si="4"/>
        <v>N</v>
      </c>
      <c r="C786" s="6" t="s">
        <v>1968</v>
      </c>
      <c r="D786" s="327"/>
      <c r="E786" s="327" t="s">
        <v>1969</v>
      </c>
      <c r="F786" s="206" t="s">
        <v>1548</v>
      </c>
      <c r="G786" s="207">
        <v>43691</v>
      </c>
      <c r="H786" s="302"/>
      <c r="K786" s="302">
        <v>9955143042</v>
      </c>
      <c r="M786" s="212"/>
      <c r="N786" s="213"/>
      <c r="O786" s="209"/>
    </row>
    <row r="787" spans="1:15" x14ac:dyDescent="0.3">
      <c r="A787" s="302" t="s">
        <v>155</v>
      </c>
      <c r="B787" s="302" t="str">
        <f t="shared" si="4"/>
        <v>Y</v>
      </c>
      <c r="C787" s="6" t="s">
        <v>1970</v>
      </c>
      <c r="D787" s="327"/>
      <c r="E787" s="327" t="s">
        <v>1971</v>
      </c>
      <c r="F787" s="206" t="s">
        <v>1533</v>
      </c>
      <c r="G787" s="207">
        <v>43693</v>
      </c>
      <c r="H787" s="207">
        <v>43694</v>
      </c>
      <c r="K787" s="302">
        <v>7050061641</v>
      </c>
      <c r="M787" s="212"/>
      <c r="N787" s="213"/>
      <c r="O787" s="209"/>
    </row>
    <row r="788" spans="1:15" x14ac:dyDescent="0.3">
      <c r="A788" s="302" t="s">
        <v>155</v>
      </c>
      <c r="B788" s="302" t="str">
        <f t="shared" si="4"/>
        <v>Y</v>
      </c>
      <c r="C788" s="6" t="s">
        <v>1972</v>
      </c>
      <c r="D788" s="327"/>
      <c r="E788" s="327" t="s">
        <v>1973</v>
      </c>
      <c r="F788" s="206" t="s">
        <v>1974</v>
      </c>
      <c r="G788" s="207">
        <v>43694</v>
      </c>
      <c r="H788" s="207">
        <v>43694</v>
      </c>
      <c r="K788" s="302">
        <v>8409427478</v>
      </c>
      <c r="M788" s="212"/>
      <c r="N788" s="213"/>
      <c r="O788" s="209"/>
    </row>
    <row r="789" spans="1:15" x14ac:dyDescent="0.3">
      <c r="A789" s="302" t="s">
        <v>155</v>
      </c>
      <c r="B789" s="302" t="str">
        <f t="shared" si="4"/>
        <v>Y</v>
      </c>
      <c r="C789" s="6" t="s">
        <v>1975</v>
      </c>
      <c r="D789" s="327"/>
      <c r="E789" s="327" t="s">
        <v>1976</v>
      </c>
      <c r="F789" s="206" t="s">
        <v>1977</v>
      </c>
      <c r="G789" s="207">
        <v>43694</v>
      </c>
      <c r="H789" s="207">
        <v>43695</v>
      </c>
      <c r="K789" s="302">
        <v>9386847035</v>
      </c>
      <c r="M789" s="212"/>
      <c r="N789" s="213"/>
      <c r="O789" s="209"/>
    </row>
    <row r="790" spans="1:15" x14ac:dyDescent="0.3">
      <c r="A790" s="302" t="s">
        <v>155</v>
      </c>
      <c r="B790" s="302" t="str">
        <f t="shared" si="4"/>
        <v>Y</v>
      </c>
      <c r="C790" s="6" t="s">
        <v>1978</v>
      </c>
      <c r="D790" s="327"/>
      <c r="E790" s="327" t="s">
        <v>1979</v>
      </c>
      <c r="F790" s="206" t="s">
        <v>1980</v>
      </c>
      <c r="G790" s="207" t="s">
        <v>1981</v>
      </c>
      <c r="H790" s="206" t="s">
        <v>1981</v>
      </c>
      <c r="K790" s="302">
        <v>6201871001</v>
      </c>
      <c r="L790" s="2" t="s">
        <v>1982</v>
      </c>
      <c r="M790" s="212"/>
      <c r="N790" s="213"/>
      <c r="O790" s="209"/>
    </row>
    <row r="791" spans="1:15" x14ac:dyDescent="0.3">
      <c r="A791" s="302" t="s">
        <v>155</v>
      </c>
      <c r="B791" s="302" t="str">
        <f t="shared" si="4"/>
        <v>Y</v>
      </c>
      <c r="C791" s="6" t="s">
        <v>1983</v>
      </c>
      <c r="D791" s="327"/>
      <c r="E791" s="327" t="s">
        <v>1984</v>
      </c>
      <c r="F791" s="206" t="s">
        <v>1985</v>
      </c>
      <c r="G791" s="207" t="s">
        <v>1981</v>
      </c>
      <c r="H791" s="206" t="s">
        <v>1981</v>
      </c>
      <c r="K791" s="302">
        <v>9123405621</v>
      </c>
      <c r="L791" s="2" t="s">
        <v>1982</v>
      </c>
      <c r="M791" s="212"/>
      <c r="N791" s="213"/>
      <c r="O791" s="209"/>
    </row>
    <row r="792" spans="1:15" x14ac:dyDescent="0.3">
      <c r="A792" s="302" t="s">
        <v>155</v>
      </c>
      <c r="B792" s="302" t="str">
        <f t="shared" si="4"/>
        <v>Y</v>
      </c>
      <c r="C792" s="6" t="s">
        <v>1986</v>
      </c>
      <c r="D792" s="327"/>
      <c r="E792" s="327" t="s">
        <v>1987</v>
      </c>
      <c r="F792" s="206" t="s">
        <v>1988</v>
      </c>
      <c r="G792" s="207" t="s">
        <v>1981</v>
      </c>
      <c r="H792" s="207">
        <v>43700</v>
      </c>
      <c r="K792" s="302">
        <v>9234131348</v>
      </c>
      <c r="M792" s="212"/>
      <c r="N792" s="213"/>
      <c r="O792" s="209"/>
    </row>
    <row r="793" spans="1:15" x14ac:dyDescent="0.3">
      <c r="A793" s="302" t="s">
        <v>155</v>
      </c>
      <c r="B793" s="302" t="str">
        <f t="shared" si="4"/>
        <v>Y</v>
      </c>
      <c r="C793" s="6" t="s">
        <v>1989</v>
      </c>
      <c r="D793" s="327"/>
      <c r="E793" s="327" t="s">
        <v>1990</v>
      </c>
      <c r="F793" s="206" t="s">
        <v>1991</v>
      </c>
      <c r="G793" s="207" t="s">
        <v>1981</v>
      </c>
      <c r="H793" s="206" t="s">
        <v>1981</v>
      </c>
      <c r="K793" s="302">
        <v>8789116517</v>
      </c>
      <c r="M793" s="212"/>
      <c r="N793" s="213"/>
      <c r="O793" s="209"/>
    </row>
    <row r="794" spans="1:15" x14ac:dyDescent="0.3">
      <c r="A794" s="302" t="s">
        <v>155</v>
      </c>
      <c r="B794" s="302" t="str">
        <f t="shared" si="4"/>
        <v>Y</v>
      </c>
      <c r="C794" s="6" t="s">
        <v>1992</v>
      </c>
      <c r="D794" s="327"/>
      <c r="E794" s="327" t="s">
        <v>1993</v>
      </c>
      <c r="F794" s="206" t="s">
        <v>1994</v>
      </c>
      <c r="G794" s="207" t="s">
        <v>1995</v>
      </c>
      <c r="H794" s="206" t="s">
        <v>1995</v>
      </c>
      <c r="K794" s="302">
        <v>8581910280</v>
      </c>
      <c r="L794" s="2" t="s">
        <v>1982</v>
      </c>
      <c r="M794" s="212"/>
      <c r="N794" s="213"/>
      <c r="O794" s="209"/>
    </row>
    <row r="795" spans="1:15" x14ac:dyDescent="0.3">
      <c r="A795" s="302" t="s">
        <v>155</v>
      </c>
      <c r="B795" s="302" t="str">
        <f t="shared" si="4"/>
        <v>Y</v>
      </c>
      <c r="C795" s="6" t="s">
        <v>1996</v>
      </c>
      <c r="D795" s="327"/>
      <c r="E795" s="327" t="s">
        <v>1997</v>
      </c>
      <c r="F795" s="206" t="s">
        <v>1998</v>
      </c>
      <c r="G795" s="207" t="s">
        <v>1995</v>
      </c>
      <c r="H795" s="206" t="s">
        <v>1995</v>
      </c>
      <c r="K795" s="302">
        <v>7488815903</v>
      </c>
      <c r="L795" s="2" t="s">
        <v>1982</v>
      </c>
      <c r="M795" s="212"/>
      <c r="N795" s="213"/>
      <c r="O795" s="209"/>
    </row>
    <row r="796" spans="1:15" x14ac:dyDescent="0.3">
      <c r="A796" s="302" t="s">
        <v>155</v>
      </c>
      <c r="B796" s="302" t="str">
        <f t="shared" si="4"/>
        <v>Y</v>
      </c>
      <c r="C796" s="6" t="s">
        <v>1999</v>
      </c>
      <c r="D796" s="327"/>
      <c r="E796" s="327" t="s">
        <v>2000</v>
      </c>
      <c r="F796" s="206" t="s">
        <v>2001</v>
      </c>
      <c r="G796" s="207" t="s">
        <v>2002</v>
      </c>
      <c r="H796" s="206" t="s">
        <v>2002</v>
      </c>
      <c r="K796" s="302">
        <v>6205647909</v>
      </c>
      <c r="M796" s="212"/>
      <c r="N796" s="213"/>
      <c r="O796" s="209"/>
    </row>
    <row r="797" spans="1:15" x14ac:dyDescent="0.3">
      <c r="A797" s="302" t="s">
        <v>155</v>
      </c>
      <c r="B797" s="302" t="str">
        <f t="shared" si="4"/>
        <v>Y</v>
      </c>
      <c r="C797" s="6" t="s">
        <v>2003</v>
      </c>
      <c r="D797" s="327"/>
      <c r="E797" s="327" t="s">
        <v>2004</v>
      </c>
      <c r="F797" s="206" t="s">
        <v>2005</v>
      </c>
      <c r="G797" s="207" t="s">
        <v>2002</v>
      </c>
      <c r="H797" s="206" t="s">
        <v>2002</v>
      </c>
      <c r="K797" s="302">
        <v>7091845913</v>
      </c>
      <c r="L797" s="2" t="s">
        <v>2006</v>
      </c>
      <c r="M797" s="212"/>
      <c r="N797" s="213"/>
      <c r="O797" s="209"/>
    </row>
    <row r="798" spans="1:15" x14ac:dyDescent="0.3">
      <c r="A798" s="302" t="s">
        <v>155</v>
      </c>
      <c r="B798" s="302" t="str">
        <f t="shared" si="4"/>
        <v>Y</v>
      </c>
      <c r="C798" s="6" t="s">
        <v>2007</v>
      </c>
      <c r="D798" s="327"/>
      <c r="E798" s="327" t="s">
        <v>2008</v>
      </c>
      <c r="F798" s="206" t="s">
        <v>2009</v>
      </c>
      <c r="G798" s="206" t="s">
        <v>2010</v>
      </c>
      <c r="H798" s="207">
        <v>43704</v>
      </c>
      <c r="K798" s="302">
        <v>9123470290</v>
      </c>
      <c r="M798" s="212"/>
      <c r="N798" s="213"/>
      <c r="O798" s="209"/>
    </row>
    <row r="799" spans="1:15" x14ac:dyDescent="0.3">
      <c r="A799" s="302" t="s">
        <v>155</v>
      </c>
      <c r="B799" s="302" t="str">
        <f t="shared" si="4"/>
        <v>Y</v>
      </c>
      <c r="C799" s="6" t="s">
        <v>2011</v>
      </c>
      <c r="D799" s="327"/>
      <c r="E799" s="327" t="s">
        <v>2012</v>
      </c>
      <c r="F799" s="206" t="s">
        <v>2013</v>
      </c>
      <c r="G799" s="207">
        <v>43705</v>
      </c>
      <c r="H799" s="206" t="s">
        <v>2014</v>
      </c>
      <c r="K799" s="302">
        <v>6200021962</v>
      </c>
      <c r="L799" s="2" t="s">
        <v>1982</v>
      </c>
      <c r="M799" s="212"/>
      <c r="N799" s="213"/>
      <c r="O799" s="209"/>
    </row>
    <row r="800" spans="1:15" x14ac:dyDescent="0.3">
      <c r="A800" s="302" t="s">
        <v>155</v>
      </c>
      <c r="B800" s="302" t="str">
        <f t="shared" si="4"/>
        <v>Y</v>
      </c>
      <c r="C800" s="6" t="s">
        <v>2015</v>
      </c>
      <c r="D800" s="327"/>
      <c r="E800" s="327" t="s">
        <v>2016</v>
      </c>
      <c r="F800" s="206" t="s">
        <v>2017</v>
      </c>
      <c r="G800" s="207" t="s">
        <v>2014</v>
      </c>
      <c r="H800" s="206" t="s">
        <v>2014</v>
      </c>
      <c r="K800" s="302">
        <v>9102665789</v>
      </c>
      <c r="L800" s="2" t="s">
        <v>1982</v>
      </c>
      <c r="M800" s="212"/>
      <c r="N800" s="213"/>
      <c r="O800" s="209"/>
    </row>
    <row r="801" spans="1:15" x14ac:dyDescent="0.3">
      <c r="A801" s="302" t="s">
        <v>155</v>
      </c>
      <c r="B801" s="302" t="str">
        <f t="shared" si="4"/>
        <v>Y</v>
      </c>
      <c r="C801" s="6" t="s">
        <v>2018</v>
      </c>
      <c r="D801" s="327"/>
      <c r="E801" s="327" t="s">
        <v>2019</v>
      </c>
      <c r="F801" s="206" t="s">
        <v>2020</v>
      </c>
      <c r="G801" s="207" t="s">
        <v>2014</v>
      </c>
      <c r="H801" s="206" t="s">
        <v>2014</v>
      </c>
      <c r="K801" s="302">
        <v>8207352736</v>
      </c>
      <c r="L801" s="2" t="s">
        <v>1982</v>
      </c>
      <c r="M801" s="212"/>
      <c r="N801" s="213"/>
      <c r="O801" s="209"/>
    </row>
    <row r="802" spans="1:15" x14ac:dyDescent="0.3">
      <c r="A802" s="302"/>
      <c r="B802" s="302" t="str">
        <f t="shared" si="4"/>
        <v>Y</v>
      </c>
      <c r="C802" s="6" t="s">
        <v>2021</v>
      </c>
      <c r="D802" s="327"/>
      <c r="E802" s="327" t="s">
        <v>2022</v>
      </c>
      <c r="F802" s="206" t="s">
        <v>2023</v>
      </c>
      <c r="G802" s="207" t="s">
        <v>2014</v>
      </c>
      <c r="H802" s="207">
        <v>43714</v>
      </c>
      <c r="K802" s="302">
        <v>8603192185</v>
      </c>
      <c r="L802" s="2" t="s">
        <v>2024</v>
      </c>
      <c r="M802" s="212"/>
      <c r="N802" s="213"/>
      <c r="O802" s="209"/>
    </row>
    <row r="803" spans="1:15" x14ac:dyDescent="0.3">
      <c r="A803" s="302" t="s">
        <v>155</v>
      </c>
      <c r="B803" s="302" t="str">
        <f t="shared" si="4"/>
        <v>Y</v>
      </c>
      <c r="C803" s="6" t="s">
        <v>2025</v>
      </c>
      <c r="D803" s="327"/>
      <c r="E803" s="327" t="s">
        <v>2026</v>
      </c>
      <c r="F803" s="206" t="s">
        <v>2027</v>
      </c>
      <c r="G803" s="207">
        <v>43706</v>
      </c>
      <c r="H803" s="206" t="s">
        <v>2028</v>
      </c>
      <c r="K803" s="302">
        <v>6204245041</v>
      </c>
      <c r="L803" s="2" t="s">
        <v>2024</v>
      </c>
      <c r="M803" s="212"/>
      <c r="N803" s="213"/>
      <c r="O803" s="209"/>
    </row>
    <row r="804" spans="1:15" x14ac:dyDescent="0.3">
      <c r="A804" s="302" t="s">
        <v>155</v>
      </c>
      <c r="B804" s="302" t="str">
        <f t="shared" si="4"/>
        <v>Y</v>
      </c>
      <c r="C804" s="6" t="s">
        <v>2029</v>
      </c>
      <c r="D804" s="327"/>
      <c r="E804" s="338" t="s">
        <v>2030</v>
      </c>
      <c r="F804" s="206" t="s">
        <v>2031</v>
      </c>
      <c r="G804" s="206" t="s">
        <v>2028</v>
      </c>
      <c r="H804" s="206" t="s">
        <v>2028</v>
      </c>
      <c r="K804" s="302">
        <v>7667878604</v>
      </c>
      <c r="M804" s="212"/>
      <c r="N804" s="213"/>
      <c r="O804" s="209"/>
    </row>
    <row r="805" spans="1:15" x14ac:dyDescent="0.3">
      <c r="A805" s="302" t="s">
        <v>155</v>
      </c>
      <c r="B805" s="302" t="str">
        <f t="shared" si="4"/>
        <v>Y</v>
      </c>
      <c r="C805" s="6" t="s">
        <v>2032</v>
      </c>
      <c r="D805" s="327"/>
      <c r="E805" s="327" t="s">
        <v>2033</v>
      </c>
      <c r="F805" s="206" t="s">
        <v>2034</v>
      </c>
      <c r="G805" s="206" t="s">
        <v>2028</v>
      </c>
      <c r="H805" s="206" t="s">
        <v>2028</v>
      </c>
      <c r="K805" s="302">
        <v>7209840419</v>
      </c>
      <c r="M805" s="212"/>
      <c r="N805" s="213"/>
      <c r="O805" s="209"/>
    </row>
    <row r="806" spans="1:15" x14ac:dyDescent="0.3">
      <c r="A806" s="302" t="s">
        <v>155</v>
      </c>
      <c r="B806" s="302" t="str">
        <f t="shared" si="4"/>
        <v>Y</v>
      </c>
      <c r="C806" s="6" t="s">
        <v>2035</v>
      </c>
      <c r="D806" s="327"/>
      <c r="E806" s="327" t="s">
        <v>2036</v>
      </c>
      <c r="F806" s="206" t="s">
        <v>2037</v>
      </c>
      <c r="G806" s="206" t="s">
        <v>2038</v>
      </c>
      <c r="H806" s="207">
        <v>43712</v>
      </c>
      <c r="K806" s="302">
        <v>8797101292</v>
      </c>
      <c r="M806" s="212"/>
      <c r="N806" s="213"/>
      <c r="O806" s="209"/>
    </row>
    <row r="807" spans="1:15" x14ac:dyDescent="0.3">
      <c r="A807" s="302" t="s">
        <v>155</v>
      </c>
      <c r="B807" s="302" t="str">
        <f t="shared" si="4"/>
        <v>Y</v>
      </c>
      <c r="C807" s="6" t="s">
        <v>2039</v>
      </c>
      <c r="D807" s="327"/>
      <c r="E807" s="327" t="s">
        <v>2040</v>
      </c>
      <c r="F807" s="206" t="s">
        <v>2041</v>
      </c>
      <c r="G807" s="206" t="s">
        <v>2042</v>
      </c>
      <c r="H807" s="207">
        <v>43712</v>
      </c>
      <c r="K807" s="302">
        <v>8409267396</v>
      </c>
      <c r="M807" s="212"/>
      <c r="N807" s="213"/>
      <c r="O807" s="209"/>
    </row>
    <row r="808" spans="1:15" x14ac:dyDescent="0.3">
      <c r="A808" s="302" t="s">
        <v>155</v>
      </c>
      <c r="B808" s="302" t="str">
        <f t="shared" si="4"/>
        <v>Y</v>
      </c>
      <c r="C808" s="6" t="s">
        <v>2043</v>
      </c>
      <c r="D808" s="327"/>
      <c r="E808" s="327" t="s">
        <v>2044</v>
      </c>
      <c r="F808" s="206" t="s">
        <v>2045</v>
      </c>
      <c r="G808" s="206" t="s">
        <v>2042</v>
      </c>
      <c r="H808" s="207">
        <v>43714</v>
      </c>
      <c r="K808" s="302">
        <v>6206433691</v>
      </c>
      <c r="L808" s="2" t="s">
        <v>2046</v>
      </c>
      <c r="M808" s="212"/>
      <c r="N808" s="213"/>
      <c r="O808" s="209"/>
    </row>
    <row r="809" spans="1:15" x14ac:dyDescent="0.3">
      <c r="A809" s="302" t="s">
        <v>155</v>
      </c>
      <c r="B809" s="302" t="str">
        <f t="shared" si="4"/>
        <v>N</v>
      </c>
      <c r="C809" s="6" t="s">
        <v>2047</v>
      </c>
      <c r="D809" s="327"/>
      <c r="E809" s="327" t="s">
        <v>2048</v>
      </c>
      <c r="F809" s="206" t="s">
        <v>2049</v>
      </c>
      <c r="G809" s="206" t="s">
        <v>2050</v>
      </c>
      <c r="H809" s="302"/>
      <c r="K809" s="302">
        <v>9122942220</v>
      </c>
      <c r="L809" s="2" t="s">
        <v>2051</v>
      </c>
      <c r="M809" s="212"/>
      <c r="N809" s="213"/>
      <c r="O809" s="209"/>
    </row>
    <row r="810" spans="1:15" x14ac:dyDescent="0.3">
      <c r="A810" s="302" t="s">
        <v>155</v>
      </c>
      <c r="B810" s="302" t="str">
        <f t="shared" si="4"/>
        <v>Y</v>
      </c>
      <c r="C810" s="6" t="s">
        <v>2052</v>
      </c>
      <c r="D810" s="327"/>
      <c r="E810" s="327" t="s">
        <v>2053</v>
      </c>
      <c r="F810" s="206" t="s">
        <v>2054</v>
      </c>
      <c r="G810" s="206" t="s">
        <v>2055</v>
      </c>
      <c r="H810" s="206" t="s">
        <v>2055</v>
      </c>
      <c r="K810" s="302">
        <v>9031901804</v>
      </c>
      <c r="M810" s="212"/>
      <c r="N810" s="213"/>
      <c r="O810" s="209"/>
    </row>
    <row r="811" spans="1:15" x14ac:dyDescent="0.3">
      <c r="A811" s="302" t="s">
        <v>155</v>
      </c>
      <c r="B811" s="302" t="str">
        <f t="shared" si="4"/>
        <v>Y</v>
      </c>
      <c r="C811" s="6" t="s">
        <v>2056</v>
      </c>
      <c r="D811" s="327"/>
      <c r="E811" s="327" t="s">
        <v>2057</v>
      </c>
      <c r="F811" s="206" t="s">
        <v>2058</v>
      </c>
      <c r="G811" s="206" t="s">
        <v>2059</v>
      </c>
      <c r="H811" s="206" t="s">
        <v>2059</v>
      </c>
      <c r="K811" s="302">
        <v>8298128575</v>
      </c>
      <c r="M811" s="212"/>
      <c r="N811" s="213"/>
      <c r="O811" s="209"/>
    </row>
    <row r="812" spans="1:15" x14ac:dyDescent="0.3">
      <c r="A812" s="302" t="s">
        <v>155</v>
      </c>
      <c r="B812" s="302" t="str">
        <f t="shared" si="4"/>
        <v>Y</v>
      </c>
      <c r="C812" s="6" t="s">
        <v>2060</v>
      </c>
      <c r="D812" s="327"/>
      <c r="E812" s="327" t="s">
        <v>2061</v>
      </c>
      <c r="F812" s="206" t="s">
        <v>2062</v>
      </c>
      <c r="G812" s="206" t="s">
        <v>2063</v>
      </c>
      <c r="H812" s="206" t="s">
        <v>2063</v>
      </c>
      <c r="K812" s="302">
        <v>8603251790</v>
      </c>
      <c r="M812" s="212"/>
      <c r="N812" s="213"/>
      <c r="O812" s="209"/>
    </row>
    <row r="813" spans="1:15" x14ac:dyDescent="0.3">
      <c r="A813" s="302" t="s">
        <v>155</v>
      </c>
      <c r="B813" s="302" t="str">
        <f t="shared" si="4"/>
        <v>Y</v>
      </c>
      <c r="C813" s="6" t="s">
        <v>2064</v>
      </c>
      <c r="D813" s="327"/>
      <c r="E813" s="327" t="s">
        <v>2065</v>
      </c>
      <c r="F813" s="206" t="s">
        <v>2066</v>
      </c>
      <c r="G813" s="206" t="s">
        <v>2067</v>
      </c>
      <c r="H813" s="206" t="s">
        <v>2067</v>
      </c>
      <c r="K813" s="302">
        <v>8797418288</v>
      </c>
      <c r="M813" s="212"/>
      <c r="N813" s="213"/>
      <c r="O813" s="209"/>
    </row>
    <row r="814" spans="1:15" x14ac:dyDescent="0.3">
      <c r="A814" s="302" t="s">
        <v>155</v>
      </c>
      <c r="B814" s="302" t="str">
        <f t="shared" si="4"/>
        <v>Y</v>
      </c>
      <c r="C814" s="6" t="s">
        <v>2068</v>
      </c>
      <c r="D814" s="327"/>
      <c r="E814" s="327" t="s">
        <v>2069</v>
      </c>
      <c r="F814" s="206" t="s">
        <v>2070</v>
      </c>
      <c r="G814" s="206" t="s">
        <v>2067</v>
      </c>
      <c r="H814" s="206" t="s">
        <v>2067</v>
      </c>
      <c r="K814" s="302">
        <v>7903681002</v>
      </c>
      <c r="M814" s="212"/>
      <c r="N814" s="213"/>
      <c r="O814" s="209"/>
    </row>
    <row r="815" spans="1:15" x14ac:dyDescent="0.3">
      <c r="A815" s="302" t="s">
        <v>870</v>
      </c>
      <c r="B815" s="302" t="str">
        <f t="shared" si="4"/>
        <v>N</v>
      </c>
      <c r="C815" s="6" t="s">
        <v>2071</v>
      </c>
      <c r="D815" s="327"/>
      <c r="E815" s="327" t="s">
        <v>2072</v>
      </c>
      <c r="F815" s="206" t="s">
        <v>2073</v>
      </c>
      <c r="G815" s="206" t="s">
        <v>2067</v>
      </c>
      <c r="H815" s="302"/>
      <c r="K815" s="302">
        <v>7209959476</v>
      </c>
      <c r="L815" s="2" t="s">
        <v>2074</v>
      </c>
      <c r="M815" s="212"/>
      <c r="N815" s="213"/>
      <c r="O815" s="209"/>
    </row>
    <row r="816" spans="1:15" x14ac:dyDescent="0.3">
      <c r="A816" s="302" t="s">
        <v>155</v>
      </c>
      <c r="B816" s="302" t="str">
        <f t="shared" si="4"/>
        <v>Y</v>
      </c>
      <c r="C816" s="6" t="s">
        <v>2075</v>
      </c>
      <c r="D816" s="327"/>
      <c r="E816" s="327" t="s">
        <v>2076</v>
      </c>
      <c r="F816" s="206" t="s">
        <v>2077</v>
      </c>
      <c r="G816" s="206" t="s">
        <v>2078</v>
      </c>
      <c r="H816" s="206" t="s">
        <v>2078</v>
      </c>
      <c r="K816" s="302">
        <v>7295011441</v>
      </c>
      <c r="L816" s="2" t="s">
        <v>1982</v>
      </c>
      <c r="M816" s="212"/>
      <c r="N816" s="213"/>
      <c r="O816" s="209"/>
    </row>
    <row r="817" spans="1:16" x14ac:dyDescent="0.3">
      <c r="A817" s="302" t="s">
        <v>155</v>
      </c>
      <c r="B817" s="302" t="str">
        <f t="shared" si="4"/>
        <v>Y</v>
      </c>
      <c r="C817" s="6" t="s">
        <v>2079</v>
      </c>
      <c r="D817" s="327"/>
      <c r="E817" s="327" t="s">
        <v>2080</v>
      </c>
      <c r="F817" s="206" t="s">
        <v>2073</v>
      </c>
      <c r="G817" s="206" t="s">
        <v>2078</v>
      </c>
      <c r="H817" s="206" t="s">
        <v>2081</v>
      </c>
      <c r="K817" s="302">
        <v>9263613711</v>
      </c>
      <c r="L817" s="2" t="s">
        <v>1982</v>
      </c>
      <c r="M817" s="212"/>
      <c r="N817" s="213"/>
      <c r="O817" s="209"/>
    </row>
    <row r="818" spans="1:16" x14ac:dyDescent="0.3">
      <c r="A818" s="302" t="s">
        <v>155</v>
      </c>
      <c r="B818" s="302" t="str">
        <f t="shared" si="4"/>
        <v>Y</v>
      </c>
      <c r="C818" s="6" t="s">
        <v>2082</v>
      </c>
      <c r="D818" s="327"/>
      <c r="E818" s="327" t="s">
        <v>2083</v>
      </c>
      <c r="F818" s="206" t="s">
        <v>2084</v>
      </c>
      <c r="G818" s="206" t="s">
        <v>2078</v>
      </c>
      <c r="H818" s="206" t="s">
        <v>2081</v>
      </c>
      <c r="K818" s="302">
        <v>8709410980</v>
      </c>
      <c r="M818" s="212"/>
      <c r="N818" s="213"/>
      <c r="O818" s="209"/>
    </row>
    <row r="819" spans="1:16" x14ac:dyDescent="0.3">
      <c r="A819" s="302" t="s">
        <v>155</v>
      </c>
      <c r="B819" s="302" t="str">
        <f t="shared" si="4"/>
        <v>Y</v>
      </c>
      <c r="C819" s="6" t="s">
        <v>2085</v>
      </c>
      <c r="D819" s="327"/>
      <c r="E819" s="327" t="s">
        <v>2086</v>
      </c>
      <c r="F819" s="206" t="s">
        <v>2087</v>
      </c>
      <c r="G819" s="206" t="s">
        <v>2081</v>
      </c>
      <c r="H819" s="206" t="s">
        <v>2081</v>
      </c>
      <c r="K819" s="302">
        <v>8092713860</v>
      </c>
      <c r="M819" s="212"/>
      <c r="N819" s="213"/>
      <c r="O819" s="209"/>
    </row>
    <row r="820" spans="1:16" x14ac:dyDescent="0.3">
      <c r="A820" s="302" t="s">
        <v>155</v>
      </c>
      <c r="B820" s="302" t="str">
        <f t="shared" si="4"/>
        <v>Y</v>
      </c>
      <c r="C820" s="6" t="s">
        <v>2088</v>
      </c>
      <c r="D820" s="327"/>
      <c r="E820" s="327" t="s">
        <v>2089</v>
      </c>
      <c r="F820" s="206" t="s">
        <v>2090</v>
      </c>
      <c r="G820" s="206" t="s">
        <v>2081</v>
      </c>
      <c r="H820" s="206" t="s">
        <v>2081</v>
      </c>
      <c r="K820" s="302">
        <v>8092713860</v>
      </c>
      <c r="M820" s="212"/>
      <c r="N820" s="213"/>
      <c r="O820" s="209"/>
    </row>
    <row r="821" spans="1:16" x14ac:dyDescent="0.3">
      <c r="A821" s="302" t="s">
        <v>155</v>
      </c>
      <c r="B821" s="302" t="str">
        <f t="shared" si="4"/>
        <v>Y</v>
      </c>
      <c r="C821" s="6" t="s">
        <v>2091</v>
      </c>
      <c r="D821" s="327"/>
      <c r="E821" s="327" t="s">
        <v>2092</v>
      </c>
      <c r="F821" s="206" t="s">
        <v>2093</v>
      </c>
      <c r="G821" s="206" t="s">
        <v>2081</v>
      </c>
      <c r="H821" s="207">
        <v>43725</v>
      </c>
      <c r="K821" s="302">
        <v>8603404027</v>
      </c>
      <c r="M821" s="212"/>
      <c r="N821" s="213"/>
      <c r="O821" s="209"/>
    </row>
    <row r="822" spans="1:16" x14ac:dyDescent="0.3">
      <c r="A822" s="302" t="s">
        <v>155</v>
      </c>
      <c r="B822" s="302" t="str">
        <f t="shared" si="4"/>
        <v>Y</v>
      </c>
      <c r="C822" s="6" t="s">
        <v>2094</v>
      </c>
      <c r="D822" s="327"/>
      <c r="E822" s="327" t="s">
        <v>2095</v>
      </c>
      <c r="F822" s="206" t="s">
        <v>2096</v>
      </c>
      <c r="G822" s="206" t="s">
        <v>2081</v>
      </c>
      <c r="H822" s="207">
        <v>43725</v>
      </c>
      <c r="K822" s="302">
        <v>7903447070</v>
      </c>
      <c r="M822" s="212"/>
      <c r="N822" s="213"/>
      <c r="O822" s="209"/>
    </row>
    <row r="823" spans="1:16" x14ac:dyDescent="0.3">
      <c r="A823" s="302" t="s">
        <v>155</v>
      </c>
      <c r="B823" s="302" t="str">
        <f t="shared" si="4"/>
        <v>Y</v>
      </c>
      <c r="C823" s="6" t="s">
        <v>2097</v>
      </c>
      <c r="D823" s="327"/>
      <c r="E823" s="327" t="s">
        <v>2098</v>
      </c>
      <c r="F823" s="206" t="s">
        <v>2099</v>
      </c>
      <c r="G823" s="206" t="s">
        <v>2081</v>
      </c>
      <c r="H823" s="207">
        <v>43725</v>
      </c>
      <c r="K823" s="302">
        <v>9263297832</v>
      </c>
      <c r="M823" s="212"/>
      <c r="N823" s="213"/>
      <c r="O823" s="209"/>
    </row>
    <row r="824" spans="1:16" x14ac:dyDescent="0.3">
      <c r="A824" s="302" t="s">
        <v>155</v>
      </c>
      <c r="B824" s="302" t="str">
        <f t="shared" si="4"/>
        <v>Y</v>
      </c>
      <c r="C824" s="6" t="s">
        <v>2100</v>
      </c>
      <c r="D824" s="327"/>
      <c r="E824" s="327" t="s">
        <v>2101</v>
      </c>
      <c r="F824" s="206" t="s">
        <v>2102</v>
      </c>
      <c r="G824" s="206" t="s">
        <v>2103</v>
      </c>
      <c r="H824" s="206" t="s">
        <v>2104</v>
      </c>
      <c r="K824" s="302">
        <v>9471589819</v>
      </c>
      <c r="M824" s="212"/>
      <c r="N824" s="213"/>
      <c r="O824" s="209"/>
    </row>
    <row r="825" spans="1:16" x14ac:dyDescent="0.3">
      <c r="A825" s="302" t="s">
        <v>155</v>
      </c>
      <c r="B825" s="302" t="str">
        <f t="shared" si="4"/>
        <v>Y</v>
      </c>
      <c r="C825" s="6" t="s">
        <v>2105</v>
      </c>
      <c r="D825" s="327"/>
      <c r="E825" s="327" t="s">
        <v>2106</v>
      </c>
      <c r="F825" s="206" t="s">
        <v>2107</v>
      </c>
      <c r="G825" s="206" t="s">
        <v>2108</v>
      </c>
      <c r="H825" s="206" t="s">
        <v>2108</v>
      </c>
      <c r="M825" s="212"/>
      <c r="N825" s="213"/>
      <c r="O825" s="209"/>
    </row>
    <row r="826" spans="1:16" x14ac:dyDescent="0.3">
      <c r="A826" s="302" t="s">
        <v>155</v>
      </c>
      <c r="B826" s="302" t="str">
        <f t="shared" si="4"/>
        <v>Y</v>
      </c>
      <c r="C826" s="6" t="s">
        <v>2109</v>
      </c>
      <c r="D826" s="327"/>
      <c r="E826" s="327" t="s">
        <v>2110</v>
      </c>
      <c r="F826" s="206" t="s">
        <v>2111</v>
      </c>
      <c r="G826" s="206" t="s">
        <v>2108</v>
      </c>
      <c r="H826" s="206" t="s">
        <v>2104</v>
      </c>
      <c r="K826" s="302">
        <v>8092223466</v>
      </c>
      <c r="M826" s="212"/>
      <c r="N826" s="213"/>
      <c r="O826" s="209"/>
    </row>
    <row r="827" spans="1:16" x14ac:dyDescent="0.3">
      <c r="A827" s="302" t="s">
        <v>155</v>
      </c>
      <c r="B827" s="302" t="str">
        <f t="shared" si="4"/>
        <v>Y</v>
      </c>
      <c r="C827" s="6" t="s">
        <v>2112</v>
      </c>
      <c r="D827" s="327"/>
      <c r="E827" s="327" t="s">
        <v>2113</v>
      </c>
      <c r="F827" s="206" t="s">
        <v>2114</v>
      </c>
      <c r="G827" s="206" t="s">
        <v>2104</v>
      </c>
      <c r="H827" s="206" t="s">
        <v>2104</v>
      </c>
      <c r="K827" s="302">
        <v>9113130824</v>
      </c>
      <c r="M827" s="212"/>
      <c r="N827" s="213"/>
      <c r="O827" s="209"/>
    </row>
    <row r="828" spans="1:16" x14ac:dyDescent="0.3">
      <c r="A828" s="302" t="s">
        <v>155</v>
      </c>
      <c r="B828" s="302" t="str">
        <f t="shared" si="4"/>
        <v>Y</v>
      </c>
      <c r="C828" s="6" t="s">
        <v>2115</v>
      </c>
      <c r="D828" s="327"/>
      <c r="E828" s="327" t="s">
        <v>2116</v>
      </c>
      <c r="F828" s="206" t="s">
        <v>2117</v>
      </c>
      <c r="G828" s="206" t="s">
        <v>2104</v>
      </c>
      <c r="H828" s="206" t="s">
        <v>2104</v>
      </c>
      <c r="K828" s="302">
        <v>7008218699</v>
      </c>
      <c r="M828" s="212"/>
      <c r="N828" s="213"/>
      <c r="O828" s="209"/>
    </row>
    <row r="829" spans="1:16" x14ac:dyDescent="0.3">
      <c r="A829" s="302" t="s">
        <v>155</v>
      </c>
      <c r="B829" s="302" t="str">
        <f t="shared" si="4"/>
        <v>Y</v>
      </c>
      <c r="C829" s="6" t="s">
        <v>2118</v>
      </c>
      <c r="D829" s="327"/>
      <c r="E829" s="327" t="s">
        <v>2119</v>
      </c>
      <c r="F829" s="206" t="s">
        <v>2111</v>
      </c>
      <c r="G829" s="206" t="s">
        <v>2104</v>
      </c>
      <c r="H829" s="206" t="s">
        <v>2104</v>
      </c>
      <c r="K829" s="302">
        <v>6200747234</v>
      </c>
      <c r="M829" s="212"/>
      <c r="N829" s="213"/>
      <c r="O829" s="209"/>
    </row>
    <row r="830" spans="1:16" x14ac:dyDescent="0.3">
      <c r="A830" s="302" t="s">
        <v>155</v>
      </c>
      <c r="B830" s="302" t="str">
        <f t="shared" si="4"/>
        <v>Y</v>
      </c>
      <c r="C830" s="6" t="s">
        <v>2120</v>
      </c>
      <c r="D830" s="327"/>
      <c r="E830" s="327" t="s">
        <v>2121</v>
      </c>
      <c r="F830" s="206" t="s">
        <v>2122</v>
      </c>
      <c r="G830" s="206" t="s">
        <v>2104</v>
      </c>
      <c r="H830" s="206" t="s">
        <v>2123</v>
      </c>
      <c r="K830" s="302">
        <v>9955844105</v>
      </c>
      <c r="M830" s="212"/>
      <c r="N830" s="213"/>
      <c r="O830" s="209"/>
    </row>
    <row r="831" spans="1:16" x14ac:dyDescent="0.3">
      <c r="A831" s="238" t="s">
        <v>155</v>
      </c>
      <c r="B831" s="238" t="str">
        <f t="shared" si="4"/>
        <v>Y</v>
      </c>
      <c r="C831" s="457" t="s">
        <v>2124</v>
      </c>
      <c r="D831" s="335"/>
      <c r="E831" s="335" t="s">
        <v>2125</v>
      </c>
      <c r="F831" s="239" t="s">
        <v>2126</v>
      </c>
      <c r="G831" s="239" t="s">
        <v>2123</v>
      </c>
      <c r="H831" s="239" t="s">
        <v>2123</v>
      </c>
      <c r="I831" s="4"/>
      <c r="J831" s="4"/>
      <c r="K831" s="238">
        <v>620010964</v>
      </c>
      <c r="L831" s="4"/>
      <c r="M831" s="241"/>
      <c r="N831" s="242"/>
      <c r="O831" s="243"/>
      <c r="P831" s="4"/>
    </row>
    <row r="832" spans="1:16" x14ac:dyDescent="0.3">
      <c r="A832" s="302" t="s">
        <v>155</v>
      </c>
      <c r="B832" s="302" t="str">
        <f t="shared" si="4"/>
        <v>Y</v>
      </c>
      <c r="C832" s="6" t="s">
        <v>2127</v>
      </c>
      <c r="D832" s="327"/>
      <c r="E832" s="327" t="s">
        <v>2128</v>
      </c>
      <c r="F832" s="206" t="s">
        <v>2129</v>
      </c>
      <c r="G832" s="206" t="s">
        <v>2123</v>
      </c>
      <c r="H832" s="206" t="s">
        <v>2123</v>
      </c>
      <c r="K832" s="302">
        <v>7488197474</v>
      </c>
      <c r="L832" s="2" t="s">
        <v>556</v>
      </c>
      <c r="M832" s="212"/>
      <c r="N832" s="213"/>
      <c r="O832" s="209"/>
    </row>
    <row r="833" spans="1:16" x14ac:dyDescent="0.3">
      <c r="A833" s="302" t="s">
        <v>155</v>
      </c>
      <c r="B833" s="302" t="str">
        <f t="shared" si="4"/>
        <v>Y</v>
      </c>
      <c r="C833" s="457" t="s">
        <v>2130</v>
      </c>
      <c r="D833" s="335"/>
      <c r="E833" s="335" t="s">
        <v>2131</v>
      </c>
      <c r="F833" s="239" t="s">
        <v>2132</v>
      </c>
      <c r="G833" s="239" t="s">
        <v>2123</v>
      </c>
      <c r="H833" s="239" t="s">
        <v>2123</v>
      </c>
      <c r="I833" s="4"/>
      <c r="J833" s="4"/>
      <c r="K833" s="238">
        <v>7488177612</v>
      </c>
      <c r="L833" s="2" t="s">
        <v>556</v>
      </c>
      <c r="M833" s="212"/>
      <c r="N833" s="213"/>
      <c r="O833" s="209"/>
    </row>
    <row r="834" spans="1:16" x14ac:dyDescent="0.3">
      <c r="A834" s="302" t="s">
        <v>155</v>
      </c>
      <c r="B834" s="302" t="str">
        <f t="shared" si="4"/>
        <v>Y</v>
      </c>
      <c r="C834" s="6" t="s">
        <v>2133</v>
      </c>
      <c r="D834" s="327"/>
      <c r="E834" s="327" t="s">
        <v>2134</v>
      </c>
      <c r="F834" s="206" t="s">
        <v>2135</v>
      </c>
      <c r="G834" s="206" t="s">
        <v>2123</v>
      </c>
      <c r="H834" s="206" t="s">
        <v>2123</v>
      </c>
      <c r="K834" s="302">
        <v>9470567334</v>
      </c>
      <c r="L834" s="2" t="s">
        <v>556</v>
      </c>
      <c r="M834" s="212"/>
      <c r="N834" s="213"/>
      <c r="O834" s="209"/>
    </row>
    <row r="835" spans="1:16" x14ac:dyDescent="0.3">
      <c r="A835" s="238" t="s">
        <v>155</v>
      </c>
      <c r="B835" s="238" t="str">
        <f t="shared" si="4"/>
        <v>Y</v>
      </c>
      <c r="C835" s="457" t="s">
        <v>2136</v>
      </c>
      <c r="D835" s="335"/>
      <c r="E835" s="335" t="s">
        <v>1645</v>
      </c>
      <c r="F835" s="239" t="s">
        <v>2137</v>
      </c>
      <c r="G835" s="239" t="s">
        <v>2123</v>
      </c>
      <c r="H835" s="239" t="s">
        <v>2123</v>
      </c>
      <c r="I835" s="4"/>
      <c r="J835" s="4"/>
      <c r="K835" s="238"/>
      <c r="L835" s="4" t="s">
        <v>556</v>
      </c>
      <c r="M835" s="241"/>
      <c r="N835" s="242"/>
      <c r="O835" s="243"/>
      <c r="P835" s="4"/>
    </row>
    <row r="836" spans="1:16" x14ac:dyDescent="0.3">
      <c r="A836" s="302" t="s">
        <v>155</v>
      </c>
      <c r="B836" s="302" t="str">
        <f t="shared" si="4"/>
        <v>Y</v>
      </c>
      <c r="C836" s="6" t="s">
        <v>2138</v>
      </c>
      <c r="D836" s="327"/>
      <c r="E836" s="327" t="s">
        <v>2139</v>
      </c>
      <c r="F836" s="206" t="s">
        <v>2140</v>
      </c>
      <c r="G836" s="206" t="s">
        <v>2123</v>
      </c>
      <c r="H836" s="206" t="s">
        <v>2123</v>
      </c>
      <c r="K836" s="302">
        <v>8789207209</v>
      </c>
      <c r="L836" s="2" t="s">
        <v>556</v>
      </c>
      <c r="M836" s="212"/>
      <c r="N836" s="213"/>
      <c r="O836" s="209"/>
    </row>
    <row r="837" spans="1:16" x14ac:dyDescent="0.3">
      <c r="A837" s="238" t="s">
        <v>155</v>
      </c>
      <c r="B837" s="238" t="str">
        <f t="shared" si="4"/>
        <v>Y</v>
      </c>
      <c r="C837" s="457" t="s">
        <v>2141</v>
      </c>
      <c r="D837" s="335"/>
      <c r="E837" s="335" t="s">
        <v>2142</v>
      </c>
      <c r="F837" s="239" t="s">
        <v>2143</v>
      </c>
      <c r="G837" s="239" t="s">
        <v>2123</v>
      </c>
      <c r="H837" s="239" t="s">
        <v>2144</v>
      </c>
      <c r="I837" s="4"/>
      <c r="J837" s="4"/>
      <c r="K837" s="238">
        <v>9031709707</v>
      </c>
      <c r="L837" s="4"/>
      <c r="M837" s="241"/>
      <c r="N837" s="242"/>
      <c r="O837" s="243"/>
      <c r="P837" s="4"/>
    </row>
    <row r="838" spans="1:16" x14ac:dyDescent="0.3">
      <c r="A838" s="302" t="s">
        <v>155</v>
      </c>
      <c r="B838" s="302" t="str">
        <f t="shared" si="4"/>
        <v>Y</v>
      </c>
      <c r="C838" s="6" t="s">
        <v>2145</v>
      </c>
      <c r="D838" s="327"/>
      <c r="E838" s="327" t="s">
        <v>2146</v>
      </c>
      <c r="F838" s="206" t="s">
        <v>2147</v>
      </c>
      <c r="G838" s="206" t="s">
        <v>2148</v>
      </c>
      <c r="H838" s="206" t="s">
        <v>2149</v>
      </c>
      <c r="K838" s="302">
        <v>9973678365</v>
      </c>
      <c r="M838" s="212"/>
      <c r="N838" s="213"/>
      <c r="O838" s="209"/>
    </row>
    <row r="839" spans="1:16" x14ac:dyDescent="0.3">
      <c r="A839" s="302" t="s">
        <v>155</v>
      </c>
      <c r="B839" s="302" t="str">
        <f t="shared" si="4"/>
        <v>Y</v>
      </c>
      <c r="C839" s="6" t="s">
        <v>2150</v>
      </c>
      <c r="D839" s="327"/>
      <c r="E839" s="327" t="s">
        <v>489</v>
      </c>
      <c r="F839" s="206" t="s">
        <v>2151</v>
      </c>
      <c r="G839" s="206" t="s">
        <v>2148</v>
      </c>
      <c r="H839" s="206" t="s">
        <v>2152</v>
      </c>
      <c r="K839" s="302">
        <v>6200932821</v>
      </c>
      <c r="M839" s="212"/>
      <c r="N839" s="213"/>
      <c r="O839" s="209"/>
    </row>
    <row r="840" spans="1:16" x14ac:dyDescent="0.3">
      <c r="A840" s="302" t="s">
        <v>155</v>
      </c>
      <c r="B840" s="302" t="str">
        <f t="shared" si="4"/>
        <v>Y</v>
      </c>
      <c r="C840" s="6" t="s">
        <v>2153</v>
      </c>
      <c r="D840" s="327"/>
      <c r="E840" s="327" t="s">
        <v>2154</v>
      </c>
      <c r="F840" s="206" t="s">
        <v>2155</v>
      </c>
      <c r="G840" s="206" t="s">
        <v>2148</v>
      </c>
      <c r="H840" s="206" t="s">
        <v>2152</v>
      </c>
      <c r="K840" s="302">
        <v>9304541919</v>
      </c>
      <c r="M840" s="212"/>
      <c r="N840" s="213"/>
      <c r="O840" s="209"/>
    </row>
    <row r="841" spans="1:16" x14ac:dyDescent="0.3">
      <c r="A841" s="302" t="s">
        <v>155</v>
      </c>
      <c r="B841" s="302" t="str">
        <f t="shared" si="4"/>
        <v>Y</v>
      </c>
      <c r="C841" s="6" t="s">
        <v>2156</v>
      </c>
      <c r="D841" s="327"/>
      <c r="E841" s="327" t="s">
        <v>2157</v>
      </c>
      <c r="F841" s="206" t="s">
        <v>2158</v>
      </c>
      <c r="G841" s="206" t="s">
        <v>2148</v>
      </c>
      <c r="H841" s="206" t="s">
        <v>2152</v>
      </c>
      <c r="K841" s="302">
        <v>8002717721</v>
      </c>
      <c r="M841" s="212"/>
      <c r="N841" s="213"/>
      <c r="O841" s="209"/>
    </row>
    <row r="842" spans="1:16" x14ac:dyDescent="0.3">
      <c r="A842" s="302" t="s">
        <v>155</v>
      </c>
      <c r="B842" s="302" t="str">
        <f t="shared" si="4"/>
        <v>Y</v>
      </c>
      <c r="C842" s="6" t="s">
        <v>2159</v>
      </c>
      <c r="D842" s="327"/>
      <c r="E842" s="327" t="s">
        <v>2160</v>
      </c>
      <c r="F842" s="206" t="s">
        <v>2161</v>
      </c>
      <c r="G842" s="206" t="s">
        <v>2152</v>
      </c>
      <c r="H842" s="206" t="s">
        <v>2152</v>
      </c>
      <c r="K842" s="302">
        <v>9798860156</v>
      </c>
      <c r="M842" s="212"/>
      <c r="N842" s="213"/>
      <c r="O842" s="209"/>
    </row>
    <row r="843" spans="1:16" x14ac:dyDescent="0.3">
      <c r="A843" s="302" t="s">
        <v>155</v>
      </c>
      <c r="B843" s="302" t="str">
        <f t="shared" si="4"/>
        <v>Y</v>
      </c>
      <c r="C843" s="6" t="s">
        <v>2162</v>
      </c>
      <c r="D843" s="327"/>
      <c r="E843" s="327" t="s">
        <v>2163</v>
      </c>
      <c r="F843" s="206" t="s">
        <v>2164</v>
      </c>
      <c r="G843" s="206" t="s">
        <v>2152</v>
      </c>
      <c r="H843" s="206" t="s">
        <v>2152</v>
      </c>
      <c r="K843" s="302">
        <v>9939402224</v>
      </c>
      <c r="M843" s="212"/>
      <c r="N843" s="213"/>
      <c r="O843" s="209"/>
    </row>
    <row r="844" spans="1:16" x14ac:dyDescent="0.3">
      <c r="A844" s="302" t="s">
        <v>155</v>
      </c>
      <c r="B844" s="302" t="str">
        <f t="shared" si="4"/>
        <v>Y</v>
      </c>
      <c r="C844" s="6" t="s">
        <v>2165</v>
      </c>
      <c r="D844" s="327"/>
      <c r="E844" s="327" t="s">
        <v>2166</v>
      </c>
      <c r="F844" s="206" t="s">
        <v>2167</v>
      </c>
      <c r="G844" s="206" t="s">
        <v>2168</v>
      </c>
      <c r="H844" s="206" t="s">
        <v>2169</v>
      </c>
      <c r="K844" s="302">
        <v>8789911215</v>
      </c>
      <c r="M844" s="212"/>
      <c r="N844" s="213"/>
      <c r="O844" s="209"/>
    </row>
    <row r="845" spans="1:16" x14ac:dyDescent="0.3">
      <c r="A845" s="302" t="s">
        <v>155</v>
      </c>
      <c r="B845" s="302" t="str">
        <f t="shared" si="4"/>
        <v>Y</v>
      </c>
      <c r="C845" s="6" t="s">
        <v>2170</v>
      </c>
      <c r="D845" s="327"/>
      <c r="E845" s="327" t="s">
        <v>2171</v>
      </c>
      <c r="F845" s="206" t="s">
        <v>2172</v>
      </c>
      <c r="G845" s="206" t="s">
        <v>2168</v>
      </c>
      <c r="H845" s="206" t="s">
        <v>2169</v>
      </c>
      <c r="K845" s="302">
        <v>9583803880</v>
      </c>
      <c r="M845" s="212"/>
      <c r="N845" s="213"/>
      <c r="O845" s="209"/>
    </row>
    <row r="846" spans="1:16" x14ac:dyDescent="0.3">
      <c r="A846" s="302" t="s">
        <v>155</v>
      </c>
      <c r="B846" s="302" t="str">
        <f t="shared" si="4"/>
        <v>Y</v>
      </c>
      <c r="C846" s="6" t="s">
        <v>2173</v>
      </c>
      <c r="D846" s="327"/>
      <c r="E846" s="327" t="s">
        <v>2174</v>
      </c>
      <c r="F846" s="206" t="s">
        <v>2175</v>
      </c>
      <c r="G846" s="206" t="s">
        <v>2168</v>
      </c>
      <c r="H846" s="206" t="s">
        <v>2168</v>
      </c>
      <c r="K846" s="302">
        <v>9798310778</v>
      </c>
      <c r="M846" s="212"/>
      <c r="N846" s="213"/>
      <c r="O846" s="209"/>
    </row>
    <row r="847" spans="1:16" x14ac:dyDescent="0.3">
      <c r="A847" s="302"/>
      <c r="B847" s="302" t="str">
        <f t="shared" si="4"/>
        <v>Y</v>
      </c>
      <c r="C847" s="6" t="s">
        <v>2176</v>
      </c>
      <c r="D847" s="327"/>
      <c r="E847" s="327" t="s">
        <v>2177</v>
      </c>
      <c r="F847" s="206" t="s">
        <v>2062</v>
      </c>
      <c r="G847" s="206" t="s">
        <v>2168</v>
      </c>
      <c r="H847" s="207">
        <v>43749</v>
      </c>
      <c r="K847" s="302">
        <v>7667816796</v>
      </c>
      <c r="M847" s="212"/>
      <c r="N847" s="213"/>
      <c r="O847" s="209"/>
    </row>
    <row r="848" spans="1:16" x14ac:dyDescent="0.3">
      <c r="A848" s="302"/>
      <c r="B848" s="302" t="str">
        <f t="shared" si="4"/>
        <v>Y</v>
      </c>
      <c r="C848" s="6" t="s">
        <v>2178</v>
      </c>
      <c r="D848" s="327"/>
      <c r="E848" s="327" t="s">
        <v>1971</v>
      </c>
      <c r="F848" s="206" t="s">
        <v>2084</v>
      </c>
      <c r="G848" s="206" t="s">
        <v>2168</v>
      </c>
      <c r="H848" s="207">
        <v>43749</v>
      </c>
      <c r="K848" s="302">
        <v>7667816796</v>
      </c>
      <c r="M848" s="212"/>
      <c r="N848" s="213"/>
      <c r="O848" s="209"/>
    </row>
    <row r="849" spans="1:16" x14ac:dyDescent="0.3">
      <c r="A849" s="302" t="s">
        <v>870</v>
      </c>
      <c r="B849" s="302" t="str">
        <f t="shared" si="4"/>
        <v>Y</v>
      </c>
      <c r="C849" s="6" t="s">
        <v>2179</v>
      </c>
      <c r="D849" s="327"/>
      <c r="E849" s="327" t="s">
        <v>2180</v>
      </c>
      <c r="F849" s="206" t="s">
        <v>2181</v>
      </c>
      <c r="G849" s="206" t="s">
        <v>2169</v>
      </c>
      <c r="H849" s="206" t="s">
        <v>2169</v>
      </c>
      <c r="M849" s="212"/>
      <c r="N849" s="213"/>
      <c r="O849" s="209"/>
    </row>
    <row r="850" spans="1:16" x14ac:dyDescent="0.3">
      <c r="A850" s="302" t="s">
        <v>155</v>
      </c>
      <c r="B850" s="302" t="str">
        <f t="shared" si="4"/>
        <v>Y</v>
      </c>
      <c r="C850" s="6" t="s">
        <v>2182</v>
      </c>
      <c r="D850" s="327"/>
      <c r="E850" s="327" t="s">
        <v>2183</v>
      </c>
      <c r="F850" s="206" t="s">
        <v>2184</v>
      </c>
      <c r="G850" s="206" t="s">
        <v>2169</v>
      </c>
      <c r="H850" s="206" t="s">
        <v>2169</v>
      </c>
      <c r="K850" s="302">
        <v>7209585805</v>
      </c>
      <c r="M850" s="212"/>
      <c r="N850" s="213"/>
      <c r="O850" s="209"/>
    </row>
    <row r="851" spans="1:16" x14ac:dyDescent="0.3">
      <c r="A851" s="302" t="s">
        <v>155</v>
      </c>
      <c r="B851" s="302" t="str">
        <f t="shared" si="4"/>
        <v>Y</v>
      </c>
      <c r="C851" s="6" t="s">
        <v>2185</v>
      </c>
      <c r="D851" s="327"/>
      <c r="E851" s="327" t="s">
        <v>2186</v>
      </c>
      <c r="F851" s="206" t="s">
        <v>2187</v>
      </c>
      <c r="G851" s="206" t="s">
        <v>2169</v>
      </c>
      <c r="H851" s="206" t="s">
        <v>2169</v>
      </c>
      <c r="K851" s="302">
        <v>7209568650</v>
      </c>
      <c r="M851" s="212"/>
      <c r="N851" s="213"/>
      <c r="O851" s="209"/>
    </row>
    <row r="852" spans="1:16" x14ac:dyDescent="0.3">
      <c r="A852" s="302" t="s">
        <v>155</v>
      </c>
      <c r="B852" s="302" t="str">
        <f t="shared" si="4"/>
        <v>Y</v>
      </c>
      <c r="C852" s="6" t="s">
        <v>2109</v>
      </c>
      <c r="D852" s="327"/>
      <c r="E852" s="327" t="s">
        <v>2110</v>
      </c>
      <c r="F852" s="206" t="s">
        <v>2111</v>
      </c>
      <c r="G852" s="206" t="s">
        <v>2169</v>
      </c>
      <c r="H852" s="206" t="s">
        <v>2169</v>
      </c>
      <c r="K852" s="302">
        <v>8092223466</v>
      </c>
      <c r="M852" s="212"/>
      <c r="N852" s="213"/>
      <c r="O852" s="209"/>
    </row>
    <row r="853" spans="1:16" x14ac:dyDescent="0.3">
      <c r="A853" s="302" t="s">
        <v>155</v>
      </c>
      <c r="B853" s="302" t="str">
        <f t="shared" si="4"/>
        <v>Y</v>
      </c>
      <c r="C853" s="6" t="s">
        <v>2188</v>
      </c>
      <c r="D853" s="327"/>
      <c r="E853" s="327" t="s">
        <v>2189</v>
      </c>
      <c r="F853" s="206" t="s">
        <v>2190</v>
      </c>
      <c r="G853" s="206" t="s">
        <v>2169</v>
      </c>
      <c r="H853" s="206" t="s">
        <v>2169</v>
      </c>
      <c r="K853" s="302">
        <v>7258876970</v>
      </c>
      <c r="M853" s="212"/>
      <c r="N853" s="213"/>
      <c r="O853" s="209"/>
    </row>
    <row r="854" spans="1:16" x14ac:dyDescent="0.3">
      <c r="A854" s="221" t="s">
        <v>155</v>
      </c>
      <c r="B854" s="221" t="str">
        <f t="shared" si="4"/>
        <v>Y</v>
      </c>
      <c r="C854" s="451" t="s">
        <v>2191</v>
      </c>
      <c r="D854" s="329"/>
      <c r="E854" s="329" t="s">
        <v>2192</v>
      </c>
      <c r="F854" s="219" t="s">
        <v>2193</v>
      </c>
      <c r="G854" s="219" t="s">
        <v>2169</v>
      </c>
      <c r="H854" s="220">
        <v>43748</v>
      </c>
      <c r="I854" s="9"/>
      <c r="J854" s="9"/>
      <c r="K854" s="221">
        <v>9693731966</v>
      </c>
      <c r="L854" s="9"/>
      <c r="M854" s="222"/>
      <c r="N854" s="247"/>
      <c r="O854" s="248"/>
      <c r="P854" s="9"/>
    </row>
    <row r="855" spans="1:16" x14ac:dyDescent="0.3">
      <c r="A855" s="302" t="s">
        <v>155</v>
      </c>
      <c r="B855" s="302" t="str">
        <f t="shared" si="4"/>
        <v>Y</v>
      </c>
      <c r="C855" s="6" t="s">
        <v>2194</v>
      </c>
      <c r="D855" s="327"/>
      <c r="E855" s="327" t="s">
        <v>2195</v>
      </c>
      <c r="F855" s="206" t="s">
        <v>2196</v>
      </c>
      <c r="G855" s="206" t="s">
        <v>2169</v>
      </c>
      <c r="H855" s="207">
        <v>43748</v>
      </c>
      <c r="K855" s="302">
        <v>9693731966</v>
      </c>
      <c r="M855" s="212"/>
      <c r="N855" s="213"/>
      <c r="O855" s="209"/>
    </row>
    <row r="856" spans="1:16" x14ac:dyDescent="0.3">
      <c r="A856" s="302" t="s">
        <v>155</v>
      </c>
      <c r="B856" s="302" t="str">
        <f t="shared" si="4"/>
        <v>Y</v>
      </c>
      <c r="C856" s="6" t="s">
        <v>2197</v>
      </c>
      <c r="D856" s="327"/>
      <c r="E856" s="327" t="s">
        <v>2198</v>
      </c>
      <c r="F856" s="206" t="s">
        <v>2199</v>
      </c>
      <c r="G856" s="206" t="s">
        <v>2200</v>
      </c>
      <c r="H856" s="206" t="s">
        <v>2200</v>
      </c>
      <c r="K856" s="302">
        <v>9955143006</v>
      </c>
      <c r="L856" s="2" t="s">
        <v>2201</v>
      </c>
      <c r="M856" s="212"/>
      <c r="N856" s="213"/>
      <c r="O856" s="209"/>
    </row>
    <row r="857" spans="1:16" x14ac:dyDescent="0.3">
      <c r="A857" s="302" t="s">
        <v>155</v>
      </c>
      <c r="B857" s="302" t="str">
        <f t="shared" si="4"/>
        <v>Y</v>
      </c>
      <c r="C857" s="6" t="s">
        <v>2202</v>
      </c>
      <c r="D857" s="327"/>
      <c r="E857" s="327" t="s">
        <v>2203</v>
      </c>
      <c r="F857" s="206" t="s">
        <v>2204</v>
      </c>
      <c r="G857" s="206" t="s">
        <v>2200</v>
      </c>
      <c r="H857" s="206" t="s">
        <v>2200</v>
      </c>
      <c r="K857" s="302">
        <v>9955143006</v>
      </c>
      <c r="L857" s="2" t="s">
        <v>2205</v>
      </c>
      <c r="M857" s="212"/>
      <c r="N857" s="213"/>
      <c r="O857" s="209"/>
    </row>
    <row r="858" spans="1:16" x14ac:dyDescent="0.3">
      <c r="A858" s="249" t="s">
        <v>155</v>
      </c>
      <c r="B858" s="249" t="str">
        <f t="shared" si="4"/>
        <v>Y</v>
      </c>
      <c r="C858" s="461" t="s">
        <v>2206</v>
      </c>
      <c r="D858" s="339"/>
      <c r="E858" s="339" t="s">
        <v>2207</v>
      </c>
      <c r="F858" s="251" t="s">
        <v>2208</v>
      </c>
      <c r="G858" s="251" t="s">
        <v>2209</v>
      </c>
      <c r="H858" s="251" t="s">
        <v>2209</v>
      </c>
      <c r="I858" s="250"/>
      <c r="J858" s="250"/>
      <c r="K858" s="249">
        <v>6204134435</v>
      </c>
      <c r="L858" s="250"/>
      <c r="M858" s="252"/>
      <c r="N858" s="253"/>
      <c r="O858" s="254"/>
      <c r="P858" s="250"/>
    </row>
    <row r="859" spans="1:16" x14ac:dyDescent="0.3">
      <c r="A859" s="238" t="s">
        <v>155</v>
      </c>
      <c r="B859" s="238" t="str">
        <f t="shared" si="4"/>
        <v>Y</v>
      </c>
      <c r="C859" s="457" t="s">
        <v>2210</v>
      </c>
      <c r="D859" s="335"/>
      <c r="E859" s="335" t="s">
        <v>2211</v>
      </c>
      <c r="F859" s="239" t="s">
        <v>2212</v>
      </c>
      <c r="G859" s="239" t="s">
        <v>2209</v>
      </c>
      <c r="H859" s="239" t="s">
        <v>2213</v>
      </c>
      <c r="I859" s="4"/>
      <c r="J859" s="4"/>
      <c r="K859" s="238">
        <v>7631039502</v>
      </c>
      <c r="L859" s="4"/>
      <c r="M859" s="241"/>
      <c r="N859" s="242"/>
      <c r="O859" s="243"/>
      <c r="P859" s="4"/>
    </row>
    <row r="860" spans="1:16" x14ac:dyDescent="0.3">
      <c r="A860" s="302" t="s">
        <v>155</v>
      </c>
      <c r="B860" s="302" t="str">
        <f t="shared" si="4"/>
        <v>Y</v>
      </c>
      <c r="C860" s="6" t="s">
        <v>2214</v>
      </c>
      <c r="D860" s="327"/>
      <c r="E860" s="327" t="s">
        <v>2215</v>
      </c>
      <c r="F860" s="206" t="s">
        <v>2216</v>
      </c>
      <c r="G860" s="206" t="s">
        <v>2213</v>
      </c>
      <c r="H860" s="206" t="s">
        <v>2213</v>
      </c>
      <c r="K860" s="302">
        <v>9431961617</v>
      </c>
      <c r="L860" s="2" t="s">
        <v>2217</v>
      </c>
      <c r="M860" s="212"/>
      <c r="N860" s="213"/>
      <c r="O860" s="209"/>
    </row>
    <row r="861" spans="1:16" x14ac:dyDescent="0.3">
      <c r="A861" s="302" t="s">
        <v>155</v>
      </c>
      <c r="B861" s="302" t="str">
        <f t="shared" si="4"/>
        <v>Y</v>
      </c>
      <c r="C861" s="6" t="s">
        <v>2218</v>
      </c>
      <c r="D861" s="327"/>
      <c r="E861" s="327" t="s">
        <v>2219</v>
      </c>
      <c r="F861" s="206" t="s">
        <v>2220</v>
      </c>
      <c r="G861" s="206" t="s">
        <v>2213</v>
      </c>
      <c r="H861" s="206" t="s">
        <v>2213</v>
      </c>
      <c r="K861" s="302">
        <v>6202154252</v>
      </c>
      <c r="M861" s="212"/>
      <c r="N861" s="213"/>
      <c r="O861" s="209"/>
    </row>
    <row r="862" spans="1:16" x14ac:dyDescent="0.3">
      <c r="A862" s="302" t="s">
        <v>155</v>
      </c>
      <c r="B862" s="302" t="str">
        <f t="shared" si="4"/>
        <v>Y</v>
      </c>
      <c r="C862" s="6" t="s">
        <v>2221</v>
      </c>
      <c r="D862" s="327"/>
      <c r="E862" s="327" t="s">
        <v>2222</v>
      </c>
      <c r="F862" s="206" t="s">
        <v>2223</v>
      </c>
      <c r="G862" s="206" t="s">
        <v>2213</v>
      </c>
      <c r="H862" s="206" t="s">
        <v>2213</v>
      </c>
      <c r="K862" s="302">
        <v>8235601373</v>
      </c>
      <c r="M862" s="212"/>
      <c r="N862" s="213"/>
      <c r="O862" s="209"/>
    </row>
    <row r="863" spans="1:16" x14ac:dyDescent="0.3">
      <c r="A863" s="302" t="s">
        <v>155</v>
      </c>
      <c r="B863" s="302" t="str">
        <f t="shared" si="4"/>
        <v>Y</v>
      </c>
      <c r="C863" s="458" t="s">
        <v>2224</v>
      </c>
      <c r="D863" s="334"/>
      <c r="E863" s="327" t="s">
        <v>2225</v>
      </c>
      <c r="F863" s="206" t="s">
        <v>2226</v>
      </c>
      <c r="G863" s="206" t="s">
        <v>2213</v>
      </c>
      <c r="H863" s="207" t="s">
        <v>2213</v>
      </c>
      <c r="K863" s="302">
        <v>7405796925</v>
      </c>
      <c r="M863" s="212"/>
      <c r="N863" s="213"/>
      <c r="O863" s="209"/>
    </row>
    <row r="864" spans="1:16" x14ac:dyDescent="0.3">
      <c r="A864" s="302" t="s">
        <v>155</v>
      </c>
      <c r="B864" s="302" t="str">
        <f t="shared" si="4"/>
        <v>Y</v>
      </c>
      <c r="C864" s="6" t="s">
        <v>2227</v>
      </c>
      <c r="D864" s="327"/>
      <c r="E864" s="327" t="s">
        <v>2228</v>
      </c>
      <c r="F864" s="206" t="s">
        <v>2229</v>
      </c>
      <c r="G864" s="206" t="s">
        <v>2230</v>
      </c>
      <c r="H864" s="207">
        <v>43748</v>
      </c>
      <c r="K864" s="302">
        <v>8797597329</v>
      </c>
      <c r="M864" s="212"/>
      <c r="N864" s="213"/>
      <c r="O864" s="209"/>
    </row>
    <row r="865" spans="1:15" x14ac:dyDescent="0.3">
      <c r="A865" s="302" t="s">
        <v>155</v>
      </c>
      <c r="B865" s="302" t="str">
        <f t="shared" si="4"/>
        <v>Y</v>
      </c>
      <c r="C865" s="458" t="s">
        <v>2231</v>
      </c>
      <c r="D865" s="334"/>
      <c r="E865" s="327" t="s">
        <v>2232</v>
      </c>
      <c r="F865" s="206" t="s">
        <v>2233</v>
      </c>
      <c r="G865" s="206" t="s">
        <v>2230</v>
      </c>
      <c r="H865" s="207">
        <v>43748</v>
      </c>
      <c r="K865" s="302">
        <v>7991170355</v>
      </c>
      <c r="M865" s="212"/>
      <c r="N865" s="213"/>
      <c r="O865" s="209"/>
    </row>
    <row r="866" spans="1:15" x14ac:dyDescent="0.3">
      <c r="A866" s="302" t="s">
        <v>155</v>
      </c>
      <c r="B866" s="302" t="str">
        <f t="shared" si="4"/>
        <v>Y</v>
      </c>
      <c r="C866" s="458" t="s">
        <v>2234</v>
      </c>
      <c r="D866" s="334"/>
      <c r="E866" s="327" t="s">
        <v>2235</v>
      </c>
      <c r="F866" s="206" t="s">
        <v>2236</v>
      </c>
      <c r="G866" s="206" t="s">
        <v>2237</v>
      </c>
      <c r="H866" s="207">
        <v>43748</v>
      </c>
      <c r="K866" s="302">
        <v>9931127422</v>
      </c>
      <c r="M866" s="212"/>
      <c r="N866" s="213"/>
      <c r="O866" s="209"/>
    </row>
    <row r="867" spans="1:15" x14ac:dyDescent="0.3">
      <c r="A867" s="302" t="s">
        <v>155</v>
      </c>
      <c r="B867" s="302" t="str">
        <f t="shared" si="4"/>
        <v>Y</v>
      </c>
      <c r="C867" s="458" t="s">
        <v>2238</v>
      </c>
      <c r="D867" s="334"/>
      <c r="E867" s="327" t="s">
        <v>2239</v>
      </c>
      <c r="F867" s="206" t="s">
        <v>2240</v>
      </c>
      <c r="G867" s="206" t="s">
        <v>2237</v>
      </c>
      <c r="H867" s="207">
        <v>43748</v>
      </c>
      <c r="K867" s="302">
        <v>8092524722</v>
      </c>
      <c r="M867" s="212"/>
      <c r="N867" s="213"/>
      <c r="O867" s="209"/>
    </row>
    <row r="868" spans="1:15" x14ac:dyDescent="0.3">
      <c r="A868" s="302" t="s">
        <v>155</v>
      </c>
      <c r="B868" s="302" t="str">
        <f t="shared" si="4"/>
        <v>Y</v>
      </c>
      <c r="C868" s="6" t="s">
        <v>2241</v>
      </c>
      <c r="D868" s="327"/>
      <c r="E868" s="327" t="s">
        <v>2242</v>
      </c>
      <c r="F868" s="206" t="s">
        <v>2243</v>
      </c>
      <c r="G868" s="206" t="s">
        <v>2237</v>
      </c>
      <c r="H868" s="207">
        <v>43748</v>
      </c>
      <c r="K868" s="302">
        <v>9835469789</v>
      </c>
      <c r="M868" s="212"/>
      <c r="N868" s="213"/>
      <c r="O868" s="209"/>
    </row>
    <row r="869" spans="1:15" x14ac:dyDescent="0.3">
      <c r="A869" s="302" t="s">
        <v>155</v>
      </c>
      <c r="B869" s="302" t="str">
        <f t="shared" si="4"/>
        <v>Y</v>
      </c>
      <c r="C869" s="6" t="s">
        <v>2244</v>
      </c>
      <c r="D869" s="327"/>
      <c r="E869" s="327" t="s">
        <v>2245</v>
      </c>
      <c r="F869" s="206" t="s">
        <v>2246</v>
      </c>
      <c r="G869" s="206" t="s">
        <v>2247</v>
      </c>
      <c r="H869" s="206" t="s">
        <v>2248</v>
      </c>
      <c r="K869" s="302">
        <v>9608553320</v>
      </c>
      <c r="M869" s="212"/>
      <c r="N869" s="213"/>
      <c r="O869" s="209"/>
    </row>
    <row r="870" spans="1:15" x14ac:dyDescent="0.3">
      <c r="A870" s="302" t="s">
        <v>155</v>
      </c>
      <c r="B870" s="302" t="str">
        <f t="shared" si="4"/>
        <v>Y</v>
      </c>
      <c r="C870" s="6" t="s">
        <v>2249</v>
      </c>
      <c r="D870" s="327"/>
      <c r="E870" s="327" t="s">
        <v>2250</v>
      </c>
      <c r="F870" s="206" t="s">
        <v>2251</v>
      </c>
      <c r="G870" s="206" t="s">
        <v>2248</v>
      </c>
      <c r="H870" s="207">
        <v>43751</v>
      </c>
      <c r="K870" s="302">
        <v>9135936042</v>
      </c>
      <c r="M870" s="212"/>
      <c r="N870" s="213"/>
      <c r="O870" s="209"/>
    </row>
    <row r="871" spans="1:15" x14ac:dyDescent="0.3">
      <c r="A871" s="302" t="s">
        <v>155</v>
      </c>
      <c r="B871" s="302" t="str">
        <f t="shared" si="4"/>
        <v>Y</v>
      </c>
      <c r="C871" s="6" t="s">
        <v>2252</v>
      </c>
      <c r="D871" s="327"/>
      <c r="E871" s="327" t="s">
        <v>2253</v>
      </c>
      <c r="F871" s="206" t="s">
        <v>2254</v>
      </c>
      <c r="G871" s="206" t="s">
        <v>2247</v>
      </c>
      <c r="H871" s="206" t="s">
        <v>2248</v>
      </c>
      <c r="K871" s="302">
        <v>7766904897</v>
      </c>
      <c r="L871" s="2" t="s">
        <v>556</v>
      </c>
      <c r="M871" s="212"/>
      <c r="N871" s="213"/>
      <c r="O871" s="209"/>
    </row>
    <row r="872" spans="1:15" x14ac:dyDescent="0.3">
      <c r="A872" s="302" t="s">
        <v>155</v>
      </c>
      <c r="B872" s="302" t="str">
        <f t="shared" si="4"/>
        <v>Y</v>
      </c>
      <c r="C872" s="6" t="s">
        <v>2255</v>
      </c>
      <c r="D872" s="327"/>
      <c r="E872" s="327" t="s">
        <v>2256</v>
      </c>
      <c r="F872" s="206" t="s">
        <v>2257</v>
      </c>
      <c r="G872" s="206" t="s">
        <v>2248</v>
      </c>
      <c r="H872" s="206" t="s">
        <v>2248</v>
      </c>
      <c r="K872" s="302">
        <v>8935924667</v>
      </c>
      <c r="L872" s="2" t="s">
        <v>486</v>
      </c>
      <c r="M872" s="212"/>
      <c r="N872" s="213"/>
      <c r="O872" s="209"/>
    </row>
    <row r="873" spans="1:15" x14ac:dyDescent="0.3">
      <c r="A873" s="302" t="s">
        <v>155</v>
      </c>
      <c r="B873" s="302" t="str">
        <f t="shared" si="4"/>
        <v>Y</v>
      </c>
      <c r="C873" s="6" t="s">
        <v>2258</v>
      </c>
      <c r="D873" s="327"/>
      <c r="E873" s="327" t="s">
        <v>2259</v>
      </c>
      <c r="F873" s="206" t="s">
        <v>2260</v>
      </c>
      <c r="G873" s="206" t="s">
        <v>2248</v>
      </c>
      <c r="H873" s="206" t="s">
        <v>2248</v>
      </c>
      <c r="M873" s="212"/>
      <c r="N873" s="213"/>
      <c r="O873" s="209"/>
    </row>
    <row r="874" spans="1:15" x14ac:dyDescent="0.3">
      <c r="A874" s="302" t="s">
        <v>155</v>
      </c>
      <c r="B874" s="302" t="str">
        <f t="shared" si="4"/>
        <v>Y</v>
      </c>
      <c r="C874" s="6" t="s">
        <v>2261</v>
      </c>
      <c r="D874" s="327"/>
      <c r="E874" s="327" t="s">
        <v>2262</v>
      </c>
      <c r="F874" s="206" t="s">
        <v>2263</v>
      </c>
      <c r="G874" s="206" t="s">
        <v>2264</v>
      </c>
      <c r="H874" s="206" t="s">
        <v>2264</v>
      </c>
      <c r="K874" s="302">
        <v>8434670641</v>
      </c>
      <c r="M874" s="212"/>
      <c r="N874" s="213"/>
      <c r="O874" s="209"/>
    </row>
    <row r="875" spans="1:15" x14ac:dyDescent="0.3">
      <c r="A875" s="302" t="s">
        <v>155</v>
      </c>
      <c r="B875" s="302" t="str">
        <f t="shared" si="4"/>
        <v>Y</v>
      </c>
      <c r="C875" s="6" t="s">
        <v>2265</v>
      </c>
      <c r="D875" s="327"/>
      <c r="E875" s="327" t="s">
        <v>2266</v>
      </c>
      <c r="F875" s="206" t="s">
        <v>2267</v>
      </c>
      <c r="G875" s="206" t="s">
        <v>2264</v>
      </c>
      <c r="H875" s="206" t="s">
        <v>2268</v>
      </c>
      <c r="K875" s="302">
        <v>9576501435</v>
      </c>
      <c r="M875" s="212"/>
      <c r="N875" s="213"/>
      <c r="O875" s="209"/>
    </row>
    <row r="876" spans="1:15" x14ac:dyDescent="0.3">
      <c r="A876" s="302" t="s">
        <v>155</v>
      </c>
      <c r="B876" s="302" t="str">
        <f t="shared" si="4"/>
        <v>Y</v>
      </c>
      <c r="C876" s="6" t="s">
        <v>2269</v>
      </c>
      <c r="D876" s="327"/>
      <c r="E876" s="327" t="s">
        <v>2270</v>
      </c>
      <c r="F876" s="206" t="s">
        <v>2271</v>
      </c>
      <c r="G876" s="206" t="s">
        <v>2268</v>
      </c>
      <c r="H876" s="206" t="s">
        <v>2268</v>
      </c>
      <c r="K876" s="302">
        <v>9973805319</v>
      </c>
      <c r="M876" s="212"/>
      <c r="N876" s="213"/>
      <c r="O876" s="209"/>
    </row>
    <row r="877" spans="1:15" x14ac:dyDescent="0.3">
      <c r="A877" s="302" t="s">
        <v>155</v>
      </c>
      <c r="B877" s="302" t="str">
        <f t="shared" si="4"/>
        <v>Y</v>
      </c>
      <c r="C877" s="6" t="s">
        <v>2272</v>
      </c>
      <c r="D877" s="327"/>
      <c r="E877" s="327" t="s">
        <v>2273</v>
      </c>
      <c r="F877" s="206" t="s">
        <v>2274</v>
      </c>
      <c r="G877" s="206" t="s">
        <v>2268</v>
      </c>
      <c r="H877" s="206" t="s">
        <v>2268</v>
      </c>
      <c r="K877" s="302">
        <v>8757933528</v>
      </c>
      <c r="M877" s="212"/>
      <c r="N877" s="213"/>
      <c r="O877" s="209"/>
    </row>
    <row r="878" spans="1:15" x14ac:dyDescent="0.3">
      <c r="A878" s="302" t="s">
        <v>155</v>
      </c>
      <c r="B878" s="302" t="str">
        <f t="shared" si="4"/>
        <v>Y</v>
      </c>
      <c r="C878" s="6" t="s">
        <v>2275</v>
      </c>
      <c r="D878" s="327"/>
      <c r="E878" s="327" t="s">
        <v>2276</v>
      </c>
      <c r="F878" s="206" t="s">
        <v>2277</v>
      </c>
      <c r="G878" s="206" t="s">
        <v>2268</v>
      </c>
      <c r="H878" s="206" t="s">
        <v>2268</v>
      </c>
      <c r="K878" s="302">
        <v>9304988427</v>
      </c>
      <c r="L878" s="2">
        <v>542482609152</v>
      </c>
      <c r="M878" s="212"/>
      <c r="N878" s="213"/>
      <c r="O878" s="209"/>
    </row>
    <row r="879" spans="1:15" x14ac:dyDescent="0.3">
      <c r="A879" s="302" t="s">
        <v>155</v>
      </c>
      <c r="B879" s="302" t="str">
        <f t="shared" si="4"/>
        <v>Y</v>
      </c>
      <c r="C879" s="6" t="s">
        <v>2278</v>
      </c>
      <c r="D879" s="327"/>
      <c r="E879" s="327" t="s">
        <v>2279</v>
      </c>
      <c r="F879" s="206" t="s">
        <v>2280</v>
      </c>
      <c r="G879" s="206" t="s">
        <v>2268</v>
      </c>
      <c r="H879" s="206" t="s">
        <v>2268</v>
      </c>
      <c r="K879" s="302">
        <v>8235183855</v>
      </c>
      <c r="M879" s="212"/>
      <c r="N879" s="213"/>
      <c r="O879" s="209"/>
    </row>
    <row r="880" spans="1:15" x14ac:dyDescent="0.3">
      <c r="A880" s="302" t="s">
        <v>155</v>
      </c>
      <c r="B880" s="302" t="str">
        <f t="shared" si="4"/>
        <v>Y</v>
      </c>
      <c r="C880" s="6" t="s">
        <v>2281</v>
      </c>
      <c r="D880" s="327"/>
      <c r="E880" s="327" t="s">
        <v>2282</v>
      </c>
      <c r="F880" s="206" t="s">
        <v>2087</v>
      </c>
      <c r="G880" s="206" t="s">
        <v>2268</v>
      </c>
      <c r="H880" s="206" t="s">
        <v>2268</v>
      </c>
      <c r="K880" s="302">
        <v>9065746698</v>
      </c>
      <c r="M880" s="212"/>
      <c r="N880" s="213"/>
      <c r="O880" s="209"/>
    </row>
    <row r="881" spans="1:16" x14ac:dyDescent="0.3">
      <c r="A881" s="238" t="s">
        <v>155</v>
      </c>
      <c r="B881" s="238" t="str">
        <f t="shared" si="4"/>
        <v>Y</v>
      </c>
      <c r="C881" s="457" t="s">
        <v>2283</v>
      </c>
      <c r="D881" s="335"/>
      <c r="E881" s="335" t="s">
        <v>2284</v>
      </c>
      <c r="F881" s="239" t="s">
        <v>1926</v>
      </c>
      <c r="G881" s="239" t="s">
        <v>2268</v>
      </c>
      <c r="H881" s="240">
        <v>43753</v>
      </c>
      <c r="I881" s="4"/>
      <c r="J881" s="4"/>
      <c r="K881" s="238">
        <v>9031398477</v>
      </c>
      <c r="L881" s="4"/>
      <c r="M881" s="241"/>
      <c r="N881" s="242"/>
      <c r="O881" s="243"/>
      <c r="P881" s="4"/>
    </row>
    <row r="882" spans="1:16" x14ac:dyDescent="0.3">
      <c r="A882" s="238" t="s">
        <v>155</v>
      </c>
      <c r="B882" s="238" t="str">
        <f t="shared" si="4"/>
        <v>Y</v>
      </c>
      <c r="C882" s="457" t="s">
        <v>2285</v>
      </c>
      <c r="D882" s="335"/>
      <c r="E882" s="335" t="s">
        <v>2286</v>
      </c>
      <c r="F882" s="239" t="s">
        <v>2287</v>
      </c>
      <c r="G882" s="239" t="s">
        <v>2288</v>
      </c>
      <c r="H882" s="240">
        <v>43756</v>
      </c>
      <c r="I882" s="4"/>
      <c r="J882" s="4"/>
      <c r="K882" s="238">
        <v>8987600904</v>
      </c>
      <c r="L882" s="4"/>
      <c r="M882" s="241"/>
      <c r="N882" s="242"/>
      <c r="O882" s="243"/>
      <c r="P882" s="4"/>
    </row>
    <row r="883" spans="1:16" x14ac:dyDescent="0.3">
      <c r="A883" s="302" t="s">
        <v>155</v>
      </c>
      <c r="B883" s="302" t="str">
        <f t="shared" si="4"/>
        <v>N</v>
      </c>
      <c r="C883" s="6" t="s">
        <v>2289</v>
      </c>
      <c r="D883" s="327"/>
      <c r="E883" s="327" t="s">
        <v>2290</v>
      </c>
      <c r="F883" s="206" t="s">
        <v>1924</v>
      </c>
      <c r="G883" s="206" t="s">
        <v>2291</v>
      </c>
      <c r="H883" s="302"/>
      <c r="K883" s="302">
        <v>8227064913</v>
      </c>
      <c r="M883" s="212"/>
      <c r="N883" s="213"/>
      <c r="O883" s="209"/>
    </row>
    <row r="884" spans="1:16" x14ac:dyDescent="0.3">
      <c r="A884" s="302" t="s">
        <v>155</v>
      </c>
      <c r="B884" s="302" t="str">
        <f t="shared" si="4"/>
        <v>Y</v>
      </c>
      <c r="C884" s="6" t="s">
        <v>2292</v>
      </c>
      <c r="D884" s="327"/>
      <c r="E884" s="327" t="s">
        <v>2293</v>
      </c>
      <c r="F884" s="206" t="s">
        <v>2294</v>
      </c>
      <c r="G884" s="206" t="s">
        <v>2291</v>
      </c>
      <c r="H884" s="207">
        <v>43756</v>
      </c>
      <c r="K884" s="302">
        <v>8102093509</v>
      </c>
      <c r="M884" s="212"/>
      <c r="N884" s="213"/>
      <c r="O884" s="209"/>
    </row>
    <row r="885" spans="1:16" x14ac:dyDescent="0.3">
      <c r="A885" s="302" t="s">
        <v>155</v>
      </c>
      <c r="B885" s="302" t="str">
        <f t="shared" si="4"/>
        <v>Y</v>
      </c>
      <c r="C885" s="6" t="s">
        <v>2295</v>
      </c>
      <c r="D885" s="327"/>
      <c r="E885" s="327" t="s">
        <v>2296</v>
      </c>
      <c r="F885" s="206" t="s">
        <v>2297</v>
      </c>
      <c r="G885" s="206" t="s">
        <v>2291</v>
      </c>
      <c r="H885" s="207">
        <v>43756</v>
      </c>
      <c r="K885" s="302">
        <v>7488379639</v>
      </c>
      <c r="M885" s="212"/>
      <c r="N885" s="213"/>
      <c r="O885" s="209"/>
    </row>
    <row r="886" spans="1:16" x14ac:dyDescent="0.3">
      <c r="A886" s="302" t="s">
        <v>155</v>
      </c>
      <c r="B886" s="302" t="str">
        <f>IF(G907="","N","Y")</f>
        <v>Y</v>
      </c>
      <c r="C886" s="6" t="s">
        <v>2298</v>
      </c>
      <c r="D886" s="327"/>
      <c r="E886" s="327" t="s">
        <v>2299</v>
      </c>
      <c r="F886" s="206" t="s">
        <v>2300</v>
      </c>
      <c r="G886" s="206" t="s">
        <v>2301</v>
      </c>
      <c r="H886" s="207">
        <v>43758</v>
      </c>
      <c r="K886" s="302">
        <v>8235564582</v>
      </c>
      <c r="M886" s="212"/>
      <c r="N886" s="213"/>
      <c r="O886" s="209"/>
    </row>
    <row r="887" spans="1:16" x14ac:dyDescent="0.3">
      <c r="A887" s="302" t="s">
        <v>155</v>
      </c>
      <c r="B887" s="302" t="str">
        <f t="shared" ref="B887:B1086" si="5">IF(H887="","N","Y")</f>
        <v>Y</v>
      </c>
      <c r="C887" s="6" t="s">
        <v>2302</v>
      </c>
      <c r="D887" s="327"/>
      <c r="E887" s="327" t="s">
        <v>2303</v>
      </c>
      <c r="F887" s="206" t="s">
        <v>2175</v>
      </c>
      <c r="G887" s="206" t="s">
        <v>2301</v>
      </c>
      <c r="H887" s="207">
        <v>43758</v>
      </c>
      <c r="K887" s="302">
        <v>9934188137</v>
      </c>
      <c r="M887" s="212"/>
      <c r="N887" s="213"/>
      <c r="O887" s="209"/>
    </row>
    <row r="888" spans="1:16" x14ac:dyDescent="0.3">
      <c r="A888" s="302" t="s">
        <v>155</v>
      </c>
      <c r="B888" s="302" t="str">
        <f t="shared" si="5"/>
        <v>Y</v>
      </c>
      <c r="C888" s="6" t="s">
        <v>2304</v>
      </c>
      <c r="D888" s="327"/>
      <c r="E888" s="327" t="s">
        <v>2305</v>
      </c>
      <c r="F888" s="206" t="s">
        <v>2306</v>
      </c>
      <c r="G888" s="206" t="s">
        <v>2307</v>
      </c>
      <c r="H888" s="207">
        <v>43759</v>
      </c>
      <c r="J888" s="2" t="s">
        <v>1725</v>
      </c>
      <c r="K888" s="302">
        <v>7488812695</v>
      </c>
      <c r="M888" s="212"/>
      <c r="N888" s="213"/>
      <c r="O888" s="209"/>
    </row>
    <row r="889" spans="1:16" x14ac:dyDescent="0.3">
      <c r="A889" s="302" t="s">
        <v>155</v>
      </c>
      <c r="B889" s="302" t="str">
        <f t="shared" si="5"/>
        <v>Y</v>
      </c>
      <c r="C889" s="6" t="s">
        <v>2308</v>
      </c>
      <c r="D889" s="327"/>
      <c r="E889" s="327" t="s">
        <v>2309</v>
      </c>
      <c r="F889" s="206" t="s">
        <v>2310</v>
      </c>
      <c r="G889" s="206" t="s">
        <v>2307</v>
      </c>
      <c r="H889" s="207">
        <v>43759</v>
      </c>
      <c r="M889" s="212"/>
      <c r="N889" s="213"/>
      <c r="O889" s="209"/>
    </row>
    <row r="890" spans="1:16" x14ac:dyDescent="0.3">
      <c r="A890" s="238" t="s">
        <v>155</v>
      </c>
      <c r="B890" s="238" t="str">
        <f t="shared" si="5"/>
        <v>Y</v>
      </c>
      <c r="C890" s="457" t="s">
        <v>2311</v>
      </c>
      <c r="D890" s="335"/>
      <c r="E890" s="335" t="s">
        <v>2312</v>
      </c>
      <c r="F890" s="239" t="s">
        <v>2313</v>
      </c>
      <c r="G890" s="239" t="s">
        <v>2307</v>
      </c>
      <c r="H890" s="240">
        <v>43759</v>
      </c>
      <c r="I890" s="4"/>
      <c r="J890" s="4"/>
      <c r="K890" s="238">
        <v>8825265056</v>
      </c>
      <c r="L890" s="4"/>
      <c r="M890" s="241"/>
      <c r="N890" s="242"/>
      <c r="O890" s="243"/>
      <c r="P890" s="4"/>
    </row>
    <row r="891" spans="1:16" x14ac:dyDescent="0.3">
      <c r="A891" s="302" t="s">
        <v>155</v>
      </c>
      <c r="B891" s="302" t="str">
        <f t="shared" si="5"/>
        <v>Y</v>
      </c>
      <c r="C891" s="6" t="s">
        <v>2314</v>
      </c>
      <c r="D891" s="327"/>
      <c r="E891" s="327" t="s">
        <v>2315</v>
      </c>
      <c r="F891" s="206" t="s">
        <v>2316</v>
      </c>
      <c r="G891" s="206" t="s">
        <v>2317</v>
      </c>
      <c r="H891" s="207">
        <v>43760</v>
      </c>
      <c r="K891" s="302">
        <v>7319808833</v>
      </c>
      <c r="M891" s="212"/>
      <c r="N891" s="213"/>
      <c r="O891" s="209"/>
    </row>
    <row r="892" spans="1:16" x14ac:dyDescent="0.3">
      <c r="A892" s="238" t="s">
        <v>155</v>
      </c>
      <c r="B892" s="238" t="str">
        <f t="shared" si="5"/>
        <v>Y</v>
      </c>
      <c r="C892" s="457" t="s">
        <v>2318</v>
      </c>
      <c r="D892" s="335"/>
      <c r="E892" s="335" t="s">
        <v>2319</v>
      </c>
      <c r="F892" s="239" t="s">
        <v>2229</v>
      </c>
      <c r="G892" s="239" t="s">
        <v>2317</v>
      </c>
      <c r="H892" s="240">
        <v>43760</v>
      </c>
      <c r="I892" s="4"/>
      <c r="J892" s="4"/>
      <c r="K892" s="238">
        <v>8986815960</v>
      </c>
      <c r="L892" s="4"/>
      <c r="M892" s="241"/>
      <c r="N892" s="242"/>
      <c r="O892" s="243"/>
      <c r="P892" s="4"/>
    </row>
    <row r="893" spans="1:16" x14ac:dyDescent="0.3">
      <c r="A893" s="302" t="s">
        <v>155</v>
      </c>
      <c r="B893" s="302" t="str">
        <f t="shared" si="5"/>
        <v>Y</v>
      </c>
      <c r="C893" s="6" t="s">
        <v>2320</v>
      </c>
      <c r="D893" s="327"/>
      <c r="E893" s="327" t="s">
        <v>877</v>
      </c>
      <c r="F893" s="206" t="s">
        <v>2321</v>
      </c>
      <c r="G893" s="206" t="s">
        <v>2317</v>
      </c>
      <c r="H893" s="207">
        <v>43761</v>
      </c>
      <c r="K893" s="302">
        <v>9122767709</v>
      </c>
      <c r="M893" s="212"/>
      <c r="N893" s="213"/>
      <c r="O893" s="209"/>
    </row>
    <row r="894" spans="1:16" x14ac:dyDescent="0.3">
      <c r="A894" s="238" t="s">
        <v>155</v>
      </c>
      <c r="B894" s="238" t="str">
        <f t="shared" si="5"/>
        <v>Y</v>
      </c>
      <c r="C894" s="457" t="s">
        <v>2322</v>
      </c>
      <c r="D894" s="335"/>
      <c r="E894" s="335" t="s">
        <v>2323</v>
      </c>
      <c r="F894" s="239" t="s">
        <v>2324</v>
      </c>
      <c r="G894" s="239" t="s">
        <v>2325</v>
      </c>
      <c r="H894" s="255" t="s">
        <v>2325</v>
      </c>
      <c r="I894" s="4"/>
      <c r="J894" s="4"/>
      <c r="K894" s="238">
        <v>6299903608</v>
      </c>
      <c r="L894" s="4"/>
      <c r="M894" s="241"/>
      <c r="N894" s="242"/>
      <c r="O894" s="243"/>
      <c r="P894" s="4"/>
    </row>
    <row r="895" spans="1:16" x14ac:dyDescent="0.3">
      <c r="A895" s="238" t="s">
        <v>155</v>
      </c>
      <c r="B895" s="238" t="str">
        <f t="shared" si="5"/>
        <v>Y</v>
      </c>
      <c r="C895" s="457" t="s">
        <v>2326</v>
      </c>
      <c r="D895" s="335"/>
      <c r="E895" s="335" t="s">
        <v>2327</v>
      </c>
      <c r="F895" s="239" t="s">
        <v>2328</v>
      </c>
      <c r="G895" s="239" t="s">
        <v>2329</v>
      </c>
      <c r="H895" s="255" t="s">
        <v>2329</v>
      </c>
      <c r="I895" s="4"/>
      <c r="J895" s="4"/>
      <c r="K895" s="295">
        <v>6204212664</v>
      </c>
      <c r="L895" s="4"/>
      <c r="M895" s="241"/>
      <c r="N895" s="242"/>
      <c r="O895" s="243"/>
      <c r="P895" s="4"/>
    </row>
    <row r="896" spans="1:16" x14ac:dyDescent="0.3">
      <c r="A896" s="302" t="s">
        <v>155</v>
      </c>
      <c r="B896" s="302" t="str">
        <f t="shared" si="5"/>
        <v>Y</v>
      </c>
      <c r="C896" s="6" t="s">
        <v>2330</v>
      </c>
      <c r="D896" s="327"/>
      <c r="E896" s="327" t="s">
        <v>2331</v>
      </c>
      <c r="F896" s="206" t="s">
        <v>2332</v>
      </c>
      <c r="G896" s="206" t="s">
        <v>2333</v>
      </c>
      <c r="H896" s="256">
        <v>43767</v>
      </c>
      <c r="K896" s="302">
        <v>9546014063</v>
      </c>
      <c r="M896" s="212"/>
      <c r="N896" s="213"/>
      <c r="O896" s="209"/>
    </row>
    <row r="897" spans="1:15" x14ac:dyDescent="0.3">
      <c r="A897" s="302" t="s">
        <v>155</v>
      </c>
      <c r="B897" s="302" t="str">
        <f t="shared" si="5"/>
        <v>Y</v>
      </c>
      <c r="C897" s="6" t="s">
        <v>2334</v>
      </c>
      <c r="D897" s="327"/>
      <c r="E897" s="327" t="s">
        <v>2335</v>
      </c>
      <c r="F897" s="206" t="s">
        <v>2251</v>
      </c>
      <c r="G897" s="206" t="s">
        <v>2336</v>
      </c>
      <c r="H897" s="256">
        <v>43768</v>
      </c>
      <c r="K897" s="302">
        <v>7250673361</v>
      </c>
      <c r="M897" s="212"/>
      <c r="N897" s="213"/>
      <c r="O897" s="209"/>
    </row>
    <row r="898" spans="1:15" x14ac:dyDescent="0.3">
      <c r="A898" s="302" t="s">
        <v>155</v>
      </c>
      <c r="B898" s="302" t="str">
        <f t="shared" si="5"/>
        <v>Y</v>
      </c>
      <c r="C898" s="6" t="s">
        <v>2337</v>
      </c>
      <c r="D898" s="327"/>
      <c r="E898" s="327" t="s">
        <v>2338</v>
      </c>
      <c r="F898" s="206" t="s">
        <v>2339</v>
      </c>
      <c r="G898" s="206" t="s">
        <v>2340</v>
      </c>
      <c r="H898" s="256">
        <v>43769</v>
      </c>
      <c r="K898" s="302">
        <v>9661646391</v>
      </c>
      <c r="M898" s="212"/>
      <c r="N898" s="213"/>
      <c r="O898" s="209"/>
    </row>
    <row r="899" spans="1:15" x14ac:dyDescent="0.3">
      <c r="A899" s="302" t="s">
        <v>155</v>
      </c>
      <c r="B899" s="302" t="str">
        <f t="shared" si="5"/>
        <v>Y</v>
      </c>
      <c r="C899" s="6" t="s">
        <v>2341</v>
      </c>
      <c r="D899" s="327"/>
      <c r="E899" s="327" t="s">
        <v>1001</v>
      </c>
      <c r="F899" s="206" t="s">
        <v>2342</v>
      </c>
      <c r="G899" s="206" t="s">
        <v>2340</v>
      </c>
      <c r="H899" s="256">
        <v>43769</v>
      </c>
      <c r="K899" s="302">
        <v>7808584363</v>
      </c>
      <c r="M899" s="212"/>
      <c r="N899" s="213"/>
      <c r="O899" s="209"/>
    </row>
    <row r="900" spans="1:15" x14ac:dyDescent="0.3">
      <c r="A900" s="302" t="s">
        <v>155</v>
      </c>
      <c r="B900" s="302" t="str">
        <f t="shared" si="5"/>
        <v>Y</v>
      </c>
      <c r="C900" s="6" t="s">
        <v>2343</v>
      </c>
      <c r="D900" s="327"/>
      <c r="E900" s="327" t="s">
        <v>2344</v>
      </c>
      <c r="F900" s="206" t="s">
        <v>2345</v>
      </c>
      <c r="G900" s="206" t="s">
        <v>2346</v>
      </c>
      <c r="H900" s="256">
        <v>43770</v>
      </c>
      <c r="K900" s="302">
        <v>9279922631</v>
      </c>
      <c r="M900" s="212"/>
      <c r="N900" s="213"/>
      <c r="O900" s="209"/>
    </row>
    <row r="901" spans="1:15" x14ac:dyDescent="0.3">
      <c r="A901" s="302" t="s">
        <v>155</v>
      </c>
      <c r="B901" s="302" t="str">
        <f t="shared" si="5"/>
        <v>Y</v>
      </c>
      <c r="C901" s="6" t="s">
        <v>2347</v>
      </c>
      <c r="D901" s="327"/>
      <c r="E901" s="327" t="s">
        <v>2348</v>
      </c>
      <c r="F901" s="206" t="s">
        <v>2349</v>
      </c>
      <c r="G901" s="206" t="s">
        <v>2346</v>
      </c>
      <c r="H901" s="256">
        <v>43770</v>
      </c>
      <c r="K901" s="302">
        <v>8271859743</v>
      </c>
      <c r="M901" s="212"/>
      <c r="N901" s="213"/>
      <c r="O901" s="209"/>
    </row>
    <row r="902" spans="1:15" x14ac:dyDescent="0.3">
      <c r="A902" s="302" t="s">
        <v>155</v>
      </c>
      <c r="B902" s="302" t="str">
        <f t="shared" si="5"/>
        <v>Y</v>
      </c>
      <c r="C902" s="6" t="s">
        <v>2350</v>
      </c>
      <c r="D902" s="327"/>
      <c r="E902" s="327" t="s">
        <v>2351</v>
      </c>
      <c r="F902" s="206" t="s">
        <v>2352</v>
      </c>
      <c r="G902" s="206" t="s">
        <v>2353</v>
      </c>
      <c r="H902" s="256">
        <v>43783</v>
      </c>
      <c r="K902" s="302">
        <v>8797414857</v>
      </c>
      <c r="M902" s="212"/>
      <c r="N902" s="213"/>
      <c r="O902" s="209"/>
    </row>
    <row r="903" spans="1:15" x14ac:dyDescent="0.3">
      <c r="A903" s="302" t="s">
        <v>155</v>
      </c>
      <c r="B903" s="302" t="str">
        <f t="shared" si="5"/>
        <v>Y</v>
      </c>
      <c r="C903" s="6" t="s">
        <v>2354</v>
      </c>
      <c r="D903" s="327"/>
      <c r="E903" s="327" t="s">
        <v>2355</v>
      </c>
      <c r="F903" s="206" t="s">
        <v>2356</v>
      </c>
      <c r="G903" s="206" t="s">
        <v>2357</v>
      </c>
      <c r="H903" s="256">
        <v>43773</v>
      </c>
      <c r="K903" s="302">
        <v>8863097495</v>
      </c>
      <c r="M903" s="212"/>
      <c r="N903" s="213"/>
      <c r="O903" s="209"/>
    </row>
    <row r="904" spans="1:15" ht="17.399999999999999" x14ac:dyDescent="0.3">
      <c r="A904" s="302" t="s">
        <v>155</v>
      </c>
      <c r="B904" s="302" t="str">
        <f t="shared" si="5"/>
        <v>Y</v>
      </c>
      <c r="C904" s="462" t="s">
        <v>2358</v>
      </c>
      <c r="D904" s="340"/>
      <c r="E904" s="327" t="s">
        <v>2359</v>
      </c>
      <c r="F904" s="206" t="s">
        <v>2360</v>
      </c>
      <c r="G904" s="206" t="s">
        <v>2357</v>
      </c>
      <c r="H904" s="256">
        <v>43773</v>
      </c>
      <c r="K904" s="302">
        <v>8235242283</v>
      </c>
      <c r="M904" s="212"/>
      <c r="N904" s="213"/>
      <c r="O904" s="209"/>
    </row>
    <row r="905" spans="1:15" x14ac:dyDescent="0.3">
      <c r="A905" s="302" t="s">
        <v>155</v>
      </c>
      <c r="B905" s="302" t="str">
        <f t="shared" si="5"/>
        <v>Y</v>
      </c>
      <c r="C905" s="6" t="s">
        <v>2361</v>
      </c>
      <c r="D905" s="327"/>
      <c r="E905" s="327" t="s">
        <v>2362</v>
      </c>
      <c r="F905" s="206" t="s">
        <v>2363</v>
      </c>
      <c r="G905" s="206" t="s">
        <v>2364</v>
      </c>
      <c r="H905" s="256">
        <v>43774</v>
      </c>
      <c r="K905" s="302">
        <v>8092402403</v>
      </c>
      <c r="M905" s="212"/>
      <c r="N905" s="213"/>
      <c r="O905" s="209"/>
    </row>
    <row r="906" spans="1:15" x14ac:dyDescent="0.3">
      <c r="A906" s="302" t="s">
        <v>155</v>
      </c>
      <c r="B906" s="302" t="str">
        <f t="shared" si="5"/>
        <v>Y</v>
      </c>
      <c r="C906" s="6"/>
      <c r="D906" s="327"/>
      <c r="E906" s="327" t="s">
        <v>2365</v>
      </c>
      <c r="F906" s="206" t="s">
        <v>2366</v>
      </c>
      <c r="G906" s="257" t="s">
        <v>2367</v>
      </c>
      <c r="H906" s="258">
        <v>43775</v>
      </c>
      <c r="K906" s="302">
        <v>9263294720</v>
      </c>
      <c r="M906" s="212"/>
      <c r="N906" s="213"/>
      <c r="O906" s="209"/>
    </row>
    <row r="907" spans="1:15" x14ac:dyDescent="0.3">
      <c r="A907" s="302" t="s">
        <v>155</v>
      </c>
      <c r="B907" s="302" t="str">
        <f t="shared" si="5"/>
        <v>Y</v>
      </c>
      <c r="C907" s="6" t="s">
        <v>2368</v>
      </c>
      <c r="D907" s="327"/>
      <c r="E907" s="327" t="s">
        <v>2369</v>
      </c>
      <c r="F907" s="206" t="s">
        <v>2370</v>
      </c>
      <c r="G907" s="257" t="s">
        <v>2371</v>
      </c>
      <c r="H907" s="258">
        <v>43776</v>
      </c>
      <c r="K907" s="302">
        <v>6203283540</v>
      </c>
      <c r="M907" s="212"/>
      <c r="N907" s="213"/>
      <c r="O907" s="209"/>
    </row>
    <row r="908" spans="1:15" x14ac:dyDescent="0.3">
      <c r="A908" s="302" t="s">
        <v>155</v>
      </c>
      <c r="B908" s="302" t="str">
        <f t="shared" si="5"/>
        <v>Y</v>
      </c>
      <c r="C908" s="6" t="s">
        <v>2372</v>
      </c>
      <c r="D908" s="327"/>
      <c r="E908" s="327" t="s">
        <v>2373</v>
      </c>
      <c r="F908" s="206" t="s">
        <v>2374</v>
      </c>
      <c r="G908" s="257" t="s">
        <v>2371</v>
      </c>
      <c r="H908" s="258">
        <v>43776</v>
      </c>
      <c r="K908" s="302">
        <v>9304296878</v>
      </c>
      <c r="M908" s="212"/>
      <c r="N908" s="213"/>
      <c r="O908" s="209"/>
    </row>
    <row r="909" spans="1:15" x14ac:dyDescent="0.3">
      <c r="A909" s="302" t="s">
        <v>155</v>
      </c>
      <c r="B909" s="302" t="str">
        <f t="shared" si="5"/>
        <v>Y</v>
      </c>
      <c r="C909" s="6" t="s">
        <v>2375</v>
      </c>
      <c r="D909" s="327"/>
      <c r="E909" s="327" t="s">
        <v>2376</v>
      </c>
      <c r="F909" s="206" t="s">
        <v>1461</v>
      </c>
      <c r="G909" s="257" t="s">
        <v>2371</v>
      </c>
      <c r="H909" s="258">
        <v>43776</v>
      </c>
      <c r="K909" s="302">
        <v>8797944739</v>
      </c>
      <c r="M909" s="212"/>
      <c r="N909" s="213"/>
      <c r="O909" s="209"/>
    </row>
    <row r="910" spans="1:15" x14ac:dyDescent="0.3">
      <c r="A910" s="302" t="s">
        <v>155</v>
      </c>
      <c r="B910" s="302" t="str">
        <f t="shared" si="5"/>
        <v>Y</v>
      </c>
      <c r="C910" s="6" t="s">
        <v>2377</v>
      </c>
      <c r="D910" s="327"/>
      <c r="E910" s="327" t="s">
        <v>2378</v>
      </c>
      <c r="F910" s="206" t="s">
        <v>2379</v>
      </c>
      <c r="G910" s="257" t="s">
        <v>2380</v>
      </c>
      <c r="H910" s="257" t="s">
        <v>2381</v>
      </c>
      <c r="K910" s="302">
        <v>9570198626</v>
      </c>
      <c r="M910" s="212"/>
      <c r="N910" s="213"/>
      <c r="O910" s="209"/>
    </row>
    <row r="911" spans="1:15" x14ac:dyDescent="0.3">
      <c r="A911" s="302" t="s">
        <v>155</v>
      </c>
      <c r="B911" s="302" t="str">
        <f t="shared" si="5"/>
        <v>Y</v>
      </c>
      <c r="C911" s="6" t="s">
        <v>2382</v>
      </c>
      <c r="D911" s="327"/>
      <c r="E911" s="327" t="s">
        <v>2383</v>
      </c>
      <c r="F911" s="206" t="s">
        <v>2384</v>
      </c>
      <c r="G911" s="257" t="s">
        <v>2385</v>
      </c>
      <c r="H911" s="258" t="s">
        <v>2385</v>
      </c>
      <c r="K911" s="302">
        <v>7488814477</v>
      </c>
      <c r="M911" s="212"/>
      <c r="N911" s="213"/>
      <c r="O911" s="209"/>
    </row>
    <row r="912" spans="1:15" x14ac:dyDescent="0.3">
      <c r="A912" s="302" t="s">
        <v>155</v>
      </c>
      <c r="B912" s="302" t="str">
        <f t="shared" si="5"/>
        <v>Y</v>
      </c>
      <c r="C912" s="6" t="s">
        <v>2386</v>
      </c>
      <c r="D912" s="327"/>
      <c r="E912" s="327" t="s">
        <v>2387</v>
      </c>
      <c r="F912" s="206" t="s">
        <v>2388</v>
      </c>
      <c r="G912" s="257" t="s">
        <v>2385</v>
      </c>
      <c r="H912" s="258" t="s">
        <v>2385</v>
      </c>
      <c r="K912" s="302">
        <v>9060207414</v>
      </c>
      <c r="M912" s="212"/>
      <c r="N912" s="213"/>
      <c r="O912" s="209"/>
    </row>
    <row r="913" spans="1:16" x14ac:dyDescent="0.3">
      <c r="A913" s="302" t="s">
        <v>155</v>
      </c>
      <c r="B913" s="302" t="str">
        <f t="shared" si="5"/>
        <v>Y</v>
      </c>
      <c r="C913" s="6" t="s">
        <v>2389</v>
      </c>
      <c r="D913" s="327"/>
      <c r="E913" s="327" t="s">
        <v>608</v>
      </c>
      <c r="F913" s="206" t="s">
        <v>1616</v>
      </c>
      <c r="G913" s="257" t="s">
        <v>2385</v>
      </c>
      <c r="H913" s="258">
        <v>43784</v>
      </c>
      <c r="K913" s="302">
        <v>9431997140</v>
      </c>
      <c r="M913" s="212"/>
      <c r="N913" s="213"/>
      <c r="O913" s="209"/>
    </row>
    <row r="914" spans="1:16" x14ac:dyDescent="0.3">
      <c r="A914" s="302" t="s">
        <v>155</v>
      </c>
      <c r="B914" s="302" t="str">
        <f t="shared" si="5"/>
        <v>Y</v>
      </c>
      <c r="C914" s="6" t="s">
        <v>2390</v>
      </c>
      <c r="D914" s="327"/>
      <c r="E914" s="341" t="s">
        <v>2391</v>
      </c>
      <c r="F914" s="206" t="s">
        <v>2392</v>
      </c>
      <c r="G914" s="257" t="s">
        <v>2393</v>
      </c>
      <c r="H914" s="257" t="s">
        <v>2393</v>
      </c>
      <c r="K914" s="302">
        <v>7808199990</v>
      </c>
      <c r="M914" s="212"/>
      <c r="N914" s="213"/>
      <c r="O914" s="209"/>
    </row>
    <row r="915" spans="1:16" x14ac:dyDescent="0.3">
      <c r="A915" s="302" t="s">
        <v>155</v>
      </c>
      <c r="B915" s="302" t="str">
        <f t="shared" si="5"/>
        <v>Y</v>
      </c>
      <c r="C915" s="6" t="s">
        <v>2394</v>
      </c>
      <c r="D915" s="327"/>
      <c r="E915" s="338" t="s">
        <v>2395</v>
      </c>
      <c r="F915" s="206" t="s">
        <v>2396</v>
      </c>
      <c r="G915" s="257" t="s">
        <v>2381</v>
      </c>
      <c r="H915" s="257" t="s">
        <v>2381</v>
      </c>
      <c r="K915" s="302">
        <v>7488355892</v>
      </c>
      <c r="M915" s="212"/>
      <c r="N915" s="213"/>
      <c r="O915" s="209"/>
    </row>
    <row r="916" spans="1:16" x14ac:dyDescent="0.3">
      <c r="A916" s="302" t="s">
        <v>155</v>
      </c>
      <c r="B916" s="302" t="str">
        <f t="shared" si="5"/>
        <v>Y</v>
      </c>
      <c r="C916" s="6" t="s">
        <v>2397</v>
      </c>
      <c r="D916" s="327"/>
      <c r="E916" s="338" t="s">
        <v>2398</v>
      </c>
      <c r="F916" s="206" t="s">
        <v>2399</v>
      </c>
      <c r="G916" s="257" t="s">
        <v>2400</v>
      </c>
      <c r="H916" s="257" t="s">
        <v>2400</v>
      </c>
      <c r="K916" s="302">
        <v>9798722477</v>
      </c>
      <c r="M916" s="212"/>
      <c r="N916" s="213"/>
      <c r="O916" s="209"/>
    </row>
    <row r="917" spans="1:16" x14ac:dyDescent="0.3">
      <c r="A917" s="302" t="s">
        <v>155</v>
      </c>
      <c r="B917" s="302" t="str">
        <f t="shared" si="5"/>
        <v>Y</v>
      </c>
      <c r="C917" s="6" t="s">
        <v>2401</v>
      </c>
      <c r="D917" s="327"/>
      <c r="E917" s="327" t="s">
        <v>2402</v>
      </c>
      <c r="F917" s="206" t="s">
        <v>2403</v>
      </c>
      <c r="G917" s="257" t="s">
        <v>2404</v>
      </c>
      <c r="H917" s="257" t="s">
        <v>2404</v>
      </c>
      <c r="K917" s="302">
        <v>9162567438</v>
      </c>
      <c r="L917" s="2" t="s">
        <v>2405</v>
      </c>
      <c r="M917" s="212"/>
      <c r="N917" s="213"/>
      <c r="O917" s="209"/>
    </row>
    <row r="918" spans="1:16" x14ac:dyDescent="0.3">
      <c r="A918" s="302" t="s">
        <v>155</v>
      </c>
      <c r="B918" s="302" t="str">
        <f t="shared" si="5"/>
        <v>Y</v>
      </c>
      <c r="C918" s="6" t="s">
        <v>2406</v>
      </c>
      <c r="D918" s="327"/>
      <c r="E918" s="327" t="s">
        <v>2407</v>
      </c>
      <c r="F918" s="206" t="s">
        <v>2408</v>
      </c>
      <c r="G918" s="257" t="s">
        <v>2404</v>
      </c>
      <c r="H918" s="257" t="s">
        <v>2404</v>
      </c>
      <c r="K918" s="302">
        <v>8434104971</v>
      </c>
      <c r="M918" s="212"/>
      <c r="N918" s="213"/>
      <c r="O918" s="209"/>
    </row>
    <row r="919" spans="1:16" x14ac:dyDescent="0.3">
      <c r="A919" s="302" t="s">
        <v>155</v>
      </c>
      <c r="B919" s="302" t="str">
        <f t="shared" si="5"/>
        <v>Y</v>
      </c>
      <c r="C919" s="6" t="s">
        <v>2409</v>
      </c>
      <c r="D919" s="327"/>
      <c r="E919" s="327" t="s">
        <v>2410</v>
      </c>
      <c r="F919" s="206" t="s">
        <v>2411</v>
      </c>
      <c r="G919" s="257" t="s">
        <v>2404</v>
      </c>
      <c r="H919" s="257" t="s">
        <v>2404</v>
      </c>
      <c r="K919" s="302">
        <v>7209105356</v>
      </c>
      <c r="M919" s="212"/>
      <c r="N919" s="213"/>
      <c r="O919" s="209"/>
    </row>
    <row r="920" spans="1:16" x14ac:dyDescent="0.3">
      <c r="A920" s="302" t="s">
        <v>155</v>
      </c>
      <c r="B920" s="302" t="str">
        <f t="shared" si="5"/>
        <v>Y</v>
      </c>
      <c r="C920" s="6" t="s">
        <v>2412</v>
      </c>
      <c r="D920" s="327"/>
      <c r="E920" s="327" t="s">
        <v>2413</v>
      </c>
      <c r="F920" s="206" t="s">
        <v>2414</v>
      </c>
      <c r="G920" s="257" t="s">
        <v>2415</v>
      </c>
      <c r="H920" s="258">
        <v>43789</v>
      </c>
      <c r="K920" s="302">
        <v>7209707520</v>
      </c>
      <c r="M920" s="212"/>
      <c r="N920" s="213"/>
      <c r="O920" s="209"/>
    </row>
    <row r="921" spans="1:16" x14ac:dyDescent="0.3">
      <c r="A921" s="302" t="s">
        <v>155</v>
      </c>
      <c r="B921" s="302" t="str">
        <f t="shared" si="5"/>
        <v>Y</v>
      </c>
      <c r="C921" s="6" t="s">
        <v>2416</v>
      </c>
      <c r="D921" s="327"/>
      <c r="E921" s="327" t="s">
        <v>2417</v>
      </c>
      <c r="F921" s="206" t="s">
        <v>2418</v>
      </c>
      <c r="G921" s="257" t="s">
        <v>2419</v>
      </c>
      <c r="H921" s="258">
        <v>43789</v>
      </c>
      <c r="K921" s="302">
        <v>8235662762</v>
      </c>
      <c r="M921" s="212"/>
      <c r="N921" s="213"/>
      <c r="O921" s="209"/>
    </row>
    <row r="922" spans="1:16" x14ac:dyDescent="0.3">
      <c r="A922" s="302" t="s">
        <v>155</v>
      </c>
      <c r="B922" s="302" t="str">
        <f t="shared" si="5"/>
        <v>Y</v>
      </c>
      <c r="C922" s="6" t="s">
        <v>2420</v>
      </c>
      <c r="D922" s="327"/>
      <c r="E922" s="327" t="s">
        <v>2421</v>
      </c>
      <c r="F922" s="206" t="s">
        <v>2422</v>
      </c>
      <c r="G922" s="257" t="s">
        <v>2423</v>
      </c>
      <c r="H922" s="257" t="s">
        <v>2423</v>
      </c>
      <c r="K922" s="302">
        <v>8969479009</v>
      </c>
      <c r="M922" s="212"/>
      <c r="N922" s="213"/>
      <c r="O922" s="209"/>
    </row>
    <row r="923" spans="1:16" x14ac:dyDescent="0.3">
      <c r="A923" s="238" t="s">
        <v>155</v>
      </c>
      <c r="B923" s="238" t="str">
        <f t="shared" si="5"/>
        <v>Y</v>
      </c>
      <c r="C923" s="457" t="s">
        <v>2424</v>
      </c>
      <c r="D923" s="335"/>
      <c r="E923" s="342" t="s">
        <v>2425</v>
      </c>
      <c r="F923" s="239" t="s">
        <v>2426</v>
      </c>
      <c r="G923" s="259" t="s">
        <v>2427</v>
      </c>
      <c r="H923" s="259" t="s">
        <v>2427</v>
      </c>
      <c r="I923" s="4"/>
      <c r="J923" s="4"/>
      <c r="K923" s="238">
        <v>9204393365</v>
      </c>
      <c r="L923" s="4"/>
      <c r="M923" s="241"/>
      <c r="N923" s="242"/>
      <c r="O923" s="243"/>
      <c r="P923" s="4"/>
    </row>
    <row r="924" spans="1:16" x14ac:dyDescent="0.3">
      <c r="A924" s="302" t="s">
        <v>155</v>
      </c>
      <c r="B924" s="302" t="str">
        <f t="shared" si="5"/>
        <v>Y</v>
      </c>
      <c r="C924" s="6" t="s">
        <v>2428</v>
      </c>
      <c r="D924" s="327"/>
      <c r="E924" s="327" t="s">
        <v>2429</v>
      </c>
      <c r="F924" s="206" t="s">
        <v>2430</v>
      </c>
      <c r="G924" s="257" t="s">
        <v>2427</v>
      </c>
      <c r="H924" s="258">
        <v>43795</v>
      </c>
      <c r="K924" s="302">
        <v>9631063335</v>
      </c>
      <c r="M924" s="212"/>
      <c r="N924" s="213"/>
      <c r="O924" s="209"/>
    </row>
    <row r="925" spans="1:16" x14ac:dyDescent="0.3">
      <c r="A925" s="302" t="s">
        <v>155</v>
      </c>
      <c r="B925" s="302" t="str">
        <f t="shared" si="5"/>
        <v>Y</v>
      </c>
      <c r="C925" s="6" t="s">
        <v>2431</v>
      </c>
      <c r="D925" s="327"/>
      <c r="E925" s="327" t="s">
        <v>2432</v>
      </c>
      <c r="F925" s="206" t="s">
        <v>1533</v>
      </c>
      <c r="G925" s="257" t="s">
        <v>2427</v>
      </c>
      <c r="H925" s="258">
        <v>43795</v>
      </c>
      <c r="K925" s="302">
        <v>6201834819</v>
      </c>
      <c r="M925" s="212"/>
      <c r="N925" s="213"/>
      <c r="O925" s="209"/>
    </row>
    <row r="926" spans="1:16" x14ac:dyDescent="0.3">
      <c r="A926" s="302" t="s">
        <v>155</v>
      </c>
      <c r="B926" s="302" t="str">
        <f t="shared" si="5"/>
        <v>Y</v>
      </c>
      <c r="C926" s="6" t="s">
        <v>2433</v>
      </c>
      <c r="D926" s="327"/>
      <c r="E926" s="327" t="s">
        <v>907</v>
      </c>
      <c r="F926" s="206" t="s">
        <v>2434</v>
      </c>
      <c r="G926" s="257" t="s">
        <v>2435</v>
      </c>
      <c r="H926" s="258">
        <v>43797</v>
      </c>
      <c r="K926" s="302">
        <v>9534105503</v>
      </c>
      <c r="M926" s="212"/>
      <c r="N926" s="213"/>
      <c r="O926" s="209"/>
    </row>
    <row r="927" spans="1:16" x14ac:dyDescent="0.3">
      <c r="A927" s="302" t="s">
        <v>155</v>
      </c>
      <c r="B927" s="302" t="str">
        <f t="shared" si="5"/>
        <v>Y</v>
      </c>
      <c r="C927" s="6" t="s">
        <v>2436</v>
      </c>
      <c r="D927" s="327"/>
      <c r="E927" s="327" t="s">
        <v>2437</v>
      </c>
      <c r="F927" s="206" t="s">
        <v>2438</v>
      </c>
      <c r="G927" s="257" t="s">
        <v>2439</v>
      </c>
      <c r="H927" s="258">
        <v>43552</v>
      </c>
      <c r="K927" s="302">
        <v>8709035702</v>
      </c>
      <c r="M927" s="212"/>
      <c r="N927" s="213"/>
      <c r="O927" s="209"/>
    </row>
    <row r="928" spans="1:16" x14ac:dyDescent="0.3">
      <c r="A928" s="302" t="s">
        <v>155</v>
      </c>
      <c r="B928" s="302" t="str">
        <f t="shared" si="5"/>
        <v>Y</v>
      </c>
      <c r="C928" s="6" t="s">
        <v>2440</v>
      </c>
      <c r="D928" s="327"/>
      <c r="E928" s="327" t="s">
        <v>2441</v>
      </c>
      <c r="F928" s="206" t="s">
        <v>1667</v>
      </c>
      <c r="G928" s="257" t="s">
        <v>2435</v>
      </c>
      <c r="H928" s="258">
        <v>43552</v>
      </c>
      <c r="K928" s="302">
        <v>6204004914</v>
      </c>
      <c r="M928" s="212"/>
      <c r="N928" s="213"/>
      <c r="O928" s="209"/>
    </row>
    <row r="929" spans="1:16" x14ac:dyDescent="0.3">
      <c r="A929" s="302" t="s">
        <v>155</v>
      </c>
      <c r="B929" s="302" t="str">
        <f t="shared" si="5"/>
        <v>Y</v>
      </c>
      <c r="C929" s="6" t="s">
        <v>2442</v>
      </c>
      <c r="D929" s="327"/>
      <c r="E929" s="327" t="s">
        <v>2443</v>
      </c>
      <c r="F929" s="206" t="s">
        <v>2444</v>
      </c>
      <c r="G929" s="257" t="s">
        <v>2445</v>
      </c>
      <c r="H929" s="258">
        <v>43799</v>
      </c>
      <c r="K929" s="302">
        <v>7209226277</v>
      </c>
      <c r="M929" s="212"/>
      <c r="N929" s="213"/>
      <c r="O929" s="209"/>
    </row>
    <row r="930" spans="1:16" x14ac:dyDescent="0.3">
      <c r="A930" s="302" t="s">
        <v>155</v>
      </c>
      <c r="B930" s="302" t="str">
        <f t="shared" si="5"/>
        <v>Y</v>
      </c>
      <c r="C930" s="6" t="s">
        <v>2446</v>
      </c>
      <c r="D930" s="327"/>
      <c r="E930" s="327" t="s">
        <v>2447</v>
      </c>
      <c r="F930" s="206" t="s">
        <v>2448</v>
      </c>
      <c r="G930" s="257" t="s">
        <v>2449</v>
      </c>
      <c r="H930" s="258">
        <v>43798</v>
      </c>
      <c r="K930" s="302">
        <v>9608135949</v>
      </c>
      <c r="M930" s="212"/>
      <c r="N930" s="213"/>
      <c r="O930" s="209"/>
    </row>
    <row r="931" spans="1:16" x14ac:dyDescent="0.3">
      <c r="A931" s="260" t="s">
        <v>155</v>
      </c>
      <c r="B931" s="260" t="str">
        <f t="shared" si="5"/>
        <v>Y</v>
      </c>
      <c r="C931" s="463" t="s">
        <v>2450</v>
      </c>
      <c r="D931" s="343"/>
      <c r="E931" s="343" t="s">
        <v>2451</v>
      </c>
      <c r="F931" s="262" t="s">
        <v>2452</v>
      </c>
      <c r="G931" s="263" t="s">
        <v>2453</v>
      </c>
      <c r="H931" s="263" t="s">
        <v>2453</v>
      </c>
      <c r="I931" s="261"/>
      <c r="J931" s="261"/>
      <c r="K931" s="260">
        <v>9031166535</v>
      </c>
      <c r="L931" s="261"/>
      <c r="M931" s="264"/>
      <c r="N931" s="265"/>
      <c r="O931" s="266"/>
      <c r="P931" s="261"/>
    </row>
    <row r="932" spans="1:16" x14ac:dyDescent="0.3">
      <c r="A932" s="238" t="s">
        <v>155</v>
      </c>
      <c r="B932" s="238" t="str">
        <f t="shared" si="5"/>
        <v>Y</v>
      </c>
      <c r="C932" s="457" t="s">
        <v>2454</v>
      </c>
      <c r="D932" s="335"/>
      <c r="E932" s="342" t="s">
        <v>2455</v>
      </c>
      <c r="F932" s="239" t="s">
        <v>2456</v>
      </c>
      <c r="G932" s="259" t="s">
        <v>2453</v>
      </c>
      <c r="H932" s="259" t="s">
        <v>2453</v>
      </c>
      <c r="I932" s="4"/>
      <c r="J932" s="4"/>
      <c r="K932" s="238">
        <v>9334141809</v>
      </c>
      <c r="L932" s="4"/>
      <c r="M932" s="241"/>
      <c r="N932" s="242"/>
      <c r="O932" s="243"/>
      <c r="P932" s="4"/>
    </row>
    <row r="933" spans="1:16" x14ac:dyDescent="0.3">
      <c r="A933" s="302" t="s">
        <v>155</v>
      </c>
      <c r="B933" s="302" t="str">
        <f t="shared" si="5"/>
        <v>Y</v>
      </c>
      <c r="C933" s="6" t="s">
        <v>2457</v>
      </c>
      <c r="D933" s="327"/>
      <c r="E933" s="338" t="s">
        <v>2458</v>
      </c>
      <c r="F933" s="206" t="s">
        <v>2459</v>
      </c>
      <c r="G933" s="257" t="s">
        <v>2453</v>
      </c>
      <c r="H933" s="257" t="s">
        <v>2453</v>
      </c>
      <c r="K933" s="302">
        <v>9616642928</v>
      </c>
      <c r="M933" s="212"/>
      <c r="N933" s="213"/>
      <c r="O933" s="209"/>
    </row>
    <row r="934" spans="1:16" x14ac:dyDescent="0.3">
      <c r="A934" s="238" t="s">
        <v>155</v>
      </c>
      <c r="B934" s="238" t="str">
        <f t="shared" si="5"/>
        <v>Y</v>
      </c>
      <c r="C934" s="457" t="s">
        <v>2460</v>
      </c>
      <c r="D934" s="335"/>
      <c r="E934" s="344" t="s">
        <v>2461</v>
      </c>
      <c r="F934" s="239" t="s">
        <v>2175</v>
      </c>
      <c r="G934" s="259" t="s">
        <v>2462</v>
      </c>
      <c r="H934" s="259" t="s">
        <v>2462</v>
      </c>
      <c r="I934" s="4"/>
      <c r="J934" s="4"/>
      <c r="K934" s="238">
        <v>8002111251</v>
      </c>
      <c r="M934" s="212"/>
      <c r="N934" s="213"/>
      <c r="O934" s="209"/>
    </row>
    <row r="935" spans="1:16" x14ac:dyDescent="0.3">
      <c r="A935" s="302" t="s">
        <v>155</v>
      </c>
      <c r="B935" s="302" t="str">
        <f t="shared" si="5"/>
        <v>Y</v>
      </c>
      <c r="C935" s="6" t="s">
        <v>2463</v>
      </c>
      <c r="D935" s="327"/>
      <c r="E935" s="327" t="s">
        <v>2464</v>
      </c>
      <c r="F935" s="206" t="s">
        <v>2280</v>
      </c>
      <c r="G935" s="257" t="s">
        <v>2465</v>
      </c>
      <c r="H935" s="257" t="s">
        <v>2465</v>
      </c>
      <c r="K935" s="302">
        <v>7739230189</v>
      </c>
      <c r="M935" s="212"/>
      <c r="N935" s="213"/>
      <c r="O935" s="209"/>
    </row>
    <row r="936" spans="1:16" x14ac:dyDescent="0.3">
      <c r="A936" s="302" t="s">
        <v>155</v>
      </c>
      <c r="B936" s="302" t="str">
        <f t="shared" si="5"/>
        <v>Y</v>
      </c>
      <c r="C936" s="6" t="s">
        <v>2466</v>
      </c>
      <c r="D936" s="327"/>
      <c r="E936" s="327" t="s">
        <v>2467</v>
      </c>
      <c r="F936" s="206" t="s">
        <v>2468</v>
      </c>
      <c r="G936" s="257" t="s">
        <v>2465</v>
      </c>
      <c r="H936" s="257" t="s">
        <v>2465</v>
      </c>
      <c r="K936" s="302">
        <v>7070975303</v>
      </c>
      <c r="M936" s="212"/>
      <c r="N936" s="213"/>
      <c r="O936" s="209"/>
    </row>
    <row r="937" spans="1:16" x14ac:dyDescent="0.3">
      <c r="A937" s="302" t="s">
        <v>155</v>
      </c>
      <c r="B937" s="302" t="str">
        <f t="shared" si="5"/>
        <v>Y</v>
      </c>
      <c r="C937" s="6" t="s">
        <v>2469</v>
      </c>
      <c r="D937" s="327"/>
      <c r="E937" s="327" t="s">
        <v>2470</v>
      </c>
      <c r="F937" s="206" t="s">
        <v>2471</v>
      </c>
      <c r="G937" s="257" t="s">
        <v>2465</v>
      </c>
      <c r="H937" s="257" t="s">
        <v>2465</v>
      </c>
      <c r="M937" s="212"/>
      <c r="N937" s="213"/>
      <c r="O937" s="209"/>
    </row>
    <row r="938" spans="1:16" x14ac:dyDescent="0.3">
      <c r="A938" s="302" t="s">
        <v>155</v>
      </c>
      <c r="B938" s="238" t="str">
        <f t="shared" si="5"/>
        <v>Y</v>
      </c>
      <c r="C938" s="457" t="s">
        <v>2472</v>
      </c>
      <c r="D938" s="335"/>
      <c r="E938" s="335" t="s">
        <v>2473</v>
      </c>
      <c r="F938" s="239" t="s">
        <v>2474</v>
      </c>
      <c r="G938" s="239" t="s">
        <v>2475</v>
      </c>
      <c r="H938" s="240">
        <v>43804</v>
      </c>
      <c r="I938" s="4"/>
      <c r="J938" s="4"/>
      <c r="K938" s="238">
        <v>9931335397</v>
      </c>
      <c r="M938" s="212"/>
      <c r="N938" s="213"/>
      <c r="O938" s="209"/>
    </row>
    <row r="939" spans="1:16" x14ac:dyDescent="0.3">
      <c r="A939" s="302" t="s">
        <v>155</v>
      </c>
      <c r="B939" s="238" t="str">
        <f t="shared" si="5"/>
        <v>Y</v>
      </c>
      <c r="C939" s="457" t="s">
        <v>2476</v>
      </c>
      <c r="D939" s="335"/>
      <c r="E939" s="335" t="s">
        <v>2477</v>
      </c>
      <c r="F939" s="239" t="s">
        <v>2478</v>
      </c>
      <c r="G939" s="239" t="s">
        <v>2475</v>
      </c>
      <c r="H939" s="240">
        <v>43804</v>
      </c>
      <c r="I939" s="4"/>
      <c r="J939" s="4"/>
      <c r="K939" s="238">
        <v>8235010194</v>
      </c>
      <c r="M939" s="212"/>
      <c r="N939" s="213"/>
      <c r="O939" s="209"/>
    </row>
    <row r="940" spans="1:16" x14ac:dyDescent="0.3">
      <c r="A940" s="302" t="s">
        <v>155</v>
      </c>
      <c r="B940" s="302" t="str">
        <f t="shared" si="5"/>
        <v>Y</v>
      </c>
      <c r="C940" s="6" t="s">
        <v>2479</v>
      </c>
      <c r="D940" s="327"/>
      <c r="E940" s="327" t="s">
        <v>2480</v>
      </c>
      <c r="F940" s="206" t="s">
        <v>2481</v>
      </c>
      <c r="G940" s="206" t="s">
        <v>2482</v>
      </c>
      <c r="H940" s="207">
        <v>43806</v>
      </c>
      <c r="K940" s="302">
        <v>8084276047</v>
      </c>
      <c r="M940" s="212"/>
      <c r="N940" s="213"/>
      <c r="O940" s="209"/>
    </row>
    <row r="941" spans="1:16" x14ac:dyDescent="0.3">
      <c r="A941" s="302" t="s">
        <v>155</v>
      </c>
      <c r="B941" s="238" t="str">
        <f t="shared" si="5"/>
        <v>Y</v>
      </c>
      <c r="C941" s="457" t="s">
        <v>2483</v>
      </c>
      <c r="D941" s="335"/>
      <c r="E941" s="335" t="s">
        <v>2484</v>
      </c>
      <c r="F941" s="239" t="s">
        <v>2481</v>
      </c>
      <c r="G941" s="239" t="s">
        <v>2482</v>
      </c>
      <c r="H941" s="240">
        <v>43806</v>
      </c>
      <c r="I941" s="4"/>
      <c r="J941" s="4"/>
      <c r="K941" s="238">
        <v>9122496359</v>
      </c>
      <c r="M941" s="212"/>
      <c r="N941" s="213"/>
      <c r="O941" s="209"/>
    </row>
    <row r="942" spans="1:16" x14ac:dyDescent="0.3">
      <c r="A942" s="302" t="s">
        <v>155</v>
      </c>
      <c r="B942" s="302" t="str">
        <f t="shared" si="5"/>
        <v>Y</v>
      </c>
      <c r="C942" s="6" t="s">
        <v>2485</v>
      </c>
      <c r="D942" s="327"/>
      <c r="E942" s="327" t="s">
        <v>2486</v>
      </c>
      <c r="F942" s="206" t="s">
        <v>2487</v>
      </c>
      <c r="G942" s="206" t="s">
        <v>2488</v>
      </c>
      <c r="H942" s="207">
        <v>43807</v>
      </c>
      <c r="K942" s="302">
        <v>8210564677</v>
      </c>
      <c r="M942" s="212"/>
      <c r="N942" s="213"/>
      <c r="O942" s="209"/>
    </row>
    <row r="943" spans="1:16" x14ac:dyDescent="0.3">
      <c r="A943" s="302" t="s">
        <v>155</v>
      </c>
      <c r="B943" s="302" t="str">
        <f t="shared" si="5"/>
        <v>Y</v>
      </c>
      <c r="C943" s="6" t="s">
        <v>2489</v>
      </c>
      <c r="D943" s="327"/>
      <c r="E943" s="338" t="s">
        <v>2490</v>
      </c>
      <c r="F943" s="206" t="s">
        <v>2491</v>
      </c>
      <c r="G943" s="206" t="s">
        <v>2492</v>
      </c>
      <c r="H943" s="206" t="s">
        <v>2492</v>
      </c>
      <c r="K943" s="302">
        <v>8092798534</v>
      </c>
      <c r="M943" s="212"/>
      <c r="N943" s="213"/>
      <c r="O943" s="209"/>
    </row>
    <row r="944" spans="1:16" x14ac:dyDescent="0.3">
      <c r="A944" s="302" t="s">
        <v>155</v>
      </c>
      <c r="B944" s="302" t="str">
        <f t="shared" si="5"/>
        <v>Y</v>
      </c>
      <c r="C944" s="459" t="s">
        <v>2493</v>
      </c>
      <c r="D944" s="336"/>
      <c r="E944" s="327" t="s">
        <v>2494</v>
      </c>
      <c r="F944" s="206" t="s">
        <v>2495</v>
      </c>
      <c r="G944" s="206" t="s">
        <v>2496</v>
      </c>
      <c r="H944" s="207">
        <v>43810</v>
      </c>
      <c r="K944" s="302">
        <v>9031385126</v>
      </c>
      <c r="M944" s="212"/>
      <c r="N944" s="213"/>
      <c r="O944" s="209"/>
    </row>
    <row r="945" spans="1:15" x14ac:dyDescent="0.3">
      <c r="A945" s="302" t="s">
        <v>155</v>
      </c>
      <c r="B945" s="302" t="str">
        <f t="shared" si="5"/>
        <v>Y</v>
      </c>
      <c r="C945" s="6" t="s">
        <v>2497</v>
      </c>
      <c r="D945" s="327"/>
      <c r="E945" s="327" t="s">
        <v>2498</v>
      </c>
      <c r="F945" s="206" t="s">
        <v>2499</v>
      </c>
      <c r="G945" s="206" t="s">
        <v>2496</v>
      </c>
      <c r="H945" s="207">
        <v>43810</v>
      </c>
      <c r="K945" s="302">
        <v>6207329168</v>
      </c>
      <c r="M945" s="212"/>
      <c r="N945" s="213"/>
      <c r="O945" s="209"/>
    </row>
    <row r="946" spans="1:15" x14ac:dyDescent="0.3">
      <c r="A946" s="302" t="s">
        <v>155</v>
      </c>
      <c r="B946" s="302" t="str">
        <f t="shared" si="5"/>
        <v>Y</v>
      </c>
      <c r="C946" s="6" t="s">
        <v>2500</v>
      </c>
      <c r="D946" s="327"/>
      <c r="E946" s="327" t="s">
        <v>2501</v>
      </c>
      <c r="F946" s="206" t="s">
        <v>2502</v>
      </c>
      <c r="G946" s="206" t="s">
        <v>2503</v>
      </c>
      <c r="H946" s="207">
        <v>43810</v>
      </c>
      <c r="M946" s="212"/>
      <c r="N946" s="213"/>
      <c r="O946" s="209"/>
    </row>
    <row r="947" spans="1:15" x14ac:dyDescent="0.3">
      <c r="A947" s="302" t="s">
        <v>155</v>
      </c>
      <c r="B947" s="302" t="str">
        <f t="shared" si="5"/>
        <v>Y</v>
      </c>
      <c r="C947" s="6" t="s">
        <v>2504</v>
      </c>
      <c r="D947" s="327"/>
      <c r="E947" s="327" t="s">
        <v>2505</v>
      </c>
      <c r="F947" s="206" t="s">
        <v>2506</v>
      </c>
      <c r="G947" s="206" t="s">
        <v>2496</v>
      </c>
      <c r="H947" s="206" t="s">
        <v>2507</v>
      </c>
      <c r="K947" s="302">
        <v>6203956812</v>
      </c>
      <c r="M947" s="212"/>
      <c r="N947" s="213"/>
      <c r="O947" s="209"/>
    </row>
    <row r="948" spans="1:15" x14ac:dyDescent="0.3">
      <c r="A948" s="302" t="s">
        <v>155</v>
      </c>
      <c r="B948" s="302" t="str">
        <f t="shared" si="5"/>
        <v>Y</v>
      </c>
      <c r="C948" s="6" t="s">
        <v>2508</v>
      </c>
      <c r="D948" s="327"/>
      <c r="E948" s="327" t="s">
        <v>2509</v>
      </c>
      <c r="F948" s="206" t="s">
        <v>2510</v>
      </c>
      <c r="G948" s="206" t="s">
        <v>2496</v>
      </c>
      <c r="H948" s="207">
        <v>43812</v>
      </c>
      <c r="K948" s="302">
        <v>8809398991</v>
      </c>
      <c r="M948" s="212"/>
      <c r="N948" s="213"/>
      <c r="O948" s="209"/>
    </row>
    <row r="949" spans="1:15" x14ac:dyDescent="0.3">
      <c r="A949" s="302" t="s">
        <v>155</v>
      </c>
      <c r="B949" s="302" t="str">
        <f t="shared" si="5"/>
        <v>Y</v>
      </c>
      <c r="C949" s="6" t="s">
        <v>2511</v>
      </c>
      <c r="D949" s="327"/>
      <c r="E949" s="327" t="s">
        <v>2512</v>
      </c>
      <c r="F949" s="206" t="s">
        <v>2513</v>
      </c>
      <c r="G949" s="206" t="s">
        <v>2514</v>
      </c>
      <c r="H949" s="207">
        <v>43812</v>
      </c>
      <c r="K949" s="302">
        <v>9031398504</v>
      </c>
      <c r="M949" s="212"/>
      <c r="N949" s="213"/>
      <c r="O949" s="209"/>
    </row>
    <row r="950" spans="1:15" x14ac:dyDescent="0.3">
      <c r="A950" s="302" t="s">
        <v>155</v>
      </c>
      <c r="B950" s="302" t="str">
        <f t="shared" si="5"/>
        <v>Y</v>
      </c>
      <c r="C950" s="6" t="s">
        <v>2515</v>
      </c>
      <c r="D950" s="327"/>
      <c r="E950" s="327" t="s">
        <v>2516</v>
      </c>
      <c r="F950" s="206" t="s">
        <v>2517</v>
      </c>
      <c r="G950" s="206" t="s">
        <v>2514</v>
      </c>
      <c r="H950" s="207">
        <v>43812</v>
      </c>
      <c r="K950" s="302">
        <v>9709477552</v>
      </c>
      <c r="M950" s="212"/>
      <c r="N950" s="213"/>
      <c r="O950" s="209"/>
    </row>
    <row r="951" spans="1:15" x14ac:dyDescent="0.3">
      <c r="A951" s="302" t="s">
        <v>155</v>
      </c>
      <c r="B951" s="302" t="str">
        <f t="shared" si="5"/>
        <v>Y</v>
      </c>
      <c r="C951" s="6" t="s">
        <v>2518</v>
      </c>
      <c r="D951" s="327"/>
      <c r="E951" s="327" t="s">
        <v>2519</v>
      </c>
      <c r="F951" s="206" t="s">
        <v>2520</v>
      </c>
      <c r="G951" s="206" t="s">
        <v>2507</v>
      </c>
      <c r="H951" s="206" t="s">
        <v>2507</v>
      </c>
      <c r="K951" s="302">
        <v>8809414611</v>
      </c>
      <c r="M951" s="212"/>
      <c r="N951" s="213"/>
      <c r="O951" s="209"/>
    </row>
    <row r="952" spans="1:15" x14ac:dyDescent="0.3">
      <c r="A952" s="302" t="s">
        <v>155</v>
      </c>
      <c r="B952" s="302" t="str">
        <f t="shared" si="5"/>
        <v>Y</v>
      </c>
      <c r="C952" s="457" t="s">
        <v>2521</v>
      </c>
      <c r="D952" s="335"/>
      <c r="E952" s="335" t="s">
        <v>2522</v>
      </c>
      <c r="F952" s="239" t="s">
        <v>2523</v>
      </c>
      <c r="G952" s="239" t="s">
        <v>2524</v>
      </c>
      <c r="H952" s="240">
        <v>43814</v>
      </c>
      <c r="I952" s="4"/>
      <c r="J952" s="4"/>
      <c r="K952" s="238">
        <v>9798744486</v>
      </c>
      <c r="M952" s="212"/>
      <c r="N952" s="213"/>
      <c r="O952" s="209"/>
    </row>
    <row r="953" spans="1:15" x14ac:dyDescent="0.3">
      <c r="A953" s="302" t="s">
        <v>155</v>
      </c>
      <c r="B953" s="302" t="str">
        <f t="shared" si="5"/>
        <v>Y</v>
      </c>
      <c r="C953" s="6" t="s">
        <v>2525</v>
      </c>
      <c r="D953" s="327"/>
      <c r="E953" s="327" t="s">
        <v>2526</v>
      </c>
      <c r="F953" s="206" t="s">
        <v>1913</v>
      </c>
      <c r="G953" s="206" t="s">
        <v>2527</v>
      </c>
      <c r="H953" s="207">
        <v>43815</v>
      </c>
      <c r="K953" s="302">
        <v>9973934560</v>
      </c>
      <c r="M953" s="212"/>
      <c r="N953" s="213"/>
      <c r="O953" s="209"/>
    </row>
    <row r="954" spans="1:15" x14ac:dyDescent="0.3">
      <c r="A954" s="238" t="s">
        <v>155</v>
      </c>
      <c r="B954" s="238" t="str">
        <f t="shared" si="5"/>
        <v>Y</v>
      </c>
      <c r="C954" s="457" t="s">
        <v>2528</v>
      </c>
      <c r="D954" s="335"/>
      <c r="E954" s="335" t="s">
        <v>2529</v>
      </c>
      <c r="F954" s="239" t="s">
        <v>2530</v>
      </c>
      <c r="G954" s="239" t="s">
        <v>2527</v>
      </c>
      <c r="H954" s="240">
        <v>43818</v>
      </c>
      <c r="I954" s="4"/>
      <c r="J954" s="4"/>
      <c r="K954" s="238">
        <v>7909084923</v>
      </c>
      <c r="M954" s="212"/>
      <c r="N954" s="213"/>
      <c r="O954" s="209"/>
    </row>
    <row r="955" spans="1:15" x14ac:dyDescent="0.3">
      <c r="A955" s="238" t="s">
        <v>155</v>
      </c>
      <c r="B955" s="238" t="str">
        <f t="shared" si="5"/>
        <v>Y</v>
      </c>
      <c r="C955" s="457" t="s">
        <v>2531</v>
      </c>
      <c r="D955" s="335"/>
      <c r="E955" s="335" t="s">
        <v>2532</v>
      </c>
      <c r="F955" s="239" t="s">
        <v>2533</v>
      </c>
      <c r="G955" s="239" t="s">
        <v>2527</v>
      </c>
      <c r="H955" s="240">
        <v>43818</v>
      </c>
      <c r="I955" s="4"/>
      <c r="J955" s="4"/>
      <c r="K955" s="238">
        <v>7909084923</v>
      </c>
      <c r="M955" s="212"/>
      <c r="N955" s="213"/>
      <c r="O955" s="209"/>
    </row>
    <row r="956" spans="1:15" x14ac:dyDescent="0.3">
      <c r="A956" s="238" t="s">
        <v>155</v>
      </c>
      <c r="B956" s="238" t="str">
        <f t="shared" si="5"/>
        <v>Y</v>
      </c>
      <c r="C956" s="457" t="s">
        <v>2534</v>
      </c>
      <c r="D956" s="335"/>
      <c r="E956" s="335" t="s">
        <v>2535</v>
      </c>
      <c r="F956" s="239" t="s">
        <v>2536</v>
      </c>
      <c r="G956" s="239" t="s">
        <v>2527</v>
      </c>
      <c r="H956" s="240">
        <v>43818</v>
      </c>
      <c r="I956" s="4"/>
      <c r="J956" s="4"/>
      <c r="K956" s="238">
        <v>7909084923</v>
      </c>
      <c r="M956" s="212"/>
      <c r="N956" s="213"/>
      <c r="O956" s="209"/>
    </row>
    <row r="957" spans="1:15" x14ac:dyDescent="0.3">
      <c r="A957" s="238" t="s">
        <v>155</v>
      </c>
      <c r="B957" s="238" t="str">
        <f t="shared" si="5"/>
        <v>Y</v>
      </c>
      <c r="C957" s="457" t="s">
        <v>2537</v>
      </c>
      <c r="D957" s="335"/>
      <c r="E957" s="335" t="s">
        <v>2538</v>
      </c>
      <c r="F957" s="239" t="s">
        <v>2539</v>
      </c>
      <c r="G957" s="239" t="s">
        <v>2527</v>
      </c>
      <c r="H957" s="240">
        <v>43818</v>
      </c>
      <c r="I957" s="4"/>
      <c r="J957" s="4"/>
      <c r="K957" s="238">
        <v>7909084923</v>
      </c>
      <c r="M957" s="212"/>
      <c r="N957" s="213"/>
      <c r="O957" s="209"/>
    </row>
    <row r="958" spans="1:15" x14ac:dyDescent="0.3">
      <c r="A958" s="238" t="s">
        <v>155</v>
      </c>
      <c r="B958" s="238" t="str">
        <f t="shared" si="5"/>
        <v>Y</v>
      </c>
      <c r="C958" s="457" t="s">
        <v>2540</v>
      </c>
      <c r="D958" s="335"/>
      <c r="E958" s="335" t="s">
        <v>2541</v>
      </c>
      <c r="F958" s="239" t="s">
        <v>2542</v>
      </c>
      <c r="G958" s="239" t="s">
        <v>2527</v>
      </c>
      <c r="H958" s="240">
        <v>43818</v>
      </c>
      <c r="I958" s="4"/>
      <c r="J958" s="4"/>
      <c r="K958" s="238">
        <v>7909084923</v>
      </c>
      <c r="M958" s="212"/>
      <c r="N958" s="213"/>
      <c r="O958" s="209"/>
    </row>
    <row r="959" spans="1:15" x14ac:dyDescent="0.3">
      <c r="A959" s="238" t="s">
        <v>155</v>
      </c>
      <c r="B959" s="238" t="str">
        <f t="shared" si="5"/>
        <v>Y</v>
      </c>
      <c r="C959" s="457" t="s">
        <v>2543</v>
      </c>
      <c r="D959" s="335"/>
      <c r="E959" s="335" t="s">
        <v>2544</v>
      </c>
      <c r="F959" s="239" t="s">
        <v>2545</v>
      </c>
      <c r="G959" s="239" t="s">
        <v>2527</v>
      </c>
      <c r="H959" s="240">
        <v>43818</v>
      </c>
      <c r="I959" s="4"/>
      <c r="J959" s="4"/>
      <c r="K959" s="238">
        <v>7909084923</v>
      </c>
      <c r="M959" s="212"/>
      <c r="N959" s="213"/>
      <c r="O959" s="209"/>
    </row>
    <row r="960" spans="1:15" x14ac:dyDescent="0.3">
      <c r="A960" s="302" t="s">
        <v>155</v>
      </c>
      <c r="B960" s="302" t="str">
        <f t="shared" si="5"/>
        <v>Y</v>
      </c>
      <c r="C960" s="6" t="s">
        <v>2546</v>
      </c>
      <c r="D960" s="327"/>
      <c r="E960" s="327" t="s">
        <v>2547</v>
      </c>
      <c r="F960" s="206" t="s">
        <v>2548</v>
      </c>
      <c r="G960" s="206" t="s">
        <v>2527</v>
      </c>
      <c r="H960" s="207">
        <v>43815</v>
      </c>
      <c r="K960" s="302">
        <v>9570207464</v>
      </c>
      <c r="M960" s="212"/>
      <c r="N960" s="213"/>
      <c r="O960" s="209"/>
    </row>
    <row r="961" spans="1:15" x14ac:dyDescent="0.3">
      <c r="A961" s="238" t="s">
        <v>155</v>
      </c>
      <c r="B961" s="238" t="str">
        <f t="shared" si="5"/>
        <v>Y</v>
      </c>
      <c r="C961" s="457" t="s">
        <v>2549</v>
      </c>
      <c r="D961" s="335"/>
      <c r="E961" s="335" t="s">
        <v>2550</v>
      </c>
      <c r="F961" s="239" t="s">
        <v>2551</v>
      </c>
      <c r="G961" s="239" t="s">
        <v>2552</v>
      </c>
      <c r="H961" s="240">
        <v>43817</v>
      </c>
      <c r="I961" s="4"/>
      <c r="J961" s="4"/>
      <c r="K961" s="238">
        <v>6200455335</v>
      </c>
      <c r="M961" s="212"/>
      <c r="N961" s="213"/>
      <c r="O961" s="209"/>
    </row>
    <row r="962" spans="1:15" x14ac:dyDescent="0.3">
      <c r="A962" s="238" t="s">
        <v>155</v>
      </c>
      <c r="B962" s="238" t="str">
        <f t="shared" si="5"/>
        <v>Y</v>
      </c>
      <c r="C962" s="457" t="s">
        <v>2553</v>
      </c>
      <c r="D962" s="335"/>
      <c r="E962" s="335" t="s">
        <v>2554</v>
      </c>
      <c r="F962" s="239" t="s">
        <v>2555</v>
      </c>
      <c r="G962" s="239" t="s">
        <v>2552</v>
      </c>
      <c r="H962" s="240">
        <v>43817</v>
      </c>
      <c r="I962" s="4"/>
      <c r="J962" s="4"/>
      <c r="K962" s="238"/>
      <c r="M962" s="212"/>
      <c r="N962" s="213"/>
      <c r="O962" s="209"/>
    </row>
    <row r="963" spans="1:15" x14ac:dyDescent="0.3">
      <c r="A963" s="302" t="s">
        <v>155</v>
      </c>
      <c r="B963" s="302" t="str">
        <f t="shared" si="5"/>
        <v>Y</v>
      </c>
      <c r="C963" s="6" t="s">
        <v>2556</v>
      </c>
      <c r="D963" s="327"/>
      <c r="E963" s="327" t="s">
        <v>2557</v>
      </c>
      <c r="F963" s="206" t="s">
        <v>2558</v>
      </c>
      <c r="G963" s="206" t="s">
        <v>2552</v>
      </c>
      <c r="H963" s="207">
        <v>43817</v>
      </c>
      <c r="K963" s="302">
        <v>8084697654</v>
      </c>
      <c r="M963" s="212"/>
      <c r="N963" s="213"/>
      <c r="O963" s="209"/>
    </row>
    <row r="964" spans="1:15" x14ac:dyDescent="0.3">
      <c r="A964" s="238" t="s">
        <v>155</v>
      </c>
      <c r="B964" s="238" t="str">
        <f t="shared" si="5"/>
        <v>Y</v>
      </c>
      <c r="C964" s="457" t="s">
        <v>2559</v>
      </c>
      <c r="D964" s="335"/>
      <c r="E964" s="335" t="s">
        <v>2560</v>
      </c>
      <c r="F964" s="239" t="s">
        <v>2561</v>
      </c>
      <c r="G964" s="239" t="s">
        <v>2562</v>
      </c>
      <c r="H964" s="240">
        <v>43818</v>
      </c>
      <c r="I964" s="4"/>
      <c r="J964" s="4"/>
      <c r="K964" s="238">
        <v>8603614462</v>
      </c>
      <c r="M964" s="212"/>
      <c r="N964" s="213"/>
      <c r="O964" s="209"/>
    </row>
    <row r="965" spans="1:15" x14ac:dyDescent="0.3">
      <c r="A965" s="302" t="s">
        <v>155</v>
      </c>
      <c r="B965" s="302" t="str">
        <f t="shared" si="5"/>
        <v>Y</v>
      </c>
      <c r="C965" s="6" t="s">
        <v>2563</v>
      </c>
      <c r="D965" s="327"/>
      <c r="E965" s="327" t="s">
        <v>2125</v>
      </c>
      <c r="F965" s="206" t="s">
        <v>2126</v>
      </c>
      <c r="G965" s="206" t="s">
        <v>2562</v>
      </c>
      <c r="H965" s="207">
        <v>43818</v>
      </c>
      <c r="K965" s="302">
        <v>7488355892</v>
      </c>
      <c r="M965" s="212"/>
      <c r="N965" s="213"/>
      <c r="O965" s="209"/>
    </row>
    <row r="966" spans="1:15" x14ac:dyDescent="0.3">
      <c r="A966" s="238" t="s">
        <v>155</v>
      </c>
      <c r="B966" s="238" t="str">
        <f t="shared" si="5"/>
        <v>Y</v>
      </c>
      <c r="C966" s="457" t="s">
        <v>2564</v>
      </c>
      <c r="D966" s="335"/>
      <c r="E966" s="335" t="s">
        <v>2565</v>
      </c>
      <c r="F966" s="239" t="s">
        <v>2566</v>
      </c>
      <c r="G966" s="239" t="s">
        <v>2562</v>
      </c>
      <c r="H966" s="240">
        <v>43818</v>
      </c>
      <c r="I966" s="4"/>
      <c r="J966" s="4"/>
      <c r="K966" s="238">
        <v>8434686015</v>
      </c>
      <c r="M966" s="212"/>
      <c r="N966" s="213"/>
      <c r="O966" s="209"/>
    </row>
    <row r="967" spans="1:15" x14ac:dyDescent="0.3">
      <c r="A967" s="238" t="s">
        <v>155</v>
      </c>
      <c r="B967" s="238" t="str">
        <f t="shared" si="5"/>
        <v>Y</v>
      </c>
      <c r="C967" s="457" t="s">
        <v>2567</v>
      </c>
      <c r="D967" s="335"/>
      <c r="E967" s="335" t="s">
        <v>2568</v>
      </c>
      <c r="F967" s="239" t="s">
        <v>2569</v>
      </c>
      <c r="G967" s="239" t="s">
        <v>2570</v>
      </c>
      <c r="H967" s="240">
        <v>43820</v>
      </c>
      <c r="I967" s="4"/>
      <c r="J967" s="4"/>
      <c r="K967" s="238">
        <v>8825245171</v>
      </c>
      <c r="M967" s="212"/>
      <c r="N967" s="213"/>
      <c r="O967" s="209"/>
    </row>
    <row r="968" spans="1:15" x14ac:dyDescent="0.3">
      <c r="A968" s="238" t="s">
        <v>155</v>
      </c>
      <c r="B968" s="238" t="str">
        <f t="shared" si="5"/>
        <v>Y</v>
      </c>
      <c r="C968" s="457" t="s">
        <v>2571</v>
      </c>
      <c r="D968" s="335"/>
      <c r="E968" s="335" t="s">
        <v>2572</v>
      </c>
      <c r="F968" s="239" t="s">
        <v>2573</v>
      </c>
      <c r="G968" s="239" t="s">
        <v>2574</v>
      </c>
      <c r="H968" s="240">
        <v>43820</v>
      </c>
      <c r="I968" s="4"/>
      <c r="J968" s="4"/>
      <c r="K968" s="238">
        <v>8102533622</v>
      </c>
      <c r="M968" s="212"/>
      <c r="N968" s="213"/>
      <c r="O968" s="209"/>
    </row>
    <row r="969" spans="1:15" x14ac:dyDescent="0.3">
      <c r="A969" s="238" t="s">
        <v>155</v>
      </c>
      <c r="B969" s="238" t="str">
        <f t="shared" si="5"/>
        <v>Y</v>
      </c>
      <c r="C969" s="457" t="s">
        <v>2575</v>
      </c>
      <c r="D969" s="335"/>
      <c r="E969" s="335" t="s">
        <v>2576</v>
      </c>
      <c r="F969" s="239" t="s">
        <v>2577</v>
      </c>
      <c r="G969" s="239" t="s">
        <v>2578</v>
      </c>
      <c r="H969" s="240">
        <v>43820</v>
      </c>
      <c r="I969" s="4"/>
      <c r="J969" s="4"/>
      <c r="K969" s="238">
        <v>7979764439</v>
      </c>
      <c r="M969" s="212"/>
      <c r="N969" s="213"/>
      <c r="O969" s="209"/>
    </row>
    <row r="970" spans="1:15" x14ac:dyDescent="0.3">
      <c r="A970" s="302" t="s">
        <v>155</v>
      </c>
      <c r="B970" s="302" t="str">
        <f t="shared" si="5"/>
        <v>Y</v>
      </c>
      <c r="C970" s="6" t="s">
        <v>2580</v>
      </c>
      <c r="D970" s="327"/>
      <c r="E970" s="327" t="s">
        <v>2276</v>
      </c>
      <c r="F970" s="206" t="s">
        <v>2277</v>
      </c>
      <c r="G970" s="206" t="s">
        <v>2581</v>
      </c>
      <c r="H970" s="207">
        <v>43827</v>
      </c>
      <c r="K970" s="302">
        <v>9304988427</v>
      </c>
      <c r="M970" s="212"/>
      <c r="N970" s="213"/>
      <c r="O970" s="209"/>
    </row>
    <row r="971" spans="1:15" x14ac:dyDescent="0.3">
      <c r="A971" s="302" t="s">
        <v>155</v>
      </c>
      <c r="B971" s="302" t="str">
        <f t="shared" si="5"/>
        <v>Y</v>
      </c>
      <c r="C971" s="6" t="s">
        <v>2582</v>
      </c>
      <c r="D971" s="327"/>
      <c r="E971" s="327" t="s">
        <v>2583</v>
      </c>
      <c r="F971" s="206" t="s">
        <v>2584</v>
      </c>
      <c r="G971" s="206" t="s">
        <v>2585</v>
      </c>
      <c r="H971" s="207">
        <v>43829</v>
      </c>
      <c r="K971" s="302">
        <v>7631039364</v>
      </c>
      <c r="M971" s="212"/>
      <c r="N971" s="213"/>
      <c r="O971" s="209"/>
    </row>
    <row r="972" spans="1:15" x14ac:dyDescent="0.3">
      <c r="A972" s="302" t="s">
        <v>155</v>
      </c>
      <c r="B972" s="302" t="str">
        <f t="shared" si="5"/>
        <v>Y</v>
      </c>
      <c r="C972" s="6" t="s">
        <v>2586</v>
      </c>
      <c r="D972" s="327"/>
      <c r="E972" s="327" t="s">
        <v>2587</v>
      </c>
      <c r="F972" s="206" t="s">
        <v>2588</v>
      </c>
      <c r="G972" s="206" t="s">
        <v>2589</v>
      </c>
      <c r="H972" s="207">
        <v>43829</v>
      </c>
      <c r="K972" s="302">
        <v>9031725185</v>
      </c>
      <c r="M972" s="212"/>
      <c r="N972" s="213"/>
      <c r="O972" s="209"/>
    </row>
    <row r="973" spans="1:15" x14ac:dyDescent="0.3">
      <c r="A973" s="302" t="s">
        <v>155</v>
      </c>
      <c r="B973" s="302" t="str">
        <f t="shared" si="5"/>
        <v>Y</v>
      </c>
      <c r="C973" s="6" t="s">
        <v>2590</v>
      </c>
      <c r="D973" s="327"/>
      <c r="E973" s="327" t="s">
        <v>2591</v>
      </c>
      <c r="F973" s="206" t="s">
        <v>2592</v>
      </c>
      <c r="G973" s="206" t="s">
        <v>2593</v>
      </c>
      <c r="H973" s="207">
        <v>43830</v>
      </c>
      <c r="K973" s="302">
        <v>9234630162</v>
      </c>
      <c r="M973" s="212"/>
      <c r="N973" s="213"/>
      <c r="O973" s="209"/>
    </row>
    <row r="974" spans="1:15" x14ac:dyDescent="0.3">
      <c r="A974" s="302" t="s">
        <v>155</v>
      </c>
      <c r="B974" s="302" t="str">
        <f t="shared" si="5"/>
        <v>Y</v>
      </c>
      <c r="C974" s="6" t="s">
        <v>2594</v>
      </c>
      <c r="D974" s="327"/>
      <c r="E974" s="327" t="s">
        <v>2595</v>
      </c>
      <c r="F974" s="206" t="s">
        <v>2459</v>
      </c>
      <c r="G974" s="206" t="s">
        <v>2596</v>
      </c>
      <c r="H974" s="207">
        <v>43830</v>
      </c>
      <c r="K974" s="302">
        <v>7295023045</v>
      </c>
      <c r="M974" s="212"/>
      <c r="N974" s="213"/>
      <c r="O974" s="209"/>
    </row>
    <row r="975" spans="1:15" x14ac:dyDescent="0.3">
      <c r="A975" s="302" t="s">
        <v>155</v>
      </c>
      <c r="B975" s="302" t="str">
        <f t="shared" si="5"/>
        <v>Y</v>
      </c>
      <c r="C975" s="6" t="s">
        <v>2597</v>
      </c>
      <c r="D975" s="327"/>
      <c r="E975" s="327" t="s">
        <v>2598</v>
      </c>
      <c r="F975" s="206" t="s">
        <v>2599</v>
      </c>
      <c r="G975" s="206" t="s">
        <v>2596</v>
      </c>
      <c r="H975" s="207">
        <v>43830</v>
      </c>
      <c r="K975" s="302">
        <v>9234000105</v>
      </c>
      <c r="M975" s="212"/>
      <c r="N975" s="213"/>
      <c r="O975" s="209"/>
    </row>
    <row r="976" spans="1:15" x14ac:dyDescent="0.3">
      <c r="A976" s="302">
        <v>333</v>
      </c>
      <c r="B976" s="302" t="str">
        <f t="shared" si="5"/>
        <v>Y</v>
      </c>
      <c r="C976" s="6" t="s">
        <v>1725</v>
      </c>
      <c r="D976" s="327"/>
      <c r="E976" s="327" t="s">
        <v>2600</v>
      </c>
      <c r="F976" s="206" t="s">
        <v>2601</v>
      </c>
      <c r="G976" s="206" t="s">
        <v>2602</v>
      </c>
      <c r="H976" s="207">
        <v>43832</v>
      </c>
      <c r="M976" s="212"/>
      <c r="N976" s="213"/>
      <c r="O976" s="209"/>
    </row>
    <row r="977" spans="1:15" x14ac:dyDescent="0.3">
      <c r="A977" s="302" t="s">
        <v>155</v>
      </c>
      <c r="B977" s="302" t="str">
        <f t="shared" si="5"/>
        <v>Y</v>
      </c>
      <c r="C977" s="464" t="s">
        <v>2603</v>
      </c>
      <c r="D977" s="345"/>
      <c r="E977" s="327" t="s">
        <v>2604</v>
      </c>
      <c r="F977" s="206" t="s">
        <v>2605</v>
      </c>
      <c r="G977" s="206" t="s">
        <v>2602</v>
      </c>
      <c r="H977" s="207">
        <v>43834</v>
      </c>
      <c r="L977" s="2" t="s">
        <v>486</v>
      </c>
      <c r="M977" s="212"/>
      <c r="N977" s="213"/>
      <c r="O977" s="209"/>
    </row>
    <row r="978" spans="1:15" x14ac:dyDescent="0.3">
      <c r="A978" s="302" t="s">
        <v>155</v>
      </c>
      <c r="B978" s="302" t="str">
        <f t="shared" si="5"/>
        <v>Y</v>
      </c>
      <c r="C978" s="6" t="s">
        <v>2606</v>
      </c>
      <c r="D978" s="327"/>
      <c r="E978" s="327" t="s">
        <v>2607</v>
      </c>
      <c r="F978" s="206" t="s">
        <v>2608</v>
      </c>
      <c r="G978" s="206" t="s">
        <v>2609</v>
      </c>
      <c r="H978" s="207">
        <v>43835</v>
      </c>
      <c r="K978" s="302">
        <v>8210811372</v>
      </c>
      <c r="M978" s="212"/>
      <c r="N978" s="213"/>
      <c r="O978" s="209"/>
    </row>
    <row r="979" spans="1:15" x14ac:dyDescent="0.3">
      <c r="A979" s="302" t="s">
        <v>155</v>
      </c>
      <c r="B979" s="302" t="str">
        <f t="shared" si="5"/>
        <v>Y</v>
      </c>
      <c r="C979" s="6" t="s">
        <v>2610</v>
      </c>
      <c r="D979" s="327"/>
      <c r="E979" s="327" t="s">
        <v>2611</v>
      </c>
      <c r="F979" s="206" t="s">
        <v>2612</v>
      </c>
      <c r="G979" s="206" t="s">
        <v>2602</v>
      </c>
      <c r="H979" s="207">
        <v>43837</v>
      </c>
      <c r="K979" s="302">
        <v>8935884124</v>
      </c>
      <c r="M979" s="212"/>
      <c r="N979" s="213"/>
      <c r="O979" s="209"/>
    </row>
    <row r="980" spans="1:15" x14ac:dyDescent="0.3">
      <c r="A980" s="302" t="s">
        <v>155</v>
      </c>
      <c r="B980" s="302" t="str">
        <f t="shared" si="5"/>
        <v>Y</v>
      </c>
      <c r="C980" s="6" t="s">
        <v>2613</v>
      </c>
      <c r="D980" s="327"/>
      <c r="E980" s="327" t="s">
        <v>2614</v>
      </c>
      <c r="F980" s="206" t="s">
        <v>2615</v>
      </c>
      <c r="G980" s="206" t="s">
        <v>2616</v>
      </c>
      <c r="H980" s="207">
        <v>43837</v>
      </c>
      <c r="K980" s="302">
        <v>7209812759</v>
      </c>
      <c r="M980" s="212"/>
      <c r="N980" s="213"/>
      <c r="O980" s="209"/>
    </row>
    <row r="981" spans="1:15" x14ac:dyDescent="0.3">
      <c r="A981" s="302" t="s">
        <v>155</v>
      </c>
      <c r="B981" s="302" t="str">
        <f t="shared" si="5"/>
        <v>Y</v>
      </c>
      <c r="C981" s="6" t="s">
        <v>2617</v>
      </c>
      <c r="D981" s="327"/>
      <c r="E981" s="327" t="s">
        <v>2618</v>
      </c>
      <c r="F981" s="206" t="s">
        <v>2619</v>
      </c>
      <c r="G981" s="206" t="s">
        <v>2616</v>
      </c>
      <c r="H981" s="207">
        <v>43837</v>
      </c>
      <c r="K981" s="302">
        <v>7209812759</v>
      </c>
      <c r="M981" s="212"/>
      <c r="N981" s="213"/>
      <c r="O981" s="209"/>
    </row>
    <row r="982" spans="1:15" x14ac:dyDescent="0.3">
      <c r="A982" s="302" t="s">
        <v>155</v>
      </c>
      <c r="B982" s="302" t="str">
        <f t="shared" si="5"/>
        <v>Y</v>
      </c>
      <c r="C982" s="464" t="s">
        <v>2620</v>
      </c>
      <c r="D982" s="345"/>
      <c r="E982" s="327" t="s">
        <v>2621</v>
      </c>
      <c r="F982" s="206" t="s">
        <v>2622</v>
      </c>
      <c r="G982" s="206" t="s">
        <v>2623</v>
      </c>
      <c r="H982" s="207">
        <v>43839</v>
      </c>
      <c r="M982" s="212"/>
      <c r="N982" s="213"/>
      <c r="O982" s="209"/>
    </row>
    <row r="983" spans="1:15" x14ac:dyDescent="0.3">
      <c r="A983" s="302" t="s">
        <v>155</v>
      </c>
      <c r="B983" s="302" t="str">
        <f t="shared" si="5"/>
        <v>Y</v>
      </c>
      <c r="C983" s="6" t="s">
        <v>2624</v>
      </c>
      <c r="D983" s="327"/>
      <c r="E983" s="327" t="s">
        <v>2625</v>
      </c>
      <c r="F983" s="206" t="s">
        <v>2626</v>
      </c>
      <c r="G983" s="206" t="s">
        <v>2623</v>
      </c>
      <c r="H983" s="207">
        <v>43839</v>
      </c>
      <c r="K983" s="302">
        <v>6204219287</v>
      </c>
      <c r="M983" s="212"/>
      <c r="N983" s="213"/>
      <c r="O983" s="209"/>
    </row>
    <row r="984" spans="1:15" x14ac:dyDescent="0.3">
      <c r="A984" s="302" t="s">
        <v>155</v>
      </c>
      <c r="B984" s="302" t="str">
        <f t="shared" si="5"/>
        <v>Y</v>
      </c>
      <c r="C984" s="6" t="s">
        <v>2627</v>
      </c>
      <c r="D984" s="327"/>
      <c r="E984" s="327" t="s">
        <v>2628</v>
      </c>
      <c r="F984" s="206" t="s">
        <v>2629</v>
      </c>
      <c r="G984" s="206" t="s">
        <v>2623</v>
      </c>
      <c r="H984" s="207">
        <v>43839</v>
      </c>
      <c r="K984" s="302">
        <v>9931110369</v>
      </c>
      <c r="M984" s="212"/>
      <c r="N984" s="213"/>
      <c r="O984" s="209"/>
    </row>
    <row r="985" spans="1:15" x14ac:dyDescent="0.3">
      <c r="A985" s="302" t="s">
        <v>155</v>
      </c>
      <c r="B985" s="302" t="str">
        <f t="shared" si="5"/>
        <v>Y</v>
      </c>
      <c r="C985" s="6" t="s">
        <v>2630</v>
      </c>
      <c r="D985" s="327"/>
      <c r="E985" s="327" t="s">
        <v>2631</v>
      </c>
      <c r="F985" s="206" t="s">
        <v>2632</v>
      </c>
      <c r="G985" s="207">
        <v>43839</v>
      </c>
      <c r="H985" s="207">
        <v>43839</v>
      </c>
      <c r="K985" s="302">
        <v>9031381897</v>
      </c>
      <c r="M985" s="212"/>
      <c r="N985" s="213"/>
      <c r="O985" s="209"/>
    </row>
    <row r="986" spans="1:15" x14ac:dyDescent="0.3">
      <c r="A986" s="302" t="s">
        <v>155</v>
      </c>
      <c r="B986" s="302" t="str">
        <f t="shared" si="5"/>
        <v>Y</v>
      </c>
      <c r="C986" s="6" t="s">
        <v>2633</v>
      </c>
      <c r="D986" s="327"/>
      <c r="E986" s="327" t="s">
        <v>2634</v>
      </c>
      <c r="F986" s="206" t="s">
        <v>2635</v>
      </c>
      <c r="G986" s="206" t="s">
        <v>2636</v>
      </c>
      <c r="H986" s="207">
        <v>43847</v>
      </c>
      <c r="K986" s="302">
        <v>9931127591</v>
      </c>
      <c r="L986" s="2" t="s">
        <v>2637</v>
      </c>
      <c r="M986" s="212"/>
      <c r="N986" s="213"/>
      <c r="O986" s="209"/>
    </row>
    <row r="987" spans="1:15" x14ac:dyDescent="0.3">
      <c r="A987" s="302" t="s">
        <v>155</v>
      </c>
      <c r="B987" s="302" t="str">
        <f t="shared" si="5"/>
        <v>N</v>
      </c>
      <c r="C987" s="6" t="s">
        <v>2638</v>
      </c>
      <c r="D987" s="327"/>
      <c r="E987" s="327" t="s">
        <v>2639</v>
      </c>
      <c r="F987" s="206" t="s">
        <v>2640</v>
      </c>
      <c r="G987" s="206" t="s">
        <v>2636</v>
      </c>
      <c r="H987" s="302"/>
      <c r="K987" s="302">
        <v>9279242848</v>
      </c>
      <c r="M987" s="212"/>
      <c r="N987" s="213"/>
      <c r="O987" s="209"/>
    </row>
    <row r="988" spans="1:15" x14ac:dyDescent="0.3">
      <c r="A988" s="302" t="s">
        <v>155</v>
      </c>
      <c r="B988" s="302" t="str">
        <f t="shared" si="5"/>
        <v>Y</v>
      </c>
      <c r="C988" s="6" t="s">
        <v>2641</v>
      </c>
      <c r="D988" s="327"/>
      <c r="E988" s="327" t="s">
        <v>2642</v>
      </c>
      <c r="F988" s="206" t="s">
        <v>2643</v>
      </c>
      <c r="G988" s="206" t="s">
        <v>2636</v>
      </c>
      <c r="H988" s="207">
        <v>43842</v>
      </c>
      <c r="I988" s="2" t="s">
        <v>2644</v>
      </c>
      <c r="K988" s="302">
        <v>9279068179</v>
      </c>
      <c r="M988" s="212"/>
      <c r="N988" s="213"/>
      <c r="O988" s="209"/>
    </row>
    <row r="989" spans="1:15" x14ac:dyDescent="0.3">
      <c r="A989" s="302" t="s">
        <v>155</v>
      </c>
      <c r="B989" s="302" t="str">
        <f t="shared" si="5"/>
        <v>Y</v>
      </c>
      <c r="C989" s="6" t="s">
        <v>2645</v>
      </c>
      <c r="D989" s="327"/>
      <c r="E989" s="327" t="s">
        <v>2646</v>
      </c>
      <c r="F989" s="206" t="s">
        <v>2084</v>
      </c>
      <c r="G989" s="206" t="s">
        <v>2636</v>
      </c>
      <c r="H989" s="207">
        <v>43841</v>
      </c>
      <c r="K989" s="302">
        <v>9693013783</v>
      </c>
      <c r="M989" s="212"/>
      <c r="N989" s="213"/>
      <c r="O989" s="209"/>
    </row>
    <row r="990" spans="1:15" x14ac:dyDescent="0.3">
      <c r="A990" s="302" t="s">
        <v>155</v>
      </c>
      <c r="B990" s="302" t="str">
        <f t="shared" si="5"/>
        <v>Y</v>
      </c>
      <c r="C990" s="6" t="s">
        <v>2647</v>
      </c>
      <c r="D990" s="327"/>
      <c r="E990" s="327" t="s">
        <v>2648</v>
      </c>
      <c r="F990" s="206" t="s">
        <v>2649</v>
      </c>
      <c r="G990" s="207">
        <v>43841</v>
      </c>
      <c r="H990" s="207">
        <v>43842</v>
      </c>
      <c r="I990" s="2" t="s">
        <v>2650</v>
      </c>
      <c r="K990" s="302">
        <v>9279242848</v>
      </c>
      <c r="M990" s="212"/>
      <c r="N990" s="213"/>
      <c r="O990" s="209"/>
    </row>
    <row r="991" spans="1:15" x14ac:dyDescent="0.3">
      <c r="A991" s="302" t="s">
        <v>155</v>
      </c>
      <c r="B991" s="302" t="str">
        <f t="shared" si="5"/>
        <v>Y</v>
      </c>
      <c r="C991" s="6" t="s">
        <v>2651</v>
      </c>
      <c r="D991" s="327"/>
      <c r="E991" s="338" t="s">
        <v>2652</v>
      </c>
      <c r="F991" s="206" t="s">
        <v>2619</v>
      </c>
      <c r="G991" s="206" t="s">
        <v>2653</v>
      </c>
      <c r="H991" s="206" t="s">
        <v>2653</v>
      </c>
      <c r="K991" s="302">
        <v>7970494337</v>
      </c>
      <c r="M991" s="212"/>
      <c r="N991" s="213"/>
      <c r="O991" s="209"/>
    </row>
    <row r="992" spans="1:15" x14ac:dyDescent="0.3">
      <c r="A992" s="302" t="s">
        <v>155</v>
      </c>
      <c r="B992" s="302" t="str">
        <f t="shared" si="5"/>
        <v>Y</v>
      </c>
      <c r="C992" s="6" t="s">
        <v>2654</v>
      </c>
      <c r="D992" s="327"/>
      <c r="E992" s="346" t="s">
        <v>2655</v>
      </c>
      <c r="F992" s="206" t="s">
        <v>2656</v>
      </c>
      <c r="G992" s="206" t="s">
        <v>2657</v>
      </c>
      <c r="H992" s="206" t="s">
        <v>2657</v>
      </c>
      <c r="K992" s="302">
        <v>9835552756</v>
      </c>
      <c r="M992" s="212"/>
      <c r="N992" s="213"/>
      <c r="O992" s="209"/>
    </row>
    <row r="993" spans="1:15" x14ac:dyDescent="0.3">
      <c r="A993" s="302" t="s">
        <v>155</v>
      </c>
      <c r="B993" s="302" t="str">
        <f t="shared" si="5"/>
        <v>Y</v>
      </c>
      <c r="C993" s="6" t="s">
        <v>2658</v>
      </c>
      <c r="D993" s="327"/>
      <c r="E993" s="327" t="s">
        <v>2659</v>
      </c>
      <c r="F993" s="206" t="s">
        <v>2660</v>
      </c>
      <c r="G993" s="206" t="s">
        <v>2657</v>
      </c>
      <c r="H993" s="206" t="s">
        <v>2657</v>
      </c>
      <c r="K993" s="302">
        <v>7654775513</v>
      </c>
      <c r="M993" s="212"/>
      <c r="N993" s="213"/>
      <c r="O993" s="209"/>
    </row>
    <row r="994" spans="1:15" x14ac:dyDescent="0.3">
      <c r="A994" s="302" t="s">
        <v>155</v>
      </c>
      <c r="B994" s="302" t="str">
        <f t="shared" si="5"/>
        <v>Y</v>
      </c>
      <c r="C994" s="6" t="s">
        <v>2661</v>
      </c>
      <c r="D994" s="327"/>
      <c r="E994" s="327" t="s">
        <v>2662</v>
      </c>
      <c r="F994" s="206" t="s">
        <v>2663</v>
      </c>
      <c r="G994" s="206" t="s">
        <v>2657</v>
      </c>
      <c r="H994" s="206" t="s">
        <v>2657</v>
      </c>
      <c r="K994" s="302">
        <v>7654775513</v>
      </c>
      <c r="M994" s="212"/>
      <c r="N994" s="213"/>
      <c r="O994" s="209"/>
    </row>
    <row r="995" spans="1:15" x14ac:dyDescent="0.3">
      <c r="A995" s="302" t="s">
        <v>155</v>
      </c>
      <c r="B995" s="302" t="str">
        <f t="shared" si="5"/>
        <v>Y</v>
      </c>
      <c r="C995" s="6" t="s">
        <v>2664</v>
      </c>
      <c r="D995" s="327"/>
      <c r="E995" s="338" t="s">
        <v>2665</v>
      </c>
      <c r="F995" s="206" t="s">
        <v>2073</v>
      </c>
      <c r="G995" s="206" t="s">
        <v>2666</v>
      </c>
      <c r="H995" s="257" t="s">
        <v>2666</v>
      </c>
      <c r="K995" s="302">
        <v>7260078168</v>
      </c>
      <c r="M995" s="212"/>
      <c r="N995" s="213"/>
      <c r="O995" s="209"/>
    </row>
    <row r="996" spans="1:15" x14ac:dyDescent="0.3">
      <c r="A996" s="302" t="s">
        <v>155</v>
      </c>
      <c r="B996" s="302" t="str">
        <f t="shared" si="5"/>
        <v>Y</v>
      </c>
      <c r="C996" s="6" t="s">
        <v>2667</v>
      </c>
      <c r="D996" s="327"/>
      <c r="E996" s="327" t="s">
        <v>2668</v>
      </c>
      <c r="F996" s="206" t="s">
        <v>2669</v>
      </c>
      <c r="G996" s="206" t="s">
        <v>2670</v>
      </c>
      <c r="H996" s="258">
        <v>43852</v>
      </c>
      <c r="K996" s="302">
        <v>9534053089</v>
      </c>
      <c r="M996" s="212"/>
      <c r="N996" s="213"/>
      <c r="O996" s="209"/>
    </row>
    <row r="997" spans="1:15" x14ac:dyDescent="0.3">
      <c r="A997" s="302" t="s">
        <v>155</v>
      </c>
      <c r="B997" s="302" t="str">
        <f t="shared" si="5"/>
        <v>Y</v>
      </c>
      <c r="C997" s="6" t="s">
        <v>2671</v>
      </c>
      <c r="D997" s="327"/>
      <c r="E997" s="327" t="s">
        <v>2672</v>
      </c>
      <c r="F997" s="206" t="s">
        <v>2673</v>
      </c>
      <c r="G997" s="206" t="s">
        <v>2674</v>
      </c>
      <c r="H997" s="258">
        <v>43853</v>
      </c>
      <c r="K997" s="302">
        <v>7277687092</v>
      </c>
      <c r="M997" s="212"/>
      <c r="N997" s="213"/>
      <c r="O997" s="209"/>
    </row>
    <row r="998" spans="1:15" x14ac:dyDescent="0.3">
      <c r="A998" s="302" t="s">
        <v>155</v>
      </c>
      <c r="B998" s="302" t="str">
        <f t="shared" si="5"/>
        <v>Y</v>
      </c>
      <c r="C998" s="6" t="s">
        <v>2675</v>
      </c>
      <c r="D998" s="327"/>
      <c r="E998" s="327" t="s">
        <v>2676</v>
      </c>
      <c r="F998" s="206" t="s">
        <v>2677</v>
      </c>
      <c r="G998" s="206" t="s">
        <v>2674</v>
      </c>
      <c r="H998" s="258">
        <v>43853</v>
      </c>
      <c r="K998" s="302">
        <v>9113182499</v>
      </c>
      <c r="M998" s="212"/>
      <c r="N998" s="213"/>
      <c r="O998" s="209"/>
    </row>
    <row r="999" spans="1:15" x14ac:dyDescent="0.3">
      <c r="A999" s="302" t="s">
        <v>155</v>
      </c>
      <c r="B999" s="302" t="str">
        <f t="shared" si="5"/>
        <v>Y</v>
      </c>
      <c r="C999" s="6" t="s">
        <v>2678</v>
      </c>
      <c r="D999" s="327"/>
      <c r="E999" s="327" t="s">
        <v>2679</v>
      </c>
      <c r="F999" s="206" t="s">
        <v>2680</v>
      </c>
      <c r="G999" s="206" t="s">
        <v>2681</v>
      </c>
      <c r="H999" s="258">
        <v>43855</v>
      </c>
      <c r="K999" s="302">
        <v>7488949641</v>
      </c>
      <c r="M999" s="212"/>
      <c r="N999" s="213"/>
      <c r="O999" s="209"/>
    </row>
    <row r="1000" spans="1:15" x14ac:dyDescent="0.3">
      <c r="A1000" s="302" t="s">
        <v>155</v>
      </c>
      <c r="B1000" s="302" t="str">
        <f t="shared" si="5"/>
        <v>Y</v>
      </c>
      <c r="C1000" s="6" t="s">
        <v>2682</v>
      </c>
      <c r="D1000" s="327"/>
      <c r="E1000" s="327" t="s">
        <v>2683</v>
      </c>
      <c r="F1000" s="206" t="s">
        <v>2684</v>
      </c>
      <c r="G1000" s="206" t="s">
        <v>2685</v>
      </c>
      <c r="H1000" s="258">
        <v>43850</v>
      </c>
      <c r="K1000" s="302">
        <v>8651911238</v>
      </c>
      <c r="M1000" s="212"/>
      <c r="N1000" s="213"/>
      <c r="O1000" s="209"/>
    </row>
    <row r="1001" spans="1:15" x14ac:dyDescent="0.3">
      <c r="A1001" s="302" t="s">
        <v>155</v>
      </c>
      <c r="B1001" s="302" t="str">
        <f t="shared" si="5"/>
        <v>Y</v>
      </c>
      <c r="C1001" s="6" t="s">
        <v>2686</v>
      </c>
      <c r="D1001" s="327"/>
      <c r="E1001" s="327" t="s">
        <v>2687</v>
      </c>
      <c r="F1001" s="206" t="s">
        <v>2688</v>
      </c>
      <c r="G1001" s="206" t="s">
        <v>2685</v>
      </c>
      <c r="H1001" s="258">
        <v>43850</v>
      </c>
      <c r="K1001" s="302">
        <v>9709817690</v>
      </c>
      <c r="M1001" s="212"/>
      <c r="N1001" s="213"/>
      <c r="O1001" s="209"/>
    </row>
    <row r="1002" spans="1:15" x14ac:dyDescent="0.3">
      <c r="A1002" s="302" t="s">
        <v>155</v>
      </c>
      <c r="B1002" s="302" t="str">
        <f t="shared" si="5"/>
        <v>Y</v>
      </c>
      <c r="C1002" s="6" t="s">
        <v>2689</v>
      </c>
      <c r="D1002" s="327"/>
      <c r="E1002" s="327" t="s">
        <v>2652</v>
      </c>
      <c r="F1002" s="206" t="s">
        <v>2690</v>
      </c>
      <c r="G1002" s="206" t="s">
        <v>2691</v>
      </c>
      <c r="H1002" s="258">
        <v>43855</v>
      </c>
      <c r="K1002" s="302">
        <v>9113182499</v>
      </c>
      <c r="M1002" s="212"/>
      <c r="N1002" s="213"/>
      <c r="O1002" s="209"/>
    </row>
    <row r="1003" spans="1:15" x14ac:dyDescent="0.3">
      <c r="A1003" s="302" t="s">
        <v>155</v>
      </c>
      <c r="B1003" s="302" t="str">
        <f t="shared" si="5"/>
        <v>Y</v>
      </c>
      <c r="C1003" s="6" t="s">
        <v>2692</v>
      </c>
      <c r="D1003" s="327"/>
      <c r="E1003" s="327" t="s">
        <v>2693</v>
      </c>
      <c r="F1003" s="206" t="s">
        <v>2694</v>
      </c>
      <c r="G1003" s="206" t="s">
        <v>2691</v>
      </c>
      <c r="H1003" s="258">
        <v>43858</v>
      </c>
      <c r="K1003" s="302">
        <v>9334181654</v>
      </c>
      <c r="M1003" s="212"/>
      <c r="N1003" s="213"/>
      <c r="O1003" s="209"/>
    </row>
    <row r="1004" spans="1:15" x14ac:dyDescent="0.3">
      <c r="A1004" s="302" t="s">
        <v>155</v>
      </c>
      <c r="B1004" s="302" t="str">
        <f t="shared" si="5"/>
        <v>Y</v>
      </c>
      <c r="C1004" s="6" t="s">
        <v>2695</v>
      </c>
      <c r="D1004" s="327"/>
      <c r="E1004" s="338" t="s">
        <v>2696</v>
      </c>
      <c r="F1004" s="206" t="s">
        <v>2697</v>
      </c>
      <c r="G1004" s="206" t="s">
        <v>2698</v>
      </c>
      <c r="H1004" s="257" t="s">
        <v>2698</v>
      </c>
      <c r="K1004" s="302">
        <v>7250988250</v>
      </c>
      <c r="M1004" s="212"/>
      <c r="N1004" s="213"/>
      <c r="O1004" s="209"/>
    </row>
    <row r="1005" spans="1:15" x14ac:dyDescent="0.3">
      <c r="A1005" s="302" t="s">
        <v>155</v>
      </c>
      <c r="B1005" s="302" t="str">
        <f t="shared" si="5"/>
        <v>Y</v>
      </c>
      <c r="C1005" s="6" t="s">
        <v>2699</v>
      </c>
      <c r="D1005" s="327"/>
      <c r="E1005" s="338" t="s">
        <v>2700</v>
      </c>
      <c r="F1005" s="206" t="s">
        <v>2701</v>
      </c>
      <c r="G1005" s="206" t="s">
        <v>2698</v>
      </c>
      <c r="H1005" s="257" t="s">
        <v>2698</v>
      </c>
      <c r="K1005" s="302">
        <v>6206526807</v>
      </c>
      <c r="M1005" s="212"/>
      <c r="N1005" s="213"/>
      <c r="O1005" s="209"/>
    </row>
    <row r="1006" spans="1:15" x14ac:dyDescent="0.3">
      <c r="A1006" s="302" t="s">
        <v>155</v>
      </c>
      <c r="B1006" s="302" t="str">
        <f t="shared" si="5"/>
        <v>Y</v>
      </c>
      <c r="C1006" s="6" t="s">
        <v>2702</v>
      </c>
      <c r="D1006" s="327"/>
      <c r="E1006" s="327" t="s">
        <v>2703</v>
      </c>
      <c r="F1006" s="206" t="s">
        <v>2704</v>
      </c>
      <c r="G1006" s="206" t="s">
        <v>2698</v>
      </c>
      <c r="H1006" s="257" t="s">
        <v>2705</v>
      </c>
      <c r="K1006" s="302">
        <v>6205426807</v>
      </c>
      <c r="M1006" s="212"/>
      <c r="N1006" s="213"/>
      <c r="O1006" s="209"/>
    </row>
    <row r="1007" spans="1:15" x14ac:dyDescent="0.3">
      <c r="A1007" s="302" t="s">
        <v>155</v>
      </c>
      <c r="B1007" s="302" t="str">
        <f t="shared" si="5"/>
        <v>Y</v>
      </c>
      <c r="C1007" s="6" t="s">
        <v>2706</v>
      </c>
      <c r="D1007" s="327"/>
      <c r="E1007" s="327" t="s">
        <v>2707</v>
      </c>
      <c r="F1007" s="206" t="s">
        <v>2708</v>
      </c>
      <c r="G1007" s="206" t="s">
        <v>2709</v>
      </c>
      <c r="H1007" s="206" t="s">
        <v>2705</v>
      </c>
      <c r="K1007" s="302">
        <v>7070000571</v>
      </c>
      <c r="M1007" s="212"/>
      <c r="N1007" s="213"/>
      <c r="O1007" s="209"/>
    </row>
    <row r="1008" spans="1:15" x14ac:dyDescent="0.3">
      <c r="A1008" s="302" t="s">
        <v>155</v>
      </c>
      <c r="B1008" s="302" t="str">
        <f t="shared" si="5"/>
        <v>Y</v>
      </c>
      <c r="C1008" s="6" t="s">
        <v>2710</v>
      </c>
      <c r="D1008" s="327"/>
      <c r="E1008" s="327" t="s">
        <v>2711</v>
      </c>
      <c r="F1008" s="206" t="s">
        <v>2712</v>
      </c>
      <c r="G1008" s="206" t="s">
        <v>2713</v>
      </c>
      <c r="H1008" s="206" t="s">
        <v>2705</v>
      </c>
      <c r="K1008" s="302">
        <v>9852438170</v>
      </c>
      <c r="M1008" s="212"/>
      <c r="N1008" s="213"/>
      <c r="O1008" s="209"/>
    </row>
    <row r="1009" spans="1:15" x14ac:dyDescent="0.3">
      <c r="A1009" s="302" t="s">
        <v>155</v>
      </c>
      <c r="B1009" s="302" t="str">
        <f t="shared" si="5"/>
        <v>Y</v>
      </c>
      <c r="C1009" s="6" t="s">
        <v>2714</v>
      </c>
      <c r="D1009" s="327"/>
      <c r="E1009" s="338" t="s">
        <v>2715</v>
      </c>
      <c r="F1009" s="206" t="s">
        <v>2716</v>
      </c>
      <c r="G1009" s="206" t="s">
        <v>2705</v>
      </c>
      <c r="H1009" s="206" t="s">
        <v>2705</v>
      </c>
      <c r="K1009" s="302">
        <v>7739112284</v>
      </c>
      <c r="M1009" s="212"/>
      <c r="N1009" s="213"/>
      <c r="O1009" s="209"/>
    </row>
    <row r="1010" spans="1:15" x14ac:dyDescent="0.3">
      <c r="A1010" s="302" t="s">
        <v>155</v>
      </c>
      <c r="B1010" s="302" t="str">
        <f t="shared" si="5"/>
        <v>Y</v>
      </c>
      <c r="C1010" s="6" t="s">
        <v>2717</v>
      </c>
      <c r="D1010" s="327"/>
      <c r="E1010" s="327" t="s">
        <v>2718</v>
      </c>
      <c r="F1010" s="206" t="s">
        <v>2719</v>
      </c>
      <c r="G1010" s="206" t="s">
        <v>2705</v>
      </c>
      <c r="H1010" s="206" t="s">
        <v>2705</v>
      </c>
      <c r="K1010" s="302">
        <v>9199395670</v>
      </c>
      <c r="M1010" s="212"/>
      <c r="N1010" s="213"/>
      <c r="O1010" s="209"/>
    </row>
    <row r="1011" spans="1:15" x14ac:dyDescent="0.3">
      <c r="A1011" s="302" t="s">
        <v>155</v>
      </c>
      <c r="B1011" s="302" t="str">
        <f t="shared" si="5"/>
        <v>Y</v>
      </c>
      <c r="C1011" s="6" t="s">
        <v>2720</v>
      </c>
      <c r="D1011" s="327"/>
      <c r="E1011" s="341" t="s">
        <v>2721</v>
      </c>
      <c r="F1011" s="206" t="s">
        <v>2722</v>
      </c>
      <c r="G1011" s="206" t="s">
        <v>2723</v>
      </c>
      <c r="H1011" s="207">
        <v>43861</v>
      </c>
      <c r="K1011" s="302">
        <v>8227820413</v>
      </c>
      <c r="M1011" s="212"/>
      <c r="N1011" s="213"/>
      <c r="O1011" s="209"/>
    </row>
    <row r="1012" spans="1:15" x14ac:dyDescent="0.3">
      <c r="A1012" s="302" t="s">
        <v>155</v>
      </c>
      <c r="B1012" s="302" t="str">
        <f t="shared" si="5"/>
        <v>Y</v>
      </c>
      <c r="C1012" s="6" t="s">
        <v>2724</v>
      </c>
      <c r="D1012" s="327"/>
      <c r="E1012" s="341" t="s">
        <v>2725</v>
      </c>
      <c r="F1012" s="206" t="s">
        <v>2240</v>
      </c>
      <c r="G1012" s="206" t="s">
        <v>2726</v>
      </c>
      <c r="H1012" s="206" t="s">
        <v>2726</v>
      </c>
      <c r="K1012" s="302">
        <v>9155044319</v>
      </c>
      <c r="M1012" s="212"/>
      <c r="N1012" s="213"/>
      <c r="O1012" s="209"/>
    </row>
    <row r="1013" spans="1:15" x14ac:dyDescent="0.3">
      <c r="A1013" s="302" t="s">
        <v>155</v>
      </c>
      <c r="B1013" s="302" t="str">
        <f t="shared" si="5"/>
        <v>Y</v>
      </c>
      <c r="C1013" s="6" t="s">
        <v>2727</v>
      </c>
      <c r="D1013" s="327"/>
      <c r="E1013" s="341" t="s">
        <v>2728</v>
      </c>
      <c r="F1013" s="206" t="s">
        <v>2062</v>
      </c>
      <c r="G1013" s="206" t="s">
        <v>2726</v>
      </c>
      <c r="H1013" s="206" t="s">
        <v>2726</v>
      </c>
      <c r="I1013" s="206" t="s">
        <v>2729</v>
      </c>
      <c r="K1013" s="302">
        <v>7070280574</v>
      </c>
      <c r="L1013" s="2" t="s">
        <v>2730</v>
      </c>
      <c r="M1013" s="268" t="s">
        <v>2731</v>
      </c>
      <c r="N1013" s="213"/>
      <c r="O1013" s="209"/>
    </row>
    <row r="1014" spans="1:15" x14ac:dyDescent="0.3">
      <c r="A1014" s="302" t="s">
        <v>155</v>
      </c>
      <c r="B1014" s="302" t="str">
        <f t="shared" si="5"/>
        <v>Y</v>
      </c>
      <c r="C1014" s="6" t="s">
        <v>2732</v>
      </c>
      <c r="D1014" s="327"/>
      <c r="E1014" s="341" t="s">
        <v>2733</v>
      </c>
      <c r="F1014" s="206" t="s">
        <v>2734</v>
      </c>
      <c r="G1014" s="206" t="s">
        <v>2726</v>
      </c>
      <c r="H1014" s="206" t="s">
        <v>2726</v>
      </c>
      <c r="K1014" s="302">
        <v>7667856058</v>
      </c>
      <c r="L1014" s="2" t="s">
        <v>2735</v>
      </c>
      <c r="M1014" s="268" t="s">
        <v>2731</v>
      </c>
      <c r="N1014" s="213"/>
      <c r="O1014" s="209"/>
    </row>
    <row r="1015" spans="1:15" x14ac:dyDescent="0.3">
      <c r="A1015" s="302" t="s">
        <v>155</v>
      </c>
      <c r="B1015" s="302" t="str">
        <f t="shared" si="5"/>
        <v>Y</v>
      </c>
      <c r="C1015" s="6" t="s">
        <v>2736</v>
      </c>
      <c r="D1015" s="327"/>
      <c r="E1015" s="341" t="s">
        <v>2737</v>
      </c>
      <c r="F1015" s="206" t="s">
        <v>2738</v>
      </c>
      <c r="G1015" s="206" t="s">
        <v>2726</v>
      </c>
      <c r="H1015" s="206" t="s">
        <v>2726</v>
      </c>
      <c r="K1015" s="302">
        <v>9294949525</v>
      </c>
      <c r="L1015" s="2" t="s">
        <v>2739</v>
      </c>
      <c r="M1015" s="268" t="s">
        <v>2731</v>
      </c>
      <c r="N1015" s="213"/>
      <c r="O1015" s="209"/>
    </row>
    <row r="1016" spans="1:15" x14ac:dyDescent="0.3">
      <c r="A1016" s="302" t="s">
        <v>155</v>
      </c>
      <c r="B1016" s="302" t="str">
        <f t="shared" si="5"/>
        <v>N</v>
      </c>
      <c r="C1016" s="464" t="s">
        <v>2740</v>
      </c>
      <c r="D1016" s="345"/>
      <c r="E1016" s="341" t="s">
        <v>2741</v>
      </c>
      <c r="F1016" s="206" t="s">
        <v>2742</v>
      </c>
      <c r="G1016" s="206" t="s">
        <v>2743</v>
      </c>
      <c r="H1016" s="302"/>
      <c r="K1016" s="302">
        <v>8987964834</v>
      </c>
      <c r="L1016" s="2" t="s">
        <v>2730</v>
      </c>
      <c r="M1016" s="212"/>
      <c r="N1016" s="213"/>
      <c r="O1016" s="209"/>
    </row>
    <row r="1017" spans="1:15" x14ac:dyDescent="0.3">
      <c r="A1017" s="302" t="s">
        <v>155</v>
      </c>
      <c r="B1017" s="302" t="str">
        <f t="shared" si="5"/>
        <v>Y</v>
      </c>
      <c r="C1017" s="6" t="s">
        <v>2744</v>
      </c>
      <c r="D1017" s="327"/>
      <c r="E1017" s="341" t="s">
        <v>2745</v>
      </c>
      <c r="F1017" s="206" t="s">
        <v>2746</v>
      </c>
      <c r="G1017" s="206" t="s">
        <v>2743</v>
      </c>
      <c r="H1017" s="207">
        <v>43864</v>
      </c>
      <c r="K1017" s="302">
        <v>7319482141</v>
      </c>
      <c r="L1017" s="8" t="s">
        <v>2747</v>
      </c>
      <c r="M1017" s="212"/>
      <c r="N1017" s="213"/>
      <c r="O1017" s="209"/>
    </row>
    <row r="1018" spans="1:15" x14ac:dyDescent="0.3">
      <c r="A1018" s="302" t="s">
        <v>155</v>
      </c>
      <c r="B1018" s="302" t="str">
        <f t="shared" si="5"/>
        <v>Y</v>
      </c>
      <c r="C1018" s="6" t="s">
        <v>2748</v>
      </c>
      <c r="D1018" s="327"/>
      <c r="E1018" s="341" t="s">
        <v>2749</v>
      </c>
      <c r="F1018" s="206" t="s">
        <v>2750</v>
      </c>
      <c r="G1018" s="206" t="s">
        <v>2751</v>
      </c>
      <c r="H1018" s="206" t="s">
        <v>2751</v>
      </c>
      <c r="K1018" s="302">
        <v>9748248979</v>
      </c>
      <c r="M1018" s="212"/>
      <c r="N1018" s="213"/>
      <c r="O1018" s="209"/>
    </row>
    <row r="1019" spans="1:15" x14ac:dyDescent="0.3">
      <c r="A1019" s="302" t="s">
        <v>155</v>
      </c>
      <c r="B1019" s="302" t="str">
        <f t="shared" si="5"/>
        <v>Y</v>
      </c>
      <c r="C1019" s="6" t="s">
        <v>2752</v>
      </c>
      <c r="D1019" s="327"/>
      <c r="E1019" s="341" t="s">
        <v>2753</v>
      </c>
      <c r="F1019" s="206" t="s">
        <v>2754</v>
      </c>
      <c r="G1019" s="206" t="s">
        <v>2751</v>
      </c>
      <c r="H1019" s="206" t="s">
        <v>2755</v>
      </c>
      <c r="M1019" s="212"/>
      <c r="N1019" s="213"/>
      <c r="O1019" s="209"/>
    </row>
    <row r="1020" spans="1:15" x14ac:dyDescent="0.3">
      <c r="A1020" s="302" t="s">
        <v>155</v>
      </c>
      <c r="B1020" s="302" t="str">
        <f t="shared" si="5"/>
        <v>Y</v>
      </c>
      <c r="C1020" s="6" t="s">
        <v>2756</v>
      </c>
      <c r="D1020" s="327"/>
      <c r="E1020" s="341" t="s">
        <v>2757</v>
      </c>
      <c r="F1020" s="206" t="s">
        <v>2758</v>
      </c>
      <c r="G1020" s="206" t="s">
        <v>2751</v>
      </c>
      <c r="H1020" s="206" t="s">
        <v>2751</v>
      </c>
      <c r="K1020" s="302">
        <v>9031737872</v>
      </c>
      <c r="M1020" s="212"/>
      <c r="N1020" s="213"/>
      <c r="O1020" s="209"/>
    </row>
    <row r="1021" spans="1:15" x14ac:dyDescent="0.3">
      <c r="A1021" s="302" t="s">
        <v>155</v>
      </c>
      <c r="B1021" s="302" t="str">
        <f t="shared" si="5"/>
        <v>Y</v>
      </c>
      <c r="C1021" s="6" t="s">
        <v>2759</v>
      </c>
      <c r="D1021" s="327"/>
      <c r="E1021" s="341" t="s">
        <v>2760</v>
      </c>
      <c r="F1021" s="206" t="s">
        <v>2761</v>
      </c>
      <c r="G1021" s="206" t="s">
        <v>2751</v>
      </c>
      <c r="H1021" s="206" t="s">
        <v>2751</v>
      </c>
      <c r="K1021" s="302">
        <v>9798371275</v>
      </c>
      <c r="L1021" s="2" t="s">
        <v>2730</v>
      </c>
      <c r="M1021" s="212"/>
      <c r="N1021" s="213"/>
      <c r="O1021" s="209"/>
    </row>
    <row r="1022" spans="1:15" x14ac:dyDescent="0.3">
      <c r="A1022" s="302" t="s">
        <v>155</v>
      </c>
      <c r="B1022" s="302" t="str">
        <f t="shared" si="5"/>
        <v>Y</v>
      </c>
      <c r="C1022" s="6" t="s">
        <v>2762</v>
      </c>
      <c r="D1022" s="327"/>
      <c r="E1022" s="341" t="s">
        <v>2763</v>
      </c>
      <c r="F1022" s="206" t="s">
        <v>2764</v>
      </c>
      <c r="G1022" s="206" t="s">
        <v>2755</v>
      </c>
      <c r="H1022" s="206" t="s">
        <v>2755</v>
      </c>
      <c r="M1022" s="212"/>
      <c r="N1022" s="213"/>
      <c r="O1022" s="209"/>
    </row>
    <row r="1023" spans="1:15" x14ac:dyDescent="0.3">
      <c r="A1023" s="302" t="s">
        <v>155</v>
      </c>
      <c r="B1023" s="302" t="str">
        <f t="shared" si="5"/>
        <v>Y</v>
      </c>
      <c r="C1023" s="6" t="s">
        <v>2765</v>
      </c>
      <c r="D1023" s="327"/>
      <c r="E1023" s="341" t="s">
        <v>2766</v>
      </c>
      <c r="F1023" s="206" t="s">
        <v>2084</v>
      </c>
      <c r="G1023" s="206" t="s">
        <v>2767</v>
      </c>
      <c r="H1023" s="207">
        <v>43869</v>
      </c>
      <c r="K1023" s="302">
        <v>9835566129</v>
      </c>
      <c r="L1023" s="2" t="s">
        <v>2735</v>
      </c>
      <c r="M1023" s="212"/>
      <c r="N1023" s="213"/>
      <c r="O1023" s="209"/>
    </row>
    <row r="1024" spans="1:15" x14ac:dyDescent="0.3">
      <c r="A1024" s="302" t="s">
        <v>155</v>
      </c>
      <c r="B1024" s="302" t="str">
        <f t="shared" si="5"/>
        <v>Y</v>
      </c>
      <c r="C1024" s="6" t="s">
        <v>2768</v>
      </c>
      <c r="D1024" s="327"/>
      <c r="E1024" s="341" t="s">
        <v>2769</v>
      </c>
      <c r="F1024" s="206" t="s">
        <v>2770</v>
      </c>
      <c r="G1024" s="206" t="s">
        <v>2771</v>
      </c>
      <c r="H1024" s="206" t="s">
        <v>2771</v>
      </c>
      <c r="I1024" s="2" t="s">
        <v>2772</v>
      </c>
      <c r="K1024" s="302">
        <v>9708588501</v>
      </c>
      <c r="M1024" s="212"/>
      <c r="N1024" s="213"/>
      <c r="O1024" s="209"/>
    </row>
    <row r="1025" spans="1:15" x14ac:dyDescent="0.3">
      <c r="A1025" s="302" t="s">
        <v>155</v>
      </c>
      <c r="B1025" s="302" t="str">
        <f t="shared" si="5"/>
        <v>Y</v>
      </c>
      <c r="C1025" s="6" t="s">
        <v>2773</v>
      </c>
      <c r="D1025" s="327"/>
      <c r="E1025" s="341" t="s">
        <v>2774</v>
      </c>
      <c r="F1025" s="206" t="s">
        <v>2775</v>
      </c>
      <c r="G1025" s="206" t="s">
        <v>2776</v>
      </c>
      <c r="H1025" s="206" t="s">
        <v>2776</v>
      </c>
      <c r="I1025" s="2" t="s">
        <v>2777</v>
      </c>
      <c r="K1025" s="302">
        <v>7370891032</v>
      </c>
      <c r="L1025" s="2" t="s">
        <v>2778</v>
      </c>
      <c r="M1025" s="268" t="s">
        <v>2731</v>
      </c>
      <c r="N1025" s="213"/>
      <c r="O1025" s="209"/>
    </row>
    <row r="1026" spans="1:15" x14ac:dyDescent="0.3">
      <c r="A1026" s="302" t="s">
        <v>155</v>
      </c>
      <c r="B1026" s="302" t="str">
        <f t="shared" si="5"/>
        <v>Y</v>
      </c>
      <c r="C1026" s="6" t="s">
        <v>2779</v>
      </c>
      <c r="D1026" s="327"/>
      <c r="E1026" s="341" t="s">
        <v>2780</v>
      </c>
      <c r="F1026" s="206" t="s">
        <v>2781</v>
      </c>
      <c r="G1026" s="206" t="s">
        <v>2776</v>
      </c>
      <c r="H1026" s="206" t="s">
        <v>2782</v>
      </c>
      <c r="K1026" s="302">
        <v>9102665789</v>
      </c>
      <c r="L1026" s="2" t="s">
        <v>2778</v>
      </c>
      <c r="M1026" s="268" t="s">
        <v>2731</v>
      </c>
      <c r="N1026" s="213"/>
      <c r="O1026" s="209"/>
    </row>
    <row r="1027" spans="1:15" x14ac:dyDescent="0.3">
      <c r="A1027" s="302" t="s">
        <v>155</v>
      </c>
      <c r="B1027" s="302" t="str">
        <f t="shared" si="5"/>
        <v>Y</v>
      </c>
      <c r="C1027" s="6" t="s">
        <v>2783</v>
      </c>
      <c r="D1027" s="327"/>
      <c r="E1027" s="341" t="s">
        <v>2639</v>
      </c>
      <c r="F1027" s="206" t="s">
        <v>2784</v>
      </c>
      <c r="G1027" s="206" t="s">
        <v>2782</v>
      </c>
      <c r="H1027" s="207">
        <v>43875</v>
      </c>
      <c r="I1027" s="2" t="s">
        <v>2785</v>
      </c>
      <c r="K1027" s="302">
        <v>9279242848</v>
      </c>
      <c r="L1027" s="9" t="s">
        <v>2778</v>
      </c>
      <c r="M1027" s="222" t="s">
        <v>2731</v>
      </c>
      <c r="N1027" s="247"/>
      <c r="O1027" s="248"/>
    </row>
    <row r="1028" spans="1:15" x14ac:dyDescent="0.3">
      <c r="A1028" s="302" t="s">
        <v>155</v>
      </c>
      <c r="B1028" s="302" t="str">
        <f t="shared" si="5"/>
        <v>Y</v>
      </c>
      <c r="C1028" s="6" t="s">
        <v>2786</v>
      </c>
      <c r="D1028" s="327"/>
      <c r="E1028" s="341" t="s">
        <v>2787</v>
      </c>
      <c r="F1028" s="206" t="s">
        <v>2788</v>
      </c>
      <c r="G1028" s="206" t="s">
        <v>2782</v>
      </c>
      <c r="H1028" s="207">
        <v>43875</v>
      </c>
      <c r="I1028" s="2" t="s">
        <v>2789</v>
      </c>
      <c r="K1028" s="302">
        <v>7209736177</v>
      </c>
      <c r="L1028" s="2" t="s">
        <v>2790</v>
      </c>
      <c r="M1028" s="212"/>
      <c r="N1028" s="213"/>
      <c r="O1028" s="209"/>
    </row>
    <row r="1029" spans="1:15" x14ac:dyDescent="0.3">
      <c r="A1029" s="302" t="s">
        <v>155</v>
      </c>
      <c r="B1029" s="302" t="str">
        <f t="shared" si="5"/>
        <v>Y</v>
      </c>
      <c r="C1029" s="464" t="s">
        <v>2791</v>
      </c>
      <c r="D1029" s="345"/>
      <c r="E1029" s="341" t="s">
        <v>2792</v>
      </c>
      <c r="F1029" s="206" t="s">
        <v>2793</v>
      </c>
      <c r="G1029" s="206" t="s">
        <v>2794</v>
      </c>
      <c r="H1029" s="207">
        <v>43875</v>
      </c>
      <c r="I1029" s="209"/>
      <c r="K1029" s="302">
        <v>8102490894</v>
      </c>
      <c r="L1029" s="269" t="s">
        <v>2730</v>
      </c>
      <c r="M1029" s="212"/>
      <c r="N1029" s="213"/>
      <c r="O1029" s="209"/>
    </row>
    <row r="1030" spans="1:15" x14ac:dyDescent="0.3">
      <c r="A1030" s="302" t="s">
        <v>155</v>
      </c>
      <c r="B1030" s="302" t="str">
        <f t="shared" si="5"/>
        <v>Y</v>
      </c>
      <c r="C1030" s="6" t="s">
        <v>2795</v>
      </c>
      <c r="D1030" s="327"/>
      <c r="E1030" s="341" t="s">
        <v>2796</v>
      </c>
      <c r="F1030" s="206" t="s">
        <v>2797</v>
      </c>
      <c r="G1030" s="206" t="s">
        <v>2798</v>
      </c>
      <c r="H1030" s="207">
        <v>43875</v>
      </c>
      <c r="K1030" s="302">
        <v>7366982903</v>
      </c>
      <c r="M1030" s="212"/>
      <c r="N1030" s="213"/>
      <c r="O1030" s="209"/>
    </row>
    <row r="1031" spans="1:15" x14ac:dyDescent="0.3">
      <c r="A1031" s="221" t="s">
        <v>155</v>
      </c>
      <c r="B1031" s="221" t="str">
        <f t="shared" si="5"/>
        <v>Y</v>
      </c>
      <c r="C1031" s="451" t="s">
        <v>2799</v>
      </c>
      <c r="D1031" s="329"/>
      <c r="E1031" s="347" t="s">
        <v>2800</v>
      </c>
      <c r="F1031" s="219" t="s">
        <v>2801</v>
      </c>
      <c r="G1031" s="219" t="s">
        <v>2798</v>
      </c>
      <c r="H1031" s="220">
        <v>43875</v>
      </c>
      <c r="I1031" s="9"/>
      <c r="J1031" s="9"/>
      <c r="K1031" s="221">
        <v>8434686052</v>
      </c>
      <c r="L1031" s="9" t="s">
        <v>486</v>
      </c>
      <c r="M1031" s="212"/>
      <c r="N1031" s="213"/>
      <c r="O1031" s="209"/>
    </row>
    <row r="1032" spans="1:15" x14ac:dyDescent="0.3">
      <c r="A1032" s="302" t="s">
        <v>155</v>
      </c>
      <c r="B1032" s="302" t="str">
        <f t="shared" si="5"/>
        <v>Y</v>
      </c>
      <c r="C1032" s="6" t="s">
        <v>2802</v>
      </c>
      <c r="D1032" s="327"/>
      <c r="E1032" s="341" t="s">
        <v>1115</v>
      </c>
      <c r="F1032" s="206" t="s">
        <v>2803</v>
      </c>
      <c r="G1032" s="206" t="s">
        <v>2794</v>
      </c>
      <c r="H1032" s="207">
        <v>43875</v>
      </c>
      <c r="K1032" s="302">
        <v>9304508491</v>
      </c>
      <c r="M1032" s="212"/>
      <c r="N1032" s="213"/>
      <c r="O1032" s="209"/>
    </row>
    <row r="1033" spans="1:15" x14ac:dyDescent="0.3">
      <c r="A1033" s="302" t="s">
        <v>155</v>
      </c>
      <c r="B1033" s="302" t="str">
        <f t="shared" si="5"/>
        <v>Y</v>
      </c>
      <c r="C1033" s="6" t="s">
        <v>2804</v>
      </c>
      <c r="D1033" s="327"/>
      <c r="E1033" s="341" t="s">
        <v>2805</v>
      </c>
      <c r="F1033" s="206" t="s">
        <v>2806</v>
      </c>
      <c r="G1033" s="206" t="s">
        <v>2794</v>
      </c>
      <c r="H1033" s="207">
        <v>43875</v>
      </c>
      <c r="I1033" s="2" t="s">
        <v>2807</v>
      </c>
      <c r="K1033" s="302">
        <v>9931692648</v>
      </c>
      <c r="L1033" s="2" t="s">
        <v>2730</v>
      </c>
      <c r="M1033" s="212"/>
      <c r="N1033" s="213"/>
      <c r="O1033" s="209"/>
    </row>
    <row r="1034" spans="1:15" x14ac:dyDescent="0.3">
      <c r="A1034" s="302" t="s">
        <v>155</v>
      </c>
      <c r="B1034" s="302" t="str">
        <f t="shared" si="5"/>
        <v>Y</v>
      </c>
      <c r="C1034" s="6" t="s">
        <v>2808</v>
      </c>
      <c r="D1034" s="327"/>
      <c r="E1034" s="341" t="s">
        <v>2583</v>
      </c>
      <c r="F1034" s="206" t="s">
        <v>2584</v>
      </c>
      <c r="G1034" s="206" t="s">
        <v>2809</v>
      </c>
      <c r="H1034" s="206" t="s">
        <v>2809</v>
      </c>
      <c r="K1034" s="302">
        <v>7631039364</v>
      </c>
      <c r="M1034" s="212"/>
      <c r="N1034" s="213"/>
      <c r="O1034" s="209"/>
    </row>
    <row r="1035" spans="1:15" x14ac:dyDescent="0.3">
      <c r="A1035" s="302" t="s">
        <v>155</v>
      </c>
      <c r="B1035" s="302" t="str">
        <f t="shared" si="5"/>
        <v>Y</v>
      </c>
      <c r="C1035" s="6" t="s">
        <v>2810</v>
      </c>
      <c r="D1035" s="327"/>
      <c r="E1035" s="341" t="s">
        <v>2811</v>
      </c>
      <c r="F1035" s="206" t="s">
        <v>2812</v>
      </c>
      <c r="G1035" s="206" t="s">
        <v>2813</v>
      </c>
      <c r="H1035" s="206" t="s">
        <v>2813</v>
      </c>
      <c r="K1035" s="302">
        <v>9572013491</v>
      </c>
      <c r="L1035" s="2" t="s">
        <v>2730</v>
      </c>
      <c r="M1035" s="212"/>
      <c r="N1035" s="213"/>
      <c r="O1035" s="209"/>
    </row>
    <row r="1036" spans="1:15" x14ac:dyDescent="0.3">
      <c r="A1036" s="302" t="s">
        <v>155</v>
      </c>
      <c r="B1036" s="302" t="str">
        <f t="shared" si="5"/>
        <v>Y</v>
      </c>
      <c r="C1036" s="6" t="s">
        <v>2814</v>
      </c>
      <c r="D1036" s="327"/>
      <c r="E1036" s="341" t="s">
        <v>2815</v>
      </c>
      <c r="F1036" s="206" t="s">
        <v>2328</v>
      </c>
      <c r="G1036" s="206" t="s">
        <v>2813</v>
      </c>
      <c r="H1036" s="206" t="s">
        <v>2813</v>
      </c>
      <c r="K1036" s="302">
        <v>74997744173</v>
      </c>
      <c r="L1036" s="2" t="s">
        <v>2730</v>
      </c>
      <c r="M1036" s="212"/>
      <c r="N1036" s="213"/>
      <c r="O1036" s="209"/>
    </row>
    <row r="1037" spans="1:15" x14ac:dyDescent="0.3">
      <c r="A1037" s="302" t="s">
        <v>155</v>
      </c>
      <c r="B1037" s="302" t="str">
        <f t="shared" si="5"/>
        <v>Y</v>
      </c>
      <c r="C1037" s="6" t="s">
        <v>2816</v>
      </c>
      <c r="D1037" s="327"/>
      <c r="E1037" s="341" t="s">
        <v>2817</v>
      </c>
      <c r="F1037" s="206" t="s">
        <v>2818</v>
      </c>
      <c r="G1037" s="206" t="s">
        <v>2813</v>
      </c>
      <c r="H1037" s="206" t="s">
        <v>2813</v>
      </c>
      <c r="K1037" s="302">
        <v>9973267006</v>
      </c>
      <c r="M1037" s="212"/>
      <c r="N1037" s="213"/>
      <c r="O1037" s="209"/>
    </row>
    <row r="1038" spans="1:15" x14ac:dyDescent="0.3">
      <c r="A1038" s="302" t="s">
        <v>155</v>
      </c>
      <c r="B1038" s="302" t="str">
        <f t="shared" si="5"/>
        <v>Y</v>
      </c>
      <c r="C1038" s="6" t="s">
        <v>2819</v>
      </c>
      <c r="D1038" s="327"/>
      <c r="E1038" s="341" t="s">
        <v>2820</v>
      </c>
      <c r="F1038" s="206" t="s">
        <v>2821</v>
      </c>
      <c r="G1038" s="206" t="s">
        <v>2822</v>
      </c>
      <c r="H1038" s="207">
        <v>43882</v>
      </c>
      <c r="J1038" s="2">
        <v>250</v>
      </c>
      <c r="K1038" s="302">
        <v>7544894894</v>
      </c>
      <c r="L1038" s="2" t="s">
        <v>2730</v>
      </c>
      <c r="M1038" s="212"/>
      <c r="N1038" s="213"/>
      <c r="O1038" s="209"/>
    </row>
    <row r="1039" spans="1:15" x14ac:dyDescent="0.3">
      <c r="A1039" s="302" t="s">
        <v>155</v>
      </c>
      <c r="B1039" s="302" t="str">
        <f t="shared" si="5"/>
        <v>Y</v>
      </c>
      <c r="C1039" s="6" t="s">
        <v>2823</v>
      </c>
      <c r="D1039" s="327"/>
      <c r="E1039" s="341" t="s">
        <v>2824</v>
      </c>
      <c r="F1039" s="206" t="s">
        <v>2825</v>
      </c>
      <c r="G1039" s="206" t="s">
        <v>2822</v>
      </c>
      <c r="H1039" s="207">
        <v>43882</v>
      </c>
      <c r="J1039" s="2">
        <v>290</v>
      </c>
      <c r="K1039" s="302">
        <v>9006856701</v>
      </c>
      <c r="L1039" s="2" t="s">
        <v>2730</v>
      </c>
      <c r="M1039" s="212"/>
      <c r="N1039" s="213"/>
      <c r="O1039" s="209"/>
    </row>
    <row r="1040" spans="1:15" x14ac:dyDescent="0.3">
      <c r="A1040" s="302" t="s">
        <v>155</v>
      </c>
      <c r="B1040" s="302" t="str">
        <f t="shared" si="5"/>
        <v>Y</v>
      </c>
      <c r="C1040" s="6" t="s">
        <v>2826</v>
      </c>
      <c r="D1040" s="327"/>
      <c r="E1040" s="341" t="s">
        <v>2827</v>
      </c>
      <c r="F1040" s="206" t="s">
        <v>2828</v>
      </c>
      <c r="G1040" s="206" t="s">
        <v>2822</v>
      </c>
      <c r="H1040" s="207">
        <v>43882</v>
      </c>
      <c r="K1040" s="302">
        <v>8987964834</v>
      </c>
      <c r="L1040" s="2" t="s">
        <v>2730</v>
      </c>
      <c r="M1040" s="212"/>
      <c r="N1040" s="213"/>
      <c r="O1040" s="209"/>
    </row>
    <row r="1041" spans="1:15" x14ac:dyDescent="0.3">
      <c r="A1041" s="302" t="s">
        <v>155</v>
      </c>
      <c r="B1041" s="302" t="str">
        <f t="shared" si="5"/>
        <v>Y</v>
      </c>
      <c r="C1041" s="6" t="s">
        <v>2829</v>
      </c>
      <c r="D1041" s="327"/>
      <c r="E1041" s="341" t="s">
        <v>2830</v>
      </c>
      <c r="F1041" s="257" t="s">
        <v>2831</v>
      </c>
      <c r="G1041" s="206" t="s">
        <v>2822</v>
      </c>
      <c r="H1041" s="207">
        <v>43882</v>
      </c>
      <c r="K1041" s="302">
        <v>6295511917</v>
      </c>
      <c r="L1041" s="2" t="s">
        <v>2730</v>
      </c>
      <c r="M1041" s="212"/>
      <c r="N1041" s="213"/>
      <c r="O1041" s="209"/>
    </row>
    <row r="1042" spans="1:15" x14ac:dyDescent="0.3">
      <c r="A1042" s="302" t="s">
        <v>155</v>
      </c>
      <c r="B1042" s="302" t="str">
        <f t="shared" si="5"/>
        <v>Y</v>
      </c>
      <c r="C1042" s="6" t="s">
        <v>2832</v>
      </c>
      <c r="D1042" s="327"/>
      <c r="E1042" s="341" t="s">
        <v>2833</v>
      </c>
      <c r="F1042" s="258">
        <v>32994</v>
      </c>
      <c r="G1042" s="206" t="s">
        <v>2822</v>
      </c>
      <c r="H1042" s="207">
        <v>43882</v>
      </c>
      <c r="I1042" s="267"/>
      <c r="J1042" s="267"/>
      <c r="K1042" s="296">
        <v>8603215464</v>
      </c>
      <c r="M1042" s="212"/>
      <c r="N1042" s="213"/>
      <c r="O1042" s="209"/>
    </row>
    <row r="1043" spans="1:15" x14ac:dyDescent="0.3">
      <c r="A1043" s="302" t="s">
        <v>155</v>
      </c>
      <c r="B1043" s="302" t="str">
        <f t="shared" si="5"/>
        <v>Y</v>
      </c>
      <c r="C1043" s="6" t="s">
        <v>2834</v>
      </c>
      <c r="D1043" s="327"/>
      <c r="E1043" s="341" t="s">
        <v>2835</v>
      </c>
      <c r="F1043" s="258">
        <v>33829</v>
      </c>
      <c r="G1043" s="206" t="s">
        <v>2836</v>
      </c>
      <c r="H1043" s="206" t="s">
        <v>2836</v>
      </c>
      <c r="K1043" s="302">
        <v>9204262036</v>
      </c>
      <c r="M1043" s="212"/>
      <c r="N1043" s="213"/>
      <c r="O1043" s="209"/>
    </row>
    <row r="1044" spans="1:15" x14ac:dyDescent="0.3">
      <c r="A1044" s="302" t="s">
        <v>155</v>
      </c>
      <c r="B1044" s="302" t="str">
        <f t="shared" si="5"/>
        <v>Y</v>
      </c>
      <c r="C1044" s="6" t="s">
        <v>2837</v>
      </c>
      <c r="D1044" s="327"/>
      <c r="E1044" s="341" t="s">
        <v>2838</v>
      </c>
      <c r="F1044" s="206" t="s">
        <v>2839</v>
      </c>
      <c r="G1044" s="206" t="s">
        <v>2840</v>
      </c>
      <c r="H1044" s="207">
        <v>43887</v>
      </c>
      <c r="K1044" s="302">
        <v>7762938839</v>
      </c>
      <c r="M1044" s="212"/>
      <c r="N1044" s="213"/>
      <c r="O1044" s="209"/>
    </row>
    <row r="1045" spans="1:15" x14ac:dyDescent="0.3">
      <c r="A1045" s="302" t="s">
        <v>155</v>
      </c>
      <c r="B1045" s="302" t="str">
        <f t="shared" si="5"/>
        <v>Y</v>
      </c>
      <c r="C1045" s="6" t="s">
        <v>2841</v>
      </c>
      <c r="D1045" s="327"/>
      <c r="E1045" s="341" t="s">
        <v>2842</v>
      </c>
      <c r="F1045" s="206" t="s">
        <v>2843</v>
      </c>
      <c r="G1045" s="206" t="s">
        <v>2836</v>
      </c>
      <c r="H1045" s="207">
        <v>43887</v>
      </c>
      <c r="K1045" s="302">
        <v>7250604462</v>
      </c>
      <c r="M1045" s="212"/>
      <c r="N1045" s="213"/>
      <c r="O1045" s="209"/>
    </row>
    <row r="1046" spans="1:15" x14ac:dyDescent="0.3">
      <c r="A1046" s="302" t="s">
        <v>155</v>
      </c>
      <c r="B1046" s="302" t="str">
        <f t="shared" si="5"/>
        <v>Y</v>
      </c>
      <c r="C1046" s="6" t="s">
        <v>2844</v>
      </c>
      <c r="D1046" s="327"/>
      <c r="E1046" s="341" t="s">
        <v>2845</v>
      </c>
      <c r="F1046" s="206" t="s">
        <v>2846</v>
      </c>
      <c r="G1046" s="206" t="s">
        <v>2836</v>
      </c>
      <c r="H1046" s="207">
        <v>43887</v>
      </c>
      <c r="K1046" s="302">
        <v>7992372723</v>
      </c>
      <c r="L1046" s="8" t="s">
        <v>2847</v>
      </c>
      <c r="M1046" s="212"/>
      <c r="N1046" s="213"/>
      <c r="O1046" s="209"/>
    </row>
    <row r="1047" spans="1:15" x14ac:dyDescent="0.3">
      <c r="A1047" s="302" t="s">
        <v>155</v>
      </c>
      <c r="B1047" s="302" t="str">
        <f t="shared" si="5"/>
        <v>Y</v>
      </c>
      <c r="C1047" s="6" t="s">
        <v>2848</v>
      </c>
      <c r="D1047" s="327"/>
      <c r="E1047" s="341" t="s">
        <v>2849</v>
      </c>
      <c r="F1047" s="206" t="s">
        <v>2850</v>
      </c>
      <c r="G1047" s="206" t="s">
        <v>2840</v>
      </c>
      <c r="H1047" s="206" t="s">
        <v>2840</v>
      </c>
      <c r="K1047" s="302">
        <v>9315593847</v>
      </c>
      <c r="M1047" s="212"/>
      <c r="N1047" s="213"/>
      <c r="O1047" s="209"/>
    </row>
    <row r="1048" spans="1:15" x14ac:dyDescent="0.3">
      <c r="A1048" s="302" t="s">
        <v>155</v>
      </c>
      <c r="B1048" s="302" t="str">
        <f t="shared" si="5"/>
        <v>Y</v>
      </c>
      <c r="C1048" s="6" t="s">
        <v>2851</v>
      </c>
      <c r="D1048" s="327"/>
      <c r="E1048" s="341" t="s">
        <v>2852</v>
      </c>
      <c r="F1048" s="206" t="s">
        <v>2084</v>
      </c>
      <c r="G1048" s="206" t="s">
        <v>2853</v>
      </c>
      <c r="H1048" s="206" t="s">
        <v>2853</v>
      </c>
      <c r="K1048" s="302">
        <v>8002744183</v>
      </c>
      <c r="L1048" s="2" t="s">
        <v>2730</v>
      </c>
      <c r="M1048" s="212"/>
      <c r="N1048" s="213"/>
      <c r="O1048" s="209"/>
    </row>
    <row r="1049" spans="1:15" x14ac:dyDescent="0.3">
      <c r="A1049" s="302" t="s">
        <v>155</v>
      </c>
      <c r="B1049" s="302" t="str">
        <f t="shared" si="5"/>
        <v>Y</v>
      </c>
      <c r="C1049" s="6" t="s">
        <v>2854</v>
      </c>
      <c r="D1049" s="327"/>
      <c r="E1049" s="341" t="s">
        <v>2855</v>
      </c>
      <c r="F1049" s="206" t="s">
        <v>2856</v>
      </c>
      <c r="G1049" s="206" t="s">
        <v>2853</v>
      </c>
      <c r="H1049" s="206" t="s">
        <v>2853</v>
      </c>
      <c r="K1049" s="302">
        <v>6209042443</v>
      </c>
      <c r="M1049" s="212"/>
      <c r="N1049" s="213"/>
      <c r="O1049" s="209"/>
    </row>
    <row r="1050" spans="1:15" x14ac:dyDescent="0.3">
      <c r="A1050" s="302" t="s">
        <v>155</v>
      </c>
      <c r="B1050" s="302" t="str">
        <f t="shared" si="5"/>
        <v>Y</v>
      </c>
      <c r="C1050" s="6" t="s">
        <v>2857</v>
      </c>
      <c r="D1050" s="327"/>
      <c r="E1050" s="341" t="s">
        <v>2858</v>
      </c>
      <c r="F1050" s="206" t="s">
        <v>2859</v>
      </c>
      <c r="G1050" s="206" t="s">
        <v>2860</v>
      </c>
      <c r="H1050" s="207">
        <v>43889</v>
      </c>
      <c r="K1050" s="302">
        <v>8271919681</v>
      </c>
      <c r="M1050" s="212"/>
      <c r="N1050" s="213"/>
      <c r="O1050" s="209"/>
    </row>
    <row r="1051" spans="1:15" x14ac:dyDescent="0.3">
      <c r="A1051" s="302" t="s">
        <v>155</v>
      </c>
      <c r="B1051" s="302" t="str">
        <f t="shared" si="5"/>
        <v>Y</v>
      </c>
      <c r="C1051" s="6" t="s">
        <v>2861</v>
      </c>
      <c r="D1051" s="327"/>
      <c r="E1051" s="341" t="s">
        <v>2862</v>
      </c>
      <c r="F1051" s="206" t="s">
        <v>1994</v>
      </c>
      <c r="G1051" s="206" t="s">
        <v>2863</v>
      </c>
      <c r="H1051" s="207">
        <v>43890</v>
      </c>
      <c r="K1051" s="302">
        <v>7294147152</v>
      </c>
      <c r="M1051" s="212"/>
      <c r="N1051" s="213"/>
      <c r="O1051" s="209"/>
    </row>
    <row r="1052" spans="1:15" x14ac:dyDescent="0.3">
      <c r="A1052" s="302" t="s">
        <v>155</v>
      </c>
      <c r="B1052" s="302" t="str">
        <f t="shared" si="5"/>
        <v>N</v>
      </c>
      <c r="C1052" s="6" t="s">
        <v>2864</v>
      </c>
      <c r="D1052" s="327"/>
      <c r="E1052" s="341" t="s">
        <v>2865</v>
      </c>
      <c r="F1052" s="206" t="s">
        <v>2866</v>
      </c>
      <c r="G1052" s="206" t="s">
        <v>2867</v>
      </c>
      <c r="H1052" s="302"/>
      <c r="K1052" s="302">
        <v>96008656159</v>
      </c>
      <c r="M1052" s="212"/>
      <c r="N1052" s="213"/>
      <c r="O1052" s="209"/>
    </row>
    <row r="1053" spans="1:15" x14ac:dyDescent="0.3">
      <c r="A1053" s="302" t="s">
        <v>155</v>
      </c>
      <c r="B1053" s="302" t="str">
        <f t="shared" si="5"/>
        <v>Y</v>
      </c>
      <c r="C1053" s="6" t="s">
        <v>2868</v>
      </c>
      <c r="D1053" s="327"/>
      <c r="E1053" s="341" t="s">
        <v>2869</v>
      </c>
      <c r="F1053" s="206" t="s">
        <v>2870</v>
      </c>
      <c r="G1053" s="206" t="s">
        <v>2871</v>
      </c>
      <c r="H1053" s="206" t="s">
        <v>2871</v>
      </c>
      <c r="K1053" s="302">
        <v>7033934909</v>
      </c>
      <c r="L1053" s="2" t="s">
        <v>2872</v>
      </c>
      <c r="M1053" s="212"/>
      <c r="N1053" s="213"/>
      <c r="O1053" s="209"/>
    </row>
    <row r="1054" spans="1:15" x14ac:dyDescent="0.3">
      <c r="A1054" s="302" t="s">
        <v>155</v>
      </c>
      <c r="B1054" s="302" t="str">
        <f t="shared" si="5"/>
        <v>Y</v>
      </c>
      <c r="C1054" s="6" t="s">
        <v>2873</v>
      </c>
      <c r="D1054" s="327"/>
      <c r="E1054" s="341" t="s">
        <v>2874</v>
      </c>
      <c r="F1054" s="206" t="s">
        <v>2875</v>
      </c>
      <c r="G1054" s="206" t="s">
        <v>2871</v>
      </c>
      <c r="H1054" s="206" t="s">
        <v>2871</v>
      </c>
      <c r="K1054" s="302">
        <v>7292836430</v>
      </c>
      <c r="M1054" s="212"/>
      <c r="N1054" s="213"/>
      <c r="O1054" s="209"/>
    </row>
    <row r="1055" spans="1:15" x14ac:dyDescent="0.3">
      <c r="A1055" s="302" t="s">
        <v>155</v>
      </c>
      <c r="B1055" s="302" t="str">
        <f t="shared" si="5"/>
        <v>Y</v>
      </c>
      <c r="C1055" s="6" t="s">
        <v>2876</v>
      </c>
      <c r="D1055" s="327"/>
      <c r="E1055" s="341" t="s">
        <v>2877</v>
      </c>
      <c r="F1055" s="206" t="s">
        <v>2878</v>
      </c>
      <c r="G1055" s="206" t="s">
        <v>2871</v>
      </c>
      <c r="H1055" s="206" t="s">
        <v>2879</v>
      </c>
      <c r="K1055" s="302">
        <v>9523271173</v>
      </c>
      <c r="M1055" s="212"/>
      <c r="N1055" s="213"/>
      <c r="O1055" s="209"/>
    </row>
    <row r="1056" spans="1:15" x14ac:dyDescent="0.3">
      <c r="A1056" s="302" t="s">
        <v>155</v>
      </c>
      <c r="B1056" s="302" t="str">
        <f t="shared" si="5"/>
        <v>Y</v>
      </c>
      <c r="C1056" s="6" t="s">
        <v>2880</v>
      </c>
      <c r="D1056" s="327"/>
      <c r="E1056" s="341" t="s">
        <v>2881</v>
      </c>
      <c r="F1056" s="206" t="s">
        <v>2882</v>
      </c>
      <c r="G1056" s="206" t="s">
        <v>2871</v>
      </c>
      <c r="H1056" s="206" t="s">
        <v>2879</v>
      </c>
      <c r="K1056" s="302">
        <v>9523271173</v>
      </c>
      <c r="M1056" s="212"/>
      <c r="N1056" s="213"/>
      <c r="O1056" s="209"/>
    </row>
    <row r="1057" spans="1:15" x14ac:dyDescent="0.3">
      <c r="A1057" s="302" t="s">
        <v>155</v>
      </c>
      <c r="B1057" s="302" t="str">
        <f t="shared" si="5"/>
        <v>Y</v>
      </c>
      <c r="C1057" s="6" t="s">
        <v>2883</v>
      </c>
      <c r="D1057" s="327"/>
      <c r="E1057" s="341" t="s">
        <v>2884</v>
      </c>
      <c r="F1057" s="206" t="s">
        <v>2087</v>
      </c>
      <c r="G1057" s="206" t="s">
        <v>2879</v>
      </c>
      <c r="H1057" s="206" t="s">
        <v>2879</v>
      </c>
      <c r="K1057" s="302">
        <v>8092524722</v>
      </c>
      <c r="M1057" s="212"/>
      <c r="N1057" s="213"/>
      <c r="O1057" s="209"/>
    </row>
    <row r="1058" spans="1:15" x14ac:dyDescent="0.3">
      <c r="A1058" s="302" t="s">
        <v>155</v>
      </c>
      <c r="B1058" s="302" t="str">
        <f t="shared" si="5"/>
        <v>Y</v>
      </c>
      <c r="C1058" s="6" t="s">
        <v>2873</v>
      </c>
      <c r="D1058" s="327"/>
      <c r="E1058" s="341" t="s">
        <v>2874</v>
      </c>
      <c r="F1058" s="206" t="s">
        <v>2875</v>
      </c>
      <c r="G1058" s="206" t="s">
        <v>2879</v>
      </c>
      <c r="H1058" s="206" t="s">
        <v>2879</v>
      </c>
      <c r="K1058" s="302">
        <v>7292836430</v>
      </c>
      <c r="M1058" s="212"/>
      <c r="N1058" s="213"/>
      <c r="O1058" s="209"/>
    </row>
    <row r="1059" spans="1:15" x14ac:dyDescent="0.3">
      <c r="A1059" s="302" t="s">
        <v>155</v>
      </c>
      <c r="B1059" s="302" t="str">
        <f t="shared" si="5"/>
        <v>Y</v>
      </c>
      <c r="C1059" s="6" t="s">
        <v>2885</v>
      </c>
      <c r="D1059" s="327"/>
      <c r="E1059" s="341" t="s">
        <v>2886</v>
      </c>
      <c r="F1059" s="206" t="s">
        <v>2887</v>
      </c>
      <c r="G1059" s="206" t="s">
        <v>2888</v>
      </c>
      <c r="H1059" s="207">
        <v>43897</v>
      </c>
      <c r="K1059" s="297">
        <v>7209152003</v>
      </c>
      <c r="M1059" s="212"/>
      <c r="N1059" s="213"/>
      <c r="O1059" s="209"/>
    </row>
    <row r="1060" spans="1:15" x14ac:dyDescent="0.3">
      <c r="A1060" s="302" t="s">
        <v>155</v>
      </c>
      <c r="B1060" s="302" t="str">
        <f t="shared" si="5"/>
        <v>Y</v>
      </c>
      <c r="C1060" s="6" t="s">
        <v>2889</v>
      </c>
      <c r="D1060" s="327"/>
      <c r="E1060" s="341" t="s">
        <v>2890</v>
      </c>
      <c r="F1060" s="206" t="s">
        <v>2688</v>
      </c>
      <c r="G1060" s="206" t="s">
        <v>2891</v>
      </c>
      <c r="H1060" s="206" t="s">
        <v>2892</v>
      </c>
      <c r="K1060" s="302">
        <v>8434686155</v>
      </c>
      <c r="M1060" s="212"/>
      <c r="N1060" s="213"/>
      <c r="O1060" s="209"/>
    </row>
    <row r="1061" spans="1:15" x14ac:dyDescent="0.3">
      <c r="A1061" s="302" t="s">
        <v>155</v>
      </c>
      <c r="B1061" s="302" t="str">
        <f t="shared" si="5"/>
        <v>Y</v>
      </c>
      <c r="C1061" s="6" t="s">
        <v>2893</v>
      </c>
      <c r="D1061" s="327"/>
      <c r="E1061" s="341" t="s">
        <v>2894</v>
      </c>
      <c r="F1061" s="206" t="s">
        <v>2895</v>
      </c>
      <c r="G1061" s="206" t="s">
        <v>2891</v>
      </c>
      <c r="H1061" s="206" t="s">
        <v>2891</v>
      </c>
      <c r="K1061" s="302">
        <v>6202429543</v>
      </c>
      <c r="M1061" s="212"/>
      <c r="N1061" s="213"/>
      <c r="O1061" s="209"/>
    </row>
    <row r="1062" spans="1:15" x14ac:dyDescent="0.3">
      <c r="A1062" s="302" t="s">
        <v>155</v>
      </c>
      <c r="B1062" s="302" t="str">
        <f t="shared" si="5"/>
        <v>Y</v>
      </c>
      <c r="C1062" s="6" t="s">
        <v>2896</v>
      </c>
      <c r="D1062" s="327"/>
      <c r="E1062" s="341" t="s">
        <v>2897</v>
      </c>
      <c r="F1062" s="206" t="s">
        <v>2898</v>
      </c>
      <c r="G1062" s="206" t="s">
        <v>2891</v>
      </c>
      <c r="H1062" s="206" t="s">
        <v>2891</v>
      </c>
      <c r="K1062" s="302">
        <v>9835567908</v>
      </c>
      <c r="M1062" s="212"/>
      <c r="N1062" s="213"/>
      <c r="O1062" s="209"/>
    </row>
    <row r="1063" spans="1:15" x14ac:dyDescent="0.3">
      <c r="A1063" s="302" t="s">
        <v>155</v>
      </c>
      <c r="B1063" s="302" t="str">
        <f t="shared" si="5"/>
        <v>Y</v>
      </c>
      <c r="C1063" s="6" t="s">
        <v>2899</v>
      </c>
      <c r="D1063" s="327"/>
      <c r="E1063" s="341" t="s">
        <v>2900</v>
      </c>
      <c r="F1063" s="206" t="s">
        <v>2901</v>
      </c>
      <c r="G1063" s="206" t="s">
        <v>2892</v>
      </c>
      <c r="H1063" s="206" t="s">
        <v>2892</v>
      </c>
      <c r="K1063" s="302">
        <v>8092524722</v>
      </c>
      <c r="M1063" s="212"/>
      <c r="N1063" s="213"/>
      <c r="O1063" s="209"/>
    </row>
    <row r="1064" spans="1:15" x14ac:dyDescent="0.3">
      <c r="A1064" s="302" t="s">
        <v>155</v>
      </c>
      <c r="B1064" s="302" t="str">
        <f t="shared" si="5"/>
        <v>Y</v>
      </c>
      <c r="C1064" s="6" t="s">
        <v>2902</v>
      </c>
      <c r="D1064" s="327"/>
      <c r="E1064" s="341" t="s">
        <v>2903</v>
      </c>
      <c r="F1064" s="206" t="s">
        <v>2904</v>
      </c>
      <c r="G1064" s="206" t="s">
        <v>2892</v>
      </c>
      <c r="H1064" s="206" t="s">
        <v>2892</v>
      </c>
      <c r="K1064" s="302">
        <v>9246529954</v>
      </c>
      <c r="M1064" s="212"/>
      <c r="N1064" s="213"/>
      <c r="O1064" s="209"/>
    </row>
    <row r="1065" spans="1:15" x14ac:dyDescent="0.3">
      <c r="A1065" s="302" t="s">
        <v>155</v>
      </c>
      <c r="B1065" s="302" t="str">
        <f t="shared" si="5"/>
        <v>Y</v>
      </c>
      <c r="C1065" s="6" t="s">
        <v>2905</v>
      </c>
      <c r="D1065" s="327"/>
      <c r="E1065" s="341" t="s">
        <v>2906</v>
      </c>
      <c r="F1065" s="206" t="s">
        <v>2907</v>
      </c>
      <c r="G1065" s="206" t="s">
        <v>2908</v>
      </c>
      <c r="H1065" s="206" t="s">
        <v>2909</v>
      </c>
      <c r="K1065" s="302">
        <v>7061381402</v>
      </c>
      <c r="M1065" s="212"/>
      <c r="N1065" s="213"/>
      <c r="O1065" s="209"/>
    </row>
    <row r="1066" spans="1:15" x14ac:dyDescent="0.3">
      <c r="A1066" s="302" t="s">
        <v>155</v>
      </c>
      <c r="B1066" s="302" t="str">
        <f t="shared" si="5"/>
        <v>Y</v>
      </c>
      <c r="C1066" s="6" t="s">
        <v>2910</v>
      </c>
      <c r="D1066" s="327"/>
      <c r="E1066" s="341" t="s">
        <v>2911</v>
      </c>
      <c r="F1066" s="206" t="s">
        <v>2912</v>
      </c>
      <c r="G1066" s="206" t="s">
        <v>2913</v>
      </c>
      <c r="H1066" s="206" t="s">
        <v>2909</v>
      </c>
      <c r="K1066" s="302">
        <v>9955133587</v>
      </c>
      <c r="M1066" s="212"/>
      <c r="N1066" s="213"/>
      <c r="O1066" s="209"/>
    </row>
    <row r="1067" spans="1:15" x14ac:dyDescent="0.3">
      <c r="A1067" s="302" t="s">
        <v>155</v>
      </c>
      <c r="B1067" s="302" t="str">
        <f t="shared" si="5"/>
        <v>Y</v>
      </c>
      <c r="C1067" s="6" t="s">
        <v>2914</v>
      </c>
      <c r="D1067" s="327"/>
      <c r="E1067" s="341" t="s">
        <v>2915</v>
      </c>
      <c r="F1067" s="206" t="s">
        <v>2916</v>
      </c>
      <c r="G1067" s="206" t="s">
        <v>2913</v>
      </c>
      <c r="H1067" s="207">
        <v>43934</v>
      </c>
      <c r="K1067" s="302">
        <v>8809979291</v>
      </c>
      <c r="M1067" s="212"/>
      <c r="N1067" s="213"/>
      <c r="O1067" s="209"/>
    </row>
    <row r="1068" spans="1:15" x14ac:dyDescent="0.3">
      <c r="A1068" s="302" t="s">
        <v>155</v>
      </c>
      <c r="B1068" s="302" t="str">
        <f t="shared" si="5"/>
        <v>Y</v>
      </c>
      <c r="C1068" s="6" t="s">
        <v>2917</v>
      </c>
      <c r="D1068" s="327"/>
      <c r="E1068" s="341" t="s">
        <v>2918</v>
      </c>
      <c r="F1068" s="206" t="s">
        <v>2919</v>
      </c>
      <c r="G1068" s="206" t="s">
        <v>2920</v>
      </c>
      <c r="H1068" s="207">
        <v>43934</v>
      </c>
      <c r="K1068" s="302">
        <v>9304787229</v>
      </c>
      <c r="M1068" s="212"/>
      <c r="N1068" s="213"/>
      <c r="O1068" s="209"/>
    </row>
    <row r="1069" spans="1:15" x14ac:dyDescent="0.3">
      <c r="A1069" s="302" t="s">
        <v>155</v>
      </c>
      <c r="B1069" s="302" t="str">
        <f t="shared" si="5"/>
        <v>Y</v>
      </c>
      <c r="C1069" s="6" t="s">
        <v>2921</v>
      </c>
      <c r="D1069" s="327"/>
      <c r="E1069" s="341" t="s">
        <v>2922</v>
      </c>
      <c r="F1069" s="206" t="s">
        <v>2923</v>
      </c>
      <c r="G1069" s="206" t="s">
        <v>2920</v>
      </c>
      <c r="H1069" s="207">
        <v>43934</v>
      </c>
      <c r="K1069" s="302">
        <v>8271388848</v>
      </c>
      <c r="M1069" s="212"/>
      <c r="N1069" s="213"/>
      <c r="O1069" s="209"/>
    </row>
    <row r="1070" spans="1:15" x14ac:dyDescent="0.3">
      <c r="A1070" s="302" t="s">
        <v>155</v>
      </c>
      <c r="B1070" s="302" t="str">
        <f t="shared" si="5"/>
        <v>Y</v>
      </c>
      <c r="C1070" s="6" t="s">
        <v>2924</v>
      </c>
      <c r="D1070" s="327"/>
      <c r="E1070" s="341" t="s">
        <v>2925</v>
      </c>
      <c r="F1070" s="206" t="s">
        <v>2926</v>
      </c>
      <c r="G1070" s="206" t="s">
        <v>2920</v>
      </c>
      <c r="H1070" s="207">
        <v>43934</v>
      </c>
      <c r="K1070" s="302">
        <v>8271388848</v>
      </c>
      <c r="M1070" s="212"/>
      <c r="N1070" s="213"/>
      <c r="O1070" s="209"/>
    </row>
    <row r="1071" spans="1:15" x14ac:dyDescent="0.3">
      <c r="A1071" s="302" t="s">
        <v>155</v>
      </c>
      <c r="B1071" s="302" t="str">
        <f t="shared" si="5"/>
        <v>Y</v>
      </c>
      <c r="C1071" s="6" t="s">
        <v>2927</v>
      </c>
      <c r="D1071" s="327"/>
      <c r="E1071" s="341" t="s">
        <v>2928</v>
      </c>
      <c r="F1071" s="206" t="s">
        <v>2929</v>
      </c>
      <c r="G1071" s="206" t="s">
        <v>2930</v>
      </c>
      <c r="H1071" s="207">
        <v>43904</v>
      </c>
      <c r="K1071" s="302">
        <v>7992461915</v>
      </c>
      <c r="M1071" s="212"/>
      <c r="N1071" s="213"/>
      <c r="O1071" s="209"/>
    </row>
    <row r="1072" spans="1:15" x14ac:dyDescent="0.3">
      <c r="A1072" s="302" t="s">
        <v>2931</v>
      </c>
      <c r="B1072" s="302" t="str">
        <f t="shared" si="5"/>
        <v>Y</v>
      </c>
      <c r="C1072" s="453" t="s">
        <v>2932</v>
      </c>
      <c r="D1072" s="331"/>
      <c r="E1072" s="331" t="s">
        <v>2933</v>
      </c>
      <c r="F1072" s="228">
        <v>31413</v>
      </c>
      <c r="G1072" s="227"/>
      <c r="H1072" s="228">
        <v>43071</v>
      </c>
      <c r="J1072" s="226"/>
      <c r="K1072" s="225">
        <v>7294186921</v>
      </c>
      <c r="L1072" s="2" t="s">
        <v>2934</v>
      </c>
      <c r="M1072" s="212"/>
      <c r="N1072" s="213"/>
      <c r="O1072" s="209"/>
    </row>
    <row r="1073" spans="1:15" x14ac:dyDescent="0.3">
      <c r="A1073" s="302" t="s">
        <v>155</v>
      </c>
      <c r="B1073" s="302" t="str">
        <f t="shared" si="5"/>
        <v>Y</v>
      </c>
      <c r="C1073" s="6" t="s">
        <v>2935</v>
      </c>
      <c r="D1073" s="327"/>
      <c r="E1073" s="341" t="s">
        <v>2936</v>
      </c>
      <c r="F1073" s="206" t="s">
        <v>2937</v>
      </c>
      <c r="G1073" s="206" t="s">
        <v>2938</v>
      </c>
      <c r="H1073" s="206" t="s">
        <v>2938</v>
      </c>
      <c r="K1073" s="302">
        <v>7079817411</v>
      </c>
      <c r="M1073" s="212"/>
      <c r="N1073" s="213"/>
      <c r="O1073" s="209"/>
    </row>
    <row r="1074" spans="1:15" x14ac:dyDescent="0.3">
      <c r="A1074" s="302" t="s">
        <v>155</v>
      </c>
      <c r="B1074" s="302" t="str">
        <f t="shared" si="5"/>
        <v>Y</v>
      </c>
      <c r="C1074" s="6" t="s">
        <v>2939</v>
      </c>
      <c r="D1074" s="327"/>
      <c r="E1074" s="341" t="s">
        <v>2940</v>
      </c>
      <c r="F1074" s="206" t="s">
        <v>2941</v>
      </c>
      <c r="G1074" s="206" t="s">
        <v>2938</v>
      </c>
      <c r="H1074" s="206" t="s">
        <v>2938</v>
      </c>
      <c r="K1074" s="302">
        <v>9955441785</v>
      </c>
      <c r="M1074" s="212"/>
      <c r="N1074" s="213"/>
      <c r="O1074" s="209"/>
    </row>
    <row r="1075" spans="1:15" x14ac:dyDescent="0.3">
      <c r="A1075" s="302" t="s">
        <v>155</v>
      </c>
      <c r="B1075" s="302" t="str">
        <f t="shared" si="5"/>
        <v>Y</v>
      </c>
      <c r="C1075" s="6" t="s">
        <v>2942</v>
      </c>
      <c r="D1075" s="327"/>
      <c r="E1075" s="341" t="s">
        <v>2943</v>
      </c>
      <c r="F1075" s="206" t="s">
        <v>2944</v>
      </c>
      <c r="G1075" s="206" t="s">
        <v>2938</v>
      </c>
      <c r="H1075" s="206" t="s">
        <v>2938</v>
      </c>
      <c r="K1075" s="302">
        <v>8227070042</v>
      </c>
      <c r="M1075" s="212"/>
      <c r="N1075" s="213"/>
      <c r="O1075" s="209"/>
    </row>
    <row r="1076" spans="1:15" x14ac:dyDescent="0.3">
      <c r="A1076" s="302" t="s">
        <v>155</v>
      </c>
      <c r="B1076" s="302" t="str">
        <f t="shared" si="5"/>
        <v>Y</v>
      </c>
      <c r="C1076" s="6" t="s">
        <v>2945</v>
      </c>
      <c r="D1076" s="327"/>
      <c r="E1076" s="327" t="s">
        <v>2946</v>
      </c>
      <c r="F1076" s="206" t="s">
        <v>2947</v>
      </c>
      <c r="G1076" s="206" t="s">
        <v>2948</v>
      </c>
      <c r="H1076" s="206" t="s">
        <v>2948</v>
      </c>
      <c r="K1076" s="302">
        <v>9431345580</v>
      </c>
      <c r="M1076" s="212"/>
      <c r="N1076" s="213"/>
      <c r="O1076" s="209"/>
    </row>
    <row r="1077" spans="1:15" x14ac:dyDescent="0.3">
      <c r="A1077" s="302" t="s">
        <v>155</v>
      </c>
      <c r="B1077" s="302" t="str">
        <f t="shared" si="5"/>
        <v>Y</v>
      </c>
      <c r="C1077" s="6" t="s">
        <v>2949</v>
      </c>
      <c r="D1077" s="327"/>
      <c r="E1077" s="341" t="s">
        <v>2950</v>
      </c>
      <c r="F1077" s="206" t="s">
        <v>2951</v>
      </c>
      <c r="G1077" s="206" t="s">
        <v>2952</v>
      </c>
      <c r="H1077" s="207">
        <v>43911</v>
      </c>
      <c r="K1077" s="302">
        <v>9661350133</v>
      </c>
      <c r="M1077" s="212"/>
      <c r="N1077" s="213"/>
      <c r="O1077" s="209"/>
    </row>
    <row r="1078" spans="1:15" x14ac:dyDescent="0.3">
      <c r="A1078" s="302" t="s">
        <v>155</v>
      </c>
      <c r="B1078" s="302" t="str">
        <f t="shared" si="5"/>
        <v>Y</v>
      </c>
      <c r="C1078" s="6" t="s">
        <v>2953</v>
      </c>
      <c r="D1078" s="327"/>
      <c r="E1078" s="341" t="s">
        <v>2954</v>
      </c>
      <c r="F1078" s="206" t="s">
        <v>2175</v>
      </c>
      <c r="G1078" s="206" t="s">
        <v>2955</v>
      </c>
      <c r="H1078" s="206" t="s">
        <v>2955</v>
      </c>
      <c r="K1078" s="302">
        <v>8434011519</v>
      </c>
      <c r="M1078" s="212"/>
      <c r="N1078" s="213"/>
      <c r="O1078" s="209"/>
    </row>
    <row r="1079" spans="1:15" x14ac:dyDescent="0.3">
      <c r="A1079" s="225" t="s">
        <v>155</v>
      </c>
      <c r="B1079" s="225" t="str">
        <f t="shared" si="5"/>
        <v>N</v>
      </c>
      <c r="C1079" s="453" t="s">
        <v>2956</v>
      </c>
      <c r="D1079" s="331"/>
      <c r="E1079" s="348" t="s">
        <v>2957</v>
      </c>
      <c r="F1079" s="227" t="s">
        <v>2958</v>
      </c>
      <c r="G1079" s="227" t="s">
        <v>2959</v>
      </c>
      <c r="H1079" s="225"/>
      <c r="I1079" s="226"/>
      <c r="J1079" s="226"/>
      <c r="K1079" s="225">
        <v>9308457927</v>
      </c>
      <c r="L1079" s="226"/>
      <c r="M1079" s="212"/>
      <c r="N1079" s="213"/>
      <c r="O1079" s="209"/>
    </row>
    <row r="1080" spans="1:15" x14ac:dyDescent="0.3">
      <c r="A1080" s="302" t="s">
        <v>155</v>
      </c>
      <c r="B1080" s="302" t="str">
        <f t="shared" si="5"/>
        <v>Y</v>
      </c>
      <c r="C1080" s="6" t="s">
        <v>2960</v>
      </c>
      <c r="D1080" s="327"/>
      <c r="E1080" s="341" t="s">
        <v>2961</v>
      </c>
      <c r="F1080" s="206" t="s">
        <v>2688</v>
      </c>
      <c r="G1080" s="206" t="s">
        <v>2955</v>
      </c>
      <c r="H1080" s="206" t="s">
        <v>2955</v>
      </c>
      <c r="K1080" s="302">
        <v>9835734308</v>
      </c>
      <c r="M1080" s="212"/>
      <c r="N1080" s="213"/>
      <c r="O1080" s="209"/>
    </row>
    <row r="1081" spans="1:15" x14ac:dyDescent="0.3">
      <c r="A1081" s="302" t="s">
        <v>155</v>
      </c>
      <c r="B1081" s="302" t="str">
        <f t="shared" si="5"/>
        <v>Y</v>
      </c>
      <c r="C1081" s="6" t="s">
        <v>2962</v>
      </c>
      <c r="D1081" s="327"/>
      <c r="E1081" s="341" t="s">
        <v>2963</v>
      </c>
      <c r="F1081" s="206" t="s">
        <v>1994</v>
      </c>
      <c r="G1081" s="206" t="s">
        <v>2955</v>
      </c>
      <c r="H1081" s="206" t="s">
        <v>2955</v>
      </c>
      <c r="K1081" s="302">
        <v>9835734308</v>
      </c>
      <c r="M1081" s="212"/>
      <c r="N1081" s="213"/>
      <c r="O1081" s="209"/>
    </row>
    <row r="1082" spans="1:15" x14ac:dyDescent="0.3">
      <c r="A1082" s="302" t="s">
        <v>155</v>
      </c>
      <c r="B1082" s="302" t="str">
        <f t="shared" si="5"/>
        <v>Y</v>
      </c>
      <c r="C1082" s="6" t="s">
        <v>2964</v>
      </c>
      <c r="D1082" s="327"/>
      <c r="E1082" s="341" t="s">
        <v>2965</v>
      </c>
      <c r="F1082" s="206" t="s">
        <v>2966</v>
      </c>
      <c r="G1082" s="206" t="s">
        <v>2959</v>
      </c>
      <c r="H1082" s="207">
        <v>43976</v>
      </c>
      <c r="M1082" s="212"/>
      <c r="N1082" s="213"/>
      <c r="O1082" s="209"/>
    </row>
    <row r="1083" spans="1:15" x14ac:dyDescent="0.3">
      <c r="A1083" s="302" t="s">
        <v>155</v>
      </c>
      <c r="B1083" s="302" t="str">
        <f t="shared" si="5"/>
        <v>Y</v>
      </c>
      <c r="C1083" s="6" t="s">
        <v>2967</v>
      </c>
      <c r="D1083" s="327"/>
      <c r="E1083" s="341" t="s">
        <v>2968</v>
      </c>
      <c r="F1083" s="206" t="s">
        <v>2969</v>
      </c>
      <c r="G1083" s="206" t="s">
        <v>2970</v>
      </c>
      <c r="H1083" s="207">
        <v>43926</v>
      </c>
      <c r="J1083" s="8" t="s">
        <v>2971</v>
      </c>
      <c r="K1083" s="302">
        <v>8092455396</v>
      </c>
      <c r="M1083" s="212"/>
      <c r="N1083" s="213"/>
      <c r="O1083" s="209"/>
    </row>
    <row r="1084" spans="1:15" x14ac:dyDescent="0.3">
      <c r="A1084" s="302" t="s">
        <v>155</v>
      </c>
      <c r="B1084" s="302" t="str">
        <f t="shared" si="5"/>
        <v>Y</v>
      </c>
      <c r="C1084" s="6" t="s">
        <v>2972</v>
      </c>
      <c r="D1084" s="327"/>
      <c r="E1084" s="341" t="s">
        <v>2973</v>
      </c>
      <c r="F1084" s="206" t="s">
        <v>2073</v>
      </c>
      <c r="G1084" s="206" t="s">
        <v>2974</v>
      </c>
      <c r="H1084" s="207">
        <v>43956</v>
      </c>
      <c r="K1084" s="302">
        <v>6206119248</v>
      </c>
      <c r="M1084" s="212"/>
      <c r="N1084" s="213"/>
      <c r="O1084" s="209"/>
    </row>
    <row r="1085" spans="1:15" x14ac:dyDescent="0.3">
      <c r="A1085" s="302" t="s">
        <v>155</v>
      </c>
      <c r="B1085" s="302" t="str">
        <f t="shared" si="5"/>
        <v>Y</v>
      </c>
      <c r="C1085" s="6" t="s">
        <v>2975</v>
      </c>
      <c r="D1085" s="327"/>
      <c r="E1085" s="341" t="s">
        <v>431</v>
      </c>
      <c r="F1085" s="206" t="s">
        <v>2976</v>
      </c>
      <c r="G1085" s="206" t="s">
        <v>2977</v>
      </c>
      <c r="H1085" s="207">
        <v>43946</v>
      </c>
      <c r="K1085" s="302">
        <v>9234739947</v>
      </c>
      <c r="M1085" s="212"/>
      <c r="N1085" s="213"/>
      <c r="O1085" s="209"/>
    </row>
    <row r="1086" spans="1:15" x14ac:dyDescent="0.3">
      <c r="A1086" s="302" t="s">
        <v>155</v>
      </c>
      <c r="B1086" s="302" t="str">
        <f t="shared" si="5"/>
        <v>Y</v>
      </c>
      <c r="C1086" s="6" t="s">
        <v>2978</v>
      </c>
      <c r="D1086" s="327"/>
      <c r="E1086" s="341" t="s">
        <v>2979</v>
      </c>
      <c r="F1086" s="206" t="s">
        <v>2980</v>
      </c>
      <c r="G1086" s="206" t="s">
        <v>2981</v>
      </c>
      <c r="H1086" s="207">
        <v>43941</v>
      </c>
      <c r="K1086" s="302">
        <v>8986761085</v>
      </c>
      <c r="M1086" s="212"/>
      <c r="N1086" s="213"/>
      <c r="O1086" s="209"/>
    </row>
    <row r="1087" spans="1:15" x14ac:dyDescent="0.3">
      <c r="A1087" s="302" t="s">
        <v>155</v>
      </c>
      <c r="B1087" s="302" t="str">
        <f t="shared" ref="B1087:B1088" si="6">IF(H1088="","N","Y")</f>
        <v>Y</v>
      </c>
      <c r="C1087" s="6" t="s">
        <v>2967</v>
      </c>
      <c r="D1087" s="327"/>
      <c r="E1087" s="341" t="s">
        <v>2982</v>
      </c>
      <c r="F1087" s="206" t="s">
        <v>2983</v>
      </c>
      <c r="G1087" s="206" t="s">
        <v>2984</v>
      </c>
      <c r="H1087" s="207">
        <v>43939</v>
      </c>
      <c r="K1087" s="302">
        <v>8092455396</v>
      </c>
      <c r="M1087" s="212"/>
      <c r="N1087" s="213"/>
      <c r="O1087" s="209"/>
    </row>
    <row r="1088" spans="1:15" x14ac:dyDescent="0.3">
      <c r="A1088" s="302" t="s">
        <v>155</v>
      </c>
      <c r="B1088" s="302" t="str">
        <f t="shared" si="6"/>
        <v>Y</v>
      </c>
      <c r="C1088" s="6" t="s">
        <v>2985</v>
      </c>
      <c r="D1088" s="327"/>
      <c r="E1088" s="341" t="s">
        <v>2986</v>
      </c>
      <c r="F1088" s="206" t="s">
        <v>2987</v>
      </c>
      <c r="G1088" s="206" t="s">
        <v>2988</v>
      </c>
      <c r="H1088" s="207">
        <v>43914</v>
      </c>
      <c r="K1088" s="302">
        <v>9031059999</v>
      </c>
      <c r="M1088" s="212"/>
      <c r="N1088" s="213"/>
      <c r="O1088" s="209"/>
    </row>
    <row r="1089" spans="1:15" x14ac:dyDescent="0.3">
      <c r="A1089" s="302" t="s">
        <v>155</v>
      </c>
      <c r="B1089" s="302" t="str">
        <f t="shared" ref="B1089:B1101" si="7">IF(H1089="","N","Y")</f>
        <v>Y</v>
      </c>
      <c r="C1089" s="6" t="s">
        <v>2989</v>
      </c>
      <c r="D1089" s="327"/>
      <c r="E1089" s="341" t="s">
        <v>2990</v>
      </c>
      <c r="F1089" s="206" t="s">
        <v>2991</v>
      </c>
      <c r="G1089" s="206" t="s">
        <v>2992</v>
      </c>
      <c r="H1089" s="207">
        <v>43975</v>
      </c>
      <c r="J1089" s="8" t="s">
        <v>2971</v>
      </c>
      <c r="K1089" s="302">
        <v>9234341682</v>
      </c>
      <c r="M1089" s="212"/>
      <c r="N1089" s="213"/>
      <c r="O1089" s="209"/>
    </row>
    <row r="1090" spans="1:15" x14ac:dyDescent="0.3">
      <c r="A1090" s="302" t="s">
        <v>155</v>
      </c>
      <c r="B1090" s="302" t="str">
        <f t="shared" si="7"/>
        <v>Y</v>
      </c>
      <c r="C1090" s="6" t="s">
        <v>2993</v>
      </c>
      <c r="D1090" s="327"/>
      <c r="E1090" s="341" t="s">
        <v>2994</v>
      </c>
      <c r="F1090" s="206" t="s">
        <v>2328</v>
      </c>
      <c r="G1090" s="206" t="s">
        <v>2995</v>
      </c>
      <c r="H1090" s="207">
        <v>43952</v>
      </c>
      <c r="J1090" s="8" t="s">
        <v>2971</v>
      </c>
      <c r="K1090" s="302">
        <v>9123495345</v>
      </c>
      <c r="M1090" s="212"/>
      <c r="N1090" s="213"/>
      <c r="O1090" s="209"/>
    </row>
    <row r="1091" spans="1:15" x14ac:dyDescent="0.3">
      <c r="A1091" s="302" t="s">
        <v>155</v>
      </c>
      <c r="B1091" s="302" t="str">
        <f t="shared" si="7"/>
        <v>Y</v>
      </c>
      <c r="C1091" s="6" t="s">
        <v>2996</v>
      </c>
      <c r="D1091" s="327"/>
      <c r="E1091" s="341" t="s">
        <v>2997</v>
      </c>
      <c r="F1091" s="206" t="s">
        <v>2998</v>
      </c>
      <c r="G1091" s="206" t="s">
        <v>2999</v>
      </c>
      <c r="H1091" s="207">
        <v>43962</v>
      </c>
      <c r="J1091" s="8" t="s">
        <v>3000</v>
      </c>
      <c r="K1091" s="302">
        <v>9279252812</v>
      </c>
      <c r="M1091" s="212"/>
      <c r="N1091" s="213"/>
      <c r="O1091" s="209"/>
    </row>
    <row r="1092" spans="1:15" x14ac:dyDescent="0.3">
      <c r="A1092" s="302" t="s">
        <v>155</v>
      </c>
      <c r="B1092" s="302" t="str">
        <f t="shared" si="7"/>
        <v>Y</v>
      </c>
      <c r="C1092" s="465" t="s">
        <v>3001</v>
      </c>
      <c r="D1092" s="349"/>
      <c r="E1092" s="341" t="s">
        <v>3002</v>
      </c>
      <c r="F1092" s="206" t="s">
        <v>3003</v>
      </c>
      <c r="G1092" s="206" t="s">
        <v>2999</v>
      </c>
      <c r="H1092" s="207">
        <v>43962</v>
      </c>
      <c r="K1092" s="302">
        <v>8825195700</v>
      </c>
      <c r="M1092" s="212"/>
      <c r="N1092" s="213"/>
      <c r="O1092" s="209"/>
    </row>
    <row r="1093" spans="1:15" x14ac:dyDescent="0.3">
      <c r="A1093" s="302" t="s">
        <v>155</v>
      </c>
      <c r="B1093" s="302" t="str">
        <f t="shared" si="7"/>
        <v>Y</v>
      </c>
      <c r="C1093" s="6" t="s">
        <v>2989</v>
      </c>
      <c r="D1093" s="327"/>
      <c r="E1093" s="341" t="s">
        <v>2990</v>
      </c>
      <c r="F1093" s="206" t="s">
        <v>2991</v>
      </c>
      <c r="G1093" s="206" t="s">
        <v>3004</v>
      </c>
      <c r="H1093" s="207">
        <v>43973</v>
      </c>
      <c r="J1093" s="8" t="s">
        <v>2971</v>
      </c>
      <c r="K1093" s="302">
        <v>9234341682</v>
      </c>
      <c r="M1093" s="212"/>
      <c r="N1093" s="213"/>
      <c r="O1093" s="209"/>
    </row>
    <row r="1094" spans="1:15" x14ac:dyDescent="0.3">
      <c r="A1094" s="302" t="s">
        <v>155</v>
      </c>
      <c r="B1094" s="302" t="str">
        <f t="shared" si="7"/>
        <v>Y</v>
      </c>
      <c r="C1094" s="6" t="s">
        <v>2964</v>
      </c>
      <c r="D1094" s="327"/>
      <c r="E1094" s="341" t="s">
        <v>3005</v>
      </c>
      <c r="F1094" s="206" t="s">
        <v>2966</v>
      </c>
      <c r="G1094" s="206" t="s">
        <v>3006</v>
      </c>
      <c r="H1094" s="207">
        <v>43901</v>
      </c>
      <c r="J1094" s="8" t="s">
        <v>3007</v>
      </c>
      <c r="K1094" s="302">
        <v>8340635705</v>
      </c>
      <c r="M1094" s="212"/>
      <c r="N1094" s="213"/>
      <c r="O1094" s="209"/>
    </row>
    <row r="1095" spans="1:15" x14ac:dyDescent="0.3">
      <c r="A1095" s="302" t="s">
        <v>155</v>
      </c>
      <c r="B1095" s="302" t="str">
        <f t="shared" si="7"/>
        <v>Y</v>
      </c>
      <c r="C1095" s="6" t="s">
        <v>3008</v>
      </c>
      <c r="D1095" s="327"/>
      <c r="E1095" s="341" t="s">
        <v>3009</v>
      </c>
      <c r="F1095" s="206" t="s">
        <v>3010</v>
      </c>
      <c r="G1095" s="206" t="s">
        <v>3011</v>
      </c>
      <c r="H1095" s="207">
        <v>43995</v>
      </c>
      <c r="J1095" s="8" t="s">
        <v>3012</v>
      </c>
      <c r="K1095" s="302">
        <v>6206056078</v>
      </c>
      <c r="M1095" s="212"/>
      <c r="N1095" s="213"/>
      <c r="O1095" s="209"/>
    </row>
    <row r="1096" spans="1:15" x14ac:dyDescent="0.3">
      <c r="A1096" s="302" t="s">
        <v>155</v>
      </c>
      <c r="B1096" s="302" t="str">
        <f t="shared" si="7"/>
        <v>Y</v>
      </c>
      <c r="C1096" s="6" t="s">
        <v>3013</v>
      </c>
      <c r="D1096" s="327"/>
      <c r="E1096" s="341" t="s">
        <v>3014</v>
      </c>
      <c r="F1096" s="206" t="s">
        <v>3015</v>
      </c>
      <c r="G1096" s="206" t="s">
        <v>3011</v>
      </c>
      <c r="H1096" s="207">
        <v>43995</v>
      </c>
      <c r="J1096" s="8" t="s">
        <v>3012</v>
      </c>
      <c r="K1096" s="302">
        <v>6206056078</v>
      </c>
      <c r="M1096" s="212"/>
      <c r="N1096" s="213"/>
      <c r="O1096" s="209"/>
    </row>
    <row r="1097" spans="1:15" x14ac:dyDescent="0.3">
      <c r="A1097" s="302" t="s">
        <v>155</v>
      </c>
      <c r="B1097" s="302" t="str">
        <f t="shared" si="7"/>
        <v>Y</v>
      </c>
      <c r="C1097" s="6" t="s">
        <v>3016</v>
      </c>
      <c r="D1097" s="327"/>
      <c r="E1097" s="341" t="s">
        <v>3017</v>
      </c>
      <c r="F1097" s="206" t="s">
        <v>3018</v>
      </c>
      <c r="G1097" s="206" t="s">
        <v>3011</v>
      </c>
      <c r="H1097" s="207">
        <v>43995</v>
      </c>
      <c r="J1097" s="270" t="s">
        <v>3019</v>
      </c>
      <c r="K1097" s="302">
        <v>7897587491</v>
      </c>
      <c r="M1097" s="212"/>
      <c r="N1097" s="213"/>
      <c r="O1097" s="209"/>
    </row>
    <row r="1098" spans="1:15" x14ac:dyDescent="0.3">
      <c r="A1098" s="302" t="s">
        <v>155</v>
      </c>
      <c r="B1098" s="302" t="str">
        <f t="shared" si="7"/>
        <v>Y</v>
      </c>
      <c r="C1098" s="6" t="s">
        <v>3020</v>
      </c>
      <c r="D1098" s="327"/>
      <c r="E1098" s="341" t="s">
        <v>291</v>
      </c>
      <c r="F1098" s="206" t="s">
        <v>3021</v>
      </c>
      <c r="G1098" s="206" t="s">
        <v>3011</v>
      </c>
      <c r="H1098" s="207">
        <v>43995</v>
      </c>
      <c r="J1098" s="8" t="s">
        <v>3022</v>
      </c>
      <c r="K1098" s="302">
        <v>9279068201</v>
      </c>
      <c r="M1098" s="212"/>
      <c r="N1098" s="213"/>
      <c r="O1098" s="209"/>
    </row>
    <row r="1099" spans="1:15" x14ac:dyDescent="0.3">
      <c r="A1099" s="302" t="s">
        <v>155</v>
      </c>
      <c r="B1099" s="302" t="str">
        <f t="shared" si="7"/>
        <v>Y</v>
      </c>
      <c r="C1099" s="450" t="s">
        <v>3023</v>
      </c>
      <c r="D1099" s="328"/>
      <c r="E1099" s="341" t="s">
        <v>3024</v>
      </c>
      <c r="F1099" s="206" t="s">
        <v>3025</v>
      </c>
      <c r="G1099" s="206" t="s">
        <v>3026</v>
      </c>
      <c r="H1099" s="207">
        <v>43995</v>
      </c>
      <c r="J1099" s="216" t="s">
        <v>3027</v>
      </c>
      <c r="K1099" s="292">
        <v>6202698226</v>
      </c>
      <c r="M1099" s="212"/>
      <c r="N1099" s="213"/>
      <c r="O1099" s="209"/>
    </row>
    <row r="1100" spans="1:15" x14ac:dyDescent="0.3">
      <c r="A1100" s="302" t="s">
        <v>155</v>
      </c>
      <c r="B1100" s="302" t="str">
        <f t="shared" si="7"/>
        <v>Y</v>
      </c>
      <c r="C1100" s="450" t="s">
        <v>3028</v>
      </c>
      <c r="D1100" s="328"/>
      <c r="E1100" s="341" t="s">
        <v>3029</v>
      </c>
      <c r="F1100" s="206" t="s">
        <v>3030</v>
      </c>
      <c r="G1100" s="206" t="s">
        <v>3031</v>
      </c>
      <c r="H1100" s="207">
        <v>43995</v>
      </c>
      <c r="J1100" s="8" t="s">
        <v>3032</v>
      </c>
      <c r="K1100" s="292">
        <v>8092666318</v>
      </c>
      <c r="M1100" s="212"/>
      <c r="N1100" s="213"/>
      <c r="O1100" s="209"/>
    </row>
    <row r="1101" spans="1:15" x14ac:dyDescent="0.3">
      <c r="A1101" s="302" t="s">
        <v>155</v>
      </c>
      <c r="B1101" s="302" t="str">
        <f t="shared" si="7"/>
        <v>Y</v>
      </c>
      <c r="C1101" s="6" t="s">
        <v>3033</v>
      </c>
      <c r="D1101" s="327"/>
      <c r="E1101" s="341" t="s">
        <v>3034</v>
      </c>
      <c r="F1101" s="206" t="s">
        <v>3035</v>
      </c>
      <c r="G1101" s="206" t="s">
        <v>3036</v>
      </c>
      <c r="H1101" s="207">
        <v>44000</v>
      </c>
      <c r="J1101" s="8" t="s">
        <v>3037</v>
      </c>
      <c r="K1101" s="292">
        <v>929969721743</v>
      </c>
      <c r="M1101" s="212"/>
      <c r="N1101" s="213"/>
      <c r="O1101" s="209"/>
    </row>
    <row r="1102" spans="1:15" x14ac:dyDescent="0.3">
      <c r="A1102" s="302" t="s">
        <v>155</v>
      </c>
      <c r="B1102" s="302" t="str">
        <f>IF(H1101="","N","Y")</f>
        <v>Y</v>
      </c>
      <c r="C1102" s="6" t="s">
        <v>3038</v>
      </c>
      <c r="D1102" s="327"/>
      <c r="E1102" s="341" t="s">
        <v>3039</v>
      </c>
      <c r="F1102" s="206" t="s">
        <v>2688</v>
      </c>
      <c r="G1102" s="206" t="s">
        <v>3040</v>
      </c>
      <c r="H1102" s="207">
        <v>43994</v>
      </c>
      <c r="J1102" s="8" t="s">
        <v>3041</v>
      </c>
      <c r="K1102" s="292">
        <v>7779872247</v>
      </c>
      <c r="M1102" s="212"/>
      <c r="N1102" s="213"/>
      <c r="O1102" s="209"/>
    </row>
    <row r="1103" spans="1:15" x14ac:dyDescent="0.3">
      <c r="A1103" s="302" t="s">
        <v>155</v>
      </c>
      <c r="B1103" s="302" t="str">
        <f t="shared" ref="B1103:B1357" si="8">IF(H1103="","N","Y")</f>
        <v>Y</v>
      </c>
      <c r="C1103" s="6" t="s">
        <v>3042</v>
      </c>
      <c r="D1103" s="327"/>
      <c r="E1103" s="341" t="s">
        <v>3043</v>
      </c>
      <c r="F1103" s="206" t="s">
        <v>3044</v>
      </c>
      <c r="G1103" s="206" t="s">
        <v>3045</v>
      </c>
      <c r="H1103" s="207">
        <v>43997</v>
      </c>
      <c r="K1103" s="292">
        <v>8603203058</v>
      </c>
      <c r="M1103" s="212"/>
      <c r="N1103" s="213"/>
      <c r="O1103" s="209"/>
    </row>
    <row r="1104" spans="1:15" x14ac:dyDescent="0.3">
      <c r="A1104" s="302" t="s">
        <v>155</v>
      </c>
      <c r="B1104" s="302" t="str">
        <f t="shared" si="8"/>
        <v>Y</v>
      </c>
      <c r="C1104" s="6" t="s">
        <v>3046</v>
      </c>
      <c r="D1104" s="327"/>
      <c r="E1104" s="341" t="s">
        <v>3047</v>
      </c>
      <c r="F1104" s="206" t="s">
        <v>3048</v>
      </c>
      <c r="G1104" s="206" t="s">
        <v>3045</v>
      </c>
      <c r="H1104" s="207">
        <v>43998</v>
      </c>
      <c r="J1104" s="8" t="s">
        <v>2971</v>
      </c>
      <c r="K1104" s="292">
        <v>8092774655</v>
      </c>
      <c r="M1104" s="212"/>
      <c r="N1104" s="213"/>
      <c r="O1104" s="209"/>
    </row>
    <row r="1105" spans="1:15" x14ac:dyDescent="0.3">
      <c r="A1105" s="302" t="s">
        <v>155</v>
      </c>
      <c r="B1105" s="302" t="str">
        <f t="shared" si="8"/>
        <v>Y</v>
      </c>
      <c r="C1105" s="6" t="s">
        <v>3049</v>
      </c>
      <c r="D1105" s="327"/>
      <c r="E1105" s="341" t="s">
        <v>3050</v>
      </c>
      <c r="F1105" s="206" t="s">
        <v>3051</v>
      </c>
      <c r="G1105" s="206" t="s">
        <v>3045</v>
      </c>
      <c r="H1105" s="207">
        <v>44000</v>
      </c>
      <c r="K1105" s="292">
        <v>9955796483</v>
      </c>
      <c r="M1105" s="212"/>
      <c r="N1105" s="213"/>
      <c r="O1105" s="209"/>
    </row>
    <row r="1106" spans="1:15" x14ac:dyDescent="0.3">
      <c r="A1106" s="302" t="s">
        <v>155</v>
      </c>
      <c r="B1106" s="302" t="str">
        <f t="shared" si="8"/>
        <v>Y</v>
      </c>
      <c r="C1106" s="6" t="s">
        <v>3052</v>
      </c>
      <c r="D1106" s="327"/>
      <c r="E1106" s="341" t="s">
        <v>3053</v>
      </c>
      <c r="F1106" s="206" t="s">
        <v>3054</v>
      </c>
      <c r="G1106" s="206" t="s">
        <v>3055</v>
      </c>
      <c r="H1106" s="207">
        <v>44002</v>
      </c>
      <c r="K1106" s="292">
        <v>7209702980</v>
      </c>
      <c r="M1106" s="212"/>
      <c r="N1106" s="213"/>
      <c r="O1106" s="209"/>
    </row>
    <row r="1107" spans="1:15" x14ac:dyDescent="0.3">
      <c r="A1107" s="302" t="s">
        <v>155</v>
      </c>
      <c r="B1107" s="302" t="str">
        <f t="shared" si="8"/>
        <v>Y</v>
      </c>
      <c r="C1107" s="6" t="s">
        <v>3056</v>
      </c>
      <c r="D1107" s="327"/>
      <c r="E1107" s="344" t="s">
        <v>3057</v>
      </c>
      <c r="F1107" s="206" t="s">
        <v>3058</v>
      </c>
      <c r="G1107" s="206" t="s">
        <v>3059</v>
      </c>
      <c r="H1107" s="207">
        <v>44000</v>
      </c>
      <c r="J1107" s="8" t="s">
        <v>3060</v>
      </c>
      <c r="K1107" s="292">
        <v>9279458182</v>
      </c>
      <c r="M1107" s="212"/>
      <c r="N1107" s="213"/>
      <c r="O1107" s="209"/>
    </row>
    <row r="1108" spans="1:15" x14ac:dyDescent="0.3">
      <c r="A1108" s="302" t="s">
        <v>155</v>
      </c>
      <c r="B1108" s="302" t="str">
        <f t="shared" si="8"/>
        <v>Y</v>
      </c>
      <c r="C1108" s="6" t="s">
        <v>3061</v>
      </c>
      <c r="D1108" s="327"/>
      <c r="E1108" s="344" t="s">
        <v>3062</v>
      </c>
      <c r="F1108" s="206" t="s">
        <v>3063</v>
      </c>
      <c r="G1108" s="206" t="s">
        <v>3059</v>
      </c>
      <c r="H1108" s="207">
        <v>44000</v>
      </c>
      <c r="J1108" s="8" t="s">
        <v>3064</v>
      </c>
      <c r="K1108" s="292">
        <v>8579982778</v>
      </c>
      <c r="M1108" s="212"/>
      <c r="N1108" s="213"/>
      <c r="O1108" s="209"/>
    </row>
    <row r="1109" spans="1:15" x14ac:dyDescent="0.3">
      <c r="A1109" s="302" t="s">
        <v>155</v>
      </c>
      <c r="B1109" s="302" t="str">
        <f t="shared" si="8"/>
        <v>Y</v>
      </c>
      <c r="C1109" s="6" t="s">
        <v>3065</v>
      </c>
      <c r="D1109" s="327"/>
      <c r="E1109" s="344" t="s">
        <v>3066</v>
      </c>
      <c r="F1109" s="206" t="s">
        <v>3067</v>
      </c>
      <c r="G1109" s="206" t="s">
        <v>3068</v>
      </c>
      <c r="H1109" s="207">
        <v>44001</v>
      </c>
      <c r="K1109" s="292">
        <v>9234582999</v>
      </c>
      <c r="M1109" s="212"/>
      <c r="N1109" s="213"/>
      <c r="O1109" s="209"/>
    </row>
    <row r="1110" spans="1:15" x14ac:dyDescent="0.3">
      <c r="A1110" s="302" t="s">
        <v>155</v>
      </c>
      <c r="B1110" s="302" t="str">
        <f t="shared" si="8"/>
        <v>Y</v>
      </c>
      <c r="C1110" s="6" t="s">
        <v>3069</v>
      </c>
      <c r="D1110" s="327"/>
      <c r="E1110" s="344" t="s">
        <v>3070</v>
      </c>
      <c r="F1110" s="206" t="s">
        <v>2812</v>
      </c>
      <c r="G1110" s="206" t="s">
        <v>3068</v>
      </c>
      <c r="H1110" s="207">
        <v>44005</v>
      </c>
      <c r="K1110" s="292">
        <v>8271388848</v>
      </c>
      <c r="M1110" s="212"/>
      <c r="N1110" s="213"/>
      <c r="O1110" s="209"/>
    </row>
    <row r="1111" spans="1:15" x14ac:dyDescent="0.3">
      <c r="A1111" s="302" t="s">
        <v>2931</v>
      </c>
      <c r="B1111" s="302" t="str">
        <f t="shared" si="8"/>
        <v>Y</v>
      </c>
      <c r="C1111" s="6" t="s">
        <v>3071</v>
      </c>
      <c r="D1111" s="327"/>
      <c r="E1111" s="344" t="s">
        <v>3072</v>
      </c>
      <c r="F1111" s="206" t="s">
        <v>2991</v>
      </c>
      <c r="G1111" s="206" t="s">
        <v>3073</v>
      </c>
      <c r="H1111" s="207">
        <v>43977</v>
      </c>
      <c r="J1111" s="8" t="s">
        <v>2971</v>
      </c>
      <c r="M1111" s="212"/>
      <c r="N1111" s="213"/>
      <c r="O1111" s="209"/>
    </row>
    <row r="1112" spans="1:15" x14ac:dyDescent="0.3">
      <c r="A1112" s="302" t="s">
        <v>155</v>
      </c>
      <c r="B1112" s="302" t="str">
        <f t="shared" si="8"/>
        <v>Y</v>
      </c>
      <c r="C1112" s="6" t="s">
        <v>3074</v>
      </c>
      <c r="D1112" s="327"/>
      <c r="E1112" s="341" t="s">
        <v>431</v>
      </c>
      <c r="F1112" s="206" t="s">
        <v>2976</v>
      </c>
      <c r="G1112" s="206" t="s">
        <v>3073</v>
      </c>
      <c r="H1112" s="207">
        <v>44005</v>
      </c>
      <c r="J1112" s="8" t="s">
        <v>3064</v>
      </c>
      <c r="K1112" s="292">
        <v>9234739947</v>
      </c>
      <c r="M1112" s="212"/>
      <c r="N1112" s="213"/>
      <c r="O1112" s="209"/>
    </row>
    <row r="1113" spans="1:15" x14ac:dyDescent="0.3">
      <c r="A1113" s="302" t="s">
        <v>155</v>
      </c>
      <c r="B1113" s="302" t="str">
        <f t="shared" si="8"/>
        <v>Y</v>
      </c>
      <c r="C1113" s="6" t="s">
        <v>3075</v>
      </c>
      <c r="D1113" s="327"/>
      <c r="E1113" s="327" t="s">
        <v>1180</v>
      </c>
      <c r="F1113" s="206" t="s">
        <v>3076</v>
      </c>
      <c r="G1113" s="206" t="s">
        <v>3073</v>
      </c>
      <c r="H1113" s="207">
        <v>44005</v>
      </c>
      <c r="J1113" s="8" t="s">
        <v>3077</v>
      </c>
      <c r="K1113" s="302">
        <v>7381319636</v>
      </c>
      <c r="M1113" s="212"/>
      <c r="N1113" s="213"/>
      <c r="O1113" s="209"/>
    </row>
    <row r="1114" spans="1:15" x14ac:dyDescent="0.3">
      <c r="A1114" s="302" t="s">
        <v>155</v>
      </c>
      <c r="B1114" s="302" t="str">
        <f t="shared" si="8"/>
        <v>Y</v>
      </c>
      <c r="C1114" s="6" t="s">
        <v>3078</v>
      </c>
      <c r="D1114" s="327"/>
      <c r="E1114" s="327" t="s">
        <v>3079</v>
      </c>
      <c r="F1114" s="206" t="s">
        <v>3080</v>
      </c>
      <c r="G1114" s="206" t="s">
        <v>3073</v>
      </c>
      <c r="H1114" s="207">
        <v>44005</v>
      </c>
      <c r="J1114" s="8" t="s">
        <v>3081</v>
      </c>
      <c r="K1114" s="302">
        <v>9097550450</v>
      </c>
      <c r="M1114" s="212"/>
      <c r="N1114" s="213"/>
      <c r="O1114" s="209"/>
    </row>
    <row r="1115" spans="1:15" x14ac:dyDescent="0.3">
      <c r="A1115" s="302" t="s">
        <v>155</v>
      </c>
      <c r="B1115" s="302" t="str">
        <f t="shared" si="8"/>
        <v>Y</v>
      </c>
      <c r="C1115" s="6" t="s">
        <v>3082</v>
      </c>
      <c r="D1115" s="327"/>
      <c r="E1115" s="341" t="s">
        <v>1379</v>
      </c>
      <c r="F1115" s="206" t="s">
        <v>3083</v>
      </c>
      <c r="G1115" s="206" t="s">
        <v>3084</v>
      </c>
      <c r="H1115" s="207">
        <v>44005</v>
      </c>
      <c r="J1115" s="12" t="s">
        <v>3085</v>
      </c>
      <c r="K1115" s="302">
        <v>8092595151</v>
      </c>
      <c r="M1115" s="212"/>
      <c r="N1115" s="213"/>
      <c r="O1115" s="209"/>
    </row>
    <row r="1116" spans="1:15" x14ac:dyDescent="0.3">
      <c r="A1116" s="302" t="s">
        <v>155</v>
      </c>
      <c r="B1116" s="302" t="str">
        <f t="shared" si="8"/>
        <v>Y</v>
      </c>
      <c r="C1116" s="6" t="s">
        <v>3086</v>
      </c>
      <c r="D1116" s="327"/>
      <c r="E1116" s="341" t="s">
        <v>711</v>
      </c>
      <c r="F1116" s="206" t="s">
        <v>3087</v>
      </c>
      <c r="G1116" s="206" t="s">
        <v>3084</v>
      </c>
      <c r="H1116" s="207">
        <v>44008</v>
      </c>
      <c r="J1116" s="12" t="s">
        <v>3088</v>
      </c>
      <c r="K1116" s="302">
        <v>7209682107</v>
      </c>
      <c r="M1116" s="212"/>
      <c r="N1116" s="213"/>
      <c r="O1116" s="209"/>
    </row>
    <row r="1117" spans="1:15" x14ac:dyDescent="0.3">
      <c r="A1117" s="302" t="s">
        <v>155</v>
      </c>
      <c r="B1117" s="302" t="str">
        <f t="shared" si="8"/>
        <v>Y</v>
      </c>
      <c r="C1117" s="6" t="s">
        <v>3089</v>
      </c>
      <c r="D1117" s="327"/>
      <c r="E1117" s="341" t="s">
        <v>3090</v>
      </c>
      <c r="F1117" s="206" t="s">
        <v>3091</v>
      </c>
      <c r="G1117" s="206" t="s">
        <v>3084</v>
      </c>
      <c r="H1117" s="207">
        <v>44008</v>
      </c>
      <c r="J1117" s="8" t="s">
        <v>2971</v>
      </c>
      <c r="K1117" s="302">
        <v>6205763816</v>
      </c>
      <c r="M1117" s="212"/>
      <c r="N1117" s="213"/>
      <c r="O1117" s="209"/>
    </row>
    <row r="1118" spans="1:15" x14ac:dyDescent="0.3">
      <c r="A1118" s="302" t="s">
        <v>155</v>
      </c>
      <c r="B1118" s="302" t="str">
        <f t="shared" si="8"/>
        <v>Y</v>
      </c>
      <c r="C1118" s="6" t="s">
        <v>3092</v>
      </c>
      <c r="D1118" s="327"/>
      <c r="E1118" s="341" t="s">
        <v>3093</v>
      </c>
      <c r="F1118" s="206" t="s">
        <v>3094</v>
      </c>
      <c r="G1118" s="206" t="s">
        <v>3095</v>
      </c>
      <c r="H1118" s="207">
        <v>44009</v>
      </c>
      <c r="J1118" s="12" t="s">
        <v>3096</v>
      </c>
      <c r="K1118" s="302">
        <v>9065484269</v>
      </c>
      <c r="M1118" s="212"/>
      <c r="N1118" s="213"/>
      <c r="O1118" s="209"/>
    </row>
    <row r="1119" spans="1:15" x14ac:dyDescent="0.3">
      <c r="A1119" s="302" t="s">
        <v>155</v>
      </c>
      <c r="B1119" s="302" t="str">
        <f t="shared" si="8"/>
        <v>Y</v>
      </c>
      <c r="C1119" s="6" t="s">
        <v>3097</v>
      </c>
      <c r="D1119" s="327"/>
      <c r="E1119" s="344" t="s">
        <v>3098</v>
      </c>
      <c r="F1119" s="206" t="s">
        <v>3099</v>
      </c>
      <c r="G1119" s="206" t="s">
        <v>3100</v>
      </c>
      <c r="H1119" s="207">
        <v>44010</v>
      </c>
      <c r="J1119" s="12" t="s">
        <v>3101</v>
      </c>
      <c r="K1119" s="302">
        <v>9631055121</v>
      </c>
      <c r="M1119" s="212"/>
      <c r="N1119" s="213"/>
      <c r="O1119" s="209"/>
    </row>
    <row r="1120" spans="1:15" x14ac:dyDescent="0.3">
      <c r="A1120" s="302" t="s">
        <v>155</v>
      </c>
      <c r="B1120" s="302" t="str">
        <f t="shared" si="8"/>
        <v>Y</v>
      </c>
      <c r="C1120" s="6" t="s">
        <v>3102</v>
      </c>
      <c r="D1120" s="327"/>
      <c r="E1120" s="341" t="s">
        <v>3103</v>
      </c>
      <c r="F1120" s="206" t="s">
        <v>3104</v>
      </c>
      <c r="G1120" s="206" t="s">
        <v>3105</v>
      </c>
      <c r="H1120" s="207">
        <v>43983</v>
      </c>
      <c r="J1120" s="8" t="s">
        <v>2971</v>
      </c>
      <c r="K1120" s="302">
        <v>9798490492</v>
      </c>
      <c r="M1120" s="212"/>
      <c r="N1120" s="213"/>
      <c r="O1120" s="209"/>
    </row>
    <row r="1121" spans="1:15" x14ac:dyDescent="0.3">
      <c r="A1121" s="302" t="s">
        <v>155</v>
      </c>
      <c r="B1121" s="302" t="str">
        <f t="shared" si="8"/>
        <v>Y</v>
      </c>
      <c r="C1121" s="6" t="s">
        <v>3106</v>
      </c>
      <c r="D1121" s="327"/>
      <c r="E1121" s="341" t="s">
        <v>3107</v>
      </c>
      <c r="F1121" s="206" t="s">
        <v>3108</v>
      </c>
      <c r="G1121" s="206" t="s">
        <v>3105</v>
      </c>
      <c r="H1121" s="206" t="s">
        <v>3105</v>
      </c>
      <c r="J1121" s="8" t="s">
        <v>2971</v>
      </c>
      <c r="K1121" s="302">
        <v>8210926195</v>
      </c>
      <c r="M1121" s="212"/>
      <c r="N1121" s="213"/>
      <c r="O1121" s="209"/>
    </row>
    <row r="1122" spans="1:15" x14ac:dyDescent="0.3">
      <c r="A1122" s="302" t="s">
        <v>155</v>
      </c>
      <c r="B1122" s="302" t="str">
        <f t="shared" si="8"/>
        <v>Y</v>
      </c>
      <c r="C1122" s="451" t="s">
        <v>3109</v>
      </c>
      <c r="D1122" s="329"/>
      <c r="E1122" s="344" t="s">
        <v>3110</v>
      </c>
      <c r="F1122" s="206" t="s">
        <v>3111</v>
      </c>
      <c r="G1122" s="206" t="s">
        <v>3105</v>
      </c>
      <c r="H1122" s="206" t="s">
        <v>3105</v>
      </c>
      <c r="J1122" s="8" t="s">
        <v>2971</v>
      </c>
      <c r="K1122" s="302">
        <v>6299095164</v>
      </c>
      <c r="M1122" s="212"/>
      <c r="N1122" s="213"/>
      <c r="O1122" s="209"/>
    </row>
    <row r="1123" spans="1:15" x14ac:dyDescent="0.3">
      <c r="A1123" s="302" t="s">
        <v>155</v>
      </c>
      <c r="B1123" s="302" t="str">
        <f t="shared" si="8"/>
        <v>Y</v>
      </c>
      <c r="C1123" s="6" t="s">
        <v>3112</v>
      </c>
      <c r="D1123" s="327"/>
      <c r="E1123" s="341" t="s">
        <v>3113</v>
      </c>
      <c r="F1123" s="206" t="s">
        <v>3114</v>
      </c>
      <c r="G1123" s="206" t="s">
        <v>3115</v>
      </c>
      <c r="H1123" s="207">
        <v>44014</v>
      </c>
      <c r="K1123" s="302">
        <v>9031956771</v>
      </c>
      <c r="M1123" s="212"/>
      <c r="N1123" s="213"/>
      <c r="O1123" s="209"/>
    </row>
    <row r="1124" spans="1:15" x14ac:dyDescent="0.3">
      <c r="A1124" s="302" t="s">
        <v>155</v>
      </c>
      <c r="B1124" s="302" t="str">
        <f t="shared" si="8"/>
        <v>Y</v>
      </c>
      <c r="C1124" s="6" t="s">
        <v>3116</v>
      </c>
      <c r="D1124" s="327"/>
      <c r="E1124" s="341" t="s">
        <v>3117</v>
      </c>
      <c r="F1124" s="206" t="s">
        <v>3118</v>
      </c>
      <c r="G1124" s="206" t="s">
        <v>3119</v>
      </c>
      <c r="H1124" s="206" t="s">
        <v>3119</v>
      </c>
      <c r="K1124" s="302">
        <v>9031734009</v>
      </c>
      <c r="M1124" s="212"/>
      <c r="N1124" s="213"/>
      <c r="O1124" s="209"/>
    </row>
    <row r="1125" spans="1:15" x14ac:dyDescent="0.3">
      <c r="A1125" s="302" t="s">
        <v>155</v>
      </c>
      <c r="B1125" s="302" t="str">
        <f t="shared" si="8"/>
        <v>Y</v>
      </c>
      <c r="C1125" s="6" t="s">
        <v>3120</v>
      </c>
      <c r="D1125" s="327"/>
      <c r="E1125" s="344" t="s">
        <v>3121</v>
      </c>
      <c r="F1125" s="206" t="s">
        <v>3122</v>
      </c>
      <c r="G1125" s="206" t="s">
        <v>3119</v>
      </c>
      <c r="H1125" s="207">
        <v>44014</v>
      </c>
      <c r="K1125" s="302">
        <v>9572217529</v>
      </c>
      <c r="M1125" s="212"/>
      <c r="N1125" s="213"/>
      <c r="O1125" s="209"/>
    </row>
    <row r="1126" spans="1:15" x14ac:dyDescent="0.3">
      <c r="A1126" s="302" t="s">
        <v>155</v>
      </c>
      <c r="B1126" s="302" t="str">
        <f t="shared" si="8"/>
        <v>Y</v>
      </c>
      <c r="C1126" s="6" t="s">
        <v>3123</v>
      </c>
      <c r="D1126" s="327"/>
      <c r="E1126" s="344" t="s">
        <v>3124</v>
      </c>
      <c r="F1126" s="206" t="s">
        <v>3125</v>
      </c>
      <c r="G1126" s="206" t="s">
        <v>3126</v>
      </c>
      <c r="H1126" s="207">
        <v>44016</v>
      </c>
      <c r="K1126" s="302">
        <v>9234341682</v>
      </c>
      <c r="M1126" s="212"/>
      <c r="N1126" s="213"/>
      <c r="O1126" s="209"/>
    </row>
    <row r="1127" spans="1:15" x14ac:dyDescent="0.3">
      <c r="A1127" s="302" t="s">
        <v>155</v>
      </c>
      <c r="B1127" s="302" t="str">
        <f t="shared" si="8"/>
        <v>Y</v>
      </c>
      <c r="C1127" s="6" t="s">
        <v>3127</v>
      </c>
      <c r="D1127" s="327"/>
      <c r="E1127" s="344" t="s">
        <v>3128</v>
      </c>
      <c r="F1127" s="206" t="s">
        <v>3129</v>
      </c>
      <c r="G1127" s="206" t="s">
        <v>3130</v>
      </c>
      <c r="H1127" s="207">
        <v>44015</v>
      </c>
      <c r="M1127" s="212"/>
      <c r="N1127" s="213"/>
      <c r="O1127" s="209"/>
    </row>
    <row r="1128" spans="1:15" x14ac:dyDescent="0.3">
      <c r="A1128" s="302" t="s">
        <v>155</v>
      </c>
      <c r="B1128" s="302" t="str">
        <f t="shared" si="8"/>
        <v>Y</v>
      </c>
      <c r="C1128" s="6" t="s">
        <v>3131</v>
      </c>
      <c r="D1128" s="327"/>
      <c r="E1128" s="344" t="s">
        <v>3132</v>
      </c>
      <c r="F1128" s="206" t="s">
        <v>3133</v>
      </c>
      <c r="G1128" s="206" t="s">
        <v>3130</v>
      </c>
      <c r="H1128" s="207">
        <v>44015</v>
      </c>
      <c r="J1128" s="8" t="s">
        <v>3134</v>
      </c>
      <c r="K1128" s="302">
        <v>7667536392</v>
      </c>
      <c r="M1128" s="212"/>
      <c r="N1128" s="213"/>
      <c r="O1128" s="209"/>
    </row>
    <row r="1129" spans="1:15" x14ac:dyDescent="0.3">
      <c r="A1129" s="302" t="s">
        <v>155</v>
      </c>
      <c r="B1129" s="302" t="str">
        <f t="shared" si="8"/>
        <v>Y</v>
      </c>
      <c r="C1129" s="466" t="s">
        <v>3135</v>
      </c>
      <c r="D1129" s="350"/>
      <c r="E1129" s="344" t="s">
        <v>3136</v>
      </c>
      <c r="F1129" s="206" t="s">
        <v>2087</v>
      </c>
      <c r="G1129" s="206" t="s">
        <v>3137</v>
      </c>
      <c r="H1129" s="207">
        <v>44018</v>
      </c>
      <c r="J1129" s="8" t="s">
        <v>3138</v>
      </c>
      <c r="K1129" s="302">
        <v>9234715391</v>
      </c>
      <c r="M1129" s="212"/>
      <c r="N1129" s="213"/>
      <c r="O1129" s="209"/>
    </row>
    <row r="1130" spans="1:15" x14ac:dyDescent="0.3">
      <c r="A1130" s="302" t="s">
        <v>155</v>
      </c>
      <c r="B1130" s="302" t="str">
        <f t="shared" si="8"/>
        <v>Y</v>
      </c>
      <c r="C1130" s="6" t="s">
        <v>3139</v>
      </c>
      <c r="D1130" s="327"/>
      <c r="E1130" s="344" t="s">
        <v>3140</v>
      </c>
      <c r="F1130" s="206" t="s">
        <v>3141</v>
      </c>
      <c r="G1130" s="206" t="s">
        <v>3142</v>
      </c>
      <c r="H1130" s="207">
        <v>44019</v>
      </c>
      <c r="J1130" s="8" t="s">
        <v>2971</v>
      </c>
      <c r="K1130" s="302">
        <v>9771616936</v>
      </c>
      <c r="M1130" s="212"/>
      <c r="N1130" s="213"/>
      <c r="O1130" s="209"/>
    </row>
    <row r="1131" spans="1:15" x14ac:dyDescent="0.3">
      <c r="A1131" s="302" t="s">
        <v>155</v>
      </c>
      <c r="B1131" s="302" t="str">
        <f t="shared" si="8"/>
        <v>Y</v>
      </c>
      <c r="C1131" s="6" t="s">
        <v>3143</v>
      </c>
      <c r="D1131" s="327"/>
      <c r="E1131" s="344" t="s">
        <v>3144</v>
      </c>
      <c r="F1131" s="206" t="s">
        <v>3145</v>
      </c>
      <c r="G1131" s="206" t="s">
        <v>3146</v>
      </c>
      <c r="H1131" s="207">
        <v>44020</v>
      </c>
      <c r="J1131" s="12" t="s">
        <v>3147</v>
      </c>
      <c r="K1131" s="302">
        <v>9279252812</v>
      </c>
      <c r="M1131" s="212"/>
      <c r="N1131" s="213"/>
      <c r="O1131" s="209"/>
    </row>
    <row r="1132" spans="1:15" x14ac:dyDescent="0.3">
      <c r="A1132" s="302" t="s">
        <v>155</v>
      </c>
      <c r="B1132" s="302" t="str">
        <f t="shared" si="8"/>
        <v>Y</v>
      </c>
      <c r="C1132" s="6" t="s">
        <v>3148</v>
      </c>
      <c r="D1132" s="327"/>
      <c r="E1132" s="344" t="s">
        <v>2579</v>
      </c>
      <c r="F1132" s="206" t="s">
        <v>3149</v>
      </c>
      <c r="G1132" s="206" t="s">
        <v>3146</v>
      </c>
      <c r="H1132" s="207">
        <v>44020</v>
      </c>
      <c r="J1132" s="12" t="s">
        <v>3150</v>
      </c>
      <c r="K1132" s="302">
        <v>7301622375</v>
      </c>
      <c r="M1132" s="212"/>
      <c r="N1132" s="213"/>
      <c r="O1132" s="209"/>
    </row>
    <row r="1133" spans="1:15" x14ac:dyDescent="0.3">
      <c r="A1133" s="302" t="s">
        <v>155</v>
      </c>
      <c r="B1133" s="302" t="str">
        <f t="shared" si="8"/>
        <v>Y</v>
      </c>
      <c r="C1133" s="6" t="s">
        <v>3151</v>
      </c>
      <c r="D1133" s="327"/>
      <c r="E1133" s="344" t="s">
        <v>3152</v>
      </c>
      <c r="F1133" s="206" t="s">
        <v>2175</v>
      </c>
      <c r="G1133" s="206" t="s">
        <v>3146</v>
      </c>
      <c r="H1133" s="207">
        <v>44020</v>
      </c>
      <c r="J1133" s="8" t="s">
        <v>2971</v>
      </c>
      <c r="K1133" s="302">
        <v>6209061233</v>
      </c>
      <c r="M1133" s="212"/>
      <c r="N1133" s="213"/>
      <c r="O1133" s="209"/>
    </row>
    <row r="1134" spans="1:15" x14ac:dyDescent="0.3">
      <c r="A1134" s="302" t="s">
        <v>155</v>
      </c>
      <c r="B1134" s="302" t="str">
        <f t="shared" si="8"/>
        <v>Y</v>
      </c>
      <c r="C1134" s="6" t="s">
        <v>3153</v>
      </c>
      <c r="D1134" s="327"/>
      <c r="E1134" s="344" t="s">
        <v>3154</v>
      </c>
      <c r="F1134" s="206" t="s">
        <v>3155</v>
      </c>
      <c r="G1134" s="206" t="s">
        <v>3156</v>
      </c>
      <c r="H1134" s="207">
        <v>44022</v>
      </c>
      <c r="J1134" s="8" t="s">
        <v>3157</v>
      </c>
      <c r="K1134" s="302">
        <v>6201104635</v>
      </c>
      <c r="M1134" s="212"/>
      <c r="N1134" s="213"/>
      <c r="O1134" s="209"/>
    </row>
    <row r="1135" spans="1:15" x14ac:dyDescent="0.3">
      <c r="A1135" s="302" t="s">
        <v>155</v>
      </c>
      <c r="B1135" s="302" t="str">
        <f t="shared" si="8"/>
        <v>Y</v>
      </c>
      <c r="C1135" s="465" t="s">
        <v>3158</v>
      </c>
      <c r="D1135" s="349"/>
      <c r="E1135" s="344" t="s">
        <v>3159</v>
      </c>
      <c r="F1135" s="206" t="s">
        <v>3160</v>
      </c>
      <c r="G1135" s="206" t="s">
        <v>3156</v>
      </c>
      <c r="H1135" s="207">
        <v>44022</v>
      </c>
      <c r="M1135" s="212"/>
      <c r="N1135" s="213"/>
      <c r="O1135" s="209"/>
    </row>
    <row r="1136" spans="1:15" x14ac:dyDescent="0.3">
      <c r="A1136" s="302" t="s">
        <v>155</v>
      </c>
      <c r="B1136" s="302" t="str">
        <f t="shared" si="8"/>
        <v>Y</v>
      </c>
      <c r="C1136" s="6" t="s">
        <v>3161</v>
      </c>
      <c r="D1136" s="327"/>
      <c r="E1136" s="344" t="s">
        <v>3162</v>
      </c>
      <c r="F1136" s="206" t="s">
        <v>3163</v>
      </c>
      <c r="G1136" s="206" t="s">
        <v>3164</v>
      </c>
      <c r="H1136" s="207">
        <v>44025</v>
      </c>
      <c r="J1136" s="8" t="s">
        <v>3165</v>
      </c>
      <c r="K1136" s="302">
        <v>9431380755</v>
      </c>
      <c r="M1136" s="212"/>
      <c r="N1136" s="213"/>
      <c r="O1136" s="209"/>
    </row>
    <row r="1137" spans="1:15" x14ac:dyDescent="0.3">
      <c r="A1137" s="302" t="s">
        <v>155</v>
      </c>
      <c r="B1137" s="302" t="str">
        <f t="shared" si="8"/>
        <v>Y</v>
      </c>
      <c r="C1137" s="6" t="s">
        <v>3166</v>
      </c>
      <c r="D1137" s="327"/>
      <c r="E1137" s="344" t="s">
        <v>3167</v>
      </c>
      <c r="F1137" s="206" t="s">
        <v>3168</v>
      </c>
      <c r="G1137" s="206" t="s">
        <v>3164</v>
      </c>
      <c r="H1137" s="207">
        <v>44023</v>
      </c>
      <c r="J1137" s="8" t="s">
        <v>2971</v>
      </c>
      <c r="K1137" s="302">
        <v>7209288061</v>
      </c>
      <c r="M1137" s="212"/>
      <c r="N1137" s="213"/>
      <c r="O1137" s="209"/>
    </row>
    <row r="1138" spans="1:15" x14ac:dyDescent="0.3">
      <c r="A1138" s="302" t="s">
        <v>155</v>
      </c>
      <c r="B1138" s="302" t="str">
        <f t="shared" si="8"/>
        <v>Y</v>
      </c>
      <c r="C1138" s="6" t="s">
        <v>3169</v>
      </c>
      <c r="D1138" s="327"/>
      <c r="E1138" s="344" t="s">
        <v>3170</v>
      </c>
      <c r="F1138" s="206" t="s">
        <v>3171</v>
      </c>
      <c r="G1138" s="206" t="s">
        <v>3172</v>
      </c>
      <c r="H1138" s="207">
        <v>44026</v>
      </c>
      <c r="J1138" s="8" t="s">
        <v>2971</v>
      </c>
      <c r="K1138" s="302">
        <v>7805015160</v>
      </c>
      <c r="M1138" s="212"/>
      <c r="N1138" s="213"/>
      <c r="O1138" s="209"/>
    </row>
    <row r="1139" spans="1:15" x14ac:dyDescent="0.3">
      <c r="A1139" s="302" t="s">
        <v>155</v>
      </c>
      <c r="B1139" s="302" t="str">
        <f t="shared" si="8"/>
        <v>Y</v>
      </c>
      <c r="C1139" s="6" t="s">
        <v>3173</v>
      </c>
      <c r="D1139" s="327"/>
      <c r="E1139" s="344" t="s">
        <v>3174</v>
      </c>
      <c r="F1139" s="206" t="s">
        <v>3175</v>
      </c>
      <c r="G1139" s="206" t="s">
        <v>3176</v>
      </c>
      <c r="H1139" s="207">
        <v>44026</v>
      </c>
      <c r="J1139" s="8" t="s">
        <v>3177</v>
      </c>
      <c r="K1139" s="302">
        <v>7294820312</v>
      </c>
      <c r="M1139" s="212"/>
      <c r="N1139" s="213"/>
      <c r="O1139" s="209"/>
    </row>
    <row r="1140" spans="1:15" x14ac:dyDescent="0.3">
      <c r="A1140" s="302" t="s">
        <v>155</v>
      </c>
      <c r="B1140" s="302" t="str">
        <f t="shared" si="8"/>
        <v>Y</v>
      </c>
      <c r="C1140" s="6" t="s">
        <v>3178</v>
      </c>
      <c r="D1140" s="327"/>
      <c r="E1140" s="344" t="s">
        <v>3179</v>
      </c>
      <c r="F1140" s="206" t="s">
        <v>3180</v>
      </c>
      <c r="G1140" s="206" t="s">
        <v>3181</v>
      </c>
      <c r="H1140" s="207">
        <v>44028</v>
      </c>
      <c r="J1140" s="8" t="s">
        <v>2971</v>
      </c>
      <c r="K1140" s="302">
        <v>8092192473</v>
      </c>
      <c r="M1140" s="212"/>
      <c r="N1140" s="213"/>
      <c r="O1140" s="209"/>
    </row>
    <row r="1141" spans="1:15" x14ac:dyDescent="0.3">
      <c r="A1141" s="302" t="s">
        <v>155</v>
      </c>
      <c r="B1141" s="302" t="str">
        <f t="shared" si="8"/>
        <v>Y</v>
      </c>
      <c r="C1141" s="6" t="s">
        <v>3182</v>
      </c>
      <c r="D1141" s="327"/>
      <c r="E1141" s="344" t="s">
        <v>3183</v>
      </c>
      <c r="F1141" s="206" t="s">
        <v>3184</v>
      </c>
      <c r="G1141" s="206" t="s">
        <v>3185</v>
      </c>
      <c r="H1141" s="207">
        <v>44028</v>
      </c>
      <c r="J1141" s="12" t="s">
        <v>3186</v>
      </c>
      <c r="K1141" s="302">
        <v>8092450036</v>
      </c>
      <c r="M1141" s="212"/>
      <c r="N1141" s="213"/>
      <c r="O1141" s="209"/>
    </row>
    <row r="1142" spans="1:15" x14ac:dyDescent="0.3">
      <c r="A1142" s="302" t="s">
        <v>155</v>
      </c>
      <c r="B1142" s="302" t="str">
        <f t="shared" si="8"/>
        <v>Y</v>
      </c>
      <c r="C1142" s="6" t="s">
        <v>3187</v>
      </c>
      <c r="D1142" s="327"/>
      <c r="E1142" s="344" t="s">
        <v>3188</v>
      </c>
      <c r="F1142" s="206" t="s">
        <v>3189</v>
      </c>
      <c r="G1142" s="206" t="s">
        <v>3185</v>
      </c>
      <c r="H1142" s="207">
        <v>44028</v>
      </c>
      <c r="J1142" s="12" t="s">
        <v>3190</v>
      </c>
      <c r="K1142" s="302">
        <v>9113387403</v>
      </c>
      <c r="L1142" s="4"/>
      <c r="M1142" s="212"/>
      <c r="N1142" s="213"/>
      <c r="O1142" s="209"/>
    </row>
    <row r="1143" spans="1:15" x14ac:dyDescent="0.3">
      <c r="A1143" s="302" t="s">
        <v>155</v>
      </c>
      <c r="B1143" s="302" t="str">
        <f t="shared" si="8"/>
        <v>Y</v>
      </c>
      <c r="C1143" s="6" t="s">
        <v>3191</v>
      </c>
      <c r="D1143" s="327"/>
      <c r="E1143" s="344" t="s">
        <v>3192</v>
      </c>
      <c r="F1143" s="206" t="s">
        <v>3193</v>
      </c>
      <c r="G1143" s="206" t="s">
        <v>3194</v>
      </c>
      <c r="H1143" s="207">
        <v>44033</v>
      </c>
      <c r="J1143" s="8" t="s">
        <v>2971</v>
      </c>
      <c r="K1143" s="302">
        <v>8235232493</v>
      </c>
      <c r="L1143" s="4"/>
      <c r="M1143" s="212"/>
      <c r="N1143" s="213"/>
      <c r="O1143" s="209"/>
    </row>
    <row r="1144" spans="1:15" x14ac:dyDescent="0.3">
      <c r="A1144" s="302" t="s">
        <v>155</v>
      </c>
      <c r="B1144" s="302" t="str">
        <f t="shared" si="8"/>
        <v>Y</v>
      </c>
      <c r="C1144" s="6" t="s">
        <v>3195</v>
      </c>
      <c r="D1144" s="327"/>
      <c r="E1144" s="344" t="s">
        <v>3196</v>
      </c>
      <c r="F1144" s="206" t="s">
        <v>3197</v>
      </c>
      <c r="G1144" s="206" t="s">
        <v>3194</v>
      </c>
      <c r="H1144" s="207">
        <v>44033</v>
      </c>
      <c r="J1144" s="12" t="s">
        <v>3198</v>
      </c>
      <c r="K1144" s="302">
        <v>7488674210</v>
      </c>
      <c r="L1144" s="4"/>
      <c r="M1144" s="212"/>
      <c r="N1144" s="213"/>
      <c r="O1144" s="209"/>
    </row>
    <row r="1145" spans="1:15" x14ac:dyDescent="0.3">
      <c r="A1145" s="302" t="s">
        <v>155</v>
      </c>
      <c r="B1145" s="302" t="str">
        <f t="shared" si="8"/>
        <v>Y</v>
      </c>
      <c r="C1145" s="6" t="s">
        <v>3199</v>
      </c>
      <c r="D1145" s="327"/>
      <c r="E1145" s="344" t="s">
        <v>3200</v>
      </c>
      <c r="F1145" s="206" t="s">
        <v>3201</v>
      </c>
      <c r="G1145" s="206" t="s">
        <v>3202</v>
      </c>
      <c r="H1145" s="207">
        <v>44025</v>
      </c>
      <c r="J1145" s="8" t="s">
        <v>2971</v>
      </c>
      <c r="K1145" s="302">
        <v>8298144804</v>
      </c>
      <c r="M1145" s="212"/>
      <c r="N1145" s="213"/>
      <c r="O1145" s="209"/>
    </row>
    <row r="1146" spans="1:15" x14ac:dyDescent="0.3">
      <c r="A1146" s="302" t="s">
        <v>155</v>
      </c>
      <c r="B1146" s="302" t="str">
        <f t="shared" si="8"/>
        <v>Y</v>
      </c>
      <c r="C1146" s="6" t="s">
        <v>3203</v>
      </c>
      <c r="D1146" s="327"/>
      <c r="E1146" s="344" t="s">
        <v>3204</v>
      </c>
      <c r="F1146" s="206" t="s">
        <v>3205</v>
      </c>
      <c r="G1146" s="206" t="s">
        <v>3206</v>
      </c>
      <c r="H1146" s="207">
        <v>44041</v>
      </c>
      <c r="J1146" s="12" t="s">
        <v>3207</v>
      </c>
      <c r="K1146" s="302">
        <v>9852379551</v>
      </c>
      <c r="M1146" s="212"/>
      <c r="N1146" s="213"/>
      <c r="O1146" s="209"/>
    </row>
    <row r="1147" spans="1:15" x14ac:dyDescent="0.3">
      <c r="A1147" s="302" t="s">
        <v>155</v>
      </c>
      <c r="B1147" s="302" t="str">
        <f t="shared" si="8"/>
        <v>Y</v>
      </c>
      <c r="C1147" s="6" t="s">
        <v>3208</v>
      </c>
      <c r="D1147" s="327"/>
      <c r="E1147" s="344" t="s">
        <v>3209</v>
      </c>
      <c r="F1147" s="206" t="s">
        <v>3210</v>
      </c>
      <c r="G1147" s="206" t="s">
        <v>3211</v>
      </c>
      <c r="H1147" s="207">
        <v>44043</v>
      </c>
      <c r="J1147" s="8" t="s">
        <v>2971</v>
      </c>
      <c r="K1147" s="302">
        <v>9279905122</v>
      </c>
      <c r="M1147" s="212"/>
      <c r="N1147" s="213"/>
      <c r="O1147" s="209"/>
    </row>
    <row r="1148" spans="1:15" x14ac:dyDescent="0.3">
      <c r="A1148" s="302" t="s">
        <v>155</v>
      </c>
      <c r="B1148" s="302" t="str">
        <f t="shared" si="8"/>
        <v>Y</v>
      </c>
      <c r="C1148" s="6" t="s">
        <v>3212</v>
      </c>
      <c r="D1148" s="327"/>
      <c r="E1148" s="344" t="s">
        <v>3110</v>
      </c>
      <c r="F1148" s="206" t="s">
        <v>3111</v>
      </c>
      <c r="G1148" s="206" t="s">
        <v>3213</v>
      </c>
      <c r="H1148" s="207">
        <v>44046</v>
      </c>
      <c r="J1148" s="8" t="s">
        <v>2971</v>
      </c>
      <c r="K1148" s="302">
        <v>6299095164</v>
      </c>
      <c r="M1148" s="212"/>
      <c r="N1148" s="213"/>
      <c r="O1148" s="209"/>
    </row>
    <row r="1149" spans="1:15" x14ac:dyDescent="0.3">
      <c r="A1149" s="302" t="s">
        <v>155</v>
      </c>
      <c r="B1149" s="302" t="str">
        <f t="shared" si="8"/>
        <v>Y</v>
      </c>
      <c r="C1149" s="6" t="s">
        <v>3214</v>
      </c>
      <c r="D1149" s="327"/>
      <c r="E1149" s="344" t="s">
        <v>3215</v>
      </c>
      <c r="F1149" s="206" t="s">
        <v>3149</v>
      </c>
      <c r="G1149" s="206" t="s">
        <v>3213</v>
      </c>
      <c r="H1149" s="207">
        <v>44046</v>
      </c>
      <c r="J1149" s="8"/>
      <c r="K1149" s="302">
        <v>7209953411</v>
      </c>
      <c r="M1149" s="212"/>
      <c r="N1149" s="213"/>
      <c r="O1149" s="209"/>
    </row>
    <row r="1150" spans="1:15" x14ac:dyDescent="0.3">
      <c r="A1150" s="302" t="s">
        <v>155</v>
      </c>
      <c r="B1150" s="302" t="str">
        <f t="shared" si="8"/>
        <v>Y</v>
      </c>
      <c r="C1150" s="6" t="s">
        <v>3216</v>
      </c>
      <c r="D1150" s="327"/>
      <c r="E1150" s="344" t="s">
        <v>3217</v>
      </c>
      <c r="F1150" s="206" t="s">
        <v>3218</v>
      </c>
      <c r="G1150" s="206" t="s">
        <v>3213</v>
      </c>
      <c r="H1150" s="207" t="s">
        <v>3213</v>
      </c>
      <c r="J1150" s="271" t="s">
        <v>3219</v>
      </c>
      <c r="K1150" s="302">
        <v>7488016067</v>
      </c>
      <c r="M1150" s="212"/>
      <c r="N1150" s="213"/>
      <c r="O1150" s="209"/>
    </row>
    <row r="1151" spans="1:15" x14ac:dyDescent="0.3">
      <c r="A1151" s="302" t="s">
        <v>155</v>
      </c>
      <c r="B1151" s="302" t="str">
        <f t="shared" si="8"/>
        <v>Y</v>
      </c>
      <c r="C1151" s="6" t="s">
        <v>3220</v>
      </c>
      <c r="D1151" s="327"/>
      <c r="E1151" s="344" t="s">
        <v>3221</v>
      </c>
      <c r="F1151" s="206" t="s">
        <v>3222</v>
      </c>
      <c r="G1151" s="206" t="s">
        <v>3223</v>
      </c>
      <c r="H1151" s="207">
        <v>44056</v>
      </c>
      <c r="J1151" s="8" t="s">
        <v>2971</v>
      </c>
      <c r="K1151" s="302">
        <v>9204928770</v>
      </c>
      <c r="M1151" s="212"/>
      <c r="N1151" s="213"/>
      <c r="O1151" s="209"/>
    </row>
    <row r="1152" spans="1:15" x14ac:dyDescent="0.3">
      <c r="A1152" s="302" t="s">
        <v>155</v>
      </c>
      <c r="B1152" s="302" t="str">
        <f t="shared" si="8"/>
        <v>Y</v>
      </c>
      <c r="C1152" s="6" t="s">
        <v>3224</v>
      </c>
      <c r="D1152" s="327"/>
      <c r="E1152" s="344" t="s">
        <v>3225</v>
      </c>
      <c r="F1152" s="206" t="s">
        <v>3226</v>
      </c>
      <c r="G1152" s="206" t="s">
        <v>3227</v>
      </c>
      <c r="H1152" s="207">
        <v>44058</v>
      </c>
      <c r="J1152" s="12" t="s">
        <v>3228</v>
      </c>
      <c r="K1152" s="302">
        <v>9608255547</v>
      </c>
      <c r="M1152" s="212"/>
      <c r="N1152" s="213"/>
      <c r="O1152" s="209"/>
    </row>
    <row r="1153" spans="1:15" x14ac:dyDescent="0.3">
      <c r="A1153" s="302" t="s">
        <v>155</v>
      </c>
      <c r="B1153" s="302" t="str">
        <f t="shared" si="8"/>
        <v>N</v>
      </c>
      <c r="C1153" s="6" t="s">
        <v>3229</v>
      </c>
      <c r="D1153" s="327"/>
      <c r="E1153" s="341" t="s">
        <v>3144</v>
      </c>
      <c r="F1153" s="206"/>
      <c r="G1153" s="206"/>
      <c r="H1153" s="207"/>
      <c r="J1153" s="8"/>
      <c r="M1153" s="212"/>
      <c r="N1153" s="213"/>
      <c r="O1153" s="209"/>
    </row>
    <row r="1154" spans="1:15" x14ac:dyDescent="0.3">
      <c r="A1154" s="302" t="s">
        <v>155</v>
      </c>
      <c r="B1154" s="302" t="str">
        <f t="shared" si="8"/>
        <v>N</v>
      </c>
      <c r="C1154" s="6" t="s">
        <v>3230</v>
      </c>
      <c r="D1154" s="327"/>
      <c r="E1154" s="341" t="s">
        <v>3231</v>
      </c>
      <c r="F1154" s="206"/>
      <c r="G1154" s="206"/>
      <c r="H1154" s="207"/>
      <c r="J1154" s="8"/>
      <c r="M1154" s="212"/>
      <c r="N1154" s="213"/>
      <c r="O1154" s="209"/>
    </row>
    <row r="1155" spans="1:15" x14ac:dyDescent="0.3">
      <c r="A1155" s="302" t="s">
        <v>155</v>
      </c>
      <c r="B1155" s="302" t="str">
        <f t="shared" si="8"/>
        <v>Y</v>
      </c>
      <c r="C1155" s="467" t="s">
        <v>3232</v>
      </c>
      <c r="D1155" s="341"/>
      <c r="E1155" s="341" t="s">
        <v>3233</v>
      </c>
      <c r="F1155" s="206" t="s">
        <v>3234</v>
      </c>
      <c r="G1155" s="206" t="s">
        <v>3235</v>
      </c>
      <c r="H1155" s="207">
        <v>44060</v>
      </c>
      <c r="J1155" s="12" t="s">
        <v>3236</v>
      </c>
      <c r="K1155" s="302">
        <v>8797471110</v>
      </c>
      <c r="M1155" s="212"/>
      <c r="N1155" s="213"/>
      <c r="O1155" s="209"/>
    </row>
    <row r="1156" spans="1:15" x14ac:dyDescent="0.3">
      <c r="A1156" s="302" t="s">
        <v>155</v>
      </c>
      <c r="B1156" s="302" t="str">
        <f t="shared" si="8"/>
        <v>Y</v>
      </c>
      <c r="C1156" s="6" t="s">
        <v>3237</v>
      </c>
      <c r="D1156" s="327"/>
      <c r="E1156" s="341" t="s">
        <v>3238</v>
      </c>
      <c r="F1156" s="206" t="s">
        <v>3239</v>
      </c>
      <c r="G1156" s="206" t="s">
        <v>3240</v>
      </c>
      <c r="H1156" s="207">
        <v>44061</v>
      </c>
      <c r="J1156" s="8" t="s">
        <v>3241</v>
      </c>
      <c r="K1156" s="302">
        <v>9905851189</v>
      </c>
      <c r="M1156" s="212"/>
      <c r="N1156" s="213"/>
      <c r="O1156" s="209"/>
    </row>
    <row r="1157" spans="1:15" x14ac:dyDescent="0.3">
      <c r="A1157" s="302"/>
      <c r="B1157" s="302" t="str">
        <f t="shared" si="8"/>
        <v>N</v>
      </c>
      <c r="C1157" s="6" t="s">
        <v>3242</v>
      </c>
      <c r="D1157" s="327"/>
      <c r="E1157" s="341" t="s">
        <v>3243</v>
      </c>
      <c r="F1157" s="206" t="s">
        <v>3244</v>
      </c>
      <c r="G1157" s="206" t="s">
        <v>3240</v>
      </c>
      <c r="H1157" s="302"/>
      <c r="J1157" s="8" t="s">
        <v>3245</v>
      </c>
      <c r="K1157" s="302">
        <v>7761972059</v>
      </c>
      <c r="M1157" s="212"/>
      <c r="N1157" s="213"/>
      <c r="O1157" s="209"/>
    </row>
    <row r="1158" spans="1:15" x14ac:dyDescent="0.3">
      <c r="A1158" s="302"/>
      <c r="B1158" s="302" t="str">
        <f t="shared" si="8"/>
        <v>N</v>
      </c>
      <c r="C1158" s="6" t="s">
        <v>3246</v>
      </c>
      <c r="D1158" s="327"/>
      <c r="E1158" s="341" t="s">
        <v>3247</v>
      </c>
      <c r="F1158" s="206" t="s">
        <v>3248</v>
      </c>
      <c r="G1158" s="206" t="s">
        <v>3240</v>
      </c>
      <c r="H1158" s="302"/>
      <c r="J1158" s="8" t="s">
        <v>3249</v>
      </c>
      <c r="K1158" s="302">
        <v>7761972059</v>
      </c>
      <c r="M1158" s="212"/>
      <c r="N1158" s="213"/>
      <c r="O1158" s="209"/>
    </row>
    <row r="1159" spans="1:15" x14ac:dyDescent="0.3">
      <c r="A1159" s="302" t="s">
        <v>155</v>
      </c>
      <c r="B1159" s="302" t="str">
        <f t="shared" si="8"/>
        <v>Y</v>
      </c>
      <c r="C1159" s="6" t="s">
        <v>3250</v>
      </c>
      <c r="D1159" s="327"/>
      <c r="E1159" s="341" t="s">
        <v>67</v>
      </c>
      <c r="F1159" s="206" t="s">
        <v>3251</v>
      </c>
      <c r="G1159" s="206" t="s">
        <v>3252</v>
      </c>
      <c r="H1159" s="207">
        <v>43910</v>
      </c>
      <c r="J1159" s="12" t="s">
        <v>3253</v>
      </c>
      <c r="K1159" s="302">
        <v>9142585352</v>
      </c>
      <c r="M1159" s="212"/>
      <c r="N1159" s="213"/>
      <c r="O1159" s="209"/>
    </row>
    <row r="1160" spans="1:15" x14ac:dyDescent="0.3">
      <c r="A1160" s="302" t="s">
        <v>155</v>
      </c>
      <c r="B1160" s="302" t="str">
        <f t="shared" si="8"/>
        <v>Y</v>
      </c>
      <c r="C1160" s="6" t="s">
        <v>3254</v>
      </c>
      <c r="D1160" s="327"/>
      <c r="E1160" s="341" t="s">
        <v>3255</v>
      </c>
      <c r="F1160" s="206" t="s">
        <v>3256</v>
      </c>
      <c r="G1160" s="206" t="s">
        <v>3257</v>
      </c>
      <c r="H1160" s="207">
        <v>43910</v>
      </c>
      <c r="M1160" s="212"/>
      <c r="N1160" s="213"/>
      <c r="O1160" s="209"/>
    </row>
    <row r="1161" spans="1:15" x14ac:dyDescent="0.3">
      <c r="A1161" s="302" t="s">
        <v>155</v>
      </c>
      <c r="B1161" s="302" t="str">
        <f t="shared" si="8"/>
        <v>Y</v>
      </c>
      <c r="C1161" s="6" t="s">
        <v>3258</v>
      </c>
      <c r="D1161" s="327"/>
      <c r="E1161" s="341" t="s">
        <v>3259</v>
      </c>
      <c r="F1161" s="206" t="s">
        <v>3260</v>
      </c>
      <c r="G1161" s="206" t="s">
        <v>3257</v>
      </c>
      <c r="H1161" s="207">
        <v>44064</v>
      </c>
      <c r="J1161" s="8" t="s">
        <v>3261</v>
      </c>
      <c r="K1161" s="302">
        <v>8809095909</v>
      </c>
      <c r="M1161" s="212"/>
      <c r="N1161" s="213"/>
      <c r="O1161" s="209"/>
    </row>
    <row r="1162" spans="1:15" x14ac:dyDescent="0.3">
      <c r="A1162" s="302" t="s">
        <v>155</v>
      </c>
      <c r="B1162" s="302" t="str">
        <f t="shared" si="8"/>
        <v>N</v>
      </c>
      <c r="C1162" s="6" t="s">
        <v>3262</v>
      </c>
      <c r="D1162" s="327"/>
      <c r="E1162" s="341" t="s">
        <v>3263</v>
      </c>
      <c r="F1162" s="206" t="s">
        <v>3264</v>
      </c>
      <c r="G1162" s="206" t="s">
        <v>3265</v>
      </c>
      <c r="H1162" s="302"/>
      <c r="J1162" s="12" t="s">
        <v>3266</v>
      </c>
      <c r="K1162" s="302">
        <v>9523284611</v>
      </c>
      <c r="M1162" s="212"/>
      <c r="N1162" s="213"/>
      <c r="O1162" s="209"/>
    </row>
    <row r="1163" spans="1:15" x14ac:dyDescent="0.3">
      <c r="A1163" s="302" t="s">
        <v>155</v>
      </c>
      <c r="B1163" s="302" t="str">
        <f t="shared" si="8"/>
        <v>Y</v>
      </c>
      <c r="C1163" s="6" t="s">
        <v>3267</v>
      </c>
      <c r="D1163" s="327"/>
      <c r="E1163" s="341" t="s">
        <v>3268</v>
      </c>
      <c r="F1163" s="206" t="s">
        <v>3269</v>
      </c>
      <c r="G1163" s="206" t="s">
        <v>3270</v>
      </c>
      <c r="H1163" s="207">
        <v>44064</v>
      </c>
      <c r="J1163" s="12" t="s">
        <v>3271</v>
      </c>
      <c r="K1163" s="302">
        <v>8292019856</v>
      </c>
      <c r="M1163" s="212"/>
      <c r="N1163" s="213"/>
      <c r="O1163" s="209"/>
    </row>
    <row r="1164" spans="1:15" x14ac:dyDescent="0.3">
      <c r="A1164" s="302" t="s">
        <v>155</v>
      </c>
      <c r="B1164" s="302" t="str">
        <f t="shared" si="8"/>
        <v>Y</v>
      </c>
      <c r="C1164" s="6" t="s">
        <v>3272</v>
      </c>
      <c r="D1164" s="327"/>
      <c r="E1164" s="341" t="s">
        <v>3273</v>
      </c>
      <c r="F1164" s="206" t="s">
        <v>3274</v>
      </c>
      <c r="G1164" s="206" t="s">
        <v>3270</v>
      </c>
      <c r="H1164" s="207">
        <v>44064</v>
      </c>
      <c r="J1164" s="12" t="s">
        <v>3275</v>
      </c>
      <c r="K1164" s="302">
        <v>9031270647</v>
      </c>
      <c r="M1164" s="212"/>
      <c r="N1164" s="213"/>
      <c r="O1164" s="209"/>
    </row>
    <row r="1165" spans="1:15" x14ac:dyDescent="0.3">
      <c r="A1165" s="302" t="s">
        <v>155</v>
      </c>
      <c r="B1165" s="302" t="str">
        <f t="shared" si="8"/>
        <v>Y</v>
      </c>
      <c r="C1165" s="6" t="s">
        <v>3276</v>
      </c>
      <c r="D1165" s="327"/>
      <c r="E1165" s="341" t="s">
        <v>3277</v>
      </c>
      <c r="F1165" s="206" t="s">
        <v>3278</v>
      </c>
      <c r="G1165" s="206" t="s">
        <v>3279</v>
      </c>
      <c r="H1165" s="207">
        <v>44068</v>
      </c>
      <c r="J1165" s="8" t="s">
        <v>3280</v>
      </c>
      <c r="K1165" s="302">
        <v>8789483217</v>
      </c>
      <c r="M1165" s="212"/>
      <c r="N1165" s="213"/>
      <c r="O1165" s="209"/>
    </row>
    <row r="1166" spans="1:15" x14ac:dyDescent="0.3">
      <c r="A1166" s="302" t="s">
        <v>155</v>
      </c>
      <c r="B1166" s="302" t="str">
        <f t="shared" si="8"/>
        <v>Y</v>
      </c>
      <c r="C1166" s="6" t="s">
        <v>3281</v>
      </c>
      <c r="D1166" s="327"/>
      <c r="E1166" s="341" t="s">
        <v>3282</v>
      </c>
      <c r="F1166" s="206" t="s">
        <v>1842</v>
      </c>
      <c r="G1166" s="206" t="s">
        <v>3283</v>
      </c>
      <c r="H1166" s="207">
        <v>44069</v>
      </c>
      <c r="J1166" s="8" t="s">
        <v>3284</v>
      </c>
      <c r="K1166" s="302">
        <v>8210777299</v>
      </c>
      <c r="M1166" s="212"/>
      <c r="N1166" s="213"/>
      <c r="O1166" s="209"/>
    </row>
    <row r="1167" spans="1:15" x14ac:dyDescent="0.3">
      <c r="A1167" s="302" t="s">
        <v>870</v>
      </c>
      <c r="B1167" s="302" t="str">
        <f t="shared" si="8"/>
        <v>N</v>
      </c>
      <c r="C1167" s="6" t="s">
        <v>3285</v>
      </c>
      <c r="D1167" s="327"/>
      <c r="E1167" s="341" t="s">
        <v>3286</v>
      </c>
      <c r="F1167" s="206" t="s">
        <v>3287</v>
      </c>
      <c r="G1167" s="206" t="s">
        <v>3283</v>
      </c>
      <c r="H1167" s="302"/>
      <c r="M1167" s="212"/>
      <c r="N1167" s="213"/>
      <c r="O1167" s="209"/>
    </row>
    <row r="1168" spans="1:15" x14ac:dyDescent="0.3">
      <c r="A1168" s="302" t="s">
        <v>155</v>
      </c>
      <c r="B1168" s="302" t="str">
        <f t="shared" si="8"/>
        <v>Y</v>
      </c>
      <c r="C1168" s="6" t="s">
        <v>3288</v>
      </c>
      <c r="D1168" s="327"/>
      <c r="E1168" s="341" t="s">
        <v>3289</v>
      </c>
      <c r="F1168" s="206" t="s">
        <v>3290</v>
      </c>
      <c r="G1168" s="206" t="s">
        <v>3283</v>
      </c>
      <c r="H1168" s="207">
        <v>44074</v>
      </c>
      <c r="J1168" s="8" t="s">
        <v>3291</v>
      </c>
      <c r="K1168" s="302">
        <v>9431764174</v>
      </c>
      <c r="M1168" s="212"/>
      <c r="N1168" s="213"/>
      <c r="O1168" s="209"/>
    </row>
    <row r="1169" spans="1:15" x14ac:dyDescent="0.3">
      <c r="A1169" s="302" t="s">
        <v>155</v>
      </c>
      <c r="B1169" s="302" t="str">
        <f t="shared" si="8"/>
        <v>Y</v>
      </c>
      <c r="C1169" s="6" t="s">
        <v>3292</v>
      </c>
      <c r="D1169" s="327"/>
      <c r="E1169" s="341" t="s">
        <v>3293</v>
      </c>
      <c r="F1169" s="206" t="s">
        <v>3294</v>
      </c>
      <c r="G1169" s="206" t="s">
        <v>3283</v>
      </c>
      <c r="H1169" s="256">
        <v>44070</v>
      </c>
      <c r="K1169" s="302">
        <v>9431369255</v>
      </c>
      <c r="M1169" s="212"/>
      <c r="N1169" s="213"/>
      <c r="O1169" s="209"/>
    </row>
    <row r="1170" spans="1:15" x14ac:dyDescent="0.3">
      <c r="A1170" s="302" t="s">
        <v>155</v>
      </c>
      <c r="B1170" s="302" t="str">
        <f t="shared" si="8"/>
        <v>Y</v>
      </c>
      <c r="C1170" s="6" t="s">
        <v>3295</v>
      </c>
      <c r="D1170" s="327"/>
      <c r="E1170" s="341" t="s">
        <v>3296</v>
      </c>
      <c r="F1170" s="206" t="s">
        <v>2070</v>
      </c>
      <c r="G1170" s="206" t="s">
        <v>3283</v>
      </c>
      <c r="H1170" s="207">
        <v>44070</v>
      </c>
      <c r="K1170" s="302">
        <v>7209959476</v>
      </c>
      <c r="M1170" s="212"/>
      <c r="N1170" s="213"/>
      <c r="O1170" s="209"/>
    </row>
    <row r="1171" spans="1:15" x14ac:dyDescent="0.3">
      <c r="A1171" s="302" t="s">
        <v>155</v>
      </c>
      <c r="B1171" s="302" t="str">
        <f t="shared" si="8"/>
        <v>Y</v>
      </c>
      <c r="C1171" s="6" t="s">
        <v>3297</v>
      </c>
      <c r="D1171" s="327"/>
      <c r="E1171" s="341" t="s">
        <v>3298</v>
      </c>
      <c r="F1171" s="206" t="s">
        <v>2087</v>
      </c>
      <c r="G1171" s="206" t="s">
        <v>3299</v>
      </c>
      <c r="H1171" s="207">
        <v>44071</v>
      </c>
      <c r="K1171" s="302">
        <v>7763889975</v>
      </c>
      <c r="M1171" s="212"/>
      <c r="N1171" s="213"/>
      <c r="O1171" s="209"/>
    </row>
    <row r="1172" spans="1:15" x14ac:dyDescent="0.3">
      <c r="A1172" s="302" t="s">
        <v>155</v>
      </c>
      <c r="B1172" s="302" t="str">
        <f t="shared" si="8"/>
        <v>Y</v>
      </c>
      <c r="C1172" s="6" t="s">
        <v>3300</v>
      </c>
      <c r="D1172" s="327"/>
      <c r="E1172" s="341" t="s">
        <v>3301</v>
      </c>
      <c r="F1172" s="206" t="s">
        <v>3302</v>
      </c>
      <c r="G1172" s="206" t="s">
        <v>3303</v>
      </c>
      <c r="H1172" s="207">
        <v>44074</v>
      </c>
      <c r="K1172" s="302">
        <v>9798478996</v>
      </c>
      <c r="M1172" s="212"/>
      <c r="N1172" s="213"/>
      <c r="O1172" s="209"/>
    </row>
    <row r="1173" spans="1:15" x14ac:dyDescent="0.3">
      <c r="A1173" s="302" t="s">
        <v>155</v>
      </c>
      <c r="B1173" s="302" t="str">
        <f t="shared" si="8"/>
        <v>Y</v>
      </c>
      <c r="C1173" s="6" t="s">
        <v>3304</v>
      </c>
      <c r="D1173" s="327"/>
      <c r="E1173" s="341" t="s">
        <v>3305</v>
      </c>
      <c r="F1173" s="206" t="s">
        <v>3306</v>
      </c>
      <c r="G1173" s="206" t="s">
        <v>3307</v>
      </c>
      <c r="H1173" s="206" t="s">
        <v>3307</v>
      </c>
      <c r="K1173" s="302">
        <v>6299686339</v>
      </c>
      <c r="M1173" s="212"/>
      <c r="N1173" s="213"/>
      <c r="O1173" s="209"/>
    </row>
    <row r="1174" spans="1:15" x14ac:dyDescent="0.3">
      <c r="A1174" s="302" t="s">
        <v>155</v>
      </c>
      <c r="B1174" s="302" t="str">
        <f t="shared" si="8"/>
        <v>Y</v>
      </c>
      <c r="C1174" s="465" t="s">
        <v>3308</v>
      </c>
      <c r="D1174" s="349"/>
      <c r="E1174" s="341" t="s">
        <v>3309</v>
      </c>
      <c r="F1174" s="206" t="s">
        <v>3310</v>
      </c>
      <c r="G1174" s="206" t="s">
        <v>3307</v>
      </c>
      <c r="H1174" s="206" t="s">
        <v>3307</v>
      </c>
      <c r="K1174" s="302">
        <v>6299686339</v>
      </c>
      <c r="M1174" s="212"/>
      <c r="N1174" s="213"/>
      <c r="O1174" s="209"/>
    </row>
    <row r="1175" spans="1:15" x14ac:dyDescent="0.3">
      <c r="A1175" s="302" t="s">
        <v>155</v>
      </c>
      <c r="B1175" s="302" t="str">
        <f t="shared" si="8"/>
        <v>Y</v>
      </c>
      <c r="C1175" s="6" t="s">
        <v>3311</v>
      </c>
      <c r="D1175" s="327"/>
      <c r="E1175" s="341" t="s">
        <v>3312</v>
      </c>
      <c r="F1175" s="206" t="s">
        <v>3313</v>
      </c>
      <c r="G1175" s="206" t="s">
        <v>3314</v>
      </c>
      <c r="H1175" s="206" t="s">
        <v>3314</v>
      </c>
      <c r="K1175" s="302">
        <v>9709031665</v>
      </c>
      <c r="M1175" s="212"/>
      <c r="N1175" s="213"/>
      <c r="O1175" s="209"/>
    </row>
    <row r="1176" spans="1:15" x14ac:dyDescent="0.3">
      <c r="A1176" s="302" t="s">
        <v>155</v>
      </c>
      <c r="B1176" s="302" t="str">
        <f t="shared" si="8"/>
        <v>Y</v>
      </c>
      <c r="C1176" s="6" t="s">
        <v>3315</v>
      </c>
      <c r="D1176" s="327"/>
      <c r="E1176" s="341" t="s">
        <v>3316</v>
      </c>
      <c r="F1176" s="206" t="s">
        <v>3317</v>
      </c>
      <c r="G1176" s="206" t="s">
        <v>3314</v>
      </c>
      <c r="H1176" s="207">
        <v>44074</v>
      </c>
      <c r="J1176" s="8" t="s">
        <v>3318</v>
      </c>
      <c r="K1176" s="302">
        <v>9504504612</v>
      </c>
      <c r="M1176" s="212"/>
      <c r="N1176" s="213"/>
      <c r="O1176" s="209"/>
    </row>
    <row r="1177" spans="1:15" x14ac:dyDescent="0.3">
      <c r="A1177" s="302" t="s">
        <v>155</v>
      </c>
      <c r="B1177" s="302" t="str">
        <f t="shared" si="8"/>
        <v>Y</v>
      </c>
      <c r="C1177" s="6" t="s">
        <v>3319</v>
      </c>
      <c r="D1177" s="327"/>
      <c r="E1177" s="341" t="s">
        <v>3320</v>
      </c>
      <c r="F1177" s="206" t="s">
        <v>3321</v>
      </c>
      <c r="G1177" s="206" t="s">
        <v>3322</v>
      </c>
      <c r="H1177" s="207">
        <v>44075</v>
      </c>
      <c r="J1177" s="8" t="s">
        <v>3323</v>
      </c>
      <c r="K1177" s="302">
        <v>8434677077</v>
      </c>
      <c r="M1177" s="212"/>
      <c r="N1177" s="213"/>
      <c r="O1177" s="209"/>
    </row>
    <row r="1178" spans="1:15" x14ac:dyDescent="0.3">
      <c r="A1178" s="302" t="s">
        <v>155</v>
      </c>
      <c r="B1178" s="302" t="str">
        <f t="shared" si="8"/>
        <v>Y</v>
      </c>
      <c r="C1178" s="6" t="s">
        <v>3324</v>
      </c>
      <c r="D1178" s="327"/>
      <c r="E1178" s="341" t="s">
        <v>3325</v>
      </c>
      <c r="F1178" s="206" t="s">
        <v>3326</v>
      </c>
      <c r="G1178" s="206" t="s">
        <v>3322</v>
      </c>
      <c r="H1178" s="206" t="s">
        <v>3322</v>
      </c>
      <c r="J1178" s="271" t="s">
        <v>2971</v>
      </c>
      <c r="K1178" s="302">
        <v>8092389297</v>
      </c>
      <c r="M1178" s="212"/>
      <c r="N1178" s="213"/>
      <c r="O1178" s="209"/>
    </row>
    <row r="1179" spans="1:15" x14ac:dyDescent="0.3">
      <c r="A1179" s="302" t="s">
        <v>155</v>
      </c>
      <c r="B1179" s="302" t="str">
        <f t="shared" si="8"/>
        <v>Y</v>
      </c>
      <c r="C1179" s="6" t="s">
        <v>3327</v>
      </c>
      <c r="D1179" s="327"/>
      <c r="E1179" s="341" t="s">
        <v>1778</v>
      </c>
      <c r="F1179" s="206" t="s">
        <v>3328</v>
      </c>
      <c r="G1179" s="206" t="s">
        <v>3322</v>
      </c>
      <c r="H1179" s="206" t="s">
        <v>3322</v>
      </c>
      <c r="J1179" s="271" t="s">
        <v>2971</v>
      </c>
      <c r="K1179" s="302">
        <v>8092389297</v>
      </c>
      <c r="M1179" s="212"/>
      <c r="N1179" s="213"/>
      <c r="O1179" s="209"/>
    </row>
    <row r="1180" spans="1:15" x14ac:dyDescent="0.3">
      <c r="A1180" s="302" t="s">
        <v>155</v>
      </c>
      <c r="B1180" s="302" t="str">
        <f t="shared" si="8"/>
        <v>Y</v>
      </c>
      <c r="C1180" s="6" t="s">
        <v>3329</v>
      </c>
      <c r="D1180" s="327"/>
      <c r="E1180" s="341" t="s">
        <v>3330</v>
      </c>
      <c r="F1180" s="206" t="s">
        <v>3331</v>
      </c>
      <c r="G1180" s="206" t="s">
        <v>3332</v>
      </c>
      <c r="H1180" s="206" t="s">
        <v>3333</v>
      </c>
      <c r="J1180" s="8" t="s">
        <v>3334</v>
      </c>
      <c r="K1180" s="302">
        <v>7209220115</v>
      </c>
      <c r="M1180" s="212"/>
      <c r="N1180" s="213"/>
      <c r="O1180" s="209"/>
    </row>
    <row r="1181" spans="1:15" x14ac:dyDescent="0.3">
      <c r="A1181" s="302" t="s">
        <v>155</v>
      </c>
      <c r="B1181" s="302" t="str">
        <f t="shared" si="8"/>
        <v>Y</v>
      </c>
      <c r="C1181" s="6" t="s">
        <v>3335</v>
      </c>
      <c r="D1181" s="327"/>
      <c r="E1181" s="341" t="s">
        <v>3336</v>
      </c>
      <c r="F1181" s="206" t="s">
        <v>3337</v>
      </c>
      <c r="G1181" s="206" t="s">
        <v>3332</v>
      </c>
      <c r="H1181" s="206" t="s">
        <v>3333</v>
      </c>
      <c r="J1181" s="8" t="s">
        <v>3338</v>
      </c>
      <c r="K1181" s="302">
        <v>8434665198</v>
      </c>
      <c r="M1181" s="212"/>
      <c r="N1181" s="213"/>
      <c r="O1181" s="209"/>
    </row>
    <row r="1182" spans="1:15" x14ac:dyDescent="0.3">
      <c r="A1182" s="302" t="s">
        <v>155</v>
      </c>
      <c r="B1182" s="302" t="str">
        <f t="shared" si="8"/>
        <v>Y</v>
      </c>
      <c r="C1182" s="6" t="s">
        <v>3339</v>
      </c>
      <c r="D1182" s="327"/>
      <c r="E1182" s="341" t="s">
        <v>3340</v>
      </c>
      <c r="F1182" s="206" t="s">
        <v>3341</v>
      </c>
      <c r="G1182" s="206" t="s">
        <v>3332</v>
      </c>
      <c r="H1182" s="206" t="s">
        <v>3333</v>
      </c>
      <c r="J1182" s="8" t="s">
        <v>3342</v>
      </c>
      <c r="K1182" s="302">
        <v>9955467849</v>
      </c>
      <c r="M1182" s="212"/>
      <c r="N1182" s="213"/>
      <c r="O1182" s="209"/>
    </row>
    <row r="1183" spans="1:15" x14ac:dyDescent="0.3">
      <c r="A1183" s="302" t="s">
        <v>155</v>
      </c>
      <c r="B1183" s="302" t="str">
        <f t="shared" si="8"/>
        <v>Y</v>
      </c>
      <c r="C1183" s="6" t="s">
        <v>3343</v>
      </c>
      <c r="D1183" s="327"/>
      <c r="E1183" s="341" t="s">
        <v>1385</v>
      </c>
      <c r="F1183" s="206" t="s">
        <v>3344</v>
      </c>
      <c r="G1183" s="206" t="s">
        <v>3332</v>
      </c>
      <c r="H1183" s="206" t="s">
        <v>3333</v>
      </c>
      <c r="J1183" s="8" t="s">
        <v>3342</v>
      </c>
      <c r="K1183" s="302">
        <v>9955467849</v>
      </c>
      <c r="M1183" s="212"/>
      <c r="N1183" s="213"/>
      <c r="O1183" s="209"/>
    </row>
    <row r="1184" spans="1:15" x14ac:dyDescent="0.3">
      <c r="A1184" s="302" t="s">
        <v>155</v>
      </c>
      <c r="B1184" s="302" t="str">
        <f t="shared" si="8"/>
        <v>Y</v>
      </c>
      <c r="C1184" s="6" t="s">
        <v>3345</v>
      </c>
      <c r="D1184" s="327"/>
      <c r="E1184" s="341" t="s">
        <v>3346</v>
      </c>
      <c r="F1184" s="206" t="s">
        <v>3347</v>
      </c>
      <c r="G1184" s="206" t="s">
        <v>3332</v>
      </c>
      <c r="H1184" s="206" t="s">
        <v>3333</v>
      </c>
      <c r="J1184" s="8" t="s">
        <v>3348</v>
      </c>
      <c r="K1184" s="302">
        <v>9031903045</v>
      </c>
      <c r="M1184" s="212"/>
      <c r="N1184" s="213"/>
      <c r="O1184" s="209"/>
    </row>
    <row r="1185" spans="1:15" x14ac:dyDescent="0.3">
      <c r="A1185" s="302" t="s">
        <v>155</v>
      </c>
      <c r="B1185" s="302" t="str">
        <f t="shared" si="8"/>
        <v>Y</v>
      </c>
      <c r="C1185" s="6" t="s">
        <v>3349</v>
      </c>
      <c r="D1185" s="327"/>
      <c r="E1185" s="341" t="s">
        <v>3350</v>
      </c>
      <c r="F1185" s="206" t="s">
        <v>2175</v>
      </c>
      <c r="G1185" s="206" t="s">
        <v>3333</v>
      </c>
      <c r="H1185" s="206" t="s">
        <v>3333</v>
      </c>
      <c r="K1185" s="302">
        <v>7488535413</v>
      </c>
      <c r="M1185" s="212"/>
      <c r="N1185" s="213"/>
      <c r="O1185" s="209"/>
    </row>
    <row r="1186" spans="1:15" x14ac:dyDescent="0.3">
      <c r="A1186" s="302" t="s">
        <v>155</v>
      </c>
      <c r="B1186" s="302" t="str">
        <f t="shared" si="8"/>
        <v>Y</v>
      </c>
      <c r="C1186" s="6" t="s">
        <v>3351</v>
      </c>
      <c r="D1186" s="327"/>
      <c r="E1186" s="341" t="s">
        <v>3352</v>
      </c>
      <c r="F1186" s="206" t="s">
        <v>3353</v>
      </c>
      <c r="G1186" s="206" t="s">
        <v>3333</v>
      </c>
      <c r="H1186" s="206" t="s">
        <v>3333</v>
      </c>
      <c r="J1186" s="8" t="s">
        <v>2971</v>
      </c>
      <c r="K1186" s="302">
        <v>7654550539</v>
      </c>
      <c r="M1186" s="212"/>
      <c r="N1186" s="213"/>
      <c r="O1186" s="209"/>
    </row>
    <row r="1187" spans="1:15" x14ac:dyDescent="0.3">
      <c r="A1187" s="302" t="s">
        <v>155</v>
      </c>
      <c r="B1187" s="302" t="str">
        <f t="shared" si="8"/>
        <v>Y</v>
      </c>
      <c r="C1187" s="6" t="s">
        <v>3354</v>
      </c>
      <c r="D1187" s="327"/>
      <c r="E1187" s="341" t="s">
        <v>3355</v>
      </c>
      <c r="F1187" s="206" t="s">
        <v>3356</v>
      </c>
      <c r="G1187" s="206" t="s">
        <v>3357</v>
      </c>
      <c r="H1187" s="206" t="s">
        <v>3357</v>
      </c>
      <c r="K1187" s="302">
        <v>9304366480</v>
      </c>
      <c r="M1187" s="212"/>
      <c r="N1187" s="213"/>
      <c r="O1187" s="209"/>
    </row>
    <row r="1188" spans="1:15" x14ac:dyDescent="0.3">
      <c r="A1188" s="302" t="s">
        <v>155</v>
      </c>
      <c r="B1188" s="302" t="str">
        <f t="shared" si="8"/>
        <v>Y</v>
      </c>
      <c r="C1188" s="6" t="s">
        <v>3358</v>
      </c>
      <c r="D1188" s="327"/>
      <c r="E1188" s="341" t="s">
        <v>3359</v>
      </c>
      <c r="F1188" s="206" t="s">
        <v>3360</v>
      </c>
      <c r="G1188" s="206" t="s">
        <v>3333</v>
      </c>
      <c r="H1188" s="207">
        <v>44083</v>
      </c>
      <c r="J1188" s="8" t="s">
        <v>2971</v>
      </c>
      <c r="K1188" s="302">
        <v>8294448943</v>
      </c>
      <c r="M1188" s="212"/>
      <c r="N1188" s="213"/>
      <c r="O1188" s="209"/>
    </row>
    <row r="1189" spans="1:15" x14ac:dyDescent="0.3">
      <c r="A1189" s="302" t="s">
        <v>155</v>
      </c>
      <c r="B1189" s="302" t="str">
        <f t="shared" si="8"/>
        <v>Y</v>
      </c>
      <c r="C1189" s="6" t="s">
        <v>3361</v>
      </c>
      <c r="D1189" s="327"/>
      <c r="E1189" s="341" t="s">
        <v>3362</v>
      </c>
      <c r="F1189" s="206" t="s">
        <v>3363</v>
      </c>
      <c r="G1189" s="206" t="s">
        <v>3357</v>
      </c>
      <c r="H1189" s="207">
        <v>44083</v>
      </c>
      <c r="K1189" s="302">
        <v>9939318306</v>
      </c>
      <c r="M1189" s="212"/>
      <c r="N1189" s="213"/>
      <c r="O1189" s="209"/>
    </row>
    <row r="1190" spans="1:15" x14ac:dyDescent="0.3">
      <c r="A1190" s="302" t="s">
        <v>155</v>
      </c>
      <c r="B1190" s="302" t="str">
        <f t="shared" si="8"/>
        <v>Y</v>
      </c>
      <c r="C1190" s="6" t="s">
        <v>3364</v>
      </c>
      <c r="D1190" s="327"/>
      <c r="E1190" s="341" t="s">
        <v>3365</v>
      </c>
      <c r="F1190" s="206" t="s">
        <v>3366</v>
      </c>
      <c r="G1190" s="206" t="s">
        <v>3367</v>
      </c>
      <c r="H1190" s="207">
        <v>44083</v>
      </c>
      <c r="J1190" s="8" t="s">
        <v>2971</v>
      </c>
      <c r="K1190" s="302">
        <v>9608147384</v>
      </c>
      <c r="M1190" s="212"/>
      <c r="N1190" s="213"/>
      <c r="O1190" s="209"/>
    </row>
    <row r="1191" spans="1:15" x14ac:dyDescent="0.3">
      <c r="A1191" s="302" t="s">
        <v>155</v>
      </c>
      <c r="B1191" s="302" t="str">
        <f t="shared" si="8"/>
        <v>Y</v>
      </c>
      <c r="C1191" s="6" t="s">
        <v>3368</v>
      </c>
      <c r="D1191" s="327"/>
      <c r="E1191" s="341" t="s">
        <v>3369</v>
      </c>
      <c r="F1191" s="206" t="s">
        <v>3370</v>
      </c>
      <c r="G1191" s="206" t="s">
        <v>3371</v>
      </c>
      <c r="H1191" s="207">
        <v>44085</v>
      </c>
      <c r="J1191" s="12" t="s">
        <v>3372</v>
      </c>
      <c r="K1191" s="302">
        <v>6200455389</v>
      </c>
      <c r="M1191" s="212"/>
      <c r="N1191" s="213"/>
      <c r="O1191" s="209"/>
    </row>
    <row r="1192" spans="1:15" x14ac:dyDescent="0.3">
      <c r="A1192" s="302" t="s">
        <v>155</v>
      </c>
      <c r="B1192" s="302" t="str">
        <f t="shared" si="8"/>
        <v>Y</v>
      </c>
      <c r="C1192" s="6" t="s">
        <v>3373</v>
      </c>
      <c r="D1192" s="327"/>
      <c r="E1192" s="341" t="s">
        <v>3374</v>
      </c>
      <c r="F1192" s="206" t="s">
        <v>3375</v>
      </c>
      <c r="G1192" s="206" t="s">
        <v>3376</v>
      </c>
      <c r="H1192" s="206" t="s">
        <v>3377</v>
      </c>
      <c r="K1192" s="302">
        <v>8292619320</v>
      </c>
      <c r="M1192" s="212"/>
      <c r="N1192" s="213"/>
      <c r="O1192" s="209"/>
    </row>
    <row r="1193" spans="1:15" x14ac:dyDescent="0.3">
      <c r="A1193" s="302" t="s">
        <v>155</v>
      </c>
      <c r="B1193" s="302" t="str">
        <f t="shared" si="8"/>
        <v>Y</v>
      </c>
      <c r="C1193" s="6" t="s">
        <v>3378</v>
      </c>
      <c r="D1193" s="327"/>
      <c r="E1193" s="341" t="s">
        <v>3379</v>
      </c>
      <c r="F1193" s="206" t="s">
        <v>3380</v>
      </c>
      <c r="G1193" s="206" t="s">
        <v>3376</v>
      </c>
      <c r="H1193" s="206" t="s">
        <v>3377</v>
      </c>
      <c r="K1193" s="302">
        <v>8092524722</v>
      </c>
      <c r="M1193" s="212"/>
      <c r="N1193" s="213"/>
      <c r="O1193" s="209"/>
    </row>
    <row r="1194" spans="1:15" x14ac:dyDescent="0.3">
      <c r="A1194" s="302" t="s">
        <v>155</v>
      </c>
      <c r="B1194" s="302" t="str">
        <f t="shared" si="8"/>
        <v>Y</v>
      </c>
      <c r="C1194" s="6" t="s">
        <v>3381</v>
      </c>
      <c r="D1194" s="327"/>
      <c r="E1194" s="341" t="s">
        <v>3382</v>
      </c>
      <c r="F1194" s="206" t="s">
        <v>3383</v>
      </c>
      <c r="G1194" s="206" t="s">
        <v>3376</v>
      </c>
      <c r="H1194" s="206" t="s">
        <v>3377</v>
      </c>
      <c r="K1194" s="302">
        <v>8877215999</v>
      </c>
      <c r="M1194" s="212"/>
      <c r="N1194" s="213"/>
      <c r="O1194" s="209"/>
    </row>
    <row r="1195" spans="1:15" x14ac:dyDescent="0.3">
      <c r="A1195" s="302" t="s">
        <v>155</v>
      </c>
      <c r="B1195" s="302" t="str">
        <f t="shared" si="8"/>
        <v>Y</v>
      </c>
      <c r="C1195" s="6" t="s">
        <v>3384</v>
      </c>
      <c r="D1195" s="327"/>
      <c r="E1195" s="341" t="s">
        <v>3385</v>
      </c>
      <c r="F1195" s="206" t="s">
        <v>3386</v>
      </c>
      <c r="G1195" s="206" t="s">
        <v>3377</v>
      </c>
      <c r="H1195" s="206" t="s">
        <v>3377</v>
      </c>
      <c r="J1195" s="8" t="s">
        <v>2971</v>
      </c>
      <c r="K1195" s="302">
        <v>7033535157</v>
      </c>
      <c r="M1195" s="212"/>
      <c r="N1195" s="213"/>
      <c r="O1195" s="209"/>
    </row>
    <row r="1196" spans="1:15" x14ac:dyDescent="0.3">
      <c r="A1196" s="302" t="s">
        <v>155</v>
      </c>
      <c r="B1196" s="302" t="str">
        <f t="shared" si="8"/>
        <v>Y</v>
      </c>
      <c r="C1196" s="6" t="s">
        <v>3387</v>
      </c>
      <c r="D1196" s="327"/>
      <c r="E1196" s="341" t="s">
        <v>3388</v>
      </c>
      <c r="F1196" s="206" t="s">
        <v>3389</v>
      </c>
      <c r="G1196" s="206" t="s">
        <v>3390</v>
      </c>
      <c r="H1196" s="207">
        <v>44090</v>
      </c>
      <c r="K1196" s="302">
        <v>9334964342</v>
      </c>
      <c r="M1196" s="212"/>
      <c r="N1196" s="213"/>
      <c r="O1196" s="209"/>
    </row>
    <row r="1197" spans="1:15" x14ac:dyDescent="0.3">
      <c r="A1197" s="302" t="s">
        <v>155</v>
      </c>
      <c r="B1197" s="302" t="str">
        <f t="shared" si="8"/>
        <v>Y</v>
      </c>
      <c r="C1197" s="6" t="s">
        <v>3391</v>
      </c>
      <c r="D1197" s="327"/>
      <c r="E1197" s="341" t="s">
        <v>3392</v>
      </c>
      <c r="F1197" s="206" t="s">
        <v>3393</v>
      </c>
      <c r="G1197" s="206" t="s">
        <v>3390</v>
      </c>
      <c r="H1197" s="207">
        <v>44090</v>
      </c>
      <c r="J1197" s="8" t="s">
        <v>3394</v>
      </c>
      <c r="K1197" s="302">
        <v>9304340818</v>
      </c>
      <c r="M1197" s="212"/>
      <c r="N1197" s="213"/>
      <c r="O1197" s="209"/>
    </row>
    <row r="1198" spans="1:15" x14ac:dyDescent="0.3">
      <c r="A1198" s="302" t="s">
        <v>155</v>
      </c>
      <c r="B1198" s="302" t="str">
        <f t="shared" si="8"/>
        <v>Y</v>
      </c>
      <c r="C1198" s="6" t="s">
        <v>3395</v>
      </c>
      <c r="D1198" s="327"/>
      <c r="E1198" s="341" t="s">
        <v>3396</v>
      </c>
      <c r="F1198" s="206" t="s">
        <v>3397</v>
      </c>
      <c r="G1198" s="206" t="s">
        <v>3390</v>
      </c>
      <c r="H1198" s="207">
        <v>44091</v>
      </c>
      <c r="J1198" s="12" t="s">
        <v>3398</v>
      </c>
      <c r="K1198" s="302">
        <v>7480007688</v>
      </c>
      <c r="M1198" s="212"/>
      <c r="N1198" s="213"/>
      <c r="O1198" s="209"/>
    </row>
    <row r="1199" spans="1:15" x14ac:dyDescent="0.3">
      <c r="A1199" s="302" t="s">
        <v>155</v>
      </c>
      <c r="B1199" s="302" t="str">
        <f t="shared" si="8"/>
        <v>Y</v>
      </c>
      <c r="C1199" s="6" t="s">
        <v>3399</v>
      </c>
      <c r="D1199" s="327"/>
      <c r="E1199" s="341" t="s">
        <v>3400</v>
      </c>
      <c r="F1199" s="206" t="s">
        <v>3401</v>
      </c>
      <c r="G1199" s="206" t="s">
        <v>3390</v>
      </c>
      <c r="H1199" s="207">
        <v>44091</v>
      </c>
      <c r="J1199" s="8" t="s">
        <v>3402</v>
      </c>
      <c r="K1199" s="302">
        <v>9204484672</v>
      </c>
      <c r="M1199" s="212"/>
      <c r="N1199" s="213"/>
      <c r="O1199" s="209"/>
    </row>
    <row r="1200" spans="1:15" x14ac:dyDescent="0.3">
      <c r="A1200" s="302" t="s">
        <v>155</v>
      </c>
      <c r="B1200" s="302" t="str">
        <f t="shared" si="8"/>
        <v>Y</v>
      </c>
      <c r="C1200" s="6" t="s">
        <v>3403</v>
      </c>
      <c r="D1200" s="327"/>
      <c r="E1200" s="341" t="s">
        <v>3404</v>
      </c>
      <c r="F1200" s="206" t="s">
        <v>3405</v>
      </c>
      <c r="G1200" s="206" t="s">
        <v>3406</v>
      </c>
      <c r="H1200" s="207">
        <v>44091</v>
      </c>
      <c r="J1200" s="8" t="s">
        <v>2971</v>
      </c>
      <c r="K1200" s="302">
        <v>8789492784</v>
      </c>
      <c r="M1200" s="212"/>
      <c r="N1200" s="213"/>
      <c r="O1200" s="209"/>
    </row>
    <row r="1201" spans="1:15" x14ac:dyDescent="0.3">
      <c r="A1201" s="302" t="s">
        <v>155</v>
      </c>
      <c r="B1201" s="302" t="str">
        <f t="shared" si="8"/>
        <v>Y</v>
      </c>
      <c r="C1201" s="6" t="s">
        <v>3407</v>
      </c>
      <c r="D1201" s="327"/>
      <c r="E1201" s="341" t="s">
        <v>3408</v>
      </c>
      <c r="F1201" s="206" t="s">
        <v>3409</v>
      </c>
      <c r="G1201" s="206" t="s">
        <v>3406</v>
      </c>
      <c r="H1201" s="207">
        <v>44091</v>
      </c>
      <c r="J1201" s="12" t="s">
        <v>3410</v>
      </c>
      <c r="K1201" s="302">
        <v>8252717817</v>
      </c>
      <c r="M1201" s="212"/>
      <c r="N1201" s="213"/>
      <c r="O1201" s="209"/>
    </row>
    <row r="1202" spans="1:15" x14ac:dyDescent="0.3">
      <c r="A1202" s="302" t="s">
        <v>2931</v>
      </c>
      <c r="B1202" s="302" t="str">
        <f t="shared" si="8"/>
        <v>Y</v>
      </c>
      <c r="C1202" s="6" t="s">
        <v>3411</v>
      </c>
      <c r="D1202" s="327"/>
      <c r="E1202" s="341" t="s">
        <v>3359</v>
      </c>
      <c r="F1202" s="206" t="s">
        <v>3360</v>
      </c>
      <c r="G1202" s="206" t="s">
        <v>3406</v>
      </c>
      <c r="H1202" s="207">
        <v>44091</v>
      </c>
      <c r="J1202" s="8" t="s">
        <v>2971</v>
      </c>
      <c r="K1202" s="302">
        <v>8294448943</v>
      </c>
      <c r="M1202" s="212"/>
      <c r="N1202" s="213"/>
      <c r="O1202" s="209"/>
    </row>
    <row r="1203" spans="1:15" x14ac:dyDescent="0.3">
      <c r="A1203" s="302" t="s">
        <v>155</v>
      </c>
      <c r="B1203" s="302" t="str">
        <f t="shared" si="8"/>
        <v>Y</v>
      </c>
      <c r="C1203" s="468" t="s">
        <v>3412</v>
      </c>
      <c r="D1203" s="347"/>
      <c r="E1203" s="347" t="s">
        <v>2455</v>
      </c>
      <c r="F1203" s="219" t="s">
        <v>3413</v>
      </c>
      <c r="G1203" s="219" t="s">
        <v>3406</v>
      </c>
      <c r="H1203" s="219" t="s">
        <v>3414</v>
      </c>
      <c r="I1203" s="9"/>
      <c r="J1203" s="9"/>
      <c r="K1203" s="221">
        <v>9334141809</v>
      </c>
      <c r="M1203" s="212"/>
      <c r="N1203" s="213"/>
      <c r="O1203" s="209"/>
    </row>
    <row r="1204" spans="1:15" x14ac:dyDescent="0.3">
      <c r="A1204" s="302" t="s">
        <v>155</v>
      </c>
      <c r="B1204" s="302" t="str">
        <f t="shared" si="8"/>
        <v>Y</v>
      </c>
      <c r="C1204" s="6" t="s">
        <v>3415</v>
      </c>
      <c r="D1204" s="327"/>
      <c r="E1204" s="341" t="s">
        <v>3416</v>
      </c>
      <c r="F1204" s="206" t="s">
        <v>3417</v>
      </c>
      <c r="G1204" s="206" t="s">
        <v>3414</v>
      </c>
      <c r="H1204" s="206" t="s">
        <v>3414</v>
      </c>
      <c r="J1204" s="8" t="s">
        <v>3418</v>
      </c>
      <c r="K1204" s="302">
        <v>9234730854</v>
      </c>
      <c r="M1204" s="212"/>
      <c r="N1204" s="213"/>
      <c r="O1204" s="209"/>
    </row>
    <row r="1205" spans="1:15" x14ac:dyDescent="0.3">
      <c r="A1205" s="302" t="s">
        <v>155</v>
      </c>
      <c r="B1205" s="302" t="str">
        <f t="shared" si="8"/>
        <v>Y</v>
      </c>
      <c r="C1205" s="466" t="s">
        <v>3419</v>
      </c>
      <c r="D1205" s="350"/>
      <c r="E1205" s="341" t="s">
        <v>3420</v>
      </c>
      <c r="F1205" s="206" t="s">
        <v>3421</v>
      </c>
      <c r="G1205" s="206" t="s">
        <v>3414</v>
      </c>
      <c r="H1205" s="206" t="s">
        <v>3414</v>
      </c>
      <c r="K1205" s="302">
        <v>9204874676</v>
      </c>
      <c r="M1205" s="212"/>
      <c r="N1205" s="213"/>
      <c r="O1205" s="209"/>
    </row>
    <row r="1206" spans="1:15" x14ac:dyDescent="0.3">
      <c r="A1206" s="302" t="s">
        <v>155</v>
      </c>
      <c r="B1206" s="302" t="str">
        <f t="shared" si="8"/>
        <v>Y</v>
      </c>
      <c r="C1206" s="6" t="s">
        <v>3422</v>
      </c>
      <c r="D1206" s="327"/>
      <c r="E1206" s="341" t="s">
        <v>3423</v>
      </c>
      <c r="F1206" s="206" t="s">
        <v>3424</v>
      </c>
      <c r="G1206" s="206" t="s">
        <v>3425</v>
      </c>
      <c r="H1206" s="207">
        <v>44094</v>
      </c>
      <c r="J1206" s="8" t="s">
        <v>2971</v>
      </c>
      <c r="K1206" s="302">
        <v>8235401754</v>
      </c>
      <c r="M1206" s="212"/>
      <c r="N1206" s="213"/>
      <c r="O1206" s="209"/>
    </row>
    <row r="1207" spans="1:15" x14ac:dyDescent="0.3">
      <c r="A1207" s="302" t="s">
        <v>155</v>
      </c>
      <c r="B1207" s="302" t="str">
        <f t="shared" si="8"/>
        <v>Y</v>
      </c>
      <c r="C1207" s="6" t="s">
        <v>3426</v>
      </c>
      <c r="D1207" s="327"/>
      <c r="E1207" s="341" t="s">
        <v>3427</v>
      </c>
      <c r="F1207" s="206" t="s">
        <v>3428</v>
      </c>
      <c r="G1207" s="206" t="s">
        <v>3429</v>
      </c>
      <c r="H1207" s="207">
        <v>44094</v>
      </c>
      <c r="J1207" s="8" t="s">
        <v>3430</v>
      </c>
      <c r="K1207" s="302">
        <v>7209392713</v>
      </c>
      <c r="M1207" s="212"/>
      <c r="N1207" s="213"/>
      <c r="O1207" s="209"/>
    </row>
    <row r="1208" spans="1:15" x14ac:dyDescent="0.3">
      <c r="A1208" s="302" t="s">
        <v>155</v>
      </c>
      <c r="B1208" s="302" t="str">
        <f t="shared" si="8"/>
        <v>N</v>
      </c>
      <c r="C1208" s="6" t="s">
        <v>3431</v>
      </c>
      <c r="D1208" s="327"/>
      <c r="E1208" s="341" t="s">
        <v>3432</v>
      </c>
      <c r="F1208" s="206" t="s">
        <v>3433</v>
      </c>
      <c r="G1208" s="206" t="s">
        <v>3434</v>
      </c>
      <c r="H1208" s="302"/>
      <c r="M1208" s="212"/>
      <c r="N1208" s="213"/>
      <c r="O1208" s="209"/>
    </row>
    <row r="1209" spans="1:15" x14ac:dyDescent="0.3">
      <c r="A1209" s="302" t="s">
        <v>155</v>
      </c>
      <c r="B1209" s="302" t="str">
        <f t="shared" si="8"/>
        <v>Y</v>
      </c>
      <c r="C1209" s="6" t="s">
        <v>3435</v>
      </c>
      <c r="D1209" s="327"/>
      <c r="E1209" s="341" t="s">
        <v>3436</v>
      </c>
      <c r="F1209" s="206" t="s">
        <v>3437</v>
      </c>
      <c r="G1209" s="206" t="s">
        <v>3438</v>
      </c>
      <c r="H1209" s="207">
        <v>44110</v>
      </c>
      <c r="K1209" s="302">
        <v>9852269587</v>
      </c>
      <c r="M1209" s="212"/>
      <c r="N1209" s="213"/>
      <c r="O1209" s="209"/>
    </row>
    <row r="1210" spans="1:15" x14ac:dyDescent="0.3">
      <c r="A1210" s="238" t="s">
        <v>155</v>
      </c>
      <c r="B1210" s="238" t="str">
        <f t="shared" si="8"/>
        <v>Y</v>
      </c>
      <c r="C1210" s="457" t="s">
        <v>3439</v>
      </c>
      <c r="D1210" s="335"/>
      <c r="E1210" s="344" t="s">
        <v>3440</v>
      </c>
      <c r="F1210" s="239" t="s">
        <v>3441</v>
      </c>
      <c r="G1210" s="239" t="s">
        <v>3438</v>
      </c>
      <c r="H1210" s="240">
        <v>44110</v>
      </c>
      <c r="I1210" s="4" t="s">
        <v>3442</v>
      </c>
      <c r="J1210" s="272" t="s">
        <v>3443</v>
      </c>
      <c r="K1210" s="238">
        <v>9931781759</v>
      </c>
      <c r="M1210" s="212"/>
      <c r="N1210" s="213"/>
      <c r="O1210" s="209"/>
    </row>
    <row r="1211" spans="1:15" x14ac:dyDescent="0.3">
      <c r="A1211" s="302" t="s">
        <v>155</v>
      </c>
      <c r="B1211" s="302" t="str">
        <f t="shared" si="8"/>
        <v>Y</v>
      </c>
      <c r="C1211" s="6" t="s">
        <v>3399</v>
      </c>
      <c r="D1211" s="327"/>
      <c r="E1211" s="341" t="s">
        <v>3444</v>
      </c>
      <c r="F1211" s="206" t="s">
        <v>3445</v>
      </c>
      <c r="G1211" s="206" t="s">
        <v>3377</v>
      </c>
      <c r="H1211" s="207">
        <v>44110</v>
      </c>
      <c r="K1211" s="302">
        <v>9204484672</v>
      </c>
      <c r="M1211" s="212"/>
      <c r="N1211" s="213"/>
      <c r="O1211" s="209"/>
    </row>
    <row r="1212" spans="1:15" x14ac:dyDescent="0.3">
      <c r="A1212" s="302" t="s">
        <v>155</v>
      </c>
      <c r="B1212" s="302" t="str">
        <f t="shared" si="8"/>
        <v>Y</v>
      </c>
      <c r="C1212" s="6" t="s">
        <v>3446</v>
      </c>
      <c r="D1212" s="327"/>
      <c r="E1212" s="341" t="s">
        <v>3447</v>
      </c>
      <c r="F1212" s="206" t="s">
        <v>3448</v>
      </c>
      <c r="G1212" s="206" t="s">
        <v>3449</v>
      </c>
      <c r="H1212" s="207">
        <v>44110</v>
      </c>
      <c r="K1212" s="302">
        <v>7667412994</v>
      </c>
      <c r="M1212" s="212"/>
      <c r="N1212" s="213"/>
      <c r="O1212" s="209"/>
    </row>
    <row r="1213" spans="1:15" x14ac:dyDescent="0.3">
      <c r="A1213" s="302" t="s">
        <v>155</v>
      </c>
      <c r="B1213" s="302" t="str">
        <f t="shared" si="8"/>
        <v>Y</v>
      </c>
      <c r="C1213" s="6" t="s">
        <v>3450</v>
      </c>
      <c r="D1213" s="327"/>
      <c r="E1213" s="341" t="s">
        <v>3451</v>
      </c>
      <c r="F1213" s="206" t="s">
        <v>3452</v>
      </c>
      <c r="G1213" s="206" t="s">
        <v>3453</v>
      </c>
      <c r="H1213" s="207">
        <v>44116</v>
      </c>
      <c r="J1213" s="8" t="s">
        <v>3454</v>
      </c>
      <c r="K1213" s="302">
        <v>8409048907</v>
      </c>
      <c r="M1213" s="212"/>
      <c r="N1213" s="213"/>
      <c r="O1213" s="209"/>
    </row>
    <row r="1214" spans="1:15" x14ac:dyDescent="0.3">
      <c r="A1214" s="302" t="s">
        <v>155</v>
      </c>
      <c r="B1214" s="302" t="str">
        <f t="shared" si="8"/>
        <v>N</v>
      </c>
      <c r="C1214" s="6" t="s">
        <v>3455</v>
      </c>
      <c r="D1214" s="327"/>
      <c r="E1214" s="341" t="s">
        <v>3456</v>
      </c>
      <c r="F1214" s="206" t="s">
        <v>3457</v>
      </c>
      <c r="G1214" s="206" t="s">
        <v>3458</v>
      </c>
      <c r="H1214" s="302"/>
      <c r="K1214" s="302">
        <v>9142868144</v>
      </c>
      <c r="M1214" s="212"/>
      <c r="N1214" s="213"/>
      <c r="O1214" s="209"/>
    </row>
    <row r="1215" spans="1:15" x14ac:dyDescent="0.3">
      <c r="A1215" s="302" t="s">
        <v>155</v>
      </c>
      <c r="B1215" s="302" t="str">
        <f t="shared" si="8"/>
        <v>N</v>
      </c>
      <c r="C1215" s="6" t="s">
        <v>3459</v>
      </c>
      <c r="D1215" s="327"/>
      <c r="E1215" s="341" t="s">
        <v>3460</v>
      </c>
      <c r="F1215" s="206" t="s">
        <v>3461</v>
      </c>
      <c r="G1215" s="206" t="s">
        <v>3453</v>
      </c>
      <c r="H1215" s="302"/>
      <c r="K1215" s="302">
        <v>6209395854</v>
      </c>
      <c r="M1215" s="212"/>
      <c r="N1215" s="213"/>
      <c r="O1215" s="209"/>
    </row>
    <row r="1216" spans="1:15" x14ac:dyDescent="0.3">
      <c r="A1216" s="302" t="s">
        <v>155</v>
      </c>
      <c r="B1216" s="302" t="str">
        <f t="shared" si="8"/>
        <v>N</v>
      </c>
      <c r="C1216" s="6" t="s">
        <v>3462</v>
      </c>
      <c r="D1216" s="327"/>
      <c r="E1216" s="341" t="s">
        <v>3463</v>
      </c>
      <c r="F1216" s="206" t="s">
        <v>3464</v>
      </c>
      <c r="G1216" s="206" t="s">
        <v>3453</v>
      </c>
      <c r="H1216" s="302"/>
      <c r="K1216" s="302">
        <v>8298078108</v>
      </c>
      <c r="M1216" s="212"/>
      <c r="N1216" s="213"/>
      <c r="O1216" s="209"/>
    </row>
    <row r="1217" spans="1:15" x14ac:dyDescent="0.3">
      <c r="A1217" s="302" t="s">
        <v>155</v>
      </c>
      <c r="B1217" s="302" t="str">
        <f t="shared" si="8"/>
        <v>N</v>
      </c>
      <c r="C1217" s="6" t="s">
        <v>3465</v>
      </c>
      <c r="D1217" s="327"/>
      <c r="E1217" s="341" t="s">
        <v>3466</v>
      </c>
      <c r="F1217" s="206" t="s">
        <v>3467</v>
      </c>
      <c r="G1217" s="206" t="s">
        <v>3468</v>
      </c>
      <c r="H1217" s="302"/>
      <c r="K1217" s="302">
        <v>9204095059</v>
      </c>
      <c r="M1217" s="212"/>
      <c r="N1217" s="213"/>
      <c r="O1217" s="209"/>
    </row>
    <row r="1218" spans="1:15" x14ac:dyDescent="0.3">
      <c r="A1218" s="302" t="s">
        <v>155</v>
      </c>
      <c r="B1218" s="302" t="str">
        <f t="shared" si="8"/>
        <v>N</v>
      </c>
      <c r="C1218" s="6" t="s">
        <v>3469</v>
      </c>
      <c r="D1218" s="327"/>
      <c r="E1218" s="341" t="s">
        <v>3470</v>
      </c>
      <c r="F1218" s="206" t="s">
        <v>3471</v>
      </c>
      <c r="G1218" s="206" t="s">
        <v>3468</v>
      </c>
      <c r="H1218" s="302"/>
      <c r="K1218" s="302">
        <v>8797652054</v>
      </c>
      <c r="M1218" s="212"/>
      <c r="N1218" s="213"/>
      <c r="O1218" s="209"/>
    </row>
    <row r="1219" spans="1:15" x14ac:dyDescent="0.3">
      <c r="A1219" s="302" t="s">
        <v>155</v>
      </c>
      <c r="B1219" s="302" t="str">
        <f t="shared" si="8"/>
        <v>N</v>
      </c>
      <c r="C1219" s="6" t="s">
        <v>3472</v>
      </c>
      <c r="D1219" s="327"/>
      <c r="E1219" s="341" t="s">
        <v>3473</v>
      </c>
      <c r="F1219" s="206" t="s">
        <v>3474</v>
      </c>
      <c r="G1219" s="206" t="s">
        <v>3475</v>
      </c>
      <c r="H1219" s="302"/>
      <c r="K1219" s="302">
        <v>9279014823</v>
      </c>
      <c r="M1219" s="212"/>
      <c r="N1219" s="213"/>
      <c r="O1219" s="209"/>
    </row>
    <row r="1220" spans="1:15" x14ac:dyDescent="0.3">
      <c r="A1220" s="302" t="s">
        <v>155</v>
      </c>
      <c r="B1220" s="302" t="str">
        <f t="shared" si="8"/>
        <v>N</v>
      </c>
      <c r="C1220" s="6" t="s">
        <v>3476</v>
      </c>
      <c r="D1220" s="327"/>
      <c r="E1220" s="341" t="s">
        <v>3477</v>
      </c>
      <c r="F1220" s="206" t="s">
        <v>3478</v>
      </c>
      <c r="G1220" s="206" t="s">
        <v>3479</v>
      </c>
      <c r="H1220" s="302"/>
      <c r="K1220" s="302">
        <v>8210427929</v>
      </c>
      <c r="M1220" s="212"/>
      <c r="N1220" s="213"/>
      <c r="O1220" s="209"/>
    </row>
    <row r="1221" spans="1:15" x14ac:dyDescent="0.3">
      <c r="A1221" s="302" t="s">
        <v>155</v>
      </c>
      <c r="B1221" s="302" t="str">
        <f t="shared" si="8"/>
        <v>N</v>
      </c>
      <c r="C1221" s="6" t="s">
        <v>3480</v>
      </c>
      <c r="D1221" s="327"/>
      <c r="E1221" s="341" t="s">
        <v>3481</v>
      </c>
      <c r="F1221" s="206" t="s">
        <v>3482</v>
      </c>
      <c r="G1221" s="206" t="s">
        <v>3479</v>
      </c>
      <c r="H1221" s="302"/>
      <c r="K1221" s="302">
        <v>7050312952</v>
      </c>
      <c r="M1221" s="212"/>
      <c r="N1221" s="213"/>
      <c r="O1221" s="209"/>
    </row>
    <row r="1222" spans="1:15" x14ac:dyDescent="0.3">
      <c r="A1222" s="302" t="s">
        <v>155</v>
      </c>
      <c r="B1222" s="302" t="str">
        <f t="shared" si="8"/>
        <v>N</v>
      </c>
      <c r="C1222" s="6" t="s">
        <v>3483</v>
      </c>
      <c r="D1222" s="327"/>
      <c r="E1222" s="341" t="s">
        <v>3484</v>
      </c>
      <c r="F1222" s="206" t="s">
        <v>3485</v>
      </c>
      <c r="G1222" s="206" t="s">
        <v>3479</v>
      </c>
      <c r="H1222" s="302"/>
      <c r="K1222" s="302">
        <v>9693632923</v>
      </c>
      <c r="M1222" s="212"/>
      <c r="N1222" s="213"/>
      <c r="O1222" s="209"/>
    </row>
    <row r="1223" spans="1:15" x14ac:dyDescent="0.3">
      <c r="A1223" s="302" t="s">
        <v>155</v>
      </c>
      <c r="B1223" s="302" t="str">
        <f t="shared" si="8"/>
        <v>N</v>
      </c>
      <c r="C1223" s="6" t="s">
        <v>3486</v>
      </c>
      <c r="D1223" s="327"/>
      <c r="E1223" s="341" t="s">
        <v>361</v>
      </c>
      <c r="F1223" s="206" t="s">
        <v>3487</v>
      </c>
      <c r="G1223" s="206" t="s">
        <v>3479</v>
      </c>
      <c r="H1223" s="302"/>
      <c r="K1223" s="302">
        <v>6209129460</v>
      </c>
      <c r="M1223" s="212"/>
      <c r="N1223" s="213"/>
      <c r="O1223" s="209"/>
    </row>
    <row r="1224" spans="1:15" x14ac:dyDescent="0.3">
      <c r="A1224" s="302" t="s">
        <v>155</v>
      </c>
      <c r="B1224" s="302" t="str">
        <f t="shared" si="8"/>
        <v>N</v>
      </c>
      <c r="C1224" s="6" t="s">
        <v>3488</v>
      </c>
      <c r="D1224" s="327"/>
      <c r="E1224" s="341" t="s">
        <v>3489</v>
      </c>
      <c r="F1224" s="206" t="s">
        <v>3434</v>
      </c>
      <c r="G1224" s="206" t="s">
        <v>3307</v>
      </c>
      <c r="H1224" s="302"/>
      <c r="K1224" s="302">
        <v>9709031665</v>
      </c>
      <c r="M1224" s="212"/>
      <c r="N1224" s="213"/>
      <c r="O1224" s="209"/>
    </row>
    <row r="1225" spans="1:15" x14ac:dyDescent="0.3">
      <c r="A1225" s="302" t="s">
        <v>155</v>
      </c>
      <c r="B1225" s="302" t="str">
        <f t="shared" si="8"/>
        <v>Y</v>
      </c>
      <c r="C1225" s="6" t="s">
        <v>3490</v>
      </c>
      <c r="D1225" s="327"/>
      <c r="E1225" s="341" t="s">
        <v>3491</v>
      </c>
      <c r="F1225" s="206" t="s">
        <v>3492</v>
      </c>
      <c r="G1225" s="206" t="s">
        <v>3493</v>
      </c>
      <c r="H1225" s="207">
        <v>44121</v>
      </c>
      <c r="K1225" s="302">
        <v>8936819992</v>
      </c>
      <c r="M1225" s="212"/>
      <c r="N1225" s="213"/>
      <c r="O1225" s="209"/>
    </row>
    <row r="1226" spans="1:15" x14ac:dyDescent="0.3">
      <c r="A1226" s="302" t="s">
        <v>155</v>
      </c>
      <c r="B1226" s="302" t="str">
        <f t="shared" si="8"/>
        <v>Y</v>
      </c>
      <c r="C1226" s="6" t="s">
        <v>3494</v>
      </c>
      <c r="D1226" s="327"/>
      <c r="E1226" s="341" t="s">
        <v>3495</v>
      </c>
      <c r="F1226" s="206" t="s">
        <v>3496</v>
      </c>
      <c r="G1226" s="206" t="s">
        <v>3458</v>
      </c>
      <c r="H1226" s="207">
        <v>44122</v>
      </c>
      <c r="J1226" s="8" t="s">
        <v>3497</v>
      </c>
      <c r="K1226" s="302">
        <v>9693723194</v>
      </c>
      <c r="M1226" s="212"/>
      <c r="N1226" s="213"/>
      <c r="O1226" s="209"/>
    </row>
    <row r="1227" spans="1:15" x14ac:dyDescent="0.3">
      <c r="A1227" s="302" t="s">
        <v>155</v>
      </c>
      <c r="B1227" s="302" t="str">
        <f t="shared" si="8"/>
        <v>Y</v>
      </c>
      <c r="C1227" s="6" t="s">
        <v>3498</v>
      </c>
      <c r="D1227" s="327"/>
      <c r="E1227" s="341" t="s">
        <v>3499</v>
      </c>
      <c r="F1227" s="206" t="s">
        <v>3500</v>
      </c>
      <c r="G1227" s="206" t="s">
        <v>3501</v>
      </c>
      <c r="H1227" s="207">
        <v>44122</v>
      </c>
      <c r="J1227" s="8" t="s">
        <v>3497</v>
      </c>
      <c r="K1227" s="302">
        <v>9693723194</v>
      </c>
      <c r="M1227" s="212"/>
      <c r="N1227" s="213"/>
      <c r="O1227" s="209"/>
    </row>
    <row r="1228" spans="1:15" x14ac:dyDescent="0.3">
      <c r="A1228" s="302" t="s">
        <v>155</v>
      </c>
      <c r="B1228" s="302" t="str">
        <f t="shared" si="8"/>
        <v>Y</v>
      </c>
      <c r="C1228" s="6" t="s">
        <v>3502</v>
      </c>
      <c r="D1228" s="327"/>
      <c r="E1228" s="341" t="s">
        <v>3503</v>
      </c>
      <c r="F1228" s="206" t="s">
        <v>3504</v>
      </c>
      <c r="G1228" s="206" t="s">
        <v>3505</v>
      </c>
      <c r="H1228" s="207">
        <v>44123</v>
      </c>
      <c r="J1228" s="8" t="s">
        <v>3506</v>
      </c>
      <c r="K1228" s="302">
        <v>9905159688</v>
      </c>
      <c r="M1228" s="212"/>
      <c r="N1228" s="213"/>
      <c r="O1228" s="209"/>
    </row>
    <row r="1229" spans="1:15" x14ac:dyDescent="0.3">
      <c r="A1229" s="302" t="s">
        <v>155</v>
      </c>
      <c r="B1229" s="302" t="str">
        <f t="shared" si="8"/>
        <v>Y</v>
      </c>
      <c r="C1229" s="6" t="s">
        <v>3507</v>
      </c>
      <c r="D1229" s="327"/>
      <c r="E1229" s="341" t="s">
        <v>3508</v>
      </c>
      <c r="F1229" s="206" t="s">
        <v>3509</v>
      </c>
      <c r="G1229" s="206" t="s">
        <v>3505</v>
      </c>
      <c r="H1229" s="207">
        <v>44123</v>
      </c>
      <c r="J1229" s="8" t="s">
        <v>3510</v>
      </c>
      <c r="K1229" s="302">
        <v>6200010564</v>
      </c>
      <c r="M1229" s="212"/>
      <c r="N1229" s="213"/>
      <c r="O1229" s="209"/>
    </row>
    <row r="1230" spans="1:15" x14ac:dyDescent="0.3">
      <c r="A1230" s="302" t="s">
        <v>155</v>
      </c>
      <c r="B1230" s="302" t="str">
        <f t="shared" si="8"/>
        <v>Y</v>
      </c>
      <c r="C1230" s="6" t="s">
        <v>3511</v>
      </c>
      <c r="D1230" s="327"/>
      <c r="E1230" s="341" t="s">
        <v>3512</v>
      </c>
      <c r="F1230" s="206" t="s">
        <v>3513</v>
      </c>
      <c r="G1230" s="206" t="s">
        <v>3514</v>
      </c>
      <c r="H1230" s="207">
        <v>44124</v>
      </c>
      <c r="J1230" s="8" t="s">
        <v>3443</v>
      </c>
      <c r="K1230" s="302">
        <v>9546276597</v>
      </c>
      <c r="M1230" s="212"/>
      <c r="N1230" s="213"/>
      <c r="O1230" s="209"/>
    </row>
    <row r="1231" spans="1:15" x14ac:dyDescent="0.3">
      <c r="A1231" s="302"/>
      <c r="B1231" s="302" t="str">
        <f t="shared" si="8"/>
        <v>Y</v>
      </c>
      <c r="C1231" s="6" t="s">
        <v>3515</v>
      </c>
      <c r="D1231" s="327"/>
      <c r="E1231" s="341" t="s">
        <v>3516</v>
      </c>
      <c r="F1231" s="206" t="s">
        <v>3517</v>
      </c>
      <c r="G1231" s="206" t="s">
        <v>3514</v>
      </c>
      <c r="H1231" s="207">
        <v>44124</v>
      </c>
      <c r="J1231" s="8" t="s">
        <v>3518</v>
      </c>
      <c r="K1231" s="302">
        <v>9065236989</v>
      </c>
      <c r="M1231" s="212"/>
      <c r="N1231" s="213"/>
      <c r="O1231" s="209"/>
    </row>
    <row r="1232" spans="1:15" x14ac:dyDescent="0.3">
      <c r="A1232" s="302" t="s">
        <v>155</v>
      </c>
      <c r="B1232" s="302" t="str">
        <f t="shared" si="8"/>
        <v>Y</v>
      </c>
      <c r="C1232" s="6" t="s">
        <v>3519</v>
      </c>
      <c r="D1232" s="327"/>
      <c r="E1232" s="341" t="s">
        <v>3520</v>
      </c>
      <c r="F1232" s="206" t="s">
        <v>3521</v>
      </c>
      <c r="G1232" s="206" t="s">
        <v>3522</v>
      </c>
      <c r="H1232" s="207">
        <v>44127</v>
      </c>
      <c r="J1232" s="12" t="s">
        <v>3523</v>
      </c>
      <c r="K1232" s="302">
        <v>9031788707</v>
      </c>
      <c r="M1232" s="212"/>
      <c r="N1232" s="213"/>
      <c r="O1232" s="209"/>
    </row>
    <row r="1233" spans="1:15" x14ac:dyDescent="0.3">
      <c r="A1233" s="302" t="s">
        <v>155</v>
      </c>
      <c r="B1233" s="302" t="str">
        <f t="shared" si="8"/>
        <v>N</v>
      </c>
      <c r="C1233" s="6"/>
      <c r="D1233" s="327"/>
      <c r="E1233" s="341" t="s">
        <v>3365</v>
      </c>
      <c r="F1233" s="206"/>
      <c r="G1233" s="206"/>
      <c r="H1233" s="302"/>
      <c r="M1233" s="212"/>
      <c r="N1233" s="213"/>
      <c r="O1233" s="209"/>
    </row>
    <row r="1234" spans="1:15" x14ac:dyDescent="0.3">
      <c r="A1234" s="302" t="s">
        <v>155</v>
      </c>
      <c r="B1234" s="302" t="str">
        <f t="shared" si="8"/>
        <v>Y</v>
      </c>
      <c r="C1234" s="6" t="s">
        <v>3524</v>
      </c>
      <c r="D1234" s="327"/>
      <c r="E1234" s="341" t="s">
        <v>3525</v>
      </c>
      <c r="F1234" s="206" t="s">
        <v>3526</v>
      </c>
      <c r="G1234" s="206" t="s">
        <v>3527</v>
      </c>
      <c r="H1234" s="207">
        <v>44128</v>
      </c>
      <c r="J1234" s="12" t="s">
        <v>3528</v>
      </c>
      <c r="K1234" s="302">
        <v>7762078625</v>
      </c>
      <c r="M1234" s="212"/>
      <c r="N1234" s="213"/>
      <c r="O1234" s="209"/>
    </row>
    <row r="1235" spans="1:15" x14ac:dyDescent="0.3">
      <c r="A1235" s="302" t="s">
        <v>155</v>
      </c>
      <c r="B1235" s="302" t="str">
        <f t="shared" si="8"/>
        <v>Y</v>
      </c>
      <c r="C1235" s="6" t="s">
        <v>3529</v>
      </c>
      <c r="D1235" s="327"/>
      <c r="E1235" s="341" t="s">
        <v>3530</v>
      </c>
      <c r="F1235" s="206" t="s">
        <v>3531</v>
      </c>
      <c r="G1235" s="206" t="s">
        <v>3532</v>
      </c>
      <c r="H1235" s="207">
        <v>44134</v>
      </c>
      <c r="J1235" s="12" t="s">
        <v>3533</v>
      </c>
      <c r="K1235" s="302">
        <v>9931097789</v>
      </c>
      <c r="M1235" s="212"/>
      <c r="N1235" s="213"/>
      <c r="O1235" s="209"/>
    </row>
    <row r="1236" spans="1:15" x14ac:dyDescent="0.3">
      <c r="A1236" s="302" t="s">
        <v>155</v>
      </c>
      <c r="B1236" s="302" t="str">
        <f t="shared" si="8"/>
        <v>Y</v>
      </c>
      <c r="C1236" s="6" t="s">
        <v>3534</v>
      </c>
      <c r="D1236" s="327"/>
      <c r="E1236" s="341" t="s">
        <v>3535</v>
      </c>
      <c r="F1236" s="206" t="s">
        <v>3536</v>
      </c>
      <c r="G1236" s="206" t="s">
        <v>3537</v>
      </c>
      <c r="H1236" s="207">
        <v>44134</v>
      </c>
      <c r="J1236" s="12" t="s">
        <v>3538</v>
      </c>
      <c r="K1236" s="302">
        <v>8102627503</v>
      </c>
      <c r="M1236" s="212"/>
      <c r="N1236" s="213"/>
      <c r="O1236" s="209"/>
    </row>
    <row r="1237" spans="1:15" x14ac:dyDescent="0.3">
      <c r="A1237" s="302" t="s">
        <v>155</v>
      </c>
      <c r="B1237" s="302" t="str">
        <f t="shared" si="8"/>
        <v>Y</v>
      </c>
      <c r="C1237" s="6" t="s">
        <v>3539</v>
      </c>
      <c r="D1237" s="327"/>
      <c r="E1237" s="341" t="s">
        <v>3540</v>
      </c>
      <c r="F1237" s="206" t="s">
        <v>3541</v>
      </c>
      <c r="G1237" s="206" t="s">
        <v>3542</v>
      </c>
      <c r="H1237" s="207">
        <v>44134</v>
      </c>
      <c r="J1237" s="12" t="s">
        <v>3543</v>
      </c>
      <c r="K1237" s="302">
        <v>8271388848</v>
      </c>
      <c r="M1237" s="212"/>
      <c r="N1237" s="213"/>
      <c r="O1237" s="209"/>
    </row>
    <row r="1238" spans="1:15" x14ac:dyDescent="0.3">
      <c r="A1238" s="302" t="s">
        <v>155</v>
      </c>
      <c r="B1238" s="302" t="str">
        <f t="shared" si="8"/>
        <v>Y</v>
      </c>
      <c r="C1238" s="6" t="s">
        <v>3544</v>
      </c>
      <c r="D1238" s="327"/>
      <c r="E1238" s="341" t="s">
        <v>3545</v>
      </c>
      <c r="F1238" s="206" t="s">
        <v>3546</v>
      </c>
      <c r="G1238" s="206" t="s">
        <v>3542</v>
      </c>
      <c r="H1238" s="207">
        <v>44134</v>
      </c>
      <c r="J1238" s="12" t="s">
        <v>3547</v>
      </c>
      <c r="K1238" s="302">
        <v>7209155202</v>
      </c>
      <c r="M1238" s="212"/>
      <c r="N1238" s="213"/>
      <c r="O1238" s="209"/>
    </row>
    <row r="1239" spans="1:15" x14ac:dyDescent="0.3">
      <c r="A1239" s="302" t="s">
        <v>155</v>
      </c>
      <c r="B1239" s="302" t="str">
        <f t="shared" si="8"/>
        <v>Y</v>
      </c>
      <c r="C1239" s="6" t="s">
        <v>3548</v>
      </c>
      <c r="D1239" s="327"/>
      <c r="E1239" s="341" t="s">
        <v>2655</v>
      </c>
      <c r="F1239" s="206" t="s">
        <v>3549</v>
      </c>
      <c r="G1239" s="206" t="s">
        <v>3550</v>
      </c>
      <c r="H1239" s="207">
        <v>44135</v>
      </c>
      <c r="J1239" s="12" t="s">
        <v>3547</v>
      </c>
      <c r="K1239" s="302">
        <v>9031787790</v>
      </c>
      <c r="M1239" s="212"/>
      <c r="N1239" s="213"/>
      <c r="O1239" s="209"/>
    </row>
    <row r="1240" spans="1:15" x14ac:dyDescent="0.3">
      <c r="A1240" s="302" t="s">
        <v>155</v>
      </c>
      <c r="B1240" s="302" t="str">
        <f t="shared" si="8"/>
        <v>Y</v>
      </c>
      <c r="C1240" s="6" t="s">
        <v>3551</v>
      </c>
      <c r="D1240" s="327"/>
      <c r="E1240" s="341" t="s">
        <v>3117</v>
      </c>
      <c r="F1240" s="206" t="s">
        <v>3552</v>
      </c>
      <c r="G1240" s="206" t="s">
        <v>3550</v>
      </c>
      <c r="H1240" s="207">
        <v>44135</v>
      </c>
      <c r="J1240" s="12" t="s">
        <v>3553</v>
      </c>
      <c r="K1240" s="302">
        <v>9031734009</v>
      </c>
      <c r="M1240" s="212"/>
      <c r="N1240" s="213"/>
      <c r="O1240" s="209"/>
    </row>
    <row r="1241" spans="1:15" x14ac:dyDescent="0.3">
      <c r="A1241" s="302" t="s">
        <v>155</v>
      </c>
      <c r="B1241" s="302" t="str">
        <f t="shared" si="8"/>
        <v>Y</v>
      </c>
      <c r="C1241" s="6" t="s">
        <v>3554</v>
      </c>
      <c r="D1241" s="327"/>
      <c r="E1241" s="341" t="s">
        <v>3555</v>
      </c>
      <c r="F1241" s="206" t="s">
        <v>3552</v>
      </c>
      <c r="G1241" s="206" t="s">
        <v>3550</v>
      </c>
      <c r="H1241" s="207">
        <v>44135</v>
      </c>
      <c r="J1241" s="12" t="s">
        <v>3556</v>
      </c>
      <c r="K1241" s="302">
        <v>7367945763</v>
      </c>
      <c r="M1241" s="212"/>
      <c r="N1241" s="213"/>
      <c r="O1241" s="209"/>
    </row>
    <row r="1242" spans="1:15" x14ac:dyDescent="0.3">
      <c r="A1242" s="302" t="s">
        <v>155</v>
      </c>
      <c r="B1242" s="302" t="str">
        <f t="shared" si="8"/>
        <v>Y</v>
      </c>
      <c r="C1242" s="467" t="s">
        <v>3557</v>
      </c>
      <c r="D1242" s="341"/>
      <c r="E1242" s="341" t="s">
        <v>3558</v>
      </c>
      <c r="F1242" s="206" t="s">
        <v>3559</v>
      </c>
      <c r="G1242" s="206" t="s">
        <v>3560</v>
      </c>
      <c r="H1242" s="207">
        <v>44140</v>
      </c>
      <c r="J1242" s="8" t="s">
        <v>3561</v>
      </c>
      <c r="K1242" s="302">
        <v>9135415936</v>
      </c>
      <c r="M1242" s="212"/>
      <c r="N1242" s="213"/>
      <c r="O1242" s="209"/>
    </row>
    <row r="1243" spans="1:15" x14ac:dyDescent="0.3">
      <c r="A1243" s="302" t="s">
        <v>155</v>
      </c>
      <c r="B1243" s="302" t="str">
        <f t="shared" si="8"/>
        <v>Y</v>
      </c>
      <c r="C1243" s="6" t="s">
        <v>3562</v>
      </c>
      <c r="D1243" s="327"/>
      <c r="E1243" s="341" t="s">
        <v>3563</v>
      </c>
      <c r="F1243" s="206" t="s">
        <v>3564</v>
      </c>
      <c r="G1243" s="206" t="s">
        <v>3565</v>
      </c>
      <c r="H1243" s="207">
        <v>44139</v>
      </c>
      <c r="K1243" s="302">
        <v>8987761288</v>
      </c>
      <c r="M1243" s="212"/>
      <c r="N1243" s="213"/>
      <c r="O1243" s="209"/>
    </row>
    <row r="1244" spans="1:15" x14ac:dyDescent="0.3">
      <c r="A1244" s="302" t="s">
        <v>155</v>
      </c>
      <c r="B1244" s="302" t="str">
        <f t="shared" si="8"/>
        <v>Y</v>
      </c>
      <c r="C1244" s="6" t="s">
        <v>3566</v>
      </c>
      <c r="D1244" s="327"/>
      <c r="E1244" s="341" t="s">
        <v>2621</v>
      </c>
      <c r="F1244" s="206" t="s">
        <v>3567</v>
      </c>
      <c r="G1244" s="206" t="s">
        <v>3568</v>
      </c>
      <c r="H1244" s="207">
        <v>44139</v>
      </c>
      <c r="K1244" s="302">
        <v>8789678947</v>
      </c>
      <c r="M1244" s="212"/>
      <c r="N1244" s="213"/>
      <c r="O1244" s="209"/>
    </row>
    <row r="1245" spans="1:15" x14ac:dyDescent="0.3">
      <c r="A1245" s="302" t="s">
        <v>155</v>
      </c>
      <c r="B1245" s="302" t="str">
        <f t="shared" si="8"/>
        <v>Y</v>
      </c>
      <c r="C1245" s="6" t="s">
        <v>3569</v>
      </c>
      <c r="D1245" s="327"/>
      <c r="E1245" s="341" t="s">
        <v>3570</v>
      </c>
      <c r="F1245" s="206" t="s">
        <v>3571</v>
      </c>
      <c r="G1245" s="206" t="s">
        <v>3568</v>
      </c>
      <c r="H1245" s="207">
        <v>44139</v>
      </c>
      <c r="K1245" s="302">
        <v>9234745588</v>
      </c>
      <c r="M1245" s="212"/>
      <c r="N1245" s="213"/>
      <c r="O1245" s="209"/>
    </row>
    <row r="1246" spans="1:15" x14ac:dyDescent="0.3">
      <c r="A1246" s="302" t="s">
        <v>155</v>
      </c>
      <c r="B1246" s="302" t="str">
        <f t="shared" si="8"/>
        <v>Y</v>
      </c>
      <c r="C1246" s="6" t="s">
        <v>3572</v>
      </c>
      <c r="D1246" s="327"/>
      <c r="E1246" s="341" t="s">
        <v>3573</v>
      </c>
      <c r="F1246" s="206" t="s">
        <v>3574</v>
      </c>
      <c r="G1246" s="206" t="s">
        <v>3568</v>
      </c>
      <c r="H1246" s="207">
        <v>44139</v>
      </c>
      <c r="K1246" s="302">
        <v>6200496766</v>
      </c>
      <c r="M1246" s="212"/>
      <c r="N1246" s="213"/>
      <c r="O1246" s="209"/>
    </row>
    <row r="1247" spans="1:15" x14ac:dyDescent="0.3">
      <c r="A1247" s="302" t="s">
        <v>155</v>
      </c>
      <c r="B1247" s="302" t="str">
        <f t="shared" si="8"/>
        <v>N</v>
      </c>
      <c r="C1247" s="6" t="s">
        <v>3575</v>
      </c>
      <c r="D1247" s="327"/>
      <c r="E1247" s="341" t="s">
        <v>3576</v>
      </c>
      <c r="F1247" s="206" t="s">
        <v>3577</v>
      </c>
      <c r="G1247" s="206" t="s">
        <v>3578</v>
      </c>
      <c r="H1247" s="302"/>
      <c r="J1247" s="8" t="s">
        <v>3579</v>
      </c>
      <c r="K1247" s="302">
        <v>6299638067</v>
      </c>
      <c r="M1247" s="212"/>
      <c r="N1247" s="213"/>
      <c r="O1247" s="209"/>
    </row>
    <row r="1248" spans="1:15" x14ac:dyDescent="0.3">
      <c r="A1248" s="302" t="s">
        <v>155</v>
      </c>
      <c r="B1248" s="302" t="str">
        <f t="shared" si="8"/>
        <v>Y</v>
      </c>
      <c r="C1248" s="6" t="s">
        <v>3580</v>
      </c>
      <c r="D1248" s="327"/>
      <c r="E1248" s="341" t="s">
        <v>3581</v>
      </c>
      <c r="F1248" s="206" t="s">
        <v>3582</v>
      </c>
      <c r="G1248" s="206" t="s">
        <v>3583</v>
      </c>
      <c r="H1248" s="206" t="s">
        <v>3583</v>
      </c>
      <c r="K1248" s="302">
        <v>8292019856</v>
      </c>
      <c r="M1248" s="212"/>
      <c r="N1248" s="213"/>
      <c r="O1248" s="209"/>
    </row>
    <row r="1249" spans="1:15" x14ac:dyDescent="0.3">
      <c r="A1249" s="302" t="s">
        <v>155</v>
      </c>
      <c r="B1249" s="302" t="str">
        <f t="shared" si="8"/>
        <v>Y</v>
      </c>
      <c r="C1249" s="6" t="s">
        <v>3584</v>
      </c>
      <c r="D1249" s="327"/>
      <c r="E1249" s="341" t="s">
        <v>3585</v>
      </c>
      <c r="F1249" s="206" t="s">
        <v>3586</v>
      </c>
      <c r="G1249" s="206" t="s">
        <v>3583</v>
      </c>
      <c r="H1249" s="206" t="s">
        <v>3583</v>
      </c>
      <c r="K1249" s="302">
        <v>9142587913</v>
      </c>
      <c r="M1249" s="212"/>
      <c r="N1249" s="213"/>
      <c r="O1249" s="209"/>
    </row>
    <row r="1250" spans="1:15" x14ac:dyDescent="0.3">
      <c r="A1250" s="302" t="s">
        <v>155</v>
      </c>
      <c r="B1250" s="302" t="str">
        <f t="shared" si="8"/>
        <v>Y</v>
      </c>
      <c r="C1250" s="6" t="s">
        <v>3587</v>
      </c>
      <c r="D1250" s="327"/>
      <c r="E1250" s="341" t="s">
        <v>3588</v>
      </c>
      <c r="F1250" s="206" t="s">
        <v>3589</v>
      </c>
      <c r="G1250" s="206" t="s">
        <v>3590</v>
      </c>
      <c r="H1250" s="206" t="s">
        <v>3590</v>
      </c>
      <c r="K1250" s="302">
        <v>9162525813</v>
      </c>
      <c r="M1250" s="212"/>
      <c r="N1250" s="213"/>
      <c r="O1250" s="209"/>
    </row>
    <row r="1251" spans="1:15" x14ac:dyDescent="0.3">
      <c r="A1251" s="302" t="s">
        <v>155</v>
      </c>
      <c r="B1251" s="302" t="str">
        <f t="shared" si="8"/>
        <v>Y</v>
      </c>
      <c r="C1251" s="6" t="s">
        <v>3591</v>
      </c>
      <c r="D1251" s="327"/>
      <c r="E1251" s="341" t="s">
        <v>3592</v>
      </c>
      <c r="F1251" s="206" t="s">
        <v>3593</v>
      </c>
      <c r="G1251" s="206" t="s">
        <v>3594</v>
      </c>
      <c r="H1251" s="207">
        <v>44156</v>
      </c>
      <c r="K1251" s="302">
        <v>9693779649</v>
      </c>
      <c r="M1251" s="212"/>
      <c r="N1251" s="213"/>
      <c r="O1251" s="209"/>
    </row>
    <row r="1252" spans="1:15" x14ac:dyDescent="0.3">
      <c r="A1252" s="302" t="s">
        <v>155</v>
      </c>
      <c r="B1252" s="302" t="str">
        <f t="shared" si="8"/>
        <v>Y</v>
      </c>
      <c r="C1252" s="6" t="s">
        <v>3595</v>
      </c>
      <c r="D1252" s="327"/>
      <c r="E1252" s="341" t="s">
        <v>3596</v>
      </c>
      <c r="F1252" s="206" t="s">
        <v>3597</v>
      </c>
      <c r="G1252" s="206" t="s">
        <v>3598</v>
      </c>
      <c r="H1252" s="207">
        <v>44151</v>
      </c>
      <c r="J1252" s="12" t="s">
        <v>3599</v>
      </c>
      <c r="K1252" s="302">
        <v>9709213014</v>
      </c>
      <c r="M1252" s="212"/>
      <c r="N1252" s="213"/>
      <c r="O1252" s="209"/>
    </row>
    <row r="1253" spans="1:15" x14ac:dyDescent="0.3">
      <c r="A1253" s="302" t="s">
        <v>155</v>
      </c>
      <c r="B1253" s="302" t="str">
        <f t="shared" si="8"/>
        <v>Y</v>
      </c>
      <c r="C1253" s="6" t="s">
        <v>3600</v>
      </c>
      <c r="D1253" s="327"/>
      <c r="E1253" s="341" t="s">
        <v>3601</v>
      </c>
      <c r="F1253" s="206" t="s">
        <v>3602</v>
      </c>
      <c r="G1253" s="206" t="s">
        <v>3598</v>
      </c>
      <c r="H1253" s="207">
        <v>44152</v>
      </c>
      <c r="K1253" s="302">
        <v>8271312110</v>
      </c>
      <c r="M1253" s="212"/>
      <c r="N1253" s="213"/>
      <c r="O1253" s="209"/>
    </row>
    <row r="1254" spans="1:15" x14ac:dyDescent="0.3">
      <c r="A1254" s="302" t="s">
        <v>155</v>
      </c>
      <c r="B1254" s="302" t="str">
        <f t="shared" si="8"/>
        <v>Y</v>
      </c>
      <c r="C1254" s="6" t="s">
        <v>3603</v>
      </c>
      <c r="D1254" s="327"/>
      <c r="E1254" s="341" t="s">
        <v>3604</v>
      </c>
      <c r="F1254" s="206" t="s">
        <v>3605</v>
      </c>
      <c r="G1254" s="206" t="s">
        <v>3606</v>
      </c>
      <c r="H1254" s="207">
        <v>44155</v>
      </c>
      <c r="J1254" s="12" t="s">
        <v>3607</v>
      </c>
      <c r="K1254" s="302">
        <v>7294059307</v>
      </c>
      <c r="M1254" s="212"/>
      <c r="N1254" s="213"/>
      <c r="O1254" s="209"/>
    </row>
    <row r="1255" spans="1:15" x14ac:dyDescent="0.3">
      <c r="A1255" s="302" t="s">
        <v>155</v>
      </c>
      <c r="B1255" s="302" t="str">
        <f t="shared" si="8"/>
        <v>Y</v>
      </c>
      <c r="C1255" s="6" t="s">
        <v>3608</v>
      </c>
      <c r="D1255" s="327"/>
      <c r="E1255" s="341" t="s">
        <v>3057</v>
      </c>
      <c r="F1255" s="206" t="s">
        <v>3609</v>
      </c>
      <c r="G1255" s="206" t="s">
        <v>3610</v>
      </c>
      <c r="H1255" s="206" t="s">
        <v>3611</v>
      </c>
      <c r="J1255" s="271" t="s">
        <v>3612</v>
      </c>
      <c r="K1255" s="302">
        <v>9445481793</v>
      </c>
      <c r="M1255" s="212"/>
      <c r="N1255" s="213"/>
      <c r="O1255" s="209"/>
    </row>
    <row r="1256" spans="1:15" x14ac:dyDescent="0.3">
      <c r="A1256" s="302" t="s">
        <v>155</v>
      </c>
      <c r="B1256" s="302" t="str">
        <f t="shared" si="8"/>
        <v>Y</v>
      </c>
      <c r="C1256" s="6" t="s">
        <v>3613</v>
      </c>
      <c r="D1256" s="327"/>
      <c r="E1256" s="341" t="s">
        <v>3614</v>
      </c>
      <c r="F1256" s="206" t="s">
        <v>3615</v>
      </c>
      <c r="G1256" s="206" t="s">
        <v>3611</v>
      </c>
      <c r="H1256" s="206" t="s">
        <v>3611</v>
      </c>
      <c r="K1256" s="302">
        <v>9031788707</v>
      </c>
      <c r="M1256" s="212"/>
      <c r="N1256" s="213"/>
      <c r="O1256" s="209"/>
    </row>
    <row r="1257" spans="1:15" x14ac:dyDescent="0.3">
      <c r="A1257" s="302" t="s">
        <v>155</v>
      </c>
      <c r="B1257" s="302" t="str">
        <f t="shared" si="8"/>
        <v>Y</v>
      </c>
      <c r="C1257" s="467" t="s">
        <v>3616</v>
      </c>
      <c r="D1257" s="341"/>
      <c r="E1257" s="341" t="s">
        <v>3617</v>
      </c>
      <c r="F1257" s="206" t="s">
        <v>3618</v>
      </c>
      <c r="G1257" s="206" t="s">
        <v>3619</v>
      </c>
      <c r="H1257" s="206" t="s">
        <v>3619</v>
      </c>
      <c r="K1257" s="302">
        <v>7900565561</v>
      </c>
      <c r="M1257" s="212"/>
      <c r="N1257" s="213"/>
      <c r="O1257" s="209"/>
    </row>
    <row r="1258" spans="1:15" x14ac:dyDescent="0.3">
      <c r="A1258" s="302" t="s">
        <v>155</v>
      </c>
      <c r="B1258" s="302" t="str">
        <f t="shared" si="8"/>
        <v>Y</v>
      </c>
      <c r="C1258" s="6" t="s">
        <v>3620</v>
      </c>
      <c r="D1258" s="327"/>
      <c r="E1258" s="341" t="s">
        <v>2621</v>
      </c>
      <c r="F1258" s="206" t="s">
        <v>3621</v>
      </c>
      <c r="G1258" s="206" t="s">
        <v>3622</v>
      </c>
      <c r="H1258" s="207">
        <v>44162</v>
      </c>
      <c r="J1258" s="8" t="s">
        <v>3623</v>
      </c>
      <c r="K1258" s="302">
        <v>9031907573</v>
      </c>
      <c r="M1258" s="212"/>
      <c r="N1258" s="213"/>
      <c r="O1258" s="209"/>
    </row>
    <row r="1259" spans="1:15" x14ac:dyDescent="0.3">
      <c r="A1259" s="302" t="s">
        <v>155</v>
      </c>
      <c r="B1259" s="302" t="str">
        <f t="shared" si="8"/>
        <v>Y</v>
      </c>
      <c r="C1259" s="6" t="s">
        <v>3624</v>
      </c>
      <c r="D1259" s="327"/>
      <c r="E1259" s="341" t="s">
        <v>3625</v>
      </c>
      <c r="F1259" s="206" t="s">
        <v>3626</v>
      </c>
      <c r="G1259" s="206" t="s">
        <v>3627</v>
      </c>
      <c r="H1259" s="207">
        <v>44164</v>
      </c>
      <c r="J1259" s="8" t="s">
        <v>3443</v>
      </c>
      <c r="K1259" s="302">
        <v>8969400181</v>
      </c>
      <c r="M1259" s="212"/>
      <c r="N1259" s="213"/>
      <c r="O1259" s="209"/>
    </row>
    <row r="1260" spans="1:15" x14ac:dyDescent="0.3">
      <c r="A1260" s="302" t="s">
        <v>155</v>
      </c>
      <c r="B1260" s="302" t="str">
        <f t="shared" si="8"/>
        <v>Y</v>
      </c>
      <c r="C1260" s="6" t="s">
        <v>3628</v>
      </c>
      <c r="D1260" s="327"/>
      <c r="E1260" s="341" t="s">
        <v>2250</v>
      </c>
      <c r="F1260" s="206" t="s">
        <v>3471</v>
      </c>
      <c r="G1260" s="206" t="s">
        <v>3627</v>
      </c>
      <c r="H1260" s="207">
        <v>44164</v>
      </c>
      <c r="J1260" s="8" t="s">
        <v>3443</v>
      </c>
      <c r="K1260" s="302">
        <v>7255854497</v>
      </c>
      <c r="M1260" s="212"/>
      <c r="N1260" s="213"/>
      <c r="O1260" s="209"/>
    </row>
    <row r="1261" spans="1:15" x14ac:dyDescent="0.3">
      <c r="A1261" s="302" t="s">
        <v>155</v>
      </c>
      <c r="B1261" s="302" t="str">
        <f t="shared" si="8"/>
        <v>Y</v>
      </c>
      <c r="C1261" s="6" t="s">
        <v>3629</v>
      </c>
      <c r="D1261" s="327"/>
      <c r="E1261" s="341" t="s">
        <v>3630</v>
      </c>
      <c r="F1261" s="206" t="s">
        <v>3631</v>
      </c>
      <c r="G1261" s="206" t="s">
        <v>3632</v>
      </c>
      <c r="H1261" s="207">
        <v>44165</v>
      </c>
      <c r="J1261" s="8" t="s">
        <v>3443</v>
      </c>
      <c r="K1261" s="302">
        <v>7061735613</v>
      </c>
      <c r="M1261" s="212"/>
      <c r="N1261" s="213"/>
      <c r="O1261" s="209"/>
    </row>
    <row r="1262" spans="1:15" x14ac:dyDescent="0.3">
      <c r="A1262" s="302" t="s">
        <v>155</v>
      </c>
      <c r="B1262" s="302" t="str">
        <f t="shared" si="8"/>
        <v>Y</v>
      </c>
      <c r="C1262" s="6" t="s">
        <v>3633</v>
      </c>
      <c r="D1262" s="327"/>
      <c r="E1262" s="341" t="s">
        <v>3634</v>
      </c>
      <c r="F1262" s="206" t="s">
        <v>3635</v>
      </c>
      <c r="G1262" s="206" t="s">
        <v>3636</v>
      </c>
      <c r="H1262" s="206" t="s">
        <v>3636</v>
      </c>
      <c r="K1262" s="302">
        <v>6205266370</v>
      </c>
      <c r="M1262" s="212"/>
      <c r="N1262" s="213"/>
      <c r="O1262" s="209"/>
    </row>
    <row r="1263" spans="1:15" x14ac:dyDescent="0.3">
      <c r="A1263" s="302" t="s">
        <v>155</v>
      </c>
      <c r="B1263" s="302" t="str">
        <f t="shared" si="8"/>
        <v>Y</v>
      </c>
      <c r="C1263" s="6" t="s">
        <v>3637</v>
      </c>
      <c r="D1263" s="327"/>
      <c r="E1263" s="341" t="s">
        <v>3638</v>
      </c>
      <c r="F1263" s="206" t="s">
        <v>3639</v>
      </c>
      <c r="G1263" s="206" t="s">
        <v>3640</v>
      </c>
      <c r="H1263" s="206" t="s">
        <v>3641</v>
      </c>
      <c r="K1263" s="302">
        <v>6202930603</v>
      </c>
      <c r="M1263" s="212"/>
      <c r="N1263" s="213"/>
      <c r="O1263" s="209"/>
    </row>
    <row r="1264" spans="1:15" x14ac:dyDescent="0.3">
      <c r="A1264" s="302" t="s">
        <v>155</v>
      </c>
      <c r="B1264" s="302" t="str">
        <f t="shared" si="8"/>
        <v>N</v>
      </c>
      <c r="C1264" s="6" t="s">
        <v>3642</v>
      </c>
      <c r="D1264" s="327"/>
      <c r="E1264" s="341" t="s">
        <v>3643</v>
      </c>
      <c r="F1264" s="206" t="s">
        <v>3644</v>
      </c>
      <c r="G1264" s="206" t="s">
        <v>3641</v>
      </c>
      <c r="H1264" s="302"/>
      <c r="J1264" s="8" t="s">
        <v>3443</v>
      </c>
      <c r="K1264" s="302">
        <v>8789251907</v>
      </c>
      <c r="M1264" s="212"/>
      <c r="N1264" s="213"/>
      <c r="O1264" s="209"/>
    </row>
    <row r="1265" spans="1:15" x14ac:dyDescent="0.3">
      <c r="A1265" s="302" t="s">
        <v>155</v>
      </c>
      <c r="B1265" s="302" t="str">
        <f t="shared" si="8"/>
        <v>Y</v>
      </c>
      <c r="C1265" s="6" t="s">
        <v>3645</v>
      </c>
      <c r="D1265" s="327"/>
      <c r="E1265" s="341" t="s">
        <v>3646</v>
      </c>
      <c r="F1265" s="206" t="s">
        <v>2073</v>
      </c>
      <c r="G1265" s="206" t="s">
        <v>3641</v>
      </c>
      <c r="H1265" s="206" t="s">
        <v>3641</v>
      </c>
      <c r="J1265" s="8" t="s">
        <v>3443</v>
      </c>
      <c r="K1265" s="302">
        <v>7061673571</v>
      </c>
      <c r="M1265" s="212"/>
      <c r="N1265" s="213"/>
      <c r="O1265" s="209"/>
    </row>
    <row r="1266" spans="1:15" x14ac:dyDescent="0.3">
      <c r="A1266" s="302" t="s">
        <v>155</v>
      </c>
      <c r="B1266" s="302" t="str">
        <f t="shared" si="8"/>
        <v>Y</v>
      </c>
      <c r="C1266" s="6" t="s">
        <v>3647</v>
      </c>
      <c r="D1266" s="327"/>
      <c r="E1266" s="341" t="s">
        <v>3648</v>
      </c>
      <c r="F1266" s="206" t="s">
        <v>3649</v>
      </c>
      <c r="G1266" s="206" t="s">
        <v>3650</v>
      </c>
      <c r="H1266" s="207">
        <v>44170</v>
      </c>
      <c r="J1266" s="8" t="s">
        <v>3651</v>
      </c>
      <c r="K1266" s="302">
        <v>9931115958</v>
      </c>
      <c r="M1266" s="212"/>
      <c r="N1266" s="213"/>
      <c r="O1266" s="209"/>
    </row>
    <row r="1267" spans="1:15" x14ac:dyDescent="0.3">
      <c r="A1267" s="302" t="s">
        <v>155</v>
      </c>
      <c r="B1267" s="302" t="str">
        <f t="shared" si="8"/>
        <v>Y</v>
      </c>
      <c r="C1267" s="6" t="s">
        <v>3652</v>
      </c>
      <c r="D1267" s="327"/>
      <c r="E1267" s="341" t="s">
        <v>3653</v>
      </c>
      <c r="F1267" s="206" t="s">
        <v>3654</v>
      </c>
      <c r="G1267" s="206" t="s">
        <v>3650</v>
      </c>
      <c r="H1267" s="207">
        <v>44170</v>
      </c>
      <c r="K1267" s="302">
        <v>9334007810</v>
      </c>
      <c r="M1267" s="212"/>
      <c r="N1267" s="213"/>
      <c r="O1267" s="209"/>
    </row>
    <row r="1268" spans="1:15" x14ac:dyDescent="0.3">
      <c r="A1268" s="302" t="s">
        <v>155</v>
      </c>
      <c r="B1268" s="302" t="str">
        <f t="shared" si="8"/>
        <v>Y</v>
      </c>
      <c r="C1268" s="6" t="s">
        <v>3655</v>
      </c>
      <c r="D1268" s="327"/>
      <c r="E1268" s="341" t="s">
        <v>3656</v>
      </c>
      <c r="F1268" s="206" t="s">
        <v>3657</v>
      </c>
      <c r="G1268" s="206" t="s">
        <v>3658</v>
      </c>
      <c r="H1268" s="207">
        <v>44172</v>
      </c>
      <c r="J1268" s="8" t="s">
        <v>3659</v>
      </c>
      <c r="K1268" s="302">
        <v>7979771584</v>
      </c>
      <c r="M1268" s="212"/>
      <c r="N1268" s="213"/>
      <c r="O1268" s="209"/>
    </row>
    <row r="1269" spans="1:15" x14ac:dyDescent="0.3">
      <c r="A1269" s="302" t="s">
        <v>155</v>
      </c>
      <c r="B1269" s="302" t="str">
        <f t="shared" si="8"/>
        <v>Y</v>
      </c>
      <c r="C1269" s="6" t="s">
        <v>3660</v>
      </c>
      <c r="D1269" s="327"/>
      <c r="E1269" s="341" t="s">
        <v>3661</v>
      </c>
      <c r="F1269" s="206" t="s">
        <v>3662</v>
      </c>
      <c r="G1269" s="206" t="s">
        <v>3663</v>
      </c>
      <c r="H1269" s="206" t="s">
        <v>3663</v>
      </c>
      <c r="J1269" s="12" t="s">
        <v>3664</v>
      </c>
      <c r="K1269" s="302">
        <v>8797058889</v>
      </c>
      <c r="M1269" s="212"/>
      <c r="N1269" s="213"/>
      <c r="O1269" s="209"/>
    </row>
    <row r="1270" spans="1:15" x14ac:dyDescent="0.3">
      <c r="A1270" s="302" t="s">
        <v>155</v>
      </c>
      <c r="B1270" s="302" t="str">
        <f t="shared" si="8"/>
        <v>Y</v>
      </c>
      <c r="C1270" s="455" t="s">
        <v>3665</v>
      </c>
      <c r="D1270" s="333"/>
      <c r="E1270" s="341" t="s">
        <v>3666</v>
      </c>
      <c r="F1270" s="206" t="s">
        <v>3667</v>
      </c>
      <c r="G1270" s="206" t="s">
        <v>3668</v>
      </c>
      <c r="H1270" s="207">
        <v>44175</v>
      </c>
      <c r="J1270" s="8" t="s">
        <v>3669</v>
      </c>
      <c r="K1270" s="302">
        <v>6201458575</v>
      </c>
      <c r="M1270" s="212"/>
      <c r="N1270" s="213"/>
      <c r="O1270" s="209"/>
    </row>
    <row r="1271" spans="1:15" x14ac:dyDescent="0.3">
      <c r="A1271" s="302" t="s">
        <v>155</v>
      </c>
      <c r="B1271" s="302" t="str">
        <f t="shared" si="8"/>
        <v>Y</v>
      </c>
      <c r="C1271" s="6" t="s">
        <v>3670</v>
      </c>
      <c r="D1271" s="327"/>
      <c r="E1271" s="341" t="s">
        <v>3671</v>
      </c>
      <c r="F1271" s="206" t="s">
        <v>3672</v>
      </c>
      <c r="G1271" s="206" t="s">
        <v>3668</v>
      </c>
      <c r="H1271" s="207">
        <v>44175</v>
      </c>
      <c r="J1271" s="8" t="s">
        <v>3443</v>
      </c>
      <c r="K1271" s="302">
        <v>8603102217</v>
      </c>
      <c r="M1271" s="212"/>
      <c r="N1271" s="213"/>
      <c r="O1271" s="209"/>
    </row>
    <row r="1272" spans="1:15" x14ac:dyDescent="0.3">
      <c r="A1272" s="302" t="s">
        <v>155</v>
      </c>
      <c r="B1272" s="302" t="str">
        <f t="shared" si="8"/>
        <v>Y</v>
      </c>
      <c r="C1272" s="6" t="s">
        <v>3673</v>
      </c>
      <c r="D1272" s="327"/>
      <c r="E1272" s="341" t="s">
        <v>3674</v>
      </c>
      <c r="F1272" s="206" t="s">
        <v>3675</v>
      </c>
      <c r="G1272" s="206" t="s">
        <v>3668</v>
      </c>
      <c r="H1272" s="207">
        <v>44175</v>
      </c>
      <c r="J1272" s="8" t="s">
        <v>3676</v>
      </c>
      <c r="K1272" s="302">
        <v>7632053401</v>
      </c>
      <c r="M1272" s="212"/>
      <c r="N1272" s="213"/>
      <c r="O1272" s="209"/>
    </row>
    <row r="1273" spans="1:15" x14ac:dyDescent="0.3">
      <c r="A1273" s="302" t="s">
        <v>155</v>
      </c>
      <c r="B1273" s="302" t="str">
        <f t="shared" si="8"/>
        <v>Y</v>
      </c>
      <c r="C1273" s="6" t="s">
        <v>3677</v>
      </c>
      <c r="D1273" s="327"/>
      <c r="E1273" s="341" t="s">
        <v>3678</v>
      </c>
      <c r="F1273" s="206" t="s">
        <v>3679</v>
      </c>
      <c r="G1273" s="206" t="s">
        <v>3680</v>
      </c>
      <c r="H1273" s="206" t="s">
        <v>3680</v>
      </c>
      <c r="J1273" s="271" t="s">
        <v>3443</v>
      </c>
      <c r="K1273" s="302">
        <v>8888662368</v>
      </c>
      <c r="M1273" s="212"/>
      <c r="N1273" s="213"/>
      <c r="O1273" s="209"/>
    </row>
    <row r="1274" spans="1:15" x14ac:dyDescent="0.3">
      <c r="A1274" s="302" t="s">
        <v>155</v>
      </c>
      <c r="B1274" s="302" t="str">
        <f t="shared" si="8"/>
        <v>Y</v>
      </c>
      <c r="C1274" s="6" t="s">
        <v>3681</v>
      </c>
      <c r="D1274" s="327"/>
      <c r="E1274" s="341" t="s">
        <v>3682</v>
      </c>
      <c r="F1274" s="206" t="s">
        <v>3683</v>
      </c>
      <c r="G1274" s="206" t="s">
        <v>3680</v>
      </c>
      <c r="H1274" s="206" t="s">
        <v>3680</v>
      </c>
      <c r="J1274" s="271" t="s">
        <v>3443</v>
      </c>
      <c r="K1274" s="302">
        <v>7038314863</v>
      </c>
      <c r="M1274" s="212"/>
      <c r="N1274" s="213"/>
      <c r="O1274" s="209"/>
    </row>
    <row r="1275" spans="1:15" x14ac:dyDescent="0.3">
      <c r="A1275" s="302" t="s">
        <v>155</v>
      </c>
      <c r="B1275" s="302" t="str">
        <f t="shared" si="8"/>
        <v>Y</v>
      </c>
      <c r="C1275" s="6" t="s">
        <v>3684</v>
      </c>
      <c r="D1275" s="327"/>
      <c r="E1275" s="341" t="s">
        <v>3685</v>
      </c>
      <c r="F1275" s="206" t="s">
        <v>2828</v>
      </c>
      <c r="G1275" s="206" t="s">
        <v>3680</v>
      </c>
      <c r="H1275" s="206" t="s">
        <v>3680</v>
      </c>
      <c r="J1275" s="271" t="s">
        <v>3443</v>
      </c>
      <c r="K1275" s="302">
        <v>7542926115</v>
      </c>
      <c r="M1275" s="212"/>
      <c r="N1275" s="213"/>
      <c r="O1275" s="209"/>
    </row>
    <row r="1276" spans="1:15" x14ac:dyDescent="0.3">
      <c r="A1276" s="302" t="s">
        <v>155</v>
      </c>
      <c r="B1276" s="302" t="str">
        <f t="shared" si="8"/>
        <v>Y</v>
      </c>
      <c r="C1276" s="6" t="s">
        <v>3686</v>
      </c>
      <c r="D1276" s="327"/>
      <c r="E1276" s="341" t="s">
        <v>3687</v>
      </c>
      <c r="F1276" s="206" t="s">
        <v>3688</v>
      </c>
      <c r="G1276" s="206" t="s">
        <v>3689</v>
      </c>
      <c r="H1276" s="206" t="s">
        <v>3690</v>
      </c>
      <c r="J1276" s="271" t="s">
        <v>3691</v>
      </c>
      <c r="K1276" s="302">
        <v>8210463626</v>
      </c>
      <c r="M1276" s="212"/>
      <c r="N1276" s="213"/>
      <c r="O1276" s="209"/>
    </row>
    <row r="1277" spans="1:15" x14ac:dyDescent="0.3">
      <c r="A1277" s="302" t="s">
        <v>155</v>
      </c>
      <c r="B1277" s="302" t="str">
        <f t="shared" si="8"/>
        <v>Y</v>
      </c>
      <c r="C1277" s="6" t="s">
        <v>3692</v>
      </c>
      <c r="D1277" s="327"/>
      <c r="E1277" s="341" t="s">
        <v>3693</v>
      </c>
      <c r="F1277" s="206" t="s">
        <v>3694</v>
      </c>
      <c r="G1277" s="206" t="s">
        <v>3695</v>
      </c>
      <c r="H1277" s="206" t="s">
        <v>3690</v>
      </c>
      <c r="J1277" s="8" t="s">
        <v>3443</v>
      </c>
      <c r="K1277" s="302">
        <v>9234849548</v>
      </c>
      <c r="M1277" s="212"/>
      <c r="N1277" s="213"/>
      <c r="O1277" s="209"/>
    </row>
    <row r="1278" spans="1:15" x14ac:dyDescent="0.3">
      <c r="A1278" s="302" t="s">
        <v>155</v>
      </c>
      <c r="B1278" s="302" t="str">
        <f t="shared" si="8"/>
        <v>Y</v>
      </c>
      <c r="C1278" s="469" t="s">
        <v>3696</v>
      </c>
      <c r="D1278" s="351"/>
      <c r="E1278" s="341" t="s">
        <v>3697</v>
      </c>
      <c r="F1278" s="206" t="s">
        <v>3698</v>
      </c>
      <c r="G1278" s="206" t="s">
        <v>3695</v>
      </c>
      <c r="H1278" s="206" t="s">
        <v>3695</v>
      </c>
      <c r="J1278" s="8" t="s">
        <v>3443</v>
      </c>
      <c r="K1278" s="302">
        <v>7004512957</v>
      </c>
      <c r="M1278" s="212"/>
      <c r="N1278" s="213"/>
      <c r="O1278" s="209"/>
    </row>
    <row r="1279" spans="1:15" x14ac:dyDescent="0.3">
      <c r="A1279" s="302" t="s">
        <v>155</v>
      </c>
      <c r="B1279" s="302" t="str">
        <f t="shared" si="8"/>
        <v>Y</v>
      </c>
      <c r="C1279" s="6" t="s">
        <v>3699</v>
      </c>
      <c r="D1279" s="327"/>
      <c r="E1279" s="341" t="s">
        <v>3700</v>
      </c>
      <c r="F1279" s="206" t="s">
        <v>3701</v>
      </c>
      <c r="G1279" s="206" t="s">
        <v>3690</v>
      </c>
      <c r="H1279" s="206" t="s">
        <v>3690</v>
      </c>
      <c r="J1279" s="8" t="s">
        <v>3702</v>
      </c>
      <c r="K1279" s="302">
        <v>8755921013</v>
      </c>
      <c r="M1279" s="212"/>
      <c r="N1279" s="213"/>
      <c r="O1279" s="209"/>
    </row>
    <row r="1280" spans="1:15" x14ac:dyDescent="0.3">
      <c r="A1280" s="302" t="s">
        <v>155</v>
      </c>
      <c r="B1280" s="302" t="str">
        <f t="shared" si="8"/>
        <v>Y</v>
      </c>
      <c r="C1280" s="455" t="s">
        <v>3703</v>
      </c>
      <c r="D1280" s="333"/>
      <c r="E1280" s="341" t="s">
        <v>3704</v>
      </c>
      <c r="F1280" s="206" t="s">
        <v>3705</v>
      </c>
      <c r="G1280" s="206" t="s">
        <v>3690</v>
      </c>
      <c r="H1280" s="206" t="s">
        <v>3690</v>
      </c>
      <c r="K1280" s="302">
        <v>9234681883</v>
      </c>
      <c r="M1280" s="212"/>
      <c r="N1280" s="213"/>
      <c r="O1280" s="209"/>
    </row>
    <row r="1281" spans="1:15" x14ac:dyDescent="0.3">
      <c r="A1281" s="302" t="s">
        <v>155</v>
      </c>
      <c r="B1281" s="302" t="str">
        <f t="shared" si="8"/>
        <v>Y</v>
      </c>
      <c r="C1281" s="6" t="s">
        <v>3706</v>
      </c>
      <c r="D1281" s="327"/>
      <c r="E1281" s="341" t="s">
        <v>3707</v>
      </c>
      <c r="F1281" s="206" t="s">
        <v>3708</v>
      </c>
      <c r="G1281" s="206" t="s">
        <v>3709</v>
      </c>
      <c r="H1281" s="207">
        <v>44182</v>
      </c>
      <c r="J1281" s="12" t="s">
        <v>3710</v>
      </c>
      <c r="K1281" s="302">
        <v>8789081302</v>
      </c>
      <c r="M1281" s="212"/>
      <c r="N1281" s="213"/>
      <c r="O1281" s="209"/>
    </row>
    <row r="1282" spans="1:15" x14ac:dyDescent="0.3">
      <c r="A1282" s="302" t="s">
        <v>155</v>
      </c>
      <c r="B1282" s="302" t="str">
        <f t="shared" si="8"/>
        <v>Y</v>
      </c>
      <c r="C1282" s="6" t="s">
        <v>3711</v>
      </c>
      <c r="D1282" s="327"/>
      <c r="E1282" s="341" t="s">
        <v>3712</v>
      </c>
      <c r="F1282" s="206" t="s">
        <v>3713</v>
      </c>
      <c r="G1282" s="206" t="s">
        <v>3714</v>
      </c>
      <c r="H1282" s="206" t="s">
        <v>3714</v>
      </c>
      <c r="J1282" s="8" t="s">
        <v>3443</v>
      </c>
      <c r="K1282" s="302">
        <v>9110089485</v>
      </c>
      <c r="M1282" s="212"/>
      <c r="N1282" s="213"/>
      <c r="O1282" s="209"/>
    </row>
    <row r="1283" spans="1:15" x14ac:dyDescent="0.3">
      <c r="A1283" s="302" t="s">
        <v>155</v>
      </c>
      <c r="B1283" s="302" t="str">
        <f t="shared" si="8"/>
        <v>Y</v>
      </c>
      <c r="C1283" s="6" t="s">
        <v>3715</v>
      </c>
      <c r="D1283" s="327"/>
      <c r="E1283" s="341" t="s">
        <v>3716</v>
      </c>
      <c r="F1283" s="206" t="s">
        <v>3717</v>
      </c>
      <c r="G1283" s="206" t="s">
        <v>3714</v>
      </c>
      <c r="H1283" s="206" t="s">
        <v>3714</v>
      </c>
      <c r="J1283" s="8" t="s">
        <v>3443</v>
      </c>
      <c r="K1283" s="302">
        <v>7488205027</v>
      </c>
      <c r="M1283" s="212"/>
      <c r="N1283" s="213"/>
      <c r="O1283" s="209"/>
    </row>
    <row r="1284" spans="1:15" x14ac:dyDescent="0.3">
      <c r="A1284" s="302" t="s">
        <v>155</v>
      </c>
      <c r="B1284" s="302" t="str">
        <f t="shared" si="8"/>
        <v>Y</v>
      </c>
      <c r="C1284" s="6" t="s">
        <v>3718</v>
      </c>
      <c r="D1284" s="327"/>
      <c r="E1284" s="341" t="s">
        <v>3719</v>
      </c>
      <c r="F1284" s="206" t="s">
        <v>3720</v>
      </c>
      <c r="G1284" s="206" t="s">
        <v>3714</v>
      </c>
      <c r="H1284" s="206" t="s">
        <v>3714</v>
      </c>
      <c r="J1284" s="8" t="s">
        <v>3443</v>
      </c>
      <c r="K1284" s="302">
        <v>9279058485</v>
      </c>
      <c r="M1284" s="212"/>
      <c r="N1284" s="213"/>
      <c r="O1284" s="209"/>
    </row>
    <row r="1285" spans="1:15" x14ac:dyDescent="0.3">
      <c r="A1285" s="302" t="s">
        <v>155</v>
      </c>
      <c r="B1285" s="302" t="str">
        <f t="shared" si="8"/>
        <v>Y</v>
      </c>
      <c r="C1285" s="6" t="s">
        <v>3721</v>
      </c>
      <c r="D1285" s="327"/>
      <c r="E1285" s="341" t="s">
        <v>3722</v>
      </c>
      <c r="F1285" s="206" t="s">
        <v>3723</v>
      </c>
      <c r="G1285" s="206" t="s">
        <v>3724</v>
      </c>
      <c r="H1285" s="206" t="s">
        <v>3725</v>
      </c>
      <c r="K1285" s="302">
        <v>6202144394</v>
      </c>
      <c r="M1285" s="212"/>
      <c r="N1285" s="213"/>
      <c r="O1285" s="209"/>
    </row>
    <row r="1286" spans="1:15" x14ac:dyDescent="0.3">
      <c r="A1286" s="302" t="s">
        <v>155</v>
      </c>
      <c r="B1286" s="302" t="str">
        <f t="shared" si="8"/>
        <v>Y</v>
      </c>
      <c r="C1286" s="6" t="s">
        <v>3726</v>
      </c>
      <c r="D1286" s="327"/>
      <c r="E1286" s="341" t="s">
        <v>3727</v>
      </c>
      <c r="F1286" s="206" t="s">
        <v>3728</v>
      </c>
      <c r="G1286" s="206" t="s">
        <v>3729</v>
      </c>
      <c r="H1286" s="207">
        <v>44191</v>
      </c>
      <c r="J1286" s="8" t="s">
        <v>3730</v>
      </c>
      <c r="K1286" s="302">
        <v>7209249819</v>
      </c>
      <c r="M1286" s="212"/>
      <c r="N1286" s="213"/>
      <c r="O1286" s="209"/>
    </row>
    <row r="1287" spans="1:15" x14ac:dyDescent="0.3">
      <c r="A1287" s="302" t="s">
        <v>155</v>
      </c>
      <c r="B1287" s="302" t="str">
        <f t="shared" si="8"/>
        <v>Y</v>
      </c>
      <c r="C1287" s="6" t="s">
        <v>3731</v>
      </c>
      <c r="D1287" s="327"/>
      <c r="E1287" s="341" t="s">
        <v>3732</v>
      </c>
      <c r="F1287" s="206" t="s">
        <v>3733</v>
      </c>
      <c r="G1287" s="206" t="s">
        <v>3734</v>
      </c>
      <c r="H1287" s="207">
        <v>44191</v>
      </c>
      <c r="J1287" s="2" t="s">
        <v>3735</v>
      </c>
      <c r="K1287" s="302">
        <v>9523935388</v>
      </c>
      <c r="M1287" s="212"/>
      <c r="N1287" s="213"/>
      <c r="O1287" s="209"/>
    </row>
    <row r="1288" spans="1:15" x14ac:dyDescent="0.3">
      <c r="A1288" s="302" t="s">
        <v>155</v>
      </c>
      <c r="B1288" s="302" t="str">
        <f t="shared" si="8"/>
        <v>Y</v>
      </c>
      <c r="C1288" s="6" t="s">
        <v>3736</v>
      </c>
      <c r="D1288" s="327"/>
      <c r="E1288" s="341" t="s">
        <v>3737</v>
      </c>
      <c r="F1288" s="206" t="s">
        <v>3738</v>
      </c>
      <c r="G1288" s="206" t="s">
        <v>3734</v>
      </c>
      <c r="H1288" s="207">
        <v>44192</v>
      </c>
      <c r="J1288" s="12" t="s">
        <v>3739</v>
      </c>
      <c r="K1288" s="302">
        <v>8210301844</v>
      </c>
      <c r="M1288" s="212"/>
      <c r="N1288" s="213"/>
      <c r="O1288" s="209"/>
    </row>
    <row r="1289" spans="1:15" x14ac:dyDescent="0.3">
      <c r="A1289" s="302" t="s">
        <v>155</v>
      </c>
      <c r="B1289" s="302" t="str">
        <f t="shared" si="8"/>
        <v>Y</v>
      </c>
      <c r="C1289" s="469" t="s">
        <v>3740</v>
      </c>
      <c r="D1289" s="351"/>
      <c r="E1289" s="341" t="s">
        <v>3741</v>
      </c>
      <c r="F1289" s="206" t="s">
        <v>3742</v>
      </c>
      <c r="G1289" s="206" t="s">
        <v>3743</v>
      </c>
      <c r="H1289" s="207">
        <v>44192</v>
      </c>
      <c r="J1289" s="12" t="s">
        <v>3744</v>
      </c>
      <c r="K1289" s="302">
        <v>7667721237</v>
      </c>
      <c r="M1289" s="212"/>
      <c r="N1289" s="213"/>
      <c r="O1289" s="209"/>
    </row>
    <row r="1290" spans="1:15" x14ac:dyDescent="0.3">
      <c r="A1290" s="302" t="s">
        <v>155</v>
      </c>
      <c r="B1290" s="302" t="str">
        <f t="shared" si="8"/>
        <v>Y</v>
      </c>
      <c r="C1290" s="6" t="s">
        <v>3745</v>
      </c>
      <c r="D1290" s="327"/>
      <c r="E1290" s="341" t="s">
        <v>3746</v>
      </c>
      <c r="F1290" s="206" t="s">
        <v>3747</v>
      </c>
      <c r="G1290" s="206" t="s">
        <v>3748</v>
      </c>
      <c r="H1290" s="207">
        <v>44193</v>
      </c>
      <c r="J1290" s="8" t="s">
        <v>3749</v>
      </c>
      <c r="K1290" s="302">
        <v>7652081910</v>
      </c>
      <c r="M1290" s="212"/>
      <c r="N1290" s="213"/>
      <c r="O1290" s="209"/>
    </row>
    <row r="1291" spans="1:15" x14ac:dyDescent="0.3">
      <c r="A1291" s="302" t="s">
        <v>155</v>
      </c>
      <c r="B1291" s="302" t="str">
        <f t="shared" si="8"/>
        <v>Y</v>
      </c>
      <c r="C1291" s="6" t="s">
        <v>3750</v>
      </c>
      <c r="D1291" s="327"/>
      <c r="E1291" s="341" t="s">
        <v>3751</v>
      </c>
      <c r="F1291" s="206" t="s">
        <v>3752</v>
      </c>
      <c r="G1291" s="206" t="s">
        <v>3748</v>
      </c>
      <c r="H1291" s="207">
        <v>44194</v>
      </c>
      <c r="J1291" s="8" t="s">
        <v>3749</v>
      </c>
      <c r="K1291" s="302">
        <v>7652081910</v>
      </c>
      <c r="M1291" s="212"/>
      <c r="N1291" s="213"/>
      <c r="O1291" s="209"/>
    </row>
    <row r="1292" spans="1:15" x14ac:dyDescent="0.3">
      <c r="A1292" s="302" t="s">
        <v>155</v>
      </c>
      <c r="B1292" s="302" t="str">
        <f t="shared" si="8"/>
        <v>Y</v>
      </c>
      <c r="C1292" s="6" t="s">
        <v>3753</v>
      </c>
      <c r="D1292" s="327"/>
      <c r="E1292" s="341" t="s">
        <v>3754</v>
      </c>
      <c r="F1292" s="206" t="s">
        <v>3755</v>
      </c>
      <c r="G1292" s="206" t="s">
        <v>3756</v>
      </c>
      <c r="H1292" s="207">
        <v>44195</v>
      </c>
      <c r="K1292" s="302">
        <v>9113370772</v>
      </c>
      <c r="M1292" s="212"/>
      <c r="N1292" s="213"/>
      <c r="O1292" s="209"/>
    </row>
    <row r="1293" spans="1:15" x14ac:dyDescent="0.3">
      <c r="A1293" s="302" t="s">
        <v>155</v>
      </c>
      <c r="B1293" s="302" t="str">
        <f t="shared" si="8"/>
        <v>Y</v>
      </c>
      <c r="C1293" s="6" t="s">
        <v>3757</v>
      </c>
      <c r="D1293" s="327"/>
      <c r="E1293" s="341" t="s">
        <v>3758</v>
      </c>
      <c r="F1293" s="206" t="s">
        <v>3759</v>
      </c>
      <c r="G1293" s="206" t="s">
        <v>3756</v>
      </c>
      <c r="H1293" s="207">
        <v>44195</v>
      </c>
      <c r="K1293" s="302">
        <v>9065979878</v>
      </c>
      <c r="M1293" s="212"/>
      <c r="N1293" s="213"/>
      <c r="O1293" s="209"/>
    </row>
    <row r="1294" spans="1:15" x14ac:dyDescent="0.3">
      <c r="A1294" s="302" t="s">
        <v>155</v>
      </c>
      <c r="B1294" s="302" t="str">
        <f t="shared" si="8"/>
        <v>Y</v>
      </c>
      <c r="C1294" s="6" t="s">
        <v>3760</v>
      </c>
      <c r="D1294" s="327"/>
      <c r="E1294" s="341" t="s">
        <v>3761</v>
      </c>
      <c r="F1294" s="206" t="s">
        <v>3762</v>
      </c>
      <c r="G1294" s="207">
        <v>44195</v>
      </c>
      <c r="H1294" s="207">
        <v>44195</v>
      </c>
      <c r="K1294" s="302">
        <v>9852992509</v>
      </c>
      <c r="M1294" s="212"/>
      <c r="N1294" s="213"/>
      <c r="O1294" s="209"/>
    </row>
    <row r="1295" spans="1:15" x14ac:dyDescent="0.3">
      <c r="A1295" s="302" t="s">
        <v>155</v>
      </c>
      <c r="B1295" s="302" t="str">
        <f t="shared" si="8"/>
        <v>N</v>
      </c>
      <c r="C1295" s="455" t="s">
        <v>3763</v>
      </c>
      <c r="D1295" s="333"/>
      <c r="E1295" s="341" t="s">
        <v>3764</v>
      </c>
      <c r="F1295" s="206" t="s">
        <v>3765</v>
      </c>
      <c r="G1295" s="206" t="s">
        <v>3766</v>
      </c>
      <c r="H1295" s="302"/>
      <c r="K1295" s="302">
        <v>9886929427</v>
      </c>
      <c r="M1295" s="212"/>
      <c r="N1295" s="213"/>
      <c r="O1295" s="209"/>
    </row>
    <row r="1296" spans="1:15" x14ac:dyDescent="0.3">
      <c r="A1296" s="302" t="s">
        <v>155</v>
      </c>
      <c r="B1296" s="302" t="str">
        <f t="shared" si="8"/>
        <v>Y</v>
      </c>
      <c r="C1296" s="6" t="s">
        <v>3767</v>
      </c>
      <c r="D1296" s="327"/>
      <c r="E1296" s="341" t="s">
        <v>3768</v>
      </c>
      <c r="F1296" s="206" t="s">
        <v>3769</v>
      </c>
      <c r="G1296" s="206" t="s">
        <v>3770</v>
      </c>
      <c r="H1296" s="207">
        <v>44199</v>
      </c>
      <c r="J1296" s="12" t="s">
        <v>3771</v>
      </c>
      <c r="K1296" s="302">
        <v>9031765880</v>
      </c>
      <c r="M1296" s="212"/>
      <c r="N1296" s="213"/>
      <c r="O1296" s="209"/>
    </row>
    <row r="1297" spans="1:15" x14ac:dyDescent="0.3">
      <c r="A1297" s="302" t="s">
        <v>155</v>
      </c>
      <c r="B1297" s="302" t="str">
        <f t="shared" si="8"/>
        <v>Y</v>
      </c>
      <c r="C1297" s="6" t="s">
        <v>3772</v>
      </c>
      <c r="D1297" s="327"/>
      <c r="E1297" s="341" t="s">
        <v>3773</v>
      </c>
      <c r="F1297" s="206" t="s">
        <v>3774</v>
      </c>
      <c r="G1297" s="206" t="s">
        <v>3770</v>
      </c>
      <c r="H1297" s="207">
        <v>44200</v>
      </c>
      <c r="J1297" s="2" t="s">
        <v>3735</v>
      </c>
      <c r="K1297" s="302">
        <v>9523306208</v>
      </c>
      <c r="M1297" s="212"/>
      <c r="N1297" s="213"/>
      <c r="O1297" s="209"/>
    </row>
    <row r="1298" spans="1:15" x14ac:dyDescent="0.3">
      <c r="A1298" s="302" t="s">
        <v>155</v>
      </c>
      <c r="B1298" s="302" t="str">
        <f t="shared" si="8"/>
        <v>Y</v>
      </c>
      <c r="C1298" s="6" t="s">
        <v>3775</v>
      </c>
      <c r="D1298" s="327"/>
      <c r="E1298" s="327" t="s">
        <v>3776</v>
      </c>
      <c r="F1298" s="206" t="s">
        <v>3777</v>
      </c>
      <c r="G1298" s="206" t="s">
        <v>3778</v>
      </c>
      <c r="H1298" s="207">
        <v>44200</v>
      </c>
      <c r="J1298" s="12" t="s">
        <v>3779</v>
      </c>
      <c r="K1298" s="302">
        <v>8936801670</v>
      </c>
      <c r="M1298" s="212"/>
      <c r="N1298" s="213"/>
      <c r="O1298" s="209"/>
    </row>
    <row r="1299" spans="1:15" x14ac:dyDescent="0.3">
      <c r="A1299" s="302" t="s">
        <v>155</v>
      </c>
      <c r="B1299" s="302" t="str">
        <f t="shared" si="8"/>
        <v>Y</v>
      </c>
      <c r="C1299" s="6" t="s">
        <v>3780</v>
      </c>
      <c r="D1299" s="327"/>
      <c r="E1299" s="341" t="s">
        <v>3781</v>
      </c>
      <c r="F1299" s="206" t="s">
        <v>3782</v>
      </c>
      <c r="G1299" s="206" t="s">
        <v>3778</v>
      </c>
      <c r="H1299" s="207">
        <v>44200</v>
      </c>
      <c r="J1299" s="12" t="s">
        <v>3783</v>
      </c>
      <c r="K1299" s="302">
        <v>6294058716</v>
      </c>
      <c r="M1299" s="212"/>
      <c r="N1299" s="213"/>
      <c r="O1299" s="209"/>
    </row>
    <row r="1300" spans="1:15" x14ac:dyDescent="0.3">
      <c r="A1300" s="302" t="s">
        <v>155</v>
      </c>
      <c r="B1300" s="302" t="str">
        <f t="shared" si="8"/>
        <v>Y</v>
      </c>
      <c r="C1300" s="6" t="s">
        <v>3784</v>
      </c>
      <c r="D1300" s="327"/>
      <c r="E1300" s="341" t="s">
        <v>3785</v>
      </c>
      <c r="F1300" s="206" t="s">
        <v>3786</v>
      </c>
      <c r="G1300" s="206" t="s">
        <v>3787</v>
      </c>
      <c r="H1300" s="207">
        <v>44204</v>
      </c>
      <c r="J1300" s="12" t="s">
        <v>3788</v>
      </c>
      <c r="K1300" s="302">
        <v>9608926494</v>
      </c>
      <c r="M1300" s="212"/>
      <c r="N1300" s="213"/>
      <c r="O1300" s="209"/>
    </row>
    <row r="1301" spans="1:15" x14ac:dyDescent="0.3">
      <c r="A1301" s="302" t="s">
        <v>155</v>
      </c>
      <c r="B1301" s="302" t="str">
        <f t="shared" si="8"/>
        <v>Y</v>
      </c>
      <c r="C1301" s="6" t="s">
        <v>3789</v>
      </c>
      <c r="D1301" s="327"/>
      <c r="E1301" s="341" t="s">
        <v>3790</v>
      </c>
      <c r="F1301" s="206" t="s">
        <v>3791</v>
      </c>
      <c r="G1301" s="206" t="s">
        <v>3787</v>
      </c>
      <c r="H1301" s="207">
        <v>44204</v>
      </c>
      <c r="J1301" s="12" t="s">
        <v>3792</v>
      </c>
      <c r="K1301" s="302">
        <v>7004910160</v>
      </c>
      <c r="M1301" s="212"/>
      <c r="N1301" s="213"/>
      <c r="O1301" s="209"/>
    </row>
    <row r="1302" spans="1:15" x14ac:dyDescent="0.3">
      <c r="A1302" s="302" t="s">
        <v>155</v>
      </c>
      <c r="B1302" s="302" t="str">
        <f t="shared" si="8"/>
        <v>Y</v>
      </c>
      <c r="C1302" s="6" t="s">
        <v>3793</v>
      </c>
      <c r="D1302" s="327"/>
      <c r="E1302" s="341" t="s">
        <v>3794</v>
      </c>
      <c r="F1302" s="206" t="s">
        <v>3795</v>
      </c>
      <c r="G1302" s="206" t="s">
        <v>3796</v>
      </c>
      <c r="H1302" s="207">
        <v>44204</v>
      </c>
      <c r="J1302" s="2" t="s">
        <v>3735</v>
      </c>
      <c r="K1302" s="302">
        <v>9661506154</v>
      </c>
      <c r="M1302" s="212"/>
      <c r="N1302" s="213"/>
      <c r="O1302" s="209"/>
    </row>
    <row r="1303" spans="1:15" x14ac:dyDescent="0.3">
      <c r="A1303" s="302" t="s">
        <v>155</v>
      </c>
      <c r="B1303" s="302" t="str">
        <f t="shared" si="8"/>
        <v>Y</v>
      </c>
      <c r="C1303" s="6" t="s">
        <v>3797</v>
      </c>
      <c r="D1303" s="327"/>
      <c r="E1303" s="341" t="s">
        <v>3798</v>
      </c>
      <c r="F1303" s="206" t="s">
        <v>3799</v>
      </c>
      <c r="G1303" s="206" t="s">
        <v>3800</v>
      </c>
      <c r="H1303" s="207">
        <v>44206</v>
      </c>
      <c r="J1303" s="2" t="s">
        <v>3735</v>
      </c>
      <c r="K1303" s="302">
        <v>7488427353</v>
      </c>
      <c r="M1303" s="212"/>
      <c r="N1303" s="213"/>
      <c r="O1303" s="209"/>
    </row>
    <row r="1304" spans="1:15" x14ac:dyDescent="0.3">
      <c r="A1304" s="302" t="s">
        <v>155</v>
      </c>
      <c r="B1304" s="302" t="str">
        <f t="shared" si="8"/>
        <v>Y</v>
      </c>
      <c r="C1304" s="6" t="s">
        <v>3801</v>
      </c>
      <c r="D1304" s="327"/>
      <c r="E1304" s="341" t="s">
        <v>3802</v>
      </c>
      <c r="F1304" s="206" t="s">
        <v>3803</v>
      </c>
      <c r="G1304" s="206" t="s">
        <v>3800</v>
      </c>
      <c r="H1304" s="207">
        <v>44206</v>
      </c>
      <c r="J1304" s="12" t="s">
        <v>3804</v>
      </c>
      <c r="K1304" s="302">
        <v>9102339868</v>
      </c>
      <c r="M1304" s="212"/>
      <c r="N1304" s="213"/>
      <c r="O1304" s="209"/>
    </row>
    <row r="1305" spans="1:15" x14ac:dyDescent="0.3">
      <c r="A1305" s="302" t="s">
        <v>155</v>
      </c>
      <c r="B1305" s="302" t="str">
        <f t="shared" si="8"/>
        <v>Y</v>
      </c>
      <c r="C1305" s="6" t="s">
        <v>3805</v>
      </c>
      <c r="D1305" s="327"/>
      <c r="E1305" s="341" t="s">
        <v>3806</v>
      </c>
      <c r="F1305" s="206" t="s">
        <v>1483</v>
      </c>
      <c r="G1305" s="206" t="s">
        <v>3807</v>
      </c>
      <c r="H1305" s="207">
        <v>44209</v>
      </c>
      <c r="J1305" s="12" t="s">
        <v>3607</v>
      </c>
      <c r="K1305" s="302">
        <v>9031167257</v>
      </c>
      <c r="M1305" s="212"/>
      <c r="N1305" s="213"/>
      <c r="O1305" s="209"/>
    </row>
    <row r="1306" spans="1:15" x14ac:dyDescent="0.3">
      <c r="A1306" s="302" t="s">
        <v>155</v>
      </c>
      <c r="B1306" s="302" t="str">
        <f t="shared" si="8"/>
        <v>Y</v>
      </c>
      <c r="C1306" s="6" t="s">
        <v>3808</v>
      </c>
      <c r="D1306" s="327"/>
      <c r="E1306" s="341" t="s">
        <v>3809</v>
      </c>
      <c r="F1306" s="206" t="s">
        <v>3810</v>
      </c>
      <c r="G1306" s="206" t="s">
        <v>3811</v>
      </c>
      <c r="H1306" s="207">
        <v>44210</v>
      </c>
      <c r="K1306" s="302">
        <v>7975894976</v>
      </c>
      <c r="M1306" s="212"/>
      <c r="N1306" s="213"/>
      <c r="O1306" s="209"/>
    </row>
    <row r="1307" spans="1:15" x14ac:dyDescent="0.3">
      <c r="A1307" s="302" t="s">
        <v>155</v>
      </c>
      <c r="B1307" s="302" t="str">
        <f t="shared" si="8"/>
        <v>Y</v>
      </c>
      <c r="C1307" s="6" t="s">
        <v>3812</v>
      </c>
      <c r="D1307" s="327"/>
      <c r="E1307" s="341" t="s">
        <v>3813</v>
      </c>
      <c r="F1307" s="206" t="s">
        <v>3814</v>
      </c>
      <c r="G1307" s="206" t="s">
        <v>3815</v>
      </c>
      <c r="H1307" s="206" t="s">
        <v>3815</v>
      </c>
      <c r="J1307" s="206" t="s">
        <v>3735</v>
      </c>
      <c r="K1307" s="302">
        <v>7461820338</v>
      </c>
      <c r="M1307" s="212"/>
      <c r="N1307" s="213"/>
      <c r="O1307" s="209"/>
    </row>
    <row r="1308" spans="1:15" x14ac:dyDescent="0.3">
      <c r="A1308" s="302" t="s">
        <v>155</v>
      </c>
      <c r="B1308" s="302" t="str">
        <f t="shared" si="8"/>
        <v>Y</v>
      </c>
      <c r="C1308" s="6" t="s">
        <v>3816</v>
      </c>
      <c r="D1308" s="327"/>
      <c r="E1308" s="341" t="s">
        <v>3817</v>
      </c>
      <c r="F1308" s="206" t="s">
        <v>3818</v>
      </c>
      <c r="G1308" s="206" t="s">
        <v>3815</v>
      </c>
      <c r="H1308" s="206" t="s">
        <v>3815</v>
      </c>
      <c r="K1308" s="302">
        <v>9334583994</v>
      </c>
      <c r="M1308" s="212"/>
      <c r="N1308" s="213"/>
      <c r="O1308" s="209"/>
    </row>
    <row r="1309" spans="1:15" x14ac:dyDescent="0.3">
      <c r="A1309" s="302" t="s">
        <v>155</v>
      </c>
      <c r="B1309" s="302" t="str">
        <f t="shared" si="8"/>
        <v>Y</v>
      </c>
      <c r="C1309" s="6" t="s">
        <v>3819</v>
      </c>
      <c r="D1309" s="327"/>
      <c r="E1309" s="341" t="s">
        <v>3820</v>
      </c>
      <c r="F1309" s="206" t="s">
        <v>3821</v>
      </c>
      <c r="G1309" s="206" t="s">
        <v>3815</v>
      </c>
      <c r="H1309" s="206" t="s">
        <v>3815</v>
      </c>
      <c r="K1309" s="302">
        <v>7485825529</v>
      </c>
      <c r="M1309" s="212"/>
      <c r="N1309" s="213"/>
      <c r="O1309" s="209"/>
    </row>
    <row r="1310" spans="1:15" x14ac:dyDescent="0.3">
      <c r="A1310" s="302" t="s">
        <v>155</v>
      </c>
      <c r="B1310" s="302" t="str">
        <f t="shared" si="8"/>
        <v>Y</v>
      </c>
      <c r="C1310" s="6" t="s">
        <v>3822</v>
      </c>
      <c r="D1310" s="327"/>
      <c r="E1310" s="341" t="s">
        <v>3823</v>
      </c>
      <c r="F1310" s="206" t="s">
        <v>3824</v>
      </c>
      <c r="G1310" s="206" t="s">
        <v>3825</v>
      </c>
      <c r="H1310" s="207">
        <v>44213</v>
      </c>
      <c r="K1310" s="302">
        <v>9939240260</v>
      </c>
      <c r="M1310" s="212"/>
      <c r="N1310" s="213"/>
      <c r="O1310" s="209"/>
    </row>
    <row r="1311" spans="1:15" x14ac:dyDescent="0.3">
      <c r="A1311" s="302" t="s">
        <v>155</v>
      </c>
      <c r="B1311" s="302" t="str">
        <f t="shared" si="8"/>
        <v>Y</v>
      </c>
      <c r="C1311" s="6" t="s">
        <v>3826</v>
      </c>
      <c r="D1311" s="327"/>
      <c r="E1311" s="327" t="s">
        <v>2820</v>
      </c>
      <c r="F1311" s="206" t="s">
        <v>3302</v>
      </c>
      <c r="G1311" s="206" t="s">
        <v>3827</v>
      </c>
      <c r="H1311" s="207">
        <v>44215</v>
      </c>
      <c r="K1311" s="302">
        <v>8092286813</v>
      </c>
      <c r="M1311" s="212"/>
      <c r="N1311" s="213"/>
      <c r="O1311" s="209"/>
    </row>
    <row r="1312" spans="1:15" x14ac:dyDescent="0.3">
      <c r="A1312" s="302" t="s">
        <v>155</v>
      </c>
      <c r="B1312" s="302" t="str">
        <f t="shared" si="8"/>
        <v>Y</v>
      </c>
      <c r="C1312" s="6" t="s">
        <v>3828</v>
      </c>
      <c r="D1312" s="327"/>
      <c r="E1312" s="327" t="s">
        <v>3829</v>
      </c>
      <c r="F1312" s="206" t="s">
        <v>3830</v>
      </c>
      <c r="G1312" s="206" t="s">
        <v>3827</v>
      </c>
      <c r="H1312" s="207">
        <v>44215</v>
      </c>
      <c r="K1312" s="302">
        <v>9934797938</v>
      </c>
      <c r="M1312" s="212"/>
      <c r="N1312" s="213"/>
      <c r="O1312" s="209"/>
    </row>
    <row r="1313" spans="1:15" x14ac:dyDescent="0.3">
      <c r="A1313" s="302" t="s">
        <v>155</v>
      </c>
      <c r="B1313" s="302" t="str">
        <f t="shared" si="8"/>
        <v>Y</v>
      </c>
      <c r="C1313" s="6" t="s">
        <v>3831</v>
      </c>
      <c r="D1313" s="327"/>
      <c r="E1313" s="327" t="s">
        <v>3832</v>
      </c>
      <c r="F1313" s="206" t="s">
        <v>3833</v>
      </c>
      <c r="G1313" s="206" t="s">
        <v>3827</v>
      </c>
      <c r="H1313" s="207">
        <v>44215</v>
      </c>
      <c r="K1313" s="302">
        <v>9771297884</v>
      </c>
      <c r="M1313" s="212"/>
      <c r="N1313" s="213"/>
      <c r="O1313" s="209"/>
    </row>
    <row r="1314" spans="1:15" x14ac:dyDescent="0.3">
      <c r="A1314" s="302" t="s">
        <v>155</v>
      </c>
      <c r="B1314" s="302" t="str">
        <f t="shared" si="8"/>
        <v>Y</v>
      </c>
      <c r="C1314" s="6" t="s">
        <v>3834</v>
      </c>
      <c r="D1314" s="327"/>
      <c r="E1314" s="327" t="s">
        <v>3835</v>
      </c>
      <c r="F1314" s="206" t="s">
        <v>3836</v>
      </c>
      <c r="G1314" s="206" t="s">
        <v>3827</v>
      </c>
      <c r="H1314" s="207">
        <v>44215</v>
      </c>
      <c r="K1314" s="302">
        <v>7295815713</v>
      </c>
      <c r="M1314" s="212"/>
      <c r="N1314" s="213"/>
      <c r="O1314" s="209"/>
    </row>
    <row r="1315" spans="1:15" x14ac:dyDescent="0.3">
      <c r="A1315" s="302" t="s">
        <v>155</v>
      </c>
      <c r="B1315" s="302" t="str">
        <f t="shared" si="8"/>
        <v>Y</v>
      </c>
      <c r="C1315" s="6" t="s">
        <v>3837</v>
      </c>
      <c r="D1315" s="327"/>
      <c r="E1315" s="327" t="s">
        <v>3838</v>
      </c>
      <c r="F1315" s="206" t="s">
        <v>3839</v>
      </c>
      <c r="G1315" s="206" t="s">
        <v>3840</v>
      </c>
      <c r="H1315" s="207">
        <v>44217</v>
      </c>
      <c r="J1315" s="12" t="s">
        <v>3841</v>
      </c>
      <c r="K1315" s="302">
        <v>8102504378</v>
      </c>
      <c r="M1315" s="212"/>
      <c r="N1315" s="213"/>
      <c r="O1315" s="209"/>
    </row>
    <row r="1316" spans="1:15" x14ac:dyDescent="0.3">
      <c r="A1316" s="302" t="s">
        <v>155</v>
      </c>
      <c r="B1316" s="302" t="str">
        <f t="shared" si="8"/>
        <v>Y</v>
      </c>
      <c r="C1316" s="6" t="s">
        <v>3842</v>
      </c>
      <c r="D1316" s="327"/>
      <c r="E1316" s="327" t="s">
        <v>3843</v>
      </c>
      <c r="F1316" s="206" t="s">
        <v>1768</v>
      </c>
      <c r="G1316" s="206" t="s">
        <v>3840</v>
      </c>
      <c r="H1316" s="207">
        <v>44217</v>
      </c>
      <c r="J1316" s="2" t="s">
        <v>3735</v>
      </c>
      <c r="K1316" s="302">
        <v>6202376331</v>
      </c>
      <c r="M1316" s="212"/>
      <c r="N1316" s="213"/>
      <c r="O1316" s="209"/>
    </row>
    <row r="1317" spans="1:15" x14ac:dyDescent="0.3">
      <c r="A1317" s="302" t="s">
        <v>155</v>
      </c>
      <c r="B1317" s="302" t="str">
        <f t="shared" si="8"/>
        <v>Y</v>
      </c>
      <c r="C1317" s="450" t="s">
        <v>3844</v>
      </c>
      <c r="D1317" s="328"/>
      <c r="E1317" s="327" t="s">
        <v>1223</v>
      </c>
      <c r="F1317" s="206" t="s">
        <v>3845</v>
      </c>
      <c r="G1317" s="207">
        <v>44217</v>
      </c>
      <c r="H1317" s="207">
        <v>44217</v>
      </c>
      <c r="K1317" s="302">
        <v>8252271040</v>
      </c>
      <c r="M1317" s="212"/>
      <c r="N1317" s="213"/>
      <c r="O1317" s="209"/>
    </row>
    <row r="1318" spans="1:15" x14ac:dyDescent="0.3">
      <c r="A1318" s="302" t="s">
        <v>155</v>
      </c>
      <c r="B1318" s="302" t="str">
        <f t="shared" si="8"/>
        <v>Y</v>
      </c>
      <c r="C1318" s="6" t="s">
        <v>3846</v>
      </c>
      <c r="D1318" s="327"/>
      <c r="E1318" s="327" t="s">
        <v>3847</v>
      </c>
      <c r="F1318" s="206" t="s">
        <v>3848</v>
      </c>
      <c r="G1318" s="207">
        <v>44217</v>
      </c>
      <c r="H1318" s="207">
        <v>44219</v>
      </c>
      <c r="K1318" s="302">
        <v>8578058402</v>
      </c>
      <c r="M1318" s="212"/>
      <c r="N1318" s="213"/>
      <c r="O1318" s="209"/>
    </row>
    <row r="1319" spans="1:15" x14ac:dyDescent="0.3">
      <c r="A1319" s="302" t="s">
        <v>155</v>
      </c>
      <c r="B1319" s="302" t="str">
        <f t="shared" si="8"/>
        <v>Y</v>
      </c>
      <c r="C1319" s="6" t="s">
        <v>3849</v>
      </c>
      <c r="D1319" s="327"/>
      <c r="E1319" s="327" t="s">
        <v>3850</v>
      </c>
      <c r="F1319" s="206" t="s">
        <v>3851</v>
      </c>
      <c r="G1319" s="206" t="s">
        <v>3852</v>
      </c>
      <c r="H1319" s="207">
        <v>44220</v>
      </c>
      <c r="K1319" s="302">
        <v>9031971063</v>
      </c>
      <c r="M1319" s="212"/>
      <c r="N1319" s="213"/>
      <c r="O1319" s="209"/>
    </row>
    <row r="1320" spans="1:15" x14ac:dyDescent="0.3">
      <c r="A1320" s="302" t="s">
        <v>155</v>
      </c>
      <c r="B1320" s="302" t="str">
        <f t="shared" si="8"/>
        <v>Y</v>
      </c>
      <c r="C1320" s="6" t="s">
        <v>3853</v>
      </c>
      <c r="D1320" s="327"/>
      <c r="E1320" s="327" t="s">
        <v>3854</v>
      </c>
      <c r="F1320" s="206" t="s">
        <v>3855</v>
      </c>
      <c r="G1320" s="206" t="s">
        <v>3856</v>
      </c>
      <c r="H1320" s="206" t="s">
        <v>3856</v>
      </c>
      <c r="K1320" s="302">
        <v>9508704182</v>
      </c>
      <c r="M1320" s="212"/>
      <c r="N1320" s="213"/>
      <c r="O1320" s="209"/>
    </row>
    <row r="1321" spans="1:15" x14ac:dyDescent="0.3">
      <c r="A1321" s="302" t="s">
        <v>155</v>
      </c>
      <c r="B1321" s="302" t="str">
        <f t="shared" si="8"/>
        <v>Y</v>
      </c>
      <c r="C1321" s="6" t="s">
        <v>3857</v>
      </c>
      <c r="D1321" s="327"/>
      <c r="E1321" s="327" t="s">
        <v>3858</v>
      </c>
      <c r="F1321" s="206" t="s">
        <v>3094</v>
      </c>
      <c r="G1321" s="206" t="s">
        <v>3859</v>
      </c>
      <c r="H1321" s="206" t="s">
        <v>3859</v>
      </c>
      <c r="K1321" s="302">
        <v>9701706545</v>
      </c>
      <c r="M1321" s="212"/>
      <c r="N1321" s="213"/>
      <c r="O1321" s="209"/>
    </row>
    <row r="1322" spans="1:15" x14ac:dyDescent="0.3">
      <c r="A1322" s="302" t="s">
        <v>155</v>
      </c>
      <c r="B1322" s="302" t="str">
        <f t="shared" si="8"/>
        <v>Y</v>
      </c>
      <c r="C1322" s="6" t="s">
        <v>3860</v>
      </c>
      <c r="D1322" s="327"/>
      <c r="E1322" s="327" t="s">
        <v>3861</v>
      </c>
      <c r="F1322" s="206" t="s">
        <v>3862</v>
      </c>
      <c r="G1322" s="206" t="s">
        <v>3863</v>
      </c>
      <c r="H1322" s="206" t="s">
        <v>3863</v>
      </c>
      <c r="J1322" s="206" t="s">
        <v>3735</v>
      </c>
      <c r="K1322" s="302">
        <v>8210078816</v>
      </c>
      <c r="M1322" s="212"/>
      <c r="N1322" s="213"/>
      <c r="O1322" s="209"/>
    </row>
    <row r="1323" spans="1:15" x14ac:dyDescent="0.3">
      <c r="A1323" s="302" t="s">
        <v>155</v>
      </c>
      <c r="B1323" s="302" t="str">
        <f t="shared" si="8"/>
        <v>Y</v>
      </c>
      <c r="C1323" s="6" t="s">
        <v>3864</v>
      </c>
      <c r="D1323" s="327"/>
      <c r="E1323" s="327" t="s">
        <v>3865</v>
      </c>
      <c r="F1323" s="206" t="s">
        <v>3866</v>
      </c>
      <c r="G1323" s="206" t="s">
        <v>3863</v>
      </c>
      <c r="H1323" s="206" t="s">
        <v>3863</v>
      </c>
      <c r="J1323" s="206" t="s">
        <v>3735</v>
      </c>
      <c r="K1323" s="302">
        <v>8235431872</v>
      </c>
      <c r="M1323" s="212"/>
      <c r="N1323" s="213"/>
      <c r="O1323" s="209"/>
    </row>
    <row r="1324" spans="1:15" x14ac:dyDescent="0.3">
      <c r="A1324" s="302" t="s">
        <v>155</v>
      </c>
      <c r="B1324" s="302" t="str">
        <f t="shared" si="8"/>
        <v>Y</v>
      </c>
      <c r="C1324" s="6" t="s">
        <v>3867</v>
      </c>
      <c r="D1324" s="327"/>
      <c r="E1324" s="327" t="s">
        <v>3868</v>
      </c>
      <c r="F1324" s="206" t="s">
        <v>3869</v>
      </c>
      <c r="G1324" s="206" t="s">
        <v>3870</v>
      </c>
      <c r="H1324" s="206" t="s">
        <v>3870</v>
      </c>
      <c r="J1324" s="206" t="s">
        <v>3735</v>
      </c>
      <c r="M1324" s="212"/>
      <c r="N1324" s="213"/>
      <c r="O1324" s="209"/>
    </row>
    <row r="1325" spans="1:15" x14ac:dyDescent="0.3">
      <c r="A1325" s="302" t="s">
        <v>155</v>
      </c>
      <c r="B1325" s="302" t="str">
        <f t="shared" si="8"/>
        <v>Y</v>
      </c>
      <c r="C1325" s="6" t="s">
        <v>3871</v>
      </c>
      <c r="D1325" s="327"/>
      <c r="E1325" s="327" t="s">
        <v>3872</v>
      </c>
      <c r="F1325" s="206" t="s">
        <v>1461</v>
      </c>
      <c r="G1325" s="206" t="s">
        <v>3873</v>
      </c>
      <c r="H1325" s="206" t="s">
        <v>3873</v>
      </c>
      <c r="K1325" s="302">
        <v>7250215049</v>
      </c>
      <c r="M1325" s="212"/>
      <c r="N1325" s="213"/>
      <c r="O1325" s="209"/>
    </row>
    <row r="1326" spans="1:15" x14ac:dyDescent="0.3">
      <c r="A1326" s="302" t="s">
        <v>155</v>
      </c>
      <c r="B1326" s="302" t="str">
        <f t="shared" si="8"/>
        <v>Y</v>
      </c>
      <c r="C1326" s="6" t="s">
        <v>3874</v>
      </c>
      <c r="D1326" s="327"/>
      <c r="E1326" s="327" t="s">
        <v>3875</v>
      </c>
      <c r="F1326" s="206" t="s">
        <v>3876</v>
      </c>
      <c r="G1326" s="206" t="s">
        <v>3873</v>
      </c>
      <c r="H1326" s="207">
        <v>44230</v>
      </c>
      <c r="K1326" s="302">
        <v>8329869311</v>
      </c>
      <c r="M1326" s="212"/>
      <c r="N1326" s="213"/>
      <c r="O1326" s="209"/>
    </row>
    <row r="1327" spans="1:15" x14ac:dyDescent="0.3">
      <c r="A1327" s="302" t="s">
        <v>155</v>
      </c>
      <c r="B1327" s="302" t="str">
        <f t="shared" si="8"/>
        <v>Y</v>
      </c>
      <c r="C1327" s="6" t="s">
        <v>3877</v>
      </c>
      <c r="D1327" s="327"/>
      <c r="E1327" s="327" t="s">
        <v>3878</v>
      </c>
      <c r="F1327" s="206" t="s">
        <v>3879</v>
      </c>
      <c r="G1327" s="206" t="s">
        <v>3880</v>
      </c>
      <c r="H1327" s="206" t="s">
        <v>3880</v>
      </c>
      <c r="K1327" s="302">
        <v>7739227144</v>
      </c>
      <c r="M1327" s="212"/>
      <c r="N1327" s="213"/>
      <c r="O1327" s="209"/>
    </row>
    <row r="1328" spans="1:15" x14ac:dyDescent="0.3">
      <c r="A1328" s="302" t="s">
        <v>155</v>
      </c>
      <c r="B1328" s="302" t="str">
        <f t="shared" si="8"/>
        <v>Y</v>
      </c>
      <c r="C1328" s="6" t="s">
        <v>3881</v>
      </c>
      <c r="D1328" s="327"/>
      <c r="E1328" s="327" t="s">
        <v>907</v>
      </c>
      <c r="F1328" s="206" t="s">
        <v>3882</v>
      </c>
      <c r="G1328" s="206" t="s">
        <v>3880</v>
      </c>
      <c r="H1328" s="206" t="s">
        <v>3880</v>
      </c>
      <c r="K1328" s="302">
        <v>9570027446</v>
      </c>
      <c r="M1328" s="212"/>
      <c r="N1328" s="213"/>
      <c r="O1328" s="209"/>
    </row>
    <row r="1329" spans="1:15" x14ac:dyDescent="0.3">
      <c r="A1329" s="302" t="s">
        <v>155</v>
      </c>
      <c r="B1329" s="302" t="str">
        <f t="shared" si="8"/>
        <v>Y</v>
      </c>
      <c r="C1329" s="469" t="s">
        <v>3883</v>
      </c>
      <c r="D1329" s="351"/>
      <c r="E1329" s="327" t="s">
        <v>3884</v>
      </c>
      <c r="F1329" s="206" t="s">
        <v>3885</v>
      </c>
      <c r="G1329" s="206" t="s">
        <v>3886</v>
      </c>
      <c r="H1329" s="207">
        <v>44231</v>
      </c>
      <c r="J1329" s="2" t="s">
        <v>3887</v>
      </c>
      <c r="K1329" s="302">
        <v>8709047640</v>
      </c>
      <c r="M1329" s="212"/>
      <c r="N1329" s="213"/>
      <c r="O1329" s="209"/>
    </row>
    <row r="1330" spans="1:15" x14ac:dyDescent="0.3">
      <c r="A1330" s="302" t="s">
        <v>155</v>
      </c>
      <c r="B1330" s="302" t="str">
        <f t="shared" si="8"/>
        <v>Y</v>
      </c>
      <c r="C1330" s="6" t="s">
        <v>3888</v>
      </c>
      <c r="D1330" s="327"/>
      <c r="E1330" s="327" t="s">
        <v>3889</v>
      </c>
      <c r="F1330" s="206" t="s">
        <v>1779</v>
      </c>
      <c r="G1330" s="206" t="s">
        <v>3886</v>
      </c>
      <c r="H1330" s="207">
        <v>44231</v>
      </c>
      <c r="J1330" s="2" t="s">
        <v>3887</v>
      </c>
      <c r="K1330" s="302">
        <v>8709047640</v>
      </c>
      <c r="M1330" s="212"/>
      <c r="N1330" s="213"/>
      <c r="O1330" s="209"/>
    </row>
    <row r="1331" spans="1:15" x14ac:dyDescent="0.3">
      <c r="A1331" s="302" t="s">
        <v>155</v>
      </c>
      <c r="B1331" s="302" t="str">
        <f t="shared" si="8"/>
        <v>Y</v>
      </c>
      <c r="C1331" s="6" t="s">
        <v>3890</v>
      </c>
      <c r="D1331" s="327"/>
      <c r="E1331" s="327" t="s">
        <v>3891</v>
      </c>
      <c r="F1331" s="206" t="s">
        <v>3892</v>
      </c>
      <c r="G1331" s="206" t="s">
        <v>3893</v>
      </c>
      <c r="H1331" s="207">
        <v>44233</v>
      </c>
      <c r="J1331" s="2" t="s">
        <v>3735</v>
      </c>
      <c r="K1331" s="302">
        <v>7430760982</v>
      </c>
      <c r="M1331" s="212"/>
      <c r="N1331" s="213"/>
      <c r="O1331" s="209"/>
    </row>
    <row r="1332" spans="1:15" x14ac:dyDescent="0.3">
      <c r="A1332" s="302" t="s">
        <v>155</v>
      </c>
      <c r="B1332" s="302" t="str">
        <f t="shared" si="8"/>
        <v>Y</v>
      </c>
      <c r="C1332" s="6" t="s">
        <v>3894</v>
      </c>
      <c r="D1332" s="327"/>
      <c r="E1332" s="327" t="s">
        <v>1074</v>
      </c>
      <c r="F1332" s="206" t="s">
        <v>1779</v>
      </c>
      <c r="G1332" s="206" t="s">
        <v>3893</v>
      </c>
      <c r="H1332" s="207">
        <v>44233</v>
      </c>
      <c r="K1332" s="302">
        <v>6287749810</v>
      </c>
      <c r="M1332" s="212"/>
      <c r="N1332" s="213"/>
      <c r="O1332" s="209"/>
    </row>
    <row r="1333" spans="1:15" x14ac:dyDescent="0.3">
      <c r="A1333" s="302" t="s">
        <v>155</v>
      </c>
      <c r="B1333" s="302" t="str">
        <f t="shared" si="8"/>
        <v>Y</v>
      </c>
      <c r="C1333" s="6" t="s">
        <v>3895</v>
      </c>
      <c r="D1333" s="327"/>
      <c r="E1333" s="327" t="s">
        <v>3896</v>
      </c>
      <c r="F1333" s="206" t="s">
        <v>3897</v>
      </c>
      <c r="G1333" s="206" t="s">
        <v>3898</v>
      </c>
      <c r="H1333" s="207">
        <v>44239</v>
      </c>
      <c r="J1333" s="8" t="s">
        <v>3899</v>
      </c>
      <c r="K1333" s="302">
        <v>8797901113</v>
      </c>
      <c r="M1333" s="212"/>
      <c r="N1333" s="213"/>
      <c r="O1333" s="209"/>
    </row>
    <row r="1334" spans="1:15" x14ac:dyDescent="0.3">
      <c r="A1334" s="302" t="s">
        <v>155</v>
      </c>
      <c r="B1334" s="302" t="str">
        <f t="shared" si="8"/>
        <v>Y</v>
      </c>
      <c r="C1334" s="6" t="s">
        <v>3900</v>
      </c>
      <c r="D1334" s="327"/>
      <c r="E1334" s="327" t="s">
        <v>3901</v>
      </c>
      <c r="F1334" s="206" t="s">
        <v>3902</v>
      </c>
      <c r="G1334" s="206" t="s">
        <v>3903</v>
      </c>
      <c r="H1334" s="207">
        <v>44239</v>
      </c>
      <c r="K1334" s="302">
        <v>9122735484</v>
      </c>
      <c r="M1334" s="212"/>
      <c r="N1334" s="213"/>
      <c r="O1334" s="209"/>
    </row>
    <row r="1335" spans="1:15" x14ac:dyDescent="0.3">
      <c r="A1335" s="302" t="s">
        <v>155</v>
      </c>
      <c r="B1335" s="302" t="str">
        <f t="shared" si="8"/>
        <v>Y</v>
      </c>
      <c r="C1335" s="6" t="s">
        <v>3904</v>
      </c>
      <c r="D1335" s="327"/>
      <c r="E1335" s="327" t="s">
        <v>3905</v>
      </c>
      <c r="F1335" s="206" t="s">
        <v>3302</v>
      </c>
      <c r="G1335" s="206" t="s">
        <v>3903</v>
      </c>
      <c r="H1335" s="207">
        <v>44239</v>
      </c>
      <c r="K1335" s="302">
        <v>8210023504</v>
      </c>
      <c r="M1335" s="212"/>
      <c r="N1335" s="213"/>
      <c r="O1335" s="209"/>
    </row>
    <row r="1336" spans="1:15" x14ac:dyDescent="0.3">
      <c r="A1336" s="302" t="s">
        <v>155</v>
      </c>
      <c r="B1336" s="302" t="str">
        <f t="shared" si="8"/>
        <v>Y</v>
      </c>
      <c r="C1336" s="6" t="s">
        <v>3906</v>
      </c>
      <c r="D1336" s="327"/>
      <c r="E1336" s="327" t="s">
        <v>3907</v>
      </c>
      <c r="F1336" s="206" t="s">
        <v>3908</v>
      </c>
      <c r="G1336" s="206" t="s">
        <v>3909</v>
      </c>
      <c r="H1336" s="207">
        <v>44239</v>
      </c>
      <c r="K1336" s="302">
        <v>7482029826</v>
      </c>
      <c r="M1336" s="212"/>
      <c r="N1336" s="213"/>
      <c r="O1336" s="209"/>
    </row>
    <row r="1337" spans="1:15" x14ac:dyDescent="0.3">
      <c r="A1337" s="302" t="s">
        <v>155</v>
      </c>
      <c r="B1337" s="302" t="str">
        <f t="shared" si="8"/>
        <v>Y</v>
      </c>
      <c r="C1337" s="6" t="s">
        <v>3910</v>
      </c>
      <c r="D1337" s="327"/>
      <c r="E1337" s="327" t="s">
        <v>3911</v>
      </c>
      <c r="F1337" s="206" t="s">
        <v>2280</v>
      </c>
      <c r="G1337" s="206" t="s">
        <v>3909</v>
      </c>
      <c r="H1337" s="207">
        <v>44239</v>
      </c>
      <c r="J1337" s="2" t="s">
        <v>3735</v>
      </c>
      <c r="K1337" s="302">
        <v>8873668206</v>
      </c>
      <c r="M1337" s="212"/>
      <c r="N1337" s="213"/>
      <c r="O1337" s="209"/>
    </row>
    <row r="1338" spans="1:15" x14ac:dyDescent="0.3">
      <c r="A1338" s="302" t="s">
        <v>155</v>
      </c>
      <c r="B1338" s="302" t="str">
        <f t="shared" si="8"/>
        <v>Y</v>
      </c>
      <c r="C1338" s="6" t="s">
        <v>3912</v>
      </c>
      <c r="D1338" s="327"/>
      <c r="E1338" s="327" t="s">
        <v>3913</v>
      </c>
      <c r="F1338" s="206" t="s">
        <v>3914</v>
      </c>
      <c r="G1338" s="206" t="s">
        <v>3909</v>
      </c>
      <c r="H1338" s="207">
        <v>44239</v>
      </c>
      <c r="K1338" s="302">
        <v>9934921032</v>
      </c>
      <c r="M1338" s="212"/>
      <c r="N1338" s="213"/>
      <c r="O1338" s="209"/>
    </row>
    <row r="1339" spans="1:15" x14ac:dyDescent="0.3">
      <c r="A1339" s="302" t="s">
        <v>155</v>
      </c>
      <c r="B1339" s="302" t="str">
        <f t="shared" si="8"/>
        <v>Y</v>
      </c>
      <c r="C1339" s="6" t="s">
        <v>3915</v>
      </c>
      <c r="D1339" s="327"/>
      <c r="E1339" s="327" t="s">
        <v>3916</v>
      </c>
      <c r="F1339" s="206" t="s">
        <v>3917</v>
      </c>
      <c r="G1339" s="206" t="s">
        <v>3918</v>
      </c>
      <c r="H1339" s="207">
        <v>44239</v>
      </c>
      <c r="K1339" s="302">
        <v>7319732924</v>
      </c>
      <c r="M1339" s="212"/>
      <c r="N1339" s="213"/>
      <c r="O1339" s="209"/>
    </row>
    <row r="1340" spans="1:15" x14ac:dyDescent="0.3">
      <c r="A1340" s="302" t="s">
        <v>155</v>
      </c>
      <c r="B1340" s="302" t="str">
        <f t="shared" si="8"/>
        <v>Y</v>
      </c>
      <c r="C1340" s="6" t="s">
        <v>3919</v>
      </c>
      <c r="D1340" s="327"/>
      <c r="E1340" s="327" t="s">
        <v>3920</v>
      </c>
      <c r="F1340" s="206" t="s">
        <v>3921</v>
      </c>
      <c r="G1340" s="206" t="s">
        <v>3909</v>
      </c>
      <c r="H1340" s="207">
        <v>44239</v>
      </c>
      <c r="K1340" s="302">
        <v>8294555226</v>
      </c>
      <c r="M1340" s="212"/>
      <c r="N1340" s="213"/>
      <c r="O1340" s="209"/>
    </row>
    <row r="1341" spans="1:15" x14ac:dyDescent="0.3">
      <c r="A1341" s="302" t="s">
        <v>155</v>
      </c>
      <c r="B1341" s="302" t="str">
        <f t="shared" si="8"/>
        <v>Y</v>
      </c>
      <c r="C1341" s="6" t="s">
        <v>3922</v>
      </c>
      <c r="D1341" s="327"/>
      <c r="E1341" s="327" t="s">
        <v>3923</v>
      </c>
      <c r="F1341" s="206" t="s">
        <v>3924</v>
      </c>
      <c r="G1341" s="206" t="s">
        <v>3909</v>
      </c>
      <c r="H1341" s="207">
        <v>44239</v>
      </c>
      <c r="K1341" s="302">
        <v>8936877535</v>
      </c>
      <c r="M1341" s="212"/>
      <c r="N1341" s="213"/>
      <c r="O1341" s="209"/>
    </row>
    <row r="1342" spans="1:15" x14ac:dyDescent="0.3">
      <c r="A1342" s="302" t="s">
        <v>155</v>
      </c>
      <c r="B1342" s="302" t="str">
        <f t="shared" si="8"/>
        <v>Y</v>
      </c>
      <c r="C1342" s="6" t="s">
        <v>3925</v>
      </c>
      <c r="D1342" s="327"/>
      <c r="E1342" s="327" t="s">
        <v>2668</v>
      </c>
      <c r="F1342" s="206" t="s">
        <v>3926</v>
      </c>
      <c r="G1342" s="206" t="s">
        <v>3927</v>
      </c>
      <c r="H1342" s="206" t="s">
        <v>3927</v>
      </c>
      <c r="K1342" s="302">
        <v>7250517461</v>
      </c>
      <c r="M1342" s="212"/>
      <c r="N1342" s="213"/>
      <c r="O1342" s="209"/>
    </row>
    <row r="1343" spans="1:15" x14ac:dyDescent="0.3">
      <c r="A1343" s="302" t="s">
        <v>155</v>
      </c>
      <c r="B1343" s="302" t="str">
        <f t="shared" si="8"/>
        <v>Y</v>
      </c>
      <c r="C1343" s="6" t="s">
        <v>3928</v>
      </c>
      <c r="D1343" s="327"/>
      <c r="E1343" s="327" t="s">
        <v>3929</v>
      </c>
      <c r="F1343" s="206" t="s">
        <v>3930</v>
      </c>
      <c r="G1343" s="206" t="s">
        <v>3927</v>
      </c>
      <c r="H1343" s="206" t="s">
        <v>3927</v>
      </c>
      <c r="K1343" s="302">
        <v>9570056424</v>
      </c>
      <c r="M1343" s="212"/>
      <c r="N1343" s="213"/>
      <c r="O1343" s="209"/>
    </row>
    <row r="1344" spans="1:15" x14ac:dyDescent="0.3">
      <c r="A1344" s="302" t="s">
        <v>155</v>
      </c>
      <c r="B1344" s="302" t="str">
        <f t="shared" si="8"/>
        <v>Y</v>
      </c>
      <c r="C1344" s="6" t="s">
        <v>3931</v>
      </c>
      <c r="D1344" s="327"/>
      <c r="E1344" s="327" t="s">
        <v>1429</v>
      </c>
      <c r="F1344" s="206" t="s">
        <v>3932</v>
      </c>
      <c r="G1344" s="206" t="s">
        <v>3927</v>
      </c>
      <c r="H1344" s="206" t="s">
        <v>3927</v>
      </c>
      <c r="K1344" s="302">
        <v>9508125004</v>
      </c>
      <c r="M1344" s="212"/>
      <c r="N1344" s="213"/>
      <c r="O1344" s="209"/>
    </row>
    <row r="1345" spans="1:15" x14ac:dyDescent="0.3">
      <c r="A1345" s="302" t="s">
        <v>155</v>
      </c>
      <c r="B1345" s="302" t="str">
        <f t="shared" si="8"/>
        <v>Y</v>
      </c>
      <c r="C1345" s="6" t="s">
        <v>3933</v>
      </c>
      <c r="D1345" s="327"/>
      <c r="E1345" s="327" t="s">
        <v>3934</v>
      </c>
      <c r="F1345" s="206" t="s">
        <v>3935</v>
      </c>
      <c r="G1345" s="206" t="s">
        <v>3927</v>
      </c>
      <c r="H1345" s="206" t="s">
        <v>3927</v>
      </c>
      <c r="K1345" s="302">
        <v>9234949069</v>
      </c>
      <c r="M1345" s="212"/>
      <c r="N1345" s="213"/>
      <c r="O1345" s="209"/>
    </row>
    <row r="1346" spans="1:15" x14ac:dyDescent="0.3">
      <c r="A1346" s="302" t="s">
        <v>155</v>
      </c>
      <c r="B1346" s="302" t="str">
        <f t="shared" si="8"/>
        <v>Y</v>
      </c>
      <c r="C1346" s="6" t="s">
        <v>3936</v>
      </c>
      <c r="D1346" s="327"/>
      <c r="E1346" s="327" t="s">
        <v>741</v>
      </c>
      <c r="F1346" s="206" t="s">
        <v>3937</v>
      </c>
      <c r="G1346" s="206" t="s">
        <v>3927</v>
      </c>
      <c r="H1346" s="206" t="s">
        <v>3927</v>
      </c>
      <c r="K1346" s="302">
        <v>8825164755</v>
      </c>
      <c r="M1346" s="212"/>
      <c r="N1346" s="213"/>
      <c r="O1346" s="209"/>
    </row>
    <row r="1347" spans="1:15" x14ac:dyDescent="0.3">
      <c r="A1347" s="302" t="s">
        <v>155</v>
      </c>
      <c r="B1347" s="302" t="str">
        <f t="shared" si="8"/>
        <v>Y</v>
      </c>
      <c r="C1347" s="6" t="s">
        <v>3938</v>
      </c>
      <c r="D1347" s="327"/>
      <c r="E1347" s="327" t="s">
        <v>3939</v>
      </c>
      <c r="F1347" s="206" t="s">
        <v>3940</v>
      </c>
      <c r="G1347" s="206" t="s">
        <v>3927</v>
      </c>
      <c r="H1347" s="206" t="s">
        <v>3927</v>
      </c>
      <c r="K1347" s="302">
        <v>9142834403</v>
      </c>
      <c r="M1347" s="212"/>
      <c r="N1347" s="213"/>
      <c r="O1347" s="209"/>
    </row>
    <row r="1348" spans="1:15" x14ac:dyDescent="0.3">
      <c r="A1348" s="302" t="s">
        <v>155</v>
      </c>
      <c r="B1348" s="302" t="str">
        <f t="shared" si="8"/>
        <v>Y</v>
      </c>
      <c r="C1348" s="6" t="s">
        <v>3941</v>
      </c>
      <c r="D1348" s="327"/>
      <c r="E1348" s="327" t="s">
        <v>3942</v>
      </c>
      <c r="F1348" s="206" t="s">
        <v>3943</v>
      </c>
      <c r="G1348" s="206" t="s">
        <v>3944</v>
      </c>
      <c r="H1348" s="206" t="s">
        <v>3945</v>
      </c>
      <c r="K1348" s="302">
        <v>9031505502</v>
      </c>
      <c r="M1348" s="212"/>
      <c r="N1348" s="213"/>
      <c r="O1348" s="209"/>
    </row>
    <row r="1349" spans="1:15" x14ac:dyDescent="0.3">
      <c r="A1349" s="302" t="s">
        <v>155</v>
      </c>
      <c r="B1349" s="302" t="str">
        <f t="shared" si="8"/>
        <v>Y</v>
      </c>
      <c r="C1349" s="6" t="s">
        <v>3946</v>
      </c>
      <c r="D1349" s="327"/>
      <c r="E1349" s="327" t="s">
        <v>3947</v>
      </c>
      <c r="F1349" s="206" t="s">
        <v>3948</v>
      </c>
      <c r="G1349" s="206" t="s">
        <v>3944</v>
      </c>
      <c r="H1349" s="206" t="s">
        <v>3945</v>
      </c>
      <c r="K1349" s="302">
        <v>9031139110</v>
      </c>
      <c r="M1349" s="212"/>
      <c r="N1349" s="213"/>
      <c r="O1349" s="209"/>
    </row>
    <row r="1350" spans="1:15" x14ac:dyDescent="0.3">
      <c r="A1350" s="302" t="s">
        <v>155</v>
      </c>
      <c r="B1350" s="302" t="str">
        <f t="shared" si="8"/>
        <v>Y</v>
      </c>
      <c r="C1350" s="6" t="s">
        <v>3949</v>
      </c>
      <c r="D1350" s="327"/>
      <c r="E1350" s="327" t="s">
        <v>3950</v>
      </c>
      <c r="F1350" s="206" t="s">
        <v>3951</v>
      </c>
      <c r="G1350" s="206" t="s">
        <v>3944</v>
      </c>
      <c r="H1350" s="206" t="s">
        <v>3945</v>
      </c>
      <c r="K1350" s="302">
        <v>9973515720</v>
      </c>
      <c r="M1350" s="212"/>
      <c r="N1350" s="213"/>
      <c r="O1350" s="209"/>
    </row>
    <row r="1351" spans="1:15" x14ac:dyDescent="0.3">
      <c r="A1351" s="302" t="s">
        <v>155</v>
      </c>
      <c r="B1351" s="302" t="str">
        <f t="shared" si="8"/>
        <v>Y</v>
      </c>
      <c r="C1351" s="6" t="s">
        <v>3952</v>
      </c>
      <c r="D1351" s="327"/>
      <c r="E1351" s="327" t="s">
        <v>3953</v>
      </c>
      <c r="F1351" s="206" t="s">
        <v>3954</v>
      </c>
      <c r="G1351" s="206" t="s">
        <v>3945</v>
      </c>
      <c r="H1351" s="206" t="s">
        <v>3945</v>
      </c>
      <c r="K1351" s="302">
        <v>7903833040</v>
      </c>
      <c r="M1351" s="212"/>
      <c r="N1351" s="213"/>
      <c r="O1351" s="209"/>
    </row>
    <row r="1352" spans="1:15" x14ac:dyDescent="0.3">
      <c r="A1352" s="221" t="s">
        <v>155</v>
      </c>
      <c r="B1352" s="221" t="str">
        <f t="shared" si="8"/>
        <v>N</v>
      </c>
      <c r="C1352" s="451" t="s">
        <v>3955</v>
      </c>
      <c r="D1352" s="329"/>
      <c r="E1352" s="329" t="s">
        <v>3956</v>
      </c>
      <c r="F1352" s="219" t="s">
        <v>3957</v>
      </c>
      <c r="G1352" s="219" t="s">
        <v>3958</v>
      </c>
      <c r="H1352" s="221"/>
      <c r="K1352" s="302">
        <v>9304738393</v>
      </c>
      <c r="M1352" s="212"/>
      <c r="N1352" s="213"/>
      <c r="O1352" s="209"/>
    </row>
    <row r="1353" spans="1:15" x14ac:dyDescent="0.3">
      <c r="A1353" s="302" t="s">
        <v>155</v>
      </c>
      <c r="B1353" s="302" t="str">
        <f t="shared" si="8"/>
        <v>Y</v>
      </c>
      <c r="C1353" s="6" t="s">
        <v>3959</v>
      </c>
      <c r="D1353" s="327"/>
      <c r="E1353" s="327" t="s">
        <v>3960</v>
      </c>
      <c r="F1353" s="206" t="s">
        <v>3961</v>
      </c>
      <c r="G1353" s="206" t="s">
        <v>3958</v>
      </c>
      <c r="H1353" s="206" t="s">
        <v>3958</v>
      </c>
      <c r="K1353" s="302">
        <v>9534136792</v>
      </c>
      <c r="M1353" s="212"/>
      <c r="N1353" s="213"/>
      <c r="O1353" s="209"/>
    </row>
    <row r="1354" spans="1:15" x14ac:dyDescent="0.3">
      <c r="A1354" s="302" t="s">
        <v>155</v>
      </c>
      <c r="B1354" s="302" t="str">
        <f t="shared" si="8"/>
        <v>Y</v>
      </c>
      <c r="C1354" s="6" t="s">
        <v>3962</v>
      </c>
      <c r="D1354" s="327"/>
      <c r="E1354" s="327" t="s">
        <v>3768</v>
      </c>
      <c r="F1354" s="206" t="s">
        <v>3963</v>
      </c>
      <c r="G1354" s="206" t="s">
        <v>3964</v>
      </c>
      <c r="H1354" s="206" t="s">
        <v>3964</v>
      </c>
      <c r="M1354" s="212"/>
      <c r="N1354" s="213"/>
      <c r="O1354" s="209"/>
    </row>
    <row r="1355" spans="1:15" x14ac:dyDescent="0.3">
      <c r="A1355" s="302" t="s">
        <v>155</v>
      </c>
      <c r="B1355" s="302" t="str">
        <f t="shared" si="8"/>
        <v>Y</v>
      </c>
      <c r="C1355" s="6" t="s">
        <v>3965</v>
      </c>
      <c r="D1355" s="327"/>
      <c r="E1355" s="327" t="s">
        <v>3966</v>
      </c>
      <c r="F1355" s="206" t="s">
        <v>3967</v>
      </c>
      <c r="G1355" s="206" t="s">
        <v>3964</v>
      </c>
      <c r="H1355" s="206" t="s">
        <v>3964</v>
      </c>
      <c r="K1355" s="302">
        <v>7520223549</v>
      </c>
      <c r="M1355" s="212"/>
      <c r="N1355" s="213"/>
      <c r="O1355" s="209"/>
    </row>
    <row r="1356" spans="1:15" x14ac:dyDescent="0.3">
      <c r="A1356" s="302" t="s">
        <v>155</v>
      </c>
      <c r="B1356" s="302" t="str">
        <f t="shared" si="8"/>
        <v>Y</v>
      </c>
      <c r="C1356" s="450" t="s">
        <v>3968</v>
      </c>
      <c r="D1356" s="328"/>
      <c r="E1356" s="327" t="s">
        <v>3969</v>
      </c>
      <c r="F1356" s="206" t="s">
        <v>3970</v>
      </c>
      <c r="G1356" s="206" t="s">
        <v>3964</v>
      </c>
      <c r="H1356" s="206" t="s">
        <v>3964</v>
      </c>
      <c r="K1356" s="302">
        <v>9263204709</v>
      </c>
      <c r="M1356" s="212"/>
      <c r="N1356" s="213"/>
      <c r="O1356" s="209"/>
    </row>
    <row r="1357" spans="1:15" x14ac:dyDescent="0.3">
      <c r="A1357" s="302" t="s">
        <v>155</v>
      </c>
      <c r="B1357" s="302" t="str">
        <f t="shared" si="8"/>
        <v>Y</v>
      </c>
      <c r="C1357" s="6" t="s">
        <v>3971</v>
      </c>
      <c r="D1357" s="327"/>
      <c r="E1357" s="327" t="s">
        <v>3972</v>
      </c>
      <c r="F1357" s="206" t="s">
        <v>3973</v>
      </c>
      <c r="G1357" s="206" t="s">
        <v>3974</v>
      </c>
      <c r="H1357" s="206" t="s">
        <v>3974</v>
      </c>
      <c r="M1357" s="212"/>
      <c r="N1357" s="213"/>
      <c r="O1357" s="209"/>
    </row>
    <row r="1358" spans="1:15" x14ac:dyDescent="0.3">
      <c r="A1358" s="302" t="s">
        <v>155</v>
      </c>
      <c r="B1358" s="302" t="str">
        <f t="shared" ref="B1358:B1549" si="9">IF(H1358="","N","Y")</f>
        <v>Y</v>
      </c>
      <c r="C1358" s="6" t="s">
        <v>3975</v>
      </c>
      <c r="D1358" s="327"/>
      <c r="E1358" s="327" t="s">
        <v>3976</v>
      </c>
      <c r="F1358" s="206" t="s">
        <v>3977</v>
      </c>
      <c r="G1358" s="206" t="s">
        <v>3974</v>
      </c>
      <c r="H1358" s="206" t="s">
        <v>3974</v>
      </c>
      <c r="K1358" s="302">
        <v>7667988312</v>
      </c>
      <c r="M1358" s="212"/>
      <c r="N1358" s="213"/>
      <c r="O1358" s="209"/>
    </row>
    <row r="1359" spans="1:15" x14ac:dyDescent="0.3">
      <c r="A1359" s="302" t="s">
        <v>155</v>
      </c>
      <c r="B1359" s="302" t="str">
        <f t="shared" si="9"/>
        <v>Y</v>
      </c>
      <c r="C1359" s="6" t="s">
        <v>3978</v>
      </c>
      <c r="D1359" s="327"/>
      <c r="E1359" s="327" t="s">
        <v>3979</v>
      </c>
      <c r="F1359" s="206" t="s">
        <v>3980</v>
      </c>
      <c r="G1359" s="206" t="s">
        <v>3974</v>
      </c>
      <c r="H1359" s="206" t="s">
        <v>3974</v>
      </c>
      <c r="K1359" s="302">
        <v>7992426984</v>
      </c>
      <c r="M1359" s="212"/>
      <c r="N1359" s="213"/>
      <c r="O1359" s="209"/>
    </row>
    <row r="1360" spans="1:15" x14ac:dyDescent="0.3">
      <c r="A1360" s="302" t="s">
        <v>155</v>
      </c>
      <c r="B1360" s="302" t="str">
        <f t="shared" si="9"/>
        <v>Y</v>
      </c>
      <c r="C1360" s="6" t="s">
        <v>3981</v>
      </c>
      <c r="D1360" s="327"/>
      <c r="E1360" s="327" t="s">
        <v>3982</v>
      </c>
      <c r="F1360" s="206" t="s">
        <v>3983</v>
      </c>
      <c r="G1360" s="206" t="s">
        <v>3974</v>
      </c>
      <c r="H1360" s="206" t="s">
        <v>3974</v>
      </c>
      <c r="K1360" s="302">
        <v>8920805024</v>
      </c>
      <c r="M1360" s="212"/>
      <c r="N1360" s="213"/>
      <c r="O1360" s="209"/>
    </row>
    <row r="1361" spans="1:15" x14ac:dyDescent="0.3">
      <c r="A1361" s="302" t="s">
        <v>155</v>
      </c>
      <c r="B1361" s="302" t="str">
        <f t="shared" si="9"/>
        <v>Y</v>
      </c>
      <c r="C1361" s="6" t="s">
        <v>3984</v>
      </c>
      <c r="D1361" s="327"/>
      <c r="E1361" s="327" t="s">
        <v>3985</v>
      </c>
      <c r="F1361" s="206" t="s">
        <v>3986</v>
      </c>
      <c r="G1361" s="206" t="s">
        <v>3974</v>
      </c>
      <c r="H1361" s="206" t="s">
        <v>3974</v>
      </c>
      <c r="K1361" s="302">
        <v>7061010586</v>
      </c>
      <c r="M1361" s="212"/>
      <c r="N1361" s="213"/>
      <c r="O1361" s="209"/>
    </row>
    <row r="1362" spans="1:15" x14ac:dyDescent="0.3">
      <c r="A1362" s="302" t="s">
        <v>155</v>
      </c>
      <c r="B1362" s="302" t="str">
        <f t="shared" si="9"/>
        <v>Y</v>
      </c>
      <c r="C1362" s="6" t="s">
        <v>3987</v>
      </c>
      <c r="D1362" s="327"/>
      <c r="E1362" s="327" t="s">
        <v>3988</v>
      </c>
      <c r="F1362" s="206" t="s">
        <v>3989</v>
      </c>
      <c r="G1362" s="206" t="s">
        <v>3990</v>
      </c>
      <c r="H1362" s="206" t="s">
        <v>3990</v>
      </c>
      <c r="K1362" s="302">
        <v>8797107333</v>
      </c>
      <c r="M1362" s="212"/>
      <c r="N1362" s="213"/>
      <c r="O1362" s="209"/>
    </row>
    <row r="1363" spans="1:15" x14ac:dyDescent="0.3">
      <c r="A1363" s="302" t="s">
        <v>155</v>
      </c>
      <c r="B1363" s="302" t="str">
        <f t="shared" si="9"/>
        <v>Y</v>
      </c>
      <c r="C1363" s="6" t="s">
        <v>3991</v>
      </c>
      <c r="D1363" s="327"/>
      <c r="E1363" s="327" t="s">
        <v>3992</v>
      </c>
      <c r="F1363" s="206" t="s">
        <v>3993</v>
      </c>
      <c r="G1363" s="206" t="s">
        <v>3994</v>
      </c>
      <c r="H1363" s="206" t="s">
        <v>3994</v>
      </c>
      <c r="K1363" s="302">
        <v>9507711813</v>
      </c>
      <c r="M1363" s="212"/>
      <c r="N1363" s="213"/>
      <c r="O1363" s="209"/>
    </row>
    <row r="1364" spans="1:15" x14ac:dyDescent="0.3">
      <c r="A1364" s="302" t="s">
        <v>155</v>
      </c>
      <c r="B1364" s="302" t="str">
        <f t="shared" si="9"/>
        <v>Y</v>
      </c>
      <c r="C1364" s="6" t="s">
        <v>3995</v>
      </c>
      <c r="D1364" s="327"/>
      <c r="E1364" s="327" t="s">
        <v>3996</v>
      </c>
      <c r="F1364" s="206" t="s">
        <v>3997</v>
      </c>
      <c r="G1364" s="206" t="s">
        <v>3998</v>
      </c>
      <c r="H1364" s="207">
        <v>44255</v>
      </c>
      <c r="J1364" s="8" t="s">
        <v>3999</v>
      </c>
      <c r="K1364" s="302">
        <v>9122544536</v>
      </c>
      <c r="M1364" s="212"/>
      <c r="N1364" s="213"/>
      <c r="O1364" s="209"/>
    </row>
    <row r="1365" spans="1:15" x14ac:dyDescent="0.3">
      <c r="A1365" s="302" t="s">
        <v>155</v>
      </c>
      <c r="B1365" s="302" t="str">
        <f t="shared" si="9"/>
        <v>Y</v>
      </c>
      <c r="C1365" s="6" t="s">
        <v>4000</v>
      </c>
      <c r="D1365" s="327"/>
      <c r="E1365" s="327" t="s">
        <v>4001</v>
      </c>
      <c r="F1365" s="206" t="s">
        <v>4002</v>
      </c>
      <c r="G1365" s="206" t="s">
        <v>3998</v>
      </c>
      <c r="H1365" s="207">
        <v>44255</v>
      </c>
      <c r="J1365" s="8" t="s">
        <v>4003</v>
      </c>
      <c r="K1365" s="302">
        <v>8863974166</v>
      </c>
      <c r="M1365" s="212"/>
      <c r="N1365" s="213"/>
      <c r="O1365" s="209"/>
    </row>
    <row r="1366" spans="1:15" x14ac:dyDescent="0.3">
      <c r="A1366" s="302" t="s">
        <v>155</v>
      </c>
      <c r="B1366" s="302" t="str">
        <f t="shared" si="9"/>
        <v>Y</v>
      </c>
      <c r="C1366" s="6" t="s">
        <v>4004</v>
      </c>
      <c r="D1366" s="327"/>
      <c r="E1366" s="327" t="s">
        <v>4005</v>
      </c>
      <c r="F1366" s="206" t="s">
        <v>4006</v>
      </c>
      <c r="G1366" s="206" t="s">
        <v>4007</v>
      </c>
      <c r="H1366" s="207">
        <v>44228</v>
      </c>
      <c r="J1366" s="8" t="s">
        <v>4008</v>
      </c>
      <c r="K1366" s="302">
        <v>7061273402</v>
      </c>
      <c r="M1366" s="212"/>
      <c r="N1366" s="213"/>
      <c r="O1366" s="209"/>
    </row>
    <row r="1367" spans="1:15" x14ac:dyDescent="0.3">
      <c r="A1367" s="302" t="s">
        <v>155</v>
      </c>
      <c r="B1367" s="302" t="str">
        <f t="shared" si="9"/>
        <v>Y</v>
      </c>
      <c r="C1367" s="6" t="s">
        <v>4009</v>
      </c>
      <c r="D1367" s="327"/>
      <c r="E1367" s="327" t="s">
        <v>1115</v>
      </c>
      <c r="F1367" s="206" t="s">
        <v>4010</v>
      </c>
      <c r="G1367" s="206" t="s">
        <v>4007</v>
      </c>
      <c r="H1367" s="207">
        <v>44228</v>
      </c>
      <c r="J1367" s="8" t="s">
        <v>4011</v>
      </c>
      <c r="K1367" s="302">
        <v>8797804720</v>
      </c>
      <c r="M1367" s="212"/>
      <c r="N1367" s="213"/>
      <c r="O1367" s="209"/>
    </row>
    <row r="1368" spans="1:15" x14ac:dyDescent="0.3">
      <c r="A1368" s="302" t="s">
        <v>155</v>
      </c>
      <c r="B1368" s="302" t="str">
        <f t="shared" si="9"/>
        <v>Y</v>
      </c>
      <c r="C1368" s="6" t="s">
        <v>4012</v>
      </c>
      <c r="D1368" s="327"/>
      <c r="E1368" s="327" t="s">
        <v>4013</v>
      </c>
      <c r="F1368" s="206" t="s">
        <v>4014</v>
      </c>
      <c r="G1368" s="206" t="s">
        <v>4015</v>
      </c>
      <c r="H1368" s="206" t="s">
        <v>4015</v>
      </c>
      <c r="K1368" s="302">
        <v>8789027362</v>
      </c>
      <c r="M1368" s="212"/>
      <c r="N1368" s="213"/>
      <c r="O1368" s="209"/>
    </row>
    <row r="1369" spans="1:15" x14ac:dyDescent="0.3">
      <c r="A1369" s="302" t="s">
        <v>155</v>
      </c>
      <c r="B1369" s="302" t="str">
        <f t="shared" si="9"/>
        <v>Y</v>
      </c>
      <c r="C1369" s="6" t="s">
        <v>4016</v>
      </c>
      <c r="D1369" s="327"/>
      <c r="E1369" s="327" t="s">
        <v>4017</v>
      </c>
      <c r="F1369" s="206" t="s">
        <v>4018</v>
      </c>
      <c r="G1369" s="206" t="s">
        <v>4015</v>
      </c>
      <c r="H1369" s="206" t="s">
        <v>4015</v>
      </c>
      <c r="K1369" s="302">
        <v>9334041690</v>
      </c>
      <c r="M1369" s="212"/>
      <c r="N1369" s="213"/>
      <c r="O1369" s="209"/>
    </row>
    <row r="1370" spans="1:15" x14ac:dyDescent="0.3">
      <c r="A1370" s="302" t="s">
        <v>155</v>
      </c>
      <c r="B1370" s="302" t="str">
        <f t="shared" si="9"/>
        <v>Y</v>
      </c>
      <c r="C1370" s="6" t="s">
        <v>4019</v>
      </c>
      <c r="D1370" s="327"/>
      <c r="E1370" s="327" t="s">
        <v>4020</v>
      </c>
      <c r="F1370" s="206" t="s">
        <v>4021</v>
      </c>
      <c r="G1370" s="206" t="s">
        <v>4015</v>
      </c>
      <c r="H1370" s="206" t="s">
        <v>4015</v>
      </c>
      <c r="K1370" s="302">
        <v>9135246478</v>
      </c>
      <c r="M1370" s="212"/>
      <c r="N1370" s="213"/>
      <c r="O1370" s="209"/>
    </row>
    <row r="1371" spans="1:15" x14ac:dyDescent="0.3">
      <c r="A1371" s="302" t="s">
        <v>155</v>
      </c>
      <c r="B1371" s="302" t="str">
        <f t="shared" si="9"/>
        <v>Y</v>
      </c>
      <c r="C1371" s="6" t="s">
        <v>4022</v>
      </c>
      <c r="D1371" s="327"/>
      <c r="E1371" s="327" t="s">
        <v>4023</v>
      </c>
      <c r="F1371" s="206" t="s">
        <v>4024</v>
      </c>
      <c r="G1371" s="206" t="s">
        <v>4015</v>
      </c>
      <c r="H1371" s="206" t="s">
        <v>4015</v>
      </c>
      <c r="K1371" s="302">
        <v>8986815858</v>
      </c>
      <c r="M1371" s="212"/>
      <c r="N1371" s="213"/>
      <c r="O1371" s="209"/>
    </row>
    <row r="1372" spans="1:15" x14ac:dyDescent="0.3">
      <c r="A1372" s="302" t="s">
        <v>155</v>
      </c>
      <c r="B1372" s="302" t="str">
        <f t="shared" si="9"/>
        <v>Y</v>
      </c>
      <c r="C1372" s="6" t="s">
        <v>4025</v>
      </c>
      <c r="D1372" s="327"/>
      <c r="E1372" s="327" t="s">
        <v>4026</v>
      </c>
      <c r="F1372" s="206" t="s">
        <v>4027</v>
      </c>
      <c r="G1372" s="206" t="s">
        <v>4028</v>
      </c>
      <c r="H1372" s="207">
        <v>44259</v>
      </c>
      <c r="M1372" s="212"/>
      <c r="N1372" s="213"/>
      <c r="O1372" s="209"/>
    </row>
    <row r="1373" spans="1:15" x14ac:dyDescent="0.3">
      <c r="A1373" s="302" t="s">
        <v>155</v>
      </c>
      <c r="B1373" s="302" t="str">
        <f t="shared" si="9"/>
        <v>Y</v>
      </c>
      <c r="C1373" s="6" t="s">
        <v>4029</v>
      </c>
      <c r="D1373" s="327"/>
      <c r="E1373" s="327" t="s">
        <v>1586</v>
      </c>
      <c r="F1373" s="206" t="s">
        <v>4030</v>
      </c>
      <c r="G1373" s="206" t="s">
        <v>4031</v>
      </c>
      <c r="H1373" s="206" t="s">
        <v>4031</v>
      </c>
      <c r="K1373" s="302">
        <v>9693042041</v>
      </c>
      <c r="M1373" s="212"/>
      <c r="N1373" s="213"/>
      <c r="O1373" s="209"/>
    </row>
    <row r="1374" spans="1:15" x14ac:dyDescent="0.3">
      <c r="A1374" s="302" t="s">
        <v>155</v>
      </c>
      <c r="B1374" s="302" t="str">
        <f t="shared" si="9"/>
        <v>Y</v>
      </c>
      <c r="C1374" s="450" t="s">
        <v>4032</v>
      </c>
      <c r="D1374" s="328"/>
      <c r="E1374" s="327" t="s">
        <v>4033</v>
      </c>
      <c r="F1374" s="206" t="s">
        <v>4034</v>
      </c>
      <c r="G1374" s="206" t="s">
        <v>4035</v>
      </c>
      <c r="H1374" s="206" t="s">
        <v>4035</v>
      </c>
      <c r="K1374" s="302">
        <v>7667702193</v>
      </c>
      <c r="M1374" s="212"/>
      <c r="N1374" s="213"/>
      <c r="O1374" s="209"/>
    </row>
    <row r="1375" spans="1:15" x14ac:dyDescent="0.3">
      <c r="A1375" s="302" t="s">
        <v>155</v>
      </c>
      <c r="B1375" s="302" t="str">
        <f t="shared" si="9"/>
        <v>Y</v>
      </c>
      <c r="C1375" s="6" t="s">
        <v>4036</v>
      </c>
      <c r="D1375" s="327"/>
      <c r="E1375" s="327" t="s">
        <v>4037</v>
      </c>
      <c r="F1375" s="206" t="s">
        <v>4038</v>
      </c>
      <c r="G1375" s="206" t="s">
        <v>4035</v>
      </c>
      <c r="H1375" s="206" t="s">
        <v>4035</v>
      </c>
      <c r="K1375" s="302">
        <v>9199736469</v>
      </c>
      <c r="M1375" s="212"/>
      <c r="N1375" s="213"/>
      <c r="O1375" s="209"/>
    </row>
    <row r="1376" spans="1:15" x14ac:dyDescent="0.3">
      <c r="A1376" s="302" t="s">
        <v>155</v>
      </c>
      <c r="B1376" s="302" t="str">
        <f t="shared" si="9"/>
        <v>Y</v>
      </c>
      <c r="C1376" s="6" t="s">
        <v>4039</v>
      </c>
      <c r="D1376" s="327"/>
      <c r="E1376" s="327" t="s">
        <v>4040</v>
      </c>
      <c r="F1376" s="206" t="s">
        <v>4041</v>
      </c>
      <c r="G1376" s="206" t="s">
        <v>4035</v>
      </c>
      <c r="H1376" s="206" t="s">
        <v>4035</v>
      </c>
      <c r="K1376" s="302">
        <v>9905314204</v>
      </c>
      <c r="M1376" s="212"/>
      <c r="N1376" s="213"/>
      <c r="O1376" s="209"/>
    </row>
    <row r="1377" spans="1:15" x14ac:dyDescent="0.3">
      <c r="A1377" s="302" t="s">
        <v>155</v>
      </c>
      <c r="B1377" s="302" t="str">
        <f t="shared" si="9"/>
        <v>Y</v>
      </c>
      <c r="C1377" s="6" t="s">
        <v>4042</v>
      </c>
      <c r="D1377" s="327"/>
      <c r="E1377" s="327" t="s">
        <v>291</v>
      </c>
      <c r="F1377" s="206" t="s">
        <v>4043</v>
      </c>
      <c r="G1377" s="206" t="s">
        <v>4035</v>
      </c>
      <c r="H1377" s="207">
        <v>44262</v>
      </c>
      <c r="K1377" s="302">
        <v>9262304449</v>
      </c>
      <c r="M1377" s="212"/>
      <c r="N1377" s="213"/>
      <c r="O1377" s="209"/>
    </row>
    <row r="1378" spans="1:15" x14ac:dyDescent="0.3">
      <c r="A1378" s="302" t="s">
        <v>155</v>
      </c>
      <c r="B1378" s="302" t="str">
        <f t="shared" si="9"/>
        <v>Y</v>
      </c>
      <c r="C1378" s="6" t="s">
        <v>4044</v>
      </c>
      <c r="D1378" s="327"/>
      <c r="E1378" s="327" t="s">
        <v>4045</v>
      </c>
      <c r="F1378" s="206" t="s">
        <v>2280</v>
      </c>
      <c r="G1378" s="206" t="s">
        <v>4035</v>
      </c>
      <c r="H1378" s="207">
        <v>44262</v>
      </c>
      <c r="K1378" s="302">
        <v>7209420095</v>
      </c>
      <c r="M1378" s="212"/>
      <c r="N1378" s="213"/>
      <c r="O1378" s="209"/>
    </row>
    <row r="1379" spans="1:15" x14ac:dyDescent="0.3">
      <c r="A1379" s="302" t="s">
        <v>155</v>
      </c>
      <c r="B1379" s="302" t="str">
        <f t="shared" si="9"/>
        <v>Y</v>
      </c>
      <c r="C1379" s="6" t="s">
        <v>4046</v>
      </c>
      <c r="D1379" s="327"/>
      <c r="E1379" s="327" t="s">
        <v>4047</v>
      </c>
      <c r="F1379" s="206" t="s">
        <v>2229</v>
      </c>
      <c r="G1379" s="206" t="s">
        <v>4035</v>
      </c>
      <c r="H1379" s="207">
        <v>44262</v>
      </c>
      <c r="K1379" s="302">
        <v>9199736469</v>
      </c>
      <c r="M1379" s="212"/>
      <c r="N1379" s="213"/>
      <c r="O1379" s="209"/>
    </row>
    <row r="1380" spans="1:15" x14ac:dyDescent="0.3">
      <c r="A1380" s="302" t="s">
        <v>155</v>
      </c>
      <c r="B1380" s="302" t="str">
        <f t="shared" si="9"/>
        <v>Y</v>
      </c>
      <c r="C1380" s="6" t="s">
        <v>4048</v>
      </c>
      <c r="D1380" s="327"/>
      <c r="E1380" s="327" t="s">
        <v>4049</v>
      </c>
      <c r="F1380" s="206" t="s">
        <v>1558</v>
      </c>
      <c r="G1380" s="206" t="s">
        <v>4050</v>
      </c>
      <c r="H1380" s="207">
        <v>44264</v>
      </c>
      <c r="J1380" s="2" t="s">
        <v>3735</v>
      </c>
      <c r="K1380" s="302">
        <v>9264222179</v>
      </c>
      <c r="M1380" s="212"/>
      <c r="N1380" s="213"/>
      <c r="O1380" s="209"/>
    </row>
    <row r="1381" spans="1:15" x14ac:dyDescent="0.3">
      <c r="A1381" s="302" t="s">
        <v>155</v>
      </c>
      <c r="B1381" s="302" t="str">
        <f t="shared" si="9"/>
        <v>Y</v>
      </c>
      <c r="C1381" s="6" t="s">
        <v>4051</v>
      </c>
      <c r="D1381" s="327"/>
      <c r="E1381" s="327" t="s">
        <v>4052</v>
      </c>
      <c r="F1381" s="206" t="s">
        <v>4053</v>
      </c>
      <c r="G1381" s="206" t="s">
        <v>4050</v>
      </c>
      <c r="H1381" s="207">
        <v>44264</v>
      </c>
      <c r="J1381" s="2" t="s">
        <v>3735</v>
      </c>
      <c r="K1381" s="302">
        <v>8292221569</v>
      </c>
      <c r="M1381" s="212"/>
      <c r="N1381" s="213"/>
      <c r="O1381" s="209"/>
    </row>
    <row r="1382" spans="1:15" x14ac:dyDescent="0.3">
      <c r="A1382" s="302" t="s">
        <v>155</v>
      </c>
      <c r="B1382" s="302" t="str">
        <f t="shared" si="9"/>
        <v>Y</v>
      </c>
      <c r="C1382" s="6" t="s">
        <v>4054</v>
      </c>
      <c r="D1382" s="327"/>
      <c r="E1382" s="327" t="s">
        <v>4055</v>
      </c>
      <c r="F1382" s="206" t="s">
        <v>4056</v>
      </c>
      <c r="G1382" s="206" t="s">
        <v>4050</v>
      </c>
      <c r="H1382" s="207">
        <v>44264</v>
      </c>
      <c r="J1382" s="2" t="s">
        <v>4057</v>
      </c>
      <c r="K1382" s="302">
        <v>8804696729</v>
      </c>
      <c r="M1382" s="212"/>
      <c r="N1382" s="213"/>
      <c r="O1382" s="209"/>
    </row>
    <row r="1383" spans="1:15" x14ac:dyDescent="0.3">
      <c r="A1383" s="302" t="s">
        <v>155</v>
      </c>
      <c r="B1383" s="302" t="str">
        <f t="shared" si="9"/>
        <v>Y</v>
      </c>
      <c r="C1383" s="6" t="s">
        <v>4058</v>
      </c>
      <c r="D1383" s="327"/>
      <c r="E1383" s="327" t="s">
        <v>4059</v>
      </c>
      <c r="F1383" s="206" t="s">
        <v>4060</v>
      </c>
      <c r="G1383" s="206" t="s">
        <v>4050</v>
      </c>
      <c r="H1383" s="207">
        <v>44264</v>
      </c>
      <c r="J1383" s="2" t="s">
        <v>4061</v>
      </c>
      <c r="K1383" s="302">
        <v>9798769069</v>
      </c>
      <c r="M1383" s="212"/>
      <c r="N1383" s="213"/>
      <c r="O1383" s="209"/>
    </row>
    <row r="1384" spans="1:15" x14ac:dyDescent="0.3">
      <c r="A1384" s="302" t="s">
        <v>155</v>
      </c>
      <c r="B1384" s="302" t="str">
        <f t="shared" si="9"/>
        <v>Y</v>
      </c>
      <c r="C1384" s="6" t="s">
        <v>4062</v>
      </c>
      <c r="D1384" s="327"/>
      <c r="E1384" s="327" t="s">
        <v>4063</v>
      </c>
      <c r="F1384" s="206" t="s">
        <v>4064</v>
      </c>
      <c r="G1384" s="206" t="s">
        <v>4050</v>
      </c>
      <c r="H1384" s="207">
        <v>44264</v>
      </c>
      <c r="J1384" s="8" t="s">
        <v>4065</v>
      </c>
      <c r="K1384" s="302">
        <v>6204390362</v>
      </c>
      <c r="M1384" s="212"/>
      <c r="N1384" s="213"/>
      <c r="O1384" s="209"/>
    </row>
    <row r="1385" spans="1:15" x14ac:dyDescent="0.3">
      <c r="A1385" s="302" t="s">
        <v>155</v>
      </c>
      <c r="B1385" s="302" t="str">
        <f t="shared" si="9"/>
        <v>Y</v>
      </c>
      <c r="C1385" s="6" t="s">
        <v>4066</v>
      </c>
      <c r="D1385" s="327"/>
      <c r="E1385" s="327" t="s">
        <v>4067</v>
      </c>
      <c r="F1385" s="206" t="s">
        <v>4068</v>
      </c>
      <c r="G1385" s="206" t="s">
        <v>4069</v>
      </c>
      <c r="H1385" s="207">
        <v>44262</v>
      </c>
      <c r="K1385" s="302">
        <v>7261033890</v>
      </c>
      <c r="M1385" s="212"/>
      <c r="N1385" s="213"/>
      <c r="O1385" s="209"/>
    </row>
    <row r="1386" spans="1:15" x14ac:dyDescent="0.3">
      <c r="A1386" s="302" t="s">
        <v>155</v>
      </c>
      <c r="B1386" s="302" t="str">
        <f t="shared" si="9"/>
        <v>Y</v>
      </c>
      <c r="C1386" s="6" t="s">
        <v>4070</v>
      </c>
      <c r="D1386" s="327"/>
      <c r="E1386" s="327" t="s">
        <v>4071</v>
      </c>
      <c r="F1386" s="206" t="s">
        <v>4072</v>
      </c>
      <c r="G1386" s="206" t="s">
        <v>4073</v>
      </c>
      <c r="H1386" s="206" t="s">
        <v>4073</v>
      </c>
      <c r="K1386" s="302">
        <v>9693993536</v>
      </c>
      <c r="M1386" s="212"/>
      <c r="N1386" s="213"/>
      <c r="O1386" s="209"/>
    </row>
    <row r="1387" spans="1:15" x14ac:dyDescent="0.3">
      <c r="A1387" s="302" t="s">
        <v>155</v>
      </c>
      <c r="B1387" s="302" t="str">
        <f t="shared" si="9"/>
        <v>Y</v>
      </c>
      <c r="C1387" s="6" t="s">
        <v>4074</v>
      </c>
      <c r="D1387" s="327"/>
      <c r="E1387" s="327" t="s">
        <v>4075</v>
      </c>
      <c r="F1387" s="206" t="s">
        <v>4076</v>
      </c>
      <c r="G1387" s="206" t="s">
        <v>4073</v>
      </c>
      <c r="H1387" s="206" t="s">
        <v>4073</v>
      </c>
      <c r="K1387" s="302">
        <v>8409169079</v>
      </c>
      <c r="M1387" s="212"/>
      <c r="N1387" s="213"/>
      <c r="O1387" s="209"/>
    </row>
    <row r="1388" spans="1:15" x14ac:dyDescent="0.3">
      <c r="A1388" s="302" t="s">
        <v>155</v>
      </c>
      <c r="B1388" s="302" t="str">
        <f t="shared" si="9"/>
        <v>Y</v>
      </c>
      <c r="C1388" s="451" t="s">
        <v>4077</v>
      </c>
      <c r="D1388" s="329"/>
      <c r="E1388" s="329" t="s">
        <v>4078</v>
      </c>
      <c r="F1388" s="219" t="s">
        <v>4079</v>
      </c>
      <c r="G1388" s="219" t="s">
        <v>4080</v>
      </c>
      <c r="H1388" s="207">
        <v>44267</v>
      </c>
      <c r="K1388" s="302">
        <v>8084017957</v>
      </c>
      <c r="M1388" s="212"/>
      <c r="N1388" s="213"/>
      <c r="O1388" s="209"/>
    </row>
    <row r="1389" spans="1:15" x14ac:dyDescent="0.3">
      <c r="A1389" s="302" t="s">
        <v>155</v>
      </c>
      <c r="B1389" s="302" t="str">
        <f t="shared" si="9"/>
        <v>N</v>
      </c>
      <c r="C1389" s="6" t="s">
        <v>4081</v>
      </c>
      <c r="D1389" s="327"/>
      <c r="E1389" s="327" t="s">
        <v>489</v>
      </c>
      <c r="F1389" s="206" t="s">
        <v>4082</v>
      </c>
      <c r="G1389" s="206" t="s">
        <v>4083</v>
      </c>
      <c r="H1389" s="302"/>
      <c r="K1389" s="302">
        <v>9852740582</v>
      </c>
      <c r="M1389" s="212"/>
      <c r="N1389" s="213"/>
      <c r="O1389" s="209"/>
    </row>
    <row r="1390" spans="1:15" x14ac:dyDescent="0.3">
      <c r="A1390" s="302" t="s">
        <v>155</v>
      </c>
      <c r="B1390" s="302" t="str">
        <f t="shared" si="9"/>
        <v>N</v>
      </c>
      <c r="C1390" s="6" t="s">
        <v>4084</v>
      </c>
      <c r="D1390" s="327"/>
      <c r="E1390" s="327" t="s">
        <v>4085</v>
      </c>
      <c r="F1390" s="206" t="s">
        <v>4086</v>
      </c>
      <c r="G1390" s="206"/>
      <c r="H1390" s="302"/>
      <c r="M1390" s="212"/>
      <c r="N1390" s="213"/>
      <c r="O1390" s="209"/>
    </row>
    <row r="1391" spans="1:15" x14ac:dyDescent="0.3">
      <c r="A1391" s="302" t="s">
        <v>155</v>
      </c>
      <c r="B1391" s="302" t="str">
        <f t="shared" si="9"/>
        <v>Y</v>
      </c>
      <c r="C1391" s="458" t="s">
        <v>4087</v>
      </c>
      <c r="D1391" s="334"/>
      <c r="E1391" s="327" t="s">
        <v>4088</v>
      </c>
      <c r="F1391" s="206" t="s">
        <v>4089</v>
      </c>
      <c r="G1391" s="206" t="s">
        <v>4090</v>
      </c>
      <c r="H1391" s="207">
        <v>44270</v>
      </c>
      <c r="K1391" s="302">
        <v>7209328193</v>
      </c>
      <c r="M1391" s="212"/>
      <c r="N1391" s="213"/>
      <c r="O1391" s="209"/>
    </row>
    <row r="1392" spans="1:15" x14ac:dyDescent="0.3">
      <c r="A1392" s="302" t="s">
        <v>155</v>
      </c>
      <c r="B1392" s="302" t="str">
        <f t="shared" si="9"/>
        <v>Y</v>
      </c>
      <c r="C1392" s="6" t="s">
        <v>4091</v>
      </c>
      <c r="D1392" s="327"/>
      <c r="E1392" s="327" t="s">
        <v>4092</v>
      </c>
      <c r="F1392" s="206" t="s">
        <v>2708</v>
      </c>
      <c r="G1392" s="206" t="s">
        <v>4090</v>
      </c>
      <c r="H1392" s="207">
        <v>44270</v>
      </c>
      <c r="K1392" s="302">
        <v>8260422418</v>
      </c>
      <c r="M1392" s="212"/>
      <c r="N1392" s="213"/>
      <c r="O1392" s="209"/>
    </row>
    <row r="1393" spans="1:15" x14ac:dyDescent="0.3">
      <c r="A1393" s="302" t="s">
        <v>155</v>
      </c>
      <c r="B1393" s="302" t="str">
        <f t="shared" si="9"/>
        <v>Y</v>
      </c>
      <c r="C1393" s="6" t="s">
        <v>4093</v>
      </c>
      <c r="D1393" s="327"/>
      <c r="E1393" s="327" t="s">
        <v>4094</v>
      </c>
      <c r="F1393" s="206" t="s">
        <v>2062</v>
      </c>
      <c r="G1393" s="206" t="s">
        <v>4090</v>
      </c>
      <c r="H1393" s="207">
        <v>44270</v>
      </c>
      <c r="K1393" s="302">
        <v>8016151521</v>
      </c>
      <c r="M1393" s="212"/>
      <c r="N1393" s="213"/>
      <c r="O1393" s="209"/>
    </row>
    <row r="1394" spans="1:15" x14ac:dyDescent="0.3">
      <c r="A1394" s="302" t="s">
        <v>155</v>
      </c>
      <c r="B1394" s="302" t="str">
        <f t="shared" si="9"/>
        <v>Y</v>
      </c>
      <c r="C1394" s="6" t="s">
        <v>4095</v>
      </c>
      <c r="D1394" s="327"/>
      <c r="E1394" s="327" t="s">
        <v>4096</v>
      </c>
      <c r="F1394" s="206" t="s">
        <v>4097</v>
      </c>
      <c r="G1394" s="206" t="s">
        <v>4098</v>
      </c>
      <c r="H1394" s="207">
        <v>44270</v>
      </c>
      <c r="K1394" s="302">
        <v>9835670085</v>
      </c>
      <c r="M1394" s="212"/>
      <c r="N1394" s="213"/>
      <c r="O1394" s="209"/>
    </row>
    <row r="1395" spans="1:15" x14ac:dyDescent="0.3">
      <c r="A1395" s="302" t="s">
        <v>155</v>
      </c>
      <c r="B1395" s="302" t="str">
        <f t="shared" si="9"/>
        <v>Y</v>
      </c>
      <c r="C1395" s="6" t="s">
        <v>4099</v>
      </c>
      <c r="D1395" s="327"/>
      <c r="E1395" s="327" t="s">
        <v>4100</v>
      </c>
      <c r="F1395" s="206" t="s">
        <v>4101</v>
      </c>
      <c r="G1395" s="206" t="s">
        <v>4102</v>
      </c>
      <c r="H1395" s="207">
        <v>44273</v>
      </c>
      <c r="K1395" s="302">
        <v>7979972916</v>
      </c>
      <c r="M1395" s="212"/>
      <c r="N1395" s="213"/>
      <c r="O1395" s="209"/>
    </row>
    <row r="1396" spans="1:15" x14ac:dyDescent="0.3">
      <c r="A1396" s="302" t="s">
        <v>155</v>
      </c>
      <c r="B1396" s="302" t="str">
        <f t="shared" si="9"/>
        <v>Y</v>
      </c>
      <c r="C1396" s="6" t="s">
        <v>4103</v>
      </c>
      <c r="D1396" s="327"/>
      <c r="E1396" s="327" t="s">
        <v>4104</v>
      </c>
      <c r="F1396" s="206" t="s">
        <v>4105</v>
      </c>
      <c r="G1396" s="206" t="s">
        <v>4102</v>
      </c>
      <c r="H1396" s="207">
        <v>44273</v>
      </c>
      <c r="K1396" s="302">
        <v>9835564586</v>
      </c>
      <c r="M1396" s="212"/>
      <c r="N1396" s="213"/>
      <c r="O1396" s="209"/>
    </row>
    <row r="1397" spans="1:15" x14ac:dyDescent="0.3">
      <c r="A1397" s="302" t="s">
        <v>155</v>
      </c>
      <c r="B1397" s="302" t="str">
        <f t="shared" si="9"/>
        <v>Y</v>
      </c>
      <c r="C1397" s="6" t="s">
        <v>4106</v>
      </c>
      <c r="D1397" s="327"/>
      <c r="E1397" s="327" t="s">
        <v>4107</v>
      </c>
      <c r="F1397" s="206" t="s">
        <v>4108</v>
      </c>
      <c r="G1397" s="206" t="s">
        <v>4109</v>
      </c>
      <c r="H1397" s="207">
        <v>44275</v>
      </c>
      <c r="K1397" s="302">
        <v>8603210634</v>
      </c>
      <c r="M1397" s="212"/>
      <c r="N1397" s="213"/>
      <c r="O1397" s="209"/>
    </row>
    <row r="1398" spans="1:15" x14ac:dyDescent="0.3">
      <c r="A1398" s="302" t="s">
        <v>155</v>
      </c>
      <c r="B1398" s="302" t="str">
        <f t="shared" si="9"/>
        <v>Y</v>
      </c>
      <c r="C1398" s="6" t="s">
        <v>4110</v>
      </c>
      <c r="D1398" s="327"/>
      <c r="E1398" s="327" t="s">
        <v>4111</v>
      </c>
      <c r="F1398" s="206" t="s">
        <v>2328</v>
      </c>
      <c r="G1398" s="206" t="s">
        <v>4109</v>
      </c>
      <c r="H1398" s="207">
        <v>44275</v>
      </c>
      <c r="K1398" s="302">
        <v>6202651779</v>
      </c>
      <c r="M1398" s="212"/>
      <c r="N1398" s="213"/>
      <c r="O1398" s="209"/>
    </row>
    <row r="1399" spans="1:15" x14ac:dyDescent="0.3">
      <c r="A1399" s="302" t="s">
        <v>155</v>
      </c>
      <c r="B1399" s="302" t="str">
        <f t="shared" si="9"/>
        <v>Y</v>
      </c>
      <c r="C1399" s="6" t="s">
        <v>4112</v>
      </c>
      <c r="D1399" s="327"/>
      <c r="E1399" s="327" t="s">
        <v>4113</v>
      </c>
      <c r="F1399" s="206" t="s">
        <v>4114</v>
      </c>
      <c r="G1399" s="206" t="s">
        <v>4109</v>
      </c>
      <c r="H1399" s="207">
        <v>44275</v>
      </c>
      <c r="K1399" s="302">
        <v>9709254072</v>
      </c>
      <c r="M1399" s="212"/>
      <c r="N1399" s="213"/>
      <c r="O1399" s="209"/>
    </row>
    <row r="1400" spans="1:15" x14ac:dyDescent="0.3">
      <c r="A1400" s="302" t="s">
        <v>155</v>
      </c>
      <c r="B1400" s="302" t="str">
        <f t="shared" si="9"/>
        <v>Y</v>
      </c>
      <c r="C1400" s="6" t="s">
        <v>4115</v>
      </c>
      <c r="D1400" s="327"/>
      <c r="E1400" s="327" t="s">
        <v>4116</v>
      </c>
      <c r="F1400" s="206" t="s">
        <v>4117</v>
      </c>
      <c r="G1400" s="206" t="s">
        <v>4118</v>
      </c>
      <c r="H1400" s="207">
        <v>44277</v>
      </c>
      <c r="M1400" s="212"/>
      <c r="N1400" s="213"/>
      <c r="O1400" s="209"/>
    </row>
    <row r="1401" spans="1:15" x14ac:dyDescent="0.3">
      <c r="A1401" s="302" t="s">
        <v>155</v>
      </c>
      <c r="B1401" s="302" t="str">
        <f t="shared" si="9"/>
        <v>Y</v>
      </c>
      <c r="C1401" s="6" t="s">
        <v>4119</v>
      </c>
      <c r="D1401" s="327"/>
      <c r="E1401" s="327" t="s">
        <v>4120</v>
      </c>
      <c r="F1401" s="206" t="s">
        <v>4121</v>
      </c>
      <c r="G1401" s="206" t="s">
        <v>4122</v>
      </c>
      <c r="H1401" s="207">
        <v>44278</v>
      </c>
      <c r="J1401" s="2" t="s">
        <v>3735</v>
      </c>
      <c r="K1401" s="302">
        <v>8092684131</v>
      </c>
      <c r="M1401" s="212"/>
      <c r="N1401" s="213"/>
      <c r="O1401" s="209"/>
    </row>
    <row r="1402" spans="1:15" x14ac:dyDescent="0.3">
      <c r="A1402" s="302" t="s">
        <v>155</v>
      </c>
      <c r="B1402" s="302" t="str">
        <f t="shared" si="9"/>
        <v>Y</v>
      </c>
      <c r="C1402" s="6" t="s">
        <v>4123</v>
      </c>
      <c r="D1402" s="327"/>
      <c r="E1402" s="327" t="s">
        <v>4124</v>
      </c>
      <c r="F1402" s="206" t="s">
        <v>4125</v>
      </c>
      <c r="G1402" s="206" t="s">
        <v>4122</v>
      </c>
      <c r="H1402" s="206" t="s">
        <v>4122</v>
      </c>
      <c r="K1402" s="302">
        <v>9661456944</v>
      </c>
      <c r="M1402" s="212"/>
      <c r="N1402" s="213"/>
      <c r="O1402" s="209"/>
    </row>
    <row r="1403" spans="1:15" x14ac:dyDescent="0.3">
      <c r="A1403" s="302" t="s">
        <v>155</v>
      </c>
      <c r="B1403" s="302" t="str">
        <f t="shared" si="9"/>
        <v>Y</v>
      </c>
      <c r="C1403" s="6" t="s">
        <v>4126</v>
      </c>
      <c r="D1403" s="327"/>
      <c r="E1403" s="327" t="s">
        <v>4127</v>
      </c>
      <c r="F1403" s="206" t="s">
        <v>4128</v>
      </c>
      <c r="G1403" s="206" t="s">
        <v>4122</v>
      </c>
      <c r="H1403" s="206" t="s">
        <v>4122</v>
      </c>
      <c r="K1403" s="302">
        <v>9525264346</v>
      </c>
      <c r="M1403" s="212"/>
      <c r="N1403" s="213"/>
      <c r="O1403" s="209"/>
    </row>
    <row r="1404" spans="1:15" x14ac:dyDescent="0.3">
      <c r="A1404" s="302" t="s">
        <v>155</v>
      </c>
      <c r="B1404" s="302" t="str">
        <f t="shared" si="9"/>
        <v>Y</v>
      </c>
      <c r="C1404" s="6" t="s">
        <v>4129</v>
      </c>
      <c r="D1404" s="327"/>
      <c r="E1404" s="327" t="s">
        <v>4130</v>
      </c>
      <c r="F1404" s="206" t="s">
        <v>4131</v>
      </c>
      <c r="G1404" s="206" t="s">
        <v>4132</v>
      </c>
      <c r="H1404" s="206" t="s">
        <v>4133</v>
      </c>
      <c r="K1404" s="302">
        <v>9508149905</v>
      </c>
      <c r="M1404" s="212"/>
      <c r="N1404" s="213"/>
      <c r="O1404" s="209"/>
    </row>
    <row r="1405" spans="1:15" x14ac:dyDescent="0.3">
      <c r="A1405" s="302" t="s">
        <v>155</v>
      </c>
      <c r="B1405" s="302" t="str">
        <f t="shared" si="9"/>
        <v>Y</v>
      </c>
      <c r="C1405" s="6" t="s">
        <v>4134</v>
      </c>
      <c r="D1405" s="327"/>
      <c r="E1405" s="327" t="s">
        <v>4135</v>
      </c>
      <c r="F1405" s="206" t="s">
        <v>4136</v>
      </c>
      <c r="G1405" s="206" t="s">
        <v>4132</v>
      </c>
      <c r="H1405" s="206" t="s">
        <v>4133</v>
      </c>
      <c r="K1405" s="302">
        <v>9431167110</v>
      </c>
      <c r="M1405" s="212"/>
      <c r="N1405" s="213"/>
      <c r="O1405" s="209"/>
    </row>
    <row r="1406" spans="1:15" x14ac:dyDescent="0.3">
      <c r="A1406" s="302" t="s">
        <v>155</v>
      </c>
      <c r="B1406" s="302" t="str">
        <f t="shared" si="9"/>
        <v>Y</v>
      </c>
      <c r="C1406" s="6" t="s">
        <v>4137</v>
      </c>
      <c r="D1406" s="327"/>
      <c r="E1406" s="327" t="s">
        <v>4138</v>
      </c>
      <c r="F1406" s="206" t="s">
        <v>4139</v>
      </c>
      <c r="G1406" s="206" t="s">
        <v>4140</v>
      </c>
      <c r="H1406" s="207">
        <v>44282</v>
      </c>
      <c r="K1406" s="302">
        <v>6204623642</v>
      </c>
      <c r="M1406" s="212"/>
      <c r="N1406" s="213"/>
      <c r="O1406" s="209"/>
    </row>
    <row r="1407" spans="1:15" x14ac:dyDescent="0.3">
      <c r="A1407" s="302" t="s">
        <v>155</v>
      </c>
      <c r="B1407" s="302" t="str">
        <f t="shared" si="9"/>
        <v>Y</v>
      </c>
      <c r="C1407" s="6" t="s">
        <v>4141</v>
      </c>
      <c r="D1407" s="327"/>
      <c r="E1407" s="327" t="s">
        <v>4142</v>
      </c>
      <c r="F1407" s="206" t="s">
        <v>4143</v>
      </c>
      <c r="G1407" s="206" t="s">
        <v>4144</v>
      </c>
      <c r="H1407" s="207">
        <v>44282</v>
      </c>
      <c r="K1407" s="302">
        <v>8789955685</v>
      </c>
      <c r="M1407" s="212"/>
      <c r="N1407" s="213"/>
      <c r="O1407" s="209"/>
    </row>
    <row r="1408" spans="1:15" x14ac:dyDescent="0.3">
      <c r="A1408" s="302" t="s">
        <v>155</v>
      </c>
      <c r="B1408" s="302" t="str">
        <f t="shared" si="9"/>
        <v>Y</v>
      </c>
      <c r="C1408" s="6" t="s">
        <v>4145</v>
      </c>
      <c r="D1408" s="327"/>
      <c r="E1408" s="327" t="s">
        <v>4146</v>
      </c>
      <c r="F1408" s="206" t="s">
        <v>4147</v>
      </c>
      <c r="G1408" s="206" t="s">
        <v>4144</v>
      </c>
      <c r="H1408" s="206" t="s">
        <v>4144</v>
      </c>
      <c r="K1408" s="302">
        <v>7632053336</v>
      </c>
      <c r="M1408" s="212"/>
      <c r="N1408" s="213"/>
      <c r="O1408" s="209"/>
    </row>
    <row r="1409" spans="1:15" x14ac:dyDescent="0.3">
      <c r="A1409" s="302" t="s">
        <v>155</v>
      </c>
      <c r="B1409" s="302" t="str">
        <f t="shared" si="9"/>
        <v>Y</v>
      </c>
      <c r="C1409" s="6" t="s">
        <v>4148</v>
      </c>
      <c r="D1409" s="327"/>
      <c r="E1409" s="327" t="s">
        <v>4149</v>
      </c>
      <c r="F1409" s="206" t="s">
        <v>4150</v>
      </c>
      <c r="G1409" s="206" t="s">
        <v>4144</v>
      </c>
      <c r="H1409" s="206" t="s">
        <v>4144</v>
      </c>
      <c r="K1409" s="302">
        <v>8340173835</v>
      </c>
      <c r="M1409" s="212"/>
      <c r="N1409" s="213"/>
      <c r="O1409" s="209"/>
    </row>
    <row r="1410" spans="1:15" x14ac:dyDescent="0.3">
      <c r="A1410" s="302" t="s">
        <v>155</v>
      </c>
      <c r="B1410" s="302" t="str">
        <f t="shared" si="9"/>
        <v>Y</v>
      </c>
      <c r="C1410" s="6" t="s">
        <v>4151</v>
      </c>
      <c r="D1410" s="327"/>
      <c r="E1410" s="327" t="s">
        <v>4152</v>
      </c>
      <c r="F1410" s="206" t="s">
        <v>4153</v>
      </c>
      <c r="G1410" s="206" t="s">
        <v>4144</v>
      </c>
      <c r="H1410" s="206" t="s">
        <v>4144</v>
      </c>
      <c r="K1410" s="302">
        <v>9771420180</v>
      </c>
      <c r="M1410" s="212"/>
      <c r="N1410" s="213"/>
      <c r="O1410" s="209"/>
    </row>
    <row r="1411" spans="1:15" x14ac:dyDescent="0.3">
      <c r="A1411" s="302" t="s">
        <v>155</v>
      </c>
      <c r="B1411" s="302" t="str">
        <f t="shared" si="9"/>
        <v>Y</v>
      </c>
      <c r="C1411" s="6" t="s">
        <v>4154</v>
      </c>
      <c r="D1411" s="327"/>
      <c r="E1411" s="327" t="s">
        <v>3817</v>
      </c>
      <c r="F1411" s="206" t="s">
        <v>4155</v>
      </c>
      <c r="G1411" s="206" t="s">
        <v>4144</v>
      </c>
      <c r="H1411" s="207">
        <v>44282</v>
      </c>
      <c r="K1411" s="302">
        <v>6204623642</v>
      </c>
      <c r="M1411" s="212"/>
      <c r="N1411" s="213"/>
      <c r="O1411" s="209"/>
    </row>
    <row r="1412" spans="1:15" x14ac:dyDescent="0.3">
      <c r="A1412" s="302" t="s">
        <v>155</v>
      </c>
      <c r="B1412" s="302" t="str">
        <f t="shared" si="9"/>
        <v>Y</v>
      </c>
      <c r="C1412" s="6" t="s">
        <v>4156</v>
      </c>
      <c r="D1412" s="327"/>
      <c r="E1412" s="327" t="s">
        <v>4157</v>
      </c>
      <c r="F1412" s="206" t="s">
        <v>4158</v>
      </c>
      <c r="G1412" s="206" t="s">
        <v>4144</v>
      </c>
      <c r="H1412" s="207">
        <v>44282</v>
      </c>
      <c r="M1412" s="212"/>
      <c r="N1412" s="213"/>
      <c r="O1412" s="209"/>
    </row>
    <row r="1413" spans="1:15" x14ac:dyDescent="0.3">
      <c r="A1413" s="302" t="s">
        <v>155</v>
      </c>
      <c r="B1413" s="302" t="str">
        <f t="shared" si="9"/>
        <v>Y</v>
      </c>
      <c r="C1413" s="6" t="s">
        <v>4159</v>
      </c>
      <c r="D1413" s="327"/>
      <c r="E1413" s="327" t="s">
        <v>4160</v>
      </c>
      <c r="F1413" s="206" t="s">
        <v>4161</v>
      </c>
      <c r="G1413" s="206" t="s">
        <v>4162</v>
      </c>
      <c r="H1413" s="206" t="s">
        <v>4162</v>
      </c>
      <c r="K1413" s="302">
        <v>7061588856</v>
      </c>
      <c r="M1413" s="212"/>
      <c r="N1413" s="213"/>
      <c r="O1413" s="209"/>
    </row>
    <row r="1414" spans="1:15" x14ac:dyDescent="0.3">
      <c r="A1414" s="302" t="s">
        <v>155</v>
      </c>
      <c r="B1414" s="302" t="str">
        <f t="shared" si="9"/>
        <v>Y</v>
      </c>
      <c r="C1414" s="6" t="s">
        <v>4163</v>
      </c>
      <c r="D1414" s="327"/>
      <c r="E1414" s="327" t="s">
        <v>4164</v>
      </c>
      <c r="F1414" s="206" t="s">
        <v>4165</v>
      </c>
      <c r="G1414" s="206" t="s">
        <v>4166</v>
      </c>
      <c r="H1414" s="207">
        <v>44285</v>
      </c>
      <c r="J1414" s="8" t="s">
        <v>4167</v>
      </c>
      <c r="K1414" s="302">
        <v>8603452667</v>
      </c>
      <c r="M1414" s="212"/>
      <c r="N1414" s="213"/>
      <c r="O1414" s="209"/>
    </row>
    <row r="1415" spans="1:15" x14ac:dyDescent="0.3">
      <c r="A1415" s="302" t="s">
        <v>155</v>
      </c>
      <c r="B1415" s="302" t="str">
        <f t="shared" si="9"/>
        <v>Y</v>
      </c>
      <c r="C1415" s="6" t="s">
        <v>4168</v>
      </c>
      <c r="D1415" s="327"/>
      <c r="E1415" s="327" t="s">
        <v>4169</v>
      </c>
      <c r="F1415" s="206" t="s">
        <v>4170</v>
      </c>
      <c r="G1415" s="206" t="s">
        <v>4166</v>
      </c>
      <c r="H1415" s="207">
        <v>44286</v>
      </c>
      <c r="K1415" s="302">
        <v>6204220411</v>
      </c>
      <c r="M1415" s="212"/>
      <c r="N1415" s="213"/>
      <c r="O1415" s="209"/>
    </row>
    <row r="1416" spans="1:15" x14ac:dyDescent="0.3">
      <c r="A1416" s="302" t="s">
        <v>155</v>
      </c>
      <c r="B1416" s="302" t="str">
        <f t="shared" si="9"/>
        <v>Y</v>
      </c>
      <c r="C1416" s="6" t="s">
        <v>4171</v>
      </c>
      <c r="D1416" s="327"/>
      <c r="E1416" s="327" t="s">
        <v>4172</v>
      </c>
      <c r="F1416" s="206" t="s">
        <v>4173</v>
      </c>
      <c r="G1416" s="206" t="s">
        <v>4166</v>
      </c>
      <c r="H1416" s="207">
        <v>44286</v>
      </c>
      <c r="K1416" s="302">
        <v>7209606443</v>
      </c>
      <c r="M1416" s="212"/>
      <c r="N1416" s="213"/>
      <c r="O1416" s="209"/>
    </row>
    <row r="1417" spans="1:15" x14ac:dyDescent="0.3">
      <c r="A1417" s="302" t="s">
        <v>155</v>
      </c>
      <c r="B1417" s="302" t="str">
        <f t="shared" si="9"/>
        <v>Y</v>
      </c>
      <c r="C1417" s="6" t="s">
        <v>4174</v>
      </c>
      <c r="D1417" s="327"/>
      <c r="E1417" s="327" t="s">
        <v>4175</v>
      </c>
      <c r="F1417" s="206" t="s">
        <v>4176</v>
      </c>
      <c r="G1417" s="206" t="s">
        <v>4177</v>
      </c>
      <c r="H1417" s="206" t="s">
        <v>4177</v>
      </c>
      <c r="K1417" s="302">
        <v>7482937244</v>
      </c>
      <c r="M1417" s="212"/>
      <c r="N1417" s="213"/>
      <c r="O1417" s="209"/>
    </row>
    <row r="1418" spans="1:15" x14ac:dyDescent="0.3">
      <c r="A1418" s="302" t="s">
        <v>155</v>
      </c>
      <c r="B1418" s="302" t="str">
        <f t="shared" si="9"/>
        <v>Y</v>
      </c>
      <c r="C1418" s="6" t="s">
        <v>4178</v>
      </c>
      <c r="D1418" s="327"/>
      <c r="E1418" s="327" t="s">
        <v>4179</v>
      </c>
      <c r="F1418" s="206" t="s">
        <v>2379</v>
      </c>
      <c r="G1418" s="206" t="s">
        <v>4180</v>
      </c>
      <c r="H1418" s="206" t="s">
        <v>4180</v>
      </c>
      <c r="K1418" s="302">
        <v>8797291214</v>
      </c>
      <c r="M1418" s="212"/>
      <c r="N1418" s="213"/>
      <c r="O1418" s="209"/>
    </row>
    <row r="1419" spans="1:15" x14ac:dyDescent="0.3">
      <c r="A1419" s="302" t="s">
        <v>155</v>
      </c>
      <c r="B1419" s="302" t="str">
        <f t="shared" si="9"/>
        <v>Y</v>
      </c>
      <c r="C1419" s="6" t="s">
        <v>4181</v>
      </c>
      <c r="D1419" s="327"/>
      <c r="E1419" s="327" t="s">
        <v>4182</v>
      </c>
      <c r="F1419" s="206" t="s">
        <v>4183</v>
      </c>
      <c r="G1419" s="206" t="s">
        <v>4180</v>
      </c>
      <c r="H1419" s="206" t="s">
        <v>4180</v>
      </c>
      <c r="K1419" s="302">
        <v>7903772690</v>
      </c>
      <c r="M1419" s="212"/>
      <c r="N1419" s="213"/>
      <c r="O1419" s="209"/>
    </row>
    <row r="1420" spans="1:15" x14ac:dyDescent="0.3">
      <c r="A1420" s="302" t="s">
        <v>155</v>
      </c>
      <c r="B1420" s="302" t="str">
        <f t="shared" si="9"/>
        <v>Y</v>
      </c>
      <c r="C1420" s="6" t="s">
        <v>4184</v>
      </c>
      <c r="D1420" s="327"/>
      <c r="E1420" s="327" t="s">
        <v>4185</v>
      </c>
      <c r="F1420" s="206" t="s">
        <v>4186</v>
      </c>
      <c r="G1420" s="206" t="s">
        <v>4180</v>
      </c>
      <c r="H1420" s="206" t="s">
        <v>4180</v>
      </c>
      <c r="K1420" s="302">
        <v>8797291214</v>
      </c>
      <c r="M1420" s="212"/>
      <c r="N1420" s="213"/>
      <c r="O1420" s="209"/>
    </row>
    <row r="1421" spans="1:15" x14ac:dyDescent="0.3">
      <c r="A1421" s="302" t="s">
        <v>155</v>
      </c>
      <c r="B1421" s="302" t="str">
        <f t="shared" si="9"/>
        <v>Y</v>
      </c>
      <c r="C1421" s="6" t="s">
        <v>4187</v>
      </c>
      <c r="D1421" s="327"/>
      <c r="E1421" s="327" t="s">
        <v>4188</v>
      </c>
      <c r="F1421" s="206" t="s">
        <v>4189</v>
      </c>
      <c r="G1421" s="206" t="s">
        <v>4180</v>
      </c>
      <c r="H1421" s="206" t="s">
        <v>4180</v>
      </c>
      <c r="K1421" s="302">
        <v>9031395162</v>
      </c>
      <c r="M1421" s="212"/>
      <c r="N1421" s="213"/>
      <c r="O1421" s="209"/>
    </row>
    <row r="1422" spans="1:15" x14ac:dyDescent="0.3">
      <c r="A1422" s="302" t="s">
        <v>155</v>
      </c>
      <c r="B1422" s="302" t="str">
        <f t="shared" si="9"/>
        <v>Y</v>
      </c>
      <c r="C1422" s="6" t="s">
        <v>4190</v>
      </c>
      <c r="D1422" s="327"/>
      <c r="E1422" s="327" t="s">
        <v>4191</v>
      </c>
      <c r="F1422" s="206" t="s">
        <v>4192</v>
      </c>
      <c r="G1422" s="206" t="s">
        <v>4180</v>
      </c>
      <c r="H1422" s="206" t="s">
        <v>4180</v>
      </c>
      <c r="K1422" s="302">
        <v>8092248694</v>
      </c>
      <c r="M1422" s="212"/>
      <c r="N1422" s="213"/>
      <c r="O1422" s="209"/>
    </row>
    <row r="1423" spans="1:15" x14ac:dyDescent="0.3">
      <c r="A1423" s="302" t="s">
        <v>155</v>
      </c>
      <c r="B1423" s="302" t="str">
        <f t="shared" si="9"/>
        <v>Y</v>
      </c>
      <c r="C1423" s="6" t="s">
        <v>4193</v>
      </c>
      <c r="D1423" s="327"/>
      <c r="E1423" s="327" t="s">
        <v>4194</v>
      </c>
      <c r="F1423" s="206" t="s">
        <v>4195</v>
      </c>
      <c r="G1423" s="206" t="s">
        <v>4180</v>
      </c>
      <c r="H1423" s="206" t="s">
        <v>4180</v>
      </c>
      <c r="K1423" s="302">
        <v>8709707874</v>
      </c>
      <c r="M1423" s="212"/>
      <c r="N1423" s="213"/>
      <c r="O1423" s="209"/>
    </row>
    <row r="1424" spans="1:15" x14ac:dyDescent="0.3">
      <c r="A1424" s="302" t="s">
        <v>155</v>
      </c>
      <c r="B1424" s="302" t="str">
        <f t="shared" si="9"/>
        <v>Y</v>
      </c>
      <c r="C1424" s="6" t="s">
        <v>4196</v>
      </c>
      <c r="D1424" s="327"/>
      <c r="E1424" s="327" t="s">
        <v>4197</v>
      </c>
      <c r="F1424" s="206" t="s">
        <v>4198</v>
      </c>
      <c r="G1424" s="206" t="s">
        <v>4199</v>
      </c>
      <c r="H1424" s="206" t="s">
        <v>4199</v>
      </c>
      <c r="K1424" s="302">
        <v>7761823413</v>
      </c>
      <c r="M1424" s="212"/>
      <c r="N1424" s="213"/>
      <c r="O1424" s="209"/>
    </row>
    <row r="1425" spans="1:15" x14ac:dyDescent="0.3">
      <c r="A1425" s="302" t="s">
        <v>155</v>
      </c>
      <c r="B1425" s="302" t="str">
        <f t="shared" si="9"/>
        <v>Y</v>
      </c>
      <c r="C1425" s="6" t="s">
        <v>4200</v>
      </c>
      <c r="D1425" s="327"/>
      <c r="E1425" s="327" t="s">
        <v>4201</v>
      </c>
      <c r="F1425" s="206" t="s">
        <v>4202</v>
      </c>
      <c r="G1425" s="206" t="s">
        <v>4199</v>
      </c>
      <c r="H1425" s="206" t="s">
        <v>4199</v>
      </c>
      <c r="K1425" s="302">
        <v>9835489204</v>
      </c>
      <c r="M1425" s="212"/>
      <c r="N1425" s="213"/>
      <c r="O1425" s="209"/>
    </row>
    <row r="1426" spans="1:15" x14ac:dyDescent="0.3">
      <c r="A1426" s="302" t="s">
        <v>155</v>
      </c>
      <c r="B1426" s="302" t="str">
        <f t="shared" si="9"/>
        <v>Y</v>
      </c>
      <c r="C1426" s="6" t="s">
        <v>4203</v>
      </c>
      <c r="D1426" s="327"/>
      <c r="E1426" s="327" t="s">
        <v>4204</v>
      </c>
      <c r="F1426" s="206" t="s">
        <v>4205</v>
      </c>
      <c r="G1426" s="206" t="s">
        <v>4206</v>
      </c>
      <c r="H1426" s="206" t="s">
        <v>4206</v>
      </c>
      <c r="K1426" s="302">
        <v>9431330106</v>
      </c>
      <c r="M1426" s="212"/>
      <c r="N1426" s="213"/>
      <c r="O1426" s="209"/>
    </row>
    <row r="1427" spans="1:15" x14ac:dyDescent="0.3">
      <c r="A1427" s="302" t="s">
        <v>155</v>
      </c>
      <c r="B1427" s="302" t="str">
        <f t="shared" si="9"/>
        <v>Y</v>
      </c>
      <c r="C1427" s="6" t="s">
        <v>4207</v>
      </c>
      <c r="D1427" s="327"/>
      <c r="E1427" s="327" t="s">
        <v>4208</v>
      </c>
      <c r="F1427" s="206" t="s">
        <v>4209</v>
      </c>
      <c r="G1427" s="206" t="s">
        <v>4206</v>
      </c>
      <c r="H1427" s="206" t="s">
        <v>4206</v>
      </c>
      <c r="K1427" s="302">
        <v>9431330106</v>
      </c>
      <c r="M1427" s="212"/>
      <c r="N1427" s="213"/>
      <c r="O1427" s="209"/>
    </row>
    <row r="1428" spans="1:15" x14ac:dyDescent="0.3">
      <c r="A1428" s="302" t="s">
        <v>155</v>
      </c>
      <c r="B1428" s="302" t="str">
        <f t="shared" si="9"/>
        <v>Y</v>
      </c>
      <c r="C1428" s="6" t="s">
        <v>4210</v>
      </c>
      <c r="D1428" s="327"/>
      <c r="E1428" s="327" t="s">
        <v>4211</v>
      </c>
      <c r="F1428" s="206" t="s">
        <v>4212</v>
      </c>
      <c r="G1428" s="206" t="s">
        <v>4206</v>
      </c>
      <c r="H1428" s="206" t="s">
        <v>4206</v>
      </c>
      <c r="K1428" s="302">
        <v>9142040034</v>
      </c>
      <c r="M1428" s="212"/>
      <c r="N1428" s="213"/>
      <c r="O1428" s="209"/>
    </row>
    <row r="1429" spans="1:15" x14ac:dyDescent="0.3">
      <c r="A1429" s="302" t="s">
        <v>155</v>
      </c>
      <c r="B1429" s="302" t="str">
        <f t="shared" si="9"/>
        <v>Y</v>
      </c>
      <c r="C1429" s="6" t="s">
        <v>4213</v>
      </c>
      <c r="D1429" s="327"/>
      <c r="E1429" s="327" t="s">
        <v>4214</v>
      </c>
      <c r="F1429" s="206" t="s">
        <v>4215</v>
      </c>
      <c r="G1429" s="206" t="s">
        <v>4206</v>
      </c>
      <c r="H1429" s="206" t="s">
        <v>4206</v>
      </c>
      <c r="M1429" s="212"/>
      <c r="N1429" s="213"/>
      <c r="O1429" s="209"/>
    </row>
    <row r="1430" spans="1:15" x14ac:dyDescent="0.3">
      <c r="A1430" s="302" t="s">
        <v>155</v>
      </c>
      <c r="B1430" s="302" t="str">
        <f t="shared" si="9"/>
        <v>Y</v>
      </c>
      <c r="C1430" s="6" t="s">
        <v>4216</v>
      </c>
      <c r="D1430" s="327"/>
      <c r="E1430" s="327" t="s">
        <v>4217</v>
      </c>
      <c r="F1430" s="206" t="s">
        <v>4218</v>
      </c>
      <c r="G1430" s="206" t="s">
        <v>4219</v>
      </c>
      <c r="H1430" s="206" t="s">
        <v>4219</v>
      </c>
      <c r="J1430" s="206" t="s">
        <v>3735</v>
      </c>
      <c r="K1430" s="302">
        <v>9835393584</v>
      </c>
      <c r="M1430" s="212"/>
      <c r="N1430" s="213"/>
      <c r="O1430" s="209"/>
    </row>
    <row r="1431" spans="1:15" x14ac:dyDescent="0.3">
      <c r="A1431" s="302" t="s">
        <v>155</v>
      </c>
      <c r="B1431" s="302" t="str">
        <f t="shared" si="9"/>
        <v>Y</v>
      </c>
      <c r="C1431" s="6" t="s">
        <v>4220</v>
      </c>
      <c r="D1431" s="327"/>
      <c r="E1431" s="327" t="s">
        <v>4221</v>
      </c>
      <c r="F1431" s="206" t="s">
        <v>4222</v>
      </c>
      <c r="G1431" s="206" t="s">
        <v>4219</v>
      </c>
      <c r="H1431" s="206" t="s">
        <v>4219</v>
      </c>
      <c r="J1431" s="273" t="s">
        <v>4223</v>
      </c>
      <c r="K1431" s="302">
        <v>8986813787</v>
      </c>
      <c r="M1431" s="212"/>
      <c r="N1431" s="213"/>
      <c r="O1431" s="209"/>
    </row>
    <row r="1432" spans="1:15" x14ac:dyDescent="0.3">
      <c r="A1432" s="302" t="s">
        <v>155</v>
      </c>
      <c r="B1432" s="302" t="str">
        <f t="shared" si="9"/>
        <v>Y</v>
      </c>
      <c r="C1432" s="6" t="s">
        <v>4224</v>
      </c>
      <c r="D1432" s="327"/>
      <c r="E1432" s="327" t="s">
        <v>4225</v>
      </c>
      <c r="F1432" s="206" t="s">
        <v>4226</v>
      </c>
      <c r="G1432" s="206" t="s">
        <v>4227</v>
      </c>
      <c r="H1432" s="207">
        <v>44293</v>
      </c>
      <c r="K1432" s="302">
        <v>8092876763</v>
      </c>
      <c r="M1432" s="212"/>
      <c r="N1432" s="213"/>
      <c r="O1432" s="209"/>
    </row>
    <row r="1433" spans="1:15" x14ac:dyDescent="0.3">
      <c r="A1433" s="302" t="s">
        <v>155</v>
      </c>
      <c r="B1433" s="302" t="str">
        <f t="shared" si="9"/>
        <v>Y</v>
      </c>
      <c r="C1433" s="6" t="s">
        <v>4228</v>
      </c>
      <c r="D1433" s="327"/>
      <c r="E1433" s="327" t="s">
        <v>4229</v>
      </c>
      <c r="F1433" s="206" t="s">
        <v>4230</v>
      </c>
      <c r="G1433" s="206" t="s">
        <v>4227</v>
      </c>
      <c r="H1433" s="207">
        <v>44293</v>
      </c>
      <c r="K1433" s="302">
        <v>8102137893</v>
      </c>
      <c r="M1433" s="212"/>
      <c r="N1433" s="213"/>
      <c r="O1433" s="209"/>
    </row>
    <row r="1434" spans="1:15" x14ac:dyDescent="0.3">
      <c r="A1434" s="302" t="s">
        <v>155</v>
      </c>
      <c r="B1434" s="302" t="str">
        <f t="shared" si="9"/>
        <v>Y</v>
      </c>
      <c r="C1434" s="6" t="s">
        <v>4231</v>
      </c>
      <c r="D1434" s="327"/>
      <c r="E1434" s="327" t="s">
        <v>4232</v>
      </c>
      <c r="F1434" s="206" t="s">
        <v>4233</v>
      </c>
      <c r="G1434" s="206" t="s">
        <v>4227</v>
      </c>
      <c r="H1434" s="207">
        <v>44293</v>
      </c>
      <c r="K1434" s="302">
        <v>8877024024</v>
      </c>
      <c r="M1434" s="212"/>
      <c r="N1434" s="213"/>
      <c r="O1434" s="209"/>
    </row>
    <row r="1435" spans="1:15" x14ac:dyDescent="0.3">
      <c r="A1435" s="302" t="s">
        <v>155</v>
      </c>
      <c r="B1435" s="302" t="str">
        <f t="shared" si="9"/>
        <v>Y</v>
      </c>
      <c r="C1435" s="6" t="s">
        <v>4234</v>
      </c>
      <c r="D1435" s="327"/>
      <c r="E1435" s="327" t="s">
        <v>4235</v>
      </c>
      <c r="F1435" s="206" t="s">
        <v>4236</v>
      </c>
      <c r="G1435" s="206" t="s">
        <v>4227</v>
      </c>
      <c r="H1435" s="207">
        <v>44293</v>
      </c>
      <c r="J1435" s="2" t="s">
        <v>4237</v>
      </c>
      <c r="K1435" s="302">
        <v>8789772921</v>
      </c>
      <c r="M1435" s="212"/>
      <c r="N1435" s="213"/>
      <c r="O1435" s="209"/>
    </row>
    <row r="1436" spans="1:15" x14ac:dyDescent="0.3">
      <c r="A1436" s="302" t="s">
        <v>155</v>
      </c>
      <c r="B1436" s="302" t="str">
        <f t="shared" si="9"/>
        <v>Y</v>
      </c>
      <c r="C1436" s="455" t="s">
        <v>4238</v>
      </c>
      <c r="D1436" s="333"/>
      <c r="E1436" s="327" t="s">
        <v>4239</v>
      </c>
      <c r="F1436" s="206" t="s">
        <v>4240</v>
      </c>
      <c r="G1436" s="206" t="s">
        <v>4241</v>
      </c>
      <c r="H1436" s="206" t="s">
        <v>4241</v>
      </c>
      <c r="K1436" s="302">
        <v>7903677484</v>
      </c>
      <c r="M1436" s="212"/>
      <c r="N1436" s="213"/>
      <c r="O1436" s="209"/>
    </row>
    <row r="1437" spans="1:15" x14ac:dyDescent="0.3">
      <c r="A1437" s="302" t="s">
        <v>155</v>
      </c>
      <c r="B1437" s="302" t="str">
        <f t="shared" si="9"/>
        <v>Y</v>
      </c>
      <c r="C1437" s="6" t="s">
        <v>4242</v>
      </c>
      <c r="D1437" s="327"/>
      <c r="E1437" s="327" t="s">
        <v>4243</v>
      </c>
      <c r="F1437" s="206" t="s">
        <v>4244</v>
      </c>
      <c r="G1437" s="206" t="s">
        <v>4241</v>
      </c>
      <c r="H1437" s="206" t="s">
        <v>4241</v>
      </c>
      <c r="K1437" s="302">
        <v>8092879267</v>
      </c>
      <c r="M1437" s="212"/>
      <c r="N1437" s="213"/>
      <c r="O1437" s="209"/>
    </row>
    <row r="1438" spans="1:15" x14ac:dyDescent="0.3">
      <c r="A1438" s="302" t="s">
        <v>155</v>
      </c>
      <c r="B1438" s="302" t="str">
        <f t="shared" si="9"/>
        <v>Y</v>
      </c>
      <c r="C1438" s="6" t="s">
        <v>4245</v>
      </c>
      <c r="D1438" s="327"/>
      <c r="E1438" s="327" t="s">
        <v>4246</v>
      </c>
      <c r="F1438" s="206" t="s">
        <v>4247</v>
      </c>
      <c r="G1438" s="206" t="s">
        <v>4241</v>
      </c>
      <c r="H1438" s="206" t="s">
        <v>4241</v>
      </c>
      <c r="K1438" s="302">
        <v>9661123668</v>
      </c>
      <c r="M1438" s="212"/>
      <c r="N1438" s="213"/>
      <c r="O1438" s="209"/>
    </row>
    <row r="1439" spans="1:15" x14ac:dyDescent="0.3">
      <c r="A1439" s="302" t="s">
        <v>155</v>
      </c>
      <c r="B1439" s="302" t="str">
        <f t="shared" si="9"/>
        <v>Y</v>
      </c>
      <c r="C1439" s="6" t="s">
        <v>4248</v>
      </c>
      <c r="D1439" s="327"/>
      <c r="E1439" s="327" t="s">
        <v>4249</v>
      </c>
      <c r="F1439" s="206" t="s">
        <v>2459</v>
      </c>
      <c r="G1439" s="206" t="s">
        <v>4241</v>
      </c>
      <c r="H1439" s="206" t="s">
        <v>4241</v>
      </c>
      <c r="K1439" s="302">
        <v>8434646895</v>
      </c>
      <c r="M1439" s="212"/>
      <c r="N1439" s="213"/>
      <c r="O1439" s="209"/>
    </row>
    <row r="1440" spans="1:15" x14ac:dyDescent="0.3">
      <c r="A1440" s="302" t="s">
        <v>155</v>
      </c>
      <c r="B1440" s="302" t="str">
        <f t="shared" si="9"/>
        <v>Y</v>
      </c>
      <c r="C1440" s="6" t="s">
        <v>4250</v>
      </c>
      <c r="D1440" s="327"/>
      <c r="E1440" s="327" t="s">
        <v>4251</v>
      </c>
      <c r="F1440" s="206" t="s">
        <v>4252</v>
      </c>
      <c r="G1440" s="206" t="s">
        <v>4241</v>
      </c>
      <c r="H1440" s="206" t="s">
        <v>4241</v>
      </c>
      <c r="K1440" s="302">
        <v>7079270767</v>
      </c>
      <c r="M1440" s="212"/>
      <c r="N1440" s="213"/>
      <c r="O1440" s="209"/>
    </row>
    <row r="1441" spans="1:15" x14ac:dyDescent="0.3">
      <c r="A1441" s="302" t="s">
        <v>155</v>
      </c>
      <c r="B1441" s="302" t="str">
        <f t="shared" si="9"/>
        <v>Y</v>
      </c>
      <c r="C1441" s="6" t="s">
        <v>4253</v>
      </c>
      <c r="D1441" s="327"/>
      <c r="E1441" s="327" t="s">
        <v>4254</v>
      </c>
      <c r="F1441" s="206" t="s">
        <v>4255</v>
      </c>
      <c r="G1441" s="206" t="s">
        <v>4241</v>
      </c>
      <c r="H1441" s="206" t="s">
        <v>4256</v>
      </c>
      <c r="K1441" s="302">
        <v>7858922828</v>
      </c>
      <c r="M1441" s="212"/>
      <c r="N1441" s="213"/>
      <c r="O1441" s="209"/>
    </row>
    <row r="1442" spans="1:15" x14ac:dyDescent="0.3">
      <c r="A1442" s="302" t="s">
        <v>155</v>
      </c>
      <c r="B1442" s="302" t="str">
        <f t="shared" si="9"/>
        <v>Y</v>
      </c>
      <c r="C1442" s="6" t="s">
        <v>4257</v>
      </c>
      <c r="D1442" s="327"/>
      <c r="E1442" s="327" t="s">
        <v>4258</v>
      </c>
      <c r="F1442" s="206" t="s">
        <v>4259</v>
      </c>
      <c r="G1442" s="206" t="s">
        <v>4256</v>
      </c>
      <c r="H1442" s="206" t="s">
        <v>4256</v>
      </c>
      <c r="K1442" s="302">
        <v>9835171045</v>
      </c>
      <c r="M1442" s="212"/>
      <c r="N1442" s="213"/>
      <c r="O1442" s="209"/>
    </row>
    <row r="1443" spans="1:15" x14ac:dyDescent="0.3">
      <c r="A1443" s="302" t="s">
        <v>155</v>
      </c>
      <c r="B1443" s="302" t="str">
        <f t="shared" si="9"/>
        <v>Y</v>
      </c>
      <c r="C1443" s="6" t="s">
        <v>4260</v>
      </c>
      <c r="D1443" s="327"/>
      <c r="E1443" s="327" t="s">
        <v>4261</v>
      </c>
      <c r="F1443" s="206" t="s">
        <v>4262</v>
      </c>
      <c r="G1443" s="206" t="s">
        <v>4256</v>
      </c>
      <c r="H1443" s="206" t="s">
        <v>4256</v>
      </c>
      <c r="K1443" s="302">
        <v>8789552082</v>
      </c>
      <c r="M1443" s="212"/>
      <c r="N1443" s="213"/>
      <c r="O1443" s="209"/>
    </row>
    <row r="1444" spans="1:15" x14ac:dyDescent="0.3">
      <c r="A1444" s="302" t="s">
        <v>155</v>
      </c>
      <c r="B1444" s="302" t="str">
        <f t="shared" si="9"/>
        <v>Y</v>
      </c>
      <c r="C1444" s="6" t="s">
        <v>4263</v>
      </c>
      <c r="D1444" s="327"/>
      <c r="E1444" s="327" t="s">
        <v>4264</v>
      </c>
      <c r="F1444" s="206" t="s">
        <v>2087</v>
      </c>
      <c r="G1444" s="206" t="s">
        <v>4256</v>
      </c>
      <c r="H1444" s="206" t="s">
        <v>4256</v>
      </c>
      <c r="K1444" s="302">
        <v>7070449831</v>
      </c>
      <c r="M1444" s="212"/>
      <c r="N1444" s="213"/>
      <c r="O1444" s="209"/>
    </row>
    <row r="1445" spans="1:15" x14ac:dyDescent="0.3">
      <c r="A1445" s="302" t="s">
        <v>155</v>
      </c>
      <c r="B1445" s="302" t="str">
        <f t="shared" si="9"/>
        <v>Y</v>
      </c>
      <c r="C1445" s="6" t="s">
        <v>4265</v>
      </c>
      <c r="D1445" s="327"/>
      <c r="E1445" s="327" t="s">
        <v>2166</v>
      </c>
      <c r="F1445" s="206" t="s">
        <v>4266</v>
      </c>
      <c r="G1445" s="206" t="s">
        <v>4267</v>
      </c>
      <c r="H1445" s="206" t="s">
        <v>4267</v>
      </c>
      <c r="K1445" s="302">
        <v>9204249100</v>
      </c>
      <c r="M1445" s="212"/>
      <c r="N1445" s="213"/>
      <c r="O1445" s="209"/>
    </row>
    <row r="1446" spans="1:15" x14ac:dyDescent="0.3">
      <c r="A1446" s="302" t="s">
        <v>155</v>
      </c>
      <c r="B1446" s="302" t="str">
        <f t="shared" si="9"/>
        <v>Y</v>
      </c>
      <c r="C1446" s="6" t="s">
        <v>4268</v>
      </c>
      <c r="D1446" s="327"/>
      <c r="E1446" s="327" t="s">
        <v>4269</v>
      </c>
      <c r="F1446" s="206" t="s">
        <v>4270</v>
      </c>
      <c r="G1446" s="206" t="s">
        <v>4267</v>
      </c>
      <c r="H1446" s="206" t="s">
        <v>4267</v>
      </c>
      <c r="K1446" s="302">
        <v>8709464598</v>
      </c>
      <c r="M1446" s="212"/>
      <c r="N1446" s="213"/>
      <c r="O1446" s="209"/>
    </row>
    <row r="1447" spans="1:15" x14ac:dyDescent="0.3">
      <c r="A1447" s="302" t="s">
        <v>155</v>
      </c>
      <c r="B1447" s="302" t="str">
        <f t="shared" si="9"/>
        <v>Y</v>
      </c>
      <c r="C1447" s="6" t="s">
        <v>4271</v>
      </c>
      <c r="D1447" s="327"/>
      <c r="E1447" s="327" t="s">
        <v>4272</v>
      </c>
      <c r="F1447" s="206" t="s">
        <v>4273</v>
      </c>
      <c r="G1447" s="206" t="s">
        <v>4267</v>
      </c>
      <c r="H1447" s="206" t="s">
        <v>4267</v>
      </c>
      <c r="K1447" s="302">
        <v>7091186444</v>
      </c>
      <c r="M1447" s="212"/>
      <c r="N1447" s="213"/>
      <c r="O1447" s="209"/>
    </row>
    <row r="1448" spans="1:15" x14ac:dyDescent="0.3">
      <c r="A1448" s="302" t="s">
        <v>155</v>
      </c>
      <c r="B1448" s="302" t="str">
        <f t="shared" si="9"/>
        <v>Y</v>
      </c>
      <c r="C1448" s="6" t="s">
        <v>4274</v>
      </c>
      <c r="D1448" s="327"/>
      <c r="E1448" s="327" t="s">
        <v>4275</v>
      </c>
      <c r="F1448" s="206" t="s">
        <v>4276</v>
      </c>
      <c r="G1448" s="206" t="s">
        <v>4277</v>
      </c>
      <c r="H1448" s="207">
        <v>44298</v>
      </c>
      <c r="K1448" s="302">
        <v>9905721612</v>
      </c>
      <c r="M1448" s="212"/>
      <c r="N1448" s="213"/>
      <c r="O1448" s="209"/>
    </row>
    <row r="1449" spans="1:15" x14ac:dyDescent="0.3">
      <c r="A1449" s="302" t="s">
        <v>155</v>
      </c>
      <c r="B1449" s="302" t="str">
        <f t="shared" si="9"/>
        <v>Y</v>
      </c>
      <c r="C1449" s="6" t="s">
        <v>4278</v>
      </c>
      <c r="D1449" s="327"/>
      <c r="E1449" s="327" t="s">
        <v>4279</v>
      </c>
      <c r="F1449" s="206" t="s">
        <v>4280</v>
      </c>
      <c r="G1449" s="206" t="s">
        <v>4277</v>
      </c>
      <c r="H1449" s="207">
        <v>44298</v>
      </c>
      <c r="J1449" s="12" t="s">
        <v>4281</v>
      </c>
      <c r="K1449" s="302">
        <v>6200586815</v>
      </c>
      <c r="M1449" s="212"/>
      <c r="N1449" s="213"/>
      <c r="O1449" s="209"/>
    </row>
    <row r="1450" spans="1:15" x14ac:dyDescent="0.3">
      <c r="A1450" s="302" t="s">
        <v>155</v>
      </c>
      <c r="B1450" s="302" t="str">
        <f t="shared" si="9"/>
        <v>Y</v>
      </c>
      <c r="C1450" s="6" t="s">
        <v>4282</v>
      </c>
      <c r="D1450" s="327"/>
      <c r="E1450" s="327" t="s">
        <v>4283</v>
      </c>
      <c r="F1450" s="206" t="s">
        <v>4284</v>
      </c>
      <c r="G1450" s="206" t="s">
        <v>4277</v>
      </c>
      <c r="H1450" s="207">
        <v>44298</v>
      </c>
      <c r="J1450" s="2" t="s">
        <v>3735</v>
      </c>
      <c r="K1450" s="302">
        <v>9031953504</v>
      </c>
      <c r="M1450" s="212"/>
      <c r="N1450" s="213"/>
      <c r="O1450" s="209"/>
    </row>
    <row r="1451" spans="1:15" x14ac:dyDescent="0.3">
      <c r="A1451" s="302" t="s">
        <v>155</v>
      </c>
      <c r="B1451" s="302" t="str">
        <f t="shared" si="9"/>
        <v>Y</v>
      </c>
      <c r="C1451" s="6" t="s">
        <v>4285</v>
      </c>
      <c r="D1451" s="327"/>
      <c r="E1451" s="327" t="s">
        <v>4286</v>
      </c>
      <c r="F1451" s="206" t="s">
        <v>4287</v>
      </c>
      <c r="G1451" s="206" t="s">
        <v>4277</v>
      </c>
      <c r="H1451" s="207">
        <v>44298</v>
      </c>
      <c r="J1451" s="12" t="s">
        <v>4288</v>
      </c>
      <c r="K1451" s="302">
        <v>6200770418</v>
      </c>
      <c r="M1451" s="212"/>
      <c r="N1451" s="213"/>
      <c r="O1451" s="209"/>
    </row>
    <row r="1452" spans="1:15" x14ac:dyDescent="0.3">
      <c r="A1452" s="302" t="s">
        <v>155</v>
      </c>
      <c r="B1452" s="302" t="str">
        <f t="shared" si="9"/>
        <v>N</v>
      </c>
      <c r="C1452" s="6" t="s">
        <v>4289</v>
      </c>
      <c r="D1452" s="327"/>
      <c r="E1452" s="327" t="s">
        <v>4290</v>
      </c>
      <c r="F1452" s="206" t="s">
        <v>4291</v>
      </c>
      <c r="G1452" s="206" t="s">
        <v>4277</v>
      </c>
      <c r="H1452" s="206"/>
      <c r="K1452" s="302">
        <v>9835170142</v>
      </c>
      <c r="M1452" s="212"/>
      <c r="N1452" s="213"/>
      <c r="O1452" s="209"/>
    </row>
    <row r="1453" spans="1:15" x14ac:dyDescent="0.3">
      <c r="A1453" s="302" t="s">
        <v>155</v>
      </c>
      <c r="B1453" s="302" t="str">
        <f t="shared" si="9"/>
        <v>Y</v>
      </c>
      <c r="C1453" s="6" t="s">
        <v>4292</v>
      </c>
      <c r="D1453" s="327"/>
      <c r="E1453" s="327" t="s">
        <v>4293</v>
      </c>
      <c r="F1453" s="206" t="s">
        <v>4294</v>
      </c>
      <c r="G1453" s="206" t="s">
        <v>4295</v>
      </c>
      <c r="H1453" s="206" t="s">
        <v>4295</v>
      </c>
      <c r="K1453" s="302">
        <v>8252171691</v>
      </c>
      <c r="M1453" s="212"/>
      <c r="N1453" s="213"/>
      <c r="O1453" s="209"/>
    </row>
    <row r="1454" spans="1:15" x14ac:dyDescent="0.3">
      <c r="A1454" s="302" t="s">
        <v>155</v>
      </c>
      <c r="B1454" s="302" t="str">
        <f t="shared" si="9"/>
        <v>Y</v>
      </c>
      <c r="C1454" s="6" t="s">
        <v>4289</v>
      </c>
      <c r="D1454" s="327"/>
      <c r="E1454" s="327" t="s">
        <v>4290</v>
      </c>
      <c r="F1454" s="206" t="s">
        <v>4296</v>
      </c>
      <c r="G1454" s="206" t="s">
        <v>4295</v>
      </c>
      <c r="H1454" s="206" t="s">
        <v>4295</v>
      </c>
      <c r="K1454" s="302">
        <v>9835170142</v>
      </c>
      <c r="M1454" s="212"/>
      <c r="N1454" s="213"/>
      <c r="O1454" s="209"/>
    </row>
    <row r="1455" spans="1:15" x14ac:dyDescent="0.3">
      <c r="A1455" s="302" t="s">
        <v>155</v>
      </c>
      <c r="B1455" s="302" t="str">
        <f t="shared" si="9"/>
        <v>Y</v>
      </c>
      <c r="C1455" s="6" t="s">
        <v>4297</v>
      </c>
      <c r="D1455" s="327"/>
      <c r="E1455" s="327" t="s">
        <v>4298</v>
      </c>
      <c r="F1455" s="206" t="s">
        <v>4299</v>
      </c>
      <c r="G1455" s="206" t="s">
        <v>4300</v>
      </c>
      <c r="H1455" s="206" t="s">
        <v>4300</v>
      </c>
      <c r="K1455" s="302">
        <v>9031504189</v>
      </c>
      <c r="M1455" s="212"/>
      <c r="N1455" s="213"/>
      <c r="O1455" s="209"/>
    </row>
    <row r="1456" spans="1:15" x14ac:dyDescent="0.3">
      <c r="A1456" s="302" t="s">
        <v>155</v>
      </c>
      <c r="B1456" s="302" t="str">
        <f t="shared" si="9"/>
        <v>Y</v>
      </c>
      <c r="C1456" s="6" t="s">
        <v>4301</v>
      </c>
      <c r="D1456" s="327"/>
      <c r="E1456" s="327" t="s">
        <v>4302</v>
      </c>
      <c r="F1456" s="206" t="s">
        <v>4303</v>
      </c>
      <c r="G1456" s="206" t="s">
        <v>4300</v>
      </c>
      <c r="H1456" s="206" t="s">
        <v>4300</v>
      </c>
      <c r="K1456" s="302">
        <v>8617421827</v>
      </c>
      <c r="M1456" s="212"/>
      <c r="N1456" s="213"/>
      <c r="O1456" s="209"/>
    </row>
    <row r="1457" spans="1:15" x14ac:dyDescent="0.3">
      <c r="A1457" s="302" t="s">
        <v>155</v>
      </c>
      <c r="B1457" s="302" t="str">
        <f t="shared" si="9"/>
        <v>Y</v>
      </c>
      <c r="C1457" s="6" t="s">
        <v>4304</v>
      </c>
      <c r="D1457" s="327"/>
      <c r="E1457" s="327" t="s">
        <v>4305</v>
      </c>
      <c r="F1457" s="206" t="s">
        <v>4306</v>
      </c>
      <c r="G1457" s="206" t="s">
        <v>4307</v>
      </c>
      <c r="H1457" s="206" t="s">
        <v>4307</v>
      </c>
      <c r="K1457" s="302">
        <v>9931900944</v>
      </c>
      <c r="M1457" s="212"/>
      <c r="N1457" s="213"/>
      <c r="O1457" s="209"/>
    </row>
    <row r="1458" spans="1:15" x14ac:dyDescent="0.3">
      <c r="A1458" s="302" t="s">
        <v>155</v>
      </c>
      <c r="B1458" s="302" t="str">
        <f t="shared" si="9"/>
        <v>Y</v>
      </c>
      <c r="C1458" s="6" t="s">
        <v>4308</v>
      </c>
      <c r="D1458" s="327"/>
      <c r="E1458" s="327" t="s">
        <v>4309</v>
      </c>
      <c r="F1458" s="206" t="s">
        <v>4310</v>
      </c>
      <c r="G1458" s="206" t="s">
        <v>4307</v>
      </c>
      <c r="H1458" s="206" t="s">
        <v>4307</v>
      </c>
      <c r="K1458" s="302">
        <v>6202059598</v>
      </c>
      <c r="M1458" s="212"/>
      <c r="N1458" s="213"/>
      <c r="O1458" s="209"/>
    </row>
    <row r="1459" spans="1:15" x14ac:dyDescent="0.3">
      <c r="A1459" s="302" t="s">
        <v>155</v>
      </c>
      <c r="B1459" s="302" t="str">
        <f t="shared" si="9"/>
        <v>Y</v>
      </c>
      <c r="C1459" s="6" t="s">
        <v>4311</v>
      </c>
      <c r="D1459" s="327"/>
      <c r="E1459" s="327" t="s">
        <v>4312</v>
      </c>
      <c r="F1459" s="206" t="s">
        <v>4313</v>
      </c>
      <c r="G1459" s="206" t="s">
        <v>4307</v>
      </c>
      <c r="H1459" s="207">
        <v>44302</v>
      </c>
      <c r="K1459" s="302">
        <v>6200040556</v>
      </c>
      <c r="M1459" s="212"/>
      <c r="N1459" s="213"/>
      <c r="O1459" s="209"/>
    </row>
    <row r="1460" spans="1:15" x14ac:dyDescent="0.3">
      <c r="A1460" s="302" t="s">
        <v>155</v>
      </c>
      <c r="B1460" s="302" t="str">
        <f t="shared" si="9"/>
        <v>Y</v>
      </c>
      <c r="C1460" s="6" t="s">
        <v>4314</v>
      </c>
      <c r="D1460" s="327"/>
      <c r="E1460" s="327" t="s">
        <v>4315</v>
      </c>
      <c r="F1460" s="206" t="s">
        <v>3814</v>
      </c>
      <c r="G1460" s="206" t="s">
        <v>4307</v>
      </c>
      <c r="H1460" s="207">
        <v>44302</v>
      </c>
      <c r="K1460" s="302">
        <v>8092879226</v>
      </c>
      <c r="M1460" s="212"/>
      <c r="N1460" s="213"/>
      <c r="O1460" s="209"/>
    </row>
    <row r="1461" spans="1:15" x14ac:dyDescent="0.3">
      <c r="A1461" s="302" t="s">
        <v>155</v>
      </c>
      <c r="B1461" s="302" t="str">
        <f t="shared" si="9"/>
        <v>Y</v>
      </c>
      <c r="C1461" s="6" t="s">
        <v>4316</v>
      </c>
      <c r="D1461" s="327"/>
      <c r="E1461" s="327" t="s">
        <v>4317</v>
      </c>
      <c r="F1461" s="206" t="s">
        <v>4318</v>
      </c>
      <c r="G1461" s="206" t="s">
        <v>4319</v>
      </c>
      <c r="H1461" s="207">
        <v>44302</v>
      </c>
      <c r="K1461" s="302">
        <v>6204695739</v>
      </c>
      <c r="M1461" s="212"/>
      <c r="N1461" s="213"/>
      <c r="O1461" s="209"/>
    </row>
    <row r="1462" spans="1:15" x14ac:dyDescent="0.3">
      <c r="A1462" s="302" t="s">
        <v>155</v>
      </c>
      <c r="B1462" s="302" t="str">
        <f t="shared" si="9"/>
        <v>Y</v>
      </c>
      <c r="C1462" s="6" t="s">
        <v>4320</v>
      </c>
      <c r="D1462" s="327"/>
      <c r="E1462" s="327" t="s">
        <v>4321</v>
      </c>
      <c r="F1462" s="206" t="s">
        <v>4192</v>
      </c>
      <c r="G1462" s="206" t="s">
        <v>4322</v>
      </c>
      <c r="H1462" s="207">
        <v>44303</v>
      </c>
      <c r="K1462" s="302">
        <v>9934184483</v>
      </c>
      <c r="M1462" s="212"/>
      <c r="N1462" s="213"/>
      <c r="O1462" s="209"/>
    </row>
    <row r="1463" spans="1:15" x14ac:dyDescent="0.3">
      <c r="A1463" s="302" t="s">
        <v>155</v>
      </c>
      <c r="B1463" s="302" t="str">
        <f t="shared" si="9"/>
        <v>Y</v>
      </c>
      <c r="C1463" s="6" t="s">
        <v>4323</v>
      </c>
      <c r="D1463" s="327"/>
      <c r="E1463" s="327" t="s">
        <v>4324</v>
      </c>
      <c r="F1463" s="206" t="s">
        <v>4325</v>
      </c>
      <c r="G1463" s="206" t="s">
        <v>4322</v>
      </c>
      <c r="H1463" s="207">
        <v>44303</v>
      </c>
      <c r="K1463" s="302">
        <v>8170085152</v>
      </c>
      <c r="M1463" s="212"/>
      <c r="N1463" s="213"/>
      <c r="O1463" s="209"/>
    </row>
    <row r="1464" spans="1:15" x14ac:dyDescent="0.3">
      <c r="A1464" s="302" t="s">
        <v>155</v>
      </c>
      <c r="B1464" s="302" t="str">
        <f t="shared" si="9"/>
        <v>Y</v>
      </c>
      <c r="C1464" s="6" t="s">
        <v>4326</v>
      </c>
      <c r="D1464" s="327"/>
      <c r="E1464" s="327" t="s">
        <v>4327</v>
      </c>
      <c r="F1464" s="206" t="s">
        <v>2251</v>
      </c>
      <c r="G1464" s="206" t="s">
        <v>4322</v>
      </c>
      <c r="H1464" s="207">
        <v>44303</v>
      </c>
      <c r="K1464" s="302">
        <v>7484022282</v>
      </c>
      <c r="M1464" s="212"/>
      <c r="N1464" s="213"/>
      <c r="O1464" s="209"/>
    </row>
    <row r="1465" spans="1:15" x14ac:dyDescent="0.3">
      <c r="A1465" s="302" t="s">
        <v>155</v>
      </c>
      <c r="B1465" s="302" t="str">
        <f t="shared" si="9"/>
        <v>Y</v>
      </c>
      <c r="C1465" s="6" t="s">
        <v>4328</v>
      </c>
      <c r="D1465" s="327"/>
      <c r="E1465" s="327" t="s">
        <v>4329</v>
      </c>
      <c r="F1465" s="206" t="s">
        <v>4330</v>
      </c>
      <c r="G1465" s="206" t="s">
        <v>4331</v>
      </c>
      <c r="H1465" s="207">
        <v>44305</v>
      </c>
      <c r="K1465" s="302">
        <v>9708754999</v>
      </c>
      <c r="M1465" s="212"/>
      <c r="N1465" s="213"/>
      <c r="O1465" s="209"/>
    </row>
    <row r="1466" spans="1:15" x14ac:dyDescent="0.3">
      <c r="A1466" s="302" t="s">
        <v>155</v>
      </c>
      <c r="B1466" s="302" t="str">
        <f t="shared" si="9"/>
        <v>Y</v>
      </c>
      <c r="C1466" s="6" t="s">
        <v>4332</v>
      </c>
      <c r="D1466" s="327"/>
      <c r="E1466" s="327" t="s">
        <v>4333</v>
      </c>
      <c r="F1466" s="206" t="s">
        <v>4330</v>
      </c>
      <c r="G1466" s="206" t="s">
        <v>4331</v>
      </c>
      <c r="H1466" s="207">
        <v>44305</v>
      </c>
      <c r="K1466" s="302">
        <v>7633970466</v>
      </c>
      <c r="M1466" s="212"/>
      <c r="N1466" s="213"/>
      <c r="O1466" s="209"/>
    </row>
    <row r="1467" spans="1:15" x14ac:dyDescent="0.3">
      <c r="A1467" s="302" t="s">
        <v>155</v>
      </c>
      <c r="B1467" s="302" t="str">
        <f t="shared" si="9"/>
        <v>Y</v>
      </c>
      <c r="C1467" s="6" t="s">
        <v>4334</v>
      </c>
      <c r="D1467" s="327"/>
      <c r="E1467" s="327" t="s">
        <v>4335</v>
      </c>
      <c r="F1467" s="206" t="s">
        <v>4336</v>
      </c>
      <c r="G1467" s="206" t="s">
        <v>4331</v>
      </c>
      <c r="H1467" s="207">
        <v>44305</v>
      </c>
      <c r="K1467" s="302">
        <v>7631189721</v>
      </c>
      <c r="M1467" s="212"/>
      <c r="N1467" s="213"/>
      <c r="O1467" s="209"/>
    </row>
    <row r="1468" spans="1:15" x14ac:dyDescent="0.3">
      <c r="A1468" s="302" t="s">
        <v>155</v>
      </c>
      <c r="B1468" s="302" t="str">
        <f t="shared" si="9"/>
        <v>Y</v>
      </c>
      <c r="C1468" s="6" t="s">
        <v>4337</v>
      </c>
      <c r="D1468" s="327"/>
      <c r="E1468" s="327" t="s">
        <v>4338</v>
      </c>
      <c r="F1468" s="206" t="s">
        <v>4339</v>
      </c>
      <c r="G1468" s="206" t="s">
        <v>4340</v>
      </c>
      <c r="H1468" s="207">
        <v>44307</v>
      </c>
      <c r="J1468" s="2" t="s">
        <v>4341</v>
      </c>
      <c r="K1468" s="302">
        <v>8002590678</v>
      </c>
      <c r="M1468" s="212"/>
      <c r="N1468" s="213"/>
      <c r="O1468" s="209"/>
    </row>
    <row r="1469" spans="1:15" x14ac:dyDescent="0.3">
      <c r="A1469" s="302" t="s">
        <v>155</v>
      </c>
      <c r="B1469" s="302" t="str">
        <f t="shared" si="9"/>
        <v>Y</v>
      </c>
      <c r="C1469" s="6" t="s">
        <v>4342</v>
      </c>
      <c r="D1469" s="327"/>
      <c r="E1469" s="327" t="s">
        <v>4343</v>
      </c>
      <c r="F1469" s="206" t="s">
        <v>1918</v>
      </c>
      <c r="G1469" s="206" t="s">
        <v>4344</v>
      </c>
      <c r="H1469" s="207">
        <v>44308</v>
      </c>
      <c r="J1469" s="2" t="s">
        <v>4345</v>
      </c>
      <c r="K1469" s="302">
        <v>9031080123</v>
      </c>
      <c r="M1469" s="212"/>
      <c r="N1469" s="213"/>
      <c r="O1469" s="209"/>
    </row>
    <row r="1470" spans="1:15" x14ac:dyDescent="0.3">
      <c r="A1470" s="302" t="s">
        <v>155</v>
      </c>
      <c r="B1470" s="302" t="str">
        <f t="shared" si="9"/>
        <v>Y</v>
      </c>
      <c r="C1470" s="6" t="s">
        <v>4346</v>
      </c>
      <c r="D1470" s="327"/>
      <c r="E1470" s="327" t="s">
        <v>4347</v>
      </c>
      <c r="F1470" s="206" t="s">
        <v>4348</v>
      </c>
      <c r="G1470" s="206" t="s">
        <v>4349</v>
      </c>
      <c r="H1470" s="207">
        <v>44309</v>
      </c>
      <c r="J1470" s="2" t="s">
        <v>4350</v>
      </c>
      <c r="K1470" s="302">
        <v>8987864098</v>
      </c>
      <c r="M1470" s="212"/>
      <c r="N1470" s="213"/>
      <c r="O1470" s="209"/>
    </row>
    <row r="1471" spans="1:15" x14ac:dyDescent="0.3">
      <c r="A1471" s="302" t="s">
        <v>155</v>
      </c>
      <c r="B1471" s="302" t="str">
        <f t="shared" si="9"/>
        <v>Y</v>
      </c>
      <c r="C1471" s="6" t="s">
        <v>4351</v>
      </c>
      <c r="D1471" s="327"/>
      <c r="E1471" s="327" t="s">
        <v>4352</v>
      </c>
      <c r="F1471" s="206" t="s">
        <v>4353</v>
      </c>
      <c r="G1471" s="206" t="s">
        <v>4354</v>
      </c>
      <c r="H1471" s="207">
        <v>44312</v>
      </c>
      <c r="J1471" s="2" t="s">
        <v>4355</v>
      </c>
      <c r="K1471" s="302">
        <v>9931739797</v>
      </c>
      <c r="M1471" s="212"/>
      <c r="N1471" s="213"/>
      <c r="O1471" s="209"/>
    </row>
    <row r="1472" spans="1:15" x14ac:dyDescent="0.3">
      <c r="A1472" s="302" t="s">
        <v>155</v>
      </c>
      <c r="B1472" s="302" t="str">
        <f t="shared" si="9"/>
        <v>Y</v>
      </c>
      <c r="C1472" s="6" t="s">
        <v>4356</v>
      </c>
      <c r="D1472" s="327"/>
      <c r="E1472" s="327" t="s">
        <v>4357</v>
      </c>
      <c r="F1472" s="206" t="s">
        <v>1458</v>
      </c>
      <c r="G1472" s="206" t="s">
        <v>4358</v>
      </c>
      <c r="H1472" s="207">
        <v>44314</v>
      </c>
      <c r="J1472" s="2" t="s">
        <v>4359</v>
      </c>
      <c r="K1472" s="302">
        <v>6207119076</v>
      </c>
      <c r="M1472" s="212"/>
      <c r="N1472" s="213"/>
      <c r="O1472" s="209"/>
    </row>
    <row r="1473" spans="1:15" x14ac:dyDescent="0.3">
      <c r="A1473" s="302" t="s">
        <v>155</v>
      </c>
      <c r="B1473" s="302" t="str">
        <f t="shared" si="9"/>
        <v>Y</v>
      </c>
      <c r="C1473" s="6" t="s">
        <v>4360</v>
      </c>
      <c r="D1473" s="327"/>
      <c r="E1473" s="327" t="s">
        <v>4309</v>
      </c>
      <c r="F1473" s="206" t="s">
        <v>4361</v>
      </c>
      <c r="G1473" s="206" t="s">
        <v>4362</v>
      </c>
      <c r="H1473" s="207">
        <v>44318</v>
      </c>
      <c r="J1473" s="2" t="s">
        <v>4363</v>
      </c>
      <c r="K1473" s="302">
        <v>6202059598</v>
      </c>
      <c r="M1473" s="212"/>
      <c r="N1473" s="213"/>
      <c r="O1473" s="209"/>
    </row>
    <row r="1474" spans="1:15" x14ac:dyDescent="0.3">
      <c r="A1474" s="302" t="s">
        <v>155</v>
      </c>
      <c r="B1474" s="302" t="str">
        <f t="shared" si="9"/>
        <v>Y</v>
      </c>
      <c r="C1474" s="6" t="s">
        <v>4364</v>
      </c>
      <c r="D1474" s="327"/>
      <c r="E1474" s="327" t="s">
        <v>4333</v>
      </c>
      <c r="F1474" s="206" t="s">
        <v>4365</v>
      </c>
      <c r="G1474" s="206" t="s">
        <v>4366</v>
      </c>
      <c r="H1474" s="207">
        <v>44318</v>
      </c>
      <c r="J1474" s="2" t="s">
        <v>3735</v>
      </c>
      <c r="K1474" s="302">
        <v>7633970466</v>
      </c>
      <c r="M1474" s="212"/>
      <c r="N1474" s="213"/>
      <c r="O1474" s="209"/>
    </row>
    <row r="1475" spans="1:15" x14ac:dyDescent="0.3">
      <c r="A1475" s="302" t="s">
        <v>155</v>
      </c>
      <c r="B1475" s="302" t="str">
        <f t="shared" si="9"/>
        <v>Y</v>
      </c>
      <c r="C1475" s="6" t="s">
        <v>4367</v>
      </c>
      <c r="D1475" s="327"/>
      <c r="E1475" s="327" t="s">
        <v>4368</v>
      </c>
      <c r="F1475" s="206" t="s">
        <v>4369</v>
      </c>
      <c r="G1475" s="206" t="s">
        <v>4366</v>
      </c>
      <c r="H1475" s="207">
        <v>44319</v>
      </c>
      <c r="K1475" s="302">
        <v>9608466563</v>
      </c>
      <c r="M1475" s="212"/>
      <c r="N1475" s="213"/>
      <c r="O1475" s="209"/>
    </row>
    <row r="1476" spans="1:15" x14ac:dyDescent="0.3">
      <c r="A1476" s="302" t="s">
        <v>155</v>
      </c>
      <c r="B1476" s="302" t="str">
        <f t="shared" si="9"/>
        <v>Y</v>
      </c>
      <c r="C1476" s="6" t="s">
        <v>4370</v>
      </c>
      <c r="D1476" s="327"/>
      <c r="E1476" s="327" t="s">
        <v>1217</v>
      </c>
      <c r="F1476" s="206" t="s">
        <v>4371</v>
      </c>
      <c r="G1476" s="206" t="s">
        <v>4372</v>
      </c>
      <c r="H1476" s="207">
        <v>44319</v>
      </c>
      <c r="J1476" s="2" t="s">
        <v>3735</v>
      </c>
      <c r="K1476" s="302">
        <v>7209420095</v>
      </c>
      <c r="M1476" s="212"/>
      <c r="N1476" s="213"/>
      <c r="O1476" s="209"/>
    </row>
    <row r="1477" spans="1:15" x14ac:dyDescent="0.3">
      <c r="A1477" s="302" t="s">
        <v>155</v>
      </c>
      <c r="B1477" s="302" t="str">
        <f t="shared" si="9"/>
        <v>Y</v>
      </c>
      <c r="C1477" s="6" t="s">
        <v>4373</v>
      </c>
      <c r="D1477" s="327"/>
      <c r="E1477" s="327" t="s">
        <v>4374</v>
      </c>
      <c r="F1477" s="206" t="s">
        <v>4375</v>
      </c>
      <c r="G1477" s="206" t="s">
        <v>4376</v>
      </c>
      <c r="H1477" s="206" t="s">
        <v>4376</v>
      </c>
      <c r="K1477" s="302">
        <v>8210150023</v>
      </c>
      <c r="M1477" s="212"/>
      <c r="N1477" s="213"/>
      <c r="O1477" s="209"/>
    </row>
    <row r="1478" spans="1:15" x14ac:dyDescent="0.3">
      <c r="A1478" s="302" t="s">
        <v>155</v>
      </c>
      <c r="B1478" s="302" t="str">
        <f t="shared" si="9"/>
        <v>Y</v>
      </c>
      <c r="C1478" s="6" t="s">
        <v>4377</v>
      </c>
      <c r="D1478" s="327"/>
      <c r="E1478" s="327" t="s">
        <v>4378</v>
      </c>
      <c r="F1478" s="206" t="s">
        <v>4379</v>
      </c>
      <c r="G1478" s="206" t="s">
        <v>4376</v>
      </c>
      <c r="H1478" s="206" t="s">
        <v>4376</v>
      </c>
      <c r="K1478" s="302">
        <v>9031530022</v>
      </c>
      <c r="M1478" s="212"/>
      <c r="N1478" s="213"/>
      <c r="O1478" s="209"/>
    </row>
    <row r="1479" spans="1:15" x14ac:dyDescent="0.3">
      <c r="A1479" s="302" t="s">
        <v>155</v>
      </c>
      <c r="B1479" s="302" t="str">
        <f t="shared" si="9"/>
        <v>Y</v>
      </c>
      <c r="C1479" s="6" t="s">
        <v>4380</v>
      </c>
      <c r="D1479" s="327"/>
      <c r="E1479" s="327" t="s">
        <v>4381</v>
      </c>
      <c r="F1479" s="206" t="s">
        <v>4382</v>
      </c>
      <c r="G1479" s="206" t="s">
        <v>4383</v>
      </c>
      <c r="H1479" s="207">
        <v>44322</v>
      </c>
      <c r="J1479" s="2" t="s">
        <v>4384</v>
      </c>
      <c r="K1479" s="302">
        <v>6299869955</v>
      </c>
      <c r="M1479" s="212"/>
      <c r="N1479" s="213"/>
      <c r="O1479" s="209"/>
    </row>
    <row r="1480" spans="1:15" x14ac:dyDescent="0.3">
      <c r="A1480" s="302" t="s">
        <v>155</v>
      </c>
      <c r="B1480" s="302" t="str">
        <f t="shared" si="9"/>
        <v>Y</v>
      </c>
      <c r="C1480" s="6" t="s">
        <v>4385</v>
      </c>
      <c r="D1480" s="327"/>
      <c r="E1480" s="327" t="s">
        <v>4386</v>
      </c>
      <c r="F1480" s="206" t="s">
        <v>4387</v>
      </c>
      <c r="G1480" s="206" t="s">
        <v>4388</v>
      </c>
      <c r="H1480" s="207">
        <v>44324</v>
      </c>
      <c r="K1480" s="302">
        <v>947099151</v>
      </c>
      <c r="M1480" s="212"/>
      <c r="N1480" s="213"/>
      <c r="O1480" s="209"/>
    </row>
    <row r="1481" spans="1:15" x14ac:dyDescent="0.3">
      <c r="A1481" s="302" t="s">
        <v>155</v>
      </c>
      <c r="B1481" s="302" t="str">
        <f t="shared" si="9"/>
        <v>Y</v>
      </c>
      <c r="C1481" s="6" t="s">
        <v>4389</v>
      </c>
      <c r="D1481" s="327"/>
      <c r="E1481" s="327" t="s">
        <v>4390</v>
      </c>
      <c r="F1481" s="206" t="s">
        <v>4391</v>
      </c>
      <c r="G1481" s="206" t="s">
        <v>4392</v>
      </c>
      <c r="H1481" s="207">
        <v>44326</v>
      </c>
      <c r="J1481" s="2" t="s">
        <v>4393</v>
      </c>
      <c r="K1481" s="302">
        <v>6207695039</v>
      </c>
      <c r="M1481" s="212"/>
      <c r="N1481" s="213"/>
      <c r="O1481" s="209"/>
    </row>
    <row r="1482" spans="1:15" x14ac:dyDescent="0.3">
      <c r="A1482" s="302" t="s">
        <v>155</v>
      </c>
      <c r="B1482" s="302" t="str">
        <f t="shared" si="9"/>
        <v>N</v>
      </c>
      <c r="C1482" s="6" t="s">
        <v>4394</v>
      </c>
      <c r="D1482" s="327"/>
      <c r="E1482" s="327" t="s">
        <v>4395</v>
      </c>
      <c r="F1482" s="206" t="s">
        <v>4396</v>
      </c>
      <c r="G1482" s="206" t="s">
        <v>4397</v>
      </c>
      <c r="H1482" s="302"/>
      <c r="K1482" s="302">
        <v>6203945117</v>
      </c>
      <c r="M1482" s="212"/>
      <c r="N1482" s="213"/>
      <c r="O1482" s="209"/>
    </row>
    <row r="1483" spans="1:15" x14ac:dyDescent="0.3">
      <c r="A1483" s="302" t="s">
        <v>155</v>
      </c>
      <c r="B1483" s="302" t="str">
        <f t="shared" si="9"/>
        <v>Y</v>
      </c>
      <c r="C1483" s="6" t="s">
        <v>4398</v>
      </c>
      <c r="D1483" s="327"/>
      <c r="E1483" s="327" t="s">
        <v>4399</v>
      </c>
      <c r="F1483" s="206" t="s">
        <v>4400</v>
      </c>
      <c r="G1483" s="206" t="s">
        <v>4397</v>
      </c>
      <c r="H1483" s="206" t="s">
        <v>4397</v>
      </c>
      <c r="K1483" s="302">
        <v>9905555736</v>
      </c>
      <c r="M1483" s="212"/>
      <c r="N1483" s="213"/>
      <c r="O1483" s="209"/>
    </row>
    <row r="1484" spans="1:15" x14ac:dyDescent="0.3">
      <c r="A1484" s="302" t="s">
        <v>155</v>
      </c>
      <c r="B1484" s="302" t="str">
        <f t="shared" si="9"/>
        <v>Y</v>
      </c>
      <c r="C1484" s="6" t="s">
        <v>4401</v>
      </c>
      <c r="D1484" s="327"/>
      <c r="E1484" s="327" t="s">
        <v>4402</v>
      </c>
      <c r="F1484" s="206" t="s">
        <v>2459</v>
      </c>
      <c r="G1484" s="206" t="s">
        <v>4397</v>
      </c>
      <c r="H1484" s="206" t="s">
        <v>4397</v>
      </c>
      <c r="K1484" s="302">
        <v>9931316895</v>
      </c>
      <c r="M1484" s="212"/>
      <c r="N1484" s="213"/>
      <c r="O1484" s="209"/>
    </row>
    <row r="1485" spans="1:15" x14ac:dyDescent="0.3">
      <c r="A1485" s="302" t="s">
        <v>155</v>
      </c>
      <c r="B1485" s="302" t="str">
        <f t="shared" si="9"/>
        <v>Y</v>
      </c>
      <c r="C1485" s="6" t="s">
        <v>4403</v>
      </c>
      <c r="D1485" s="327"/>
      <c r="E1485" s="327" t="s">
        <v>3712</v>
      </c>
      <c r="F1485" s="206" t="s">
        <v>3713</v>
      </c>
      <c r="G1485" s="206" t="s">
        <v>4397</v>
      </c>
      <c r="H1485" s="206" t="s">
        <v>4397</v>
      </c>
      <c r="K1485" s="302">
        <v>9110089485</v>
      </c>
      <c r="M1485" s="212"/>
      <c r="N1485" s="213"/>
      <c r="O1485" s="209"/>
    </row>
    <row r="1486" spans="1:15" x14ac:dyDescent="0.3">
      <c r="A1486" s="302" t="s">
        <v>155</v>
      </c>
      <c r="B1486" s="302" t="str">
        <f t="shared" si="9"/>
        <v>Y</v>
      </c>
      <c r="C1486" s="6" t="s">
        <v>4404</v>
      </c>
      <c r="D1486" s="327"/>
      <c r="E1486" s="327" t="s">
        <v>4405</v>
      </c>
      <c r="F1486" s="206" t="s">
        <v>4406</v>
      </c>
      <c r="G1486" s="206" t="s">
        <v>4407</v>
      </c>
      <c r="H1486" s="207">
        <v>44329</v>
      </c>
      <c r="J1486" s="2" t="s">
        <v>4408</v>
      </c>
      <c r="K1486" s="302">
        <v>8539905171</v>
      </c>
      <c r="M1486" s="212"/>
      <c r="N1486" s="213"/>
      <c r="O1486" s="209"/>
    </row>
    <row r="1487" spans="1:15" x14ac:dyDescent="0.3">
      <c r="A1487" s="302" t="s">
        <v>155</v>
      </c>
      <c r="B1487" s="302" t="str">
        <f t="shared" si="9"/>
        <v>Y</v>
      </c>
      <c r="C1487" s="6" t="s">
        <v>4409</v>
      </c>
      <c r="D1487" s="327"/>
      <c r="E1487" s="327" t="s">
        <v>4410</v>
      </c>
      <c r="F1487" s="206" t="s">
        <v>4411</v>
      </c>
      <c r="G1487" s="206" t="s">
        <v>4412</v>
      </c>
      <c r="H1487" s="207">
        <v>44332</v>
      </c>
      <c r="K1487" s="302">
        <v>7543942761</v>
      </c>
      <c r="M1487" s="212"/>
      <c r="N1487" s="213"/>
      <c r="O1487" s="209"/>
    </row>
    <row r="1488" spans="1:15" x14ac:dyDescent="0.3">
      <c r="A1488" s="302" t="s">
        <v>155</v>
      </c>
      <c r="B1488" s="302" t="str">
        <f t="shared" si="9"/>
        <v>Y</v>
      </c>
      <c r="C1488" s="6" t="s">
        <v>4413</v>
      </c>
      <c r="D1488" s="327"/>
      <c r="E1488" s="327" t="s">
        <v>4414</v>
      </c>
      <c r="F1488" s="206" t="s">
        <v>4415</v>
      </c>
      <c r="G1488" s="206" t="s">
        <v>4416</v>
      </c>
      <c r="H1488" s="207">
        <v>44332</v>
      </c>
      <c r="J1488" s="2" t="s">
        <v>4417</v>
      </c>
      <c r="K1488" s="302">
        <v>9304439240</v>
      </c>
      <c r="M1488" s="212"/>
      <c r="N1488" s="213"/>
      <c r="O1488" s="209"/>
    </row>
    <row r="1489" spans="1:15" x14ac:dyDescent="0.3">
      <c r="A1489" s="302" t="s">
        <v>155</v>
      </c>
      <c r="B1489" s="302" t="str">
        <f t="shared" si="9"/>
        <v>Y</v>
      </c>
      <c r="C1489" s="6" t="s">
        <v>4418</v>
      </c>
      <c r="D1489" s="327"/>
      <c r="E1489" s="327" t="s">
        <v>4419</v>
      </c>
      <c r="F1489" s="206" t="s">
        <v>4420</v>
      </c>
      <c r="G1489" s="206" t="s">
        <v>4421</v>
      </c>
      <c r="H1489" s="207">
        <v>44332</v>
      </c>
      <c r="M1489" s="212"/>
      <c r="N1489" s="213"/>
      <c r="O1489" s="209"/>
    </row>
    <row r="1490" spans="1:15" x14ac:dyDescent="0.3">
      <c r="A1490" s="302" t="s">
        <v>155</v>
      </c>
      <c r="B1490" s="302" t="str">
        <f t="shared" si="9"/>
        <v>Y</v>
      </c>
      <c r="C1490" s="6" t="s">
        <v>4422</v>
      </c>
      <c r="D1490" s="327"/>
      <c r="E1490" s="327" t="s">
        <v>4423</v>
      </c>
      <c r="F1490" s="206" t="s">
        <v>4424</v>
      </c>
      <c r="G1490" s="206" t="s">
        <v>4425</v>
      </c>
      <c r="H1490" s="207">
        <v>44335</v>
      </c>
      <c r="J1490" s="2" t="s">
        <v>3735</v>
      </c>
      <c r="K1490" s="302">
        <v>8809193673</v>
      </c>
      <c r="M1490" s="212"/>
      <c r="N1490" s="213"/>
      <c r="O1490" s="209"/>
    </row>
    <row r="1491" spans="1:15" x14ac:dyDescent="0.3">
      <c r="A1491" s="302" t="s">
        <v>155</v>
      </c>
      <c r="B1491" s="302" t="str">
        <f t="shared" si="9"/>
        <v>Y</v>
      </c>
      <c r="C1491" s="6" t="s">
        <v>4426</v>
      </c>
      <c r="D1491" s="327"/>
      <c r="E1491" s="327" t="s">
        <v>4427</v>
      </c>
      <c r="F1491" s="206" t="s">
        <v>3386</v>
      </c>
      <c r="G1491" s="206" t="s">
        <v>4428</v>
      </c>
      <c r="H1491" s="207">
        <v>44337</v>
      </c>
      <c r="J1491" s="2" t="s">
        <v>3735</v>
      </c>
      <c r="K1491" s="302">
        <v>9110972377</v>
      </c>
      <c r="M1491" s="212"/>
      <c r="N1491" s="213"/>
      <c r="O1491" s="209"/>
    </row>
    <row r="1492" spans="1:15" x14ac:dyDescent="0.3">
      <c r="A1492" s="302" t="s">
        <v>155</v>
      </c>
      <c r="B1492" s="302" t="str">
        <f t="shared" si="9"/>
        <v>Y</v>
      </c>
      <c r="C1492" s="6" t="s">
        <v>4429</v>
      </c>
      <c r="D1492" s="327"/>
      <c r="E1492" s="327" t="s">
        <v>4430</v>
      </c>
      <c r="F1492" s="206" t="s">
        <v>4431</v>
      </c>
      <c r="G1492" s="206" t="s">
        <v>4428</v>
      </c>
      <c r="H1492" s="207">
        <v>44337</v>
      </c>
      <c r="J1492" s="2" t="s">
        <v>4432</v>
      </c>
      <c r="K1492" s="302">
        <v>9234751843</v>
      </c>
      <c r="M1492" s="212"/>
      <c r="N1492" s="213"/>
      <c r="O1492" s="209"/>
    </row>
    <row r="1493" spans="1:15" x14ac:dyDescent="0.3">
      <c r="A1493" s="302" t="s">
        <v>155</v>
      </c>
      <c r="B1493" s="302" t="str">
        <f t="shared" si="9"/>
        <v>Y</v>
      </c>
      <c r="C1493" s="6" t="s">
        <v>4433</v>
      </c>
      <c r="D1493" s="327"/>
      <c r="E1493" s="327" t="s">
        <v>4434</v>
      </c>
      <c r="F1493" s="206" t="s">
        <v>4435</v>
      </c>
      <c r="G1493" s="206" t="s">
        <v>4428</v>
      </c>
      <c r="H1493" s="207">
        <v>44337</v>
      </c>
      <c r="J1493" s="2" t="s">
        <v>4432</v>
      </c>
      <c r="K1493" s="302">
        <v>9334491765</v>
      </c>
      <c r="M1493" s="212"/>
      <c r="N1493" s="213"/>
      <c r="O1493" s="209"/>
    </row>
    <row r="1494" spans="1:15" x14ac:dyDescent="0.3">
      <c r="A1494" s="302" t="s">
        <v>155</v>
      </c>
      <c r="B1494" s="302" t="str">
        <f t="shared" si="9"/>
        <v>Y</v>
      </c>
      <c r="C1494" s="6" t="s">
        <v>4436</v>
      </c>
      <c r="D1494" s="327"/>
      <c r="E1494" s="327" t="s">
        <v>4437</v>
      </c>
      <c r="F1494" s="206" t="s">
        <v>4438</v>
      </c>
      <c r="G1494" s="206" t="s">
        <v>4428</v>
      </c>
      <c r="H1494" s="207">
        <v>44337</v>
      </c>
      <c r="J1494" s="2" t="s">
        <v>3735</v>
      </c>
      <c r="K1494" s="302">
        <v>9708588342</v>
      </c>
      <c r="M1494" s="212"/>
      <c r="N1494" s="213"/>
      <c r="O1494" s="209"/>
    </row>
    <row r="1495" spans="1:15" x14ac:dyDescent="0.3">
      <c r="A1495" s="302" t="s">
        <v>155</v>
      </c>
      <c r="B1495" s="302" t="str">
        <f t="shared" si="9"/>
        <v>Y</v>
      </c>
      <c r="C1495" s="6" t="s">
        <v>4439</v>
      </c>
      <c r="D1495" s="327"/>
      <c r="E1495" s="327" t="s">
        <v>4440</v>
      </c>
      <c r="F1495" s="206" t="s">
        <v>4441</v>
      </c>
      <c r="G1495" s="206" t="s">
        <v>4428</v>
      </c>
      <c r="H1495" s="207">
        <v>44337</v>
      </c>
      <c r="J1495" s="2" t="s">
        <v>4432</v>
      </c>
      <c r="K1495" s="302">
        <v>9939863292</v>
      </c>
      <c r="M1495" s="212"/>
      <c r="N1495" s="213"/>
      <c r="O1495" s="209"/>
    </row>
    <row r="1496" spans="1:15" x14ac:dyDescent="0.3">
      <c r="A1496" s="302" t="s">
        <v>155</v>
      </c>
      <c r="B1496" s="302" t="str">
        <f t="shared" si="9"/>
        <v>Y</v>
      </c>
      <c r="C1496" s="6" t="s">
        <v>4442</v>
      </c>
      <c r="D1496" s="327"/>
      <c r="E1496" s="327" t="s">
        <v>4443</v>
      </c>
      <c r="F1496" s="206" t="s">
        <v>4444</v>
      </c>
      <c r="G1496" s="206" t="s">
        <v>4428</v>
      </c>
      <c r="H1496" s="207">
        <v>44337</v>
      </c>
      <c r="J1496" s="2" t="s">
        <v>4432</v>
      </c>
      <c r="K1496" s="302">
        <v>9970041561</v>
      </c>
      <c r="M1496" s="212"/>
      <c r="N1496" s="213"/>
      <c r="O1496" s="209"/>
    </row>
    <row r="1497" spans="1:15" x14ac:dyDescent="0.3">
      <c r="A1497" s="302" t="s">
        <v>155</v>
      </c>
      <c r="B1497" s="302" t="str">
        <f t="shared" si="9"/>
        <v>Y</v>
      </c>
      <c r="C1497" s="6" t="s">
        <v>4445</v>
      </c>
      <c r="D1497" s="327"/>
      <c r="E1497" s="327" t="s">
        <v>4446</v>
      </c>
      <c r="F1497" s="206" t="s">
        <v>4447</v>
      </c>
      <c r="G1497" s="206" t="s">
        <v>4428</v>
      </c>
      <c r="H1497" s="207">
        <v>44337</v>
      </c>
      <c r="J1497" s="2" t="s">
        <v>4432</v>
      </c>
      <c r="K1497" s="302">
        <v>9263480637</v>
      </c>
      <c r="M1497" s="212"/>
      <c r="N1497" s="213"/>
      <c r="O1497" s="209"/>
    </row>
    <row r="1498" spans="1:15" x14ac:dyDescent="0.3">
      <c r="A1498" s="302" t="s">
        <v>155</v>
      </c>
      <c r="B1498" s="302" t="str">
        <f t="shared" si="9"/>
        <v>Y</v>
      </c>
      <c r="C1498" s="6" t="s">
        <v>4448</v>
      </c>
      <c r="D1498" s="327"/>
      <c r="E1498" s="327" t="s">
        <v>4449</v>
      </c>
      <c r="F1498" s="206" t="s">
        <v>4450</v>
      </c>
      <c r="G1498" s="206" t="s">
        <v>4428</v>
      </c>
      <c r="H1498" s="207">
        <v>44337</v>
      </c>
      <c r="J1498" s="2" t="s">
        <v>4432</v>
      </c>
      <c r="K1498" s="302">
        <v>7276960194</v>
      </c>
      <c r="M1498" s="212"/>
      <c r="N1498" s="213"/>
      <c r="O1498" s="209"/>
    </row>
    <row r="1499" spans="1:15" x14ac:dyDescent="0.3">
      <c r="A1499" s="302" t="s">
        <v>155</v>
      </c>
      <c r="B1499" s="302" t="str">
        <f t="shared" si="9"/>
        <v>Y</v>
      </c>
      <c r="C1499" s="6" t="s">
        <v>4451</v>
      </c>
      <c r="D1499" s="327"/>
      <c r="E1499" s="327" t="s">
        <v>4452</v>
      </c>
      <c r="F1499" s="206" t="s">
        <v>4453</v>
      </c>
      <c r="G1499" s="206" t="s">
        <v>4428</v>
      </c>
      <c r="H1499" s="207">
        <v>44337</v>
      </c>
      <c r="J1499" s="2" t="s">
        <v>4432</v>
      </c>
      <c r="K1499" s="302">
        <v>8210720367</v>
      </c>
      <c r="M1499" s="212"/>
      <c r="N1499" s="213"/>
      <c r="O1499" s="209"/>
    </row>
    <row r="1500" spans="1:15" x14ac:dyDescent="0.3">
      <c r="A1500" s="302" t="s">
        <v>155</v>
      </c>
      <c r="B1500" s="302" t="str">
        <f t="shared" si="9"/>
        <v>Y</v>
      </c>
      <c r="C1500" s="6" t="s">
        <v>4454</v>
      </c>
      <c r="D1500" s="327"/>
      <c r="E1500" s="327" t="s">
        <v>4455</v>
      </c>
      <c r="F1500" s="206" t="s">
        <v>4456</v>
      </c>
      <c r="G1500" s="206" t="s">
        <v>4457</v>
      </c>
      <c r="H1500" s="206" t="s">
        <v>4457</v>
      </c>
      <c r="K1500" s="302">
        <v>6206550719</v>
      </c>
      <c r="M1500" s="212"/>
      <c r="N1500" s="213"/>
      <c r="O1500" s="209"/>
    </row>
    <row r="1501" spans="1:15" x14ac:dyDescent="0.3">
      <c r="A1501" s="302" t="s">
        <v>155</v>
      </c>
      <c r="B1501" s="302" t="str">
        <f t="shared" si="9"/>
        <v>Y</v>
      </c>
      <c r="C1501" s="6" t="s">
        <v>4458</v>
      </c>
      <c r="D1501" s="327"/>
      <c r="E1501" s="327" t="s">
        <v>4459</v>
      </c>
      <c r="F1501" s="206" t="s">
        <v>4460</v>
      </c>
      <c r="G1501" s="206" t="s">
        <v>4461</v>
      </c>
      <c r="H1501" s="207">
        <v>44339</v>
      </c>
      <c r="J1501" s="2" t="s">
        <v>4432</v>
      </c>
      <c r="M1501" s="212"/>
      <c r="N1501" s="213"/>
      <c r="O1501" s="209"/>
    </row>
    <row r="1502" spans="1:15" x14ac:dyDescent="0.3">
      <c r="A1502" s="302" t="s">
        <v>155</v>
      </c>
      <c r="B1502" s="302" t="str">
        <f t="shared" si="9"/>
        <v>Y</v>
      </c>
      <c r="C1502" s="6" t="s">
        <v>4462</v>
      </c>
      <c r="D1502" s="327"/>
      <c r="E1502" s="327" t="s">
        <v>1561</v>
      </c>
      <c r="F1502" s="206" t="s">
        <v>4463</v>
      </c>
      <c r="G1502" s="206" t="s">
        <v>4464</v>
      </c>
      <c r="H1502" s="207">
        <v>44350</v>
      </c>
      <c r="K1502" s="302">
        <v>7004966234</v>
      </c>
      <c r="M1502" s="212"/>
      <c r="N1502" s="213"/>
      <c r="O1502" s="209"/>
    </row>
    <row r="1503" spans="1:15" x14ac:dyDescent="0.3">
      <c r="A1503" s="302" t="s">
        <v>155</v>
      </c>
      <c r="B1503" s="302" t="str">
        <f t="shared" si="9"/>
        <v>Y</v>
      </c>
      <c r="C1503" s="6" t="s">
        <v>4465</v>
      </c>
      <c r="D1503" s="327"/>
      <c r="E1503" s="327" t="s">
        <v>4466</v>
      </c>
      <c r="F1503" s="206" t="s">
        <v>4467</v>
      </c>
      <c r="G1503" s="206" t="s">
        <v>4468</v>
      </c>
      <c r="H1503" s="206" t="s">
        <v>4468</v>
      </c>
      <c r="K1503" s="302">
        <v>7739841572</v>
      </c>
      <c r="M1503" s="212"/>
      <c r="N1503" s="213"/>
      <c r="O1503" s="209"/>
    </row>
    <row r="1504" spans="1:15" x14ac:dyDescent="0.3">
      <c r="A1504" s="302" t="s">
        <v>155</v>
      </c>
      <c r="B1504" s="302" t="str">
        <f t="shared" si="9"/>
        <v>Y</v>
      </c>
      <c r="C1504" s="6" t="s">
        <v>4469</v>
      </c>
      <c r="D1504" s="327"/>
      <c r="E1504" s="327" t="s">
        <v>4470</v>
      </c>
      <c r="F1504" s="206" t="s">
        <v>4471</v>
      </c>
      <c r="G1504" s="206" t="s">
        <v>4468</v>
      </c>
      <c r="H1504" s="206" t="s">
        <v>4468</v>
      </c>
      <c r="K1504" s="302">
        <v>8146946417</v>
      </c>
      <c r="M1504" s="212"/>
      <c r="N1504" s="213"/>
      <c r="O1504" s="209"/>
    </row>
    <row r="1505" spans="1:15" x14ac:dyDescent="0.3">
      <c r="A1505" s="302" t="s">
        <v>155</v>
      </c>
      <c r="B1505" s="302" t="str">
        <f t="shared" si="9"/>
        <v>Y</v>
      </c>
      <c r="C1505" s="6" t="s">
        <v>4472</v>
      </c>
      <c r="D1505" s="327"/>
      <c r="E1505" s="327" t="s">
        <v>4473</v>
      </c>
      <c r="F1505" s="206" t="s">
        <v>4474</v>
      </c>
      <c r="G1505" s="206" t="s">
        <v>4468</v>
      </c>
      <c r="H1505" s="207">
        <v>44350</v>
      </c>
      <c r="J1505" s="2" t="s">
        <v>3735</v>
      </c>
      <c r="K1505" s="302">
        <v>9031505181</v>
      </c>
      <c r="M1505" s="212"/>
      <c r="N1505" s="213"/>
      <c r="O1505" s="209"/>
    </row>
    <row r="1506" spans="1:15" x14ac:dyDescent="0.3">
      <c r="A1506" s="302" t="s">
        <v>155</v>
      </c>
      <c r="B1506" s="302" t="str">
        <f t="shared" si="9"/>
        <v>Y</v>
      </c>
      <c r="C1506" s="6" t="s">
        <v>4475</v>
      </c>
      <c r="D1506" s="327"/>
      <c r="E1506" s="327" t="s">
        <v>4476</v>
      </c>
      <c r="F1506" s="206" t="s">
        <v>4477</v>
      </c>
      <c r="G1506" s="206" t="s">
        <v>4478</v>
      </c>
      <c r="H1506" s="206" t="s">
        <v>4478</v>
      </c>
      <c r="K1506" s="302">
        <v>8789429193</v>
      </c>
      <c r="M1506" s="212"/>
      <c r="N1506" s="213"/>
      <c r="O1506" s="209"/>
    </row>
    <row r="1507" spans="1:15" x14ac:dyDescent="0.3">
      <c r="A1507" s="302" t="s">
        <v>155</v>
      </c>
      <c r="B1507" s="302" t="str">
        <f t="shared" si="9"/>
        <v>Y</v>
      </c>
      <c r="C1507" s="6" t="s">
        <v>4479</v>
      </c>
      <c r="D1507" s="327"/>
      <c r="E1507" s="327" t="s">
        <v>4480</v>
      </c>
      <c r="F1507" s="206" t="s">
        <v>2143</v>
      </c>
      <c r="G1507" s="206" t="s">
        <v>4478</v>
      </c>
      <c r="H1507" s="206" t="s">
        <v>4478</v>
      </c>
      <c r="K1507" s="302">
        <v>6207645251</v>
      </c>
      <c r="M1507" s="212"/>
      <c r="N1507" s="213"/>
      <c r="O1507" s="209"/>
    </row>
    <row r="1508" spans="1:15" x14ac:dyDescent="0.3">
      <c r="A1508" s="302" t="s">
        <v>155</v>
      </c>
      <c r="B1508" s="302" t="str">
        <f t="shared" si="9"/>
        <v>Y</v>
      </c>
      <c r="C1508" s="6" t="s">
        <v>4481</v>
      </c>
      <c r="D1508" s="327"/>
      <c r="E1508" s="327" t="s">
        <v>4482</v>
      </c>
      <c r="F1508" s="206" t="s">
        <v>4483</v>
      </c>
      <c r="G1508" s="206" t="s">
        <v>4484</v>
      </c>
      <c r="H1508" s="207">
        <v>44357</v>
      </c>
      <c r="K1508" s="302">
        <v>9060503831</v>
      </c>
      <c r="M1508" s="212"/>
      <c r="N1508" s="213"/>
      <c r="O1508" s="209"/>
    </row>
    <row r="1509" spans="1:15" x14ac:dyDescent="0.3">
      <c r="A1509" s="302" t="s">
        <v>155</v>
      </c>
      <c r="B1509" s="302" t="str">
        <f t="shared" si="9"/>
        <v>Y</v>
      </c>
      <c r="C1509" s="6" t="s">
        <v>4485</v>
      </c>
      <c r="D1509" s="327"/>
      <c r="E1509" s="327" t="s">
        <v>4486</v>
      </c>
      <c r="F1509" s="206" t="s">
        <v>4487</v>
      </c>
      <c r="G1509" s="206" t="s">
        <v>4484</v>
      </c>
      <c r="H1509" s="207">
        <v>44357</v>
      </c>
      <c r="K1509" s="302">
        <v>7870335212</v>
      </c>
      <c r="M1509" s="212"/>
      <c r="N1509" s="213"/>
      <c r="O1509" s="209"/>
    </row>
    <row r="1510" spans="1:15" x14ac:dyDescent="0.3">
      <c r="A1510" s="302" t="s">
        <v>155</v>
      </c>
      <c r="B1510" s="302" t="str">
        <f t="shared" si="9"/>
        <v>Y</v>
      </c>
      <c r="C1510" s="6" t="s">
        <v>4488</v>
      </c>
      <c r="D1510" s="327"/>
      <c r="E1510" s="327" t="s">
        <v>4489</v>
      </c>
      <c r="F1510" s="206" t="s">
        <v>4490</v>
      </c>
      <c r="G1510" s="206" t="s">
        <v>4484</v>
      </c>
      <c r="H1510" s="207">
        <v>44357</v>
      </c>
      <c r="K1510" s="302">
        <v>7050410077</v>
      </c>
      <c r="M1510" s="212"/>
      <c r="N1510" s="213"/>
      <c r="O1510" s="209"/>
    </row>
    <row r="1511" spans="1:15" x14ac:dyDescent="0.3">
      <c r="A1511" s="302" t="s">
        <v>155</v>
      </c>
      <c r="B1511" s="302" t="str">
        <f t="shared" si="9"/>
        <v>Y</v>
      </c>
      <c r="C1511" s="6" t="s">
        <v>4491</v>
      </c>
      <c r="D1511" s="327"/>
      <c r="E1511" s="327" t="s">
        <v>4492</v>
      </c>
      <c r="F1511" s="206" t="s">
        <v>4493</v>
      </c>
      <c r="G1511" s="206" t="s">
        <v>4494</v>
      </c>
      <c r="H1511" s="207">
        <v>44358</v>
      </c>
      <c r="K1511" s="302">
        <v>9534082315</v>
      </c>
      <c r="M1511" s="212"/>
      <c r="N1511" s="213"/>
      <c r="O1511" s="209"/>
    </row>
    <row r="1512" spans="1:15" x14ac:dyDescent="0.3">
      <c r="A1512" s="302" t="s">
        <v>155</v>
      </c>
      <c r="B1512" s="302" t="str">
        <f t="shared" si="9"/>
        <v>Y</v>
      </c>
      <c r="C1512" s="6" t="s">
        <v>4495</v>
      </c>
      <c r="D1512" s="327"/>
      <c r="E1512" s="327" t="s">
        <v>4496</v>
      </c>
      <c r="F1512" s="206" t="s">
        <v>4497</v>
      </c>
      <c r="G1512" s="206" t="s">
        <v>4498</v>
      </c>
      <c r="H1512" s="206" t="s">
        <v>4498</v>
      </c>
      <c r="K1512" s="302">
        <v>9304745183</v>
      </c>
      <c r="M1512" s="212"/>
      <c r="N1512" s="213"/>
      <c r="O1512" s="209"/>
    </row>
    <row r="1513" spans="1:15" x14ac:dyDescent="0.3">
      <c r="A1513" s="302" t="s">
        <v>155</v>
      </c>
      <c r="B1513" s="302" t="str">
        <f t="shared" si="9"/>
        <v>Y</v>
      </c>
      <c r="C1513" s="6" t="s">
        <v>4499</v>
      </c>
      <c r="D1513" s="327"/>
      <c r="E1513" s="327" t="s">
        <v>4500</v>
      </c>
      <c r="F1513" s="206" t="s">
        <v>4501</v>
      </c>
      <c r="G1513" s="206" t="s">
        <v>4498</v>
      </c>
      <c r="H1513" s="206" t="s">
        <v>4498</v>
      </c>
      <c r="K1513" s="302">
        <v>9234567019</v>
      </c>
      <c r="M1513" s="212"/>
      <c r="N1513" s="213"/>
      <c r="O1513" s="209"/>
    </row>
    <row r="1514" spans="1:15" x14ac:dyDescent="0.3">
      <c r="A1514" s="302" t="s">
        <v>155</v>
      </c>
      <c r="B1514" s="302" t="str">
        <f t="shared" si="9"/>
        <v>Y</v>
      </c>
      <c r="C1514" s="6" t="s">
        <v>4502</v>
      </c>
      <c r="D1514" s="327"/>
      <c r="E1514" s="327" t="s">
        <v>4503</v>
      </c>
      <c r="F1514" s="206" t="s">
        <v>4504</v>
      </c>
      <c r="G1514" s="206" t="s">
        <v>4498</v>
      </c>
      <c r="H1514" s="206" t="s">
        <v>4498</v>
      </c>
      <c r="K1514" s="302">
        <v>8210763386</v>
      </c>
      <c r="M1514" s="212"/>
      <c r="N1514" s="213"/>
      <c r="O1514" s="209"/>
    </row>
    <row r="1515" spans="1:15" x14ac:dyDescent="0.3">
      <c r="A1515" s="302" t="s">
        <v>155</v>
      </c>
      <c r="B1515" s="302" t="str">
        <f t="shared" si="9"/>
        <v>Y</v>
      </c>
      <c r="C1515" s="455" t="s">
        <v>4505</v>
      </c>
      <c r="D1515" s="333"/>
      <c r="E1515" s="327" t="s">
        <v>4506</v>
      </c>
      <c r="F1515" s="206" t="s">
        <v>2070</v>
      </c>
      <c r="G1515" s="206" t="s">
        <v>4507</v>
      </c>
      <c r="H1515" s="207">
        <v>44376</v>
      </c>
      <c r="I1515" s="231" t="s">
        <v>4508</v>
      </c>
      <c r="K1515" s="302">
        <v>8757785271</v>
      </c>
      <c r="M1515" s="212"/>
      <c r="N1515" s="213"/>
      <c r="O1515" s="209"/>
    </row>
    <row r="1516" spans="1:15" x14ac:dyDescent="0.3">
      <c r="A1516" s="302" t="s">
        <v>155</v>
      </c>
      <c r="B1516" s="302" t="str">
        <f t="shared" si="9"/>
        <v>N</v>
      </c>
      <c r="C1516" s="6" t="s">
        <v>4509</v>
      </c>
      <c r="D1516" s="327"/>
      <c r="E1516" s="327" t="s">
        <v>746</v>
      </c>
      <c r="F1516" s="206" t="s">
        <v>4510</v>
      </c>
      <c r="G1516" s="206" t="s">
        <v>4511</v>
      </c>
      <c r="H1516" s="302"/>
      <c r="K1516" s="302">
        <v>6203949369</v>
      </c>
      <c r="M1516" s="212"/>
      <c r="N1516" s="213"/>
      <c r="O1516" s="209"/>
    </row>
    <row r="1517" spans="1:15" x14ac:dyDescent="0.3">
      <c r="A1517" s="302" t="s">
        <v>155</v>
      </c>
      <c r="B1517" s="302" t="str">
        <f t="shared" si="9"/>
        <v>Y</v>
      </c>
      <c r="C1517" s="6" t="s">
        <v>4512</v>
      </c>
      <c r="D1517" s="327"/>
      <c r="E1517" s="327" t="s">
        <v>4513</v>
      </c>
      <c r="F1517" s="206" t="s">
        <v>4514</v>
      </c>
      <c r="G1517" s="206" t="s">
        <v>4511</v>
      </c>
      <c r="H1517" s="206" t="s">
        <v>4511</v>
      </c>
      <c r="K1517" s="302">
        <v>7050404455</v>
      </c>
      <c r="M1517" s="212"/>
      <c r="N1517" s="213"/>
      <c r="O1517" s="209"/>
    </row>
    <row r="1518" spans="1:15" x14ac:dyDescent="0.3">
      <c r="A1518" s="302" t="s">
        <v>155</v>
      </c>
      <c r="B1518" s="302" t="str">
        <f t="shared" si="9"/>
        <v>Y</v>
      </c>
      <c r="C1518" s="6" t="s">
        <v>4515</v>
      </c>
      <c r="D1518" s="327"/>
      <c r="E1518" s="327" t="s">
        <v>4516</v>
      </c>
      <c r="F1518" s="206" t="s">
        <v>4517</v>
      </c>
      <c r="G1518" s="206" t="s">
        <v>4518</v>
      </c>
      <c r="H1518" s="207">
        <v>44362</v>
      </c>
      <c r="J1518" s="2" t="s">
        <v>3735</v>
      </c>
      <c r="K1518" s="302">
        <v>6201773469</v>
      </c>
      <c r="M1518" s="212"/>
      <c r="N1518" s="213"/>
      <c r="O1518" s="209"/>
    </row>
    <row r="1519" spans="1:15" x14ac:dyDescent="0.3">
      <c r="A1519" s="302" t="s">
        <v>155</v>
      </c>
      <c r="B1519" s="302" t="str">
        <f t="shared" si="9"/>
        <v>Y</v>
      </c>
      <c r="C1519" s="6" t="s">
        <v>4509</v>
      </c>
      <c r="D1519" s="327"/>
      <c r="E1519" s="327" t="s">
        <v>746</v>
      </c>
      <c r="F1519" s="206" t="s">
        <v>4519</v>
      </c>
      <c r="G1519" s="206" t="s">
        <v>4518</v>
      </c>
      <c r="H1519" s="207">
        <v>44362</v>
      </c>
      <c r="J1519" s="2" t="s">
        <v>3735</v>
      </c>
      <c r="K1519" s="302">
        <v>6203949369</v>
      </c>
      <c r="M1519" s="212"/>
      <c r="N1519" s="213"/>
      <c r="O1519" s="209"/>
    </row>
    <row r="1520" spans="1:15" x14ac:dyDescent="0.3">
      <c r="A1520" s="302" t="s">
        <v>155</v>
      </c>
      <c r="B1520" s="302" t="str">
        <f t="shared" si="9"/>
        <v>Y</v>
      </c>
      <c r="C1520" s="6" t="s">
        <v>4520</v>
      </c>
      <c r="D1520" s="327"/>
      <c r="E1520" s="327" t="s">
        <v>4521</v>
      </c>
      <c r="F1520" s="206" t="s">
        <v>4522</v>
      </c>
      <c r="G1520" s="206" t="s">
        <v>4518</v>
      </c>
      <c r="H1520" s="207">
        <v>44362</v>
      </c>
      <c r="J1520" s="2" t="s">
        <v>3735</v>
      </c>
      <c r="K1520" s="302">
        <v>6202723116</v>
      </c>
      <c r="M1520" s="212"/>
      <c r="N1520" s="213"/>
      <c r="O1520" s="209"/>
    </row>
    <row r="1521" spans="1:15" x14ac:dyDescent="0.3">
      <c r="A1521" s="302" t="s">
        <v>155</v>
      </c>
      <c r="B1521" s="302" t="str">
        <f t="shared" si="9"/>
        <v>N</v>
      </c>
      <c r="C1521" s="6" t="s">
        <v>4523</v>
      </c>
      <c r="D1521" s="327"/>
      <c r="E1521" s="327" t="s">
        <v>4524</v>
      </c>
      <c r="F1521" s="206" t="s">
        <v>4525</v>
      </c>
      <c r="G1521" s="206" t="s">
        <v>4526</v>
      </c>
      <c r="H1521" s="206"/>
      <c r="K1521" s="302">
        <v>9955494023</v>
      </c>
      <c r="M1521" s="212"/>
      <c r="N1521" s="213"/>
      <c r="O1521" s="209"/>
    </row>
    <row r="1522" spans="1:15" x14ac:dyDescent="0.3">
      <c r="A1522" s="302" t="s">
        <v>155</v>
      </c>
      <c r="B1522" s="302" t="str">
        <f t="shared" si="9"/>
        <v>N</v>
      </c>
      <c r="C1522" s="6" t="s">
        <v>4527</v>
      </c>
      <c r="D1522" s="327"/>
      <c r="E1522" s="327" t="s">
        <v>4528</v>
      </c>
      <c r="F1522" s="206" t="s">
        <v>4247</v>
      </c>
      <c r="G1522" s="206" t="s">
        <v>4526</v>
      </c>
      <c r="H1522" s="302"/>
      <c r="K1522" s="302">
        <v>8825280038</v>
      </c>
      <c r="M1522" s="212"/>
      <c r="N1522" s="213"/>
      <c r="O1522" s="209"/>
    </row>
    <row r="1523" spans="1:15" x14ac:dyDescent="0.3">
      <c r="A1523" s="302" t="s">
        <v>155</v>
      </c>
      <c r="B1523" s="302" t="str">
        <f t="shared" si="9"/>
        <v>Y</v>
      </c>
      <c r="C1523" s="6" t="s">
        <v>4529</v>
      </c>
      <c r="D1523" s="327"/>
      <c r="E1523" s="327" t="s">
        <v>4530</v>
      </c>
      <c r="F1523" s="206" t="s">
        <v>2619</v>
      </c>
      <c r="G1523" s="206" t="s">
        <v>4531</v>
      </c>
      <c r="H1523" s="206" t="s">
        <v>4531</v>
      </c>
      <c r="K1523" s="302">
        <v>6206785378</v>
      </c>
      <c r="M1523" s="212"/>
      <c r="N1523" s="213"/>
      <c r="O1523" s="209"/>
    </row>
    <row r="1524" spans="1:15" x14ac:dyDescent="0.3">
      <c r="A1524" s="302" t="s">
        <v>155</v>
      </c>
      <c r="B1524" s="302" t="str">
        <f t="shared" si="9"/>
        <v>Y</v>
      </c>
      <c r="C1524" s="6" t="s">
        <v>4532</v>
      </c>
      <c r="D1524" s="327"/>
      <c r="E1524" s="327" t="s">
        <v>4533</v>
      </c>
      <c r="F1524" s="206" t="s">
        <v>4534</v>
      </c>
      <c r="G1524" s="206" t="s">
        <v>4531</v>
      </c>
      <c r="H1524" s="206" t="s">
        <v>4531</v>
      </c>
      <c r="K1524" s="302">
        <v>9801438094</v>
      </c>
      <c r="M1524" s="212"/>
      <c r="N1524" s="213"/>
      <c r="O1524" s="209"/>
    </row>
    <row r="1525" spans="1:15" x14ac:dyDescent="0.3">
      <c r="A1525" s="302" t="s">
        <v>155</v>
      </c>
      <c r="B1525" s="302" t="str">
        <f t="shared" si="9"/>
        <v>Y</v>
      </c>
      <c r="C1525" s="6" t="s">
        <v>4535</v>
      </c>
      <c r="D1525" s="327"/>
      <c r="E1525" s="327" t="s">
        <v>4536</v>
      </c>
      <c r="F1525" s="206" t="s">
        <v>4537</v>
      </c>
      <c r="G1525" s="206" t="s">
        <v>4538</v>
      </c>
      <c r="H1525" s="207">
        <v>44398</v>
      </c>
      <c r="K1525" s="302">
        <v>6200205239</v>
      </c>
      <c r="M1525" s="212"/>
      <c r="N1525" s="213"/>
      <c r="O1525" s="209"/>
    </row>
    <row r="1526" spans="1:15" x14ac:dyDescent="0.3">
      <c r="A1526" s="302" t="s">
        <v>155</v>
      </c>
      <c r="B1526" s="302" t="str">
        <f t="shared" si="9"/>
        <v>Y</v>
      </c>
      <c r="C1526" s="6" t="s">
        <v>4539</v>
      </c>
      <c r="D1526" s="327"/>
      <c r="E1526" s="327" t="s">
        <v>4540</v>
      </c>
      <c r="F1526" s="206" t="s">
        <v>4541</v>
      </c>
      <c r="G1526" s="206" t="s">
        <v>4542</v>
      </c>
      <c r="H1526" s="206" t="s">
        <v>4542</v>
      </c>
      <c r="K1526" s="302">
        <v>6204196083</v>
      </c>
      <c r="M1526" s="212"/>
      <c r="N1526" s="213"/>
      <c r="O1526" s="209"/>
    </row>
    <row r="1527" spans="1:15" x14ac:dyDescent="0.3">
      <c r="A1527" s="302" t="s">
        <v>155</v>
      </c>
      <c r="B1527" s="302" t="str">
        <f t="shared" si="9"/>
        <v>Y</v>
      </c>
      <c r="C1527" s="6" t="s">
        <v>4543</v>
      </c>
      <c r="D1527" s="327"/>
      <c r="E1527" s="327" t="s">
        <v>4544</v>
      </c>
      <c r="F1527" s="206" t="s">
        <v>4545</v>
      </c>
      <c r="G1527" s="206" t="s">
        <v>4542</v>
      </c>
      <c r="H1527" s="206" t="s">
        <v>4542</v>
      </c>
      <c r="K1527" s="302">
        <v>9931939505</v>
      </c>
      <c r="M1527" s="212"/>
      <c r="N1527" s="213"/>
      <c r="O1527" s="209"/>
    </row>
    <row r="1528" spans="1:15" x14ac:dyDescent="0.3">
      <c r="A1528" s="302" t="s">
        <v>155</v>
      </c>
      <c r="B1528" s="302" t="str">
        <f t="shared" si="9"/>
        <v>Y</v>
      </c>
      <c r="C1528" s="6" t="s">
        <v>4546</v>
      </c>
      <c r="D1528" s="327"/>
      <c r="E1528" s="327" t="s">
        <v>4547</v>
      </c>
      <c r="F1528" s="206" t="s">
        <v>3149</v>
      </c>
      <c r="G1528" s="206" t="s">
        <v>4542</v>
      </c>
      <c r="H1528" s="206" t="s">
        <v>4542</v>
      </c>
      <c r="M1528" s="212"/>
      <c r="N1528" s="213"/>
      <c r="O1528" s="209"/>
    </row>
    <row r="1529" spans="1:15" x14ac:dyDescent="0.3">
      <c r="A1529" s="302" t="s">
        <v>155</v>
      </c>
      <c r="B1529" s="302" t="str">
        <f t="shared" si="9"/>
        <v>Y</v>
      </c>
      <c r="C1529" s="6" t="s">
        <v>4548</v>
      </c>
      <c r="D1529" s="327"/>
      <c r="E1529" s="327" t="s">
        <v>4549</v>
      </c>
      <c r="F1529" s="206" t="s">
        <v>4550</v>
      </c>
      <c r="G1529" s="206" t="s">
        <v>4542</v>
      </c>
      <c r="H1529" s="206" t="s">
        <v>4542</v>
      </c>
      <c r="M1529" s="212"/>
      <c r="N1529" s="213"/>
      <c r="O1529" s="209"/>
    </row>
    <row r="1530" spans="1:15" x14ac:dyDescent="0.3">
      <c r="A1530" s="302" t="s">
        <v>155</v>
      </c>
      <c r="B1530" s="302" t="str">
        <f t="shared" si="9"/>
        <v>Y</v>
      </c>
      <c r="C1530" s="6" t="s">
        <v>4551</v>
      </c>
      <c r="D1530" s="327"/>
      <c r="E1530" s="327" t="s">
        <v>4552</v>
      </c>
      <c r="F1530" s="206" t="s">
        <v>4553</v>
      </c>
      <c r="G1530" s="206" t="s">
        <v>4542</v>
      </c>
      <c r="H1530" s="206" t="s">
        <v>4542</v>
      </c>
      <c r="K1530" s="302">
        <v>8271062895</v>
      </c>
      <c r="M1530" s="212"/>
      <c r="N1530" s="213"/>
      <c r="O1530" s="209"/>
    </row>
    <row r="1531" spans="1:15" x14ac:dyDescent="0.3">
      <c r="A1531" s="302" t="s">
        <v>155</v>
      </c>
      <c r="B1531" s="302" t="str">
        <f t="shared" si="9"/>
        <v>Y</v>
      </c>
      <c r="C1531" s="6" t="s">
        <v>4554</v>
      </c>
      <c r="D1531" s="327"/>
      <c r="E1531" s="327" t="s">
        <v>4555</v>
      </c>
      <c r="F1531" s="206" t="s">
        <v>3441</v>
      </c>
      <c r="G1531" s="206" t="s">
        <v>4542</v>
      </c>
      <c r="H1531" s="206" t="s">
        <v>4542</v>
      </c>
      <c r="K1531" s="302">
        <v>6206914065</v>
      </c>
      <c r="M1531" s="212"/>
      <c r="N1531" s="213"/>
      <c r="O1531" s="209"/>
    </row>
    <row r="1532" spans="1:15" x14ac:dyDescent="0.3">
      <c r="A1532" s="302" t="s">
        <v>155</v>
      </c>
      <c r="B1532" s="302" t="str">
        <f t="shared" si="9"/>
        <v>Y</v>
      </c>
      <c r="C1532" s="6" t="s">
        <v>4556</v>
      </c>
      <c r="D1532" s="327"/>
      <c r="E1532" s="327" t="s">
        <v>4557</v>
      </c>
      <c r="F1532" s="206" t="s">
        <v>4558</v>
      </c>
      <c r="G1532" s="206" t="s">
        <v>4542</v>
      </c>
      <c r="H1532" s="206" t="s">
        <v>4542</v>
      </c>
      <c r="K1532" s="302">
        <v>9337758393</v>
      </c>
      <c r="M1532" s="212"/>
      <c r="N1532" s="213"/>
      <c r="O1532" s="209"/>
    </row>
    <row r="1533" spans="1:15" x14ac:dyDescent="0.3">
      <c r="A1533" s="302" t="s">
        <v>155</v>
      </c>
      <c r="B1533" s="302" t="str">
        <f t="shared" si="9"/>
        <v>Y</v>
      </c>
      <c r="C1533" s="6" t="s">
        <v>4559</v>
      </c>
      <c r="D1533" s="327"/>
      <c r="E1533" s="327" t="s">
        <v>4560</v>
      </c>
      <c r="F1533" s="206" t="s">
        <v>4561</v>
      </c>
      <c r="G1533" s="206" t="s">
        <v>4542</v>
      </c>
      <c r="H1533" s="206" t="s">
        <v>4542</v>
      </c>
      <c r="K1533" s="302">
        <v>7209788895</v>
      </c>
      <c r="M1533" s="212"/>
      <c r="N1533" s="213"/>
      <c r="O1533" s="209"/>
    </row>
    <row r="1534" spans="1:15" x14ac:dyDescent="0.3">
      <c r="A1534" s="302" t="s">
        <v>155</v>
      </c>
      <c r="B1534" s="302" t="str">
        <f t="shared" si="9"/>
        <v>Y</v>
      </c>
      <c r="C1534" s="6" t="s">
        <v>4562</v>
      </c>
      <c r="D1534" s="327"/>
      <c r="E1534" s="335" t="s">
        <v>4563</v>
      </c>
      <c r="F1534" s="206" t="s">
        <v>4564</v>
      </c>
      <c r="G1534" s="206" t="s">
        <v>4542</v>
      </c>
      <c r="H1534" s="206" t="s">
        <v>4542</v>
      </c>
      <c r="K1534" s="302">
        <v>8092369713</v>
      </c>
      <c r="M1534" s="212"/>
      <c r="N1534" s="213"/>
      <c r="O1534" s="209"/>
    </row>
    <row r="1535" spans="1:15" x14ac:dyDescent="0.3">
      <c r="A1535" s="302" t="s">
        <v>155</v>
      </c>
      <c r="B1535" s="302" t="str">
        <f t="shared" si="9"/>
        <v>Y</v>
      </c>
      <c r="C1535" s="6" t="s">
        <v>4565</v>
      </c>
      <c r="D1535" s="327"/>
      <c r="E1535" s="335" t="s">
        <v>4566</v>
      </c>
      <c r="F1535" s="206" t="s">
        <v>4567</v>
      </c>
      <c r="G1535" s="206" t="s">
        <v>4568</v>
      </c>
      <c r="H1535" s="206" t="s">
        <v>4568</v>
      </c>
      <c r="K1535" s="302">
        <v>7360940943</v>
      </c>
      <c r="M1535" s="212"/>
      <c r="N1535" s="213"/>
      <c r="O1535" s="209"/>
    </row>
    <row r="1536" spans="1:15" x14ac:dyDescent="0.3">
      <c r="A1536" s="302" t="s">
        <v>155</v>
      </c>
      <c r="B1536" s="302" t="str">
        <f t="shared" si="9"/>
        <v>Y</v>
      </c>
      <c r="C1536" s="6" t="s">
        <v>4569</v>
      </c>
      <c r="D1536" s="327"/>
      <c r="E1536" s="327" t="s">
        <v>4570</v>
      </c>
      <c r="F1536" s="206" t="s">
        <v>4571</v>
      </c>
      <c r="G1536" s="206" t="s">
        <v>4568</v>
      </c>
      <c r="H1536" s="206" t="s">
        <v>4568</v>
      </c>
      <c r="K1536" s="302">
        <v>6200593142</v>
      </c>
      <c r="M1536" s="212"/>
      <c r="N1536" s="213"/>
      <c r="O1536" s="209"/>
    </row>
    <row r="1537" spans="1:15" x14ac:dyDescent="0.3">
      <c r="A1537" s="302" t="s">
        <v>155</v>
      </c>
      <c r="B1537" s="302" t="str">
        <f t="shared" si="9"/>
        <v>Y</v>
      </c>
      <c r="C1537" s="6" t="s">
        <v>4572</v>
      </c>
      <c r="D1537" s="327"/>
      <c r="E1537" s="335" t="s">
        <v>4573</v>
      </c>
      <c r="F1537" s="206" t="s">
        <v>4574</v>
      </c>
      <c r="G1537" s="206" t="s">
        <v>4575</v>
      </c>
      <c r="H1537" s="207">
        <v>44372</v>
      </c>
      <c r="J1537" s="2" t="s">
        <v>4576</v>
      </c>
      <c r="K1537" s="302">
        <v>8235452199</v>
      </c>
      <c r="M1537" s="212"/>
      <c r="N1537" s="213"/>
      <c r="O1537" s="209"/>
    </row>
    <row r="1538" spans="1:15" x14ac:dyDescent="0.3">
      <c r="A1538" s="302" t="s">
        <v>155</v>
      </c>
      <c r="B1538" s="302" t="str">
        <f t="shared" si="9"/>
        <v>Y</v>
      </c>
      <c r="C1538" s="6" t="s">
        <v>4577</v>
      </c>
      <c r="D1538" s="327"/>
      <c r="E1538" s="327" t="s">
        <v>4578</v>
      </c>
      <c r="F1538" s="206" t="s">
        <v>4579</v>
      </c>
      <c r="G1538" s="206" t="s">
        <v>4580</v>
      </c>
      <c r="H1538" s="207">
        <v>44376</v>
      </c>
      <c r="M1538" s="212"/>
      <c r="N1538" s="213"/>
      <c r="O1538" s="209"/>
    </row>
    <row r="1539" spans="1:15" x14ac:dyDescent="0.3">
      <c r="A1539" s="302" t="s">
        <v>155</v>
      </c>
      <c r="B1539" s="302" t="str">
        <f t="shared" si="9"/>
        <v>Y</v>
      </c>
      <c r="C1539" s="6" t="s">
        <v>4581</v>
      </c>
      <c r="D1539" s="327"/>
      <c r="E1539" s="327" t="s">
        <v>4582</v>
      </c>
      <c r="F1539" s="206" t="s">
        <v>4233</v>
      </c>
      <c r="G1539" s="206" t="s">
        <v>4583</v>
      </c>
      <c r="H1539" s="206" t="s">
        <v>4583</v>
      </c>
      <c r="K1539" s="302">
        <v>6205639097</v>
      </c>
      <c r="M1539" s="212"/>
      <c r="N1539" s="213"/>
      <c r="O1539" s="209"/>
    </row>
    <row r="1540" spans="1:15" x14ac:dyDescent="0.3">
      <c r="A1540" s="302" t="s">
        <v>155</v>
      </c>
      <c r="B1540" s="302" t="str">
        <f t="shared" si="9"/>
        <v>Y</v>
      </c>
      <c r="C1540" s="6" t="s">
        <v>4584</v>
      </c>
      <c r="D1540" s="327"/>
      <c r="E1540" s="327" t="s">
        <v>4585</v>
      </c>
      <c r="F1540" s="206" t="s">
        <v>3424</v>
      </c>
      <c r="G1540" s="206" t="s">
        <v>4583</v>
      </c>
      <c r="H1540" s="206" t="s">
        <v>4583</v>
      </c>
      <c r="K1540" s="302">
        <v>8235232511</v>
      </c>
      <c r="M1540" s="212"/>
      <c r="N1540" s="213"/>
      <c r="O1540" s="209"/>
    </row>
    <row r="1541" spans="1:15" x14ac:dyDescent="0.3">
      <c r="A1541" s="302" t="s">
        <v>155</v>
      </c>
      <c r="B1541" s="302" t="str">
        <f t="shared" si="9"/>
        <v>Y</v>
      </c>
      <c r="C1541" s="6" t="s">
        <v>4586</v>
      </c>
      <c r="D1541" s="327"/>
      <c r="E1541" s="335" t="s">
        <v>4587</v>
      </c>
      <c r="F1541" s="239" t="s">
        <v>4588</v>
      </c>
      <c r="G1541" s="239" t="s">
        <v>4583</v>
      </c>
      <c r="H1541" s="239" t="s">
        <v>4583</v>
      </c>
      <c r="I1541" s="4"/>
      <c r="J1541" s="239" t="s">
        <v>3735</v>
      </c>
      <c r="K1541" s="302">
        <v>6206914065</v>
      </c>
      <c r="M1541" s="212"/>
      <c r="N1541" s="213"/>
      <c r="O1541" s="209"/>
    </row>
    <row r="1542" spans="1:15" x14ac:dyDescent="0.3">
      <c r="A1542" s="302" t="s">
        <v>155</v>
      </c>
      <c r="B1542" s="302" t="str">
        <f t="shared" si="9"/>
        <v>Y</v>
      </c>
      <c r="C1542" s="6" t="s">
        <v>4589</v>
      </c>
      <c r="D1542" s="327"/>
      <c r="E1542" s="327" t="s">
        <v>4590</v>
      </c>
      <c r="F1542" s="206" t="s">
        <v>4591</v>
      </c>
      <c r="G1542" s="206" t="s">
        <v>4583</v>
      </c>
      <c r="H1542" s="206" t="s">
        <v>4583</v>
      </c>
      <c r="K1542" s="302">
        <v>7319894811</v>
      </c>
      <c r="M1542" s="212"/>
      <c r="N1542" s="213"/>
      <c r="O1542" s="209"/>
    </row>
    <row r="1543" spans="1:15" x14ac:dyDescent="0.3">
      <c r="A1543" s="302" t="s">
        <v>155</v>
      </c>
      <c r="B1543" s="302" t="str">
        <f t="shared" si="9"/>
        <v>Y</v>
      </c>
      <c r="C1543" s="6" t="s">
        <v>4592</v>
      </c>
      <c r="D1543" s="327"/>
      <c r="E1543" s="335" t="s">
        <v>4593</v>
      </c>
      <c r="F1543" s="206" t="s">
        <v>4594</v>
      </c>
      <c r="G1543" s="206" t="s">
        <v>4595</v>
      </c>
      <c r="H1543" s="207">
        <v>44377</v>
      </c>
      <c r="M1543" s="212"/>
      <c r="N1543" s="213"/>
      <c r="O1543" s="209"/>
    </row>
    <row r="1544" spans="1:15" x14ac:dyDescent="0.3">
      <c r="A1544" s="302" t="s">
        <v>155</v>
      </c>
      <c r="B1544" s="302" t="str">
        <f t="shared" si="9"/>
        <v>Y</v>
      </c>
      <c r="C1544" s="6" t="s">
        <v>4596</v>
      </c>
      <c r="D1544" s="327"/>
      <c r="E1544" s="327" t="s">
        <v>4597</v>
      </c>
      <c r="F1544" s="206" t="s">
        <v>4598</v>
      </c>
      <c r="G1544" s="206" t="s">
        <v>4595</v>
      </c>
      <c r="H1544" s="207">
        <v>44377</v>
      </c>
      <c r="M1544" s="212"/>
      <c r="N1544" s="213"/>
      <c r="O1544" s="209"/>
    </row>
    <row r="1545" spans="1:15" x14ac:dyDescent="0.3">
      <c r="A1545" s="302" t="s">
        <v>155</v>
      </c>
      <c r="B1545" s="302" t="str">
        <f t="shared" si="9"/>
        <v>Y</v>
      </c>
      <c r="C1545" s="6" t="s">
        <v>4599</v>
      </c>
      <c r="D1545" s="327"/>
      <c r="E1545" s="327" t="s">
        <v>4600</v>
      </c>
      <c r="F1545" s="206" t="s">
        <v>4601</v>
      </c>
      <c r="G1545" s="206" t="s">
        <v>4595</v>
      </c>
      <c r="H1545" s="207">
        <v>44377</v>
      </c>
      <c r="M1545" s="212"/>
      <c r="N1545" s="213"/>
      <c r="O1545" s="209"/>
    </row>
    <row r="1546" spans="1:15" x14ac:dyDescent="0.3">
      <c r="A1546" s="302" t="s">
        <v>155</v>
      </c>
      <c r="B1546" s="302" t="str">
        <f t="shared" si="9"/>
        <v>Y</v>
      </c>
      <c r="C1546" s="6" t="s">
        <v>4584</v>
      </c>
      <c r="D1546" s="327"/>
      <c r="E1546" s="327" t="s">
        <v>4585</v>
      </c>
      <c r="F1546" s="206" t="s">
        <v>1458</v>
      </c>
      <c r="G1546" s="206" t="s">
        <v>4602</v>
      </c>
      <c r="H1546" s="207">
        <v>44378</v>
      </c>
      <c r="M1546" s="212"/>
      <c r="N1546" s="213"/>
      <c r="O1546" s="209"/>
    </row>
    <row r="1547" spans="1:15" x14ac:dyDescent="0.3">
      <c r="A1547" s="302" t="s">
        <v>155</v>
      </c>
      <c r="B1547" s="302" t="str">
        <f t="shared" si="9"/>
        <v>N</v>
      </c>
      <c r="C1547" s="6" t="s">
        <v>4603</v>
      </c>
      <c r="D1547" s="327"/>
      <c r="E1547" s="327" t="s">
        <v>4604</v>
      </c>
      <c r="F1547" s="206" t="s">
        <v>4605</v>
      </c>
      <c r="G1547" s="206" t="s">
        <v>4602</v>
      </c>
      <c r="H1547" s="302"/>
      <c r="K1547" s="302">
        <v>7903741774</v>
      </c>
      <c r="M1547" s="212"/>
      <c r="N1547" s="213"/>
      <c r="O1547" s="209"/>
    </row>
    <row r="1548" spans="1:15" x14ac:dyDescent="0.3">
      <c r="A1548" s="302" t="s">
        <v>155</v>
      </c>
      <c r="B1548" s="302" t="str">
        <f t="shared" si="9"/>
        <v>Y</v>
      </c>
      <c r="C1548" s="6" t="s">
        <v>4606</v>
      </c>
      <c r="D1548" s="327"/>
      <c r="E1548" s="327" t="s">
        <v>4607</v>
      </c>
      <c r="F1548" s="206" t="s">
        <v>4608</v>
      </c>
      <c r="G1548" s="206" t="s">
        <v>4609</v>
      </c>
      <c r="H1548" s="206" t="s">
        <v>4609</v>
      </c>
      <c r="K1548" s="302">
        <v>8271860170</v>
      </c>
      <c r="M1548" s="212"/>
      <c r="N1548" s="213"/>
      <c r="O1548" s="209"/>
    </row>
    <row r="1549" spans="1:15" x14ac:dyDescent="0.3">
      <c r="A1549" s="302" t="s">
        <v>155</v>
      </c>
      <c r="B1549" s="302" t="str">
        <f t="shared" si="9"/>
        <v>Y</v>
      </c>
      <c r="C1549" s="6" t="s">
        <v>4610</v>
      </c>
      <c r="D1549" s="327"/>
      <c r="E1549" s="327" t="s">
        <v>4611</v>
      </c>
      <c r="F1549" s="206" t="s">
        <v>4612</v>
      </c>
      <c r="G1549" s="206" t="s">
        <v>4609</v>
      </c>
      <c r="H1549" s="206" t="s">
        <v>4609</v>
      </c>
      <c r="K1549" s="302">
        <v>9304211167</v>
      </c>
      <c r="M1549" s="212"/>
      <c r="N1549" s="213"/>
      <c r="O1549" s="209"/>
    </row>
    <row r="1550" spans="1:15" x14ac:dyDescent="0.3">
      <c r="A1550" s="221" t="s">
        <v>155</v>
      </c>
      <c r="B1550" s="221" t="str">
        <f>IF(H1548="","N","Y")</f>
        <v>Y</v>
      </c>
      <c r="C1550" s="451" t="s">
        <v>4613</v>
      </c>
      <c r="D1550" s="329"/>
      <c r="E1550" s="329" t="s">
        <v>4614</v>
      </c>
      <c r="F1550" s="219" t="s">
        <v>4615</v>
      </c>
      <c r="G1550" s="219" t="s">
        <v>4609</v>
      </c>
      <c r="H1550" s="302"/>
      <c r="K1550" s="302">
        <v>8340796124</v>
      </c>
      <c r="M1550" s="212"/>
      <c r="N1550" s="213"/>
      <c r="O1550" s="209"/>
    </row>
    <row r="1551" spans="1:15" x14ac:dyDescent="0.3">
      <c r="A1551" s="302" t="s">
        <v>155</v>
      </c>
      <c r="B1551" s="302" t="str">
        <f t="shared" ref="B1551:B1805" si="10">IF(H1551="","N","Y")</f>
        <v>N</v>
      </c>
      <c r="C1551" s="6"/>
      <c r="D1551" s="327"/>
      <c r="E1551" s="327" t="s">
        <v>4616</v>
      </c>
      <c r="F1551" s="206" t="s">
        <v>3441</v>
      </c>
      <c r="G1551" s="206" t="s">
        <v>4609</v>
      </c>
      <c r="H1551" s="302"/>
      <c r="K1551" s="302">
        <v>8210030360</v>
      </c>
      <c r="M1551" s="212"/>
      <c r="N1551" s="213"/>
      <c r="O1551" s="209"/>
    </row>
    <row r="1552" spans="1:15" x14ac:dyDescent="0.3">
      <c r="A1552" s="302" t="s">
        <v>155</v>
      </c>
      <c r="B1552" s="302" t="str">
        <f t="shared" si="10"/>
        <v>Y</v>
      </c>
      <c r="C1552" s="6" t="s">
        <v>4617</v>
      </c>
      <c r="D1552" s="327"/>
      <c r="E1552" s="327" t="s">
        <v>4618</v>
      </c>
      <c r="F1552" s="206" t="s">
        <v>4619</v>
      </c>
      <c r="G1552" s="206" t="s">
        <v>4620</v>
      </c>
      <c r="H1552" s="207">
        <v>44382</v>
      </c>
      <c r="K1552" s="302">
        <v>6369740206</v>
      </c>
      <c r="M1552" s="212"/>
      <c r="N1552" s="213"/>
      <c r="O1552" s="209"/>
    </row>
    <row r="1553" spans="1:15" x14ac:dyDescent="0.3">
      <c r="A1553" s="302" t="s">
        <v>155</v>
      </c>
      <c r="B1553" s="302" t="str">
        <f t="shared" si="10"/>
        <v>Y</v>
      </c>
      <c r="C1553" s="6" t="s">
        <v>4621</v>
      </c>
      <c r="D1553" s="327"/>
      <c r="E1553" s="327" t="s">
        <v>4622</v>
      </c>
      <c r="F1553" s="206" t="s">
        <v>4623</v>
      </c>
      <c r="G1553" s="206" t="s">
        <v>4620</v>
      </c>
      <c r="H1553" s="207">
        <v>44382</v>
      </c>
      <c r="K1553" s="302">
        <v>8603992840</v>
      </c>
      <c r="M1553" s="212"/>
      <c r="N1553" s="213"/>
      <c r="O1553" s="209"/>
    </row>
    <row r="1554" spans="1:15" x14ac:dyDescent="0.3">
      <c r="A1554" s="302" t="s">
        <v>155</v>
      </c>
      <c r="B1554" s="302" t="str">
        <f t="shared" si="10"/>
        <v>Y</v>
      </c>
      <c r="C1554" s="6" t="s">
        <v>4624</v>
      </c>
      <c r="D1554" s="327"/>
      <c r="E1554" s="327" t="s">
        <v>4616</v>
      </c>
      <c r="F1554" s="206" t="s">
        <v>3441</v>
      </c>
      <c r="G1554" s="206" t="s">
        <v>4620</v>
      </c>
      <c r="H1554" s="207">
        <v>44382</v>
      </c>
      <c r="K1554" s="302">
        <v>8210030360</v>
      </c>
      <c r="M1554" s="212"/>
      <c r="N1554" s="213"/>
      <c r="O1554" s="209"/>
    </row>
    <row r="1555" spans="1:15" x14ac:dyDescent="0.3">
      <c r="A1555" s="302" t="s">
        <v>155</v>
      </c>
      <c r="B1555" s="302" t="str">
        <f t="shared" si="10"/>
        <v>Y</v>
      </c>
      <c r="C1555" s="451" t="s">
        <v>4625</v>
      </c>
      <c r="D1555" s="329"/>
      <c r="E1555" s="329" t="s">
        <v>4214</v>
      </c>
      <c r="F1555" s="219" t="s">
        <v>4215</v>
      </c>
      <c r="G1555" s="219" t="s">
        <v>4620</v>
      </c>
      <c r="H1555" s="220">
        <v>44382</v>
      </c>
      <c r="I1555" s="9" t="s">
        <v>4626</v>
      </c>
      <c r="K1555" s="302">
        <v>6202888188</v>
      </c>
      <c r="M1555" s="212"/>
      <c r="N1555" s="213"/>
      <c r="O1555" s="209"/>
    </row>
    <row r="1556" spans="1:15" x14ac:dyDescent="0.3">
      <c r="A1556" s="302" t="s">
        <v>155</v>
      </c>
      <c r="B1556" s="302" t="str">
        <f t="shared" si="10"/>
        <v>N</v>
      </c>
      <c r="C1556" s="6" t="s">
        <v>4627</v>
      </c>
      <c r="D1556" s="327"/>
      <c r="E1556" s="327" t="s">
        <v>4628</v>
      </c>
      <c r="F1556" s="206" t="s">
        <v>4629</v>
      </c>
      <c r="G1556" s="206" t="s">
        <v>4620</v>
      </c>
      <c r="H1556" s="302"/>
      <c r="K1556" s="302">
        <v>9199853347</v>
      </c>
      <c r="M1556" s="212"/>
      <c r="N1556" s="213"/>
      <c r="O1556" s="209"/>
    </row>
    <row r="1557" spans="1:15" x14ac:dyDescent="0.3">
      <c r="A1557" s="302" t="s">
        <v>155</v>
      </c>
      <c r="B1557" s="302" t="str">
        <f t="shared" si="10"/>
        <v>N</v>
      </c>
      <c r="C1557" s="6" t="s">
        <v>4630</v>
      </c>
      <c r="D1557" s="327"/>
      <c r="E1557" s="327" t="s">
        <v>4631</v>
      </c>
      <c r="F1557" s="206" t="s">
        <v>4632</v>
      </c>
      <c r="G1557" s="206" t="s">
        <v>4633</v>
      </c>
      <c r="H1557" s="302"/>
      <c r="K1557" s="302">
        <v>8797459577</v>
      </c>
      <c r="M1557" s="212"/>
      <c r="N1557" s="213"/>
      <c r="O1557" s="209"/>
    </row>
    <row r="1558" spans="1:15" x14ac:dyDescent="0.3">
      <c r="A1558" s="302" t="s">
        <v>155</v>
      </c>
      <c r="B1558" s="302" t="str">
        <f t="shared" si="10"/>
        <v>N</v>
      </c>
      <c r="C1558" s="6" t="s">
        <v>4634</v>
      </c>
      <c r="D1558" s="327"/>
      <c r="E1558" s="327" t="s">
        <v>4635</v>
      </c>
      <c r="F1558" s="206" t="s">
        <v>4636</v>
      </c>
      <c r="G1558" s="206" t="s">
        <v>4633</v>
      </c>
      <c r="H1558" s="302"/>
      <c r="K1558" s="302">
        <v>7295914524</v>
      </c>
      <c r="M1558" s="212"/>
      <c r="N1558" s="213"/>
      <c r="O1558" s="209"/>
    </row>
    <row r="1559" spans="1:15" x14ac:dyDescent="0.3">
      <c r="A1559" s="302" t="s">
        <v>155</v>
      </c>
      <c r="B1559" s="302" t="str">
        <f t="shared" si="10"/>
        <v>N</v>
      </c>
      <c r="C1559" s="6" t="s">
        <v>4637</v>
      </c>
      <c r="D1559" s="327"/>
      <c r="E1559" s="327" t="s">
        <v>4557</v>
      </c>
      <c r="F1559" s="206" t="s">
        <v>4558</v>
      </c>
      <c r="G1559" s="206" t="s">
        <v>4633</v>
      </c>
      <c r="H1559" s="302"/>
      <c r="K1559" s="302">
        <v>9337758393</v>
      </c>
      <c r="M1559" s="212"/>
      <c r="N1559" s="213"/>
      <c r="O1559" s="209"/>
    </row>
    <row r="1560" spans="1:15" x14ac:dyDescent="0.3">
      <c r="A1560" s="302" t="s">
        <v>155</v>
      </c>
      <c r="B1560" s="302" t="str">
        <f t="shared" si="10"/>
        <v>Y</v>
      </c>
      <c r="C1560" s="6" t="s">
        <v>4638</v>
      </c>
      <c r="D1560" s="327"/>
      <c r="E1560" s="327" t="s">
        <v>4639</v>
      </c>
      <c r="F1560" s="206" t="s">
        <v>4640</v>
      </c>
      <c r="G1560" s="206" t="s">
        <v>4641</v>
      </c>
      <c r="H1560" s="206" t="s">
        <v>4641</v>
      </c>
      <c r="K1560" s="302">
        <v>6204337110</v>
      </c>
      <c r="M1560" s="212"/>
      <c r="N1560" s="213"/>
      <c r="O1560" s="209"/>
    </row>
    <row r="1561" spans="1:15" x14ac:dyDescent="0.3">
      <c r="A1561" s="302" t="s">
        <v>155</v>
      </c>
      <c r="B1561" s="302" t="str">
        <f t="shared" si="10"/>
        <v>Y</v>
      </c>
      <c r="C1561" s="6" t="s">
        <v>4642</v>
      </c>
      <c r="D1561" s="327"/>
      <c r="E1561" s="327" t="s">
        <v>4643</v>
      </c>
      <c r="F1561" s="206" t="s">
        <v>4644</v>
      </c>
      <c r="G1561" s="206" t="s">
        <v>4641</v>
      </c>
      <c r="H1561" s="206" t="s">
        <v>4641</v>
      </c>
      <c r="K1561" s="302">
        <v>9341203331</v>
      </c>
      <c r="M1561" s="212"/>
      <c r="N1561" s="213"/>
      <c r="O1561" s="209"/>
    </row>
    <row r="1562" spans="1:15" x14ac:dyDescent="0.3">
      <c r="A1562" s="302" t="s">
        <v>155</v>
      </c>
      <c r="B1562" s="302" t="str">
        <f t="shared" si="10"/>
        <v>Y</v>
      </c>
      <c r="C1562" s="6" t="s">
        <v>4645</v>
      </c>
      <c r="D1562" s="327"/>
      <c r="E1562" s="327" t="s">
        <v>4646</v>
      </c>
      <c r="F1562" s="206" t="s">
        <v>4647</v>
      </c>
      <c r="G1562" s="206" t="s">
        <v>4641</v>
      </c>
      <c r="H1562" s="206" t="s">
        <v>4641</v>
      </c>
      <c r="K1562" s="302">
        <v>9693998481</v>
      </c>
      <c r="M1562" s="212"/>
      <c r="N1562" s="213"/>
      <c r="O1562" s="209"/>
    </row>
    <row r="1563" spans="1:15" x14ac:dyDescent="0.3">
      <c r="A1563" s="302" t="s">
        <v>155</v>
      </c>
      <c r="B1563" s="302" t="str">
        <f t="shared" si="10"/>
        <v>Y</v>
      </c>
      <c r="C1563" s="6" t="s">
        <v>4648</v>
      </c>
      <c r="D1563" s="327"/>
      <c r="E1563" s="327" t="s">
        <v>780</v>
      </c>
      <c r="F1563" s="206" t="s">
        <v>4550</v>
      </c>
      <c r="G1563" s="206" t="s">
        <v>4649</v>
      </c>
      <c r="H1563" s="206" t="s">
        <v>4649</v>
      </c>
      <c r="K1563" s="302">
        <v>9162230307</v>
      </c>
      <c r="M1563" s="212"/>
      <c r="N1563" s="213"/>
      <c r="O1563" s="209"/>
    </row>
    <row r="1564" spans="1:15" x14ac:dyDescent="0.3">
      <c r="A1564" s="302" t="s">
        <v>155</v>
      </c>
      <c r="B1564" s="302" t="str">
        <f t="shared" si="10"/>
        <v>Y</v>
      </c>
      <c r="C1564" s="6" t="s">
        <v>4650</v>
      </c>
      <c r="D1564" s="327"/>
      <c r="E1564" s="327" t="s">
        <v>4651</v>
      </c>
      <c r="F1564" s="206" t="s">
        <v>4652</v>
      </c>
      <c r="G1564" s="206" t="s">
        <v>4649</v>
      </c>
      <c r="H1564" s="206" t="s">
        <v>4649</v>
      </c>
      <c r="K1564" s="302">
        <v>7488275963</v>
      </c>
      <c r="M1564" s="212"/>
      <c r="N1564" s="213"/>
      <c r="O1564" s="209"/>
    </row>
    <row r="1565" spans="1:15" x14ac:dyDescent="0.3">
      <c r="A1565" s="302" t="s">
        <v>155</v>
      </c>
      <c r="B1565" s="302" t="str">
        <f t="shared" si="10"/>
        <v>Y</v>
      </c>
      <c r="C1565" s="6" t="s">
        <v>4653</v>
      </c>
      <c r="D1565" s="327"/>
      <c r="E1565" s="327" t="s">
        <v>4654</v>
      </c>
      <c r="F1565" s="206" t="s">
        <v>4655</v>
      </c>
      <c r="G1565" s="206" t="s">
        <v>4656</v>
      </c>
      <c r="H1565" s="206" t="s">
        <v>4656</v>
      </c>
      <c r="K1565" s="302">
        <v>7033777730</v>
      </c>
      <c r="M1565" s="212"/>
      <c r="N1565" s="213"/>
      <c r="O1565" s="209"/>
    </row>
    <row r="1566" spans="1:15" x14ac:dyDescent="0.3">
      <c r="A1566" s="302" t="s">
        <v>155</v>
      </c>
      <c r="B1566" s="302" t="str">
        <f t="shared" si="10"/>
        <v>Y</v>
      </c>
      <c r="C1566" s="6" t="s">
        <v>4657</v>
      </c>
      <c r="D1566" s="327"/>
      <c r="E1566" s="327" t="s">
        <v>4658</v>
      </c>
      <c r="F1566" s="206" t="s">
        <v>4659</v>
      </c>
      <c r="G1566" s="206" t="s">
        <v>4660</v>
      </c>
      <c r="H1566" s="207">
        <v>44390</v>
      </c>
      <c r="J1566" s="2" t="s">
        <v>4661</v>
      </c>
      <c r="K1566" s="302">
        <v>669449247831</v>
      </c>
      <c r="M1566" s="212"/>
      <c r="N1566" s="213"/>
      <c r="O1566" s="209"/>
    </row>
    <row r="1567" spans="1:15" x14ac:dyDescent="0.3">
      <c r="A1567" s="221" t="s">
        <v>155</v>
      </c>
      <c r="B1567" s="221" t="str">
        <f t="shared" si="10"/>
        <v>Y</v>
      </c>
      <c r="C1567" s="451" t="s">
        <v>4662</v>
      </c>
      <c r="D1567" s="329"/>
      <c r="E1567" s="329" t="s">
        <v>4614</v>
      </c>
      <c r="F1567" s="219" t="s">
        <v>4615</v>
      </c>
      <c r="G1567" s="219" t="s">
        <v>4660</v>
      </c>
      <c r="H1567" s="219" t="s">
        <v>4660</v>
      </c>
      <c r="K1567" s="302">
        <v>8340796124</v>
      </c>
      <c r="M1567" s="212"/>
      <c r="N1567" s="213"/>
      <c r="O1567" s="209"/>
    </row>
    <row r="1568" spans="1:15" x14ac:dyDescent="0.3">
      <c r="A1568" s="302" t="s">
        <v>155</v>
      </c>
      <c r="B1568" s="302" t="str">
        <f t="shared" si="10"/>
        <v>Y</v>
      </c>
      <c r="C1568" s="6" t="s">
        <v>4663</v>
      </c>
      <c r="D1568" s="327"/>
      <c r="E1568" s="327" t="s">
        <v>4664</v>
      </c>
      <c r="F1568" s="206" t="s">
        <v>4558</v>
      </c>
      <c r="G1568" s="206" t="s">
        <v>4660</v>
      </c>
      <c r="H1568" s="206" t="s">
        <v>4660</v>
      </c>
      <c r="K1568" s="302">
        <v>9337758393</v>
      </c>
      <c r="M1568" s="212"/>
      <c r="N1568" s="213"/>
      <c r="O1568" s="209"/>
    </row>
    <row r="1569" spans="1:15" x14ac:dyDescent="0.3">
      <c r="A1569" s="302" t="s">
        <v>155</v>
      </c>
      <c r="B1569" s="302" t="str">
        <f t="shared" si="10"/>
        <v>Y</v>
      </c>
      <c r="C1569" s="6" t="s">
        <v>4665</v>
      </c>
      <c r="D1569" s="327"/>
      <c r="E1569" s="327" t="s">
        <v>4666</v>
      </c>
      <c r="F1569" s="206" t="s">
        <v>4667</v>
      </c>
      <c r="G1569" s="206" t="s">
        <v>4660</v>
      </c>
      <c r="H1569" s="206" t="s">
        <v>4660</v>
      </c>
      <c r="K1569" s="302">
        <v>9102011530</v>
      </c>
      <c r="M1569" s="212"/>
      <c r="N1569" s="213"/>
      <c r="O1569" s="209"/>
    </row>
    <row r="1570" spans="1:15" x14ac:dyDescent="0.3">
      <c r="A1570" s="302" t="s">
        <v>155</v>
      </c>
      <c r="B1570" s="302" t="str">
        <f t="shared" si="10"/>
        <v>Y</v>
      </c>
      <c r="C1570" s="6" t="s">
        <v>4668</v>
      </c>
      <c r="D1570" s="327"/>
      <c r="E1570" s="327" t="s">
        <v>4669</v>
      </c>
      <c r="F1570" s="206" t="s">
        <v>4670</v>
      </c>
      <c r="G1570" s="206" t="s">
        <v>4660</v>
      </c>
      <c r="H1570" s="302" t="s">
        <v>4660</v>
      </c>
      <c r="K1570" s="302">
        <v>8797140476</v>
      </c>
      <c r="M1570" s="212"/>
      <c r="N1570" s="213"/>
      <c r="O1570" s="209"/>
    </row>
    <row r="1571" spans="1:15" x14ac:dyDescent="0.3">
      <c r="A1571" s="302"/>
      <c r="B1571" s="302" t="str">
        <f t="shared" si="10"/>
        <v>N</v>
      </c>
      <c r="C1571" s="6"/>
      <c r="D1571" s="327"/>
      <c r="E1571" s="327" t="s">
        <v>4671</v>
      </c>
      <c r="F1571" s="206" t="s">
        <v>3302</v>
      </c>
      <c r="G1571" s="206"/>
      <c r="H1571" s="206"/>
      <c r="K1571" s="302">
        <v>6361113127</v>
      </c>
      <c r="M1571" s="212"/>
      <c r="N1571" s="213"/>
      <c r="O1571" s="209"/>
    </row>
    <row r="1572" spans="1:15" x14ac:dyDescent="0.3">
      <c r="A1572" s="302" t="s">
        <v>155</v>
      </c>
      <c r="B1572" s="302" t="str">
        <f t="shared" si="10"/>
        <v>Y</v>
      </c>
      <c r="C1572" s="6" t="s">
        <v>4672</v>
      </c>
      <c r="D1572" s="327"/>
      <c r="E1572" s="327" t="s">
        <v>4673</v>
      </c>
      <c r="F1572" s="206" t="s">
        <v>4674</v>
      </c>
      <c r="G1572" s="206" t="s">
        <v>4660</v>
      </c>
      <c r="H1572" s="206" t="s">
        <v>4660</v>
      </c>
      <c r="K1572" s="302">
        <v>8603862702</v>
      </c>
      <c r="M1572" s="212"/>
      <c r="N1572" s="213"/>
      <c r="O1572" s="209"/>
    </row>
    <row r="1573" spans="1:15" x14ac:dyDescent="0.3">
      <c r="A1573" s="302" t="s">
        <v>155</v>
      </c>
      <c r="B1573" s="302" t="str">
        <f t="shared" si="10"/>
        <v>Y</v>
      </c>
      <c r="C1573" s="6" t="s">
        <v>2603</v>
      </c>
      <c r="D1573" s="327"/>
      <c r="E1573" s="327" t="s">
        <v>4675</v>
      </c>
      <c r="F1573" s="206" t="s">
        <v>4676</v>
      </c>
      <c r="G1573" s="206" t="s">
        <v>4660</v>
      </c>
      <c r="H1573" s="206" t="s">
        <v>4677</v>
      </c>
      <c r="K1573" s="302">
        <v>9576180661</v>
      </c>
      <c r="M1573" s="212"/>
      <c r="N1573" s="213"/>
      <c r="O1573" s="209"/>
    </row>
    <row r="1574" spans="1:15" x14ac:dyDescent="0.3">
      <c r="A1574" s="302" t="s">
        <v>155</v>
      </c>
      <c r="B1574" s="302" t="str">
        <f t="shared" si="10"/>
        <v>Y</v>
      </c>
      <c r="C1574" s="6" t="s">
        <v>4678</v>
      </c>
      <c r="D1574" s="327"/>
      <c r="E1574" s="327" t="s">
        <v>4679</v>
      </c>
      <c r="F1574" s="206" t="s">
        <v>4680</v>
      </c>
      <c r="G1574" s="206" t="s">
        <v>4681</v>
      </c>
      <c r="H1574" s="207">
        <v>44393</v>
      </c>
      <c r="K1574" s="302">
        <v>8580351530</v>
      </c>
      <c r="M1574" s="212"/>
      <c r="N1574" s="213"/>
      <c r="O1574" s="209"/>
    </row>
    <row r="1575" spans="1:15" x14ac:dyDescent="0.3">
      <c r="A1575" s="302" t="s">
        <v>155</v>
      </c>
      <c r="B1575" s="302" t="str">
        <f t="shared" si="10"/>
        <v>Y</v>
      </c>
      <c r="C1575" s="6" t="s">
        <v>4682</v>
      </c>
      <c r="D1575" s="327"/>
      <c r="E1575" s="327" t="s">
        <v>4683</v>
      </c>
      <c r="F1575" s="206" t="s">
        <v>4684</v>
      </c>
      <c r="G1575" s="206" t="s">
        <v>4677</v>
      </c>
      <c r="H1575" s="207">
        <v>44392</v>
      </c>
      <c r="M1575" s="212"/>
      <c r="N1575" s="213"/>
      <c r="O1575" s="209"/>
    </row>
    <row r="1576" spans="1:15" x14ac:dyDescent="0.3">
      <c r="A1576" s="302" t="s">
        <v>155</v>
      </c>
      <c r="B1576" s="302" t="str">
        <f t="shared" si="10"/>
        <v>Y</v>
      </c>
      <c r="C1576" s="6" t="s">
        <v>4685</v>
      </c>
      <c r="D1576" s="327"/>
      <c r="E1576" s="327" t="s">
        <v>4686</v>
      </c>
      <c r="F1576" s="206" t="s">
        <v>1961</v>
      </c>
      <c r="G1576" s="206" t="s">
        <v>4681</v>
      </c>
      <c r="H1576" s="206" t="s">
        <v>4681</v>
      </c>
      <c r="K1576" s="302">
        <v>9696428033</v>
      </c>
      <c r="M1576" s="212"/>
      <c r="N1576" s="213"/>
      <c r="O1576" s="209"/>
    </row>
    <row r="1577" spans="1:15" x14ac:dyDescent="0.3">
      <c r="A1577" s="302" t="s">
        <v>155</v>
      </c>
      <c r="B1577" s="302" t="str">
        <f t="shared" si="10"/>
        <v>Y</v>
      </c>
      <c r="C1577" s="6" t="s">
        <v>4687</v>
      </c>
      <c r="D1577" s="327"/>
      <c r="E1577" s="327" t="s">
        <v>4688</v>
      </c>
      <c r="F1577" s="206" t="s">
        <v>4689</v>
      </c>
      <c r="G1577" s="206" t="s">
        <v>4681</v>
      </c>
      <c r="H1577" s="206" t="s">
        <v>4681</v>
      </c>
      <c r="K1577" s="302">
        <v>8969726404</v>
      </c>
      <c r="M1577" s="212"/>
      <c r="N1577" s="213"/>
      <c r="O1577" s="209"/>
    </row>
    <row r="1578" spans="1:15" x14ac:dyDescent="0.3">
      <c r="A1578" s="302" t="s">
        <v>155</v>
      </c>
      <c r="B1578" s="302" t="str">
        <f t="shared" si="10"/>
        <v>Y</v>
      </c>
      <c r="C1578" s="6" t="s">
        <v>4690</v>
      </c>
      <c r="D1578" s="327"/>
      <c r="E1578" s="327" t="s">
        <v>4691</v>
      </c>
      <c r="F1578" s="206" t="s">
        <v>4692</v>
      </c>
      <c r="G1578" s="206" t="s">
        <v>4681</v>
      </c>
      <c r="H1578" s="206" t="s">
        <v>4681</v>
      </c>
      <c r="K1578" s="302">
        <v>9740438605</v>
      </c>
      <c r="M1578" s="212"/>
      <c r="N1578" s="213"/>
      <c r="O1578" s="209"/>
    </row>
    <row r="1579" spans="1:15" x14ac:dyDescent="0.3">
      <c r="A1579" s="302" t="s">
        <v>155</v>
      </c>
      <c r="B1579" s="302" t="str">
        <f t="shared" si="10"/>
        <v>Y</v>
      </c>
      <c r="C1579" s="6" t="s">
        <v>4693</v>
      </c>
      <c r="D1579" s="327"/>
      <c r="E1579" s="327" t="s">
        <v>4694</v>
      </c>
      <c r="F1579" s="206" t="s">
        <v>4695</v>
      </c>
      <c r="G1579" s="206" t="s">
        <v>4696</v>
      </c>
      <c r="H1579" s="207">
        <v>44394</v>
      </c>
      <c r="J1579" s="2" t="s">
        <v>3735</v>
      </c>
      <c r="K1579" s="302">
        <v>9264202291</v>
      </c>
      <c r="M1579" s="212"/>
      <c r="N1579" s="213"/>
      <c r="O1579" s="209"/>
    </row>
    <row r="1580" spans="1:15" x14ac:dyDescent="0.3">
      <c r="A1580" s="302" t="s">
        <v>155</v>
      </c>
      <c r="B1580" s="302" t="str">
        <f t="shared" si="10"/>
        <v>Y</v>
      </c>
      <c r="C1580" s="6" t="s">
        <v>4697</v>
      </c>
      <c r="D1580" s="327"/>
      <c r="E1580" s="327" t="s">
        <v>4698</v>
      </c>
      <c r="F1580" s="206" t="s">
        <v>4699</v>
      </c>
      <c r="G1580" s="206" t="s">
        <v>4696</v>
      </c>
      <c r="H1580" s="207">
        <v>44394</v>
      </c>
      <c r="J1580" s="2" t="s">
        <v>4700</v>
      </c>
      <c r="K1580" s="302">
        <v>7909044681</v>
      </c>
      <c r="M1580" s="212"/>
      <c r="N1580" s="213"/>
      <c r="O1580" s="209"/>
    </row>
    <row r="1581" spans="1:15" x14ac:dyDescent="0.3">
      <c r="A1581" s="302" t="s">
        <v>155</v>
      </c>
      <c r="B1581" s="302" t="str">
        <f t="shared" si="10"/>
        <v>Y</v>
      </c>
      <c r="C1581" s="6" t="s">
        <v>4701</v>
      </c>
      <c r="D1581" s="327"/>
      <c r="E1581" s="327" t="s">
        <v>4702</v>
      </c>
      <c r="F1581" s="206" t="s">
        <v>4703</v>
      </c>
      <c r="G1581" s="206" t="s">
        <v>4704</v>
      </c>
      <c r="H1581" s="206" t="s">
        <v>4704</v>
      </c>
      <c r="K1581" s="302">
        <v>9204356780</v>
      </c>
      <c r="M1581" s="212"/>
      <c r="N1581" s="213"/>
      <c r="O1581" s="209"/>
    </row>
    <row r="1582" spans="1:15" x14ac:dyDescent="0.3">
      <c r="A1582" s="302" t="s">
        <v>155</v>
      </c>
      <c r="B1582" s="302" t="str">
        <f t="shared" si="10"/>
        <v>Y</v>
      </c>
      <c r="C1582" s="6" t="s">
        <v>4705</v>
      </c>
      <c r="D1582" s="327"/>
      <c r="E1582" s="327" t="s">
        <v>4706</v>
      </c>
      <c r="F1582" s="206" t="s">
        <v>4707</v>
      </c>
      <c r="G1582" s="206" t="s">
        <v>4708</v>
      </c>
      <c r="H1582" s="206" t="s">
        <v>4708</v>
      </c>
      <c r="K1582" s="302">
        <v>9167797569</v>
      </c>
      <c r="M1582" s="212"/>
      <c r="N1582" s="213"/>
      <c r="O1582" s="209"/>
    </row>
    <row r="1583" spans="1:15" x14ac:dyDescent="0.3">
      <c r="A1583" s="302" t="s">
        <v>155</v>
      </c>
      <c r="B1583" s="302" t="str">
        <f t="shared" si="10"/>
        <v>Y</v>
      </c>
      <c r="C1583" s="6" t="s">
        <v>4709</v>
      </c>
      <c r="D1583" s="327"/>
      <c r="E1583" s="327" t="s">
        <v>4710</v>
      </c>
      <c r="F1583" s="206" t="s">
        <v>4711</v>
      </c>
      <c r="G1583" s="206" t="s">
        <v>4708</v>
      </c>
      <c r="H1583" s="206" t="s">
        <v>4708</v>
      </c>
      <c r="K1583" s="302">
        <v>7979785742</v>
      </c>
      <c r="M1583" s="212"/>
      <c r="N1583" s="213"/>
      <c r="O1583" s="209"/>
    </row>
    <row r="1584" spans="1:15" x14ac:dyDescent="0.3">
      <c r="A1584" s="302" t="s">
        <v>155</v>
      </c>
      <c r="B1584" s="302" t="str">
        <f t="shared" si="10"/>
        <v>Y</v>
      </c>
      <c r="C1584" s="6" t="s">
        <v>4712</v>
      </c>
      <c r="D1584" s="327"/>
      <c r="E1584" s="327" t="s">
        <v>4713</v>
      </c>
      <c r="F1584" s="206" t="s">
        <v>4714</v>
      </c>
      <c r="G1584" s="206" t="s">
        <v>4715</v>
      </c>
      <c r="H1584" s="206" t="s">
        <v>4715</v>
      </c>
      <c r="K1584" s="302">
        <v>9939247670</v>
      </c>
      <c r="M1584" s="212"/>
      <c r="N1584" s="213"/>
      <c r="O1584" s="209"/>
    </row>
    <row r="1585" spans="1:15" x14ac:dyDescent="0.3">
      <c r="A1585" s="302" t="s">
        <v>155</v>
      </c>
      <c r="B1585" s="302" t="str">
        <f t="shared" si="10"/>
        <v>Y</v>
      </c>
      <c r="C1585" s="6" t="s">
        <v>4716</v>
      </c>
      <c r="D1585" s="327"/>
      <c r="E1585" s="327" t="s">
        <v>4717</v>
      </c>
      <c r="F1585" s="206" t="s">
        <v>2132</v>
      </c>
      <c r="G1585" s="206" t="s">
        <v>4718</v>
      </c>
      <c r="H1585" s="206" t="s">
        <v>4718</v>
      </c>
      <c r="K1585" s="302">
        <v>9572932726</v>
      </c>
      <c r="M1585" s="212"/>
      <c r="N1585" s="213"/>
      <c r="O1585" s="209"/>
    </row>
    <row r="1586" spans="1:15" x14ac:dyDescent="0.3">
      <c r="A1586" s="302" t="s">
        <v>155</v>
      </c>
      <c r="B1586" s="302" t="str">
        <f t="shared" si="10"/>
        <v>Y</v>
      </c>
      <c r="C1586" s="6" t="s">
        <v>4719</v>
      </c>
      <c r="D1586" s="327"/>
      <c r="E1586" s="327" t="s">
        <v>4720</v>
      </c>
      <c r="F1586" s="206" t="s">
        <v>4721</v>
      </c>
      <c r="G1586" s="206" t="s">
        <v>4722</v>
      </c>
      <c r="H1586" s="206" t="s">
        <v>4722</v>
      </c>
      <c r="K1586" s="302">
        <v>7273136937</v>
      </c>
      <c r="M1586" s="212"/>
      <c r="N1586" s="213"/>
      <c r="O1586" s="209"/>
    </row>
    <row r="1587" spans="1:15" x14ac:dyDescent="0.3">
      <c r="A1587" s="302" t="s">
        <v>155</v>
      </c>
      <c r="B1587" s="302" t="str">
        <f t="shared" si="10"/>
        <v>Y</v>
      </c>
      <c r="C1587" s="6" t="s">
        <v>4723</v>
      </c>
      <c r="D1587" s="327"/>
      <c r="E1587" s="327" t="s">
        <v>4724</v>
      </c>
      <c r="F1587" s="206" t="s">
        <v>4725</v>
      </c>
      <c r="G1587" s="206" t="s">
        <v>4722</v>
      </c>
      <c r="H1587" s="206" t="s">
        <v>4722</v>
      </c>
      <c r="K1587" s="302">
        <v>7277136937</v>
      </c>
      <c r="M1587" s="212"/>
      <c r="N1587" s="213"/>
      <c r="O1587" s="209"/>
    </row>
    <row r="1588" spans="1:15" x14ac:dyDescent="0.3">
      <c r="A1588" s="302" t="s">
        <v>155</v>
      </c>
      <c r="B1588" s="302" t="str">
        <f t="shared" si="10"/>
        <v>Y</v>
      </c>
      <c r="C1588" s="6" t="s">
        <v>4726</v>
      </c>
      <c r="D1588" s="327"/>
      <c r="E1588" s="327" t="s">
        <v>4727</v>
      </c>
      <c r="F1588" s="206" t="s">
        <v>4728</v>
      </c>
      <c r="G1588" s="206" t="s">
        <v>4704</v>
      </c>
      <c r="H1588" s="206" t="s">
        <v>4704</v>
      </c>
      <c r="K1588" s="302">
        <v>9911266727</v>
      </c>
      <c r="M1588" s="212"/>
      <c r="N1588" s="213"/>
      <c r="O1588" s="209"/>
    </row>
    <row r="1589" spans="1:15" x14ac:dyDescent="0.3">
      <c r="A1589" s="302" t="s">
        <v>155</v>
      </c>
      <c r="B1589" s="302" t="str">
        <f t="shared" si="10"/>
        <v>Y</v>
      </c>
      <c r="C1589" s="6" t="s">
        <v>4729</v>
      </c>
      <c r="D1589" s="327"/>
      <c r="E1589" s="327" t="s">
        <v>4730</v>
      </c>
      <c r="F1589" s="206" t="s">
        <v>4731</v>
      </c>
      <c r="G1589" s="206" t="s">
        <v>4732</v>
      </c>
      <c r="H1589" s="207">
        <v>44404</v>
      </c>
      <c r="K1589" s="302">
        <v>7979868465</v>
      </c>
      <c r="M1589" s="212"/>
      <c r="N1589" s="213"/>
      <c r="O1589" s="209"/>
    </row>
    <row r="1590" spans="1:15" x14ac:dyDescent="0.3">
      <c r="A1590" s="302" t="s">
        <v>155</v>
      </c>
      <c r="B1590" s="302" t="str">
        <f t="shared" si="10"/>
        <v>Y</v>
      </c>
      <c r="C1590" s="6" t="s">
        <v>4733</v>
      </c>
      <c r="D1590" s="327"/>
      <c r="E1590" s="327" t="s">
        <v>4734</v>
      </c>
      <c r="F1590" s="206" t="s">
        <v>4735</v>
      </c>
      <c r="G1590" s="206" t="s">
        <v>4732</v>
      </c>
      <c r="H1590" s="207">
        <v>44404</v>
      </c>
      <c r="K1590" s="302">
        <v>9693906003</v>
      </c>
      <c r="M1590" s="212"/>
      <c r="N1590" s="213"/>
      <c r="O1590" s="209"/>
    </row>
    <row r="1591" spans="1:15" x14ac:dyDescent="0.3">
      <c r="A1591" s="302" t="s">
        <v>155</v>
      </c>
      <c r="B1591" s="302" t="str">
        <f t="shared" si="10"/>
        <v>Y</v>
      </c>
      <c r="C1591" s="6" t="s">
        <v>4736</v>
      </c>
      <c r="D1591" s="327"/>
      <c r="E1591" s="327" t="s">
        <v>4737</v>
      </c>
      <c r="F1591" s="206" t="s">
        <v>4738</v>
      </c>
      <c r="G1591" s="206" t="s">
        <v>4732</v>
      </c>
      <c r="H1591" s="207">
        <v>44404</v>
      </c>
      <c r="K1591" s="302">
        <v>6200593142</v>
      </c>
      <c r="M1591" s="212"/>
      <c r="N1591" s="213"/>
      <c r="O1591" s="209"/>
    </row>
    <row r="1592" spans="1:15" x14ac:dyDescent="0.3">
      <c r="A1592" s="302" t="s">
        <v>155</v>
      </c>
      <c r="B1592" s="302" t="str">
        <f t="shared" si="10"/>
        <v>Y</v>
      </c>
      <c r="C1592" s="6" t="s">
        <v>4739</v>
      </c>
      <c r="D1592" s="327"/>
      <c r="E1592" s="327" t="s">
        <v>4740</v>
      </c>
      <c r="F1592" s="206" t="s">
        <v>4741</v>
      </c>
      <c r="G1592" s="207">
        <v>44404</v>
      </c>
      <c r="H1592" s="207">
        <v>44404</v>
      </c>
      <c r="K1592" s="302">
        <v>7488095011</v>
      </c>
      <c r="M1592" s="212"/>
      <c r="N1592" s="213"/>
      <c r="O1592" s="209"/>
    </row>
    <row r="1593" spans="1:15" x14ac:dyDescent="0.3">
      <c r="A1593" s="302" t="s">
        <v>155</v>
      </c>
      <c r="B1593" s="302" t="str">
        <f t="shared" si="10"/>
        <v>Y</v>
      </c>
      <c r="C1593" s="6" t="s">
        <v>4742</v>
      </c>
      <c r="D1593" s="327"/>
      <c r="E1593" s="327" t="s">
        <v>4743</v>
      </c>
      <c r="F1593" s="206" t="s">
        <v>2114</v>
      </c>
      <c r="G1593" s="207">
        <v>44404</v>
      </c>
      <c r="H1593" s="207">
        <v>44404</v>
      </c>
      <c r="K1593" s="302">
        <v>8235947992</v>
      </c>
      <c r="M1593" s="212"/>
      <c r="N1593" s="213"/>
      <c r="O1593" s="209"/>
    </row>
    <row r="1594" spans="1:15" x14ac:dyDescent="0.3">
      <c r="A1594" s="302" t="s">
        <v>155</v>
      </c>
      <c r="B1594" s="302" t="str">
        <f t="shared" si="10"/>
        <v>Y</v>
      </c>
      <c r="C1594" s="6" t="s">
        <v>4744</v>
      </c>
      <c r="D1594" s="327"/>
      <c r="E1594" s="327" t="s">
        <v>4745</v>
      </c>
      <c r="F1594" s="206" t="s">
        <v>2132</v>
      </c>
      <c r="G1594" s="207">
        <v>44404</v>
      </c>
      <c r="H1594" s="207">
        <v>44404</v>
      </c>
      <c r="K1594" s="302">
        <v>9572662800</v>
      </c>
      <c r="M1594" s="212"/>
      <c r="N1594" s="213"/>
      <c r="O1594" s="209"/>
    </row>
    <row r="1595" spans="1:15" x14ac:dyDescent="0.3">
      <c r="A1595" s="302" t="s">
        <v>155</v>
      </c>
      <c r="B1595" s="302" t="str">
        <f t="shared" si="10"/>
        <v>Y</v>
      </c>
      <c r="C1595" s="6" t="s">
        <v>4746</v>
      </c>
      <c r="D1595" s="327"/>
      <c r="E1595" s="327" t="s">
        <v>4747</v>
      </c>
      <c r="F1595" s="206" t="s">
        <v>4748</v>
      </c>
      <c r="G1595" s="207">
        <v>44404</v>
      </c>
      <c r="H1595" s="207">
        <v>44404</v>
      </c>
      <c r="K1595" s="302">
        <v>9162186480</v>
      </c>
      <c r="M1595" s="212"/>
      <c r="N1595" s="213"/>
      <c r="O1595" s="209"/>
    </row>
    <row r="1596" spans="1:15" x14ac:dyDescent="0.3">
      <c r="A1596" s="302" t="s">
        <v>155</v>
      </c>
      <c r="B1596" s="302" t="str">
        <f t="shared" si="10"/>
        <v>Y</v>
      </c>
      <c r="C1596" s="6" t="s">
        <v>4749</v>
      </c>
      <c r="D1596" s="327"/>
      <c r="E1596" s="327" t="s">
        <v>4750</v>
      </c>
      <c r="F1596" s="206" t="s">
        <v>4751</v>
      </c>
      <c r="G1596" s="206" t="s">
        <v>4752</v>
      </c>
      <c r="H1596" s="206" t="s">
        <v>4752</v>
      </c>
      <c r="K1596" s="302">
        <v>8252764834</v>
      </c>
      <c r="M1596" s="212"/>
      <c r="N1596" s="213"/>
      <c r="O1596" s="209"/>
    </row>
    <row r="1597" spans="1:15" x14ac:dyDescent="0.3">
      <c r="A1597" s="302" t="s">
        <v>155</v>
      </c>
      <c r="B1597" s="302" t="str">
        <f t="shared" si="10"/>
        <v>Y</v>
      </c>
      <c r="C1597" s="6" t="s">
        <v>4753</v>
      </c>
      <c r="D1597" s="327"/>
      <c r="E1597" s="327" t="s">
        <v>4754</v>
      </c>
      <c r="F1597" s="206" t="s">
        <v>4755</v>
      </c>
      <c r="G1597" s="206" t="s">
        <v>4756</v>
      </c>
      <c r="H1597" s="206" t="s">
        <v>4756</v>
      </c>
      <c r="K1597" s="302">
        <v>9693700957</v>
      </c>
      <c r="M1597" s="212"/>
      <c r="N1597" s="213"/>
      <c r="O1597" s="209"/>
    </row>
    <row r="1598" spans="1:15" x14ac:dyDescent="0.3">
      <c r="A1598" s="221" t="s">
        <v>155</v>
      </c>
      <c r="B1598" s="221" t="str">
        <f t="shared" si="10"/>
        <v>Y</v>
      </c>
      <c r="C1598" s="451" t="s">
        <v>4757</v>
      </c>
      <c r="D1598" s="329"/>
      <c r="E1598" s="329" t="s">
        <v>4614</v>
      </c>
      <c r="F1598" s="219" t="s">
        <v>4615</v>
      </c>
      <c r="G1598" s="219" t="s">
        <v>4758</v>
      </c>
      <c r="H1598" s="219" t="s">
        <v>4758</v>
      </c>
      <c r="K1598" s="302">
        <v>8340796124</v>
      </c>
      <c r="M1598" s="212"/>
      <c r="N1598" s="213"/>
      <c r="O1598" s="209"/>
    </row>
    <row r="1599" spans="1:15" x14ac:dyDescent="0.3">
      <c r="A1599" s="302" t="s">
        <v>155</v>
      </c>
      <c r="B1599" s="302" t="str">
        <f t="shared" si="10"/>
        <v>Y</v>
      </c>
      <c r="C1599" s="6" t="s">
        <v>4759</v>
      </c>
      <c r="D1599" s="327"/>
      <c r="E1599" s="327" t="s">
        <v>4760</v>
      </c>
      <c r="F1599" s="206" t="s">
        <v>4761</v>
      </c>
      <c r="G1599" s="206" t="s">
        <v>4758</v>
      </c>
      <c r="H1599" s="206" t="s">
        <v>4758</v>
      </c>
      <c r="K1599" s="302">
        <v>6203561614</v>
      </c>
      <c r="M1599" s="212"/>
      <c r="N1599" s="213"/>
      <c r="O1599" s="209"/>
    </row>
    <row r="1600" spans="1:15" x14ac:dyDescent="0.3">
      <c r="A1600" s="302" t="s">
        <v>155</v>
      </c>
      <c r="B1600" s="302" t="str">
        <f t="shared" si="10"/>
        <v>Y</v>
      </c>
      <c r="C1600" s="6" t="s">
        <v>4762</v>
      </c>
      <c r="D1600" s="327"/>
      <c r="E1600" s="327" t="s">
        <v>4763</v>
      </c>
      <c r="F1600" s="206" t="s">
        <v>3986</v>
      </c>
      <c r="G1600" s="206" t="s">
        <v>4758</v>
      </c>
      <c r="H1600" s="206" t="s">
        <v>4758</v>
      </c>
      <c r="K1600" s="302">
        <v>9798746438</v>
      </c>
      <c r="M1600" s="212"/>
      <c r="N1600" s="213"/>
      <c r="O1600" s="209"/>
    </row>
    <row r="1601" spans="1:15" x14ac:dyDescent="0.3">
      <c r="A1601" s="302" t="s">
        <v>155</v>
      </c>
      <c r="B1601" s="302" t="str">
        <f t="shared" si="10"/>
        <v>Y</v>
      </c>
      <c r="C1601" s="6" t="s">
        <v>4764</v>
      </c>
      <c r="D1601" s="327"/>
      <c r="E1601" s="327" t="s">
        <v>3966</v>
      </c>
      <c r="F1601" s="206" t="s">
        <v>3967</v>
      </c>
      <c r="G1601" s="206" t="s">
        <v>4758</v>
      </c>
      <c r="H1601" s="206" t="s">
        <v>4758</v>
      </c>
      <c r="K1601" s="302">
        <v>7520223549</v>
      </c>
      <c r="M1601" s="212"/>
      <c r="N1601" s="213"/>
      <c r="O1601" s="209"/>
    </row>
    <row r="1602" spans="1:15" x14ac:dyDescent="0.3">
      <c r="A1602" s="302" t="s">
        <v>155</v>
      </c>
      <c r="B1602" s="302" t="str">
        <f t="shared" si="10"/>
        <v>Y</v>
      </c>
      <c r="C1602" s="6" t="s">
        <v>4765</v>
      </c>
      <c r="D1602" s="327"/>
      <c r="E1602" s="327" t="s">
        <v>4766</v>
      </c>
      <c r="F1602" s="206" t="s">
        <v>4767</v>
      </c>
      <c r="G1602" s="206" t="s">
        <v>4768</v>
      </c>
      <c r="H1602" s="207">
        <v>44407</v>
      </c>
      <c r="M1602" s="212"/>
      <c r="N1602" s="213"/>
      <c r="O1602" s="209"/>
    </row>
    <row r="1603" spans="1:15" x14ac:dyDescent="0.3">
      <c r="A1603" s="302" t="s">
        <v>155</v>
      </c>
      <c r="B1603" s="302" t="str">
        <f t="shared" si="10"/>
        <v>Y</v>
      </c>
      <c r="C1603" s="6" t="s">
        <v>4769</v>
      </c>
      <c r="D1603" s="327"/>
      <c r="E1603" s="327" t="s">
        <v>4770</v>
      </c>
      <c r="F1603" s="206" t="s">
        <v>4771</v>
      </c>
      <c r="G1603" s="206" t="s">
        <v>4772</v>
      </c>
      <c r="H1603" s="207">
        <v>44411</v>
      </c>
      <c r="K1603" s="206" t="s">
        <v>4773</v>
      </c>
      <c r="M1603" s="212"/>
      <c r="N1603" s="213"/>
      <c r="O1603" s="209"/>
    </row>
    <row r="1604" spans="1:15" x14ac:dyDescent="0.3">
      <c r="A1604" s="302" t="s">
        <v>155</v>
      </c>
      <c r="B1604" s="302" t="str">
        <f t="shared" si="10"/>
        <v>Y</v>
      </c>
      <c r="C1604" s="6" t="s">
        <v>4774</v>
      </c>
      <c r="D1604" s="327"/>
      <c r="E1604" s="327" t="s">
        <v>4775</v>
      </c>
      <c r="F1604" s="206" t="s">
        <v>4776</v>
      </c>
      <c r="G1604" s="206" t="s">
        <v>4609</v>
      </c>
      <c r="H1604" s="207">
        <v>44411</v>
      </c>
      <c r="K1604" s="302">
        <v>9934301876</v>
      </c>
      <c r="M1604" s="212"/>
      <c r="N1604" s="213"/>
      <c r="O1604" s="209"/>
    </row>
    <row r="1605" spans="1:15" x14ac:dyDescent="0.3">
      <c r="A1605" s="302" t="s">
        <v>155</v>
      </c>
      <c r="B1605" s="302" t="str">
        <f t="shared" si="10"/>
        <v>Y</v>
      </c>
      <c r="C1605" s="6" t="s">
        <v>4777</v>
      </c>
      <c r="D1605" s="327"/>
      <c r="E1605" s="327" t="s">
        <v>4778</v>
      </c>
      <c r="F1605" s="206" t="s">
        <v>4779</v>
      </c>
      <c r="G1605" s="206" t="s">
        <v>4772</v>
      </c>
      <c r="H1605" s="207">
        <v>44411</v>
      </c>
      <c r="K1605" s="302">
        <v>8092706355</v>
      </c>
      <c r="M1605" s="212"/>
      <c r="N1605" s="213"/>
      <c r="O1605" s="209"/>
    </row>
    <row r="1606" spans="1:15" x14ac:dyDescent="0.3">
      <c r="A1606" s="302" t="s">
        <v>155</v>
      </c>
      <c r="B1606" s="302" t="str">
        <f t="shared" si="10"/>
        <v>Y</v>
      </c>
      <c r="C1606" s="6" t="s">
        <v>4780</v>
      </c>
      <c r="D1606" s="327"/>
      <c r="E1606" s="327" t="s">
        <v>4781</v>
      </c>
      <c r="F1606" s="206" t="s">
        <v>4782</v>
      </c>
      <c r="G1606" s="206" t="s">
        <v>4783</v>
      </c>
      <c r="H1606" s="207">
        <v>44411</v>
      </c>
      <c r="K1606" s="302">
        <v>7294188341</v>
      </c>
      <c r="M1606" s="212"/>
      <c r="N1606" s="213"/>
      <c r="O1606" s="209"/>
    </row>
    <row r="1607" spans="1:15" x14ac:dyDescent="0.3">
      <c r="A1607" s="302" t="s">
        <v>155</v>
      </c>
      <c r="B1607" s="302" t="str">
        <f t="shared" si="10"/>
        <v>Y</v>
      </c>
      <c r="C1607" s="6" t="s">
        <v>4784</v>
      </c>
      <c r="D1607" s="327"/>
      <c r="E1607" s="327" t="s">
        <v>4785</v>
      </c>
      <c r="F1607" s="206" t="s">
        <v>4786</v>
      </c>
      <c r="G1607" s="206" t="s">
        <v>4787</v>
      </c>
      <c r="H1607" s="206" t="s">
        <v>4787</v>
      </c>
      <c r="K1607" s="302">
        <v>6204737840</v>
      </c>
      <c r="M1607" s="212"/>
      <c r="N1607" s="213"/>
      <c r="O1607" s="209"/>
    </row>
    <row r="1608" spans="1:15" x14ac:dyDescent="0.3">
      <c r="A1608" s="302" t="s">
        <v>155</v>
      </c>
      <c r="B1608" s="302" t="str">
        <f t="shared" si="10"/>
        <v>Y</v>
      </c>
      <c r="C1608" s="6" t="s">
        <v>4788</v>
      </c>
      <c r="D1608" s="327"/>
      <c r="E1608" s="327" t="s">
        <v>4789</v>
      </c>
      <c r="F1608" s="206" t="s">
        <v>4790</v>
      </c>
      <c r="G1608" s="206" t="s">
        <v>4783</v>
      </c>
      <c r="H1608" s="207">
        <v>44411</v>
      </c>
      <c r="K1608" s="302">
        <v>8210532188</v>
      </c>
      <c r="M1608" s="212"/>
      <c r="N1608" s="213"/>
      <c r="O1608" s="209"/>
    </row>
    <row r="1609" spans="1:15" x14ac:dyDescent="0.3">
      <c r="A1609" s="302" t="s">
        <v>155</v>
      </c>
      <c r="B1609" s="302" t="str">
        <f t="shared" si="10"/>
        <v>Y</v>
      </c>
      <c r="C1609" s="6" t="s">
        <v>4791</v>
      </c>
      <c r="D1609" s="327"/>
      <c r="E1609" s="327" t="s">
        <v>4792</v>
      </c>
      <c r="F1609" s="206" t="s">
        <v>4793</v>
      </c>
      <c r="G1609" s="206" t="s">
        <v>4783</v>
      </c>
      <c r="H1609" s="207">
        <v>44411</v>
      </c>
      <c r="K1609" s="302">
        <v>9934301876</v>
      </c>
      <c r="M1609" s="212"/>
      <c r="N1609" s="213"/>
      <c r="O1609" s="209"/>
    </row>
    <row r="1610" spans="1:15" x14ac:dyDescent="0.3">
      <c r="A1610" s="302" t="s">
        <v>155</v>
      </c>
      <c r="B1610" s="302" t="str">
        <f t="shared" si="10"/>
        <v>Y</v>
      </c>
      <c r="C1610" s="6" t="s">
        <v>4794</v>
      </c>
      <c r="D1610" s="327"/>
      <c r="E1610" s="327" t="s">
        <v>4795</v>
      </c>
      <c r="F1610" s="206" t="s">
        <v>4796</v>
      </c>
      <c r="G1610" s="206" t="s">
        <v>4783</v>
      </c>
      <c r="H1610" s="207">
        <v>44411</v>
      </c>
      <c r="K1610" s="302">
        <v>9572016850</v>
      </c>
      <c r="M1610" s="212"/>
      <c r="N1610" s="213"/>
      <c r="O1610" s="209"/>
    </row>
    <row r="1611" spans="1:15" x14ac:dyDescent="0.3">
      <c r="A1611" s="302" t="s">
        <v>155</v>
      </c>
      <c r="B1611" s="302" t="str">
        <f t="shared" si="10"/>
        <v>Y</v>
      </c>
      <c r="C1611" s="6" t="s">
        <v>4797</v>
      </c>
      <c r="D1611" s="327"/>
      <c r="E1611" s="327" t="s">
        <v>4798</v>
      </c>
      <c r="F1611" s="206" t="s">
        <v>4799</v>
      </c>
      <c r="G1611" s="206" t="s">
        <v>4783</v>
      </c>
      <c r="H1611" s="207">
        <v>44411</v>
      </c>
      <c r="K1611" s="302">
        <v>7857097388</v>
      </c>
      <c r="M1611" s="212"/>
      <c r="N1611" s="213"/>
      <c r="O1611" s="209"/>
    </row>
    <row r="1612" spans="1:15" x14ac:dyDescent="0.3">
      <c r="A1612" s="302" t="s">
        <v>155</v>
      </c>
      <c r="B1612" s="302" t="str">
        <f t="shared" si="10"/>
        <v>Y</v>
      </c>
      <c r="C1612" s="6" t="s">
        <v>4800</v>
      </c>
      <c r="D1612" s="327"/>
      <c r="E1612" s="327" t="s">
        <v>4801</v>
      </c>
      <c r="F1612" s="206" t="s">
        <v>4802</v>
      </c>
      <c r="G1612" s="206" t="s">
        <v>4783</v>
      </c>
      <c r="H1612" s="207">
        <v>44411</v>
      </c>
      <c r="K1612" s="302">
        <v>7679611761</v>
      </c>
      <c r="M1612" s="212"/>
      <c r="N1612" s="213"/>
      <c r="O1612" s="209"/>
    </row>
    <row r="1613" spans="1:15" x14ac:dyDescent="0.3">
      <c r="A1613" s="302" t="s">
        <v>155</v>
      </c>
      <c r="B1613" s="302" t="str">
        <f t="shared" si="10"/>
        <v>Y</v>
      </c>
      <c r="C1613" s="6" t="s">
        <v>4803</v>
      </c>
      <c r="D1613" s="327"/>
      <c r="E1613" s="327" t="s">
        <v>4781</v>
      </c>
      <c r="F1613" s="206" t="s">
        <v>4804</v>
      </c>
      <c r="G1613" s="206" t="s">
        <v>4805</v>
      </c>
      <c r="H1613" s="207">
        <v>44413</v>
      </c>
      <c r="K1613" s="302">
        <v>7294188341</v>
      </c>
      <c r="M1613" s="212"/>
      <c r="N1613" s="213"/>
      <c r="O1613" s="209"/>
    </row>
    <row r="1614" spans="1:15" x14ac:dyDescent="0.3">
      <c r="A1614" s="302" t="s">
        <v>155</v>
      </c>
      <c r="B1614" s="302" t="str">
        <f t="shared" si="10"/>
        <v>Y</v>
      </c>
      <c r="C1614" s="6" t="s">
        <v>4806</v>
      </c>
      <c r="D1614" s="327"/>
      <c r="E1614" s="327" t="s">
        <v>4807</v>
      </c>
      <c r="F1614" s="206" t="s">
        <v>4808</v>
      </c>
      <c r="G1614" s="206" t="s">
        <v>4805</v>
      </c>
      <c r="H1614" s="207">
        <v>44413</v>
      </c>
      <c r="K1614" s="302">
        <v>9572793190</v>
      </c>
      <c r="M1614" s="212"/>
      <c r="N1614" s="213"/>
      <c r="O1614" s="209"/>
    </row>
    <row r="1615" spans="1:15" x14ac:dyDescent="0.3">
      <c r="A1615" s="302" t="s">
        <v>155</v>
      </c>
      <c r="B1615" s="302" t="str">
        <f t="shared" si="10"/>
        <v>Y</v>
      </c>
      <c r="C1615" s="6" t="s">
        <v>4809</v>
      </c>
      <c r="D1615" s="327"/>
      <c r="E1615" s="327" t="s">
        <v>4810</v>
      </c>
      <c r="F1615" s="206" t="s">
        <v>4811</v>
      </c>
      <c r="G1615" s="206" t="s">
        <v>4812</v>
      </c>
      <c r="H1615" s="206" t="s">
        <v>4812</v>
      </c>
      <c r="K1615" s="302">
        <v>9934859402</v>
      </c>
      <c r="M1615" s="212"/>
      <c r="N1615" s="213"/>
      <c r="O1615" s="209"/>
    </row>
    <row r="1616" spans="1:15" x14ac:dyDescent="0.3">
      <c r="A1616" s="302" t="s">
        <v>155</v>
      </c>
      <c r="B1616" s="302" t="str">
        <f t="shared" si="10"/>
        <v>Y</v>
      </c>
      <c r="C1616" s="6" t="s">
        <v>4813</v>
      </c>
      <c r="D1616" s="327"/>
      <c r="E1616" s="327" t="s">
        <v>4814</v>
      </c>
      <c r="F1616" s="206" t="s">
        <v>4815</v>
      </c>
      <c r="G1616" s="206" t="s">
        <v>4812</v>
      </c>
      <c r="H1616" s="206" t="s">
        <v>4812</v>
      </c>
      <c r="K1616" s="302">
        <v>7367970918</v>
      </c>
      <c r="M1616" s="212"/>
      <c r="N1616" s="213"/>
      <c r="O1616" s="209"/>
    </row>
    <row r="1617" spans="1:15" x14ac:dyDescent="0.3">
      <c r="A1617" s="302" t="s">
        <v>155</v>
      </c>
      <c r="B1617" s="302" t="str">
        <f t="shared" si="10"/>
        <v>Y</v>
      </c>
      <c r="C1617" s="6" t="s">
        <v>4816</v>
      </c>
      <c r="D1617" s="327"/>
      <c r="E1617" s="327" t="s">
        <v>4817</v>
      </c>
      <c r="F1617" s="206" t="s">
        <v>4818</v>
      </c>
      <c r="G1617" s="206" t="s">
        <v>4812</v>
      </c>
      <c r="H1617" s="206" t="s">
        <v>4812</v>
      </c>
      <c r="K1617" s="302">
        <v>8235673074</v>
      </c>
      <c r="M1617" s="212"/>
      <c r="N1617" s="213"/>
      <c r="O1617" s="209"/>
    </row>
    <row r="1618" spans="1:15" x14ac:dyDescent="0.3">
      <c r="A1618" s="302" t="s">
        <v>155</v>
      </c>
      <c r="B1618" s="302" t="str">
        <f t="shared" si="10"/>
        <v>Y</v>
      </c>
      <c r="C1618" s="6" t="s">
        <v>4819</v>
      </c>
      <c r="D1618" s="327"/>
      <c r="E1618" s="327" t="s">
        <v>4820</v>
      </c>
      <c r="F1618" s="206" t="s">
        <v>4821</v>
      </c>
      <c r="G1618" s="206" t="s">
        <v>4812</v>
      </c>
      <c r="H1618" s="206" t="s">
        <v>4812</v>
      </c>
      <c r="K1618" s="302">
        <v>9264269982</v>
      </c>
      <c r="M1618" s="212"/>
      <c r="N1618" s="213"/>
      <c r="O1618" s="209"/>
    </row>
    <row r="1619" spans="1:15" x14ac:dyDescent="0.3">
      <c r="A1619" s="302" t="s">
        <v>155</v>
      </c>
      <c r="B1619" s="302" t="str">
        <f t="shared" si="10"/>
        <v>Y</v>
      </c>
      <c r="C1619" s="6" t="s">
        <v>4822</v>
      </c>
      <c r="D1619" s="327"/>
      <c r="E1619" s="327" t="s">
        <v>4823</v>
      </c>
      <c r="F1619" s="206" t="s">
        <v>4824</v>
      </c>
      <c r="G1619" s="206" t="s">
        <v>4812</v>
      </c>
      <c r="H1619" s="206" t="s">
        <v>4825</v>
      </c>
      <c r="K1619" s="302">
        <v>9304009761</v>
      </c>
      <c r="M1619" s="212"/>
      <c r="N1619" s="213"/>
      <c r="O1619" s="209"/>
    </row>
    <row r="1620" spans="1:15" x14ac:dyDescent="0.3">
      <c r="A1620" s="302" t="s">
        <v>155</v>
      </c>
      <c r="B1620" s="302" t="str">
        <f t="shared" si="10"/>
        <v>Y</v>
      </c>
      <c r="C1620" s="6" t="s">
        <v>4826</v>
      </c>
      <c r="D1620" s="327"/>
      <c r="E1620" s="327" t="s">
        <v>4827</v>
      </c>
      <c r="F1620" s="206" t="s">
        <v>4828</v>
      </c>
      <c r="G1620" s="206" t="s">
        <v>4829</v>
      </c>
      <c r="H1620" s="206" t="s">
        <v>4829</v>
      </c>
      <c r="K1620" s="302">
        <v>8709613164</v>
      </c>
      <c r="M1620" s="212"/>
      <c r="N1620" s="213"/>
      <c r="O1620" s="209"/>
    </row>
    <row r="1621" spans="1:15" x14ac:dyDescent="0.3">
      <c r="A1621" s="302" t="s">
        <v>155</v>
      </c>
      <c r="B1621" s="302" t="str">
        <f t="shared" si="10"/>
        <v>Y</v>
      </c>
      <c r="C1621" s="6" t="s">
        <v>4830</v>
      </c>
      <c r="D1621" s="327"/>
      <c r="E1621" s="327" t="s">
        <v>4831</v>
      </c>
      <c r="F1621" s="206" t="s">
        <v>4832</v>
      </c>
      <c r="G1621" s="206" t="s">
        <v>4829</v>
      </c>
      <c r="H1621" s="206" t="s">
        <v>4829</v>
      </c>
      <c r="K1621" s="302">
        <v>8969272502</v>
      </c>
      <c r="M1621" s="212"/>
      <c r="N1621" s="213"/>
      <c r="O1621" s="209"/>
    </row>
    <row r="1622" spans="1:15" x14ac:dyDescent="0.3">
      <c r="A1622" s="302" t="s">
        <v>155</v>
      </c>
      <c r="B1622" s="302" t="str">
        <f t="shared" si="10"/>
        <v>Y</v>
      </c>
      <c r="C1622" s="6" t="s">
        <v>4833</v>
      </c>
      <c r="D1622" s="327"/>
      <c r="E1622" s="327" t="s">
        <v>4834</v>
      </c>
      <c r="F1622" s="206" t="s">
        <v>4835</v>
      </c>
      <c r="G1622" s="206" t="s">
        <v>4829</v>
      </c>
      <c r="H1622" s="206" t="s">
        <v>4829</v>
      </c>
      <c r="K1622" s="302">
        <v>8272047002</v>
      </c>
      <c r="M1622" s="212"/>
      <c r="N1622" s="213"/>
      <c r="O1622" s="209"/>
    </row>
    <row r="1623" spans="1:15" x14ac:dyDescent="0.3">
      <c r="A1623" s="302" t="s">
        <v>155</v>
      </c>
      <c r="B1623" s="302" t="str">
        <f t="shared" si="10"/>
        <v>Y</v>
      </c>
      <c r="C1623" s="6" t="s">
        <v>4822</v>
      </c>
      <c r="D1623" s="327"/>
      <c r="E1623" s="327" t="s">
        <v>4836</v>
      </c>
      <c r="F1623" s="206" t="s">
        <v>4824</v>
      </c>
      <c r="G1623" s="206" t="s">
        <v>4829</v>
      </c>
      <c r="H1623" s="206" t="s">
        <v>4829</v>
      </c>
      <c r="K1623" s="302">
        <v>9304009761</v>
      </c>
      <c r="M1623" s="212"/>
      <c r="N1623" s="213"/>
      <c r="O1623" s="209"/>
    </row>
    <row r="1624" spans="1:15" x14ac:dyDescent="0.3">
      <c r="A1624" s="302" t="s">
        <v>155</v>
      </c>
      <c r="B1624" s="302" t="str">
        <f t="shared" si="10"/>
        <v>Y</v>
      </c>
      <c r="C1624" s="6" t="s">
        <v>4837</v>
      </c>
      <c r="D1624" s="327"/>
      <c r="E1624" s="327" t="s">
        <v>4838</v>
      </c>
      <c r="F1624" s="206" t="s">
        <v>4839</v>
      </c>
      <c r="G1624" s="206" t="s">
        <v>4829</v>
      </c>
      <c r="H1624" s="206" t="s">
        <v>4829</v>
      </c>
      <c r="K1624" s="302">
        <v>8709613164</v>
      </c>
      <c r="M1624" s="212"/>
      <c r="N1624" s="213"/>
      <c r="O1624" s="209"/>
    </row>
    <row r="1625" spans="1:15" x14ac:dyDescent="0.3">
      <c r="A1625" s="302" t="s">
        <v>155</v>
      </c>
      <c r="B1625" s="302" t="str">
        <f t="shared" si="10"/>
        <v>Y</v>
      </c>
      <c r="C1625" s="6" t="s">
        <v>4840</v>
      </c>
      <c r="D1625" s="327"/>
      <c r="E1625" s="327" t="s">
        <v>4841</v>
      </c>
      <c r="F1625" s="206" t="s">
        <v>4842</v>
      </c>
      <c r="G1625" s="206" t="s">
        <v>4829</v>
      </c>
      <c r="H1625" s="206" t="s">
        <v>4829</v>
      </c>
      <c r="K1625" s="302">
        <v>6202006560</v>
      </c>
      <c r="M1625" s="212"/>
      <c r="N1625" s="213"/>
      <c r="O1625" s="209"/>
    </row>
    <row r="1626" spans="1:15" x14ac:dyDescent="0.3">
      <c r="A1626" s="302" t="s">
        <v>155</v>
      </c>
      <c r="B1626" s="302" t="str">
        <f t="shared" si="10"/>
        <v>Y</v>
      </c>
      <c r="C1626" s="6" t="s">
        <v>4843</v>
      </c>
      <c r="D1626" s="327"/>
      <c r="E1626" s="327" t="s">
        <v>4844</v>
      </c>
      <c r="F1626" s="206" t="s">
        <v>4845</v>
      </c>
      <c r="G1626" s="206" t="s">
        <v>4846</v>
      </c>
      <c r="H1626" s="206" t="s">
        <v>4846</v>
      </c>
      <c r="K1626" s="302">
        <v>8709494870</v>
      </c>
      <c r="M1626" s="212"/>
      <c r="N1626" s="213"/>
      <c r="O1626" s="209"/>
    </row>
    <row r="1627" spans="1:15" x14ac:dyDescent="0.3">
      <c r="A1627" s="302" t="s">
        <v>155</v>
      </c>
      <c r="B1627" s="302" t="str">
        <f t="shared" si="10"/>
        <v>Y</v>
      </c>
      <c r="C1627" s="6" t="s">
        <v>4847</v>
      </c>
      <c r="D1627" s="327"/>
      <c r="E1627" s="327" t="s">
        <v>2348</v>
      </c>
      <c r="F1627" s="206" t="s">
        <v>2551</v>
      </c>
      <c r="G1627" s="206" t="s">
        <v>4848</v>
      </c>
      <c r="H1627" s="207">
        <v>44419</v>
      </c>
      <c r="K1627" s="302">
        <v>8789524053</v>
      </c>
      <c r="M1627" s="212"/>
      <c r="N1627" s="213"/>
      <c r="O1627" s="209"/>
    </row>
    <row r="1628" spans="1:15" x14ac:dyDescent="0.3">
      <c r="A1628" s="302" t="s">
        <v>155</v>
      </c>
      <c r="B1628" s="302" t="str">
        <f t="shared" si="10"/>
        <v>Y</v>
      </c>
      <c r="C1628" s="6" t="s">
        <v>4849</v>
      </c>
      <c r="D1628" s="327"/>
      <c r="E1628" s="327" t="s">
        <v>4850</v>
      </c>
      <c r="F1628" s="206" t="s">
        <v>4851</v>
      </c>
      <c r="G1628" s="206" t="s">
        <v>4852</v>
      </c>
      <c r="H1628" s="207">
        <v>44420</v>
      </c>
      <c r="J1628" s="2" t="s">
        <v>4853</v>
      </c>
      <c r="K1628" s="302">
        <v>9546276597</v>
      </c>
      <c r="M1628" s="212"/>
      <c r="N1628" s="213"/>
      <c r="O1628" s="209"/>
    </row>
    <row r="1629" spans="1:15" x14ac:dyDescent="0.3">
      <c r="A1629" s="302" t="s">
        <v>155</v>
      </c>
      <c r="B1629" s="302" t="str">
        <f t="shared" si="10"/>
        <v>Y</v>
      </c>
      <c r="C1629" s="6" t="s">
        <v>4854</v>
      </c>
      <c r="D1629" s="327"/>
      <c r="E1629" s="327" t="s">
        <v>4855</v>
      </c>
      <c r="F1629" s="206" t="s">
        <v>4856</v>
      </c>
      <c r="G1629" s="206" t="s">
        <v>4852</v>
      </c>
      <c r="H1629" s="207">
        <v>44420</v>
      </c>
      <c r="J1629" s="2" t="s">
        <v>3735</v>
      </c>
      <c r="K1629" s="302">
        <v>7870995741</v>
      </c>
      <c r="M1629" s="212"/>
      <c r="N1629" s="213"/>
      <c r="O1629" s="209"/>
    </row>
    <row r="1630" spans="1:15" x14ac:dyDescent="0.3">
      <c r="A1630" s="302" t="s">
        <v>155</v>
      </c>
      <c r="B1630" s="302" t="str">
        <f t="shared" si="10"/>
        <v>Y</v>
      </c>
      <c r="C1630" s="6" t="s">
        <v>4857</v>
      </c>
      <c r="D1630" s="327"/>
      <c r="E1630" s="327" t="s">
        <v>4858</v>
      </c>
      <c r="F1630" s="206" t="s">
        <v>4859</v>
      </c>
      <c r="G1630" s="206" t="s">
        <v>4852</v>
      </c>
      <c r="H1630" s="207">
        <v>44420</v>
      </c>
      <c r="J1630" s="2" t="s">
        <v>4860</v>
      </c>
      <c r="K1630" s="302">
        <v>6203717099</v>
      </c>
      <c r="M1630" s="212"/>
      <c r="N1630" s="213"/>
      <c r="O1630" s="209"/>
    </row>
    <row r="1631" spans="1:15" x14ac:dyDescent="0.3">
      <c r="A1631" s="302" t="s">
        <v>155</v>
      </c>
      <c r="B1631" s="302" t="str">
        <f t="shared" si="10"/>
        <v>Y</v>
      </c>
      <c r="C1631" s="6" t="s">
        <v>4861</v>
      </c>
      <c r="D1631" s="327"/>
      <c r="E1631" s="327" t="s">
        <v>4862</v>
      </c>
      <c r="F1631" s="206" t="s">
        <v>4863</v>
      </c>
      <c r="G1631" s="206" t="s">
        <v>4852</v>
      </c>
      <c r="H1631" s="207">
        <v>44420</v>
      </c>
      <c r="J1631" s="2" t="s">
        <v>3735</v>
      </c>
      <c r="K1631" s="302">
        <v>7766913546</v>
      </c>
      <c r="M1631" s="212"/>
      <c r="N1631" s="213"/>
      <c r="O1631" s="209"/>
    </row>
    <row r="1632" spans="1:15" x14ac:dyDescent="0.3">
      <c r="A1632" s="302" t="s">
        <v>155</v>
      </c>
      <c r="B1632" s="302" t="str">
        <f t="shared" si="10"/>
        <v>Y</v>
      </c>
      <c r="C1632" s="6" t="s">
        <v>4864</v>
      </c>
      <c r="D1632" s="327"/>
      <c r="E1632" s="327" t="s">
        <v>4865</v>
      </c>
      <c r="F1632" s="206" t="s">
        <v>4866</v>
      </c>
      <c r="G1632" s="206" t="s">
        <v>4867</v>
      </c>
      <c r="H1632" s="207">
        <v>44422</v>
      </c>
      <c r="J1632" s="2" t="s">
        <v>4868</v>
      </c>
      <c r="K1632" s="302">
        <v>8210634750</v>
      </c>
      <c r="M1632" s="212"/>
      <c r="N1632" s="213"/>
      <c r="O1632" s="209"/>
    </row>
    <row r="1633" spans="1:15" x14ac:dyDescent="0.3">
      <c r="A1633" s="302" t="s">
        <v>155</v>
      </c>
      <c r="B1633" s="302" t="str">
        <f t="shared" si="10"/>
        <v>Y</v>
      </c>
      <c r="C1633" s="6" t="s">
        <v>4864</v>
      </c>
      <c r="D1633" s="327"/>
      <c r="E1633" s="327" t="s">
        <v>4869</v>
      </c>
      <c r="F1633" s="206" t="s">
        <v>4870</v>
      </c>
      <c r="G1633" s="206" t="s">
        <v>4852</v>
      </c>
      <c r="H1633" s="207">
        <v>44420</v>
      </c>
      <c r="J1633" s="2" t="s">
        <v>4871</v>
      </c>
      <c r="K1633" s="302">
        <v>7763887012</v>
      </c>
      <c r="M1633" s="212"/>
      <c r="N1633" s="213"/>
      <c r="O1633" s="209"/>
    </row>
    <row r="1634" spans="1:15" x14ac:dyDescent="0.3">
      <c r="A1634" s="302" t="s">
        <v>155</v>
      </c>
      <c r="B1634" s="302" t="str">
        <f t="shared" si="10"/>
        <v>Y</v>
      </c>
      <c r="C1634" s="6" t="s">
        <v>4872</v>
      </c>
      <c r="D1634" s="327"/>
      <c r="E1634" s="327" t="s">
        <v>4873</v>
      </c>
      <c r="F1634" s="206" t="s">
        <v>3742</v>
      </c>
      <c r="G1634" s="206" t="s">
        <v>4867</v>
      </c>
      <c r="H1634" s="207">
        <v>44422</v>
      </c>
      <c r="J1634" s="2" t="s">
        <v>4874</v>
      </c>
      <c r="K1634" s="302">
        <v>7903741198</v>
      </c>
      <c r="M1634" s="212"/>
      <c r="N1634" s="213"/>
      <c r="O1634" s="209"/>
    </row>
    <row r="1635" spans="1:15" x14ac:dyDescent="0.3">
      <c r="A1635" s="302" t="s">
        <v>155</v>
      </c>
      <c r="B1635" s="302" t="str">
        <f t="shared" si="10"/>
        <v>Y</v>
      </c>
      <c r="C1635" s="6" t="s">
        <v>4875</v>
      </c>
      <c r="D1635" s="327"/>
      <c r="E1635" s="327" t="s">
        <v>4876</v>
      </c>
      <c r="F1635" s="206" t="s">
        <v>4877</v>
      </c>
      <c r="G1635" s="206" t="s">
        <v>4867</v>
      </c>
      <c r="H1635" s="207">
        <v>44422</v>
      </c>
      <c r="J1635" s="2" t="s">
        <v>4878</v>
      </c>
      <c r="K1635" s="302">
        <v>6299160006</v>
      </c>
      <c r="M1635" s="212"/>
      <c r="N1635" s="213"/>
      <c r="O1635" s="209"/>
    </row>
    <row r="1636" spans="1:15" x14ac:dyDescent="0.3">
      <c r="A1636" s="302" t="s">
        <v>155</v>
      </c>
      <c r="B1636" s="302" t="str">
        <f t="shared" si="10"/>
        <v>N</v>
      </c>
      <c r="C1636" s="6" t="s">
        <v>4879</v>
      </c>
      <c r="D1636" s="327"/>
      <c r="E1636" s="327" t="s">
        <v>4880</v>
      </c>
      <c r="F1636" s="206" t="s">
        <v>4881</v>
      </c>
      <c r="G1636" s="206" t="s">
        <v>4882</v>
      </c>
      <c r="H1636" s="302"/>
      <c r="K1636" s="302">
        <v>9471388995</v>
      </c>
      <c r="M1636" s="212"/>
      <c r="N1636" s="213"/>
      <c r="O1636" s="209"/>
    </row>
    <row r="1637" spans="1:15" x14ac:dyDescent="0.3">
      <c r="A1637" s="302" t="s">
        <v>155</v>
      </c>
      <c r="B1637" s="302" t="str">
        <f t="shared" si="10"/>
        <v>Y</v>
      </c>
      <c r="C1637" s="6" t="s">
        <v>4883</v>
      </c>
      <c r="D1637" s="327"/>
      <c r="E1637" s="327" t="s">
        <v>4884</v>
      </c>
      <c r="F1637" s="206" t="s">
        <v>4885</v>
      </c>
      <c r="G1637" s="206" t="s">
        <v>4886</v>
      </c>
      <c r="H1637" s="206" t="s">
        <v>4886</v>
      </c>
      <c r="K1637" s="302">
        <v>6202147708</v>
      </c>
      <c r="M1637" s="212"/>
      <c r="N1637" s="213"/>
      <c r="O1637" s="209"/>
    </row>
    <row r="1638" spans="1:15" x14ac:dyDescent="0.3">
      <c r="A1638" s="302" t="s">
        <v>155</v>
      </c>
      <c r="B1638" s="302" t="str">
        <f t="shared" si="10"/>
        <v>Y</v>
      </c>
      <c r="C1638" s="6" t="s">
        <v>4887</v>
      </c>
      <c r="D1638" s="327"/>
      <c r="E1638" s="327" t="s">
        <v>4888</v>
      </c>
      <c r="F1638" s="206" t="s">
        <v>4889</v>
      </c>
      <c r="G1638" s="206" t="s">
        <v>4886</v>
      </c>
      <c r="H1638" s="206" t="s">
        <v>4886</v>
      </c>
      <c r="K1638" s="302">
        <v>9204215411</v>
      </c>
      <c r="M1638" s="212"/>
      <c r="N1638" s="213"/>
      <c r="O1638" s="209"/>
    </row>
    <row r="1639" spans="1:15" x14ac:dyDescent="0.3">
      <c r="A1639" s="302" t="s">
        <v>155</v>
      </c>
      <c r="B1639" s="302" t="str">
        <f t="shared" si="10"/>
        <v>Y</v>
      </c>
      <c r="C1639" s="6" t="s">
        <v>4890</v>
      </c>
      <c r="D1639" s="327"/>
      <c r="E1639" s="327" t="s">
        <v>4891</v>
      </c>
      <c r="F1639" s="206" t="s">
        <v>4892</v>
      </c>
      <c r="G1639" s="206" t="s">
        <v>4886</v>
      </c>
      <c r="H1639" s="206" t="s">
        <v>4886</v>
      </c>
      <c r="K1639" s="302">
        <v>9204311494</v>
      </c>
      <c r="M1639" s="212"/>
      <c r="N1639" s="213"/>
      <c r="O1639" s="209"/>
    </row>
    <row r="1640" spans="1:15" x14ac:dyDescent="0.3">
      <c r="A1640" s="302" t="s">
        <v>155</v>
      </c>
      <c r="B1640" s="302" t="str">
        <f t="shared" si="10"/>
        <v>Y</v>
      </c>
      <c r="C1640" s="6" t="s">
        <v>4893</v>
      </c>
      <c r="D1640" s="327"/>
      <c r="E1640" s="327" t="s">
        <v>4894</v>
      </c>
      <c r="F1640" s="206" t="s">
        <v>4895</v>
      </c>
      <c r="G1640" s="206" t="s">
        <v>4886</v>
      </c>
      <c r="H1640" s="206" t="s">
        <v>4886</v>
      </c>
      <c r="K1640" s="302">
        <v>6201444476</v>
      </c>
      <c r="M1640" s="212"/>
      <c r="N1640" s="213"/>
      <c r="O1640" s="209"/>
    </row>
    <row r="1641" spans="1:15" x14ac:dyDescent="0.3">
      <c r="A1641" s="302" t="s">
        <v>155</v>
      </c>
      <c r="B1641" s="302" t="str">
        <f t="shared" si="10"/>
        <v>Y</v>
      </c>
      <c r="C1641" s="6" t="s">
        <v>4896</v>
      </c>
      <c r="D1641" s="327"/>
      <c r="E1641" s="327" t="s">
        <v>4897</v>
      </c>
      <c r="F1641" s="206" t="s">
        <v>4898</v>
      </c>
      <c r="G1641" s="206" t="s">
        <v>4899</v>
      </c>
      <c r="H1641" s="207">
        <v>44426</v>
      </c>
      <c r="J1641" s="2" t="s">
        <v>4900</v>
      </c>
      <c r="K1641" s="302">
        <v>6372755041</v>
      </c>
      <c r="M1641" s="212"/>
      <c r="N1641" s="213"/>
      <c r="O1641" s="209"/>
    </row>
    <row r="1642" spans="1:15" x14ac:dyDescent="0.3">
      <c r="A1642" s="302" t="s">
        <v>155</v>
      </c>
      <c r="B1642" s="302" t="str">
        <f t="shared" si="10"/>
        <v>Y</v>
      </c>
      <c r="C1642" s="6" t="s">
        <v>4901</v>
      </c>
      <c r="D1642" s="327"/>
      <c r="E1642" s="327" t="s">
        <v>4902</v>
      </c>
      <c r="F1642" s="206" t="s">
        <v>4903</v>
      </c>
      <c r="G1642" s="206" t="s">
        <v>4904</v>
      </c>
      <c r="H1642" s="206" t="s">
        <v>4904</v>
      </c>
      <c r="K1642" s="302">
        <v>8789584229</v>
      </c>
      <c r="M1642" s="212"/>
      <c r="N1642" s="213"/>
      <c r="O1642" s="209"/>
    </row>
    <row r="1643" spans="1:15" x14ac:dyDescent="0.3">
      <c r="A1643" s="302" t="s">
        <v>155</v>
      </c>
      <c r="B1643" s="302" t="str">
        <f t="shared" si="10"/>
        <v>Y</v>
      </c>
      <c r="C1643" s="6" t="s">
        <v>4905</v>
      </c>
      <c r="D1643" s="327"/>
      <c r="E1643" s="327" t="s">
        <v>4906</v>
      </c>
      <c r="F1643" s="206" t="s">
        <v>4907</v>
      </c>
      <c r="G1643" s="206" t="s">
        <v>4904</v>
      </c>
      <c r="H1643" s="206" t="s">
        <v>4904</v>
      </c>
      <c r="K1643" s="302">
        <v>9771219893</v>
      </c>
      <c r="M1643" s="212"/>
      <c r="N1643" s="213"/>
      <c r="O1643" s="209"/>
    </row>
    <row r="1644" spans="1:15" x14ac:dyDescent="0.3">
      <c r="A1644" s="302" t="s">
        <v>155</v>
      </c>
      <c r="B1644" s="302" t="str">
        <f t="shared" si="10"/>
        <v>Y</v>
      </c>
      <c r="C1644" s="6" t="s">
        <v>4908</v>
      </c>
      <c r="D1644" s="327"/>
      <c r="E1644" s="327" t="s">
        <v>4909</v>
      </c>
      <c r="F1644" s="206" t="s">
        <v>4910</v>
      </c>
      <c r="G1644" s="206" t="s">
        <v>4904</v>
      </c>
      <c r="H1644" s="206" t="s">
        <v>4904</v>
      </c>
      <c r="K1644" s="302">
        <v>9263972498</v>
      </c>
      <c r="M1644" s="212"/>
      <c r="N1644" s="213"/>
      <c r="O1644" s="209"/>
    </row>
    <row r="1645" spans="1:15" x14ac:dyDescent="0.3">
      <c r="A1645" s="302" t="s">
        <v>155</v>
      </c>
      <c r="B1645" s="302" t="str">
        <f t="shared" si="10"/>
        <v>Y</v>
      </c>
      <c r="C1645" s="6" t="s">
        <v>4911</v>
      </c>
      <c r="D1645" s="327"/>
      <c r="E1645" s="327" t="s">
        <v>4912</v>
      </c>
      <c r="F1645" s="206" t="s">
        <v>4913</v>
      </c>
      <c r="G1645" s="206" t="s">
        <v>4904</v>
      </c>
      <c r="H1645" s="206" t="s">
        <v>4904</v>
      </c>
      <c r="K1645" s="302">
        <v>8809859813</v>
      </c>
      <c r="M1645" s="212"/>
      <c r="N1645" s="213"/>
      <c r="O1645" s="209"/>
    </row>
    <row r="1646" spans="1:15" x14ac:dyDescent="0.3">
      <c r="A1646" s="302" t="s">
        <v>155</v>
      </c>
      <c r="B1646" s="302" t="str">
        <f t="shared" si="10"/>
        <v>Y</v>
      </c>
      <c r="C1646" s="6" t="s">
        <v>4914</v>
      </c>
      <c r="D1646" s="327"/>
      <c r="E1646" s="327" t="s">
        <v>4915</v>
      </c>
      <c r="F1646" s="206" t="s">
        <v>4916</v>
      </c>
      <c r="G1646" s="206" t="s">
        <v>4904</v>
      </c>
      <c r="H1646" s="206" t="s">
        <v>4904</v>
      </c>
      <c r="K1646" s="302">
        <v>7488841312</v>
      </c>
      <c r="M1646" s="212"/>
      <c r="N1646" s="213"/>
      <c r="O1646" s="209"/>
    </row>
    <row r="1647" spans="1:15" x14ac:dyDescent="0.3">
      <c r="A1647" s="302" t="s">
        <v>155</v>
      </c>
      <c r="B1647" s="302" t="str">
        <f t="shared" si="10"/>
        <v>Y</v>
      </c>
      <c r="C1647" s="6" t="s">
        <v>4917</v>
      </c>
      <c r="D1647" s="327"/>
      <c r="E1647" s="327" t="s">
        <v>4918</v>
      </c>
      <c r="F1647" s="206" t="s">
        <v>4919</v>
      </c>
      <c r="G1647" s="206" t="s">
        <v>4904</v>
      </c>
      <c r="H1647" s="206" t="s">
        <v>4904</v>
      </c>
      <c r="K1647" s="302">
        <v>8674893875</v>
      </c>
      <c r="M1647" s="212"/>
      <c r="N1647" s="213"/>
      <c r="O1647" s="209"/>
    </row>
    <row r="1648" spans="1:15" x14ac:dyDescent="0.3">
      <c r="A1648" s="302" t="s">
        <v>155</v>
      </c>
      <c r="B1648" s="302" t="str">
        <f t="shared" si="10"/>
        <v>Y</v>
      </c>
      <c r="C1648" s="6" t="s">
        <v>4920</v>
      </c>
      <c r="D1648" s="327"/>
      <c r="E1648" s="327" t="s">
        <v>4921</v>
      </c>
      <c r="F1648" s="206" t="s">
        <v>4922</v>
      </c>
      <c r="G1648" s="206" t="s">
        <v>4923</v>
      </c>
      <c r="H1648" s="206" t="s">
        <v>4923</v>
      </c>
      <c r="K1648" s="302">
        <v>8092880132</v>
      </c>
      <c r="M1648" s="212"/>
      <c r="N1648" s="213"/>
      <c r="O1648" s="209"/>
    </row>
    <row r="1649" spans="1:15" x14ac:dyDescent="0.3">
      <c r="A1649" s="302" t="s">
        <v>155</v>
      </c>
      <c r="B1649" s="302" t="str">
        <f t="shared" si="10"/>
        <v>Y</v>
      </c>
      <c r="C1649" s="458" t="s">
        <v>4924</v>
      </c>
      <c r="D1649" s="334"/>
      <c r="E1649" s="327" t="s">
        <v>4925</v>
      </c>
      <c r="F1649" s="206" t="s">
        <v>4926</v>
      </c>
      <c r="G1649" s="206" t="s">
        <v>4923</v>
      </c>
      <c r="H1649" s="206" t="s">
        <v>4923</v>
      </c>
      <c r="K1649" s="302">
        <v>8797063077</v>
      </c>
      <c r="M1649" s="212"/>
      <c r="N1649" s="213"/>
      <c r="O1649" s="209"/>
    </row>
    <row r="1650" spans="1:15" x14ac:dyDescent="0.3">
      <c r="A1650" s="302" t="s">
        <v>2931</v>
      </c>
      <c r="B1650" s="302" t="str">
        <f t="shared" si="10"/>
        <v>N</v>
      </c>
      <c r="C1650" s="6" t="s">
        <v>4927</v>
      </c>
      <c r="D1650" s="327"/>
      <c r="E1650" s="327" t="s">
        <v>3512</v>
      </c>
      <c r="F1650" s="206" t="s">
        <v>4928</v>
      </c>
      <c r="G1650" s="206" t="s">
        <v>4929</v>
      </c>
      <c r="H1650" s="302"/>
      <c r="K1650" s="302">
        <v>9546276597</v>
      </c>
      <c r="M1650" s="212"/>
      <c r="N1650" s="213"/>
      <c r="O1650" s="209"/>
    </row>
    <row r="1651" spans="1:15" x14ac:dyDescent="0.3">
      <c r="A1651" s="302" t="s">
        <v>155</v>
      </c>
      <c r="B1651" s="302" t="str">
        <f t="shared" si="10"/>
        <v>Y</v>
      </c>
      <c r="C1651" s="6" t="s">
        <v>4930</v>
      </c>
      <c r="D1651" s="327"/>
      <c r="E1651" s="327" t="s">
        <v>4931</v>
      </c>
      <c r="F1651" s="206" t="s">
        <v>4932</v>
      </c>
      <c r="G1651" s="206" t="s">
        <v>4929</v>
      </c>
      <c r="H1651" s="206" t="s">
        <v>4929</v>
      </c>
      <c r="K1651" s="302">
        <v>6299522927</v>
      </c>
      <c r="M1651" s="212"/>
      <c r="N1651" s="213"/>
      <c r="O1651" s="209"/>
    </row>
    <row r="1652" spans="1:15" x14ac:dyDescent="0.3">
      <c r="A1652" s="302" t="s">
        <v>155</v>
      </c>
      <c r="B1652" s="302" t="str">
        <f t="shared" si="10"/>
        <v>Y</v>
      </c>
      <c r="C1652" s="6" t="s">
        <v>4933</v>
      </c>
      <c r="D1652" s="327"/>
      <c r="E1652" s="327" t="s">
        <v>852</v>
      </c>
      <c r="F1652" s="206" t="s">
        <v>4934</v>
      </c>
      <c r="G1652" s="206" t="s">
        <v>4929</v>
      </c>
      <c r="H1652" s="206" t="s">
        <v>4929</v>
      </c>
      <c r="K1652" s="302">
        <v>9006576522</v>
      </c>
      <c r="M1652" s="212"/>
      <c r="N1652" s="213"/>
      <c r="O1652" s="209"/>
    </row>
    <row r="1653" spans="1:15" x14ac:dyDescent="0.3">
      <c r="A1653" s="302" t="s">
        <v>155</v>
      </c>
      <c r="B1653" s="302" t="str">
        <f t="shared" si="10"/>
        <v>Y</v>
      </c>
      <c r="C1653" s="6" t="s">
        <v>4935</v>
      </c>
      <c r="D1653" s="327"/>
      <c r="E1653" s="327" t="s">
        <v>4936</v>
      </c>
      <c r="F1653" s="206" t="s">
        <v>4937</v>
      </c>
      <c r="G1653" s="206" t="s">
        <v>4929</v>
      </c>
      <c r="H1653" s="206" t="s">
        <v>4929</v>
      </c>
      <c r="K1653" s="302">
        <v>7549173297</v>
      </c>
      <c r="M1653" s="212"/>
      <c r="N1653" s="213"/>
      <c r="O1653" s="209"/>
    </row>
    <row r="1654" spans="1:15" x14ac:dyDescent="0.3">
      <c r="A1654" s="302" t="s">
        <v>155</v>
      </c>
      <c r="B1654" s="302" t="str">
        <f t="shared" si="10"/>
        <v>Y</v>
      </c>
      <c r="C1654" s="6" t="s">
        <v>4938</v>
      </c>
      <c r="D1654" s="327"/>
      <c r="E1654" s="327" t="s">
        <v>4939</v>
      </c>
      <c r="F1654" s="206" t="s">
        <v>3649</v>
      </c>
      <c r="G1654" s="206" t="s">
        <v>4929</v>
      </c>
      <c r="H1654" s="206" t="s">
        <v>4929</v>
      </c>
      <c r="K1654" s="302">
        <v>7004991156</v>
      </c>
      <c r="M1654" s="212"/>
      <c r="N1654" s="213"/>
      <c r="O1654" s="209"/>
    </row>
    <row r="1655" spans="1:15" x14ac:dyDescent="0.3">
      <c r="A1655" s="302" t="s">
        <v>155</v>
      </c>
      <c r="B1655" s="302" t="str">
        <f t="shared" si="10"/>
        <v>Y</v>
      </c>
      <c r="C1655" s="6" t="s">
        <v>4940</v>
      </c>
      <c r="D1655" s="327"/>
      <c r="E1655" s="327" t="s">
        <v>4941</v>
      </c>
      <c r="F1655" s="206" t="s">
        <v>4942</v>
      </c>
      <c r="G1655" s="206" t="s">
        <v>4929</v>
      </c>
      <c r="H1655" s="206" t="s">
        <v>4929</v>
      </c>
      <c r="K1655" s="302">
        <v>7320801098</v>
      </c>
      <c r="M1655" s="212"/>
      <c r="N1655" s="213"/>
      <c r="O1655" s="209"/>
    </row>
    <row r="1656" spans="1:15" x14ac:dyDescent="0.3">
      <c r="A1656" s="302" t="s">
        <v>155</v>
      </c>
      <c r="B1656" s="302" t="str">
        <f t="shared" si="10"/>
        <v>Y</v>
      </c>
      <c r="C1656" s="6" t="s">
        <v>4943</v>
      </c>
      <c r="D1656" s="327"/>
      <c r="E1656" s="327" t="s">
        <v>4944</v>
      </c>
      <c r="F1656" s="206" t="s">
        <v>4945</v>
      </c>
      <c r="G1656" s="206" t="s">
        <v>4946</v>
      </c>
      <c r="H1656" s="206" t="s">
        <v>4946</v>
      </c>
      <c r="K1656" s="302">
        <v>8050255157</v>
      </c>
      <c r="M1656" s="212"/>
      <c r="N1656" s="213"/>
      <c r="O1656" s="209"/>
    </row>
    <row r="1657" spans="1:15" x14ac:dyDescent="0.3">
      <c r="A1657" s="302" t="s">
        <v>155</v>
      </c>
      <c r="B1657" s="302" t="str">
        <f t="shared" si="10"/>
        <v>Y</v>
      </c>
      <c r="C1657" s="6" t="s">
        <v>4947</v>
      </c>
      <c r="D1657" s="327"/>
      <c r="E1657" s="327" t="s">
        <v>4948</v>
      </c>
      <c r="F1657" s="206" t="s">
        <v>4949</v>
      </c>
      <c r="G1657" s="206" t="s">
        <v>4946</v>
      </c>
      <c r="H1657" s="206" t="s">
        <v>4946</v>
      </c>
      <c r="K1657" s="302">
        <v>9304328448</v>
      </c>
      <c r="M1657" s="212"/>
      <c r="N1657" s="213"/>
      <c r="O1657" s="209"/>
    </row>
    <row r="1658" spans="1:15" x14ac:dyDescent="0.3">
      <c r="A1658" s="302" t="s">
        <v>155</v>
      </c>
      <c r="B1658" s="302" t="str">
        <f t="shared" si="10"/>
        <v>Y</v>
      </c>
      <c r="C1658" s="6" t="s">
        <v>4950</v>
      </c>
      <c r="D1658" s="327"/>
      <c r="E1658" s="327" t="s">
        <v>4951</v>
      </c>
      <c r="F1658" s="206" t="s">
        <v>4952</v>
      </c>
      <c r="G1658" s="206" t="s">
        <v>4946</v>
      </c>
      <c r="H1658" s="206" t="s">
        <v>4946</v>
      </c>
      <c r="K1658" s="302">
        <v>8603101558</v>
      </c>
      <c r="M1658" s="212"/>
      <c r="N1658" s="213"/>
      <c r="O1658" s="209"/>
    </row>
    <row r="1659" spans="1:15" x14ac:dyDescent="0.3">
      <c r="A1659" s="302" t="s">
        <v>155</v>
      </c>
      <c r="B1659" s="302" t="str">
        <f t="shared" si="10"/>
        <v>Y</v>
      </c>
      <c r="C1659" s="6" t="s">
        <v>4953</v>
      </c>
      <c r="D1659" s="327"/>
      <c r="E1659" s="327" t="s">
        <v>4954</v>
      </c>
      <c r="F1659" s="206" t="s">
        <v>4955</v>
      </c>
      <c r="G1659" s="206" t="s">
        <v>4946</v>
      </c>
      <c r="H1659" s="206" t="s">
        <v>4946</v>
      </c>
      <c r="K1659" s="302">
        <v>8797065348</v>
      </c>
      <c r="M1659" s="212"/>
      <c r="N1659" s="213"/>
      <c r="O1659" s="209"/>
    </row>
    <row r="1660" spans="1:15" x14ac:dyDescent="0.3">
      <c r="A1660" s="302" t="s">
        <v>155</v>
      </c>
      <c r="B1660" s="302" t="str">
        <f t="shared" si="10"/>
        <v>Y</v>
      </c>
      <c r="C1660" s="6" t="s">
        <v>4956</v>
      </c>
      <c r="D1660" s="327"/>
      <c r="E1660" s="327" t="s">
        <v>4957</v>
      </c>
      <c r="F1660" s="206" t="s">
        <v>4958</v>
      </c>
      <c r="G1660" s="206" t="s">
        <v>4959</v>
      </c>
      <c r="H1660" s="206" t="s">
        <v>4959</v>
      </c>
      <c r="K1660" s="302">
        <v>9955495683</v>
      </c>
      <c r="M1660" s="212"/>
      <c r="N1660" s="213"/>
      <c r="O1660" s="209"/>
    </row>
    <row r="1661" spans="1:15" x14ac:dyDescent="0.3">
      <c r="A1661" s="302" t="s">
        <v>155</v>
      </c>
      <c r="B1661" s="302" t="str">
        <f t="shared" si="10"/>
        <v>Y</v>
      </c>
      <c r="C1661" s="6" t="s">
        <v>4960</v>
      </c>
      <c r="D1661" s="327"/>
      <c r="E1661" s="327" t="s">
        <v>1672</v>
      </c>
      <c r="F1661" s="206" t="s">
        <v>4961</v>
      </c>
      <c r="G1661" s="206" t="s">
        <v>4959</v>
      </c>
      <c r="H1661" s="206" t="s">
        <v>4959</v>
      </c>
      <c r="I1661" s="206" t="s">
        <v>4962</v>
      </c>
      <c r="K1661" s="302">
        <v>8210435528</v>
      </c>
      <c r="M1661" s="212"/>
      <c r="N1661" s="213"/>
      <c r="O1661" s="209"/>
    </row>
    <row r="1662" spans="1:15" x14ac:dyDescent="0.3">
      <c r="A1662" s="302" t="s">
        <v>155</v>
      </c>
      <c r="B1662" s="302" t="str">
        <f t="shared" si="10"/>
        <v>Y</v>
      </c>
      <c r="C1662" s="6" t="s">
        <v>4963</v>
      </c>
      <c r="D1662" s="327"/>
      <c r="E1662" s="327" t="s">
        <v>4964</v>
      </c>
      <c r="F1662" s="206" t="s">
        <v>4965</v>
      </c>
      <c r="G1662" s="206" t="s">
        <v>4966</v>
      </c>
      <c r="H1662" s="206" t="s">
        <v>4966</v>
      </c>
      <c r="K1662" s="302">
        <v>9572217676</v>
      </c>
      <c r="M1662" s="212"/>
      <c r="N1662" s="213"/>
      <c r="O1662" s="209"/>
    </row>
    <row r="1663" spans="1:15" x14ac:dyDescent="0.3">
      <c r="A1663" s="302" t="s">
        <v>155</v>
      </c>
      <c r="B1663" s="302" t="str">
        <f t="shared" si="10"/>
        <v>Y</v>
      </c>
      <c r="C1663" s="6" t="s">
        <v>4967</v>
      </c>
      <c r="D1663" s="327"/>
      <c r="E1663" s="327" t="s">
        <v>4968</v>
      </c>
      <c r="F1663" s="206" t="s">
        <v>4969</v>
      </c>
      <c r="G1663" s="206" t="s">
        <v>4966</v>
      </c>
      <c r="H1663" s="206" t="s">
        <v>4966</v>
      </c>
      <c r="K1663" s="302">
        <v>6206171344</v>
      </c>
      <c r="M1663" s="212"/>
      <c r="N1663" s="213"/>
      <c r="O1663" s="209"/>
    </row>
    <row r="1664" spans="1:15" x14ac:dyDescent="0.3">
      <c r="A1664" s="302" t="s">
        <v>155</v>
      </c>
      <c r="B1664" s="302" t="str">
        <f t="shared" si="10"/>
        <v>Y</v>
      </c>
      <c r="C1664" s="6" t="s">
        <v>4970</v>
      </c>
      <c r="D1664" s="327"/>
      <c r="E1664" s="327" t="s">
        <v>4971</v>
      </c>
      <c r="F1664" s="206" t="s">
        <v>4089</v>
      </c>
      <c r="G1664" s="206" t="s">
        <v>4966</v>
      </c>
      <c r="H1664" s="206" t="s">
        <v>4966</v>
      </c>
      <c r="K1664" s="302">
        <v>9155422053</v>
      </c>
      <c r="M1664" s="212"/>
      <c r="N1664" s="213"/>
      <c r="O1664" s="209"/>
    </row>
    <row r="1665" spans="1:15" x14ac:dyDescent="0.3">
      <c r="A1665" s="302" t="s">
        <v>155</v>
      </c>
      <c r="B1665" s="302" t="str">
        <f t="shared" si="10"/>
        <v>Y</v>
      </c>
      <c r="C1665" s="6" t="s">
        <v>4627</v>
      </c>
      <c r="D1665" s="327"/>
      <c r="E1665" s="327" t="s">
        <v>4972</v>
      </c>
      <c r="F1665" s="206" t="s">
        <v>4629</v>
      </c>
      <c r="G1665" s="206" t="s">
        <v>4966</v>
      </c>
      <c r="H1665" s="206" t="s">
        <v>4966</v>
      </c>
      <c r="K1665" s="302">
        <v>9199853347</v>
      </c>
      <c r="M1665" s="212"/>
      <c r="N1665" s="213"/>
      <c r="O1665" s="209"/>
    </row>
    <row r="1666" spans="1:15" x14ac:dyDescent="0.3">
      <c r="A1666" s="302" t="s">
        <v>155</v>
      </c>
      <c r="B1666" s="302" t="str">
        <f t="shared" si="10"/>
        <v>Y</v>
      </c>
      <c r="C1666" s="6" t="s">
        <v>4973</v>
      </c>
      <c r="D1666" s="327"/>
      <c r="E1666" s="327" t="s">
        <v>4974</v>
      </c>
      <c r="F1666" s="206" t="s">
        <v>4975</v>
      </c>
      <c r="G1666" s="206" t="s">
        <v>4966</v>
      </c>
      <c r="H1666" s="206" t="s">
        <v>4966</v>
      </c>
      <c r="K1666" s="302">
        <v>6206873944</v>
      </c>
      <c r="M1666" s="212"/>
      <c r="N1666" s="213"/>
      <c r="O1666" s="209"/>
    </row>
    <row r="1667" spans="1:15" x14ac:dyDescent="0.3">
      <c r="A1667" s="302" t="s">
        <v>155</v>
      </c>
      <c r="B1667" s="302" t="str">
        <f t="shared" si="10"/>
        <v>Y</v>
      </c>
      <c r="C1667" s="6" t="s">
        <v>4976</v>
      </c>
      <c r="D1667" s="327"/>
      <c r="E1667" s="327" t="s">
        <v>4977</v>
      </c>
      <c r="F1667" s="206" t="s">
        <v>4978</v>
      </c>
      <c r="G1667" s="206" t="s">
        <v>4979</v>
      </c>
      <c r="H1667" s="206" t="s">
        <v>4979</v>
      </c>
      <c r="K1667" s="302">
        <v>9771322115</v>
      </c>
      <c r="M1667" s="212"/>
      <c r="N1667" s="213"/>
      <c r="O1667" s="209"/>
    </row>
    <row r="1668" spans="1:15" x14ac:dyDescent="0.3">
      <c r="A1668" s="302" t="s">
        <v>155</v>
      </c>
      <c r="B1668" s="302" t="str">
        <f t="shared" si="10"/>
        <v>N</v>
      </c>
      <c r="C1668" s="6" t="s">
        <v>4980</v>
      </c>
      <c r="D1668" s="327"/>
      <c r="E1668" s="327" t="s">
        <v>4981</v>
      </c>
      <c r="F1668" s="206" t="s">
        <v>4534</v>
      </c>
      <c r="G1668" s="206" t="s">
        <v>4982</v>
      </c>
      <c r="H1668" s="206"/>
      <c r="K1668" s="302">
        <v>9031137819</v>
      </c>
      <c r="M1668" s="212"/>
      <c r="N1668" s="213"/>
      <c r="O1668" s="209"/>
    </row>
    <row r="1669" spans="1:15" x14ac:dyDescent="0.3">
      <c r="A1669" s="302" t="s">
        <v>155</v>
      </c>
      <c r="B1669" s="302" t="str">
        <f t="shared" si="10"/>
        <v>N</v>
      </c>
      <c r="C1669" s="6" t="s">
        <v>4983</v>
      </c>
      <c r="D1669" s="327"/>
      <c r="E1669" s="327" t="s">
        <v>4984</v>
      </c>
      <c r="F1669" s="206" t="s">
        <v>2548</v>
      </c>
      <c r="G1669" s="206" t="s">
        <v>4982</v>
      </c>
      <c r="H1669" s="206"/>
      <c r="K1669" s="302">
        <v>7091734445</v>
      </c>
      <c r="M1669" s="212"/>
      <c r="N1669" s="213"/>
      <c r="O1669" s="209"/>
    </row>
    <row r="1670" spans="1:15" x14ac:dyDescent="0.3">
      <c r="A1670" s="302" t="s">
        <v>155</v>
      </c>
      <c r="B1670" s="302" t="str">
        <f t="shared" si="10"/>
        <v>N</v>
      </c>
      <c r="C1670" s="6" t="s">
        <v>4985</v>
      </c>
      <c r="D1670" s="327"/>
      <c r="E1670" s="327" t="s">
        <v>4986</v>
      </c>
      <c r="F1670" s="206" t="s">
        <v>4987</v>
      </c>
      <c r="G1670" s="206" t="s">
        <v>4982</v>
      </c>
      <c r="H1670" s="302"/>
      <c r="K1670" s="302">
        <v>7070138646</v>
      </c>
      <c r="M1670" s="212"/>
      <c r="N1670" s="213"/>
      <c r="O1670" s="209"/>
    </row>
    <row r="1671" spans="1:15" x14ac:dyDescent="0.3">
      <c r="A1671" s="302" t="s">
        <v>155</v>
      </c>
      <c r="B1671" s="302" t="str">
        <f t="shared" si="10"/>
        <v>N</v>
      </c>
      <c r="C1671" s="6" t="s">
        <v>4988</v>
      </c>
      <c r="D1671" s="327"/>
      <c r="E1671" s="327" t="s">
        <v>4989</v>
      </c>
      <c r="F1671" s="206" t="s">
        <v>4786</v>
      </c>
      <c r="G1671" s="206" t="s">
        <v>4982</v>
      </c>
      <c r="H1671" s="302"/>
      <c r="K1671" s="302">
        <v>6204737840</v>
      </c>
      <c r="M1671" s="212"/>
      <c r="N1671" s="213"/>
      <c r="O1671" s="209"/>
    </row>
    <row r="1672" spans="1:15" x14ac:dyDescent="0.3">
      <c r="A1672" s="302" t="s">
        <v>155</v>
      </c>
      <c r="B1672" s="302" t="str">
        <f t="shared" si="10"/>
        <v>Y</v>
      </c>
      <c r="C1672" s="6" t="s">
        <v>4990</v>
      </c>
      <c r="D1672" s="327"/>
      <c r="E1672" s="327" t="s">
        <v>4991</v>
      </c>
      <c r="F1672" s="206" t="s">
        <v>4992</v>
      </c>
      <c r="G1672" s="206" t="s">
        <v>4993</v>
      </c>
      <c r="H1672" s="206" t="s">
        <v>4993</v>
      </c>
      <c r="K1672" s="302">
        <v>7260064549</v>
      </c>
      <c r="M1672" s="212"/>
      <c r="N1672" s="213"/>
      <c r="O1672" s="209"/>
    </row>
    <row r="1673" spans="1:15" x14ac:dyDescent="0.3">
      <c r="A1673" s="302" t="s">
        <v>155</v>
      </c>
      <c r="B1673" s="302" t="str">
        <f t="shared" si="10"/>
        <v>N</v>
      </c>
      <c r="C1673" s="6" t="s">
        <v>4994</v>
      </c>
      <c r="D1673" s="327"/>
      <c r="E1673" s="327" t="s">
        <v>4995</v>
      </c>
      <c r="F1673" s="206" t="s">
        <v>4996</v>
      </c>
      <c r="G1673" s="206" t="s">
        <v>4993</v>
      </c>
      <c r="H1673" s="302"/>
      <c r="K1673" s="302">
        <v>6202909827</v>
      </c>
      <c r="M1673" s="212"/>
      <c r="N1673" s="213"/>
      <c r="O1673" s="209"/>
    </row>
    <row r="1674" spans="1:15" x14ac:dyDescent="0.3">
      <c r="A1674" s="302" t="s">
        <v>155</v>
      </c>
      <c r="B1674" s="302" t="str">
        <f t="shared" si="10"/>
        <v>N</v>
      </c>
      <c r="C1674" s="6" t="s">
        <v>4983</v>
      </c>
      <c r="D1674" s="327"/>
      <c r="E1674" s="327" t="s">
        <v>4997</v>
      </c>
      <c r="F1674" s="206" t="s">
        <v>4998</v>
      </c>
      <c r="G1674" s="206" t="s">
        <v>4993</v>
      </c>
      <c r="H1674" s="302"/>
      <c r="K1674" s="302">
        <v>7091734445</v>
      </c>
      <c r="M1674" s="212"/>
      <c r="N1674" s="213"/>
      <c r="O1674" s="209"/>
    </row>
    <row r="1675" spans="1:15" x14ac:dyDescent="0.3">
      <c r="A1675" s="302" t="s">
        <v>155</v>
      </c>
      <c r="B1675" s="302" t="str">
        <f t="shared" si="10"/>
        <v>N</v>
      </c>
      <c r="C1675" s="6" t="s">
        <v>4980</v>
      </c>
      <c r="D1675" s="327"/>
      <c r="E1675" s="327" t="s">
        <v>4981</v>
      </c>
      <c r="F1675" s="206" t="s">
        <v>4534</v>
      </c>
      <c r="G1675" s="206" t="s">
        <v>4993</v>
      </c>
      <c r="H1675" s="302"/>
      <c r="K1675" s="302">
        <v>9031137819</v>
      </c>
      <c r="M1675" s="212"/>
      <c r="N1675" s="213"/>
      <c r="O1675" s="209"/>
    </row>
    <row r="1676" spans="1:15" x14ac:dyDescent="0.3">
      <c r="A1676" s="302" t="s">
        <v>155</v>
      </c>
      <c r="B1676" s="302" t="str">
        <f t="shared" si="10"/>
        <v>N</v>
      </c>
      <c r="C1676" s="6" t="s">
        <v>4985</v>
      </c>
      <c r="D1676" s="327"/>
      <c r="E1676" s="327" t="s">
        <v>4986</v>
      </c>
      <c r="F1676" s="206" t="s">
        <v>4987</v>
      </c>
      <c r="G1676" s="206" t="s">
        <v>4993</v>
      </c>
      <c r="H1676" s="302"/>
      <c r="K1676" s="302">
        <v>7070138646</v>
      </c>
      <c r="M1676" s="212"/>
      <c r="N1676" s="213"/>
      <c r="O1676" s="209"/>
    </row>
    <row r="1677" spans="1:15" x14ac:dyDescent="0.3">
      <c r="A1677" s="302" t="s">
        <v>155</v>
      </c>
      <c r="B1677" s="302" t="str">
        <f t="shared" si="10"/>
        <v>N</v>
      </c>
      <c r="C1677" s="6" t="s">
        <v>4999</v>
      </c>
      <c r="D1677" s="327"/>
      <c r="E1677" s="327" t="s">
        <v>5000</v>
      </c>
      <c r="F1677" s="206" t="s">
        <v>5001</v>
      </c>
      <c r="G1677" s="206" t="s">
        <v>4993</v>
      </c>
      <c r="H1677" s="302"/>
      <c r="K1677" s="302">
        <v>9576147629</v>
      </c>
      <c r="M1677" s="212"/>
      <c r="N1677" s="213"/>
      <c r="O1677" s="209"/>
    </row>
    <row r="1678" spans="1:15" x14ac:dyDescent="0.3">
      <c r="A1678" s="302" t="s">
        <v>155</v>
      </c>
      <c r="B1678" s="302" t="str">
        <f t="shared" si="10"/>
        <v>N</v>
      </c>
      <c r="C1678" s="470" t="s">
        <v>5002</v>
      </c>
      <c r="D1678" s="352"/>
      <c r="E1678" s="352" t="s">
        <v>5003</v>
      </c>
      <c r="F1678" s="275" t="s">
        <v>5004</v>
      </c>
      <c r="G1678" s="275" t="s">
        <v>4993</v>
      </c>
      <c r="H1678" s="276"/>
      <c r="I1678" s="274"/>
      <c r="J1678" s="274"/>
      <c r="K1678" s="276">
        <v>7250799928</v>
      </c>
      <c r="M1678" s="212"/>
      <c r="N1678" s="213"/>
      <c r="O1678" s="209"/>
    </row>
    <row r="1679" spans="1:15" x14ac:dyDescent="0.3">
      <c r="A1679" s="302" t="s">
        <v>155</v>
      </c>
      <c r="B1679" s="302" t="str">
        <f t="shared" si="10"/>
        <v>N</v>
      </c>
      <c r="C1679" s="6" t="s">
        <v>5005</v>
      </c>
      <c r="D1679" s="327"/>
      <c r="E1679" s="327" t="s">
        <v>5006</v>
      </c>
      <c r="F1679" s="206" t="s">
        <v>5007</v>
      </c>
      <c r="G1679" s="206" t="s">
        <v>4993</v>
      </c>
      <c r="H1679" s="302"/>
      <c r="K1679" s="302">
        <v>8002816859</v>
      </c>
      <c r="M1679" s="212"/>
      <c r="N1679" s="213"/>
      <c r="O1679" s="209"/>
    </row>
    <row r="1680" spans="1:15" x14ac:dyDescent="0.3">
      <c r="A1680" s="302" t="s">
        <v>155</v>
      </c>
      <c r="B1680" s="302" t="str">
        <f t="shared" si="10"/>
        <v>N</v>
      </c>
      <c r="C1680" s="6" t="s">
        <v>5008</v>
      </c>
      <c r="D1680" s="327"/>
      <c r="E1680" s="327" t="s">
        <v>5009</v>
      </c>
      <c r="F1680" s="206" t="s">
        <v>5010</v>
      </c>
      <c r="G1680" s="206" t="s">
        <v>5011</v>
      </c>
      <c r="H1680" s="302"/>
      <c r="K1680" s="302">
        <v>6206007660</v>
      </c>
      <c r="M1680" s="212"/>
      <c r="N1680" s="213"/>
      <c r="O1680" s="209"/>
    </row>
    <row r="1681" spans="1:15" x14ac:dyDescent="0.3">
      <c r="A1681" s="302" t="s">
        <v>155</v>
      </c>
      <c r="B1681" s="302" t="str">
        <f t="shared" si="10"/>
        <v>N</v>
      </c>
      <c r="C1681" s="6"/>
      <c r="D1681" s="327"/>
      <c r="E1681" s="327" t="s">
        <v>5012</v>
      </c>
      <c r="F1681" s="206" t="s">
        <v>5013</v>
      </c>
      <c r="G1681" s="206" t="s">
        <v>5014</v>
      </c>
      <c r="H1681" s="302"/>
      <c r="M1681" s="212"/>
      <c r="N1681" s="213"/>
      <c r="O1681" s="209"/>
    </row>
    <row r="1682" spans="1:15" x14ac:dyDescent="0.3">
      <c r="A1682" s="302" t="s">
        <v>155</v>
      </c>
      <c r="B1682" s="302" t="str">
        <f t="shared" si="10"/>
        <v>Y</v>
      </c>
      <c r="C1682" s="6" t="s">
        <v>5015</v>
      </c>
      <c r="D1682" s="327"/>
      <c r="E1682" s="327" t="s">
        <v>5016</v>
      </c>
      <c r="F1682" s="206" t="s">
        <v>5017</v>
      </c>
      <c r="G1682" s="206" t="s">
        <v>5014</v>
      </c>
      <c r="H1682" s="206" t="s">
        <v>5014</v>
      </c>
      <c r="K1682" s="302">
        <v>9060267461</v>
      </c>
      <c r="M1682" s="212"/>
      <c r="N1682" s="213"/>
      <c r="O1682" s="209"/>
    </row>
    <row r="1683" spans="1:15" x14ac:dyDescent="0.3">
      <c r="A1683" s="302" t="s">
        <v>155</v>
      </c>
      <c r="B1683" s="302" t="str">
        <f t="shared" si="10"/>
        <v>Y</v>
      </c>
      <c r="C1683" s="6" t="s">
        <v>5018</v>
      </c>
      <c r="D1683" s="327"/>
      <c r="E1683" s="327" t="s">
        <v>5019</v>
      </c>
      <c r="F1683" s="206" t="s">
        <v>2456</v>
      </c>
      <c r="G1683" s="206" t="s">
        <v>5014</v>
      </c>
      <c r="H1683" s="206" t="s">
        <v>5014</v>
      </c>
      <c r="K1683" s="302">
        <v>9835340719</v>
      </c>
      <c r="M1683" s="212"/>
      <c r="N1683" s="213"/>
      <c r="O1683" s="209"/>
    </row>
    <row r="1684" spans="1:15" x14ac:dyDescent="0.3">
      <c r="A1684" s="302" t="s">
        <v>155</v>
      </c>
      <c r="B1684" s="302" t="str">
        <f t="shared" si="10"/>
        <v>Y</v>
      </c>
      <c r="C1684" s="6" t="s">
        <v>5020</v>
      </c>
      <c r="D1684" s="327"/>
      <c r="E1684" s="327" t="s">
        <v>5012</v>
      </c>
      <c r="F1684" s="206" t="s">
        <v>5021</v>
      </c>
      <c r="G1684" s="206" t="s">
        <v>5014</v>
      </c>
      <c r="H1684" s="206" t="s">
        <v>5014</v>
      </c>
      <c r="K1684" s="302">
        <v>9234501981</v>
      </c>
      <c r="M1684" s="212"/>
      <c r="N1684" s="213"/>
      <c r="O1684" s="209"/>
    </row>
    <row r="1685" spans="1:15" x14ac:dyDescent="0.3">
      <c r="A1685" s="302" t="s">
        <v>155</v>
      </c>
      <c r="B1685" s="302" t="str">
        <f t="shared" si="10"/>
        <v>Y</v>
      </c>
      <c r="C1685" s="6" t="s">
        <v>5022</v>
      </c>
      <c r="D1685" s="327"/>
      <c r="E1685" s="327" t="s">
        <v>5023</v>
      </c>
      <c r="F1685" s="206" t="s">
        <v>5024</v>
      </c>
      <c r="G1685" s="206" t="s">
        <v>5014</v>
      </c>
      <c r="H1685" s="206" t="s">
        <v>5014</v>
      </c>
      <c r="K1685" s="302">
        <v>9304084119</v>
      </c>
      <c r="M1685" s="212"/>
      <c r="N1685" s="213"/>
      <c r="O1685" s="209"/>
    </row>
    <row r="1686" spans="1:15" x14ac:dyDescent="0.3">
      <c r="A1686" s="302" t="s">
        <v>155</v>
      </c>
      <c r="B1686" s="302" t="str">
        <f t="shared" si="10"/>
        <v>Y</v>
      </c>
      <c r="C1686" s="6" t="s">
        <v>5025</v>
      </c>
      <c r="D1686" s="327"/>
      <c r="E1686" s="327" t="s">
        <v>5026</v>
      </c>
      <c r="F1686" s="206" t="s">
        <v>5027</v>
      </c>
      <c r="G1686" s="206" t="s">
        <v>5014</v>
      </c>
      <c r="H1686" s="206" t="s">
        <v>5014</v>
      </c>
      <c r="K1686" s="302">
        <v>9905496614</v>
      </c>
      <c r="M1686" s="212"/>
      <c r="N1686" s="213"/>
      <c r="O1686" s="209"/>
    </row>
    <row r="1687" spans="1:15" x14ac:dyDescent="0.3">
      <c r="A1687" s="302" t="s">
        <v>155</v>
      </c>
      <c r="B1687" s="302" t="str">
        <f t="shared" si="10"/>
        <v>Y</v>
      </c>
      <c r="C1687" s="6" t="s">
        <v>5028</v>
      </c>
      <c r="D1687" s="327"/>
      <c r="E1687" s="327" t="s">
        <v>5029</v>
      </c>
      <c r="F1687" s="206" t="s">
        <v>5030</v>
      </c>
      <c r="G1687" s="206" t="s">
        <v>5014</v>
      </c>
      <c r="H1687" s="206" t="s">
        <v>5014</v>
      </c>
      <c r="K1687" s="302">
        <v>9661705679</v>
      </c>
      <c r="M1687" s="212"/>
      <c r="N1687" s="213"/>
      <c r="O1687" s="209"/>
    </row>
    <row r="1688" spans="1:15" x14ac:dyDescent="0.3">
      <c r="A1688" s="302" t="s">
        <v>155</v>
      </c>
      <c r="B1688" s="302" t="str">
        <f t="shared" si="10"/>
        <v>Y</v>
      </c>
      <c r="C1688" s="6"/>
      <c r="D1688" s="327"/>
      <c r="E1688" s="327" t="s">
        <v>5031</v>
      </c>
      <c r="F1688" s="206" t="s">
        <v>5032</v>
      </c>
      <c r="G1688" s="206" t="s">
        <v>5033</v>
      </c>
      <c r="H1688" s="206" t="s">
        <v>5033</v>
      </c>
      <c r="K1688" s="302">
        <v>8897632377</v>
      </c>
      <c r="M1688" s="212"/>
      <c r="N1688" s="213"/>
      <c r="O1688" s="209"/>
    </row>
    <row r="1689" spans="1:15" x14ac:dyDescent="0.3">
      <c r="A1689" s="302" t="s">
        <v>155</v>
      </c>
      <c r="B1689" s="302" t="str">
        <f t="shared" si="10"/>
        <v>Y</v>
      </c>
      <c r="C1689" s="6" t="s">
        <v>5034</v>
      </c>
      <c r="D1689" s="327"/>
      <c r="E1689" s="327" t="s">
        <v>5035</v>
      </c>
      <c r="F1689" s="206" t="s">
        <v>5036</v>
      </c>
      <c r="G1689" s="206" t="s">
        <v>5033</v>
      </c>
      <c r="H1689" s="206" t="s">
        <v>5033</v>
      </c>
      <c r="K1689" s="302">
        <v>8877176143</v>
      </c>
      <c r="M1689" s="212"/>
      <c r="N1689" s="213"/>
      <c r="O1689" s="209"/>
    </row>
    <row r="1690" spans="1:15" x14ac:dyDescent="0.3">
      <c r="A1690" s="302" t="s">
        <v>155</v>
      </c>
      <c r="B1690" s="302" t="str">
        <f t="shared" si="10"/>
        <v>Y</v>
      </c>
      <c r="C1690" s="6" t="s">
        <v>5037</v>
      </c>
      <c r="D1690" s="327"/>
      <c r="E1690" s="327" t="s">
        <v>5038</v>
      </c>
      <c r="F1690" s="206" t="s">
        <v>5039</v>
      </c>
      <c r="G1690" s="206" t="s">
        <v>5033</v>
      </c>
      <c r="H1690" s="206" t="s">
        <v>5033</v>
      </c>
      <c r="K1690" s="302">
        <v>7654742087</v>
      </c>
      <c r="M1690" s="212"/>
      <c r="N1690" s="213"/>
      <c r="O1690" s="209"/>
    </row>
    <row r="1691" spans="1:15" x14ac:dyDescent="0.3">
      <c r="A1691" s="302" t="s">
        <v>155</v>
      </c>
      <c r="B1691" s="302" t="str">
        <f t="shared" si="10"/>
        <v>Y</v>
      </c>
      <c r="C1691" s="6" t="s">
        <v>5040</v>
      </c>
      <c r="D1691" s="327"/>
      <c r="E1691" s="327" t="s">
        <v>5041</v>
      </c>
      <c r="F1691" s="206" t="s">
        <v>5042</v>
      </c>
      <c r="G1691" s="206" t="s">
        <v>5033</v>
      </c>
      <c r="H1691" s="206" t="s">
        <v>5033</v>
      </c>
      <c r="K1691" s="302">
        <v>9031969879</v>
      </c>
      <c r="M1691" s="212"/>
      <c r="N1691" s="213"/>
      <c r="O1691" s="209"/>
    </row>
    <row r="1692" spans="1:15" x14ac:dyDescent="0.3">
      <c r="A1692" s="302" t="s">
        <v>155</v>
      </c>
      <c r="B1692" s="302" t="str">
        <f t="shared" si="10"/>
        <v>Y</v>
      </c>
      <c r="C1692" s="6" t="s">
        <v>5043</v>
      </c>
      <c r="D1692" s="327"/>
      <c r="E1692" s="327" t="s">
        <v>5044</v>
      </c>
      <c r="F1692" s="206" t="s">
        <v>4041</v>
      </c>
      <c r="G1692" s="206" t="s">
        <v>5033</v>
      </c>
      <c r="H1692" s="206" t="s">
        <v>5033</v>
      </c>
      <c r="K1692" s="302">
        <v>9508293697</v>
      </c>
      <c r="M1692" s="212"/>
      <c r="N1692" s="213"/>
      <c r="O1692" s="209"/>
    </row>
    <row r="1693" spans="1:15" x14ac:dyDescent="0.3">
      <c r="A1693" s="302" t="s">
        <v>155</v>
      </c>
      <c r="B1693" s="302" t="str">
        <f t="shared" si="10"/>
        <v>Y</v>
      </c>
      <c r="C1693" s="6" t="s">
        <v>5045</v>
      </c>
      <c r="D1693" s="327"/>
      <c r="E1693" s="327" t="s">
        <v>5046</v>
      </c>
      <c r="F1693" s="206" t="s">
        <v>5047</v>
      </c>
      <c r="G1693" s="206" t="s">
        <v>5033</v>
      </c>
      <c r="H1693" s="206" t="s">
        <v>5033</v>
      </c>
      <c r="K1693" s="302">
        <v>6209918966</v>
      </c>
      <c r="M1693" s="212"/>
      <c r="N1693" s="213"/>
      <c r="O1693" s="209"/>
    </row>
    <row r="1694" spans="1:15" x14ac:dyDescent="0.3">
      <c r="A1694" s="302" t="s">
        <v>155</v>
      </c>
      <c r="B1694" s="302" t="str">
        <f t="shared" si="10"/>
        <v>Y</v>
      </c>
      <c r="C1694" s="6" t="s">
        <v>5048</v>
      </c>
      <c r="D1694" s="327"/>
      <c r="E1694" s="327" t="s">
        <v>5049</v>
      </c>
      <c r="F1694" s="206" t="s">
        <v>5050</v>
      </c>
      <c r="G1694" s="206" t="s">
        <v>5033</v>
      </c>
      <c r="H1694" s="206" t="s">
        <v>5033</v>
      </c>
      <c r="K1694" s="302">
        <v>8235662596</v>
      </c>
      <c r="M1694" s="212"/>
      <c r="N1694" s="213"/>
      <c r="O1694" s="209"/>
    </row>
    <row r="1695" spans="1:15" x14ac:dyDescent="0.3">
      <c r="A1695" s="302" t="s">
        <v>155</v>
      </c>
      <c r="B1695" s="302" t="str">
        <f t="shared" si="10"/>
        <v>Y</v>
      </c>
      <c r="C1695" s="6" t="s">
        <v>5051</v>
      </c>
      <c r="D1695" s="327"/>
      <c r="E1695" s="327" t="s">
        <v>5052</v>
      </c>
      <c r="F1695" s="206" t="s">
        <v>5053</v>
      </c>
      <c r="G1695" s="206" t="s">
        <v>5033</v>
      </c>
      <c r="H1695" s="206" t="s">
        <v>5033</v>
      </c>
      <c r="K1695" s="302">
        <v>7654742087</v>
      </c>
      <c r="M1695" s="212"/>
      <c r="N1695" s="213"/>
      <c r="O1695" s="209"/>
    </row>
    <row r="1696" spans="1:15" x14ac:dyDescent="0.3">
      <c r="A1696" s="302" t="s">
        <v>155</v>
      </c>
      <c r="B1696" s="302" t="str">
        <f t="shared" si="10"/>
        <v>Y</v>
      </c>
      <c r="C1696" s="6" t="s">
        <v>5054</v>
      </c>
      <c r="D1696" s="327"/>
      <c r="E1696" s="327" t="s">
        <v>5055</v>
      </c>
      <c r="F1696" s="206" t="s">
        <v>5056</v>
      </c>
      <c r="G1696" s="206" t="s">
        <v>5057</v>
      </c>
      <c r="H1696" s="206" t="s">
        <v>5057</v>
      </c>
      <c r="K1696" s="302">
        <v>9204494792</v>
      </c>
      <c r="M1696" s="212"/>
      <c r="N1696" s="213"/>
      <c r="O1696" s="209"/>
    </row>
    <row r="1697" spans="1:15" x14ac:dyDescent="0.3">
      <c r="A1697" s="302" t="s">
        <v>155</v>
      </c>
      <c r="B1697" s="302" t="str">
        <f t="shared" si="10"/>
        <v>Y</v>
      </c>
      <c r="C1697" s="6" t="s">
        <v>5058</v>
      </c>
      <c r="D1697" s="327"/>
      <c r="E1697" s="327" t="s">
        <v>5059</v>
      </c>
      <c r="F1697" s="206" t="s">
        <v>5060</v>
      </c>
      <c r="G1697" s="206" t="s">
        <v>5057</v>
      </c>
      <c r="H1697" s="206" t="s">
        <v>5057</v>
      </c>
      <c r="K1697" s="302">
        <v>9931375284</v>
      </c>
      <c r="M1697" s="212"/>
      <c r="N1697" s="213"/>
      <c r="O1697" s="209"/>
    </row>
    <row r="1698" spans="1:15" x14ac:dyDescent="0.3">
      <c r="A1698" s="302" t="s">
        <v>155</v>
      </c>
      <c r="B1698" s="302" t="str">
        <f t="shared" si="10"/>
        <v>Y</v>
      </c>
      <c r="C1698" s="6" t="s">
        <v>5061</v>
      </c>
      <c r="D1698" s="327"/>
      <c r="E1698" s="327" t="s">
        <v>3050</v>
      </c>
      <c r="F1698" s="206" t="s">
        <v>3917</v>
      </c>
      <c r="G1698" s="206" t="s">
        <v>5057</v>
      </c>
      <c r="H1698" s="206" t="s">
        <v>5057</v>
      </c>
      <c r="K1698" s="302">
        <v>9234661318</v>
      </c>
      <c r="M1698" s="212"/>
      <c r="N1698" s="213"/>
      <c r="O1698" s="209"/>
    </row>
    <row r="1699" spans="1:15" x14ac:dyDescent="0.3">
      <c r="A1699" s="302" t="s">
        <v>155</v>
      </c>
      <c r="B1699" s="302" t="str">
        <f t="shared" si="10"/>
        <v>Y</v>
      </c>
      <c r="C1699" s="6" t="s">
        <v>5062</v>
      </c>
      <c r="D1699" s="327"/>
      <c r="E1699" s="327" t="s">
        <v>4931</v>
      </c>
      <c r="F1699" s="206" t="s">
        <v>4932</v>
      </c>
      <c r="G1699" s="206" t="s">
        <v>5057</v>
      </c>
      <c r="H1699" s="206" t="s">
        <v>5057</v>
      </c>
      <c r="K1699" s="302">
        <v>6299522927</v>
      </c>
      <c r="M1699" s="212"/>
      <c r="N1699" s="213"/>
      <c r="O1699" s="209"/>
    </row>
    <row r="1700" spans="1:15" x14ac:dyDescent="0.3">
      <c r="A1700" s="302" t="s">
        <v>155</v>
      </c>
      <c r="B1700" s="302" t="str">
        <f t="shared" si="10"/>
        <v>Y</v>
      </c>
      <c r="C1700" s="6" t="s">
        <v>5063</v>
      </c>
      <c r="D1700" s="327"/>
      <c r="E1700" s="327" t="s">
        <v>5064</v>
      </c>
      <c r="F1700" s="206" t="s">
        <v>5065</v>
      </c>
      <c r="G1700" s="206" t="s">
        <v>5057</v>
      </c>
      <c r="H1700" s="206" t="s">
        <v>5057</v>
      </c>
      <c r="K1700" s="302">
        <v>8092334285</v>
      </c>
      <c r="M1700" s="212"/>
      <c r="N1700" s="213"/>
      <c r="O1700" s="209"/>
    </row>
    <row r="1701" spans="1:15" x14ac:dyDescent="0.3">
      <c r="A1701" s="302" t="s">
        <v>155</v>
      </c>
      <c r="B1701" s="302" t="str">
        <f t="shared" si="10"/>
        <v>Y</v>
      </c>
      <c r="C1701" s="6" t="s">
        <v>5066</v>
      </c>
      <c r="D1701" s="327"/>
      <c r="E1701" s="327" t="s">
        <v>5067</v>
      </c>
      <c r="F1701" s="206" t="s">
        <v>5068</v>
      </c>
      <c r="G1701" s="206" t="s">
        <v>5057</v>
      </c>
      <c r="H1701" s="206" t="s">
        <v>5057</v>
      </c>
      <c r="K1701" s="302">
        <v>9955495638</v>
      </c>
      <c r="M1701" s="212"/>
      <c r="N1701" s="213"/>
      <c r="O1701" s="209"/>
    </row>
    <row r="1702" spans="1:15" x14ac:dyDescent="0.3">
      <c r="A1702" s="302" t="s">
        <v>155</v>
      </c>
      <c r="B1702" s="302" t="str">
        <f t="shared" si="10"/>
        <v>Y</v>
      </c>
      <c r="C1702" s="6" t="s">
        <v>5069</v>
      </c>
      <c r="D1702" s="327"/>
      <c r="E1702" s="327" t="s">
        <v>5070</v>
      </c>
      <c r="F1702" s="206" t="s">
        <v>5071</v>
      </c>
      <c r="G1702" s="206" t="s">
        <v>5057</v>
      </c>
      <c r="H1702" s="206" t="s">
        <v>5057</v>
      </c>
      <c r="K1702" s="302">
        <v>9031739904</v>
      </c>
      <c r="M1702" s="212"/>
      <c r="N1702" s="213"/>
      <c r="O1702" s="209"/>
    </row>
    <row r="1703" spans="1:15" x14ac:dyDescent="0.3">
      <c r="A1703" s="302" t="s">
        <v>155</v>
      </c>
      <c r="B1703" s="302" t="str">
        <f t="shared" si="10"/>
        <v>Y</v>
      </c>
      <c r="C1703" s="6" t="s">
        <v>5072</v>
      </c>
      <c r="D1703" s="327"/>
      <c r="E1703" s="327" t="s">
        <v>5073</v>
      </c>
      <c r="F1703" s="206" t="s">
        <v>5074</v>
      </c>
      <c r="G1703" s="206" t="s">
        <v>5075</v>
      </c>
      <c r="H1703" s="206" t="s">
        <v>5075</v>
      </c>
      <c r="K1703" s="302">
        <v>9693707408</v>
      </c>
      <c r="M1703" s="212"/>
      <c r="N1703" s="213"/>
      <c r="O1703" s="209"/>
    </row>
    <row r="1704" spans="1:15" x14ac:dyDescent="0.3">
      <c r="A1704" s="302" t="s">
        <v>155</v>
      </c>
      <c r="B1704" s="302" t="str">
        <f t="shared" si="10"/>
        <v>Y</v>
      </c>
      <c r="C1704" s="6" t="s">
        <v>5076</v>
      </c>
      <c r="D1704" s="327"/>
      <c r="E1704" s="327" t="s">
        <v>5077</v>
      </c>
      <c r="F1704" s="206" t="s">
        <v>5078</v>
      </c>
      <c r="G1704" s="206" t="s">
        <v>5075</v>
      </c>
      <c r="H1704" s="206" t="s">
        <v>5075</v>
      </c>
      <c r="K1704" s="302">
        <v>7070995547</v>
      </c>
      <c r="M1704" s="212"/>
      <c r="N1704" s="213"/>
      <c r="O1704" s="209"/>
    </row>
    <row r="1705" spans="1:15" x14ac:dyDescent="0.3">
      <c r="A1705" s="302" t="s">
        <v>155</v>
      </c>
      <c r="B1705" s="302" t="str">
        <f t="shared" si="10"/>
        <v>Y</v>
      </c>
      <c r="C1705" s="6" t="s">
        <v>5079</v>
      </c>
      <c r="D1705" s="327"/>
      <c r="E1705" s="327" t="s">
        <v>5080</v>
      </c>
      <c r="F1705" s="206" t="s">
        <v>5081</v>
      </c>
      <c r="G1705" s="206" t="s">
        <v>5075</v>
      </c>
      <c r="H1705" s="206" t="s">
        <v>5075</v>
      </c>
      <c r="K1705" s="302">
        <v>9955133517</v>
      </c>
      <c r="M1705" s="212"/>
      <c r="N1705" s="213"/>
      <c r="O1705" s="209"/>
    </row>
    <row r="1706" spans="1:15" x14ac:dyDescent="0.3">
      <c r="A1706" s="302" t="s">
        <v>155</v>
      </c>
      <c r="B1706" s="302" t="str">
        <f t="shared" si="10"/>
        <v>Y</v>
      </c>
      <c r="C1706" s="6" t="s">
        <v>5082</v>
      </c>
      <c r="D1706" s="327"/>
      <c r="E1706" s="327" t="s">
        <v>5083</v>
      </c>
      <c r="F1706" s="206" t="s">
        <v>5084</v>
      </c>
      <c r="G1706" s="206" t="s">
        <v>5075</v>
      </c>
      <c r="H1706" s="206" t="s">
        <v>5075</v>
      </c>
      <c r="K1706" s="302">
        <v>9693262640</v>
      </c>
      <c r="M1706" s="212"/>
      <c r="N1706" s="213"/>
      <c r="O1706" s="209"/>
    </row>
    <row r="1707" spans="1:15" x14ac:dyDescent="0.3">
      <c r="A1707" s="302" t="s">
        <v>155</v>
      </c>
      <c r="B1707" s="302" t="str">
        <f t="shared" si="10"/>
        <v>Y</v>
      </c>
      <c r="C1707" s="6" t="s">
        <v>5085</v>
      </c>
      <c r="D1707" s="327"/>
      <c r="E1707" s="327" t="s">
        <v>5086</v>
      </c>
      <c r="F1707" s="206" t="s">
        <v>5087</v>
      </c>
      <c r="G1707" s="206" t="s">
        <v>5075</v>
      </c>
      <c r="H1707" s="206" t="s">
        <v>5075</v>
      </c>
      <c r="K1707" s="302">
        <v>7857824801</v>
      </c>
      <c r="M1707" s="212"/>
      <c r="N1707" s="213"/>
      <c r="O1707" s="209"/>
    </row>
    <row r="1708" spans="1:15" x14ac:dyDescent="0.3">
      <c r="A1708" s="302" t="s">
        <v>155</v>
      </c>
      <c r="B1708" s="302" t="str">
        <f t="shared" si="10"/>
        <v>Y</v>
      </c>
      <c r="C1708" s="6" t="s">
        <v>5088</v>
      </c>
      <c r="D1708" s="327"/>
      <c r="E1708" s="327" t="s">
        <v>489</v>
      </c>
      <c r="F1708" s="206" t="s">
        <v>2070</v>
      </c>
      <c r="G1708" s="206" t="s">
        <v>5075</v>
      </c>
      <c r="H1708" s="206" t="s">
        <v>5075</v>
      </c>
      <c r="K1708" s="302">
        <v>9234860472</v>
      </c>
      <c r="M1708" s="212"/>
      <c r="N1708" s="213"/>
      <c r="O1708" s="209"/>
    </row>
    <row r="1709" spans="1:15" x14ac:dyDescent="0.3">
      <c r="A1709" s="302" t="s">
        <v>155</v>
      </c>
      <c r="B1709" s="302" t="str">
        <f t="shared" si="10"/>
        <v>Y</v>
      </c>
      <c r="C1709" s="6" t="s">
        <v>5089</v>
      </c>
      <c r="D1709" s="327"/>
      <c r="E1709" s="327" t="s">
        <v>5090</v>
      </c>
      <c r="F1709" s="206" t="s">
        <v>5091</v>
      </c>
      <c r="G1709" s="206" t="s">
        <v>5075</v>
      </c>
      <c r="H1709" s="206" t="s">
        <v>5075</v>
      </c>
      <c r="K1709" s="302">
        <v>7070614071</v>
      </c>
      <c r="M1709" s="212"/>
      <c r="N1709" s="213"/>
      <c r="O1709" s="209"/>
    </row>
    <row r="1710" spans="1:15" x14ac:dyDescent="0.3">
      <c r="A1710" s="302" t="s">
        <v>155</v>
      </c>
      <c r="B1710" s="302" t="str">
        <f t="shared" si="10"/>
        <v>Y</v>
      </c>
      <c r="C1710" s="6" t="s">
        <v>5092</v>
      </c>
      <c r="D1710" s="327"/>
      <c r="E1710" s="327" t="s">
        <v>5093</v>
      </c>
      <c r="F1710" s="206" t="s">
        <v>5094</v>
      </c>
      <c r="G1710" s="206" t="s">
        <v>5075</v>
      </c>
      <c r="H1710" s="206" t="s">
        <v>5075</v>
      </c>
      <c r="K1710" s="302">
        <v>7209996668</v>
      </c>
      <c r="M1710" s="212"/>
      <c r="N1710" s="213"/>
      <c r="O1710" s="209"/>
    </row>
    <row r="1711" spans="1:15" x14ac:dyDescent="0.3">
      <c r="A1711" s="302" t="s">
        <v>155</v>
      </c>
      <c r="B1711" s="302" t="str">
        <f t="shared" si="10"/>
        <v>Y</v>
      </c>
      <c r="C1711" s="6" t="s">
        <v>5095</v>
      </c>
      <c r="D1711" s="327"/>
      <c r="E1711" s="327" t="s">
        <v>5052</v>
      </c>
      <c r="F1711" s="206" t="s">
        <v>5096</v>
      </c>
      <c r="G1711" s="206" t="s">
        <v>5097</v>
      </c>
      <c r="H1711" s="207">
        <v>44452</v>
      </c>
      <c r="K1711" s="302">
        <v>8825287507</v>
      </c>
      <c r="M1711" s="212"/>
      <c r="N1711" s="213"/>
      <c r="O1711" s="209"/>
    </row>
    <row r="1712" spans="1:15" x14ac:dyDescent="0.3">
      <c r="A1712" s="302" t="s">
        <v>155</v>
      </c>
      <c r="B1712" s="302" t="str">
        <f t="shared" si="10"/>
        <v>Y</v>
      </c>
      <c r="C1712" s="6" t="s">
        <v>5098</v>
      </c>
      <c r="D1712" s="327"/>
      <c r="E1712" s="327" t="s">
        <v>5099</v>
      </c>
      <c r="F1712" s="206" t="s">
        <v>1533</v>
      </c>
      <c r="G1712" s="206" t="s">
        <v>5097</v>
      </c>
      <c r="H1712" s="207">
        <v>44452</v>
      </c>
      <c r="K1712" s="302">
        <v>8340656020</v>
      </c>
      <c r="M1712" s="212"/>
      <c r="N1712" s="213"/>
      <c r="O1712" s="209"/>
    </row>
    <row r="1713" spans="1:15" x14ac:dyDescent="0.3">
      <c r="A1713" s="302" t="s">
        <v>155</v>
      </c>
      <c r="B1713" s="302" t="str">
        <f t="shared" si="10"/>
        <v>Y</v>
      </c>
      <c r="C1713" s="6" t="s">
        <v>5100</v>
      </c>
      <c r="D1713" s="327"/>
      <c r="E1713" s="327" t="s">
        <v>5101</v>
      </c>
      <c r="F1713" s="206" t="s">
        <v>5102</v>
      </c>
      <c r="G1713" s="206" t="s">
        <v>5097</v>
      </c>
      <c r="H1713" s="207">
        <v>44452</v>
      </c>
      <c r="K1713" s="302">
        <v>7667052027</v>
      </c>
      <c r="M1713" s="212"/>
      <c r="N1713" s="213"/>
      <c r="O1713" s="209"/>
    </row>
    <row r="1714" spans="1:15" x14ac:dyDescent="0.3">
      <c r="A1714" s="302" t="s">
        <v>155</v>
      </c>
      <c r="B1714" s="302" t="str">
        <f t="shared" si="10"/>
        <v>Y</v>
      </c>
      <c r="C1714" s="6" t="s">
        <v>5103</v>
      </c>
      <c r="D1714" s="327"/>
      <c r="E1714" s="327" t="s">
        <v>5104</v>
      </c>
      <c r="F1714" s="206" t="s">
        <v>5105</v>
      </c>
      <c r="G1714" s="206" t="s">
        <v>5106</v>
      </c>
      <c r="H1714" s="206" t="s">
        <v>5106</v>
      </c>
      <c r="K1714" s="302">
        <v>8092881615</v>
      </c>
      <c r="M1714" s="212"/>
      <c r="N1714" s="213"/>
      <c r="O1714" s="209"/>
    </row>
    <row r="1715" spans="1:15" x14ac:dyDescent="0.3">
      <c r="A1715" s="302" t="s">
        <v>155</v>
      </c>
      <c r="B1715" s="302" t="str">
        <f t="shared" si="10"/>
        <v>Y</v>
      </c>
      <c r="C1715" s="6" t="s">
        <v>5107</v>
      </c>
      <c r="D1715" s="327"/>
      <c r="E1715" s="327" t="s">
        <v>1133</v>
      </c>
      <c r="F1715" s="206" t="s">
        <v>5108</v>
      </c>
      <c r="G1715" s="206" t="s">
        <v>5106</v>
      </c>
      <c r="H1715" s="206" t="s">
        <v>5106</v>
      </c>
      <c r="K1715" s="302">
        <v>8210630511</v>
      </c>
      <c r="M1715" s="212"/>
      <c r="N1715" s="213"/>
      <c r="O1715" s="209"/>
    </row>
    <row r="1716" spans="1:15" x14ac:dyDescent="0.3">
      <c r="A1716" s="302" t="s">
        <v>155</v>
      </c>
      <c r="B1716" s="302" t="str">
        <f t="shared" si="10"/>
        <v>Y</v>
      </c>
      <c r="C1716" s="6" t="s">
        <v>5109</v>
      </c>
      <c r="D1716" s="327"/>
      <c r="E1716" s="327" t="s">
        <v>5110</v>
      </c>
      <c r="F1716" s="206" t="s">
        <v>5111</v>
      </c>
      <c r="G1716" s="206" t="s">
        <v>5112</v>
      </c>
      <c r="H1716" s="206" t="s">
        <v>5112</v>
      </c>
      <c r="J1716" s="206" t="s">
        <v>3735</v>
      </c>
      <c r="K1716" s="302">
        <v>9031389686</v>
      </c>
      <c r="M1716" s="212"/>
      <c r="N1716" s="213"/>
      <c r="O1716" s="209"/>
    </row>
    <row r="1717" spans="1:15" x14ac:dyDescent="0.3">
      <c r="A1717" s="302" t="s">
        <v>155</v>
      </c>
      <c r="B1717" s="302" t="str">
        <f t="shared" si="10"/>
        <v>Y</v>
      </c>
      <c r="C1717" s="6" t="s">
        <v>5113</v>
      </c>
      <c r="D1717" s="327"/>
      <c r="E1717" s="327" t="s">
        <v>5114</v>
      </c>
      <c r="F1717" s="206" t="s">
        <v>5115</v>
      </c>
      <c r="G1717" s="206" t="s">
        <v>5112</v>
      </c>
      <c r="H1717" s="206" t="s">
        <v>5112</v>
      </c>
      <c r="J1717" s="206" t="s">
        <v>3735</v>
      </c>
      <c r="K1717" s="302">
        <v>799228754</v>
      </c>
      <c r="M1717" s="212"/>
      <c r="N1717" s="213"/>
      <c r="O1717" s="209"/>
    </row>
    <row r="1718" spans="1:15" x14ac:dyDescent="0.3">
      <c r="A1718" s="302" t="s">
        <v>155</v>
      </c>
      <c r="B1718" s="302" t="str">
        <f t="shared" si="10"/>
        <v>Y</v>
      </c>
      <c r="C1718" s="6" t="s">
        <v>5113</v>
      </c>
      <c r="D1718" s="327"/>
      <c r="E1718" s="327" t="s">
        <v>5114</v>
      </c>
      <c r="F1718" s="206" t="s">
        <v>5115</v>
      </c>
      <c r="G1718" s="206" t="s">
        <v>5116</v>
      </c>
      <c r="H1718" s="206" t="s">
        <v>5116</v>
      </c>
      <c r="K1718" s="302">
        <v>7992287054</v>
      </c>
      <c r="M1718" s="212"/>
      <c r="N1718" s="213"/>
      <c r="O1718" s="209"/>
    </row>
    <row r="1719" spans="1:15" x14ac:dyDescent="0.3">
      <c r="A1719" s="302" t="s">
        <v>155</v>
      </c>
      <c r="B1719" s="302" t="str">
        <f t="shared" si="10"/>
        <v>Y</v>
      </c>
      <c r="C1719" s="6" t="s">
        <v>5117</v>
      </c>
      <c r="D1719" s="327"/>
      <c r="E1719" s="327" t="s">
        <v>5118</v>
      </c>
      <c r="F1719" s="206" t="s">
        <v>5119</v>
      </c>
      <c r="G1719" s="206" t="s">
        <v>5116</v>
      </c>
      <c r="H1719" s="206" t="s">
        <v>5116</v>
      </c>
      <c r="K1719" s="302">
        <v>9341947692</v>
      </c>
      <c r="M1719" s="212"/>
      <c r="N1719" s="213"/>
      <c r="O1719" s="209"/>
    </row>
    <row r="1720" spans="1:15" x14ac:dyDescent="0.3">
      <c r="A1720" s="302" t="s">
        <v>155</v>
      </c>
      <c r="B1720" s="302" t="str">
        <f t="shared" si="10"/>
        <v>Y</v>
      </c>
      <c r="C1720" s="6" t="s">
        <v>5120</v>
      </c>
      <c r="D1720" s="327"/>
      <c r="E1720" s="327" t="s">
        <v>5121</v>
      </c>
      <c r="F1720" s="206" t="s">
        <v>5122</v>
      </c>
      <c r="G1720" s="206" t="s">
        <v>5116</v>
      </c>
      <c r="H1720" s="206" t="s">
        <v>5116</v>
      </c>
      <c r="K1720" s="302">
        <v>7070944430</v>
      </c>
      <c r="M1720" s="212"/>
      <c r="N1720" s="213"/>
      <c r="O1720" s="209"/>
    </row>
    <row r="1721" spans="1:15" x14ac:dyDescent="0.3">
      <c r="A1721" s="302" t="s">
        <v>155</v>
      </c>
      <c r="B1721" s="302" t="str">
        <f t="shared" si="10"/>
        <v>Y</v>
      </c>
      <c r="C1721" s="6" t="s">
        <v>5123</v>
      </c>
      <c r="D1721" s="327"/>
      <c r="E1721" s="327" t="s">
        <v>5124</v>
      </c>
      <c r="F1721" s="206" t="s">
        <v>2031</v>
      </c>
      <c r="G1721" s="206" t="s">
        <v>5116</v>
      </c>
      <c r="H1721" s="206" t="s">
        <v>5116</v>
      </c>
      <c r="K1721" s="302">
        <v>6204096548</v>
      </c>
      <c r="M1721" s="212"/>
      <c r="N1721" s="213"/>
      <c r="O1721" s="209"/>
    </row>
    <row r="1722" spans="1:15" x14ac:dyDescent="0.3">
      <c r="A1722" s="302" t="s">
        <v>155</v>
      </c>
      <c r="B1722" s="302" t="str">
        <f t="shared" si="10"/>
        <v>Y</v>
      </c>
      <c r="C1722" s="6" t="s">
        <v>5125</v>
      </c>
      <c r="D1722" s="327"/>
      <c r="E1722" s="327" t="s">
        <v>5126</v>
      </c>
      <c r="F1722" s="206" t="s">
        <v>5127</v>
      </c>
      <c r="G1722" s="206" t="s">
        <v>5116</v>
      </c>
      <c r="H1722" s="206" t="s">
        <v>5116</v>
      </c>
      <c r="K1722" s="302">
        <v>8825195700</v>
      </c>
      <c r="M1722" s="212"/>
      <c r="N1722" s="213"/>
      <c r="O1722" s="209"/>
    </row>
    <row r="1723" spans="1:15" x14ac:dyDescent="0.3">
      <c r="A1723" s="302" t="s">
        <v>155</v>
      </c>
      <c r="B1723" s="302" t="str">
        <f t="shared" si="10"/>
        <v>Y</v>
      </c>
      <c r="C1723" s="6" t="s">
        <v>5128</v>
      </c>
      <c r="D1723" s="327"/>
      <c r="E1723" s="327" t="s">
        <v>5129</v>
      </c>
      <c r="F1723" s="206" t="s">
        <v>4233</v>
      </c>
      <c r="G1723" s="206" t="s">
        <v>5116</v>
      </c>
      <c r="H1723" s="206" t="s">
        <v>5116</v>
      </c>
      <c r="K1723" s="302">
        <v>9572686173</v>
      </c>
      <c r="M1723" s="212"/>
      <c r="N1723" s="213"/>
      <c r="O1723" s="209"/>
    </row>
    <row r="1724" spans="1:15" x14ac:dyDescent="0.3">
      <c r="A1724" s="302" t="s">
        <v>155</v>
      </c>
      <c r="B1724" s="302" t="str">
        <f t="shared" si="10"/>
        <v>Y</v>
      </c>
      <c r="C1724" s="6" t="s">
        <v>5130</v>
      </c>
      <c r="D1724" s="327"/>
      <c r="E1724" s="327" t="s">
        <v>4671</v>
      </c>
      <c r="F1724" s="206" t="s">
        <v>5131</v>
      </c>
      <c r="G1724" s="206" t="s">
        <v>5116</v>
      </c>
      <c r="H1724" s="206" t="s">
        <v>5116</v>
      </c>
      <c r="K1724" s="302">
        <v>6361113127</v>
      </c>
      <c r="M1724" s="212"/>
      <c r="N1724" s="213"/>
      <c r="O1724" s="209"/>
    </row>
    <row r="1725" spans="1:15" x14ac:dyDescent="0.3">
      <c r="A1725" s="302" t="s">
        <v>155</v>
      </c>
      <c r="B1725" s="302" t="str">
        <f t="shared" si="10"/>
        <v>Y</v>
      </c>
      <c r="C1725" s="6" t="s">
        <v>5132</v>
      </c>
      <c r="D1725" s="327"/>
      <c r="E1725" s="327" t="s">
        <v>5133</v>
      </c>
      <c r="F1725" s="206" t="s">
        <v>5134</v>
      </c>
      <c r="G1725" s="206" t="s">
        <v>5116</v>
      </c>
      <c r="H1725" s="206" t="s">
        <v>5116</v>
      </c>
      <c r="J1725" s="206" t="s">
        <v>5135</v>
      </c>
      <c r="K1725" s="302">
        <v>7979864912</v>
      </c>
      <c r="M1725" s="212"/>
      <c r="N1725" s="213"/>
      <c r="O1725" s="209"/>
    </row>
    <row r="1726" spans="1:15" x14ac:dyDescent="0.3">
      <c r="A1726" s="302" t="s">
        <v>155</v>
      </c>
      <c r="B1726" s="302" t="str">
        <f t="shared" si="10"/>
        <v>Y</v>
      </c>
      <c r="C1726" s="6" t="s">
        <v>5136</v>
      </c>
      <c r="D1726" s="327"/>
      <c r="E1726" s="327" t="s">
        <v>2572</v>
      </c>
      <c r="F1726" s="206" t="s">
        <v>5137</v>
      </c>
      <c r="G1726" s="206" t="s">
        <v>5116</v>
      </c>
      <c r="H1726" s="206" t="s">
        <v>5116</v>
      </c>
      <c r="J1726" s="206" t="s">
        <v>5138</v>
      </c>
      <c r="K1726" s="302">
        <v>6202342522</v>
      </c>
      <c r="M1726" s="212"/>
      <c r="N1726" s="213"/>
      <c r="O1726" s="209"/>
    </row>
    <row r="1727" spans="1:15" x14ac:dyDescent="0.3">
      <c r="A1727" s="302" t="s">
        <v>155</v>
      </c>
      <c r="B1727" s="302" t="str">
        <f t="shared" si="10"/>
        <v>Y</v>
      </c>
      <c r="C1727" s="6" t="s">
        <v>5139</v>
      </c>
      <c r="D1727" s="327"/>
      <c r="E1727" s="327" t="s">
        <v>5140</v>
      </c>
      <c r="F1727" s="206" t="s">
        <v>5141</v>
      </c>
      <c r="G1727" s="206" t="s">
        <v>5116</v>
      </c>
      <c r="H1727" s="206" t="s">
        <v>5116</v>
      </c>
      <c r="K1727" s="302">
        <v>6207140331</v>
      </c>
      <c r="M1727" s="212"/>
      <c r="N1727" s="213"/>
      <c r="O1727" s="209"/>
    </row>
    <row r="1728" spans="1:15" x14ac:dyDescent="0.3">
      <c r="A1728" s="302" t="s">
        <v>155</v>
      </c>
      <c r="B1728" s="302" t="str">
        <f t="shared" si="10"/>
        <v>Y</v>
      </c>
      <c r="C1728" s="6" t="s">
        <v>5142</v>
      </c>
      <c r="D1728" s="327"/>
      <c r="E1728" s="327" t="s">
        <v>5143</v>
      </c>
      <c r="F1728" s="206" t="s">
        <v>5144</v>
      </c>
      <c r="G1728" s="206" t="s">
        <v>5116</v>
      </c>
      <c r="H1728" s="206" t="s">
        <v>5116</v>
      </c>
      <c r="K1728" s="302">
        <v>9117809614</v>
      </c>
      <c r="M1728" s="212"/>
      <c r="N1728" s="213"/>
      <c r="O1728" s="209"/>
    </row>
    <row r="1729" spans="1:15" x14ac:dyDescent="0.3">
      <c r="A1729" s="302" t="s">
        <v>155</v>
      </c>
      <c r="B1729" s="302" t="str">
        <f t="shared" si="10"/>
        <v>Y</v>
      </c>
      <c r="C1729" s="6" t="s">
        <v>5145</v>
      </c>
      <c r="D1729" s="327"/>
      <c r="E1729" s="327" t="s">
        <v>5146</v>
      </c>
      <c r="F1729" s="206" t="s">
        <v>5147</v>
      </c>
      <c r="G1729" s="206" t="s">
        <v>5116</v>
      </c>
      <c r="H1729" s="206" t="s">
        <v>5116</v>
      </c>
      <c r="K1729" s="302">
        <v>9771219893</v>
      </c>
      <c r="M1729" s="212"/>
      <c r="N1729" s="213"/>
      <c r="O1729" s="209"/>
    </row>
    <row r="1730" spans="1:15" x14ac:dyDescent="0.3">
      <c r="A1730" s="302" t="s">
        <v>155</v>
      </c>
      <c r="B1730" s="302" t="str">
        <f t="shared" si="10"/>
        <v>Y</v>
      </c>
      <c r="C1730" s="6" t="s">
        <v>5148</v>
      </c>
      <c r="D1730" s="327"/>
      <c r="E1730" s="327" t="s">
        <v>5149</v>
      </c>
      <c r="F1730" s="206" t="s">
        <v>5150</v>
      </c>
      <c r="G1730" s="206" t="s">
        <v>5151</v>
      </c>
      <c r="H1730" s="206" t="s">
        <v>5151</v>
      </c>
      <c r="K1730" s="302">
        <v>9162891972</v>
      </c>
      <c r="M1730" s="212"/>
      <c r="N1730" s="213"/>
      <c r="O1730" s="209"/>
    </row>
    <row r="1731" spans="1:15" x14ac:dyDescent="0.3">
      <c r="A1731" s="302" t="s">
        <v>155</v>
      </c>
      <c r="B1731" s="302" t="str">
        <f t="shared" si="10"/>
        <v>Y</v>
      </c>
      <c r="C1731" s="6" t="s">
        <v>5152</v>
      </c>
      <c r="D1731" s="327"/>
      <c r="E1731" s="327" t="s">
        <v>5153</v>
      </c>
      <c r="F1731" s="206" t="s">
        <v>5154</v>
      </c>
      <c r="G1731" s="206" t="s">
        <v>5151</v>
      </c>
      <c r="H1731" s="206" t="s">
        <v>5151</v>
      </c>
      <c r="K1731" s="302">
        <v>8409949983</v>
      </c>
      <c r="M1731" s="212"/>
      <c r="N1731" s="213"/>
      <c r="O1731" s="209"/>
    </row>
    <row r="1732" spans="1:15" x14ac:dyDescent="0.3">
      <c r="A1732" s="302" t="s">
        <v>155</v>
      </c>
      <c r="B1732" s="302" t="str">
        <f t="shared" si="10"/>
        <v>Y</v>
      </c>
      <c r="C1732" s="6" t="s">
        <v>5155</v>
      </c>
      <c r="D1732" s="327"/>
      <c r="E1732" s="327" t="s">
        <v>5156</v>
      </c>
      <c r="F1732" s="206" t="s">
        <v>5157</v>
      </c>
      <c r="G1732" s="206" t="s">
        <v>5158</v>
      </c>
      <c r="H1732" s="206" t="s">
        <v>5158</v>
      </c>
      <c r="K1732" s="302">
        <v>6205763019</v>
      </c>
      <c r="M1732" s="212"/>
      <c r="N1732" s="213"/>
      <c r="O1732" s="209"/>
    </row>
    <row r="1733" spans="1:15" x14ac:dyDescent="0.3">
      <c r="A1733" s="302" t="s">
        <v>155</v>
      </c>
      <c r="B1733" s="302" t="str">
        <f t="shared" si="10"/>
        <v>Y</v>
      </c>
      <c r="C1733" s="6" t="s">
        <v>5159</v>
      </c>
      <c r="D1733" s="327"/>
      <c r="E1733" s="327" t="s">
        <v>5160</v>
      </c>
      <c r="F1733" s="206" t="s">
        <v>5161</v>
      </c>
      <c r="G1733" s="206" t="s">
        <v>5158</v>
      </c>
      <c r="H1733" s="206" t="s">
        <v>5158</v>
      </c>
      <c r="K1733" s="302">
        <v>9142977266</v>
      </c>
      <c r="M1733" s="212"/>
      <c r="N1733" s="213"/>
      <c r="O1733" s="209"/>
    </row>
    <row r="1734" spans="1:15" x14ac:dyDescent="0.3">
      <c r="A1734" s="302" t="s">
        <v>155</v>
      </c>
      <c r="B1734" s="302" t="str">
        <f t="shared" si="10"/>
        <v>Y</v>
      </c>
      <c r="C1734" s="6" t="s">
        <v>5162</v>
      </c>
      <c r="D1734" s="327"/>
      <c r="E1734" s="327" t="s">
        <v>5163</v>
      </c>
      <c r="F1734" s="206" t="s">
        <v>5164</v>
      </c>
      <c r="G1734" s="206" t="s">
        <v>5158</v>
      </c>
      <c r="H1734" s="206" t="s">
        <v>5158</v>
      </c>
      <c r="K1734" s="302">
        <v>7870460215</v>
      </c>
      <c r="M1734" s="212"/>
      <c r="N1734" s="213"/>
      <c r="O1734" s="209"/>
    </row>
    <row r="1735" spans="1:15" x14ac:dyDescent="0.3">
      <c r="A1735" s="302" t="s">
        <v>155</v>
      </c>
      <c r="B1735" s="302" t="str">
        <f t="shared" si="10"/>
        <v>Y</v>
      </c>
      <c r="C1735" s="6" t="s">
        <v>5165</v>
      </c>
      <c r="D1735" s="327"/>
      <c r="E1735" s="327" t="s">
        <v>5166</v>
      </c>
      <c r="F1735" s="206" t="s">
        <v>5167</v>
      </c>
      <c r="G1735" s="206" t="s">
        <v>5168</v>
      </c>
      <c r="H1735" s="206" t="s">
        <v>5168</v>
      </c>
      <c r="K1735" s="302">
        <v>6203562187</v>
      </c>
      <c r="M1735" s="212"/>
      <c r="N1735" s="213"/>
      <c r="O1735" s="209"/>
    </row>
    <row r="1736" spans="1:15" x14ac:dyDescent="0.3">
      <c r="A1736" s="302" t="s">
        <v>155</v>
      </c>
      <c r="B1736" s="302" t="str">
        <f t="shared" si="10"/>
        <v>Y</v>
      </c>
      <c r="C1736" s="6" t="s">
        <v>5169</v>
      </c>
      <c r="D1736" s="327"/>
      <c r="E1736" s="327" t="s">
        <v>5170</v>
      </c>
      <c r="F1736" s="206" t="s">
        <v>5171</v>
      </c>
      <c r="G1736" s="206" t="s">
        <v>5168</v>
      </c>
      <c r="H1736" s="206" t="s">
        <v>5168</v>
      </c>
      <c r="K1736" s="302">
        <v>9122942220</v>
      </c>
      <c r="M1736" s="212"/>
      <c r="N1736" s="213"/>
      <c r="O1736" s="209"/>
    </row>
    <row r="1737" spans="1:15" x14ac:dyDescent="0.3">
      <c r="A1737" s="302" t="s">
        <v>155</v>
      </c>
      <c r="B1737" s="302" t="str">
        <f t="shared" si="10"/>
        <v>N</v>
      </c>
      <c r="C1737" s="6" t="s">
        <v>5172</v>
      </c>
      <c r="D1737" s="327"/>
      <c r="E1737" s="333" t="s">
        <v>5173</v>
      </c>
      <c r="F1737" s="206" t="s">
        <v>5174</v>
      </c>
      <c r="G1737" s="206" t="s">
        <v>5175</v>
      </c>
      <c r="H1737" s="302"/>
      <c r="K1737" s="302">
        <v>8539040194</v>
      </c>
      <c r="M1737" s="212"/>
      <c r="N1737" s="213"/>
      <c r="O1737" s="209"/>
    </row>
    <row r="1738" spans="1:15" x14ac:dyDescent="0.3">
      <c r="A1738" s="302" t="s">
        <v>155</v>
      </c>
      <c r="B1738" s="302" t="str">
        <f t="shared" si="10"/>
        <v>Y</v>
      </c>
      <c r="C1738" s="6" t="s">
        <v>5176</v>
      </c>
      <c r="D1738" s="327"/>
      <c r="E1738" s="327" t="s">
        <v>5177</v>
      </c>
      <c r="F1738" s="206" t="s">
        <v>3386</v>
      </c>
      <c r="G1738" s="206" t="s">
        <v>5178</v>
      </c>
      <c r="H1738" s="206" t="s">
        <v>5178</v>
      </c>
      <c r="K1738" s="302">
        <v>8340656020</v>
      </c>
      <c r="M1738" s="212"/>
      <c r="N1738" s="213"/>
      <c r="O1738" s="209"/>
    </row>
    <row r="1739" spans="1:15" x14ac:dyDescent="0.3">
      <c r="A1739" s="302" t="s">
        <v>155</v>
      </c>
      <c r="B1739" s="302" t="str">
        <f t="shared" si="10"/>
        <v>Y</v>
      </c>
      <c r="C1739" s="6" t="s">
        <v>5172</v>
      </c>
      <c r="D1739" s="327"/>
      <c r="E1739" s="327" t="s">
        <v>5179</v>
      </c>
      <c r="F1739" s="206" t="s">
        <v>5174</v>
      </c>
      <c r="G1739" s="206" t="s">
        <v>5178</v>
      </c>
      <c r="H1739" s="206" t="s">
        <v>5178</v>
      </c>
      <c r="K1739" s="302">
        <v>8539040194</v>
      </c>
      <c r="M1739" s="212"/>
      <c r="N1739" s="213"/>
      <c r="O1739" s="209"/>
    </row>
    <row r="1740" spans="1:15" x14ac:dyDescent="0.3">
      <c r="A1740" s="302" t="s">
        <v>155</v>
      </c>
      <c r="B1740" s="302" t="str">
        <f t="shared" si="10"/>
        <v>N</v>
      </c>
      <c r="C1740" s="6" t="s">
        <v>5180</v>
      </c>
      <c r="D1740" s="327"/>
      <c r="E1740" s="327" t="s">
        <v>5181</v>
      </c>
      <c r="F1740" s="206" t="s">
        <v>5182</v>
      </c>
      <c r="G1740" s="206" t="s">
        <v>5178</v>
      </c>
      <c r="H1740" s="302"/>
      <c r="I1740" s="2" t="s">
        <v>5183</v>
      </c>
      <c r="K1740" s="302">
        <v>9264202291</v>
      </c>
      <c r="M1740" s="212"/>
      <c r="N1740" s="213"/>
      <c r="O1740" s="209"/>
    </row>
    <row r="1741" spans="1:15" x14ac:dyDescent="0.3">
      <c r="A1741" s="302" t="s">
        <v>155</v>
      </c>
      <c r="B1741" s="302" t="str">
        <f t="shared" si="10"/>
        <v>N</v>
      </c>
      <c r="C1741" s="451"/>
      <c r="D1741" s="329"/>
      <c r="E1741" s="329" t="s">
        <v>5184</v>
      </c>
      <c r="F1741" s="219" t="s">
        <v>2073</v>
      </c>
      <c r="G1741" s="219" t="s">
        <v>5178</v>
      </c>
      <c r="H1741" s="221"/>
      <c r="I1741" s="9" t="s">
        <v>5185</v>
      </c>
      <c r="J1741" s="9"/>
      <c r="K1741" s="221">
        <v>8651354845</v>
      </c>
      <c r="M1741" s="212"/>
      <c r="N1741" s="213"/>
      <c r="O1741" s="209"/>
    </row>
    <row r="1742" spans="1:15" x14ac:dyDescent="0.3">
      <c r="A1742" s="302" t="s">
        <v>155</v>
      </c>
      <c r="B1742" s="302" t="str">
        <f t="shared" si="10"/>
        <v>Y</v>
      </c>
      <c r="C1742" s="6" t="s">
        <v>5186</v>
      </c>
      <c r="D1742" s="327"/>
      <c r="E1742" s="327" t="s">
        <v>5187</v>
      </c>
      <c r="F1742" s="206" t="s">
        <v>5188</v>
      </c>
      <c r="G1742" s="206" t="s">
        <v>5178</v>
      </c>
      <c r="H1742" s="206" t="s">
        <v>5178</v>
      </c>
      <c r="K1742" s="302">
        <v>9431758161</v>
      </c>
      <c r="M1742" s="212"/>
      <c r="N1742" s="213"/>
      <c r="O1742" s="209"/>
    </row>
    <row r="1743" spans="1:15" x14ac:dyDescent="0.3">
      <c r="A1743" s="302" t="s">
        <v>155</v>
      </c>
      <c r="B1743" s="302" t="str">
        <f t="shared" si="10"/>
        <v>Y</v>
      </c>
      <c r="C1743" s="6" t="s">
        <v>5180</v>
      </c>
      <c r="D1743" s="327"/>
      <c r="E1743" s="327" t="s">
        <v>5189</v>
      </c>
      <c r="F1743" s="206" t="s">
        <v>5190</v>
      </c>
      <c r="G1743" s="206" t="s">
        <v>5178</v>
      </c>
      <c r="H1743" s="206" t="s">
        <v>5178</v>
      </c>
      <c r="K1743" s="302">
        <v>9264202291</v>
      </c>
      <c r="M1743" s="212"/>
      <c r="N1743" s="213"/>
      <c r="O1743" s="209"/>
    </row>
    <row r="1744" spans="1:15" x14ac:dyDescent="0.3">
      <c r="A1744" s="302" t="s">
        <v>155</v>
      </c>
      <c r="B1744" s="302" t="str">
        <f t="shared" si="10"/>
        <v>Y</v>
      </c>
      <c r="C1744" s="6" t="s">
        <v>5191</v>
      </c>
      <c r="D1744" s="327"/>
      <c r="E1744" s="327" t="s">
        <v>5192</v>
      </c>
      <c r="F1744" s="206" t="s">
        <v>5193</v>
      </c>
      <c r="G1744" s="206" t="s">
        <v>5194</v>
      </c>
      <c r="H1744" s="207">
        <v>44466</v>
      </c>
      <c r="K1744" s="302">
        <v>8235229224</v>
      </c>
      <c r="M1744" s="212"/>
      <c r="N1744" s="213"/>
      <c r="O1744" s="209"/>
    </row>
    <row r="1745" spans="1:15" x14ac:dyDescent="0.3">
      <c r="A1745" s="302" t="s">
        <v>155</v>
      </c>
      <c r="B1745" s="302" t="str">
        <f t="shared" si="10"/>
        <v>Y</v>
      </c>
      <c r="C1745" s="6" t="s">
        <v>5195</v>
      </c>
      <c r="D1745" s="327"/>
      <c r="E1745" s="327" t="s">
        <v>5196</v>
      </c>
      <c r="F1745" s="206" t="s">
        <v>5197</v>
      </c>
      <c r="G1745" s="206" t="s">
        <v>5194</v>
      </c>
      <c r="H1745" s="207">
        <v>44466</v>
      </c>
      <c r="K1745" s="302">
        <v>7870942124</v>
      </c>
      <c r="M1745" s="212"/>
      <c r="N1745" s="213"/>
      <c r="O1745" s="209"/>
    </row>
    <row r="1746" spans="1:15" x14ac:dyDescent="0.3">
      <c r="A1746" s="302" t="s">
        <v>155</v>
      </c>
      <c r="B1746" s="302" t="str">
        <f t="shared" si="10"/>
        <v>Y</v>
      </c>
      <c r="C1746" s="6" t="s">
        <v>5198</v>
      </c>
      <c r="D1746" s="327"/>
      <c r="E1746" s="327" t="s">
        <v>1778</v>
      </c>
      <c r="F1746" s="206" t="s">
        <v>2688</v>
      </c>
      <c r="G1746" s="206" t="s">
        <v>5194</v>
      </c>
      <c r="H1746" s="207">
        <v>44466</v>
      </c>
      <c r="K1746" s="302">
        <v>9934962414</v>
      </c>
      <c r="M1746" s="212"/>
      <c r="N1746" s="213"/>
      <c r="O1746" s="209"/>
    </row>
    <row r="1747" spans="1:15" x14ac:dyDescent="0.3">
      <c r="A1747" s="302" t="s">
        <v>155</v>
      </c>
      <c r="B1747" s="302" t="str">
        <f t="shared" si="10"/>
        <v>Y</v>
      </c>
      <c r="C1747" s="6" t="s">
        <v>5199</v>
      </c>
      <c r="D1747" s="327"/>
      <c r="E1747" s="327" t="s">
        <v>555</v>
      </c>
      <c r="F1747" s="206" t="s">
        <v>5200</v>
      </c>
      <c r="G1747" s="206" t="s">
        <v>5201</v>
      </c>
      <c r="H1747" s="302" t="s">
        <v>5202</v>
      </c>
      <c r="K1747" s="302">
        <v>9771187933</v>
      </c>
      <c r="M1747" s="212"/>
      <c r="N1747" s="213"/>
      <c r="O1747" s="209"/>
    </row>
    <row r="1748" spans="1:15" x14ac:dyDescent="0.3">
      <c r="A1748" s="302" t="s">
        <v>155</v>
      </c>
      <c r="B1748" s="302" t="str">
        <f t="shared" si="10"/>
        <v>Y</v>
      </c>
      <c r="C1748" s="6" t="s">
        <v>5203</v>
      </c>
      <c r="D1748" s="327"/>
      <c r="E1748" s="327" t="s">
        <v>5204</v>
      </c>
      <c r="F1748" s="206" t="s">
        <v>2328</v>
      </c>
      <c r="G1748" s="206" t="s">
        <v>5201</v>
      </c>
      <c r="H1748" s="207">
        <v>44467</v>
      </c>
      <c r="K1748" s="302">
        <v>8340406670</v>
      </c>
      <c r="M1748" s="212"/>
      <c r="N1748" s="213"/>
      <c r="O1748" s="209"/>
    </row>
    <row r="1749" spans="1:15" x14ac:dyDescent="0.3">
      <c r="A1749" s="302" t="s">
        <v>155</v>
      </c>
      <c r="B1749" s="302" t="str">
        <f t="shared" si="10"/>
        <v>Y</v>
      </c>
      <c r="C1749" s="6" t="s">
        <v>5205</v>
      </c>
      <c r="D1749" s="327"/>
      <c r="E1749" s="327" t="s">
        <v>5206</v>
      </c>
      <c r="F1749" s="206" t="s">
        <v>5207</v>
      </c>
      <c r="G1749" s="206" t="s">
        <v>5201</v>
      </c>
      <c r="H1749" s="207">
        <v>44467</v>
      </c>
      <c r="K1749" s="302">
        <v>8235001989</v>
      </c>
      <c r="M1749" s="212"/>
      <c r="N1749" s="213"/>
      <c r="O1749" s="209"/>
    </row>
    <row r="1750" spans="1:15" x14ac:dyDescent="0.3">
      <c r="A1750" s="302" t="s">
        <v>155</v>
      </c>
      <c r="B1750" s="302" t="str">
        <f t="shared" si="10"/>
        <v>Y</v>
      </c>
      <c r="C1750" s="6" t="s">
        <v>5208</v>
      </c>
      <c r="D1750" s="327"/>
      <c r="E1750" s="327" t="s">
        <v>5184</v>
      </c>
      <c r="F1750" s="206" t="s">
        <v>2073</v>
      </c>
      <c r="G1750" s="206" t="s">
        <v>5209</v>
      </c>
      <c r="H1750" s="206" t="s">
        <v>5209</v>
      </c>
      <c r="K1750" s="302">
        <v>8651354845</v>
      </c>
      <c r="M1750" s="212"/>
      <c r="N1750" s="213"/>
      <c r="O1750" s="209"/>
    </row>
    <row r="1751" spans="1:15" x14ac:dyDescent="0.3">
      <c r="A1751" s="302" t="s">
        <v>155</v>
      </c>
      <c r="B1751" s="302" t="str">
        <f t="shared" si="10"/>
        <v>Y</v>
      </c>
      <c r="C1751" s="6" t="s">
        <v>5210</v>
      </c>
      <c r="D1751" s="327"/>
      <c r="E1751" s="327" t="s">
        <v>5211</v>
      </c>
      <c r="F1751" s="206" t="s">
        <v>2087</v>
      </c>
      <c r="G1751" s="206" t="s">
        <v>5209</v>
      </c>
      <c r="H1751" s="206" t="s">
        <v>5209</v>
      </c>
      <c r="K1751" s="302">
        <v>9334971380</v>
      </c>
      <c r="M1751" s="212"/>
      <c r="N1751" s="213"/>
      <c r="O1751" s="209"/>
    </row>
    <row r="1752" spans="1:15" x14ac:dyDescent="0.3">
      <c r="A1752" s="302" t="s">
        <v>155</v>
      </c>
      <c r="B1752" s="302" t="str">
        <f t="shared" si="10"/>
        <v>N</v>
      </c>
      <c r="C1752" s="6" t="s">
        <v>5212</v>
      </c>
      <c r="D1752" s="327"/>
      <c r="F1752" s="206"/>
      <c r="G1752" s="206"/>
      <c r="H1752" s="302"/>
      <c r="M1752" s="212"/>
      <c r="N1752" s="213"/>
      <c r="O1752" s="209"/>
    </row>
    <row r="1753" spans="1:15" x14ac:dyDescent="0.3">
      <c r="A1753" s="302" t="s">
        <v>155</v>
      </c>
      <c r="B1753" s="302" t="str">
        <f t="shared" si="10"/>
        <v>Y</v>
      </c>
      <c r="C1753" s="6" t="s">
        <v>5213</v>
      </c>
      <c r="D1753" s="327"/>
      <c r="E1753" s="327" t="s">
        <v>5214</v>
      </c>
      <c r="F1753" s="206" t="s">
        <v>5215</v>
      </c>
      <c r="G1753" s="206" t="s">
        <v>5216</v>
      </c>
      <c r="H1753" s="206" t="s">
        <v>5216</v>
      </c>
      <c r="K1753" s="302">
        <v>7667020625</v>
      </c>
      <c r="M1753" s="212"/>
      <c r="N1753" s="213"/>
      <c r="O1753" s="209"/>
    </row>
    <row r="1754" spans="1:15" x14ac:dyDescent="0.3">
      <c r="A1754" s="302" t="s">
        <v>155</v>
      </c>
      <c r="B1754" s="302" t="str">
        <f t="shared" si="10"/>
        <v>Y</v>
      </c>
      <c r="C1754" s="6" t="s">
        <v>5217</v>
      </c>
      <c r="D1754" s="327"/>
      <c r="E1754" s="327" t="s">
        <v>5218</v>
      </c>
      <c r="F1754" s="206" t="s">
        <v>5219</v>
      </c>
      <c r="G1754" s="206" t="s">
        <v>5216</v>
      </c>
      <c r="H1754" s="206" t="s">
        <v>5216</v>
      </c>
      <c r="K1754" s="302">
        <v>9835880996</v>
      </c>
      <c r="M1754" s="212"/>
      <c r="N1754" s="213"/>
      <c r="O1754" s="209"/>
    </row>
    <row r="1755" spans="1:15" x14ac:dyDescent="0.3">
      <c r="A1755" s="302" t="s">
        <v>155</v>
      </c>
      <c r="B1755" s="302" t="str">
        <f t="shared" si="10"/>
        <v>Y</v>
      </c>
      <c r="C1755" s="6" t="s">
        <v>5220</v>
      </c>
      <c r="D1755" s="327"/>
      <c r="E1755" s="327" t="s">
        <v>5221</v>
      </c>
      <c r="F1755" s="206" t="s">
        <v>5222</v>
      </c>
      <c r="G1755" s="206" t="s">
        <v>5216</v>
      </c>
      <c r="H1755" s="206" t="s">
        <v>5216</v>
      </c>
      <c r="K1755" s="302">
        <v>9931412861</v>
      </c>
      <c r="M1755" s="212"/>
      <c r="N1755" s="213"/>
      <c r="O1755" s="209"/>
    </row>
    <row r="1756" spans="1:15" x14ac:dyDescent="0.3">
      <c r="A1756" s="302" t="s">
        <v>155</v>
      </c>
      <c r="B1756" s="302" t="str">
        <f t="shared" si="10"/>
        <v>Y</v>
      </c>
      <c r="C1756" s="6" t="s">
        <v>5223</v>
      </c>
      <c r="D1756" s="327"/>
      <c r="E1756" s="327" t="s">
        <v>5224</v>
      </c>
      <c r="F1756" s="206" t="s">
        <v>2418</v>
      </c>
      <c r="G1756" s="206" t="s">
        <v>5225</v>
      </c>
      <c r="H1756" s="207">
        <v>44471</v>
      </c>
      <c r="K1756" s="302">
        <v>8507370682</v>
      </c>
      <c r="M1756" s="212"/>
      <c r="N1756" s="213"/>
      <c r="O1756" s="209"/>
    </row>
    <row r="1757" spans="1:15" x14ac:dyDescent="0.3">
      <c r="A1757" s="302" t="s">
        <v>155</v>
      </c>
      <c r="B1757" s="302" t="str">
        <f t="shared" si="10"/>
        <v>Y</v>
      </c>
      <c r="C1757" s="6" t="s">
        <v>5226</v>
      </c>
      <c r="D1757" s="327"/>
      <c r="E1757" s="327" t="s">
        <v>5227</v>
      </c>
      <c r="F1757" s="206" t="s">
        <v>5228</v>
      </c>
      <c r="G1757" s="206" t="s">
        <v>5229</v>
      </c>
      <c r="H1757" s="207">
        <v>44471</v>
      </c>
      <c r="K1757" s="302">
        <v>8292370370</v>
      </c>
      <c r="M1757" s="212"/>
      <c r="N1757" s="213"/>
      <c r="O1757" s="209"/>
    </row>
    <row r="1758" spans="1:15" x14ac:dyDescent="0.3">
      <c r="A1758" s="302" t="s">
        <v>155</v>
      </c>
      <c r="B1758" s="302" t="str">
        <f t="shared" si="10"/>
        <v>Y</v>
      </c>
      <c r="C1758" s="6" t="s">
        <v>5230</v>
      </c>
      <c r="D1758" s="327"/>
      <c r="E1758" s="327" t="s">
        <v>5231</v>
      </c>
      <c r="F1758" s="206" t="s">
        <v>5232</v>
      </c>
      <c r="G1758" s="206" t="s">
        <v>5233</v>
      </c>
      <c r="H1758" s="207">
        <v>44475</v>
      </c>
      <c r="K1758" s="302">
        <v>9939784715</v>
      </c>
      <c r="M1758" s="212"/>
      <c r="N1758" s="213"/>
      <c r="O1758" s="209"/>
    </row>
    <row r="1759" spans="1:15" x14ac:dyDescent="0.3">
      <c r="A1759" s="302" t="s">
        <v>155</v>
      </c>
      <c r="B1759" s="302" t="str">
        <f t="shared" si="10"/>
        <v>Y</v>
      </c>
      <c r="C1759" s="6" t="s">
        <v>5234</v>
      </c>
      <c r="D1759" s="327"/>
      <c r="E1759" s="327" t="s">
        <v>5235</v>
      </c>
      <c r="F1759" s="206" t="s">
        <v>5236</v>
      </c>
      <c r="G1759" s="206" t="s">
        <v>5233</v>
      </c>
      <c r="H1759" s="207">
        <v>44478</v>
      </c>
      <c r="K1759" s="302">
        <v>9431757249</v>
      </c>
      <c r="M1759" s="212"/>
      <c r="N1759" s="213"/>
      <c r="O1759" s="209"/>
    </row>
    <row r="1760" spans="1:15" x14ac:dyDescent="0.3">
      <c r="A1760" s="302" t="s">
        <v>155</v>
      </c>
      <c r="B1760" s="302" t="str">
        <f t="shared" si="10"/>
        <v>Y</v>
      </c>
      <c r="C1760" s="6" t="s">
        <v>5237</v>
      </c>
      <c r="D1760" s="327"/>
      <c r="E1760" s="327" t="s">
        <v>4673</v>
      </c>
      <c r="F1760" s="206" t="s">
        <v>5238</v>
      </c>
      <c r="G1760" s="206" t="s">
        <v>5233</v>
      </c>
      <c r="H1760" s="207">
        <v>44473</v>
      </c>
      <c r="K1760" s="302">
        <v>8603862702</v>
      </c>
      <c r="M1760" s="212"/>
      <c r="N1760" s="213"/>
      <c r="O1760" s="209"/>
    </row>
    <row r="1761" spans="1:15" x14ac:dyDescent="0.3">
      <c r="A1761" s="302" t="s">
        <v>155</v>
      </c>
      <c r="B1761" s="302" t="str">
        <f t="shared" si="10"/>
        <v>Y</v>
      </c>
      <c r="C1761" s="6" t="s">
        <v>5239</v>
      </c>
      <c r="D1761" s="327"/>
      <c r="E1761" s="327" t="s">
        <v>5240</v>
      </c>
      <c r="F1761" s="206" t="s">
        <v>5241</v>
      </c>
      <c r="G1761" s="206" t="s">
        <v>5233</v>
      </c>
      <c r="H1761" s="207">
        <v>44477</v>
      </c>
      <c r="J1761" s="2" t="s">
        <v>5242</v>
      </c>
      <c r="K1761" s="302">
        <v>8797023235</v>
      </c>
      <c r="M1761" s="212"/>
      <c r="N1761" s="213"/>
      <c r="O1761" s="209"/>
    </row>
    <row r="1762" spans="1:15" x14ac:dyDescent="0.3">
      <c r="A1762" s="302" t="s">
        <v>155</v>
      </c>
      <c r="B1762" s="302" t="str">
        <f t="shared" si="10"/>
        <v>Y</v>
      </c>
      <c r="C1762" s="6" t="s">
        <v>5243</v>
      </c>
      <c r="D1762" s="327"/>
      <c r="E1762" s="327" t="s">
        <v>5244</v>
      </c>
      <c r="F1762" s="206" t="s">
        <v>5245</v>
      </c>
      <c r="G1762" s="206" t="s">
        <v>5233</v>
      </c>
      <c r="H1762" s="206" t="s">
        <v>5233</v>
      </c>
      <c r="I1762" s="2" t="s">
        <v>5246</v>
      </c>
      <c r="K1762" s="302">
        <v>9304510518</v>
      </c>
      <c r="M1762" s="212"/>
      <c r="N1762" s="213"/>
      <c r="O1762" s="209"/>
    </row>
    <row r="1763" spans="1:15" x14ac:dyDescent="0.3">
      <c r="A1763" s="302" t="s">
        <v>155</v>
      </c>
      <c r="B1763" s="302" t="str">
        <f t="shared" si="10"/>
        <v>Y</v>
      </c>
      <c r="C1763" s="6" t="s">
        <v>5247</v>
      </c>
      <c r="D1763" s="327"/>
      <c r="E1763" s="327" t="s">
        <v>1115</v>
      </c>
      <c r="F1763" s="206" t="s">
        <v>5248</v>
      </c>
      <c r="G1763" s="206" t="s">
        <v>5233</v>
      </c>
      <c r="H1763" s="206" t="s">
        <v>5233</v>
      </c>
      <c r="K1763" s="302">
        <v>6206343766</v>
      </c>
      <c r="M1763" s="212"/>
      <c r="N1763" s="213"/>
      <c r="O1763" s="209"/>
    </row>
    <row r="1764" spans="1:15" x14ac:dyDescent="0.3">
      <c r="A1764" s="302" t="s">
        <v>155</v>
      </c>
      <c r="B1764" s="302" t="str">
        <f t="shared" si="10"/>
        <v>Y</v>
      </c>
      <c r="C1764" s="6" t="s">
        <v>5249</v>
      </c>
      <c r="D1764" s="327"/>
      <c r="E1764" s="327" t="s">
        <v>5250</v>
      </c>
      <c r="F1764" s="206" t="s">
        <v>5251</v>
      </c>
      <c r="G1764" s="206" t="s">
        <v>5233</v>
      </c>
      <c r="H1764" s="206" t="s">
        <v>5233</v>
      </c>
      <c r="K1764" s="302">
        <v>9693292225</v>
      </c>
      <c r="M1764" s="212"/>
      <c r="N1764" s="213"/>
      <c r="O1764" s="209"/>
    </row>
    <row r="1765" spans="1:15" x14ac:dyDescent="0.3">
      <c r="A1765" s="302" t="s">
        <v>155</v>
      </c>
      <c r="B1765" s="302" t="str">
        <f t="shared" si="10"/>
        <v>Y</v>
      </c>
      <c r="C1765" s="6" t="s">
        <v>5252</v>
      </c>
      <c r="D1765" s="327"/>
      <c r="E1765" s="327" t="s">
        <v>5253</v>
      </c>
      <c r="F1765" s="206" t="s">
        <v>5254</v>
      </c>
      <c r="G1765" s="206" t="s">
        <v>5233</v>
      </c>
      <c r="H1765" s="206" t="s">
        <v>5233</v>
      </c>
      <c r="K1765" s="302">
        <v>9234885977</v>
      </c>
      <c r="M1765" s="212"/>
      <c r="N1765" s="213"/>
      <c r="O1765" s="209"/>
    </row>
    <row r="1766" spans="1:15" x14ac:dyDescent="0.3">
      <c r="A1766" s="302" t="s">
        <v>155</v>
      </c>
      <c r="B1766" s="302" t="str">
        <f t="shared" si="10"/>
        <v>Y</v>
      </c>
      <c r="C1766" s="6" t="s">
        <v>5255</v>
      </c>
      <c r="D1766" s="327"/>
      <c r="E1766" s="327" t="s">
        <v>5256</v>
      </c>
      <c r="F1766" s="206" t="s">
        <v>5257</v>
      </c>
      <c r="G1766" s="206" t="s">
        <v>5233</v>
      </c>
      <c r="H1766" s="206" t="s">
        <v>5233</v>
      </c>
      <c r="K1766" s="302">
        <v>9031399584</v>
      </c>
      <c r="M1766" s="212"/>
      <c r="N1766" s="213"/>
      <c r="O1766" s="209"/>
    </row>
    <row r="1767" spans="1:15" x14ac:dyDescent="0.3">
      <c r="A1767" s="302" t="s">
        <v>155</v>
      </c>
      <c r="B1767" s="302" t="str">
        <f t="shared" si="10"/>
        <v>Y</v>
      </c>
      <c r="C1767" s="6" t="s">
        <v>5258</v>
      </c>
      <c r="D1767" s="327"/>
      <c r="E1767" s="327" t="s">
        <v>5259</v>
      </c>
      <c r="F1767" s="206" t="s">
        <v>5260</v>
      </c>
      <c r="G1767" s="206" t="s">
        <v>5261</v>
      </c>
      <c r="H1767" s="207">
        <v>44477</v>
      </c>
      <c r="K1767" s="302">
        <v>7667844528</v>
      </c>
      <c r="M1767" s="212"/>
      <c r="N1767" s="213"/>
      <c r="O1767" s="209"/>
    </row>
    <row r="1768" spans="1:15" x14ac:dyDescent="0.3">
      <c r="A1768" s="302" t="s">
        <v>155</v>
      </c>
      <c r="B1768" s="302" t="str">
        <f t="shared" si="10"/>
        <v>Y</v>
      </c>
      <c r="C1768" s="6" t="s">
        <v>5262</v>
      </c>
      <c r="D1768" s="327"/>
      <c r="E1768" s="327" t="s">
        <v>748</v>
      </c>
      <c r="F1768" s="206" t="s">
        <v>5263</v>
      </c>
      <c r="G1768" s="206" t="s">
        <v>5264</v>
      </c>
      <c r="H1768" s="207">
        <v>44476</v>
      </c>
      <c r="K1768" s="302">
        <v>7633828174</v>
      </c>
      <c r="M1768" s="212"/>
      <c r="N1768" s="213"/>
      <c r="O1768" s="209"/>
    </row>
    <row r="1769" spans="1:15" x14ac:dyDescent="0.3">
      <c r="A1769" s="302" t="s">
        <v>155</v>
      </c>
      <c r="B1769" s="302" t="str">
        <f t="shared" si="10"/>
        <v>Y</v>
      </c>
      <c r="C1769" s="6" t="s">
        <v>5265</v>
      </c>
      <c r="D1769" s="327"/>
      <c r="E1769" s="327" t="s">
        <v>642</v>
      </c>
      <c r="F1769" s="206" t="s">
        <v>5266</v>
      </c>
      <c r="G1769" s="206" t="s">
        <v>5264</v>
      </c>
      <c r="H1769" s="207">
        <v>44476</v>
      </c>
      <c r="J1769" s="2">
        <v>0</v>
      </c>
      <c r="K1769" s="302">
        <v>7488261673</v>
      </c>
      <c r="M1769" s="212"/>
      <c r="N1769" s="213"/>
      <c r="O1769" s="209"/>
    </row>
    <row r="1770" spans="1:15" x14ac:dyDescent="0.3">
      <c r="A1770" s="302" t="s">
        <v>155</v>
      </c>
      <c r="B1770" s="302" t="str">
        <f t="shared" si="10"/>
        <v>Y</v>
      </c>
      <c r="C1770" s="6" t="s">
        <v>5267</v>
      </c>
      <c r="D1770" s="327"/>
      <c r="E1770" s="327" t="s">
        <v>5268</v>
      </c>
      <c r="F1770" s="206" t="s">
        <v>3774</v>
      </c>
      <c r="G1770" s="206" t="s">
        <v>5264</v>
      </c>
      <c r="H1770" s="207">
        <v>44478</v>
      </c>
      <c r="K1770" s="302">
        <v>92343383328</v>
      </c>
      <c r="M1770" s="212"/>
      <c r="N1770" s="213"/>
      <c r="O1770" s="209"/>
    </row>
    <row r="1771" spans="1:15" x14ac:dyDescent="0.3">
      <c r="A1771" s="302" t="s">
        <v>155</v>
      </c>
      <c r="B1771" s="302" t="str">
        <f t="shared" si="10"/>
        <v>Y</v>
      </c>
      <c r="C1771" s="6" t="s">
        <v>5269</v>
      </c>
      <c r="D1771" s="327"/>
      <c r="E1771" s="327" t="s">
        <v>5270</v>
      </c>
      <c r="F1771" s="206" t="s">
        <v>5271</v>
      </c>
      <c r="G1771" s="206" t="s">
        <v>5272</v>
      </c>
      <c r="H1771" s="207">
        <v>37173</v>
      </c>
      <c r="K1771" s="302">
        <v>7061902749</v>
      </c>
      <c r="M1771" s="212"/>
      <c r="N1771" s="213"/>
      <c r="O1771" s="209"/>
    </row>
    <row r="1772" spans="1:15" x14ac:dyDescent="0.3">
      <c r="A1772" s="302" t="s">
        <v>155</v>
      </c>
      <c r="B1772" s="302" t="str">
        <f t="shared" si="10"/>
        <v>Y</v>
      </c>
      <c r="C1772" s="6" t="s">
        <v>5273</v>
      </c>
      <c r="D1772" s="327"/>
      <c r="E1772" s="327" t="s">
        <v>5274</v>
      </c>
      <c r="F1772" s="206" t="s">
        <v>2459</v>
      </c>
      <c r="G1772" s="206" t="s">
        <v>5275</v>
      </c>
      <c r="H1772" s="206" t="s">
        <v>5275</v>
      </c>
      <c r="K1772" s="302">
        <v>7643004150</v>
      </c>
      <c r="M1772" s="212"/>
      <c r="N1772" s="213"/>
      <c r="O1772" s="209"/>
    </row>
    <row r="1773" spans="1:15" x14ac:dyDescent="0.3">
      <c r="A1773" s="302" t="s">
        <v>155</v>
      </c>
      <c r="B1773" s="302" t="str">
        <f t="shared" si="10"/>
        <v>Y</v>
      </c>
      <c r="C1773" s="6" t="s">
        <v>5276</v>
      </c>
      <c r="D1773" s="327"/>
      <c r="E1773" s="327" t="s">
        <v>5277</v>
      </c>
      <c r="F1773" s="206" t="s">
        <v>5278</v>
      </c>
      <c r="G1773" s="206" t="s">
        <v>5275</v>
      </c>
      <c r="H1773" s="206" t="s">
        <v>5275</v>
      </c>
      <c r="K1773" s="302">
        <v>9162996835</v>
      </c>
      <c r="M1773" s="212"/>
      <c r="N1773" s="213"/>
      <c r="O1773" s="209"/>
    </row>
    <row r="1774" spans="1:15" x14ac:dyDescent="0.3">
      <c r="A1774" s="302" t="s">
        <v>155</v>
      </c>
      <c r="B1774" s="302" t="str">
        <f t="shared" si="10"/>
        <v>Y</v>
      </c>
      <c r="C1774" s="6" t="s">
        <v>5279</v>
      </c>
      <c r="D1774" s="327"/>
      <c r="E1774" s="327" t="s">
        <v>5280</v>
      </c>
      <c r="F1774" s="206" t="s">
        <v>5281</v>
      </c>
      <c r="G1774" s="206" t="s">
        <v>5282</v>
      </c>
      <c r="H1774" s="207">
        <v>44481</v>
      </c>
      <c r="J1774" s="2" t="s">
        <v>3735</v>
      </c>
      <c r="K1774" s="302">
        <v>8651404662</v>
      </c>
      <c r="M1774" s="212"/>
      <c r="N1774" s="213"/>
      <c r="O1774" s="209"/>
    </row>
    <row r="1775" spans="1:15" x14ac:dyDescent="0.3">
      <c r="A1775" s="302" t="s">
        <v>155</v>
      </c>
      <c r="B1775" s="302" t="str">
        <f t="shared" si="10"/>
        <v>Y</v>
      </c>
      <c r="C1775" s="6" t="s">
        <v>5283</v>
      </c>
      <c r="D1775" s="327"/>
      <c r="E1775" s="327" t="s">
        <v>5284</v>
      </c>
      <c r="F1775" s="206" t="s">
        <v>5285</v>
      </c>
      <c r="G1775" s="206" t="s">
        <v>5286</v>
      </c>
      <c r="H1775" s="207">
        <v>44482</v>
      </c>
      <c r="J1775" s="2" t="s">
        <v>3735</v>
      </c>
      <c r="K1775" s="302">
        <v>9155372668</v>
      </c>
      <c r="M1775" s="212"/>
      <c r="N1775" s="213"/>
      <c r="O1775" s="209"/>
    </row>
    <row r="1776" spans="1:15" x14ac:dyDescent="0.3">
      <c r="A1776" s="302" t="s">
        <v>155</v>
      </c>
      <c r="B1776" s="302" t="str">
        <f t="shared" si="10"/>
        <v>Y</v>
      </c>
      <c r="C1776" s="6" t="s">
        <v>5287</v>
      </c>
      <c r="D1776" s="327"/>
      <c r="E1776" s="327" t="s">
        <v>1022</v>
      </c>
      <c r="F1776" s="206" t="s">
        <v>5288</v>
      </c>
      <c r="G1776" s="206" t="s">
        <v>5286</v>
      </c>
      <c r="H1776" s="207">
        <v>44482</v>
      </c>
      <c r="J1776" s="2" t="s">
        <v>3735</v>
      </c>
      <c r="K1776" s="302">
        <v>9279498642</v>
      </c>
      <c r="M1776" s="212"/>
      <c r="N1776" s="213"/>
      <c r="O1776" s="209"/>
    </row>
    <row r="1777" spans="1:15" x14ac:dyDescent="0.3">
      <c r="A1777" s="302" t="s">
        <v>155</v>
      </c>
      <c r="B1777" s="302" t="str">
        <f t="shared" si="10"/>
        <v>Y</v>
      </c>
      <c r="C1777" s="6" t="s">
        <v>5289</v>
      </c>
      <c r="D1777" s="327"/>
      <c r="E1777" s="327" t="s">
        <v>5290</v>
      </c>
      <c r="F1777" s="206" t="s">
        <v>5291</v>
      </c>
      <c r="G1777" s="206" t="s">
        <v>5286</v>
      </c>
      <c r="H1777" s="206" t="s">
        <v>5286</v>
      </c>
      <c r="K1777" s="302">
        <v>6207494859</v>
      </c>
      <c r="M1777" s="212"/>
      <c r="N1777" s="213"/>
      <c r="O1777" s="209"/>
    </row>
    <row r="1778" spans="1:15" x14ac:dyDescent="0.3">
      <c r="A1778" s="302" t="s">
        <v>155</v>
      </c>
      <c r="B1778" s="302" t="str">
        <f t="shared" si="10"/>
        <v>Y</v>
      </c>
      <c r="C1778" s="6" t="s">
        <v>5292</v>
      </c>
      <c r="D1778" s="327"/>
      <c r="E1778" s="327" t="s">
        <v>5293</v>
      </c>
      <c r="F1778" s="206" t="s">
        <v>5294</v>
      </c>
      <c r="G1778" s="206" t="s">
        <v>5286</v>
      </c>
      <c r="H1778" s="206" t="s">
        <v>5286</v>
      </c>
      <c r="K1778" s="302">
        <v>8092546072</v>
      </c>
      <c r="M1778" s="212"/>
      <c r="N1778" s="213"/>
      <c r="O1778" s="209"/>
    </row>
    <row r="1779" spans="1:15" x14ac:dyDescent="0.3">
      <c r="A1779" s="302"/>
      <c r="B1779" s="302" t="str">
        <f t="shared" si="10"/>
        <v>N</v>
      </c>
      <c r="C1779" s="6" t="s">
        <v>5295</v>
      </c>
      <c r="D1779" s="327"/>
      <c r="E1779" s="327" t="s">
        <v>5296</v>
      </c>
      <c r="F1779" s="206" t="s">
        <v>5297</v>
      </c>
      <c r="G1779" s="206" t="s">
        <v>5298</v>
      </c>
      <c r="H1779" s="302"/>
      <c r="K1779" s="302">
        <v>9835723607</v>
      </c>
      <c r="M1779" s="212"/>
      <c r="N1779" s="213"/>
      <c r="O1779" s="209"/>
    </row>
    <row r="1780" spans="1:15" x14ac:dyDescent="0.3">
      <c r="A1780" s="302" t="s">
        <v>155</v>
      </c>
      <c r="B1780" s="302" t="str">
        <f t="shared" si="10"/>
        <v>Y</v>
      </c>
      <c r="C1780" s="6" t="s">
        <v>5299</v>
      </c>
      <c r="D1780" s="327"/>
      <c r="E1780" s="327" t="s">
        <v>5300</v>
      </c>
      <c r="F1780" s="206" t="s">
        <v>4371</v>
      </c>
      <c r="G1780" s="206" t="s">
        <v>5301</v>
      </c>
      <c r="H1780" s="207">
        <v>44485</v>
      </c>
      <c r="J1780" s="2" t="s">
        <v>3735</v>
      </c>
      <c r="K1780" s="302">
        <v>8969400181</v>
      </c>
      <c r="M1780" s="212"/>
      <c r="N1780" s="213"/>
      <c r="O1780" s="209"/>
    </row>
    <row r="1781" spans="1:15" x14ac:dyDescent="0.3">
      <c r="A1781" s="302" t="s">
        <v>155</v>
      </c>
      <c r="B1781" s="302" t="str">
        <f t="shared" si="10"/>
        <v>Y</v>
      </c>
      <c r="C1781" s="6" t="s">
        <v>5302</v>
      </c>
      <c r="D1781" s="327"/>
      <c r="E1781" s="327" t="s">
        <v>5303</v>
      </c>
      <c r="F1781" s="206" t="s">
        <v>5304</v>
      </c>
      <c r="G1781" s="206" t="s">
        <v>5301</v>
      </c>
      <c r="H1781" s="207">
        <v>44485</v>
      </c>
      <c r="M1781" s="212"/>
      <c r="N1781" s="213"/>
      <c r="O1781" s="209"/>
    </row>
    <row r="1782" spans="1:15" x14ac:dyDescent="0.3">
      <c r="A1782" s="302" t="s">
        <v>155</v>
      </c>
      <c r="B1782" s="302" t="str">
        <f t="shared" si="10"/>
        <v>Y</v>
      </c>
      <c r="C1782" s="6" t="s">
        <v>5305</v>
      </c>
      <c r="D1782" s="327"/>
      <c r="E1782" s="327" t="s">
        <v>5306</v>
      </c>
      <c r="F1782" s="206" t="s">
        <v>3302</v>
      </c>
      <c r="G1782" s="206" t="s">
        <v>5307</v>
      </c>
      <c r="H1782" s="206" t="s">
        <v>5307</v>
      </c>
      <c r="J1782" s="206" t="s">
        <v>3735</v>
      </c>
      <c r="K1782" s="302">
        <v>7903478291</v>
      </c>
      <c r="M1782" s="212"/>
      <c r="N1782" s="213">
        <f>70*2.5</f>
        <v>175</v>
      </c>
      <c r="O1782" s="209"/>
    </row>
    <row r="1783" spans="1:15" x14ac:dyDescent="0.3">
      <c r="A1783" s="302" t="s">
        <v>155</v>
      </c>
      <c r="B1783" s="302" t="str">
        <f t="shared" si="10"/>
        <v>Y</v>
      </c>
      <c r="C1783" s="6" t="s">
        <v>5308</v>
      </c>
      <c r="D1783" s="327"/>
      <c r="E1783" s="327" t="s">
        <v>5309</v>
      </c>
      <c r="F1783" s="206" t="s">
        <v>5310</v>
      </c>
      <c r="G1783" s="206" t="s">
        <v>5311</v>
      </c>
      <c r="H1783" s="207">
        <v>44487</v>
      </c>
      <c r="J1783" s="2" t="s">
        <v>5312</v>
      </c>
      <c r="K1783" s="302">
        <v>9931800794</v>
      </c>
      <c r="M1783" s="212"/>
      <c r="N1783" s="213"/>
      <c r="O1783" s="209"/>
    </row>
    <row r="1784" spans="1:15" x14ac:dyDescent="0.3">
      <c r="A1784" s="302" t="s">
        <v>155</v>
      </c>
      <c r="B1784" s="302" t="str">
        <f t="shared" si="10"/>
        <v>Y</v>
      </c>
      <c r="C1784" s="6" t="s">
        <v>5313</v>
      </c>
      <c r="D1784" s="327"/>
      <c r="E1784" s="327" t="s">
        <v>5314</v>
      </c>
      <c r="F1784" s="206" t="s">
        <v>2229</v>
      </c>
      <c r="G1784" s="206" t="s">
        <v>5311</v>
      </c>
      <c r="H1784" s="207">
        <v>44487</v>
      </c>
      <c r="K1784" s="302">
        <v>6202022975</v>
      </c>
      <c r="M1784" s="212"/>
      <c r="N1784" s="213"/>
      <c r="O1784" s="209"/>
    </row>
    <row r="1785" spans="1:15" x14ac:dyDescent="0.3">
      <c r="A1785" s="302" t="s">
        <v>155</v>
      </c>
      <c r="B1785" s="302" t="str">
        <f t="shared" si="10"/>
        <v>Y</v>
      </c>
      <c r="C1785" s="6" t="s">
        <v>5315</v>
      </c>
      <c r="D1785" s="327"/>
      <c r="E1785" s="327" t="s">
        <v>5316</v>
      </c>
      <c r="F1785" s="206" t="s">
        <v>2812</v>
      </c>
      <c r="G1785" s="206" t="s">
        <v>5311</v>
      </c>
      <c r="H1785" s="207">
        <v>44487</v>
      </c>
      <c r="K1785" s="302">
        <v>6202022975</v>
      </c>
      <c r="M1785" s="212"/>
      <c r="N1785" s="213"/>
      <c r="O1785" s="209"/>
    </row>
    <row r="1786" spans="1:15" x14ac:dyDescent="0.3">
      <c r="A1786" s="302" t="s">
        <v>155</v>
      </c>
      <c r="B1786" s="302" t="str">
        <f t="shared" si="10"/>
        <v>Y</v>
      </c>
      <c r="C1786" s="6" t="s">
        <v>5317</v>
      </c>
      <c r="D1786" s="327"/>
      <c r="E1786" s="327" t="s">
        <v>5318</v>
      </c>
      <c r="F1786" s="206" t="s">
        <v>5319</v>
      </c>
      <c r="G1786" s="206" t="s">
        <v>5311</v>
      </c>
      <c r="H1786" s="207">
        <v>44487</v>
      </c>
      <c r="K1786" s="302">
        <v>8986792201</v>
      </c>
      <c r="M1786" s="212"/>
      <c r="N1786" s="213"/>
      <c r="O1786" s="209"/>
    </row>
    <row r="1787" spans="1:15" x14ac:dyDescent="0.3">
      <c r="A1787" s="302" t="s">
        <v>155</v>
      </c>
      <c r="B1787" s="302" t="str">
        <f t="shared" si="10"/>
        <v>Y</v>
      </c>
      <c r="C1787" s="6" t="s">
        <v>5320</v>
      </c>
      <c r="D1787" s="327"/>
      <c r="E1787" s="327" t="s">
        <v>5321</v>
      </c>
      <c r="F1787" s="206" t="s">
        <v>5322</v>
      </c>
      <c r="G1787" s="206" t="s">
        <v>5311</v>
      </c>
      <c r="H1787" s="207">
        <v>44487</v>
      </c>
      <c r="K1787" s="302">
        <v>7908054183</v>
      </c>
      <c r="M1787" s="212"/>
      <c r="N1787" s="213"/>
      <c r="O1787" s="209"/>
    </row>
    <row r="1788" spans="1:15" x14ac:dyDescent="0.3">
      <c r="A1788" s="302" t="s">
        <v>155</v>
      </c>
      <c r="B1788" s="302" t="str">
        <f t="shared" si="10"/>
        <v>Y</v>
      </c>
      <c r="C1788" s="6" t="s">
        <v>5323</v>
      </c>
      <c r="D1788" s="327"/>
      <c r="E1788" s="327" t="s">
        <v>5324</v>
      </c>
      <c r="F1788" s="206" t="s">
        <v>1994</v>
      </c>
      <c r="G1788" s="206" t="s">
        <v>5325</v>
      </c>
      <c r="H1788" s="207">
        <v>44488</v>
      </c>
      <c r="J1788" s="2" t="s">
        <v>5326</v>
      </c>
      <c r="K1788" s="302">
        <v>9631534643</v>
      </c>
      <c r="M1788" s="212"/>
      <c r="N1788" s="213"/>
      <c r="O1788" s="209"/>
    </row>
    <row r="1789" spans="1:15" x14ac:dyDescent="0.3">
      <c r="A1789" s="302" t="s">
        <v>155</v>
      </c>
      <c r="B1789" s="302" t="str">
        <f t="shared" si="10"/>
        <v>Y</v>
      </c>
      <c r="C1789" s="6" t="s">
        <v>5327</v>
      </c>
      <c r="D1789" s="327"/>
      <c r="E1789" s="327" t="s">
        <v>5328</v>
      </c>
      <c r="F1789" s="206" t="s">
        <v>5329</v>
      </c>
      <c r="G1789" s="206" t="s">
        <v>5325</v>
      </c>
      <c r="H1789" s="207">
        <v>44488</v>
      </c>
      <c r="J1789" s="2" t="s">
        <v>3735</v>
      </c>
      <c r="K1789" s="302">
        <v>9204692426</v>
      </c>
      <c r="M1789" s="212"/>
      <c r="N1789" s="213"/>
      <c r="O1789" s="209"/>
    </row>
    <row r="1790" spans="1:15" x14ac:dyDescent="0.3">
      <c r="A1790" s="302" t="s">
        <v>155</v>
      </c>
      <c r="B1790" s="302" t="str">
        <f t="shared" si="10"/>
        <v>Y</v>
      </c>
      <c r="C1790" s="6" t="s">
        <v>5330</v>
      </c>
      <c r="D1790" s="327"/>
      <c r="E1790" s="327" t="s">
        <v>5331</v>
      </c>
      <c r="F1790" s="206" t="s">
        <v>5332</v>
      </c>
      <c r="G1790" s="206" t="s">
        <v>5325</v>
      </c>
      <c r="H1790" s="207">
        <v>44488</v>
      </c>
      <c r="J1790" s="2" t="s">
        <v>5333</v>
      </c>
      <c r="K1790" s="302">
        <v>9835714120</v>
      </c>
      <c r="M1790" s="212"/>
      <c r="N1790" s="213"/>
      <c r="O1790" s="209"/>
    </row>
    <row r="1791" spans="1:15" x14ac:dyDescent="0.3">
      <c r="A1791" s="302" t="s">
        <v>155</v>
      </c>
      <c r="B1791" s="302" t="str">
        <f t="shared" si="10"/>
        <v>Y</v>
      </c>
      <c r="C1791" s="6" t="s">
        <v>5334</v>
      </c>
      <c r="D1791" s="327"/>
      <c r="E1791" s="327" t="s">
        <v>5335</v>
      </c>
      <c r="F1791" s="206" t="s">
        <v>5336</v>
      </c>
      <c r="G1791" s="206" t="s">
        <v>5325</v>
      </c>
      <c r="H1791" s="207">
        <v>44488</v>
      </c>
      <c r="J1791" s="2" t="s">
        <v>5337</v>
      </c>
      <c r="K1791" s="302">
        <v>7209000816</v>
      </c>
      <c r="M1791" s="212"/>
      <c r="N1791" s="213"/>
      <c r="O1791" s="209"/>
    </row>
    <row r="1792" spans="1:15" x14ac:dyDescent="0.3">
      <c r="A1792" s="302" t="s">
        <v>155</v>
      </c>
      <c r="B1792" s="302" t="str">
        <f t="shared" si="10"/>
        <v>Y</v>
      </c>
      <c r="C1792" s="6" t="s">
        <v>5338</v>
      </c>
      <c r="D1792" s="327"/>
      <c r="E1792" s="327" t="s">
        <v>5339</v>
      </c>
      <c r="F1792" s="206" t="s">
        <v>5340</v>
      </c>
      <c r="G1792" s="206" t="s">
        <v>5325</v>
      </c>
      <c r="H1792" s="207">
        <v>44488</v>
      </c>
      <c r="J1792" s="2" t="s">
        <v>5341</v>
      </c>
      <c r="K1792" s="302">
        <v>8092524722</v>
      </c>
      <c r="M1792" s="212"/>
      <c r="N1792" s="213"/>
      <c r="O1792" s="209"/>
    </row>
    <row r="1793" spans="1:15" x14ac:dyDescent="0.3">
      <c r="A1793" s="302" t="s">
        <v>155</v>
      </c>
      <c r="B1793" s="302" t="str">
        <f t="shared" si="10"/>
        <v>Y</v>
      </c>
      <c r="C1793" s="6" t="s">
        <v>5342</v>
      </c>
      <c r="D1793" s="327"/>
      <c r="E1793" s="327" t="s">
        <v>5343</v>
      </c>
      <c r="F1793" s="206" t="s">
        <v>1502</v>
      </c>
      <c r="G1793" s="206" t="s">
        <v>5325</v>
      </c>
      <c r="H1793" s="207">
        <v>44488</v>
      </c>
      <c r="J1793" s="2" t="s">
        <v>5344</v>
      </c>
      <c r="K1793" s="302">
        <v>8789212442</v>
      </c>
      <c r="M1793" s="212"/>
      <c r="N1793" s="213"/>
      <c r="O1793" s="209"/>
    </row>
    <row r="1794" spans="1:15" x14ac:dyDescent="0.3">
      <c r="A1794" s="302" t="s">
        <v>155</v>
      </c>
      <c r="B1794" s="302" t="str">
        <f t="shared" si="10"/>
        <v>Y</v>
      </c>
      <c r="C1794" s="6" t="s">
        <v>5345</v>
      </c>
      <c r="D1794" s="327"/>
      <c r="E1794" s="327" t="s">
        <v>5346</v>
      </c>
      <c r="F1794" s="206" t="s">
        <v>5347</v>
      </c>
      <c r="G1794" s="206" t="s">
        <v>5348</v>
      </c>
      <c r="H1794" s="207">
        <v>44490</v>
      </c>
      <c r="J1794" s="2" t="s">
        <v>5349</v>
      </c>
      <c r="K1794" s="302">
        <v>7209753657</v>
      </c>
      <c r="M1794" s="212"/>
      <c r="N1794" s="213"/>
      <c r="O1794" s="209"/>
    </row>
    <row r="1795" spans="1:15" x14ac:dyDescent="0.3">
      <c r="A1795" s="302" t="s">
        <v>155</v>
      </c>
      <c r="B1795" s="302" t="str">
        <f t="shared" si="10"/>
        <v>Y</v>
      </c>
      <c r="C1795" s="6" t="s">
        <v>5350</v>
      </c>
      <c r="D1795" s="327"/>
      <c r="E1795" s="327" t="s">
        <v>5351</v>
      </c>
      <c r="F1795" s="206" t="s">
        <v>5352</v>
      </c>
      <c r="G1795" s="206" t="s">
        <v>5353</v>
      </c>
      <c r="H1795" s="207">
        <v>44491</v>
      </c>
      <c r="K1795" s="302">
        <v>7488053279</v>
      </c>
      <c r="M1795" s="212"/>
      <c r="N1795" s="213"/>
      <c r="O1795" s="209"/>
    </row>
    <row r="1796" spans="1:15" x14ac:dyDescent="0.3">
      <c r="A1796" s="302" t="s">
        <v>155</v>
      </c>
      <c r="B1796" s="302" t="str">
        <f t="shared" si="10"/>
        <v>Y</v>
      </c>
      <c r="C1796" s="6" t="s">
        <v>5354</v>
      </c>
      <c r="D1796" s="327"/>
      <c r="E1796" s="327" t="s">
        <v>4419</v>
      </c>
      <c r="F1796" s="206" t="s">
        <v>5355</v>
      </c>
      <c r="G1796" s="206" t="s">
        <v>5353</v>
      </c>
      <c r="H1796" s="207">
        <v>44491</v>
      </c>
      <c r="K1796" s="302">
        <v>8797579335</v>
      </c>
      <c r="M1796" s="212"/>
      <c r="N1796" s="213"/>
      <c r="O1796" s="209"/>
    </row>
    <row r="1797" spans="1:15" x14ac:dyDescent="0.3">
      <c r="A1797" s="302" t="s">
        <v>155</v>
      </c>
      <c r="B1797" s="302" t="str">
        <f t="shared" si="10"/>
        <v>Y</v>
      </c>
      <c r="C1797" s="6" t="s">
        <v>5356</v>
      </c>
      <c r="D1797" s="327"/>
      <c r="E1797" s="327" t="s">
        <v>555</v>
      </c>
      <c r="F1797" s="206" t="s">
        <v>5357</v>
      </c>
      <c r="G1797" s="206" t="s">
        <v>5353</v>
      </c>
      <c r="H1797" s="207">
        <v>44491</v>
      </c>
      <c r="K1797" s="302">
        <v>9771187933</v>
      </c>
      <c r="M1797" s="212"/>
      <c r="N1797" s="213"/>
      <c r="O1797" s="209"/>
    </row>
    <row r="1798" spans="1:15" x14ac:dyDescent="0.3">
      <c r="A1798" s="302" t="s">
        <v>155</v>
      </c>
      <c r="B1798" s="302" t="str">
        <f t="shared" si="10"/>
        <v>Y</v>
      </c>
      <c r="C1798" s="6" t="s">
        <v>5358</v>
      </c>
      <c r="D1798" s="327"/>
      <c r="E1798" s="327" t="s">
        <v>5359</v>
      </c>
      <c r="F1798" s="206" t="s">
        <v>5360</v>
      </c>
      <c r="G1798" s="206" t="s">
        <v>5353</v>
      </c>
      <c r="H1798" s="207">
        <v>44491</v>
      </c>
      <c r="K1798" s="302">
        <v>7061902060</v>
      </c>
      <c r="M1798" s="212"/>
      <c r="N1798" s="213"/>
      <c r="O1798" s="209"/>
    </row>
    <row r="1799" spans="1:15" x14ac:dyDescent="0.3">
      <c r="A1799" s="302" t="s">
        <v>155</v>
      </c>
      <c r="B1799" s="302" t="str">
        <f t="shared" si="10"/>
        <v>Y</v>
      </c>
      <c r="C1799" s="6" t="s">
        <v>5361</v>
      </c>
      <c r="D1799" s="327"/>
      <c r="E1799" s="327" t="s">
        <v>5362</v>
      </c>
      <c r="F1799" s="206" t="s">
        <v>5363</v>
      </c>
      <c r="G1799" s="206" t="s">
        <v>5353</v>
      </c>
      <c r="H1799" s="207">
        <v>44491</v>
      </c>
      <c r="K1799" s="302">
        <v>8002522444</v>
      </c>
      <c r="M1799" s="212"/>
      <c r="N1799" s="213"/>
      <c r="O1799" s="209"/>
    </row>
    <row r="1800" spans="1:15" x14ac:dyDescent="0.3">
      <c r="A1800" s="302" t="s">
        <v>155</v>
      </c>
      <c r="B1800" s="302" t="str">
        <f t="shared" si="10"/>
        <v>Y</v>
      </c>
      <c r="C1800" s="6" t="s">
        <v>5364</v>
      </c>
      <c r="D1800" s="327"/>
      <c r="E1800" s="327" t="s">
        <v>5365</v>
      </c>
      <c r="F1800" s="206" t="s">
        <v>5366</v>
      </c>
      <c r="G1800" s="206" t="s">
        <v>5353</v>
      </c>
      <c r="H1800" s="207">
        <v>44491</v>
      </c>
      <c r="K1800" s="302">
        <v>8434730329</v>
      </c>
      <c r="M1800" s="212"/>
      <c r="N1800" s="213"/>
      <c r="O1800" s="209"/>
    </row>
    <row r="1801" spans="1:15" x14ac:dyDescent="0.3">
      <c r="A1801" s="302" t="s">
        <v>155</v>
      </c>
      <c r="B1801" s="302" t="str">
        <f t="shared" si="10"/>
        <v>Y</v>
      </c>
      <c r="C1801" s="6" t="s">
        <v>5367</v>
      </c>
      <c r="D1801" s="327"/>
      <c r="E1801" s="327" t="s">
        <v>5368</v>
      </c>
      <c r="F1801" s="206" t="s">
        <v>1811</v>
      </c>
      <c r="G1801" s="206" t="s">
        <v>5369</v>
      </c>
      <c r="H1801" s="207">
        <v>44491</v>
      </c>
      <c r="K1801" s="302">
        <v>9156996148</v>
      </c>
      <c r="M1801" s="212"/>
      <c r="N1801" s="213"/>
      <c r="O1801" s="209"/>
    </row>
    <row r="1802" spans="1:15" x14ac:dyDescent="0.3">
      <c r="A1802" s="302" t="s">
        <v>155</v>
      </c>
      <c r="B1802" s="302" t="str">
        <f t="shared" si="10"/>
        <v>Y</v>
      </c>
      <c r="C1802" s="6" t="s">
        <v>5370</v>
      </c>
      <c r="D1802" s="327"/>
      <c r="E1802" s="327" t="s">
        <v>5371</v>
      </c>
      <c r="F1802" s="206" t="s">
        <v>5372</v>
      </c>
      <c r="G1802" s="206" t="s">
        <v>5348</v>
      </c>
      <c r="H1802" s="207">
        <v>44490</v>
      </c>
      <c r="K1802" s="302">
        <v>7631197987</v>
      </c>
      <c r="M1802" s="212"/>
      <c r="N1802" s="213"/>
      <c r="O1802" s="209"/>
    </row>
    <row r="1803" spans="1:15" x14ac:dyDescent="0.3">
      <c r="A1803" s="302" t="s">
        <v>155</v>
      </c>
      <c r="B1803" s="302" t="str">
        <f t="shared" si="10"/>
        <v>Y</v>
      </c>
      <c r="C1803" s="6" t="s">
        <v>5373</v>
      </c>
      <c r="D1803" s="327"/>
      <c r="E1803" s="327" t="s">
        <v>5374</v>
      </c>
      <c r="F1803" s="206" t="s">
        <v>5375</v>
      </c>
      <c r="G1803" s="206" t="s">
        <v>5348</v>
      </c>
      <c r="H1803" s="207">
        <v>44490</v>
      </c>
      <c r="K1803" s="302">
        <v>7004415813</v>
      </c>
      <c r="M1803" s="212"/>
      <c r="N1803" s="213"/>
      <c r="O1803" s="209"/>
    </row>
    <row r="1804" spans="1:15" x14ac:dyDescent="0.3">
      <c r="A1804" s="302" t="s">
        <v>155</v>
      </c>
      <c r="B1804" s="302" t="str">
        <f t="shared" si="10"/>
        <v>Y</v>
      </c>
      <c r="C1804" s="6" t="s">
        <v>5376</v>
      </c>
      <c r="D1804" s="327"/>
      <c r="E1804" s="327" t="s">
        <v>5377</v>
      </c>
      <c r="F1804" s="206" t="s">
        <v>5378</v>
      </c>
      <c r="G1804" s="206" t="s">
        <v>5348</v>
      </c>
      <c r="H1804" s="207">
        <v>44490</v>
      </c>
      <c r="K1804" s="302">
        <v>7250853006</v>
      </c>
      <c r="M1804" s="212"/>
      <c r="N1804" s="213"/>
      <c r="O1804" s="209"/>
    </row>
    <row r="1805" spans="1:15" x14ac:dyDescent="0.3">
      <c r="A1805" s="302" t="s">
        <v>155</v>
      </c>
      <c r="B1805" s="302" t="str">
        <f t="shared" si="10"/>
        <v>Y</v>
      </c>
      <c r="C1805" s="6" t="s">
        <v>5379</v>
      </c>
      <c r="D1805" s="327"/>
      <c r="E1805" s="327" t="s">
        <v>5380</v>
      </c>
      <c r="F1805" s="206" t="s">
        <v>5381</v>
      </c>
      <c r="G1805" s="206" t="s">
        <v>5382</v>
      </c>
      <c r="H1805" s="207">
        <v>44494</v>
      </c>
      <c r="J1805" s="2" t="s">
        <v>3735</v>
      </c>
      <c r="K1805" s="302">
        <v>8603237181</v>
      </c>
      <c r="M1805" s="212"/>
      <c r="N1805" s="213"/>
      <c r="O1805" s="209"/>
    </row>
    <row r="1806" spans="1:15" x14ac:dyDescent="0.3">
      <c r="A1806" s="302" t="s">
        <v>155</v>
      </c>
      <c r="B1806" s="302" t="str">
        <f t="shared" ref="B1806:B1863" si="11">IF(H1806="","N","Y")</f>
        <v>Y</v>
      </c>
      <c r="C1806" s="6" t="s">
        <v>5383</v>
      </c>
      <c r="D1806" s="327"/>
      <c r="E1806" s="327" t="s">
        <v>5384</v>
      </c>
      <c r="F1806" s="206" t="s">
        <v>5385</v>
      </c>
      <c r="G1806" s="206" t="s">
        <v>5382</v>
      </c>
      <c r="H1806" s="207">
        <v>44494</v>
      </c>
      <c r="J1806" s="2" t="s">
        <v>3735</v>
      </c>
      <c r="K1806" s="302">
        <v>7761823396</v>
      </c>
      <c r="M1806" s="212"/>
      <c r="N1806" s="213"/>
      <c r="O1806" s="209"/>
    </row>
    <row r="1807" spans="1:15" x14ac:dyDescent="0.3">
      <c r="A1807" s="302" t="s">
        <v>155</v>
      </c>
      <c r="B1807" s="302" t="str">
        <f t="shared" si="11"/>
        <v>Y</v>
      </c>
      <c r="C1807" s="6" t="s">
        <v>5386</v>
      </c>
      <c r="D1807" s="327"/>
      <c r="E1807" s="327" t="s">
        <v>5387</v>
      </c>
      <c r="F1807" s="206" t="s">
        <v>5388</v>
      </c>
      <c r="G1807" s="206" t="s">
        <v>5382</v>
      </c>
      <c r="H1807" s="207">
        <v>44494</v>
      </c>
      <c r="J1807" s="2" t="s">
        <v>3735</v>
      </c>
      <c r="K1807" s="302">
        <v>8210178746</v>
      </c>
      <c r="M1807" s="212"/>
      <c r="N1807" s="213"/>
      <c r="O1807" s="209"/>
    </row>
    <row r="1808" spans="1:15" x14ac:dyDescent="0.3">
      <c r="A1808" s="302" t="s">
        <v>155</v>
      </c>
      <c r="B1808" s="302" t="str">
        <f t="shared" si="11"/>
        <v>Y</v>
      </c>
      <c r="C1808" s="6" t="s">
        <v>5389</v>
      </c>
      <c r="D1808" s="327"/>
      <c r="E1808" s="327" t="s">
        <v>5390</v>
      </c>
      <c r="F1808" s="206" t="s">
        <v>5391</v>
      </c>
      <c r="G1808" s="206" t="s">
        <v>5392</v>
      </c>
      <c r="H1808" s="206" t="s">
        <v>5392</v>
      </c>
      <c r="K1808" s="302">
        <v>6202304685</v>
      </c>
      <c r="M1808" s="212"/>
      <c r="N1808" s="213"/>
      <c r="O1808" s="209"/>
    </row>
    <row r="1809" spans="1:15" x14ac:dyDescent="0.3">
      <c r="A1809" s="302" t="s">
        <v>155</v>
      </c>
      <c r="B1809" s="302" t="str">
        <f t="shared" si="11"/>
        <v>Y</v>
      </c>
      <c r="C1809" s="6" t="s">
        <v>5330</v>
      </c>
      <c r="D1809" s="327"/>
      <c r="E1809" s="327" t="s">
        <v>5393</v>
      </c>
      <c r="F1809" s="206" t="s">
        <v>5394</v>
      </c>
      <c r="G1809" s="206" t="s">
        <v>5392</v>
      </c>
      <c r="H1809" s="206" t="s">
        <v>5392</v>
      </c>
      <c r="M1809" s="212"/>
      <c r="N1809" s="213"/>
      <c r="O1809" s="209"/>
    </row>
    <row r="1810" spans="1:15" x14ac:dyDescent="0.3">
      <c r="A1810" s="302" t="s">
        <v>155</v>
      </c>
      <c r="B1810" s="302" t="str">
        <f t="shared" si="11"/>
        <v>Y</v>
      </c>
      <c r="C1810" s="6" t="s">
        <v>5395</v>
      </c>
      <c r="D1810" s="327"/>
      <c r="E1810" s="327" t="s">
        <v>5396</v>
      </c>
      <c r="F1810" s="206" t="s">
        <v>2070</v>
      </c>
      <c r="G1810" s="206" t="s">
        <v>5397</v>
      </c>
      <c r="H1810" s="207">
        <v>44498</v>
      </c>
      <c r="K1810" s="302">
        <v>9234860472</v>
      </c>
      <c r="M1810" s="212"/>
      <c r="N1810" s="213"/>
      <c r="O1810" s="209"/>
    </row>
    <row r="1811" spans="1:15" x14ac:dyDescent="0.3">
      <c r="A1811" s="302" t="s">
        <v>155</v>
      </c>
      <c r="B1811" s="302" t="str">
        <f t="shared" si="11"/>
        <v>Y</v>
      </c>
      <c r="C1811" s="6" t="s">
        <v>5398</v>
      </c>
      <c r="D1811" s="327"/>
      <c r="E1811" s="327" t="s">
        <v>5399</v>
      </c>
      <c r="F1811" s="206" t="s">
        <v>5400</v>
      </c>
      <c r="G1811" s="206" t="s">
        <v>5397</v>
      </c>
      <c r="H1811" s="206" t="s">
        <v>5397</v>
      </c>
      <c r="K1811" s="302">
        <v>9006771557</v>
      </c>
      <c r="M1811" s="212"/>
      <c r="N1811" s="213"/>
      <c r="O1811" s="209"/>
    </row>
    <row r="1812" spans="1:15" x14ac:dyDescent="0.3">
      <c r="A1812" s="302" t="s">
        <v>155</v>
      </c>
      <c r="B1812" s="302" t="str">
        <f t="shared" si="11"/>
        <v>Y</v>
      </c>
      <c r="C1812" s="6" t="s">
        <v>5401</v>
      </c>
      <c r="D1812" s="327"/>
      <c r="E1812" s="327" t="s">
        <v>5402</v>
      </c>
      <c r="F1812" s="206" t="s">
        <v>5403</v>
      </c>
      <c r="G1812" s="206" t="s">
        <v>5397</v>
      </c>
      <c r="H1812" s="207">
        <v>44498</v>
      </c>
      <c r="K1812" s="302">
        <v>6201997261</v>
      </c>
      <c r="M1812" s="212"/>
      <c r="N1812" s="213"/>
      <c r="O1812" s="209"/>
    </row>
    <row r="1813" spans="1:15" x14ac:dyDescent="0.3">
      <c r="A1813" s="302" t="s">
        <v>155</v>
      </c>
      <c r="B1813" s="302" t="str">
        <f t="shared" si="11"/>
        <v>Y</v>
      </c>
      <c r="C1813" s="6" t="s">
        <v>5404</v>
      </c>
      <c r="D1813" s="327"/>
      <c r="E1813" s="327" t="s">
        <v>1979</v>
      </c>
      <c r="F1813" s="206" t="s">
        <v>5405</v>
      </c>
      <c r="G1813" s="206" t="s">
        <v>5397</v>
      </c>
      <c r="H1813" s="207">
        <v>44498</v>
      </c>
      <c r="K1813" s="302">
        <v>8083545153</v>
      </c>
      <c r="M1813" s="212"/>
      <c r="N1813" s="213"/>
      <c r="O1813" s="209"/>
    </row>
    <row r="1814" spans="1:15" x14ac:dyDescent="0.3">
      <c r="A1814" s="302" t="s">
        <v>155</v>
      </c>
      <c r="B1814" s="302" t="str">
        <f t="shared" si="11"/>
        <v>Y</v>
      </c>
      <c r="C1814" s="6" t="s">
        <v>5406</v>
      </c>
      <c r="D1814" s="327"/>
      <c r="E1814" s="327" t="s">
        <v>5407</v>
      </c>
      <c r="F1814" s="206" t="s">
        <v>5408</v>
      </c>
      <c r="G1814" s="206" t="s">
        <v>5397</v>
      </c>
      <c r="H1814" s="207">
        <v>44498</v>
      </c>
      <c r="K1814" s="302">
        <v>9113305845</v>
      </c>
      <c r="M1814" s="212"/>
      <c r="N1814" s="213"/>
      <c r="O1814" s="209"/>
    </row>
    <row r="1815" spans="1:15" x14ac:dyDescent="0.3">
      <c r="A1815" s="302" t="s">
        <v>155</v>
      </c>
      <c r="B1815" s="302" t="str">
        <f t="shared" si="11"/>
        <v>Y</v>
      </c>
      <c r="C1815" s="6" t="s">
        <v>5327</v>
      </c>
      <c r="D1815" s="327"/>
      <c r="E1815" s="327" t="s">
        <v>5409</v>
      </c>
      <c r="F1815" s="206" t="s">
        <v>5410</v>
      </c>
      <c r="G1815" s="206" t="s">
        <v>5397</v>
      </c>
      <c r="H1815" s="207">
        <v>44498</v>
      </c>
      <c r="K1815" s="302">
        <v>9204692426</v>
      </c>
      <c r="M1815" s="212"/>
      <c r="N1815" s="213"/>
      <c r="O1815" s="209"/>
    </row>
    <row r="1816" spans="1:15" x14ac:dyDescent="0.3">
      <c r="A1816" s="302" t="s">
        <v>155</v>
      </c>
      <c r="B1816" s="302" t="str">
        <f t="shared" si="11"/>
        <v>Y</v>
      </c>
      <c r="C1816" s="6" t="s">
        <v>5411</v>
      </c>
      <c r="D1816" s="327"/>
      <c r="E1816" s="327" t="s">
        <v>5412</v>
      </c>
      <c r="F1816" s="206" t="s">
        <v>5413</v>
      </c>
      <c r="G1816" s="206" t="s">
        <v>5397</v>
      </c>
      <c r="H1816" s="207">
        <v>44498</v>
      </c>
      <c r="K1816" s="302">
        <v>9031905779</v>
      </c>
      <c r="M1816" s="212"/>
      <c r="N1816" s="213"/>
      <c r="O1816" s="209"/>
    </row>
    <row r="1817" spans="1:15" x14ac:dyDescent="0.3">
      <c r="A1817" s="302" t="s">
        <v>155</v>
      </c>
      <c r="B1817" s="302" t="str">
        <f t="shared" si="11"/>
        <v>Y</v>
      </c>
      <c r="C1817" s="6" t="s">
        <v>5414</v>
      </c>
      <c r="D1817" s="327"/>
      <c r="E1817" s="327" t="s">
        <v>5415</v>
      </c>
      <c r="F1817" s="206" t="s">
        <v>3248</v>
      </c>
      <c r="G1817" s="206" t="s">
        <v>5397</v>
      </c>
      <c r="H1817" s="207">
        <v>44498</v>
      </c>
      <c r="K1817" s="302">
        <v>8797303563</v>
      </c>
      <c r="M1817" s="212"/>
      <c r="N1817" s="213"/>
      <c r="O1817" s="209"/>
    </row>
    <row r="1818" spans="1:15" x14ac:dyDescent="0.3">
      <c r="A1818" s="302" t="s">
        <v>155</v>
      </c>
      <c r="B1818" s="302" t="str">
        <f t="shared" si="11"/>
        <v>Y</v>
      </c>
      <c r="C1818" s="6" t="s">
        <v>5416</v>
      </c>
      <c r="D1818" s="327"/>
      <c r="E1818" s="327" t="s">
        <v>5417</v>
      </c>
      <c r="F1818" s="206" t="s">
        <v>5418</v>
      </c>
      <c r="G1818" s="206" t="s">
        <v>5397</v>
      </c>
      <c r="H1818" s="207">
        <v>44498</v>
      </c>
      <c r="K1818" s="302">
        <v>7761972059</v>
      </c>
      <c r="M1818" s="212"/>
      <c r="N1818" s="213"/>
      <c r="O1818" s="209"/>
    </row>
    <row r="1819" spans="1:15" x14ac:dyDescent="0.3">
      <c r="A1819" s="302" t="s">
        <v>155</v>
      </c>
      <c r="B1819" s="302" t="str">
        <f t="shared" si="11"/>
        <v>Y</v>
      </c>
      <c r="C1819" s="6" t="s">
        <v>5419</v>
      </c>
      <c r="D1819" s="327"/>
      <c r="E1819" s="327" t="s">
        <v>5420</v>
      </c>
      <c r="F1819" s="206" t="s">
        <v>5421</v>
      </c>
      <c r="G1819" s="206" t="s">
        <v>5422</v>
      </c>
      <c r="H1819" s="206" t="s">
        <v>5422</v>
      </c>
      <c r="K1819" s="302">
        <v>8271097982</v>
      </c>
      <c r="M1819" s="212"/>
      <c r="N1819" s="213"/>
      <c r="O1819" s="209"/>
    </row>
    <row r="1820" spans="1:15" x14ac:dyDescent="0.3">
      <c r="A1820" s="302" t="s">
        <v>155</v>
      </c>
      <c r="B1820" s="302" t="str">
        <f t="shared" si="11"/>
        <v>Y</v>
      </c>
      <c r="C1820" s="6" t="s">
        <v>5423</v>
      </c>
      <c r="D1820" s="327"/>
      <c r="E1820" s="327" t="s">
        <v>5424</v>
      </c>
      <c r="F1820" s="206" t="s">
        <v>5425</v>
      </c>
      <c r="G1820" s="206" t="s">
        <v>5422</v>
      </c>
      <c r="H1820" s="206" t="s">
        <v>5422</v>
      </c>
      <c r="K1820" s="302">
        <v>7209000326</v>
      </c>
      <c r="M1820" s="212"/>
      <c r="N1820" s="213"/>
      <c r="O1820" s="209"/>
    </row>
    <row r="1821" spans="1:15" x14ac:dyDescent="0.3">
      <c r="A1821" s="302" t="s">
        <v>155</v>
      </c>
      <c r="B1821" s="302" t="str">
        <f t="shared" si="11"/>
        <v>Y</v>
      </c>
      <c r="C1821" s="6" t="s">
        <v>5426</v>
      </c>
      <c r="D1821" s="327"/>
      <c r="E1821" s="327" t="s">
        <v>5427</v>
      </c>
      <c r="F1821" s="206" t="s">
        <v>5428</v>
      </c>
      <c r="G1821" s="206" t="s">
        <v>5422</v>
      </c>
      <c r="H1821" s="206" t="s">
        <v>5422</v>
      </c>
      <c r="K1821" s="302">
        <v>7209244744</v>
      </c>
      <c r="M1821" s="212"/>
      <c r="N1821" s="213"/>
      <c r="O1821" s="209"/>
    </row>
    <row r="1822" spans="1:15" x14ac:dyDescent="0.3">
      <c r="A1822" s="302" t="s">
        <v>155</v>
      </c>
      <c r="B1822" s="302" t="str">
        <f t="shared" si="11"/>
        <v>Y</v>
      </c>
      <c r="C1822" s="6" t="s">
        <v>5429</v>
      </c>
      <c r="D1822" s="327"/>
      <c r="E1822" s="327" t="s">
        <v>5430</v>
      </c>
      <c r="F1822" s="206" t="s">
        <v>5431</v>
      </c>
      <c r="G1822" s="206" t="s">
        <v>5422</v>
      </c>
      <c r="H1822" s="206" t="s">
        <v>5422</v>
      </c>
      <c r="K1822" s="302">
        <v>9939316042</v>
      </c>
      <c r="M1822" s="212"/>
      <c r="N1822" s="213"/>
      <c r="O1822" s="209"/>
    </row>
    <row r="1823" spans="1:15" x14ac:dyDescent="0.3">
      <c r="A1823" s="302" t="s">
        <v>155</v>
      </c>
      <c r="B1823" s="302" t="str">
        <f t="shared" si="11"/>
        <v>Y</v>
      </c>
      <c r="C1823" s="6" t="s">
        <v>5432</v>
      </c>
      <c r="D1823" s="327"/>
      <c r="E1823" s="327" t="s">
        <v>5433</v>
      </c>
      <c r="F1823" s="206" t="s">
        <v>5434</v>
      </c>
      <c r="G1823" s="206" t="s">
        <v>5422</v>
      </c>
      <c r="H1823" s="206" t="s">
        <v>5422</v>
      </c>
      <c r="K1823" s="302">
        <v>8670634337</v>
      </c>
      <c r="M1823" s="212"/>
      <c r="N1823" s="213"/>
      <c r="O1823" s="209"/>
    </row>
    <row r="1824" spans="1:15" x14ac:dyDescent="0.3">
      <c r="A1824" s="302" t="s">
        <v>155</v>
      </c>
      <c r="B1824" s="302" t="str">
        <f t="shared" si="11"/>
        <v>Y</v>
      </c>
      <c r="C1824" s="6" t="s">
        <v>5435</v>
      </c>
      <c r="D1824" s="327"/>
      <c r="E1824" s="327" t="s">
        <v>5436</v>
      </c>
      <c r="F1824" s="206" t="s">
        <v>5366</v>
      </c>
      <c r="G1824" s="206" t="s">
        <v>5422</v>
      </c>
      <c r="H1824" s="206" t="s">
        <v>5422</v>
      </c>
      <c r="K1824" s="302">
        <v>8434730329</v>
      </c>
      <c r="M1824" s="212"/>
      <c r="N1824" s="213"/>
      <c r="O1824" s="209"/>
    </row>
    <row r="1825" spans="1:15" x14ac:dyDescent="0.3">
      <c r="A1825" s="302" t="s">
        <v>155</v>
      </c>
      <c r="B1825" s="302" t="str">
        <f t="shared" si="11"/>
        <v>Y</v>
      </c>
      <c r="C1825" s="6" t="s">
        <v>5437</v>
      </c>
      <c r="D1825" s="327"/>
      <c r="E1825" s="327" t="s">
        <v>5438</v>
      </c>
      <c r="F1825" s="206" t="s">
        <v>5439</v>
      </c>
      <c r="G1825" s="206" t="s">
        <v>5422</v>
      </c>
      <c r="H1825" s="206" t="s">
        <v>5422</v>
      </c>
      <c r="K1825" s="302">
        <v>6209604922</v>
      </c>
      <c r="M1825" s="212"/>
      <c r="N1825" s="213"/>
      <c r="O1825" s="209"/>
    </row>
    <row r="1826" spans="1:15" x14ac:dyDescent="0.3">
      <c r="A1826" s="302" t="s">
        <v>155</v>
      </c>
      <c r="B1826" s="302" t="str">
        <f t="shared" si="11"/>
        <v>Y</v>
      </c>
      <c r="C1826" s="6" t="s">
        <v>5440</v>
      </c>
      <c r="D1826" s="327"/>
      <c r="E1826" s="327" t="s">
        <v>5441</v>
      </c>
      <c r="F1826" s="206" t="s">
        <v>5442</v>
      </c>
      <c r="G1826" s="206" t="s">
        <v>5422</v>
      </c>
      <c r="H1826" s="206" t="s">
        <v>5422</v>
      </c>
      <c r="J1826" s="206" t="s">
        <v>5443</v>
      </c>
      <c r="K1826" s="302">
        <v>8603849912</v>
      </c>
      <c r="M1826" s="212"/>
      <c r="N1826" s="213"/>
      <c r="O1826" s="209"/>
    </row>
    <row r="1827" spans="1:15" x14ac:dyDescent="0.3">
      <c r="A1827" s="302" t="s">
        <v>155</v>
      </c>
      <c r="B1827" s="302" t="str">
        <f t="shared" si="11"/>
        <v>Y</v>
      </c>
      <c r="C1827" s="6" t="s">
        <v>5444</v>
      </c>
      <c r="D1827" s="327"/>
      <c r="E1827" s="327" t="s">
        <v>5445</v>
      </c>
      <c r="F1827" s="206" t="s">
        <v>5446</v>
      </c>
      <c r="G1827" s="206" t="s">
        <v>5422</v>
      </c>
      <c r="H1827" s="206" t="s">
        <v>5422</v>
      </c>
      <c r="J1827" s="206" t="s">
        <v>3735</v>
      </c>
      <c r="K1827" s="302">
        <v>8210673510</v>
      </c>
      <c r="M1827" s="212"/>
      <c r="N1827" s="213"/>
      <c r="O1827" s="209"/>
    </row>
    <row r="1828" spans="1:15" x14ac:dyDescent="0.3">
      <c r="A1828" s="302" t="s">
        <v>155</v>
      </c>
      <c r="B1828" s="302" t="str">
        <f t="shared" si="11"/>
        <v>Y</v>
      </c>
      <c r="C1828" s="6" t="s">
        <v>5447</v>
      </c>
      <c r="D1828" s="327"/>
      <c r="E1828" s="327" t="s">
        <v>5448</v>
      </c>
      <c r="F1828" s="206" t="s">
        <v>5449</v>
      </c>
      <c r="G1828" s="206" t="s">
        <v>5422</v>
      </c>
      <c r="H1828" s="206" t="s">
        <v>5422</v>
      </c>
      <c r="J1828" s="206" t="s">
        <v>5450</v>
      </c>
      <c r="K1828" s="302">
        <v>7488581509</v>
      </c>
      <c r="M1828" s="212"/>
      <c r="N1828" s="213"/>
      <c r="O1828" s="209"/>
    </row>
    <row r="1829" spans="1:15" x14ac:dyDescent="0.3">
      <c r="A1829" s="302" t="s">
        <v>155</v>
      </c>
      <c r="B1829" s="302" t="str">
        <f t="shared" si="11"/>
        <v>Y</v>
      </c>
      <c r="C1829" s="6" t="s">
        <v>5451</v>
      </c>
      <c r="D1829" s="327"/>
      <c r="E1829" s="327" t="s">
        <v>5452</v>
      </c>
      <c r="F1829" s="206" t="s">
        <v>3149</v>
      </c>
      <c r="G1829" s="206" t="s">
        <v>5453</v>
      </c>
      <c r="H1829" s="206" t="s">
        <v>5453</v>
      </c>
      <c r="K1829" s="302">
        <v>6203494847</v>
      </c>
      <c r="M1829" s="212"/>
      <c r="N1829" s="213"/>
      <c r="O1829" s="209"/>
    </row>
    <row r="1830" spans="1:15" x14ac:dyDescent="0.3">
      <c r="A1830" s="302" t="s">
        <v>155</v>
      </c>
      <c r="B1830" s="302" t="str">
        <f t="shared" si="11"/>
        <v>Y</v>
      </c>
      <c r="C1830" s="6" t="s">
        <v>5454</v>
      </c>
      <c r="D1830" s="327"/>
      <c r="E1830" s="327" t="s">
        <v>4862</v>
      </c>
      <c r="F1830" s="206" t="s">
        <v>4863</v>
      </c>
      <c r="G1830" s="206" t="s">
        <v>5455</v>
      </c>
      <c r="H1830" s="206" t="s">
        <v>5455</v>
      </c>
      <c r="K1830" s="302">
        <v>9931110559</v>
      </c>
      <c r="M1830" s="212"/>
      <c r="N1830" s="213"/>
      <c r="O1830" s="209"/>
    </row>
    <row r="1831" spans="1:15" x14ac:dyDescent="0.3">
      <c r="A1831" s="302" t="s">
        <v>155</v>
      </c>
      <c r="B1831" s="302" t="str">
        <f t="shared" si="11"/>
        <v>Y</v>
      </c>
      <c r="C1831" s="6" t="s">
        <v>5456</v>
      </c>
      <c r="D1831" s="327"/>
      <c r="E1831" s="327" t="s">
        <v>5457</v>
      </c>
      <c r="F1831" s="206" t="s">
        <v>5458</v>
      </c>
      <c r="G1831" s="206" t="s">
        <v>5455</v>
      </c>
      <c r="H1831" s="206" t="s">
        <v>5455</v>
      </c>
      <c r="K1831" s="302">
        <v>9523096842</v>
      </c>
      <c r="M1831" s="212"/>
      <c r="N1831" s="213"/>
      <c r="O1831" s="209"/>
    </row>
    <row r="1832" spans="1:15" x14ac:dyDescent="0.3">
      <c r="A1832" s="302" t="s">
        <v>155</v>
      </c>
      <c r="B1832" s="302" t="str">
        <f t="shared" si="11"/>
        <v>Y</v>
      </c>
      <c r="C1832" s="6" t="s">
        <v>5459</v>
      </c>
      <c r="D1832" s="327"/>
      <c r="E1832" s="327" t="s">
        <v>291</v>
      </c>
      <c r="F1832" s="206" t="s">
        <v>5460</v>
      </c>
      <c r="G1832" s="206" t="s">
        <v>5455</v>
      </c>
      <c r="H1832" s="206" t="s">
        <v>5455</v>
      </c>
      <c r="K1832" s="302">
        <v>6200390433</v>
      </c>
      <c r="M1832" s="212"/>
      <c r="N1832" s="213"/>
      <c r="O1832" s="209"/>
    </row>
    <row r="1833" spans="1:15" x14ac:dyDescent="0.3">
      <c r="A1833" s="302" t="s">
        <v>155</v>
      </c>
      <c r="B1833" s="302" t="str">
        <f t="shared" si="11"/>
        <v>Y</v>
      </c>
      <c r="C1833" s="6" t="s">
        <v>5461</v>
      </c>
      <c r="D1833" s="327"/>
      <c r="E1833" s="327" t="s">
        <v>5462</v>
      </c>
      <c r="F1833" s="206" t="s">
        <v>5463</v>
      </c>
      <c r="G1833" s="206" t="s">
        <v>5464</v>
      </c>
      <c r="H1833" s="207">
        <v>44503</v>
      </c>
      <c r="K1833" s="302">
        <v>8918935800</v>
      </c>
      <c r="M1833" s="212"/>
      <c r="N1833" s="213"/>
      <c r="O1833" s="209"/>
    </row>
    <row r="1834" spans="1:15" x14ac:dyDescent="0.3">
      <c r="A1834" s="302" t="s">
        <v>155</v>
      </c>
      <c r="B1834" s="302" t="str">
        <f t="shared" si="11"/>
        <v>Y</v>
      </c>
      <c r="C1834" s="6" t="s">
        <v>5465</v>
      </c>
      <c r="D1834" s="327"/>
      <c r="E1834" s="327" t="s">
        <v>5466</v>
      </c>
      <c r="F1834" s="206" t="s">
        <v>5467</v>
      </c>
      <c r="G1834" s="206" t="s">
        <v>5464</v>
      </c>
      <c r="H1834" s="207">
        <v>44503</v>
      </c>
      <c r="K1834" s="302">
        <v>8873396369</v>
      </c>
      <c r="M1834" s="212"/>
      <c r="N1834" s="213"/>
      <c r="O1834" s="209"/>
    </row>
    <row r="1835" spans="1:15" x14ac:dyDescent="0.3">
      <c r="A1835" s="302" t="s">
        <v>155</v>
      </c>
      <c r="B1835" s="302" t="str">
        <f t="shared" si="11"/>
        <v>Y</v>
      </c>
      <c r="C1835" s="6" t="s">
        <v>5468</v>
      </c>
      <c r="D1835" s="327"/>
      <c r="E1835" s="327" t="s">
        <v>5469</v>
      </c>
      <c r="F1835" s="206" t="s">
        <v>5470</v>
      </c>
      <c r="G1835" s="206" t="s">
        <v>5471</v>
      </c>
      <c r="H1835" s="207">
        <v>44504</v>
      </c>
      <c r="J1835" s="2" t="s">
        <v>5472</v>
      </c>
      <c r="K1835" s="302">
        <v>8797023406</v>
      </c>
      <c r="M1835" s="212"/>
      <c r="N1835" s="213"/>
      <c r="O1835" s="209"/>
    </row>
    <row r="1836" spans="1:15" x14ac:dyDescent="0.3">
      <c r="A1836" s="302" t="s">
        <v>155</v>
      </c>
      <c r="B1836" s="302" t="str">
        <f t="shared" si="11"/>
        <v>Y</v>
      </c>
      <c r="C1836" s="6" t="s">
        <v>5473</v>
      </c>
      <c r="D1836" s="327"/>
      <c r="E1836" s="327" t="s">
        <v>3484</v>
      </c>
      <c r="F1836" s="206" t="s">
        <v>5474</v>
      </c>
      <c r="G1836" s="206" t="s">
        <v>5475</v>
      </c>
      <c r="H1836" s="206" t="s">
        <v>5475</v>
      </c>
      <c r="K1836" s="302">
        <v>6204221939</v>
      </c>
      <c r="M1836" s="212"/>
      <c r="N1836" s="213"/>
      <c r="O1836" s="209"/>
    </row>
    <row r="1837" spans="1:15" x14ac:dyDescent="0.3">
      <c r="A1837" s="302" t="s">
        <v>155</v>
      </c>
      <c r="B1837" s="302" t="str">
        <f t="shared" si="11"/>
        <v>Y</v>
      </c>
      <c r="C1837" s="6" t="s">
        <v>5476</v>
      </c>
      <c r="D1837" s="327"/>
      <c r="E1837" s="327" t="s">
        <v>5477</v>
      </c>
      <c r="F1837" s="206" t="s">
        <v>5478</v>
      </c>
      <c r="G1837" s="206" t="s">
        <v>5475</v>
      </c>
      <c r="H1837" s="206" t="s">
        <v>5475</v>
      </c>
      <c r="K1837" s="302">
        <v>7992476235</v>
      </c>
      <c r="M1837" s="212"/>
      <c r="N1837" s="213"/>
      <c r="O1837" s="209"/>
    </row>
    <row r="1838" spans="1:15" x14ac:dyDescent="0.3">
      <c r="A1838" s="302" t="s">
        <v>155</v>
      </c>
      <c r="B1838" s="302" t="str">
        <f t="shared" si="11"/>
        <v>Y</v>
      </c>
      <c r="C1838" s="6" t="s">
        <v>5479</v>
      </c>
      <c r="D1838" s="327"/>
      <c r="E1838" s="327" t="s">
        <v>5480</v>
      </c>
      <c r="F1838" s="206" t="s">
        <v>5481</v>
      </c>
      <c r="G1838" s="206" t="s">
        <v>5475</v>
      </c>
      <c r="H1838" s="206" t="s">
        <v>5475</v>
      </c>
      <c r="K1838" s="302">
        <v>9204940486</v>
      </c>
      <c r="M1838" s="212"/>
      <c r="N1838" s="213"/>
      <c r="O1838" s="209"/>
    </row>
    <row r="1839" spans="1:15" x14ac:dyDescent="0.3">
      <c r="A1839" s="302" t="s">
        <v>155</v>
      </c>
      <c r="B1839" s="302" t="str">
        <f t="shared" si="11"/>
        <v>Y</v>
      </c>
      <c r="C1839" s="6" t="s">
        <v>5482</v>
      </c>
      <c r="D1839" s="327"/>
      <c r="E1839" s="327" t="s">
        <v>5483</v>
      </c>
      <c r="F1839" s="206" t="s">
        <v>5484</v>
      </c>
      <c r="G1839" s="206" t="s">
        <v>5475</v>
      </c>
      <c r="H1839" s="206" t="s">
        <v>5475</v>
      </c>
      <c r="K1839" s="302">
        <v>7250799928</v>
      </c>
      <c r="M1839" s="212"/>
      <c r="N1839" s="213"/>
      <c r="O1839" s="209"/>
    </row>
    <row r="1840" spans="1:15" x14ac:dyDescent="0.3">
      <c r="A1840" s="302" t="s">
        <v>155</v>
      </c>
      <c r="B1840" s="302" t="str">
        <f t="shared" si="11"/>
        <v>Y</v>
      </c>
      <c r="C1840" s="6" t="s">
        <v>5485</v>
      </c>
      <c r="D1840" s="327"/>
      <c r="E1840" s="327" t="s">
        <v>5486</v>
      </c>
      <c r="F1840" s="206" t="s">
        <v>5487</v>
      </c>
      <c r="G1840" s="206" t="s">
        <v>5475</v>
      </c>
      <c r="H1840" s="206" t="s">
        <v>5475</v>
      </c>
      <c r="K1840" s="302">
        <v>6202996851</v>
      </c>
      <c r="M1840" s="212"/>
      <c r="N1840" s="213"/>
      <c r="O1840" s="209"/>
    </row>
    <row r="1841" spans="1:15" x14ac:dyDescent="0.3">
      <c r="A1841" s="302" t="s">
        <v>155</v>
      </c>
      <c r="B1841" s="302" t="str">
        <f t="shared" si="11"/>
        <v>Y</v>
      </c>
      <c r="C1841" s="6" t="s">
        <v>5488</v>
      </c>
      <c r="D1841" s="327"/>
      <c r="E1841" s="327" t="s">
        <v>5489</v>
      </c>
      <c r="F1841" s="206" t="s">
        <v>5490</v>
      </c>
      <c r="G1841" s="206" t="s">
        <v>5491</v>
      </c>
      <c r="H1841" s="207">
        <v>44509</v>
      </c>
      <c r="J1841" s="2" t="s">
        <v>5492</v>
      </c>
      <c r="K1841" s="302">
        <v>9703654662</v>
      </c>
      <c r="M1841" s="212"/>
      <c r="N1841" s="213"/>
      <c r="O1841" s="209"/>
    </row>
    <row r="1842" spans="1:15" x14ac:dyDescent="0.3">
      <c r="A1842" s="302" t="s">
        <v>155</v>
      </c>
      <c r="B1842" s="302" t="str">
        <f t="shared" si="11"/>
        <v>Y</v>
      </c>
      <c r="C1842" s="6" t="s">
        <v>5493</v>
      </c>
      <c r="D1842" s="327"/>
      <c r="E1842" s="327" t="s">
        <v>5494</v>
      </c>
      <c r="F1842" s="206" t="s">
        <v>5495</v>
      </c>
      <c r="G1842" s="206" t="s">
        <v>5491</v>
      </c>
      <c r="H1842" s="207">
        <v>44509</v>
      </c>
      <c r="J1842" s="2" t="s">
        <v>3735</v>
      </c>
      <c r="K1842" s="302">
        <v>9931126284</v>
      </c>
      <c r="M1842" s="212"/>
      <c r="N1842" s="213"/>
      <c r="O1842" s="209"/>
    </row>
    <row r="1843" spans="1:15" x14ac:dyDescent="0.3">
      <c r="A1843" s="302" t="s">
        <v>155</v>
      </c>
      <c r="B1843" s="302" t="str">
        <f t="shared" si="11"/>
        <v>Y</v>
      </c>
      <c r="C1843" s="6" t="s">
        <v>5496</v>
      </c>
      <c r="D1843" s="327"/>
      <c r="E1843" s="327" t="s">
        <v>5497</v>
      </c>
      <c r="F1843" s="206" t="s">
        <v>1764</v>
      </c>
      <c r="G1843" s="206" t="s">
        <v>5491</v>
      </c>
      <c r="H1843" s="207">
        <v>44509</v>
      </c>
      <c r="J1843" s="2" t="s">
        <v>5498</v>
      </c>
      <c r="K1843" s="302">
        <v>9709284847</v>
      </c>
      <c r="M1843" s="212"/>
      <c r="N1843" s="213"/>
      <c r="O1843" s="209"/>
    </row>
    <row r="1844" spans="1:15" x14ac:dyDescent="0.3">
      <c r="A1844" s="302" t="s">
        <v>155</v>
      </c>
      <c r="B1844" s="302" t="str">
        <f t="shared" si="11"/>
        <v>Y</v>
      </c>
      <c r="C1844" s="6" t="s">
        <v>5499</v>
      </c>
      <c r="D1844" s="327"/>
      <c r="E1844" s="327" t="s">
        <v>5500</v>
      </c>
      <c r="F1844" s="206" t="s">
        <v>1768</v>
      </c>
      <c r="G1844" s="206" t="s">
        <v>5491</v>
      </c>
      <c r="H1844" s="207">
        <v>44509</v>
      </c>
      <c r="J1844" s="2" t="s">
        <v>3735</v>
      </c>
      <c r="K1844" s="302">
        <v>8084045287</v>
      </c>
      <c r="M1844" s="212"/>
      <c r="N1844" s="213"/>
      <c r="O1844" s="209"/>
    </row>
    <row r="1845" spans="1:15" x14ac:dyDescent="0.3">
      <c r="A1845" s="302" t="s">
        <v>155</v>
      </c>
      <c r="B1845" s="302" t="str">
        <f t="shared" si="11"/>
        <v>Y</v>
      </c>
      <c r="C1845" s="6" t="s">
        <v>5501</v>
      </c>
      <c r="D1845" s="327"/>
      <c r="E1845" s="327" t="s">
        <v>5502</v>
      </c>
      <c r="F1845" s="206" t="s">
        <v>5503</v>
      </c>
      <c r="G1845" s="206" t="s">
        <v>5491</v>
      </c>
      <c r="H1845" s="207">
        <v>44509</v>
      </c>
      <c r="J1845" s="2" t="s">
        <v>3735</v>
      </c>
      <c r="K1845" s="302">
        <v>9142617014</v>
      </c>
      <c r="M1845" s="212"/>
      <c r="N1845" s="213"/>
      <c r="O1845" s="209"/>
    </row>
    <row r="1846" spans="1:15" x14ac:dyDescent="0.3">
      <c r="A1846" s="302" t="s">
        <v>155</v>
      </c>
      <c r="B1846" s="302" t="str">
        <f t="shared" si="11"/>
        <v>Y</v>
      </c>
      <c r="C1846" s="6" t="s">
        <v>5504</v>
      </c>
      <c r="D1846" s="327"/>
      <c r="E1846" s="327" t="s">
        <v>5505</v>
      </c>
      <c r="F1846" s="206" t="s">
        <v>5506</v>
      </c>
      <c r="G1846" s="206" t="s">
        <v>5491</v>
      </c>
      <c r="H1846" s="207">
        <v>44509</v>
      </c>
      <c r="J1846" s="2" t="s">
        <v>3735</v>
      </c>
      <c r="K1846" s="302">
        <v>9771232832</v>
      </c>
      <c r="M1846" s="212"/>
      <c r="N1846" s="213"/>
      <c r="O1846" s="209"/>
    </row>
    <row r="1847" spans="1:15" x14ac:dyDescent="0.3">
      <c r="A1847" s="302" t="s">
        <v>155</v>
      </c>
      <c r="B1847" s="302" t="str">
        <f t="shared" si="11"/>
        <v>Y</v>
      </c>
      <c r="C1847" s="6" t="s">
        <v>5507</v>
      </c>
      <c r="D1847" s="327"/>
      <c r="E1847" s="327" t="s">
        <v>5508</v>
      </c>
      <c r="F1847" s="206" t="s">
        <v>5509</v>
      </c>
      <c r="G1847" s="206" t="s">
        <v>5510</v>
      </c>
      <c r="H1847" s="207">
        <v>44512</v>
      </c>
      <c r="J1847" s="2" t="s">
        <v>3735</v>
      </c>
      <c r="K1847" s="302">
        <v>8252679991</v>
      </c>
      <c r="M1847" s="212"/>
      <c r="N1847" s="213"/>
      <c r="O1847" s="209"/>
    </row>
    <row r="1848" spans="1:15" x14ac:dyDescent="0.3">
      <c r="A1848" s="302" t="s">
        <v>155</v>
      </c>
      <c r="B1848" s="302" t="str">
        <f t="shared" si="11"/>
        <v>Y</v>
      </c>
      <c r="C1848" s="6" t="s">
        <v>5511</v>
      </c>
      <c r="D1848" s="327"/>
      <c r="E1848" s="327" t="s">
        <v>5512</v>
      </c>
      <c r="F1848" s="206" t="s">
        <v>5513</v>
      </c>
      <c r="G1848" s="206" t="s">
        <v>5514</v>
      </c>
      <c r="H1848" s="207">
        <v>44510</v>
      </c>
      <c r="J1848" s="2" t="s">
        <v>5515</v>
      </c>
      <c r="K1848" s="302">
        <v>7488286939</v>
      </c>
      <c r="M1848" s="212"/>
      <c r="N1848" s="213"/>
      <c r="O1848" s="209"/>
    </row>
    <row r="1849" spans="1:15" x14ac:dyDescent="0.3">
      <c r="A1849" s="302" t="s">
        <v>155</v>
      </c>
      <c r="B1849" s="302" t="str">
        <f t="shared" si="11"/>
        <v>Y</v>
      </c>
      <c r="C1849" s="6" t="s">
        <v>5516</v>
      </c>
      <c r="D1849" s="327"/>
      <c r="E1849" s="327" t="s">
        <v>5517</v>
      </c>
      <c r="F1849" s="206" t="s">
        <v>5518</v>
      </c>
      <c r="G1849" s="206" t="s">
        <v>5514</v>
      </c>
      <c r="H1849" s="207">
        <v>44510</v>
      </c>
      <c r="J1849" s="2" t="s">
        <v>3735</v>
      </c>
      <c r="K1849" s="302">
        <v>7739713367</v>
      </c>
      <c r="M1849" s="212"/>
      <c r="N1849" s="213"/>
      <c r="O1849" s="209"/>
    </row>
    <row r="1850" spans="1:15" x14ac:dyDescent="0.3">
      <c r="A1850" s="302" t="s">
        <v>155</v>
      </c>
      <c r="B1850" s="302" t="str">
        <f t="shared" si="11"/>
        <v>Y</v>
      </c>
      <c r="C1850" s="6" t="s">
        <v>5519</v>
      </c>
      <c r="D1850" s="327"/>
      <c r="E1850" s="327" t="s">
        <v>5520</v>
      </c>
      <c r="F1850" s="206" t="s">
        <v>5521</v>
      </c>
      <c r="G1850" s="206" t="s">
        <v>5522</v>
      </c>
      <c r="H1850" s="206" t="s">
        <v>5522</v>
      </c>
      <c r="K1850" s="302">
        <v>7209714088</v>
      </c>
      <c r="M1850" s="212"/>
      <c r="N1850" s="213"/>
      <c r="O1850" s="209"/>
    </row>
    <row r="1851" spans="1:15" x14ac:dyDescent="0.3">
      <c r="A1851" s="302" t="s">
        <v>155</v>
      </c>
      <c r="B1851" s="302" t="str">
        <f t="shared" si="11"/>
        <v>Y</v>
      </c>
      <c r="C1851" s="6" t="s">
        <v>5523</v>
      </c>
      <c r="D1851" s="327"/>
      <c r="E1851" s="327" t="s">
        <v>5524</v>
      </c>
      <c r="F1851" s="206" t="s">
        <v>1533</v>
      </c>
      <c r="G1851" s="206" t="s">
        <v>5522</v>
      </c>
      <c r="H1851" s="206" t="s">
        <v>5522</v>
      </c>
      <c r="K1851" s="302">
        <v>8757698312</v>
      </c>
      <c r="M1851" s="212"/>
      <c r="N1851" s="213"/>
      <c r="O1851" s="209"/>
    </row>
    <row r="1852" spans="1:15" x14ac:dyDescent="0.3">
      <c r="A1852" s="302" t="s">
        <v>155</v>
      </c>
      <c r="B1852" s="302" t="str">
        <f t="shared" si="11"/>
        <v>Y</v>
      </c>
      <c r="C1852" s="6" t="s">
        <v>5525</v>
      </c>
      <c r="D1852" s="327"/>
      <c r="E1852" s="327" t="s">
        <v>5526</v>
      </c>
      <c r="F1852" s="206" t="s">
        <v>5527</v>
      </c>
      <c r="G1852" s="206" t="s">
        <v>5522</v>
      </c>
      <c r="H1852" s="206" t="s">
        <v>5522</v>
      </c>
      <c r="K1852" s="302">
        <v>7481829465</v>
      </c>
      <c r="M1852" s="212"/>
      <c r="N1852" s="213"/>
      <c r="O1852" s="209"/>
    </row>
    <row r="1853" spans="1:15" x14ac:dyDescent="0.3">
      <c r="A1853" s="302" t="s">
        <v>155</v>
      </c>
      <c r="B1853" s="302" t="str">
        <f t="shared" si="11"/>
        <v>Y</v>
      </c>
      <c r="C1853" s="6" t="s">
        <v>5528</v>
      </c>
      <c r="D1853" s="327"/>
      <c r="E1853" s="327" t="s">
        <v>5529</v>
      </c>
      <c r="F1853" s="206" t="s">
        <v>5530</v>
      </c>
      <c r="G1853" s="206" t="s">
        <v>5531</v>
      </c>
      <c r="H1853" s="207">
        <v>44517</v>
      </c>
      <c r="I1853" s="2" t="s">
        <v>5532</v>
      </c>
      <c r="J1853" s="2" t="s">
        <v>5533</v>
      </c>
      <c r="K1853" s="302">
        <v>8984170532</v>
      </c>
      <c r="M1853" s="212"/>
      <c r="N1853" s="213"/>
      <c r="O1853" s="209"/>
    </row>
    <row r="1854" spans="1:15" x14ac:dyDescent="0.3">
      <c r="A1854" s="302" t="s">
        <v>155</v>
      </c>
      <c r="B1854" s="302" t="str">
        <f t="shared" si="11"/>
        <v>Y</v>
      </c>
      <c r="C1854" s="6" t="s">
        <v>5534</v>
      </c>
      <c r="D1854" s="327"/>
      <c r="E1854" s="327" t="s">
        <v>5535</v>
      </c>
      <c r="F1854" s="206" t="s">
        <v>5536</v>
      </c>
      <c r="G1854" s="206" t="s">
        <v>5537</v>
      </c>
      <c r="H1854" s="207">
        <v>44517</v>
      </c>
      <c r="J1854" s="2" t="s">
        <v>5538</v>
      </c>
      <c r="K1854" s="302">
        <v>8252975346</v>
      </c>
      <c r="M1854" s="212"/>
      <c r="N1854" s="213"/>
      <c r="O1854" s="209"/>
    </row>
    <row r="1855" spans="1:15" x14ac:dyDescent="0.3">
      <c r="A1855" s="302" t="s">
        <v>155</v>
      </c>
      <c r="B1855" s="302" t="str">
        <f t="shared" si="11"/>
        <v>Y</v>
      </c>
      <c r="C1855" s="6" t="s">
        <v>5539</v>
      </c>
      <c r="D1855" s="327"/>
      <c r="E1855" s="327" t="s">
        <v>5540</v>
      </c>
      <c r="F1855" s="206" t="s">
        <v>5541</v>
      </c>
      <c r="G1855" s="206" t="s">
        <v>5537</v>
      </c>
      <c r="H1855" s="207">
        <v>44517</v>
      </c>
      <c r="J1855" s="2" t="s">
        <v>5542</v>
      </c>
      <c r="K1855" s="302">
        <v>9835932956</v>
      </c>
      <c r="M1855" s="212"/>
      <c r="N1855" s="213"/>
      <c r="O1855" s="209"/>
    </row>
    <row r="1856" spans="1:15" x14ac:dyDescent="0.3">
      <c r="A1856" s="302" t="s">
        <v>155</v>
      </c>
      <c r="B1856" s="302" t="str">
        <f t="shared" si="11"/>
        <v>Y</v>
      </c>
      <c r="C1856" s="6" t="s">
        <v>5543</v>
      </c>
      <c r="D1856" s="327"/>
      <c r="E1856" s="327" t="s">
        <v>5544</v>
      </c>
      <c r="F1856" s="206" t="s">
        <v>5545</v>
      </c>
      <c r="G1856" s="206" t="s">
        <v>5537</v>
      </c>
      <c r="H1856" s="207">
        <v>44517</v>
      </c>
      <c r="J1856" s="2" t="s">
        <v>5546</v>
      </c>
      <c r="K1856" s="302">
        <v>9204788203</v>
      </c>
      <c r="M1856" s="212"/>
      <c r="N1856" s="213"/>
      <c r="O1856" s="209"/>
    </row>
    <row r="1857" spans="1:15" x14ac:dyDescent="0.3">
      <c r="A1857" s="302" t="s">
        <v>155</v>
      </c>
      <c r="B1857" s="302" t="str">
        <f t="shared" si="11"/>
        <v>Y</v>
      </c>
      <c r="C1857" s="6" t="s">
        <v>5547</v>
      </c>
      <c r="D1857" s="327"/>
      <c r="E1857" s="327" t="s">
        <v>5548</v>
      </c>
      <c r="F1857" s="206" t="s">
        <v>5549</v>
      </c>
      <c r="G1857" s="206" t="s">
        <v>5531</v>
      </c>
      <c r="H1857" s="207">
        <v>44516</v>
      </c>
      <c r="J1857" s="2" t="s">
        <v>5550</v>
      </c>
      <c r="K1857" s="302">
        <v>7903741198</v>
      </c>
      <c r="M1857" s="212"/>
      <c r="N1857" s="213"/>
      <c r="O1857" s="209"/>
    </row>
    <row r="1858" spans="1:15" x14ac:dyDescent="0.3">
      <c r="A1858" s="302" t="s">
        <v>155</v>
      </c>
      <c r="B1858" s="302" t="str">
        <f t="shared" si="11"/>
        <v>Y</v>
      </c>
      <c r="C1858" s="6" t="s">
        <v>5551</v>
      </c>
      <c r="D1858" s="327"/>
      <c r="E1858" s="327" t="s">
        <v>4614</v>
      </c>
      <c r="F1858" s="206" t="s">
        <v>3747</v>
      </c>
      <c r="G1858" s="206" t="s">
        <v>5531</v>
      </c>
      <c r="H1858" s="207">
        <v>44517</v>
      </c>
      <c r="J1858" s="2" t="s">
        <v>5552</v>
      </c>
      <c r="K1858" s="302">
        <v>8340796124</v>
      </c>
      <c r="M1858" s="212"/>
      <c r="N1858" s="213"/>
      <c r="O1858" s="209"/>
    </row>
    <row r="1859" spans="1:15" x14ac:dyDescent="0.3">
      <c r="A1859" s="302" t="s">
        <v>155</v>
      </c>
      <c r="B1859" s="302" t="str">
        <f t="shared" si="11"/>
        <v>Y</v>
      </c>
      <c r="C1859" s="6" t="s">
        <v>5553</v>
      </c>
      <c r="D1859" s="327"/>
      <c r="E1859" s="327" t="s">
        <v>5554</v>
      </c>
      <c r="F1859" s="206" t="s">
        <v>5555</v>
      </c>
      <c r="G1859" s="206" t="s">
        <v>5556</v>
      </c>
      <c r="H1859" s="207">
        <v>44548</v>
      </c>
      <c r="J1859" s="2" t="s">
        <v>5557</v>
      </c>
      <c r="K1859" s="302">
        <v>7909041876</v>
      </c>
      <c r="M1859" s="212"/>
      <c r="N1859" s="213"/>
      <c r="O1859" s="209"/>
    </row>
    <row r="1860" spans="1:15" x14ac:dyDescent="0.3">
      <c r="A1860" s="302" t="s">
        <v>155</v>
      </c>
      <c r="B1860" s="302" t="str">
        <f t="shared" si="11"/>
        <v>Y</v>
      </c>
      <c r="C1860" s="6" t="s">
        <v>5558</v>
      </c>
      <c r="D1860" s="327"/>
      <c r="E1860" s="327" t="s">
        <v>5559</v>
      </c>
      <c r="F1860" s="206" t="s">
        <v>5560</v>
      </c>
      <c r="G1860" s="206" t="s">
        <v>5556</v>
      </c>
      <c r="H1860" s="207">
        <v>44548</v>
      </c>
      <c r="J1860" s="2" t="s">
        <v>5561</v>
      </c>
      <c r="K1860" s="302">
        <v>8873091684</v>
      </c>
      <c r="M1860" s="212"/>
      <c r="N1860" s="213"/>
      <c r="O1860" s="209"/>
    </row>
    <row r="1861" spans="1:15" x14ac:dyDescent="0.3">
      <c r="A1861" s="302" t="s">
        <v>155</v>
      </c>
      <c r="B1861" s="302" t="str">
        <f t="shared" si="11"/>
        <v>Y</v>
      </c>
      <c r="C1861" s="6" t="s">
        <v>5562</v>
      </c>
      <c r="D1861" s="327"/>
      <c r="E1861" s="327" t="s">
        <v>5563</v>
      </c>
      <c r="F1861" s="206" t="s">
        <v>5564</v>
      </c>
      <c r="G1861" s="206" t="s">
        <v>5565</v>
      </c>
      <c r="H1861" s="207">
        <v>44517</v>
      </c>
      <c r="J1861" s="2" t="s">
        <v>5566</v>
      </c>
      <c r="K1861" s="302">
        <v>7903956275</v>
      </c>
      <c r="M1861" s="212"/>
      <c r="N1861" s="213"/>
      <c r="O1861" s="209"/>
    </row>
    <row r="1862" spans="1:15" x14ac:dyDescent="0.3">
      <c r="A1862" s="302" t="s">
        <v>155</v>
      </c>
      <c r="B1862" s="302" t="str">
        <f t="shared" si="11"/>
        <v>Y</v>
      </c>
      <c r="C1862" s="6" t="s">
        <v>5567</v>
      </c>
      <c r="D1862" s="327"/>
      <c r="E1862" s="327" t="s">
        <v>5568</v>
      </c>
      <c r="F1862" s="206" t="s">
        <v>5569</v>
      </c>
      <c r="G1862" s="207">
        <v>44517</v>
      </c>
      <c r="H1862" s="207">
        <v>44517</v>
      </c>
      <c r="K1862" s="302">
        <v>8092895603</v>
      </c>
      <c r="M1862" s="212"/>
      <c r="N1862" s="213"/>
      <c r="O1862" s="209"/>
    </row>
    <row r="1863" spans="1:15" x14ac:dyDescent="0.3">
      <c r="A1863" s="302" t="s">
        <v>155</v>
      </c>
      <c r="B1863" s="302" t="str">
        <f t="shared" si="11"/>
        <v>Y</v>
      </c>
      <c r="C1863" s="6" t="s">
        <v>5570</v>
      </c>
      <c r="D1863" s="327"/>
      <c r="E1863" s="327" t="s">
        <v>5571</v>
      </c>
      <c r="F1863" s="206" t="s">
        <v>1456</v>
      </c>
      <c r="G1863" s="207">
        <v>44517</v>
      </c>
      <c r="H1863" s="207">
        <v>44517</v>
      </c>
      <c r="K1863" s="302">
        <v>9523373389</v>
      </c>
      <c r="M1863" s="212"/>
      <c r="N1863" s="213"/>
      <c r="O1863" s="209"/>
    </row>
    <row r="1864" spans="1:15" x14ac:dyDescent="0.3">
      <c r="A1864" s="302" t="s">
        <v>155</v>
      </c>
      <c r="B1864" s="302" t="str">
        <f>IF(H1859="","N","Y")</f>
        <v>Y</v>
      </c>
      <c r="C1864" s="6" t="s">
        <v>5572</v>
      </c>
      <c r="D1864" s="327"/>
      <c r="E1864" s="327" t="s">
        <v>5573</v>
      </c>
      <c r="F1864" s="206" t="s">
        <v>5574</v>
      </c>
      <c r="G1864" s="206" t="s">
        <v>5556</v>
      </c>
      <c r="H1864" s="207">
        <v>44518</v>
      </c>
      <c r="J1864" s="2" t="s">
        <v>5575</v>
      </c>
      <c r="K1864" s="302">
        <v>9471716530</v>
      </c>
      <c r="M1864" s="212"/>
      <c r="N1864" s="213"/>
      <c r="O1864" s="209"/>
    </row>
    <row r="1865" spans="1:15" x14ac:dyDescent="0.3">
      <c r="A1865" s="302" t="s">
        <v>155</v>
      </c>
      <c r="B1865" s="302" t="str">
        <f t="shared" ref="B1865:B1898" si="12">IF(H1865="","N","Y")</f>
        <v>Y</v>
      </c>
      <c r="C1865" s="6" t="s">
        <v>5576</v>
      </c>
      <c r="D1865" s="327"/>
      <c r="E1865" s="327" t="s">
        <v>5577</v>
      </c>
      <c r="F1865" s="206" t="s">
        <v>5578</v>
      </c>
      <c r="G1865" s="206" t="s">
        <v>5556</v>
      </c>
      <c r="H1865" s="207">
        <v>44518</v>
      </c>
      <c r="J1865" s="2" t="s">
        <v>5579</v>
      </c>
      <c r="K1865" s="302">
        <v>7540013017</v>
      </c>
      <c r="M1865" s="212"/>
      <c r="N1865" s="213"/>
      <c r="O1865" s="209"/>
    </row>
    <row r="1866" spans="1:15" x14ac:dyDescent="0.3">
      <c r="A1866" s="302" t="s">
        <v>155</v>
      </c>
      <c r="B1866" s="302" t="str">
        <f t="shared" si="12"/>
        <v>Y</v>
      </c>
      <c r="C1866" s="6" t="s">
        <v>5580</v>
      </c>
      <c r="D1866" s="327"/>
      <c r="E1866" s="327" t="s">
        <v>5581</v>
      </c>
      <c r="F1866" s="206" t="s">
        <v>5582</v>
      </c>
      <c r="G1866" s="206" t="s">
        <v>5556</v>
      </c>
      <c r="H1866" s="207">
        <v>44518</v>
      </c>
      <c r="M1866" s="212"/>
      <c r="N1866" s="213"/>
      <c r="O1866" s="209"/>
    </row>
    <row r="1867" spans="1:15" x14ac:dyDescent="0.3">
      <c r="A1867" s="302" t="s">
        <v>155</v>
      </c>
      <c r="B1867" s="302" t="str">
        <f t="shared" si="12"/>
        <v>Y</v>
      </c>
      <c r="C1867" s="6" t="s">
        <v>5583</v>
      </c>
      <c r="D1867" s="327"/>
      <c r="E1867" s="327" t="s">
        <v>5584</v>
      </c>
      <c r="F1867" s="206" t="s">
        <v>5585</v>
      </c>
      <c r="G1867" s="206" t="s">
        <v>5586</v>
      </c>
      <c r="H1867" s="207">
        <v>44519</v>
      </c>
      <c r="J1867" s="2" t="s">
        <v>5587</v>
      </c>
      <c r="K1867" s="302">
        <v>9113402363</v>
      </c>
      <c r="M1867" s="212"/>
      <c r="N1867" s="213"/>
      <c r="O1867" s="209"/>
    </row>
    <row r="1868" spans="1:15" x14ac:dyDescent="0.3">
      <c r="A1868" s="302" t="s">
        <v>155</v>
      </c>
      <c r="B1868" s="302" t="str">
        <f t="shared" si="12"/>
        <v>Y</v>
      </c>
      <c r="C1868" s="6" t="s">
        <v>5588</v>
      </c>
      <c r="D1868" s="327"/>
      <c r="E1868" s="327" t="s">
        <v>5235</v>
      </c>
      <c r="F1868" s="206" t="s">
        <v>5236</v>
      </c>
      <c r="G1868" s="206" t="s">
        <v>5586</v>
      </c>
      <c r="H1868" s="207">
        <v>44519</v>
      </c>
      <c r="J1868" s="2" t="s">
        <v>5587</v>
      </c>
      <c r="K1868" s="302">
        <v>9431757249</v>
      </c>
      <c r="M1868" s="212"/>
      <c r="N1868" s="213"/>
      <c r="O1868" s="209"/>
    </row>
    <row r="1869" spans="1:15" x14ac:dyDescent="0.3">
      <c r="A1869" s="302" t="s">
        <v>155</v>
      </c>
      <c r="B1869" s="302" t="str">
        <f t="shared" si="12"/>
        <v>Y</v>
      </c>
      <c r="C1869" s="6" t="s">
        <v>5589</v>
      </c>
      <c r="D1869" s="327"/>
      <c r="E1869" s="327" t="s">
        <v>5590</v>
      </c>
      <c r="F1869" s="206" t="s">
        <v>5591</v>
      </c>
      <c r="G1869" s="206" t="s">
        <v>5592</v>
      </c>
      <c r="H1869" s="207">
        <v>44523</v>
      </c>
      <c r="J1869" s="2" t="s">
        <v>5587</v>
      </c>
      <c r="K1869" s="302">
        <v>999250421</v>
      </c>
      <c r="M1869" s="212"/>
      <c r="N1869" s="213"/>
      <c r="O1869" s="209"/>
    </row>
    <row r="1870" spans="1:15" x14ac:dyDescent="0.3">
      <c r="A1870" s="302" t="s">
        <v>155</v>
      </c>
      <c r="B1870" s="302" t="str">
        <f t="shared" si="12"/>
        <v>Y</v>
      </c>
      <c r="C1870" s="6" t="s">
        <v>5593</v>
      </c>
      <c r="D1870" s="327"/>
      <c r="E1870" s="327" t="s">
        <v>5594</v>
      </c>
      <c r="F1870" s="206" t="s">
        <v>1811</v>
      </c>
      <c r="G1870" s="206" t="s">
        <v>5592</v>
      </c>
      <c r="H1870" s="207">
        <v>44523</v>
      </c>
      <c r="J1870" s="2" t="s">
        <v>5587</v>
      </c>
      <c r="K1870" s="302">
        <v>9934326791</v>
      </c>
      <c r="M1870" s="212"/>
      <c r="N1870" s="213"/>
      <c r="O1870" s="209"/>
    </row>
    <row r="1871" spans="1:15" x14ac:dyDescent="0.3">
      <c r="A1871" s="302" t="s">
        <v>155</v>
      </c>
      <c r="B1871" s="302" t="str">
        <f t="shared" si="12"/>
        <v>Y</v>
      </c>
      <c r="C1871" s="6" t="s">
        <v>5595</v>
      </c>
      <c r="D1871" s="327"/>
      <c r="E1871" s="327" t="s">
        <v>5596</v>
      </c>
      <c r="F1871" s="206" t="s">
        <v>5597</v>
      </c>
      <c r="G1871" s="206" t="s">
        <v>5592</v>
      </c>
      <c r="H1871" s="207">
        <v>44523</v>
      </c>
      <c r="J1871" s="2" t="s">
        <v>5598</v>
      </c>
      <c r="K1871" s="302">
        <v>9304884867</v>
      </c>
      <c r="M1871" s="212"/>
      <c r="N1871" s="213"/>
      <c r="O1871" s="209"/>
    </row>
    <row r="1872" spans="1:15" x14ac:dyDescent="0.3">
      <c r="A1872" s="302" t="s">
        <v>155</v>
      </c>
      <c r="B1872" s="302" t="str">
        <f t="shared" si="12"/>
        <v>Y</v>
      </c>
      <c r="C1872" s="6" t="s">
        <v>5599</v>
      </c>
      <c r="D1872" s="327"/>
      <c r="E1872" s="327" t="s">
        <v>5600</v>
      </c>
      <c r="F1872" s="206" t="s">
        <v>1505</v>
      </c>
      <c r="G1872" s="206" t="s">
        <v>5592</v>
      </c>
      <c r="H1872" s="207">
        <v>44523</v>
      </c>
      <c r="J1872" s="2" t="s">
        <v>5587</v>
      </c>
      <c r="K1872" s="302">
        <v>7209168480</v>
      </c>
      <c r="M1872" s="212"/>
      <c r="N1872" s="213"/>
      <c r="O1872" s="209"/>
    </row>
    <row r="1873" spans="1:15" x14ac:dyDescent="0.3">
      <c r="A1873" s="302" t="s">
        <v>155</v>
      </c>
      <c r="B1873" s="302" t="str">
        <f t="shared" si="12"/>
        <v>Y</v>
      </c>
      <c r="C1873" s="6" t="s">
        <v>5601</v>
      </c>
      <c r="D1873" s="327"/>
      <c r="E1873" s="327" t="s">
        <v>5602</v>
      </c>
      <c r="F1873" s="206" t="s">
        <v>5603</v>
      </c>
      <c r="G1873" s="206" t="s">
        <v>5592</v>
      </c>
      <c r="H1873" s="207">
        <v>44523</v>
      </c>
      <c r="J1873" s="2" t="s">
        <v>5604</v>
      </c>
      <c r="K1873" s="302">
        <v>775997233</v>
      </c>
      <c r="M1873" s="212"/>
      <c r="N1873" s="213"/>
      <c r="O1873" s="209"/>
    </row>
    <row r="1874" spans="1:15" x14ac:dyDescent="0.3">
      <c r="A1874" s="302" t="s">
        <v>155</v>
      </c>
      <c r="B1874" s="302" t="str">
        <f t="shared" si="12"/>
        <v>Y</v>
      </c>
      <c r="C1874" s="6" t="s">
        <v>5605</v>
      </c>
      <c r="D1874" s="327"/>
      <c r="E1874" s="327" t="s">
        <v>1135</v>
      </c>
      <c r="F1874" s="206" t="s">
        <v>5606</v>
      </c>
      <c r="G1874" s="206" t="s">
        <v>5592</v>
      </c>
      <c r="H1874" s="207">
        <v>44523</v>
      </c>
      <c r="J1874" s="2" t="s">
        <v>5607</v>
      </c>
      <c r="K1874" s="302">
        <v>7479983750</v>
      </c>
      <c r="M1874" s="212"/>
      <c r="N1874" s="213"/>
      <c r="O1874" s="209"/>
    </row>
    <row r="1875" spans="1:15" x14ac:dyDescent="0.3">
      <c r="A1875" s="302" t="s">
        <v>155</v>
      </c>
      <c r="B1875" s="302" t="str">
        <f t="shared" si="12"/>
        <v>Y</v>
      </c>
      <c r="C1875" s="6" t="s">
        <v>5608</v>
      </c>
      <c r="D1875" s="327"/>
      <c r="E1875" s="327" t="s">
        <v>5609</v>
      </c>
      <c r="F1875" s="206" t="s">
        <v>3375</v>
      </c>
      <c r="G1875" s="206" t="s">
        <v>5592</v>
      </c>
      <c r="H1875" s="206" t="s">
        <v>5592</v>
      </c>
      <c r="M1875" s="212"/>
      <c r="N1875" s="213"/>
      <c r="O1875" s="209"/>
    </row>
    <row r="1876" spans="1:15" x14ac:dyDescent="0.3">
      <c r="A1876" s="302" t="s">
        <v>155</v>
      </c>
      <c r="B1876" s="302" t="str">
        <f t="shared" si="12"/>
        <v>Y</v>
      </c>
      <c r="C1876" s="6" t="s">
        <v>5610</v>
      </c>
      <c r="D1876" s="327"/>
      <c r="E1876" s="327" t="s">
        <v>5611</v>
      </c>
      <c r="F1876" s="206" t="s">
        <v>5612</v>
      </c>
      <c r="G1876" s="206" t="s">
        <v>5613</v>
      </c>
      <c r="H1876" s="207">
        <v>44524</v>
      </c>
      <c r="K1876" s="302">
        <v>8092429960</v>
      </c>
      <c r="M1876" s="212"/>
      <c r="N1876" s="213"/>
      <c r="O1876" s="209"/>
    </row>
    <row r="1877" spans="1:15" x14ac:dyDescent="0.3">
      <c r="A1877" s="302" t="s">
        <v>155</v>
      </c>
      <c r="B1877" s="302" t="str">
        <f t="shared" si="12"/>
        <v>Y</v>
      </c>
      <c r="C1877" s="6" t="s">
        <v>5614</v>
      </c>
      <c r="D1877" s="327"/>
      <c r="E1877" s="354" t="s">
        <v>5615</v>
      </c>
      <c r="F1877" s="206" t="s">
        <v>5616</v>
      </c>
      <c r="G1877" s="206" t="s">
        <v>5613</v>
      </c>
      <c r="H1877" s="207">
        <v>44524</v>
      </c>
      <c r="K1877" s="302">
        <v>8340422421</v>
      </c>
      <c r="M1877" s="212"/>
      <c r="N1877" s="213"/>
      <c r="O1877" s="209"/>
    </row>
    <row r="1878" spans="1:15" x14ac:dyDescent="0.3">
      <c r="A1878" s="302" t="s">
        <v>155</v>
      </c>
      <c r="B1878" s="302" t="str">
        <f t="shared" si="12"/>
        <v>Y</v>
      </c>
      <c r="C1878" s="6" t="s">
        <v>5617</v>
      </c>
      <c r="D1878" s="327"/>
      <c r="E1878" s="327" t="s">
        <v>5618</v>
      </c>
      <c r="F1878" s="206" t="s">
        <v>3048</v>
      </c>
      <c r="G1878" s="206" t="s">
        <v>5619</v>
      </c>
      <c r="H1878" s="207">
        <v>44527</v>
      </c>
      <c r="K1878" s="302">
        <v>7250369019</v>
      </c>
      <c r="M1878" s="212"/>
      <c r="N1878" s="213"/>
      <c r="O1878" s="209"/>
    </row>
    <row r="1879" spans="1:15" x14ac:dyDescent="0.3">
      <c r="A1879" s="302" t="s">
        <v>155</v>
      </c>
      <c r="B1879" s="302" t="str">
        <f t="shared" si="12"/>
        <v>Y</v>
      </c>
      <c r="C1879" s="6" t="s">
        <v>5620</v>
      </c>
      <c r="D1879" s="327"/>
      <c r="E1879" s="327" t="s">
        <v>5621</v>
      </c>
      <c r="F1879" s="206" t="s">
        <v>5622</v>
      </c>
      <c r="G1879" s="206" t="s">
        <v>5619</v>
      </c>
      <c r="H1879" s="207">
        <v>44527</v>
      </c>
      <c r="K1879" s="302">
        <v>9204280126</v>
      </c>
      <c r="M1879" s="212"/>
      <c r="N1879" s="213"/>
      <c r="O1879" s="209"/>
    </row>
    <row r="1880" spans="1:15" x14ac:dyDescent="0.3">
      <c r="A1880" s="302" t="s">
        <v>155</v>
      </c>
      <c r="B1880" s="302" t="str">
        <f t="shared" si="12"/>
        <v>Y</v>
      </c>
      <c r="C1880" s="6" t="s">
        <v>5623</v>
      </c>
      <c r="D1880" s="327"/>
      <c r="E1880" s="327" t="s">
        <v>5624</v>
      </c>
      <c r="F1880" s="206" t="s">
        <v>2907</v>
      </c>
      <c r="G1880" s="206" t="s">
        <v>5619</v>
      </c>
      <c r="H1880" s="207">
        <v>44527</v>
      </c>
      <c r="K1880" s="302">
        <v>6207392944</v>
      </c>
      <c r="M1880" s="212"/>
      <c r="N1880" s="213"/>
      <c r="O1880" s="209"/>
    </row>
    <row r="1881" spans="1:15" x14ac:dyDescent="0.3">
      <c r="A1881" s="302" t="s">
        <v>155</v>
      </c>
      <c r="B1881" s="302" t="str">
        <f t="shared" si="12"/>
        <v>Y</v>
      </c>
      <c r="C1881" s="6" t="s">
        <v>5623</v>
      </c>
      <c r="D1881" s="327"/>
      <c r="E1881" s="327" t="s">
        <v>4862</v>
      </c>
      <c r="F1881" s="206" t="s">
        <v>4863</v>
      </c>
      <c r="G1881" s="206" t="s">
        <v>5619</v>
      </c>
      <c r="H1881" s="207">
        <v>44527</v>
      </c>
      <c r="K1881" s="302">
        <v>9931110559</v>
      </c>
      <c r="M1881" s="212"/>
      <c r="N1881" s="213"/>
      <c r="O1881" s="209"/>
    </row>
    <row r="1882" spans="1:15" x14ac:dyDescent="0.3">
      <c r="A1882" s="302" t="s">
        <v>155</v>
      </c>
      <c r="B1882" s="302" t="str">
        <f t="shared" si="12"/>
        <v>Y</v>
      </c>
      <c r="C1882" s="6" t="s">
        <v>5625</v>
      </c>
      <c r="D1882" s="327"/>
      <c r="E1882" s="327" t="s">
        <v>5626</v>
      </c>
      <c r="F1882" s="206" t="s">
        <v>2073</v>
      </c>
      <c r="G1882" s="206" t="s">
        <v>5619</v>
      </c>
      <c r="H1882" s="207">
        <v>44527</v>
      </c>
      <c r="K1882" s="302">
        <v>7209928492</v>
      </c>
      <c r="M1882" s="212"/>
      <c r="N1882" s="213"/>
      <c r="O1882" s="209"/>
    </row>
    <row r="1883" spans="1:15" x14ac:dyDescent="0.3">
      <c r="A1883" s="302" t="s">
        <v>155</v>
      </c>
      <c r="B1883" s="302" t="str">
        <f t="shared" si="12"/>
        <v>Y</v>
      </c>
      <c r="C1883" s="6" t="s">
        <v>5627</v>
      </c>
      <c r="D1883" s="327"/>
      <c r="E1883" s="327" t="s">
        <v>5628</v>
      </c>
      <c r="F1883" s="206" t="s">
        <v>5629</v>
      </c>
      <c r="G1883" s="206" t="s">
        <v>5630</v>
      </c>
      <c r="H1883" s="207">
        <v>44528</v>
      </c>
      <c r="J1883" s="2" t="s">
        <v>5631</v>
      </c>
      <c r="K1883" s="302">
        <v>7004663761</v>
      </c>
      <c r="M1883" s="212"/>
      <c r="N1883" s="213"/>
      <c r="O1883" s="209"/>
    </row>
    <row r="1884" spans="1:15" x14ac:dyDescent="0.3">
      <c r="A1884" s="302" t="s">
        <v>155</v>
      </c>
      <c r="B1884" s="302" t="str">
        <f t="shared" si="12"/>
        <v>N</v>
      </c>
      <c r="C1884" s="471" t="s">
        <v>5632</v>
      </c>
      <c r="D1884" s="355"/>
      <c r="E1884" s="327" t="s">
        <v>5633</v>
      </c>
      <c r="F1884" s="206" t="s">
        <v>5634</v>
      </c>
      <c r="G1884" s="206" t="s">
        <v>5201</v>
      </c>
      <c r="H1884" s="302"/>
      <c r="M1884" s="212"/>
      <c r="N1884" s="213"/>
      <c r="O1884" s="209"/>
    </row>
    <row r="1885" spans="1:15" x14ac:dyDescent="0.3">
      <c r="A1885" s="302" t="s">
        <v>155</v>
      </c>
      <c r="B1885" s="302" t="str">
        <f t="shared" si="12"/>
        <v>N</v>
      </c>
      <c r="C1885" s="6" t="s">
        <v>5635</v>
      </c>
      <c r="D1885" s="327"/>
      <c r="E1885" s="327" t="s">
        <v>5636</v>
      </c>
      <c r="F1885" s="206" t="s">
        <v>5637</v>
      </c>
      <c r="G1885" s="206" t="s">
        <v>5638</v>
      </c>
      <c r="H1885" s="302"/>
      <c r="K1885" s="302">
        <v>9339075692</v>
      </c>
      <c r="M1885" s="212"/>
      <c r="N1885" s="213"/>
      <c r="O1885" s="209"/>
    </row>
    <row r="1886" spans="1:15" x14ac:dyDescent="0.3">
      <c r="A1886" s="302" t="s">
        <v>155</v>
      </c>
      <c r="B1886" s="302" t="str">
        <f t="shared" si="12"/>
        <v>N</v>
      </c>
      <c r="C1886" s="6" t="s">
        <v>5639</v>
      </c>
      <c r="D1886" s="327"/>
      <c r="E1886" s="327" t="s">
        <v>5640</v>
      </c>
      <c r="F1886" s="206" t="s">
        <v>5641</v>
      </c>
      <c r="G1886" s="206" t="s">
        <v>5638</v>
      </c>
      <c r="H1886" s="302"/>
      <c r="K1886" s="302">
        <v>7488320253</v>
      </c>
      <c r="M1886" s="212"/>
      <c r="N1886" s="213"/>
      <c r="O1886" s="209"/>
    </row>
    <row r="1887" spans="1:15" x14ac:dyDescent="0.3">
      <c r="A1887" s="302" t="s">
        <v>155</v>
      </c>
      <c r="B1887" s="302" t="str">
        <f t="shared" si="12"/>
        <v>N</v>
      </c>
      <c r="C1887" s="6" t="s">
        <v>5642</v>
      </c>
      <c r="D1887" s="327"/>
      <c r="E1887" s="327" t="s">
        <v>5643</v>
      </c>
      <c r="F1887" s="206" t="s">
        <v>5644</v>
      </c>
      <c r="G1887" s="206" t="s">
        <v>5638</v>
      </c>
      <c r="H1887" s="302"/>
      <c r="K1887" s="302">
        <v>8709605789</v>
      </c>
      <c r="M1887" s="212"/>
      <c r="N1887" s="213"/>
      <c r="O1887" s="209"/>
    </row>
    <row r="1888" spans="1:15" x14ac:dyDescent="0.3">
      <c r="A1888" s="302" t="s">
        <v>155</v>
      </c>
      <c r="B1888" s="302" t="str">
        <f t="shared" si="12"/>
        <v>N</v>
      </c>
      <c r="C1888" s="6" t="s">
        <v>5645</v>
      </c>
      <c r="D1888" s="327"/>
      <c r="E1888" s="327" t="s">
        <v>5646</v>
      </c>
      <c r="F1888" s="206" t="s">
        <v>5047</v>
      </c>
      <c r="G1888" s="206" t="s">
        <v>5638</v>
      </c>
      <c r="H1888" s="302"/>
      <c r="K1888" s="302">
        <v>9693201882</v>
      </c>
      <c r="M1888" s="212"/>
      <c r="N1888" s="213"/>
      <c r="O1888" s="209"/>
    </row>
    <row r="1889" spans="1:15" x14ac:dyDescent="0.3">
      <c r="A1889" s="302" t="s">
        <v>155</v>
      </c>
      <c r="B1889" s="302" t="str">
        <f t="shared" si="12"/>
        <v>N</v>
      </c>
      <c r="C1889" s="6"/>
      <c r="D1889" s="327"/>
      <c r="E1889" s="327" t="s">
        <v>5647</v>
      </c>
      <c r="F1889" s="206" t="s">
        <v>2701</v>
      </c>
      <c r="G1889" s="206" t="s">
        <v>5638</v>
      </c>
      <c r="H1889" s="302"/>
      <c r="K1889" s="302">
        <v>7633972325</v>
      </c>
      <c r="M1889" s="212"/>
      <c r="N1889" s="213"/>
      <c r="O1889" s="209"/>
    </row>
    <row r="1890" spans="1:15" x14ac:dyDescent="0.3">
      <c r="A1890" s="302" t="s">
        <v>155</v>
      </c>
      <c r="B1890" s="302" t="str">
        <f t="shared" si="12"/>
        <v>Y</v>
      </c>
      <c r="C1890" s="6" t="s">
        <v>5648</v>
      </c>
      <c r="D1890" s="327"/>
      <c r="E1890" s="327" t="s">
        <v>5649</v>
      </c>
      <c r="F1890" s="206" t="s">
        <v>5650</v>
      </c>
      <c r="G1890" s="206" t="s">
        <v>5651</v>
      </c>
      <c r="H1890" s="207">
        <v>44538</v>
      </c>
      <c r="J1890" s="2" t="s">
        <v>5652</v>
      </c>
      <c r="K1890" s="302">
        <v>8797466112</v>
      </c>
      <c r="M1890" s="212"/>
      <c r="N1890" s="213"/>
      <c r="O1890" s="209"/>
    </row>
    <row r="1891" spans="1:15" x14ac:dyDescent="0.3">
      <c r="A1891" s="302" t="s">
        <v>155</v>
      </c>
      <c r="B1891" s="302" t="str">
        <f t="shared" si="12"/>
        <v>Y</v>
      </c>
      <c r="C1891" s="6" t="s">
        <v>5653</v>
      </c>
      <c r="D1891" s="327"/>
      <c r="E1891" s="327" t="s">
        <v>5654</v>
      </c>
      <c r="F1891" s="206" t="s">
        <v>2328</v>
      </c>
      <c r="G1891" s="206" t="s">
        <v>5655</v>
      </c>
      <c r="H1891" s="207">
        <v>44534</v>
      </c>
      <c r="K1891" s="302">
        <v>8827836277</v>
      </c>
      <c r="M1891" s="212"/>
      <c r="N1891" s="213"/>
      <c r="O1891" s="209"/>
    </row>
    <row r="1892" spans="1:15" x14ac:dyDescent="0.3">
      <c r="A1892" s="302" t="s">
        <v>155</v>
      </c>
      <c r="B1892" s="302" t="str">
        <f t="shared" si="12"/>
        <v>Y</v>
      </c>
      <c r="C1892" s="6" t="s">
        <v>5656</v>
      </c>
      <c r="D1892" s="327"/>
      <c r="E1892" s="327" t="s">
        <v>5657</v>
      </c>
      <c r="F1892" s="206" t="s">
        <v>5658</v>
      </c>
      <c r="G1892" s="206" t="s">
        <v>5655</v>
      </c>
      <c r="H1892" s="207">
        <v>44534</v>
      </c>
      <c r="K1892" s="302">
        <v>6201916498</v>
      </c>
      <c r="M1892" s="212"/>
      <c r="N1892" s="213"/>
      <c r="O1892" s="209"/>
    </row>
    <row r="1893" spans="1:15" x14ac:dyDescent="0.3">
      <c r="A1893" s="302" t="s">
        <v>155</v>
      </c>
      <c r="B1893" s="302" t="str">
        <f t="shared" si="12"/>
        <v>Y</v>
      </c>
      <c r="C1893" s="6" t="s">
        <v>5659</v>
      </c>
      <c r="D1893" s="327"/>
      <c r="E1893" s="327" t="s">
        <v>5660</v>
      </c>
      <c r="F1893" s="206" t="s">
        <v>5661</v>
      </c>
      <c r="G1893" s="206" t="s">
        <v>5655</v>
      </c>
      <c r="H1893" s="207">
        <v>44534</v>
      </c>
      <c r="J1893" s="2" t="s">
        <v>5662</v>
      </c>
      <c r="K1893" s="302">
        <v>7091483625</v>
      </c>
      <c r="M1893" s="212"/>
      <c r="N1893" s="213"/>
      <c r="O1893" s="209"/>
    </row>
    <row r="1894" spans="1:15" x14ac:dyDescent="0.3">
      <c r="A1894" s="302" t="s">
        <v>155</v>
      </c>
      <c r="B1894" s="302" t="str">
        <f t="shared" si="12"/>
        <v>N</v>
      </c>
      <c r="C1894" s="6" t="s">
        <v>5663</v>
      </c>
      <c r="D1894" s="327"/>
      <c r="E1894" s="327" t="s">
        <v>5664</v>
      </c>
      <c r="F1894" s="206" t="s">
        <v>5665</v>
      </c>
      <c r="G1894" s="206" t="s">
        <v>5651</v>
      </c>
      <c r="H1894" s="302"/>
      <c r="J1894" s="2" t="s">
        <v>5666</v>
      </c>
      <c r="K1894" s="302">
        <v>9798633482</v>
      </c>
      <c r="M1894" s="212"/>
      <c r="N1894" s="213"/>
      <c r="O1894" s="209"/>
    </row>
    <row r="1895" spans="1:15" x14ac:dyDescent="0.3">
      <c r="A1895" s="302" t="s">
        <v>155</v>
      </c>
      <c r="B1895" s="302" t="str">
        <f t="shared" si="12"/>
        <v>Y</v>
      </c>
      <c r="C1895" s="6" t="s">
        <v>5667</v>
      </c>
      <c r="D1895" s="327"/>
      <c r="E1895" s="327" t="s">
        <v>5668</v>
      </c>
      <c r="F1895" s="206" t="s">
        <v>2132</v>
      </c>
      <c r="G1895" s="206" t="s">
        <v>5651</v>
      </c>
      <c r="H1895" s="207">
        <v>44538</v>
      </c>
      <c r="J1895" s="2" t="s">
        <v>3735</v>
      </c>
      <c r="K1895" s="302">
        <v>7091114102</v>
      </c>
      <c r="M1895" s="212"/>
      <c r="N1895" s="213"/>
      <c r="O1895" s="209"/>
    </row>
    <row r="1896" spans="1:15" x14ac:dyDescent="0.3">
      <c r="A1896" s="302" t="s">
        <v>155</v>
      </c>
      <c r="B1896" s="302" t="str">
        <f t="shared" si="12"/>
        <v>Y</v>
      </c>
      <c r="C1896" s="6"/>
      <c r="D1896" s="327"/>
      <c r="E1896" s="327" t="s">
        <v>5669</v>
      </c>
      <c r="F1896" s="206" t="s">
        <v>4579</v>
      </c>
      <c r="G1896" s="206" t="s">
        <v>5651</v>
      </c>
      <c r="H1896" s="207">
        <v>44538</v>
      </c>
      <c r="M1896" s="212"/>
      <c r="N1896" s="213"/>
      <c r="O1896" s="209"/>
    </row>
    <row r="1897" spans="1:15" x14ac:dyDescent="0.3">
      <c r="A1897" s="302" t="s">
        <v>155</v>
      </c>
      <c r="B1897" s="302" t="str">
        <f t="shared" si="12"/>
        <v>Y</v>
      </c>
      <c r="C1897" s="6" t="s">
        <v>5670</v>
      </c>
      <c r="D1897" s="327"/>
      <c r="E1897" s="327" t="s">
        <v>1645</v>
      </c>
      <c r="F1897" s="206" t="s">
        <v>5671</v>
      </c>
      <c r="G1897" s="206" t="s">
        <v>5651</v>
      </c>
      <c r="H1897" s="207">
        <v>44538</v>
      </c>
      <c r="J1897" s="2" t="s">
        <v>5672</v>
      </c>
      <c r="K1897" s="302">
        <v>9472011464</v>
      </c>
      <c r="M1897" s="212"/>
      <c r="N1897" s="213"/>
      <c r="O1897" s="209"/>
    </row>
    <row r="1898" spans="1:15" x14ac:dyDescent="0.3">
      <c r="A1898" s="302" t="s">
        <v>155</v>
      </c>
      <c r="B1898" s="302" t="str">
        <f t="shared" si="12"/>
        <v>Y</v>
      </c>
      <c r="C1898" s="6" t="s">
        <v>5673</v>
      </c>
      <c r="D1898" s="327"/>
      <c r="E1898" s="327" t="s">
        <v>5674</v>
      </c>
      <c r="F1898" s="206" t="s">
        <v>5675</v>
      </c>
      <c r="G1898" s="206" t="s">
        <v>5651</v>
      </c>
      <c r="H1898" s="207">
        <v>44538</v>
      </c>
      <c r="J1898" s="2" t="s">
        <v>5676</v>
      </c>
      <c r="K1898" s="302">
        <v>6205635652</v>
      </c>
      <c r="M1898" s="212"/>
      <c r="N1898" s="213"/>
      <c r="O1898" s="209"/>
    </row>
    <row r="1899" spans="1:15" x14ac:dyDescent="0.3">
      <c r="A1899" s="302" t="s">
        <v>155</v>
      </c>
      <c r="B1899" s="302" t="str">
        <f t="shared" ref="B1899:B1900" si="13">IF(H1915="","N","Y")</f>
        <v>Y</v>
      </c>
      <c r="C1899" s="6" t="s">
        <v>5677</v>
      </c>
      <c r="D1899" s="327"/>
      <c r="E1899" s="327" t="s">
        <v>5678</v>
      </c>
      <c r="F1899" s="206" t="s">
        <v>5679</v>
      </c>
      <c r="G1899" s="206" t="s">
        <v>5680</v>
      </c>
      <c r="H1899" s="207">
        <v>44540</v>
      </c>
      <c r="J1899" s="2" t="s">
        <v>5681</v>
      </c>
      <c r="K1899" s="302">
        <v>6287750955</v>
      </c>
      <c r="M1899" s="212"/>
      <c r="N1899" s="213"/>
      <c r="O1899" s="209"/>
    </row>
    <row r="1900" spans="1:15" x14ac:dyDescent="0.3">
      <c r="A1900" s="302" t="s">
        <v>155</v>
      </c>
      <c r="B1900" s="302" t="str">
        <f t="shared" si="13"/>
        <v>Y</v>
      </c>
      <c r="C1900" s="6" t="s">
        <v>5682</v>
      </c>
      <c r="D1900" s="327"/>
      <c r="E1900" s="327" t="s">
        <v>5683</v>
      </c>
      <c r="F1900" s="206" t="s">
        <v>5684</v>
      </c>
      <c r="G1900" s="206" t="s">
        <v>5680</v>
      </c>
      <c r="H1900" s="207">
        <v>44540</v>
      </c>
      <c r="J1900" s="2" t="s">
        <v>5672</v>
      </c>
      <c r="K1900" s="302">
        <v>9939221082</v>
      </c>
      <c r="M1900" s="212"/>
      <c r="N1900" s="213"/>
      <c r="O1900" s="209"/>
    </row>
    <row r="1901" spans="1:15" x14ac:dyDescent="0.3">
      <c r="A1901" s="302" t="s">
        <v>155</v>
      </c>
      <c r="B1901" s="302" t="str">
        <f t="shared" ref="B1901:B1902" si="14">IF(H1899="","N","Y")</f>
        <v>Y</v>
      </c>
      <c r="C1901" s="6" t="s">
        <v>5685</v>
      </c>
      <c r="D1901" s="327"/>
      <c r="E1901" s="327" t="s">
        <v>5686</v>
      </c>
      <c r="F1901" s="206" t="s">
        <v>5687</v>
      </c>
      <c r="G1901" s="206" t="s">
        <v>5680</v>
      </c>
      <c r="H1901" s="207">
        <v>44540</v>
      </c>
      <c r="J1901" s="2" t="s">
        <v>5688</v>
      </c>
      <c r="K1901" s="302">
        <v>9113734487</v>
      </c>
      <c r="M1901" s="212"/>
      <c r="N1901" s="213"/>
      <c r="O1901" s="209"/>
    </row>
    <row r="1902" spans="1:15" x14ac:dyDescent="0.3">
      <c r="A1902" s="302" t="s">
        <v>155</v>
      </c>
      <c r="B1902" s="302" t="str">
        <f t="shared" si="14"/>
        <v>Y</v>
      </c>
      <c r="C1902" s="6" t="s">
        <v>5689</v>
      </c>
      <c r="D1902" s="327"/>
      <c r="E1902" s="327" t="s">
        <v>5690</v>
      </c>
      <c r="F1902" s="206" t="s">
        <v>5691</v>
      </c>
      <c r="G1902" s="206"/>
      <c r="H1902" s="302"/>
      <c r="K1902" s="302">
        <v>7542903127</v>
      </c>
      <c r="M1902" s="212"/>
      <c r="N1902" s="213"/>
      <c r="O1902" s="209"/>
    </row>
    <row r="1903" spans="1:15" x14ac:dyDescent="0.3">
      <c r="A1903" s="302" t="s">
        <v>155</v>
      </c>
      <c r="B1903" s="302" t="str">
        <f t="shared" ref="B1903:B1934" si="15">IF(H1903="","N","Y")</f>
        <v>Y</v>
      </c>
      <c r="C1903" s="6" t="s">
        <v>5692</v>
      </c>
      <c r="D1903" s="327"/>
      <c r="E1903" s="327" t="s">
        <v>5693</v>
      </c>
      <c r="F1903" s="206" t="s">
        <v>5157</v>
      </c>
      <c r="G1903" s="206" t="s">
        <v>5694</v>
      </c>
      <c r="H1903" s="206" t="s">
        <v>5694</v>
      </c>
      <c r="K1903" s="302">
        <v>9668002629</v>
      </c>
      <c r="M1903" s="212"/>
      <c r="N1903" s="213"/>
      <c r="O1903" s="209"/>
    </row>
    <row r="1904" spans="1:15" x14ac:dyDescent="0.3">
      <c r="A1904" s="302" t="s">
        <v>155</v>
      </c>
      <c r="B1904" s="302" t="str">
        <f t="shared" si="15"/>
        <v>N</v>
      </c>
      <c r="C1904" s="6" t="s">
        <v>5695</v>
      </c>
      <c r="D1904" s="327"/>
      <c r="E1904" s="327" t="s">
        <v>5696</v>
      </c>
      <c r="F1904" s="206" t="s">
        <v>5697</v>
      </c>
      <c r="G1904" s="206"/>
      <c r="H1904" s="302"/>
      <c r="K1904" s="302">
        <v>8292866460</v>
      </c>
      <c r="M1904" s="212"/>
      <c r="N1904" s="213"/>
      <c r="O1904" s="209"/>
    </row>
    <row r="1905" spans="1:15" x14ac:dyDescent="0.3">
      <c r="A1905" s="302" t="s">
        <v>155</v>
      </c>
      <c r="B1905" s="302" t="str">
        <f t="shared" si="15"/>
        <v>Y</v>
      </c>
      <c r="C1905" s="6" t="s">
        <v>5698</v>
      </c>
      <c r="D1905" s="327"/>
      <c r="E1905" s="331" t="s">
        <v>5699</v>
      </c>
      <c r="F1905" s="227" t="s">
        <v>5700</v>
      </c>
      <c r="G1905" s="227"/>
      <c r="H1905" s="225" t="s">
        <v>5701</v>
      </c>
      <c r="K1905" s="302">
        <v>9934587315</v>
      </c>
      <c r="M1905" s="212"/>
      <c r="N1905" s="213"/>
      <c r="O1905" s="209"/>
    </row>
    <row r="1906" spans="1:15" x14ac:dyDescent="0.3">
      <c r="A1906" s="302" t="s">
        <v>155</v>
      </c>
      <c r="B1906" s="302" t="str">
        <f t="shared" si="15"/>
        <v>Y</v>
      </c>
      <c r="C1906" s="6" t="s">
        <v>5702</v>
      </c>
      <c r="D1906" s="327"/>
      <c r="E1906" s="327" t="s">
        <v>5703</v>
      </c>
      <c r="F1906" s="206" t="s">
        <v>5704</v>
      </c>
      <c r="G1906" s="206" t="s">
        <v>5705</v>
      </c>
      <c r="H1906" s="206" t="s">
        <v>5706</v>
      </c>
      <c r="K1906" s="302">
        <v>6206852720</v>
      </c>
      <c r="M1906" s="212"/>
      <c r="N1906" s="213"/>
      <c r="O1906" s="209"/>
    </row>
    <row r="1907" spans="1:15" x14ac:dyDescent="0.3">
      <c r="A1907" s="302" t="s">
        <v>155</v>
      </c>
      <c r="B1907" s="302" t="str">
        <f t="shared" si="15"/>
        <v>Y</v>
      </c>
      <c r="C1907" s="6" t="s">
        <v>5707</v>
      </c>
      <c r="D1907" s="327"/>
      <c r="E1907" s="327" t="s">
        <v>5708</v>
      </c>
      <c r="F1907" s="206" t="s">
        <v>5709</v>
      </c>
      <c r="G1907" s="206" t="s">
        <v>5705</v>
      </c>
      <c r="H1907" s="206" t="s">
        <v>5706</v>
      </c>
      <c r="K1907" s="302">
        <v>9057631400</v>
      </c>
      <c r="M1907" s="212"/>
      <c r="N1907" s="213"/>
      <c r="O1907" s="209"/>
    </row>
    <row r="1908" spans="1:15" x14ac:dyDescent="0.3">
      <c r="A1908" s="302" t="s">
        <v>155</v>
      </c>
      <c r="B1908" s="302" t="str">
        <f t="shared" si="15"/>
        <v>Y</v>
      </c>
      <c r="C1908" s="6" t="s">
        <v>5692</v>
      </c>
      <c r="D1908" s="327"/>
      <c r="E1908" s="327" t="s">
        <v>5693</v>
      </c>
      <c r="F1908" s="206" t="s">
        <v>5710</v>
      </c>
      <c r="G1908" s="206" t="s">
        <v>5705</v>
      </c>
      <c r="H1908" s="206" t="s">
        <v>5706</v>
      </c>
      <c r="K1908" s="302">
        <v>9668002629</v>
      </c>
      <c r="M1908" s="212"/>
      <c r="N1908" s="213"/>
      <c r="O1908" s="209"/>
    </row>
    <row r="1909" spans="1:15" x14ac:dyDescent="0.3">
      <c r="A1909" s="302" t="s">
        <v>155</v>
      </c>
      <c r="B1909" s="302" t="str">
        <f t="shared" si="15"/>
        <v>Y</v>
      </c>
      <c r="C1909" s="6" t="s">
        <v>5711</v>
      </c>
      <c r="D1909" s="327"/>
      <c r="E1909" s="327" t="s">
        <v>5712</v>
      </c>
      <c r="F1909" s="206" t="s">
        <v>5713</v>
      </c>
      <c r="G1909" s="206" t="s">
        <v>5705</v>
      </c>
      <c r="H1909" s="206" t="s">
        <v>5706</v>
      </c>
      <c r="K1909" s="302">
        <v>7764983318</v>
      </c>
      <c r="M1909" s="212"/>
      <c r="N1909" s="213"/>
      <c r="O1909" s="209"/>
    </row>
    <row r="1910" spans="1:15" x14ac:dyDescent="0.3">
      <c r="A1910" s="302" t="s">
        <v>155</v>
      </c>
      <c r="B1910" s="302" t="str">
        <f t="shared" si="15"/>
        <v>Y</v>
      </c>
      <c r="C1910" s="6" t="s">
        <v>5714</v>
      </c>
      <c r="D1910" s="327"/>
      <c r="E1910" s="327" t="s">
        <v>5715</v>
      </c>
      <c r="F1910" s="206" t="s">
        <v>5716</v>
      </c>
      <c r="G1910" s="206" t="s">
        <v>5705</v>
      </c>
      <c r="H1910" s="206" t="s">
        <v>5706</v>
      </c>
      <c r="K1910" s="302">
        <v>9386297857</v>
      </c>
      <c r="M1910" s="212"/>
      <c r="N1910" s="213"/>
      <c r="O1910" s="209"/>
    </row>
    <row r="1911" spans="1:15" x14ac:dyDescent="0.3">
      <c r="A1911" s="302" t="s">
        <v>155</v>
      </c>
      <c r="B1911" s="302" t="str">
        <f t="shared" si="15"/>
        <v>Y</v>
      </c>
      <c r="C1911" s="6" t="s">
        <v>5717</v>
      </c>
      <c r="D1911" s="327"/>
      <c r="E1911" s="327" t="s">
        <v>5718</v>
      </c>
      <c r="F1911" s="206" t="s">
        <v>1461</v>
      </c>
      <c r="G1911" s="206" t="s">
        <v>5705</v>
      </c>
      <c r="H1911" s="206" t="s">
        <v>5706</v>
      </c>
      <c r="K1911" s="302">
        <v>9631515447</v>
      </c>
      <c r="M1911" s="212"/>
      <c r="N1911" s="213"/>
      <c r="O1911" s="209"/>
    </row>
    <row r="1912" spans="1:15" x14ac:dyDescent="0.3">
      <c r="A1912" s="302" t="s">
        <v>155</v>
      </c>
      <c r="B1912" s="302" t="str">
        <f t="shared" si="15"/>
        <v>Y</v>
      </c>
      <c r="C1912" s="6" t="s">
        <v>5719</v>
      </c>
      <c r="D1912" s="327"/>
      <c r="E1912" s="327" t="s">
        <v>5720</v>
      </c>
      <c r="F1912" s="206" t="s">
        <v>5721</v>
      </c>
      <c r="G1912" s="206" t="s">
        <v>5705</v>
      </c>
      <c r="H1912" s="206" t="s">
        <v>5706</v>
      </c>
      <c r="K1912" s="302">
        <v>7856886204</v>
      </c>
      <c r="M1912" s="212"/>
      <c r="N1912" s="213"/>
      <c r="O1912" s="209"/>
    </row>
    <row r="1913" spans="1:15" x14ac:dyDescent="0.3">
      <c r="A1913" s="302" t="s">
        <v>155</v>
      </c>
      <c r="B1913" s="302" t="str">
        <f t="shared" si="15"/>
        <v>Y</v>
      </c>
      <c r="C1913" s="6" t="s">
        <v>5722</v>
      </c>
      <c r="D1913" s="327"/>
      <c r="E1913" s="327" t="s">
        <v>5723</v>
      </c>
      <c r="F1913" s="206" t="s">
        <v>5724</v>
      </c>
      <c r="G1913" s="206" t="s">
        <v>5705</v>
      </c>
      <c r="H1913" s="206" t="s">
        <v>5706</v>
      </c>
      <c r="K1913" s="302">
        <v>7070361149</v>
      </c>
      <c r="M1913" s="212"/>
      <c r="N1913" s="213"/>
      <c r="O1913" s="209"/>
    </row>
    <row r="1914" spans="1:15" x14ac:dyDescent="0.3">
      <c r="A1914" s="302" t="s">
        <v>155</v>
      </c>
      <c r="B1914" s="302" t="str">
        <f t="shared" si="15"/>
        <v>Y</v>
      </c>
      <c r="C1914" s="6" t="s">
        <v>5725</v>
      </c>
      <c r="D1914" s="327"/>
      <c r="E1914" s="327" t="s">
        <v>5726</v>
      </c>
      <c r="F1914" s="206" t="s">
        <v>5727</v>
      </c>
      <c r="G1914" s="206" t="s">
        <v>5705</v>
      </c>
      <c r="H1914" s="206" t="s">
        <v>5706</v>
      </c>
      <c r="K1914" s="302">
        <v>8863800125</v>
      </c>
      <c r="M1914" s="212"/>
      <c r="N1914" s="213"/>
      <c r="O1914" s="209"/>
    </row>
    <row r="1915" spans="1:15" x14ac:dyDescent="0.3">
      <c r="A1915" s="302" t="s">
        <v>155</v>
      </c>
      <c r="B1915" s="302" t="str">
        <f t="shared" si="15"/>
        <v>Y</v>
      </c>
      <c r="C1915" s="6" t="s">
        <v>5698</v>
      </c>
      <c r="D1915" s="327"/>
      <c r="E1915" s="327" t="s">
        <v>5728</v>
      </c>
      <c r="F1915" s="206" t="s">
        <v>5729</v>
      </c>
      <c r="G1915" s="206" t="s">
        <v>5705</v>
      </c>
      <c r="H1915" s="206" t="s">
        <v>5706</v>
      </c>
      <c r="K1915" s="302">
        <v>9934587315</v>
      </c>
      <c r="M1915" s="212"/>
      <c r="N1915" s="213"/>
      <c r="O1915" s="209"/>
    </row>
    <row r="1916" spans="1:15" x14ac:dyDescent="0.3">
      <c r="A1916" s="302" t="s">
        <v>155</v>
      </c>
      <c r="B1916" s="302" t="str">
        <f t="shared" si="15"/>
        <v>Y</v>
      </c>
      <c r="C1916" s="6" t="s">
        <v>5730</v>
      </c>
      <c r="D1916" s="327"/>
      <c r="E1916" s="327" t="s">
        <v>5731</v>
      </c>
      <c r="F1916" s="206" t="s">
        <v>5732</v>
      </c>
      <c r="G1916" s="206" t="s">
        <v>5705</v>
      </c>
      <c r="H1916" s="207">
        <v>44544</v>
      </c>
      <c r="K1916" s="302">
        <v>9204024742</v>
      </c>
      <c r="M1916" s="212"/>
      <c r="N1916" s="213"/>
      <c r="O1916" s="209"/>
    </row>
    <row r="1917" spans="1:15" x14ac:dyDescent="0.3">
      <c r="A1917" s="302" t="s">
        <v>155</v>
      </c>
      <c r="B1917" s="302" t="str">
        <f t="shared" si="15"/>
        <v>Y</v>
      </c>
      <c r="C1917" s="6" t="s">
        <v>5733</v>
      </c>
      <c r="D1917" s="327"/>
      <c r="E1917" s="327" t="s">
        <v>5734</v>
      </c>
      <c r="F1917" s="206" t="s">
        <v>5735</v>
      </c>
      <c r="G1917" s="206" t="s">
        <v>5706</v>
      </c>
      <c r="H1917" s="206" t="s">
        <v>5706</v>
      </c>
      <c r="K1917" s="302">
        <v>9606231827</v>
      </c>
      <c r="M1917" s="212"/>
      <c r="N1917" s="213"/>
      <c r="O1917" s="209"/>
    </row>
    <row r="1918" spans="1:15" x14ac:dyDescent="0.3">
      <c r="A1918" s="302" t="s">
        <v>155</v>
      </c>
      <c r="B1918" s="302" t="str">
        <f t="shared" si="15"/>
        <v>Y</v>
      </c>
      <c r="C1918" s="6" t="s">
        <v>5736</v>
      </c>
      <c r="D1918" s="327"/>
      <c r="E1918" s="327" t="s">
        <v>5737</v>
      </c>
      <c r="F1918" s="206" t="s">
        <v>5738</v>
      </c>
      <c r="G1918" s="206" t="s">
        <v>5706</v>
      </c>
      <c r="H1918" s="206" t="s">
        <v>5706</v>
      </c>
      <c r="K1918" s="302">
        <v>6287750955</v>
      </c>
      <c r="M1918" s="212"/>
      <c r="N1918" s="213"/>
      <c r="O1918" s="209"/>
    </row>
    <row r="1919" spans="1:15" x14ac:dyDescent="0.3">
      <c r="A1919" s="302" t="s">
        <v>155</v>
      </c>
      <c r="B1919" s="302" t="str">
        <f t="shared" si="15"/>
        <v>Y</v>
      </c>
      <c r="C1919" s="6" t="s">
        <v>5739</v>
      </c>
      <c r="D1919" s="327"/>
      <c r="E1919" s="327" t="s">
        <v>5740</v>
      </c>
      <c r="F1919" s="206" t="s">
        <v>5741</v>
      </c>
      <c r="G1919" s="206" t="s">
        <v>5301</v>
      </c>
      <c r="H1919" s="207">
        <v>44485</v>
      </c>
      <c r="K1919" s="302">
        <v>9661274078</v>
      </c>
      <c r="M1919" s="212"/>
      <c r="N1919" s="213"/>
      <c r="O1919" s="209"/>
    </row>
    <row r="1920" spans="1:15" x14ac:dyDescent="0.3">
      <c r="A1920" s="302" t="s">
        <v>155</v>
      </c>
      <c r="B1920" s="302" t="str">
        <f t="shared" si="15"/>
        <v>Y</v>
      </c>
      <c r="C1920" s="6" t="s">
        <v>5742</v>
      </c>
      <c r="D1920" s="327"/>
      <c r="E1920" s="327" t="s">
        <v>5743</v>
      </c>
      <c r="F1920" s="206" t="s">
        <v>5744</v>
      </c>
      <c r="G1920" s="206" t="s">
        <v>5301</v>
      </c>
      <c r="H1920" s="207">
        <v>44485</v>
      </c>
      <c r="K1920" s="302">
        <v>8797019439</v>
      </c>
      <c r="M1920" s="212"/>
      <c r="N1920" s="213"/>
      <c r="O1920" s="209"/>
    </row>
    <row r="1921" spans="1:15" x14ac:dyDescent="0.3">
      <c r="A1921" s="302" t="s">
        <v>155</v>
      </c>
      <c r="B1921" s="302" t="str">
        <f t="shared" si="15"/>
        <v>Y</v>
      </c>
      <c r="C1921" s="6" t="s">
        <v>5745</v>
      </c>
      <c r="D1921" s="327"/>
      <c r="E1921" s="327" t="s">
        <v>5746</v>
      </c>
      <c r="F1921" s="206" t="s">
        <v>3943</v>
      </c>
      <c r="G1921" s="206" t="s">
        <v>5747</v>
      </c>
      <c r="H1921" s="206" t="s">
        <v>5747</v>
      </c>
      <c r="K1921" s="302">
        <v>9279343538</v>
      </c>
      <c r="M1921" s="212"/>
      <c r="N1921" s="213"/>
      <c r="O1921" s="209"/>
    </row>
    <row r="1922" spans="1:15" x14ac:dyDescent="0.3">
      <c r="A1922" s="302" t="s">
        <v>155</v>
      </c>
      <c r="B1922" s="302" t="str">
        <f t="shared" si="15"/>
        <v>Y</v>
      </c>
      <c r="C1922" s="6" t="s">
        <v>5748</v>
      </c>
      <c r="D1922" s="327"/>
      <c r="E1922" s="327" t="s">
        <v>5749</v>
      </c>
      <c r="F1922" s="206" t="s">
        <v>5750</v>
      </c>
      <c r="G1922" s="206" t="s">
        <v>5747</v>
      </c>
      <c r="H1922" s="206" t="s">
        <v>5747</v>
      </c>
      <c r="K1922" s="302">
        <v>9279343538</v>
      </c>
      <c r="M1922" s="212"/>
      <c r="N1922" s="213"/>
      <c r="O1922" s="209"/>
    </row>
    <row r="1923" spans="1:15" x14ac:dyDescent="0.3">
      <c r="A1923" s="302" t="s">
        <v>155</v>
      </c>
      <c r="B1923" s="302" t="str">
        <f t="shared" si="15"/>
        <v>Y</v>
      </c>
      <c r="C1923" s="6" t="s">
        <v>5751</v>
      </c>
      <c r="D1923" s="327"/>
      <c r="E1923" s="327" t="s">
        <v>5752</v>
      </c>
      <c r="F1923" s="206" t="s">
        <v>2418</v>
      </c>
      <c r="G1923" s="206" t="s">
        <v>5747</v>
      </c>
      <c r="H1923" s="206" t="s">
        <v>5747</v>
      </c>
      <c r="K1923" s="302">
        <v>6200073337</v>
      </c>
      <c r="M1923" s="212"/>
      <c r="N1923" s="213"/>
      <c r="O1923" s="209"/>
    </row>
    <row r="1924" spans="1:15" x14ac:dyDescent="0.3">
      <c r="A1924" s="302" t="s">
        <v>155</v>
      </c>
      <c r="B1924" s="302" t="str">
        <f t="shared" si="15"/>
        <v>Y</v>
      </c>
      <c r="C1924" s="6" t="s">
        <v>5753</v>
      </c>
      <c r="D1924" s="327"/>
      <c r="E1924" s="327" t="s">
        <v>5754</v>
      </c>
      <c r="F1924" s="206" t="s">
        <v>5755</v>
      </c>
      <c r="G1924" s="206" t="s">
        <v>5694</v>
      </c>
      <c r="H1924" s="207">
        <v>44548</v>
      </c>
      <c r="K1924" s="302">
        <v>8825230298</v>
      </c>
      <c r="M1924" s="212"/>
      <c r="N1924" s="213"/>
      <c r="O1924" s="209"/>
    </row>
    <row r="1925" spans="1:15" x14ac:dyDescent="0.3">
      <c r="A1925" s="302" t="s">
        <v>155</v>
      </c>
      <c r="B1925" s="302" t="str">
        <f t="shared" si="15"/>
        <v>Y</v>
      </c>
      <c r="C1925" s="6" t="s">
        <v>5756</v>
      </c>
      <c r="D1925" s="327"/>
      <c r="E1925" s="327" t="s">
        <v>5757</v>
      </c>
      <c r="F1925" s="206" t="s">
        <v>5758</v>
      </c>
      <c r="G1925" s="206" t="s">
        <v>5759</v>
      </c>
      <c r="H1925" s="207">
        <v>44547</v>
      </c>
      <c r="K1925" s="302">
        <v>9835316634</v>
      </c>
      <c r="M1925" s="212"/>
      <c r="N1925" s="213"/>
      <c r="O1925" s="209"/>
    </row>
    <row r="1926" spans="1:15" x14ac:dyDescent="0.3">
      <c r="A1926" s="302" t="s">
        <v>155</v>
      </c>
      <c r="B1926" s="302" t="str">
        <f t="shared" si="15"/>
        <v>Y</v>
      </c>
      <c r="C1926" s="6" t="s">
        <v>5760</v>
      </c>
      <c r="D1926" s="327"/>
      <c r="E1926" s="327" t="s">
        <v>5761</v>
      </c>
      <c r="F1926" s="206" t="s">
        <v>5762</v>
      </c>
      <c r="G1926" s="206" t="s">
        <v>5694</v>
      </c>
      <c r="H1926" s="207">
        <v>44548</v>
      </c>
      <c r="K1926" s="302">
        <v>9263212433</v>
      </c>
      <c r="M1926" s="212"/>
      <c r="N1926" s="213"/>
      <c r="O1926" s="209"/>
    </row>
    <row r="1927" spans="1:15" x14ac:dyDescent="0.3">
      <c r="A1927" s="302" t="s">
        <v>155</v>
      </c>
      <c r="B1927" s="302" t="str">
        <f t="shared" si="15"/>
        <v>Y</v>
      </c>
      <c r="C1927" s="6" t="s">
        <v>5763</v>
      </c>
      <c r="D1927" s="327"/>
      <c r="E1927" s="327" t="s">
        <v>5764</v>
      </c>
      <c r="F1927" s="206" t="s">
        <v>5765</v>
      </c>
      <c r="G1927" s="206" t="s">
        <v>5694</v>
      </c>
      <c r="H1927" s="207">
        <v>44548</v>
      </c>
      <c r="K1927" s="302">
        <v>9234528685</v>
      </c>
      <c r="M1927" s="212"/>
      <c r="N1927" s="213"/>
      <c r="O1927" s="209"/>
    </row>
    <row r="1928" spans="1:15" x14ac:dyDescent="0.3">
      <c r="A1928" s="302" t="s">
        <v>155</v>
      </c>
      <c r="B1928" s="302" t="str">
        <f t="shared" si="15"/>
        <v>N</v>
      </c>
      <c r="C1928" s="6" t="s">
        <v>5766</v>
      </c>
      <c r="D1928" s="327"/>
      <c r="E1928" s="327" t="s">
        <v>5767</v>
      </c>
      <c r="F1928" s="206"/>
      <c r="G1928" s="206"/>
      <c r="H1928" s="302"/>
      <c r="I1928" s="2" t="s">
        <v>5768</v>
      </c>
      <c r="K1928" s="302">
        <v>6203881156</v>
      </c>
      <c r="M1928" s="212"/>
      <c r="N1928" s="213"/>
      <c r="O1928" s="209"/>
    </row>
    <row r="1929" spans="1:15" x14ac:dyDescent="0.3">
      <c r="A1929" s="302" t="s">
        <v>155</v>
      </c>
      <c r="B1929" s="302" t="str">
        <f t="shared" si="15"/>
        <v>Y</v>
      </c>
      <c r="C1929" s="6" t="s">
        <v>5769</v>
      </c>
      <c r="D1929" s="327"/>
      <c r="E1929" s="327" t="s">
        <v>5770</v>
      </c>
      <c r="F1929" s="206" t="s">
        <v>5771</v>
      </c>
      <c r="G1929" s="206" t="s">
        <v>5772</v>
      </c>
      <c r="H1929" s="206" t="s">
        <v>5772</v>
      </c>
      <c r="K1929" s="302">
        <v>9204389679</v>
      </c>
      <c r="M1929" s="212"/>
      <c r="N1929" s="213"/>
      <c r="O1929" s="209"/>
    </row>
    <row r="1930" spans="1:15" x14ac:dyDescent="0.3">
      <c r="A1930" s="302" t="s">
        <v>155</v>
      </c>
      <c r="B1930" s="302" t="str">
        <f t="shared" si="15"/>
        <v>N</v>
      </c>
      <c r="C1930" s="6" t="s">
        <v>5766</v>
      </c>
      <c r="D1930" s="327"/>
      <c r="E1930" s="327" t="s">
        <v>5773</v>
      </c>
      <c r="F1930" s="206" t="s">
        <v>5774</v>
      </c>
      <c r="G1930" s="206"/>
      <c r="H1930" s="302"/>
      <c r="K1930" s="302">
        <v>7440184882</v>
      </c>
      <c r="M1930" s="212"/>
      <c r="N1930" s="213"/>
      <c r="O1930" s="209"/>
    </row>
    <row r="1931" spans="1:15" x14ac:dyDescent="0.3">
      <c r="A1931" s="302" t="s">
        <v>155</v>
      </c>
      <c r="B1931" s="302" t="str">
        <f t="shared" si="15"/>
        <v>Y</v>
      </c>
      <c r="C1931" s="6" t="s">
        <v>5695</v>
      </c>
      <c r="D1931" s="327"/>
      <c r="E1931" s="327" t="s">
        <v>5775</v>
      </c>
      <c r="F1931" s="206" t="s">
        <v>1533</v>
      </c>
      <c r="G1931" s="206" t="s">
        <v>5776</v>
      </c>
      <c r="H1931" s="207">
        <v>44550</v>
      </c>
      <c r="K1931" s="302">
        <v>8292860460</v>
      </c>
      <c r="M1931" s="212"/>
      <c r="N1931" s="213"/>
      <c r="O1931" s="209"/>
    </row>
    <row r="1932" spans="1:15" x14ac:dyDescent="0.3">
      <c r="A1932" s="302" t="s">
        <v>155</v>
      </c>
      <c r="B1932" s="302" t="str">
        <f t="shared" si="15"/>
        <v>Y</v>
      </c>
      <c r="C1932" s="6" t="s">
        <v>5777</v>
      </c>
      <c r="D1932" s="327"/>
      <c r="E1932" s="327" t="s">
        <v>5778</v>
      </c>
      <c r="F1932" s="206" t="s">
        <v>5779</v>
      </c>
      <c r="G1932" s="206" t="s">
        <v>5772</v>
      </c>
      <c r="H1932" s="206" t="s">
        <v>5772</v>
      </c>
      <c r="K1932" s="302">
        <v>9308356571</v>
      </c>
      <c r="M1932" s="212"/>
      <c r="N1932" s="213"/>
      <c r="O1932" s="209"/>
    </row>
    <row r="1933" spans="1:15" x14ac:dyDescent="0.3">
      <c r="A1933" s="302" t="s">
        <v>155</v>
      </c>
      <c r="B1933" s="302" t="str">
        <f t="shared" si="15"/>
        <v>Y</v>
      </c>
      <c r="C1933" s="6" t="s">
        <v>5780</v>
      </c>
      <c r="D1933" s="327"/>
      <c r="E1933" s="327" t="s">
        <v>5781</v>
      </c>
      <c r="F1933" s="206" t="s">
        <v>5782</v>
      </c>
      <c r="G1933" s="206" t="s">
        <v>5772</v>
      </c>
      <c r="H1933" s="206" t="s">
        <v>5772</v>
      </c>
      <c r="K1933" s="302">
        <v>9304403372</v>
      </c>
      <c r="M1933" s="212"/>
      <c r="N1933" s="213"/>
      <c r="O1933" s="209"/>
    </row>
    <row r="1934" spans="1:15" x14ac:dyDescent="0.3">
      <c r="A1934" s="302" t="s">
        <v>155</v>
      </c>
      <c r="B1934" s="302" t="str">
        <f t="shared" si="15"/>
        <v>Y</v>
      </c>
      <c r="C1934" s="6" t="s">
        <v>5783</v>
      </c>
      <c r="D1934" s="327"/>
      <c r="E1934" s="327" t="s">
        <v>5784</v>
      </c>
      <c r="F1934" s="206" t="s">
        <v>5785</v>
      </c>
      <c r="G1934" s="206" t="s">
        <v>5772</v>
      </c>
      <c r="H1934" s="206" t="s">
        <v>5772</v>
      </c>
      <c r="K1934" s="302">
        <v>8864025864</v>
      </c>
      <c r="M1934" s="212"/>
      <c r="N1934" s="213"/>
      <c r="O1934" s="209"/>
    </row>
    <row r="1935" spans="1:15" x14ac:dyDescent="0.3">
      <c r="A1935" s="302" t="s">
        <v>155</v>
      </c>
      <c r="B1935" s="302" t="str">
        <f>IF(H1924="","N","Y")</f>
        <v>Y</v>
      </c>
      <c r="C1935" s="6" t="s">
        <v>5786</v>
      </c>
      <c r="D1935" s="327"/>
      <c r="E1935" s="327" t="s">
        <v>5787</v>
      </c>
      <c r="F1935" s="206" t="s">
        <v>5788</v>
      </c>
      <c r="G1935" s="206" t="s">
        <v>5369</v>
      </c>
      <c r="H1935" s="206" t="s">
        <v>5369</v>
      </c>
      <c r="K1935" s="302">
        <v>9835104748</v>
      </c>
      <c r="M1935" s="212"/>
      <c r="N1935" s="213"/>
      <c r="O1935" s="209"/>
    </row>
    <row r="1936" spans="1:15" x14ac:dyDescent="0.3">
      <c r="A1936" s="302" t="s">
        <v>155</v>
      </c>
      <c r="B1936" s="302" t="str">
        <f t="shared" ref="B1936:B2189" si="16">IF(H1936="","N","Y")</f>
        <v>Y</v>
      </c>
      <c r="C1936" s="6" t="s">
        <v>5789</v>
      </c>
      <c r="D1936" s="327"/>
      <c r="E1936" s="327" t="s">
        <v>5790</v>
      </c>
      <c r="F1936" s="206" t="s">
        <v>5791</v>
      </c>
      <c r="G1936" s="206" t="s">
        <v>5369</v>
      </c>
      <c r="H1936" s="206" t="s">
        <v>5369</v>
      </c>
      <c r="K1936" s="302">
        <v>7070360954</v>
      </c>
      <c r="M1936" s="212"/>
      <c r="N1936" s="213"/>
      <c r="O1936" s="209"/>
    </row>
    <row r="1937" spans="1:15" x14ac:dyDescent="0.3">
      <c r="A1937" s="302" t="s">
        <v>155</v>
      </c>
      <c r="B1937" s="302" t="str">
        <f t="shared" si="16"/>
        <v>Y</v>
      </c>
      <c r="C1937" s="6" t="s">
        <v>5792</v>
      </c>
      <c r="D1937" s="327"/>
      <c r="E1937" s="327" t="s">
        <v>5793</v>
      </c>
      <c r="F1937" s="206" t="s">
        <v>5794</v>
      </c>
      <c r="G1937" s="206" t="s">
        <v>5369</v>
      </c>
      <c r="H1937" s="206" t="s">
        <v>5369</v>
      </c>
      <c r="K1937" s="302">
        <v>9431569365</v>
      </c>
      <c r="M1937" s="212"/>
      <c r="N1937" s="213"/>
      <c r="O1937" s="209"/>
    </row>
    <row r="1938" spans="1:15" x14ac:dyDescent="0.3">
      <c r="A1938" s="302" t="s">
        <v>155</v>
      </c>
      <c r="B1938" s="302" t="str">
        <f t="shared" si="16"/>
        <v>Y</v>
      </c>
      <c r="C1938" s="6" t="s">
        <v>5795</v>
      </c>
      <c r="D1938" s="327"/>
      <c r="E1938" s="327" t="s">
        <v>5796</v>
      </c>
      <c r="F1938" s="206" t="s">
        <v>5797</v>
      </c>
      <c r="G1938" s="206" t="s">
        <v>5369</v>
      </c>
      <c r="H1938" s="206" t="s">
        <v>5369</v>
      </c>
      <c r="K1938" s="302">
        <v>8409714684</v>
      </c>
      <c r="M1938" s="212"/>
      <c r="N1938" s="213"/>
      <c r="O1938" s="209"/>
    </row>
    <row r="1939" spans="1:15" x14ac:dyDescent="0.3">
      <c r="A1939" s="302" t="s">
        <v>155</v>
      </c>
      <c r="B1939" s="302" t="str">
        <f t="shared" si="16"/>
        <v>Y</v>
      </c>
      <c r="C1939" s="6" t="s">
        <v>5798</v>
      </c>
      <c r="D1939" s="327"/>
      <c r="E1939" s="327" t="s">
        <v>5799</v>
      </c>
      <c r="F1939" s="206" t="s">
        <v>5800</v>
      </c>
      <c r="G1939" s="206" t="s">
        <v>5369</v>
      </c>
      <c r="H1939" s="206" t="s">
        <v>5369</v>
      </c>
      <c r="K1939" s="302">
        <v>9905551780</v>
      </c>
      <c r="M1939" s="212"/>
      <c r="N1939" s="213"/>
      <c r="O1939" s="209"/>
    </row>
    <row r="1940" spans="1:15" x14ac:dyDescent="0.3">
      <c r="A1940" s="302" t="s">
        <v>155</v>
      </c>
      <c r="B1940" s="302" t="str">
        <f t="shared" si="16"/>
        <v>Y</v>
      </c>
      <c r="C1940" s="6" t="s">
        <v>5801</v>
      </c>
      <c r="D1940" s="327"/>
      <c r="E1940" s="327" t="s">
        <v>291</v>
      </c>
      <c r="F1940" s="206" t="s">
        <v>5802</v>
      </c>
      <c r="G1940" s="206" t="s">
        <v>5369</v>
      </c>
      <c r="H1940" s="206" t="s">
        <v>5369</v>
      </c>
      <c r="K1940" s="302">
        <v>7488058507</v>
      </c>
      <c r="M1940" s="212"/>
      <c r="N1940" s="213"/>
      <c r="O1940" s="209"/>
    </row>
    <row r="1941" spans="1:15" x14ac:dyDescent="0.3">
      <c r="A1941" s="302" t="s">
        <v>155</v>
      </c>
      <c r="B1941" s="302" t="str">
        <f t="shared" si="16"/>
        <v>Y</v>
      </c>
      <c r="C1941" s="6" t="s">
        <v>5803</v>
      </c>
      <c r="D1941" s="327"/>
      <c r="E1941" s="327" t="s">
        <v>5804</v>
      </c>
      <c r="F1941" s="206" t="s">
        <v>5805</v>
      </c>
      <c r="G1941" s="206" t="s">
        <v>5369</v>
      </c>
      <c r="H1941" s="206" t="s">
        <v>5369</v>
      </c>
      <c r="K1941" s="302">
        <v>8340522556</v>
      </c>
      <c r="M1941" s="212"/>
      <c r="N1941" s="213"/>
      <c r="O1941" s="209"/>
    </row>
    <row r="1942" spans="1:15" x14ac:dyDescent="0.3">
      <c r="A1942" s="302" t="s">
        <v>155</v>
      </c>
      <c r="B1942" s="302" t="str">
        <f t="shared" si="16"/>
        <v>Y</v>
      </c>
      <c r="C1942" s="6" t="s">
        <v>5806</v>
      </c>
      <c r="D1942" s="327"/>
      <c r="E1942" s="327" t="s">
        <v>5807</v>
      </c>
      <c r="F1942" s="206" t="s">
        <v>5808</v>
      </c>
      <c r="G1942" s="206" t="s">
        <v>5809</v>
      </c>
      <c r="H1942" s="207">
        <v>44556</v>
      </c>
      <c r="J1942" s="2" t="s">
        <v>5672</v>
      </c>
      <c r="K1942" s="302">
        <v>8235429760</v>
      </c>
      <c r="M1942" s="212"/>
      <c r="N1942" s="213"/>
      <c r="O1942" s="209"/>
    </row>
    <row r="1943" spans="1:15" x14ac:dyDescent="0.3">
      <c r="A1943" s="302" t="s">
        <v>155</v>
      </c>
      <c r="B1943" s="302" t="str">
        <f t="shared" si="16"/>
        <v>Y</v>
      </c>
      <c r="C1943" s="6" t="s">
        <v>5810</v>
      </c>
      <c r="D1943" s="327"/>
      <c r="E1943" s="327" t="s">
        <v>5811</v>
      </c>
      <c r="F1943" s="206" t="s">
        <v>5812</v>
      </c>
      <c r="G1943" s="206" t="s">
        <v>5813</v>
      </c>
      <c r="H1943" s="207">
        <v>44556</v>
      </c>
      <c r="J1943" s="2" t="s">
        <v>5814</v>
      </c>
      <c r="K1943" s="302">
        <v>9102272553</v>
      </c>
      <c r="M1943" s="212"/>
      <c r="N1943" s="213"/>
      <c r="O1943" s="209"/>
    </row>
    <row r="1944" spans="1:15" x14ac:dyDescent="0.3">
      <c r="A1944" s="302" t="s">
        <v>155</v>
      </c>
      <c r="B1944" s="302" t="str">
        <f t="shared" si="16"/>
        <v>Y</v>
      </c>
      <c r="C1944" s="6" t="s">
        <v>5815</v>
      </c>
      <c r="D1944" s="327"/>
      <c r="E1944" s="327" t="s">
        <v>5816</v>
      </c>
      <c r="F1944" s="206" t="s">
        <v>5817</v>
      </c>
      <c r="G1944" s="206" t="s">
        <v>5813</v>
      </c>
      <c r="H1944" s="207">
        <v>44556</v>
      </c>
      <c r="J1944" s="2" t="s">
        <v>5672</v>
      </c>
      <c r="K1944" s="302">
        <v>7091702924</v>
      </c>
      <c r="M1944" s="212"/>
      <c r="N1944" s="213"/>
      <c r="O1944" s="209"/>
    </row>
    <row r="1945" spans="1:15" x14ac:dyDescent="0.3">
      <c r="A1945" s="302" t="s">
        <v>155</v>
      </c>
      <c r="B1945" s="302" t="str">
        <f t="shared" si="16"/>
        <v>Y</v>
      </c>
      <c r="C1945" s="6" t="s">
        <v>5818</v>
      </c>
      <c r="D1945" s="327"/>
      <c r="E1945" s="327" t="s">
        <v>5819</v>
      </c>
      <c r="F1945" s="206" t="s">
        <v>5820</v>
      </c>
      <c r="G1945" s="206" t="s">
        <v>5813</v>
      </c>
      <c r="H1945" s="207">
        <v>44556</v>
      </c>
      <c r="J1945" s="2" t="s">
        <v>5672</v>
      </c>
      <c r="K1945" s="302">
        <v>6090424035</v>
      </c>
      <c r="M1945" s="212"/>
      <c r="N1945" s="213"/>
      <c r="O1945" s="209"/>
    </row>
    <row r="1946" spans="1:15" x14ac:dyDescent="0.3">
      <c r="A1946" s="302" t="s">
        <v>155</v>
      </c>
      <c r="B1946" s="302" t="str">
        <f t="shared" si="16"/>
        <v>Y</v>
      </c>
      <c r="C1946" s="6" t="s">
        <v>5821</v>
      </c>
      <c r="D1946" s="327"/>
      <c r="E1946" s="327" t="s">
        <v>5822</v>
      </c>
      <c r="F1946" s="206" t="s">
        <v>1893</v>
      </c>
      <c r="G1946" s="206" t="s">
        <v>5813</v>
      </c>
      <c r="H1946" s="207">
        <v>44556</v>
      </c>
      <c r="J1946" s="2" t="s">
        <v>5823</v>
      </c>
      <c r="K1946" s="302">
        <v>7029236763</v>
      </c>
      <c r="M1946" s="212"/>
      <c r="N1946" s="213"/>
      <c r="O1946" s="209"/>
    </row>
    <row r="1947" spans="1:15" x14ac:dyDescent="0.3">
      <c r="A1947" s="302" t="s">
        <v>155</v>
      </c>
      <c r="B1947" s="302" t="str">
        <f t="shared" si="16"/>
        <v>Y</v>
      </c>
      <c r="C1947" s="6" t="s">
        <v>5824</v>
      </c>
      <c r="D1947" s="327"/>
      <c r="E1947" s="327" t="s">
        <v>5825</v>
      </c>
      <c r="F1947" s="206" t="s">
        <v>5826</v>
      </c>
      <c r="G1947" s="206" t="s">
        <v>5813</v>
      </c>
      <c r="H1947" s="206" t="s">
        <v>5813</v>
      </c>
      <c r="J1947" s="2" t="s">
        <v>5827</v>
      </c>
      <c r="K1947" s="302">
        <v>8210923124</v>
      </c>
      <c r="M1947" s="212"/>
      <c r="N1947" s="213"/>
      <c r="O1947" s="209"/>
    </row>
    <row r="1948" spans="1:15" x14ac:dyDescent="0.3">
      <c r="A1948" s="302" t="s">
        <v>155</v>
      </c>
      <c r="B1948" s="302" t="str">
        <f t="shared" si="16"/>
        <v>Y</v>
      </c>
      <c r="C1948" s="6" t="s">
        <v>5828</v>
      </c>
      <c r="D1948" s="327"/>
      <c r="E1948" s="327" t="s">
        <v>5829</v>
      </c>
      <c r="F1948" s="206" t="s">
        <v>5830</v>
      </c>
      <c r="G1948" s="206" t="s">
        <v>5809</v>
      </c>
      <c r="H1948" s="207">
        <v>44554</v>
      </c>
      <c r="J1948" s="2" t="s">
        <v>5831</v>
      </c>
      <c r="K1948" s="302">
        <v>9835933076</v>
      </c>
      <c r="M1948" s="212"/>
      <c r="N1948" s="213"/>
      <c r="O1948" s="209"/>
    </row>
    <row r="1949" spans="1:15" x14ac:dyDescent="0.3">
      <c r="A1949" s="302" t="s">
        <v>155</v>
      </c>
      <c r="B1949" s="302" t="str">
        <f t="shared" si="16"/>
        <v>Y</v>
      </c>
      <c r="C1949" s="6" t="s">
        <v>5832</v>
      </c>
      <c r="D1949" s="327"/>
      <c r="E1949" s="327" t="s">
        <v>5833</v>
      </c>
      <c r="F1949" s="206" t="s">
        <v>5834</v>
      </c>
      <c r="G1949" s="206" t="s">
        <v>5835</v>
      </c>
      <c r="H1949" s="206" t="s">
        <v>5835</v>
      </c>
      <c r="K1949" s="302">
        <v>7857083119</v>
      </c>
      <c r="M1949" s="212"/>
      <c r="N1949" s="213"/>
      <c r="O1949" s="209"/>
    </row>
    <row r="1950" spans="1:15" x14ac:dyDescent="0.3">
      <c r="A1950" s="302" t="s">
        <v>155</v>
      </c>
      <c r="B1950" s="302" t="str">
        <f t="shared" si="16"/>
        <v>Y</v>
      </c>
      <c r="C1950" s="6" t="s">
        <v>5836</v>
      </c>
      <c r="D1950" s="327"/>
      <c r="E1950" s="327" t="s">
        <v>5837</v>
      </c>
      <c r="F1950" s="206" t="s">
        <v>5838</v>
      </c>
      <c r="G1950" s="206" t="s">
        <v>5835</v>
      </c>
      <c r="H1950" s="206" t="s">
        <v>5835</v>
      </c>
      <c r="K1950" s="302">
        <v>9304144107</v>
      </c>
      <c r="M1950" s="212"/>
      <c r="N1950" s="213"/>
      <c r="O1950" s="209"/>
    </row>
    <row r="1951" spans="1:15" x14ac:dyDescent="0.3">
      <c r="A1951" s="302" t="s">
        <v>155</v>
      </c>
      <c r="B1951" s="302" t="str">
        <f t="shared" si="16"/>
        <v>Y</v>
      </c>
      <c r="C1951" s="6" t="s">
        <v>5839</v>
      </c>
      <c r="D1951" s="327"/>
      <c r="E1951" s="327" t="s">
        <v>5840</v>
      </c>
      <c r="F1951" s="206" t="s">
        <v>5841</v>
      </c>
      <c r="G1951" s="206" t="s">
        <v>5835</v>
      </c>
      <c r="H1951" s="206" t="s">
        <v>5835</v>
      </c>
      <c r="K1951" s="302">
        <v>7870798092</v>
      </c>
      <c r="M1951" s="212"/>
      <c r="N1951" s="213"/>
      <c r="O1951" s="209"/>
    </row>
    <row r="1952" spans="1:15" x14ac:dyDescent="0.3">
      <c r="A1952" s="302" t="s">
        <v>155</v>
      </c>
      <c r="B1952" s="302" t="str">
        <f t="shared" si="16"/>
        <v>Y</v>
      </c>
      <c r="C1952" s="6" t="s">
        <v>5842</v>
      </c>
      <c r="D1952" s="327"/>
      <c r="E1952" s="327" t="s">
        <v>5843</v>
      </c>
      <c r="F1952" s="206" t="s">
        <v>5844</v>
      </c>
      <c r="G1952" s="206" t="s">
        <v>5835</v>
      </c>
      <c r="H1952" s="207">
        <v>44558</v>
      </c>
      <c r="K1952" s="302">
        <v>8227051040</v>
      </c>
      <c r="M1952" s="212"/>
      <c r="N1952" s="213"/>
      <c r="O1952" s="209"/>
    </row>
    <row r="1953" spans="1:15" x14ac:dyDescent="0.3">
      <c r="A1953" s="302" t="s">
        <v>155</v>
      </c>
      <c r="B1953" s="302" t="str">
        <f t="shared" si="16"/>
        <v>Y</v>
      </c>
      <c r="C1953" s="6" t="s">
        <v>5845</v>
      </c>
      <c r="D1953" s="327"/>
      <c r="E1953" s="327" t="s">
        <v>5846</v>
      </c>
      <c r="F1953" s="206" t="s">
        <v>5847</v>
      </c>
      <c r="G1953" s="206" t="s">
        <v>5835</v>
      </c>
      <c r="H1953" s="207">
        <v>44558</v>
      </c>
      <c r="K1953" s="302">
        <v>9065839974</v>
      </c>
      <c r="M1953" s="212"/>
      <c r="N1953" s="213"/>
      <c r="O1953" s="209"/>
    </row>
    <row r="1954" spans="1:15" x14ac:dyDescent="0.3">
      <c r="A1954" s="302" t="s">
        <v>155</v>
      </c>
      <c r="B1954" s="302" t="str">
        <f t="shared" si="16"/>
        <v>Y</v>
      </c>
      <c r="C1954" s="6" t="s">
        <v>5848</v>
      </c>
      <c r="D1954" s="327"/>
      <c r="E1954" s="327" t="s">
        <v>5849</v>
      </c>
      <c r="F1954" s="206" t="s">
        <v>5850</v>
      </c>
      <c r="G1954" s="206" t="s">
        <v>5835</v>
      </c>
      <c r="H1954" s="207">
        <v>44558</v>
      </c>
      <c r="J1954" s="2" t="s">
        <v>5672</v>
      </c>
      <c r="K1954" s="302">
        <v>9142435515</v>
      </c>
      <c r="M1954" s="212"/>
      <c r="N1954" s="213"/>
      <c r="O1954" s="209"/>
    </row>
    <row r="1955" spans="1:15" x14ac:dyDescent="0.3">
      <c r="A1955" s="302" t="s">
        <v>155</v>
      </c>
      <c r="B1955" s="302" t="str">
        <f t="shared" si="16"/>
        <v>Y</v>
      </c>
      <c r="C1955" s="6" t="s">
        <v>5851</v>
      </c>
      <c r="D1955" s="327"/>
      <c r="E1955" s="327" t="s">
        <v>5852</v>
      </c>
      <c r="F1955" s="206" t="s">
        <v>1811</v>
      </c>
      <c r="G1955" s="206" t="s">
        <v>5853</v>
      </c>
      <c r="H1955" s="207">
        <v>44559</v>
      </c>
      <c r="J1955" s="2" t="s">
        <v>5672</v>
      </c>
      <c r="K1955" s="302">
        <v>8603120995</v>
      </c>
      <c r="M1955" s="212"/>
      <c r="N1955" s="213"/>
      <c r="O1955" s="209"/>
    </row>
    <row r="1956" spans="1:15" x14ac:dyDescent="0.3">
      <c r="A1956" s="302" t="s">
        <v>155</v>
      </c>
      <c r="B1956" s="302" t="str">
        <f t="shared" si="16"/>
        <v>Y</v>
      </c>
      <c r="C1956" s="6" t="s">
        <v>5854</v>
      </c>
      <c r="D1956" s="327"/>
      <c r="E1956" s="327" t="s">
        <v>5855</v>
      </c>
      <c r="F1956" s="206" t="s">
        <v>5856</v>
      </c>
      <c r="G1956" s="206" t="s">
        <v>5853</v>
      </c>
      <c r="H1956" s="207">
        <v>44559</v>
      </c>
      <c r="J1956" s="2" t="s">
        <v>5672</v>
      </c>
      <c r="K1956" s="302">
        <v>9031389808</v>
      </c>
      <c r="M1956" s="212"/>
      <c r="N1956" s="213"/>
      <c r="O1956" s="209"/>
    </row>
    <row r="1957" spans="1:15" x14ac:dyDescent="0.3">
      <c r="A1957" s="302" t="s">
        <v>155</v>
      </c>
      <c r="B1957" s="302" t="str">
        <f t="shared" si="16"/>
        <v>Y</v>
      </c>
      <c r="C1957" s="6" t="s">
        <v>5857</v>
      </c>
      <c r="D1957" s="327"/>
      <c r="E1957" s="327" t="s">
        <v>5858</v>
      </c>
      <c r="F1957" s="206" t="s">
        <v>5859</v>
      </c>
      <c r="G1957" s="206" t="s">
        <v>5860</v>
      </c>
      <c r="H1957" s="206" t="s">
        <v>5860</v>
      </c>
      <c r="K1957" s="302">
        <v>8797020272</v>
      </c>
      <c r="M1957" s="212"/>
      <c r="N1957" s="213"/>
      <c r="O1957" s="209"/>
    </row>
    <row r="1958" spans="1:15" x14ac:dyDescent="0.3">
      <c r="A1958" s="302" t="s">
        <v>155</v>
      </c>
      <c r="B1958" s="302" t="str">
        <f t="shared" si="16"/>
        <v>Y</v>
      </c>
      <c r="C1958" s="6" t="s">
        <v>5861</v>
      </c>
      <c r="D1958" s="327"/>
      <c r="E1958" s="327" t="s">
        <v>5862</v>
      </c>
      <c r="F1958" s="206" t="s">
        <v>5863</v>
      </c>
      <c r="G1958" s="206" t="s">
        <v>5860</v>
      </c>
      <c r="H1958" s="206" t="s">
        <v>5860</v>
      </c>
      <c r="K1958" s="302">
        <v>9234259682</v>
      </c>
      <c r="M1958" s="212"/>
      <c r="N1958" s="213"/>
      <c r="O1958" s="209"/>
    </row>
    <row r="1959" spans="1:15" x14ac:dyDescent="0.3">
      <c r="A1959" s="302" t="s">
        <v>155</v>
      </c>
      <c r="B1959" s="302" t="str">
        <f t="shared" si="16"/>
        <v>Y</v>
      </c>
      <c r="C1959" s="6" t="s">
        <v>5864</v>
      </c>
      <c r="D1959" s="327"/>
      <c r="E1959" s="327" t="s">
        <v>5865</v>
      </c>
      <c r="F1959" s="206" t="s">
        <v>5866</v>
      </c>
      <c r="G1959" s="206" t="s">
        <v>5860</v>
      </c>
      <c r="H1959" s="206" t="s">
        <v>5860</v>
      </c>
      <c r="K1959" s="302">
        <v>7563061743</v>
      </c>
      <c r="M1959" s="212"/>
      <c r="N1959" s="213"/>
      <c r="O1959" s="209"/>
    </row>
    <row r="1960" spans="1:15" x14ac:dyDescent="0.3">
      <c r="A1960" s="302" t="s">
        <v>155</v>
      </c>
      <c r="B1960" s="302" t="str">
        <f t="shared" si="16"/>
        <v>Y</v>
      </c>
      <c r="C1960" s="6" t="s">
        <v>5867</v>
      </c>
      <c r="D1960" s="327"/>
      <c r="E1960" s="327" t="s">
        <v>5868</v>
      </c>
      <c r="F1960" s="206" t="s">
        <v>4460</v>
      </c>
      <c r="G1960" s="206" t="s">
        <v>5860</v>
      </c>
      <c r="H1960" s="206" t="s">
        <v>5860</v>
      </c>
      <c r="K1960" s="302">
        <v>9204018409</v>
      </c>
      <c r="M1960" s="212"/>
      <c r="N1960" s="213"/>
      <c r="O1960" s="209"/>
    </row>
    <row r="1961" spans="1:15" x14ac:dyDescent="0.3">
      <c r="A1961" s="302" t="s">
        <v>155</v>
      </c>
      <c r="B1961" s="302" t="str">
        <f t="shared" si="16"/>
        <v>Y</v>
      </c>
      <c r="C1961" s="6" t="s">
        <v>5869</v>
      </c>
      <c r="D1961" s="327"/>
      <c r="E1961" s="327" t="s">
        <v>5870</v>
      </c>
      <c r="F1961" s="206" t="s">
        <v>5871</v>
      </c>
      <c r="G1961" s="206" t="s">
        <v>5860</v>
      </c>
      <c r="H1961" s="206" t="s">
        <v>5860</v>
      </c>
      <c r="K1961" s="302">
        <v>8377017501</v>
      </c>
      <c r="M1961" s="212"/>
      <c r="N1961" s="213"/>
      <c r="O1961" s="209"/>
    </row>
    <row r="1962" spans="1:15" x14ac:dyDescent="0.3">
      <c r="A1962" s="302" t="s">
        <v>155</v>
      </c>
      <c r="B1962" s="302" t="str">
        <f t="shared" si="16"/>
        <v>Y</v>
      </c>
      <c r="C1962" s="6" t="s">
        <v>5872</v>
      </c>
      <c r="D1962" s="327"/>
      <c r="E1962" s="327" t="s">
        <v>5873</v>
      </c>
      <c r="F1962" s="206" t="s">
        <v>5874</v>
      </c>
      <c r="G1962" s="206" t="s">
        <v>5860</v>
      </c>
      <c r="H1962" s="206" t="s">
        <v>5860</v>
      </c>
      <c r="J1962" s="206" t="s">
        <v>5875</v>
      </c>
      <c r="K1962" s="302">
        <v>9955188113</v>
      </c>
      <c r="M1962" s="212"/>
      <c r="N1962" s="213"/>
      <c r="O1962" s="209"/>
    </row>
    <row r="1963" spans="1:15" x14ac:dyDescent="0.3">
      <c r="A1963" s="302" t="s">
        <v>155</v>
      </c>
      <c r="B1963" s="302" t="str">
        <f t="shared" si="16"/>
        <v>Y</v>
      </c>
      <c r="C1963" s="6" t="s">
        <v>5876</v>
      </c>
      <c r="D1963" s="327"/>
      <c r="E1963" s="327" t="s">
        <v>5877</v>
      </c>
      <c r="F1963" s="206" t="s">
        <v>5878</v>
      </c>
      <c r="G1963" s="206" t="s">
        <v>3766</v>
      </c>
      <c r="H1963" s="206" t="s">
        <v>3766</v>
      </c>
      <c r="K1963" s="302">
        <v>7061751774</v>
      </c>
      <c r="M1963" s="212"/>
      <c r="N1963" s="213"/>
      <c r="O1963" s="209"/>
    </row>
    <row r="1964" spans="1:15" x14ac:dyDescent="0.3">
      <c r="A1964" s="302" t="s">
        <v>155</v>
      </c>
      <c r="B1964" s="302" t="str">
        <f t="shared" si="16"/>
        <v>Y</v>
      </c>
      <c r="C1964" s="6" t="s">
        <v>5879</v>
      </c>
      <c r="D1964" s="327"/>
      <c r="E1964" s="327" t="s">
        <v>5880</v>
      </c>
      <c r="F1964" s="206" t="s">
        <v>1558</v>
      </c>
      <c r="G1964" s="206" t="s">
        <v>3766</v>
      </c>
      <c r="H1964" s="206" t="s">
        <v>3766</v>
      </c>
      <c r="K1964" s="302">
        <v>8804259165</v>
      </c>
      <c r="M1964" s="212"/>
      <c r="N1964" s="213"/>
      <c r="O1964" s="209"/>
    </row>
    <row r="1965" spans="1:15" x14ac:dyDescent="0.3">
      <c r="A1965" s="302" t="s">
        <v>155</v>
      </c>
      <c r="B1965" s="302" t="str">
        <f t="shared" si="16"/>
        <v>Y</v>
      </c>
      <c r="C1965" s="6" t="s">
        <v>5881</v>
      </c>
      <c r="D1965" s="327"/>
      <c r="E1965" s="327" t="s">
        <v>5882</v>
      </c>
      <c r="F1965" s="206" t="s">
        <v>5883</v>
      </c>
      <c r="G1965" s="206" t="s">
        <v>5884</v>
      </c>
      <c r="H1965" s="206" t="s">
        <v>5884</v>
      </c>
      <c r="K1965" s="302">
        <v>7760159544</v>
      </c>
      <c r="M1965" s="212"/>
      <c r="N1965" s="213"/>
      <c r="O1965" s="209"/>
    </row>
    <row r="1966" spans="1:15" x14ac:dyDescent="0.3">
      <c r="A1966" s="302" t="s">
        <v>155</v>
      </c>
      <c r="B1966" s="302" t="str">
        <f t="shared" si="16"/>
        <v>Y</v>
      </c>
      <c r="C1966" s="6" t="s">
        <v>5885</v>
      </c>
      <c r="D1966" s="327"/>
      <c r="E1966" s="327" t="s">
        <v>5886</v>
      </c>
      <c r="F1966" s="206" t="s">
        <v>5887</v>
      </c>
      <c r="G1966" s="206" t="s">
        <v>5884</v>
      </c>
      <c r="H1966" s="206" t="s">
        <v>5884</v>
      </c>
      <c r="K1966" s="302">
        <v>6204721067</v>
      </c>
      <c r="M1966" s="212"/>
      <c r="N1966" s="213"/>
      <c r="O1966" s="209"/>
    </row>
    <row r="1967" spans="1:15" x14ac:dyDescent="0.3">
      <c r="A1967" s="302" t="s">
        <v>155</v>
      </c>
      <c r="B1967" s="302" t="str">
        <f t="shared" si="16"/>
        <v>Y</v>
      </c>
      <c r="C1967" s="6" t="s">
        <v>5888</v>
      </c>
      <c r="D1967" s="327"/>
      <c r="E1967" s="327" t="s">
        <v>555</v>
      </c>
      <c r="F1967" s="206" t="s">
        <v>5889</v>
      </c>
      <c r="G1967" s="206" t="s">
        <v>5884</v>
      </c>
      <c r="H1967" s="206" t="s">
        <v>5884</v>
      </c>
      <c r="K1967" s="302">
        <v>9525293301</v>
      </c>
      <c r="M1967" s="212"/>
      <c r="N1967" s="213"/>
      <c r="O1967" s="209"/>
    </row>
    <row r="1968" spans="1:15" x14ac:dyDescent="0.3">
      <c r="A1968" s="302" t="s">
        <v>155</v>
      </c>
      <c r="B1968" s="302" t="str">
        <f t="shared" si="16"/>
        <v>Y</v>
      </c>
      <c r="C1968" s="6" t="s">
        <v>5890</v>
      </c>
      <c r="D1968" s="327"/>
      <c r="E1968" s="327" t="s">
        <v>5891</v>
      </c>
      <c r="F1968" s="206" t="s">
        <v>3471</v>
      </c>
      <c r="G1968" s="206" t="s">
        <v>5884</v>
      </c>
      <c r="H1968" s="206" t="s">
        <v>5884</v>
      </c>
      <c r="K1968" s="302">
        <v>8210088708</v>
      </c>
      <c r="M1968" s="212"/>
      <c r="N1968" s="213"/>
      <c r="O1968" s="209"/>
    </row>
    <row r="1969" spans="1:15" x14ac:dyDescent="0.3">
      <c r="A1969" s="302" t="s">
        <v>155</v>
      </c>
      <c r="B1969" s="302" t="str">
        <f t="shared" si="16"/>
        <v>Y</v>
      </c>
      <c r="C1969" s="6" t="s">
        <v>5892</v>
      </c>
      <c r="D1969" s="327"/>
      <c r="E1969" s="327" t="s">
        <v>5893</v>
      </c>
      <c r="F1969" s="206" t="s">
        <v>1811</v>
      </c>
      <c r="G1969" s="206" t="s">
        <v>5884</v>
      </c>
      <c r="H1969" s="206" t="s">
        <v>5884</v>
      </c>
      <c r="K1969" s="302">
        <v>6206157574</v>
      </c>
      <c r="M1969" s="212"/>
      <c r="N1969" s="213"/>
      <c r="O1969" s="209"/>
    </row>
    <row r="1970" spans="1:15" x14ac:dyDescent="0.3">
      <c r="A1970" s="302" t="s">
        <v>155</v>
      </c>
      <c r="B1970" s="302" t="str">
        <f t="shared" si="16"/>
        <v>Y</v>
      </c>
      <c r="C1970" s="6" t="s">
        <v>5894</v>
      </c>
      <c r="D1970" s="327"/>
      <c r="E1970" s="327" t="s">
        <v>5895</v>
      </c>
      <c r="F1970" s="206" t="s">
        <v>5896</v>
      </c>
      <c r="G1970" s="206" t="s">
        <v>5897</v>
      </c>
      <c r="H1970" s="206" t="s">
        <v>5898</v>
      </c>
      <c r="K1970" s="302">
        <v>9123103264</v>
      </c>
      <c r="M1970" s="212"/>
      <c r="N1970" s="213"/>
      <c r="O1970" s="209"/>
    </row>
    <row r="1971" spans="1:15" x14ac:dyDescent="0.3">
      <c r="A1971" s="302" t="s">
        <v>155</v>
      </c>
      <c r="B1971" s="302" t="str">
        <f t="shared" si="16"/>
        <v>Y</v>
      </c>
      <c r="C1971" s="6" t="s">
        <v>5899</v>
      </c>
      <c r="D1971" s="327"/>
      <c r="E1971" s="327" t="s">
        <v>5900</v>
      </c>
      <c r="F1971" s="206" t="s">
        <v>5901</v>
      </c>
      <c r="G1971" s="206" t="s">
        <v>5897</v>
      </c>
      <c r="H1971" s="206" t="s">
        <v>5897</v>
      </c>
      <c r="K1971" s="302">
        <v>7488684311</v>
      </c>
      <c r="M1971" s="212"/>
      <c r="N1971" s="213"/>
      <c r="O1971" s="209"/>
    </row>
    <row r="1972" spans="1:15" x14ac:dyDescent="0.3">
      <c r="A1972" s="302" t="s">
        <v>155</v>
      </c>
      <c r="B1972" s="302" t="str">
        <f t="shared" si="16"/>
        <v>Y</v>
      </c>
      <c r="C1972" s="6" t="s">
        <v>5902</v>
      </c>
      <c r="D1972" s="327"/>
      <c r="E1972" s="327" t="s">
        <v>5903</v>
      </c>
      <c r="F1972" s="206" t="s">
        <v>1533</v>
      </c>
      <c r="G1972" s="206" t="s">
        <v>5897</v>
      </c>
      <c r="H1972" s="206" t="s">
        <v>5897</v>
      </c>
      <c r="K1972" s="302">
        <v>8227078770</v>
      </c>
      <c r="M1972" s="212"/>
      <c r="N1972" s="213"/>
      <c r="O1972" s="209"/>
    </row>
    <row r="1973" spans="1:15" x14ac:dyDescent="0.3">
      <c r="A1973" s="302" t="s">
        <v>155</v>
      </c>
      <c r="B1973" s="302" t="str">
        <f t="shared" si="16"/>
        <v>Y</v>
      </c>
      <c r="C1973" s="6" t="s">
        <v>5904</v>
      </c>
      <c r="D1973" s="327"/>
      <c r="E1973" s="327" t="s">
        <v>5905</v>
      </c>
      <c r="F1973" s="206" t="s">
        <v>5906</v>
      </c>
      <c r="G1973" s="206" t="s">
        <v>5897</v>
      </c>
      <c r="H1973" s="206" t="s">
        <v>5897</v>
      </c>
      <c r="K1973" s="302">
        <v>6205206308</v>
      </c>
      <c r="M1973" s="212"/>
      <c r="N1973" s="213"/>
      <c r="O1973" s="209"/>
    </row>
    <row r="1974" spans="1:15" x14ac:dyDescent="0.3">
      <c r="A1974" s="302" t="s">
        <v>155</v>
      </c>
      <c r="B1974" s="302" t="str">
        <f t="shared" si="16"/>
        <v>Y</v>
      </c>
      <c r="C1974" s="6" t="s">
        <v>5907</v>
      </c>
      <c r="D1974" s="327"/>
      <c r="E1974" s="327" t="s">
        <v>5908</v>
      </c>
      <c r="F1974" s="206" t="s">
        <v>5909</v>
      </c>
      <c r="G1974" s="206" t="s">
        <v>5898</v>
      </c>
      <c r="H1974" s="206" t="s">
        <v>5898</v>
      </c>
      <c r="K1974" s="302">
        <v>9204204783</v>
      </c>
      <c r="M1974" s="212"/>
      <c r="N1974" s="213"/>
      <c r="O1974" s="209"/>
    </row>
    <row r="1975" spans="1:15" x14ac:dyDescent="0.3">
      <c r="A1975" s="302" t="s">
        <v>155</v>
      </c>
      <c r="B1975" s="302" t="str">
        <f t="shared" si="16"/>
        <v>Y</v>
      </c>
      <c r="C1975" s="6" t="s">
        <v>5910</v>
      </c>
      <c r="D1975" s="327"/>
      <c r="E1975" s="327" t="s">
        <v>5911</v>
      </c>
      <c r="F1975" s="206" t="s">
        <v>5912</v>
      </c>
      <c r="G1975" s="206" t="s">
        <v>5913</v>
      </c>
      <c r="H1975" s="206" t="s">
        <v>5913</v>
      </c>
      <c r="K1975" s="302">
        <v>8987576190</v>
      </c>
      <c r="M1975" s="212"/>
      <c r="N1975" s="213"/>
      <c r="O1975" s="209"/>
    </row>
    <row r="1976" spans="1:15" x14ac:dyDescent="0.3">
      <c r="A1976" s="302" t="s">
        <v>155</v>
      </c>
      <c r="B1976" s="302" t="str">
        <f t="shared" si="16"/>
        <v>Y</v>
      </c>
      <c r="C1976" s="6" t="s">
        <v>5914</v>
      </c>
      <c r="D1976" s="327"/>
      <c r="E1976" s="327" t="s">
        <v>5915</v>
      </c>
      <c r="F1976" s="206" t="s">
        <v>5916</v>
      </c>
      <c r="G1976" s="206" t="s">
        <v>5913</v>
      </c>
      <c r="H1976" s="206" t="s">
        <v>5913</v>
      </c>
      <c r="K1976" s="302">
        <v>9973911355</v>
      </c>
      <c r="M1976" s="212"/>
      <c r="N1976" s="213"/>
      <c r="O1976" s="209"/>
    </row>
    <row r="1977" spans="1:15" x14ac:dyDescent="0.3">
      <c r="A1977" s="302" t="s">
        <v>155</v>
      </c>
      <c r="B1977" s="302" t="str">
        <f t="shared" si="16"/>
        <v>Y</v>
      </c>
      <c r="C1977" s="6" t="s">
        <v>5917</v>
      </c>
      <c r="D1977" s="327"/>
      <c r="E1977" s="327" t="s">
        <v>5918</v>
      </c>
      <c r="F1977" s="206" t="s">
        <v>5919</v>
      </c>
      <c r="G1977" s="206" t="s">
        <v>5913</v>
      </c>
      <c r="H1977" s="206" t="s">
        <v>5913</v>
      </c>
      <c r="K1977" s="302">
        <v>6205330995</v>
      </c>
      <c r="M1977" s="212"/>
      <c r="N1977" s="213"/>
      <c r="O1977" s="209"/>
    </row>
    <row r="1978" spans="1:15" x14ac:dyDescent="0.3">
      <c r="A1978" s="302" t="s">
        <v>155</v>
      </c>
      <c r="B1978" s="302" t="str">
        <f t="shared" si="16"/>
        <v>Y</v>
      </c>
      <c r="C1978" s="6" t="s">
        <v>5920</v>
      </c>
      <c r="D1978" s="327"/>
      <c r="E1978" s="327" t="s">
        <v>5921</v>
      </c>
      <c r="F1978" s="206" t="s">
        <v>5922</v>
      </c>
      <c r="G1978" s="206" t="s">
        <v>5913</v>
      </c>
      <c r="H1978" s="206" t="s">
        <v>5913</v>
      </c>
      <c r="K1978" s="302">
        <v>6206699251</v>
      </c>
      <c r="M1978" s="212"/>
      <c r="N1978" s="213"/>
      <c r="O1978" s="209"/>
    </row>
    <row r="1979" spans="1:15" x14ac:dyDescent="0.3">
      <c r="A1979" s="302" t="s">
        <v>155</v>
      </c>
      <c r="B1979" s="302" t="str">
        <f t="shared" si="16"/>
        <v>Y</v>
      </c>
      <c r="C1979" s="6" t="s">
        <v>5923</v>
      </c>
      <c r="D1979" s="327"/>
      <c r="E1979" s="327" t="s">
        <v>5924</v>
      </c>
      <c r="F1979" s="206" t="s">
        <v>5925</v>
      </c>
      <c r="G1979" s="206" t="s">
        <v>5913</v>
      </c>
      <c r="H1979" s="206" t="s">
        <v>5913</v>
      </c>
      <c r="K1979" s="302">
        <v>9955130251</v>
      </c>
      <c r="M1979" s="212"/>
      <c r="N1979" s="213"/>
      <c r="O1979" s="209"/>
    </row>
    <row r="1980" spans="1:15" x14ac:dyDescent="0.3">
      <c r="A1980" s="302" t="s">
        <v>155</v>
      </c>
      <c r="B1980" s="302" t="str">
        <f t="shared" si="16"/>
        <v>Y</v>
      </c>
      <c r="C1980" s="6" t="s">
        <v>5926</v>
      </c>
      <c r="D1980" s="327"/>
      <c r="E1980" s="327" t="s">
        <v>5927</v>
      </c>
      <c r="F1980" s="206" t="s">
        <v>5928</v>
      </c>
      <c r="G1980" s="206" t="s">
        <v>5929</v>
      </c>
      <c r="H1980" s="206" t="s">
        <v>5929</v>
      </c>
      <c r="K1980" s="302">
        <v>8252405063</v>
      </c>
      <c r="M1980" s="212"/>
      <c r="N1980" s="213"/>
      <c r="O1980" s="209"/>
    </row>
    <row r="1981" spans="1:15" x14ac:dyDescent="0.3">
      <c r="A1981" s="302" t="s">
        <v>155</v>
      </c>
      <c r="B1981" s="302" t="str">
        <f t="shared" si="16"/>
        <v>Y</v>
      </c>
      <c r="C1981" s="6" t="s">
        <v>5930</v>
      </c>
      <c r="D1981" s="327"/>
      <c r="E1981" s="327" t="s">
        <v>5931</v>
      </c>
      <c r="F1981" s="206" t="s">
        <v>5932</v>
      </c>
      <c r="G1981" s="206" t="s">
        <v>5929</v>
      </c>
      <c r="H1981" s="206" t="s">
        <v>5929</v>
      </c>
      <c r="K1981" s="302">
        <v>6202562579</v>
      </c>
      <c r="M1981" s="212"/>
      <c r="N1981" s="213"/>
      <c r="O1981" s="209"/>
    </row>
    <row r="1982" spans="1:15" x14ac:dyDescent="0.3">
      <c r="A1982" s="302" t="s">
        <v>155</v>
      </c>
      <c r="B1982" s="302" t="str">
        <f t="shared" si="16"/>
        <v>Y</v>
      </c>
      <c r="C1982" s="6" t="s">
        <v>5933</v>
      </c>
      <c r="D1982" s="327"/>
      <c r="E1982" s="327" t="s">
        <v>5934</v>
      </c>
      <c r="F1982" s="206" t="s">
        <v>5935</v>
      </c>
      <c r="G1982" s="206" t="s">
        <v>5929</v>
      </c>
      <c r="H1982" s="206" t="s">
        <v>5929</v>
      </c>
      <c r="K1982" s="302">
        <v>7070194532</v>
      </c>
      <c r="M1982" s="212"/>
      <c r="N1982" s="213"/>
      <c r="O1982" s="209"/>
    </row>
    <row r="1983" spans="1:15" x14ac:dyDescent="0.3">
      <c r="A1983" s="302" t="s">
        <v>155</v>
      </c>
      <c r="B1983" s="302" t="str">
        <f t="shared" si="16"/>
        <v>Y</v>
      </c>
      <c r="C1983" s="6" t="s">
        <v>5936</v>
      </c>
      <c r="D1983" s="327"/>
      <c r="E1983" s="327" t="s">
        <v>5937</v>
      </c>
      <c r="F1983" s="206" t="s">
        <v>5938</v>
      </c>
      <c r="G1983" s="206" t="s">
        <v>5929</v>
      </c>
      <c r="H1983" s="206" t="s">
        <v>5929</v>
      </c>
      <c r="J1983" s="206" t="s">
        <v>5939</v>
      </c>
      <c r="K1983" s="302">
        <v>9708589026</v>
      </c>
      <c r="M1983" s="212"/>
      <c r="N1983" s="213"/>
      <c r="O1983" s="209"/>
    </row>
    <row r="1984" spans="1:15" x14ac:dyDescent="0.3">
      <c r="A1984" s="302" t="s">
        <v>155</v>
      </c>
      <c r="B1984" s="302" t="str">
        <f t="shared" si="16"/>
        <v>Y</v>
      </c>
      <c r="C1984" s="6" t="s">
        <v>5940</v>
      </c>
      <c r="D1984" s="327"/>
      <c r="E1984" s="327" t="s">
        <v>5941</v>
      </c>
      <c r="F1984" s="206" t="s">
        <v>5942</v>
      </c>
      <c r="G1984" s="206" t="s">
        <v>5929</v>
      </c>
      <c r="H1984" s="206" t="s">
        <v>5929</v>
      </c>
      <c r="K1984" s="302">
        <v>9835189579</v>
      </c>
      <c r="M1984" s="212"/>
      <c r="N1984" s="213"/>
      <c r="O1984" s="209"/>
    </row>
    <row r="1985" spans="1:15" x14ac:dyDescent="0.3">
      <c r="A1985" s="302" t="s">
        <v>155</v>
      </c>
      <c r="B1985" s="302" t="str">
        <f t="shared" si="16"/>
        <v>Y</v>
      </c>
      <c r="C1985" s="6" t="s">
        <v>5943</v>
      </c>
      <c r="D1985" s="327"/>
      <c r="E1985" s="327" t="s">
        <v>5944</v>
      </c>
      <c r="F1985" s="206" t="s">
        <v>5945</v>
      </c>
      <c r="G1985" s="206" t="s">
        <v>5946</v>
      </c>
      <c r="H1985" s="206" t="s">
        <v>5946</v>
      </c>
      <c r="K1985" s="302">
        <v>8056758990</v>
      </c>
      <c r="M1985" s="212"/>
      <c r="N1985" s="213"/>
      <c r="O1985" s="209"/>
    </row>
    <row r="1986" spans="1:15" x14ac:dyDescent="0.3">
      <c r="A1986" s="302" t="s">
        <v>155</v>
      </c>
      <c r="B1986" s="302" t="str">
        <f t="shared" si="16"/>
        <v>Y</v>
      </c>
      <c r="C1986" s="6" t="s">
        <v>5947</v>
      </c>
      <c r="D1986" s="327"/>
      <c r="E1986" s="327" t="s">
        <v>780</v>
      </c>
      <c r="F1986" s="206" t="s">
        <v>5948</v>
      </c>
      <c r="G1986" s="206" t="s">
        <v>5949</v>
      </c>
      <c r="H1986" s="207">
        <v>44573</v>
      </c>
      <c r="J1986" s="2" t="s">
        <v>3735</v>
      </c>
      <c r="K1986" s="302">
        <v>8102216446</v>
      </c>
      <c r="M1986" s="212"/>
      <c r="N1986" s="213"/>
      <c r="O1986" s="209"/>
    </row>
    <row r="1987" spans="1:15" x14ac:dyDescent="0.3">
      <c r="A1987" s="302" t="s">
        <v>155</v>
      </c>
      <c r="B1987" s="302" t="str">
        <f t="shared" si="16"/>
        <v>Y</v>
      </c>
      <c r="C1987" s="6" t="s">
        <v>5950</v>
      </c>
      <c r="D1987" s="327"/>
      <c r="E1987" s="327" t="s">
        <v>3854</v>
      </c>
      <c r="F1987" s="206" t="s">
        <v>5951</v>
      </c>
      <c r="G1987" s="206" t="s">
        <v>5949</v>
      </c>
      <c r="H1987" s="207">
        <v>44573</v>
      </c>
      <c r="J1987" s="2" t="s">
        <v>3735</v>
      </c>
      <c r="K1987" s="302">
        <v>9973050543</v>
      </c>
      <c r="M1987" s="212"/>
      <c r="N1987" s="213"/>
      <c r="O1987" s="209"/>
    </row>
    <row r="1988" spans="1:15" x14ac:dyDescent="0.3">
      <c r="A1988" s="302" t="s">
        <v>155</v>
      </c>
      <c r="B1988" s="302" t="str">
        <f t="shared" si="16"/>
        <v>Y</v>
      </c>
      <c r="C1988" s="6" t="s">
        <v>5952</v>
      </c>
      <c r="D1988" s="327"/>
      <c r="E1988" s="327" t="s">
        <v>5953</v>
      </c>
      <c r="F1988" s="206" t="s">
        <v>5954</v>
      </c>
      <c r="G1988" s="206" t="s">
        <v>5955</v>
      </c>
      <c r="H1988" s="207">
        <v>44574</v>
      </c>
      <c r="J1988" s="2" t="s">
        <v>5956</v>
      </c>
      <c r="K1988" s="302">
        <v>9955564564</v>
      </c>
      <c r="M1988" s="212"/>
      <c r="N1988" s="213"/>
      <c r="O1988" s="209"/>
    </row>
    <row r="1989" spans="1:15" x14ac:dyDescent="0.3">
      <c r="A1989" s="302" t="s">
        <v>155</v>
      </c>
      <c r="B1989" s="302" t="str">
        <f t="shared" si="16"/>
        <v>Y</v>
      </c>
      <c r="C1989" s="6" t="s">
        <v>5957</v>
      </c>
      <c r="D1989" s="327"/>
      <c r="E1989" s="327" t="s">
        <v>5958</v>
      </c>
      <c r="F1989" s="206" t="s">
        <v>5959</v>
      </c>
      <c r="G1989" s="206" t="s">
        <v>5960</v>
      </c>
      <c r="H1989" s="207">
        <v>44575</v>
      </c>
      <c r="J1989" s="2" t="s">
        <v>5961</v>
      </c>
      <c r="K1989" s="302">
        <v>9108589779</v>
      </c>
      <c r="M1989" s="212"/>
      <c r="N1989" s="213"/>
      <c r="O1989" s="209"/>
    </row>
    <row r="1990" spans="1:15" x14ac:dyDescent="0.3">
      <c r="A1990" s="302" t="s">
        <v>155</v>
      </c>
      <c r="B1990" s="302" t="str">
        <f t="shared" si="16"/>
        <v>N</v>
      </c>
      <c r="C1990" s="6" t="s">
        <v>5962</v>
      </c>
      <c r="D1990" s="327"/>
      <c r="E1990" s="327" t="s">
        <v>5963</v>
      </c>
      <c r="F1990" s="206" t="s">
        <v>5964</v>
      </c>
      <c r="G1990" s="206" t="s">
        <v>5960</v>
      </c>
      <c r="H1990" s="207"/>
      <c r="K1990" s="302">
        <v>8340646564</v>
      </c>
      <c r="M1990" s="212"/>
      <c r="N1990" s="213"/>
      <c r="O1990" s="209"/>
    </row>
    <row r="1991" spans="1:15" x14ac:dyDescent="0.3">
      <c r="A1991" s="302" t="s">
        <v>155</v>
      </c>
      <c r="B1991" s="302" t="str">
        <f t="shared" si="16"/>
        <v>Y</v>
      </c>
      <c r="C1991" s="6" t="s">
        <v>5965</v>
      </c>
      <c r="D1991" s="327"/>
      <c r="E1991" s="327" t="s">
        <v>5966</v>
      </c>
      <c r="F1991" s="206" t="s">
        <v>1721</v>
      </c>
      <c r="G1991" s="206" t="s">
        <v>5960</v>
      </c>
      <c r="H1991" s="207">
        <v>44576</v>
      </c>
      <c r="J1991" s="2" t="s">
        <v>3735</v>
      </c>
      <c r="K1991" s="302">
        <v>9693700957</v>
      </c>
      <c r="M1991" s="212"/>
      <c r="N1991" s="213"/>
      <c r="O1991" s="209"/>
    </row>
    <row r="1992" spans="1:15" x14ac:dyDescent="0.3">
      <c r="A1992" s="302" t="s">
        <v>155</v>
      </c>
      <c r="B1992" s="302" t="str">
        <f t="shared" si="16"/>
        <v>Y</v>
      </c>
      <c r="C1992" s="6" t="s">
        <v>5967</v>
      </c>
      <c r="D1992" s="327"/>
      <c r="E1992" s="327" t="s">
        <v>5968</v>
      </c>
      <c r="F1992" s="206" t="s">
        <v>5969</v>
      </c>
      <c r="G1992" s="206" t="s">
        <v>5970</v>
      </c>
      <c r="H1992" s="207">
        <v>44576</v>
      </c>
      <c r="J1992" s="2" t="s">
        <v>5971</v>
      </c>
      <c r="K1992" s="302">
        <v>8009437372</v>
      </c>
      <c r="M1992" s="212"/>
      <c r="N1992" s="213"/>
      <c r="O1992" s="209"/>
    </row>
    <row r="1993" spans="1:15" x14ac:dyDescent="0.3">
      <c r="A1993" s="302" t="s">
        <v>155</v>
      </c>
      <c r="B1993" s="302" t="str">
        <f t="shared" si="16"/>
        <v>Y</v>
      </c>
      <c r="C1993" s="6" t="s">
        <v>5972</v>
      </c>
      <c r="D1993" s="327"/>
      <c r="E1993" s="327" t="s">
        <v>5973</v>
      </c>
      <c r="F1993" s="206" t="s">
        <v>5974</v>
      </c>
      <c r="G1993" s="206" t="s">
        <v>5960</v>
      </c>
      <c r="H1993" s="207">
        <v>44577</v>
      </c>
      <c r="J1993" s="2" t="s">
        <v>5975</v>
      </c>
      <c r="K1993" s="302">
        <v>8987819206</v>
      </c>
      <c r="M1993" s="212"/>
      <c r="N1993" s="213"/>
      <c r="O1993" s="209"/>
    </row>
    <row r="1994" spans="1:15" x14ac:dyDescent="0.3">
      <c r="A1994" s="302" t="s">
        <v>155</v>
      </c>
      <c r="B1994" s="302" t="str">
        <f t="shared" si="16"/>
        <v>Y</v>
      </c>
      <c r="C1994" s="6" t="s">
        <v>5976</v>
      </c>
      <c r="D1994" s="327"/>
      <c r="E1994" s="327" t="s">
        <v>5977</v>
      </c>
      <c r="F1994" s="206" t="s">
        <v>5978</v>
      </c>
      <c r="G1994" s="206" t="s">
        <v>5979</v>
      </c>
      <c r="H1994" s="207">
        <v>44577</v>
      </c>
      <c r="J1994" s="2" t="s">
        <v>5980</v>
      </c>
      <c r="K1994" s="302">
        <v>8210189796</v>
      </c>
      <c r="M1994" s="212"/>
      <c r="N1994" s="213"/>
      <c r="O1994" s="209"/>
    </row>
    <row r="1995" spans="1:15" x14ac:dyDescent="0.3">
      <c r="A1995" s="302" t="s">
        <v>155</v>
      </c>
      <c r="B1995" s="302" t="str">
        <f t="shared" si="16"/>
        <v>Y</v>
      </c>
      <c r="C1995" s="6" t="s">
        <v>5981</v>
      </c>
      <c r="D1995" s="327"/>
      <c r="E1995" s="327" t="s">
        <v>5982</v>
      </c>
      <c r="F1995" s="206" t="s">
        <v>4895</v>
      </c>
      <c r="G1995" s="206" t="s">
        <v>5979</v>
      </c>
      <c r="H1995" s="207">
        <v>44577</v>
      </c>
      <c r="J1995" s="2" t="s">
        <v>3735</v>
      </c>
      <c r="K1995" s="302">
        <v>9162563228</v>
      </c>
      <c r="M1995" s="212"/>
      <c r="N1995" s="213"/>
      <c r="O1995" s="209"/>
    </row>
    <row r="1996" spans="1:15" x14ac:dyDescent="0.3">
      <c r="A1996" s="302" t="s">
        <v>155</v>
      </c>
      <c r="B1996" s="302" t="str">
        <f t="shared" si="16"/>
        <v>Y</v>
      </c>
      <c r="C1996" s="6" t="s">
        <v>5983</v>
      </c>
      <c r="D1996" s="327"/>
      <c r="E1996" s="327" t="s">
        <v>5984</v>
      </c>
      <c r="F1996" s="206" t="s">
        <v>5985</v>
      </c>
      <c r="G1996" s="206" t="s">
        <v>5986</v>
      </c>
      <c r="H1996" s="207">
        <v>44578</v>
      </c>
      <c r="J1996" s="2" t="s">
        <v>3735</v>
      </c>
      <c r="K1996" s="302">
        <v>7209994300</v>
      </c>
      <c r="M1996" s="212"/>
      <c r="N1996" s="213"/>
      <c r="O1996" s="209"/>
    </row>
    <row r="1997" spans="1:15" x14ac:dyDescent="0.3">
      <c r="A1997" s="302" t="s">
        <v>155</v>
      </c>
      <c r="B1997" s="302" t="str">
        <f t="shared" si="16"/>
        <v>Y</v>
      </c>
      <c r="C1997" s="6" t="s">
        <v>5987</v>
      </c>
      <c r="D1997" s="327"/>
      <c r="E1997" s="327" t="s">
        <v>5988</v>
      </c>
      <c r="F1997" s="206" t="s">
        <v>5989</v>
      </c>
      <c r="G1997" s="206" t="s">
        <v>5986</v>
      </c>
      <c r="H1997" s="207">
        <v>44578</v>
      </c>
      <c r="J1997" s="2" t="s">
        <v>5990</v>
      </c>
      <c r="K1997" s="302">
        <v>9801596221</v>
      </c>
      <c r="M1997" s="212"/>
      <c r="N1997" s="213"/>
      <c r="O1997" s="209"/>
    </row>
    <row r="1998" spans="1:15" x14ac:dyDescent="0.3">
      <c r="A1998" s="302" t="s">
        <v>155</v>
      </c>
      <c r="B1998" s="302" t="str">
        <f t="shared" si="16"/>
        <v>Y</v>
      </c>
      <c r="C1998" s="6" t="s">
        <v>5991</v>
      </c>
      <c r="D1998" s="327"/>
      <c r="E1998" s="327" t="s">
        <v>5992</v>
      </c>
      <c r="F1998" s="206" t="s">
        <v>5993</v>
      </c>
      <c r="G1998" s="206" t="s">
        <v>5986</v>
      </c>
      <c r="H1998" s="207">
        <v>44578</v>
      </c>
      <c r="J1998" s="2" t="s">
        <v>5994</v>
      </c>
      <c r="K1998" s="302">
        <v>7870279468</v>
      </c>
      <c r="M1998" s="212"/>
      <c r="N1998" s="213"/>
      <c r="O1998" s="209"/>
    </row>
    <row r="1999" spans="1:15" x14ac:dyDescent="0.3">
      <c r="A1999" s="302" t="s">
        <v>155</v>
      </c>
      <c r="B1999" s="302" t="str">
        <f t="shared" si="16"/>
        <v>Y</v>
      </c>
      <c r="C1999" s="6" t="s">
        <v>5995</v>
      </c>
      <c r="D1999" s="327"/>
      <c r="E1999" s="327" t="s">
        <v>1115</v>
      </c>
      <c r="F1999" s="206" t="s">
        <v>5996</v>
      </c>
      <c r="G1999" s="206" t="s">
        <v>5986</v>
      </c>
      <c r="H1999" s="207">
        <v>44578</v>
      </c>
      <c r="J1999" s="2" t="s">
        <v>5997</v>
      </c>
      <c r="K1999" s="302">
        <v>7870798092</v>
      </c>
      <c r="M1999" s="212"/>
      <c r="N1999" s="213"/>
      <c r="O1999" s="209"/>
    </row>
    <row r="2000" spans="1:15" x14ac:dyDescent="0.3">
      <c r="A2000" s="302" t="s">
        <v>155</v>
      </c>
      <c r="B2000" s="302" t="str">
        <f t="shared" si="16"/>
        <v>Y</v>
      </c>
      <c r="C2000" s="6" t="s">
        <v>5998</v>
      </c>
      <c r="D2000" s="327"/>
      <c r="E2000" s="327" t="s">
        <v>5999</v>
      </c>
      <c r="F2000" s="206" t="s">
        <v>1779</v>
      </c>
      <c r="G2000" s="206" t="s">
        <v>5986</v>
      </c>
      <c r="H2000" s="207">
        <v>44578</v>
      </c>
      <c r="J2000" s="2" t="s">
        <v>3735</v>
      </c>
      <c r="K2000" s="302">
        <v>9199239989</v>
      </c>
      <c r="M2000" s="212"/>
      <c r="N2000" s="213"/>
      <c r="O2000" s="209"/>
    </row>
    <row r="2001" spans="1:15" x14ac:dyDescent="0.3">
      <c r="A2001" s="302" t="s">
        <v>155</v>
      </c>
      <c r="B2001" s="302" t="str">
        <f t="shared" si="16"/>
        <v>Y</v>
      </c>
      <c r="C2001" s="6" t="s">
        <v>6000</v>
      </c>
      <c r="D2001" s="327"/>
      <c r="E2001" s="327" t="s">
        <v>6001</v>
      </c>
      <c r="F2001" s="206" t="s">
        <v>6002</v>
      </c>
      <c r="G2001" s="206" t="s">
        <v>6003</v>
      </c>
      <c r="H2001" s="207">
        <v>44579</v>
      </c>
      <c r="K2001" s="302">
        <v>6379946732</v>
      </c>
      <c r="M2001" s="212"/>
      <c r="N2001" s="213"/>
      <c r="O2001" s="209"/>
    </row>
    <row r="2002" spans="1:15" x14ac:dyDescent="0.3">
      <c r="A2002" s="302" t="s">
        <v>155</v>
      </c>
      <c r="B2002" s="302" t="str">
        <f t="shared" si="16"/>
        <v>Y</v>
      </c>
      <c r="C2002" s="6" t="s">
        <v>6004</v>
      </c>
      <c r="D2002" s="327"/>
      <c r="E2002" s="327" t="s">
        <v>6005</v>
      </c>
      <c r="F2002" s="206" t="s">
        <v>6006</v>
      </c>
      <c r="G2002" s="206" t="s">
        <v>6007</v>
      </c>
      <c r="H2002" s="207">
        <v>44580</v>
      </c>
      <c r="J2002" s="2" t="s">
        <v>6008</v>
      </c>
      <c r="K2002" s="302">
        <v>7903958489</v>
      </c>
      <c r="M2002" s="212"/>
      <c r="N2002" s="213"/>
      <c r="O2002" s="209"/>
    </row>
    <row r="2003" spans="1:15" x14ac:dyDescent="0.3">
      <c r="A2003" s="302" t="s">
        <v>155</v>
      </c>
      <c r="B2003" s="302" t="str">
        <f t="shared" si="16"/>
        <v>Y</v>
      </c>
      <c r="C2003" s="450" t="s">
        <v>6009</v>
      </c>
      <c r="D2003" s="328"/>
      <c r="E2003" s="327" t="s">
        <v>6010</v>
      </c>
      <c r="F2003" s="206" t="s">
        <v>6011</v>
      </c>
      <c r="G2003" s="206" t="s">
        <v>6007</v>
      </c>
      <c r="H2003" s="207">
        <v>44580</v>
      </c>
      <c r="J2003" s="2" t="s">
        <v>3735</v>
      </c>
      <c r="K2003" s="302">
        <v>9204112156</v>
      </c>
      <c r="M2003" s="212"/>
      <c r="N2003" s="213"/>
      <c r="O2003" s="209"/>
    </row>
    <row r="2004" spans="1:15" x14ac:dyDescent="0.3">
      <c r="A2004" s="302" t="s">
        <v>155</v>
      </c>
      <c r="B2004" s="302" t="str">
        <f t="shared" si="16"/>
        <v>Y</v>
      </c>
      <c r="C2004" s="6" t="s">
        <v>6012</v>
      </c>
      <c r="D2004" s="327"/>
      <c r="E2004" s="327" t="s">
        <v>6013</v>
      </c>
      <c r="F2004" s="206" t="s">
        <v>6014</v>
      </c>
      <c r="G2004" s="206" t="s">
        <v>6015</v>
      </c>
      <c r="H2004" s="207">
        <v>44581</v>
      </c>
      <c r="J2004" s="2" t="s">
        <v>3735</v>
      </c>
      <c r="K2004" s="302">
        <v>8603717388</v>
      </c>
      <c r="M2004" s="212"/>
      <c r="N2004" s="213"/>
      <c r="O2004" s="209"/>
    </row>
    <row r="2005" spans="1:15" x14ac:dyDescent="0.3">
      <c r="A2005" s="302" t="s">
        <v>155</v>
      </c>
      <c r="B2005" s="302" t="str">
        <f t="shared" si="16"/>
        <v>Y</v>
      </c>
      <c r="C2005" s="6" t="s">
        <v>6016</v>
      </c>
      <c r="D2005" s="327"/>
      <c r="E2005" s="327" t="s">
        <v>6017</v>
      </c>
      <c r="F2005" s="206" t="s">
        <v>6018</v>
      </c>
      <c r="G2005" s="206" t="s">
        <v>6019</v>
      </c>
      <c r="H2005" s="206" t="s">
        <v>6019</v>
      </c>
      <c r="K2005" s="302">
        <v>8235430052</v>
      </c>
      <c r="M2005" s="212"/>
      <c r="N2005" s="213"/>
      <c r="O2005" s="209"/>
    </row>
    <row r="2006" spans="1:15" x14ac:dyDescent="0.3">
      <c r="A2006" s="302" t="s">
        <v>155</v>
      </c>
      <c r="B2006" s="302" t="str">
        <f t="shared" si="16"/>
        <v>Y</v>
      </c>
      <c r="C2006" s="6" t="s">
        <v>6020</v>
      </c>
      <c r="D2006" s="327"/>
      <c r="E2006" s="327" t="s">
        <v>6021</v>
      </c>
      <c r="F2006" s="206" t="s">
        <v>6022</v>
      </c>
      <c r="G2006" s="206" t="s">
        <v>6019</v>
      </c>
      <c r="H2006" s="206" t="s">
        <v>6019</v>
      </c>
      <c r="K2006" s="302">
        <v>7979928624</v>
      </c>
      <c r="M2006" s="212"/>
      <c r="N2006" s="213"/>
      <c r="O2006" s="209"/>
    </row>
    <row r="2007" spans="1:15" x14ac:dyDescent="0.3">
      <c r="A2007" s="302" t="s">
        <v>155</v>
      </c>
      <c r="B2007" s="302" t="str">
        <f t="shared" si="16"/>
        <v>Y</v>
      </c>
      <c r="C2007" s="6" t="s">
        <v>6023</v>
      </c>
      <c r="D2007" s="327"/>
      <c r="E2007" s="327" t="s">
        <v>6024</v>
      </c>
      <c r="F2007" s="206" t="s">
        <v>6025</v>
      </c>
      <c r="G2007" s="206" t="s">
        <v>6019</v>
      </c>
      <c r="H2007" s="206" t="s">
        <v>6019</v>
      </c>
      <c r="K2007" s="302">
        <v>8092125081</v>
      </c>
      <c r="M2007" s="212"/>
      <c r="N2007" s="213"/>
      <c r="O2007" s="209"/>
    </row>
    <row r="2008" spans="1:15" x14ac:dyDescent="0.3">
      <c r="A2008" s="302" t="s">
        <v>155</v>
      </c>
      <c r="B2008" s="302" t="str">
        <f t="shared" si="16"/>
        <v>Y</v>
      </c>
      <c r="C2008" s="6" t="s">
        <v>6026</v>
      </c>
      <c r="D2008" s="327"/>
      <c r="E2008" s="327" t="s">
        <v>6027</v>
      </c>
      <c r="F2008" s="206" t="s">
        <v>6028</v>
      </c>
      <c r="G2008" s="206" t="s">
        <v>6019</v>
      </c>
      <c r="H2008" s="206" t="s">
        <v>6019</v>
      </c>
      <c r="K2008" s="302">
        <v>9934515935</v>
      </c>
      <c r="M2008" s="212"/>
      <c r="N2008" s="213"/>
      <c r="O2008" s="209"/>
    </row>
    <row r="2009" spans="1:15" x14ac:dyDescent="0.3">
      <c r="A2009" s="302" t="s">
        <v>155</v>
      </c>
      <c r="B2009" s="302" t="str">
        <f t="shared" si="16"/>
        <v>Y</v>
      </c>
      <c r="C2009" s="6" t="s">
        <v>6029</v>
      </c>
      <c r="D2009" s="327"/>
      <c r="E2009" s="327" t="s">
        <v>6030</v>
      </c>
      <c r="F2009" s="206" t="s">
        <v>6031</v>
      </c>
      <c r="G2009" s="206" t="s">
        <v>6032</v>
      </c>
      <c r="H2009" s="207">
        <v>44583</v>
      </c>
      <c r="J2009" s="2" t="s">
        <v>6033</v>
      </c>
      <c r="K2009" s="302">
        <v>8540942753</v>
      </c>
      <c r="M2009" s="212"/>
      <c r="N2009" s="213"/>
      <c r="O2009" s="209"/>
    </row>
    <row r="2010" spans="1:15" x14ac:dyDescent="0.3">
      <c r="A2010" s="302" t="s">
        <v>155</v>
      </c>
      <c r="B2010" s="302" t="str">
        <f t="shared" si="16"/>
        <v>Y</v>
      </c>
      <c r="C2010" s="6" t="s">
        <v>6034</v>
      </c>
      <c r="D2010" s="327"/>
      <c r="E2010" s="327" t="s">
        <v>4754</v>
      </c>
      <c r="F2010" s="206" t="s">
        <v>6035</v>
      </c>
      <c r="G2010" s="206" t="s">
        <v>5960</v>
      </c>
      <c r="H2010" s="207">
        <v>44583</v>
      </c>
      <c r="K2010" s="302">
        <v>9693700957</v>
      </c>
      <c r="M2010" s="212"/>
      <c r="N2010" s="213"/>
      <c r="O2010" s="209"/>
    </row>
    <row r="2011" spans="1:15" x14ac:dyDescent="0.3">
      <c r="A2011" s="302" t="s">
        <v>155</v>
      </c>
      <c r="B2011" s="302" t="str">
        <f t="shared" si="16"/>
        <v>Y</v>
      </c>
      <c r="C2011" s="6" t="s">
        <v>6036</v>
      </c>
      <c r="D2011" s="327"/>
      <c r="E2011" s="327" t="s">
        <v>5963</v>
      </c>
      <c r="F2011" s="206" t="s">
        <v>5964</v>
      </c>
      <c r="G2011" s="206" t="s">
        <v>5960</v>
      </c>
      <c r="H2011" s="207">
        <v>44583</v>
      </c>
      <c r="K2011" s="302">
        <v>8340646564</v>
      </c>
      <c r="M2011" s="212"/>
      <c r="N2011" s="213"/>
      <c r="O2011" s="209"/>
    </row>
    <row r="2012" spans="1:15" x14ac:dyDescent="0.3">
      <c r="A2012" s="302" t="s">
        <v>155</v>
      </c>
      <c r="B2012" s="302" t="str">
        <f t="shared" si="16"/>
        <v>Y</v>
      </c>
      <c r="C2012" s="6" t="s">
        <v>6037</v>
      </c>
      <c r="D2012" s="327"/>
      <c r="E2012" s="327" t="s">
        <v>6038</v>
      </c>
      <c r="F2012" s="206" t="s">
        <v>6039</v>
      </c>
      <c r="G2012" s="206" t="s">
        <v>6040</v>
      </c>
      <c r="H2012" s="207">
        <v>44585</v>
      </c>
      <c r="J2012" s="2" t="s">
        <v>6041</v>
      </c>
      <c r="K2012" s="302">
        <v>9341346050</v>
      </c>
      <c r="M2012" s="212"/>
      <c r="N2012" s="213"/>
      <c r="O2012" s="209"/>
    </row>
    <row r="2013" spans="1:15" x14ac:dyDescent="0.3">
      <c r="A2013" s="302" t="s">
        <v>155</v>
      </c>
      <c r="B2013" s="302" t="str">
        <f t="shared" si="16"/>
        <v>Y</v>
      </c>
      <c r="C2013" s="6" t="s">
        <v>6042</v>
      </c>
      <c r="D2013" s="327"/>
      <c r="E2013" s="327" t="s">
        <v>6043</v>
      </c>
      <c r="F2013" s="206" t="s">
        <v>6044</v>
      </c>
      <c r="G2013" s="206" t="s">
        <v>6040</v>
      </c>
      <c r="H2013" s="207">
        <v>44585</v>
      </c>
      <c r="K2013" s="302">
        <v>7667701055</v>
      </c>
      <c r="M2013" s="212"/>
      <c r="N2013" s="213"/>
      <c r="O2013" s="209"/>
    </row>
    <row r="2014" spans="1:15" x14ac:dyDescent="0.3">
      <c r="A2014" s="302" t="s">
        <v>155</v>
      </c>
      <c r="B2014" s="302" t="str">
        <f t="shared" si="16"/>
        <v>Y</v>
      </c>
      <c r="C2014" s="6" t="s">
        <v>6045</v>
      </c>
      <c r="D2014" s="327"/>
      <c r="E2014" s="327" t="s">
        <v>6046</v>
      </c>
      <c r="F2014" s="206" t="s">
        <v>6047</v>
      </c>
      <c r="G2014" s="206" t="s">
        <v>6040</v>
      </c>
      <c r="H2014" s="207">
        <v>44585</v>
      </c>
      <c r="K2014" s="302">
        <v>8340157050</v>
      </c>
      <c r="M2014" s="212"/>
      <c r="N2014" s="213"/>
      <c r="O2014" s="209"/>
    </row>
    <row r="2015" spans="1:15" x14ac:dyDescent="0.3">
      <c r="A2015" s="302" t="s">
        <v>155</v>
      </c>
      <c r="B2015" s="302" t="str">
        <f t="shared" si="16"/>
        <v>Y</v>
      </c>
      <c r="C2015" s="6" t="s">
        <v>6048</v>
      </c>
      <c r="D2015" s="327"/>
      <c r="E2015" s="327" t="s">
        <v>6049</v>
      </c>
      <c r="F2015" s="206" t="s">
        <v>6050</v>
      </c>
      <c r="G2015" s="206" t="s">
        <v>6051</v>
      </c>
      <c r="H2015" s="207">
        <v>44587</v>
      </c>
      <c r="K2015" s="302">
        <v>9534053089</v>
      </c>
      <c r="M2015" s="212"/>
      <c r="N2015" s="213"/>
      <c r="O2015" s="209"/>
    </row>
    <row r="2016" spans="1:15" x14ac:dyDescent="0.3">
      <c r="A2016" s="302" t="s">
        <v>155</v>
      </c>
      <c r="B2016" s="302" t="str">
        <f t="shared" si="16"/>
        <v>Y</v>
      </c>
      <c r="C2016" s="6" t="s">
        <v>6052</v>
      </c>
      <c r="D2016" s="327"/>
      <c r="E2016" s="327" t="s">
        <v>6053</v>
      </c>
      <c r="F2016" s="206" t="s">
        <v>6054</v>
      </c>
      <c r="G2016" s="206" t="s">
        <v>6051</v>
      </c>
      <c r="H2016" s="207">
        <v>44587</v>
      </c>
      <c r="K2016" s="302">
        <v>9234418119</v>
      </c>
      <c r="M2016" s="212"/>
      <c r="N2016" s="213"/>
      <c r="O2016" s="209"/>
    </row>
    <row r="2017" spans="1:15" x14ac:dyDescent="0.3">
      <c r="A2017" s="302" t="s">
        <v>155</v>
      </c>
      <c r="B2017" s="302" t="str">
        <f t="shared" si="16"/>
        <v>Y</v>
      </c>
      <c r="C2017" s="6" t="s">
        <v>6055</v>
      </c>
      <c r="D2017" s="327"/>
      <c r="E2017" s="327" t="s">
        <v>6056</v>
      </c>
      <c r="F2017" s="206" t="s">
        <v>6057</v>
      </c>
      <c r="G2017" s="206" t="s">
        <v>6058</v>
      </c>
      <c r="H2017" s="207">
        <v>44589</v>
      </c>
      <c r="K2017" s="302">
        <v>9304730054</v>
      </c>
      <c r="M2017" s="212"/>
      <c r="N2017" s="213"/>
      <c r="O2017" s="209"/>
    </row>
    <row r="2018" spans="1:15" x14ac:dyDescent="0.3">
      <c r="A2018" s="302" t="s">
        <v>155</v>
      </c>
      <c r="B2018" s="302" t="str">
        <f t="shared" si="16"/>
        <v>Y</v>
      </c>
      <c r="C2018" s="6" t="s">
        <v>6059</v>
      </c>
      <c r="D2018" s="327"/>
      <c r="E2018" s="327" t="s">
        <v>6060</v>
      </c>
      <c r="F2018" s="206" t="s">
        <v>6061</v>
      </c>
      <c r="G2018" s="206" t="s">
        <v>6058</v>
      </c>
      <c r="H2018" s="207">
        <v>44589</v>
      </c>
      <c r="K2018" s="302">
        <v>9304730054</v>
      </c>
      <c r="M2018" s="212"/>
      <c r="N2018" s="213"/>
      <c r="O2018" s="209"/>
    </row>
    <row r="2019" spans="1:15" x14ac:dyDescent="0.3">
      <c r="A2019" s="302" t="s">
        <v>155</v>
      </c>
      <c r="B2019" s="302" t="str">
        <f t="shared" si="16"/>
        <v>Y</v>
      </c>
      <c r="C2019" s="6" t="s">
        <v>6062</v>
      </c>
      <c r="D2019" s="327"/>
      <c r="E2019" s="327" t="s">
        <v>5371</v>
      </c>
      <c r="F2019" s="206" t="s">
        <v>6063</v>
      </c>
      <c r="G2019" s="206" t="s">
        <v>6058</v>
      </c>
      <c r="H2019" s="207">
        <v>44589</v>
      </c>
      <c r="K2019" s="302">
        <v>9304730054</v>
      </c>
      <c r="M2019" s="212"/>
      <c r="N2019" s="213"/>
      <c r="O2019" s="209"/>
    </row>
    <row r="2020" spans="1:15" x14ac:dyDescent="0.3">
      <c r="A2020" s="302" t="s">
        <v>155</v>
      </c>
      <c r="B2020" s="302" t="str">
        <f t="shared" si="16"/>
        <v>Y</v>
      </c>
      <c r="C2020" s="6" t="s">
        <v>6064</v>
      </c>
      <c r="D2020" s="327"/>
      <c r="E2020" s="327" t="s">
        <v>291</v>
      </c>
      <c r="F2020" s="206" t="s">
        <v>6065</v>
      </c>
      <c r="G2020" s="206" t="s">
        <v>6058</v>
      </c>
      <c r="H2020" s="207">
        <v>44589</v>
      </c>
      <c r="K2020" s="302">
        <v>7766899243</v>
      </c>
      <c r="M2020" s="212"/>
      <c r="N2020" s="213"/>
      <c r="O2020" s="209"/>
    </row>
    <row r="2021" spans="1:15" x14ac:dyDescent="0.3">
      <c r="A2021" s="302" t="s">
        <v>155</v>
      </c>
      <c r="B2021" s="302" t="str">
        <f t="shared" si="16"/>
        <v>Y</v>
      </c>
      <c r="C2021" s="6" t="s">
        <v>6066</v>
      </c>
      <c r="D2021" s="327"/>
      <c r="E2021" s="327" t="s">
        <v>6067</v>
      </c>
      <c r="F2021" s="206" t="s">
        <v>6068</v>
      </c>
      <c r="G2021" s="206" t="s">
        <v>6069</v>
      </c>
      <c r="H2021" s="207">
        <v>44590</v>
      </c>
      <c r="K2021" s="302">
        <v>9304730054</v>
      </c>
      <c r="M2021" s="212"/>
      <c r="N2021" s="213"/>
      <c r="O2021" s="209"/>
    </row>
    <row r="2022" spans="1:15" x14ac:dyDescent="0.3">
      <c r="A2022" s="302" t="s">
        <v>155</v>
      </c>
      <c r="B2022" s="302" t="str">
        <f t="shared" si="16"/>
        <v>Y</v>
      </c>
      <c r="C2022" s="6" t="s">
        <v>6070</v>
      </c>
      <c r="D2022" s="327"/>
      <c r="E2022" s="328" t="s">
        <v>6071</v>
      </c>
      <c r="F2022" s="277">
        <v>16630</v>
      </c>
      <c r="G2022" s="206" t="s">
        <v>6072</v>
      </c>
      <c r="H2022" s="207">
        <v>44541</v>
      </c>
      <c r="K2022" s="292">
        <v>9955354932</v>
      </c>
      <c r="M2022" s="212"/>
      <c r="N2022" s="213"/>
      <c r="O2022" s="209"/>
    </row>
    <row r="2023" spans="1:15" x14ac:dyDescent="0.3">
      <c r="A2023" s="302" t="s">
        <v>155</v>
      </c>
      <c r="B2023" s="302" t="str">
        <f t="shared" si="16"/>
        <v>Y</v>
      </c>
      <c r="C2023" s="6" t="s">
        <v>6073</v>
      </c>
      <c r="D2023" s="327"/>
      <c r="E2023" s="327" t="s">
        <v>6074</v>
      </c>
      <c r="F2023" s="206" t="s">
        <v>1868</v>
      </c>
      <c r="G2023" s="206" t="s">
        <v>6075</v>
      </c>
      <c r="H2023" s="207">
        <v>44592</v>
      </c>
      <c r="K2023" s="302">
        <v>9262824950</v>
      </c>
      <c r="M2023" s="212"/>
      <c r="N2023" s="213"/>
      <c r="O2023" s="209"/>
    </row>
    <row r="2024" spans="1:15" x14ac:dyDescent="0.3">
      <c r="A2024" s="302" t="s">
        <v>155</v>
      </c>
      <c r="B2024" s="302" t="str">
        <f t="shared" si="16"/>
        <v>Y</v>
      </c>
      <c r="C2024" s="6" t="s">
        <v>6076</v>
      </c>
      <c r="D2024" s="327"/>
      <c r="E2024" s="327" t="s">
        <v>6077</v>
      </c>
      <c r="F2024" s="206" t="s">
        <v>6078</v>
      </c>
      <c r="G2024" s="206" t="s">
        <v>6079</v>
      </c>
      <c r="H2024" s="207">
        <v>44593</v>
      </c>
      <c r="J2024" s="2" t="s">
        <v>3735</v>
      </c>
      <c r="K2024" s="302">
        <v>6200740164</v>
      </c>
      <c r="M2024" s="212"/>
      <c r="N2024" s="213"/>
      <c r="O2024" s="209"/>
    </row>
    <row r="2025" spans="1:15" x14ac:dyDescent="0.3">
      <c r="A2025" s="302" t="s">
        <v>155</v>
      </c>
      <c r="B2025" s="302" t="str">
        <f t="shared" si="16"/>
        <v>Y</v>
      </c>
      <c r="C2025" s="6" t="s">
        <v>6080</v>
      </c>
      <c r="D2025" s="327"/>
      <c r="E2025" s="327" t="s">
        <v>6081</v>
      </c>
      <c r="F2025" s="206" t="s">
        <v>6082</v>
      </c>
      <c r="G2025" s="206" t="s">
        <v>6083</v>
      </c>
      <c r="H2025" s="207">
        <v>44594</v>
      </c>
      <c r="I2025" s="2" t="s">
        <v>6084</v>
      </c>
      <c r="J2025" s="2" t="s">
        <v>3735</v>
      </c>
      <c r="K2025" s="302">
        <v>8797902509</v>
      </c>
      <c r="M2025" s="212"/>
      <c r="N2025" s="213"/>
      <c r="O2025" s="209"/>
    </row>
    <row r="2026" spans="1:15" x14ac:dyDescent="0.3">
      <c r="A2026" s="302" t="s">
        <v>155</v>
      </c>
      <c r="B2026" s="302" t="str">
        <f t="shared" si="16"/>
        <v>Y</v>
      </c>
      <c r="C2026" s="6" t="s">
        <v>6085</v>
      </c>
      <c r="D2026" s="327"/>
      <c r="E2026" s="327" t="s">
        <v>6086</v>
      </c>
      <c r="F2026" s="206" t="s">
        <v>6087</v>
      </c>
      <c r="G2026" s="206" t="s">
        <v>6083</v>
      </c>
      <c r="H2026" s="207">
        <v>44594</v>
      </c>
      <c r="K2026" s="302">
        <v>7209262406</v>
      </c>
      <c r="M2026" s="212"/>
      <c r="N2026" s="213"/>
      <c r="O2026" s="209"/>
    </row>
    <row r="2027" spans="1:15" x14ac:dyDescent="0.3">
      <c r="A2027" s="302" t="s">
        <v>155</v>
      </c>
      <c r="B2027" s="302" t="str">
        <f t="shared" si="16"/>
        <v>Y</v>
      </c>
      <c r="C2027" s="6" t="s">
        <v>6088</v>
      </c>
      <c r="D2027" s="327"/>
      <c r="E2027" s="327" t="s">
        <v>6089</v>
      </c>
      <c r="F2027" s="206" t="s">
        <v>6090</v>
      </c>
      <c r="G2027" s="206" t="s">
        <v>6091</v>
      </c>
      <c r="H2027" s="207">
        <v>44596</v>
      </c>
      <c r="K2027" s="302">
        <v>9304881883</v>
      </c>
      <c r="M2027" s="212"/>
      <c r="N2027" s="213"/>
      <c r="O2027" s="209"/>
    </row>
    <row r="2028" spans="1:15" x14ac:dyDescent="0.3">
      <c r="A2028" s="302" t="s">
        <v>155</v>
      </c>
      <c r="B2028" s="302" t="str">
        <f t="shared" si="16"/>
        <v>Y</v>
      </c>
      <c r="C2028" s="6" t="s">
        <v>6092</v>
      </c>
      <c r="D2028" s="327"/>
      <c r="E2028" s="327" t="s">
        <v>6093</v>
      </c>
      <c r="F2028" s="206" t="s">
        <v>6094</v>
      </c>
      <c r="G2028" s="206" t="s">
        <v>6095</v>
      </c>
      <c r="H2028" s="207">
        <v>44598</v>
      </c>
      <c r="I2028" s="2" t="s">
        <v>6096</v>
      </c>
      <c r="K2028" s="302">
        <v>6206035278</v>
      </c>
      <c r="M2028" s="212"/>
      <c r="N2028" s="213"/>
      <c r="O2028" s="209"/>
    </row>
    <row r="2029" spans="1:15" x14ac:dyDescent="0.3">
      <c r="A2029" s="302" t="s">
        <v>155</v>
      </c>
      <c r="B2029" s="302" t="str">
        <f t="shared" si="16"/>
        <v>Y</v>
      </c>
      <c r="C2029" s="6" t="s">
        <v>6097</v>
      </c>
      <c r="D2029" s="327"/>
      <c r="E2029" s="327" t="s">
        <v>4717</v>
      </c>
      <c r="F2029" s="206" t="s">
        <v>6098</v>
      </c>
      <c r="G2029" s="206" t="s">
        <v>6099</v>
      </c>
      <c r="H2029" s="207">
        <v>44599</v>
      </c>
      <c r="J2029" s="2" t="s">
        <v>3735</v>
      </c>
      <c r="K2029" s="302">
        <v>9315919318</v>
      </c>
      <c r="M2029" s="212"/>
      <c r="N2029" s="213"/>
      <c r="O2029" s="209"/>
    </row>
    <row r="2030" spans="1:15" x14ac:dyDescent="0.3">
      <c r="A2030" s="302" t="s">
        <v>155</v>
      </c>
      <c r="B2030" s="302" t="str">
        <f t="shared" si="16"/>
        <v>Y</v>
      </c>
      <c r="C2030" s="6" t="s">
        <v>6100</v>
      </c>
      <c r="D2030" s="327"/>
      <c r="E2030" s="327" t="s">
        <v>6101</v>
      </c>
      <c r="F2030" s="206" t="s">
        <v>6102</v>
      </c>
      <c r="G2030" s="206" t="s">
        <v>6103</v>
      </c>
      <c r="H2030" s="207">
        <v>44601</v>
      </c>
      <c r="K2030" s="302">
        <v>7004910010</v>
      </c>
      <c r="M2030" s="212"/>
      <c r="N2030" s="213"/>
      <c r="O2030" s="209"/>
    </row>
    <row r="2031" spans="1:15" x14ac:dyDescent="0.3">
      <c r="A2031" s="302" t="s">
        <v>155</v>
      </c>
      <c r="B2031" s="302" t="str">
        <f t="shared" si="16"/>
        <v>Y</v>
      </c>
      <c r="C2031" s="6" t="s">
        <v>6104</v>
      </c>
      <c r="D2031" s="327"/>
      <c r="E2031" s="327" t="s">
        <v>6105</v>
      </c>
      <c r="F2031" s="206" t="s">
        <v>6106</v>
      </c>
      <c r="G2031" s="206" t="s">
        <v>6107</v>
      </c>
      <c r="H2031" s="302" t="s">
        <v>6108</v>
      </c>
      <c r="K2031" s="302">
        <v>9031487438</v>
      </c>
      <c r="M2031" s="212"/>
      <c r="N2031" s="213"/>
      <c r="O2031" s="209"/>
    </row>
    <row r="2032" spans="1:15" x14ac:dyDescent="0.3">
      <c r="A2032" s="302" t="s">
        <v>155</v>
      </c>
      <c r="B2032" s="302" t="str">
        <f t="shared" si="16"/>
        <v>Y</v>
      </c>
      <c r="C2032" s="6" t="s">
        <v>6109</v>
      </c>
      <c r="D2032" s="327"/>
      <c r="E2032" s="327" t="s">
        <v>6110</v>
      </c>
      <c r="F2032" s="206" t="s">
        <v>6111</v>
      </c>
      <c r="G2032" s="206" t="s">
        <v>6107</v>
      </c>
      <c r="H2032" s="302" t="s">
        <v>6108</v>
      </c>
      <c r="I2032" s="2" t="s">
        <v>6096</v>
      </c>
      <c r="K2032" s="302">
        <v>6200687157</v>
      </c>
      <c r="M2032" s="212"/>
      <c r="N2032" s="213"/>
      <c r="O2032" s="209"/>
    </row>
    <row r="2033" spans="1:15" x14ac:dyDescent="0.3">
      <c r="A2033" s="302" t="s">
        <v>155</v>
      </c>
      <c r="B2033" s="302" t="str">
        <f t="shared" si="16"/>
        <v>Y</v>
      </c>
      <c r="C2033" s="6" t="s">
        <v>6112</v>
      </c>
      <c r="D2033" s="327"/>
      <c r="E2033" s="327" t="s">
        <v>6113</v>
      </c>
      <c r="F2033" s="206" t="s">
        <v>6114</v>
      </c>
      <c r="G2033" s="206" t="s">
        <v>6107</v>
      </c>
      <c r="H2033" s="302" t="s">
        <v>6108</v>
      </c>
      <c r="K2033" s="302">
        <v>9031487438</v>
      </c>
      <c r="M2033" s="212"/>
      <c r="N2033" s="213"/>
      <c r="O2033" s="209"/>
    </row>
    <row r="2034" spans="1:15" x14ac:dyDescent="0.3">
      <c r="A2034" s="302" t="s">
        <v>155</v>
      </c>
      <c r="B2034" s="302" t="str">
        <f t="shared" si="16"/>
        <v>Y</v>
      </c>
      <c r="C2034" s="6" t="s">
        <v>6115</v>
      </c>
      <c r="D2034" s="327"/>
      <c r="E2034" s="327" t="s">
        <v>6116</v>
      </c>
      <c r="F2034" s="206" t="s">
        <v>6117</v>
      </c>
      <c r="G2034" s="206" t="s">
        <v>6107</v>
      </c>
      <c r="H2034" s="302" t="s">
        <v>6108</v>
      </c>
      <c r="K2034" s="302">
        <v>9199785912</v>
      </c>
      <c r="M2034" s="212"/>
      <c r="N2034" s="213"/>
      <c r="O2034" s="209"/>
    </row>
    <row r="2035" spans="1:15" x14ac:dyDescent="0.3">
      <c r="A2035" s="302" t="s">
        <v>155</v>
      </c>
      <c r="B2035" s="302" t="str">
        <f t="shared" si="16"/>
        <v>Y</v>
      </c>
      <c r="C2035" s="6" t="s">
        <v>6118</v>
      </c>
      <c r="D2035" s="327"/>
      <c r="E2035" s="327" t="s">
        <v>6119</v>
      </c>
      <c r="F2035" s="206" t="s">
        <v>6120</v>
      </c>
      <c r="G2035" s="206" t="s">
        <v>6107</v>
      </c>
      <c r="H2035" s="302" t="s">
        <v>6108</v>
      </c>
      <c r="K2035" s="302">
        <v>9472726525</v>
      </c>
      <c r="M2035" s="212"/>
      <c r="N2035" s="213"/>
      <c r="O2035" s="209"/>
    </row>
    <row r="2036" spans="1:15" x14ac:dyDescent="0.3">
      <c r="A2036" s="302" t="s">
        <v>155</v>
      </c>
      <c r="B2036" s="302" t="str">
        <f t="shared" si="16"/>
        <v>Y</v>
      </c>
      <c r="C2036" s="6" t="s">
        <v>6121</v>
      </c>
      <c r="D2036" s="327"/>
      <c r="E2036" s="327" t="s">
        <v>6122</v>
      </c>
      <c r="F2036" s="206" t="s">
        <v>5889</v>
      </c>
      <c r="G2036" s="206" t="s">
        <v>6123</v>
      </c>
      <c r="H2036" s="207">
        <v>44603</v>
      </c>
      <c r="K2036" s="302">
        <v>6202256763</v>
      </c>
      <c r="M2036" s="212"/>
      <c r="N2036" s="213"/>
      <c r="O2036" s="209"/>
    </row>
    <row r="2037" spans="1:15" x14ac:dyDescent="0.3">
      <c r="A2037" s="302" t="s">
        <v>155</v>
      </c>
      <c r="B2037" s="302" t="str">
        <f t="shared" si="16"/>
        <v>Y</v>
      </c>
      <c r="C2037" s="6" t="s">
        <v>6124</v>
      </c>
      <c r="D2037" s="327"/>
      <c r="E2037" s="327" t="s">
        <v>6125</v>
      </c>
      <c r="F2037" s="206" t="s">
        <v>6126</v>
      </c>
      <c r="G2037" s="206" t="s">
        <v>6123</v>
      </c>
      <c r="H2037" s="207">
        <v>44603</v>
      </c>
      <c r="K2037" s="302">
        <v>8140916252</v>
      </c>
      <c r="M2037" s="212"/>
      <c r="N2037" s="213"/>
      <c r="O2037" s="209"/>
    </row>
    <row r="2038" spans="1:15" x14ac:dyDescent="0.3">
      <c r="A2038" s="302" t="s">
        <v>155</v>
      </c>
      <c r="B2038" s="302" t="str">
        <f t="shared" si="16"/>
        <v>Y</v>
      </c>
      <c r="C2038" s="6" t="s">
        <v>6127</v>
      </c>
      <c r="D2038" s="327"/>
      <c r="E2038" s="327" t="s">
        <v>6128</v>
      </c>
      <c r="F2038" s="206" t="s">
        <v>6129</v>
      </c>
      <c r="G2038" s="206" t="s">
        <v>6123</v>
      </c>
      <c r="H2038" s="207">
        <v>44603</v>
      </c>
      <c r="K2038" s="302">
        <v>6203532580</v>
      </c>
      <c r="M2038" s="212"/>
      <c r="N2038" s="213"/>
      <c r="O2038" s="209"/>
    </row>
    <row r="2039" spans="1:15" x14ac:dyDescent="0.3">
      <c r="A2039" s="302" t="s">
        <v>155</v>
      </c>
      <c r="B2039" s="302" t="str">
        <f t="shared" si="16"/>
        <v>Y</v>
      </c>
      <c r="C2039" s="6" t="s">
        <v>6130</v>
      </c>
      <c r="D2039" s="327"/>
      <c r="E2039" s="327" t="s">
        <v>6131</v>
      </c>
      <c r="F2039" s="206" t="s">
        <v>6132</v>
      </c>
      <c r="G2039" s="206" t="s">
        <v>6133</v>
      </c>
      <c r="H2039" s="207">
        <v>44604</v>
      </c>
      <c r="K2039" s="302">
        <v>6206068897</v>
      </c>
      <c r="M2039" s="212"/>
      <c r="N2039" s="213"/>
      <c r="O2039" s="209"/>
    </row>
    <row r="2040" spans="1:15" x14ac:dyDescent="0.3">
      <c r="A2040" s="302" t="s">
        <v>155</v>
      </c>
      <c r="B2040" s="302" t="str">
        <f t="shared" si="16"/>
        <v>Y</v>
      </c>
      <c r="C2040" s="6" t="s">
        <v>6134</v>
      </c>
      <c r="D2040" s="327"/>
      <c r="E2040" s="327" t="s">
        <v>6135</v>
      </c>
      <c r="F2040" s="206" t="s">
        <v>6136</v>
      </c>
      <c r="G2040" s="206" t="s">
        <v>6137</v>
      </c>
      <c r="H2040" s="207">
        <v>44606</v>
      </c>
      <c r="K2040" s="302">
        <v>9953394677</v>
      </c>
      <c r="M2040" s="212"/>
      <c r="N2040" s="213"/>
      <c r="O2040" s="209"/>
    </row>
    <row r="2041" spans="1:15" x14ac:dyDescent="0.3">
      <c r="A2041" s="302" t="s">
        <v>155</v>
      </c>
      <c r="B2041" s="302" t="str">
        <f t="shared" si="16"/>
        <v>Y</v>
      </c>
      <c r="C2041" s="6" t="s">
        <v>6138</v>
      </c>
      <c r="D2041" s="327"/>
      <c r="E2041" s="327" t="s">
        <v>6139</v>
      </c>
      <c r="F2041" s="206" t="s">
        <v>6140</v>
      </c>
      <c r="G2041" s="206" t="s">
        <v>6137</v>
      </c>
      <c r="H2041" s="207">
        <v>44606</v>
      </c>
      <c r="K2041" s="302">
        <v>9905162366</v>
      </c>
      <c r="M2041" s="212"/>
      <c r="N2041" s="213"/>
      <c r="O2041" s="209"/>
    </row>
    <row r="2042" spans="1:15" x14ac:dyDescent="0.3">
      <c r="A2042" s="302" t="s">
        <v>155</v>
      </c>
      <c r="B2042" s="302" t="str">
        <f t="shared" si="16"/>
        <v>Y</v>
      </c>
      <c r="C2042" s="6" t="s">
        <v>6141</v>
      </c>
      <c r="D2042" s="327"/>
      <c r="E2042" s="327" t="s">
        <v>6142</v>
      </c>
      <c r="F2042" s="206" t="s">
        <v>6143</v>
      </c>
      <c r="G2042" s="206" t="s">
        <v>6137</v>
      </c>
      <c r="H2042" s="207">
        <v>44606</v>
      </c>
      <c r="K2042" s="302">
        <v>9315125609</v>
      </c>
      <c r="M2042" s="212"/>
      <c r="N2042" s="213"/>
      <c r="O2042" s="209"/>
    </row>
    <row r="2043" spans="1:15" x14ac:dyDescent="0.3">
      <c r="A2043" s="302" t="s">
        <v>155</v>
      </c>
      <c r="B2043" s="302" t="str">
        <f t="shared" si="16"/>
        <v>Y</v>
      </c>
      <c r="C2043" s="6" t="s">
        <v>6144</v>
      </c>
      <c r="D2043" s="327"/>
      <c r="E2043" s="327" t="s">
        <v>6145</v>
      </c>
      <c r="F2043" s="206" t="s">
        <v>1517</v>
      </c>
      <c r="G2043" s="206" t="s">
        <v>6146</v>
      </c>
      <c r="H2043" s="207">
        <v>44607</v>
      </c>
      <c r="K2043" s="302">
        <v>8092806634</v>
      </c>
      <c r="M2043" s="212"/>
      <c r="N2043" s="213"/>
      <c r="O2043" s="209"/>
    </row>
    <row r="2044" spans="1:15" x14ac:dyDescent="0.3">
      <c r="A2044" s="302" t="s">
        <v>155</v>
      </c>
      <c r="B2044" s="302" t="str">
        <f t="shared" si="16"/>
        <v>Y</v>
      </c>
      <c r="C2044" s="6" t="s">
        <v>6147</v>
      </c>
      <c r="D2044" s="327"/>
      <c r="E2044" s="327" t="s">
        <v>6148</v>
      </c>
      <c r="F2044" s="206" t="s">
        <v>6149</v>
      </c>
      <c r="G2044" s="206" t="s">
        <v>6146</v>
      </c>
      <c r="H2044" s="207">
        <v>44607</v>
      </c>
      <c r="K2044" s="302">
        <v>7488883630</v>
      </c>
      <c r="M2044" s="212"/>
      <c r="N2044" s="213"/>
      <c r="O2044" s="209"/>
    </row>
    <row r="2045" spans="1:15" x14ac:dyDescent="0.3">
      <c r="A2045" s="302" t="s">
        <v>155</v>
      </c>
      <c r="B2045" s="302" t="str">
        <f t="shared" si="16"/>
        <v>Y</v>
      </c>
      <c r="C2045" s="6" t="s">
        <v>6150</v>
      </c>
      <c r="D2045" s="327"/>
      <c r="E2045" s="327" t="s">
        <v>6151</v>
      </c>
      <c r="F2045" s="206" t="s">
        <v>6152</v>
      </c>
      <c r="G2045" s="206" t="s">
        <v>6146</v>
      </c>
      <c r="H2045" s="207">
        <v>44607</v>
      </c>
      <c r="K2045" s="302">
        <v>8542958757</v>
      </c>
      <c r="M2045" s="212"/>
      <c r="N2045" s="213"/>
      <c r="O2045" s="209"/>
    </row>
    <row r="2046" spans="1:15" x14ac:dyDescent="0.3">
      <c r="A2046" s="302" t="s">
        <v>155</v>
      </c>
      <c r="B2046" s="302" t="str">
        <f t="shared" si="16"/>
        <v>Y</v>
      </c>
      <c r="C2046" s="6" t="s">
        <v>6153</v>
      </c>
      <c r="D2046" s="327"/>
      <c r="E2046" s="327" t="s">
        <v>6154</v>
      </c>
      <c r="F2046" s="206" t="s">
        <v>4195</v>
      </c>
      <c r="G2046" s="206" t="s">
        <v>6146</v>
      </c>
      <c r="H2046" s="207">
        <v>44607</v>
      </c>
      <c r="K2046" s="302">
        <v>6200368178</v>
      </c>
      <c r="M2046" s="212"/>
      <c r="N2046" s="213"/>
      <c r="O2046" s="209"/>
    </row>
    <row r="2047" spans="1:15" x14ac:dyDescent="0.3">
      <c r="A2047" s="302" t="s">
        <v>155</v>
      </c>
      <c r="B2047" s="302" t="str">
        <f t="shared" si="16"/>
        <v>Y</v>
      </c>
      <c r="C2047" s="472" t="s">
        <v>6155</v>
      </c>
      <c r="D2047" s="338"/>
      <c r="E2047" s="327" t="s">
        <v>6156</v>
      </c>
      <c r="F2047" s="206" t="s">
        <v>6157</v>
      </c>
      <c r="G2047" s="206" t="s">
        <v>6158</v>
      </c>
      <c r="H2047" s="207">
        <v>44608</v>
      </c>
      <c r="K2047" s="302">
        <v>9470934439</v>
      </c>
      <c r="M2047" s="212"/>
      <c r="N2047" s="213"/>
      <c r="O2047" s="209"/>
    </row>
    <row r="2048" spans="1:15" x14ac:dyDescent="0.3">
      <c r="A2048" s="302" t="s">
        <v>155</v>
      </c>
      <c r="B2048" s="302" t="str">
        <f t="shared" si="16"/>
        <v>Y</v>
      </c>
      <c r="C2048" s="6" t="s">
        <v>6159</v>
      </c>
      <c r="D2048" s="327"/>
      <c r="E2048" s="327" t="s">
        <v>6160</v>
      </c>
      <c r="F2048" s="206" t="s">
        <v>6161</v>
      </c>
      <c r="G2048" s="206" t="s">
        <v>6162</v>
      </c>
      <c r="H2048" s="207">
        <v>44609</v>
      </c>
      <c r="K2048" s="302">
        <v>9525956082</v>
      </c>
      <c r="M2048" s="212"/>
      <c r="N2048" s="213"/>
      <c r="O2048" s="209"/>
    </row>
    <row r="2049" spans="1:15" x14ac:dyDescent="0.3">
      <c r="A2049" s="302" t="s">
        <v>155</v>
      </c>
      <c r="B2049" s="302" t="str">
        <f t="shared" si="16"/>
        <v>Y</v>
      </c>
      <c r="C2049" s="6" t="s">
        <v>6163</v>
      </c>
      <c r="D2049" s="327"/>
      <c r="E2049" s="327" t="s">
        <v>6164</v>
      </c>
      <c r="F2049" s="206" t="s">
        <v>6165</v>
      </c>
      <c r="G2049" s="206" t="s">
        <v>6162</v>
      </c>
      <c r="H2049" s="207">
        <v>44609</v>
      </c>
      <c r="K2049" s="302">
        <v>9508931642</v>
      </c>
      <c r="M2049" s="212"/>
      <c r="N2049" s="213"/>
      <c r="O2049" s="209"/>
    </row>
    <row r="2050" spans="1:15" x14ac:dyDescent="0.3">
      <c r="A2050" s="302" t="s">
        <v>155</v>
      </c>
      <c r="B2050" s="302" t="str">
        <f t="shared" si="16"/>
        <v>Y</v>
      </c>
      <c r="C2050" s="6" t="s">
        <v>6166</v>
      </c>
      <c r="D2050" s="327"/>
      <c r="E2050" s="327" t="s">
        <v>6167</v>
      </c>
      <c r="F2050" s="206" t="s">
        <v>1768</v>
      </c>
      <c r="G2050" s="206" t="s">
        <v>6162</v>
      </c>
      <c r="H2050" s="207">
        <v>44609</v>
      </c>
      <c r="K2050" s="302">
        <v>2280722</v>
      </c>
      <c r="M2050" s="212"/>
      <c r="N2050" s="213"/>
      <c r="O2050" s="209"/>
    </row>
    <row r="2051" spans="1:15" x14ac:dyDescent="0.3">
      <c r="A2051" s="302" t="s">
        <v>155</v>
      </c>
      <c r="B2051" s="302" t="str">
        <f t="shared" si="16"/>
        <v>Y</v>
      </c>
      <c r="C2051" s="6" t="s">
        <v>6168</v>
      </c>
      <c r="D2051" s="327"/>
      <c r="E2051" s="327" t="s">
        <v>6169</v>
      </c>
      <c r="F2051" s="206" t="s">
        <v>6170</v>
      </c>
      <c r="G2051" s="206" t="s">
        <v>6162</v>
      </c>
      <c r="H2051" s="207">
        <v>44609</v>
      </c>
      <c r="K2051" s="302">
        <v>7257992909</v>
      </c>
      <c r="M2051" s="212"/>
      <c r="N2051" s="213"/>
      <c r="O2051" s="209"/>
    </row>
    <row r="2052" spans="1:15" x14ac:dyDescent="0.3">
      <c r="A2052" s="302" t="s">
        <v>155</v>
      </c>
      <c r="B2052" s="302" t="str">
        <f t="shared" si="16"/>
        <v>Y</v>
      </c>
      <c r="C2052" s="6" t="s">
        <v>6171</v>
      </c>
      <c r="D2052" s="327"/>
      <c r="E2052" s="327" t="s">
        <v>6172</v>
      </c>
      <c r="F2052" s="206" t="s">
        <v>6173</v>
      </c>
      <c r="G2052" s="206" t="s">
        <v>6174</v>
      </c>
      <c r="H2052" s="207">
        <v>44610</v>
      </c>
      <c r="J2052" s="2" t="s">
        <v>6175</v>
      </c>
      <c r="K2052" s="302">
        <v>7488812695</v>
      </c>
      <c r="M2052" s="212"/>
      <c r="N2052" s="213"/>
      <c r="O2052" s="209"/>
    </row>
    <row r="2053" spans="1:15" x14ac:dyDescent="0.3">
      <c r="A2053" s="302" t="s">
        <v>155</v>
      </c>
      <c r="B2053" s="302" t="str">
        <f t="shared" si="16"/>
        <v>Y</v>
      </c>
      <c r="C2053" s="6" t="s">
        <v>6176</v>
      </c>
      <c r="D2053" s="327"/>
      <c r="E2053" s="327" t="s">
        <v>2877</v>
      </c>
      <c r="F2053" s="206" t="s">
        <v>6177</v>
      </c>
      <c r="G2053" s="206" t="s">
        <v>6174</v>
      </c>
      <c r="H2053" s="207">
        <v>44610</v>
      </c>
      <c r="K2053" s="302">
        <v>9162329618</v>
      </c>
      <c r="M2053" s="212"/>
      <c r="N2053" s="213"/>
      <c r="O2053" s="209"/>
    </row>
    <row r="2054" spans="1:15" x14ac:dyDescent="0.3">
      <c r="A2054" s="302" t="s">
        <v>155</v>
      </c>
      <c r="B2054" s="302" t="str">
        <f t="shared" si="16"/>
        <v>Y</v>
      </c>
      <c r="C2054" s="6" t="s">
        <v>6178</v>
      </c>
      <c r="D2054" s="327"/>
      <c r="E2054" s="327" t="s">
        <v>6179</v>
      </c>
      <c r="F2054" s="206" t="s">
        <v>6180</v>
      </c>
      <c r="G2054" s="206" t="s">
        <v>6174</v>
      </c>
      <c r="H2054" s="207">
        <v>44610</v>
      </c>
      <c r="K2054" s="302">
        <v>9031487438</v>
      </c>
      <c r="M2054" s="212"/>
      <c r="N2054" s="213"/>
      <c r="O2054" s="209"/>
    </row>
    <row r="2055" spans="1:15" x14ac:dyDescent="0.3">
      <c r="A2055" s="302" t="s">
        <v>155</v>
      </c>
      <c r="B2055" s="302" t="str">
        <f t="shared" si="16"/>
        <v>Y</v>
      </c>
      <c r="C2055" s="6" t="s">
        <v>6181</v>
      </c>
      <c r="D2055" s="327"/>
      <c r="E2055" s="327" t="s">
        <v>6182</v>
      </c>
      <c r="F2055" s="206" t="s">
        <v>6183</v>
      </c>
      <c r="G2055" s="206" t="s">
        <v>6174</v>
      </c>
      <c r="H2055" s="207">
        <v>44610</v>
      </c>
      <c r="K2055" s="302">
        <v>9508771225</v>
      </c>
      <c r="M2055" s="212"/>
      <c r="N2055" s="213"/>
      <c r="O2055" s="209"/>
    </row>
    <row r="2056" spans="1:15" x14ac:dyDescent="0.3">
      <c r="A2056" s="302" t="s">
        <v>155</v>
      </c>
      <c r="B2056" s="302" t="str">
        <f t="shared" si="16"/>
        <v>Y</v>
      </c>
      <c r="C2056" s="6" t="s">
        <v>6184</v>
      </c>
      <c r="D2056" s="327"/>
      <c r="E2056" s="327" t="s">
        <v>6185</v>
      </c>
      <c r="F2056" s="206" t="s">
        <v>6186</v>
      </c>
      <c r="G2056" s="206" t="s">
        <v>6174</v>
      </c>
      <c r="H2056" s="207">
        <v>44610</v>
      </c>
      <c r="J2056" s="2" t="s">
        <v>6175</v>
      </c>
      <c r="K2056" s="302">
        <v>9771844025</v>
      </c>
      <c r="M2056" s="212"/>
      <c r="N2056" s="213"/>
      <c r="O2056" s="209"/>
    </row>
    <row r="2057" spans="1:15" x14ac:dyDescent="0.3">
      <c r="A2057" s="302" t="s">
        <v>155</v>
      </c>
      <c r="B2057" s="302" t="str">
        <f t="shared" si="16"/>
        <v>Y</v>
      </c>
      <c r="C2057" s="6" t="s">
        <v>6187</v>
      </c>
      <c r="D2057" s="327"/>
      <c r="E2057" s="327" t="s">
        <v>6188</v>
      </c>
      <c r="F2057" s="206" t="s">
        <v>1533</v>
      </c>
      <c r="G2057" s="206" t="s">
        <v>6174</v>
      </c>
      <c r="H2057" s="207">
        <v>44610</v>
      </c>
      <c r="J2057" s="2" t="s">
        <v>6175</v>
      </c>
      <c r="K2057" s="302">
        <v>9771844025</v>
      </c>
      <c r="M2057" s="212"/>
      <c r="N2057" s="213"/>
      <c r="O2057" s="209"/>
    </row>
    <row r="2058" spans="1:15" x14ac:dyDescent="0.3">
      <c r="A2058" s="302" t="s">
        <v>155</v>
      </c>
      <c r="B2058" s="302" t="str">
        <f t="shared" si="16"/>
        <v>Y</v>
      </c>
      <c r="C2058" s="6" t="s">
        <v>6189</v>
      </c>
      <c r="D2058" s="327"/>
      <c r="E2058" s="327" t="s">
        <v>6190</v>
      </c>
      <c r="F2058" s="206" t="s">
        <v>1533</v>
      </c>
      <c r="G2058" s="206" t="s">
        <v>6191</v>
      </c>
      <c r="H2058" s="207">
        <v>44611</v>
      </c>
      <c r="J2058" s="2" t="s">
        <v>6175</v>
      </c>
      <c r="K2058" s="302">
        <v>7368998288</v>
      </c>
      <c r="M2058" s="212"/>
      <c r="N2058" s="213"/>
      <c r="O2058" s="209"/>
    </row>
    <row r="2059" spans="1:15" x14ac:dyDescent="0.3">
      <c r="A2059" s="302" t="s">
        <v>155</v>
      </c>
      <c r="B2059" s="302" t="str">
        <f t="shared" si="16"/>
        <v>Y</v>
      </c>
      <c r="C2059" s="6" t="s">
        <v>6192</v>
      </c>
      <c r="D2059" s="327"/>
      <c r="E2059" s="327" t="s">
        <v>5862</v>
      </c>
      <c r="F2059" s="206" t="s">
        <v>6193</v>
      </c>
      <c r="G2059" s="206" t="s">
        <v>6194</v>
      </c>
      <c r="H2059" s="207">
        <v>44612</v>
      </c>
      <c r="K2059" s="302">
        <v>9234697587</v>
      </c>
      <c r="M2059" s="212"/>
      <c r="N2059" s="213"/>
      <c r="O2059" s="209"/>
    </row>
    <row r="2060" spans="1:15" x14ac:dyDescent="0.3">
      <c r="A2060" s="302" t="s">
        <v>155</v>
      </c>
      <c r="B2060" s="302" t="str">
        <f t="shared" si="16"/>
        <v>Y</v>
      </c>
      <c r="C2060" s="6" t="s">
        <v>6195</v>
      </c>
      <c r="D2060" s="327"/>
      <c r="E2060" s="327" t="s">
        <v>6196</v>
      </c>
      <c r="F2060" s="206" t="s">
        <v>6197</v>
      </c>
      <c r="G2060" s="206" t="s">
        <v>6194</v>
      </c>
      <c r="H2060" s="207">
        <v>44612</v>
      </c>
      <c r="K2060" s="302">
        <v>6203335874</v>
      </c>
      <c r="M2060" s="212"/>
      <c r="N2060" s="213"/>
      <c r="O2060" s="209"/>
    </row>
    <row r="2061" spans="1:15" x14ac:dyDescent="0.3">
      <c r="A2061" s="302" t="s">
        <v>155</v>
      </c>
      <c r="B2061" s="302" t="str">
        <f t="shared" si="16"/>
        <v>Y</v>
      </c>
      <c r="C2061" s="6" t="s">
        <v>6198</v>
      </c>
      <c r="D2061" s="327"/>
      <c r="E2061" s="327" t="s">
        <v>1223</v>
      </c>
      <c r="F2061" s="206" t="s">
        <v>6199</v>
      </c>
      <c r="G2061" s="206" t="s">
        <v>6200</v>
      </c>
      <c r="H2061" s="206" t="s">
        <v>6200</v>
      </c>
      <c r="K2061" s="302">
        <v>6207618309</v>
      </c>
      <c r="M2061" s="212"/>
      <c r="N2061" s="213"/>
      <c r="O2061" s="209"/>
    </row>
    <row r="2062" spans="1:15" x14ac:dyDescent="0.3">
      <c r="A2062" s="302" t="s">
        <v>155</v>
      </c>
      <c r="B2062" s="302" t="str">
        <f t="shared" si="16"/>
        <v>Y</v>
      </c>
      <c r="C2062" s="6" t="s">
        <v>6201</v>
      </c>
      <c r="D2062" s="327"/>
      <c r="E2062" s="327" t="s">
        <v>6202</v>
      </c>
      <c r="F2062" s="206" t="s">
        <v>6203</v>
      </c>
      <c r="G2062" s="206" t="s">
        <v>6204</v>
      </c>
      <c r="H2062" s="207">
        <v>44615</v>
      </c>
      <c r="K2062" s="302">
        <v>8804311903</v>
      </c>
      <c r="M2062" s="212"/>
      <c r="N2062" s="213"/>
      <c r="O2062" s="209"/>
    </row>
    <row r="2063" spans="1:15" x14ac:dyDescent="0.3">
      <c r="A2063" s="302" t="s">
        <v>155</v>
      </c>
      <c r="B2063" s="302" t="str">
        <f t="shared" si="16"/>
        <v>Y</v>
      </c>
      <c r="C2063" s="6" t="s">
        <v>6205</v>
      </c>
      <c r="D2063" s="327"/>
      <c r="E2063" s="327" t="s">
        <v>1429</v>
      </c>
      <c r="F2063" s="206" t="s">
        <v>6206</v>
      </c>
      <c r="G2063" s="206" t="s">
        <v>6204</v>
      </c>
      <c r="H2063" s="207">
        <v>44615</v>
      </c>
      <c r="K2063" s="302">
        <v>7488644971</v>
      </c>
      <c r="M2063" s="212"/>
      <c r="N2063" s="213"/>
      <c r="O2063" s="209"/>
    </row>
    <row r="2064" spans="1:15" x14ac:dyDescent="0.3">
      <c r="A2064" s="302" t="s">
        <v>155</v>
      </c>
      <c r="B2064" s="302" t="str">
        <f t="shared" si="16"/>
        <v>Y</v>
      </c>
      <c r="C2064" s="6" t="s">
        <v>6207</v>
      </c>
      <c r="D2064" s="327"/>
      <c r="E2064" s="327" t="s">
        <v>6208</v>
      </c>
      <c r="F2064" s="206" t="s">
        <v>5774</v>
      </c>
      <c r="G2064" s="206" t="s">
        <v>6209</v>
      </c>
      <c r="H2064" s="207">
        <v>44616</v>
      </c>
      <c r="K2064" s="302">
        <v>7440184882</v>
      </c>
      <c r="M2064" s="212"/>
      <c r="N2064" s="213"/>
      <c r="O2064" s="209"/>
    </row>
    <row r="2065" spans="1:15" x14ac:dyDescent="0.3">
      <c r="A2065" s="302" t="s">
        <v>155</v>
      </c>
      <c r="B2065" s="302" t="str">
        <f t="shared" si="16"/>
        <v>Y</v>
      </c>
      <c r="C2065" s="6" t="s">
        <v>6210</v>
      </c>
      <c r="D2065" s="327"/>
      <c r="E2065" s="327" t="s">
        <v>6211</v>
      </c>
      <c r="F2065" s="206" t="s">
        <v>1533</v>
      </c>
      <c r="G2065" s="206" t="s">
        <v>6209</v>
      </c>
      <c r="H2065" s="207">
        <v>44616</v>
      </c>
      <c r="K2065" s="302">
        <v>6209313818</v>
      </c>
      <c r="M2065" s="212"/>
      <c r="N2065" s="213"/>
      <c r="O2065" s="209"/>
    </row>
    <row r="2066" spans="1:15" x14ac:dyDescent="0.3">
      <c r="A2066" s="302" t="s">
        <v>155</v>
      </c>
      <c r="B2066" s="302" t="str">
        <f t="shared" si="16"/>
        <v>Y</v>
      </c>
      <c r="C2066" s="6" t="s">
        <v>6212</v>
      </c>
      <c r="D2066" s="327"/>
      <c r="E2066" s="327" t="s">
        <v>6213</v>
      </c>
      <c r="F2066" s="206" t="s">
        <v>6082</v>
      </c>
      <c r="G2066" s="206" t="s">
        <v>6209</v>
      </c>
      <c r="H2066" s="207">
        <v>44616</v>
      </c>
      <c r="I2066" s="2" t="s">
        <v>6096</v>
      </c>
      <c r="K2066" s="302">
        <v>8092309658</v>
      </c>
      <c r="M2066" s="212"/>
      <c r="N2066" s="213"/>
      <c r="O2066" s="209"/>
    </row>
    <row r="2067" spans="1:15" x14ac:dyDescent="0.3">
      <c r="A2067" s="302" t="s">
        <v>155</v>
      </c>
      <c r="B2067" s="302" t="str">
        <f t="shared" si="16"/>
        <v>Y</v>
      </c>
      <c r="C2067" s="6" t="s">
        <v>6214</v>
      </c>
      <c r="D2067" s="327"/>
      <c r="E2067" s="327" t="s">
        <v>6215</v>
      </c>
      <c r="F2067" s="206" t="s">
        <v>6216</v>
      </c>
      <c r="G2067" s="206" t="s">
        <v>6209</v>
      </c>
      <c r="H2067" s="207">
        <v>44616</v>
      </c>
      <c r="K2067" s="302">
        <v>8651423567</v>
      </c>
      <c r="M2067" s="212"/>
      <c r="N2067" s="213"/>
      <c r="O2067" s="209"/>
    </row>
    <row r="2068" spans="1:15" x14ac:dyDescent="0.3">
      <c r="A2068" s="302" t="s">
        <v>155</v>
      </c>
      <c r="B2068" s="302" t="str">
        <f t="shared" si="16"/>
        <v>Y</v>
      </c>
      <c r="C2068" s="6" t="s">
        <v>6217</v>
      </c>
      <c r="D2068" s="327"/>
      <c r="E2068" s="327" t="s">
        <v>6218</v>
      </c>
      <c r="F2068" s="206" t="s">
        <v>1510</v>
      </c>
      <c r="G2068" s="206" t="s">
        <v>6219</v>
      </c>
      <c r="H2068" s="207">
        <v>44617</v>
      </c>
      <c r="K2068" s="302">
        <v>9835130552</v>
      </c>
      <c r="M2068" s="212"/>
      <c r="N2068" s="213"/>
      <c r="O2068" s="209"/>
    </row>
    <row r="2069" spans="1:15" x14ac:dyDescent="0.3">
      <c r="A2069" s="302" t="s">
        <v>155</v>
      </c>
      <c r="B2069" s="302" t="str">
        <f t="shared" si="16"/>
        <v>Y</v>
      </c>
      <c r="C2069" s="6" t="s">
        <v>6220</v>
      </c>
      <c r="D2069" s="327"/>
      <c r="E2069" s="327" t="s">
        <v>6221</v>
      </c>
      <c r="F2069" s="206" t="s">
        <v>6222</v>
      </c>
      <c r="G2069" s="206" t="s">
        <v>6223</v>
      </c>
      <c r="H2069" s="207">
        <v>44618</v>
      </c>
      <c r="K2069" s="302">
        <v>8092875516</v>
      </c>
      <c r="M2069" s="212"/>
      <c r="N2069" s="213"/>
      <c r="O2069" s="209"/>
    </row>
    <row r="2070" spans="1:15" x14ac:dyDescent="0.3">
      <c r="A2070" s="302" t="s">
        <v>155</v>
      </c>
      <c r="B2070" s="302" t="str">
        <f t="shared" si="16"/>
        <v>Y</v>
      </c>
      <c r="C2070" s="6" t="s">
        <v>6224</v>
      </c>
      <c r="D2070" s="327"/>
      <c r="E2070" s="327" t="s">
        <v>6225</v>
      </c>
      <c r="F2070" s="206" t="s">
        <v>6226</v>
      </c>
      <c r="G2070" s="206" t="s">
        <v>6223</v>
      </c>
      <c r="H2070" s="207">
        <v>44618</v>
      </c>
      <c r="K2070" s="302">
        <v>8235430669</v>
      </c>
      <c r="M2070" s="212"/>
      <c r="N2070" s="213"/>
      <c r="O2070" s="209"/>
    </row>
    <row r="2071" spans="1:15" x14ac:dyDescent="0.3">
      <c r="A2071" s="302" t="s">
        <v>155</v>
      </c>
      <c r="B2071" s="302" t="str">
        <f t="shared" si="16"/>
        <v>Y</v>
      </c>
      <c r="C2071" s="6" t="s">
        <v>6227</v>
      </c>
      <c r="D2071" s="327"/>
      <c r="E2071" s="327" t="s">
        <v>278</v>
      </c>
      <c r="F2071" s="206" t="s">
        <v>6228</v>
      </c>
      <c r="G2071" s="206" t="s">
        <v>6223</v>
      </c>
      <c r="H2071" s="207">
        <v>44618</v>
      </c>
      <c r="K2071" s="302">
        <v>7782018835</v>
      </c>
      <c r="M2071" s="212"/>
      <c r="N2071" s="213"/>
      <c r="O2071" s="209"/>
    </row>
    <row r="2072" spans="1:15" x14ac:dyDescent="0.3">
      <c r="A2072" s="302" t="s">
        <v>155</v>
      </c>
      <c r="B2072" s="302" t="str">
        <f t="shared" si="16"/>
        <v>Y</v>
      </c>
      <c r="C2072" s="6" t="s">
        <v>6229</v>
      </c>
      <c r="D2072" s="327"/>
      <c r="E2072" s="327" t="s">
        <v>6230</v>
      </c>
      <c r="F2072" s="206" t="s">
        <v>6231</v>
      </c>
      <c r="G2072" s="206" t="s">
        <v>6232</v>
      </c>
      <c r="H2072" s="207">
        <v>44619</v>
      </c>
      <c r="K2072" s="302">
        <v>8867993015</v>
      </c>
      <c r="M2072" s="212"/>
      <c r="N2072" s="213"/>
      <c r="O2072" s="209"/>
    </row>
    <row r="2073" spans="1:15" x14ac:dyDescent="0.3">
      <c r="A2073" s="302" t="s">
        <v>155</v>
      </c>
      <c r="B2073" s="302" t="str">
        <f t="shared" si="16"/>
        <v>Y</v>
      </c>
      <c r="C2073" s="6" t="s">
        <v>6233</v>
      </c>
      <c r="D2073" s="327"/>
      <c r="E2073" s="327" t="s">
        <v>6234</v>
      </c>
      <c r="F2073" s="206" t="s">
        <v>6235</v>
      </c>
      <c r="G2073" s="206" t="s">
        <v>6232</v>
      </c>
      <c r="H2073" s="207">
        <v>44619</v>
      </c>
      <c r="K2073" s="302">
        <v>9110953808</v>
      </c>
      <c r="M2073" s="212"/>
      <c r="N2073" s="213"/>
      <c r="O2073" s="209"/>
    </row>
    <row r="2074" spans="1:15" x14ac:dyDescent="0.3">
      <c r="A2074" s="302" t="s">
        <v>155</v>
      </c>
      <c r="B2074" s="302" t="str">
        <f t="shared" si="16"/>
        <v>Y</v>
      </c>
      <c r="C2074" s="6" t="s">
        <v>6236</v>
      </c>
      <c r="D2074" s="327"/>
      <c r="E2074" s="327" t="s">
        <v>6237</v>
      </c>
      <c r="F2074" s="206" t="s">
        <v>6238</v>
      </c>
      <c r="G2074" s="206" t="s">
        <v>6232</v>
      </c>
      <c r="H2074" s="207">
        <v>44619</v>
      </c>
      <c r="K2074" s="302">
        <v>6205162092</v>
      </c>
      <c r="M2074" s="212"/>
      <c r="N2074" s="213"/>
      <c r="O2074" s="209"/>
    </row>
    <row r="2075" spans="1:15" x14ac:dyDescent="0.3">
      <c r="A2075" s="302" t="s">
        <v>155</v>
      </c>
      <c r="B2075" s="302" t="str">
        <f t="shared" si="16"/>
        <v>Y</v>
      </c>
      <c r="C2075" s="6" t="s">
        <v>6239</v>
      </c>
      <c r="D2075" s="327"/>
      <c r="E2075" s="327" t="s">
        <v>6240</v>
      </c>
      <c r="F2075" s="206" t="s">
        <v>6241</v>
      </c>
      <c r="G2075" s="206" t="s">
        <v>6232</v>
      </c>
      <c r="H2075" s="207">
        <v>44619</v>
      </c>
      <c r="K2075" s="302">
        <v>8863032106</v>
      </c>
      <c r="M2075" s="212"/>
      <c r="N2075" s="213"/>
      <c r="O2075" s="209"/>
    </row>
    <row r="2076" spans="1:15" x14ac:dyDescent="0.3">
      <c r="A2076" s="302" t="s">
        <v>155</v>
      </c>
      <c r="B2076" s="302" t="str">
        <f t="shared" si="16"/>
        <v>Y</v>
      </c>
      <c r="C2076" s="6" t="s">
        <v>6242</v>
      </c>
      <c r="D2076" s="327"/>
      <c r="E2076" s="327" t="s">
        <v>6243</v>
      </c>
      <c r="F2076" s="206" t="s">
        <v>6244</v>
      </c>
      <c r="G2076" s="206" t="s">
        <v>6245</v>
      </c>
      <c r="H2076" s="207">
        <v>44623</v>
      </c>
      <c r="K2076" s="302">
        <v>9939247670</v>
      </c>
      <c r="M2076" s="212"/>
      <c r="N2076" s="213"/>
      <c r="O2076" s="209"/>
    </row>
    <row r="2077" spans="1:15" x14ac:dyDescent="0.3">
      <c r="A2077" s="302" t="s">
        <v>155</v>
      </c>
      <c r="B2077" s="302" t="str">
        <f t="shared" si="16"/>
        <v>Y</v>
      </c>
      <c r="C2077" s="6" t="s">
        <v>6246</v>
      </c>
      <c r="D2077" s="327"/>
      <c r="E2077" s="327" t="s">
        <v>6247</v>
      </c>
      <c r="F2077" s="206" t="s">
        <v>6248</v>
      </c>
      <c r="G2077" s="206" t="s">
        <v>6249</v>
      </c>
      <c r="H2077" s="207">
        <v>44624</v>
      </c>
      <c r="K2077" s="302">
        <v>8102415604</v>
      </c>
      <c r="M2077" s="212"/>
      <c r="N2077" s="213"/>
      <c r="O2077" s="209"/>
    </row>
    <row r="2078" spans="1:15" x14ac:dyDescent="0.3">
      <c r="A2078" s="302" t="s">
        <v>155</v>
      </c>
      <c r="B2078" s="302" t="str">
        <f t="shared" si="16"/>
        <v>Y</v>
      </c>
      <c r="C2078" s="6" t="s">
        <v>6250</v>
      </c>
      <c r="D2078" s="327"/>
      <c r="E2078" s="327" t="s">
        <v>6251</v>
      </c>
      <c r="F2078" s="206" t="s">
        <v>6252</v>
      </c>
      <c r="G2078" s="206" t="s">
        <v>6249</v>
      </c>
      <c r="H2078" s="207">
        <v>44624</v>
      </c>
      <c r="K2078" s="302">
        <v>8102415604</v>
      </c>
      <c r="M2078" s="212"/>
      <c r="N2078" s="213"/>
      <c r="O2078" s="209"/>
    </row>
    <row r="2079" spans="1:15" x14ac:dyDescent="0.3">
      <c r="A2079" s="302" t="s">
        <v>155</v>
      </c>
      <c r="B2079" s="302" t="str">
        <f t="shared" si="16"/>
        <v>Y</v>
      </c>
      <c r="C2079" s="6" t="s">
        <v>6253</v>
      </c>
      <c r="D2079" s="327"/>
      <c r="E2079" s="327" t="s">
        <v>6254</v>
      </c>
      <c r="F2079" s="206" t="s">
        <v>6255</v>
      </c>
      <c r="G2079" s="206" t="s">
        <v>6256</v>
      </c>
      <c r="H2079" s="207">
        <v>44625</v>
      </c>
      <c r="K2079" s="302">
        <v>9932543601</v>
      </c>
      <c r="M2079" s="212"/>
      <c r="N2079" s="213"/>
      <c r="O2079" s="209"/>
    </row>
    <row r="2080" spans="1:15" x14ac:dyDescent="0.3">
      <c r="A2080" s="302" t="s">
        <v>155</v>
      </c>
      <c r="B2080" s="302" t="str">
        <f t="shared" si="16"/>
        <v>Y</v>
      </c>
      <c r="C2080" s="6" t="s">
        <v>6257</v>
      </c>
      <c r="D2080" s="327"/>
      <c r="E2080" s="327" t="s">
        <v>6258</v>
      </c>
      <c r="F2080" s="206" t="s">
        <v>6259</v>
      </c>
      <c r="G2080" s="206" t="s">
        <v>6260</v>
      </c>
      <c r="H2080" s="207">
        <v>44627</v>
      </c>
      <c r="K2080" s="302">
        <v>9234548272</v>
      </c>
      <c r="M2080" s="212"/>
      <c r="N2080" s="213"/>
      <c r="O2080" s="209"/>
    </row>
    <row r="2081" spans="1:15" x14ac:dyDescent="0.3">
      <c r="A2081" s="302" t="s">
        <v>155</v>
      </c>
      <c r="B2081" s="302" t="str">
        <f t="shared" si="16"/>
        <v>Y</v>
      </c>
      <c r="C2081" s="6" t="s">
        <v>6261</v>
      </c>
      <c r="D2081" s="327"/>
      <c r="E2081" s="327" t="s">
        <v>6262</v>
      </c>
      <c r="F2081" s="206" t="s">
        <v>6263</v>
      </c>
      <c r="G2081" s="206" t="s">
        <v>6260</v>
      </c>
      <c r="H2081" s="207">
        <v>44627</v>
      </c>
      <c r="K2081" s="302">
        <v>8969421774</v>
      </c>
      <c r="M2081" s="212"/>
      <c r="N2081" s="213"/>
      <c r="O2081" s="209"/>
    </row>
    <row r="2082" spans="1:15" x14ac:dyDescent="0.3">
      <c r="A2082" s="302" t="s">
        <v>155</v>
      </c>
      <c r="B2082" s="302" t="str">
        <f t="shared" si="16"/>
        <v>Y</v>
      </c>
      <c r="C2082" s="6" t="s">
        <v>6264</v>
      </c>
      <c r="D2082" s="327"/>
      <c r="E2082" s="327" t="s">
        <v>6265</v>
      </c>
      <c r="F2082" s="206" t="s">
        <v>6266</v>
      </c>
      <c r="G2082" s="206" t="s">
        <v>6267</v>
      </c>
      <c r="H2082" s="206" t="s">
        <v>6267</v>
      </c>
      <c r="K2082" s="302">
        <v>7022107199</v>
      </c>
      <c r="M2082" s="212"/>
      <c r="N2082" s="213"/>
      <c r="O2082" s="209"/>
    </row>
    <row r="2083" spans="1:15" x14ac:dyDescent="0.3">
      <c r="A2083" s="302" t="s">
        <v>155</v>
      </c>
      <c r="B2083" s="302" t="str">
        <f t="shared" si="16"/>
        <v>Y</v>
      </c>
      <c r="C2083" s="6" t="s">
        <v>6268</v>
      </c>
      <c r="D2083" s="327"/>
      <c r="E2083" s="327" t="s">
        <v>6269</v>
      </c>
      <c r="F2083" s="206" t="s">
        <v>6270</v>
      </c>
      <c r="G2083" s="206" t="s">
        <v>6267</v>
      </c>
      <c r="H2083" s="206" t="s">
        <v>6267</v>
      </c>
      <c r="K2083" s="302">
        <v>8434705387</v>
      </c>
      <c r="M2083" s="212"/>
      <c r="N2083" s="213"/>
      <c r="O2083" s="209"/>
    </row>
    <row r="2084" spans="1:15" x14ac:dyDescent="0.3">
      <c r="A2084" s="302" t="s">
        <v>155</v>
      </c>
      <c r="B2084" s="302" t="str">
        <f t="shared" si="16"/>
        <v>Y</v>
      </c>
      <c r="C2084" s="6" t="s">
        <v>6271</v>
      </c>
      <c r="D2084" s="327"/>
      <c r="E2084" s="327" t="s">
        <v>6272</v>
      </c>
      <c r="F2084" s="206" t="s">
        <v>6273</v>
      </c>
      <c r="G2084" s="206" t="s">
        <v>6267</v>
      </c>
      <c r="H2084" s="206" t="s">
        <v>6267</v>
      </c>
      <c r="K2084" s="302">
        <v>9334817717</v>
      </c>
      <c r="M2084" s="212"/>
      <c r="N2084" s="213"/>
      <c r="O2084" s="209"/>
    </row>
    <row r="2085" spans="1:15" x14ac:dyDescent="0.3">
      <c r="A2085" s="302" t="s">
        <v>155</v>
      </c>
      <c r="B2085" s="302" t="str">
        <f t="shared" si="16"/>
        <v>Y</v>
      </c>
      <c r="C2085" s="451" t="s">
        <v>6274</v>
      </c>
      <c r="D2085" s="329"/>
      <c r="E2085" s="329" t="s">
        <v>6275</v>
      </c>
      <c r="F2085" s="219" t="s">
        <v>6276</v>
      </c>
      <c r="G2085" s="219" t="s">
        <v>6277</v>
      </c>
      <c r="H2085" s="220">
        <v>44629</v>
      </c>
      <c r="J2085">
        <v>9148078842</v>
      </c>
      <c r="K2085" s="302">
        <v>9308092456</v>
      </c>
      <c r="M2085" s="222" t="s">
        <v>6278</v>
      </c>
      <c r="N2085" s="213"/>
      <c r="O2085" s="209"/>
    </row>
    <row r="2086" spans="1:15" x14ac:dyDescent="0.3">
      <c r="A2086" s="302" t="s">
        <v>155</v>
      </c>
      <c r="B2086" s="302" t="str">
        <f t="shared" si="16"/>
        <v>Y</v>
      </c>
      <c r="C2086" s="6" t="s">
        <v>6279</v>
      </c>
      <c r="D2086" s="327"/>
      <c r="E2086" s="327" t="s">
        <v>6280</v>
      </c>
      <c r="F2086" s="206" t="s">
        <v>4143</v>
      </c>
      <c r="G2086" s="206" t="s">
        <v>6277</v>
      </c>
      <c r="H2086" s="207">
        <v>44629</v>
      </c>
      <c r="K2086" s="303">
        <v>7294147152</v>
      </c>
      <c r="M2086" s="212"/>
      <c r="N2086" s="213"/>
      <c r="O2086" s="209"/>
    </row>
    <row r="2087" spans="1:15" x14ac:dyDescent="0.3">
      <c r="A2087" s="302" t="s">
        <v>155</v>
      </c>
      <c r="B2087" s="302" t="str">
        <f t="shared" si="16"/>
        <v>Y</v>
      </c>
      <c r="C2087" s="6" t="s">
        <v>6281</v>
      </c>
      <c r="D2087" s="327"/>
      <c r="E2087" s="327" t="s">
        <v>6282</v>
      </c>
      <c r="F2087" s="206" t="s">
        <v>6283</v>
      </c>
      <c r="G2087" s="206" t="s">
        <v>6284</v>
      </c>
      <c r="H2087" s="207">
        <v>44631</v>
      </c>
      <c r="K2087" s="303">
        <v>9204525109</v>
      </c>
      <c r="M2087" s="212"/>
      <c r="N2087" s="213"/>
      <c r="O2087" s="209"/>
    </row>
    <row r="2088" spans="1:15" x14ac:dyDescent="0.3">
      <c r="A2088" s="302" t="s">
        <v>155</v>
      </c>
      <c r="B2088" s="302" t="str">
        <f t="shared" si="16"/>
        <v>Y</v>
      </c>
      <c r="C2088" s="6" t="s">
        <v>6285</v>
      </c>
      <c r="D2088" s="327"/>
      <c r="E2088" s="327" t="s">
        <v>6286</v>
      </c>
      <c r="F2088" s="206" t="s">
        <v>6287</v>
      </c>
      <c r="G2088" s="206" t="s">
        <v>6284</v>
      </c>
      <c r="H2088" s="207">
        <v>44631</v>
      </c>
      <c r="K2088" s="303">
        <v>9431378313</v>
      </c>
      <c r="M2088" s="212"/>
      <c r="N2088" s="213"/>
      <c r="O2088" s="209"/>
    </row>
    <row r="2089" spans="1:15" x14ac:dyDescent="0.3">
      <c r="A2089" s="302" t="s">
        <v>155</v>
      </c>
      <c r="B2089" s="302" t="str">
        <f t="shared" si="16"/>
        <v>Y</v>
      </c>
      <c r="C2089" s="6" t="s">
        <v>6288</v>
      </c>
      <c r="D2089" s="327"/>
      <c r="E2089" s="327" t="s">
        <v>6289</v>
      </c>
      <c r="F2089" s="206" t="s">
        <v>6290</v>
      </c>
      <c r="G2089" s="206" t="s">
        <v>6291</v>
      </c>
      <c r="H2089" s="207">
        <v>44630</v>
      </c>
      <c r="K2089" s="303">
        <v>6201255409</v>
      </c>
      <c r="M2089" s="212"/>
      <c r="N2089" s="213"/>
      <c r="O2089" s="209"/>
    </row>
    <row r="2090" spans="1:15" x14ac:dyDescent="0.3">
      <c r="A2090" s="302" t="s">
        <v>155</v>
      </c>
      <c r="B2090" s="302" t="str">
        <f t="shared" si="16"/>
        <v>Y</v>
      </c>
      <c r="C2090" s="6" t="s">
        <v>6292</v>
      </c>
      <c r="D2090" s="327"/>
      <c r="E2090" s="327" t="s">
        <v>6293</v>
      </c>
      <c r="F2090" s="206" t="s">
        <v>6294</v>
      </c>
      <c r="G2090" s="206" t="s">
        <v>6291</v>
      </c>
      <c r="H2090" s="207">
        <v>44632</v>
      </c>
      <c r="K2090" s="303">
        <v>9835550587</v>
      </c>
      <c r="M2090" s="212"/>
      <c r="N2090" s="213"/>
      <c r="O2090" s="209"/>
    </row>
    <row r="2091" spans="1:15" x14ac:dyDescent="0.3">
      <c r="A2091" s="302" t="s">
        <v>155</v>
      </c>
      <c r="B2091" s="302" t="str">
        <f t="shared" si="16"/>
        <v>Y</v>
      </c>
      <c r="C2091" s="6" t="s">
        <v>6295</v>
      </c>
      <c r="D2091" s="327"/>
      <c r="E2091" s="327" t="s">
        <v>6296</v>
      </c>
      <c r="F2091" s="206" t="s">
        <v>6297</v>
      </c>
      <c r="G2091" s="206" t="s">
        <v>6298</v>
      </c>
      <c r="H2091" s="207">
        <v>44634</v>
      </c>
      <c r="K2091" s="303">
        <v>9643491568</v>
      </c>
      <c r="M2091" s="212"/>
      <c r="N2091" s="213"/>
      <c r="O2091" s="209"/>
    </row>
    <row r="2092" spans="1:15" x14ac:dyDescent="0.3">
      <c r="A2092" s="302" t="s">
        <v>155</v>
      </c>
      <c r="B2092" s="302" t="str">
        <f t="shared" si="16"/>
        <v>Y</v>
      </c>
      <c r="C2092" s="6" t="s">
        <v>6299</v>
      </c>
      <c r="D2092" s="327"/>
      <c r="E2092" s="327" t="s">
        <v>6300</v>
      </c>
      <c r="F2092" s="206" t="s">
        <v>6301</v>
      </c>
      <c r="G2092" s="206" t="s">
        <v>6298</v>
      </c>
      <c r="H2092" s="207">
        <v>44634</v>
      </c>
      <c r="K2092" s="303">
        <v>8521231409</v>
      </c>
      <c r="M2092" s="212"/>
      <c r="N2092" s="213"/>
      <c r="O2092" s="209"/>
    </row>
    <row r="2093" spans="1:15" x14ac:dyDescent="0.3">
      <c r="A2093" s="302" t="s">
        <v>155</v>
      </c>
      <c r="B2093" s="302" t="str">
        <f t="shared" si="16"/>
        <v>Y</v>
      </c>
      <c r="C2093" s="6" t="s">
        <v>6302</v>
      </c>
      <c r="D2093" s="327"/>
      <c r="E2093" s="327" t="s">
        <v>6303</v>
      </c>
      <c r="F2093" s="206" t="s">
        <v>6304</v>
      </c>
      <c r="G2093" s="206" t="s">
        <v>6298</v>
      </c>
      <c r="H2093" s="207">
        <v>44634</v>
      </c>
      <c r="K2093" s="303">
        <v>7856884062</v>
      </c>
      <c r="M2093" s="212"/>
      <c r="N2093" s="213"/>
      <c r="O2093" s="209"/>
    </row>
    <row r="2094" spans="1:15" x14ac:dyDescent="0.3">
      <c r="A2094" s="302" t="s">
        <v>155</v>
      </c>
      <c r="B2094" s="302" t="str">
        <f t="shared" si="16"/>
        <v>Y</v>
      </c>
      <c r="C2094" s="6" t="s">
        <v>6305</v>
      </c>
      <c r="D2094" s="327"/>
      <c r="E2094" s="327" t="s">
        <v>6306</v>
      </c>
      <c r="F2094" s="206" t="s">
        <v>6307</v>
      </c>
      <c r="G2094" s="206" t="s">
        <v>6298</v>
      </c>
      <c r="H2094" s="207">
        <v>44634</v>
      </c>
      <c r="K2094" s="303">
        <v>7050190975</v>
      </c>
      <c r="M2094" s="212"/>
      <c r="N2094" s="213"/>
      <c r="O2094" s="209"/>
    </row>
    <row r="2095" spans="1:15" x14ac:dyDescent="0.3">
      <c r="A2095" s="302" t="s">
        <v>155</v>
      </c>
      <c r="B2095" s="302" t="str">
        <f t="shared" si="16"/>
        <v>Y</v>
      </c>
      <c r="C2095" s="6" t="s">
        <v>6308</v>
      </c>
      <c r="D2095" s="327"/>
      <c r="E2095" s="327" t="s">
        <v>6309</v>
      </c>
      <c r="F2095" s="206" t="s">
        <v>6310</v>
      </c>
      <c r="G2095" s="206" t="s">
        <v>6298</v>
      </c>
      <c r="H2095" s="207">
        <v>44634</v>
      </c>
      <c r="K2095" s="303">
        <v>9608053913</v>
      </c>
      <c r="M2095" s="212"/>
      <c r="N2095" s="213"/>
      <c r="O2095" s="209"/>
    </row>
    <row r="2096" spans="1:15" x14ac:dyDescent="0.3">
      <c r="A2096" s="302" t="s">
        <v>155</v>
      </c>
      <c r="B2096" s="302" t="str">
        <f t="shared" si="16"/>
        <v>Y</v>
      </c>
      <c r="C2096" s="6" t="s">
        <v>6311</v>
      </c>
      <c r="D2096" s="327"/>
      <c r="E2096" s="327" t="s">
        <v>6312</v>
      </c>
      <c r="F2096" s="206" t="s">
        <v>6313</v>
      </c>
      <c r="G2096" s="206" t="s">
        <v>6298</v>
      </c>
      <c r="H2096" s="207">
        <v>44634</v>
      </c>
      <c r="K2096" s="303">
        <v>9508571719</v>
      </c>
      <c r="M2096" s="212"/>
      <c r="N2096" s="213"/>
      <c r="O2096" s="209"/>
    </row>
    <row r="2097" spans="1:15" x14ac:dyDescent="0.3">
      <c r="A2097" s="302" t="s">
        <v>155</v>
      </c>
      <c r="B2097" s="302" t="str">
        <f t="shared" si="16"/>
        <v>Y</v>
      </c>
      <c r="C2097" s="6" t="s">
        <v>6314</v>
      </c>
      <c r="D2097" s="327"/>
      <c r="E2097" s="327" t="s">
        <v>6315</v>
      </c>
      <c r="F2097" s="206" t="s">
        <v>6316</v>
      </c>
      <c r="G2097" s="206" t="s">
        <v>6317</v>
      </c>
      <c r="H2097" s="207">
        <v>44638</v>
      </c>
      <c r="K2097" s="303">
        <v>9771602259</v>
      </c>
      <c r="M2097" s="212"/>
      <c r="N2097" s="213"/>
      <c r="O2097" s="209"/>
    </row>
    <row r="2098" spans="1:15" x14ac:dyDescent="0.3">
      <c r="A2098" s="302" t="s">
        <v>155</v>
      </c>
      <c r="B2098" s="302" t="str">
        <f t="shared" si="16"/>
        <v>Y</v>
      </c>
      <c r="C2098" s="6" t="s">
        <v>6318</v>
      </c>
      <c r="D2098" s="327"/>
      <c r="E2098" s="327" t="s">
        <v>6319</v>
      </c>
      <c r="F2098" s="206" t="s">
        <v>6320</v>
      </c>
      <c r="G2098" s="206" t="s">
        <v>6321</v>
      </c>
      <c r="H2098" s="302" t="s">
        <v>6321</v>
      </c>
      <c r="K2098" s="303">
        <v>8409954513</v>
      </c>
      <c r="M2098" s="212"/>
      <c r="N2098" s="213"/>
      <c r="O2098" s="209"/>
    </row>
    <row r="2099" spans="1:15" x14ac:dyDescent="0.3">
      <c r="A2099" s="302" t="s">
        <v>155</v>
      </c>
      <c r="B2099" s="302" t="str">
        <f t="shared" si="16"/>
        <v>Y</v>
      </c>
      <c r="C2099" s="6" t="s">
        <v>6322</v>
      </c>
      <c r="D2099" s="327"/>
      <c r="E2099" s="327" t="s">
        <v>6323</v>
      </c>
      <c r="F2099" s="206" t="s">
        <v>6324</v>
      </c>
      <c r="G2099" s="206" t="s">
        <v>6325</v>
      </c>
      <c r="H2099" s="207">
        <v>44642</v>
      </c>
      <c r="K2099" s="303">
        <v>8102013654</v>
      </c>
      <c r="M2099" s="212"/>
      <c r="N2099" s="213"/>
      <c r="O2099" s="209"/>
    </row>
    <row r="2100" spans="1:15" x14ac:dyDescent="0.3">
      <c r="A2100" s="302" t="s">
        <v>155</v>
      </c>
      <c r="B2100" s="302" t="str">
        <f t="shared" si="16"/>
        <v>Y</v>
      </c>
      <c r="C2100" s="6" t="s">
        <v>6326</v>
      </c>
      <c r="D2100" s="327"/>
      <c r="E2100" s="327" t="s">
        <v>6327</v>
      </c>
      <c r="F2100" s="206" t="s">
        <v>6328</v>
      </c>
      <c r="G2100" s="206" t="s">
        <v>6317</v>
      </c>
      <c r="H2100" s="207">
        <v>44638</v>
      </c>
      <c r="K2100" s="303">
        <v>9234611974</v>
      </c>
      <c r="M2100" s="212"/>
      <c r="N2100" s="213"/>
      <c r="O2100" s="209"/>
    </row>
    <row r="2101" spans="1:15" x14ac:dyDescent="0.3">
      <c r="A2101" s="302" t="s">
        <v>155</v>
      </c>
      <c r="B2101" s="302" t="str">
        <f t="shared" si="16"/>
        <v>Y</v>
      </c>
      <c r="C2101" s="6" t="s">
        <v>6329</v>
      </c>
      <c r="D2101" s="327"/>
      <c r="E2101" s="327" t="s">
        <v>6330</v>
      </c>
      <c r="F2101" s="206" t="s">
        <v>6331</v>
      </c>
      <c r="G2101" s="206" t="s">
        <v>6317</v>
      </c>
      <c r="H2101" s="207">
        <v>44638</v>
      </c>
      <c r="K2101" s="303">
        <v>9534035940</v>
      </c>
      <c r="M2101" s="212"/>
      <c r="N2101" s="213"/>
      <c r="O2101" s="209"/>
    </row>
    <row r="2102" spans="1:15" x14ac:dyDescent="0.3">
      <c r="A2102" s="302" t="s">
        <v>155</v>
      </c>
      <c r="B2102" s="302" t="str">
        <f t="shared" si="16"/>
        <v>Y</v>
      </c>
      <c r="C2102" s="6" t="s">
        <v>6332</v>
      </c>
      <c r="D2102" s="327"/>
      <c r="E2102" s="327" t="s">
        <v>6333</v>
      </c>
      <c r="F2102" s="206" t="s">
        <v>6334</v>
      </c>
      <c r="G2102" s="206" t="s">
        <v>6325</v>
      </c>
      <c r="H2102" s="207">
        <v>44642</v>
      </c>
      <c r="K2102" s="97">
        <v>8092191457</v>
      </c>
      <c r="M2102" s="212"/>
      <c r="N2102" s="213"/>
      <c r="O2102" s="209"/>
    </row>
    <row r="2103" spans="1:15" x14ac:dyDescent="0.3">
      <c r="A2103" s="302" t="s">
        <v>155</v>
      </c>
      <c r="B2103" s="302" t="str">
        <f t="shared" si="16"/>
        <v>Y</v>
      </c>
      <c r="C2103" s="6" t="s">
        <v>6335</v>
      </c>
      <c r="D2103" s="327"/>
      <c r="E2103" s="327" t="s">
        <v>6336</v>
      </c>
      <c r="F2103" s="206" t="s">
        <v>1868</v>
      </c>
      <c r="G2103" s="206" t="s">
        <v>6337</v>
      </c>
      <c r="H2103" s="207">
        <v>44643</v>
      </c>
      <c r="K2103" s="97">
        <v>8709586745</v>
      </c>
      <c r="M2103" s="212"/>
      <c r="N2103" s="213"/>
      <c r="O2103" s="209"/>
    </row>
    <row r="2104" spans="1:15" x14ac:dyDescent="0.3">
      <c r="A2104" s="302" t="s">
        <v>155</v>
      </c>
      <c r="B2104" s="302" t="str">
        <f t="shared" si="16"/>
        <v>Y</v>
      </c>
      <c r="C2104" s="6" t="s">
        <v>6338</v>
      </c>
      <c r="D2104" s="327"/>
      <c r="E2104" s="327" t="s">
        <v>6339</v>
      </c>
      <c r="F2104" s="206" t="s">
        <v>6340</v>
      </c>
      <c r="G2104" s="206" t="s">
        <v>6337</v>
      </c>
      <c r="H2104" s="207">
        <v>44643</v>
      </c>
      <c r="K2104" s="97">
        <v>8709586745</v>
      </c>
      <c r="M2104" s="212"/>
      <c r="N2104" s="213"/>
      <c r="O2104" s="209"/>
    </row>
    <row r="2105" spans="1:15" x14ac:dyDescent="0.3">
      <c r="A2105" s="302" t="s">
        <v>155</v>
      </c>
      <c r="B2105" s="302" t="str">
        <f t="shared" si="16"/>
        <v>Y</v>
      </c>
      <c r="C2105" s="6" t="s">
        <v>6341</v>
      </c>
      <c r="D2105" s="327"/>
      <c r="E2105" s="327" t="s">
        <v>6342</v>
      </c>
      <c r="F2105" s="206" t="s">
        <v>6343</v>
      </c>
      <c r="G2105" s="206" t="s">
        <v>6337</v>
      </c>
      <c r="H2105" s="207">
        <v>44643</v>
      </c>
      <c r="K2105" s="97">
        <v>9508404871</v>
      </c>
      <c r="M2105" s="212"/>
      <c r="N2105" s="213"/>
      <c r="O2105" s="209"/>
    </row>
    <row r="2106" spans="1:15" x14ac:dyDescent="0.3">
      <c r="A2106" s="302" t="s">
        <v>155</v>
      </c>
      <c r="B2106" s="302" t="str">
        <f t="shared" si="16"/>
        <v>Y</v>
      </c>
      <c r="C2106" s="6" t="s">
        <v>6344</v>
      </c>
      <c r="D2106" s="327"/>
      <c r="E2106" s="327" t="s">
        <v>6345</v>
      </c>
      <c r="F2106" s="206" t="s">
        <v>6346</v>
      </c>
      <c r="G2106" s="206" t="s">
        <v>6347</v>
      </c>
      <c r="H2106" s="207">
        <v>44644</v>
      </c>
      <c r="J2106" t="s">
        <v>6348</v>
      </c>
      <c r="K2106" s="97">
        <v>8278874426</v>
      </c>
      <c r="M2106" s="212"/>
      <c r="N2106" s="213"/>
      <c r="O2106" s="209"/>
    </row>
    <row r="2107" spans="1:15" x14ac:dyDescent="0.3">
      <c r="A2107" s="302" t="s">
        <v>155</v>
      </c>
      <c r="B2107" s="302" t="str">
        <f t="shared" si="16"/>
        <v>Y</v>
      </c>
      <c r="C2107" s="6" t="s">
        <v>6349</v>
      </c>
      <c r="D2107" s="327"/>
      <c r="E2107" s="327" t="s">
        <v>6350</v>
      </c>
      <c r="F2107" s="206" t="s">
        <v>1458</v>
      </c>
      <c r="G2107" s="206" t="s">
        <v>6347</v>
      </c>
      <c r="H2107" s="207">
        <v>44644</v>
      </c>
      <c r="K2107" s="97">
        <v>7206587049</v>
      </c>
      <c r="M2107" s="212"/>
      <c r="N2107" s="213"/>
      <c r="O2107" s="209"/>
    </row>
    <row r="2108" spans="1:15" x14ac:dyDescent="0.3">
      <c r="A2108" s="302" t="s">
        <v>155</v>
      </c>
      <c r="B2108" s="302" t="str">
        <f t="shared" si="16"/>
        <v>Y</v>
      </c>
      <c r="C2108" s="6" t="s">
        <v>6351</v>
      </c>
      <c r="D2108" s="327"/>
      <c r="E2108" s="327" t="s">
        <v>6352</v>
      </c>
      <c r="F2108" s="206" t="s">
        <v>6353</v>
      </c>
      <c r="G2108" s="206" t="s">
        <v>6347</v>
      </c>
      <c r="H2108" s="207">
        <v>44644</v>
      </c>
      <c r="K2108" s="97">
        <v>6207420722</v>
      </c>
      <c r="M2108" s="212"/>
      <c r="N2108" s="213"/>
      <c r="O2108" s="209"/>
    </row>
    <row r="2109" spans="1:15" x14ac:dyDescent="0.3">
      <c r="A2109" s="302" t="s">
        <v>155</v>
      </c>
      <c r="B2109" s="302" t="str">
        <f t="shared" si="16"/>
        <v>Y</v>
      </c>
      <c r="C2109" s="6" t="s">
        <v>6354</v>
      </c>
      <c r="D2109" s="327"/>
      <c r="E2109" s="327" t="s">
        <v>6355</v>
      </c>
      <c r="F2109" s="206" t="s">
        <v>6356</v>
      </c>
      <c r="G2109" s="206" t="s">
        <v>6357</v>
      </c>
      <c r="H2109" s="207">
        <v>44645</v>
      </c>
      <c r="J2109" t="s">
        <v>6175</v>
      </c>
      <c r="K2109" s="97">
        <v>9122801657</v>
      </c>
      <c r="M2109" s="212"/>
      <c r="N2109" s="213"/>
      <c r="O2109" s="209"/>
    </row>
    <row r="2110" spans="1:15" x14ac:dyDescent="0.3">
      <c r="A2110" s="302" t="s">
        <v>155</v>
      </c>
      <c r="B2110" s="302" t="str">
        <f t="shared" si="16"/>
        <v>Y</v>
      </c>
      <c r="C2110" s="449" t="s">
        <v>6358</v>
      </c>
      <c r="D2110" s="326"/>
      <c r="E2110" s="327" t="s">
        <v>6359</v>
      </c>
      <c r="F2110" s="206" t="s">
        <v>6360</v>
      </c>
      <c r="G2110" s="206" t="s">
        <v>6361</v>
      </c>
      <c r="H2110" s="207">
        <v>44646</v>
      </c>
      <c r="J2110" t="s">
        <v>6175</v>
      </c>
      <c r="K2110" s="97">
        <v>9334356754</v>
      </c>
      <c r="M2110" s="212"/>
      <c r="N2110" s="213"/>
      <c r="O2110" s="209"/>
    </row>
    <row r="2111" spans="1:15" x14ac:dyDescent="0.3">
      <c r="A2111" s="302" t="s">
        <v>155</v>
      </c>
      <c r="B2111" s="302" t="str">
        <f t="shared" si="16"/>
        <v>Y</v>
      </c>
      <c r="C2111" s="6" t="s">
        <v>6362</v>
      </c>
      <c r="D2111" s="327"/>
      <c r="E2111" s="327" t="s">
        <v>6363</v>
      </c>
      <c r="F2111" s="206" t="s">
        <v>6364</v>
      </c>
      <c r="G2111" s="206" t="s">
        <v>6361</v>
      </c>
      <c r="H2111" s="207">
        <v>44648</v>
      </c>
      <c r="J2111" t="s">
        <v>6175</v>
      </c>
      <c r="K2111" s="97">
        <v>9113106364</v>
      </c>
      <c r="M2111" s="212"/>
      <c r="N2111" s="213"/>
      <c r="O2111" s="209"/>
    </row>
    <row r="2112" spans="1:15" x14ac:dyDescent="0.3">
      <c r="A2112" s="302" t="s">
        <v>155</v>
      </c>
      <c r="B2112" s="302" t="str">
        <f t="shared" si="16"/>
        <v>Y</v>
      </c>
      <c r="C2112" s="6" t="s">
        <v>6365</v>
      </c>
      <c r="D2112" s="327"/>
      <c r="E2112" s="327" t="s">
        <v>6366</v>
      </c>
      <c r="F2112" s="206" t="s">
        <v>6367</v>
      </c>
      <c r="G2112" s="206" t="s">
        <v>6361</v>
      </c>
      <c r="H2112" s="207">
        <v>44646</v>
      </c>
      <c r="K2112" s="97">
        <v>7858926890</v>
      </c>
      <c r="M2112" s="212"/>
      <c r="N2112" s="213"/>
      <c r="O2112" s="209"/>
    </row>
    <row r="2113" spans="1:15" x14ac:dyDescent="0.3">
      <c r="A2113" s="302" t="s">
        <v>155</v>
      </c>
      <c r="B2113" s="302" t="str">
        <f t="shared" si="16"/>
        <v>Y</v>
      </c>
      <c r="C2113" s="6" t="s">
        <v>6368</v>
      </c>
      <c r="D2113" s="327"/>
      <c r="E2113" s="327" t="s">
        <v>6369</v>
      </c>
      <c r="F2113" s="206" t="s">
        <v>6370</v>
      </c>
      <c r="G2113" s="206" t="s">
        <v>6371</v>
      </c>
      <c r="H2113" s="207">
        <v>44647</v>
      </c>
      <c r="K2113" s="97">
        <v>9708378746</v>
      </c>
      <c r="M2113" s="212"/>
      <c r="N2113" s="213"/>
      <c r="O2113" s="209"/>
    </row>
    <row r="2114" spans="1:15" x14ac:dyDescent="0.3">
      <c r="A2114" s="302" t="s">
        <v>155</v>
      </c>
      <c r="B2114" s="302" t="str">
        <f t="shared" si="16"/>
        <v>Y</v>
      </c>
      <c r="C2114" s="6" t="s">
        <v>6372</v>
      </c>
      <c r="D2114" s="327"/>
      <c r="E2114" s="327" t="s">
        <v>6373</v>
      </c>
      <c r="F2114" s="206" t="s">
        <v>6374</v>
      </c>
      <c r="G2114" s="206" t="s">
        <v>6375</v>
      </c>
      <c r="H2114" s="207">
        <v>44649</v>
      </c>
      <c r="K2114" s="97">
        <v>9431147662</v>
      </c>
      <c r="M2114" s="212"/>
      <c r="N2114" s="213"/>
      <c r="O2114" s="209"/>
    </row>
    <row r="2115" spans="1:15" x14ac:dyDescent="0.3">
      <c r="A2115" s="302" t="s">
        <v>155</v>
      </c>
      <c r="B2115" s="302" t="str">
        <f t="shared" si="16"/>
        <v>Y</v>
      </c>
      <c r="C2115" s="6" t="s">
        <v>6376</v>
      </c>
      <c r="D2115" s="327"/>
      <c r="E2115" s="327" t="s">
        <v>1696</v>
      </c>
      <c r="F2115" s="206" t="s">
        <v>1697</v>
      </c>
      <c r="G2115" s="206" t="s">
        <v>6377</v>
      </c>
      <c r="H2115" s="207">
        <v>44649</v>
      </c>
      <c r="K2115" s="97">
        <v>7761054651</v>
      </c>
      <c r="M2115" s="212"/>
      <c r="N2115" s="213"/>
      <c r="O2115" s="209"/>
    </row>
    <row r="2116" spans="1:15" x14ac:dyDescent="0.3">
      <c r="A2116" s="302" t="s">
        <v>155</v>
      </c>
      <c r="B2116" s="302" t="str">
        <f t="shared" si="16"/>
        <v>Y</v>
      </c>
      <c r="C2116" s="6" t="s">
        <v>6378</v>
      </c>
      <c r="D2116" s="327"/>
      <c r="E2116" s="327" t="s">
        <v>6379</v>
      </c>
      <c r="F2116" s="206" t="s">
        <v>6380</v>
      </c>
      <c r="G2116" s="206" t="s">
        <v>6375</v>
      </c>
      <c r="H2116" s="207">
        <v>44649</v>
      </c>
      <c r="K2116" s="97">
        <v>8092307725</v>
      </c>
      <c r="M2116" s="212"/>
      <c r="N2116" s="213"/>
      <c r="O2116" s="209"/>
    </row>
    <row r="2117" spans="1:15" x14ac:dyDescent="0.3">
      <c r="A2117" s="302" t="s">
        <v>155</v>
      </c>
      <c r="B2117" s="302" t="str">
        <f t="shared" si="16"/>
        <v>Y</v>
      </c>
      <c r="C2117" s="6" t="s">
        <v>6381</v>
      </c>
      <c r="D2117" s="327"/>
      <c r="E2117" s="327" t="s">
        <v>4639</v>
      </c>
      <c r="F2117" s="206" t="s">
        <v>6382</v>
      </c>
      <c r="G2117" s="206" t="s">
        <v>6377</v>
      </c>
      <c r="H2117" s="207">
        <v>44649</v>
      </c>
      <c r="K2117" s="97">
        <v>6202231619</v>
      </c>
      <c r="M2117" s="212"/>
      <c r="N2117" s="213"/>
      <c r="O2117" s="209"/>
    </row>
    <row r="2118" spans="1:15" x14ac:dyDescent="0.3">
      <c r="A2118" s="302" t="s">
        <v>155</v>
      </c>
      <c r="B2118" s="302" t="str">
        <f t="shared" si="16"/>
        <v>Y</v>
      </c>
      <c r="C2118" s="6" t="s">
        <v>6383</v>
      </c>
      <c r="D2118" s="327"/>
      <c r="E2118" s="327" t="s">
        <v>6384</v>
      </c>
      <c r="F2118" s="206" t="s">
        <v>6385</v>
      </c>
      <c r="G2118" s="206" t="s">
        <v>6377</v>
      </c>
      <c r="H2118" s="206" t="s">
        <v>6377</v>
      </c>
      <c r="K2118" s="97">
        <v>9031992319</v>
      </c>
      <c r="M2118" s="212"/>
      <c r="N2118" s="213"/>
      <c r="O2118" s="209"/>
    </row>
    <row r="2119" spans="1:15" x14ac:dyDescent="0.3">
      <c r="A2119" s="302" t="s">
        <v>155</v>
      </c>
      <c r="B2119" s="302" t="str">
        <f t="shared" si="16"/>
        <v>Y</v>
      </c>
      <c r="C2119" s="6" t="s">
        <v>6386</v>
      </c>
      <c r="D2119" s="327"/>
      <c r="E2119" s="327" t="s">
        <v>6387</v>
      </c>
      <c r="F2119" s="206" t="s">
        <v>2328</v>
      </c>
      <c r="G2119" s="206" t="s">
        <v>6377</v>
      </c>
      <c r="H2119" s="206" t="s">
        <v>6377</v>
      </c>
      <c r="I2119" s="206" t="s">
        <v>6388</v>
      </c>
      <c r="K2119" s="97">
        <v>9905030846</v>
      </c>
      <c r="M2119" s="212"/>
      <c r="N2119" s="213"/>
      <c r="O2119" s="209"/>
    </row>
    <row r="2120" spans="1:15" x14ac:dyDescent="0.3">
      <c r="A2120" s="302" t="s">
        <v>155</v>
      </c>
      <c r="B2120" s="302" t="str">
        <f t="shared" si="16"/>
        <v>Y</v>
      </c>
      <c r="C2120" s="6" t="s">
        <v>6389</v>
      </c>
      <c r="D2120" s="327"/>
      <c r="E2120" s="327" t="s">
        <v>6390</v>
      </c>
      <c r="F2120" s="206" t="s">
        <v>6391</v>
      </c>
      <c r="G2120" s="206" t="s">
        <v>6377</v>
      </c>
      <c r="H2120" s="206" t="s">
        <v>6377</v>
      </c>
      <c r="K2120" s="97">
        <v>9031992319</v>
      </c>
      <c r="M2120" s="212"/>
      <c r="N2120" s="213"/>
      <c r="O2120" s="209"/>
    </row>
    <row r="2121" spans="1:15" x14ac:dyDescent="0.3">
      <c r="A2121" s="302" t="s">
        <v>155</v>
      </c>
      <c r="B2121" s="302" t="str">
        <f t="shared" si="16"/>
        <v>Y</v>
      </c>
      <c r="C2121" s="6" t="s">
        <v>6392</v>
      </c>
      <c r="D2121" s="327"/>
      <c r="E2121" s="327" t="s">
        <v>6393</v>
      </c>
      <c r="F2121" s="206" t="s">
        <v>6394</v>
      </c>
      <c r="G2121" s="206" t="s">
        <v>6395</v>
      </c>
      <c r="H2121" s="206" t="s">
        <v>6396</v>
      </c>
      <c r="K2121" s="97">
        <v>9771757255</v>
      </c>
      <c r="M2121" s="212"/>
      <c r="N2121" s="213"/>
      <c r="O2121" s="209"/>
    </row>
    <row r="2122" spans="1:15" x14ac:dyDescent="0.3">
      <c r="A2122" s="302" t="s">
        <v>155</v>
      </c>
      <c r="B2122" s="302" t="str">
        <f t="shared" si="16"/>
        <v>Y</v>
      </c>
      <c r="C2122" s="6" t="s">
        <v>6397</v>
      </c>
      <c r="D2122" s="327"/>
      <c r="E2122" s="327" t="s">
        <v>6398</v>
      </c>
      <c r="F2122" s="206" t="s">
        <v>6399</v>
      </c>
      <c r="G2122" s="206" t="s">
        <v>6245</v>
      </c>
      <c r="H2122" s="207">
        <v>44654</v>
      </c>
      <c r="K2122" s="97">
        <v>7979945210</v>
      </c>
      <c r="M2122" s="212"/>
      <c r="N2122" s="213"/>
      <c r="O2122" s="209"/>
    </row>
    <row r="2123" spans="1:15" x14ac:dyDescent="0.3">
      <c r="A2123" s="302" t="s">
        <v>155</v>
      </c>
      <c r="B2123" s="302" t="str">
        <f t="shared" si="16"/>
        <v>Y</v>
      </c>
      <c r="C2123" s="6" t="s">
        <v>6400</v>
      </c>
      <c r="D2123" s="327"/>
      <c r="E2123" s="327" t="s">
        <v>6401</v>
      </c>
      <c r="F2123" s="206" t="s">
        <v>6402</v>
      </c>
      <c r="G2123" s="206" t="s">
        <v>6245</v>
      </c>
      <c r="H2123" s="207">
        <v>44654</v>
      </c>
      <c r="K2123" s="97">
        <v>9546960022</v>
      </c>
      <c r="M2123" s="212"/>
      <c r="N2123" s="213"/>
      <c r="O2123" s="209"/>
    </row>
    <row r="2124" spans="1:15" x14ac:dyDescent="0.3">
      <c r="A2124" s="302" t="s">
        <v>155</v>
      </c>
      <c r="B2124" s="302" t="str">
        <f t="shared" si="16"/>
        <v>Y</v>
      </c>
      <c r="C2124" s="6" t="s">
        <v>6403</v>
      </c>
      <c r="D2124" s="327"/>
      <c r="E2124" s="327" t="s">
        <v>6404</v>
      </c>
      <c r="F2124" s="206" t="s">
        <v>6405</v>
      </c>
      <c r="G2124" s="206" t="s">
        <v>6245</v>
      </c>
      <c r="H2124" s="207">
        <v>44654</v>
      </c>
      <c r="K2124" s="97">
        <v>7209361246</v>
      </c>
      <c r="M2124" s="212"/>
      <c r="N2124" s="213"/>
      <c r="O2124" s="209"/>
    </row>
    <row r="2125" spans="1:15" x14ac:dyDescent="0.3">
      <c r="A2125" s="302" t="s">
        <v>155</v>
      </c>
      <c r="B2125" s="302" t="str">
        <f t="shared" si="16"/>
        <v>Y</v>
      </c>
      <c r="C2125" s="449" t="s">
        <v>6406</v>
      </c>
      <c r="D2125" s="326"/>
      <c r="E2125" s="327" t="s">
        <v>6407</v>
      </c>
      <c r="F2125" s="206" t="s">
        <v>6408</v>
      </c>
      <c r="G2125" s="206" t="s">
        <v>6409</v>
      </c>
      <c r="H2125" s="207">
        <v>44655</v>
      </c>
      <c r="J2125" t="s">
        <v>6175</v>
      </c>
      <c r="K2125" s="291">
        <v>9955660083</v>
      </c>
      <c r="M2125" s="212"/>
      <c r="N2125" s="213"/>
      <c r="O2125" s="209"/>
    </row>
    <row r="2126" spans="1:15" x14ac:dyDescent="0.3">
      <c r="A2126" s="302" t="s">
        <v>155</v>
      </c>
      <c r="B2126" s="302" t="str">
        <f t="shared" si="16"/>
        <v>Y</v>
      </c>
      <c r="C2126" s="6" t="s">
        <v>6410</v>
      </c>
      <c r="D2126" s="327"/>
      <c r="E2126" s="327" t="s">
        <v>5618</v>
      </c>
      <c r="F2126" s="206" t="s">
        <v>6411</v>
      </c>
      <c r="G2126" s="206" t="s">
        <v>6409</v>
      </c>
      <c r="H2126" s="206" t="s">
        <v>6409</v>
      </c>
      <c r="K2126" s="97">
        <v>7091702924</v>
      </c>
      <c r="M2126" s="212"/>
      <c r="N2126" s="213"/>
      <c r="O2126" s="209"/>
    </row>
    <row r="2127" spans="1:15" x14ac:dyDescent="0.3">
      <c r="A2127" s="302" t="s">
        <v>155</v>
      </c>
      <c r="B2127" s="302" t="str">
        <f t="shared" si="16"/>
        <v>Y</v>
      </c>
      <c r="C2127" s="6" t="s">
        <v>6412</v>
      </c>
      <c r="D2127" s="327"/>
      <c r="E2127" s="327" t="s">
        <v>6413</v>
      </c>
      <c r="F2127" s="206" t="s">
        <v>6414</v>
      </c>
      <c r="G2127" s="206" t="s">
        <v>6409</v>
      </c>
      <c r="H2127" s="206" t="s">
        <v>6409</v>
      </c>
      <c r="K2127" s="97">
        <v>8235356207</v>
      </c>
      <c r="M2127" s="212"/>
      <c r="N2127" s="213"/>
      <c r="O2127" s="209"/>
    </row>
    <row r="2128" spans="1:15" x14ac:dyDescent="0.3">
      <c r="A2128" s="302" t="s">
        <v>155</v>
      </c>
      <c r="B2128" s="302" t="str">
        <f t="shared" si="16"/>
        <v>Y</v>
      </c>
      <c r="C2128" s="6" t="s">
        <v>6415</v>
      </c>
      <c r="D2128" s="327"/>
      <c r="E2128" s="327" t="s">
        <v>6416</v>
      </c>
      <c r="F2128" s="206" t="s">
        <v>6417</v>
      </c>
      <c r="G2128" s="206" t="s">
        <v>6418</v>
      </c>
      <c r="H2128" s="207">
        <v>44657</v>
      </c>
      <c r="K2128" s="97">
        <v>8521896442</v>
      </c>
      <c r="M2128" s="212"/>
      <c r="N2128" s="213"/>
      <c r="O2128" s="209"/>
    </row>
    <row r="2129" spans="1:15" x14ac:dyDescent="0.3">
      <c r="A2129" s="302" t="s">
        <v>155</v>
      </c>
      <c r="B2129" s="302" t="str">
        <f t="shared" si="16"/>
        <v>Y</v>
      </c>
      <c r="C2129" s="6" t="s">
        <v>6419</v>
      </c>
      <c r="D2129" s="327"/>
      <c r="E2129" s="353" t="s">
        <v>6420</v>
      </c>
      <c r="F2129" s="206" t="s">
        <v>6421</v>
      </c>
      <c r="G2129" s="206" t="s">
        <v>6422</v>
      </c>
      <c r="H2129" s="207">
        <v>44657</v>
      </c>
      <c r="K2129" s="97">
        <v>6202947861</v>
      </c>
      <c r="M2129" s="212"/>
      <c r="N2129" s="213"/>
      <c r="O2129" s="209"/>
    </row>
    <row r="2130" spans="1:15" x14ac:dyDescent="0.3">
      <c r="A2130" s="302" t="s">
        <v>155</v>
      </c>
      <c r="B2130" s="302" t="str">
        <f t="shared" si="16"/>
        <v>Y</v>
      </c>
      <c r="C2130" s="6" t="s">
        <v>6423</v>
      </c>
      <c r="D2130" s="327"/>
      <c r="E2130" s="353" t="s">
        <v>6424</v>
      </c>
      <c r="F2130" s="206" t="s">
        <v>6425</v>
      </c>
      <c r="G2130" s="206" t="s">
        <v>6426</v>
      </c>
      <c r="H2130" s="206" t="s">
        <v>6426</v>
      </c>
      <c r="K2130" s="97">
        <v>6202061213</v>
      </c>
      <c r="M2130" s="212"/>
      <c r="N2130" s="213"/>
      <c r="O2130" s="209"/>
    </row>
    <row r="2131" spans="1:15" x14ac:dyDescent="0.3">
      <c r="A2131" s="302" t="s">
        <v>155</v>
      </c>
      <c r="B2131" s="302" t="str">
        <f t="shared" si="16"/>
        <v>Y</v>
      </c>
      <c r="C2131" s="6" t="s">
        <v>6427</v>
      </c>
      <c r="D2131" s="327"/>
      <c r="E2131" s="353" t="s">
        <v>180</v>
      </c>
      <c r="F2131" s="206" t="s">
        <v>6428</v>
      </c>
      <c r="G2131" s="206" t="s">
        <v>6426</v>
      </c>
      <c r="H2131" s="206" t="s">
        <v>6426</v>
      </c>
      <c r="K2131" s="97">
        <v>8292066730</v>
      </c>
      <c r="M2131" s="212"/>
      <c r="N2131" s="213"/>
      <c r="O2131" s="209"/>
    </row>
    <row r="2132" spans="1:15" x14ac:dyDescent="0.3">
      <c r="A2132" s="302" t="s">
        <v>155</v>
      </c>
      <c r="B2132" s="302" t="str">
        <f t="shared" si="16"/>
        <v>Y</v>
      </c>
      <c r="C2132" s="6" t="s">
        <v>6429</v>
      </c>
      <c r="D2132" s="327"/>
      <c r="E2132" s="353" t="s">
        <v>6430</v>
      </c>
      <c r="F2132" s="206" t="s">
        <v>6431</v>
      </c>
      <c r="G2132" s="206" t="s">
        <v>6432</v>
      </c>
      <c r="H2132" s="207">
        <v>44661</v>
      </c>
      <c r="K2132" s="97">
        <v>8210030362</v>
      </c>
      <c r="M2132" s="212"/>
      <c r="N2132" s="213"/>
      <c r="O2132" s="209"/>
    </row>
    <row r="2133" spans="1:15" x14ac:dyDescent="0.3">
      <c r="A2133" s="302" t="s">
        <v>155</v>
      </c>
      <c r="B2133" s="302" t="str">
        <f t="shared" si="16"/>
        <v>Y</v>
      </c>
      <c r="C2133" s="6" t="s">
        <v>6433</v>
      </c>
      <c r="D2133" s="327"/>
      <c r="E2133" s="356" t="s">
        <v>5044</v>
      </c>
      <c r="F2133" s="206" t="s">
        <v>6434</v>
      </c>
      <c r="G2133" s="206" t="s">
        <v>6396</v>
      </c>
      <c r="H2133" s="207">
        <v>44664</v>
      </c>
      <c r="K2133" s="97">
        <v>9508293697</v>
      </c>
      <c r="M2133" s="212"/>
      <c r="N2133" s="213"/>
      <c r="O2133" s="209"/>
    </row>
    <row r="2134" spans="1:15" x14ac:dyDescent="0.3">
      <c r="A2134" s="302" t="s">
        <v>155</v>
      </c>
      <c r="B2134" s="302" t="str">
        <f t="shared" si="16"/>
        <v>Y</v>
      </c>
      <c r="C2134" s="6" t="s">
        <v>6435</v>
      </c>
      <c r="D2134" s="327"/>
      <c r="E2134" s="356" t="s">
        <v>6436</v>
      </c>
      <c r="F2134" s="206" t="s">
        <v>6437</v>
      </c>
      <c r="G2134" s="206" t="s">
        <v>6438</v>
      </c>
      <c r="H2134" s="207">
        <v>44667</v>
      </c>
      <c r="J2134" s="301" t="s">
        <v>6175</v>
      </c>
      <c r="K2134" s="97">
        <v>7543993976</v>
      </c>
      <c r="M2134" s="212"/>
      <c r="N2134" s="213"/>
      <c r="O2134" s="209"/>
    </row>
    <row r="2135" spans="1:15" x14ac:dyDescent="0.3">
      <c r="A2135" s="302" t="s">
        <v>155</v>
      </c>
      <c r="B2135" s="302" t="str">
        <f t="shared" si="16"/>
        <v>Y</v>
      </c>
      <c r="C2135" s="6" t="s">
        <v>6439</v>
      </c>
      <c r="D2135" s="327"/>
      <c r="E2135" s="356" t="s">
        <v>6440</v>
      </c>
      <c r="F2135" s="206" t="s">
        <v>6441</v>
      </c>
      <c r="G2135" s="206" t="s">
        <v>6438</v>
      </c>
      <c r="H2135" s="207">
        <v>44667</v>
      </c>
      <c r="K2135" s="97">
        <v>6203388492</v>
      </c>
      <c r="M2135" s="212"/>
      <c r="N2135" s="213"/>
      <c r="O2135" s="209"/>
    </row>
    <row r="2136" spans="1:15" x14ac:dyDescent="0.3">
      <c r="A2136" s="302" t="s">
        <v>155</v>
      </c>
      <c r="B2136" s="302" t="str">
        <f t="shared" si="16"/>
        <v>Y</v>
      </c>
      <c r="C2136" s="6" t="s">
        <v>6442</v>
      </c>
      <c r="D2136" s="327"/>
      <c r="E2136" s="356" t="s">
        <v>6443</v>
      </c>
      <c r="F2136" s="206" t="s">
        <v>6444</v>
      </c>
      <c r="G2136" s="206" t="s">
        <v>6445</v>
      </c>
      <c r="H2136" s="207">
        <v>44669</v>
      </c>
      <c r="J2136" t="s">
        <v>6175</v>
      </c>
      <c r="K2136" s="97">
        <v>9431300122</v>
      </c>
      <c r="M2136" s="212"/>
      <c r="N2136" s="213"/>
      <c r="O2136" s="209"/>
    </row>
    <row r="2137" spans="1:15" x14ac:dyDescent="0.3">
      <c r="A2137" s="302" t="s">
        <v>155</v>
      </c>
      <c r="B2137" s="302" t="str">
        <f t="shared" si="16"/>
        <v>Y</v>
      </c>
      <c r="C2137" s="6" t="s">
        <v>6446</v>
      </c>
      <c r="D2137" s="327"/>
      <c r="E2137" s="356" t="s">
        <v>6447</v>
      </c>
      <c r="F2137" s="206" t="s">
        <v>6448</v>
      </c>
      <c r="G2137" s="206" t="s">
        <v>6015</v>
      </c>
      <c r="H2137" s="207">
        <v>44671</v>
      </c>
      <c r="K2137" s="97">
        <v>6205539692</v>
      </c>
      <c r="M2137" s="212"/>
      <c r="N2137" s="213"/>
      <c r="O2137" s="209"/>
    </row>
    <row r="2138" spans="1:15" x14ac:dyDescent="0.3">
      <c r="A2138" s="302" t="s">
        <v>155</v>
      </c>
      <c r="B2138" s="302" t="str">
        <f t="shared" si="16"/>
        <v>Y</v>
      </c>
      <c r="C2138" s="6" t="s">
        <v>6449</v>
      </c>
      <c r="D2138" s="327"/>
      <c r="E2138" s="356" t="s">
        <v>6450</v>
      </c>
      <c r="F2138" s="206" t="s">
        <v>6451</v>
      </c>
      <c r="G2138" s="206" t="s">
        <v>6452</v>
      </c>
      <c r="H2138" s="207">
        <v>44678</v>
      </c>
      <c r="J2138" t="s">
        <v>6175</v>
      </c>
      <c r="K2138" s="97">
        <v>9939746083</v>
      </c>
      <c r="M2138" s="212"/>
      <c r="N2138" s="213"/>
      <c r="O2138" s="209"/>
    </row>
    <row r="2139" spans="1:15" x14ac:dyDescent="0.3">
      <c r="A2139" s="302" t="s">
        <v>155</v>
      </c>
      <c r="B2139" s="302" t="str">
        <f t="shared" si="16"/>
        <v>Y</v>
      </c>
      <c r="C2139" s="6" t="s">
        <v>6453</v>
      </c>
      <c r="D2139" s="327"/>
      <c r="E2139" s="356" t="s">
        <v>6454</v>
      </c>
      <c r="F2139" s="206" t="s">
        <v>6455</v>
      </c>
      <c r="G2139" s="206" t="s">
        <v>6456</v>
      </c>
      <c r="H2139" s="207">
        <v>44768</v>
      </c>
      <c r="K2139" s="97">
        <v>6287857552</v>
      </c>
      <c r="M2139" s="212"/>
      <c r="N2139" s="213"/>
      <c r="O2139" s="209"/>
    </row>
    <row r="2140" spans="1:15" x14ac:dyDescent="0.3">
      <c r="A2140" s="302" t="s">
        <v>155</v>
      </c>
      <c r="B2140" s="302" t="str">
        <f t="shared" si="16"/>
        <v>Y</v>
      </c>
      <c r="C2140" s="6" t="s">
        <v>6457</v>
      </c>
      <c r="D2140" s="327"/>
      <c r="E2140" s="356" t="s">
        <v>6458</v>
      </c>
      <c r="F2140" s="206" t="s">
        <v>6459</v>
      </c>
      <c r="G2140" s="206" t="s">
        <v>6460</v>
      </c>
      <c r="H2140" s="206" t="s">
        <v>6460</v>
      </c>
      <c r="K2140" s="97">
        <v>9123435076</v>
      </c>
      <c r="M2140" s="212"/>
      <c r="N2140" s="213"/>
      <c r="O2140" s="209"/>
    </row>
    <row r="2141" spans="1:15" x14ac:dyDescent="0.3">
      <c r="A2141" s="302" t="s">
        <v>155</v>
      </c>
      <c r="B2141" s="302" t="str">
        <f t="shared" si="16"/>
        <v>Y</v>
      </c>
      <c r="C2141" s="6" t="s">
        <v>6461</v>
      </c>
      <c r="D2141" s="327"/>
      <c r="E2141" s="356" t="s">
        <v>6462</v>
      </c>
      <c r="F2141" s="206" t="s">
        <v>6463</v>
      </c>
      <c r="G2141" s="206" t="s">
        <v>6464</v>
      </c>
      <c r="H2141" s="207">
        <v>44680</v>
      </c>
      <c r="K2141" s="97">
        <v>8539080892</v>
      </c>
      <c r="M2141" s="212"/>
      <c r="N2141" s="213"/>
      <c r="O2141" s="209"/>
    </row>
    <row r="2142" spans="1:15" x14ac:dyDescent="0.3">
      <c r="A2142" s="302" t="s">
        <v>155</v>
      </c>
      <c r="B2142" s="302" t="str">
        <f t="shared" si="16"/>
        <v>Y</v>
      </c>
      <c r="C2142" s="6" t="s">
        <v>6465</v>
      </c>
      <c r="D2142" s="327"/>
      <c r="E2142" s="356" t="s">
        <v>6466</v>
      </c>
      <c r="F2142" s="206" t="s">
        <v>6467</v>
      </c>
      <c r="G2142" s="206" t="s">
        <v>6468</v>
      </c>
      <c r="H2142" s="207">
        <v>44681</v>
      </c>
      <c r="K2142" s="97">
        <v>9470154622</v>
      </c>
      <c r="M2142" s="212"/>
      <c r="N2142" s="213"/>
      <c r="O2142" s="209"/>
    </row>
    <row r="2143" spans="1:15" x14ac:dyDescent="0.3">
      <c r="A2143" s="302" t="s">
        <v>155</v>
      </c>
      <c r="B2143" s="302" t="str">
        <f t="shared" si="16"/>
        <v>Y</v>
      </c>
      <c r="C2143" s="6" t="s">
        <v>6469</v>
      </c>
      <c r="D2143" s="327"/>
      <c r="E2143" s="356" t="s">
        <v>6470</v>
      </c>
      <c r="F2143" s="206" t="s">
        <v>6471</v>
      </c>
      <c r="G2143" s="206" t="s">
        <v>6472</v>
      </c>
      <c r="H2143" s="207">
        <v>44683</v>
      </c>
      <c r="K2143" s="97">
        <v>8235430589</v>
      </c>
      <c r="M2143" s="212"/>
      <c r="N2143" s="213"/>
      <c r="O2143" s="209"/>
    </row>
    <row r="2144" spans="1:15" x14ac:dyDescent="0.3">
      <c r="A2144" s="302" t="s">
        <v>155</v>
      </c>
      <c r="B2144" s="302" t="str">
        <f t="shared" si="16"/>
        <v>Y</v>
      </c>
      <c r="C2144" s="6" t="s">
        <v>6473</v>
      </c>
      <c r="D2144" s="327"/>
      <c r="E2144" s="356" t="s">
        <v>6474</v>
      </c>
      <c r="F2144" s="206" t="s">
        <v>3593</v>
      </c>
      <c r="G2144" s="206" t="s">
        <v>6472</v>
      </c>
      <c r="H2144" s="207">
        <v>44685</v>
      </c>
      <c r="K2144" s="97">
        <v>6207588490</v>
      </c>
      <c r="M2144" s="212"/>
      <c r="N2144" s="213"/>
      <c r="O2144" s="209"/>
    </row>
    <row r="2145" spans="1:15" x14ac:dyDescent="0.3">
      <c r="A2145" s="302" t="s">
        <v>155</v>
      </c>
      <c r="B2145" s="302" t="str">
        <f t="shared" si="16"/>
        <v>Y</v>
      </c>
      <c r="C2145" s="6" t="s">
        <v>6475</v>
      </c>
      <c r="D2145" s="327"/>
      <c r="E2145" s="356" t="s">
        <v>6476</v>
      </c>
      <c r="F2145" s="206" t="s">
        <v>1453</v>
      </c>
      <c r="G2145" s="206" t="s">
        <v>6472</v>
      </c>
      <c r="H2145" s="207">
        <v>44683</v>
      </c>
      <c r="K2145" s="97">
        <v>8581836962</v>
      </c>
      <c r="M2145" s="212"/>
      <c r="N2145" s="213"/>
      <c r="O2145" s="209"/>
    </row>
    <row r="2146" spans="1:15" x14ac:dyDescent="0.3">
      <c r="A2146" s="302" t="s">
        <v>155</v>
      </c>
      <c r="B2146" s="302" t="str">
        <f t="shared" si="16"/>
        <v>Y</v>
      </c>
      <c r="C2146" s="473" t="s">
        <v>6477</v>
      </c>
      <c r="E2146" s="356" t="s">
        <v>6478</v>
      </c>
      <c r="F2146" s="206" t="s">
        <v>6479</v>
      </c>
      <c r="G2146" s="206" t="s">
        <v>6480</v>
      </c>
      <c r="H2146" s="207">
        <v>44685</v>
      </c>
      <c r="J2146" t="s">
        <v>6175</v>
      </c>
      <c r="K2146" s="97">
        <v>8789147017</v>
      </c>
      <c r="M2146" s="212"/>
      <c r="N2146" s="213"/>
      <c r="O2146" s="209"/>
    </row>
    <row r="2147" spans="1:15" x14ac:dyDescent="0.3">
      <c r="A2147" s="302" t="s">
        <v>155</v>
      </c>
      <c r="B2147" s="302" t="str">
        <f t="shared" si="16"/>
        <v>Y</v>
      </c>
      <c r="C2147" s="6" t="s">
        <v>6481</v>
      </c>
      <c r="D2147" s="327"/>
      <c r="E2147" s="356" t="s">
        <v>6482</v>
      </c>
      <c r="F2147" s="206" t="s">
        <v>1616</v>
      </c>
      <c r="G2147" s="206" t="s">
        <v>6483</v>
      </c>
      <c r="H2147" s="207">
        <v>44687</v>
      </c>
      <c r="J2147" t="s">
        <v>6175</v>
      </c>
      <c r="K2147" s="97">
        <v>9693859539</v>
      </c>
      <c r="M2147" s="212"/>
      <c r="N2147" s="213"/>
      <c r="O2147" s="209"/>
    </row>
    <row r="2148" spans="1:15" x14ac:dyDescent="0.3">
      <c r="A2148" s="302" t="s">
        <v>155</v>
      </c>
      <c r="B2148" s="302" t="str">
        <f t="shared" si="16"/>
        <v>Y</v>
      </c>
      <c r="C2148" s="6" t="s">
        <v>6484</v>
      </c>
      <c r="D2148" s="327"/>
      <c r="E2148" s="356" t="s">
        <v>6485</v>
      </c>
      <c r="F2148" s="206" t="s">
        <v>6486</v>
      </c>
      <c r="G2148" s="206" t="s">
        <v>6487</v>
      </c>
      <c r="H2148" s="207">
        <v>44687</v>
      </c>
      <c r="K2148" s="97">
        <v>6025988928</v>
      </c>
      <c r="M2148" s="212"/>
      <c r="N2148" s="213"/>
      <c r="O2148" s="209"/>
    </row>
    <row r="2149" spans="1:15" x14ac:dyDescent="0.3">
      <c r="A2149" s="302" t="s">
        <v>155</v>
      </c>
      <c r="B2149" s="302" t="str">
        <f t="shared" si="16"/>
        <v>Y</v>
      </c>
      <c r="C2149" s="6" t="s">
        <v>6488</v>
      </c>
      <c r="D2149" s="327"/>
      <c r="E2149" s="356" t="s">
        <v>6489</v>
      </c>
      <c r="F2149" s="206" t="s">
        <v>6490</v>
      </c>
      <c r="G2149" s="206" t="s">
        <v>6491</v>
      </c>
      <c r="H2149" s="207">
        <v>44690</v>
      </c>
      <c r="J2149" t="s">
        <v>6175</v>
      </c>
      <c r="K2149" s="97">
        <v>9540846631</v>
      </c>
      <c r="M2149" s="212"/>
      <c r="N2149" s="213"/>
      <c r="O2149" s="209"/>
    </row>
    <row r="2150" spans="1:15" x14ac:dyDescent="0.3">
      <c r="A2150" s="302" t="s">
        <v>155</v>
      </c>
      <c r="B2150" s="302" t="str">
        <f t="shared" si="16"/>
        <v>Y</v>
      </c>
      <c r="C2150" s="6" t="s">
        <v>6492</v>
      </c>
      <c r="D2150" s="327"/>
      <c r="E2150" s="356" t="s">
        <v>6493</v>
      </c>
      <c r="F2150" s="206" t="s">
        <v>6494</v>
      </c>
      <c r="G2150" s="206" t="s">
        <v>6495</v>
      </c>
      <c r="H2150" s="207">
        <v>44691</v>
      </c>
      <c r="K2150" s="97">
        <v>8102699465</v>
      </c>
      <c r="M2150" s="212"/>
      <c r="N2150" s="213"/>
      <c r="O2150" s="209"/>
    </row>
    <row r="2151" spans="1:15" x14ac:dyDescent="0.3">
      <c r="A2151" s="302" t="s">
        <v>155</v>
      </c>
      <c r="B2151" s="302" t="str">
        <f t="shared" si="16"/>
        <v>Y</v>
      </c>
      <c r="C2151" s="6" t="s">
        <v>6481</v>
      </c>
      <c r="D2151" s="327"/>
      <c r="E2151" s="356" t="s">
        <v>6482</v>
      </c>
      <c r="F2151" s="206" t="s">
        <v>1616</v>
      </c>
      <c r="G2151" s="206" t="s">
        <v>6496</v>
      </c>
      <c r="H2151" s="206" t="s">
        <v>6496</v>
      </c>
      <c r="K2151" s="97">
        <v>9693859539</v>
      </c>
      <c r="M2151" s="212"/>
      <c r="N2151" s="213"/>
      <c r="O2151" s="209"/>
    </row>
    <row r="2152" spans="1:15" x14ac:dyDescent="0.3">
      <c r="A2152" s="302" t="s">
        <v>155</v>
      </c>
      <c r="B2152" s="302" t="str">
        <f t="shared" si="16"/>
        <v>Y</v>
      </c>
      <c r="C2152" s="6" t="s">
        <v>6497</v>
      </c>
      <c r="D2152" s="327"/>
      <c r="E2152" s="356" t="s">
        <v>6498</v>
      </c>
      <c r="F2152" s="206" t="s">
        <v>6499</v>
      </c>
      <c r="G2152" s="206" t="s">
        <v>6496</v>
      </c>
      <c r="H2152" s="206" t="s">
        <v>6496</v>
      </c>
      <c r="K2152" s="97">
        <v>8987579171</v>
      </c>
      <c r="M2152" s="212"/>
      <c r="N2152" s="213"/>
      <c r="O2152" s="209"/>
    </row>
    <row r="2153" spans="1:15" x14ac:dyDescent="0.3">
      <c r="A2153" s="302" t="s">
        <v>155</v>
      </c>
      <c r="B2153" s="302" t="str">
        <f t="shared" si="16"/>
        <v>Y</v>
      </c>
      <c r="C2153" s="6" t="s">
        <v>6500</v>
      </c>
      <c r="D2153" s="327"/>
      <c r="E2153" s="356" t="s">
        <v>6501</v>
      </c>
      <c r="F2153" s="206" t="s">
        <v>6222</v>
      </c>
      <c r="G2153" s="206" t="s">
        <v>6496</v>
      </c>
      <c r="H2153" s="206" t="s">
        <v>6496</v>
      </c>
      <c r="K2153" s="97">
        <v>9905594438</v>
      </c>
      <c r="M2153" s="212"/>
      <c r="N2153" s="213"/>
      <c r="O2153" s="209"/>
    </row>
    <row r="2154" spans="1:15" x14ac:dyDescent="0.3">
      <c r="A2154" s="302" t="s">
        <v>155</v>
      </c>
      <c r="B2154" s="302" t="str">
        <f t="shared" si="16"/>
        <v>Y</v>
      </c>
      <c r="C2154" s="6" t="s">
        <v>6502</v>
      </c>
      <c r="D2154" s="327"/>
      <c r="E2154" s="356" t="s">
        <v>6503</v>
      </c>
      <c r="F2154" s="206" t="s">
        <v>6504</v>
      </c>
      <c r="G2154" s="206" t="s">
        <v>6496</v>
      </c>
      <c r="H2154" s="206" t="s">
        <v>6496</v>
      </c>
      <c r="J2154" s="301" t="s">
        <v>6175</v>
      </c>
      <c r="K2154" s="97">
        <v>9504904399</v>
      </c>
      <c r="M2154" s="212"/>
      <c r="N2154" s="213"/>
      <c r="O2154" s="209"/>
    </row>
    <row r="2155" spans="1:15" x14ac:dyDescent="0.3">
      <c r="A2155" s="302" t="s">
        <v>155</v>
      </c>
      <c r="B2155" s="302" t="str">
        <f t="shared" si="16"/>
        <v>Y</v>
      </c>
      <c r="C2155" s="6" t="s">
        <v>6505</v>
      </c>
      <c r="D2155" s="327"/>
      <c r="E2155" s="356" t="s">
        <v>6506</v>
      </c>
      <c r="F2155" s="206" t="s">
        <v>6507</v>
      </c>
      <c r="G2155" s="206" t="s">
        <v>6508</v>
      </c>
      <c r="H2155" s="207">
        <v>44693</v>
      </c>
      <c r="K2155" s="97">
        <v>8797739843</v>
      </c>
      <c r="M2155" s="212"/>
      <c r="N2155" s="213"/>
      <c r="O2155" s="209"/>
    </row>
    <row r="2156" spans="1:15" x14ac:dyDescent="0.3">
      <c r="A2156" s="302" t="s">
        <v>155</v>
      </c>
      <c r="B2156" s="302" t="str">
        <f t="shared" si="16"/>
        <v>Y</v>
      </c>
      <c r="C2156" s="6" t="s">
        <v>6509</v>
      </c>
      <c r="D2156" s="327"/>
      <c r="E2156" s="356" t="s">
        <v>6510</v>
      </c>
      <c r="F2156" s="206" t="s">
        <v>6511</v>
      </c>
      <c r="G2156" s="206" t="s">
        <v>6512</v>
      </c>
      <c r="H2156" s="207">
        <v>44696</v>
      </c>
      <c r="K2156" s="97">
        <v>8797705090</v>
      </c>
      <c r="M2156" s="212"/>
      <c r="N2156" s="213"/>
      <c r="O2156" s="209"/>
    </row>
    <row r="2157" spans="1:15" x14ac:dyDescent="0.3">
      <c r="A2157" s="302" t="s">
        <v>155</v>
      </c>
      <c r="B2157" s="302" t="str">
        <f t="shared" si="16"/>
        <v>Y</v>
      </c>
      <c r="C2157" s="6" t="s">
        <v>6513</v>
      </c>
      <c r="D2157" s="327"/>
      <c r="E2157" s="353" t="s">
        <v>6514</v>
      </c>
      <c r="F2157" s="206" t="s">
        <v>6515</v>
      </c>
      <c r="G2157" s="206" t="s">
        <v>6512</v>
      </c>
      <c r="H2157" s="207">
        <v>44696</v>
      </c>
      <c r="J2157" s="85"/>
      <c r="K2157" s="97">
        <v>8809202678</v>
      </c>
      <c r="M2157" s="212"/>
      <c r="N2157" s="213"/>
      <c r="O2157" s="209"/>
    </row>
    <row r="2158" spans="1:15" x14ac:dyDescent="0.3">
      <c r="A2158" s="302" t="s">
        <v>155</v>
      </c>
      <c r="B2158" s="302" t="str">
        <f t="shared" si="16"/>
        <v>Y</v>
      </c>
      <c r="C2158" s="6" t="s">
        <v>6516</v>
      </c>
      <c r="D2158" s="327"/>
      <c r="E2158" s="356" t="s">
        <v>6517</v>
      </c>
      <c r="F2158" s="206" t="s">
        <v>4895</v>
      </c>
      <c r="G2158" s="206" t="s">
        <v>6518</v>
      </c>
      <c r="H2158" s="207">
        <v>44697</v>
      </c>
      <c r="K2158" s="97">
        <v>9905322403</v>
      </c>
      <c r="M2158" s="212"/>
      <c r="N2158" s="213"/>
      <c r="O2158" s="209"/>
    </row>
    <row r="2159" spans="1:15" x14ac:dyDescent="0.3">
      <c r="A2159" s="302" t="s">
        <v>155</v>
      </c>
      <c r="B2159" s="302" t="str">
        <f t="shared" si="16"/>
        <v>Y</v>
      </c>
      <c r="C2159" s="6" t="s">
        <v>6519</v>
      </c>
      <c r="D2159" s="327"/>
      <c r="E2159" s="356" t="s">
        <v>101</v>
      </c>
      <c r="F2159" s="206" t="s">
        <v>6520</v>
      </c>
      <c r="G2159" s="206" t="s">
        <v>6521</v>
      </c>
      <c r="H2159" s="207">
        <v>44699</v>
      </c>
      <c r="K2159" s="97">
        <v>9771002449</v>
      </c>
      <c r="M2159" s="212"/>
      <c r="N2159" s="213"/>
      <c r="O2159" s="209"/>
    </row>
    <row r="2160" spans="1:15" x14ac:dyDescent="0.3">
      <c r="A2160" s="302" t="s">
        <v>155</v>
      </c>
      <c r="B2160" s="302" t="str">
        <f t="shared" si="16"/>
        <v>Y</v>
      </c>
      <c r="C2160" s="6" t="s">
        <v>6522</v>
      </c>
      <c r="D2160" s="327"/>
      <c r="E2160" s="356" t="s">
        <v>6523</v>
      </c>
      <c r="F2160" s="206" t="s">
        <v>6524</v>
      </c>
      <c r="G2160" s="206" t="s">
        <v>6521</v>
      </c>
      <c r="H2160" s="207">
        <v>44699</v>
      </c>
      <c r="K2160" s="97">
        <v>7295014961</v>
      </c>
      <c r="M2160" s="212"/>
      <c r="N2160" s="213"/>
      <c r="O2160" s="209"/>
    </row>
    <row r="2161" spans="1:15" x14ac:dyDescent="0.3">
      <c r="A2161" s="302" t="s">
        <v>155</v>
      </c>
      <c r="B2161" s="302" t="str">
        <f t="shared" si="16"/>
        <v>Y</v>
      </c>
      <c r="C2161" s="6" t="s">
        <v>6525</v>
      </c>
      <c r="D2161" s="327"/>
      <c r="E2161" s="356" t="s">
        <v>6526</v>
      </c>
      <c r="F2161" s="206" t="s">
        <v>6527</v>
      </c>
      <c r="G2161" s="206" t="s">
        <v>6528</v>
      </c>
      <c r="H2161" s="207">
        <v>44701</v>
      </c>
      <c r="K2161" s="97">
        <v>9279250587</v>
      </c>
      <c r="M2161" s="212"/>
      <c r="N2161" s="213"/>
      <c r="O2161" s="209"/>
    </row>
    <row r="2162" spans="1:15" x14ac:dyDescent="0.3">
      <c r="A2162" s="302" t="s">
        <v>155</v>
      </c>
      <c r="B2162" s="302" t="str">
        <f t="shared" si="16"/>
        <v>Y</v>
      </c>
      <c r="C2162" s="6" t="s">
        <v>6529</v>
      </c>
      <c r="D2162" s="327"/>
      <c r="E2162" s="356" t="s">
        <v>6530</v>
      </c>
      <c r="F2162" s="206" t="s">
        <v>6531</v>
      </c>
      <c r="G2162" s="206" t="s">
        <v>6532</v>
      </c>
      <c r="H2162" s="207">
        <v>44703</v>
      </c>
      <c r="K2162" s="97">
        <v>9031433143</v>
      </c>
      <c r="M2162" s="212"/>
      <c r="N2162" s="213"/>
      <c r="O2162" s="209"/>
    </row>
    <row r="2163" spans="1:15" x14ac:dyDescent="0.3">
      <c r="A2163" s="302" t="s">
        <v>155</v>
      </c>
      <c r="B2163" s="302" t="str">
        <f t="shared" si="16"/>
        <v>Y</v>
      </c>
      <c r="C2163" s="6" t="s">
        <v>6533</v>
      </c>
      <c r="D2163" s="327"/>
      <c r="E2163" s="356" t="s">
        <v>6534</v>
      </c>
      <c r="F2163" s="206" t="s">
        <v>5481</v>
      </c>
      <c r="G2163" s="206" t="s">
        <v>6532</v>
      </c>
      <c r="H2163" s="207">
        <v>44703</v>
      </c>
      <c r="K2163" s="97">
        <v>8102600572</v>
      </c>
      <c r="M2163" s="212"/>
      <c r="N2163" s="213"/>
      <c r="O2163" s="209"/>
    </row>
    <row r="2164" spans="1:15" x14ac:dyDescent="0.3">
      <c r="A2164" s="302" t="s">
        <v>155</v>
      </c>
      <c r="B2164" s="302" t="str">
        <f t="shared" si="16"/>
        <v>Y</v>
      </c>
      <c r="C2164" s="6" t="s">
        <v>6535</v>
      </c>
      <c r="D2164" s="327"/>
      <c r="E2164" s="356" t="s">
        <v>1119</v>
      </c>
      <c r="F2164" s="206" t="s">
        <v>6536</v>
      </c>
      <c r="G2164" s="206" t="s">
        <v>6537</v>
      </c>
      <c r="H2164" s="207">
        <v>45069</v>
      </c>
      <c r="K2164" s="97">
        <v>8789569504</v>
      </c>
      <c r="M2164" s="212"/>
      <c r="N2164" s="213"/>
      <c r="O2164" s="209"/>
    </row>
    <row r="2165" spans="1:15" x14ac:dyDescent="0.3">
      <c r="A2165" s="302" t="s">
        <v>155</v>
      </c>
      <c r="B2165" s="302" t="str">
        <f t="shared" si="16"/>
        <v>Y</v>
      </c>
      <c r="C2165" s="6" t="s">
        <v>6538</v>
      </c>
      <c r="D2165" s="327"/>
      <c r="E2165" s="356" t="s">
        <v>6539</v>
      </c>
      <c r="F2165" s="206" t="s">
        <v>6540</v>
      </c>
      <c r="G2165" s="206" t="s">
        <v>6541</v>
      </c>
      <c r="H2165" s="207">
        <v>44705</v>
      </c>
      <c r="K2165" s="97">
        <v>8292116770</v>
      </c>
      <c r="M2165" s="212"/>
      <c r="N2165" s="213"/>
      <c r="O2165" s="209"/>
    </row>
    <row r="2166" spans="1:15" x14ac:dyDescent="0.3">
      <c r="A2166" s="302" t="s">
        <v>155</v>
      </c>
      <c r="B2166" s="302" t="str">
        <f t="shared" si="16"/>
        <v>Y</v>
      </c>
      <c r="C2166" s="6" t="s">
        <v>6542</v>
      </c>
      <c r="D2166" s="327"/>
      <c r="E2166" s="356" t="s">
        <v>6543</v>
      </c>
      <c r="F2166" s="206" t="s">
        <v>6544</v>
      </c>
      <c r="G2166" s="206" t="s">
        <v>6541</v>
      </c>
      <c r="H2166" s="207">
        <v>44705</v>
      </c>
      <c r="K2166" s="97">
        <v>9430735308</v>
      </c>
      <c r="M2166" s="212"/>
      <c r="N2166" s="213"/>
      <c r="O2166" s="209"/>
    </row>
    <row r="2167" spans="1:15" x14ac:dyDescent="0.3">
      <c r="A2167" s="302" t="s">
        <v>155</v>
      </c>
      <c r="B2167" s="302" t="str">
        <f t="shared" si="16"/>
        <v>Y</v>
      </c>
      <c r="C2167" s="6" t="s">
        <v>6545</v>
      </c>
      <c r="D2167" s="327"/>
      <c r="E2167" s="356" t="s">
        <v>4635</v>
      </c>
      <c r="F2167" s="206" t="s">
        <v>6546</v>
      </c>
      <c r="G2167" s="206" t="s">
        <v>6547</v>
      </c>
      <c r="H2167" s="207">
        <v>44706</v>
      </c>
      <c r="K2167" s="97">
        <v>7295914524</v>
      </c>
      <c r="M2167" s="212"/>
      <c r="N2167" s="213"/>
      <c r="O2167" s="209"/>
    </row>
    <row r="2168" spans="1:15" x14ac:dyDescent="0.3">
      <c r="A2168" s="302" t="s">
        <v>155</v>
      </c>
      <c r="B2168" s="302" t="str">
        <f t="shared" si="16"/>
        <v>Y</v>
      </c>
      <c r="C2168" s="6" t="s">
        <v>6548</v>
      </c>
      <c r="D2168" s="327"/>
      <c r="E2168" s="356" t="s">
        <v>6549</v>
      </c>
      <c r="F2168" s="206" t="s">
        <v>6550</v>
      </c>
      <c r="G2168" s="206" t="s">
        <v>6547</v>
      </c>
      <c r="H2168" s="207">
        <v>44706</v>
      </c>
      <c r="K2168" s="97">
        <v>8797589258</v>
      </c>
      <c r="M2168" s="212"/>
      <c r="N2168" s="213"/>
      <c r="O2168" s="209"/>
    </row>
    <row r="2169" spans="1:15" x14ac:dyDescent="0.3">
      <c r="A2169" s="302" t="s">
        <v>155</v>
      </c>
      <c r="B2169" s="302" t="str">
        <f t="shared" si="16"/>
        <v>Y</v>
      </c>
      <c r="C2169" s="6" t="s">
        <v>6551</v>
      </c>
      <c r="D2169" s="327"/>
      <c r="E2169" s="356" t="s">
        <v>6552</v>
      </c>
      <c r="F2169" s="206" t="s">
        <v>6553</v>
      </c>
      <c r="G2169" s="206" t="s">
        <v>6547</v>
      </c>
      <c r="H2169" s="207">
        <v>44706</v>
      </c>
      <c r="K2169" s="97">
        <v>6205597726</v>
      </c>
      <c r="M2169" s="212"/>
      <c r="N2169" s="213"/>
      <c r="O2169" s="209"/>
    </row>
    <row r="2170" spans="1:15" x14ac:dyDescent="0.3">
      <c r="A2170" s="302" t="s">
        <v>155</v>
      </c>
      <c r="B2170" s="302" t="str">
        <f t="shared" si="16"/>
        <v>Y</v>
      </c>
      <c r="C2170" s="6" t="s">
        <v>6554</v>
      </c>
      <c r="D2170" s="327"/>
      <c r="E2170" s="356" t="s">
        <v>6555</v>
      </c>
      <c r="F2170" s="206" t="s">
        <v>6556</v>
      </c>
      <c r="G2170" s="206" t="s">
        <v>6557</v>
      </c>
      <c r="H2170" s="207">
        <v>44708</v>
      </c>
      <c r="K2170" s="97">
        <v>8210479964</v>
      </c>
      <c r="M2170" s="212"/>
      <c r="N2170" s="213"/>
      <c r="O2170" s="209"/>
    </row>
    <row r="2171" spans="1:15" x14ac:dyDescent="0.3">
      <c r="A2171" s="302" t="s">
        <v>155</v>
      </c>
      <c r="B2171" s="302" t="str">
        <f t="shared" si="16"/>
        <v>Y</v>
      </c>
      <c r="C2171" s="6" t="s">
        <v>6558</v>
      </c>
      <c r="D2171" s="327"/>
      <c r="E2171" s="356" t="s">
        <v>6559</v>
      </c>
      <c r="F2171" s="206" t="s">
        <v>6560</v>
      </c>
      <c r="G2171" s="206" t="s">
        <v>6561</v>
      </c>
      <c r="H2171" s="207">
        <v>44709</v>
      </c>
      <c r="K2171" s="97">
        <v>9708588342</v>
      </c>
      <c r="M2171" s="212"/>
      <c r="N2171" s="213"/>
      <c r="O2171" s="209"/>
    </row>
    <row r="2172" spans="1:15" x14ac:dyDescent="0.3">
      <c r="A2172" s="302" t="s">
        <v>155</v>
      </c>
      <c r="B2172" s="302" t="str">
        <f t="shared" si="16"/>
        <v>Y</v>
      </c>
      <c r="C2172" s="6" t="s">
        <v>6562</v>
      </c>
      <c r="D2172" s="327"/>
      <c r="E2172" s="356" t="s">
        <v>6563</v>
      </c>
      <c r="F2172" s="206" t="s">
        <v>6564</v>
      </c>
      <c r="G2172" s="206" t="s">
        <v>6561</v>
      </c>
      <c r="H2172" s="207">
        <v>44709</v>
      </c>
      <c r="K2172" s="97">
        <v>9708588342</v>
      </c>
      <c r="M2172" s="212"/>
      <c r="N2172" s="213"/>
      <c r="O2172" s="209"/>
    </row>
    <row r="2173" spans="1:15" x14ac:dyDescent="0.3">
      <c r="A2173" s="302" t="s">
        <v>155</v>
      </c>
      <c r="B2173" s="302" t="str">
        <f t="shared" si="16"/>
        <v>Y</v>
      </c>
      <c r="C2173" s="6" t="s">
        <v>6565</v>
      </c>
      <c r="D2173" s="327"/>
      <c r="E2173" s="356" t="s">
        <v>5649</v>
      </c>
      <c r="F2173" s="206" t="s">
        <v>6566</v>
      </c>
      <c r="G2173" s="206" t="s">
        <v>6561</v>
      </c>
      <c r="H2173" s="207">
        <v>44709</v>
      </c>
      <c r="K2173" s="97">
        <v>9304540858</v>
      </c>
      <c r="M2173" s="212"/>
      <c r="N2173" s="213"/>
      <c r="O2173" s="209"/>
    </row>
    <row r="2174" spans="1:15" x14ac:dyDescent="0.3">
      <c r="A2174" s="302" t="s">
        <v>155</v>
      </c>
      <c r="B2174" s="302" t="str">
        <f t="shared" si="16"/>
        <v>Y</v>
      </c>
      <c r="C2174" s="6" t="s">
        <v>6567</v>
      </c>
      <c r="D2174" s="327"/>
      <c r="E2174" s="356" t="s">
        <v>6568</v>
      </c>
      <c r="F2174" s="206" t="s">
        <v>6082</v>
      </c>
      <c r="G2174" s="206" t="s">
        <v>6569</v>
      </c>
      <c r="H2174" s="207">
        <v>44710</v>
      </c>
      <c r="K2174" s="97">
        <v>6287749978</v>
      </c>
      <c r="M2174" s="212"/>
      <c r="N2174" s="213"/>
      <c r="O2174" s="209"/>
    </row>
    <row r="2175" spans="1:15" x14ac:dyDescent="0.3">
      <c r="A2175" s="302" t="s">
        <v>155</v>
      </c>
      <c r="B2175" s="302" t="str">
        <f t="shared" si="16"/>
        <v>Y</v>
      </c>
      <c r="C2175" s="6" t="s">
        <v>6570</v>
      </c>
      <c r="D2175" s="327"/>
      <c r="E2175" s="356" t="s">
        <v>6571</v>
      </c>
      <c r="F2175" s="206" t="s">
        <v>1558</v>
      </c>
      <c r="G2175" s="206" t="s">
        <v>6572</v>
      </c>
      <c r="H2175" s="207">
        <v>44711</v>
      </c>
      <c r="M2175" s="212"/>
      <c r="N2175" s="213"/>
      <c r="O2175" s="209"/>
    </row>
    <row r="2176" spans="1:15" x14ac:dyDescent="0.3">
      <c r="A2176" s="302" t="s">
        <v>155</v>
      </c>
      <c r="B2176" s="302" t="str">
        <f t="shared" si="16"/>
        <v>Y</v>
      </c>
      <c r="C2176" s="6" t="s">
        <v>6573</v>
      </c>
      <c r="D2176" s="327"/>
      <c r="E2176" s="356" t="s">
        <v>6574</v>
      </c>
      <c r="F2176" s="206" t="s">
        <v>6575</v>
      </c>
      <c r="G2176" s="206" t="s">
        <v>6576</v>
      </c>
      <c r="H2176" s="206" t="s">
        <v>6576</v>
      </c>
      <c r="K2176" s="97">
        <v>8294448737</v>
      </c>
      <c r="M2176" s="212"/>
      <c r="N2176" s="213"/>
      <c r="O2176" s="209"/>
    </row>
    <row r="2177" spans="1:15" x14ac:dyDescent="0.3">
      <c r="A2177" s="302" t="s">
        <v>155</v>
      </c>
      <c r="B2177" s="302" t="str">
        <f t="shared" si="16"/>
        <v>Y</v>
      </c>
      <c r="C2177" s="6" t="s">
        <v>6577</v>
      </c>
      <c r="D2177" s="327"/>
      <c r="E2177" s="356" t="s">
        <v>6578</v>
      </c>
      <c r="F2177" s="206" t="s">
        <v>6579</v>
      </c>
      <c r="G2177" s="206" t="s">
        <v>6580</v>
      </c>
      <c r="H2177" s="206" t="s">
        <v>6580</v>
      </c>
      <c r="K2177" s="97">
        <v>7079786513</v>
      </c>
      <c r="M2177" s="212"/>
      <c r="N2177" s="213"/>
      <c r="O2177" s="209"/>
    </row>
    <row r="2178" spans="1:15" x14ac:dyDescent="0.3">
      <c r="A2178" s="302" t="s">
        <v>155</v>
      </c>
      <c r="B2178" s="302" t="str">
        <f t="shared" si="16"/>
        <v>Y</v>
      </c>
      <c r="C2178" s="6" t="s">
        <v>6581</v>
      </c>
      <c r="D2178" s="327"/>
      <c r="E2178" s="356" t="s">
        <v>6582</v>
      </c>
      <c r="F2178" s="206" t="s">
        <v>1558</v>
      </c>
      <c r="G2178" s="206" t="s">
        <v>6580</v>
      </c>
      <c r="H2178" s="206" t="s">
        <v>6580</v>
      </c>
      <c r="K2178" s="97">
        <v>9204389675</v>
      </c>
      <c r="M2178" s="212"/>
      <c r="N2178" s="213"/>
      <c r="O2178" s="209"/>
    </row>
    <row r="2179" spans="1:15" x14ac:dyDescent="0.3">
      <c r="A2179" s="302" t="s">
        <v>155</v>
      </c>
      <c r="B2179" s="302" t="str">
        <f t="shared" si="16"/>
        <v>Y</v>
      </c>
      <c r="C2179" s="6" t="s">
        <v>6583</v>
      </c>
      <c r="D2179" s="327"/>
      <c r="E2179" s="356" t="s">
        <v>6584</v>
      </c>
      <c r="F2179" s="206" t="s">
        <v>6585</v>
      </c>
      <c r="G2179" s="206" t="s">
        <v>6580</v>
      </c>
      <c r="H2179" s="206" t="s">
        <v>6580</v>
      </c>
      <c r="K2179" s="97">
        <v>6372755041</v>
      </c>
      <c r="M2179" s="212"/>
      <c r="N2179" s="213"/>
      <c r="O2179" s="209"/>
    </row>
    <row r="2180" spans="1:15" x14ac:dyDescent="0.3">
      <c r="A2180" s="279" t="s">
        <v>2931</v>
      </c>
      <c r="B2180" s="279" t="str">
        <f t="shared" si="16"/>
        <v>Y</v>
      </c>
      <c r="C2180" s="6" t="s">
        <v>6586</v>
      </c>
      <c r="D2180" s="327"/>
      <c r="E2180" s="356" t="s">
        <v>237</v>
      </c>
      <c r="F2180" s="206" t="s">
        <v>6587</v>
      </c>
      <c r="G2180" s="206" t="s">
        <v>6588</v>
      </c>
      <c r="H2180" s="206" t="s">
        <v>6588</v>
      </c>
      <c r="I2180" s="98"/>
      <c r="K2180" s="97">
        <v>9031723901</v>
      </c>
      <c r="M2180" s="212"/>
      <c r="N2180" s="213"/>
      <c r="O2180" s="209"/>
    </row>
    <row r="2181" spans="1:15" x14ac:dyDescent="0.3">
      <c r="A2181" s="302" t="s">
        <v>155</v>
      </c>
      <c r="B2181" s="302" t="str">
        <f t="shared" si="16"/>
        <v>Y</v>
      </c>
      <c r="C2181" s="6" t="s">
        <v>6589</v>
      </c>
      <c r="D2181" s="327"/>
      <c r="E2181" s="356" t="s">
        <v>6590</v>
      </c>
      <c r="F2181" s="206" t="s">
        <v>5622</v>
      </c>
      <c r="G2181" s="206" t="s">
        <v>6591</v>
      </c>
      <c r="H2181" s="206" t="s">
        <v>6591</v>
      </c>
      <c r="K2181" s="97">
        <v>9263445537</v>
      </c>
      <c r="M2181" s="212"/>
      <c r="N2181" s="213"/>
      <c r="O2181" s="209"/>
    </row>
    <row r="2182" spans="1:15" x14ac:dyDescent="0.3">
      <c r="A2182" s="302" t="s">
        <v>155</v>
      </c>
      <c r="B2182" s="302" t="str">
        <f t="shared" si="16"/>
        <v>Y</v>
      </c>
      <c r="C2182" s="6" t="s">
        <v>6592</v>
      </c>
      <c r="D2182" s="327"/>
      <c r="E2182" s="356" t="s">
        <v>6593</v>
      </c>
      <c r="F2182" s="206" t="s">
        <v>6594</v>
      </c>
      <c r="G2182" s="206" t="s">
        <v>6595</v>
      </c>
      <c r="H2182" s="206" t="s">
        <v>6595</v>
      </c>
      <c r="K2182" s="97">
        <v>6200494858</v>
      </c>
      <c r="M2182" s="212"/>
      <c r="N2182" s="213"/>
      <c r="O2182" s="209"/>
    </row>
    <row r="2183" spans="1:15" x14ac:dyDescent="0.3">
      <c r="A2183" s="302" t="s">
        <v>155</v>
      </c>
      <c r="B2183" s="302" t="str">
        <f t="shared" si="16"/>
        <v>Y</v>
      </c>
      <c r="C2183" s="6" t="s">
        <v>6596</v>
      </c>
      <c r="D2183" s="327"/>
      <c r="E2183" s="356" t="s">
        <v>6597</v>
      </c>
      <c r="F2183" s="206" t="s">
        <v>6598</v>
      </c>
      <c r="G2183" s="206" t="s">
        <v>6595</v>
      </c>
      <c r="H2183" s="206" t="s">
        <v>6595</v>
      </c>
      <c r="K2183" s="97">
        <v>9135415936</v>
      </c>
      <c r="M2183" s="212"/>
      <c r="N2183" s="213"/>
      <c r="O2183" s="209"/>
    </row>
    <row r="2184" spans="1:15" x14ac:dyDescent="0.3">
      <c r="A2184" s="302" t="s">
        <v>155</v>
      </c>
      <c r="B2184" s="302" t="str">
        <f t="shared" si="16"/>
        <v>Y</v>
      </c>
      <c r="C2184" s="6" t="s">
        <v>6599</v>
      </c>
      <c r="D2184" s="327"/>
      <c r="E2184" s="356" t="s">
        <v>6600</v>
      </c>
      <c r="F2184" s="280">
        <v>35797</v>
      </c>
      <c r="G2184" s="206" t="s">
        <v>6601</v>
      </c>
      <c r="H2184" s="206" t="s">
        <v>6602</v>
      </c>
      <c r="K2184" s="97">
        <v>6287877833</v>
      </c>
      <c r="M2184" s="212"/>
      <c r="N2184" s="213"/>
      <c r="O2184" s="209"/>
    </row>
    <row r="2185" spans="1:15" x14ac:dyDescent="0.3">
      <c r="A2185" s="302" t="s">
        <v>155</v>
      </c>
      <c r="B2185" s="302" t="str">
        <f t="shared" si="16"/>
        <v>Y</v>
      </c>
      <c r="C2185" s="6" t="s">
        <v>6603</v>
      </c>
      <c r="D2185" s="327"/>
      <c r="E2185" s="356" t="s">
        <v>6604</v>
      </c>
      <c r="F2185" s="206" t="s">
        <v>6605</v>
      </c>
      <c r="G2185" s="206" t="s">
        <v>6602</v>
      </c>
      <c r="H2185" s="206" t="s">
        <v>6602</v>
      </c>
      <c r="K2185" s="97">
        <v>9931828453</v>
      </c>
      <c r="M2185" s="212"/>
      <c r="N2185" s="213"/>
      <c r="O2185" s="209"/>
    </row>
    <row r="2186" spans="1:15" x14ac:dyDescent="0.3">
      <c r="A2186" s="302" t="s">
        <v>155</v>
      </c>
      <c r="B2186" s="302" t="str">
        <f t="shared" si="16"/>
        <v>Y</v>
      </c>
      <c r="C2186" s="6" t="s">
        <v>6606</v>
      </c>
      <c r="D2186" s="327"/>
      <c r="E2186" s="356" t="s">
        <v>6607</v>
      </c>
      <c r="F2186" s="206" t="s">
        <v>6608</v>
      </c>
      <c r="G2186" s="206" t="s">
        <v>6602</v>
      </c>
      <c r="H2186" s="206" t="s">
        <v>6602</v>
      </c>
      <c r="K2186" s="97">
        <v>7631036950</v>
      </c>
      <c r="M2186" s="212"/>
      <c r="N2186" s="213"/>
      <c r="O2186" s="209"/>
    </row>
    <row r="2187" spans="1:15" x14ac:dyDescent="0.3">
      <c r="A2187" s="302" t="s">
        <v>155</v>
      </c>
      <c r="B2187" s="302" t="str">
        <f t="shared" si="16"/>
        <v>Y</v>
      </c>
      <c r="C2187" s="6" t="s">
        <v>6609</v>
      </c>
      <c r="D2187" s="327"/>
      <c r="E2187" s="356" t="s">
        <v>6610</v>
      </c>
      <c r="F2187" s="206" t="s">
        <v>6611</v>
      </c>
      <c r="G2187" s="206" t="s">
        <v>6612</v>
      </c>
      <c r="H2187" s="206" t="s">
        <v>6612</v>
      </c>
      <c r="K2187" s="97">
        <v>9709082054</v>
      </c>
      <c r="M2187" s="212"/>
      <c r="N2187" s="213"/>
      <c r="O2187" s="209"/>
    </row>
    <row r="2188" spans="1:15" x14ac:dyDescent="0.3">
      <c r="A2188" s="302" t="s">
        <v>155</v>
      </c>
      <c r="B2188" s="302" t="str">
        <f t="shared" si="16"/>
        <v>Y</v>
      </c>
      <c r="C2188" s="6" t="s">
        <v>6613</v>
      </c>
      <c r="D2188" s="327"/>
      <c r="E2188" s="356" t="s">
        <v>1669</v>
      </c>
      <c r="F2188" s="206" t="s">
        <v>6614</v>
      </c>
      <c r="G2188" s="206" t="s">
        <v>6615</v>
      </c>
      <c r="H2188" s="206" t="s">
        <v>6615</v>
      </c>
      <c r="K2188" s="97">
        <v>7903170630</v>
      </c>
      <c r="M2188" s="212"/>
      <c r="N2188" s="213"/>
      <c r="O2188" s="209"/>
    </row>
    <row r="2189" spans="1:15" x14ac:dyDescent="0.3">
      <c r="A2189" s="302" t="s">
        <v>155</v>
      </c>
      <c r="B2189" s="302" t="str">
        <f t="shared" si="16"/>
        <v>N</v>
      </c>
      <c r="C2189" s="6" t="s">
        <v>5180</v>
      </c>
      <c r="D2189" s="327"/>
      <c r="E2189" s="356" t="s">
        <v>5189</v>
      </c>
      <c r="F2189" s="206" t="s">
        <v>6616</v>
      </c>
      <c r="G2189" s="206"/>
      <c r="H2189" s="302"/>
      <c r="K2189" s="97">
        <v>9264202291</v>
      </c>
      <c r="M2189" s="212"/>
      <c r="N2189" s="213"/>
      <c r="O2189" s="209"/>
    </row>
    <row r="2190" spans="1:15" x14ac:dyDescent="0.3">
      <c r="A2190" s="302" t="s">
        <v>155</v>
      </c>
      <c r="B2190" s="302" t="str">
        <f>IF(I2190="","N","Y")</f>
        <v>Y</v>
      </c>
      <c r="C2190" s="6" t="s">
        <v>6617</v>
      </c>
      <c r="D2190" s="327"/>
      <c r="E2190" s="356" t="s">
        <v>6618</v>
      </c>
      <c r="F2190" s="206" t="s">
        <v>6619</v>
      </c>
      <c r="G2190" s="206" t="s">
        <v>6620</v>
      </c>
      <c r="I2190" s="221" t="s">
        <v>6621</v>
      </c>
      <c r="K2190" s="97">
        <v>9525543579</v>
      </c>
      <c r="M2190" s="212"/>
      <c r="N2190" s="213"/>
      <c r="O2190" s="209"/>
    </row>
    <row r="2191" spans="1:15" x14ac:dyDescent="0.3">
      <c r="A2191" s="302" t="s">
        <v>155</v>
      </c>
      <c r="B2191" s="302" t="str">
        <f>IF(I2191="","N","Y")</f>
        <v>Y</v>
      </c>
      <c r="C2191" s="6" t="s">
        <v>6622</v>
      </c>
      <c r="D2191" s="327"/>
      <c r="E2191" s="356" t="s">
        <v>6623</v>
      </c>
      <c r="F2191" s="206" t="s">
        <v>6624</v>
      </c>
      <c r="G2191" s="206" t="s">
        <v>6620</v>
      </c>
      <c r="I2191" s="221" t="s">
        <v>6621</v>
      </c>
      <c r="K2191" s="97">
        <v>8210274646</v>
      </c>
      <c r="M2191" s="212"/>
      <c r="N2191" s="213"/>
      <c r="O2191" s="209"/>
    </row>
    <row r="2192" spans="1:15" x14ac:dyDescent="0.3">
      <c r="A2192" s="302" t="s">
        <v>155</v>
      </c>
      <c r="B2192" s="279" t="str">
        <f t="shared" ref="B2192:B2255" si="17">IF(H2192="","N","Y")</f>
        <v>Y</v>
      </c>
      <c r="C2192" s="474" t="s">
        <v>6625</v>
      </c>
      <c r="D2192" s="357"/>
      <c r="E2192" s="358" t="s">
        <v>6626</v>
      </c>
      <c r="F2192" s="281">
        <v>16803</v>
      </c>
      <c r="G2192" s="282" t="s">
        <v>6620</v>
      </c>
      <c r="H2192" s="283">
        <v>44726</v>
      </c>
      <c r="I2192" s="284"/>
      <c r="J2192" s="284"/>
      <c r="K2192" s="298">
        <v>9234950455</v>
      </c>
      <c r="L2192" s="284"/>
      <c r="M2192" s="212"/>
      <c r="N2192" s="213"/>
      <c r="O2192" s="209"/>
    </row>
    <row r="2193" spans="1:15" x14ac:dyDescent="0.3">
      <c r="A2193" s="302" t="s">
        <v>155</v>
      </c>
      <c r="B2193" s="302" t="str">
        <f t="shared" si="17"/>
        <v>Y</v>
      </c>
      <c r="C2193" s="6" t="s">
        <v>6627</v>
      </c>
      <c r="D2193" s="327"/>
      <c r="E2193" s="356" t="s">
        <v>6628</v>
      </c>
      <c r="F2193" s="206" t="s">
        <v>6629</v>
      </c>
      <c r="G2193" s="206" t="s">
        <v>6620</v>
      </c>
      <c r="H2193" s="207">
        <v>44726</v>
      </c>
      <c r="K2193" s="97">
        <v>9955037555</v>
      </c>
      <c r="M2193" s="212"/>
      <c r="N2193" s="213"/>
      <c r="O2193" s="209"/>
    </row>
    <row r="2194" spans="1:15" x14ac:dyDescent="0.3">
      <c r="A2194" s="302" t="s">
        <v>155</v>
      </c>
      <c r="B2194" s="302" t="str">
        <f t="shared" si="17"/>
        <v>Y</v>
      </c>
      <c r="C2194" s="6" t="s">
        <v>6630</v>
      </c>
      <c r="D2194" s="327"/>
      <c r="E2194" s="356" t="s">
        <v>6631</v>
      </c>
      <c r="F2194" s="206" t="s">
        <v>4170</v>
      </c>
      <c r="G2194" s="206" t="s">
        <v>6620</v>
      </c>
      <c r="H2194" s="207">
        <v>44726</v>
      </c>
      <c r="I2194" t="s">
        <v>6096</v>
      </c>
      <c r="K2194" s="97">
        <v>8210987790</v>
      </c>
      <c r="M2194" s="212"/>
      <c r="N2194" s="213"/>
      <c r="O2194" s="209"/>
    </row>
    <row r="2195" spans="1:15" x14ac:dyDescent="0.3">
      <c r="A2195" s="302" t="s">
        <v>155</v>
      </c>
      <c r="B2195" s="302" t="str">
        <f>IF(I2195="","N","Y")</f>
        <v>Y</v>
      </c>
      <c r="C2195" s="6" t="s">
        <v>6632</v>
      </c>
      <c r="D2195" s="327"/>
      <c r="E2195" s="356" t="s">
        <v>6633</v>
      </c>
      <c r="F2195" s="206" t="s">
        <v>6634</v>
      </c>
      <c r="G2195" s="206" t="s">
        <v>6620</v>
      </c>
      <c r="I2195" s="221" t="s">
        <v>6621</v>
      </c>
      <c r="K2195" s="97">
        <v>6431374015</v>
      </c>
      <c r="M2195" s="212"/>
      <c r="N2195" s="213"/>
      <c r="O2195" s="209"/>
    </row>
    <row r="2196" spans="1:15" x14ac:dyDescent="0.3">
      <c r="A2196" s="302" t="s">
        <v>155</v>
      </c>
      <c r="B2196" s="302" t="str">
        <f t="shared" si="17"/>
        <v>Y</v>
      </c>
      <c r="C2196" s="475">
        <v>881036288839490</v>
      </c>
      <c r="D2196" s="359"/>
      <c r="E2196" s="356" t="s">
        <v>6635</v>
      </c>
      <c r="F2196" s="206"/>
      <c r="G2196" s="206" t="s">
        <v>6636</v>
      </c>
      <c r="H2196" s="207">
        <v>44727</v>
      </c>
      <c r="I2196" s="301" t="s">
        <v>6637</v>
      </c>
      <c r="M2196" s="212"/>
      <c r="N2196" s="213"/>
      <c r="O2196" s="209"/>
    </row>
    <row r="2197" spans="1:15" x14ac:dyDescent="0.3">
      <c r="A2197" s="302" t="s">
        <v>155</v>
      </c>
      <c r="B2197" s="302" t="str">
        <f t="shared" si="17"/>
        <v>N</v>
      </c>
      <c r="C2197" s="6" t="s">
        <v>6638</v>
      </c>
      <c r="D2197" s="327"/>
      <c r="E2197" s="356" t="s">
        <v>6639</v>
      </c>
      <c r="F2197" s="206" t="s">
        <v>6640</v>
      </c>
      <c r="G2197" s="206" t="s">
        <v>6636</v>
      </c>
      <c r="H2197" s="302"/>
      <c r="K2197" s="97">
        <v>7061141569</v>
      </c>
      <c r="M2197" s="212"/>
      <c r="N2197" s="213"/>
      <c r="O2197" s="209"/>
    </row>
    <row r="2198" spans="1:15" x14ac:dyDescent="0.3">
      <c r="A2198" s="302" t="s">
        <v>155</v>
      </c>
      <c r="B2198" s="302" t="str">
        <f t="shared" si="17"/>
        <v>Y</v>
      </c>
      <c r="C2198" s="6" t="s">
        <v>6641</v>
      </c>
      <c r="D2198" s="327"/>
      <c r="E2198" s="356" t="s">
        <v>6642</v>
      </c>
      <c r="F2198" s="206" t="s">
        <v>6643</v>
      </c>
      <c r="G2198" s="206" t="s">
        <v>6644</v>
      </c>
      <c r="H2198" s="207">
        <v>44728</v>
      </c>
      <c r="I2198" s="301" t="s">
        <v>6637</v>
      </c>
      <c r="K2198" s="97">
        <v>7294139995</v>
      </c>
      <c r="M2198" s="212"/>
      <c r="N2198" s="213"/>
      <c r="O2198" s="209"/>
    </row>
    <row r="2199" spans="1:15" x14ac:dyDescent="0.3">
      <c r="A2199" s="302" t="s">
        <v>155</v>
      </c>
      <c r="B2199" s="302" t="str">
        <f t="shared" si="17"/>
        <v>Y</v>
      </c>
      <c r="C2199" s="6" t="s">
        <v>6645</v>
      </c>
      <c r="D2199" s="327"/>
      <c r="E2199" s="356" t="s">
        <v>6646</v>
      </c>
      <c r="F2199" s="206" t="s">
        <v>6575</v>
      </c>
      <c r="G2199" s="206" t="s">
        <v>6647</v>
      </c>
      <c r="H2199" s="207" t="s">
        <v>6648</v>
      </c>
      <c r="K2199" s="97">
        <v>6203982297</v>
      </c>
      <c r="M2199" s="212"/>
      <c r="N2199" s="213"/>
      <c r="O2199" s="209"/>
    </row>
    <row r="2200" spans="1:15" x14ac:dyDescent="0.3">
      <c r="A2200" s="302" t="s">
        <v>155</v>
      </c>
      <c r="B2200" s="302" t="str">
        <f t="shared" si="17"/>
        <v>Y</v>
      </c>
      <c r="C2200" s="6" t="s">
        <v>6649</v>
      </c>
      <c r="D2200" s="327"/>
      <c r="E2200" s="356" t="s">
        <v>6650</v>
      </c>
      <c r="F2200" s="206" t="s">
        <v>6651</v>
      </c>
      <c r="G2200" s="206" t="s">
        <v>6647</v>
      </c>
      <c r="H2200" s="207" t="s">
        <v>6648</v>
      </c>
      <c r="K2200" s="97">
        <v>7488423659</v>
      </c>
      <c r="M2200" s="212"/>
      <c r="N2200" s="213"/>
      <c r="O2200" s="209"/>
    </row>
    <row r="2201" spans="1:15" x14ac:dyDescent="0.3">
      <c r="A2201" s="302" t="s">
        <v>155</v>
      </c>
      <c r="B2201" s="302" t="str">
        <f t="shared" si="17"/>
        <v>Y</v>
      </c>
      <c r="C2201" s="6" t="s">
        <v>6652</v>
      </c>
      <c r="D2201" s="327"/>
      <c r="E2201" s="356" t="s">
        <v>6653</v>
      </c>
      <c r="F2201" s="206" t="s">
        <v>6654</v>
      </c>
      <c r="G2201" s="206" t="s">
        <v>6655</v>
      </c>
      <c r="H2201" s="207">
        <v>44731</v>
      </c>
      <c r="K2201" s="97">
        <v>9204018409</v>
      </c>
      <c r="M2201" s="212"/>
      <c r="N2201" s="213"/>
      <c r="O2201" s="209"/>
    </row>
    <row r="2202" spans="1:15" x14ac:dyDescent="0.3">
      <c r="A2202" s="302" t="s">
        <v>155</v>
      </c>
      <c r="B2202" s="302" t="str">
        <f t="shared" si="17"/>
        <v>Y</v>
      </c>
      <c r="C2202" s="6" t="s">
        <v>6656</v>
      </c>
      <c r="D2202" s="327"/>
      <c r="E2202" s="356" t="s">
        <v>6657</v>
      </c>
      <c r="F2202" s="206" t="s">
        <v>6658</v>
      </c>
      <c r="G2202" s="206" t="s">
        <v>6647</v>
      </c>
      <c r="H2202" s="207">
        <v>44744</v>
      </c>
      <c r="K2202" s="97">
        <v>7077100712</v>
      </c>
      <c r="M2202" s="212"/>
      <c r="N2202" s="213"/>
      <c r="O2202" s="209"/>
    </row>
    <row r="2203" spans="1:15" x14ac:dyDescent="0.3">
      <c r="A2203" s="302" t="s">
        <v>155</v>
      </c>
      <c r="B2203" s="302" t="str">
        <f t="shared" si="17"/>
        <v>Y</v>
      </c>
      <c r="C2203" s="6" t="s">
        <v>6659</v>
      </c>
      <c r="D2203" s="327"/>
      <c r="E2203" s="356" t="s">
        <v>6660</v>
      </c>
      <c r="F2203" s="206" t="s">
        <v>6661</v>
      </c>
      <c r="G2203" s="206" t="s">
        <v>6662</v>
      </c>
      <c r="H2203" s="207">
        <v>44732</v>
      </c>
      <c r="K2203" s="97">
        <v>7257992526</v>
      </c>
      <c r="M2203" s="212"/>
      <c r="N2203" s="213"/>
      <c r="O2203" s="209"/>
    </row>
    <row r="2204" spans="1:15" x14ac:dyDescent="0.3">
      <c r="A2204" s="302" t="s">
        <v>155</v>
      </c>
      <c r="B2204" s="302" t="str">
        <f t="shared" si="17"/>
        <v>Y</v>
      </c>
      <c r="C2204" s="6" t="s">
        <v>6663</v>
      </c>
      <c r="D2204" s="327"/>
      <c r="E2204" s="356" t="s">
        <v>4399</v>
      </c>
      <c r="F2204" s="206" t="s">
        <v>6664</v>
      </c>
      <c r="G2204" s="206" t="s">
        <v>6662</v>
      </c>
      <c r="H2204" s="207">
        <v>44732</v>
      </c>
      <c r="K2204" s="97">
        <v>7209932800</v>
      </c>
      <c r="M2204" s="212"/>
      <c r="N2204" s="213"/>
      <c r="O2204" s="209"/>
    </row>
    <row r="2205" spans="1:15" x14ac:dyDescent="0.3">
      <c r="A2205" s="302" t="s">
        <v>155</v>
      </c>
      <c r="B2205" s="302" t="str">
        <f t="shared" si="17"/>
        <v>Y</v>
      </c>
      <c r="C2205" s="6" t="s">
        <v>6665</v>
      </c>
      <c r="D2205" s="327"/>
      <c r="E2205" s="356" t="s">
        <v>6666</v>
      </c>
      <c r="F2205" s="206" t="s">
        <v>6515</v>
      </c>
      <c r="G2205" s="206" t="s">
        <v>6667</v>
      </c>
      <c r="H2205" s="206" t="s">
        <v>6667</v>
      </c>
      <c r="K2205" s="97">
        <v>8809202678</v>
      </c>
      <c r="M2205" s="212"/>
      <c r="N2205" s="213"/>
      <c r="O2205" s="209"/>
    </row>
    <row r="2206" spans="1:15" x14ac:dyDescent="0.3">
      <c r="A2206" s="302" t="s">
        <v>155</v>
      </c>
      <c r="B2206" s="302" t="str">
        <f t="shared" si="17"/>
        <v>Y</v>
      </c>
      <c r="C2206" s="476" t="s">
        <v>6668</v>
      </c>
      <c r="D2206" s="360"/>
      <c r="E2206" s="361" t="s">
        <v>6669</v>
      </c>
      <c r="F2206" s="286" t="s">
        <v>6670</v>
      </c>
      <c r="G2206" s="286" t="s">
        <v>6667</v>
      </c>
      <c r="H2206" s="286" t="s">
        <v>6667</v>
      </c>
      <c r="I2206" s="285" t="s">
        <v>6671</v>
      </c>
      <c r="J2206" s="285"/>
      <c r="K2206" s="299">
        <v>7903095072</v>
      </c>
      <c r="M2206" s="212"/>
      <c r="N2206" s="213"/>
      <c r="O2206" s="209"/>
    </row>
    <row r="2207" spans="1:15" x14ac:dyDescent="0.3">
      <c r="A2207" s="287" t="s">
        <v>155</v>
      </c>
      <c r="B2207" s="287" t="str">
        <f t="shared" si="17"/>
        <v>Y</v>
      </c>
      <c r="C2207" s="476" t="s">
        <v>6672</v>
      </c>
      <c r="D2207" s="360"/>
      <c r="E2207" s="361" t="s">
        <v>6673</v>
      </c>
      <c r="F2207" s="286" t="s">
        <v>6674</v>
      </c>
      <c r="G2207" s="286" t="s">
        <v>6675</v>
      </c>
      <c r="H2207" s="286" t="s">
        <v>6675</v>
      </c>
      <c r="I2207" s="285" t="s">
        <v>6676</v>
      </c>
      <c r="J2207" s="285"/>
      <c r="K2207" s="299">
        <v>7008218699</v>
      </c>
      <c r="M2207" s="212"/>
      <c r="N2207" s="213"/>
      <c r="O2207" s="209"/>
    </row>
    <row r="2208" spans="1:15" x14ac:dyDescent="0.3">
      <c r="A2208" s="302" t="s">
        <v>155</v>
      </c>
      <c r="B2208" s="302" t="str">
        <f t="shared" si="17"/>
        <v>N</v>
      </c>
      <c r="C2208" s="6"/>
      <c r="D2208" s="327"/>
      <c r="E2208" s="356" t="s">
        <v>6677</v>
      </c>
      <c r="F2208" s="206" t="s">
        <v>6678</v>
      </c>
      <c r="G2208" s="206"/>
      <c r="H2208" s="302"/>
      <c r="K2208" s="97">
        <v>9709253717</v>
      </c>
      <c r="M2208" s="212"/>
      <c r="N2208" s="213"/>
      <c r="O2208" s="209"/>
    </row>
    <row r="2209" spans="1:15" x14ac:dyDescent="0.3">
      <c r="A2209" s="302" t="s">
        <v>155</v>
      </c>
      <c r="B2209" s="302" t="str">
        <f t="shared" si="17"/>
        <v>Y</v>
      </c>
      <c r="C2209" s="6" t="s">
        <v>6679</v>
      </c>
      <c r="D2209" s="327"/>
      <c r="E2209" s="356" t="s">
        <v>6680</v>
      </c>
      <c r="F2209" s="206" t="s">
        <v>6681</v>
      </c>
      <c r="G2209" s="206" t="s">
        <v>6675</v>
      </c>
      <c r="H2209" s="207">
        <v>44734</v>
      </c>
      <c r="I2209" s="301" t="s">
        <v>6637</v>
      </c>
      <c r="J2209" s="108">
        <v>44744</v>
      </c>
      <c r="K2209" s="97">
        <v>7631036950</v>
      </c>
      <c r="M2209" s="212"/>
      <c r="N2209" s="213"/>
      <c r="O2209" s="209"/>
    </row>
    <row r="2210" spans="1:15" x14ac:dyDescent="0.3">
      <c r="A2210" s="302" t="s">
        <v>155</v>
      </c>
      <c r="B2210" s="302" t="str">
        <f t="shared" si="17"/>
        <v>N</v>
      </c>
      <c r="C2210" s="477" t="s">
        <v>6682</v>
      </c>
      <c r="D2210" s="362"/>
      <c r="E2210" s="356" t="s">
        <v>6683</v>
      </c>
      <c r="F2210" s="206" t="s">
        <v>6684</v>
      </c>
      <c r="G2210" s="206" t="s">
        <v>6685</v>
      </c>
      <c r="H2210" s="302"/>
      <c r="K2210" s="97">
        <v>7033287048</v>
      </c>
      <c r="M2210" s="212"/>
      <c r="N2210" s="213"/>
      <c r="O2210" s="209"/>
    </row>
    <row r="2211" spans="1:15" x14ac:dyDescent="0.3">
      <c r="A2211" s="302" t="s">
        <v>155</v>
      </c>
      <c r="B2211" s="302" t="str">
        <f t="shared" si="17"/>
        <v>Y</v>
      </c>
      <c r="C2211" s="478" t="s">
        <v>6686</v>
      </c>
      <c r="D2211" s="363"/>
      <c r="E2211" s="356" t="s">
        <v>6687</v>
      </c>
      <c r="F2211" s="206" t="s">
        <v>6688</v>
      </c>
      <c r="G2211" s="206" t="s">
        <v>6689</v>
      </c>
      <c r="H2211" s="207">
        <v>44738</v>
      </c>
      <c r="K2211" s="97">
        <v>9534168330</v>
      </c>
      <c r="M2211" s="212"/>
      <c r="N2211" s="213"/>
      <c r="O2211" s="209"/>
    </row>
    <row r="2212" spans="1:15" x14ac:dyDescent="0.3">
      <c r="A2212" s="302" t="s">
        <v>155</v>
      </c>
      <c r="B2212" s="302" t="str">
        <f t="shared" si="17"/>
        <v>Y</v>
      </c>
      <c r="C2212" s="478" t="s">
        <v>6690</v>
      </c>
      <c r="D2212" s="363"/>
      <c r="E2212" s="356" t="s">
        <v>6691</v>
      </c>
      <c r="F2212" s="206" t="s">
        <v>6692</v>
      </c>
      <c r="G2212" s="206" t="s">
        <v>6693</v>
      </c>
      <c r="H2212" s="207">
        <v>44739</v>
      </c>
      <c r="K2212" s="97">
        <v>9905171031</v>
      </c>
      <c r="M2212" s="212"/>
      <c r="N2212" s="213"/>
      <c r="O2212" s="209"/>
    </row>
    <row r="2213" spans="1:15" x14ac:dyDescent="0.3">
      <c r="A2213" s="302" t="s">
        <v>155</v>
      </c>
      <c r="B2213" s="302" t="str">
        <f t="shared" si="17"/>
        <v>Y</v>
      </c>
      <c r="C2213" s="477" t="s">
        <v>6694</v>
      </c>
      <c r="D2213" s="362"/>
      <c r="E2213" s="356" t="s">
        <v>6695</v>
      </c>
      <c r="F2213" s="206" t="s">
        <v>6696</v>
      </c>
      <c r="G2213" s="206" t="s">
        <v>6697</v>
      </c>
      <c r="H2213" s="207">
        <v>44741</v>
      </c>
      <c r="K2213" s="97">
        <v>8797741034</v>
      </c>
      <c r="M2213" s="212"/>
      <c r="N2213" s="213"/>
      <c r="O2213" s="209"/>
    </row>
    <row r="2214" spans="1:15" x14ac:dyDescent="0.3">
      <c r="A2214" s="302" t="s">
        <v>155</v>
      </c>
      <c r="B2214" s="302" t="str">
        <f t="shared" si="17"/>
        <v>Y</v>
      </c>
      <c r="C2214" s="477" t="s">
        <v>6698</v>
      </c>
      <c r="D2214" s="362"/>
      <c r="E2214" s="356" t="s">
        <v>6699</v>
      </c>
      <c r="F2214" s="206" t="s">
        <v>6700</v>
      </c>
      <c r="G2214" s="206" t="s">
        <v>6697</v>
      </c>
      <c r="H2214" s="207">
        <v>44741</v>
      </c>
      <c r="K2214" s="97">
        <v>9905408913</v>
      </c>
      <c r="M2214" s="212"/>
      <c r="N2214" s="213"/>
      <c r="O2214" s="209"/>
    </row>
    <row r="2215" spans="1:15" x14ac:dyDescent="0.3">
      <c r="A2215" s="302" t="s">
        <v>155</v>
      </c>
      <c r="B2215" s="302" t="str">
        <f t="shared" si="17"/>
        <v>Y</v>
      </c>
      <c r="C2215" s="477" t="s">
        <v>6701</v>
      </c>
      <c r="D2215" s="362"/>
      <c r="E2215" s="356" t="s">
        <v>1223</v>
      </c>
      <c r="F2215" s="206" t="s">
        <v>6702</v>
      </c>
      <c r="G2215" s="206" t="s">
        <v>6703</v>
      </c>
      <c r="H2215" s="207">
        <v>44742</v>
      </c>
      <c r="K2215" s="97">
        <v>8789587330</v>
      </c>
      <c r="M2215" s="212"/>
      <c r="N2215" s="213"/>
      <c r="O2215" s="209"/>
    </row>
    <row r="2216" spans="1:15" x14ac:dyDescent="0.3">
      <c r="A2216" s="302" t="s">
        <v>155</v>
      </c>
      <c r="B2216" s="302" t="str">
        <f t="shared" si="17"/>
        <v>Y</v>
      </c>
      <c r="C2216" s="477" t="s">
        <v>6704</v>
      </c>
      <c r="D2216" s="362"/>
      <c r="E2216" s="356" t="s">
        <v>6705</v>
      </c>
      <c r="F2216" s="206" t="s">
        <v>6706</v>
      </c>
      <c r="G2216" s="206" t="s">
        <v>6703</v>
      </c>
      <c r="H2216" s="207">
        <v>44742</v>
      </c>
      <c r="K2216" s="97">
        <v>8709866299</v>
      </c>
      <c r="M2216" s="212"/>
      <c r="N2216" s="213"/>
      <c r="O2216" s="209"/>
    </row>
    <row r="2217" spans="1:15" x14ac:dyDescent="0.3">
      <c r="A2217" s="302" t="s">
        <v>155</v>
      </c>
      <c r="B2217" s="302" t="str">
        <f t="shared" si="17"/>
        <v>Y</v>
      </c>
      <c r="C2217" s="477" t="s">
        <v>6707</v>
      </c>
      <c r="D2217" s="362"/>
      <c r="E2217" s="356" t="s">
        <v>6708</v>
      </c>
      <c r="F2217" s="206" t="s">
        <v>6709</v>
      </c>
      <c r="G2217" s="206" t="s">
        <v>6703</v>
      </c>
      <c r="H2217" s="206" t="s">
        <v>6703</v>
      </c>
      <c r="K2217" s="97">
        <v>8092215523</v>
      </c>
      <c r="M2217" s="212"/>
      <c r="N2217" s="213"/>
      <c r="O2217" s="209"/>
    </row>
    <row r="2218" spans="1:15" x14ac:dyDescent="0.3">
      <c r="A2218" s="302" t="s">
        <v>155</v>
      </c>
      <c r="B2218" s="302" t="str">
        <f t="shared" si="17"/>
        <v>Y</v>
      </c>
      <c r="C2218" s="477" t="s">
        <v>6710</v>
      </c>
      <c r="D2218" s="362"/>
      <c r="E2218" s="356" t="s">
        <v>6711</v>
      </c>
      <c r="F2218" s="206" t="s">
        <v>6712</v>
      </c>
      <c r="G2218" s="206" t="s">
        <v>6703</v>
      </c>
      <c r="H2218" s="207">
        <v>44743</v>
      </c>
      <c r="K2218" s="97">
        <v>8434104984</v>
      </c>
      <c r="M2218" s="212"/>
      <c r="N2218" s="213"/>
      <c r="O2218" s="209"/>
    </row>
    <row r="2219" spans="1:15" x14ac:dyDescent="0.3">
      <c r="A2219" s="302" t="s">
        <v>155</v>
      </c>
      <c r="B2219" s="302" t="str">
        <f t="shared" si="17"/>
        <v>Y</v>
      </c>
      <c r="C2219" s="477" t="s">
        <v>6713</v>
      </c>
      <c r="D2219" s="362"/>
      <c r="E2219" s="356" t="s">
        <v>2621</v>
      </c>
      <c r="F2219" s="206" t="s">
        <v>6714</v>
      </c>
      <c r="G2219" s="206" t="s">
        <v>6715</v>
      </c>
      <c r="H2219" s="207">
        <v>44743</v>
      </c>
      <c r="K2219" s="97">
        <v>8709581482</v>
      </c>
      <c r="M2219" s="212"/>
      <c r="N2219" s="213"/>
      <c r="O2219" s="209"/>
    </row>
    <row r="2220" spans="1:15" x14ac:dyDescent="0.3">
      <c r="A2220" s="302" t="s">
        <v>155</v>
      </c>
      <c r="B2220" s="302" t="str">
        <f t="shared" si="17"/>
        <v>Y</v>
      </c>
      <c r="C2220" s="477" t="s">
        <v>6716</v>
      </c>
      <c r="D2220" s="362"/>
      <c r="E2220" s="356" t="s">
        <v>6717</v>
      </c>
      <c r="F2220" s="206" t="s">
        <v>4369</v>
      </c>
      <c r="G2220" s="206" t="s">
        <v>6715</v>
      </c>
      <c r="H2220" s="207">
        <v>44743</v>
      </c>
      <c r="K2220" s="97">
        <v>9693728457</v>
      </c>
      <c r="M2220" s="212"/>
      <c r="N2220" s="213"/>
      <c r="O2220" s="209"/>
    </row>
    <row r="2221" spans="1:15" x14ac:dyDescent="0.3">
      <c r="A2221" s="302" t="s">
        <v>155</v>
      </c>
      <c r="B2221" s="302" t="str">
        <f t="shared" si="17"/>
        <v>Y</v>
      </c>
      <c r="C2221" s="477" t="s">
        <v>6718</v>
      </c>
      <c r="D2221" s="362"/>
      <c r="E2221" s="356" t="s">
        <v>6719</v>
      </c>
      <c r="F2221" s="206" t="s">
        <v>6720</v>
      </c>
      <c r="G2221" s="206" t="s">
        <v>6715</v>
      </c>
      <c r="H2221" s="207">
        <v>44743</v>
      </c>
      <c r="K2221" s="97">
        <v>9123265217</v>
      </c>
      <c r="M2221" s="212"/>
      <c r="N2221" s="213"/>
      <c r="O2221" s="209"/>
    </row>
    <row r="2222" spans="1:15" x14ac:dyDescent="0.3">
      <c r="A2222" s="302" t="s">
        <v>155</v>
      </c>
      <c r="B2222" s="302" t="str">
        <f t="shared" si="17"/>
        <v>Y</v>
      </c>
      <c r="C2222" s="477" t="s">
        <v>6721</v>
      </c>
      <c r="D2222" s="362"/>
      <c r="E2222" s="353" t="s">
        <v>6722</v>
      </c>
      <c r="F2222" s="206" t="s">
        <v>6723</v>
      </c>
      <c r="G2222" s="206" t="s">
        <v>6715</v>
      </c>
      <c r="H2222" s="206" t="s">
        <v>6724</v>
      </c>
      <c r="K2222" s="97">
        <v>8539086878</v>
      </c>
      <c r="M2222" s="212"/>
      <c r="N2222" s="213"/>
      <c r="O2222" s="209"/>
    </row>
    <row r="2223" spans="1:15" x14ac:dyDescent="0.3">
      <c r="A2223" s="302" t="s">
        <v>155</v>
      </c>
      <c r="B2223" s="302" t="str">
        <f t="shared" si="17"/>
        <v>Y</v>
      </c>
      <c r="C2223" s="477" t="s">
        <v>6725</v>
      </c>
      <c r="D2223" s="362"/>
      <c r="E2223" s="353" t="s">
        <v>2429</v>
      </c>
      <c r="F2223" s="206" t="s">
        <v>2430</v>
      </c>
      <c r="G2223" s="206" t="s">
        <v>6715</v>
      </c>
      <c r="H2223" s="206" t="s">
        <v>6724</v>
      </c>
      <c r="K2223" s="97">
        <v>9709202101</v>
      </c>
      <c r="M2223" s="212"/>
      <c r="N2223" s="213"/>
      <c r="O2223" s="209"/>
    </row>
    <row r="2224" spans="1:15" x14ac:dyDescent="0.3">
      <c r="A2224" s="302" t="s">
        <v>155</v>
      </c>
      <c r="B2224" s="302" t="str">
        <f t="shared" si="17"/>
        <v>Y</v>
      </c>
      <c r="C2224" s="6" t="s">
        <v>6726</v>
      </c>
      <c r="D2224" s="327"/>
      <c r="E2224" s="353" t="s">
        <v>6404</v>
      </c>
      <c r="F2224" s="206" t="s">
        <v>6727</v>
      </c>
      <c r="G2224" s="206" t="s">
        <v>6724</v>
      </c>
      <c r="H2224" s="207">
        <v>44744</v>
      </c>
      <c r="I2224" t="s">
        <v>6728</v>
      </c>
      <c r="K2224" s="97">
        <v>9852391148</v>
      </c>
      <c r="M2224" s="212"/>
      <c r="N2224" s="213"/>
      <c r="O2224" s="209"/>
    </row>
    <row r="2225" spans="1:15" x14ac:dyDescent="0.3">
      <c r="A2225" s="302" t="s">
        <v>155</v>
      </c>
      <c r="B2225" s="302" t="str">
        <f t="shared" si="17"/>
        <v>Y</v>
      </c>
      <c r="C2225" s="477" t="s">
        <v>6729</v>
      </c>
      <c r="D2225" s="362"/>
      <c r="E2225" s="353" t="s">
        <v>6730</v>
      </c>
      <c r="F2225" s="206" t="s">
        <v>6731</v>
      </c>
      <c r="G2225" s="206" t="s">
        <v>6732</v>
      </c>
      <c r="H2225" s="207">
        <v>44745</v>
      </c>
      <c r="K2225" s="97">
        <v>6205885977</v>
      </c>
      <c r="M2225" s="212"/>
      <c r="N2225" s="213"/>
      <c r="O2225" s="209"/>
    </row>
    <row r="2226" spans="1:15" x14ac:dyDescent="0.3">
      <c r="A2226" s="302" t="s">
        <v>155</v>
      </c>
      <c r="B2226" s="302" t="str">
        <f t="shared" si="17"/>
        <v>Y</v>
      </c>
      <c r="C2226" s="477" t="s">
        <v>6733</v>
      </c>
      <c r="D2226" s="362"/>
      <c r="E2226" s="353" t="s">
        <v>6734</v>
      </c>
      <c r="F2226" s="206" t="s">
        <v>6735</v>
      </c>
      <c r="G2226" s="206" t="s">
        <v>6736</v>
      </c>
      <c r="H2226" s="206" t="s">
        <v>6736</v>
      </c>
      <c r="K2226" s="97">
        <v>9960924795</v>
      </c>
      <c r="M2226" s="212"/>
      <c r="N2226" s="213"/>
      <c r="O2226" s="209"/>
    </row>
    <row r="2227" spans="1:15" x14ac:dyDescent="0.3">
      <c r="A2227" s="302" t="s">
        <v>155</v>
      </c>
      <c r="B2227" s="302" t="str">
        <f t="shared" si="17"/>
        <v>Y</v>
      </c>
      <c r="C2227" s="6" t="s">
        <v>6737</v>
      </c>
      <c r="D2227" s="327"/>
      <c r="E2227" s="353" t="s">
        <v>6738</v>
      </c>
      <c r="F2227" s="206" t="s">
        <v>6739</v>
      </c>
      <c r="G2227" s="206" t="s">
        <v>6740</v>
      </c>
      <c r="H2227" s="206" t="s">
        <v>6740</v>
      </c>
      <c r="K2227" s="97">
        <v>9835932956</v>
      </c>
      <c r="M2227" s="212"/>
      <c r="N2227" s="213"/>
      <c r="O2227" s="209"/>
    </row>
    <row r="2228" spans="1:15" x14ac:dyDescent="0.3">
      <c r="A2228" s="302" t="s">
        <v>155</v>
      </c>
      <c r="B2228" s="302" t="str">
        <f t="shared" si="17"/>
        <v>Y</v>
      </c>
      <c r="C2228" s="6" t="s">
        <v>6741</v>
      </c>
      <c r="D2228" s="327"/>
      <c r="E2228" s="356" t="s">
        <v>6742</v>
      </c>
      <c r="F2228" s="206" t="s">
        <v>6743</v>
      </c>
      <c r="G2228" s="206" t="s">
        <v>6740</v>
      </c>
      <c r="H2228" s="207">
        <v>44749</v>
      </c>
      <c r="K2228" s="97">
        <v>6202090809</v>
      </c>
      <c r="M2228" s="212"/>
      <c r="N2228" s="213"/>
      <c r="O2228" s="209"/>
    </row>
    <row r="2229" spans="1:15" x14ac:dyDescent="0.3">
      <c r="A2229" s="302" t="s">
        <v>155</v>
      </c>
      <c r="B2229" s="302" t="str">
        <f t="shared" si="17"/>
        <v>Y</v>
      </c>
      <c r="C2229" s="6" t="s">
        <v>6744</v>
      </c>
      <c r="D2229" s="327"/>
      <c r="E2229" s="356" t="s">
        <v>6745</v>
      </c>
      <c r="F2229" s="206" t="s">
        <v>6746</v>
      </c>
      <c r="G2229" s="206" t="s">
        <v>6747</v>
      </c>
      <c r="H2229" s="206" t="s">
        <v>6747</v>
      </c>
      <c r="K2229" s="97">
        <v>7632026945</v>
      </c>
      <c r="M2229" s="212"/>
      <c r="N2229" s="213"/>
      <c r="O2229" s="209"/>
    </row>
    <row r="2230" spans="1:15" x14ac:dyDescent="0.3">
      <c r="A2230" s="302" t="s">
        <v>155</v>
      </c>
      <c r="B2230" s="302" t="str">
        <f t="shared" si="17"/>
        <v>Y</v>
      </c>
      <c r="C2230" s="6" t="s">
        <v>6748</v>
      </c>
      <c r="D2230" s="327"/>
      <c r="E2230" s="356" t="s">
        <v>6749</v>
      </c>
      <c r="F2230" s="206" t="s">
        <v>6750</v>
      </c>
      <c r="G2230" s="206" t="s">
        <v>6747</v>
      </c>
      <c r="H2230" s="206" t="s">
        <v>6747</v>
      </c>
      <c r="K2230" s="97">
        <v>7979738994</v>
      </c>
      <c r="M2230" s="212"/>
      <c r="N2230" s="213"/>
      <c r="O2230" s="209"/>
    </row>
    <row r="2231" spans="1:15" x14ac:dyDescent="0.3">
      <c r="A2231" s="302" t="s">
        <v>155</v>
      </c>
      <c r="B2231" s="302" t="str">
        <f t="shared" si="17"/>
        <v>Y</v>
      </c>
      <c r="C2231" s="6" t="s">
        <v>6751</v>
      </c>
      <c r="D2231" s="327"/>
      <c r="E2231" s="356" t="s">
        <v>6752</v>
      </c>
      <c r="F2231" s="206" t="s">
        <v>6753</v>
      </c>
      <c r="G2231" s="206" t="s">
        <v>6747</v>
      </c>
      <c r="H2231" s="207">
        <v>44751</v>
      </c>
      <c r="K2231" s="97">
        <v>7004499156</v>
      </c>
      <c r="M2231" s="212"/>
      <c r="N2231" s="213"/>
      <c r="O2231" s="209"/>
    </row>
    <row r="2232" spans="1:15" x14ac:dyDescent="0.3">
      <c r="A2232" s="302" t="s">
        <v>155</v>
      </c>
      <c r="B2232" s="302" t="str">
        <f t="shared" si="17"/>
        <v>Y</v>
      </c>
      <c r="C2232" s="6" t="s">
        <v>6617</v>
      </c>
      <c r="D2232" s="327"/>
      <c r="E2232" s="356" t="s">
        <v>1561</v>
      </c>
      <c r="F2232" s="206" t="s">
        <v>6754</v>
      </c>
      <c r="G2232" s="206" t="s">
        <v>6755</v>
      </c>
      <c r="H2232" s="207">
        <v>44751</v>
      </c>
      <c r="I2232" t="s">
        <v>6756</v>
      </c>
      <c r="K2232" s="97">
        <v>7061979825</v>
      </c>
      <c r="L2232" t="s">
        <v>6757</v>
      </c>
      <c r="M2232" s="212"/>
      <c r="N2232" s="213"/>
      <c r="O2232" s="209"/>
    </row>
    <row r="2233" spans="1:15" x14ac:dyDescent="0.3">
      <c r="A2233" s="302" t="s">
        <v>155</v>
      </c>
      <c r="B2233" s="302" t="str">
        <f t="shared" si="17"/>
        <v>Y</v>
      </c>
      <c r="C2233" s="6" t="s">
        <v>6758</v>
      </c>
      <c r="D2233" s="327"/>
      <c r="E2233" s="356" t="s">
        <v>2572</v>
      </c>
      <c r="F2233" s="206" t="s">
        <v>6759</v>
      </c>
      <c r="G2233" s="206" t="s">
        <v>6760</v>
      </c>
      <c r="H2233" s="207">
        <v>44753</v>
      </c>
      <c r="K2233" s="97">
        <v>8789189448</v>
      </c>
      <c r="M2233" s="212"/>
      <c r="N2233" s="213"/>
      <c r="O2233" s="209"/>
    </row>
    <row r="2234" spans="1:15" x14ac:dyDescent="0.3">
      <c r="A2234" s="302" t="s">
        <v>155</v>
      </c>
      <c r="B2234" s="302" t="str">
        <f t="shared" si="17"/>
        <v>Y</v>
      </c>
      <c r="C2234" s="6" t="s">
        <v>6761</v>
      </c>
      <c r="D2234" s="327"/>
      <c r="E2234" s="356" t="s">
        <v>6762</v>
      </c>
      <c r="F2234" s="206" t="s">
        <v>6763</v>
      </c>
      <c r="G2234" s="206" t="s">
        <v>6763</v>
      </c>
      <c r="H2234" s="206" t="s">
        <v>6763</v>
      </c>
      <c r="K2234" s="97">
        <v>7667474506</v>
      </c>
      <c r="M2234" s="212"/>
      <c r="N2234" s="213"/>
      <c r="O2234" s="209"/>
    </row>
    <row r="2235" spans="1:15" x14ac:dyDescent="0.3">
      <c r="A2235" s="302" t="s">
        <v>155</v>
      </c>
      <c r="B2235" s="302" t="str">
        <f t="shared" si="17"/>
        <v>Y</v>
      </c>
      <c r="C2235" s="6" t="s">
        <v>6764</v>
      </c>
      <c r="D2235" s="327"/>
      <c r="E2235" s="356" t="s">
        <v>6765</v>
      </c>
      <c r="F2235" s="206" t="s">
        <v>6766</v>
      </c>
      <c r="G2235" s="206" t="s">
        <v>6767</v>
      </c>
      <c r="H2235" s="206" t="s">
        <v>6767</v>
      </c>
      <c r="K2235" s="97">
        <v>6204821642</v>
      </c>
      <c r="M2235" s="212"/>
      <c r="N2235" s="213"/>
      <c r="O2235" s="209"/>
    </row>
    <row r="2236" spans="1:15" x14ac:dyDescent="0.3">
      <c r="A2236" s="302" t="s">
        <v>155</v>
      </c>
      <c r="B2236" s="302" t="str">
        <f t="shared" si="17"/>
        <v>Y</v>
      </c>
      <c r="C2236" s="6" t="s">
        <v>6768</v>
      </c>
      <c r="D2236" s="327"/>
      <c r="E2236" s="356" t="s">
        <v>2877</v>
      </c>
      <c r="F2236" s="206" t="s">
        <v>6769</v>
      </c>
      <c r="G2236" s="206" t="s">
        <v>6767</v>
      </c>
      <c r="H2236" s="206" t="s">
        <v>6767</v>
      </c>
      <c r="K2236" s="97">
        <v>7480987422</v>
      </c>
      <c r="M2236" s="212"/>
      <c r="N2236" s="213"/>
      <c r="O2236" s="209"/>
    </row>
    <row r="2237" spans="1:15" x14ac:dyDescent="0.3">
      <c r="A2237" s="302" t="s">
        <v>155</v>
      </c>
      <c r="B2237" s="302" t="str">
        <f t="shared" si="17"/>
        <v>Y</v>
      </c>
      <c r="C2237" s="6" t="s">
        <v>6770</v>
      </c>
      <c r="D2237" s="327"/>
      <c r="E2237" s="356" t="s">
        <v>6771</v>
      </c>
      <c r="F2237" s="206" t="s">
        <v>6772</v>
      </c>
      <c r="G2237" s="206" t="s">
        <v>6773</v>
      </c>
      <c r="H2237" s="206" t="s">
        <v>6773</v>
      </c>
      <c r="K2237" s="97">
        <v>7209980122</v>
      </c>
      <c r="M2237" s="212"/>
      <c r="N2237" s="213"/>
      <c r="O2237" s="209"/>
    </row>
    <row r="2238" spans="1:15" x14ac:dyDescent="0.3">
      <c r="A2238" s="302" t="s">
        <v>155</v>
      </c>
      <c r="B2238" s="302" t="str">
        <f t="shared" si="17"/>
        <v>Y</v>
      </c>
      <c r="C2238" s="6" t="s">
        <v>6774</v>
      </c>
      <c r="D2238" s="327"/>
      <c r="E2238" s="356" t="s">
        <v>6775</v>
      </c>
      <c r="F2238" s="206" t="s">
        <v>6776</v>
      </c>
      <c r="G2238" s="206" t="s">
        <v>6777</v>
      </c>
      <c r="H2238" s="206" t="s">
        <v>6777</v>
      </c>
      <c r="K2238" s="97">
        <v>7079200424</v>
      </c>
      <c r="M2238" s="212"/>
      <c r="N2238" s="213"/>
      <c r="O2238" s="209"/>
    </row>
    <row r="2239" spans="1:15" x14ac:dyDescent="0.3">
      <c r="A2239" s="302" t="s">
        <v>155</v>
      </c>
      <c r="B2239" s="302" t="str">
        <f t="shared" si="17"/>
        <v>Y</v>
      </c>
      <c r="C2239" s="6" t="s">
        <v>6778</v>
      </c>
      <c r="D2239" s="327"/>
      <c r="E2239" s="356" t="s">
        <v>6779</v>
      </c>
      <c r="F2239" s="206" t="s">
        <v>6780</v>
      </c>
      <c r="G2239" s="206" t="s">
        <v>6777</v>
      </c>
      <c r="H2239" s="206" t="s">
        <v>6777</v>
      </c>
      <c r="K2239" s="97">
        <v>8825141379</v>
      </c>
      <c r="M2239" s="212"/>
      <c r="N2239" s="213"/>
      <c r="O2239" s="209"/>
    </row>
    <row r="2240" spans="1:15" x14ac:dyDescent="0.3">
      <c r="A2240" s="302" t="s">
        <v>155</v>
      </c>
      <c r="B2240" s="302" t="str">
        <f t="shared" si="17"/>
        <v>Y</v>
      </c>
      <c r="C2240" s="6" t="s">
        <v>6781</v>
      </c>
      <c r="D2240" s="327"/>
      <c r="E2240" s="356" t="s">
        <v>6782</v>
      </c>
      <c r="F2240" s="206" t="s">
        <v>6783</v>
      </c>
      <c r="G2240" s="206" t="s">
        <v>6784</v>
      </c>
      <c r="H2240" s="206" t="s">
        <v>6784</v>
      </c>
      <c r="K2240" s="97">
        <v>6207231017</v>
      </c>
      <c r="M2240" s="212"/>
      <c r="N2240" s="213"/>
      <c r="O2240" s="209"/>
    </row>
    <row r="2241" spans="1:15" x14ac:dyDescent="0.3">
      <c r="A2241" s="302" t="s">
        <v>155</v>
      </c>
      <c r="B2241" s="302" t="str">
        <f t="shared" si="17"/>
        <v>Y</v>
      </c>
      <c r="C2241" s="6" t="s">
        <v>6785</v>
      </c>
      <c r="D2241" s="327"/>
      <c r="E2241" s="356" t="s">
        <v>6786</v>
      </c>
      <c r="F2241" s="206" t="s">
        <v>6783</v>
      </c>
      <c r="G2241" s="206" t="s">
        <v>6784</v>
      </c>
      <c r="H2241" s="206" t="s">
        <v>6784</v>
      </c>
      <c r="K2241" s="97">
        <v>6207231017</v>
      </c>
      <c r="M2241" s="212"/>
      <c r="N2241" s="213"/>
      <c r="O2241" s="209"/>
    </row>
    <row r="2242" spans="1:15" x14ac:dyDescent="0.3">
      <c r="A2242" s="302" t="s">
        <v>155</v>
      </c>
      <c r="B2242" s="302" t="str">
        <f t="shared" si="17"/>
        <v>Y</v>
      </c>
      <c r="C2242" s="6" t="s">
        <v>6787</v>
      </c>
      <c r="D2242" s="327"/>
      <c r="E2242" s="356" t="s">
        <v>6788</v>
      </c>
      <c r="F2242" s="206" t="s">
        <v>6789</v>
      </c>
      <c r="G2242" s="206" t="s">
        <v>6784</v>
      </c>
      <c r="H2242" s="206" t="s">
        <v>6784</v>
      </c>
      <c r="K2242" s="97">
        <v>9546262171</v>
      </c>
      <c r="M2242" s="212"/>
      <c r="N2242" s="213"/>
      <c r="O2242" s="209"/>
    </row>
    <row r="2243" spans="1:15" x14ac:dyDescent="0.3">
      <c r="A2243" s="302" t="s">
        <v>155</v>
      </c>
      <c r="B2243" s="302" t="str">
        <f t="shared" si="17"/>
        <v>Y</v>
      </c>
      <c r="C2243" s="6" t="s">
        <v>6790</v>
      </c>
      <c r="D2243" s="327"/>
      <c r="E2243" s="356" t="s">
        <v>6791</v>
      </c>
      <c r="F2243" s="206" t="s">
        <v>6792</v>
      </c>
      <c r="G2243" s="206" t="s">
        <v>6784</v>
      </c>
      <c r="H2243" s="206" t="s">
        <v>6784</v>
      </c>
      <c r="K2243" s="97">
        <v>8797022852</v>
      </c>
      <c r="M2243" s="212"/>
      <c r="N2243" s="213"/>
      <c r="O2243" s="209"/>
    </row>
    <row r="2244" spans="1:15" x14ac:dyDescent="0.3">
      <c r="A2244" s="302" t="s">
        <v>155</v>
      </c>
      <c r="B2244" s="302" t="str">
        <f t="shared" si="17"/>
        <v>Y</v>
      </c>
      <c r="C2244" s="6" t="s">
        <v>6793</v>
      </c>
      <c r="D2244" s="327"/>
      <c r="E2244" s="356" t="s">
        <v>6794</v>
      </c>
      <c r="F2244" s="206" t="s">
        <v>6795</v>
      </c>
      <c r="G2244" s="206" t="s">
        <v>6784</v>
      </c>
      <c r="H2244" s="206" t="s">
        <v>6784</v>
      </c>
      <c r="K2244" s="97">
        <v>6206925891</v>
      </c>
      <c r="M2244" s="212"/>
      <c r="N2244" s="213"/>
      <c r="O2244" s="209"/>
    </row>
    <row r="2245" spans="1:15" x14ac:dyDescent="0.3">
      <c r="A2245" s="302" t="s">
        <v>155</v>
      </c>
      <c r="B2245" s="302" t="str">
        <f t="shared" si="17"/>
        <v>Y</v>
      </c>
      <c r="C2245" s="6" t="s">
        <v>6796</v>
      </c>
      <c r="D2245" s="327"/>
      <c r="E2245" s="356" t="s">
        <v>6797</v>
      </c>
      <c r="F2245" s="206" t="s">
        <v>6798</v>
      </c>
      <c r="G2245" s="206" t="s">
        <v>6799</v>
      </c>
      <c r="H2245" s="206" t="s">
        <v>6799</v>
      </c>
      <c r="K2245" s="97">
        <v>7645971013</v>
      </c>
      <c r="M2245" s="212"/>
      <c r="N2245" s="213"/>
      <c r="O2245" s="209"/>
    </row>
    <row r="2246" spans="1:15" x14ac:dyDescent="0.3">
      <c r="A2246" s="302" t="s">
        <v>155</v>
      </c>
      <c r="B2246" s="302" t="str">
        <f t="shared" si="17"/>
        <v>Y</v>
      </c>
      <c r="C2246" s="6" t="s">
        <v>6800</v>
      </c>
      <c r="D2246" s="327"/>
      <c r="E2246" s="356" t="s">
        <v>6801</v>
      </c>
      <c r="F2246" s="206" t="s">
        <v>6802</v>
      </c>
      <c r="G2246" s="206" t="s">
        <v>6799</v>
      </c>
      <c r="H2246" s="206" t="s">
        <v>6799</v>
      </c>
      <c r="K2246" s="97">
        <v>8235442291</v>
      </c>
      <c r="M2246" s="212"/>
      <c r="N2246" s="213"/>
      <c r="O2246" s="209"/>
    </row>
    <row r="2247" spans="1:15" x14ac:dyDescent="0.3">
      <c r="A2247" s="302" t="s">
        <v>155</v>
      </c>
      <c r="B2247" s="302" t="str">
        <f t="shared" si="17"/>
        <v>Y</v>
      </c>
      <c r="C2247" s="6" t="s">
        <v>6803</v>
      </c>
      <c r="D2247" s="327"/>
      <c r="E2247" s="356" t="s">
        <v>6804</v>
      </c>
      <c r="F2247" s="206" t="s">
        <v>6805</v>
      </c>
      <c r="G2247" s="206" t="s">
        <v>6799</v>
      </c>
      <c r="H2247" s="206" t="s">
        <v>6799</v>
      </c>
      <c r="K2247" s="97">
        <v>7493969202</v>
      </c>
      <c r="M2247" s="212"/>
      <c r="N2247" s="213"/>
      <c r="O2247" s="209"/>
    </row>
    <row r="2248" spans="1:15" x14ac:dyDescent="0.3">
      <c r="A2248" s="302" t="s">
        <v>155</v>
      </c>
      <c r="B2248" s="302" t="str">
        <f t="shared" si="17"/>
        <v>Y</v>
      </c>
      <c r="C2248" s="6" t="s">
        <v>6806</v>
      </c>
      <c r="D2248" s="327"/>
      <c r="E2248" s="356" t="s">
        <v>6807</v>
      </c>
      <c r="F2248" s="206" t="s">
        <v>6808</v>
      </c>
      <c r="G2248" s="206" t="s">
        <v>6799</v>
      </c>
      <c r="H2248" s="206" t="s">
        <v>6799</v>
      </c>
      <c r="K2248" s="97">
        <v>7033533868</v>
      </c>
      <c r="M2248" s="212"/>
      <c r="N2248" s="213"/>
      <c r="O2248" s="209"/>
    </row>
    <row r="2249" spans="1:15" x14ac:dyDescent="0.3">
      <c r="A2249" s="302" t="s">
        <v>155</v>
      </c>
      <c r="B2249" s="302" t="str">
        <f t="shared" si="17"/>
        <v>Y</v>
      </c>
      <c r="C2249" s="6" t="s">
        <v>6809</v>
      </c>
      <c r="D2249" s="327"/>
      <c r="E2249" s="356" t="s">
        <v>6810</v>
      </c>
      <c r="F2249" s="206" t="s">
        <v>6811</v>
      </c>
      <c r="G2249" s="206" t="s">
        <v>6799</v>
      </c>
      <c r="H2249" s="206" t="s">
        <v>6799</v>
      </c>
      <c r="K2249" s="97">
        <v>9162518427</v>
      </c>
      <c r="M2249" s="212"/>
      <c r="N2249" s="213"/>
      <c r="O2249" s="209"/>
    </row>
    <row r="2250" spans="1:15" x14ac:dyDescent="0.3">
      <c r="A2250" s="302" t="s">
        <v>155</v>
      </c>
      <c r="B2250" s="302" t="str">
        <f t="shared" si="17"/>
        <v>Y</v>
      </c>
      <c r="C2250" s="6" t="s">
        <v>6812</v>
      </c>
      <c r="D2250" s="327"/>
      <c r="E2250" s="356" t="s">
        <v>6813</v>
      </c>
      <c r="F2250" s="206" t="s">
        <v>6814</v>
      </c>
      <c r="G2250" s="206" t="s">
        <v>6799</v>
      </c>
      <c r="H2250" s="206" t="s">
        <v>6799</v>
      </c>
      <c r="K2250" s="97">
        <v>8092612623</v>
      </c>
      <c r="M2250" s="212"/>
      <c r="N2250" s="213"/>
      <c r="O2250" s="209"/>
    </row>
    <row r="2251" spans="1:15" x14ac:dyDescent="0.3">
      <c r="A2251" s="302" t="s">
        <v>155</v>
      </c>
      <c r="B2251" s="302" t="str">
        <f t="shared" si="17"/>
        <v>Y</v>
      </c>
      <c r="C2251" s="6" t="s">
        <v>6815</v>
      </c>
      <c r="D2251" s="327"/>
      <c r="E2251" s="356" t="s">
        <v>6816</v>
      </c>
      <c r="F2251" s="206" t="s">
        <v>6817</v>
      </c>
      <c r="G2251" s="206" t="s">
        <v>6818</v>
      </c>
      <c r="H2251" s="207">
        <v>44765</v>
      </c>
      <c r="K2251" s="97">
        <v>9031212369</v>
      </c>
      <c r="M2251" s="212"/>
      <c r="N2251" s="213"/>
      <c r="O2251" s="209"/>
    </row>
    <row r="2252" spans="1:15" x14ac:dyDescent="0.3">
      <c r="A2252" s="302" t="s">
        <v>155</v>
      </c>
      <c r="B2252" s="302" t="str">
        <f t="shared" si="17"/>
        <v>Y</v>
      </c>
      <c r="C2252" s="6" t="s">
        <v>6819</v>
      </c>
      <c r="D2252" s="327"/>
      <c r="E2252" s="356" t="s">
        <v>6820</v>
      </c>
      <c r="F2252" s="206" t="s">
        <v>6821</v>
      </c>
      <c r="G2252" s="206" t="s">
        <v>6818</v>
      </c>
      <c r="H2252" s="207">
        <v>44765</v>
      </c>
      <c r="K2252" s="97">
        <v>9304769459</v>
      </c>
      <c r="M2252" s="212"/>
      <c r="N2252" s="213"/>
      <c r="O2252" s="209"/>
    </row>
    <row r="2253" spans="1:15" x14ac:dyDescent="0.3">
      <c r="A2253" s="302" t="s">
        <v>155</v>
      </c>
      <c r="B2253" s="302" t="str">
        <f t="shared" si="17"/>
        <v>Y</v>
      </c>
      <c r="C2253" s="6" t="s">
        <v>6822</v>
      </c>
      <c r="D2253" s="327"/>
      <c r="E2253" s="356" t="s">
        <v>6823</v>
      </c>
      <c r="F2253" s="206" t="s">
        <v>6824</v>
      </c>
      <c r="G2253" s="206" t="s">
        <v>6818</v>
      </c>
      <c r="H2253" s="207">
        <v>44765</v>
      </c>
      <c r="K2253" s="97">
        <v>7261812342</v>
      </c>
      <c r="M2253" s="212"/>
      <c r="N2253" s="213"/>
      <c r="O2253" s="209"/>
    </row>
    <row r="2254" spans="1:15" x14ac:dyDescent="0.3">
      <c r="A2254" s="302" t="s">
        <v>155</v>
      </c>
      <c r="B2254" s="302" t="str">
        <f t="shared" si="17"/>
        <v>Y</v>
      </c>
      <c r="C2254" s="6" t="s">
        <v>6825</v>
      </c>
      <c r="D2254" s="327"/>
      <c r="E2254" s="356" t="s">
        <v>6826</v>
      </c>
      <c r="F2254" s="206" t="s">
        <v>6827</v>
      </c>
      <c r="G2254" s="206" t="s">
        <v>6818</v>
      </c>
      <c r="H2254" s="207">
        <v>44768</v>
      </c>
      <c r="K2254" s="97">
        <v>7250980141</v>
      </c>
      <c r="M2254" s="212"/>
      <c r="N2254" s="213"/>
      <c r="O2254" s="209"/>
    </row>
    <row r="2255" spans="1:15" x14ac:dyDescent="0.3">
      <c r="A2255" s="302" t="s">
        <v>155</v>
      </c>
      <c r="B2255" s="302" t="str">
        <f t="shared" si="17"/>
        <v>Y</v>
      </c>
      <c r="C2255" s="6" t="s">
        <v>6828</v>
      </c>
      <c r="D2255" s="327"/>
      <c r="E2255" s="356" t="s">
        <v>6829</v>
      </c>
      <c r="F2255" s="206" t="s">
        <v>6830</v>
      </c>
      <c r="G2255" s="206" t="s">
        <v>6831</v>
      </c>
      <c r="H2255" s="206" t="s">
        <v>6831</v>
      </c>
      <c r="K2255" s="97">
        <v>8877044383</v>
      </c>
      <c r="M2255" s="212"/>
      <c r="N2255" s="213"/>
      <c r="O2255" s="209"/>
    </row>
    <row r="2256" spans="1:15" x14ac:dyDescent="0.3">
      <c r="A2256" s="302" t="s">
        <v>155</v>
      </c>
      <c r="B2256" s="302" t="str">
        <f t="shared" ref="B2256:B2319" si="18">IF(H2256="","N","Y")</f>
        <v>Y</v>
      </c>
      <c r="C2256" s="6" t="s">
        <v>6832</v>
      </c>
      <c r="D2256" s="327"/>
      <c r="E2256" s="356" t="s">
        <v>6833</v>
      </c>
      <c r="F2256" s="280">
        <v>35454</v>
      </c>
      <c r="G2256" s="280">
        <v>44768</v>
      </c>
      <c r="H2256" s="280">
        <v>44768</v>
      </c>
      <c r="K2256" s="97">
        <v>8235282393</v>
      </c>
    </row>
    <row r="2257" spans="1:11" x14ac:dyDescent="0.3">
      <c r="A2257" s="302" t="s">
        <v>155</v>
      </c>
      <c r="B2257" s="302" t="str">
        <f t="shared" si="18"/>
        <v>Y</v>
      </c>
      <c r="C2257" s="6" t="s">
        <v>6834</v>
      </c>
      <c r="D2257" s="327"/>
      <c r="E2257" s="356" t="s">
        <v>3034</v>
      </c>
      <c r="F2257" s="280">
        <v>32014</v>
      </c>
      <c r="G2257" s="280">
        <v>44769</v>
      </c>
      <c r="H2257" s="280">
        <v>44769</v>
      </c>
      <c r="K2257" s="97">
        <v>9113120575</v>
      </c>
    </row>
    <row r="2258" spans="1:11" x14ac:dyDescent="0.3">
      <c r="A2258" s="302" t="s">
        <v>155</v>
      </c>
      <c r="B2258" s="302" t="str">
        <f t="shared" si="18"/>
        <v>Y</v>
      </c>
      <c r="C2258" s="6" t="s">
        <v>6835</v>
      </c>
      <c r="D2258" s="327"/>
      <c r="E2258" s="356" t="s">
        <v>6836</v>
      </c>
      <c r="F2258" s="280">
        <v>37887</v>
      </c>
      <c r="G2258" s="280">
        <v>44769</v>
      </c>
      <c r="H2258" s="280">
        <v>44769</v>
      </c>
      <c r="K2258" s="97">
        <v>8603865392</v>
      </c>
    </row>
    <row r="2259" spans="1:11" x14ac:dyDescent="0.3">
      <c r="A2259" s="302" t="s">
        <v>155</v>
      </c>
      <c r="B2259" s="302" t="str">
        <f t="shared" si="18"/>
        <v>Y</v>
      </c>
      <c r="C2259" s="6" t="s">
        <v>6837</v>
      </c>
      <c r="D2259" s="327"/>
      <c r="E2259" s="356" t="s">
        <v>6838</v>
      </c>
      <c r="F2259" s="280">
        <v>37821</v>
      </c>
      <c r="G2259" s="280">
        <v>44769</v>
      </c>
      <c r="H2259" s="280">
        <v>44769</v>
      </c>
      <c r="K2259" s="97">
        <v>9142823992</v>
      </c>
    </row>
    <row r="2260" spans="1:11" x14ac:dyDescent="0.3">
      <c r="A2260" s="302" t="s">
        <v>155</v>
      </c>
      <c r="B2260" s="302" t="str">
        <f t="shared" si="18"/>
        <v>Y</v>
      </c>
      <c r="C2260" s="6" t="s">
        <v>6839</v>
      </c>
      <c r="D2260" s="327"/>
      <c r="E2260" s="356" t="s">
        <v>6840</v>
      </c>
      <c r="F2260" s="280">
        <v>38049</v>
      </c>
      <c r="G2260" s="280">
        <v>44769</v>
      </c>
      <c r="H2260" s="280">
        <v>44769</v>
      </c>
      <c r="K2260" s="97">
        <v>9031721398</v>
      </c>
    </row>
    <row r="2261" spans="1:11" x14ac:dyDescent="0.3">
      <c r="A2261" s="302" t="s">
        <v>155</v>
      </c>
      <c r="B2261" s="302" t="str">
        <f t="shared" si="18"/>
        <v>Y</v>
      </c>
      <c r="C2261" s="6" t="s">
        <v>6841</v>
      </c>
      <c r="D2261" s="327"/>
      <c r="E2261" s="356" t="s">
        <v>6842</v>
      </c>
      <c r="F2261" s="280">
        <v>26130</v>
      </c>
      <c r="G2261" s="280">
        <v>44771</v>
      </c>
      <c r="H2261" s="280">
        <v>44771</v>
      </c>
      <c r="K2261" s="97">
        <v>7209482417</v>
      </c>
    </row>
    <row r="2262" spans="1:11" x14ac:dyDescent="0.3">
      <c r="A2262" s="302" t="s">
        <v>155</v>
      </c>
      <c r="B2262" s="302" t="str">
        <f t="shared" si="18"/>
        <v>Y</v>
      </c>
      <c r="C2262" s="6" t="s">
        <v>6843</v>
      </c>
      <c r="D2262" s="327"/>
      <c r="E2262" s="356" t="s">
        <v>6844</v>
      </c>
      <c r="F2262" s="280">
        <v>28365</v>
      </c>
      <c r="G2262" s="280">
        <v>44771</v>
      </c>
      <c r="H2262" s="280">
        <v>44771</v>
      </c>
      <c r="K2262" s="97">
        <v>9771219893</v>
      </c>
    </row>
    <row r="2263" spans="1:11" x14ac:dyDescent="0.3">
      <c r="A2263" s="302" t="s">
        <v>155</v>
      </c>
      <c r="B2263" s="302" t="str">
        <f t="shared" si="18"/>
        <v>Y</v>
      </c>
      <c r="C2263" s="6" t="s">
        <v>6845</v>
      </c>
      <c r="D2263" s="327"/>
      <c r="E2263" s="356" t="s">
        <v>6846</v>
      </c>
      <c r="F2263" s="280">
        <v>37978</v>
      </c>
      <c r="G2263" s="280">
        <v>44771</v>
      </c>
      <c r="H2263" s="280">
        <v>44771</v>
      </c>
      <c r="K2263" s="97">
        <v>7633972778</v>
      </c>
    </row>
    <row r="2264" spans="1:11" x14ac:dyDescent="0.3">
      <c r="A2264" s="302" t="s">
        <v>155</v>
      </c>
      <c r="B2264" s="302" t="str">
        <f t="shared" si="18"/>
        <v>Y</v>
      </c>
      <c r="C2264" s="6" t="s">
        <v>6847</v>
      </c>
      <c r="D2264" s="327"/>
      <c r="E2264" s="356" t="s">
        <v>6303</v>
      </c>
      <c r="F2264" s="280">
        <v>37808</v>
      </c>
      <c r="G2264" s="280">
        <v>44772</v>
      </c>
      <c r="H2264" s="280">
        <v>44773</v>
      </c>
      <c r="K2264" s="97">
        <v>7859884062</v>
      </c>
    </row>
    <row r="2265" spans="1:11" x14ac:dyDescent="0.3">
      <c r="A2265" s="302" t="s">
        <v>155</v>
      </c>
      <c r="B2265" s="302" t="str">
        <f t="shared" si="18"/>
        <v>Y</v>
      </c>
      <c r="C2265" s="6" t="s">
        <v>6848</v>
      </c>
      <c r="D2265" s="327"/>
      <c r="E2265" s="356" t="s">
        <v>6056</v>
      </c>
      <c r="F2265" s="280">
        <v>24141</v>
      </c>
      <c r="G2265" s="280">
        <v>44776</v>
      </c>
      <c r="H2265" s="280">
        <v>44776</v>
      </c>
      <c r="K2265" s="97">
        <v>7091596028</v>
      </c>
    </row>
    <row r="2266" spans="1:11" x14ac:dyDescent="0.3">
      <c r="A2266" s="302" t="s">
        <v>155</v>
      </c>
      <c r="B2266" s="302" t="str">
        <f t="shared" si="18"/>
        <v>Y</v>
      </c>
      <c r="C2266" s="6" t="s">
        <v>6849</v>
      </c>
      <c r="D2266" s="327"/>
      <c r="E2266" s="356" t="s">
        <v>6850</v>
      </c>
      <c r="F2266" s="280">
        <v>31612</v>
      </c>
      <c r="G2266" s="280">
        <v>44776</v>
      </c>
      <c r="H2266" s="280">
        <v>44776</v>
      </c>
      <c r="K2266" s="97">
        <v>6201315865</v>
      </c>
    </row>
    <row r="2267" spans="1:11" x14ac:dyDescent="0.3">
      <c r="A2267" s="302" t="s">
        <v>155</v>
      </c>
      <c r="B2267" s="302" t="str">
        <f t="shared" si="18"/>
        <v>Y</v>
      </c>
      <c r="C2267" s="6" t="s">
        <v>6851</v>
      </c>
      <c r="D2267" s="327"/>
      <c r="E2267" s="356" t="s">
        <v>6852</v>
      </c>
      <c r="F2267" s="280">
        <v>37841</v>
      </c>
      <c r="G2267" s="280">
        <v>44776</v>
      </c>
      <c r="H2267" s="280">
        <v>44776</v>
      </c>
      <c r="K2267" s="97">
        <v>6209332003</v>
      </c>
    </row>
    <row r="2268" spans="1:11" x14ac:dyDescent="0.3">
      <c r="A2268" s="302" t="s">
        <v>155</v>
      </c>
      <c r="B2268" s="302" t="str">
        <f t="shared" si="18"/>
        <v>Y</v>
      </c>
      <c r="C2268" s="6" t="s">
        <v>6853</v>
      </c>
      <c r="D2268" s="327"/>
      <c r="E2268" s="356" t="s">
        <v>6626</v>
      </c>
      <c r="F2268" s="280">
        <v>16803</v>
      </c>
      <c r="G2268" s="280">
        <v>44776</v>
      </c>
      <c r="H2268" s="280">
        <v>44776</v>
      </c>
      <c r="K2268" s="97">
        <v>9263733011</v>
      </c>
    </row>
    <row r="2269" spans="1:11" x14ac:dyDescent="0.3">
      <c r="A2269" s="302" t="s">
        <v>155</v>
      </c>
      <c r="B2269" s="302" t="str">
        <f t="shared" si="18"/>
        <v>Y</v>
      </c>
      <c r="C2269" s="6" t="s">
        <v>6854</v>
      </c>
      <c r="D2269" s="327"/>
      <c r="E2269" s="356" t="s">
        <v>713</v>
      </c>
      <c r="F2269" s="280">
        <v>30225</v>
      </c>
      <c r="G2269" s="280">
        <v>44778</v>
      </c>
      <c r="H2269" s="280">
        <v>44778</v>
      </c>
      <c r="K2269" s="97">
        <v>9534223592</v>
      </c>
    </row>
    <row r="2270" spans="1:11" x14ac:dyDescent="0.3">
      <c r="A2270" s="302" t="s">
        <v>155</v>
      </c>
      <c r="B2270" s="302" t="str">
        <f t="shared" si="18"/>
        <v>Y</v>
      </c>
      <c r="C2270" s="6" t="s">
        <v>6855</v>
      </c>
      <c r="D2270" s="327"/>
      <c r="E2270" s="356" t="s">
        <v>6856</v>
      </c>
      <c r="F2270" s="280">
        <v>37521</v>
      </c>
      <c r="G2270" s="280">
        <v>44778</v>
      </c>
      <c r="H2270" s="280">
        <v>44778</v>
      </c>
      <c r="K2270" s="97">
        <v>9939939409</v>
      </c>
    </row>
    <row r="2271" spans="1:11" x14ac:dyDescent="0.3">
      <c r="A2271" s="302" t="s">
        <v>155</v>
      </c>
      <c r="B2271" s="302" t="str">
        <f t="shared" si="18"/>
        <v>Y</v>
      </c>
      <c r="C2271" s="6" t="s">
        <v>6857</v>
      </c>
      <c r="D2271" s="327"/>
      <c r="E2271" s="356" t="s">
        <v>6858</v>
      </c>
      <c r="F2271" s="280">
        <v>29986</v>
      </c>
      <c r="G2271" s="280">
        <v>44779</v>
      </c>
      <c r="H2271" s="280">
        <v>44779</v>
      </c>
      <c r="K2271" s="97">
        <v>9709202101</v>
      </c>
    </row>
    <row r="2272" spans="1:11" x14ac:dyDescent="0.3">
      <c r="A2272" s="302" t="s">
        <v>155</v>
      </c>
      <c r="B2272" s="302" t="str">
        <f t="shared" si="18"/>
        <v>Y</v>
      </c>
      <c r="C2272" s="6" t="s">
        <v>6859</v>
      </c>
      <c r="D2272" s="327"/>
      <c r="E2272" s="356" t="s">
        <v>6860</v>
      </c>
      <c r="F2272" s="280">
        <v>38134</v>
      </c>
      <c r="G2272" s="280">
        <v>44781</v>
      </c>
      <c r="H2272" s="280">
        <v>44781</v>
      </c>
      <c r="K2272" s="97">
        <v>8873665581</v>
      </c>
    </row>
    <row r="2273" spans="1:11" x14ac:dyDescent="0.3">
      <c r="A2273" s="302" t="s">
        <v>155</v>
      </c>
      <c r="B2273" s="302" t="str">
        <f t="shared" si="18"/>
        <v>Y</v>
      </c>
      <c r="C2273" s="6" t="s">
        <v>6861</v>
      </c>
      <c r="D2273" s="327"/>
      <c r="E2273" s="356" t="s">
        <v>6862</v>
      </c>
      <c r="F2273" s="280">
        <v>31214</v>
      </c>
      <c r="G2273" s="280">
        <v>44781</v>
      </c>
      <c r="H2273" s="280">
        <v>44781</v>
      </c>
      <c r="K2273" s="97">
        <v>6209661708</v>
      </c>
    </row>
    <row r="2274" spans="1:11" x14ac:dyDescent="0.3">
      <c r="A2274" s="302" t="s">
        <v>155</v>
      </c>
      <c r="B2274" s="302" t="str">
        <f t="shared" si="18"/>
        <v>Y</v>
      </c>
      <c r="C2274" s="6" t="s">
        <v>6863</v>
      </c>
      <c r="D2274" s="327"/>
      <c r="E2274" s="356" t="s">
        <v>6864</v>
      </c>
      <c r="F2274" s="280">
        <v>37855</v>
      </c>
      <c r="G2274" s="280">
        <v>44782</v>
      </c>
      <c r="H2274" s="280">
        <v>44782</v>
      </c>
      <c r="K2274" s="97">
        <v>7367015228</v>
      </c>
    </row>
    <row r="2275" spans="1:11" x14ac:dyDescent="0.3">
      <c r="A2275" s="302" t="s">
        <v>155</v>
      </c>
      <c r="B2275" s="302" t="str">
        <f t="shared" si="18"/>
        <v>Y</v>
      </c>
      <c r="C2275" s="6" t="s">
        <v>6865</v>
      </c>
      <c r="D2275" s="327"/>
      <c r="E2275" s="356" t="s">
        <v>6866</v>
      </c>
      <c r="F2275" s="280">
        <v>38127</v>
      </c>
      <c r="G2275" s="280">
        <v>44782</v>
      </c>
      <c r="H2275" s="280">
        <v>44782</v>
      </c>
      <c r="K2275" s="97">
        <v>8797020818</v>
      </c>
    </row>
    <row r="2276" spans="1:11" x14ac:dyDescent="0.3">
      <c r="A2276" s="302" t="s">
        <v>155</v>
      </c>
      <c r="B2276" s="302" t="str">
        <f t="shared" si="18"/>
        <v>Y</v>
      </c>
      <c r="C2276" s="6" t="s">
        <v>6867</v>
      </c>
      <c r="D2276" s="327"/>
      <c r="E2276" s="356" t="s">
        <v>6868</v>
      </c>
      <c r="F2276" s="280">
        <v>31118</v>
      </c>
      <c r="G2276" s="280">
        <v>44782</v>
      </c>
      <c r="H2276" s="280">
        <v>44782</v>
      </c>
      <c r="K2276" s="97">
        <v>8674876145</v>
      </c>
    </row>
    <row r="2277" spans="1:11" x14ac:dyDescent="0.3">
      <c r="A2277" s="302" t="s">
        <v>155</v>
      </c>
      <c r="B2277" s="302" t="str">
        <f t="shared" si="18"/>
        <v>Y</v>
      </c>
      <c r="C2277" s="6" t="s">
        <v>6869</v>
      </c>
      <c r="D2277" s="327"/>
      <c r="E2277" s="356" t="s">
        <v>6870</v>
      </c>
      <c r="F2277" s="280">
        <v>31943</v>
      </c>
      <c r="G2277" s="280">
        <v>44782</v>
      </c>
      <c r="H2277" s="280">
        <v>44782</v>
      </c>
      <c r="K2277" s="97">
        <v>6287919009</v>
      </c>
    </row>
    <row r="2278" spans="1:11" x14ac:dyDescent="0.3">
      <c r="A2278" s="302" t="s">
        <v>155</v>
      </c>
      <c r="B2278" s="302" t="str">
        <f t="shared" si="18"/>
        <v>Y</v>
      </c>
      <c r="C2278" s="6" t="s">
        <v>6871</v>
      </c>
      <c r="D2278" s="327"/>
      <c r="E2278" s="356" t="s">
        <v>6872</v>
      </c>
      <c r="F2278" s="280">
        <v>37622</v>
      </c>
      <c r="G2278" s="280">
        <v>44783</v>
      </c>
      <c r="H2278" s="280">
        <v>44783</v>
      </c>
      <c r="K2278" s="97">
        <v>7482099135</v>
      </c>
    </row>
    <row r="2279" spans="1:11" x14ac:dyDescent="0.3">
      <c r="A2279" s="302" t="s">
        <v>155</v>
      </c>
      <c r="B2279" s="302" t="str">
        <f t="shared" si="18"/>
        <v>Y</v>
      </c>
      <c r="C2279" s="6" t="s">
        <v>6873</v>
      </c>
      <c r="D2279" s="327"/>
      <c r="E2279" s="356" t="s">
        <v>6874</v>
      </c>
      <c r="F2279" s="280">
        <v>29194</v>
      </c>
      <c r="G2279" s="280">
        <v>44784</v>
      </c>
      <c r="H2279" s="280">
        <v>44784</v>
      </c>
      <c r="K2279" s="97">
        <v>6364599211</v>
      </c>
    </row>
    <row r="2280" spans="1:11" x14ac:dyDescent="0.3">
      <c r="A2280" s="302" t="s">
        <v>155</v>
      </c>
      <c r="B2280" s="302" t="str">
        <f t="shared" si="18"/>
        <v>Y</v>
      </c>
      <c r="C2280" s="6" t="s">
        <v>6875</v>
      </c>
      <c r="D2280" s="327"/>
      <c r="E2280" s="356" t="s">
        <v>6876</v>
      </c>
      <c r="F2280" s="280">
        <v>33970</v>
      </c>
      <c r="G2280" s="280">
        <v>44783</v>
      </c>
      <c r="H2280" s="280">
        <v>44783</v>
      </c>
      <c r="K2280" s="97">
        <v>9334879350</v>
      </c>
    </row>
    <row r="2281" spans="1:11" x14ac:dyDescent="0.3">
      <c r="A2281" s="302" t="s">
        <v>155</v>
      </c>
      <c r="B2281" s="302" t="str">
        <f t="shared" si="18"/>
        <v>Y</v>
      </c>
      <c r="C2281" s="6" t="s">
        <v>6877</v>
      </c>
      <c r="D2281" s="327"/>
      <c r="E2281" s="356" t="s">
        <v>6878</v>
      </c>
      <c r="F2281" s="280">
        <v>37475</v>
      </c>
      <c r="G2281" s="280">
        <v>44783</v>
      </c>
      <c r="H2281" s="280">
        <v>44783</v>
      </c>
      <c r="K2281" s="97">
        <v>9334879350</v>
      </c>
    </row>
    <row r="2282" spans="1:11" x14ac:dyDescent="0.3">
      <c r="A2282" s="302" t="s">
        <v>155</v>
      </c>
      <c r="B2282" s="302" t="str">
        <f t="shared" si="18"/>
        <v>Y</v>
      </c>
      <c r="C2282" s="6" t="s">
        <v>6879</v>
      </c>
      <c r="D2282" s="327"/>
      <c r="E2282" s="356" t="s">
        <v>6880</v>
      </c>
      <c r="F2282" s="280">
        <v>38197</v>
      </c>
      <c r="G2282" s="280">
        <v>44785</v>
      </c>
      <c r="H2282" s="280">
        <v>44785</v>
      </c>
      <c r="K2282" s="97">
        <v>7903746691</v>
      </c>
    </row>
    <row r="2283" spans="1:11" x14ac:dyDescent="0.3">
      <c r="A2283" s="302" t="s">
        <v>155</v>
      </c>
      <c r="B2283" s="302" t="str">
        <f t="shared" si="18"/>
        <v>Y</v>
      </c>
      <c r="C2283" s="6" t="s">
        <v>6881</v>
      </c>
      <c r="D2283" s="327"/>
      <c r="E2283" s="356" t="s">
        <v>6882</v>
      </c>
      <c r="F2283" s="280">
        <v>38199</v>
      </c>
      <c r="G2283" s="280">
        <v>44789</v>
      </c>
      <c r="H2283" s="280">
        <v>44789</v>
      </c>
      <c r="K2283" s="97">
        <v>7209500514</v>
      </c>
    </row>
    <row r="2284" spans="1:11" x14ac:dyDescent="0.3">
      <c r="A2284" s="302" t="s">
        <v>155</v>
      </c>
      <c r="B2284" s="302" t="str">
        <f t="shared" si="18"/>
        <v>Y</v>
      </c>
      <c r="C2284" s="6" t="s">
        <v>6883</v>
      </c>
      <c r="D2284" s="327"/>
      <c r="E2284" s="356" t="s">
        <v>6884</v>
      </c>
      <c r="F2284" s="280">
        <v>37785</v>
      </c>
      <c r="G2284" s="280">
        <v>44789</v>
      </c>
      <c r="H2284" s="280">
        <v>44789</v>
      </c>
      <c r="K2284" s="97">
        <v>7488944494</v>
      </c>
    </row>
    <row r="2285" spans="1:11" x14ac:dyDescent="0.3">
      <c r="A2285" s="302" t="s">
        <v>155</v>
      </c>
      <c r="B2285" s="302" t="str">
        <f t="shared" si="18"/>
        <v>Y</v>
      </c>
      <c r="C2285" s="6" t="s">
        <v>6885</v>
      </c>
      <c r="D2285" s="327"/>
      <c r="E2285" s="356" t="s">
        <v>6886</v>
      </c>
      <c r="F2285" s="280">
        <v>17311</v>
      </c>
      <c r="G2285" s="280">
        <v>44790</v>
      </c>
      <c r="H2285" s="280">
        <v>44792</v>
      </c>
      <c r="K2285" s="97">
        <v>9334180744</v>
      </c>
    </row>
    <row r="2286" spans="1:11" x14ac:dyDescent="0.3">
      <c r="A2286" s="302" t="s">
        <v>155</v>
      </c>
      <c r="B2286" s="302" t="str">
        <f t="shared" si="18"/>
        <v>Y</v>
      </c>
      <c r="C2286" s="6" t="s">
        <v>6887</v>
      </c>
      <c r="D2286" s="327"/>
      <c r="E2286" s="356" t="s">
        <v>6888</v>
      </c>
      <c r="F2286" s="280">
        <v>34821</v>
      </c>
      <c r="G2286" s="280">
        <v>44790</v>
      </c>
      <c r="H2286" s="280">
        <v>44792</v>
      </c>
      <c r="K2286" s="97">
        <v>9934326791</v>
      </c>
    </row>
    <row r="2287" spans="1:11" x14ac:dyDescent="0.3">
      <c r="A2287" s="302" t="s">
        <v>155</v>
      </c>
      <c r="B2287" s="302" t="str">
        <f t="shared" si="18"/>
        <v>Y</v>
      </c>
      <c r="C2287" s="6" t="s">
        <v>6889</v>
      </c>
      <c r="D2287" s="327"/>
      <c r="E2287" s="356" t="s">
        <v>1184</v>
      </c>
      <c r="F2287" s="280">
        <v>38091</v>
      </c>
      <c r="G2287" s="280">
        <v>44792</v>
      </c>
      <c r="H2287" s="280">
        <v>44792</v>
      </c>
      <c r="K2287" s="97">
        <v>8002227980</v>
      </c>
    </row>
    <row r="2288" spans="1:11" x14ac:dyDescent="0.3">
      <c r="A2288" s="302" t="s">
        <v>155</v>
      </c>
      <c r="B2288" s="302" t="str">
        <f t="shared" si="18"/>
        <v>Y</v>
      </c>
      <c r="C2288" s="6" t="s">
        <v>6890</v>
      </c>
      <c r="D2288" s="327"/>
      <c r="E2288" s="356" t="s">
        <v>6891</v>
      </c>
      <c r="F2288" s="280">
        <v>36731</v>
      </c>
      <c r="G2288" s="280">
        <v>44792</v>
      </c>
      <c r="H2288" s="280">
        <v>44792</v>
      </c>
      <c r="K2288" s="97">
        <v>6203939934</v>
      </c>
    </row>
    <row r="2289" spans="1:11" x14ac:dyDescent="0.3">
      <c r="A2289" s="302" t="s">
        <v>155</v>
      </c>
      <c r="B2289" s="302" t="str">
        <f t="shared" si="18"/>
        <v>Y</v>
      </c>
      <c r="C2289" s="6" t="s">
        <v>6892</v>
      </c>
      <c r="D2289" s="327"/>
      <c r="E2289" s="356" t="s">
        <v>6893</v>
      </c>
      <c r="F2289" s="280">
        <v>36989</v>
      </c>
      <c r="G2289" s="280">
        <v>44792</v>
      </c>
      <c r="H2289" s="280">
        <v>44793</v>
      </c>
      <c r="K2289" s="97">
        <v>7667440759</v>
      </c>
    </row>
    <row r="2290" spans="1:11" x14ac:dyDescent="0.3">
      <c r="A2290" s="302" t="s">
        <v>155</v>
      </c>
      <c r="B2290" s="302" t="str">
        <f t="shared" si="18"/>
        <v>Y</v>
      </c>
      <c r="C2290" s="6" t="s">
        <v>6894</v>
      </c>
      <c r="D2290" s="327"/>
      <c r="E2290" s="356" t="s">
        <v>6895</v>
      </c>
      <c r="F2290" s="280">
        <v>35734</v>
      </c>
      <c r="G2290" s="280">
        <v>44793</v>
      </c>
      <c r="H2290" s="280">
        <v>44793</v>
      </c>
      <c r="K2290" s="97">
        <v>7209812759</v>
      </c>
    </row>
    <row r="2291" spans="1:11" x14ac:dyDescent="0.3">
      <c r="A2291" s="302" t="s">
        <v>155</v>
      </c>
      <c r="B2291" s="302" t="str">
        <f t="shared" si="18"/>
        <v>Y</v>
      </c>
      <c r="C2291" s="6" t="s">
        <v>6896</v>
      </c>
      <c r="D2291" s="327"/>
      <c r="E2291" s="327" t="s">
        <v>6897</v>
      </c>
      <c r="F2291" s="280">
        <v>36488</v>
      </c>
      <c r="G2291" s="280">
        <v>44793</v>
      </c>
      <c r="H2291" s="280">
        <v>44793</v>
      </c>
      <c r="K2291" s="97">
        <v>9693950967</v>
      </c>
    </row>
    <row r="2292" spans="1:11" x14ac:dyDescent="0.3">
      <c r="A2292" s="302" t="s">
        <v>155</v>
      </c>
      <c r="B2292" s="302" t="str">
        <f t="shared" si="18"/>
        <v>Y</v>
      </c>
      <c r="C2292" s="6" t="s">
        <v>6898</v>
      </c>
      <c r="D2292" s="327"/>
      <c r="E2292" s="356" t="s">
        <v>6874</v>
      </c>
      <c r="F2292" s="280">
        <v>29194</v>
      </c>
      <c r="G2292" s="280">
        <v>44793</v>
      </c>
      <c r="H2292" s="280">
        <v>44793</v>
      </c>
      <c r="K2292" s="97">
        <v>6364599211</v>
      </c>
    </row>
    <row r="2293" spans="1:11" x14ac:dyDescent="0.3">
      <c r="A2293" s="302" t="s">
        <v>155</v>
      </c>
      <c r="B2293" s="302" t="str">
        <f t="shared" si="18"/>
        <v>Y</v>
      </c>
      <c r="C2293" s="6" t="s">
        <v>6899</v>
      </c>
      <c r="D2293" s="327"/>
      <c r="E2293" s="356" t="s">
        <v>6900</v>
      </c>
      <c r="F2293" s="280">
        <v>29343</v>
      </c>
      <c r="G2293" s="280">
        <v>29456</v>
      </c>
      <c r="H2293" s="280">
        <v>29456</v>
      </c>
      <c r="K2293" s="97">
        <v>7762040139</v>
      </c>
    </row>
    <row r="2294" spans="1:11" x14ac:dyDescent="0.3">
      <c r="A2294" s="302" t="s">
        <v>155</v>
      </c>
      <c r="B2294" s="302" t="str">
        <f t="shared" si="18"/>
        <v>Y</v>
      </c>
      <c r="C2294" s="6" t="s">
        <v>6901</v>
      </c>
      <c r="D2294" s="327"/>
      <c r="E2294" s="356" t="s">
        <v>6902</v>
      </c>
      <c r="F2294" s="280">
        <v>35713</v>
      </c>
      <c r="G2294" s="280">
        <v>29456</v>
      </c>
      <c r="H2294" s="280">
        <v>29456</v>
      </c>
      <c r="K2294" s="97">
        <v>9155210717</v>
      </c>
    </row>
    <row r="2295" spans="1:11" x14ac:dyDescent="0.3">
      <c r="A2295" s="302" t="s">
        <v>155</v>
      </c>
      <c r="B2295" s="302" t="str">
        <f t="shared" si="18"/>
        <v>Y</v>
      </c>
      <c r="C2295" s="458" t="s">
        <v>6903</v>
      </c>
      <c r="D2295" s="334"/>
      <c r="E2295" s="356" t="s">
        <v>6904</v>
      </c>
      <c r="F2295" s="280">
        <v>38215</v>
      </c>
      <c r="G2295" s="280">
        <v>29456</v>
      </c>
      <c r="H2295" s="280">
        <v>29456</v>
      </c>
      <c r="K2295" s="97">
        <v>9700489392</v>
      </c>
    </row>
    <row r="2296" spans="1:11" x14ac:dyDescent="0.3">
      <c r="A2296" s="302" t="s">
        <v>155</v>
      </c>
      <c r="B2296" s="302" t="str">
        <f t="shared" si="18"/>
        <v>Y</v>
      </c>
      <c r="C2296" s="6" t="s">
        <v>6905</v>
      </c>
      <c r="D2296" s="327"/>
      <c r="E2296" s="356" t="s">
        <v>6906</v>
      </c>
      <c r="F2296" s="280">
        <v>38061</v>
      </c>
      <c r="G2296" s="280">
        <v>44800</v>
      </c>
      <c r="H2296" s="280">
        <v>44800</v>
      </c>
      <c r="K2296" s="97">
        <v>9471707800</v>
      </c>
    </row>
    <row r="2297" spans="1:11" x14ac:dyDescent="0.3">
      <c r="A2297" s="302" t="s">
        <v>155</v>
      </c>
      <c r="B2297" s="302" t="str">
        <f t="shared" si="18"/>
        <v>Y</v>
      </c>
      <c r="C2297" s="6" t="s">
        <v>6907</v>
      </c>
      <c r="D2297" s="327"/>
      <c r="E2297" s="356" t="s">
        <v>6908</v>
      </c>
      <c r="F2297" s="280">
        <v>37860</v>
      </c>
      <c r="G2297" s="280">
        <v>44799</v>
      </c>
      <c r="H2297" s="280">
        <v>44799</v>
      </c>
      <c r="K2297" s="303">
        <v>8789700341</v>
      </c>
    </row>
    <row r="2298" spans="1:11" x14ac:dyDescent="0.3">
      <c r="A2298" s="302" t="s">
        <v>155</v>
      </c>
      <c r="B2298" s="302" t="str">
        <f t="shared" si="18"/>
        <v>Y</v>
      </c>
      <c r="C2298" s="479" t="s">
        <v>6909</v>
      </c>
      <c r="D2298" s="356"/>
      <c r="E2298" s="356" t="s">
        <v>6910</v>
      </c>
      <c r="F2298" s="280">
        <v>21916</v>
      </c>
      <c r="G2298" s="280">
        <v>44799</v>
      </c>
      <c r="H2298" s="280">
        <v>44799</v>
      </c>
      <c r="K2298" s="303">
        <v>9060062082</v>
      </c>
    </row>
    <row r="2299" spans="1:11" x14ac:dyDescent="0.3">
      <c r="A2299" s="302" t="s">
        <v>155</v>
      </c>
      <c r="B2299" s="302" t="str">
        <f t="shared" si="18"/>
        <v>Y</v>
      </c>
      <c r="C2299" s="479" t="s">
        <v>6911</v>
      </c>
      <c r="D2299" s="356"/>
      <c r="E2299" s="356" t="s">
        <v>6912</v>
      </c>
      <c r="F2299" s="280">
        <v>25569</v>
      </c>
      <c r="G2299" s="280">
        <v>44799</v>
      </c>
      <c r="H2299" s="280">
        <v>44799</v>
      </c>
      <c r="K2299" s="97">
        <v>9334291530</v>
      </c>
    </row>
    <row r="2300" spans="1:11" x14ac:dyDescent="0.3">
      <c r="A2300" s="302" t="s">
        <v>155</v>
      </c>
      <c r="B2300" s="302" t="str">
        <f t="shared" si="18"/>
        <v>Y</v>
      </c>
      <c r="C2300" s="479" t="s">
        <v>6913</v>
      </c>
      <c r="D2300" s="356"/>
      <c r="E2300" s="356" t="s">
        <v>907</v>
      </c>
      <c r="F2300" s="280">
        <v>28671</v>
      </c>
      <c r="G2300" s="280">
        <v>44799</v>
      </c>
      <c r="H2300" s="280">
        <v>44799</v>
      </c>
      <c r="K2300" s="97">
        <v>6206343766</v>
      </c>
    </row>
    <row r="2301" spans="1:11" x14ac:dyDescent="0.3">
      <c r="A2301" s="302" t="s">
        <v>155</v>
      </c>
      <c r="B2301" s="302" t="str">
        <f t="shared" si="18"/>
        <v>Y</v>
      </c>
      <c r="C2301" s="479" t="s">
        <v>6914</v>
      </c>
      <c r="D2301" s="356"/>
      <c r="E2301" s="356" t="s">
        <v>6915</v>
      </c>
      <c r="F2301" s="280">
        <v>38029</v>
      </c>
      <c r="G2301" s="280">
        <v>44799</v>
      </c>
      <c r="H2301" s="280">
        <v>44799</v>
      </c>
      <c r="K2301" s="97">
        <v>7004240116</v>
      </c>
    </row>
    <row r="2302" spans="1:11" x14ac:dyDescent="0.3">
      <c r="A2302" s="302" t="s">
        <v>155</v>
      </c>
      <c r="B2302" s="302" t="str">
        <f>IF(H2298="","N","Y")</f>
        <v>Y</v>
      </c>
      <c r="C2302" s="479" t="s">
        <v>6916</v>
      </c>
      <c r="D2302" s="356"/>
      <c r="E2302" s="356" t="s">
        <v>6154</v>
      </c>
      <c r="F2302" s="280">
        <v>38080</v>
      </c>
      <c r="G2302" s="280">
        <v>44799</v>
      </c>
      <c r="H2302" s="280">
        <v>44799</v>
      </c>
      <c r="K2302" s="97">
        <v>7992434964</v>
      </c>
    </row>
    <row r="2303" spans="1:11" x14ac:dyDescent="0.3">
      <c r="A2303" s="302" t="s">
        <v>155</v>
      </c>
      <c r="B2303" s="302" t="str">
        <f t="shared" si="18"/>
        <v>Y</v>
      </c>
      <c r="C2303" s="479" t="s">
        <v>6917</v>
      </c>
      <c r="D2303" s="356"/>
      <c r="E2303" s="356" t="s">
        <v>4374</v>
      </c>
      <c r="F2303" s="280">
        <v>38188</v>
      </c>
      <c r="G2303" s="280">
        <v>44799</v>
      </c>
      <c r="H2303" s="280">
        <v>44799</v>
      </c>
      <c r="K2303" s="97">
        <v>8210150023</v>
      </c>
    </row>
    <row r="2304" spans="1:11" x14ac:dyDescent="0.3">
      <c r="A2304" s="302" t="s">
        <v>155</v>
      </c>
      <c r="B2304" s="302" t="str">
        <f t="shared" si="18"/>
        <v>Y</v>
      </c>
      <c r="C2304" s="479" t="s">
        <v>6918</v>
      </c>
      <c r="D2304" s="356"/>
      <c r="E2304" s="356" t="s">
        <v>6919</v>
      </c>
      <c r="F2304" s="280">
        <v>21916</v>
      </c>
      <c r="G2304" s="280">
        <v>44799</v>
      </c>
      <c r="H2304" s="280">
        <v>44799</v>
      </c>
      <c r="K2304" s="97">
        <v>8409000157</v>
      </c>
    </row>
    <row r="2305" spans="1:11" x14ac:dyDescent="0.3">
      <c r="A2305" s="302" t="s">
        <v>155</v>
      </c>
      <c r="B2305" s="302" t="str">
        <f t="shared" si="18"/>
        <v>Y</v>
      </c>
      <c r="C2305" s="479" t="s">
        <v>6920</v>
      </c>
      <c r="D2305" s="356"/>
      <c r="E2305" s="356" t="s">
        <v>6921</v>
      </c>
      <c r="F2305" s="280">
        <v>23947</v>
      </c>
      <c r="G2305" s="280">
        <v>44800</v>
      </c>
      <c r="H2305" s="280">
        <v>44800</v>
      </c>
      <c r="K2305" s="97">
        <v>9905027773</v>
      </c>
    </row>
    <row r="2306" spans="1:11" x14ac:dyDescent="0.3">
      <c r="A2306" s="302" t="s">
        <v>155</v>
      </c>
      <c r="B2306" s="302" t="str">
        <f t="shared" si="18"/>
        <v>Y</v>
      </c>
      <c r="C2306" s="479" t="s">
        <v>6922</v>
      </c>
      <c r="D2306" s="356"/>
      <c r="E2306" s="356" t="s">
        <v>6923</v>
      </c>
      <c r="F2306" s="280">
        <v>27409</v>
      </c>
      <c r="G2306" s="280">
        <v>44800</v>
      </c>
      <c r="H2306" s="280">
        <v>44800</v>
      </c>
      <c r="K2306" s="97">
        <v>9031787872</v>
      </c>
    </row>
    <row r="2307" spans="1:11" x14ac:dyDescent="0.3">
      <c r="A2307" s="302" t="s">
        <v>155</v>
      </c>
      <c r="B2307" s="302" t="str">
        <f t="shared" si="18"/>
        <v>Y</v>
      </c>
      <c r="C2307" s="479" t="s">
        <v>6924</v>
      </c>
      <c r="D2307" s="356"/>
      <c r="E2307" s="356" t="s">
        <v>6925</v>
      </c>
      <c r="F2307" s="280">
        <v>38129</v>
      </c>
      <c r="G2307" s="280">
        <v>44800</v>
      </c>
      <c r="H2307" s="280">
        <v>44800</v>
      </c>
      <c r="K2307" s="97">
        <v>7781064241</v>
      </c>
    </row>
    <row r="2308" spans="1:11" x14ac:dyDescent="0.3">
      <c r="A2308" s="302" t="s">
        <v>155</v>
      </c>
      <c r="B2308" s="302" t="str">
        <f t="shared" si="18"/>
        <v>Y</v>
      </c>
      <c r="C2308" s="479" t="s">
        <v>6905</v>
      </c>
      <c r="D2308" s="356"/>
      <c r="E2308" s="356" t="s">
        <v>6906</v>
      </c>
      <c r="F2308" s="280">
        <v>38061</v>
      </c>
      <c r="G2308" s="280">
        <v>44800</v>
      </c>
      <c r="H2308" s="280">
        <v>44800</v>
      </c>
      <c r="K2308" s="97">
        <v>9471707800</v>
      </c>
    </row>
    <row r="2309" spans="1:11" x14ac:dyDescent="0.3">
      <c r="A2309" s="302" t="s">
        <v>155</v>
      </c>
      <c r="B2309" s="302" t="str">
        <f t="shared" si="18"/>
        <v>Y</v>
      </c>
      <c r="C2309" s="479" t="s">
        <v>6926</v>
      </c>
      <c r="D2309" s="356"/>
      <c r="E2309" s="356" t="s">
        <v>6927</v>
      </c>
      <c r="F2309" s="280">
        <v>31479</v>
      </c>
      <c r="G2309" s="280">
        <v>44803</v>
      </c>
      <c r="H2309" s="280">
        <v>44803</v>
      </c>
      <c r="K2309" s="97">
        <v>8409000157</v>
      </c>
    </row>
    <row r="2310" spans="1:11" x14ac:dyDescent="0.3">
      <c r="A2310" s="302" t="s">
        <v>155</v>
      </c>
      <c r="B2310" s="302" t="str">
        <f t="shared" si="18"/>
        <v>Y</v>
      </c>
      <c r="C2310" s="480" t="s">
        <v>6928</v>
      </c>
      <c r="D2310" s="364"/>
      <c r="E2310" s="364" t="s">
        <v>6929</v>
      </c>
      <c r="F2310" s="280">
        <v>17898</v>
      </c>
      <c r="G2310" s="280">
        <v>44804</v>
      </c>
      <c r="H2310" s="280">
        <v>44804</v>
      </c>
      <c r="K2310" s="97">
        <v>9142892501</v>
      </c>
    </row>
    <row r="2311" spans="1:11" x14ac:dyDescent="0.3">
      <c r="A2311" s="302" t="s">
        <v>155</v>
      </c>
      <c r="B2311" s="302" t="str">
        <f t="shared" si="18"/>
        <v>Y</v>
      </c>
      <c r="C2311" s="479" t="s">
        <v>6930</v>
      </c>
      <c r="D2311" s="356"/>
      <c r="E2311" s="356" t="s">
        <v>6931</v>
      </c>
      <c r="F2311" s="280">
        <v>38076</v>
      </c>
      <c r="G2311" s="280">
        <v>44805</v>
      </c>
      <c r="H2311" s="280">
        <v>44805</v>
      </c>
      <c r="K2311" s="97">
        <v>9204663527</v>
      </c>
    </row>
    <row r="2312" spans="1:11" x14ac:dyDescent="0.3">
      <c r="A2312" s="302" t="s">
        <v>155</v>
      </c>
      <c r="B2312" s="302" t="str">
        <f t="shared" si="18"/>
        <v>Y</v>
      </c>
      <c r="C2312" s="479" t="s">
        <v>6932</v>
      </c>
      <c r="D2312" s="356"/>
      <c r="E2312" s="356" t="s">
        <v>6933</v>
      </c>
      <c r="F2312" s="280">
        <v>32554</v>
      </c>
      <c r="G2312" s="280">
        <v>44805</v>
      </c>
      <c r="H2312" s="280">
        <v>44805</v>
      </c>
      <c r="K2312" s="97">
        <v>6204771608</v>
      </c>
    </row>
    <row r="2313" spans="1:11" x14ac:dyDescent="0.3">
      <c r="A2313" s="302" t="s">
        <v>155</v>
      </c>
      <c r="B2313" s="302" t="str">
        <f t="shared" si="18"/>
        <v>Y</v>
      </c>
      <c r="C2313" s="479" t="s">
        <v>6934</v>
      </c>
      <c r="D2313" s="356"/>
      <c r="E2313" s="356" t="s">
        <v>6935</v>
      </c>
      <c r="F2313" s="280">
        <v>31870</v>
      </c>
      <c r="G2313" s="280">
        <v>44805</v>
      </c>
      <c r="H2313" s="280">
        <v>44805</v>
      </c>
      <c r="K2313" s="97">
        <v>9234737216</v>
      </c>
    </row>
    <row r="2314" spans="1:11" x14ac:dyDescent="0.3">
      <c r="A2314" s="302" t="s">
        <v>155</v>
      </c>
      <c r="B2314" s="302" t="str">
        <f t="shared" si="18"/>
        <v>Y</v>
      </c>
      <c r="C2314" s="479" t="s">
        <v>6936</v>
      </c>
      <c r="D2314" s="356"/>
      <c r="E2314" s="356" t="s">
        <v>6937</v>
      </c>
      <c r="F2314" s="280">
        <v>27916</v>
      </c>
      <c r="G2314" s="280">
        <v>44807</v>
      </c>
      <c r="H2314" s="280">
        <v>44807</v>
      </c>
    </row>
    <row r="2315" spans="1:11" x14ac:dyDescent="0.3">
      <c r="A2315" s="302" t="s">
        <v>155</v>
      </c>
      <c r="B2315" s="302" t="str">
        <f t="shared" si="18"/>
        <v>Y</v>
      </c>
      <c r="C2315" s="479" t="s">
        <v>6938</v>
      </c>
      <c r="D2315" s="356"/>
      <c r="E2315" s="356" t="s">
        <v>6939</v>
      </c>
      <c r="F2315" s="280">
        <v>31266</v>
      </c>
      <c r="G2315" s="280">
        <v>44807</v>
      </c>
      <c r="H2315" s="280">
        <v>44807</v>
      </c>
      <c r="K2315" s="97">
        <v>9608598860</v>
      </c>
    </row>
    <row r="2316" spans="1:11" x14ac:dyDescent="0.3">
      <c r="A2316" s="302" t="s">
        <v>155</v>
      </c>
      <c r="B2316" s="302" t="str">
        <f t="shared" si="18"/>
        <v>Y</v>
      </c>
      <c r="C2316" s="481" t="s">
        <v>6940</v>
      </c>
      <c r="D2316" s="358"/>
      <c r="E2316" s="358" t="s">
        <v>6941</v>
      </c>
      <c r="F2316" s="281">
        <v>41359</v>
      </c>
      <c r="G2316" s="281">
        <v>44807</v>
      </c>
      <c r="H2316" s="281">
        <v>44807</v>
      </c>
      <c r="I2316" s="284"/>
      <c r="J2316" s="284"/>
      <c r="K2316" s="298">
        <v>8002484625</v>
      </c>
    </row>
    <row r="2317" spans="1:11" x14ac:dyDescent="0.3">
      <c r="A2317" s="302" t="s">
        <v>155</v>
      </c>
      <c r="B2317" s="302" t="str">
        <f t="shared" si="18"/>
        <v>Y</v>
      </c>
      <c r="C2317" s="479" t="s">
        <v>6942</v>
      </c>
      <c r="D2317" s="356"/>
      <c r="E2317" s="356" t="s">
        <v>6943</v>
      </c>
      <c r="F2317" s="280">
        <v>32465</v>
      </c>
      <c r="G2317" s="280">
        <v>44807</v>
      </c>
      <c r="H2317" s="280">
        <v>44807</v>
      </c>
      <c r="K2317" s="97">
        <v>7488361901</v>
      </c>
    </row>
    <row r="2318" spans="1:11" x14ac:dyDescent="0.3">
      <c r="A2318" s="302" t="s">
        <v>155</v>
      </c>
      <c r="B2318" s="302" t="str">
        <f t="shared" si="18"/>
        <v>Y</v>
      </c>
      <c r="C2318" s="479" t="s">
        <v>6944</v>
      </c>
      <c r="D2318" s="356"/>
      <c r="E2318" s="356" t="s">
        <v>6945</v>
      </c>
      <c r="F2318" s="280">
        <v>34709</v>
      </c>
      <c r="G2318" s="280">
        <v>44808</v>
      </c>
      <c r="H2318" s="280">
        <v>44808</v>
      </c>
      <c r="K2318" s="97">
        <v>8581051866</v>
      </c>
    </row>
    <row r="2319" spans="1:11" x14ac:dyDescent="0.3">
      <c r="A2319" s="302" t="s">
        <v>155</v>
      </c>
      <c r="B2319" s="302" t="str">
        <f t="shared" si="18"/>
        <v>Y</v>
      </c>
      <c r="C2319" s="479" t="s">
        <v>6946</v>
      </c>
      <c r="D2319" s="356"/>
      <c r="E2319" s="356" t="s">
        <v>6742</v>
      </c>
      <c r="F2319" s="280">
        <v>38214</v>
      </c>
      <c r="G2319" s="280">
        <v>44808</v>
      </c>
      <c r="H2319" s="280">
        <v>44808</v>
      </c>
      <c r="K2319" s="97">
        <v>6202090809</v>
      </c>
    </row>
    <row r="2320" spans="1:11" x14ac:dyDescent="0.3">
      <c r="A2320" s="302" t="s">
        <v>155</v>
      </c>
      <c r="B2320" s="302" t="str">
        <f t="shared" ref="B2320:B2383" si="19">IF(H2320="","N","Y")</f>
        <v>Y</v>
      </c>
      <c r="C2320" s="479" t="s">
        <v>6947</v>
      </c>
      <c r="D2320" s="356"/>
      <c r="E2320" s="356" t="s">
        <v>6948</v>
      </c>
      <c r="F2320" s="280">
        <v>29354</v>
      </c>
      <c r="G2320" s="280">
        <v>44810</v>
      </c>
      <c r="H2320" s="280">
        <v>44810</v>
      </c>
      <c r="K2320" s="97">
        <v>7677842838</v>
      </c>
    </row>
    <row r="2321" spans="1:11" x14ac:dyDescent="0.3">
      <c r="A2321" s="302" t="s">
        <v>155</v>
      </c>
      <c r="B2321" s="302" t="str">
        <f t="shared" si="19"/>
        <v>Y</v>
      </c>
      <c r="C2321" s="479" t="s">
        <v>6949</v>
      </c>
      <c r="D2321" s="356"/>
      <c r="E2321" s="356" t="s">
        <v>6950</v>
      </c>
      <c r="F2321" s="280">
        <v>27556</v>
      </c>
      <c r="G2321" s="280">
        <v>44810</v>
      </c>
      <c r="H2321" s="280">
        <v>44810</v>
      </c>
      <c r="K2321" s="97">
        <v>7903048652</v>
      </c>
    </row>
    <row r="2322" spans="1:11" x14ac:dyDescent="0.3">
      <c r="A2322" s="302" t="s">
        <v>155</v>
      </c>
      <c r="B2322" s="302" t="str">
        <f t="shared" si="19"/>
        <v>Y</v>
      </c>
      <c r="C2322" s="479" t="s">
        <v>6951</v>
      </c>
      <c r="D2322" s="356"/>
      <c r="E2322" s="356" t="s">
        <v>6952</v>
      </c>
      <c r="F2322" s="280">
        <v>37875</v>
      </c>
      <c r="G2322" s="280">
        <v>44810</v>
      </c>
      <c r="H2322" s="280">
        <v>44810</v>
      </c>
      <c r="K2322" s="97">
        <v>7903048652</v>
      </c>
    </row>
    <row r="2323" spans="1:11" x14ac:dyDescent="0.3">
      <c r="A2323" s="302" t="s">
        <v>155</v>
      </c>
      <c r="B2323" s="302" t="str">
        <f t="shared" si="19"/>
        <v>Y</v>
      </c>
      <c r="C2323" s="479" t="s">
        <v>6953</v>
      </c>
      <c r="D2323" s="356"/>
      <c r="E2323" s="356" t="s">
        <v>6954</v>
      </c>
      <c r="F2323" s="280">
        <v>27668</v>
      </c>
      <c r="G2323" s="280">
        <v>44810</v>
      </c>
      <c r="H2323" s="280">
        <v>44810</v>
      </c>
      <c r="K2323" s="97">
        <v>7667364613</v>
      </c>
    </row>
    <row r="2324" spans="1:11" x14ac:dyDescent="0.3">
      <c r="A2324" s="302" t="s">
        <v>155</v>
      </c>
      <c r="B2324" s="302" t="str">
        <f t="shared" si="19"/>
        <v>Y</v>
      </c>
      <c r="C2324" s="479" t="s">
        <v>6955</v>
      </c>
      <c r="D2324" s="356"/>
      <c r="E2324" s="356" t="s">
        <v>6956</v>
      </c>
      <c r="F2324" s="280">
        <v>23346</v>
      </c>
      <c r="G2324" s="280">
        <v>44810</v>
      </c>
      <c r="H2324" s="280">
        <v>44810</v>
      </c>
      <c r="K2324" s="97">
        <v>9162524706</v>
      </c>
    </row>
    <row r="2325" spans="1:11" x14ac:dyDescent="0.3">
      <c r="A2325" s="302" t="s">
        <v>155</v>
      </c>
      <c r="B2325" s="302" t="str">
        <f t="shared" si="19"/>
        <v>Y</v>
      </c>
      <c r="C2325" s="479" t="s">
        <v>6957</v>
      </c>
      <c r="D2325" s="356"/>
      <c r="E2325" s="356" t="s">
        <v>6958</v>
      </c>
      <c r="F2325" s="280">
        <v>27509</v>
      </c>
      <c r="G2325" s="280">
        <v>44810</v>
      </c>
      <c r="H2325" s="280">
        <v>44810</v>
      </c>
      <c r="K2325" s="97">
        <v>7677842838</v>
      </c>
    </row>
    <row r="2326" spans="1:11" x14ac:dyDescent="0.3">
      <c r="A2326" s="302" t="s">
        <v>155</v>
      </c>
      <c r="B2326" s="302" t="str">
        <f t="shared" si="19"/>
        <v>Y</v>
      </c>
      <c r="C2326" s="479" t="s">
        <v>6959</v>
      </c>
      <c r="D2326" s="356"/>
      <c r="E2326" s="356" t="s">
        <v>6960</v>
      </c>
      <c r="F2326" s="280">
        <v>27943</v>
      </c>
      <c r="G2326" s="280">
        <v>44811</v>
      </c>
      <c r="H2326" s="280">
        <v>44811</v>
      </c>
      <c r="K2326" s="97">
        <v>9835376769</v>
      </c>
    </row>
    <row r="2327" spans="1:11" x14ac:dyDescent="0.3">
      <c r="A2327" s="302" t="s">
        <v>155</v>
      </c>
      <c r="B2327" s="302" t="str">
        <f t="shared" si="19"/>
        <v>Y</v>
      </c>
      <c r="C2327" s="479" t="s">
        <v>6961</v>
      </c>
      <c r="D2327" s="356"/>
      <c r="E2327" s="356" t="s">
        <v>6962</v>
      </c>
      <c r="F2327" s="280">
        <v>29222</v>
      </c>
      <c r="G2327" s="280">
        <v>44812</v>
      </c>
      <c r="H2327" s="280">
        <v>44812</v>
      </c>
      <c r="K2327" s="97">
        <v>7033534521</v>
      </c>
    </row>
    <row r="2328" spans="1:11" x14ac:dyDescent="0.3">
      <c r="A2328" s="302" t="s">
        <v>155</v>
      </c>
      <c r="B2328" s="302" t="str">
        <f t="shared" si="19"/>
        <v>Y</v>
      </c>
      <c r="C2328" s="479" t="s">
        <v>6963</v>
      </c>
      <c r="D2328" s="356"/>
      <c r="E2328" s="356" t="s">
        <v>6964</v>
      </c>
      <c r="F2328" s="280">
        <v>38003</v>
      </c>
      <c r="G2328" s="280">
        <v>44813</v>
      </c>
      <c r="H2328" s="280">
        <v>44813</v>
      </c>
      <c r="K2328" s="97">
        <v>9508019311</v>
      </c>
    </row>
    <row r="2329" spans="1:11" x14ac:dyDescent="0.3">
      <c r="A2329" s="302" t="s">
        <v>155</v>
      </c>
      <c r="B2329" s="302" t="str">
        <f t="shared" si="19"/>
        <v>Y</v>
      </c>
      <c r="C2329" s="479" t="s">
        <v>6965</v>
      </c>
      <c r="D2329" s="356"/>
      <c r="E2329" s="356" t="s">
        <v>6966</v>
      </c>
      <c r="F2329" s="280">
        <v>37378</v>
      </c>
      <c r="G2329" s="280">
        <v>44813</v>
      </c>
      <c r="H2329" s="280">
        <v>44813</v>
      </c>
      <c r="K2329" s="97">
        <v>9065303022</v>
      </c>
    </row>
    <row r="2330" spans="1:11" x14ac:dyDescent="0.3">
      <c r="A2330" s="302" t="s">
        <v>155</v>
      </c>
      <c r="B2330" s="302" t="str">
        <f t="shared" si="19"/>
        <v>Y</v>
      </c>
      <c r="C2330" s="479" t="s">
        <v>6967</v>
      </c>
      <c r="D2330" s="356"/>
      <c r="E2330" s="356" t="s">
        <v>6968</v>
      </c>
      <c r="F2330" s="280">
        <v>34620</v>
      </c>
      <c r="G2330" s="280">
        <v>44815</v>
      </c>
      <c r="H2330" s="280">
        <v>44815</v>
      </c>
      <c r="K2330" s="97">
        <v>8092422083</v>
      </c>
    </row>
    <row r="2331" spans="1:11" x14ac:dyDescent="0.3">
      <c r="A2331" s="302" t="s">
        <v>155</v>
      </c>
      <c r="B2331" s="302" t="str">
        <f t="shared" si="19"/>
        <v>Y</v>
      </c>
      <c r="C2331" s="473" t="s">
        <v>6969</v>
      </c>
      <c r="E2331" s="356" t="s">
        <v>6970</v>
      </c>
      <c r="F2331" s="280">
        <v>38568</v>
      </c>
      <c r="G2331" s="280">
        <v>44814</v>
      </c>
      <c r="H2331" s="280">
        <v>44814</v>
      </c>
      <c r="K2331" s="97">
        <v>9334230780</v>
      </c>
    </row>
    <row r="2332" spans="1:11" x14ac:dyDescent="0.3">
      <c r="A2332" s="302" t="s">
        <v>155</v>
      </c>
      <c r="B2332" s="302" t="str">
        <f t="shared" si="19"/>
        <v>Y</v>
      </c>
      <c r="C2332" s="473" t="s">
        <v>6971</v>
      </c>
      <c r="E2332" s="356" t="s">
        <v>6972</v>
      </c>
      <c r="F2332" s="280">
        <v>37633</v>
      </c>
      <c r="G2332" s="280">
        <v>44814</v>
      </c>
      <c r="H2332" s="280">
        <v>44814</v>
      </c>
      <c r="K2332" s="97">
        <v>9386616869</v>
      </c>
    </row>
    <row r="2333" spans="1:11" x14ac:dyDescent="0.3">
      <c r="A2333" s="302" t="s">
        <v>155</v>
      </c>
      <c r="B2333" s="302" t="str">
        <f t="shared" si="19"/>
        <v>Y</v>
      </c>
      <c r="C2333" s="479" t="s">
        <v>6973</v>
      </c>
      <c r="D2333" s="356"/>
      <c r="E2333" s="356" t="s">
        <v>6974</v>
      </c>
      <c r="F2333" s="280">
        <v>38215</v>
      </c>
      <c r="G2333" s="280">
        <v>44816</v>
      </c>
      <c r="H2333" s="280">
        <v>44816</v>
      </c>
      <c r="K2333" s="97">
        <v>9700489392</v>
      </c>
    </row>
    <row r="2334" spans="1:11" x14ac:dyDescent="0.3">
      <c r="A2334" s="302" t="s">
        <v>155</v>
      </c>
      <c r="B2334" s="302" t="str">
        <f t="shared" si="19"/>
        <v>Y</v>
      </c>
      <c r="C2334" s="479" t="s">
        <v>6975</v>
      </c>
      <c r="D2334" s="356"/>
      <c r="E2334" s="356" t="s">
        <v>6976</v>
      </c>
      <c r="F2334" s="280">
        <v>38114</v>
      </c>
      <c r="G2334" s="280">
        <v>44817</v>
      </c>
      <c r="H2334" s="280">
        <v>44817</v>
      </c>
      <c r="K2334" s="97">
        <v>6209656635</v>
      </c>
    </row>
    <row r="2335" spans="1:11" x14ac:dyDescent="0.3">
      <c r="A2335" s="302" t="s">
        <v>155</v>
      </c>
      <c r="B2335" s="302" t="str">
        <f t="shared" si="19"/>
        <v>Y</v>
      </c>
      <c r="C2335" s="479" t="s">
        <v>6977</v>
      </c>
      <c r="D2335" s="356"/>
      <c r="E2335" s="356" t="s">
        <v>6978</v>
      </c>
      <c r="F2335" s="280">
        <v>26330</v>
      </c>
      <c r="G2335" s="280">
        <v>44817</v>
      </c>
      <c r="H2335" s="280">
        <v>44817</v>
      </c>
      <c r="K2335" s="97">
        <v>9204582509</v>
      </c>
    </row>
    <row r="2336" spans="1:11" x14ac:dyDescent="0.3">
      <c r="A2336" s="302" t="s">
        <v>155</v>
      </c>
      <c r="B2336" s="302" t="str">
        <f t="shared" si="19"/>
        <v>Y</v>
      </c>
      <c r="C2336" s="479" t="s">
        <v>6979</v>
      </c>
      <c r="D2336" s="356"/>
      <c r="E2336" s="356" t="s">
        <v>6980</v>
      </c>
      <c r="F2336" s="280">
        <v>22342</v>
      </c>
      <c r="G2336" s="280">
        <v>44817</v>
      </c>
      <c r="H2336" s="280">
        <v>44817</v>
      </c>
      <c r="K2336" s="97">
        <v>9204582509</v>
      </c>
    </row>
    <row r="2337" spans="1:11" x14ac:dyDescent="0.3">
      <c r="A2337" s="302" t="s">
        <v>155</v>
      </c>
      <c r="B2337" s="302" t="str">
        <f t="shared" si="19"/>
        <v>Y</v>
      </c>
      <c r="C2337" s="479" t="s">
        <v>6981</v>
      </c>
      <c r="D2337" s="356"/>
      <c r="E2337" s="356" t="s">
        <v>6982</v>
      </c>
      <c r="F2337" s="280">
        <v>37014</v>
      </c>
      <c r="G2337" s="280">
        <v>44818</v>
      </c>
      <c r="H2337" s="280">
        <v>44818</v>
      </c>
      <c r="K2337" s="97">
        <v>7667031876</v>
      </c>
    </row>
    <row r="2338" spans="1:11" x14ac:dyDescent="0.3">
      <c r="A2338" s="302" t="s">
        <v>155</v>
      </c>
      <c r="B2338" s="302" t="str">
        <f t="shared" si="19"/>
        <v>Y</v>
      </c>
      <c r="C2338" s="479" t="s">
        <v>6983</v>
      </c>
      <c r="D2338" s="356"/>
      <c r="E2338" s="356" t="s">
        <v>6984</v>
      </c>
      <c r="F2338" s="280">
        <v>25203</v>
      </c>
      <c r="G2338" s="280">
        <v>44820</v>
      </c>
      <c r="H2338" s="280">
        <v>44820</v>
      </c>
      <c r="K2338" s="97">
        <v>7488361901</v>
      </c>
    </row>
    <row r="2339" spans="1:11" x14ac:dyDescent="0.3">
      <c r="A2339" s="302" t="s">
        <v>155</v>
      </c>
      <c r="B2339" s="302" t="str">
        <f t="shared" si="19"/>
        <v>Y</v>
      </c>
      <c r="C2339" s="479" t="s">
        <v>6985</v>
      </c>
      <c r="D2339" s="356"/>
      <c r="E2339" s="356" t="s">
        <v>6986</v>
      </c>
      <c r="F2339" s="280">
        <v>39488</v>
      </c>
      <c r="G2339" s="280">
        <v>44821</v>
      </c>
      <c r="H2339" s="280">
        <v>44821</v>
      </c>
      <c r="K2339" s="97">
        <v>7543917665</v>
      </c>
    </row>
    <row r="2340" spans="1:11" x14ac:dyDescent="0.3">
      <c r="A2340" s="302" t="s">
        <v>155</v>
      </c>
      <c r="B2340" s="302" t="str">
        <f t="shared" si="19"/>
        <v>Y</v>
      </c>
      <c r="C2340" s="479" t="s">
        <v>6987</v>
      </c>
      <c r="D2340" s="356"/>
      <c r="E2340" s="356" t="s">
        <v>6988</v>
      </c>
      <c r="F2340" s="280">
        <v>32277</v>
      </c>
      <c r="G2340" s="280">
        <v>44824</v>
      </c>
      <c r="H2340" s="280">
        <v>44825</v>
      </c>
      <c r="K2340" s="97">
        <v>9102722183</v>
      </c>
    </row>
    <row r="2341" spans="1:11" x14ac:dyDescent="0.3">
      <c r="A2341" s="302" t="s">
        <v>155</v>
      </c>
      <c r="B2341" s="302" t="str">
        <f t="shared" si="19"/>
        <v>Y</v>
      </c>
      <c r="C2341" s="479" t="s">
        <v>6989</v>
      </c>
      <c r="D2341" s="356"/>
      <c r="E2341" s="356" t="s">
        <v>6990</v>
      </c>
      <c r="F2341" s="280">
        <v>38185</v>
      </c>
      <c r="G2341" s="280">
        <v>44825</v>
      </c>
      <c r="H2341" s="280">
        <v>44825</v>
      </c>
      <c r="K2341" s="97">
        <v>8210360960</v>
      </c>
    </row>
    <row r="2342" spans="1:11" x14ac:dyDescent="0.3">
      <c r="A2342" s="302" t="s">
        <v>155</v>
      </c>
      <c r="B2342" s="302" t="str">
        <f t="shared" si="19"/>
        <v>Y</v>
      </c>
      <c r="C2342" s="479" t="s">
        <v>6991</v>
      </c>
      <c r="D2342" s="356"/>
      <c r="E2342" s="356" t="s">
        <v>6992</v>
      </c>
      <c r="F2342" s="280">
        <v>27618</v>
      </c>
      <c r="G2342" s="280">
        <v>44825</v>
      </c>
      <c r="H2342" s="280">
        <v>44825</v>
      </c>
      <c r="K2342" s="97">
        <v>8092872669</v>
      </c>
    </row>
    <row r="2343" spans="1:11" x14ac:dyDescent="0.3">
      <c r="A2343" s="302" t="s">
        <v>155</v>
      </c>
      <c r="B2343" s="302" t="str">
        <f t="shared" si="19"/>
        <v>Y</v>
      </c>
      <c r="C2343" s="479" t="s">
        <v>6993</v>
      </c>
      <c r="D2343" s="356"/>
      <c r="E2343" s="356" t="s">
        <v>1979</v>
      </c>
      <c r="F2343" s="280">
        <v>36152</v>
      </c>
      <c r="G2343" s="280">
        <v>44826</v>
      </c>
      <c r="H2343" s="280">
        <v>44826</v>
      </c>
      <c r="K2343" s="97">
        <v>9534201612</v>
      </c>
    </row>
    <row r="2344" spans="1:11" x14ac:dyDescent="0.3">
      <c r="A2344" s="302" t="s">
        <v>155</v>
      </c>
      <c r="B2344" s="302" t="str">
        <f t="shared" si="19"/>
        <v>Y</v>
      </c>
      <c r="C2344" s="479" t="s">
        <v>6994</v>
      </c>
      <c r="D2344" s="356"/>
      <c r="E2344" s="356" t="s">
        <v>6995</v>
      </c>
      <c r="F2344" s="280">
        <v>32119</v>
      </c>
      <c r="G2344" s="280">
        <v>44828</v>
      </c>
      <c r="H2344" s="280">
        <v>44828</v>
      </c>
      <c r="K2344" s="97">
        <v>9572200620</v>
      </c>
    </row>
    <row r="2345" spans="1:11" x14ac:dyDescent="0.3">
      <c r="A2345" s="302" t="s">
        <v>155</v>
      </c>
      <c r="B2345" s="302" t="str">
        <f t="shared" si="19"/>
        <v>Y</v>
      </c>
      <c r="C2345" s="479" t="s">
        <v>6996</v>
      </c>
      <c r="D2345" s="356"/>
      <c r="E2345" s="356" t="s">
        <v>6997</v>
      </c>
      <c r="F2345" s="280">
        <v>27023</v>
      </c>
      <c r="G2345" s="280">
        <v>44828</v>
      </c>
      <c r="H2345" s="280">
        <v>44829</v>
      </c>
      <c r="K2345" s="97">
        <v>9334046531</v>
      </c>
    </row>
    <row r="2346" spans="1:11" x14ac:dyDescent="0.3">
      <c r="A2346" s="302" t="s">
        <v>155</v>
      </c>
      <c r="B2346" s="302" t="str">
        <f t="shared" si="19"/>
        <v>Y</v>
      </c>
      <c r="C2346" s="479" t="s">
        <v>6998</v>
      </c>
      <c r="D2346" s="356"/>
      <c r="E2346" s="356" t="s">
        <v>6999</v>
      </c>
      <c r="F2346" s="280">
        <v>30584</v>
      </c>
      <c r="G2346" s="280">
        <v>44830</v>
      </c>
      <c r="H2346" s="280">
        <v>44830</v>
      </c>
      <c r="K2346" s="97">
        <v>7739015099</v>
      </c>
    </row>
    <row r="2347" spans="1:11" x14ac:dyDescent="0.3">
      <c r="A2347" s="302" t="s">
        <v>155</v>
      </c>
      <c r="B2347" s="302" t="str">
        <f t="shared" si="19"/>
        <v>Y</v>
      </c>
      <c r="C2347" s="479" t="s">
        <v>7000</v>
      </c>
      <c r="D2347" s="356"/>
      <c r="E2347" s="356" t="s">
        <v>7001</v>
      </c>
      <c r="F2347" s="280">
        <v>37687</v>
      </c>
      <c r="G2347" s="280">
        <v>44833</v>
      </c>
      <c r="H2347" s="280">
        <v>44833</v>
      </c>
      <c r="K2347" s="97">
        <v>9534316305</v>
      </c>
    </row>
    <row r="2348" spans="1:11" x14ac:dyDescent="0.3">
      <c r="A2348" s="302" t="s">
        <v>155</v>
      </c>
      <c r="B2348" s="302" t="str">
        <f t="shared" si="19"/>
        <v>Y</v>
      </c>
      <c r="C2348" s="473" t="s">
        <v>7002</v>
      </c>
      <c r="E2348" s="353" t="s">
        <v>7003</v>
      </c>
      <c r="F2348" s="280">
        <v>37677</v>
      </c>
      <c r="G2348" s="280">
        <v>44833</v>
      </c>
      <c r="H2348" s="280">
        <v>44833</v>
      </c>
      <c r="K2348" s="97">
        <v>7667031876</v>
      </c>
    </row>
    <row r="2349" spans="1:11" x14ac:dyDescent="0.3">
      <c r="A2349" s="302" t="s">
        <v>155</v>
      </c>
      <c r="B2349" s="302" t="str">
        <f t="shared" si="19"/>
        <v>Y</v>
      </c>
      <c r="C2349" s="473" t="s">
        <v>7004</v>
      </c>
      <c r="E2349" s="353" t="s">
        <v>6122</v>
      </c>
      <c r="F2349" s="280">
        <v>35720</v>
      </c>
      <c r="G2349" s="280">
        <v>44833</v>
      </c>
      <c r="H2349" s="280">
        <v>44833</v>
      </c>
      <c r="K2349" s="97">
        <v>9199916336</v>
      </c>
    </row>
    <row r="2350" spans="1:11" x14ac:dyDescent="0.3">
      <c r="A2350" s="302" t="s">
        <v>155</v>
      </c>
      <c r="B2350" s="302" t="str">
        <f t="shared" si="19"/>
        <v>Y</v>
      </c>
      <c r="C2350" s="473" t="s">
        <v>7005</v>
      </c>
      <c r="E2350" s="353" t="s">
        <v>7006</v>
      </c>
      <c r="F2350" s="280">
        <v>27030</v>
      </c>
      <c r="G2350" s="280">
        <v>44833</v>
      </c>
      <c r="H2350" s="280">
        <v>44833</v>
      </c>
      <c r="K2350" s="97">
        <v>9709352920</v>
      </c>
    </row>
    <row r="2351" spans="1:11" x14ac:dyDescent="0.3">
      <c r="A2351" s="302" t="s">
        <v>155</v>
      </c>
      <c r="B2351" s="302" t="str">
        <f t="shared" si="19"/>
        <v>Y</v>
      </c>
      <c r="C2351" s="473" t="s">
        <v>7007</v>
      </c>
      <c r="E2351" s="356" t="s">
        <v>7008</v>
      </c>
      <c r="F2351" s="280">
        <v>38075</v>
      </c>
      <c r="G2351" s="280">
        <v>44834</v>
      </c>
      <c r="H2351" s="280">
        <v>44834</v>
      </c>
      <c r="K2351" s="97">
        <v>7209499262</v>
      </c>
    </row>
    <row r="2352" spans="1:11" x14ac:dyDescent="0.3">
      <c r="A2352" s="302" t="s">
        <v>155</v>
      </c>
      <c r="B2352" s="302" t="str">
        <f t="shared" si="19"/>
        <v>Y</v>
      </c>
      <c r="C2352" s="473" t="s">
        <v>7009</v>
      </c>
      <c r="E2352" s="356" t="s">
        <v>7010</v>
      </c>
      <c r="F2352" s="280">
        <v>25569</v>
      </c>
      <c r="G2352" s="280">
        <v>44834</v>
      </c>
      <c r="H2352" s="280">
        <v>44834</v>
      </c>
      <c r="K2352" s="97">
        <v>9204388778</v>
      </c>
    </row>
    <row r="2353" spans="1:12" x14ac:dyDescent="0.3">
      <c r="A2353" s="302" t="s">
        <v>155</v>
      </c>
      <c r="B2353" s="302" t="str">
        <f t="shared" si="19"/>
        <v>Y</v>
      </c>
      <c r="C2353" s="473" t="s">
        <v>7011</v>
      </c>
      <c r="E2353" s="356" t="s">
        <v>3388</v>
      </c>
      <c r="F2353" s="280">
        <v>37290</v>
      </c>
      <c r="G2353" s="280">
        <v>44835</v>
      </c>
      <c r="H2353" s="280">
        <v>44835</v>
      </c>
      <c r="K2353" s="97">
        <v>7847064206</v>
      </c>
    </row>
    <row r="2354" spans="1:12" x14ac:dyDescent="0.3">
      <c r="A2354" s="302" t="s">
        <v>155</v>
      </c>
      <c r="B2354" s="302" t="str">
        <f t="shared" si="19"/>
        <v>Y</v>
      </c>
      <c r="C2354" s="473" t="s">
        <v>7012</v>
      </c>
      <c r="E2354" s="356" t="s">
        <v>7013</v>
      </c>
      <c r="F2354" s="280">
        <v>33239</v>
      </c>
      <c r="G2354" s="280">
        <v>44836</v>
      </c>
      <c r="H2354" s="280">
        <v>44837</v>
      </c>
      <c r="K2354" s="97">
        <v>9693126562</v>
      </c>
    </row>
    <row r="2355" spans="1:12" x14ac:dyDescent="0.3">
      <c r="A2355" s="302" t="s">
        <v>155</v>
      </c>
      <c r="B2355" s="302" t="str">
        <f t="shared" si="19"/>
        <v>Y</v>
      </c>
      <c r="C2355" s="473" t="s">
        <v>7014</v>
      </c>
      <c r="E2355" s="356" t="s">
        <v>7015</v>
      </c>
      <c r="F2355" s="280">
        <v>28184</v>
      </c>
      <c r="G2355" s="280">
        <v>44836</v>
      </c>
      <c r="H2355" s="280">
        <v>44836</v>
      </c>
      <c r="K2355" s="97">
        <v>9682504080</v>
      </c>
    </row>
    <row r="2356" spans="1:12" x14ac:dyDescent="0.3">
      <c r="A2356" s="302" t="s">
        <v>155</v>
      </c>
      <c r="B2356" s="302" t="str">
        <f t="shared" si="19"/>
        <v>Y</v>
      </c>
      <c r="C2356" s="479" t="s">
        <v>7016</v>
      </c>
      <c r="D2356" s="356"/>
      <c r="E2356" s="356" t="s">
        <v>7017</v>
      </c>
      <c r="F2356" s="280">
        <v>36161</v>
      </c>
      <c r="G2356" s="280">
        <v>44837</v>
      </c>
      <c r="H2356" s="280">
        <v>44837</v>
      </c>
      <c r="K2356" s="97">
        <v>8294274410</v>
      </c>
    </row>
    <row r="2357" spans="1:12" x14ac:dyDescent="0.3">
      <c r="A2357" s="302" t="s">
        <v>155</v>
      </c>
      <c r="B2357" s="302" t="str">
        <f t="shared" si="19"/>
        <v>Y</v>
      </c>
      <c r="C2357" s="479" t="s">
        <v>7018</v>
      </c>
      <c r="D2357" s="356"/>
      <c r="E2357" s="356" t="s">
        <v>7019</v>
      </c>
      <c r="F2357" s="280">
        <v>31280</v>
      </c>
      <c r="G2357" s="280">
        <v>44840</v>
      </c>
      <c r="H2357" s="280">
        <v>44840</v>
      </c>
      <c r="K2357" s="97">
        <v>9031212369</v>
      </c>
    </row>
    <row r="2358" spans="1:12" x14ac:dyDescent="0.3">
      <c r="A2358" s="302" t="s">
        <v>155</v>
      </c>
      <c r="B2358" s="302" t="str">
        <f t="shared" si="19"/>
        <v>Y</v>
      </c>
      <c r="C2358" s="479" t="s">
        <v>7020</v>
      </c>
      <c r="D2358" s="356"/>
      <c r="E2358" s="356" t="s">
        <v>7021</v>
      </c>
      <c r="F2358" s="280">
        <v>36278</v>
      </c>
      <c r="G2358" s="280">
        <v>44841</v>
      </c>
      <c r="H2358" s="280">
        <v>44842</v>
      </c>
      <c r="K2358" s="97">
        <v>6207979522</v>
      </c>
    </row>
    <row r="2359" spans="1:12" x14ac:dyDescent="0.3">
      <c r="A2359" s="302" t="s">
        <v>155</v>
      </c>
      <c r="B2359" s="302" t="str">
        <f t="shared" si="19"/>
        <v>Y</v>
      </c>
      <c r="C2359" s="479" t="s">
        <v>7022</v>
      </c>
      <c r="D2359" s="356"/>
      <c r="E2359" s="356" t="s">
        <v>7023</v>
      </c>
      <c r="F2359" s="280">
        <v>38218</v>
      </c>
      <c r="G2359" s="280">
        <v>44843</v>
      </c>
      <c r="H2359" s="280">
        <v>44843</v>
      </c>
      <c r="K2359" s="97">
        <v>8102842265</v>
      </c>
    </row>
    <row r="2360" spans="1:12" x14ac:dyDescent="0.3">
      <c r="A2360" s="302" t="s">
        <v>155</v>
      </c>
      <c r="B2360" s="302" t="str">
        <f t="shared" si="19"/>
        <v>Y</v>
      </c>
      <c r="C2360" s="479" t="s">
        <v>7024</v>
      </c>
      <c r="D2360" s="356"/>
      <c r="E2360" s="356" t="s">
        <v>1022</v>
      </c>
      <c r="F2360" s="280">
        <v>31779</v>
      </c>
      <c r="G2360" s="280">
        <v>44845</v>
      </c>
      <c r="H2360" s="280">
        <v>44845</v>
      </c>
      <c r="K2360" s="97">
        <v>8877697042</v>
      </c>
    </row>
    <row r="2361" spans="1:12" x14ac:dyDescent="0.3">
      <c r="A2361" s="302" t="s">
        <v>155</v>
      </c>
      <c r="B2361" s="302" t="str">
        <f t="shared" si="19"/>
        <v>Y</v>
      </c>
      <c r="C2361" s="479" t="s">
        <v>7025</v>
      </c>
      <c r="D2361" s="356"/>
      <c r="E2361" s="356" t="s">
        <v>1739</v>
      </c>
      <c r="F2361" s="280">
        <v>38229</v>
      </c>
      <c r="G2361" s="280">
        <v>44844</v>
      </c>
      <c r="H2361" s="280">
        <v>44845</v>
      </c>
      <c r="K2361" s="97">
        <v>9523990898</v>
      </c>
    </row>
    <row r="2362" spans="1:12" x14ac:dyDescent="0.3">
      <c r="A2362" s="302" t="s">
        <v>155</v>
      </c>
      <c r="B2362" s="302" t="str">
        <f t="shared" si="19"/>
        <v>Y</v>
      </c>
      <c r="C2362" s="479" t="s">
        <v>7026</v>
      </c>
      <c r="D2362" s="356"/>
      <c r="E2362" s="356" t="s">
        <v>7027</v>
      </c>
      <c r="F2362" s="280">
        <v>37753</v>
      </c>
      <c r="G2362" s="280">
        <v>44846</v>
      </c>
      <c r="H2362" s="280">
        <v>44846</v>
      </c>
      <c r="K2362" s="97">
        <v>8969365061</v>
      </c>
    </row>
    <row r="2363" spans="1:12" x14ac:dyDescent="0.3">
      <c r="A2363" s="302" t="s">
        <v>155</v>
      </c>
      <c r="B2363" s="302" t="str">
        <f t="shared" si="19"/>
        <v>Y</v>
      </c>
      <c r="C2363" s="479" t="s">
        <v>7028</v>
      </c>
      <c r="D2363" s="356"/>
      <c r="E2363" s="356" t="s">
        <v>7029</v>
      </c>
      <c r="F2363" s="280">
        <v>38080</v>
      </c>
      <c r="G2363" s="280">
        <v>44846</v>
      </c>
      <c r="H2363" s="280">
        <v>44846</v>
      </c>
      <c r="K2363" s="97">
        <v>9905385179</v>
      </c>
    </row>
    <row r="2364" spans="1:12" x14ac:dyDescent="0.3">
      <c r="A2364" s="302" t="s">
        <v>155</v>
      </c>
      <c r="B2364" s="302" t="str">
        <f t="shared" si="19"/>
        <v>Y</v>
      </c>
      <c r="C2364" s="479" t="s">
        <v>7030</v>
      </c>
      <c r="D2364" s="356"/>
      <c r="E2364" s="356" t="s">
        <v>7031</v>
      </c>
      <c r="F2364" s="280">
        <v>31274</v>
      </c>
      <c r="G2364" s="280">
        <v>44848</v>
      </c>
      <c r="H2364" s="280">
        <v>44848</v>
      </c>
      <c r="J2364" t="s">
        <v>6175</v>
      </c>
      <c r="K2364" s="97">
        <v>8210151305</v>
      </c>
    </row>
    <row r="2365" spans="1:12" x14ac:dyDescent="0.3">
      <c r="A2365" s="302" t="s">
        <v>155</v>
      </c>
      <c r="B2365" s="302" t="str">
        <f t="shared" si="19"/>
        <v>Y</v>
      </c>
      <c r="C2365" s="479" t="s">
        <v>7032</v>
      </c>
      <c r="D2365" s="356"/>
      <c r="E2365" s="356" t="s">
        <v>7033</v>
      </c>
      <c r="F2365" s="280">
        <v>29550</v>
      </c>
      <c r="G2365" s="280">
        <v>44848</v>
      </c>
      <c r="H2365" s="280">
        <v>44848</v>
      </c>
      <c r="J2365" t="s">
        <v>6175</v>
      </c>
      <c r="K2365" s="97">
        <v>8210151305</v>
      </c>
    </row>
    <row r="2366" spans="1:12" x14ac:dyDescent="0.3">
      <c r="A2366" s="302" t="s">
        <v>155</v>
      </c>
      <c r="B2366" s="302" t="str">
        <f t="shared" si="19"/>
        <v>Y</v>
      </c>
      <c r="C2366" s="479" t="s">
        <v>7034</v>
      </c>
      <c r="D2366" s="356"/>
      <c r="E2366" s="356" t="s">
        <v>7035</v>
      </c>
      <c r="F2366" s="280">
        <v>37109</v>
      </c>
      <c r="G2366" s="280">
        <v>44850</v>
      </c>
      <c r="H2366" s="280">
        <v>44850</v>
      </c>
      <c r="K2366" s="97">
        <v>9304116523</v>
      </c>
    </row>
    <row r="2367" spans="1:12" x14ac:dyDescent="0.3">
      <c r="A2367" s="302" t="s">
        <v>155</v>
      </c>
      <c r="B2367" s="302" t="str">
        <f t="shared" si="19"/>
        <v>Y</v>
      </c>
      <c r="C2367" s="479" t="s">
        <v>7036</v>
      </c>
      <c r="D2367" s="356"/>
      <c r="E2367" s="356" t="s">
        <v>7037</v>
      </c>
      <c r="F2367" s="280">
        <v>34767</v>
      </c>
      <c r="G2367" s="280">
        <v>44850</v>
      </c>
      <c r="H2367" s="280">
        <v>44850</v>
      </c>
      <c r="I2367" t="s">
        <v>7038</v>
      </c>
      <c r="K2367" s="97">
        <v>7209788135</v>
      </c>
      <c r="L2367" t="s">
        <v>7039</v>
      </c>
    </row>
    <row r="2368" spans="1:12" x14ac:dyDescent="0.3">
      <c r="A2368" s="302" t="s">
        <v>155</v>
      </c>
      <c r="B2368" s="302" t="str">
        <f t="shared" si="19"/>
        <v>Y</v>
      </c>
      <c r="C2368" s="479" t="s">
        <v>7040</v>
      </c>
      <c r="D2368" s="356"/>
      <c r="E2368" s="356" t="s">
        <v>7041</v>
      </c>
      <c r="F2368" s="280">
        <v>36908</v>
      </c>
      <c r="G2368" s="280">
        <v>44851</v>
      </c>
      <c r="H2368" s="280">
        <v>44851</v>
      </c>
      <c r="K2368" s="97">
        <v>7209980870</v>
      </c>
      <c r="L2368" t="s">
        <v>7042</v>
      </c>
    </row>
    <row r="2369" spans="1:11" x14ac:dyDescent="0.3">
      <c r="A2369" s="302" t="s">
        <v>155</v>
      </c>
      <c r="B2369" s="302" t="str">
        <f t="shared" si="19"/>
        <v>Y</v>
      </c>
      <c r="C2369" s="479" t="s">
        <v>7043</v>
      </c>
      <c r="D2369" s="356"/>
      <c r="E2369" s="356" t="s">
        <v>7044</v>
      </c>
      <c r="F2369" s="280">
        <v>32367</v>
      </c>
      <c r="G2369" s="280">
        <v>44855</v>
      </c>
      <c r="H2369" s="280">
        <v>44855</v>
      </c>
      <c r="K2369" s="97">
        <v>9693556648</v>
      </c>
    </row>
    <row r="2370" spans="1:11" x14ac:dyDescent="0.3">
      <c r="A2370" s="302" t="s">
        <v>155</v>
      </c>
      <c r="B2370" s="302" t="str">
        <f t="shared" si="19"/>
        <v>Y</v>
      </c>
      <c r="C2370" s="479" t="s">
        <v>7045</v>
      </c>
      <c r="D2370" s="356"/>
      <c r="E2370" s="356" t="s">
        <v>7046</v>
      </c>
      <c r="F2370" s="280">
        <v>36600</v>
      </c>
      <c r="G2370" s="280">
        <v>44855</v>
      </c>
      <c r="H2370" s="280">
        <v>44855</v>
      </c>
      <c r="K2370" s="97">
        <v>7319734057</v>
      </c>
    </row>
    <row r="2371" spans="1:11" x14ac:dyDescent="0.3">
      <c r="A2371" s="302" t="s">
        <v>155</v>
      </c>
      <c r="B2371" s="302" t="str">
        <f t="shared" si="19"/>
        <v>Y</v>
      </c>
      <c r="C2371" s="479" t="s">
        <v>7047</v>
      </c>
      <c r="D2371" s="356"/>
      <c r="E2371" s="356" t="s">
        <v>1672</v>
      </c>
      <c r="F2371" s="280">
        <v>36494</v>
      </c>
      <c r="G2371" s="280">
        <v>44855</v>
      </c>
      <c r="H2371" s="280">
        <v>44855</v>
      </c>
      <c r="K2371" s="97">
        <v>6299816631</v>
      </c>
    </row>
    <row r="2372" spans="1:11" x14ac:dyDescent="0.3">
      <c r="A2372" s="302" t="s">
        <v>155</v>
      </c>
      <c r="B2372" s="302" t="str">
        <f t="shared" si="19"/>
        <v>Y</v>
      </c>
      <c r="C2372" s="479" t="s">
        <v>7048</v>
      </c>
      <c r="D2372" s="356"/>
      <c r="E2372" s="356" t="s">
        <v>7049</v>
      </c>
      <c r="F2372" s="280">
        <v>38245</v>
      </c>
      <c r="G2372" s="280">
        <v>44858</v>
      </c>
      <c r="H2372" s="280">
        <v>44858</v>
      </c>
      <c r="K2372" s="97">
        <v>7700898057</v>
      </c>
    </row>
    <row r="2373" spans="1:11" x14ac:dyDescent="0.3">
      <c r="A2373" s="302" t="s">
        <v>155</v>
      </c>
      <c r="B2373" s="302" t="str">
        <f t="shared" si="19"/>
        <v>Y</v>
      </c>
      <c r="C2373" s="479" t="s">
        <v>7050</v>
      </c>
      <c r="D2373" s="356"/>
      <c r="E2373" s="356" t="s">
        <v>7051</v>
      </c>
      <c r="F2373" s="280">
        <v>38270</v>
      </c>
      <c r="G2373" s="280">
        <v>44860</v>
      </c>
      <c r="H2373" s="280">
        <v>44861</v>
      </c>
      <c r="K2373" s="97">
        <v>7004422570</v>
      </c>
    </row>
    <row r="2374" spans="1:11" x14ac:dyDescent="0.3">
      <c r="A2374" s="302" t="s">
        <v>155</v>
      </c>
      <c r="B2374" s="302" t="str">
        <f t="shared" si="19"/>
        <v>Y</v>
      </c>
      <c r="C2374" s="479" t="s">
        <v>7052</v>
      </c>
      <c r="D2374" s="356"/>
      <c r="E2374" s="356" t="s">
        <v>7053</v>
      </c>
      <c r="F2374" s="280">
        <v>37791</v>
      </c>
      <c r="G2374" s="280">
        <v>44861</v>
      </c>
      <c r="H2374" s="280">
        <v>44861</v>
      </c>
      <c r="K2374" s="97">
        <v>8936099641</v>
      </c>
    </row>
    <row r="2375" spans="1:11" x14ac:dyDescent="0.3">
      <c r="A2375" s="302" t="s">
        <v>155</v>
      </c>
      <c r="B2375" s="302" t="str">
        <f t="shared" si="19"/>
        <v>Y</v>
      </c>
      <c r="C2375" s="479" t="s">
        <v>7054</v>
      </c>
      <c r="D2375" s="356"/>
      <c r="E2375" s="356" t="s">
        <v>7055</v>
      </c>
      <c r="F2375" s="280">
        <v>35879</v>
      </c>
      <c r="G2375" s="280">
        <v>44861</v>
      </c>
      <c r="H2375" s="280">
        <v>44861</v>
      </c>
      <c r="K2375" s="97">
        <v>8651029950</v>
      </c>
    </row>
    <row r="2376" spans="1:11" x14ac:dyDescent="0.3">
      <c r="A2376" s="302" t="s">
        <v>155</v>
      </c>
      <c r="B2376" s="302" t="str">
        <f t="shared" si="19"/>
        <v>Y</v>
      </c>
      <c r="C2376" s="479" t="s">
        <v>7056</v>
      </c>
      <c r="D2376" s="356"/>
      <c r="E2376" s="356" t="s">
        <v>7057</v>
      </c>
      <c r="F2376" s="280">
        <v>36387</v>
      </c>
      <c r="G2376" s="280">
        <v>44861</v>
      </c>
      <c r="H2376" s="280">
        <v>44861</v>
      </c>
      <c r="K2376" s="97">
        <v>6202416129</v>
      </c>
    </row>
    <row r="2377" spans="1:11" x14ac:dyDescent="0.3">
      <c r="A2377" s="302" t="s">
        <v>155</v>
      </c>
      <c r="B2377" s="302" t="str">
        <f t="shared" si="19"/>
        <v>Y</v>
      </c>
      <c r="C2377" s="479" t="s">
        <v>7058</v>
      </c>
      <c r="D2377" s="356"/>
      <c r="E2377" s="356" t="s">
        <v>7059</v>
      </c>
      <c r="F2377" s="280">
        <v>36987</v>
      </c>
      <c r="G2377" s="280">
        <v>44862</v>
      </c>
      <c r="H2377" s="280">
        <v>44862</v>
      </c>
      <c r="K2377" s="97">
        <v>9110124364</v>
      </c>
    </row>
    <row r="2378" spans="1:11" x14ac:dyDescent="0.3">
      <c r="A2378" s="302" t="s">
        <v>155</v>
      </c>
      <c r="B2378" s="302" t="str">
        <f t="shared" si="19"/>
        <v>Y</v>
      </c>
      <c r="C2378" s="473" t="s">
        <v>7060</v>
      </c>
      <c r="E2378" s="356" t="s">
        <v>6447</v>
      </c>
      <c r="F2378" s="280">
        <v>38263</v>
      </c>
      <c r="G2378" s="280">
        <v>44865</v>
      </c>
      <c r="H2378" s="280">
        <v>44865</v>
      </c>
      <c r="J2378" t="s">
        <v>7061</v>
      </c>
      <c r="K2378" s="97">
        <v>9931335705</v>
      </c>
    </row>
    <row r="2379" spans="1:11" x14ac:dyDescent="0.3">
      <c r="A2379" s="302" t="s">
        <v>155</v>
      </c>
      <c r="B2379" s="302" t="str">
        <f t="shared" si="19"/>
        <v>Y</v>
      </c>
      <c r="C2379" s="473" t="s">
        <v>7062</v>
      </c>
      <c r="E2379" s="356" t="s">
        <v>4977</v>
      </c>
      <c r="F2379" s="280">
        <v>30317</v>
      </c>
      <c r="G2379" s="280">
        <v>44867</v>
      </c>
      <c r="H2379" s="280">
        <v>44867</v>
      </c>
      <c r="K2379" s="97">
        <v>7970743490</v>
      </c>
    </row>
    <row r="2380" spans="1:11" x14ac:dyDescent="0.3">
      <c r="A2380" s="302" t="s">
        <v>155</v>
      </c>
      <c r="B2380" s="302" t="str">
        <f t="shared" si="19"/>
        <v>Y</v>
      </c>
      <c r="C2380" s="473" t="s">
        <v>7063</v>
      </c>
      <c r="E2380" s="356" t="s">
        <v>7064</v>
      </c>
      <c r="F2380" s="280">
        <v>24839</v>
      </c>
      <c r="G2380" s="280">
        <v>44867</v>
      </c>
      <c r="H2380" s="280">
        <v>44867</v>
      </c>
      <c r="K2380" s="97">
        <v>7209617670</v>
      </c>
    </row>
    <row r="2381" spans="1:11" x14ac:dyDescent="0.3">
      <c r="A2381" s="302" t="s">
        <v>155</v>
      </c>
      <c r="B2381" s="302" t="str">
        <f t="shared" si="19"/>
        <v>Y</v>
      </c>
      <c r="C2381" s="473" t="s">
        <v>7065</v>
      </c>
      <c r="E2381" s="356" t="s">
        <v>7066</v>
      </c>
      <c r="F2381" s="280">
        <v>29407</v>
      </c>
      <c r="G2381" s="280">
        <v>44868</v>
      </c>
      <c r="H2381" s="280">
        <v>44868</v>
      </c>
      <c r="K2381" s="97">
        <v>8002706703</v>
      </c>
    </row>
    <row r="2382" spans="1:11" x14ac:dyDescent="0.3">
      <c r="A2382" s="302" t="s">
        <v>155</v>
      </c>
      <c r="B2382" s="302" t="str">
        <f t="shared" si="19"/>
        <v>Y</v>
      </c>
      <c r="C2382" s="473" t="s">
        <v>7067</v>
      </c>
      <c r="E2382" s="356" t="s">
        <v>7068</v>
      </c>
      <c r="F2382" s="280">
        <v>37396</v>
      </c>
      <c r="G2382" s="280">
        <v>44869</v>
      </c>
      <c r="H2382" s="280">
        <v>44869</v>
      </c>
      <c r="K2382" s="97">
        <v>8092666346</v>
      </c>
    </row>
    <row r="2383" spans="1:11" x14ac:dyDescent="0.3">
      <c r="A2383" s="302" t="s">
        <v>155</v>
      </c>
      <c r="B2383" s="302" t="str">
        <f t="shared" si="19"/>
        <v>Y</v>
      </c>
      <c r="C2383" s="473" t="s">
        <v>7069</v>
      </c>
      <c r="E2383" s="356" t="s">
        <v>7070</v>
      </c>
      <c r="F2383" s="280">
        <v>37566</v>
      </c>
      <c r="G2383" s="280">
        <v>44869</v>
      </c>
      <c r="H2383" s="280">
        <v>44869</v>
      </c>
      <c r="K2383" s="97">
        <v>9523289823</v>
      </c>
    </row>
    <row r="2384" spans="1:11" x14ac:dyDescent="0.3">
      <c r="A2384" s="302" t="s">
        <v>155</v>
      </c>
      <c r="B2384" s="302" t="str">
        <f t="shared" ref="B2384:B2447" si="20">IF(H2384="","N","Y")</f>
        <v>Y</v>
      </c>
      <c r="C2384" s="473" t="s">
        <v>7071</v>
      </c>
      <c r="E2384" s="356" t="s">
        <v>7072</v>
      </c>
      <c r="F2384" s="280">
        <v>38240</v>
      </c>
      <c r="G2384" s="280">
        <v>44870</v>
      </c>
      <c r="H2384" s="280">
        <v>44870</v>
      </c>
      <c r="K2384" s="97">
        <v>9608956144</v>
      </c>
    </row>
    <row r="2385" spans="1:12" x14ac:dyDescent="0.3">
      <c r="A2385" s="302" t="s">
        <v>155</v>
      </c>
      <c r="B2385" s="302" t="str">
        <f t="shared" si="20"/>
        <v>Y</v>
      </c>
      <c r="C2385" s="473" t="s">
        <v>7073</v>
      </c>
      <c r="E2385" s="356" t="s">
        <v>7074</v>
      </c>
      <c r="F2385" s="280">
        <v>37944</v>
      </c>
      <c r="G2385" s="280">
        <v>44871</v>
      </c>
      <c r="H2385" s="280">
        <v>44871</v>
      </c>
      <c r="K2385" s="97">
        <v>8709902698</v>
      </c>
    </row>
    <row r="2386" spans="1:12" x14ac:dyDescent="0.3">
      <c r="A2386" s="302" t="s">
        <v>155</v>
      </c>
      <c r="B2386" s="302" t="str">
        <f t="shared" si="20"/>
        <v>Y</v>
      </c>
      <c r="C2386" s="473" t="s">
        <v>7075</v>
      </c>
      <c r="E2386" s="356" t="s">
        <v>7076</v>
      </c>
      <c r="F2386" s="280">
        <v>36991</v>
      </c>
      <c r="G2386" s="280">
        <v>44872</v>
      </c>
      <c r="H2386" s="280">
        <v>44872</v>
      </c>
      <c r="K2386" s="97">
        <v>9142999575</v>
      </c>
    </row>
    <row r="2387" spans="1:12" x14ac:dyDescent="0.3">
      <c r="A2387" s="302" t="s">
        <v>155</v>
      </c>
      <c r="B2387" s="302" t="str">
        <f t="shared" si="20"/>
        <v>Y</v>
      </c>
      <c r="C2387" s="473" t="s">
        <v>7077</v>
      </c>
      <c r="E2387" s="356" t="s">
        <v>7078</v>
      </c>
      <c r="F2387" s="280">
        <v>37433</v>
      </c>
      <c r="G2387" s="280">
        <v>44873</v>
      </c>
      <c r="H2387" s="280">
        <v>44873</v>
      </c>
      <c r="K2387" s="97">
        <v>6201120241</v>
      </c>
    </row>
    <row r="2388" spans="1:12" x14ac:dyDescent="0.3">
      <c r="A2388" s="302" t="s">
        <v>155</v>
      </c>
      <c r="B2388" s="302" t="str">
        <f t="shared" si="20"/>
        <v>Y</v>
      </c>
      <c r="C2388" s="473" t="s">
        <v>7079</v>
      </c>
      <c r="E2388" s="356" t="s">
        <v>7080</v>
      </c>
      <c r="F2388" s="280">
        <v>25333</v>
      </c>
      <c r="G2388" s="280">
        <v>44874</v>
      </c>
      <c r="H2388" s="280">
        <v>44874</v>
      </c>
      <c r="K2388" s="97">
        <v>7070429745</v>
      </c>
    </row>
    <row r="2389" spans="1:12" x14ac:dyDescent="0.3">
      <c r="A2389" s="302" t="s">
        <v>155</v>
      </c>
      <c r="B2389" s="302" t="str">
        <f t="shared" si="20"/>
        <v>Y</v>
      </c>
      <c r="C2389" s="473" t="s">
        <v>7081</v>
      </c>
      <c r="E2389" s="356" t="s">
        <v>7082</v>
      </c>
      <c r="F2389" s="280">
        <v>25333</v>
      </c>
      <c r="G2389" s="280">
        <v>44874</v>
      </c>
      <c r="H2389" s="280">
        <v>44874</v>
      </c>
      <c r="K2389" s="97">
        <v>9572488078</v>
      </c>
    </row>
    <row r="2390" spans="1:12" x14ac:dyDescent="0.3">
      <c r="A2390" s="302" t="s">
        <v>155</v>
      </c>
      <c r="B2390" s="302" t="str">
        <f t="shared" si="20"/>
        <v>Y</v>
      </c>
      <c r="C2390" s="473" t="s">
        <v>7083</v>
      </c>
      <c r="E2390" s="356" t="s">
        <v>7084</v>
      </c>
      <c r="F2390" s="280">
        <v>20528</v>
      </c>
      <c r="G2390" s="280">
        <v>44874</v>
      </c>
      <c r="H2390" s="280">
        <v>44874</v>
      </c>
      <c r="K2390" s="97">
        <v>8873091684</v>
      </c>
    </row>
    <row r="2391" spans="1:12" x14ac:dyDescent="0.3">
      <c r="A2391" s="302" t="s">
        <v>155</v>
      </c>
      <c r="B2391" s="302" t="str">
        <f t="shared" si="20"/>
        <v>Y</v>
      </c>
      <c r="C2391" s="473" t="s">
        <v>7085</v>
      </c>
      <c r="E2391" s="356" t="s">
        <v>7086</v>
      </c>
      <c r="F2391" s="280">
        <v>22068</v>
      </c>
      <c r="G2391" s="280">
        <v>44874</v>
      </c>
      <c r="H2391" s="280">
        <v>44875</v>
      </c>
      <c r="K2391" s="97">
        <v>8603858014</v>
      </c>
    </row>
    <row r="2392" spans="1:12" x14ac:dyDescent="0.3">
      <c r="A2392" s="302" t="s">
        <v>155</v>
      </c>
      <c r="B2392" s="302" t="str">
        <f t="shared" si="20"/>
        <v>Y</v>
      </c>
      <c r="C2392" s="473" t="s">
        <v>7087</v>
      </c>
      <c r="E2392" s="356" t="s">
        <v>7088</v>
      </c>
      <c r="F2392" s="280">
        <v>21186</v>
      </c>
      <c r="G2392" s="280">
        <v>44874</v>
      </c>
      <c r="H2392" s="280">
        <v>44876</v>
      </c>
      <c r="J2392" t="s">
        <v>6175</v>
      </c>
      <c r="K2392" s="97">
        <v>7050060933</v>
      </c>
    </row>
    <row r="2393" spans="1:12" x14ac:dyDescent="0.3">
      <c r="A2393" s="302" t="s">
        <v>155</v>
      </c>
      <c r="B2393" s="302" t="str">
        <f t="shared" si="20"/>
        <v>Y</v>
      </c>
      <c r="C2393" s="473" t="s">
        <v>7089</v>
      </c>
      <c r="E2393" s="356" t="s">
        <v>7090</v>
      </c>
      <c r="F2393" s="280">
        <v>21916</v>
      </c>
      <c r="G2393" s="280">
        <v>44874</v>
      </c>
      <c r="H2393" s="280">
        <v>44877</v>
      </c>
      <c r="J2393" t="s">
        <v>6175</v>
      </c>
      <c r="K2393" s="97">
        <v>7050060933</v>
      </c>
    </row>
    <row r="2394" spans="1:12" x14ac:dyDescent="0.3">
      <c r="A2394" s="302" t="s">
        <v>155</v>
      </c>
      <c r="B2394" s="302" t="str">
        <f t="shared" si="20"/>
        <v>Y</v>
      </c>
      <c r="C2394" s="473" t="s">
        <v>7091</v>
      </c>
      <c r="E2394" s="353" t="s">
        <v>7092</v>
      </c>
      <c r="F2394" s="280">
        <v>37664</v>
      </c>
      <c r="G2394" s="280">
        <v>44875</v>
      </c>
      <c r="H2394" s="280">
        <v>44875</v>
      </c>
      <c r="K2394" s="97">
        <v>8797592416</v>
      </c>
    </row>
    <row r="2395" spans="1:12" x14ac:dyDescent="0.3">
      <c r="A2395" s="302" t="s">
        <v>155</v>
      </c>
      <c r="B2395" s="302" t="str">
        <f t="shared" si="20"/>
        <v>Y</v>
      </c>
      <c r="C2395" s="473" t="s">
        <v>7093</v>
      </c>
      <c r="E2395" s="353" t="s">
        <v>6673</v>
      </c>
      <c r="F2395" s="280">
        <v>30141</v>
      </c>
      <c r="G2395" s="280">
        <v>44875</v>
      </c>
      <c r="H2395" s="280">
        <v>44875</v>
      </c>
      <c r="K2395" s="97">
        <v>7008218699</v>
      </c>
    </row>
    <row r="2396" spans="1:12" x14ac:dyDescent="0.3">
      <c r="A2396" s="302" t="s">
        <v>155</v>
      </c>
      <c r="B2396" s="302" t="str">
        <f t="shared" si="20"/>
        <v>Y</v>
      </c>
      <c r="C2396" s="473" t="s">
        <v>7094</v>
      </c>
      <c r="E2396" s="353" t="s">
        <v>7095</v>
      </c>
      <c r="F2396" s="280">
        <v>34745</v>
      </c>
      <c r="G2396" s="280">
        <v>44876</v>
      </c>
      <c r="H2396" s="280">
        <v>44876</v>
      </c>
      <c r="K2396" s="97">
        <v>9204401811</v>
      </c>
    </row>
    <row r="2397" spans="1:12" x14ac:dyDescent="0.3">
      <c r="A2397" s="302" t="s">
        <v>155</v>
      </c>
      <c r="B2397" s="302" t="str">
        <f t="shared" si="20"/>
        <v>Y</v>
      </c>
      <c r="C2397" s="473" t="s">
        <v>7096</v>
      </c>
      <c r="E2397" s="353" t="s">
        <v>6390</v>
      </c>
      <c r="F2397" s="280">
        <v>37970</v>
      </c>
      <c r="G2397" s="280">
        <v>44877</v>
      </c>
      <c r="H2397" s="280">
        <v>44877</v>
      </c>
      <c r="K2397" s="97">
        <v>9508598711</v>
      </c>
      <c r="L2397" s="82">
        <v>44895</v>
      </c>
    </row>
    <row r="2398" spans="1:12" x14ac:dyDescent="0.3">
      <c r="A2398" s="302" t="s">
        <v>155</v>
      </c>
      <c r="B2398" s="302" t="str">
        <f t="shared" si="20"/>
        <v>Y</v>
      </c>
      <c r="C2398" s="473" t="s">
        <v>7097</v>
      </c>
      <c r="E2398" s="353" t="s">
        <v>7098</v>
      </c>
      <c r="F2398" s="280">
        <v>32257</v>
      </c>
      <c r="G2398" s="280">
        <v>44877</v>
      </c>
      <c r="H2398" s="280">
        <v>44877</v>
      </c>
      <c r="K2398" s="97">
        <v>8252084450</v>
      </c>
    </row>
    <row r="2399" spans="1:12" x14ac:dyDescent="0.3">
      <c r="A2399" s="302" t="s">
        <v>155</v>
      </c>
      <c r="B2399" s="302" t="str">
        <f t="shared" si="20"/>
        <v>Y</v>
      </c>
      <c r="C2399" s="473" t="s">
        <v>7099</v>
      </c>
      <c r="E2399" s="353" t="s">
        <v>7100</v>
      </c>
      <c r="F2399" s="280">
        <v>29638</v>
      </c>
      <c r="G2399" s="280">
        <v>44878</v>
      </c>
      <c r="H2399" s="280">
        <v>44878</v>
      </c>
      <c r="K2399" s="97">
        <v>9717302721</v>
      </c>
      <c r="L2399" s="98" t="s">
        <v>7101</v>
      </c>
    </row>
    <row r="2400" spans="1:12" x14ac:dyDescent="0.3">
      <c r="A2400" s="302" t="s">
        <v>155</v>
      </c>
      <c r="B2400" s="302" t="str">
        <f t="shared" si="20"/>
        <v>Y</v>
      </c>
      <c r="C2400" s="473" t="s">
        <v>7102</v>
      </c>
      <c r="E2400" s="353" t="s">
        <v>7103</v>
      </c>
      <c r="F2400" s="280">
        <v>36892</v>
      </c>
      <c r="G2400" s="280">
        <v>44878</v>
      </c>
      <c r="H2400" s="280">
        <v>44878</v>
      </c>
      <c r="J2400" t="s">
        <v>6175</v>
      </c>
      <c r="K2400" s="97">
        <v>8294477190</v>
      </c>
    </row>
    <row r="2401" spans="1:11" x14ac:dyDescent="0.3">
      <c r="A2401" s="302" t="s">
        <v>155</v>
      </c>
      <c r="B2401" s="302" t="str">
        <f t="shared" si="20"/>
        <v>Y</v>
      </c>
      <c r="C2401" s="473" t="s">
        <v>7104</v>
      </c>
      <c r="E2401" s="353" t="s">
        <v>5649</v>
      </c>
      <c r="F2401" s="280">
        <v>41900</v>
      </c>
      <c r="G2401" s="280">
        <v>44882</v>
      </c>
      <c r="H2401" s="280">
        <v>44882</v>
      </c>
      <c r="K2401" s="97">
        <v>9341907853</v>
      </c>
    </row>
    <row r="2402" spans="1:11" x14ac:dyDescent="0.3">
      <c r="A2402" s="302" t="s">
        <v>155</v>
      </c>
      <c r="B2402" s="302" t="str">
        <f t="shared" si="20"/>
        <v>Y</v>
      </c>
      <c r="C2402" s="473" t="s">
        <v>7105</v>
      </c>
      <c r="E2402" s="353" t="s">
        <v>7106</v>
      </c>
      <c r="F2402" s="280">
        <v>29221</v>
      </c>
      <c r="G2402" s="280">
        <v>44882</v>
      </c>
      <c r="H2402" s="280">
        <v>44882</v>
      </c>
      <c r="K2402" s="97">
        <v>821195850</v>
      </c>
    </row>
    <row r="2403" spans="1:11" x14ac:dyDescent="0.3">
      <c r="A2403" s="302" t="s">
        <v>155</v>
      </c>
      <c r="B2403" s="302" t="str">
        <f t="shared" si="20"/>
        <v>Y</v>
      </c>
      <c r="C2403" s="473" t="s">
        <v>7107</v>
      </c>
      <c r="E2403" s="353" t="s">
        <v>7108</v>
      </c>
      <c r="F2403" s="280">
        <v>29447</v>
      </c>
      <c r="G2403" s="280">
        <v>44882</v>
      </c>
      <c r="H2403" s="280">
        <v>44882</v>
      </c>
      <c r="K2403" s="97">
        <v>9835732829</v>
      </c>
    </row>
    <row r="2404" spans="1:11" x14ac:dyDescent="0.3">
      <c r="A2404" s="302" t="s">
        <v>155</v>
      </c>
      <c r="B2404" s="302" t="str">
        <f t="shared" si="20"/>
        <v>Y</v>
      </c>
      <c r="C2404" s="473" t="s">
        <v>7109</v>
      </c>
      <c r="E2404" s="353" t="s">
        <v>7110</v>
      </c>
      <c r="F2404" s="280">
        <v>19793</v>
      </c>
      <c r="G2404" s="280">
        <v>44884</v>
      </c>
      <c r="H2404" s="280">
        <v>44884</v>
      </c>
      <c r="K2404" s="97">
        <v>7047916103</v>
      </c>
    </row>
    <row r="2405" spans="1:11" x14ac:dyDescent="0.3">
      <c r="A2405" s="302" t="s">
        <v>155</v>
      </c>
      <c r="B2405" s="302" t="str">
        <f t="shared" si="20"/>
        <v>Y</v>
      </c>
      <c r="C2405" s="473" t="s">
        <v>7111</v>
      </c>
      <c r="E2405" s="353" t="s">
        <v>7112</v>
      </c>
      <c r="F2405" s="280">
        <v>35828</v>
      </c>
      <c r="G2405" s="280">
        <v>44884</v>
      </c>
      <c r="H2405" s="280">
        <v>44884</v>
      </c>
      <c r="K2405" s="97">
        <v>9386005926</v>
      </c>
    </row>
    <row r="2406" spans="1:11" x14ac:dyDescent="0.3">
      <c r="A2406" s="302" t="s">
        <v>155</v>
      </c>
      <c r="B2406" s="302" t="str">
        <f t="shared" si="20"/>
        <v>Y</v>
      </c>
      <c r="C2406" s="479" t="s">
        <v>7113</v>
      </c>
      <c r="D2406" s="356"/>
      <c r="E2406" s="356" t="s">
        <v>7114</v>
      </c>
      <c r="F2406" s="280">
        <v>32247</v>
      </c>
      <c r="G2406" s="280">
        <v>44887</v>
      </c>
      <c r="H2406" s="280">
        <v>44887</v>
      </c>
      <c r="K2406" s="97">
        <v>7319880786</v>
      </c>
    </row>
    <row r="2407" spans="1:11" x14ac:dyDescent="0.3">
      <c r="A2407" s="302" t="s">
        <v>155</v>
      </c>
      <c r="B2407" s="302" t="str">
        <f t="shared" si="20"/>
        <v>Y</v>
      </c>
      <c r="C2407" s="479" t="s">
        <v>7115</v>
      </c>
      <c r="D2407" s="356"/>
      <c r="E2407" s="356" t="s">
        <v>7116</v>
      </c>
      <c r="F2407" s="280">
        <v>25773</v>
      </c>
      <c r="G2407" s="280">
        <v>44887</v>
      </c>
      <c r="H2407" s="280">
        <v>44887</v>
      </c>
      <c r="K2407" s="97">
        <v>9905103786</v>
      </c>
    </row>
    <row r="2408" spans="1:11" x14ac:dyDescent="0.3">
      <c r="A2408" s="302" t="s">
        <v>155</v>
      </c>
      <c r="B2408" s="302" t="str">
        <f t="shared" si="20"/>
        <v>Y</v>
      </c>
      <c r="C2408" s="479" t="s">
        <v>7117</v>
      </c>
      <c r="D2408" s="356"/>
      <c r="E2408" s="356" t="s">
        <v>7118</v>
      </c>
      <c r="F2408" s="280">
        <v>38099</v>
      </c>
      <c r="G2408" s="280">
        <v>44888</v>
      </c>
      <c r="H2408" s="280">
        <v>44889</v>
      </c>
      <c r="K2408" s="97">
        <v>6202996851</v>
      </c>
    </row>
    <row r="2409" spans="1:11" x14ac:dyDescent="0.3">
      <c r="A2409" s="302" t="s">
        <v>155</v>
      </c>
      <c r="B2409" s="302" t="str">
        <f t="shared" si="20"/>
        <v>Y</v>
      </c>
      <c r="C2409" s="479" t="s">
        <v>7119</v>
      </c>
      <c r="D2409" s="356"/>
      <c r="E2409" s="356" t="s">
        <v>7120</v>
      </c>
      <c r="F2409" s="280">
        <v>33800</v>
      </c>
      <c r="G2409" s="280">
        <v>44890</v>
      </c>
      <c r="H2409" s="280">
        <v>44890</v>
      </c>
      <c r="K2409" s="97">
        <v>8002807660</v>
      </c>
    </row>
    <row r="2410" spans="1:11" x14ac:dyDescent="0.3">
      <c r="A2410" s="302" t="s">
        <v>155</v>
      </c>
      <c r="B2410" s="302" t="str">
        <f t="shared" si="20"/>
        <v>Y</v>
      </c>
      <c r="C2410" s="479" t="s">
        <v>7121</v>
      </c>
      <c r="D2410" s="356"/>
      <c r="E2410" s="356" t="s">
        <v>7066</v>
      </c>
      <c r="F2410" s="280">
        <v>29407</v>
      </c>
      <c r="G2410" s="280">
        <v>44890</v>
      </c>
      <c r="H2410" s="280">
        <v>44890</v>
      </c>
      <c r="K2410" s="97">
        <v>8002706703</v>
      </c>
    </row>
    <row r="2411" spans="1:11" x14ac:dyDescent="0.3">
      <c r="A2411" s="302" t="s">
        <v>155</v>
      </c>
      <c r="B2411" s="302" t="str">
        <f t="shared" si="20"/>
        <v>Y</v>
      </c>
      <c r="C2411" s="479" t="s">
        <v>7122</v>
      </c>
      <c r="D2411" s="356"/>
      <c r="E2411" s="356" t="s">
        <v>7123</v>
      </c>
      <c r="F2411" s="280">
        <v>38317</v>
      </c>
      <c r="G2411" s="280">
        <v>44892</v>
      </c>
      <c r="H2411" s="280">
        <v>44892</v>
      </c>
      <c r="K2411" s="97">
        <v>9471723554</v>
      </c>
    </row>
    <row r="2412" spans="1:11" x14ac:dyDescent="0.3">
      <c r="A2412" s="302" t="s">
        <v>155</v>
      </c>
      <c r="B2412" s="302" t="str">
        <f t="shared" si="20"/>
        <v>Y</v>
      </c>
      <c r="C2412" s="479" t="s">
        <v>7124</v>
      </c>
      <c r="D2412" s="356"/>
      <c r="E2412" s="356" t="s">
        <v>7125</v>
      </c>
      <c r="F2412" s="280">
        <v>37943</v>
      </c>
      <c r="G2412" s="280">
        <v>44893</v>
      </c>
      <c r="H2412" s="280">
        <v>44893</v>
      </c>
      <c r="K2412" s="97">
        <v>8580014450</v>
      </c>
    </row>
    <row r="2413" spans="1:11" x14ac:dyDescent="0.3">
      <c r="A2413" s="302" t="s">
        <v>155</v>
      </c>
      <c r="B2413" s="302" t="str">
        <f t="shared" si="20"/>
        <v>Y</v>
      </c>
      <c r="C2413" s="479" t="s">
        <v>7126</v>
      </c>
      <c r="D2413" s="356"/>
      <c r="E2413" s="356" t="s">
        <v>7127</v>
      </c>
      <c r="F2413" s="280">
        <v>20214</v>
      </c>
      <c r="G2413" s="280">
        <v>44893</v>
      </c>
      <c r="H2413" s="280">
        <v>44893</v>
      </c>
      <c r="K2413" s="97">
        <v>7209379559</v>
      </c>
    </row>
    <row r="2414" spans="1:11" x14ac:dyDescent="0.3">
      <c r="A2414" s="302" t="s">
        <v>155</v>
      </c>
      <c r="B2414" s="302" t="str">
        <f t="shared" si="20"/>
        <v>Y</v>
      </c>
      <c r="C2414" s="479" t="s">
        <v>7128</v>
      </c>
      <c r="D2414" s="356"/>
      <c r="E2414" s="356" t="s">
        <v>7129</v>
      </c>
      <c r="F2414" s="280">
        <v>38313</v>
      </c>
      <c r="G2414" s="280">
        <v>44894</v>
      </c>
      <c r="H2414" s="280">
        <v>44894</v>
      </c>
      <c r="K2414" s="97">
        <v>8092876763</v>
      </c>
    </row>
    <row r="2415" spans="1:11" x14ac:dyDescent="0.3">
      <c r="A2415" s="302" t="s">
        <v>155</v>
      </c>
      <c r="B2415" s="302" t="str">
        <f t="shared" si="20"/>
        <v>Y</v>
      </c>
      <c r="C2415" s="479" t="s">
        <v>7130</v>
      </c>
      <c r="D2415" s="356"/>
      <c r="E2415" s="356" t="s">
        <v>7131</v>
      </c>
      <c r="F2415" s="280">
        <v>35972</v>
      </c>
      <c r="G2415" s="280">
        <v>44896</v>
      </c>
      <c r="H2415" s="280">
        <v>44896</v>
      </c>
      <c r="J2415" t="s">
        <v>6175</v>
      </c>
      <c r="K2415" s="97">
        <v>7050492415</v>
      </c>
    </row>
    <row r="2416" spans="1:11" x14ac:dyDescent="0.3">
      <c r="A2416" s="302" t="s">
        <v>155</v>
      </c>
      <c r="B2416" s="302" t="str">
        <f t="shared" si="20"/>
        <v>Y</v>
      </c>
      <c r="C2416" s="479" t="s">
        <v>7132</v>
      </c>
      <c r="D2416" s="356"/>
      <c r="E2416" s="356" t="s">
        <v>7133</v>
      </c>
      <c r="F2416" s="280">
        <v>36001</v>
      </c>
      <c r="G2416" s="280">
        <v>44898</v>
      </c>
      <c r="H2416" s="280">
        <v>44898</v>
      </c>
      <c r="K2416" s="97">
        <v>7209875530</v>
      </c>
    </row>
    <row r="2417" spans="1:12" x14ac:dyDescent="0.3">
      <c r="A2417" s="302" t="s">
        <v>155</v>
      </c>
      <c r="B2417" s="302" t="str">
        <f t="shared" si="20"/>
        <v>Y</v>
      </c>
      <c r="C2417" s="479" t="s">
        <v>7134</v>
      </c>
      <c r="D2417" s="356"/>
      <c r="E2417" s="356" t="s">
        <v>7135</v>
      </c>
      <c r="F2417" s="280">
        <v>25492</v>
      </c>
      <c r="G2417" s="280">
        <v>44898</v>
      </c>
      <c r="H2417" s="280">
        <v>44898</v>
      </c>
      <c r="J2417" t="s">
        <v>6175</v>
      </c>
      <c r="K2417" s="97">
        <v>7004933735</v>
      </c>
      <c r="L2417" s="82" t="s">
        <v>7136</v>
      </c>
    </row>
    <row r="2418" spans="1:12" x14ac:dyDescent="0.3">
      <c r="A2418" s="302" t="s">
        <v>155</v>
      </c>
      <c r="B2418" s="302" t="str">
        <f t="shared" si="20"/>
        <v>Y</v>
      </c>
      <c r="C2418" s="479" t="s">
        <v>7137</v>
      </c>
      <c r="D2418" s="356"/>
      <c r="E2418" s="356" t="s">
        <v>7138</v>
      </c>
      <c r="F2418" s="280">
        <v>24474</v>
      </c>
      <c r="G2418" s="280">
        <v>44900</v>
      </c>
      <c r="H2418" s="280">
        <v>44900</v>
      </c>
      <c r="K2418" s="97">
        <v>9430775684</v>
      </c>
    </row>
    <row r="2419" spans="1:12" x14ac:dyDescent="0.3">
      <c r="A2419" s="302" t="s">
        <v>155</v>
      </c>
      <c r="B2419" s="302" t="str">
        <f t="shared" si="20"/>
        <v>Y</v>
      </c>
      <c r="C2419" s="479" t="s">
        <v>7139</v>
      </c>
      <c r="D2419" s="356"/>
      <c r="E2419" s="356" t="s">
        <v>7140</v>
      </c>
      <c r="F2419" s="280">
        <v>26718</v>
      </c>
      <c r="G2419" s="280">
        <v>44900</v>
      </c>
      <c r="H2419" s="280">
        <v>44900</v>
      </c>
      <c r="K2419" s="97">
        <v>9430775684</v>
      </c>
    </row>
    <row r="2420" spans="1:12" x14ac:dyDescent="0.3">
      <c r="A2420" s="302" t="s">
        <v>155</v>
      </c>
      <c r="B2420" s="302" t="str">
        <f t="shared" si="20"/>
        <v>Y</v>
      </c>
      <c r="C2420" s="479" t="s">
        <v>7141</v>
      </c>
      <c r="D2420" s="356"/>
      <c r="E2420" s="356" t="s">
        <v>1645</v>
      </c>
      <c r="F2420" s="280">
        <v>32310</v>
      </c>
      <c r="G2420" s="280">
        <v>44901</v>
      </c>
      <c r="H2420" s="280">
        <v>44901</v>
      </c>
      <c r="K2420" s="97">
        <v>9771219893</v>
      </c>
    </row>
    <row r="2421" spans="1:12" x14ac:dyDescent="0.3">
      <c r="A2421" s="302" t="s">
        <v>155</v>
      </c>
      <c r="B2421" s="302" t="str">
        <f t="shared" si="20"/>
        <v>Y</v>
      </c>
      <c r="C2421" s="479" t="s">
        <v>7142</v>
      </c>
      <c r="D2421" s="356"/>
      <c r="E2421" s="356" t="s">
        <v>7143</v>
      </c>
      <c r="F2421" s="280">
        <v>33726</v>
      </c>
      <c r="G2421" s="280">
        <v>44903</v>
      </c>
      <c r="H2421" s="280">
        <v>44903</v>
      </c>
      <c r="K2421" s="97">
        <v>8434118520</v>
      </c>
    </row>
    <row r="2422" spans="1:12" x14ac:dyDescent="0.3">
      <c r="A2422" s="302" t="s">
        <v>155</v>
      </c>
      <c r="B2422" s="302" t="str">
        <f t="shared" si="20"/>
        <v>Y</v>
      </c>
      <c r="C2422" s="479" t="s">
        <v>7144</v>
      </c>
      <c r="D2422" s="356"/>
      <c r="E2422" s="356" t="s">
        <v>7145</v>
      </c>
      <c r="F2422" s="280">
        <v>25689</v>
      </c>
      <c r="G2422" s="280">
        <v>44903</v>
      </c>
      <c r="H2422" s="280">
        <v>44904</v>
      </c>
      <c r="K2422" s="97">
        <v>7209860478</v>
      </c>
    </row>
    <row r="2423" spans="1:12" x14ac:dyDescent="0.3">
      <c r="A2423" s="302" t="s">
        <v>155</v>
      </c>
      <c r="B2423" s="302" t="str">
        <f t="shared" si="20"/>
        <v>Y</v>
      </c>
      <c r="C2423" s="479" t="s">
        <v>7146</v>
      </c>
      <c r="D2423" s="356"/>
      <c r="E2423" s="356" t="s">
        <v>7147</v>
      </c>
      <c r="F2423" s="280">
        <v>38205</v>
      </c>
      <c r="G2423" s="280">
        <v>44907</v>
      </c>
      <c r="H2423" s="280">
        <v>44907</v>
      </c>
      <c r="K2423" s="97">
        <v>8709981527</v>
      </c>
    </row>
    <row r="2424" spans="1:12" x14ac:dyDescent="0.3">
      <c r="A2424" s="302" t="s">
        <v>155</v>
      </c>
      <c r="B2424" s="302" t="str">
        <f t="shared" si="20"/>
        <v>Y</v>
      </c>
      <c r="C2424" s="479" t="s">
        <v>7148</v>
      </c>
      <c r="D2424" s="356"/>
      <c r="E2424" s="356" t="s">
        <v>7149</v>
      </c>
      <c r="F2424" s="280">
        <v>38576</v>
      </c>
      <c r="G2424" s="280">
        <v>44908</v>
      </c>
      <c r="H2424" s="280">
        <v>44908</v>
      </c>
      <c r="K2424" s="97">
        <v>9430721023</v>
      </c>
    </row>
    <row r="2425" spans="1:12" x14ac:dyDescent="0.3">
      <c r="A2425" s="302" t="s">
        <v>155</v>
      </c>
      <c r="B2425" s="302" t="str">
        <f t="shared" si="20"/>
        <v>Y</v>
      </c>
      <c r="C2425" s="479" t="s">
        <v>7150</v>
      </c>
      <c r="D2425" s="356"/>
      <c r="E2425" s="356" t="s">
        <v>7151</v>
      </c>
      <c r="F2425" s="280">
        <v>38109</v>
      </c>
      <c r="G2425" s="280">
        <v>44909</v>
      </c>
      <c r="H2425" s="280">
        <v>44909</v>
      </c>
      <c r="K2425" s="97">
        <v>9297700151</v>
      </c>
    </row>
    <row r="2426" spans="1:12" x14ac:dyDescent="0.3">
      <c r="A2426" s="302" t="s">
        <v>155</v>
      </c>
      <c r="B2426" s="302" t="str">
        <f t="shared" si="20"/>
        <v>Y</v>
      </c>
      <c r="C2426" s="479" t="s">
        <v>7152</v>
      </c>
      <c r="D2426" s="356"/>
      <c r="E2426" s="356" t="s">
        <v>7153</v>
      </c>
      <c r="F2426" s="280">
        <v>27226</v>
      </c>
      <c r="G2426" s="280">
        <v>44909</v>
      </c>
      <c r="H2426" s="280">
        <v>44909</v>
      </c>
      <c r="K2426" s="97">
        <v>7250252838</v>
      </c>
    </row>
    <row r="2427" spans="1:12" x14ac:dyDescent="0.3">
      <c r="A2427" s="302" t="s">
        <v>155</v>
      </c>
      <c r="B2427" s="302" t="str">
        <f t="shared" si="20"/>
        <v>Y</v>
      </c>
      <c r="C2427" s="479" t="s">
        <v>7154</v>
      </c>
      <c r="D2427" s="356"/>
      <c r="E2427" s="356" t="s">
        <v>713</v>
      </c>
      <c r="F2427" s="280">
        <v>38287</v>
      </c>
      <c r="G2427" s="280">
        <v>44913</v>
      </c>
      <c r="H2427" s="280">
        <v>44913</v>
      </c>
      <c r="K2427" s="97">
        <v>6205145978</v>
      </c>
    </row>
    <row r="2428" spans="1:12" x14ac:dyDescent="0.3">
      <c r="A2428" s="302" t="s">
        <v>155</v>
      </c>
      <c r="B2428" s="302" t="str">
        <f t="shared" si="20"/>
        <v>Y</v>
      </c>
      <c r="C2428" s="479" t="s">
        <v>7155</v>
      </c>
      <c r="D2428" s="356"/>
      <c r="E2428" s="356" t="s">
        <v>7156</v>
      </c>
      <c r="F2428" s="280">
        <v>33635</v>
      </c>
      <c r="G2428" s="280">
        <v>44913</v>
      </c>
      <c r="H2428" s="280">
        <v>44913</v>
      </c>
      <c r="K2428" s="97">
        <v>9234266546</v>
      </c>
    </row>
    <row r="2429" spans="1:12" x14ac:dyDescent="0.3">
      <c r="A2429" s="302" t="s">
        <v>155</v>
      </c>
      <c r="B2429" s="302" t="str">
        <f t="shared" si="20"/>
        <v>Y</v>
      </c>
      <c r="C2429" s="479" t="s">
        <v>7157</v>
      </c>
      <c r="D2429" s="356"/>
      <c r="E2429" s="356" t="s">
        <v>7158</v>
      </c>
      <c r="F2429" s="280">
        <v>38324</v>
      </c>
      <c r="G2429" s="280">
        <v>44914</v>
      </c>
      <c r="H2429" s="280">
        <v>44914</v>
      </c>
      <c r="K2429" s="97">
        <v>9065339419</v>
      </c>
    </row>
    <row r="2430" spans="1:12" x14ac:dyDescent="0.3">
      <c r="A2430" s="302" t="s">
        <v>155</v>
      </c>
      <c r="B2430" s="302" t="str">
        <f t="shared" si="20"/>
        <v>Y</v>
      </c>
      <c r="C2430" s="479" t="s">
        <v>7159</v>
      </c>
      <c r="D2430" s="356"/>
      <c r="E2430" s="356" t="s">
        <v>7160</v>
      </c>
      <c r="F2430" s="280">
        <v>33011</v>
      </c>
      <c r="G2430" s="280">
        <v>44914</v>
      </c>
      <c r="H2430" s="280">
        <v>44914</v>
      </c>
      <c r="K2430" s="97">
        <v>8235245624</v>
      </c>
    </row>
    <row r="2431" spans="1:12" x14ac:dyDescent="0.3">
      <c r="A2431" s="302" t="s">
        <v>155</v>
      </c>
      <c r="B2431" s="302" t="str">
        <f t="shared" si="20"/>
        <v>Y</v>
      </c>
      <c r="C2431" s="479" t="s">
        <v>7161</v>
      </c>
      <c r="D2431" s="356"/>
      <c r="E2431" s="356" t="s">
        <v>7162</v>
      </c>
      <c r="F2431" s="280">
        <v>38216</v>
      </c>
      <c r="G2431" s="280">
        <v>44914</v>
      </c>
      <c r="H2431" s="280">
        <v>44914</v>
      </c>
      <c r="K2431" s="97">
        <v>9905281132</v>
      </c>
    </row>
    <row r="2432" spans="1:12" x14ac:dyDescent="0.3">
      <c r="A2432" s="302" t="s">
        <v>155</v>
      </c>
      <c r="B2432" s="302" t="str">
        <f t="shared" si="20"/>
        <v>Y</v>
      </c>
      <c r="C2432" s="479" t="s">
        <v>7163</v>
      </c>
      <c r="D2432" s="356"/>
      <c r="E2432" s="356" t="s">
        <v>7164</v>
      </c>
      <c r="F2432" s="280">
        <v>38671</v>
      </c>
      <c r="G2432" s="280">
        <v>44916</v>
      </c>
      <c r="H2432" s="280">
        <v>44917</v>
      </c>
      <c r="K2432" s="97">
        <v>9934389995</v>
      </c>
    </row>
    <row r="2433" spans="1:14" x14ac:dyDescent="0.3">
      <c r="A2433" s="302" t="s">
        <v>155</v>
      </c>
      <c r="B2433" s="302" t="str">
        <f t="shared" si="20"/>
        <v>Y</v>
      </c>
      <c r="C2433" s="472" t="s">
        <v>7165</v>
      </c>
      <c r="D2433" s="338"/>
      <c r="E2433" s="356" t="s">
        <v>7166</v>
      </c>
      <c r="F2433" s="280">
        <v>38293</v>
      </c>
      <c r="G2433" s="280">
        <v>44917</v>
      </c>
      <c r="H2433" s="280">
        <v>44917</v>
      </c>
      <c r="K2433" s="97">
        <v>9234611866</v>
      </c>
    </row>
    <row r="2434" spans="1:14" x14ac:dyDescent="0.3">
      <c r="A2434" s="302" t="s">
        <v>155</v>
      </c>
      <c r="B2434" s="302" t="str">
        <f t="shared" si="20"/>
        <v>Y</v>
      </c>
      <c r="C2434" s="479" t="s">
        <v>7167</v>
      </c>
      <c r="D2434" s="356"/>
      <c r="E2434" s="356" t="s">
        <v>7168</v>
      </c>
      <c r="F2434" s="280">
        <v>37199</v>
      </c>
      <c r="G2434" s="280">
        <v>44918</v>
      </c>
      <c r="H2434" s="280">
        <v>44918</v>
      </c>
      <c r="K2434" s="97">
        <v>7903746472</v>
      </c>
    </row>
    <row r="2435" spans="1:14" x14ac:dyDescent="0.3">
      <c r="A2435" s="302" t="s">
        <v>155</v>
      </c>
      <c r="B2435" s="302" t="str">
        <f t="shared" si="20"/>
        <v>Y</v>
      </c>
      <c r="C2435" s="479" t="s">
        <v>7169</v>
      </c>
      <c r="D2435" s="356"/>
      <c r="E2435" s="356" t="s">
        <v>7170</v>
      </c>
      <c r="F2435" s="280">
        <v>31626</v>
      </c>
      <c r="G2435" s="280">
        <v>44920</v>
      </c>
      <c r="H2435" s="280">
        <v>44921</v>
      </c>
      <c r="K2435" s="97">
        <v>7873880348</v>
      </c>
    </row>
    <row r="2436" spans="1:14" x14ac:dyDescent="0.3">
      <c r="A2436" s="302" t="s">
        <v>155</v>
      </c>
      <c r="B2436" s="302" t="str">
        <f t="shared" si="20"/>
        <v>Y</v>
      </c>
      <c r="C2436" s="479" t="s">
        <v>7171</v>
      </c>
      <c r="D2436" s="356"/>
      <c r="E2436" s="356" t="s">
        <v>6838</v>
      </c>
      <c r="F2436" s="280">
        <v>37849</v>
      </c>
      <c r="G2436" s="280">
        <v>44921</v>
      </c>
      <c r="H2436" s="280">
        <v>44921</v>
      </c>
      <c r="K2436" s="97">
        <v>6200452210</v>
      </c>
    </row>
    <row r="2437" spans="1:14" x14ac:dyDescent="0.3">
      <c r="A2437" s="302" t="s">
        <v>155</v>
      </c>
      <c r="B2437" s="302" t="str">
        <f t="shared" si="20"/>
        <v>Y</v>
      </c>
      <c r="C2437" s="479" t="s">
        <v>7172</v>
      </c>
      <c r="D2437" s="356"/>
      <c r="E2437" s="356" t="s">
        <v>7173</v>
      </c>
      <c r="F2437" s="280">
        <v>38140</v>
      </c>
      <c r="G2437" s="280">
        <v>44921</v>
      </c>
      <c r="H2437" s="280">
        <v>44921</v>
      </c>
      <c r="K2437" s="97">
        <v>7903329698</v>
      </c>
    </row>
    <row r="2438" spans="1:14" x14ac:dyDescent="0.3">
      <c r="A2438" s="302" t="s">
        <v>155</v>
      </c>
      <c r="B2438" s="302" t="str">
        <f t="shared" si="20"/>
        <v>Y</v>
      </c>
      <c r="C2438" s="479" t="s">
        <v>7174</v>
      </c>
      <c r="D2438" s="356"/>
      <c r="E2438" s="356" t="s">
        <v>1429</v>
      </c>
      <c r="F2438" s="280">
        <v>37696</v>
      </c>
      <c r="G2438" s="280">
        <v>44921</v>
      </c>
      <c r="H2438" s="280">
        <v>44921</v>
      </c>
      <c r="K2438" s="97">
        <v>9279376571</v>
      </c>
    </row>
    <row r="2439" spans="1:14" x14ac:dyDescent="0.3">
      <c r="A2439" s="302" t="s">
        <v>155</v>
      </c>
      <c r="B2439" s="302" t="str">
        <f t="shared" si="20"/>
        <v>Y</v>
      </c>
      <c r="C2439" s="479" t="s">
        <v>7175</v>
      </c>
      <c r="D2439" s="356"/>
      <c r="E2439" s="356" t="s">
        <v>7176</v>
      </c>
      <c r="F2439" s="280">
        <v>38223</v>
      </c>
      <c r="G2439" s="280">
        <v>44922</v>
      </c>
      <c r="H2439" s="280">
        <v>44922</v>
      </c>
      <c r="K2439" s="97">
        <v>9155719254</v>
      </c>
    </row>
    <row r="2440" spans="1:14" x14ac:dyDescent="0.3">
      <c r="A2440" s="302" t="s">
        <v>155</v>
      </c>
      <c r="B2440" s="302" t="str">
        <f t="shared" si="20"/>
        <v>Y</v>
      </c>
      <c r="C2440" s="479" t="s">
        <v>7177</v>
      </c>
      <c r="D2440" s="356"/>
      <c r="E2440" s="356" t="s">
        <v>7178</v>
      </c>
      <c r="F2440" s="280">
        <v>22697</v>
      </c>
      <c r="G2440" s="280">
        <v>44923</v>
      </c>
      <c r="H2440" s="280">
        <v>44923</v>
      </c>
      <c r="K2440" s="97">
        <v>8797319767</v>
      </c>
    </row>
    <row r="2441" spans="1:14" x14ac:dyDescent="0.3">
      <c r="A2441" s="302" t="s">
        <v>155</v>
      </c>
      <c r="B2441" s="302" t="str">
        <f t="shared" si="20"/>
        <v>Y</v>
      </c>
      <c r="C2441" s="479" t="s">
        <v>7179</v>
      </c>
      <c r="D2441" s="356"/>
      <c r="E2441" s="356" t="s">
        <v>7180</v>
      </c>
      <c r="F2441" s="280">
        <v>37358</v>
      </c>
      <c r="G2441" s="280">
        <v>44933</v>
      </c>
      <c r="H2441" s="280">
        <v>44933</v>
      </c>
      <c r="K2441" s="97">
        <v>6207421103</v>
      </c>
    </row>
    <row r="2442" spans="1:14" x14ac:dyDescent="0.3">
      <c r="A2442" s="302" t="s">
        <v>155</v>
      </c>
      <c r="B2442" s="302" t="str">
        <f t="shared" si="20"/>
        <v>Y</v>
      </c>
      <c r="C2442" s="480" t="s">
        <v>7181</v>
      </c>
      <c r="D2442" s="364"/>
      <c r="E2442" s="364" t="s">
        <v>7182</v>
      </c>
      <c r="F2442" s="288">
        <v>37933</v>
      </c>
      <c r="G2442" s="288">
        <v>44933</v>
      </c>
      <c r="H2442" s="288">
        <v>44933</v>
      </c>
      <c r="I2442" s="98"/>
      <c r="J2442" s="98"/>
      <c r="K2442" s="289">
        <v>9835757469</v>
      </c>
      <c r="L2442" s="98"/>
      <c r="M2442" s="98" t="s">
        <v>7183</v>
      </c>
      <c r="N2442" s="98"/>
    </row>
    <row r="2443" spans="1:14" x14ac:dyDescent="0.3">
      <c r="A2443" s="302" t="s">
        <v>155</v>
      </c>
      <c r="B2443" s="302" t="str">
        <f t="shared" si="20"/>
        <v>Y</v>
      </c>
      <c r="C2443" s="479" t="s">
        <v>7184</v>
      </c>
      <c r="D2443" s="356"/>
      <c r="E2443" s="356" t="s">
        <v>7185</v>
      </c>
      <c r="F2443" s="280">
        <v>15799</v>
      </c>
      <c r="G2443" s="280">
        <v>44933</v>
      </c>
      <c r="H2443" s="280">
        <v>44933</v>
      </c>
      <c r="K2443" s="97">
        <v>9199832637</v>
      </c>
    </row>
    <row r="2444" spans="1:14" x14ac:dyDescent="0.3">
      <c r="A2444" s="302" t="s">
        <v>155</v>
      </c>
      <c r="B2444" s="302" t="str">
        <f t="shared" si="20"/>
        <v>Y</v>
      </c>
      <c r="C2444" s="479" t="s">
        <v>7186</v>
      </c>
      <c r="D2444" s="356"/>
      <c r="E2444" s="356" t="s">
        <v>7187</v>
      </c>
      <c r="F2444" s="280">
        <v>37486</v>
      </c>
      <c r="G2444" s="280">
        <v>44934</v>
      </c>
      <c r="H2444" s="280">
        <v>44934</v>
      </c>
      <c r="K2444" s="97">
        <v>7061417806</v>
      </c>
    </row>
    <row r="2445" spans="1:14" x14ac:dyDescent="0.3">
      <c r="A2445" s="302" t="s">
        <v>155</v>
      </c>
      <c r="B2445" s="302" t="str">
        <f t="shared" si="20"/>
        <v>Y</v>
      </c>
      <c r="C2445" s="479" t="s">
        <v>7188</v>
      </c>
      <c r="D2445" s="356"/>
      <c r="E2445" s="356" t="s">
        <v>7189</v>
      </c>
      <c r="F2445" s="280">
        <v>28342</v>
      </c>
      <c r="G2445" s="280">
        <v>44934</v>
      </c>
      <c r="H2445" s="280">
        <v>44934</v>
      </c>
      <c r="K2445" s="97">
        <v>8987407906</v>
      </c>
    </row>
    <row r="2446" spans="1:14" x14ac:dyDescent="0.3">
      <c r="A2446" s="302" t="s">
        <v>155</v>
      </c>
      <c r="B2446" s="302" t="str">
        <f t="shared" si="20"/>
        <v>Y</v>
      </c>
      <c r="C2446" s="479" t="s">
        <v>7190</v>
      </c>
      <c r="D2446" s="356"/>
      <c r="E2446" s="356" t="s">
        <v>7191</v>
      </c>
      <c r="F2446" s="280">
        <v>36982</v>
      </c>
      <c r="G2446" s="280">
        <v>44934</v>
      </c>
      <c r="H2446" s="280">
        <v>44934</v>
      </c>
      <c r="K2446" s="97">
        <v>7004112429</v>
      </c>
    </row>
    <row r="2447" spans="1:14" x14ac:dyDescent="0.3">
      <c r="A2447" s="302" t="s">
        <v>155</v>
      </c>
      <c r="B2447" s="302" t="str">
        <f t="shared" si="20"/>
        <v>Y</v>
      </c>
      <c r="C2447" s="479" t="s">
        <v>7192</v>
      </c>
      <c r="D2447" s="356"/>
      <c r="E2447" s="356" t="s">
        <v>7193</v>
      </c>
      <c r="F2447" s="280">
        <v>27287</v>
      </c>
      <c r="G2447" s="280">
        <v>44936</v>
      </c>
      <c r="H2447" s="280">
        <v>44937</v>
      </c>
      <c r="K2447" s="97">
        <v>9304060077</v>
      </c>
    </row>
    <row r="2448" spans="1:14" x14ac:dyDescent="0.3">
      <c r="A2448" s="302" t="s">
        <v>155</v>
      </c>
      <c r="B2448" s="302" t="str">
        <f t="shared" ref="B2448:B2511" si="21">IF(H2448="","N","Y")</f>
        <v>Y</v>
      </c>
      <c r="C2448" s="479" t="s">
        <v>7194</v>
      </c>
      <c r="D2448" s="356"/>
      <c r="E2448" s="356" t="s">
        <v>7195</v>
      </c>
      <c r="F2448" s="280">
        <v>26886</v>
      </c>
      <c r="G2448" s="280">
        <v>44936</v>
      </c>
      <c r="H2448" s="280">
        <v>44937</v>
      </c>
      <c r="K2448" s="97">
        <v>9709251299</v>
      </c>
    </row>
    <row r="2449" spans="1:11" x14ac:dyDescent="0.3">
      <c r="A2449" s="302" t="s">
        <v>155</v>
      </c>
      <c r="B2449" s="302" t="str">
        <f t="shared" si="21"/>
        <v>Y</v>
      </c>
      <c r="C2449" s="479" t="s">
        <v>7196</v>
      </c>
      <c r="D2449" s="356"/>
      <c r="E2449" s="356" t="s">
        <v>7197</v>
      </c>
      <c r="F2449" s="280">
        <v>37963</v>
      </c>
      <c r="G2449" s="280">
        <v>44936</v>
      </c>
      <c r="H2449" s="280">
        <v>44937</v>
      </c>
      <c r="K2449" s="97">
        <v>7781807945</v>
      </c>
    </row>
    <row r="2450" spans="1:11" x14ac:dyDescent="0.3">
      <c r="A2450" s="302" t="s">
        <v>155</v>
      </c>
      <c r="B2450" s="302" t="str">
        <f t="shared" si="21"/>
        <v>Y</v>
      </c>
      <c r="C2450" s="479" t="s">
        <v>7198</v>
      </c>
      <c r="D2450" s="356"/>
      <c r="E2450" s="356" t="s">
        <v>1778</v>
      </c>
      <c r="F2450" s="280">
        <v>27621</v>
      </c>
      <c r="G2450" s="280">
        <v>44936</v>
      </c>
      <c r="H2450" s="280">
        <v>44937</v>
      </c>
      <c r="K2450" s="97">
        <v>9142824065</v>
      </c>
    </row>
    <row r="2451" spans="1:11" x14ac:dyDescent="0.3">
      <c r="A2451" s="302" t="s">
        <v>155</v>
      </c>
      <c r="B2451" s="302" t="str">
        <f t="shared" si="21"/>
        <v>Y</v>
      </c>
      <c r="C2451" s="479" t="s">
        <v>7199</v>
      </c>
      <c r="D2451" s="356"/>
      <c r="E2451" s="356" t="s">
        <v>7200</v>
      </c>
      <c r="F2451" s="280">
        <v>26841</v>
      </c>
      <c r="G2451" s="280">
        <v>44938</v>
      </c>
      <c r="H2451" s="280">
        <v>44938</v>
      </c>
      <c r="K2451" s="97">
        <v>8877044383</v>
      </c>
    </row>
    <row r="2452" spans="1:11" x14ac:dyDescent="0.3">
      <c r="A2452" s="302" t="s">
        <v>155</v>
      </c>
      <c r="B2452" s="302" t="str">
        <f t="shared" si="21"/>
        <v>Y</v>
      </c>
      <c r="C2452" s="479" t="s">
        <v>7201</v>
      </c>
      <c r="D2452" s="356"/>
      <c r="E2452" s="356" t="s">
        <v>7182</v>
      </c>
      <c r="F2452" s="280">
        <v>37933</v>
      </c>
      <c r="G2452" s="280">
        <v>44938</v>
      </c>
      <c r="H2452" s="280">
        <v>44938</v>
      </c>
      <c r="K2452" s="97">
        <v>9835757469</v>
      </c>
    </row>
    <row r="2453" spans="1:11" x14ac:dyDescent="0.3">
      <c r="A2453" s="302" t="s">
        <v>155</v>
      </c>
      <c r="B2453" s="302" t="str">
        <f t="shared" si="21"/>
        <v>Y</v>
      </c>
      <c r="C2453" s="479" t="s">
        <v>7202</v>
      </c>
      <c r="D2453" s="356"/>
      <c r="E2453" s="356" t="s">
        <v>7203</v>
      </c>
      <c r="F2453" s="280">
        <v>31018</v>
      </c>
      <c r="G2453" s="280">
        <v>44939</v>
      </c>
      <c r="H2453" s="280">
        <v>44939</v>
      </c>
      <c r="K2453" s="97">
        <v>9031202577</v>
      </c>
    </row>
    <row r="2454" spans="1:11" x14ac:dyDescent="0.3">
      <c r="A2454" s="302" t="s">
        <v>155</v>
      </c>
      <c r="B2454" s="302" t="str">
        <f t="shared" si="21"/>
        <v>Y</v>
      </c>
      <c r="C2454" s="479" t="s">
        <v>7204</v>
      </c>
      <c r="D2454" s="356"/>
      <c r="E2454" s="356" t="s">
        <v>7205</v>
      </c>
      <c r="F2454" s="280">
        <v>27972</v>
      </c>
      <c r="G2454" s="280">
        <v>44939</v>
      </c>
      <c r="H2454" s="280">
        <v>44939</v>
      </c>
      <c r="K2454" s="97">
        <v>9162207525</v>
      </c>
    </row>
    <row r="2455" spans="1:11" x14ac:dyDescent="0.3">
      <c r="A2455" s="302" t="s">
        <v>155</v>
      </c>
      <c r="B2455" s="302" t="str">
        <f t="shared" si="21"/>
        <v>Y</v>
      </c>
      <c r="C2455" s="479" t="s">
        <v>7206</v>
      </c>
      <c r="D2455" s="356"/>
      <c r="E2455" s="356" t="s">
        <v>7207</v>
      </c>
      <c r="F2455" s="280">
        <v>20305</v>
      </c>
      <c r="G2455" s="280">
        <v>44940</v>
      </c>
      <c r="H2455" s="280">
        <v>44940</v>
      </c>
      <c r="K2455" s="97">
        <v>8457406434</v>
      </c>
    </row>
    <row r="2456" spans="1:11" x14ac:dyDescent="0.3">
      <c r="A2456" s="302" t="s">
        <v>155</v>
      </c>
      <c r="B2456" s="302" t="str">
        <f t="shared" si="21"/>
        <v>Y</v>
      </c>
      <c r="C2456" s="479" t="s">
        <v>7208</v>
      </c>
      <c r="D2456" s="356"/>
      <c r="E2456" s="356" t="s">
        <v>7209</v>
      </c>
      <c r="F2456" s="280">
        <v>19011</v>
      </c>
      <c r="G2456" s="280">
        <v>44940</v>
      </c>
      <c r="H2456" s="280">
        <v>44940</v>
      </c>
      <c r="K2456" s="97">
        <v>9709286558</v>
      </c>
    </row>
    <row r="2457" spans="1:11" x14ac:dyDescent="0.3">
      <c r="A2457" s="302" t="s">
        <v>155</v>
      </c>
      <c r="B2457" s="302" t="str">
        <f t="shared" si="21"/>
        <v>Y</v>
      </c>
      <c r="C2457" s="479" t="s">
        <v>7210</v>
      </c>
      <c r="D2457" s="356"/>
      <c r="E2457" s="356" t="s">
        <v>7211</v>
      </c>
      <c r="F2457" s="280">
        <v>37707</v>
      </c>
      <c r="G2457" s="280">
        <v>44941</v>
      </c>
      <c r="H2457" s="280">
        <v>44941</v>
      </c>
      <c r="K2457" s="97">
        <v>7296094266</v>
      </c>
    </row>
    <row r="2458" spans="1:11" x14ac:dyDescent="0.3">
      <c r="A2458" s="302" t="s">
        <v>155</v>
      </c>
      <c r="B2458" s="302" t="str">
        <f t="shared" si="21"/>
        <v>Y</v>
      </c>
      <c r="C2458" s="479" t="s">
        <v>7212</v>
      </c>
      <c r="D2458" s="356"/>
      <c r="E2458" s="356" t="s">
        <v>7213</v>
      </c>
      <c r="F2458" s="280">
        <v>29215</v>
      </c>
      <c r="G2458" s="280">
        <v>44944</v>
      </c>
      <c r="H2458" s="280">
        <v>44944</v>
      </c>
      <c r="K2458" s="97">
        <v>7909084923</v>
      </c>
    </row>
    <row r="2459" spans="1:11" x14ac:dyDescent="0.3">
      <c r="A2459" s="302" t="s">
        <v>155</v>
      </c>
      <c r="B2459" s="302" t="str">
        <f t="shared" si="21"/>
        <v>Y</v>
      </c>
      <c r="C2459" s="479" t="s">
        <v>7214</v>
      </c>
      <c r="D2459" s="356"/>
      <c r="E2459" s="356" t="s">
        <v>7215</v>
      </c>
      <c r="F2459" s="280">
        <v>30958</v>
      </c>
      <c r="G2459" s="280">
        <v>44946</v>
      </c>
      <c r="H2459" s="280">
        <v>44946</v>
      </c>
      <c r="K2459" s="97">
        <v>9304400243</v>
      </c>
    </row>
    <row r="2460" spans="1:11" x14ac:dyDescent="0.3">
      <c r="A2460" s="302" t="s">
        <v>155</v>
      </c>
      <c r="B2460" s="302" t="str">
        <f t="shared" si="21"/>
        <v>Y</v>
      </c>
      <c r="C2460" s="479" t="s">
        <v>7216</v>
      </c>
      <c r="D2460" s="356"/>
      <c r="E2460" s="356" t="s">
        <v>2072</v>
      </c>
      <c r="F2460" s="280">
        <v>28856</v>
      </c>
      <c r="G2460" s="280">
        <v>44947</v>
      </c>
      <c r="H2460" s="280">
        <v>44947</v>
      </c>
      <c r="K2460" s="97">
        <v>7479423761</v>
      </c>
    </row>
    <row r="2461" spans="1:11" x14ac:dyDescent="0.3">
      <c r="A2461" s="302" t="s">
        <v>155</v>
      </c>
      <c r="B2461" s="302" t="str">
        <f t="shared" si="21"/>
        <v>Y</v>
      </c>
      <c r="C2461" s="479" t="s">
        <v>7217</v>
      </c>
      <c r="D2461" s="356"/>
      <c r="E2461" s="356" t="s">
        <v>7218</v>
      </c>
      <c r="F2461" s="280">
        <v>27410</v>
      </c>
      <c r="G2461" s="280">
        <v>44950</v>
      </c>
      <c r="H2461" s="280">
        <v>44950</v>
      </c>
      <c r="K2461" s="97">
        <v>8540000342</v>
      </c>
    </row>
    <row r="2462" spans="1:11" x14ac:dyDescent="0.3">
      <c r="A2462" s="302" t="s">
        <v>155</v>
      </c>
      <c r="B2462" s="302" t="str">
        <f t="shared" si="21"/>
        <v>Y</v>
      </c>
      <c r="C2462" s="473" t="s">
        <v>7219</v>
      </c>
      <c r="E2462" s="353" t="s">
        <v>7008</v>
      </c>
      <c r="F2462" s="280">
        <v>33344</v>
      </c>
      <c r="G2462" s="280">
        <v>44950</v>
      </c>
      <c r="H2462" s="280">
        <v>44950</v>
      </c>
      <c r="K2462" s="97">
        <v>6206024395</v>
      </c>
    </row>
    <row r="2463" spans="1:11" x14ac:dyDescent="0.3">
      <c r="A2463" s="302" t="s">
        <v>155</v>
      </c>
      <c r="B2463" s="302" t="str">
        <f t="shared" si="21"/>
        <v>Y</v>
      </c>
      <c r="C2463" s="473" t="s">
        <v>7220</v>
      </c>
      <c r="E2463" s="353" t="s">
        <v>7221</v>
      </c>
      <c r="F2463" s="280">
        <v>44940</v>
      </c>
      <c r="G2463" s="280">
        <v>44951</v>
      </c>
      <c r="H2463" s="280">
        <v>44951</v>
      </c>
      <c r="K2463" s="97">
        <v>7295023154</v>
      </c>
    </row>
    <row r="2464" spans="1:11" x14ac:dyDescent="0.3">
      <c r="A2464" s="302" t="s">
        <v>155</v>
      </c>
      <c r="B2464" s="302" t="str">
        <f t="shared" si="21"/>
        <v>Y</v>
      </c>
      <c r="C2464" s="473" t="s">
        <v>7222</v>
      </c>
      <c r="E2464" s="353" t="s">
        <v>2398</v>
      </c>
      <c r="F2464" s="280">
        <v>33800</v>
      </c>
      <c r="G2464" s="280">
        <v>44954</v>
      </c>
      <c r="H2464" s="280">
        <v>44954</v>
      </c>
      <c r="K2464" s="97">
        <v>8235922144</v>
      </c>
    </row>
    <row r="2465" spans="1:12" x14ac:dyDescent="0.3">
      <c r="A2465" s="302" t="s">
        <v>155</v>
      </c>
      <c r="B2465" s="302" t="str">
        <f t="shared" si="21"/>
        <v>Y</v>
      </c>
      <c r="C2465" s="479" t="s">
        <v>7223</v>
      </c>
      <c r="D2465" s="356"/>
      <c r="E2465" s="356" t="s">
        <v>7224</v>
      </c>
      <c r="F2465" s="280">
        <v>35820</v>
      </c>
      <c r="G2465" s="280">
        <v>44956</v>
      </c>
      <c r="H2465" s="280">
        <v>44956</v>
      </c>
      <c r="K2465" s="97">
        <v>7488095011</v>
      </c>
    </row>
    <row r="2466" spans="1:12" x14ac:dyDescent="0.3">
      <c r="A2466" s="302" t="s">
        <v>155</v>
      </c>
      <c r="B2466" s="302" t="str">
        <f t="shared" si="21"/>
        <v>Y</v>
      </c>
      <c r="C2466" s="479" t="s">
        <v>7225</v>
      </c>
      <c r="D2466" s="356"/>
      <c r="E2466" s="356" t="s">
        <v>6597</v>
      </c>
      <c r="F2466" s="280">
        <v>23238</v>
      </c>
      <c r="G2466" s="280">
        <v>44958</v>
      </c>
      <c r="H2466" s="280">
        <v>44958</v>
      </c>
      <c r="K2466" s="97">
        <v>9135415936</v>
      </c>
    </row>
    <row r="2467" spans="1:12" x14ac:dyDescent="0.3">
      <c r="A2467" s="302" t="s">
        <v>155</v>
      </c>
      <c r="B2467" s="302" t="str">
        <f t="shared" si="21"/>
        <v>Y</v>
      </c>
      <c r="C2467" s="479" t="s">
        <v>7226</v>
      </c>
      <c r="D2467" s="356"/>
      <c r="E2467" s="356" t="s">
        <v>7227</v>
      </c>
      <c r="F2467" s="280">
        <v>38334</v>
      </c>
      <c r="G2467" s="280">
        <v>44959</v>
      </c>
      <c r="H2467" s="280">
        <v>44959</v>
      </c>
      <c r="K2467" s="97">
        <v>9234866692</v>
      </c>
    </row>
    <row r="2468" spans="1:12" x14ac:dyDescent="0.3">
      <c r="A2468" s="302" t="s">
        <v>155</v>
      </c>
      <c r="B2468" s="302" t="str">
        <f t="shared" si="21"/>
        <v>Y</v>
      </c>
      <c r="C2468" s="479" t="s">
        <v>7228</v>
      </c>
      <c r="D2468" s="356"/>
      <c r="E2468" s="356" t="s">
        <v>7229</v>
      </c>
      <c r="F2468" s="280">
        <v>28856</v>
      </c>
      <c r="G2468" s="280">
        <v>44961</v>
      </c>
      <c r="H2468" s="280">
        <v>44961</v>
      </c>
      <c r="K2468" s="97">
        <v>9934860701</v>
      </c>
    </row>
    <row r="2469" spans="1:12" x14ac:dyDescent="0.3">
      <c r="A2469" s="302" t="s">
        <v>155</v>
      </c>
      <c r="B2469" s="302" t="str">
        <f t="shared" si="21"/>
        <v>Y</v>
      </c>
      <c r="C2469" s="479" t="s">
        <v>7230</v>
      </c>
      <c r="D2469" s="356"/>
      <c r="E2469" s="356" t="s">
        <v>1145</v>
      </c>
      <c r="F2469" s="280">
        <v>35658</v>
      </c>
      <c r="G2469" s="280">
        <v>44961</v>
      </c>
      <c r="H2469" s="280">
        <v>44961</v>
      </c>
      <c r="K2469" s="97">
        <v>8292116770</v>
      </c>
    </row>
    <row r="2470" spans="1:12" x14ac:dyDescent="0.3">
      <c r="A2470" s="302" t="s">
        <v>155</v>
      </c>
      <c r="B2470" s="302" t="str">
        <f t="shared" si="21"/>
        <v>Y</v>
      </c>
      <c r="C2470" s="479" t="s">
        <v>7231</v>
      </c>
      <c r="D2470" s="356"/>
      <c r="E2470" s="356" t="s">
        <v>7232</v>
      </c>
      <c r="F2470" s="280">
        <v>40398</v>
      </c>
      <c r="G2470" s="280">
        <v>44964</v>
      </c>
      <c r="H2470" s="280">
        <v>44964</v>
      </c>
      <c r="K2470" s="97">
        <v>7209603087</v>
      </c>
    </row>
    <row r="2471" spans="1:12" x14ac:dyDescent="0.3">
      <c r="A2471" s="302" t="s">
        <v>155</v>
      </c>
      <c r="B2471" s="302" t="str">
        <f t="shared" si="21"/>
        <v>Y</v>
      </c>
      <c r="C2471" s="479" t="s">
        <v>7233</v>
      </c>
      <c r="D2471" s="356"/>
      <c r="E2471" s="356" t="s">
        <v>7234</v>
      </c>
      <c r="F2471" s="280">
        <v>31646</v>
      </c>
      <c r="G2471" s="280">
        <v>44965</v>
      </c>
      <c r="H2471" s="280">
        <v>44965</v>
      </c>
      <c r="K2471" s="97">
        <v>7408072170</v>
      </c>
    </row>
    <row r="2472" spans="1:12" x14ac:dyDescent="0.3">
      <c r="A2472" s="302" t="s">
        <v>155</v>
      </c>
      <c r="B2472" s="302" t="str">
        <f t="shared" si="21"/>
        <v>Y</v>
      </c>
      <c r="C2472" s="479" t="s">
        <v>7235</v>
      </c>
      <c r="D2472" s="356"/>
      <c r="E2472" s="356" t="s">
        <v>7236</v>
      </c>
      <c r="F2472" s="280">
        <v>36528</v>
      </c>
      <c r="G2472" s="280">
        <v>44966</v>
      </c>
      <c r="H2472" s="280">
        <v>44966</v>
      </c>
      <c r="K2472" s="97">
        <v>6294210932</v>
      </c>
    </row>
    <row r="2473" spans="1:12" x14ac:dyDescent="0.3">
      <c r="A2473" s="302" t="s">
        <v>155</v>
      </c>
      <c r="B2473" s="302" t="str">
        <f t="shared" si="21"/>
        <v>Y</v>
      </c>
      <c r="C2473" s="479" t="s">
        <v>7237</v>
      </c>
      <c r="D2473" s="356"/>
      <c r="E2473" s="356" t="s">
        <v>7238</v>
      </c>
      <c r="F2473" s="280">
        <v>30888</v>
      </c>
      <c r="G2473" s="280">
        <v>44966</v>
      </c>
      <c r="H2473" s="280">
        <v>44966</v>
      </c>
      <c r="K2473" s="97">
        <v>9204096253</v>
      </c>
    </row>
    <row r="2474" spans="1:12" x14ac:dyDescent="0.3">
      <c r="A2474" s="302" t="s">
        <v>155</v>
      </c>
      <c r="B2474" s="302" t="str">
        <f t="shared" si="21"/>
        <v>Y</v>
      </c>
      <c r="C2474" s="479" t="s">
        <v>7239</v>
      </c>
      <c r="D2474" s="356"/>
      <c r="E2474" s="356" t="s">
        <v>7240</v>
      </c>
      <c r="F2474" s="280">
        <v>28329</v>
      </c>
      <c r="G2474" s="280">
        <v>44967</v>
      </c>
      <c r="H2474" s="280">
        <v>44967</v>
      </c>
      <c r="K2474" s="97">
        <v>8789608867</v>
      </c>
    </row>
    <row r="2475" spans="1:12" x14ac:dyDescent="0.3">
      <c r="A2475" s="302" t="s">
        <v>155</v>
      </c>
      <c r="B2475" s="302" t="str">
        <f t="shared" si="21"/>
        <v>Y</v>
      </c>
      <c r="C2475" s="479" t="s">
        <v>7241</v>
      </c>
      <c r="D2475" s="356"/>
      <c r="E2475" s="356" t="s">
        <v>7242</v>
      </c>
      <c r="F2475" s="280">
        <v>37665</v>
      </c>
      <c r="G2475" s="280">
        <v>44968</v>
      </c>
      <c r="H2475" s="280">
        <v>44968</v>
      </c>
      <c r="K2475" s="97">
        <v>9341314370</v>
      </c>
    </row>
    <row r="2476" spans="1:12" x14ac:dyDescent="0.3">
      <c r="A2476" s="302" t="s">
        <v>155</v>
      </c>
      <c r="B2476" s="302" t="str">
        <f t="shared" si="21"/>
        <v>N</v>
      </c>
      <c r="C2476" s="479" t="s">
        <v>7243</v>
      </c>
      <c r="D2476" s="356"/>
      <c r="E2476" s="356" t="s">
        <v>7244</v>
      </c>
      <c r="F2476" s="280">
        <v>26830</v>
      </c>
      <c r="G2476" s="280">
        <v>44969</v>
      </c>
      <c r="K2476" s="97">
        <v>9973450727</v>
      </c>
      <c r="L2476">
        <v>300</v>
      </c>
    </row>
    <row r="2477" spans="1:12" x14ac:dyDescent="0.3">
      <c r="A2477" s="302" t="s">
        <v>155</v>
      </c>
      <c r="B2477" s="302" t="str">
        <f t="shared" si="21"/>
        <v>Y</v>
      </c>
      <c r="C2477" s="479" t="s">
        <v>7245</v>
      </c>
      <c r="D2477" s="356"/>
      <c r="E2477" s="356" t="s">
        <v>7246</v>
      </c>
      <c r="F2477" s="280">
        <v>37993</v>
      </c>
      <c r="G2477" s="280">
        <v>44972</v>
      </c>
      <c r="H2477" s="280">
        <v>44972</v>
      </c>
      <c r="K2477" s="97">
        <v>7992288069</v>
      </c>
    </row>
    <row r="2478" spans="1:12" x14ac:dyDescent="0.3">
      <c r="A2478" s="302" t="s">
        <v>155</v>
      </c>
      <c r="B2478" s="302" t="str">
        <f t="shared" si="21"/>
        <v>Y</v>
      </c>
      <c r="C2478" s="479" t="s">
        <v>7247</v>
      </c>
      <c r="D2478" s="356"/>
      <c r="E2478" s="356" t="s">
        <v>7248</v>
      </c>
      <c r="F2478" s="280">
        <v>29616</v>
      </c>
      <c r="G2478" s="280">
        <v>44972</v>
      </c>
      <c r="H2478" s="280">
        <v>44972</v>
      </c>
      <c r="K2478" s="97">
        <v>7992288069</v>
      </c>
    </row>
    <row r="2479" spans="1:12" x14ac:dyDescent="0.3">
      <c r="A2479" s="302" t="s">
        <v>155</v>
      </c>
      <c r="B2479" s="302" t="str">
        <f t="shared" si="21"/>
        <v>Y</v>
      </c>
      <c r="C2479" s="479" t="s">
        <v>7249</v>
      </c>
      <c r="D2479" s="356"/>
      <c r="E2479" s="356" t="s">
        <v>7250</v>
      </c>
      <c r="F2479" s="280">
        <v>37257</v>
      </c>
      <c r="G2479" s="280">
        <v>44973</v>
      </c>
      <c r="H2479" s="280">
        <v>44973</v>
      </c>
      <c r="K2479" s="97">
        <v>785790899</v>
      </c>
    </row>
    <row r="2480" spans="1:12" x14ac:dyDescent="0.3">
      <c r="A2480" s="302" t="s">
        <v>155</v>
      </c>
      <c r="B2480" s="302" t="str">
        <f t="shared" si="21"/>
        <v>Y</v>
      </c>
      <c r="C2480" s="479" t="s">
        <v>7251</v>
      </c>
      <c r="D2480" s="356"/>
      <c r="E2480" s="356" t="s">
        <v>7252</v>
      </c>
      <c r="F2480" s="280">
        <v>23224</v>
      </c>
      <c r="G2480" s="280">
        <v>44976</v>
      </c>
      <c r="H2480" s="280">
        <v>44976</v>
      </c>
      <c r="K2480" s="97">
        <v>9304793596</v>
      </c>
    </row>
    <row r="2481" spans="1:11" x14ac:dyDescent="0.3">
      <c r="A2481" s="302" t="s">
        <v>155</v>
      </c>
      <c r="B2481" s="302" t="str">
        <f t="shared" si="21"/>
        <v>Y</v>
      </c>
      <c r="C2481" s="479" t="s">
        <v>7253</v>
      </c>
      <c r="D2481" s="356"/>
      <c r="E2481" s="356" t="s">
        <v>7254</v>
      </c>
      <c r="F2481" s="280">
        <v>28488</v>
      </c>
      <c r="G2481" s="280">
        <v>44977</v>
      </c>
      <c r="H2481" s="280">
        <v>44977</v>
      </c>
      <c r="K2481" s="97">
        <v>9608147384</v>
      </c>
    </row>
    <row r="2482" spans="1:11" x14ac:dyDescent="0.3">
      <c r="A2482" s="302" t="s">
        <v>155</v>
      </c>
      <c r="B2482" s="302" t="str">
        <f t="shared" si="21"/>
        <v>Y</v>
      </c>
      <c r="C2482" s="473" t="s">
        <v>7255</v>
      </c>
      <c r="E2482" s="356" t="s">
        <v>7256</v>
      </c>
      <c r="F2482" s="280">
        <v>37333</v>
      </c>
      <c r="G2482" s="280">
        <v>44977</v>
      </c>
      <c r="H2482" s="280">
        <v>44977</v>
      </c>
      <c r="K2482" s="97">
        <v>9608147384</v>
      </c>
    </row>
    <row r="2483" spans="1:11" x14ac:dyDescent="0.3">
      <c r="A2483" s="302" t="s">
        <v>155</v>
      </c>
      <c r="B2483" s="302" t="str">
        <f t="shared" si="21"/>
        <v>Y</v>
      </c>
      <c r="C2483" s="473" t="s">
        <v>7257</v>
      </c>
      <c r="E2483" s="356" t="s">
        <v>7258</v>
      </c>
      <c r="F2483" s="280">
        <v>26299</v>
      </c>
      <c r="G2483" s="280">
        <v>44978</v>
      </c>
      <c r="H2483" s="280">
        <v>44978</v>
      </c>
      <c r="K2483" s="97">
        <v>7209787688</v>
      </c>
    </row>
    <row r="2484" spans="1:11" x14ac:dyDescent="0.3">
      <c r="A2484" s="302" t="s">
        <v>155</v>
      </c>
      <c r="B2484" s="302" t="str">
        <f t="shared" si="21"/>
        <v>Y</v>
      </c>
      <c r="C2484" s="479" t="s">
        <v>7259</v>
      </c>
      <c r="D2484" s="356"/>
      <c r="E2484" s="356" t="s">
        <v>7260</v>
      </c>
      <c r="F2484" s="280">
        <v>25934</v>
      </c>
      <c r="G2484" s="280">
        <v>44980</v>
      </c>
      <c r="H2484" s="280">
        <v>44980</v>
      </c>
      <c r="K2484" s="97">
        <v>9955577052</v>
      </c>
    </row>
    <row r="2485" spans="1:11" x14ac:dyDescent="0.3">
      <c r="A2485" s="302" t="s">
        <v>155</v>
      </c>
      <c r="B2485" s="302" t="str">
        <f t="shared" si="21"/>
        <v>Y</v>
      </c>
      <c r="C2485" s="479" t="s">
        <v>7261</v>
      </c>
      <c r="D2485" s="356"/>
      <c r="E2485" s="356" t="s">
        <v>2766</v>
      </c>
      <c r="F2485" s="280">
        <v>25569</v>
      </c>
      <c r="G2485" s="280">
        <v>44980</v>
      </c>
      <c r="H2485" s="280">
        <v>44980</v>
      </c>
      <c r="K2485" s="97">
        <v>9835566129</v>
      </c>
    </row>
    <row r="2486" spans="1:11" x14ac:dyDescent="0.3">
      <c r="A2486" s="302" t="s">
        <v>155</v>
      </c>
      <c r="B2486" s="302" t="str">
        <f t="shared" si="21"/>
        <v>Y</v>
      </c>
      <c r="C2486" s="479" t="s">
        <v>7262</v>
      </c>
      <c r="D2486" s="356"/>
      <c r="E2486" s="356" t="s">
        <v>7263</v>
      </c>
      <c r="F2486" s="280">
        <v>36896</v>
      </c>
      <c r="G2486" s="280">
        <v>44980</v>
      </c>
      <c r="H2486" s="280">
        <v>44980</v>
      </c>
      <c r="K2486" s="97">
        <v>6201243383</v>
      </c>
    </row>
    <row r="2487" spans="1:11" x14ac:dyDescent="0.3">
      <c r="A2487" s="302" t="s">
        <v>155</v>
      </c>
      <c r="B2487" s="302" t="str">
        <f t="shared" si="21"/>
        <v>Y</v>
      </c>
      <c r="C2487" s="479" t="s">
        <v>7264</v>
      </c>
      <c r="D2487" s="356"/>
      <c r="E2487" s="356" t="s">
        <v>7265</v>
      </c>
      <c r="F2487" s="280">
        <v>20098</v>
      </c>
      <c r="G2487" s="280">
        <v>44984</v>
      </c>
      <c r="H2487" s="280">
        <v>44984</v>
      </c>
      <c r="K2487" s="97">
        <v>9955284282</v>
      </c>
    </row>
    <row r="2488" spans="1:11" x14ac:dyDescent="0.3">
      <c r="A2488" s="302" t="s">
        <v>155</v>
      </c>
      <c r="B2488" s="302" t="str">
        <f t="shared" si="21"/>
        <v>Y</v>
      </c>
      <c r="C2488" s="479" t="s">
        <v>7266</v>
      </c>
      <c r="D2488" s="356"/>
      <c r="E2488" s="356" t="s">
        <v>7267</v>
      </c>
      <c r="F2488" s="280">
        <v>19749</v>
      </c>
      <c r="G2488" s="280">
        <v>44984</v>
      </c>
      <c r="H2488" s="280">
        <v>44984</v>
      </c>
      <c r="K2488" s="97">
        <v>9234554933</v>
      </c>
    </row>
    <row r="2489" spans="1:11" x14ac:dyDescent="0.3">
      <c r="A2489" s="302" t="s">
        <v>155</v>
      </c>
      <c r="B2489" s="302" t="str">
        <f t="shared" si="21"/>
        <v>Y</v>
      </c>
      <c r="C2489" s="479" t="s">
        <v>7268</v>
      </c>
      <c r="D2489" s="356"/>
      <c r="E2489" s="356" t="s">
        <v>4977</v>
      </c>
      <c r="F2489" s="280">
        <v>31048</v>
      </c>
      <c r="G2489" s="280">
        <v>44986</v>
      </c>
      <c r="H2489" s="280">
        <v>44986</v>
      </c>
      <c r="K2489" s="97">
        <v>9065612745</v>
      </c>
    </row>
    <row r="2490" spans="1:11" x14ac:dyDescent="0.3">
      <c r="A2490" s="302" t="s">
        <v>155</v>
      </c>
      <c r="B2490" s="302" t="str">
        <f t="shared" si="21"/>
        <v>Y</v>
      </c>
      <c r="C2490" s="479" t="s">
        <v>7269</v>
      </c>
      <c r="D2490" s="356"/>
      <c r="E2490" s="356" t="s">
        <v>7270</v>
      </c>
      <c r="F2490" s="280">
        <v>38084</v>
      </c>
      <c r="G2490" s="280">
        <v>44986</v>
      </c>
      <c r="H2490" s="280">
        <v>44986</v>
      </c>
      <c r="K2490" s="97">
        <v>7965081664</v>
      </c>
    </row>
    <row r="2491" spans="1:11" x14ac:dyDescent="0.3">
      <c r="A2491" s="302" t="s">
        <v>155</v>
      </c>
      <c r="B2491" s="302" t="str">
        <f t="shared" si="21"/>
        <v>Y</v>
      </c>
      <c r="C2491" s="479" t="s">
        <v>7271</v>
      </c>
      <c r="D2491" s="356"/>
      <c r="E2491" s="356" t="s">
        <v>7272</v>
      </c>
      <c r="F2491" s="280">
        <v>31413</v>
      </c>
      <c r="G2491" s="280">
        <v>44986</v>
      </c>
      <c r="H2491" s="280">
        <v>44987</v>
      </c>
      <c r="K2491" s="97">
        <v>6294364810</v>
      </c>
    </row>
    <row r="2492" spans="1:11" x14ac:dyDescent="0.3">
      <c r="A2492" s="302" t="s">
        <v>155</v>
      </c>
      <c r="B2492" s="302" t="str">
        <f t="shared" si="21"/>
        <v>Y</v>
      </c>
      <c r="C2492" s="479" t="s">
        <v>7273</v>
      </c>
      <c r="D2492" s="356"/>
      <c r="E2492" s="356" t="s">
        <v>7274</v>
      </c>
      <c r="F2492" s="280">
        <v>34700</v>
      </c>
      <c r="G2492" s="280">
        <v>44986</v>
      </c>
      <c r="H2492" s="280">
        <v>44986</v>
      </c>
      <c r="K2492" s="97">
        <v>7379583291</v>
      </c>
    </row>
    <row r="2493" spans="1:11" x14ac:dyDescent="0.3">
      <c r="A2493" s="302" t="s">
        <v>155</v>
      </c>
      <c r="B2493" s="302" t="str">
        <f t="shared" si="21"/>
        <v>Y</v>
      </c>
      <c r="C2493" s="479" t="s">
        <v>7275</v>
      </c>
      <c r="D2493" s="356"/>
      <c r="E2493" s="356" t="s">
        <v>7276</v>
      </c>
      <c r="F2493" s="280">
        <v>36081</v>
      </c>
      <c r="G2493" s="280">
        <v>44987</v>
      </c>
      <c r="H2493" s="280">
        <v>44987</v>
      </c>
      <c r="K2493" s="97">
        <v>6202567241</v>
      </c>
    </row>
    <row r="2494" spans="1:11" x14ac:dyDescent="0.3">
      <c r="A2494" s="302" t="s">
        <v>155</v>
      </c>
      <c r="B2494" s="302" t="str">
        <f t="shared" si="21"/>
        <v>Y</v>
      </c>
      <c r="C2494" s="479" t="s">
        <v>7277</v>
      </c>
      <c r="D2494" s="356"/>
      <c r="E2494" s="356" t="s">
        <v>7278</v>
      </c>
      <c r="F2494" s="280">
        <v>31208</v>
      </c>
      <c r="G2494" s="280">
        <v>44988</v>
      </c>
      <c r="H2494" s="280">
        <v>44988</v>
      </c>
      <c r="K2494" s="97">
        <v>7209226277</v>
      </c>
    </row>
    <row r="2495" spans="1:11" x14ac:dyDescent="0.3">
      <c r="A2495" s="302" t="s">
        <v>155</v>
      </c>
      <c r="B2495" s="302" t="str">
        <f t="shared" si="21"/>
        <v>Y</v>
      </c>
      <c r="C2495" s="479" t="s">
        <v>7279</v>
      </c>
      <c r="D2495" s="356"/>
      <c r="E2495" s="356" t="s">
        <v>7280</v>
      </c>
      <c r="F2495" s="280">
        <v>31506</v>
      </c>
      <c r="G2495" s="280">
        <v>44989</v>
      </c>
      <c r="H2495" s="280">
        <v>44989</v>
      </c>
      <c r="K2495" s="97">
        <v>9199056294</v>
      </c>
    </row>
    <row r="2496" spans="1:11" x14ac:dyDescent="0.3">
      <c r="A2496" s="302" t="s">
        <v>155</v>
      </c>
      <c r="B2496" s="302" t="str">
        <f t="shared" si="21"/>
        <v>Y</v>
      </c>
      <c r="C2496" s="479" t="s">
        <v>7281</v>
      </c>
      <c r="D2496" s="356"/>
      <c r="E2496" s="356" t="s">
        <v>7282</v>
      </c>
      <c r="F2496" s="280">
        <v>30901</v>
      </c>
      <c r="G2496" s="280">
        <v>44989</v>
      </c>
      <c r="H2496" s="280">
        <v>44989</v>
      </c>
      <c r="K2496" s="97">
        <v>8210439912</v>
      </c>
    </row>
    <row r="2497" spans="1:11" x14ac:dyDescent="0.3">
      <c r="A2497" s="302" t="s">
        <v>155</v>
      </c>
      <c r="B2497" s="302" t="str">
        <f t="shared" si="21"/>
        <v>Y</v>
      </c>
      <c r="C2497" s="479" t="s">
        <v>7283</v>
      </c>
      <c r="D2497" s="356"/>
      <c r="E2497" s="356" t="s">
        <v>7284</v>
      </c>
      <c r="F2497" s="280">
        <v>38275</v>
      </c>
      <c r="G2497" s="280">
        <v>44989</v>
      </c>
      <c r="H2497" s="280">
        <v>44989</v>
      </c>
      <c r="K2497" s="97">
        <v>9798489461</v>
      </c>
    </row>
    <row r="2498" spans="1:11" x14ac:dyDescent="0.3">
      <c r="B2498" s="302" t="str">
        <f t="shared" si="21"/>
        <v>Y</v>
      </c>
      <c r="C2498" s="479" t="s">
        <v>7285</v>
      </c>
      <c r="D2498" s="356"/>
      <c r="E2498" s="356" t="s">
        <v>7286</v>
      </c>
      <c r="F2498" s="280">
        <v>38209</v>
      </c>
      <c r="G2498" s="280">
        <v>44989</v>
      </c>
      <c r="H2498" s="280">
        <v>44989</v>
      </c>
      <c r="I2498" t="s">
        <v>7287</v>
      </c>
      <c r="K2498" s="97">
        <v>9142880824</v>
      </c>
    </row>
    <row r="2499" spans="1:11" x14ac:dyDescent="0.3">
      <c r="A2499" s="302" t="s">
        <v>155</v>
      </c>
      <c r="B2499" s="302" t="str">
        <f t="shared" si="21"/>
        <v>Y</v>
      </c>
      <c r="C2499" s="479" t="s">
        <v>7288</v>
      </c>
      <c r="D2499" s="356"/>
      <c r="E2499" s="356" t="s">
        <v>212</v>
      </c>
      <c r="F2499" s="280">
        <v>38275</v>
      </c>
      <c r="G2499" s="280">
        <v>44989</v>
      </c>
      <c r="H2499" s="280">
        <v>44989</v>
      </c>
      <c r="K2499" s="97">
        <v>9504948760</v>
      </c>
    </row>
    <row r="2500" spans="1:11" x14ac:dyDescent="0.3">
      <c r="A2500" s="302" t="s">
        <v>155</v>
      </c>
      <c r="B2500" s="302" t="str">
        <f t="shared" si="21"/>
        <v>Y</v>
      </c>
      <c r="C2500" s="479" t="s">
        <v>7289</v>
      </c>
      <c r="D2500" s="356"/>
      <c r="E2500" s="356" t="s">
        <v>7290</v>
      </c>
      <c r="F2500" s="280">
        <v>33725</v>
      </c>
      <c r="G2500" s="280">
        <v>44989</v>
      </c>
      <c r="H2500" s="280">
        <v>44989</v>
      </c>
      <c r="K2500" s="97">
        <v>8147353515</v>
      </c>
    </row>
    <row r="2501" spans="1:11" x14ac:dyDescent="0.3">
      <c r="A2501" s="302" t="s">
        <v>155</v>
      </c>
      <c r="B2501" s="302" t="str">
        <f t="shared" si="21"/>
        <v>Y</v>
      </c>
      <c r="C2501" s="479" t="s">
        <v>7291</v>
      </c>
      <c r="D2501" s="356"/>
      <c r="E2501" s="356" t="s">
        <v>7292</v>
      </c>
      <c r="F2501" s="280">
        <v>35941</v>
      </c>
      <c r="G2501" s="280">
        <v>44995</v>
      </c>
      <c r="H2501" s="280">
        <v>44995</v>
      </c>
      <c r="K2501" s="97">
        <v>7808812344</v>
      </c>
    </row>
    <row r="2502" spans="1:11" x14ac:dyDescent="0.3">
      <c r="A2502" s="302" t="s">
        <v>155</v>
      </c>
      <c r="B2502" s="302" t="str">
        <f t="shared" si="21"/>
        <v>Y</v>
      </c>
      <c r="C2502" s="479" t="s">
        <v>7293</v>
      </c>
      <c r="D2502" s="356"/>
      <c r="E2502" s="356" t="s">
        <v>7294</v>
      </c>
      <c r="F2502" s="280">
        <v>38416</v>
      </c>
      <c r="G2502" s="280">
        <v>44995</v>
      </c>
      <c r="H2502" s="280">
        <v>44995</v>
      </c>
      <c r="K2502" s="97">
        <v>7488909882</v>
      </c>
    </row>
    <row r="2503" spans="1:11" x14ac:dyDescent="0.3">
      <c r="A2503" s="302" t="s">
        <v>155</v>
      </c>
      <c r="B2503" s="302" t="str">
        <f t="shared" si="21"/>
        <v>Y</v>
      </c>
      <c r="C2503" s="479" t="s">
        <v>7295</v>
      </c>
      <c r="D2503" s="356"/>
      <c r="E2503" s="356" t="s">
        <v>7296</v>
      </c>
      <c r="F2503" s="280">
        <v>37452</v>
      </c>
      <c r="G2503" s="280">
        <v>44996</v>
      </c>
      <c r="H2503" s="280">
        <v>44996</v>
      </c>
      <c r="K2503" s="97">
        <v>8797402843</v>
      </c>
    </row>
    <row r="2504" spans="1:11" x14ac:dyDescent="0.3">
      <c r="A2504" s="302" t="s">
        <v>155</v>
      </c>
      <c r="B2504" s="302" t="str">
        <f t="shared" si="21"/>
        <v>Y</v>
      </c>
      <c r="C2504" s="479" t="s">
        <v>7297</v>
      </c>
      <c r="D2504" s="356"/>
      <c r="E2504" s="356" t="s">
        <v>7298</v>
      </c>
      <c r="F2504" s="280">
        <v>37557</v>
      </c>
      <c r="G2504" s="280">
        <v>44996</v>
      </c>
      <c r="H2504" s="280">
        <v>44996</v>
      </c>
      <c r="K2504" s="97">
        <v>6299342505</v>
      </c>
    </row>
    <row r="2505" spans="1:11" x14ac:dyDescent="0.3">
      <c r="A2505" s="302" t="s">
        <v>155</v>
      </c>
      <c r="B2505" s="302" t="str">
        <f t="shared" si="21"/>
        <v>Y</v>
      </c>
      <c r="C2505" s="479" t="s">
        <v>7299</v>
      </c>
      <c r="D2505" s="356"/>
      <c r="E2505" s="356" t="s">
        <v>6336</v>
      </c>
      <c r="F2505" s="280">
        <v>29444</v>
      </c>
      <c r="G2505" s="280">
        <v>44996</v>
      </c>
      <c r="H2505" s="280">
        <v>44996</v>
      </c>
      <c r="K2505" s="97">
        <v>7294059301</v>
      </c>
    </row>
    <row r="2506" spans="1:11" x14ac:dyDescent="0.3">
      <c r="A2506" s="302" t="s">
        <v>155</v>
      </c>
      <c r="B2506" s="302" t="str">
        <f t="shared" si="21"/>
        <v>Y</v>
      </c>
      <c r="C2506" s="479" t="s">
        <v>7300</v>
      </c>
      <c r="D2506" s="356"/>
      <c r="E2506" s="356" t="s">
        <v>7301</v>
      </c>
      <c r="F2506" s="280">
        <v>35182</v>
      </c>
      <c r="G2506" s="280">
        <v>44997</v>
      </c>
      <c r="H2506" s="280">
        <v>44997</v>
      </c>
      <c r="K2506" s="97">
        <v>7903406608</v>
      </c>
    </row>
    <row r="2507" spans="1:11" x14ac:dyDescent="0.3">
      <c r="A2507" s="302" t="s">
        <v>155</v>
      </c>
      <c r="B2507" s="302" t="str">
        <f t="shared" si="21"/>
        <v>Y</v>
      </c>
      <c r="C2507" s="479" t="s">
        <v>7302</v>
      </c>
      <c r="D2507" s="356"/>
      <c r="E2507" s="356" t="s">
        <v>7303</v>
      </c>
      <c r="F2507" s="280">
        <v>25612</v>
      </c>
      <c r="G2507" s="280">
        <v>44997</v>
      </c>
      <c r="H2507" s="280">
        <v>44997</v>
      </c>
      <c r="K2507" s="97">
        <v>8235235876</v>
      </c>
    </row>
    <row r="2508" spans="1:11" x14ac:dyDescent="0.3">
      <c r="A2508" s="302" t="s">
        <v>155</v>
      </c>
      <c r="B2508" s="302" t="str">
        <f t="shared" si="21"/>
        <v>Y</v>
      </c>
      <c r="C2508" s="479" t="s">
        <v>7304</v>
      </c>
      <c r="D2508" s="356"/>
      <c r="E2508" s="356" t="s">
        <v>7305</v>
      </c>
      <c r="F2508" s="280">
        <v>38107</v>
      </c>
      <c r="G2508" s="280">
        <v>44998</v>
      </c>
      <c r="H2508" s="280">
        <v>44998</v>
      </c>
      <c r="K2508" s="97">
        <v>7979819496</v>
      </c>
    </row>
    <row r="2509" spans="1:11" x14ac:dyDescent="0.3">
      <c r="A2509" s="302" t="s">
        <v>155</v>
      </c>
      <c r="B2509" s="302" t="str">
        <f t="shared" si="21"/>
        <v>Y</v>
      </c>
      <c r="C2509" s="479" t="s">
        <v>7306</v>
      </c>
      <c r="D2509" s="356"/>
      <c r="E2509" s="356" t="s">
        <v>7307</v>
      </c>
      <c r="F2509" s="280">
        <v>38192</v>
      </c>
      <c r="G2509" s="280">
        <v>44998</v>
      </c>
      <c r="H2509" s="280">
        <v>44998</v>
      </c>
      <c r="K2509" s="97">
        <v>9142422618</v>
      </c>
    </row>
    <row r="2510" spans="1:11" x14ac:dyDescent="0.3">
      <c r="A2510" s="302" t="s">
        <v>155</v>
      </c>
      <c r="B2510" s="302" t="str">
        <f t="shared" si="21"/>
        <v>Y</v>
      </c>
      <c r="C2510" s="479" t="s">
        <v>7308</v>
      </c>
      <c r="D2510" s="356"/>
      <c r="E2510" s="356" t="s">
        <v>7309</v>
      </c>
      <c r="F2510" s="280">
        <v>21222</v>
      </c>
      <c r="G2510" s="280">
        <v>44998</v>
      </c>
      <c r="H2510" s="280">
        <v>44998</v>
      </c>
      <c r="K2510" s="97">
        <v>9308309351</v>
      </c>
    </row>
    <row r="2511" spans="1:11" x14ac:dyDescent="0.3">
      <c r="A2511" s="302" t="s">
        <v>155</v>
      </c>
      <c r="B2511" s="302" t="str">
        <f t="shared" si="21"/>
        <v>Y</v>
      </c>
      <c r="C2511" s="479" t="s">
        <v>7310</v>
      </c>
      <c r="D2511" s="356"/>
      <c r="E2511" s="356" t="s">
        <v>7311</v>
      </c>
      <c r="F2511" s="280">
        <v>28127</v>
      </c>
      <c r="G2511" s="280">
        <v>44998</v>
      </c>
      <c r="H2511" s="280">
        <v>44999</v>
      </c>
      <c r="K2511" s="97">
        <v>6297365569</v>
      </c>
    </row>
    <row r="2512" spans="1:11" x14ac:dyDescent="0.3">
      <c r="A2512" s="302" t="s">
        <v>155</v>
      </c>
      <c r="B2512" s="302" t="str">
        <f t="shared" ref="B2512:B2575" si="22">IF(H2512="","N","Y")</f>
        <v>Y</v>
      </c>
      <c r="C2512" s="479" t="s">
        <v>7312</v>
      </c>
      <c r="D2512" s="356"/>
      <c r="E2512" s="356" t="s">
        <v>7313</v>
      </c>
      <c r="F2512" s="280">
        <v>24025</v>
      </c>
      <c r="G2512" s="280">
        <v>44999</v>
      </c>
      <c r="H2512" s="280">
        <v>44999</v>
      </c>
      <c r="K2512" s="97">
        <v>7294164978</v>
      </c>
    </row>
    <row r="2513" spans="1:11" x14ac:dyDescent="0.3">
      <c r="A2513" s="302" t="s">
        <v>155</v>
      </c>
      <c r="B2513" s="302" t="str">
        <f t="shared" si="22"/>
        <v>Y</v>
      </c>
      <c r="C2513" s="479" t="s">
        <v>7314</v>
      </c>
      <c r="D2513" s="356"/>
      <c r="E2513" s="356" t="s">
        <v>7315</v>
      </c>
      <c r="F2513" s="280">
        <v>30064</v>
      </c>
      <c r="G2513" s="280">
        <v>44999</v>
      </c>
      <c r="H2513" s="280">
        <v>44999</v>
      </c>
      <c r="K2513" s="97">
        <v>8987711953</v>
      </c>
    </row>
    <row r="2514" spans="1:11" x14ac:dyDescent="0.3">
      <c r="A2514" s="302" t="s">
        <v>155</v>
      </c>
      <c r="B2514" s="302" t="str">
        <f t="shared" si="22"/>
        <v>Y</v>
      </c>
      <c r="C2514" s="479" t="s">
        <v>7316</v>
      </c>
      <c r="D2514" s="356"/>
      <c r="E2514" s="356" t="s">
        <v>7317</v>
      </c>
      <c r="F2514" s="280">
        <v>31278</v>
      </c>
      <c r="G2514" s="280">
        <v>45001</v>
      </c>
      <c r="H2514" s="280">
        <v>45001</v>
      </c>
      <c r="K2514" s="97">
        <v>9910549285</v>
      </c>
    </row>
    <row r="2515" spans="1:11" x14ac:dyDescent="0.3">
      <c r="A2515" s="302" t="s">
        <v>155</v>
      </c>
      <c r="B2515" s="302" t="str">
        <f t="shared" si="22"/>
        <v>Y</v>
      </c>
      <c r="C2515" s="479" t="s">
        <v>7318</v>
      </c>
      <c r="D2515" s="356"/>
      <c r="E2515" s="356" t="s">
        <v>7319</v>
      </c>
      <c r="F2515" s="280">
        <v>30566</v>
      </c>
      <c r="G2515" s="280">
        <v>45002</v>
      </c>
      <c r="H2515" s="280">
        <v>45003</v>
      </c>
      <c r="K2515" s="97">
        <v>8797224159</v>
      </c>
    </row>
    <row r="2516" spans="1:11" x14ac:dyDescent="0.3">
      <c r="A2516" s="302" t="s">
        <v>155</v>
      </c>
      <c r="B2516" s="302" t="str">
        <f t="shared" si="22"/>
        <v>Y</v>
      </c>
      <c r="C2516" s="479" t="s">
        <v>7320</v>
      </c>
      <c r="D2516" s="356"/>
      <c r="E2516" s="356" t="s">
        <v>7321</v>
      </c>
      <c r="F2516" s="280">
        <v>37339</v>
      </c>
      <c r="G2516" s="280">
        <v>45002</v>
      </c>
      <c r="H2516" s="280">
        <v>45003</v>
      </c>
      <c r="K2516" s="97">
        <v>7379583291</v>
      </c>
    </row>
    <row r="2517" spans="1:11" x14ac:dyDescent="0.3">
      <c r="A2517" s="302" t="s">
        <v>155</v>
      </c>
      <c r="B2517" s="302" t="str">
        <f t="shared" si="22"/>
        <v>Y</v>
      </c>
      <c r="C2517" s="473" t="s">
        <v>7322</v>
      </c>
      <c r="E2517" s="353" t="s">
        <v>7323</v>
      </c>
      <c r="F2517" s="280">
        <v>18264</v>
      </c>
      <c r="G2517" s="280">
        <v>45002</v>
      </c>
      <c r="H2517" s="280">
        <v>45003</v>
      </c>
      <c r="K2517" s="97">
        <v>9204739821</v>
      </c>
    </row>
    <row r="2518" spans="1:11" x14ac:dyDescent="0.3">
      <c r="A2518" s="302" t="s">
        <v>155</v>
      </c>
      <c r="B2518" s="302" t="str">
        <f t="shared" si="22"/>
        <v>Y</v>
      </c>
      <c r="C2518" s="473" t="s">
        <v>7324</v>
      </c>
      <c r="E2518" s="353" t="s">
        <v>7325</v>
      </c>
      <c r="F2518" s="280">
        <v>32104</v>
      </c>
      <c r="G2518" s="280">
        <v>45003</v>
      </c>
      <c r="H2518" s="280">
        <v>45003</v>
      </c>
      <c r="K2518" s="97">
        <v>8235425126</v>
      </c>
    </row>
    <row r="2519" spans="1:11" x14ac:dyDescent="0.3">
      <c r="A2519" s="302" t="s">
        <v>155</v>
      </c>
      <c r="B2519" s="302" t="str">
        <f t="shared" si="22"/>
        <v>Y</v>
      </c>
      <c r="C2519" s="473" t="s">
        <v>7326</v>
      </c>
      <c r="E2519" s="353" t="s">
        <v>7327</v>
      </c>
      <c r="F2519" s="280">
        <v>27458</v>
      </c>
      <c r="G2519" s="280">
        <v>45003</v>
      </c>
      <c r="H2519" s="280">
        <v>45003</v>
      </c>
      <c r="K2519" s="97">
        <v>9234660445</v>
      </c>
    </row>
    <row r="2520" spans="1:11" x14ac:dyDescent="0.3">
      <c r="A2520" s="302" t="s">
        <v>155</v>
      </c>
      <c r="B2520" s="302" t="str">
        <f t="shared" si="22"/>
        <v>Y</v>
      </c>
      <c r="C2520" s="473" t="s">
        <v>7328</v>
      </c>
      <c r="E2520" s="353" t="s">
        <v>7329</v>
      </c>
      <c r="F2520" s="280">
        <v>36878</v>
      </c>
      <c r="G2520" s="280">
        <v>45004</v>
      </c>
      <c r="H2520" s="280">
        <v>45004</v>
      </c>
      <c r="K2520" s="97">
        <v>6204245041</v>
      </c>
    </row>
    <row r="2521" spans="1:11" x14ac:dyDescent="0.3">
      <c r="A2521" s="302" t="s">
        <v>155</v>
      </c>
      <c r="B2521" s="302" t="str">
        <f t="shared" si="22"/>
        <v>Y</v>
      </c>
      <c r="C2521" s="473" t="s">
        <v>7330</v>
      </c>
      <c r="E2521" s="353" t="s">
        <v>7331</v>
      </c>
      <c r="F2521" s="280">
        <v>36579</v>
      </c>
      <c r="G2521" s="280">
        <v>45004</v>
      </c>
      <c r="H2521" s="280">
        <v>45004</v>
      </c>
      <c r="K2521" s="97">
        <v>8235324405</v>
      </c>
    </row>
    <row r="2522" spans="1:11" x14ac:dyDescent="0.3">
      <c r="A2522" s="302" t="s">
        <v>155</v>
      </c>
      <c r="B2522" s="302" t="str">
        <f t="shared" si="22"/>
        <v>Y</v>
      </c>
      <c r="C2522" s="479" t="s">
        <v>7332</v>
      </c>
      <c r="D2522" s="356"/>
      <c r="E2522" s="356" t="s">
        <v>7333</v>
      </c>
      <c r="F2522" s="280">
        <v>22232</v>
      </c>
      <c r="G2522" s="280">
        <v>45005</v>
      </c>
      <c r="H2522" s="280">
        <v>45005</v>
      </c>
      <c r="K2522" s="97">
        <v>8603210602</v>
      </c>
    </row>
    <row r="2523" spans="1:11" x14ac:dyDescent="0.3">
      <c r="A2523" s="302" t="s">
        <v>155</v>
      </c>
      <c r="B2523" s="302" t="str">
        <f t="shared" si="22"/>
        <v>Y</v>
      </c>
      <c r="C2523" s="479" t="s">
        <v>7334</v>
      </c>
      <c r="D2523" s="356"/>
      <c r="E2523" s="356" t="s">
        <v>3047</v>
      </c>
      <c r="F2523" s="280">
        <v>38285</v>
      </c>
      <c r="G2523" s="280">
        <v>45005</v>
      </c>
      <c r="H2523" s="280">
        <v>45005</v>
      </c>
      <c r="K2523" s="97">
        <v>7969767479</v>
      </c>
    </row>
    <row r="2524" spans="1:11" x14ac:dyDescent="0.3">
      <c r="A2524" s="302" t="s">
        <v>155</v>
      </c>
      <c r="B2524" s="302" t="str">
        <f t="shared" si="22"/>
        <v>Y</v>
      </c>
      <c r="C2524" s="458" t="s">
        <v>7335</v>
      </c>
      <c r="D2524" s="334"/>
      <c r="E2524" s="356" t="s">
        <v>7336</v>
      </c>
      <c r="F2524" s="280">
        <v>18383</v>
      </c>
      <c r="G2524" s="280">
        <v>45005</v>
      </c>
      <c r="H2524" s="280">
        <v>45005</v>
      </c>
      <c r="K2524" s="97">
        <v>9279132738</v>
      </c>
    </row>
    <row r="2525" spans="1:11" x14ac:dyDescent="0.3">
      <c r="A2525" s="302" t="s">
        <v>155</v>
      </c>
      <c r="B2525" s="302" t="str">
        <f t="shared" si="22"/>
        <v>Y</v>
      </c>
      <c r="C2525" s="479" t="s">
        <v>7337</v>
      </c>
      <c r="D2525" s="356"/>
      <c r="E2525" s="356" t="s">
        <v>7338</v>
      </c>
      <c r="F2525" s="280">
        <v>27900</v>
      </c>
      <c r="G2525" s="280">
        <v>45006</v>
      </c>
      <c r="H2525" s="280">
        <v>45006</v>
      </c>
      <c r="K2525" s="97">
        <v>6209176585</v>
      </c>
    </row>
    <row r="2526" spans="1:11" x14ac:dyDescent="0.3">
      <c r="A2526" s="302" t="s">
        <v>155</v>
      </c>
      <c r="B2526" s="302" t="str">
        <f t="shared" si="22"/>
        <v>Y</v>
      </c>
      <c r="C2526" s="479" t="s">
        <v>7339</v>
      </c>
      <c r="D2526" s="356"/>
      <c r="E2526" s="356" t="s">
        <v>7340</v>
      </c>
      <c r="F2526" s="280">
        <v>29009</v>
      </c>
      <c r="G2526" s="280">
        <v>45006</v>
      </c>
      <c r="H2526" s="280">
        <v>45006</v>
      </c>
      <c r="K2526" s="97">
        <v>8210168181</v>
      </c>
    </row>
    <row r="2527" spans="1:11" x14ac:dyDescent="0.3">
      <c r="A2527" s="302" t="s">
        <v>155</v>
      </c>
      <c r="B2527" s="302" t="str">
        <f t="shared" si="22"/>
        <v>Y</v>
      </c>
      <c r="C2527" s="473" t="s">
        <v>7341</v>
      </c>
      <c r="E2527" s="356" t="s">
        <v>7342</v>
      </c>
      <c r="F2527" s="280">
        <v>33557</v>
      </c>
      <c r="G2527" s="280">
        <v>45007</v>
      </c>
      <c r="H2527" s="280">
        <v>45007</v>
      </c>
      <c r="K2527" s="97">
        <v>8757538254</v>
      </c>
    </row>
    <row r="2528" spans="1:11" x14ac:dyDescent="0.3">
      <c r="A2528" s="302" t="s">
        <v>155</v>
      </c>
      <c r="B2528" s="302" t="str">
        <f t="shared" si="22"/>
        <v>Y</v>
      </c>
      <c r="C2528" s="473" t="s">
        <v>7343</v>
      </c>
      <c r="E2528" s="356" t="s">
        <v>7344</v>
      </c>
      <c r="F2528" s="280">
        <v>32215</v>
      </c>
      <c r="G2528" s="280">
        <v>45007</v>
      </c>
      <c r="H2528" s="280">
        <v>45007</v>
      </c>
      <c r="K2528" s="97">
        <v>8434027032</v>
      </c>
    </row>
    <row r="2529" spans="1:11" x14ac:dyDescent="0.3">
      <c r="A2529" s="302" t="s">
        <v>155</v>
      </c>
      <c r="B2529" s="302" t="str">
        <f t="shared" si="22"/>
        <v>Y</v>
      </c>
      <c r="C2529" s="473" t="s">
        <v>7345</v>
      </c>
      <c r="E2529" s="356" t="s">
        <v>7346</v>
      </c>
      <c r="F2529" s="280">
        <v>31413</v>
      </c>
      <c r="G2529" s="280">
        <v>45008</v>
      </c>
      <c r="H2529" s="280">
        <v>45008</v>
      </c>
      <c r="K2529" s="97">
        <v>9204739821</v>
      </c>
    </row>
    <row r="2530" spans="1:11" x14ac:dyDescent="0.3">
      <c r="A2530" s="302" t="s">
        <v>155</v>
      </c>
      <c r="B2530" s="302" t="str">
        <f t="shared" si="22"/>
        <v>Y</v>
      </c>
      <c r="C2530" s="473" t="s">
        <v>7347</v>
      </c>
      <c r="E2530" s="356" t="s">
        <v>7348</v>
      </c>
      <c r="F2530" s="280">
        <v>18629</v>
      </c>
      <c r="G2530" s="280">
        <v>45008</v>
      </c>
      <c r="H2530" s="280">
        <v>45008</v>
      </c>
      <c r="K2530" s="97">
        <v>8789300498</v>
      </c>
    </row>
    <row r="2531" spans="1:11" x14ac:dyDescent="0.3">
      <c r="A2531" s="302" t="s">
        <v>155</v>
      </c>
      <c r="B2531" s="302" t="str">
        <f t="shared" si="22"/>
        <v>Y</v>
      </c>
      <c r="C2531" s="473" t="s">
        <v>7349</v>
      </c>
      <c r="E2531" s="356" t="s">
        <v>7350</v>
      </c>
      <c r="F2531" s="280">
        <v>25118</v>
      </c>
      <c r="G2531" s="280">
        <v>45009</v>
      </c>
      <c r="H2531" s="280">
        <v>45009</v>
      </c>
      <c r="K2531" s="97">
        <v>8292268797</v>
      </c>
    </row>
    <row r="2532" spans="1:11" x14ac:dyDescent="0.3">
      <c r="A2532" s="302" t="s">
        <v>155</v>
      </c>
      <c r="B2532" s="302" t="str">
        <f t="shared" si="22"/>
        <v>Y</v>
      </c>
      <c r="C2532" s="473" t="s">
        <v>7351</v>
      </c>
      <c r="E2532" s="356" t="s">
        <v>7352</v>
      </c>
      <c r="F2532" s="280">
        <v>16381</v>
      </c>
      <c r="G2532" s="280">
        <v>45010</v>
      </c>
      <c r="H2532" s="280">
        <v>45010</v>
      </c>
      <c r="K2532" s="97">
        <v>8797826309</v>
      </c>
    </row>
    <row r="2533" spans="1:11" x14ac:dyDescent="0.3">
      <c r="A2533" s="302" t="s">
        <v>155</v>
      </c>
      <c r="B2533" s="302" t="str">
        <f t="shared" si="22"/>
        <v>Y</v>
      </c>
      <c r="C2533" s="473" t="s">
        <v>7353</v>
      </c>
      <c r="E2533" s="356" t="s">
        <v>7354</v>
      </c>
      <c r="F2533" s="280">
        <v>33770</v>
      </c>
      <c r="G2533" s="280">
        <v>45010</v>
      </c>
      <c r="H2533" s="280">
        <v>45010</v>
      </c>
      <c r="K2533" s="97">
        <v>7764035556</v>
      </c>
    </row>
    <row r="2534" spans="1:11" x14ac:dyDescent="0.3">
      <c r="A2534" s="302" t="s">
        <v>155</v>
      </c>
      <c r="B2534" s="302" t="str">
        <f t="shared" si="22"/>
        <v>Y</v>
      </c>
      <c r="C2534" s="473" t="s">
        <v>7355</v>
      </c>
      <c r="E2534" s="356" t="s">
        <v>7356</v>
      </c>
      <c r="F2534" s="280">
        <v>28956</v>
      </c>
      <c r="G2534" s="280">
        <v>45010</v>
      </c>
      <c r="H2534" s="280">
        <v>45010</v>
      </c>
      <c r="K2534" s="97">
        <v>9204739821</v>
      </c>
    </row>
    <row r="2535" spans="1:11" x14ac:dyDescent="0.3">
      <c r="A2535" s="302" t="s">
        <v>155</v>
      </c>
      <c r="B2535" s="302" t="str">
        <f t="shared" si="22"/>
        <v>Y</v>
      </c>
      <c r="C2535" s="473" t="s">
        <v>7357</v>
      </c>
      <c r="E2535" s="356" t="s">
        <v>7358</v>
      </c>
      <c r="F2535" s="280">
        <v>33239</v>
      </c>
      <c r="G2535" s="280">
        <v>45010</v>
      </c>
      <c r="H2535" s="280">
        <v>45010</v>
      </c>
      <c r="K2535" s="97">
        <v>8538973840</v>
      </c>
    </row>
    <row r="2536" spans="1:11" x14ac:dyDescent="0.3">
      <c r="A2536" s="302" t="s">
        <v>155</v>
      </c>
      <c r="B2536" s="302" t="str">
        <f t="shared" si="22"/>
        <v>Y</v>
      </c>
      <c r="C2536" s="473" t="s">
        <v>7359</v>
      </c>
      <c r="E2536" s="356" t="s">
        <v>7360</v>
      </c>
      <c r="F2536" s="280">
        <v>26665</v>
      </c>
      <c r="G2536" s="280">
        <v>45010</v>
      </c>
      <c r="H2536" s="280">
        <v>45010</v>
      </c>
      <c r="K2536" s="97">
        <v>9162478021</v>
      </c>
    </row>
    <row r="2537" spans="1:11" x14ac:dyDescent="0.3">
      <c r="A2537" s="302" t="s">
        <v>155</v>
      </c>
      <c r="B2537" s="302" t="str">
        <f t="shared" si="22"/>
        <v>Y</v>
      </c>
      <c r="C2537" s="473" t="s">
        <v>7361</v>
      </c>
      <c r="E2537" s="356" t="s">
        <v>6336</v>
      </c>
      <c r="F2537" s="280">
        <v>27760</v>
      </c>
      <c r="G2537" s="280">
        <v>45010</v>
      </c>
      <c r="H2537" s="280">
        <v>45010</v>
      </c>
      <c r="K2537" s="97">
        <v>9234469231</v>
      </c>
    </row>
    <row r="2538" spans="1:11" x14ac:dyDescent="0.3">
      <c r="A2538" s="302" t="s">
        <v>155</v>
      </c>
      <c r="B2538" s="302" t="str">
        <f t="shared" si="22"/>
        <v>Y</v>
      </c>
      <c r="C2538" s="473" t="s">
        <v>7362</v>
      </c>
      <c r="E2538" s="356" t="s">
        <v>7363</v>
      </c>
      <c r="F2538" s="280">
        <v>12785</v>
      </c>
      <c r="G2538" s="280">
        <v>45010</v>
      </c>
      <c r="H2538" s="280">
        <v>45010</v>
      </c>
      <c r="K2538" s="97">
        <v>7654926556</v>
      </c>
    </row>
    <row r="2539" spans="1:11" x14ac:dyDescent="0.3">
      <c r="A2539" s="302" t="s">
        <v>155</v>
      </c>
      <c r="B2539" s="302" t="str">
        <f t="shared" si="22"/>
        <v>Y</v>
      </c>
      <c r="C2539" s="473" t="s">
        <v>7364</v>
      </c>
      <c r="E2539" s="356" t="s">
        <v>7365</v>
      </c>
      <c r="F2539" s="280">
        <v>31447</v>
      </c>
      <c r="G2539" s="280">
        <v>45010</v>
      </c>
      <c r="H2539" s="280">
        <v>45010</v>
      </c>
      <c r="K2539" s="97">
        <v>8084293941</v>
      </c>
    </row>
    <row r="2540" spans="1:11" x14ac:dyDescent="0.3">
      <c r="A2540" s="302" t="s">
        <v>155</v>
      </c>
      <c r="B2540" s="302" t="str">
        <f t="shared" si="22"/>
        <v>Y</v>
      </c>
      <c r="C2540" s="479" t="s">
        <v>7366</v>
      </c>
      <c r="D2540" s="356"/>
      <c r="E2540" s="356" t="s">
        <v>7367</v>
      </c>
      <c r="F2540" s="280">
        <v>33658</v>
      </c>
      <c r="G2540" s="280">
        <v>45011</v>
      </c>
      <c r="H2540" s="280">
        <v>45011</v>
      </c>
      <c r="K2540" s="97">
        <v>8987964956</v>
      </c>
    </row>
    <row r="2541" spans="1:11" x14ac:dyDescent="0.3">
      <c r="A2541" s="302" t="s">
        <v>155</v>
      </c>
      <c r="B2541" s="302" t="str">
        <f t="shared" si="22"/>
        <v>Y</v>
      </c>
      <c r="C2541" s="479" t="s">
        <v>7368</v>
      </c>
      <c r="D2541" s="356"/>
      <c r="E2541" s="356" t="s">
        <v>7218</v>
      </c>
      <c r="F2541" s="280">
        <v>27410</v>
      </c>
      <c r="G2541" s="280">
        <v>45011</v>
      </c>
      <c r="H2541" s="280">
        <v>45011</v>
      </c>
      <c r="K2541" s="97">
        <v>6201644132</v>
      </c>
    </row>
    <row r="2542" spans="1:11" x14ac:dyDescent="0.3">
      <c r="A2542" s="302" t="s">
        <v>155</v>
      </c>
      <c r="B2542" s="302" t="str">
        <f t="shared" si="22"/>
        <v>Y</v>
      </c>
      <c r="C2542" s="482" t="s">
        <v>7369</v>
      </c>
      <c r="D2542" s="365"/>
      <c r="E2542" s="356" t="s">
        <v>7370</v>
      </c>
      <c r="F2542" s="280">
        <v>20180</v>
      </c>
      <c r="G2542" s="280">
        <v>45011</v>
      </c>
      <c r="H2542" s="280">
        <v>45011</v>
      </c>
      <c r="K2542" s="97">
        <v>7366980501</v>
      </c>
    </row>
    <row r="2543" spans="1:11" x14ac:dyDescent="0.3">
      <c r="A2543" s="302" t="s">
        <v>155</v>
      </c>
      <c r="B2543" s="302" t="str">
        <f t="shared" si="22"/>
        <v>Y</v>
      </c>
      <c r="C2543" s="482" t="s">
        <v>7371</v>
      </c>
      <c r="D2543" s="365"/>
      <c r="E2543" s="356" t="s">
        <v>7372</v>
      </c>
      <c r="F2543" s="280">
        <v>33415</v>
      </c>
      <c r="G2543" s="280">
        <v>45011</v>
      </c>
      <c r="H2543" s="280">
        <v>45011</v>
      </c>
      <c r="K2543" s="97">
        <v>7209690813</v>
      </c>
    </row>
    <row r="2544" spans="1:11" x14ac:dyDescent="0.3">
      <c r="A2544" s="302" t="s">
        <v>155</v>
      </c>
      <c r="B2544" s="302" t="str">
        <f t="shared" si="22"/>
        <v>Y</v>
      </c>
      <c r="C2544" s="479" t="s">
        <v>7373</v>
      </c>
      <c r="D2544" s="356"/>
      <c r="E2544" s="356" t="s">
        <v>7346</v>
      </c>
      <c r="F2544" s="280">
        <v>36325</v>
      </c>
      <c r="G2544" s="280">
        <v>45011</v>
      </c>
      <c r="H2544" s="280">
        <v>45011</v>
      </c>
      <c r="K2544" s="97">
        <v>9939060680</v>
      </c>
    </row>
    <row r="2545" spans="1:11" x14ac:dyDescent="0.3">
      <c r="A2545" s="302" t="s">
        <v>155</v>
      </c>
      <c r="B2545" s="302" t="str">
        <f t="shared" si="22"/>
        <v>Y</v>
      </c>
      <c r="C2545" s="479" t="s">
        <v>7374</v>
      </c>
      <c r="D2545" s="356"/>
      <c r="E2545" s="356" t="s">
        <v>7375</v>
      </c>
      <c r="F2545" s="280">
        <v>38339</v>
      </c>
      <c r="G2545" s="280">
        <v>45011</v>
      </c>
      <c r="H2545" s="280">
        <v>45011</v>
      </c>
      <c r="K2545" s="97">
        <v>7488859052</v>
      </c>
    </row>
    <row r="2546" spans="1:11" x14ac:dyDescent="0.3">
      <c r="A2546" s="302" t="s">
        <v>155</v>
      </c>
      <c r="B2546" s="302" t="str">
        <f t="shared" si="22"/>
        <v>Y</v>
      </c>
      <c r="C2546" s="479" t="s">
        <v>7376</v>
      </c>
      <c r="D2546" s="356"/>
      <c r="E2546" s="356" t="s">
        <v>7377</v>
      </c>
      <c r="F2546" s="280">
        <v>26439</v>
      </c>
      <c r="G2546" s="280">
        <v>45011</v>
      </c>
      <c r="H2546" s="280">
        <v>45011</v>
      </c>
      <c r="K2546" s="97">
        <v>8084099458</v>
      </c>
    </row>
    <row r="2547" spans="1:11" x14ac:dyDescent="0.3">
      <c r="A2547" s="302" t="s">
        <v>155</v>
      </c>
      <c r="B2547" s="302" t="str">
        <f t="shared" si="22"/>
        <v>Y</v>
      </c>
      <c r="C2547" s="479" t="s">
        <v>7378</v>
      </c>
      <c r="D2547" s="356"/>
      <c r="E2547" s="356" t="s">
        <v>7379</v>
      </c>
      <c r="F2547" s="280">
        <v>26299</v>
      </c>
      <c r="G2547" s="280">
        <v>45011</v>
      </c>
      <c r="H2547" s="280">
        <v>45011</v>
      </c>
      <c r="K2547" s="97">
        <v>6207448209</v>
      </c>
    </row>
    <row r="2548" spans="1:11" x14ac:dyDescent="0.3">
      <c r="A2548" s="302" t="s">
        <v>155</v>
      </c>
      <c r="B2548" s="302" t="str">
        <f t="shared" si="22"/>
        <v>Y</v>
      </c>
      <c r="C2548" s="479" t="s">
        <v>7380</v>
      </c>
      <c r="D2548" s="356"/>
      <c r="E2548" s="356" t="s">
        <v>7381</v>
      </c>
      <c r="F2548" s="280">
        <v>21186</v>
      </c>
      <c r="G2548" s="280">
        <v>45011</v>
      </c>
      <c r="H2548" s="280">
        <v>45011</v>
      </c>
      <c r="K2548" s="97">
        <v>9162962621</v>
      </c>
    </row>
    <row r="2549" spans="1:11" x14ac:dyDescent="0.3">
      <c r="A2549" s="302" t="s">
        <v>155</v>
      </c>
      <c r="B2549" s="302" t="str">
        <f t="shared" si="22"/>
        <v>Y</v>
      </c>
      <c r="C2549" s="479" t="s">
        <v>7382</v>
      </c>
      <c r="D2549" s="356"/>
      <c r="E2549" s="356" t="s">
        <v>7383</v>
      </c>
      <c r="F2549" s="280">
        <v>21916</v>
      </c>
      <c r="G2549" s="280">
        <v>45012</v>
      </c>
      <c r="H2549" s="280">
        <v>45012</v>
      </c>
      <c r="K2549" s="97">
        <v>9263299453</v>
      </c>
    </row>
    <row r="2550" spans="1:11" x14ac:dyDescent="0.3">
      <c r="A2550" s="302" t="s">
        <v>155</v>
      </c>
      <c r="B2550" s="302" t="str">
        <f t="shared" si="22"/>
        <v>Y</v>
      </c>
      <c r="C2550" s="479" t="s">
        <v>7384</v>
      </c>
      <c r="D2550" s="356"/>
      <c r="E2550" s="356" t="s">
        <v>7385</v>
      </c>
      <c r="F2550" s="280">
        <v>30321</v>
      </c>
      <c r="G2550" s="280">
        <v>45013</v>
      </c>
      <c r="H2550" s="280">
        <v>45014</v>
      </c>
      <c r="K2550" s="97">
        <v>9234531669</v>
      </c>
    </row>
    <row r="2551" spans="1:11" x14ac:dyDescent="0.3">
      <c r="A2551" s="302" t="s">
        <v>155</v>
      </c>
      <c r="B2551" s="302" t="str">
        <f t="shared" si="22"/>
        <v>Y</v>
      </c>
      <c r="C2551" s="479" t="s">
        <v>7386</v>
      </c>
      <c r="D2551" s="356"/>
      <c r="E2551" s="356" t="s">
        <v>7387</v>
      </c>
      <c r="F2551" s="280">
        <v>17558</v>
      </c>
      <c r="G2551" s="280">
        <v>45013</v>
      </c>
      <c r="H2551" s="280">
        <v>45014</v>
      </c>
      <c r="K2551" s="97">
        <v>9199056303</v>
      </c>
    </row>
    <row r="2552" spans="1:11" x14ac:dyDescent="0.3">
      <c r="A2552" s="302" t="s">
        <v>155</v>
      </c>
      <c r="B2552" s="302" t="str">
        <f t="shared" si="22"/>
        <v>Y</v>
      </c>
      <c r="C2552" s="479" t="s">
        <v>7388</v>
      </c>
      <c r="D2552" s="356"/>
      <c r="E2552" s="356" t="s">
        <v>7389</v>
      </c>
      <c r="F2552" s="280">
        <v>38435</v>
      </c>
      <c r="G2552" s="280">
        <v>45013</v>
      </c>
      <c r="H2552" s="280">
        <v>45014</v>
      </c>
      <c r="K2552" s="97">
        <v>9060437982</v>
      </c>
    </row>
    <row r="2553" spans="1:11" x14ac:dyDescent="0.3">
      <c r="A2553" s="302" t="s">
        <v>155</v>
      </c>
      <c r="B2553" s="302" t="str">
        <f t="shared" si="22"/>
        <v>Y</v>
      </c>
      <c r="C2553" s="479" t="s">
        <v>7390</v>
      </c>
      <c r="D2553" s="356"/>
      <c r="E2553" s="356" t="s">
        <v>7391</v>
      </c>
      <c r="F2553" s="280">
        <v>29497</v>
      </c>
      <c r="G2553" s="280">
        <v>45013</v>
      </c>
      <c r="H2553" s="280">
        <v>45014</v>
      </c>
      <c r="K2553" s="97">
        <v>8434130542</v>
      </c>
    </row>
    <row r="2554" spans="1:11" x14ac:dyDescent="0.3">
      <c r="A2554" s="302" t="s">
        <v>155</v>
      </c>
      <c r="B2554" s="302" t="str">
        <f t="shared" si="22"/>
        <v>Y</v>
      </c>
      <c r="C2554" s="479" t="s">
        <v>7392</v>
      </c>
      <c r="D2554" s="356"/>
      <c r="E2554" s="356" t="s">
        <v>7393</v>
      </c>
      <c r="F2554" s="280">
        <v>32143</v>
      </c>
      <c r="G2554" s="280">
        <v>45013</v>
      </c>
      <c r="H2554" s="280">
        <v>45014</v>
      </c>
      <c r="K2554" s="97">
        <v>6202971793</v>
      </c>
    </row>
    <row r="2555" spans="1:11" x14ac:dyDescent="0.3">
      <c r="A2555" s="302" t="s">
        <v>155</v>
      </c>
      <c r="B2555" s="302" t="str">
        <f t="shared" si="22"/>
        <v>Y</v>
      </c>
      <c r="C2555" s="479" t="s">
        <v>7394</v>
      </c>
      <c r="D2555" s="356"/>
      <c r="E2555" s="356" t="s">
        <v>7395</v>
      </c>
      <c r="F2555" s="280">
        <v>38084</v>
      </c>
      <c r="G2555" s="280">
        <v>45014</v>
      </c>
      <c r="H2555" s="280">
        <v>45014</v>
      </c>
      <c r="K2555" s="97">
        <v>7209441354</v>
      </c>
    </row>
    <row r="2556" spans="1:11" x14ac:dyDescent="0.3">
      <c r="A2556" s="302" t="s">
        <v>155</v>
      </c>
      <c r="B2556" s="302" t="str">
        <f t="shared" si="22"/>
        <v>Y</v>
      </c>
      <c r="C2556" s="479" t="s">
        <v>7396</v>
      </c>
      <c r="D2556" s="356"/>
      <c r="E2556" s="356" t="s">
        <v>6218</v>
      </c>
      <c r="F2556" s="280">
        <v>23743</v>
      </c>
      <c r="G2556" s="280">
        <v>45014</v>
      </c>
      <c r="H2556" s="280">
        <v>45014</v>
      </c>
      <c r="K2556" s="97">
        <v>6202524306</v>
      </c>
    </row>
    <row r="2557" spans="1:11" x14ac:dyDescent="0.3">
      <c r="A2557" s="302" t="s">
        <v>155</v>
      </c>
      <c r="B2557" s="302" t="str">
        <f t="shared" si="22"/>
        <v>Y</v>
      </c>
      <c r="C2557" s="479" t="s">
        <v>7388</v>
      </c>
      <c r="D2557" s="356"/>
      <c r="E2557" s="356" t="s">
        <v>7389</v>
      </c>
      <c r="F2557" s="280">
        <v>38435</v>
      </c>
      <c r="G2557" s="280">
        <v>45013</v>
      </c>
      <c r="H2557" s="280">
        <v>45015</v>
      </c>
      <c r="K2557" s="97">
        <v>9060437982</v>
      </c>
    </row>
    <row r="2558" spans="1:11" x14ac:dyDescent="0.3">
      <c r="A2558" s="302" t="s">
        <v>155</v>
      </c>
      <c r="B2558" s="302" t="str">
        <f t="shared" si="22"/>
        <v>Y</v>
      </c>
      <c r="C2558" s="479" t="s">
        <v>7397</v>
      </c>
      <c r="D2558" s="356"/>
      <c r="E2558" s="356" t="s">
        <v>7398</v>
      </c>
      <c r="F2558" s="280">
        <v>36954</v>
      </c>
      <c r="G2558" s="280">
        <v>45014</v>
      </c>
      <c r="H2558" s="280">
        <v>45015</v>
      </c>
      <c r="K2558" s="97">
        <v>8210981753</v>
      </c>
    </row>
    <row r="2559" spans="1:11" x14ac:dyDescent="0.3">
      <c r="A2559" s="302" t="s">
        <v>155</v>
      </c>
      <c r="B2559" s="302" t="str">
        <f t="shared" si="22"/>
        <v>Y</v>
      </c>
      <c r="C2559" s="479" t="s">
        <v>7399</v>
      </c>
      <c r="D2559" s="356"/>
      <c r="E2559" s="356" t="s">
        <v>507</v>
      </c>
      <c r="F2559" s="280">
        <v>18629</v>
      </c>
      <c r="G2559" s="280">
        <v>45014</v>
      </c>
      <c r="H2559" s="280">
        <v>45015</v>
      </c>
      <c r="K2559" s="97">
        <v>9430775488</v>
      </c>
    </row>
    <row r="2560" spans="1:11" x14ac:dyDescent="0.3">
      <c r="A2560" s="302" t="s">
        <v>155</v>
      </c>
      <c r="B2560" s="302" t="str">
        <f t="shared" si="22"/>
        <v>Y</v>
      </c>
      <c r="C2560" s="479" t="s">
        <v>7400</v>
      </c>
      <c r="D2560" s="356"/>
      <c r="E2560" s="356" t="s">
        <v>7401</v>
      </c>
      <c r="F2560" s="280">
        <v>37581</v>
      </c>
      <c r="G2560" s="280">
        <v>45015</v>
      </c>
      <c r="H2560" s="280">
        <v>45015</v>
      </c>
      <c r="K2560" s="97">
        <v>6287885003</v>
      </c>
    </row>
    <row r="2561" spans="1:11" x14ac:dyDescent="0.3">
      <c r="A2561" s="302" t="s">
        <v>155</v>
      </c>
      <c r="B2561" s="302" t="str">
        <f t="shared" si="22"/>
        <v>Y</v>
      </c>
      <c r="C2561" s="479" t="s">
        <v>7402</v>
      </c>
      <c r="D2561" s="356"/>
      <c r="E2561" s="356" t="s">
        <v>7403</v>
      </c>
      <c r="F2561" s="280">
        <v>36947</v>
      </c>
      <c r="G2561" s="280">
        <v>45015</v>
      </c>
      <c r="H2561" s="280">
        <v>45015</v>
      </c>
      <c r="K2561" s="97">
        <v>7717770563</v>
      </c>
    </row>
    <row r="2562" spans="1:11" x14ac:dyDescent="0.3">
      <c r="A2562" s="302" t="s">
        <v>155</v>
      </c>
      <c r="B2562" s="302" t="str">
        <f t="shared" si="22"/>
        <v>Y</v>
      </c>
      <c r="C2562" s="479" t="s">
        <v>7404</v>
      </c>
      <c r="D2562" s="356"/>
      <c r="E2562" s="356" t="s">
        <v>817</v>
      </c>
      <c r="F2562" s="280">
        <v>28508</v>
      </c>
      <c r="G2562" s="280">
        <v>45015</v>
      </c>
      <c r="H2562" s="280">
        <v>45015</v>
      </c>
      <c r="K2562" s="97">
        <v>6201626006</v>
      </c>
    </row>
    <row r="2563" spans="1:11" x14ac:dyDescent="0.3">
      <c r="A2563" s="302" t="s">
        <v>155</v>
      </c>
      <c r="B2563" s="302" t="str">
        <f t="shared" si="22"/>
        <v>Y</v>
      </c>
      <c r="C2563" s="479" t="s">
        <v>7405</v>
      </c>
      <c r="D2563" s="356"/>
      <c r="E2563" s="356" t="s">
        <v>7406</v>
      </c>
      <c r="F2563" s="280">
        <v>27863</v>
      </c>
      <c r="G2563" s="280">
        <v>45015</v>
      </c>
      <c r="H2563" s="280">
        <v>45015</v>
      </c>
      <c r="K2563" s="97">
        <v>6201626006</v>
      </c>
    </row>
    <row r="2564" spans="1:11" x14ac:dyDescent="0.3">
      <c r="A2564" s="302" t="s">
        <v>155</v>
      </c>
      <c r="B2564" s="302" t="str">
        <f t="shared" si="22"/>
        <v>Y</v>
      </c>
      <c r="C2564" s="479" t="s">
        <v>7407</v>
      </c>
      <c r="D2564" s="356"/>
      <c r="E2564" s="356" t="s">
        <v>7408</v>
      </c>
      <c r="F2564" s="280">
        <v>27183</v>
      </c>
      <c r="G2564" s="280">
        <v>45015</v>
      </c>
      <c r="H2564" s="280">
        <v>45015</v>
      </c>
      <c r="K2564" s="97">
        <v>7739634455</v>
      </c>
    </row>
    <row r="2565" spans="1:11" x14ac:dyDescent="0.3">
      <c r="A2565" s="302" t="s">
        <v>155</v>
      </c>
      <c r="B2565" s="302" t="str">
        <f t="shared" si="22"/>
        <v>Y</v>
      </c>
      <c r="C2565" s="479" t="s">
        <v>7409</v>
      </c>
      <c r="D2565" s="356"/>
      <c r="E2565" s="356" t="s">
        <v>7410</v>
      </c>
      <c r="F2565" s="280">
        <v>31264</v>
      </c>
      <c r="G2565" s="280">
        <v>45016</v>
      </c>
      <c r="H2565" s="280">
        <v>45016</v>
      </c>
      <c r="K2565" s="97">
        <v>9031133640</v>
      </c>
    </row>
    <row r="2566" spans="1:11" x14ac:dyDescent="0.3">
      <c r="A2566" s="302" t="s">
        <v>155</v>
      </c>
      <c r="B2566" s="302" t="str">
        <f t="shared" si="22"/>
        <v>Y</v>
      </c>
      <c r="C2566" s="479" t="s">
        <v>7411</v>
      </c>
      <c r="D2566" s="356"/>
      <c r="E2566" s="356" t="s">
        <v>7412</v>
      </c>
      <c r="F2566" s="280">
        <v>34998</v>
      </c>
      <c r="G2566" s="280">
        <v>45016</v>
      </c>
      <c r="H2566" s="280">
        <v>45016</v>
      </c>
      <c r="K2566" s="97">
        <v>8801235004</v>
      </c>
    </row>
    <row r="2567" spans="1:11" x14ac:dyDescent="0.3">
      <c r="A2567" s="302" t="s">
        <v>155</v>
      </c>
      <c r="B2567" s="302" t="str">
        <f t="shared" si="22"/>
        <v>Y</v>
      </c>
      <c r="C2567" s="479" t="s">
        <v>7413</v>
      </c>
      <c r="D2567" s="356"/>
      <c r="E2567" s="356" t="s">
        <v>2284</v>
      </c>
      <c r="F2567" s="280">
        <v>23391</v>
      </c>
      <c r="G2567" s="280">
        <v>45017</v>
      </c>
      <c r="H2567" s="280">
        <v>45017</v>
      </c>
      <c r="K2567" s="97">
        <v>9031398477</v>
      </c>
    </row>
    <row r="2568" spans="1:11" x14ac:dyDescent="0.3">
      <c r="A2568" s="302" t="s">
        <v>155</v>
      </c>
      <c r="B2568" s="302" t="str">
        <f t="shared" si="22"/>
        <v>Y</v>
      </c>
      <c r="C2568" s="479" t="s">
        <v>7414</v>
      </c>
      <c r="D2568" s="356"/>
      <c r="E2568" s="356" t="s">
        <v>7415</v>
      </c>
      <c r="F2568" s="280">
        <v>30252</v>
      </c>
      <c r="G2568" s="280">
        <v>45017</v>
      </c>
      <c r="H2568" s="280">
        <v>45017</v>
      </c>
      <c r="K2568" s="97">
        <v>9031212413</v>
      </c>
    </row>
    <row r="2569" spans="1:11" x14ac:dyDescent="0.3">
      <c r="A2569" s="302" t="s">
        <v>155</v>
      </c>
      <c r="B2569" s="302" t="str">
        <f t="shared" si="22"/>
        <v>Y</v>
      </c>
      <c r="C2569" s="479" t="s">
        <v>7416</v>
      </c>
      <c r="D2569" s="356"/>
      <c r="E2569" s="356" t="s">
        <v>7417</v>
      </c>
      <c r="F2569" s="280">
        <v>26665</v>
      </c>
      <c r="G2569" s="280">
        <v>45017</v>
      </c>
      <c r="H2569" s="280">
        <v>45017</v>
      </c>
      <c r="K2569" s="97">
        <v>6202148848</v>
      </c>
    </row>
    <row r="2570" spans="1:11" x14ac:dyDescent="0.3">
      <c r="A2570" s="302" t="s">
        <v>155</v>
      </c>
      <c r="B2570" s="302" t="str">
        <f t="shared" si="22"/>
        <v>Y</v>
      </c>
      <c r="C2570" s="479" t="s">
        <v>7418</v>
      </c>
      <c r="D2570" s="356"/>
      <c r="E2570" s="356" t="s">
        <v>7419</v>
      </c>
      <c r="F2570" s="280">
        <v>31870</v>
      </c>
      <c r="G2570" s="280">
        <v>45017</v>
      </c>
      <c r="H2570" s="280">
        <v>45017</v>
      </c>
      <c r="K2570" s="97">
        <v>7004220301</v>
      </c>
    </row>
    <row r="2571" spans="1:11" x14ac:dyDescent="0.3">
      <c r="A2571" s="302" t="s">
        <v>155</v>
      </c>
      <c r="B2571" s="302" t="str">
        <f t="shared" si="22"/>
        <v>Y</v>
      </c>
      <c r="C2571" s="479" t="s">
        <v>7420</v>
      </c>
      <c r="D2571" s="356"/>
      <c r="E2571" s="356" t="s">
        <v>7421</v>
      </c>
      <c r="F2571" s="280">
        <v>35597</v>
      </c>
      <c r="G2571" s="280">
        <v>45017</v>
      </c>
      <c r="H2571" s="280">
        <v>45017</v>
      </c>
      <c r="K2571" s="97">
        <v>9430393494</v>
      </c>
    </row>
    <row r="2572" spans="1:11" x14ac:dyDescent="0.3">
      <c r="A2572" s="302" t="s">
        <v>155</v>
      </c>
      <c r="B2572" s="302" t="str">
        <f t="shared" si="22"/>
        <v>Y</v>
      </c>
      <c r="C2572" s="479" t="s">
        <v>7422</v>
      </c>
      <c r="D2572" s="356"/>
      <c r="E2572" s="356" t="s">
        <v>2163</v>
      </c>
      <c r="F2572" s="280">
        <v>28491</v>
      </c>
      <c r="G2572" s="280">
        <v>45018</v>
      </c>
      <c r="H2572" s="280">
        <v>45018</v>
      </c>
      <c r="K2572" s="97">
        <v>9939402224</v>
      </c>
    </row>
    <row r="2573" spans="1:11" x14ac:dyDescent="0.3">
      <c r="A2573" s="302" t="s">
        <v>155</v>
      </c>
      <c r="B2573" s="302" t="str">
        <f t="shared" si="22"/>
        <v>Y</v>
      </c>
      <c r="C2573" s="479" t="s">
        <v>7423</v>
      </c>
      <c r="D2573" s="356"/>
      <c r="E2573" s="356" t="s">
        <v>7424</v>
      </c>
      <c r="F2573" s="280">
        <v>29952</v>
      </c>
      <c r="G2573" s="280">
        <v>45018</v>
      </c>
      <c r="H2573" s="280">
        <v>45018</v>
      </c>
      <c r="K2573" s="97">
        <v>7209512860</v>
      </c>
    </row>
    <row r="2574" spans="1:11" x14ac:dyDescent="0.3">
      <c r="A2574" s="302" t="s">
        <v>155</v>
      </c>
      <c r="B2574" s="302" t="str">
        <f t="shared" si="22"/>
        <v>Y</v>
      </c>
      <c r="C2574" s="479" t="s">
        <v>7425</v>
      </c>
      <c r="D2574" s="356"/>
      <c r="E2574" s="356" t="s">
        <v>7426</v>
      </c>
      <c r="F2574" s="280">
        <v>28088</v>
      </c>
      <c r="G2574" s="280">
        <v>45019</v>
      </c>
      <c r="H2574" s="280">
        <v>45019</v>
      </c>
      <c r="K2574" s="97">
        <v>9470391390</v>
      </c>
    </row>
    <row r="2575" spans="1:11" x14ac:dyDescent="0.3">
      <c r="A2575" s="302" t="s">
        <v>155</v>
      </c>
      <c r="B2575" s="302" t="str">
        <f t="shared" si="22"/>
        <v>Y</v>
      </c>
      <c r="C2575" s="479" t="s">
        <v>7427</v>
      </c>
      <c r="D2575" s="356"/>
      <c r="E2575" s="356" t="s">
        <v>679</v>
      </c>
      <c r="F2575" s="280">
        <v>34282</v>
      </c>
      <c r="G2575" s="280">
        <v>45019</v>
      </c>
      <c r="H2575" s="280">
        <v>45019</v>
      </c>
      <c r="K2575" s="97">
        <v>7366980501</v>
      </c>
    </row>
    <row r="2576" spans="1:11" x14ac:dyDescent="0.3">
      <c r="A2576" s="302" t="s">
        <v>155</v>
      </c>
      <c r="B2576" s="302" t="str">
        <f t="shared" ref="B2576:B2639" si="23">IF(H2576="","N","Y")</f>
        <v>Y</v>
      </c>
      <c r="C2576" s="479" t="s">
        <v>7428</v>
      </c>
      <c r="D2576" s="356"/>
      <c r="E2576" s="356" t="s">
        <v>7429</v>
      </c>
      <c r="F2576" s="280">
        <v>36192</v>
      </c>
      <c r="G2576" s="280">
        <v>45019</v>
      </c>
      <c r="H2576" s="280">
        <v>45019</v>
      </c>
      <c r="K2576" s="97">
        <v>9939319563</v>
      </c>
    </row>
    <row r="2577" spans="1:11" x14ac:dyDescent="0.3">
      <c r="A2577" s="302" t="s">
        <v>155</v>
      </c>
      <c r="B2577" s="302" t="str">
        <f t="shared" si="23"/>
        <v>Y</v>
      </c>
      <c r="C2577" s="479" t="s">
        <v>7430</v>
      </c>
      <c r="D2577" s="356"/>
      <c r="E2577" s="356" t="s">
        <v>7431</v>
      </c>
      <c r="F2577" s="280">
        <v>29650</v>
      </c>
      <c r="G2577" s="280">
        <v>45020</v>
      </c>
      <c r="H2577" s="280">
        <v>45020</v>
      </c>
      <c r="K2577" s="97">
        <v>6204468133</v>
      </c>
    </row>
    <row r="2578" spans="1:11" x14ac:dyDescent="0.3">
      <c r="A2578" s="302" t="s">
        <v>155</v>
      </c>
      <c r="B2578" s="302" t="str">
        <f t="shared" si="23"/>
        <v>Y</v>
      </c>
      <c r="C2578" s="479" t="s">
        <v>7432</v>
      </c>
      <c r="D2578" s="356"/>
      <c r="E2578" s="356" t="s">
        <v>7433</v>
      </c>
      <c r="F2578" s="280">
        <v>31459</v>
      </c>
      <c r="G2578" s="280">
        <v>45020</v>
      </c>
      <c r="H2578" s="280">
        <v>45020</v>
      </c>
      <c r="K2578" s="97">
        <v>8340128996</v>
      </c>
    </row>
    <row r="2579" spans="1:11" x14ac:dyDescent="0.3">
      <c r="A2579" s="302" t="s">
        <v>155</v>
      </c>
      <c r="B2579" s="302" t="str">
        <f t="shared" si="23"/>
        <v>Y</v>
      </c>
      <c r="C2579" s="479" t="s">
        <v>7434</v>
      </c>
      <c r="D2579" s="356"/>
      <c r="E2579" s="356" t="s">
        <v>7435</v>
      </c>
      <c r="F2579" s="280">
        <v>31699</v>
      </c>
      <c r="G2579" s="280">
        <v>45021</v>
      </c>
      <c r="H2579" s="280">
        <v>45022</v>
      </c>
      <c r="K2579" s="97">
        <v>8340752408</v>
      </c>
    </row>
    <row r="2580" spans="1:11" x14ac:dyDescent="0.3">
      <c r="A2580" s="302" t="s">
        <v>155</v>
      </c>
      <c r="B2580" s="302" t="str">
        <f t="shared" si="23"/>
        <v>Y</v>
      </c>
      <c r="C2580" s="479" t="s">
        <v>7436</v>
      </c>
      <c r="D2580" s="356"/>
      <c r="E2580" s="356" t="s">
        <v>2621</v>
      </c>
      <c r="F2580" s="280">
        <v>38442</v>
      </c>
      <c r="G2580" s="280">
        <v>45021</v>
      </c>
      <c r="H2580" s="280">
        <v>45022</v>
      </c>
      <c r="K2580" s="97">
        <v>8809887336</v>
      </c>
    </row>
    <row r="2581" spans="1:11" x14ac:dyDescent="0.3">
      <c r="A2581" s="302" t="s">
        <v>155</v>
      </c>
      <c r="B2581" s="302" t="str">
        <f t="shared" si="23"/>
        <v>Y</v>
      </c>
      <c r="C2581" s="479" t="s">
        <v>7437</v>
      </c>
      <c r="D2581" s="356"/>
      <c r="E2581" s="356" t="s">
        <v>7438</v>
      </c>
      <c r="F2581" s="280">
        <v>19360</v>
      </c>
      <c r="G2581" s="280">
        <v>45022</v>
      </c>
      <c r="H2581" s="280">
        <v>45022</v>
      </c>
      <c r="K2581" s="97">
        <v>9234753433</v>
      </c>
    </row>
    <row r="2582" spans="1:11" x14ac:dyDescent="0.3">
      <c r="A2582" s="302" t="s">
        <v>155</v>
      </c>
      <c r="B2582" s="302" t="str">
        <f t="shared" si="23"/>
        <v>Y</v>
      </c>
      <c r="C2582" s="479" t="s">
        <v>7439</v>
      </c>
      <c r="D2582" s="356"/>
      <c r="E2582" s="356" t="s">
        <v>7440</v>
      </c>
      <c r="F2582" s="280">
        <v>29194</v>
      </c>
      <c r="G2582" s="280">
        <v>45023</v>
      </c>
      <c r="H2582" s="280">
        <v>45023</v>
      </c>
      <c r="K2582" s="97">
        <v>9031967169</v>
      </c>
    </row>
    <row r="2583" spans="1:11" x14ac:dyDescent="0.3">
      <c r="A2583" s="302" t="s">
        <v>155</v>
      </c>
      <c r="B2583" s="302" t="str">
        <f t="shared" si="23"/>
        <v>Y</v>
      </c>
      <c r="C2583" s="479" t="s">
        <v>7441</v>
      </c>
      <c r="D2583" s="356"/>
      <c r="E2583" s="356" t="s">
        <v>7442</v>
      </c>
      <c r="F2583" s="280">
        <v>27395</v>
      </c>
      <c r="G2583" s="280">
        <v>45023</v>
      </c>
      <c r="H2583" s="280">
        <v>45023</v>
      </c>
      <c r="K2583" s="97">
        <v>8797592416</v>
      </c>
    </row>
    <row r="2584" spans="1:11" x14ac:dyDescent="0.3">
      <c r="A2584" s="302" t="s">
        <v>155</v>
      </c>
      <c r="B2584" s="302" t="str">
        <f t="shared" si="23"/>
        <v>Y</v>
      </c>
      <c r="C2584" s="479" t="s">
        <v>7443</v>
      </c>
      <c r="D2584" s="356"/>
      <c r="E2584" s="356" t="s">
        <v>6190</v>
      </c>
      <c r="F2584" s="280">
        <v>28491</v>
      </c>
      <c r="G2584" s="280">
        <v>45023</v>
      </c>
      <c r="H2584" s="280">
        <v>45023</v>
      </c>
      <c r="K2584" s="97">
        <v>8797592416</v>
      </c>
    </row>
    <row r="2585" spans="1:11" x14ac:dyDescent="0.3">
      <c r="A2585" s="302" t="s">
        <v>155</v>
      </c>
      <c r="B2585" s="302" t="str">
        <f t="shared" si="23"/>
        <v>Y</v>
      </c>
      <c r="C2585" s="479" t="s">
        <v>7444</v>
      </c>
      <c r="D2585" s="356"/>
      <c r="E2585" s="356" t="s">
        <v>7445</v>
      </c>
      <c r="F2585" s="280">
        <v>36149</v>
      </c>
      <c r="G2585" s="280">
        <v>45025</v>
      </c>
      <c r="H2585" s="280">
        <v>45025</v>
      </c>
      <c r="K2585" s="97">
        <v>8709942219</v>
      </c>
    </row>
    <row r="2586" spans="1:11" x14ac:dyDescent="0.3">
      <c r="A2586" s="302" t="s">
        <v>155</v>
      </c>
      <c r="B2586" s="302" t="str">
        <f t="shared" si="23"/>
        <v>Y</v>
      </c>
      <c r="C2586" s="479" t="s">
        <v>7446</v>
      </c>
      <c r="D2586" s="356"/>
      <c r="E2586" s="356" t="s">
        <v>7447</v>
      </c>
      <c r="F2586" s="280">
        <v>19849</v>
      </c>
      <c r="G2586" s="280">
        <v>45025</v>
      </c>
      <c r="H2586" s="280">
        <v>45025</v>
      </c>
      <c r="K2586" s="97">
        <v>9431149598</v>
      </c>
    </row>
    <row r="2587" spans="1:11" x14ac:dyDescent="0.3">
      <c r="A2587" s="302" t="s">
        <v>155</v>
      </c>
      <c r="B2587" s="302" t="str">
        <f t="shared" si="23"/>
        <v>Y</v>
      </c>
      <c r="C2587" s="479" t="s">
        <v>7448</v>
      </c>
      <c r="D2587" s="356"/>
      <c r="E2587" s="356" t="s">
        <v>7449</v>
      </c>
      <c r="F2587" s="280">
        <v>17714</v>
      </c>
      <c r="G2587" s="280">
        <v>45025</v>
      </c>
      <c r="H2587" s="280">
        <v>45025</v>
      </c>
      <c r="K2587" s="97">
        <v>9470392611</v>
      </c>
    </row>
    <row r="2588" spans="1:11" x14ac:dyDescent="0.3">
      <c r="A2588" s="302" t="s">
        <v>155</v>
      </c>
      <c r="B2588" s="302" t="str">
        <f t="shared" si="23"/>
        <v>Y</v>
      </c>
      <c r="C2588" s="479" t="s">
        <v>7450</v>
      </c>
      <c r="D2588" s="356"/>
      <c r="E2588" s="356" t="s">
        <v>7451</v>
      </c>
      <c r="F2588" s="280">
        <v>38410</v>
      </c>
      <c r="G2588" s="280">
        <v>45025</v>
      </c>
      <c r="H2588" s="280">
        <v>45025</v>
      </c>
      <c r="K2588" s="97">
        <v>6204535811</v>
      </c>
    </row>
    <row r="2589" spans="1:11" x14ac:dyDescent="0.3">
      <c r="A2589" s="302" t="s">
        <v>155</v>
      </c>
      <c r="B2589" s="302" t="str">
        <f t="shared" si="23"/>
        <v>Y</v>
      </c>
      <c r="C2589" s="479" t="s">
        <v>7452</v>
      </c>
      <c r="D2589" s="356"/>
      <c r="E2589" s="356" t="s">
        <v>7453</v>
      </c>
      <c r="F2589" s="280">
        <v>27395</v>
      </c>
      <c r="G2589" s="280">
        <v>45026</v>
      </c>
      <c r="H2589" s="280">
        <v>45026</v>
      </c>
      <c r="K2589" s="97">
        <v>7209603651</v>
      </c>
    </row>
    <row r="2590" spans="1:11" x14ac:dyDescent="0.3">
      <c r="A2590" s="302" t="s">
        <v>155</v>
      </c>
      <c r="B2590" s="302" t="str">
        <f t="shared" si="23"/>
        <v>Y</v>
      </c>
      <c r="C2590" s="479" t="s">
        <v>7454</v>
      </c>
      <c r="D2590" s="356"/>
      <c r="E2590" s="356" t="s">
        <v>7455</v>
      </c>
      <c r="F2590" s="280">
        <v>30091</v>
      </c>
      <c r="G2590" s="280">
        <v>45027</v>
      </c>
      <c r="H2590" s="280">
        <v>45027</v>
      </c>
      <c r="K2590" s="97">
        <v>8252468625</v>
      </c>
    </row>
    <row r="2591" spans="1:11" x14ac:dyDescent="0.3">
      <c r="A2591" s="302" t="s">
        <v>155</v>
      </c>
      <c r="B2591" s="302" t="str">
        <f t="shared" si="23"/>
        <v>Y</v>
      </c>
      <c r="C2591" s="479" t="s">
        <v>7456</v>
      </c>
      <c r="D2591" s="356"/>
      <c r="E2591" s="356" t="s">
        <v>7457</v>
      </c>
      <c r="F2591" s="280">
        <v>38383</v>
      </c>
      <c r="G2591" s="280">
        <v>45027</v>
      </c>
      <c r="H2591" s="280">
        <v>45027</v>
      </c>
      <c r="K2591" s="97">
        <v>7480074982</v>
      </c>
    </row>
    <row r="2592" spans="1:11" x14ac:dyDescent="0.3">
      <c r="A2592" s="302" t="s">
        <v>155</v>
      </c>
      <c r="B2592" s="302" t="str">
        <f t="shared" si="23"/>
        <v>Y</v>
      </c>
      <c r="C2592" s="479" t="s">
        <v>7458</v>
      </c>
      <c r="D2592" s="356"/>
      <c r="E2592" s="356" t="s">
        <v>7459</v>
      </c>
      <c r="F2592" s="280">
        <v>20018</v>
      </c>
      <c r="G2592" s="280">
        <v>45028</v>
      </c>
      <c r="H2592" s="280">
        <v>45028</v>
      </c>
      <c r="K2592" s="97">
        <v>7209975679</v>
      </c>
    </row>
    <row r="2593" spans="1:11" x14ac:dyDescent="0.3">
      <c r="A2593" s="302" t="s">
        <v>155</v>
      </c>
      <c r="B2593" s="302" t="str">
        <f t="shared" si="23"/>
        <v>Y</v>
      </c>
      <c r="C2593" s="479" t="s">
        <v>7460</v>
      </c>
      <c r="D2593" s="356"/>
      <c r="E2593" s="356" t="s">
        <v>7461</v>
      </c>
      <c r="F2593" s="280">
        <v>23934</v>
      </c>
      <c r="G2593" s="280">
        <v>45028</v>
      </c>
      <c r="H2593" s="280">
        <v>45028</v>
      </c>
      <c r="K2593" s="97">
        <v>9955197837</v>
      </c>
    </row>
    <row r="2594" spans="1:11" x14ac:dyDescent="0.3">
      <c r="A2594" s="302" t="s">
        <v>155</v>
      </c>
      <c r="B2594" s="302" t="str">
        <f t="shared" si="23"/>
        <v>Y</v>
      </c>
      <c r="C2594" s="479" t="s">
        <v>7462</v>
      </c>
      <c r="D2594" s="356"/>
      <c r="E2594" s="356" t="s">
        <v>7463</v>
      </c>
      <c r="F2594" s="280">
        <v>24594</v>
      </c>
      <c r="G2594" s="280">
        <v>45029</v>
      </c>
      <c r="H2594" s="280">
        <v>45029</v>
      </c>
      <c r="J2594" t="s">
        <v>6175</v>
      </c>
      <c r="K2594" s="97">
        <v>7488022742</v>
      </c>
    </row>
    <row r="2595" spans="1:11" x14ac:dyDescent="0.3">
      <c r="A2595" s="302" t="s">
        <v>155</v>
      </c>
      <c r="B2595" s="302" t="str">
        <f t="shared" si="23"/>
        <v>Y</v>
      </c>
      <c r="C2595" s="479" t="s">
        <v>7464</v>
      </c>
      <c r="D2595" s="356"/>
      <c r="E2595" s="356" t="s">
        <v>7463</v>
      </c>
      <c r="F2595" s="280">
        <v>32126</v>
      </c>
      <c r="G2595" s="280">
        <v>45029</v>
      </c>
      <c r="H2595" s="280">
        <v>45029</v>
      </c>
      <c r="J2595" t="s">
        <v>6175</v>
      </c>
      <c r="K2595" s="97">
        <v>7488022742</v>
      </c>
    </row>
    <row r="2596" spans="1:11" x14ac:dyDescent="0.3">
      <c r="A2596" s="302" t="s">
        <v>155</v>
      </c>
      <c r="B2596" s="302" t="str">
        <f t="shared" si="23"/>
        <v>Y</v>
      </c>
      <c r="C2596" s="479" t="s">
        <v>7465</v>
      </c>
      <c r="D2596" s="356"/>
      <c r="E2596" s="356" t="s">
        <v>7466</v>
      </c>
      <c r="F2596" s="280">
        <v>37629</v>
      </c>
      <c r="G2596" s="280">
        <v>45032</v>
      </c>
      <c r="H2596" s="280">
        <v>45032</v>
      </c>
      <c r="K2596" s="97">
        <v>9113703448</v>
      </c>
    </row>
    <row r="2597" spans="1:11" x14ac:dyDescent="0.3">
      <c r="A2597" s="302" t="s">
        <v>155</v>
      </c>
      <c r="B2597" s="302" t="str">
        <f t="shared" si="23"/>
        <v>Y</v>
      </c>
      <c r="C2597" s="479" t="s">
        <v>7467</v>
      </c>
      <c r="D2597" s="356"/>
      <c r="E2597" s="356" t="s">
        <v>7468</v>
      </c>
      <c r="F2597" s="280">
        <v>28126</v>
      </c>
      <c r="G2597" s="280">
        <v>45032</v>
      </c>
      <c r="H2597" s="280">
        <v>45032</v>
      </c>
      <c r="K2597" s="97">
        <v>9031967169</v>
      </c>
    </row>
    <row r="2598" spans="1:11" x14ac:dyDescent="0.3">
      <c r="A2598" s="302" t="s">
        <v>155</v>
      </c>
      <c r="B2598" s="302" t="str">
        <f t="shared" si="23"/>
        <v>Y</v>
      </c>
      <c r="C2598" s="479" t="s">
        <v>7469</v>
      </c>
      <c r="D2598" s="356"/>
      <c r="E2598" s="356" t="s">
        <v>7470</v>
      </c>
      <c r="F2598" s="280">
        <v>31218</v>
      </c>
      <c r="G2598" s="280">
        <v>45033</v>
      </c>
      <c r="H2598" s="280">
        <v>45033</v>
      </c>
      <c r="K2598" s="97">
        <v>9162186389</v>
      </c>
    </row>
    <row r="2599" spans="1:11" x14ac:dyDescent="0.3">
      <c r="A2599" s="302" t="s">
        <v>155</v>
      </c>
      <c r="B2599" s="302" t="str">
        <f t="shared" si="23"/>
        <v>Y</v>
      </c>
      <c r="C2599" s="479" t="s">
        <v>7471</v>
      </c>
      <c r="D2599" s="356"/>
      <c r="E2599" s="356" t="s">
        <v>7472</v>
      </c>
      <c r="F2599" s="280">
        <v>38205</v>
      </c>
      <c r="G2599" s="280">
        <v>45033</v>
      </c>
      <c r="H2599" s="280">
        <v>45033</v>
      </c>
      <c r="K2599" s="97">
        <v>8603223960</v>
      </c>
    </row>
    <row r="2600" spans="1:11" x14ac:dyDescent="0.3">
      <c r="A2600" s="302" t="s">
        <v>155</v>
      </c>
      <c r="B2600" s="302" t="str">
        <f t="shared" si="23"/>
        <v>Y</v>
      </c>
      <c r="C2600" s="479" t="s">
        <v>7473</v>
      </c>
      <c r="D2600" s="356"/>
      <c r="E2600" s="356" t="s">
        <v>7474</v>
      </c>
      <c r="F2600" s="280">
        <v>27543</v>
      </c>
      <c r="G2600" s="280">
        <v>45033</v>
      </c>
      <c r="H2600" s="280">
        <v>45033</v>
      </c>
      <c r="K2600" s="97">
        <v>9204136852</v>
      </c>
    </row>
    <row r="2601" spans="1:11" x14ac:dyDescent="0.3">
      <c r="A2601" s="302" t="s">
        <v>155</v>
      </c>
      <c r="B2601" s="302" t="str">
        <f t="shared" si="23"/>
        <v>Y</v>
      </c>
      <c r="C2601" s="479" t="s">
        <v>7475</v>
      </c>
      <c r="D2601" s="356"/>
      <c r="E2601" s="356" t="s">
        <v>7476</v>
      </c>
      <c r="F2601" s="280">
        <v>27760</v>
      </c>
      <c r="G2601" s="280">
        <v>45034</v>
      </c>
      <c r="H2601" s="280">
        <v>45034</v>
      </c>
      <c r="K2601" s="97">
        <v>7061385303</v>
      </c>
    </row>
    <row r="2602" spans="1:11" x14ac:dyDescent="0.3">
      <c r="A2602" s="302" t="s">
        <v>155</v>
      </c>
      <c r="B2602" s="302" t="str">
        <f t="shared" si="23"/>
        <v>Y</v>
      </c>
      <c r="C2602" s="479" t="s">
        <v>7477</v>
      </c>
      <c r="D2602" s="356"/>
      <c r="E2602" s="356" t="s">
        <v>7478</v>
      </c>
      <c r="F2602" s="280">
        <v>26538</v>
      </c>
      <c r="G2602" s="280">
        <v>45034</v>
      </c>
      <c r="H2602" s="280">
        <v>45034</v>
      </c>
      <c r="K2602" s="97">
        <v>8797946237</v>
      </c>
    </row>
    <row r="2603" spans="1:11" x14ac:dyDescent="0.3">
      <c r="A2603" s="302" t="s">
        <v>155</v>
      </c>
      <c r="B2603" s="302" t="str">
        <f t="shared" si="23"/>
        <v>Y</v>
      </c>
      <c r="C2603" s="479" t="s">
        <v>7479</v>
      </c>
      <c r="D2603" s="356"/>
      <c r="E2603" s="356" t="s">
        <v>7480</v>
      </c>
      <c r="F2603" s="280">
        <v>25547</v>
      </c>
      <c r="G2603" s="280">
        <v>45034</v>
      </c>
      <c r="H2603" s="280">
        <v>45034</v>
      </c>
      <c r="K2603" s="97">
        <v>8797595220</v>
      </c>
    </row>
    <row r="2604" spans="1:11" x14ac:dyDescent="0.3">
      <c r="A2604" s="302" t="s">
        <v>155</v>
      </c>
      <c r="B2604" s="302" t="str">
        <f t="shared" si="23"/>
        <v>Y</v>
      </c>
      <c r="C2604" s="479" t="s">
        <v>7481</v>
      </c>
      <c r="D2604" s="356"/>
      <c r="E2604" s="356" t="s">
        <v>5618</v>
      </c>
      <c r="F2604" s="280">
        <v>21551</v>
      </c>
      <c r="G2604" s="280">
        <v>45034</v>
      </c>
      <c r="H2604" s="280">
        <v>45034</v>
      </c>
      <c r="K2604" s="97">
        <v>9798660879</v>
      </c>
    </row>
    <row r="2605" spans="1:11" x14ac:dyDescent="0.3">
      <c r="A2605" s="302" t="s">
        <v>155</v>
      </c>
      <c r="B2605" s="302" t="str">
        <f t="shared" si="23"/>
        <v>Y</v>
      </c>
      <c r="C2605" s="479" t="s">
        <v>7482</v>
      </c>
      <c r="D2605" s="356"/>
      <c r="E2605" s="356" t="s">
        <v>7483</v>
      </c>
      <c r="F2605" s="280">
        <v>25934</v>
      </c>
      <c r="G2605" s="280">
        <v>45034</v>
      </c>
      <c r="H2605" s="280">
        <v>45034</v>
      </c>
      <c r="K2605" s="97">
        <v>7070420840</v>
      </c>
    </row>
    <row r="2606" spans="1:11" x14ac:dyDescent="0.3">
      <c r="A2606" s="302" t="s">
        <v>155</v>
      </c>
      <c r="B2606" s="302" t="str">
        <f t="shared" si="23"/>
        <v>Y</v>
      </c>
      <c r="C2606" s="479" t="s">
        <v>7484</v>
      </c>
      <c r="D2606" s="356"/>
      <c r="E2606" s="356" t="s">
        <v>7485</v>
      </c>
      <c r="F2606" s="280">
        <v>38427</v>
      </c>
      <c r="G2606" s="280">
        <v>45034</v>
      </c>
      <c r="H2606" s="280">
        <v>45034</v>
      </c>
      <c r="K2606" s="97">
        <v>7377842838</v>
      </c>
    </row>
    <row r="2607" spans="1:11" x14ac:dyDescent="0.3">
      <c r="A2607" s="302" t="s">
        <v>155</v>
      </c>
      <c r="B2607" s="302" t="str">
        <f t="shared" si="23"/>
        <v>Y</v>
      </c>
      <c r="C2607" s="479" t="s">
        <v>7486</v>
      </c>
      <c r="D2607" s="356"/>
      <c r="E2607" s="356" t="s">
        <v>7487</v>
      </c>
      <c r="F2607" s="280">
        <v>22790</v>
      </c>
      <c r="G2607" s="280">
        <v>45035</v>
      </c>
      <c r="H2607" s="280">
        <v>45035</v>
      </c>
      <c r="K2607" s="97">
        <v>9204314196</v>
      </c>
    </row>
    <row r="2608" spans="1:11" x14ac:dyDescent="0.3">
      <c r="A2608" s="302" t="s">
        <v>155</v>
      </c>
      <c r="B2608" s="302" t="str">
        <f t="shared" si="23"/>
        <v>Y</v>
      </c>
      <c r="C2608" s="479" t="s">
        <v>7488</v>
      </c>
      <c r="D2608" s="356"/>
      <c r="E2608" s="356" t="s">
        <v>642</v>
      </c>
      <c r="F2608" s="280">
        <v>30317</v>
      </c>
      <c r="G2608" s="280">
        <v>45035</v>
      </c>
      <c r="H2608" s="280">
        <v>45035</v>
      </c>
      <c r="K2608" s="97">
        <v>9508495838</v>
      </c>
    </row>
    <row r="2609" spans="1:11" x14ac:dyDescent="0.3">
      <c r="A2609" s="302" t="s">
        <v>155</v>
      </c>
      <c r="B2609" s="302" t="str">
        <f t="shared" si="23"/>
        <v>Y</v>
      </c>
      <c r="C2609" s="479" t="s">
        <v>7489</v>
      </c>
      <c r="D2609" s="356"/>
      <c r="E2609" s="356" t="s">
        <v>7490</v>
      </c>
      <c r="F2609" s="280">
        <v>28445</v>
      </c>
      <c r="G2609" s="280">
        <v>45035</v>
      </c>
      <c r="H2609" s="280">
        <v>45035</v>
      </c>
      <c r="K2609" s="97">
        <v>9031902182</v>
      </c>
    </row>
    <row r="2610" spans="1:11" x14ac:dyDescent="0.3">
      <c r="A2610" s="302" t="s">
        <v>155</v>
      </c>
      <c r="B2610" s="302" t="str">
        <f t="shared" si="23"/>
        <v>Y</v>
      </c>
      <c r="C2610" s="479" t="s">
        <v>7491</v>
      </c>
      <c r="D2610" s="356"/>
      <c r="E2610" s="356" t="s">
        <v>7492</v>
      </c>
      <c r="F2610" s="280">
        <v>31413</v>
      </c>
      <c r="G2610" s="280">
        <v>45036</v>
      </c>
      <c r="H2610" s="280">
        <v>45037</v>
      </c>
      <c r="K2610" s="97">
        <v>6299285261</v>
      </c>
    </row>
    <row r="2611" spans="1:11" x14ac:dyDescent="0.3">
      <c r="A2611" s="302" t="s">
        <v>155</v>
      </c>
      <c r="B2611" s="302" t="str">
        <f t="shared" si="23"/>
        <v>Y</v>
      </c>
      <c r="C2611" s="479" t="s">
        <v>7493</v>
      </c>
      <c r="D2611" s="356"/>
      <c r="E2611" s="356" t="s">
        <v>7494</v>
      </c>
      <c r="F2611" s="280">
        <v>27458</v>
      </c>
      <c r="G2611" s="280">
        <v>45037</v>
      </c>
      <c r="H2611" s="280">
        <v>45037</v>
      </c>
      <c r="K2611" s="97">
        <v>8235230872</v>
      </c>
    </row>
    <row r="2612" spans="1:11" x14ac:dyDescent="0.3">
      <c r="A2612" s="302" t="s">
        <v>155</v>
      </c>
      <c r="B2612" s="302" t="str">
        <f t="shared" si="23"/>
        <v>Y</v>
      </c>
      <c r="C2612" s="479" t="s">
        <v>7495</v>
      </c>
      <c r="D2612" s="356"/>
      <c r="E2612" s="356" t="s">
        <v>7496</v>
      </c>
      <c r="F2612" s="280">
        <v>29362</v>
      </c>
      <c r="G2612" s="280">
        <v>45037</v>
      </c>
      <c r="H2612" s="280">
        <v>45037</v>
      </c>
      <c r="K2612" s="97">
        <v>7033380989</v>
      </c>
    </row>
    <row r="2613" spans="1:11" x14ac:dyDescent="0.3">
      <c r="A2613" s="302" t="s">
        <v>155</v>
      </c>
      <c r="B2613" s="302" t="str">
        <f t="shared" si="23"/>
        <v>Y</v>
      </c>
      <c r="C2613" s="479" t="s">
        <v>7497</v>
      </c>
      <c r="D2613" s="356"/>
      <c r="E2613" s="356" t="s">
        <v>7498</v>
      </c>
      <c r="F2613" s="280">
        <v>38447</v>
      </c>
      <c r="G2613" s="280">
        <v>45041</v>
      </c>
      <c r="H2613" s="280">
        <v>45041</v>
      </c>
      <c r="K2613" s="97">
        <v>9525194586</v>
      </c>
    </row>
    <row r="2614" spans="1:11" x14ac:dyDescent="0.3">
      <c r="A2614" s="302" t="s">
        <v>155</v>
      </c>
      <c r="B2614" s="302" t="str">
        <f t="shared" si="23"/>
        <v>Y</v>
      </c>
      <c r="C2614" s="479" t="s">
        <v>7499</v>
      </c>
      <c r="D2614" s="356"/>
      <c r="E2614" s="356" t="s">
        <v>7354</v>
      </c>
      <c r="F2614" s="280">
        <v>33770</v>
      </c>
      <c r="G2614" s="280">
        <v>45041</v>
      </c>
      <c r="H2614" s="280">
        <v>45041</v>
      </c>
      <c r="K2614" s="97">
        <v>7764035556</v>
      </c>
    </row>
    <row r="2615" spans="1:11" x14ac:dyDescent="0.3">
      <c r="A2615" s="302" t="s">
        <v>155</v>
      </c>
      <c r="B2615" s="302" t="str">
        <f t="shared" si="23"/>
        <v>Y</v>
      </c>
      <c r="C2615" s="479" t="s">
        <v>7500</v>
      </c>
      <c r="D2615" s="356"/>
      <c r="E2615" s="356" t="s">
        <v>7501</v>
      </c>
      <c r="F2615" s="280">
        <v>37465</v>
      </c>
      <c r="G2615" s="280">
        <v>45041</v>
      </c>
      <c r="H2615" s="280">
        <v>45041</v>
      </c>
      <c r="K2615" s="97">
        <v>9973515780</v>
      </c>
    </row>
    <row r="2616" spans="1:11" x14ac:dyDescent="0.3">
      <c r="A2616" s="302" t="s">
        <v>155</v>
      </c>
      <c r="B2616" s="302" t="str">
        <f t="shared" si="23"/>
        <v>Y</v>
      </c>
      <c r="C2616" s="473" t="s">
        <v>7502</v>
      </c>
      <c r="E2616" s="356" t="s">
        <v>7503</v>
      </c>
      <c r="F2616" s="280">
        <v>24890</v>
      </c>
      <c r="G2616" s="280">
        <v>45042</v>
      </c>
      <c r="H2616" s="280">
        <v>45042</v>
      </c>
      <c r="K2616" s="97">
        <v>7667899862</v>
      </c>
    </row>
    <row r="2617" spans="1:11" x14ac:dyDescent="0.3">
      <c r="A2617" s="302" t="s">
        <v>155</v>
      </c>
      <c r="B2617" s="302" t="str">
        <f t="shared" si="23"/>
        <v>Y</v>
      </c>
      <c r="C2617" s="473" t="s">
        <v>7504</v>
      </c>
      <c r="E2617" s="353" t="s">
        <v>7505</v>
      </c>
      <c r="F2617" s="280">
        <v>31778</v>
      </c>
      <c r="G2617" s="280">
        <v>45042</v>
      </c>
      <c r="H2617" s="280">
        <v>45042</v>
      </c>
      <c r="K2617" s="97">
        <v>7209479109</v>
      </c>
    </row>
    <row r="2618" spans="1:11" x14ac:dyDescent="0.3">
      <c r="A2618" s="302" t="s">
        <v>155</v>
      </c>
      <c r="B2618" s="302" t="str">
        <f t="shared" si="23"/>
        <v>Y</v>
      </c>
      <c r="C2618" s="473" t="s">
        <v>7506</v>
      </c>
      <c r="E2618" s="356" t="s">
        <v>642</v>
      </c>
      <c r="F2618" s="280">
        <v>32874</v>
      </c>
      <c r="G2618" s="280">
        <v>45012</v>
      </c>
      <c r="H2618" s="280">
        <v>45043</v>
      </c>
      <c r="K2618" s="97">
        <v>7903121089</v>
      </c>
    </row>
    <row r="2619" spans="1:11" x14ac:dyDescent="0.3">
      <c r="A2619" s="302" t="s">
        <v>155</v>
      </c>
      <c r="B2619" s="302" t="str">
        <f t="shared" si="23"/>
        <v>Y</v>
      </c>
      <c r="C2619" s="473" t="s">
        <v>7507</v>
      </c>
      <c r="E2619" s="356" t="s">
        <v>7508</v>
      </c>
      <c r="F2619" s="280">
        <v>38369</v>
      </c>
      <c r="G2619" s="280">
        <v>45044</v>
      </c>
      <c r="H2619" s="280">
        <v>45044</v>
      </c>
      <c r="K2619" s="97">
        <v>9142791828</v>
      </c>
    </row>
    <row r="2620" spans="1:11" x14ac:dyDescent="0.3">
      <c r="A2620" s="302" t="s">
        <v>155</v>
      </c>
      <c r="B2620" s="302" t="str">
        <f t="shared" si="23"/>
        <v>Y</v>
      </c>
      <c r="C2620" s="473" t="s">
        <v>7509</v>
      </c>
      <c r="E2620" s="356" t="s">
        <v>7510</v>
      </c>
      <c r="F2620" s="280">
        <v>32509</v>
      </c>
      <c r="G2620" s="280">
        <v>45044</v>
      </c>
      <c r="H2620" s="280">
        <v>45044</v>
      </c>
      <c r="K2620" s="97">
        <v>7061527287</v>
      </c>
    </row>
    <row r="2621" spans="1:11" x14ac:dyDescent="0.3">
      <c r="A2621" s="302" t="s">
        <v>155</v>
      </c>
      <c r="B2621" s="302" t="str">
        <f t="shared" si="23"/>
        <v>Y</v>
      </c>
      <c r="C2621" s="473" t="s">
        <v>7511</v>
      </c>
      <c r="E2621" s="356" t="s">
        <v>7512</v>
      </c>
      <c r="F2621" s="280">
        <v>28491</v>
      </c>
      <c r="G2621" s="280">
        <v>45047</v>
      </c>
      <c r="H2621" s="280">
        <v>45047</v>
      </c>
      <c r="K2621" s="97">
        <v>9835629729</v>
      </c>
    </row>
    <row r="2622" spans="1:11" x14ac:dyDescent="0.3">
      <c r="A2622" s="302" t="s">
        <v>155</v>
      </c>
      <c r="B2622" s="302" t="str">
        <f t="shared" si="23"/>
        <v>Y</v>
      </c>
      <c r="C2622" s="473" t="s">
        <v>7513</v>
      </c>
      <c r="E2622" s="356" t="s">
        <v>7514</v>
      </c>
      <c r="F2622" s="280">
        <v>38373</v>
      </c>
      <c r="G2622" s="280">
        <v>45047</v>
      </c>
      <c r="H2622" s="280">
        <v>45047</v>
      </c>
      <c r="K2622" s="97">
        <v>9835629729</v>
      </c>
    </row>
    <row r="2623" spans="1:11" x14ac:dyDescent="0.3">
      <c r="A2623" s="302" t="s">
        <v>155</v>
      </c>
      <c r="B2623" s="302" t="str">
        <f t="shared" si="23"/>
        <v>Y</v>
      </c>
      <c r="C2623" s="473" t="s">
        <v>7515</v>
      </c>
      <c r="E2623" s="356" t="s">
        <v>900</v>
      </c>
      <c r="F2623" s="280">
        <v>37661</v>
      </c>
      <c r="G2623" s="280">
        <v>45047</v>
      </c>
      <c r="H2623" s="280">
        <v>45047</v>
      </c>
      <c r="K2623" s="97">
        <v>9201626006</v>
      </c>
    </row>
    <row r="2624" spans="1:11" x14ac:dyDescent="0.3">
      <c r="A2624" s="302" t="s">
        <v>155</v>
      </c>
      <c r="B2624" s="302" t="str">
        <f t="shared" si="23"/>
        <v>Y</v>
      </c>
      <c r="C2624" s="473" t="s">
        <v>7516</v>
      </c>
      <c r="E2624" s="356" t="s">
        <v>7517</v>
      </c>
      <c r="F2624" s="280">
        <v>24051</v>
      </c>
      <c r="G2624" s="280">
        <v>45047</v>
      </c>
      <c r="H2624" s="280">
        <v>45047</v>
      </c>
      <c r="K2624" s="97">
        <v>9693098475</v>
      </c>
    </row>
    <row r="2625" spans="1:11" x14ac:dyDescent="0.3">
      <c r="A2625" s="302" t="s">
        <v>155</v>
      </c>
      <c r="B2625" s="302" t="str">
        <f t="shared" si="23"/>
        <v>Y</v>
      </c>
      <c r="C2625" s="473" t="s">
        <v>7518</v>
      </c>
      <c r="E2625" s="356" t="s">
        <v>7519</v>
      </c>
      <c r="F2625" s="280">
        <v>38257</v>
      </c>
      <c r="G2625" s="280">
        <v>45049</v>
      </c>
      <c r="H2625" s="280">
        <v>45049</v>
      </c>
      <c r="K2625" s="97">
        <v>7070355133</v>
      </c>
    </row>
    <row r="2626" spans="1:11" x14ac:dyDescent="0.3">
      <c r="A2626" s="302" t="s">
        <v>155</v>
      </c>
      <c r="B2626" s="302" t="str">
        <f t="shared" si="23"/>
        <v>Y</v>
      </c>
      <c r="C2626" s="473" t="s">
        <v>7520</v>
      </c>
      <c r="E2626" s="356" t="s">
        <v>7521</v>
      </c>
      <c r="F2626" s="280">
        <v>32296</v>
      </c>
      <c r="G2626" s="280">
        <v>45049</v>
      </c>
      <c r="H2626" s="280">
        <v>45051</v>
      </c>
      <c r="K2626" s="97">
        <v>7209603087</v>
      </c>
    </row>
    <row r="2627" spans="1:11" x14ac:dyDescent="0.3">
      <c r="A2627" s="302" t="s">
        <v>155</v>
      </c>
      <c r="B2627" s="302" t="str">
        <f t="shared" si="23"/>
        <v>Y</v>
      </c>
      <c r="C2627" s="479" t="s">
        <v>7522</v>
      </c>
      <c r="D2627" s="356"/>
      <c r="E2627" s="356" t="s">
        <v>1427</v>
      </c>
      <c r="F2627" s="280">
        <v>33612</v>
      </c>
      <c r="G2627" s="280">
        <v>45050</v>
      </c>
      <c r="H2627" s="280">
        <v>45050</v>
      </c>
      <c r="K2627" s="97">
        <v>8292295772</v>
      </c>
    </row>
    <row r="2628" spans="1:11" x14ac:dyDescent="0.3">
      <c r="A2628" s="302" t="s">
        <v>155</v>
      </c>
      <c r="B2628" s="302" t="str">
        <f t="shared" si="23"/>
        <v>Y</v>
      </c>
      <c r="C2628" s="473" t="s">
        <v>7523</v>
      </c>
      <c r="E2628" s="356" t="s">
        <v>7524</v>
      </c>
      <c r="F2628" s="280">
        <v>36043</v>
      </c>
      <c r="G2628" s="280">
        <v>45050</v>
      </c>
      <c r="H2628" s="280">
        <v>45050</v>
      </c>
      <c r="K2628" s="97">
        <v>6202200570</v>
      </c>
    </row>
    <row r="2629" spans="1:11" x14ac:dyDescent="0.3">
      <c r="A2629" s="302" t="s">
        <v>155</v>
      </c>
      <c r="B2629" s="302" t="str">
        <f t="shared" si="23"/>
        <v>Y</v>
      </c>
      <c r="C2629" s="480" t="s">
        <v>7525</v>
      </c>
      <c r="D2629" s="364"/>
      <c r="E2629" s="364" t="s">
        <v>1717</v>
      </c>
      <c r="F2629" s="288">
        <v>38228</v>
      </c>
      <c r="G2629" s="288">
        <v>45051</v>
      </c>
      <c r="H2629" s="288">
        <v>45052</v>
      </c>
      <c r="I2629" s="301" t="s">
        <v>7526</v>
      </c>
      <c r="K2629" s="97">
        <v>6205987848</v>
      </c>
    </row>
    <row r="2630" spans="1:11" x14ac:dyDescent="0.3">
      <c r="A2630" s="302" t="s">
        <v>155</v>
      </c>
      <c r="B2630" s="302" t="str">
        <f t="shared" si="23"/>
        <v>Y</v>
      </c>
      <c r="C2630" s="473" t="s">
        <v>7527</v>
      </c>
      <c r="E2630" s="356" t="s">
        <v>7528</v>
      </c>
      <c r="F2630" s="280">
        <v>38995</v>
      </c>
      <c r="G2630" s="280">
        <v>45051</v>
      </c>
      <c r="H2630" s="280">
        <v>45082</v>
      </c>
      <c r="K2630" s="97">
        <v>8674893552</v>
      </c>
    </row>
    <row r="2631" spans="1:11" x14ac:dyDescent="0.3">
      <c r="A2631" s="302" t="s">
        <v>155</v>
      </c>
      <c r="B2631" s="302" t="str">
        <f t="shared" si="23"/>
        <v>Y</v>
      </c>
      <c r="C2631" s="473" t="s">
        <v>7529</v>
      </c>
      <c r="E2631" s="356" t="s">
        <v>7530</v>
      </c>
      <c r="F2631" s="280">
        <v>32866</v>
      </c>
      <c r="G2631" s="280">
        <v>45051</v>
      </c>
      <c r="H2631" s="280">
        <v>46148</v>
      </c>
      <c r="K2631" s="97">
        <v>8434685937</v>
      </c>
    </row>
    <row r="2632" spans="1:11" x14ac:dyDescent="0.3">
      <c r="A2632" s="302" t="s">
        <v>155</v>
      </c>
      <c r="B2632" s="302" t="str">
        <f t="shared" si="23"/>
        <v>Y</v>
      </c>
      <c r="C2632" s="473" t="s">
        <v>7531</v>
      </c>
      <c r="E2632" s="356" t="s">
        <v>7532</v>
      </c>
      <c r="F2632" s="280">
        <v>32143</v>
      </c>
      <c r="G2632" s="280">
        <v>45052</v>
      </c>
      <c r="H2632" s="280">
        <v>46148</v>
      </c>
      <c r="K2632" s="97">
        <v>8434685937</v>
      </c>
    </row>
    <row r="2633" spans="1:11" x14ac:dyDescent="0.3">
      <c r="A2633" s="302" t="s">
        <v>155</v>
      </c>
      <c r="B2633" s="302" t="str">
        <f t="shared" si="23"/>
        <v>Y</v>
      </c>
      <c r="C2633" s="473" t="s">
        <v>7533</v>
      </c>
      <c r="E2633" s="356" t="s">
        <v>7534</v>
      </c>
      <c r="F2633" s="280">
        <v>22542</v>
      </c>
      <c r="G2633" s="280">
        <v>45052</v>
      </c>
      <c r="H2633" s="280">
        <v>45052</v>
      </c>
      <c r="K2633" s="97">
        <v>9931144677</v>
      </c>
    </row>
    <row r="2634" spans="1:11" x14ac:dyDescent="0.3">
      <c r="A2634" s="302" t="s">
        <v>155</v>
      </c>
      <c r="B2634" s="302" t="str">
        <f t="shared" si="23"/>
        <v>Y</v>
      </c>
      <c r="C2634" s="473" t="s">
        <v>7535</v>
      </c>
      <c r="E2634" s="356" t="s">
        <v>7536</v>
      </c>
      <c r="F2634" s="280">
        <v>24824</v>
      </c>
      <c r="G2634" s="280">
        <v>45052</v>
      </c>
      <c r="H2634" s="280">
        <v>45052</v>
      </c>
      <c r="K2634" s="97">
        <v>7209392713</v>
      </c>
    </row>
    <row r="2635" spans="1:11" x14ac:dyDescent="0.3">
      <c r="A2635" s="302" t="s">
        <v>155</v>
      </c>
      <c r="B2635" s="302" t="str">
        <f t="shared" si="23"/>
        <v>Y</v>
      </c>
      <c r="C2635" s="473" t="s">
        <v>7537</v>
      </c>
      <c r="E2635" s="356" t="s">
        <v>7538</v>
      </c>
      <c r="F2635" s="280">
        <v>34725</v>
      </c>
      <c r="G2635" s="280">
        <v>45052</v>
      </c>
      <c r="H2635" s="280">
        <v>45052</v>
      </c>
      <c r="K2635" s="97">
        <v>7865081664</v>
      </c>
    </row>
    <row r="2636" spans="1:11" x14ac:dyDescent="0.3">
      <c r="A2636" s="302" t="s">
        <v>155</v>
      </c>
      <c r="B2636" s="302" t="str">
        <f t="shared" si="23"/>
        <v>Y</v>
      </c>
      <c r="C2636" s="473" t="s">
        <v>7539</v>
      </c>
      <c r="E2636" s="356" t="s">
        <v>7540</v>
      </c>
      <c r="F2636" s="280">
        <v>38130</v>
      </c>
      <c r="G2636" s="280">
        <v>45052</v>
      </c>
      <c r="H2636" s="280">
        <v>45052</v>
      </c>
      <c r="K2636" s="97">
        <v>8521755282</v>
      </c>
    </row>
    <row r="2637" spans="1:11" x14ac:dyDescent="0.3">
      <c r="A2637" s="302" t="s">
        <v>155</v>
      </c>
      <c r="B2637" s="302" t="str">
        <f t="shared" si="23"/>
        <v>Y</v>
      </c>
      <c r="C2637" s="473" t="s">
        <v>7541</v>
      </c>
      <c r="E2637" s="356" t="s">
        <v>7542</v>
      </c>
      <c r="F2637" s="280">
        <v>25861</v>
      </c>
      <c r="G2637" s="280">
        <v>45053</v>
      </c>
      <c r="H2637" s="280">
        <v>45053</v>
      </c>
      <c r="K2637" s="97">
        <v>9931502725</v>
      </c>
    </row>
    <row r="2638" spans="1:11" x14ac:dyDescent="0.3">
      <c r="A2638" s="302" t="s">
        <v>155</v>
      </c>
      <c r="B2638" s="302" t="str">
        <f t="shared" si="23"/>
        <v>Y</v>
      </c>
      <c r="C2638" s="473" t="s">
        <v>7543</v>
      </c>
      <c r="E2638" s="356" t="s">
        <v>2820</v>
      </c>
      <c r="F2638" s="280">
        <v>19642</v>
      </c>
      <c r="G2638" s="280">
        <v>45053</v>
      </c>
      <c r="H2638" s="280">
        <v>45053</v>
      </c>
      <c r="K2638" s="97">
        <v>7903032064</v>
      </c>
    </row>
    <row r="2639" spans="1:11" x14ac:dyDescent="0.3">
      <c r="A2639" s="302" t="s">
        <v>155</v>
      </c>
      <c r="B2639" s="302" t="str">
        <f t="shared" si="23"/>
        <v>Y</v>
      </c>
      <c r="C2639" s="473" t="s">
        <v>7544</v>
      </c>
      <c r="E2639" s="356" t="s">
        <v>7545</v>
      </c>
      <c r="F2639" s="280">
        <v>28130</v>
      </c>
      <c r="G2639" s="280">
        <v>45054</v>
      </c>
      <c r="H2639" s="280">
        <v>45054</v>
      </c>
      <c r="K2639" s="97">
        <v>7903948022</v>
      </c>
    </row>
    <row r="2640" spans="1:11" x14ac:dyDescent="0.3">
      <c r="A2640" s="302" t="s">
        <v>155</v>
      </c>
      <c r="B2640" s="302" t="str">
        <f t="shared" ref="B2640:B2703" si="24">IF(H2640="","N","Y")</f>
        <v>Y</v>
      </c>
      <c r="C2640" s="473" t="s">
        <v>7546</v>
      </c>
      <c r="E2640" s="356" t="s">
        <v>1115</v>
      </c>
      <c r="F2640" s="280">
        <v>32177</v>
      </c>
      <c r="G2640" s="280">
        <v>45055</v>
      </c>
      <c r="H2640" s="280">
        <v>45055</v>
      </c>
      <c r="K2640" s="97">
        <v>9945517402</v>
      </c>
    </row>
    <row r="2641" spans="1:11" x14ac:dyDescent="0.3">
      <c r="A2641" s="302" t="s">
        <v>155</v>
      </c>
      <c r="B2641" s="302" t="str">
        <f t="shared" si="24"/>
        <v>Y</v>
      </c>
      <c r="C2641" s="473" t="s">
        <v>7547</v>
      </c>
      <c r="E2641" s="356" t="s">
        <v>7548</v>
      </c>
      <c r="F2641" s="280">
        <v>25093</v>
      </c>
      <c r="G2641" s="280">
        <v>45056</v>
      </c>
      <c r="H2641" s="280">
        <v>45056</v>
      </c>
      <c r="K2641" s="97">
        <v>9031392165</v>
      </c>
    </row>
    <row r="2642" spans="1:11" x14ac:dyDescent="0.3">
      <c r="A2642" s="302" t="s">
        <v>155</v>
      </c>
      <c r="B2642" s="302" t="str">
        <f t="shared" si="24"/>
        <v>Y</v>
      </c>
      <c r="C2642" s="479" t="s">
        <v>7549</v>
      </c>
      <c r="D2642" s="356"/>
      <c r="E2642" s="356" t="s">
        <v>7550</v>
      </c>
      <c r="F2642" s="280">
        <v>28422</v>
      </c>
      <c r="G2642" s="280">
        <v>45056</v>
      </c>
      <c r="H2642" s="280">
        <v>45056</v>
      </c>
      <c r="K2642" s="97">
        <v>9934587029</v>
      </c>
    </row>
    <row r="2643" spans="1:11" x14ac:dyDescent="0.3">
      <c r="A2643" s="302" t="s">
        <v>155</v>
      </c>
      <c r="B2643" s="302" t="str">
        <f t="shared" si="24"/>
        <v>Y</v>
      </c>
      <c r="C2643" s="479" t="s">
        <v>7551</v>
      </c>
      <c r="D2643" s="356"/>
      <c r="E2643" s="356" t="s">
        <v>2146</v>
      </c>
      <c r="F2643" s="280">
        <v>26669</v>
      </c>
      <c r="G2643" s="280">
        <v>45056</v>
      </c>
      <c r="H2643" s="280">
        <v>45056</v>
      </c>
      <c r="K2643" s="97">
        <v>9304952804</v>
      </c>
    </row>
    <row r="2644" spans="1:11" x14ac:dyDescent="0.3">
      <c r="A2644" s="302" t="s">
        <v>155</v>
      </c>
      <c r="B2644" s="302" t="str">
        <f t="shared" si="24"/>
        <v>Y</v>
      </c>
      <c r="C2644" s="479" t="s">
        <v>7552</v>
      </c>
      <c r="D2644" s="356"/>
      <c r="E2644" s="356" t="s">
        <v>3296</v>
      </c>
      <c r="F2644" s="280">
        <v>25932</v>
      </c>
      <c r="G2644" s="280">
        <v>45056</v>
      </c>
      <c r="H2644" s="280">
        <v>45056</v>
      </c>
      <c r="K2644" s="97">
        <v>8797874220</v>
      </c>
    </row>
    <row r="2645" spans="1:11" x14ac:dyDescent="0.3">
      <c r="A2645" s="302" t="s">
        <v>155</v>
      </c>
      <c r="B2645" s="302" t="str">
        <f t="shared" si="24"/>
        <v>Y</v>
      </c>
      <c r="C2645" s="479" t="s">
        <v>7553</v>
      </c>
      <c r="D2645" s="356"/>
      <c r="E2645" s="356" t="s">
        <v>7554</v>
      </c>
      <c r="F2645" s="280">
        <v>38445</v>
      </c>
      <c r="G2645" s="280">
        <v>45056</v>
      </c>
      <c r="H2645" s="280">
        <v>45056</v>
      </c>
      <c r="K2645" s="97">
        <v>7462037466</v>
      </c>
    </row>
    <row r="2646" spans="1:11" x14ac:dyDescent="0.3">
      <c r="A2646" s="302" t="s">
        <v>155</v>
      </c>
      <c r="B2646" s="302" t="str">
        <f t="shared" si="24"/>
        <v>Y</v>
      </c>
      <c r="C2646" s="479" t="s">
        <v>7555</v>
      </c>
      <c r="D2646" s="356"/>
      <c r="E2646" s="356" t="s">
        <v>7556</v>
      </c>
      <c r="F2646" s="280">
        <v>38408</v>
      </c>
      <c r="G2646" s="280">
        <v>45056</v>
      </c>
      <c r="H2646" s="280">
        <v>45056</v>
      </c>
      <c r="K2646" s="97">
        <v>9835549514</v>
      </c>
    </row>
    <row r="2647" spans="1:11" x14ac:dyDescent="0.3">
      <c r="A2647" s="302" t="s">
        <v>155</v>
      </c>
      <c r="B2647" s="302" t="str">
        <f t="shared" si="24"/>
        <v>Y</v>
      </c>
      <c r="C2647" s="479" t="s">
        <v>7557</v>
      </c>
      <c r="D2647" s="356"/>
      <c r="E2647" s="356" t="s">
        <v>7558</v>
      </c>
      <c r="F2647" s="280">
        <v>38471</v>
      </c>
      <c r="G2647" s="280">
        <v>45057</v>
      </c>
      <c r="H2647" s="280">
        <v>45058</v>
      </c>
      <c r="K2647" s="97">
        <v>7004062939</v>
      </c>
    </row>
    <row r="2648" spans="1:11" x14ac:dyDescent="0.3">
      <c r="A2648" s="302" t="s">
        <v>155</v>
      </c>
      <c r="B2648" s="302" t="str">
        <f t="shared" si="24"/>
        <v>Y</v>
      </c>
      <c r="C2648" s="479" t="s">
        <v>7559</v>
      </c>
      <c r="D2648" s="356"/>
      <c r="E2648" s="356" t="s">
        <v>7560</v>
      </c>
      <c r="F2648" s="280">
        <v>26730</v>
      </c>
      <c r="G2648" s="280">
        <v>45057</v>
      </c>
      <c r="H2648" s="280">
        <v>45057</v>
      </c>
      <c r="K2648" s="97">
        <v>8797943124</v>
      </c>
    </row>
    <row r="2649" spans="1:11" x14ac:dyDescent="0.3">
      <c r="A2649" s="302" t="s">
        <v>155</v>
      </c>
      <c r="B2649" s="302" t="str">
        <f t="shared" si="24"/>
        <v>Y</v>
      </c>
      <c r="C2649" s="479" t="s">
        <v>7561</v>
      </c>
      <c r="D2649" s="356"/>
      <c r="E2649" s="356" t="s">
        <v>7562</v>
      </c>
      <c r="F2649" s="280">
        <v>38727</v>
      </c>
      <c r="G2649" s="280">
        <v>45057</v>
      </c>
      <c r="H2649" s="280">
        <v>45058</v>
      </c>
      <c r="K2649" s="97">
        <v>7033537313</v>
      </c>
    </row>
    <row r="2650" spans="1:11" x14ac:dyDescent="0.3">
      <c r="A2650" s="302" t="s">
        <v>155</v>
      </c>
      <c r="B2650" s="302" t="str">
        <f t="shared" si="24"/>
        <v>Y</v>
      </c>
      <c r="C2650" s="483" t="s">
        <v>7563</v>
      </c>
      <c r="D2650" s="366"/>
      <c r="E2650" s="356" t="s">
        <v>7564</v>
      </c>
      <c r="F2650" s="280">
        <v>25980</v>
      </c>
      <c r="G2650" s="280">
        <v>45057</v>
      </c>
      <c r="H2650" s="280">
        <v>45057</v>
      </c>
      <c r="K2650" s="97">
        <v>9835364078</v>
      </c>
    </row>
    <row r="2651" spans="1:11" x14ac:dyDescent="0.3">
      <c r="A2651" s="302" t="s">
        <v>155</v>
      </c>
      <c r="B2651" s="302" t="str">
        <f t="shared" si="24"/>
        <v>Y</v>
      </c>
      <c r="C2651" s="479" t="s">
        <v>7565</v>
      </c>
      <c r="D2651" s="356"/>
      <c r="E2651" s="356" t="s">
        <v>7566</v>
      </c>
      <c r="F2651" s="280">
        <v>35479</v>
      </c>
      <c r="G2651" s="280">
        <v>45057</v>
      </c>
      <c r="H2651" s="280">
        <v>45058</v>
      </c>
      <c r="K2651" s="97">
        <v>9771899159</v>
      </c>
    </row>
    <row r="2652" spans="1:11" x14ac:dyDescent="0.3">
      <c r="A2652" s="302" t="s">
        <v>155</v>
      </c>
      <c r="B2652" s="302" t="str">
        <f t="shared" si="24"/>
        <v>Y</v>
      </c>
      <c r="C2652" s="479" t="s">
        <v>7567</v>
      </c>
      <c r="D2652" s="356"/>
      <c r="E2652" s="356" t="s">
        <v>7244</v>
      </c>
      <c r="F2652" s="280">
        <v>30273</v>
      </c>
      <c r="G2652" s="280">
        <v>45058</v>
      </c>
      <c r="H2652" s="280">
        <v>45058</v>
      </c>
      <c r="K2652" s="97">
        <v>8235411520</v>
      </c>
    </row>
    <row r="2653" spans="1:11" x14ac:dyDescent="0.3">
      <c r="A2653" s="302" t="s">
        <v>155</v>
      </c>
      <c r="B2653" s="302" t="str">
        <f t="shared" si="24"/>
        <v>Y</v>
      </c>
      <c r="C2653" s="479" t="s">
        <v>7568</v>
      </c>
      <c r="D2653" s="356"/>
      <c r="E2653" s="356" t="s">
        <v>7569</v>
      </c>
      <c r="F2653" s="280">
        <v>24716</v>
      </c>
      <c r="G2653" s="280">
        <v>45059</v>
      </c>
      <c r="H2653" s="280">
        <v>45059</v>
      </c>
      <c r="K2653" s="97">
        <v>9234544362</v>
      </c>
    </row>
    <row r="2654" spans="1:11" x14ac:dyDescent="0.3">
      <c r="A2654" s="302" t="s">
        <v>155</v>
      </c>
      <c r="B2654" s="302" t="str">
        <f t="shared" si="24"/>
        <v>Y</v>
      </c>
      <c r="C2654" s="479" t="s">
        <v>7570</v>
      </c>
      <c r="D2654" s="356"/>
      <c r="E2654" s="356" t="s">
        <v>7571</v>
      </c>
      <c r="F2654" s="280">
        <v>38280</v>
      </c>
      <c r="G2654" s="280">
        <v>45059</v>
      </c>
      <c r="H2654" s="280">
        <v>45059</v>
      </c>
      <c r="K2654" s="97">
        <v>6207798868</v>
      </c>
    </row>
    <row r="2655" spans="1:11" x14ac:dyDescent="0.3">
      <c r="A2655" s="302" t="s">
        <v>155</v>
      </c>
      <c r="B2655" s="302" t="str">
        <f t="shared" si="24"/>
        <v>Y</v>
      </c>
      <c r="C2655" s="479" t="s">
        <v>7572</v>
      </c>
      <c r="D2655" s="356"/>
      <c r="E2655" s="356" t="s">
        <v>7573</v>
      </c>
      <c r="F2655" s="280">
        <v>28831</v>
      </c>
      <c r="G2655" s="280">
        <v>45059</v>
      </c>
      <c r="H2655" s="280">
        <v>45059</v>
      </c>
      <c r="K2655" s="97">
        <v>9097315644</v>
      </c>
    </row>
    <row r="2656" spans="1:11" x14ac:dyDescent="0.3">
      <c r="A2656" s="302" t="s">
        <v>155</v>
      </c>
      <c r="B2656" s="302" t="str">
        <f t="shared" si="24"/>
        <v>Y</v>
      </c>
      <c r="C2656" s="479" t="s">
        <v>7574</v>
      </c>
      <c r="D2656" s="356"/>
      <c r="E2656" s="356" t="s">
        <v>7575</v>
      </c>
      <c r="F2656" s="280">
        <v>38239</v>
      </c>
      <c r="G2656" s="280">
        <v>45061</v>
      </c>
      <c r="H2656" s="280">
        <v>45061</v>
      </c>
      <c r="K2656" s="97">
        <v>9934538514</v>
      </c>
    </row>
    <row r="2657" spans="1:11" x14ac:dyDescent="0.3">
      <c r="A2657" s="302" t="s">
        <v>155</v>
      </c>
      <c r="B2657" s="302" t="str">
        <f t="shared" si="24"/>
        <v>Y</v>
      </c>
      <c r="C2657" s="479" t="s">
        <v>7576</v>
      </c>
      <c r="D2657" s="356"/>
      <c r="E2657" s="356" t="s">
        <v>7577</v>
      </c>
      <c r="F2657" s="280">
        <v>28764</v>
      </c>
      <c r="G2657" s="280">
        <v>45061</v>
      </c>
      <c r="H2657" s="280">
        <v>45062</v>
      </c>
      <c r="K2657" s="97">
        <v>9709031820</v>
      </c>
    </row>
    <row r="2658" spans="1:11" x14ac:dyDescent="0.3">
      <c r="A2658" s="302" t="s">
        <v>155</v>
      </c>
      <c r="B2658" s="302" t="str">
        <f t="shared" si="24"/>
        <v>Y</v>
      </c>
      <c r="C2658" s="479" t="s">
        <v>7578</v>
      </c>
      <c r="D2658" s="356"/>
      <c r="E2658" s="356" t="s">
        <v>7579</v>
      </c>
      <c r="F2658" s="280">
        <v>23655</v>
      </c>
      <c r="G2658" s="280">
        <v>45041</v>
      </c>
      <c r="H2658" s="280">
        <v>45041</v>
      </c>
      <c r="K2658" s="97">
        <v>8092802361</v>
      </c>
    </row>
    <row r="2659" spans="1:11" x14ac:dyDescent="0.3">
      <c r="A2659" s="302" t="s">
        <v>155</v>
      </c>
      <c r="B2659" s="302" t="str">
        <f t="shared" si="24"/>
        <v>Y</v>
      </c>
      <c r="C2659" s="479" t="s">
        <v>7580</v>
      </c>
      <c r="D2659" s="356"/>
      <c r="E2659" s="356" t="s">
        <v>7581</v>
      </c>
      <c r="F2659" s="280">
        <v>18376</v>
      </c>
      <c r="G2659" s="280">
        <v>45062</v>
      </c>
      <c r="H2659" s="280">
        <v>45062</v>
      </c>
      <c r="K2659" s="97">
        <v>9204419332</v>
      </c>
    </row>
    <row r="2660" spans="1:11" x14ac:dyDescent="0.3">
      <c r="A2660" s="302" t="s">
        <v>155</v>
      </c>
      <c r="B2660" s="302" t="str">
        <f t="shared" si="24"/>
        <v>Y</v>
      </c>
      <c r="C2660" s="479" t="s">
        <v>7582</v>
      </c>
      <c r="D2660" s="356"/>
      <c r="E2660" s="356" t="s">
        <v>7583</v>
      </c>
      <c r="F2660" s="280">
        <v>29209</v>
      </c>
      <c r="G2660" s="280">
        <v>45063</v>
      </c>
      <c r="H2660" s="280">
        <v>45063</v>
      </c>
      <c r="K2660" s="97">
        <v>9031353035</v>
      </c>
    </row>
    <row r="2661" spans="1:11" x14ac:dyDescent="0.3">
      <c r="A2661" s="302" t="s">
        <v>155</v>
      </c>
      <c r="B2661" s="302" t="str">
        <f t="shared" si="24"/>
        <v>Y</v>
      </c>
      <c r="C2661" s="479" t="s">
        <v>7584</v>
      </c>
      <c r="D2661" s="356"/>
      <c r="E2661" s="356" t="s">
        <v>7585</v>
      </c>
      <c r="F2661" s="280">
        <v>38472</v>
      </c>
      <c r="G2661" s="280">
        <v>45063</v>
      </c>
      <c r="H2661" s="280">
        <v>45063</v>
      </c>
      <c r="K2661" s="97">
        <v>8210368449</v>
      </c>
    </row>
    <row r="2662" spans="1:11" x14ac:dyDescent="0.3">
      <c r="A2662" s="302" t="s">
        <v>155</v>
      </c>
      <c r="B2662" s="302" t="str">
        <f t="shared" si="24"/>
        <v>Y</v>
      </c>
      <c r="C2662" s="479" t="s">
        <v>7586</v>
      </c>
      <c r="D2662" s="356"/>
      <c r="E2662" s="356" t="s">
        <v>7587</v>
      </c>
      <c r="F2662" s="280">
        <v>23696</v>
      </c>
      <c r="G2662" s="280">
        <v>45063</v>
      </c>
      <c r="H2662" s="280">
        <v>45063</v>
      </c>
      <c r="K2662" s="97">
        <v>9334623776</v>
      </c>
    </row>
    <row r="2663" spans="1:11" x14ac:dyDescent="0.3">
      <c r="A2663" s="302" t="s">
        <v>155</v>
      </c>
      <c r="B2663" s="302" t="str">
        <f t="shared" si="24"/>
        <v>Y</v>
      </c>
      <c r="C2663" s="479" t="s">
        <v>7588</v>
      </c>
      <c r="D2663" s="356"/>
      <c r="E2663" s="356" t="s">
        <v>3382</v>
      </c>
      <c r="F2663" s="280">
        <v>36212</v>
      </c>
      <c r="G2663" s="280">
        <v>45064</v>
      </c>
      <c r="H2663" s="280">
        <v>45064</v>
      </c>
      <c r="K2663" s="97">
        <v>8877215999</v>
      </c>
    </row>
    <row r="2664" spans="1:11" x14ac:dyDescent="0.3">
      <c r="A2664" s="302" t="s">
        <v>155</v>
      </c>
      <c r="B2664" s="302" t="str">
        <f t="shared" si="24"/>
        <v>Y</v>
      </c>
      <c r="C2664" s="479" t="s">
        <v>7589</v>
      </c>
      <c r="D2664" s="356"/>
      <c r="E2664" s="356" t="s">
        <v>7590</v>
      </c>
      <c r="F2664" s="280">
        <v>38254</v>
      </c>
      <c r="G2664" s="280">
        <v>45064</v>
      </c>
      <c r="H2664" s="280">
        <v>45064</v>
      </c>
      <c r="K2664" s="97">
        <v>8797051223</v>
      </c>
    </row>
    <row r="2665" spans="1:11" x14ac:dyDescent="0.3">
      <c r="A2665" s="302" t="s">
        <v>155</v>
      </c>
      <c r="B2665" s="302" t="str">
        <f t="shared" si="24"/>
        <v>Y</v>
      </c>
      <c r="C2665" s="479" t="s">
        <v>7591</v>
      </c>
      <c r="D2665" s="356"/>
      <c r="E2665" s="356" t="s">
        <v>7592</v>
      </c>
      <c r="F2665" s="280">
        <v>26068</v>
      </c>
      <c r="G2665" s="280">
        <v>45064</v>
      </c>
      <c r="H2665" s="280">
        <v>45064</v>
      </c>
      <c r="K2665" s="97">
        <v>8986813228</v>
      </c>
    </row>
    <row r="2666" spans="1:11" x14ac:dyDescent="0.3">
      <c r="A2666" s="302" t="s">
        <v>155</v>
      </c>
      <c r="B2666" s="302" t="str">
        <f t="shared" si="24"/>
        <v>Y</v>
      </c>
      <c r="C2666" s="479" t="s">
        <v>7593</v>
      </c>
      <c r="D2666" s="356"/>
      <c r="E2666" s="356" t="s">
        <v>7594</v>
      </c>
      <c r="F2666" s="280">
        <v>24461</v>
      </c>
      <c r="G2666" s="280">
        <v>45064</v>
      </c>
      <c r="H2666" s="280">
        <v>45064</v>
      </c>
      <c r="K2666" s="97">
        <v>9031380645</v>
      </c>
    </row>
    <row r="2667" spans="1:11" x14ac:dyDescent="0.3">
      <c r="A2667" s="302" t="s">
        <v>155</v>
      </c>
      <c r="B2667" s="302" t="str">
        <f t="shared" si="24"/>
        <v>Y</v>
      </c>
      <c r="C2667" s="479" t="s">
        <v>7595</v>
      </c>
      <c r="D2667" s="356"/>
      <c r="E2667" s="356" t="s">
        <v>7596</v>
      </c>
      <c r="F2667" s="280">
        <v>24263</v>
      </c>
      <c r="G2667" s="280">
        <v>45064</v>
      </c>
      <c r="H2667" s="280">
        <v>45064</v>
      </c>
      <c r="K2667" s="97">
        <v>9263492156</v>
      </c>
    </row>
    <row r="2668" spans="1:11" x14ac:dyDescent="0.3">
      <c r="A2668" s="302" t="s">
        <v>155</v>
      </c>
      <c r="B2668" s="302" t="str">
        <f t="shared" si="24"/>
        <v>Y</v>
      </c>
      <c r="C2668" s="479" t="s">
        <v>7597</v>
      </c>
      <c r="D2668" s="356"/>
      <c r="E2668" s="356" t="s">
        <v>7598</v>
      </c>
      <c r="F2668" s="280">
        <v>29676</v>
      </c>
      <c r="G2668" s="280">
        <v>45065</v>
      </c>
      <c r="H2668" s="280">
        <v>45065</v>
      </c>
      <c r="K2668" s="97">
        <v>9798041138</v>
      </c>
    </row>
    <row r="2669" spans="1:11" x14ac:dyDescent="0.3">
      <c r="A2669" s="302" t="s">
        <v>155</v>
      </c>
      <c r="B2669" s="302" t="str">
        <f t="shared" si="24"/>
        <v>Y</v>
      </c>
      <c r="C2669" s="479" t="s">
        <v>7599</v>
      </c>
      <c r="D2669" s="356"/>
      <c r="E2669" s="356" t="s">
        <v>7600</v>
      </c>
      <c r="F2669" s="280">
        <v>35896</v>
      </c>
      <c r="G2669" s="280">
        <v>45065</v>
      </c>
      <c r="H2669" s="280">
        <v>45065</v>
      </c>
      <c r="K2669" s="97">
        <v>7091644700</v>
      </c>
    </row>
    <row r="2670" spans="1:11" x14ac:dyDescent="0.3">
      <c r="A2670" s="302" t="s">
        <v>155</v>
      </c>
      <c r="B2670" s="302" t="str">
        <f t="shared" si="24"/>
        <v>Y</v>
      </c>
      <c r="C2670" s="479" t="s">
        <v>7601</v>
      </c>
      <c r="D2670" s="356"/>
      <c r="E2670" s="356" t="s">
        <v>7602</v>
      </c>
      <c r="F2670" s="280">
        <v>28195</v>
      </c>
      <c r="G2670" s="280">
        <v>45066</v>
      </c>
      <c r="H2670" s="280">
        <v>45066</v>
      </c>
      <c r="K2670" s="97">
        <v>8797605742</v>
      </c>
    </row>
    <row r="2671" spans="1:11" x14ac:dyDescent="0.3">
      <c r="A2671" s="302" t="s">
        <v>155</v>
      </c>
      <c r="B2671" s="302" t="str">
        <f t="shared" si="24"/>
        <v>Y</v>
      </c>
      <c r="C2671" s="479" t="s">
        <v>7603</v>
      </c>
      <c r="D2671" s="356"/>
      <c r="E2671" s="356" t="s">
        <v>7604</v>
      </c>
      <c r="F2671" s="280">
        <v>38444</v>
      </c>
      <c r="G2671" s="280">
        <v>45066</v>
      </c>
      <c r="H2671" s="280">
        <v>45066</v>
      </c>
      <c r="K2671" s="97">
        <v>9031111911</v>
      </c>
    </row>
    <row r="2672" spans="1:11" x14ac:dyDescent="0.3">
      <c r="A2672" s="302" t="s">
        <v>155</v>
      </c>
      <c r="B2672" s="302" t="str">
        <f t="shared" si="24"/>
        <v>Y</v>
      </c>
      <c r="C2672" s="479" t="s">
        <v>7605</v>
      </c>
      <c r="D2672" s="356"/>
      <c r="E2672" s="356" t="s">
        <v>7606</v>
      </c>
      <c r="F2672" s="280">
        <v>27169</v>
      </c>
      <c r="G2672" s="280">
        <v>45065</v>
      </c>
      <c r="H2672" s="280">
        <v>45065</v>
      </c>
      <c r="K2672" s="97">
        <v>9031166423</v>
      </c>
    </row>
    <row r="2673" spans="1:11" x14ac:dyDescent="0.3">
      <c r="A2673" s="302" t="s">
        <v>155</v>
      </c>
      <c r="B2673" s="302" t="str">
        <f t="shared" si="24"/>
        <v>Y</v>
      </c>
      <c r="C2673" s="479" t="s">
        <v>7607</v>
      </c>
      <c r="D2673" s="356"/>
      <c r="E2673" s="356" t="s">
        <v>4290</v>
      </c>
      <c r="F2673" s="280">
        <v>30682</v>
      </c>
      <c r="G2673" s="280">
        <v>45066</v>
      </c>
      <c r="H2673" s="280">
        <v>45066</v>
      </c>
      <c r="K2673" s="97">
        <v>8603814661</v>
      </c>
    </row>
    <row r="2674" spans="1:11" x14ac:dyDescent="0.3">
      <c r="A2674" s="302" t="s">
        <v>155</v>
      </c>
      <c r="B2674" s="302" t="str">
        <f t="shared" si="24"/>
        <v>Y</v>
      </c>
      <c r="C2674" s="479" t="s">
        <v>7608</v>
      </c>
      <c r="D2674" s="356"/>
      <c r="E2674" s="356" t="s">
        <v>7609</v>
      </c>
      <c r="F2674" s="280">
        <v>25065</v>
      </c>
      <c r="G2674" s="280">
        <v>45066</v>
      </c>
      <c r="H2674" s="280">
        <v>45066</v>
      </c>
      <c r="K2674" s="97">
        <v>8674977761</v>
      </c>
    </row>
    <row r="2675" spans="1:11" x14ac:dyDescent="0.3">
      <c r="A2675" s="302" t="s">
        <v>155</v>
      </c>
      <c r="B2675" s="302" t="str">
        <f t="shared" si="24"/>
        <v>Y</v>
      </c>
      <c r="C2675" s="479" t="s">
        <v>7610</v>
      </c>
      <c r="D2675" s="356"/>
      <c r="E2675" s="356" t="s">
        <v>7611</v>
      </c>
      <c r="F2675" s="280">
        <v>31778</v>
      </c>
      <c r="G2675" s="280">
        <v>45068</v>
      </c>
      <c r="H2675" s="280">
        <v>45068</v>
      </c>
      <c r="K2675" s="97">
        <v>7319866971</v>
      </c>
    </row>
    <row r="2676" spans="1:11" x14ac:dyDescent="0.3">
      <c r="A2676" s="302" t="s">
        <v>155</v>
      </c>
      <c r="B2676" s="302" t="str">
        <f t="shared" si="24"/>
        <v>Y</v>
      </c>
      <c r="C2676" s="479" t="s">
        <v>7612</v>
      </c>
      <c r="D2676" s="356"/>
      <c r="E2676" s="356" t="s">
        <v>7613</v>
      </c>
      <c r="F2676" s="280">
        <v>29596</v>
      </c>
      <c r="G2676" s="280">
        <v>45068</v>
      </c>
      <c r="H2676" s="280">
        <v>45068</v>
      </c>
      <c r="K2676" s="97">
        <v>9204025651</v>
      </c>
    </row>
    <row r="2677" spans="1:11" x14ac:dyDescent="0.3">
      <c r="A2677" s="302" t="s">
        <v>155</v>
      </c>
      <c r="B2677" s="302" t="str">
        <f t="shared" si="24"/>
        <v>Y</v>
      </c>
      <c r="C2677" s="479" t="s">
        <v>7614</v>
      </c>
      <c r="D2677" s="356"/>
      <c r="E2677" s="356" t="s">
        <v>7615</v>
      </c>
      <c r="F2677" s="280">
        <v>29000</v>
      </c>
      <c r="G2677" s="280">
        <v>45068</v>
      </c>
      <c r="H2677" s="280">
        <v>45068</v>
      </c>
      <c r="K2677" s="97">
        <v>6201977708</v>
      </c>
    </row>
    <row r="2678" spans="1:11" x14ac:dyDescent="0.3">
      <c r="A2678" s="302" t="s">
        <v>155</v>
      </c>
      <c r="B2678" s="302" t="str">
        <f t="shared" si="24"/>
        <v>Y</v>
      </c>
      <c r="C2678" s="480" t="s">
        <v>7616</v>
      </c>
      <c r="D2678" s="364"/>
      <c r="E2678" s="364" t="s">
        <v>7617</v>
      </c>
      <c r="F2678" s="288">
        <v>30641</v>
      </c>
      <c r="G2678" s="288">
        <v>45068</v>
      </c>
      <c r="H2678" s="288">
        <v>45068</v>
      </c>
      <c r="I2678" s="301" t="s">
        <v>7526</v>
      </c>
      <c r="K2678" s="97">
        <v>7277361220</v>
      </c>
    </row>
    <row r="2679" spans="1:11" x14ac:dyDescent="0.3">
      <c r="A2679" s="302" t="s">
        <v>155</v>
      </c>
      <c r="B2679" s="302" t="str">
        <f t="shared" si="24"/>
        <v>Y</v>
      </c>
      <c r="C2679" s="479" t="s">
        <v>7618</v>
      </c>
      <c r="D2679" s="356"/>
      <c r="E2679" s="356" t="s">
        <v>7619</v>
      </c>
      <c r="F2679" s="280">
        <v>36161</v>
      </c>
      <c r="G2679" s="280">
        <v>45069</v>
      </c>
      <c r="H2679" s="280">
        <v>45069</v>
      </c>
      <c r="K2679" s="97">
        <v>6203359628</v>
      </c>
    </row>
    <row r="2680" spans="1:11" x14ac:dyDescent="0.3">
      <c r="A2680" s="302" t="s">
        <v>155</v>
      </c>
      <c r="B2680" s="302" t="str">
        <f t="shared" si="24"/>
        <v>Y</v>
      </c>
      <c r="C2680" s="473" t="s">
        <v>7620</v>
      </c>
      <c r="E2680" s="356" t="s">
        <v>7621</v>
      </c>
      <c r="F2680" s="280">
        <v>23430</v>
      </c>
      <c r="G2680" s="280">
        <v>45069</v>
      </c>
      <c r="H2680" s="280">
        <v>45069</v>
      </c>
      <c r="K2680" s="97">
        <v>9939377196</v>
      </c>
    </row>
    <row r="2681" spans="1:11" x14ac:dyDescent="0.3">
      <c r="A2681" s="302" t="s">
        <v>155</v>
      </c>
      <c r="B2681" s="302" t="str">
        <f t="shared" si="24"/>
        <v>Y</v>
      </c>
      <c r="C2681" s="473" t="s">
        <v>7622</v>
      </c>
      <c r="E2681" s="356" t="s">
        <v>7623</v>
      </c>
      <c r="F2681" s="280">
        <v>38144</v>
      </c>
      <c r="G2681" s="280">
        <v>45070</v>
      </c>
      <c r="H2681" s="280">
        <v>45070</v>
      </c>
      <c r="K2681" s="97">
        <v>6200442490</v>
      </c>
    </row>
    <row r="2682" spans="1:11" x14ac:dyDescent="0.3">
      <c r="A2682" s="302" t="s">
        <v>155</v>
      </c>
      <c r="B2682" s="302" t="str">
        <f t="shared" si="24"/>
        <v>Y</v>
      </c>
      <c r="C2682" s="484" t="s">
        <v>7624</v>
      </c>
      <c r="D2682" s="367"/>
      <c r="E2682" s="356" t="s">
        <v>7625</v>
      </c>
      <c r="F2682" s="280">
        <v>24661</v>
      </c>
      <c r="G2682" s="280">
        <v>45070</v>
      </c>
      <c r="H2682" s="280">
        <v>45070</v>
      </c>
      <c r="K2682" s="97">
        <v>7209666015</v>
      </c>
    </row>
    <row r="2683" spans="1:11" x14ac:dyDescent="0.3">
      <c r="A2683" s="302" t="s">
        <v>155</v>
      </c>
      <c r="B2683" s="302" t="str">
        <f t="shared" si="24"/>
        <v>Y</v>
      </c>
      <c r="C2683" s="473" t="s">
        <v>7626</v>
      </c>
      <c r="E2683" s="356" t="s">
        <v>7627</v>
      </c>
      <c r="F2683" s="280">
        <v>38453</v>
      </c>
      <c r="G2683" s="280">
        <v>45070</v>
      </c>
      <c r="H2683" s="280">
        <v>45070</v>
      </c>
      <c r="K2683" s="97">
        <v>9204495036</v>
      </c>
    </row>
    <row r="2684" spans="1:11" x14ac:dyDescent="0.3">
      <c r="A2684" s="302" t="s">
        <v>155</v>
      </c>
      <c r="B2684" s="302" t="str">
        <f t="shared" si="24"/>
        <v>Y</v>
      </c>
      <c r="C2684" s="473" t="s">
        <v>7628</v>
      </c>
      <c r="E2684" s="356" t="s">
        <v>7629</v>
      </c>
      <c r="F2684" s="280">
        <v>37541</v>
      </c>
      <c r="G2684" s="280">
        <v>45071</v>
      </c>
      <c r="H2684" s="280">
        <v>45071</v>
      </c>
      <c r="K2684" s="97">
        <v>7061279362</v>
      </c>
    </row>
    <row r="2685" spans="1:11" x14ac:dyDescent="0.3">
      <c r="A2685" s="302" t="s">
        <v>155</v>
      </c>
      <c r="B2685" s="302" t="str">
        <f t="shared" si="24"/>
        <v>Y</v>
      </c>
      <c r="C2685" s="473" t="s">
        <v>7630</v>
      </c>
      <c r="E2685" s="356" t="s">
        <v>7631</v>
      </c>
      <c r="F2685" s="280">
        <v>38436</v>
      </c>
      <c r="G2685" s="280">
        <v>45071</v>
      </c>
      <c r="H2685" s="280">
        <v>45071</v>
      </c>
      <c r="K2685" s="97">
        <v>8340507926</v>
      </c>
    </row>
    <row r="2686" spans="1:11" x14ac:dyDescent="0.3">
      <c r="A2686" s="302" t="s">
        <v>155</v>
      </c>
      <c r="B2686" s="302" t="str">
        <f t="shared" si="24"/>
        <v>Y</v>
      </c>
      <c r="C2686" s="484" t="s">
        <v>7632</v>
      </c>
      <c r="D2686" s="367"/>
      <c r="E2686" s="356" t="s">
        <v>7633</v>
      </c>
      <c r="F2686" s="280">
        <v>35706</v>
      </c>
      <c r="G2686" s="280">
        <v>45073</v>
      </c>
      <c r="H2686" s="280">
        <v>45073</v>
      </c>
      <c r="K2686" s="97">
        <v>7292939602</v>
      </c>
    </row>
    <row r="2687" spans="1:11" x14ac:dyDescent="0.3">
      <c r="A2687" s="302" t="s">
        <v>155</v>
      </c>
      <c r="B2687" s="302" t="str">
        <f t="shared" si="24"/>
        <v>Y</v>
      </c>
      <c r="C2687" s="484" t="s">
        <v>7634</v>
      </c>
      <c r="D2687" s="367"/>
      <c r="E2687" s="356" t="s">
        <v>7635</v>
      </c>
      <c r="F2687" s="280">
        <v>24742</v>
      </c>
      <c r="G2687" s="280">
        <v>45073</v>
      </c>
      <c r="H2687" s="280">
        <v>45073</v>
      </c>
      <c r="K2687" s="97">
        <v>9546096776</v>
      </c>
    </row>
    <row r="2688" spans="1:11" x14ac:dyDescent="0.3">
      <c r="A2688" s="302" t="s">
        <v>155</v>
      </c>
      <c r="B2688" s="302" t="str">
        <f t="shared" si="24"/>
        <v>N</v>
      </c>
      <c r="C2688" s="473" t="s">
        <v>7636</v>
      </c>
      <c r="E2688" s="356" t="s">
        <v>7637</v>
      </c>
      <c r="F2688" s="280">
        <v>29996</v>
      </c>
      <c r="G2688" s="280">
        <v>45073</v>
      </c>
      <c r="K2688" s="97">
        <v>7046014083</v>
      </c>
    </row>
    <row r="2689" spans="1:11" x14ac:dyDescent="0.3">
      <c r="A2689" s="302" t="s">
        <v>155</v>
      </c>
      <c r="B2689" s="302" t="str">
        <f t="shared" si="24"/>
        <v>Y</v>
      </c>
      <c r="C2689" s="473" t="s">
        <v>7638</v>
      </c>
      <c r="E2689" s="356" t="s">
        <v>7639</v>
      </c>
      <c r="F2689" s="280">
        <v>38172</v>
      </c>
      <c r="G2689" s="280">
        <v>45073</v>
      </c>
      <c r="H2689" s="280">
        <v>45073</v>
      </c>
      <c r="K2689" s="97">
        <v>6204582092</v>
      </c>
    </row>
    <row r="2690" spans="1:11" x14ac:dyDescent="0.3">
      <c r="A2690" s="302" t="s">
        <v>155</v>
      </c>
      <c r="B2690" s="302" t="str">
        <f t="shared" si="24"/>
        <v>Y</v>
      </c>
      <c r="C2690" s="484" t="s">
        <v>7640</v>
      </c>
      <c r="D2690" s="367"/>
      <c r="E2690" s="356" t="s">
        <v>7641</v>
      </c>
      <c r="F2690" s="280">
        <v>32088</v>
      </c>
      <c r="G2690" s="280">
        <v>45074</v>
      </c>
      <c r="H2690" s="280">
        <v>45074</v>
      </c>
      <c r="K2690" s="97">
        <v>6206761096</v>
      </c>
    </row>
    <row r="2691" spans="1:11" x14ac:dyDescent="0.3">
      <c r="A2691" s="302" t="s">
        <v>155</v>
      </c>
      <c r="B2691" s="302" t="str">
        <f t="shared" si="24"/>
        <v>Y</v>
      </c>
      <c r="C2691" s="484" t="s">
        <v>7642</v>
      </c>
      <c r="D2691" s="367"/>
      <c r="E2691" s="356" t="s">
        <v>7643</v>
      </c>
      <c r="F2691" s="280">
        <v>28965</v>
      </c>
      <c r="G2691" s="280">
        <v>45075</v>
      </c>
      <c r="H2691" s="280">
        <v>45075</v>
      </c>
      <c r="K2691" s="97">
        <v>8825145586</v>
      </c>
    </row>
    <row r="2692" spans="1:11" x14ac:dyDescent="0.3">
      <c r="A2692" s="302" t="s">
        <v>155</v>
      </c>
      <c r="B2692" s="302" t="str">
        <f t="shared" si="24"/>
        <v>Y</v>
      </c>
      <c r="C2692" s="484" t="s">
        <v>7644</v>
      </c>
      <c r="D2692" s="367"/>
      <c r="E2692" s="356" t="s">
        <v>7645</v>
      </c>
      <c r="F2692" s="280">
        <v>27708</v>
      </c>
      <c r="G2692" s="280">
        <v>45075</v>
      </c>
      <c r="H2692" s="280">
        <v>45075</v>
      </c>
      <c r="K2692" s="97">
        <v>9122730822</v>
      </c>
    </row>
    <row r="2693" spans="1:11" x14ac:dyDescent="0.3">
      <c r="A2693" s="302" t="s">
        <v>155</v>
      </c>
      <c r="B2693" s="302" t="str">
        <f t="shared" si="24"/>
        <v>Y</v>
      </c>
      <c r="C2693" s="479" t="s">
        <v>7646</v>
      </c>
      <c r="D2693" s="356"/>
      <c r="E2693" s="356" t="s">
        <v>7647</v>
      </c>
      <c r="F2693" s="280">
        <v>38454</v>
      </c>
      <c r="G2693" s="280">
        <v>45075</v>
      </c>
      <c r="H2693" s="280">
        <v>45075</v>
      </c>
      <c r="K2693" s="97">
        <v>7004420764</v>
      </c>
    </row>
    <row r="2694" spans="1:11" x14ac:dyDescent="0.3">
      <c r="A2694" s="302" t="s">
        <v>155</v>
      </c>
      <c r="B2694" s="302" t="str">
        <f t="shared" si="24"/>
        <v>N</v>
      </c>
      <c r="C2694" s="484" t="s">
        <v>7648</v>
      </c>
      <c r="D2694" s="367"/>
      <c r="E2694" s="356" t="s">
        <v>7649</v>
      </c>
      <c r="F2694" s="280"/>
      <c r="G2694" s="280"/>
      <c r="H2694" s="280"/>
    </row>
    <row r="2695" spans="1:11" x14ac:dyDescent="0.3">
      <c r="A2695" s="302" t="s">
        <v>155</v>
      </c>
      <c r="B2695" s="302" t="str">
        <f t="shared" si="24"/>
        <v>Y</v>
      </c>
      <c r="C2695" s="479" t="s">
        <v>7650</v>
      </c>
      <c r="D2695" s="356"/>
      <c r="E2695" s="356" t="s">
        <v>7651</v>
      </c>
      <c r="F2695" s="280">
        <v>25513</v>
      </c>
      <c r="G2695" s="280">
        <v>45076</v>
      </c>
      <c r="H2695" s="280">
        <v>45076</v>
      </c>
      <c r="K2695" s="97">
        <v>9279280641</v>
      </c>
    </row>
    <row r="2696" spans="1:11" x14ac:dyDescent="0.3">
      <c r="A2696" s="302" t="s">
        <v>155</v>
      </c>
      <c r="B2696" s="302" t="str">
        <f t="shared" si="24"/>
        <v>Y</v>
      </c>
      <c r="C2696" s="479" t="s">
        <v>7652</v>
      </c>
      <c r="D2696" s="356"/>
      <c r="E2696" s="356" t="s">
        <v>7653</v>
      </c>
      <c r="F2696" s="280">
        <v>38619</v>
      </c>
      <c r="G2696" s="280">
        <v>45077</v>
      </c>
      <c r="H2696" s="280">
        <v>45077</v>
      </c>
      <c r="K2696" s="97">
        <v>9523994179</v>
      </c>
    </row>
    <row r="2697" spans="1:11" x14ac:dyDescent="0.3">
      <c r="A2697" s="302" t="s">
        <v>155</v>
      </c>
      <c r="B2697" s="302" t="str">
        <f t="shared" si="24"/>
        <v>Y</v>
      </c>
      <c r="C2697" s="479" t="s">
        <v>7654</v>
      </c>
      <c r="D2697" s="356"/>
      <c r="E2697" s="356" t="s">
        <v>7655</v>
      </c>
      <c r="F2697" s="280">
        <v>29992</v>
      </c>
      <c r="G2697" s="280">
        <v>45078</v>
      </c>
      <c r="H2697" s="280">
        <v>45078</v>
      </c>
      <c r="K2697" s="97">
        <v>9097492994</v>
      </c>
    </row>
    <row r="2698" spans="1:11" x14ac:dyDescent="0.3">
      <c r="A2698" s="302" t="s">
        <v>155</v>
      </c>
      <c r="B2698" s="302" t="str">
        <f t="shared" si="24"/>
        <v>Y</v>
      </c>
      <c r="C2698" s="479" t="s">
        <v>7656</v>
      </c>
      <c r="D2698" s="356"/>
      <c r="E2698" s="356" t="s">
        <v>7657</v>
      </c>
      <c r="F2698" s="280">
        <v>29992</v>
      </c>
      <c r="G2698" s="280">
        <v>45078</v>
      </c>
      <c r="H2698" s="280">
        <v>45078</v>
      </c>
      <c r="K2698" s="97">
        <v>6204746424</v>
      </c>
    </row>
    <row r="2699" spans="1:11" x14ac:dyDescent="0.3">
      <c r="A2699" s="302" t="s">
        <v>155</v>
      </c>
      <c r="B2699" s="302" t="str">
        <f t="shared" si="24"/>
        <v>Y</v>
      </c>
      <c r="C2699" s="479" t="s">
        <v>7658</v>
      </c>
      <c r="D2699" s="356"/>
      <c r="E2699" s="356" t="s">
        <v>7659</v>
      </c>
      <c r="F2699" s="280">
        <v>34285</v>
      </c>
      <c r="G2699" s="280">
        <v>45078</v>
      </c>
      <c r="H2699" s="280">
        <v>45078</v>
      </c>
      <c r="K2699" s="97">
        <v>9508618711</v>
      </c>
    </row>
    <row r="2700" spans="1:11" x14ac:dyDescent="0.3">
      <c r="A2700" s="302" t="s">
        <v>155</v>
      </c>
      <c r="B2700" s="302" t="str">
        <f t="shared" si="24"/>
        <v>Y</v>
      </c>
      <c r="C2700" s="479" t="s">
        <v>7660</v>
      </c>
      <c r="D2700" s="356"/>
      <c r="E2700" s="356" t="s">
        <v>7661</v>
      </c>
      <c r="F2700" s="280">
        <v>29028</v>
      </c>
      <c r="G2700" s="280">
        <v>45079</v>
      </c>
      <c r="H2700" s="280">
        <v>45080</v>
      </c>
      <c r="K2700" s="97">
        <v>9430305668</v>
      </c>
    </row>
    <row r="2701" spans="1:11" x14ac:dyDescent="0.3">
      <c r="A2701" s="302" t="s">
        <v>155</v>
      </c>
      <c r="B2701" s="302" t="str">
        <f t="shared" si="24"/>
        <v>Y</v>
      </c>
      <c r="C2701" s="479" t="s">
        <v>7662</v>
      </c>
      <c r="D2701" s="356"/>
      <c r="E2701" s="356" t="s">
        <v>7663</v>
      </c>
      <c r="F2701" s="280">
        <v>19372</v>
      </c>
      <c r="G2701" s="280">
        <v>45079</v>
      </c>
      <c r="H2701" s="280">
        <v>45080</v>
      </c>
      <c r="K2701" s="97">
        <v>9472784570</v>
      </c>
    </row>
    <row r="2702" spans="1:11" x14ac:dyDescent="0.3">
      <c r="A2702" s="302" t="s">
        <v>155</v>
      </c>
      <c r="B2702" s="302" t="str">
        <f t="shared" si="24"/>
        <v>Y</v>
      </c>
      <c r="C2702" s="479" t="s">
        <v>7664</v>
      </c>
      <c r="D2702" s="356"/>
      <c r="E2702" s="356" t="s">
        <v>7665</v>
      </c>
      <c r="F2702" s="280">
        <v>31622</v>
      </c>
      <c r="G2702" s="280">
        <v>45080</v>
      </c>
      <c r="H2702" s="280">
        <v>45080</v>
      </c>
      <c r="K2702" s="97">
        <v>9304017251</v>
      </c>
    </row>
    <row r="2703" spans="1:11" x14ac:dyDescent="0.3">
      <c r="A2703" s="302" t="s">
        <v>155</v>
      </c>
      <c r="B2703" s="302" t="str">
        <f t="shared" si="24"/>
        <v>Y</v>
      </c>
      <c r="C2703" s="479" t="s">
        <v>7666</v>
      </c>
      <c r="D2703" s="356"/>
      <c r="E2703" s="356" t="s">
        <v>7667</v>
      </c>
      <c r="F2703" s="280">
        <v>27256</v>
      </c>
      <c r="G2703" s="280">
        <v>45081</v>
      </c>
      <c r="H2703" s="280">
        <v>45081</v>
      </c>
      <c r="K2703" s="97">
        <v>9234259682</v>
      </c>
    </row>
    <row r="2704" spans="1:11" x14ac:dyDescent="0.3">
      <c r="A2704" s="302" t="s">
        <v>155</v>
      </c>
      <c r="B2704" s="302" t="str">
        <f t="shared" ref="B2704:B2767" si="25">IF(H2704="","N","Y")</f>
        <v>Y</v>
      </c>
      <c r="C2704" s="479" t="s">
        <v>7668</v>
      </c>
      <c r="D2704" s="356"/>
      <c r="E2704" s="356" t="s">
        <v>6056</v>
      </c>
      <c r="F2704" s="280">
        <v>25933</v>
      </c>
      <c r="G2704" s="280">
        <v>45083</v>
      </c>
      <c r="H2704" s="280">
        <v>45083</v>
      </c>
      <c r="K2704" s="97">
        <v>9570121221</v>
      </c>
    </row>
    <row r="2705" spans="1:12" x14ac:dyDescent="0.3">
      <c r="A2705" s="302" t="s">
        <v>155</v>
      </c>
      <c r="B2705" s="302" t="str">
        <f t="shared" si="25"/>
        <v>Y</v>
      </c>
      <c r="C2705" s="479" t="s">
        <v>7669</v>
      </c>
      <c r="D2705" s="356"/>
      <c r="E2705" s="356" t="s">
        <v>7670</v>
      </c>
      <c r="F2705" s="280">
        <v>38109</v>
      </c>
      <c r="G2705" s="280">
        <v>45084</v>
      </c>
      <c r="H2705" s="280">
        <v>45084</v>
      </c>
      <c r="K2705" s="97">
        <v>9263149738</v>
      </c>
    </row>
    <row r="2706" spans="1:12" x14ac:dyDescent="0.3">
      <c r="A2706" s="302" t="s">
        <v>155</v>
      </c>
      <c r="B2706" s="302" t="str">
        <f t="shared" si="25"/>
        <v>Y</v>
      </c>
      <c r="C2706" s="479" t="s">
        <v>7671</v>
      </c>
      <c r="D2706" s="356"/>
      <c r="E2706" s="356" t="s">
        <v>7672</v>
      </c>
      <c r="F2706" s="280">
        <v>37901</v>
      </c>
      <c r="G2706" s="280">
        <v>45084</v>
      </c>
      <c r="H2706" s="280">
        <v>45084</v>
      </c>
      <c r="K2706" s="97">
        <v>9304480185</v>
      </c>
    </row>
    <row r="2707" spans="1:12" x14ac:dyDescent="0.3">
      <c r="A2707" s="302" t="s">
        <v>155</v>
      </c>
      <c r="B2707" s="302" t="str">
        <f t="shared" si="25"/>
        <v>Y</v>
      </c>
      <c r="C2707" s="473" t="s">
        <v>7673</v>
      </c>
      <c r="E2707" s="356" t="s">
        <v>7674</v>
      </c>
      <c r="F2707" s="280">
        <v>24838</v>
      </c>
      <c r="G2707" s="280">
        <v>45084</v>
      </c>
      <c r="H2707" s="280">
        <v>45084</v>
      </c>
      <c r="K2707" s="97">
        <v>6200811791</v>
      </c>
    </row>
    <row r="2708" spans="1:12" x14ac:dyDescent="0.3">
      <c r="A2708" s="302" t="s">
        <v>155</v>
      </c>
      <c r="B2708" s="302" t="str">
        <f t="shared" si="25"/>
        <v>Y</v>
      </c>
      <c r="C2708" s="473" t="s">
        <v>7675</v>
      </c>
      <c r="E2708" s="356" t="s">
        <v>7676</v>
      </c>
      <c r="F2708" s="280">
        <v>33187</v>
      </c>
      <c r="G2708" s="280">
        <v>45085</v>
      </c>
      <c r="H2708" s="280">
        <v>45085</v>
      </c>
      <c r="K2708" s="97">
        <v>8210705724</v>
      </c>
    </row>
    <row r="2709" spans="1:12" x14ac:dyDescent="0.3">
      <c r="A2709" s="302" t="s">
        <v>155</v>
      </c>
      <c r="B2709" s="302" t="str">
        <f t="shared" si="25"/>
        <v>Y</v>
      </c>
      <c r="C2709" s="473" t="s">
        <v>7677</v>
      </c>
      <c r="E2709" s="356" t="s">
        <v>7678</v>
      </c>
      <c r="F2709" s="280">
        <v>24146</v>
      </c>
      <c r="G2709" s="280">
        <v>45085</v>
      </c>
      <c r="H2709" s="280">
        <v>45085</v>
      </c>
      <c r="K2709" s="97">
        <v>9608576427</v>
      </c>
    </row>
    <row r="2710" spans="1:12" x14ac:dyDescent="0.3">
      <c r="A2710" s="302" t="s">
        <v>155</v>
      </c>
      <c r="B2710" s="302" t="str">
        <f t="shared" si="25"/>
        <v>Y</v>
      </c>
      <c r="C2710" s="473" t="s">
        <v>7679</v>
      </c>
      <c r="E2710" s="356" t="s">
        <v>7680</v>
      </c>
      <c r="F2710" s="280">
        <v>38493</v>
      </c>
      <c r="G2710" s="280">
        <v>45085</v>
      </c>
      <c r="H2710" s="280">
        <v>45085</v>
      </c>
      <c r="K2710" s="97">
        <v>8434040389</v>
      </c>
    </row>
    <row r="2711" spans="1:12" x14ac:dyDescent="0.3">
      <c r="A2711" s="302" t="s">
        <v>155</v>
      </c>
      <c r="B2711" s="302" t="str">
        <f t="shared" si="25"/>
        <v>Y</v>
      </c>
      <c r="C2711" s="473" t="s">
        <v>7681</v>
      </c>
      <c r="E2711" s="356" t="s">
        <v>7682</v>
      </c>
      <c r="F2711" s="280">
        <v>37346</v>
      </c>
      <c r="G2711" s="280">
        <v>45085</v>
      </c>
      <c r="H2711" s="280">
        <v>45085</v>
      </c>
      <c r="K2711" s="97">
        <v>8340727892</v>
      </c>
    </row>
    <row r="2712" spans="1:12" x14ac:dyDescent="0.3">
      <c r="A2712" s="302" t="s">
        <v>155</v>
      </c>
      <c r="B2712" s="302" t="str">
        <f t="shared" si="25"/>
        <v>Y</v>
      </c>
      <c r="C2712" s="473" t="s">
        <v>7683</v>
      </c>
      <c r="E2712" s="356" t="s">
        <v>7684</v>
      </c>
      <c r="F2712" s="280">
        <v>26364</v>
      </c>
      <c r="G2712" s="280">
        <v>45086</v>
      </c>
      <c r="H2712" s="280">
        <v>45087</v>
      </c>
      <c r="K2712" s="97">
        <v>9031961008</v>
      </c>
    </row>
    <row r="2713" spans="1:12" x14ac:dyDescent="0.3">
      <c r="A2713" s="302" t="s">
        <v>155</v>
      </c>
      <c r="B2713" s="302" t="str">
        <f t="shared" si="25"/>
        <v>Y</v>
      </c>
      <c r="C2713" s="473" t="s">
        <v>7685</v>
      </c>
      <c r="E2713" s="356" t="s">
        <v>7686</v>
      </c>
      <c r="F2713" s="280">
        <v>23735</v>
      </c>
      <c r="G2713" s="280">
        <v>45087</v>
      </c>
      <c r="H2713" s="280">
        <v>44995</v>
      </c>
      <c r="K2713" s="97">
        <v>9234413453</v>
      </c>
    </row>
    <row r="2714" spans="1:12" x14ac:dyDescent="0.3">
      <c r="A2714" s="302" t="s">
        <v>155</v>
      </c>
      <c r="B2714" s="302" t="str">
        <f t="shared" si="25"/>
        <v>Y</v>
      </c>
      <c r="C2714" s="473" t="s">
        <v>7687</v>
      </c>
      <c r="E2714" s="356" t="s">
        <v>7688</v>
      </c>
      <c r="F2714" s="280">
        <v>21916</v>
      </c>
      <c r="G2714" s="280">
        <v>45087</v>
      </c>
      <c r="H2714" s="280">
        <v>44995</v>
      </c>
      <c r="J2714" s="107" t="s">
        <v>7689</v>
      </c>
      <c r="K2714" s="97">
        <v>9266610763</v>
      </c>
    </row>
    <row r="2715" spans="1:12" x14ac:dyDescent="0.3">
      <c r="A2715" s="302" t="s">
        <v>155</v>
      </c>
      <c r="B2715" s="302" t="str">
        <f t="shared" si="25"/>
        <v>Y</v>
      </c>
      <c r="C2715" s="473" t="s">
        <v>7690</v>
      </c>
      <c r="E2715" s="356" t="s">
        <v>7691</v>
      </c>
      <c r="F2715" s="280">
        <v>38405</v>
      </c>
      <c r="G2715" s="280">
        <v>45089</v>
      </c>
      <c r="H2715" s="280">
        <v>45089</v>
      </c>
      <c r="K2715" s="97">
        <v>9102660083</v>
      </c>
    </row>
    <row r="2716" spans="1:12" x14ac:dyDescent="0.3">
      <c r="A2716" s="302" t="s">
        <v>155</v>
      </c>
      <c r="B2716" s="302" t="str">
        <f t="shared" si="25"/>
        <v>Y</v>
      </c>
      <c r="C2716" s="473" t="s">
        <v>7692</v>
      </c>
      <c r="E2716" s="356" t="s">
        <v>7693</v>
      </c>
      <c r="F2716" s="280">
        <v>37354</v>
      </c>
      <c r="G2716" s="280">
        <v>45089</v>
      </c>
      <c r="H2716" s="280">
        <v>45089</v>
      </c>
      <c r="K2716" s="97">
        <v>7667117711</v>
      </c>
    </row>
    <row r="2717" spans="1:12" x14ac:dyDescent="0.3">
      <c r="A2717" s="302" t="s">
        <v>155</v>
      </c>
      <c r="B2717" s="302" t="str">
        <f t="shared" si="25"/>
        <v>Y</v>
      </c>
      <c r="C2717" s="473" t="s">
        <v>7694</v>
      </c>
      <c r="E2717" s="356" t="s">
        <v>3144</v>
      </c>
      <c r="F2717" s="280">
        <v>23713</v>
      </c>
      <c r="G2717" s="280">
        <v>45089</v>
      </c>
      <c r="H2717" s="280">
        <v>45089</v>
      </c>
      <c r="K2717" s="97">
        <v>9279252812</v>
      </c>
    </row>
    <row r="2718" spans="1:12" x14ac:dyDescent="0.3">
      <c r="A2718" s="302" t="s">
        <v>155</v>
      </c>
      <c r="B2718" s="302" t="str">
        <f t="shared" si="25"/>
        <v>Y</v>
      </c>
      <c r="C2718" s="473" t="s">
        <v>7695</v>
      </c>
      <c r="E2718" s="356" t="s">
        <v>7696</v>
      </c>
      <c r="F2718" s="280">
        <v>38442</v>
      </c>
      <c r="G2718" s="280">
        <v>45089</v>
      </c>
      <c r="H2718" s="280">
        <v>45089</v>
      </c>
      <c r="K2718" s="97">
        <v>9546276597</v>
      </c>
      <c r="L2718" t="s">
        <v>7697</v>
      </c>
    </row>
    <row r="2719" spans="1:12" x14ac:dyDescent="0.3">
      <c r="A2719" s="302" t="s">
        <v>155</v>
      </c>
      <c r="B2719" s="302" t="str">
        <f t="shared" si="25"/>
        <v>Y</v>
      </c>
      <c r="C2719" s="473" t="s">
        <v>7698</v>
      </c>
      <c r="E2719" s="356" t="s">
        <v>7699</v>
      </c>
      <c r="F2719" s="280">
        <v>22647</v>
      </c>
      <c r="G2719" s="280">
        <v>45089</v>
      </c>
      <c r="H2719" s="280">
        <v>45089</v>
      </c>
      <c r="K2719" s="97">
        <v>7979056651</v>
      </c>
    </row>
    <row r="2720" spans="1:12" x14ac:dyDescent="0.3">
      <c r="A2720" s="302" t="s">
        <v>155</v>
      </c>
      <c r="B2720" s="302" t="str">
        <f t="shared" si="25"/>
        <v>Y</v>
      </c>
      <c r="C2720" s="473" t="s">
        <v>7700</v>
      </c>
      <c r="E2720" s="353" t="s">
        <v>7701</v>
      </c>
      <c r="F2720" s="280">
        <v>37277</v>
      </c>
      <c r="G2720" s="280">
        <v>45090</v>
      </c>
      <c r="H2720" s="280">
        <v>44998</v>
      </c>
      <c r="K2720" s="97">
        <v>9031249805</v>
      </c>
    </row>
    <row r="2721" spans="1:11" x14ac:dyDescent="0.3">
      <c r="A2721" s="302" t="s">
        <v>155</v>
      </c>
      <c r="B2721" s="302" t="str">
        <f t="shared" si="25"/>
        <v>Y</v>
      </c>
      <c r="C2721" s="473" t="s">
        <v>7702</v>
      </c>
      <c r="E2721" s="353" t="s">
        <v>7703</v>
      </c>
      <c r="F2721" s="280">
        <v>37332</v>
      </c>
      <c r="G2721" s="280">
        <v>37786</v>
      </c>
      <c r="H2721" s="280">
        <v>45091</v>
      </c>
      <c r="K2721" s="97">
        <v>9065106520</v>
      </c>
    </row>
    <row r="2722" spans="1:11" x14ac:dyDescent="0.3">
      <c r="A2722" s="302" t="s">
        <v>155</v>
      </c>
      <c r="B2722" s="302" t="str">
        <f t="shared" si="25"/>
        <v>Y</v>
      </c>
      <c r="C2722" s="473" t="s">
        <v>7704</v>
      </c>
      <c r="E2722" s="353" t="s">
        <v>7705</v>
      </c>
      <c r="F2722" s="280">
        <v>27821</v>
      </c>
      <c r="G2722" s="280">
        <v>37786</v>
      </c>
      <c r="H2722" s="280">
        <v>45091</v>
      </c>
      <c r="K2722" s="97">
        <v>9934766601</v>
      </c>
    </row>
    <row r="2723" spans="1:11" x14ac:dyDescent="0.3">
      <c r="A2723" s="302" t="s">
        <v>155</v>
      </c>
      <c r="B2723" s="302" t="str">
        <f t="shared" si="25"/>
        <v>Y</v>
      </c>
      <c r="C2723" s="473" t="s">
        <v>7706</v>
      </c>
      <c r="E2723" s="353" t="s">
        <v>7707</v>
      </c>
      <c r="F2723" s="280">
        <v>31290</v>
      </c>
      <c r="G2723" s="280">
        <v>45092</v>
      </c>
      <c r="H2723" s="280">
        <v>45092</v>
      </c>
      <c r="K2723" s="97">
        <v>8235430124</v>
      </c>
    </row>
    <row r="2724" spans="1:11" x14ac:dyDescent="0.3">
      <c r="A2724" s="302" t="s">
        <v>155</v>
      </c>
      <c r="B2724" s="302" t="str">
        <f t="shared" si="25"/>
        <v>Y</v>
      </c>
      <c r="C2724" s="473" t="s">
        <v>7708</v>
      </c>
      <c r="E2724" s="353" t="s">
        <v>4673</v>
      </c>
      <c r="F2724" s="280">
        <v>24956</v>
      </c>
      <c r="G2724" s="280">
        <v>45096</v>
      </c>
      <c r="H2724" s="280">
        <v>45096</v>
      </c>
      <c r="K2724" s="97">
        <v>8603862702</v>
      </c>
    </row>
    <row r="2725" spans="1:11" x14ac:dyDescent="0.3">
      <c r="A2725" s="302" t="s">
        <v>155</v>
      </c>
      <c r="B2725" s="302" t="str">
        <f t="shared" si="25"/>
        <v>Y</v>
      </c>
      <c r="C2725" s="473" t="s">
        <v>7709</v>
      </c>
      <c r="E2725" s="353" t="s">
        <v>7710</v>
      </c>
      <c r="F2725" s="280">
        <v>20821</v>
      </c>
      <c r="G2725" s="280">
        <v>45096</v>
      </c>
      <c r="H2725" s="280">
        <v>45096</v>
      </c>
      <c r="K2725" s="97">
        <v>9523933822</v>
      </c>
    </row>
    <row r="2726" spans="1:11" x14ac:dyDescent="0.3">
      <c r="A2726" s="302" t="s">
        <v>155</v>
      </c>
      <c r="B2726" s="302" t="str">
        <f t="shared" si="25"/>
        <v>Y</v>
      </c>
      <c r="C2726" s="473" t="s">
        <v>7711</v>
      </c>
      <c r="E2726" s="353" t="s">
        <v>7712</v>
      </c>
      <c r="F2726" s="280">
        <v>23194</v>
      </c>
      <c r="G2726" s="280">
        <v>45098</v>
      </c>
      <c r="H2726" s="280">
        <v>45098</v>
      </c>
      <c r="K2726" s="97">
        <v>8797146653</v>
      </c>
    </row>
    <row r="2727" spans="1:11" x14ac:dyDescent="0.3">
      <c r="A2727" s="302" t="s">
        <v>155</v>
      </c>
      <c r="B2727" s="302" t="str">
        <f t="shared" si="25"/>
        <v>Y</v>
      </c>
      <c r="C2727" s="479" t="s">
        <v>7713</v>
      </c>
      <c r="E2727" s="356" t="s">
        <v>7714</v>
      </c>
      <c r="F2727" s="280">
        <v>31418</v>
      </c>
      <c r="G2727" s="280">
        <v>45099</v>
      </c>
      <c r="H2727" s="280">
        <v>45099</v>
      </c>
      <c r="K2727" s="97">
        <v>9142868117</v>
      </c>
    </row>
    <row r="2728" spans="1:11" x14ac:dyDescent="0.3">
      <c r="A2728" s="302" t="s">
        <v>155</v>
      </c>
      <c r="B2728" s="302" t="str">
        <f t="shared" si="25"/>
        <v>Y</v>
      </c>
      <c r="C2728" s="479" t="s">
        <v>7715</v>
      </c>
      <c r="E2728" s="356" t="s">
        <v>7716</v>
      </c>
      <c r="F2728" s="280">
        <v>23150</v>
      </c>
      <c r="G2728" s="280">
        <v>45100</v>
      </c>
      <c r="H2728" s="280">
        <v>45100</v>
      </c>
      <c r="K2728" s="97">
        <v>7004508950</v>
      </c>
    </row>
    <row r="2729" spans="1:11" x14ac:dyDescent="0.3">
      <c r="A2729" s="302" t="s">
        <v>155</v>
      </c>
      <c r="B2729" s="302" t="str">
        <f t="shared" si="25"/>
        <v>Y</v>
      </c>
      <c r="C2729" s="480" t="s">
        <v>7717</v>
      </c>
      <c r="D2729" s="364"/>
      <c r="E2729" s="364" t="s">
        <v>7718</v>
      </c>
      <c r="F2729" s="288">
        <v>25461</v>
      </c>
      <c r="G2729" s="288">
        <v>45100</v>
      </c>
      <c r="H2729" s="288">
        <v>45100</v>
      </c>
      <c r="I2729" s="98"/>
      <c r="J2729" s="98"/>
      <c r="K2729" s="289">
        <v>8292574194</v>
      </c>
    </row>
    <row r="2730" spans="1:11" x14ac:dyDescent="0.3">
      <c r="A2730" s="302" t="s">
        <v>155</v>
      </c>
      <c r="B2730" s="302" t="str">
        <f t="shared" si="25"/>
        <v>Y</v>
      </c>
      <c r="C2730" s="479" t="s">
        <v>7719</v>
      </c>
      <c r="E2730" s="356" t="s">
        <v>7720</v>
      </c>
      <c r="F2730" s="280">
        <v>30769</v>
      </c>
      <c r="G2730" s="280">
        <v>45100</v>
      </c>
      <c r="H2730" s="280">
        <v>45100</v>
      </c>
      <c r="K2730" s="97">
        <v>9661504877</v>
      </c>
    </row>
    <row r="2731" spans="1:11" x14ac:dyDescent="0.3">
      <c r="A2731" s="302" t="s">
        <v>155</v>
      </c>
      <c r="B2731" s="302" t="str">
        <f t="shared" si="25"/>
        <v>Y</v>
      </c>
      <c r="C2731" s="480" t="s">
        <v>7721</v>
      </c>
      <c r="D2731" s="364"/>
      <c r="E2731" s="364" t="s">
        <v>7722</v>
      </c>
      <c r="F2731" s="288">
        <v>25569</v>
      </c>
      <c r="G2731" s="288">
        <v>45100</v>
      </c>
      <c r="H2731" s="288">
        <v>45100</v>
      </c>
      <c r="I2731" s="301" t="s">
        <v>7526</v>
      </c>
      <c r="K2731" s="97">
        <v>9931335903</v>
      </c>
    </row>
    <row r="2732" spans="1:11" x14ac:dyDescent="0.3">
      <c r="A2732" s="302" t="s">
        <v>155</v>
      </c>
      <c r="B2732" s="302" t="str">
        <f t="shared" si="25"/>
        <v>Y</v>
      </c>
      <c r="C2732" s="479" t="s">
        <v>7723</v>
      </c>
      <c r="E2732" s="356" t="s">
        <v>7724</v>
      </c>
      <c r="F2732" s="280">
        <v>19872</v>
      </c>
      <c r="G2732" s="280">
        <v>45100</v>
      </c>
      <c r="H2732" s="280">
        <v>45100</v>
      </c>
      <c r="K2732" s="97">
        <v>8084025896</v>
      </c>
    </row>
    <row r="2733" spans="1:11" x14ac:dyDescent="0.3">
      <c r="A2733" s="302" t="s">
        <v>155</v>
      </c>
      <c r="B2733" s="302" t="str">
        <f t="shared" si="25"/>
        <v>Y</v>
      </c>
      <c r="C2733" s="479" t="s">
        <v>7725</v>
      </c>
      <c r="E2733" s="356" t="s">
        <v>7726</v>
      </c>
      <c r="F2733" s="280">
        <v>28504</v>
      </c>
      <c r="G2733" s="280">
        <v>45100</v>
      </c>
      <c r="H2733" s="280">
        <v>45100</v>
      </c>
      <c r="K2733" s="97">
        <v>9263162318</v>
      </c>
    </row>
    <row r="2734" spans="1:11" x14ac:dyDescent="0.3">
      <c r="A2734" s="302" t="s">
        <v>155</v>
      </c>
      <c r="B2734" s="302" t="str">
        <f t="shared" si="25"/>
        <v>Y</v>
      </c>
      <c r="C2734" s="479" t="s">
        <v>7727</v>
      </c>
      <c r="E2734" s="356" t="s">
        <v>7728</v>
      </c>
      <c r="F2734" s="280">
        <v>32545</v>
      </c>
      <c r="G2734" s="280">
        <v>45101</v>
      </c>
      <c r="H2734" s="280">
        <v>45101</v>
      </c>
      <c r="K2734" s="97">
        <v>9304570313</v>
      </c>
    </row>
    <row r="2735" spans="1:11" x14ac:dyDescent="0.3">
      <c r="A2735" s="302" t="s">
        <v>155</v>
      </c>
      <c r="B2735" s="302" t="str">
        <f t="shared" si="25"/>
        <v>Y</v>
      </c>
      <c r="C2735" s="458" t="s">
        <v>7729</v>
      </c>
      <c r="E2735" s="356" t="s">
        <v>6844</v>
      </c>
      <c r="F2735" s="280">
        <v>25034</v>
      </c>
      <c r="G2735" s="280">
        <v>45101</v>
      </c>
      <c r="H2735" s="280">
        <v>45101</v>
      </c>
      <c r="J2735" s="107" t="s">
        <v>7689</v>
      </c>
      <c r="K2735" s="97">
        <v>8581099244</v>
      </c>
    </row>
    <row r="2736" spans="1:11" x14ac:dyDescent="0.3">
      <c r="A2736" s="302" t="s">
        <v>155</v>
      </c>
      <c r="B2736" s="302" t="str">
        <f t="shared" si="25"/>
        <v>Y</v>
      </c>
      <c r="C2736" s="473" t="s">
        <v>7730</v>
      </c>
      <c r="E2736" s="353" t="s">
        <v>7731</v>
      </c>
      <c r="F2736" s="280">
        <v>29622</v>
      </c>
      <c r="G2736" s="280">
        <v>45101</v>
      </c>
      <c r="H2736" s="280">
        <v>45101</v>
      </c>
      <c r="K2736" s="97">
        <v>7870122245</v>
      </c>
    </row>
    <row r="2737" spans="1:11" x14ac:dyDescent="0.3">
      <c r="A2737" s="302" t="s">
        <v>155</v>
      </c>
      <c r="B2737" s="302" t="str">
        <f t="shared" si="25"/>
        <v>Y</v>
      </c>
      <c r="C2737" s="473" t="s">
        <v>7732</v>
      </c>
      <c r="E2737" s="353" t="s">
        <v>7733</v>
      </c>
      <c r="F2737" s="280">
        <v>37318</v>
      </c>
      <c r="G2737" s="280">
        <v>45101</v>
      </c>
      <c r="H2737" s="280">
        <v>45101</v>
      </c>
      <c r="K2737" s="97">
        <v>9122730822</v>
      </c>
    </row>
    <row r="2738" spans="1:11" x14ac:dyDescent="0.3">
      <c r="A2738" s="302" t="s">
        <v>155</v>
      </c>
      <c r="B2738" s="302" t="str">
        <f t="shared" si="25"/>
        <v>Y</v>
      </c>
      <c r="C2738" s="473" t="s">
        <v>7734</v>
      </c>
      <c r="E2738" s="353" t="s">
        <v>7735</v>
      </c>
      <c r="F2738" s="280">
        <v>23867</v>
      </c>
      <c r="G2738" s="280">
        <v>45101</v>
      </c>
      <c r="H2738" s="280">
        <v>45101</v>
      </c>
      <c r="K2738" s="97">
        <v>9204704899</v>
      </c>
    </row>
    <row r="2739" spans="1:11" x14ac:dyDescent="0.3">
      <c r="A2739" s="302" t="s">
        <v>155</v>
      </c>
      <c r="B2739" s="302" t="str">
        <f t="shared" si="25"/>
        <v>Y</v>
      </c>
      <c r="C2739" s="473" t="s">
        <v>7736</v>
      </c>
      <c r="E2739" s="353" t="s">
        <v>7737</v>
      </c>
      <c r="F2739" s="280">
        <v>38429</v>
      </c>
      <c r="G2739" s="280">
        <v>45101</v>
      </c>
      <c r="H2739" s="280">
        <v>45101</v>
      </c>
      <c r="K2739" s="97">
        <v>9693418411</v>
      </c>
    </row>
    <row r="2740" spans="1:11" x14ac:dyDescent="0.3">
      <c r="A2740" s="302" t="s">
        <v>155</v>
      </c>
      <c r="B2740" s="302" t="str">
        <f t="shared" si="25"/>
        <v>Y</v>
      </c>
      <c r="C2740" s="473" t="s">
        <v>7738</v>
      </c>
      <c r="E2740" s="353" t="s">
        <v>7739</v>
      </c>
      <c r="F2740" s="280">
        <v>21915</v>
      </c>
      <c r="G2740" s="280">
        <v>45102</v>
      </c>
      <c r="H2740" s="280">
        <v>45102</v>
      </c>
      <c r="K2740" s="97">
        <v>7761055334</v>
      </c>
    </row>
    <row r="2741" spans="1:11" x14ac:dyDescent="0.3">
      <c r="A2741" s="302" t="s">
        <v>155</v>
      </c>
      <c r="B2741" s="302" t="str">
        <f t="shared" si="25"/>
        <v>Y</v>
      </c>
      <c r="C2741" s="473" t="s">
        <v>7740</v>
      </c>
      <c r="E2741" s="353" t="s">
        <v>7741</v>
      </c>
      <c r="F2741" s="280">
        <v>28171</v>
      </c>
      <c r="G2741" s="280">
        <v>45102</v>
      </c>
      <c r="H2741" s="280">
        <v>45102</v>
      </c>
      <c r="K2741" s="97">
        <v>8092701481</v>
      </c>
    </row>
    <row r="2742" spans="1:11" x14ac:dyDescent="0.3">
      <c r="A2742" s="302" t="s">
        <v>155</v>
      </c>
      <c r="B2742" s="302" t="str">
        <f t="shared" si="25"/>
        <v>Y</v>
      </c>
      <c r="C2742" s="473" t="s">
        <v>7742</v>
      </c>
      <c r="E2742" s="353" t="s">
        <v>7743</v>
      </c>
      <c r="F2742" s="280">
        <v>38439</v>
      </c>
      <c r="G2742" s="280">
        <v>45104</v>
      </c>
      <c r="H2742" s="280">
        <v>45104</v>
      </c>
      <c r="J2742" s="107" t="s">
        <v>7689</v>
      </c>
      <c r="K2742" s="97">
        <v>9934921032</v>
      </c>
    </row>
    <row r="2743" spans="1:11" x14ac:dyDescent="0.3">
      <c r="A2743" s="302" t="s">
        <v>155</v>
      </c>
      <c r="B2743" s="302" t="str">
        <f t="shared" si="25"/>
        <v>Y</v>
      </c>
      <c r="C2743" s="473" t="s">
        <v>7744</v>
      </c>
      <c r="E2743" s="353" t="s">
        <v>7745</v>
      </c>
      <c r="F2743" s="280">
        <v>20271</v>
      </c>
      <c r="G2743" s="280">
        <v>45104</v>
      </c>
      <c r="H2743" s="280">
        <v>45104</v>
      </c>
      <c r="K2743" s="97">
        <v>9570166368</v>
      </c>
    </row>
    <row r="2744" spans="1:11" x14ac:dyDescent="0.3">
      <c r="A2744" s="302" t="s">
        <v>155</v>
      </c>
      <c r="B2744" s="302" t="str">
        <f t="shared" si="25"/>
        <v>Y</v>
      </c>
      <c r="C2744" s="473" t="s">
        <v>7746</v>
      </c>
      <c r="E2744" s="353" t="s">
        <v>7747</v>
      </c>
      <c r="F2744" s="280">
        <v>22982</v>
      </c>
      <c r="G2744" s="280">
        <v>45106</v>
      </c>
      <c r="H2744" s="280">
        <v>45106</v>
      </c>
      <c r="K2744" s="97">
        <v>8521895601</v>
      </c>
    </row>
    <row r="2745" spans="1:11" x14ac:dyDescent="0.3">
      <c r="A2745" s="302" t="s">
        <v>155</v>
      </c>
      <c r="B2745" s="302" t="str">
        <f t="shared" si="25"/>
        <v>Y</v>
      </c>
      <c r="C2745" s="473" t="s">
        <v>7748</v>
      </c>
      <c r="E2745" s="353" t="s">
        <v>7749</v>
      </c>
      <c r="F2745" s="280">
        <v>25800</v>
      </c>
      <c r="G2745" s="280">
        <v>45106</v>
      </c>
      <c r="H2745" s="280">
        <v>45106</v>
      </c>
      <c r="K2745" s="97">
        <v>8603210602</v>
      </c>
    </row>
    <row r="2746" spans="1:11" x14ac:dyDescent="0.3">
      <c r="A2746" s="302" t="s">
        <v>155</v>
      </c>
      <c r="B2746" s="302" t="str">
        <f t="shared" si="25"/>
        <v>Y</v>
      </c>
      <c r="C2746" s="473" t="s">
        <v>7750</v>
      </c>
      <c r="E2746" s="353" t="s">
        <v>7751</v>
      </c>
      <c r="F2746" s="280">
        <v>27546</v>
      </c>
      <c r="G2746" s="280">
        <v>45106</v>
      </c>
      <c r="H2746" s="280">
        <v>45106</v>
      </c>
      <c r="K2746" s="97">
        <v>8603505617</v>
      </c>
    </row>
    <row r="2747" spans="1:11" x14ac:dyDescent="0.3">
      <c r="A2747" s="302" t="s">
        <v>155</v>
      </c>
      <c r="B2747" s="302" t="str">
        <f t="shared" si="25"/>
        <v>N</v>
      </c>
      <c r="C2747" s="473" t="s">
        <v>7752</v>
      </c>
      <c r="E2747" s="353" t="s">
        <v>7753</v>
      </c>
      <c r="F2747" s="280">
        <v>31413</v>
      </c>
      <c r="K2747" s="97">
        <v>9031786105</v>
      </c>
    </row>
    <row r="2748" spans="1:11" x14ac:dyDescent="0.3">
      <c r="A2748" s="302" t="s">
        <v>155</v>
      </c>
      <c r="B2748" s="302" t="str">
        <f t="shared" si="25"/>
        <v>N</v>
      </c>
      <c r="C2748" s="473" t="s">
        <v>7754</v>
      </c>
      <c r="E2748" s="353" t="s">
        <v>7755</v>
      </c>
      <c r="F2748" s="280">
        <v>22773</v>
      </c>
      <c r="K2748" s="97">
        <v>9334189375</v>
      </c>
    </row>
    <row r="2749" spans="1:11" x14ac:dyDescent="0.3">
      <c r="A2749" s="302" t="s">
        <v>155</v>
      </c>
      <c r="B2749" s="302" t="str">
        <f t="shared" si="25"/>
        <v>Y</v>
      </c>
      <c r="C2749" s="480" t="s">
        <v>7756</v>
      </c>
      <c r="D2749" s="364"/>
      <c r="E2749" s="364" t="s">
        <v>7757</v>
      </c>
      <c r="F2749" s="288">
        <v>31671</v>
      </c>
      <c r="G2749" s="288">
        <v>45108</v>
      </c>
      <c r="H2749" s="288">
        <v>45108</v>
      </c>
      <c r="I2749" s="98" t="s">
        <v>7526</v>
      </c>
      <c r="K2749" s="97">
        <v>9031136569</v>
      </c>
    </row>
    <row r="2750" spans="1:11" x14ac:dyDescent="0.3">
      <c r="A2750" s="302" t="s">
        <v>155</v>
      </c>
      <c r="B2750" s="302" t="str">
        <f t="shared" si="25"/>
        <v>Y</v>
      </c>
      <c r="C2750" s="473" t="s">
        <v>7758</v>
      </c>
      <c r="E2750" s="353" t="s">
        <v>4283</v>
      </c>
      <c r="F2750" s="280">
        <v>33495</v>
      </c>
      <c r="G2750" s="280">
        <v>45108</v>
      </c>
      <c r="H2750" s="280">
        <v>45108</v>
      </c>
      <c r="K2750" s="97">
        <v>9199515792</v>
      </c>
    </row>
    <row r="2751" spans="1:11" x14ac:dyDescent="0.3">
      <c r="A2751" s="302" t="s">
        <v>155</v>
      </c>
      <c r="B2751" s="302" t="str">
        <f t="shared" si="25"/>
        <v>Y</v>
      </c>
      <c r="C2751" s="473" t="s">
        <v>7759</v>
      </c>
      <c r="E2751" s="353" t="s">
        <v>7760</v>
      </c>
      <c r="F2751" s="280">
        <v>19360</v>
      </c>
      <c r="G2751" s="280">
        <v>45108</v>
      </c>
      <c r="H2751" s="280">
        <v>45108</v>
      </c>
      <c r="K2751" s="97">
        <v>7209177524</v>
      </c>
    </row>
    <row r="2752" spans="1:11" x14ac:dyDescent="0.3">
      <c r="A2752" s="302" t="s">
        <v>155</v>
      </c>
      <c r="B2752" s="302" t="str">
        <f t="shared" si="25"/>
        <v>Y</v>
      </c>
      <c r="C2752" s="450" t="s">
        <v>3023</v>
      </c>
      <c r="D2752" s="328"/>
      <c r="E2752" s="341" t="s">
        <v>3024</v>
      </c>
      <c r="F2752" s="206" t="s">
        <v>3025</v>
      </c>
      <c r="G2752" s="280">
        <v>45108</v>
      </c>
      <c r="H2752" s="280">
        <v>45108</v>
      </c>
      <c r="J2752" s="216" t="s">
        <v>3027</v>
      </c>
      <c r="K2752" s="292">
        <v>6202698226</v>
      </c>
    </row>
    <row r="2753" spans="1:11" x14ac:dyDescent="0.3">
      <c r="A2753" s="302" t="s">
        <v>155</v>
      </c>
      <c r="B2753" s="302" t="str">
        <f t="shared" si="25"/>
        <v>Y</v>
      </c>
      <c r="C2753" s="479" t="s">
        <v>7761</v>
      </c>
      <c r="E2753" s="356" t="s">
        <v>7762</v>
      </c>
      <c r="F2753" s="280">
        <v>23527</v>
      </c>
      <c r="G2753" s="280">
        <v>45108</v>
      </c>
      <c r="H2753" s="280">
        <v>45108</v>
      </c>
      <c r="K2753" s="97">
        <v>8102002356</v>
      </c>
    </row>
    <row r="2754" spans="1:11" x14ac:dyDescent="0.3">
      <c r="A2754" s="302" t="s">
        <v>155</v>
      </c>
      <c r="B2754" s="302" t="str">
        <f t="shared" si="25"/>
        <v>Y</v>
      </c>
      <c r="C2754" s="479" t="s">
        <v>7763</v>
      </c>
      <c r="E2754" s="356" t="s">
        <v>7764</v>
      </c>
      <c r="F2754" s="280">
        <v>27323</v>
      </c>
      <c r="G2754" s="280">
        <v>45108</v>
      </c>
      <c r="H2754" s="280">
        <v>45108</v>
      </c>
      <c r="K2754" s="97">
        <v>7277346150</v>
      </c>
    </row>
    <row r="2755" spans="1:11" x14ac:dyDescent="0.3">
      <c r="A2755" s="302" t="s">
        <v>155</v>
      </c>
      <c r="B2755" s="302" t="str">
        <f t="shared" si="25"/>
        <v>Y</v>
      </c>
      <c r="C2755" s="479" t="s">
        <v>7765</v>
      </c>
      <c r="E2755" s="356" t="s">
        <v>7766</v>
      </c>
      <c r="F2755" s="280">
        <v>20455</v>
      </c>
      <c r="G2755" s="280">
        <v>45108</v>
      </c>
      <c r="H2755" s="280">
        <v>45108</v>
      </c>
      <c r="K2755" s="97">
        <v>9304587735</v>
      </c>
    </row>
    <row r="2756" spans="1:11" x14ac:dyDescent="0.3">
      <c r="A2756" s="302" t="s">
        <v>155</v>
      </c>
      <c r="B2756" s="302" t="str">
        <f t="shared" si="25"/>
        <v>Y</v>
      </c>
      <c r="C2756" s="479" t="s">
        <v>7767</v>
      </c>
      <c r="E2756" s="356" t="s">
        <v>7768</v>
      </c>
      <c r="F2756" s="280">
        <v>34031</v>
      </c>
      <c r="G2756" s="280">
        <v>45109</v>
      </c>
      <c r="H2756" s="280">
        <v>45109</v>
      </c>
      <c r="K2756" s="97">
        <v>8294368497</v>
      </c>
    </row>
    <row r="2757" spans="1:11" x14ac:dyDescent="0.3">
      <c r="A2757" s="302" t="s">
        <v>155</v>
      </c>
      <c r="B2757" s="302" t="str">
        <f t="shared" si="25"/>
        <v>Y</v>
      </c>
      <c r="C2757" s="479" t="s">
        <v>7769</v>
      </c>
      <c r="E2757" s="356" t="s">
        <v>7770</v>
      </c>
      <c r="F2757" s="280">
        <v>27395</v>
      </c>
      <c r="G2757" s="280">
        <v>45109</v>
      </c>
      <c r="H2757" s="280">
        <v>45109</v>
      </c>
      <c r="K2757" s="97">
        <v>9572218116</v>
      </c>
    </row>
    <row r="2758" spans="1:11" x14ac:dyDescent="0.3">
      <c r="A2758" s="302" t="s">
        <v>155</v>
      </c>
      <c r="B2758" s="302" t="str">
        <f t="shared" si="25"/>
        <v>Y</v>
      </c>
      <c r="C2758" s="479" t="s">
        <v>7771</v>
      </c>
      <c r="E2758" s="356" t="s">
        <v>6056</v>
      </c>
      <c r="F2758" s="280">
        <v>25202</v>
      </c>
      <c r="G2758" s="280">
        <v>45109</v>
      </c>
      <c r="H2758" s="280">
        <v>45109</v>
      </c>
      <c r="K2758" s="97">
        <v>8987605475</v>
      </c>
    </row>
    <row r="2759" spans="1:11" x14ac:dyDescent="0.3">
      <c r="A2759" s="302" t="s">
        <v>155</v>
      </c>
      <c r="B2759" s="302" t="str">
        <f t="shared" si="25"/>
        <v>Y</v>
      </c>
      <c r="C2759" s="479" t="s">
        <v>7772</v>
      </c>
      <c r="E2759" s="356" t="s">
        <v>892</v>
      </c>
      <c r="F2759" s="280">
        <v>35809</v>
      </c>
      <c r="G2759" s="280">
        <v>45109</v>
      </c>
      <c r="H2759" s="280">
        <v>45109</v>
      </c>
      <c r="K2759" s="97">
        <v>8789477875</v>
      </c>
    </row>
    <row r="2760" spans="1:11" x14ac:dyDescent="0.3">
      <c r="A2760" s="302" t="s">
        <v>155</v>
      </c>
      <c r="B2760" s="302" t="str">
        <f t="shared" si="25"/>
        <v>Y</v>
      </c>
      <c r="C2760" s="479" t="s">
        <v>7773</v>
      </c>
      <c r="E2760" s="356" t="s">
        <v>7774</v>
      </c>
      <c r="F2760" s="280">
        <v>19725</v>
      </c>
      <c r="G2760" s="280">
        <v>45112</v>
      </c>
      <c r="H2760" s="280">
        <v>45112</v>
      </c>
      <c r="K2760" s="97">
        <v>8863826939</v>
      </c>
    </row>
    <row r="2761" spans="1:11" x14ac:dyDescent="0.3">
      <c r="A2761" s="302" t="s">
        <v>155</v>
      </c>
      <c r="B2761" s="302" t="str">
        <f t="shared" si="25"/>
        <v>Y</v>
      </c>
      <c r="C2761" s="479" t="s">
        <v>7775</v>
      </c>
      <c r="E2761" s="356" t="s">
        <v>7776</v>
      </c>
      <c r="F2761" s="280">
        <v>27677</v>
      </c>
      <c r="G2761" s="280">
        <v>45112</v>
      </c>
      <c r="H2761" s="280">
        <v>45112</v>
      </c>
      <c r="K2761" s="97">
        <v>9931719913</v>
      </c>
    </row>
    <row r="2762" spans="1:11" x14ac:dyDescent="0.3">
      <c r="A2762" s="302" t="s">
        <v>155</v>
      </c>
      <c r="B2762" s="302" t="str">
        <f t="shared" si="25"/>
        <v>Y</v>
      </c>
      <c r="C2762" s="479" t="s">
        <v>7777</v>
      </c>
      <c r="E2762" s="356" t="s">
        <v>7778</v>
      </c>
      <c r="F2762" s="280">
        <v>37535</v>
      </c>
      <c r="G2762" s="280">
        <v>45112</v>
      </c>
      <c r="H2762" s="280">
        <v>45112</v>
      </c>
      <c r="K2762" s="97">
        <v>8235430517</v>
      </c>
    </row>
    <row r="2763" spans="1:11" x14ac:dyDescent="0.3">
      <c r="A2763" s="302" t="s">
        <v>155</v>
      </c>
      <c r="B2763" s="302" t="str">
        <f t="shared" si="25"/>
        <v>Y</v>
      </c>
      <c r="C2763" s="479" t="s">
        <v>7779</v>
      </c>
      <c r="E2763" s="356" t="s">
        <v>7780</v>
      </c>
      <c r="F2763" s="280">
        <v>30946</v>
      </c>
      <c r="G2763" s="280">
        <v>45113</v>
      </c>
      <c r="H2763" s="280">
        <v>45113</v>
      </c>
      <c r="K2763" s="97">
        <v>9835378505</v>
      </c>
    </row>
    <row r="2764" spans="1:11" x14ac:dyDescent="0.3">
      <c r="A2764" s="302" t="s">
        <v>155</v>
      </c>
      <c r="B2764" s="302" t="str">
        <f t="shared" si="25"/>
        <v>Y</v>
      </c>
      <c r="C2764" s="479" t="s">
        <v>7781</v>
      </c>
      <c r="E2764" s="356" t="s">
        <v>7782</v>
      </c>
      <c r="F2764" s="280">
        <v>24763</v>
      </c>
      <c r="G2764" s="280">
        <v>45113</v>
      </c>
      <c r="H2764" s="280">
        <v>45113</v>
      </c>
      <c r="K2764" s="97">
        <v>9113321267</v>
      </c>
    </row>
    <row r="2765" spans="1:11" x14ac:dyDescent="0.3">
      <c r="A2765" s="302" t="s">
        <v>155</v>
      </c>
      <c r="B2765" s="302" t="str">
        <f t="shared" si="25"/>
        <v>Y</v>
      </c>
      <c r="C2765" s="479" t="s">
        <v>7783</v>
      </c>
      <c r="E2765" s="356" t="s">
        <v>7784</v>
      </c>
      <c r="F2765" s="280">
        <v>25334</v>
      </c>
      <c r="G2765" s="280">
        <v>45113</v>
      </c>
      <c r="H2765" s="280">
        <v>45113</v>
      </c>
      <c r="K2765" s="97">
        <v>9709010060</v>
      </c>
    </row>
    <row r="2766" spans="1:11" x14ac:dyDescent="0.3">
      <c r="A2766" s="302" t="s">
        <v>155</v>
      </c>
      <c r="B2766" s="302" t="str">
        <f t="shared" si="25"/>
        <v>Y</v>
      </c>
      <c r="C2766" s="479" t="s">
        <v>7785</v>
      </c>
      <c r="E2766" s="356" t="s">
        <v>7786</v>
      </c>
      <c r="F2766" s="280">
        <v>28783</v>
      </c>
      <c r="G2766" s="280">
        <v>45113</v>
      </c>
      <c r="H2766" s="280">
        <v>45113</v>
      </c>
      <c r="K2766" s="97">
        <v>8873341331</v>
      </c>
    </row>
    <row r="2767" spans="1:11" x14ac:dyDescent="0.3">
      <c r="A2767" s="302" t="s">
        <v>155</v>
      </c>
      <c r="B2767" s="302" t="str">
        <f t="shared" si="25"/>
        <v>Y</v>
      </c>
      <c r="C2767" s="479" t="s">
        <v>7787</v>
      </c>
      <c r="E2767" s="356" t="s">
        <v>7788</v>
      </c>
      <c r="F2767" s="280">
        <v>25564</v>
      </c>
      <c r="G2767" s="280">
        <v>45114</v>
      </c>
      <c r="H2767" s="280">
        <v>45115</v>
      </c>
      <c r="K2767" s="97">
        <v>8084430529</v>
      </c>
    </row>
    <row r="2768" spans="1:11" x14ac:dyDescent="0.3">
      <c r="A2768" s="302" t="s">
        <v>155</v>
      </c>
      <c r="B2768" s="302" t="str">
        <f t="shared" ref="B2768:B2811" si="26">IF(H2768="","N","Y")</f>
        <v>Y</v>
      </c>
      <c r="C2768" s="479" t="s">
        <v>7789</v>
      </c>
      <c r="E2768" s="356" t="s">
        <v>7790</v>
      </c>
      <c r="F2768" s="280">
        <v>20962</v>
      </c>
      <c r="G2768" s="280">
        <v>45115</v>
      </c>
      <c r="H2768" s="280">
        <v>45115</v>
      </c>
      <c r="K2768" s="97">
        <v>9031133640</v>
      </c>
    </row>
    <row r="2769" spans="1:11" x14ac:dyDescent="0.3">
      <c r="A2769" s="302" t="s">
        <v>155</v>
      </c>
      <c r="B2769" s="302" t="str">
        <f t="shared" si="26"/>
        <v>Y</v>
      </c>
      <c r="C2769" s="479" t="s">
        <v>7791</v>
      </c>
      <c r="D2769" s="353" t="s">
        <v>7792</v>
      </c>
      <c r="E2769" s="356" t="s">
        <v>7793</v>
      </c>
      <c r="F2769" s="280">
        <v>38083</v>
      </c>
      <c r="G2769" s="280">
        <v>45116</v>
      </c>
      <c r="H2769" s="280">
        <v>45116</v>
      </c>
      <c r="K2769" s="97">
        <v>8797020249</v>
      </c>
    </row>
    <row r="2770" spans="1:11" x14ac:dyDescent="0.3">
      <c r="A2770" s="302" t="s">
        <v>155</v>
      </c>
      <c r="B2770" s="302" t="str">
        <f t="shared" si="26"/>
        <v>Y</v>
      </c>
      <c r="C2770" s="479" t="s">
        <v>7794</v>
      </c>
      <c r="D2770" s="353" t="s">
        <v>7795</v>
      </c>
      <c r="E2770" s="356" t="s">
        <v>7796</v>
      </c>
      <c r="F2770" s="280">
        <v>26665</v>
      </c>
      <c r="G2770" s="280">
        <v>45117</v>
      </c>
      <c r="H2770" s="280">
        <v>45117</v>
      </c>
      <c r="K2770" s="97">
        <v>6206146749</v>
      </c>
    </row>
    <row r="2771" spans="1:11" x14ac:dyDescent="0.3">
      <c r="A2771" s="302" t="s">
        <v>155</v>
      </c>
      <c r="B2771" s="302" t="str">
        <f t="shared" si="26"/>
        <v>Y</v>
      </c>
      <c r="C2771" s="479" t="s">
        <v>7797</v>
      </c>
      <c r="E2771" s="356" t="s">
        <v>7798</v>
      </c>
      <c r="F2771" s="280">
        <v>38105</v>
      </c>
      <c r="G2771" s="280">
        <v>45117</v>
      </c>
      <c r="H2771" s="280">
        <v>45117</v>
      </c>
      <c r="K2771" s="97">
        <v>9931265377</v>
      </c>
    </row>
    <row r="2772" spans="1:11" x14ac:dyDescent="0.3">
      <c r="A2772" s="302" t="s">
        <v>155</v>
      </c>
      <c r="B2772" s="302" t="str">
        <f t="shared" si="26"/>
        <v>Y</v>
      </c>
      <c r="C2772" s="479" t="s">
        <v>7799</v>
      </c>
      <c r="D2772" s="356" t="s">
        <v>7795</v>
      </c>
      <c r="E2772" s="356" t="s">
        <v>7800</v>
      </c>
      <c r="F2772" s="280">
        <v>25039</v>
      </c>
      <c r="G2772" s="280">
        <v>45117</v>
      </c>
      <c r="H2772" s="280">
        <v>45117</v>
      </c>
      <c r="K2772" s="97">
        <v>8797587471</v>
      </c>
    </row>
    <row r="2773" spans="1:11" x14ac:dyDescent="0.3">
      <c r="A2773" s="302" t="s">
        <v>155</v>
      </c>
      <c r="B2773" s="302" t="str">
        <f t="shared" si="26"/>
        <v>Y</v>
      </c>
      <c r="C2773" s="479" t="s">
        <v>7801</v>
      </c>
      <c r="E2773" s="356" t="s">
        <v>7802</v>
      </c>
      <c r="F2773" s="280">
        <v>38275</v>
      </c>
      <c r="G2773" s="280">
        <v>45118</v>
      </c>
      <c r="H2773" s="280">
        <v>45118</v>
      </c>
      <c r="K2773" s="97">
        <v>7992430628</v>
      </c>
    </row>
    <row r="2774" spans="1:11" x14ac:dyDescent="0.3">
      <c r="A2774" s="302" t="s">
        <v>155</v>
      </c>
      <c r="B2774" s="302" t="str">
        <f t="shared" si="26"/>
        <v>Y</v>
      </c>
      <c r="C2774" s="479" t="s">
        <v>7803</v>
      </c>
      <c r="E2774" s="356" t="s">
        <v>489</v>
      </c>
      <c r="F2774" s="280">
        <v>38238</v>
      </c>
      <c r="G2774" s="280">
        <v>45118</v>
      </c>
      <c r="H2774" s="280">
        <v>45118</v>
      </c>
      <c r="K2774" s="97">
        <v>9142908515</v>
      </c>
    </row>
    <row r="2775" spans="1:11" x14ac:dyDescent="0.3">
      <c r="A2775" s="302" t="s">
        <v>155</v>
      </c>
      <c r="B2775" s="302" t="str">
        <f t="shared" si="26"/>
        <v>Y</v>
      </c>
      <c r="C2775" s="479" t="s">
        <v>7804</v>
      </c>
      <c r="E2775" s="356" t="s">
        <v>7805</v>
      </c>
      <c r="F2775" s="280">
        <v>37059</v>
      </c>
      <c r="G2775" s="280">
        <v>45118</v>
      </c>
      <c r="H2775" s="280">
        <v>45118</v>
      </c>
      <c r="K2775" s="97">
        <v>8210698924</v>
      </c>
    </row>
    <row r="2776" spans="1:11" x14ac:dyDescent="0.3">
      <c r="A2776" s="302" t="s">
        <v>155</v>
      </c>
      <c r="B2776" s="302" t="str">
        <f t="shared" si="26"/>
        <v>Y</v>
      </c>
      <c r="C2776" s="483" t="s">
        <v>7806</v>
      </c>
      <c r="E2776" s="356" t="s">
        <v>3050</v>
      </c>
      <c r="F2776" s="280">
        <v>38081</v>
      </c>
      <c r="G2776" s="280">
        <v>45119</v>
      </c>
      <c r="H2776" s="280">
        <v>45119</v>
      </c>
      <c r="K2776" s="97">
        <v>6205604678</v>
      </c>
    </row>
    <row r="2777" spans="1:11" x14ac:dyDescent="0.3">
      <c r="A2777" s="302" t="s">
        <v>155</v>
      </c>
      <c r="B2777" s="302" t="str">
        <f t="shared" si="26"/>
        <v>Y</v>
      </c>
      <c r="C2777" s="479" t="s">
        <v>7807</v>
      </c>
      <c r="E2777" s="356" t="s">
        <v>7808</v>
      </c>
      <c r="F2777" s="280">
        <v>34114</v>
      </c>
      <c r="G2777" s="280">
        <v>45119</v>
      </c>
      <c r="H2777" s="280">
        <v>45119</v>
      </c>
      <c r="K2777" s="97">
        <v>8895075210</v>
      </c>
    </row>
    <row r="2778" spans="1:11" x14ac:dyDescent="0.3">
      <c r="A2778" s="302" t="s">
        <v>155</v>
      </c>
      <c r="B2778" s="302" t="str">
        <f t="shared" si="26"/>
        <v>Y</v>
      </c>
      <c r="C2778" s="483" t="s">
        <v>7809</v>
      </c>
      <c r="E2778" s="356" t="s">
        <v>7810</v>
      </c>
      <c r="F2778" s="280">
        <v>17168</v>
      </c>
      <c r="G2778" s="280">
        <v>45119</v>
      </c>
      <c r="H2778" s="280">
        <v>45119</v>
      </c>
      <c r="K2778" s="97">
        <v>7366980501</v>
      </c>
    </row>
    <row r="2779" spans="1:11" x14ac:dyDescent="0.3">
      <c r="A2779" s="302" t="s">
        <v>155</v>
      </c>
      <c r="B2779" s="302" t="str">
        <f t="shared" si="26"/>
        <v>Y</v>
      </c>
      <c r="C2779" s="483" t="s">
        <v>7811</v>
      </c>
      <c r="E2779" s="356" t="s">
        <v>7812</v>
      </c>
      <c r="F2779" s="280">
        <v>20608</v>
      </c>
      <c r="G2779" s="280">
        <v>45119</v>
      </c>
      <c r="H2779" s="280">
        <v>45119</v>
      </c>
      <c r="K2779" s="97">
        <v>9279279566</v>
      </c>
    </row>
    <row r="2780" spans="1:11" x14ac:dyDescent="0.3">
      <c r="A2780" s="302" t="s">
        <v>155</v>
      </c>
      <c r="B2780" s="302" t="str">
        <f t="shared" si="26"/>
        <v>Y</v>
      </c>
      <c r="C2780" s="483" t="s">
        <v>7813</v>
      </c>
      <c r="D2780" s="353" t="s">
        <v>27</v>
      </c>
      <c r="E2780" s="356" t="s">
        <v>852</v>
      </c>
      <c r="F2780" s="280">
        <v>26121</v>
      </c>
      <c r="G2780" s="280">
        <v>45120</v>
      </c>
      <c r="H2780" s="280">
        <v>45120</v>
      </c>
      <c r="K2780" s="97">
        <v>7004114264</v>
      </c>
    </row>
    <row r="2781" spans="1:11" x14ac:dyDescent="0.3">
      <c r="A2781" s="302" t="s">
        <v>155</v>
      </c>
      <c r="B2781" s="302" t="str">
        <f t="shared" si="26"/>
        <v>Y</v>
      </c>
      <c r="C2781" s="483" t="s">
        <v>7814</v>
      </c>
      <c r="D2781" s="353" t="s">
        <v>7815</v>
      </c>
      <c r="E2781" s="356" t="s">
        <v>7816</v>
      </c>
      <c r="F2781" s="280">
        <v>20121</v>
      </c>
      <c r="G2781" s="280">
        <v>45120</v>
      </c>
      <c r="H2781" s="280">
        <v>45120</v>
      </c>
      <c r="K2781" s="97">
        <v>7209603087</v>
      </c>
    </row>
    <row r="2782" spans="1:11" x14ac:dyDescent="0.3">
      <c r="A2782" s="302" t="s">
        <v>155</v>
      </c>
      <c r="B2782" s="302" t="str">
        <f t="shared" si="26"/>
        <v>Y</v>
      </c>
      <c r="C2782" s="483" t="s">
        <v>7817</v>
      </c>
      <c r="D2782" s="353" t="s">
        <v>7818</v>
      </c>
      <c r="E2782" s="356" t="s">
        <v>7819</v>
      </c>
      <c r="F2782" s="280">
        <v>18994</v>
      </c>
      <c r="G2782" s="280">
        <v>45123</v>
      </c>
      <c r="H2782" s="280">
        <v>45123</v>
      </c>
      <c r="K2782" s="97">
        <v>8757605605</v>
      </c>
    </row>
    <row r="2783" spans="1:11" x14ac:dyDescent="0.3">
      <c r="A2783" s="302" t="s">
        <v>155</v>
      </c>
      <c r="B2783" s="302" t="str">
        <f t="shared" si="26"/>
        <v>Y</v>
      </c>
      <c r="C2783" s="483" t="s">
        <v>7820</v>
      </c>
      <c r="E2783" s="356" t="s">
        <v>7821</v>
      </c>
      <c r="F2783" s="280">
        <v>34335</v>
      </c>
      <c r="G2783" s="280">
        <v>45123</v>
      </c>
      <c r="H2783" s="280">
        <v>45123</v>
      </c>
      <c r="K2783" s="97">
        <v>8235201253</v>
      </c>
    </row>
    <row r="2784" spans="1:11" x14ac:dyDescent="0.3">
      <c r="A2784" s="302" t="s">
        <v>155</v>
      </c>
      <c r="B2784" s="302" t="str">
        <f t="shared" si="26"/>
        <v>Y</v>
      </c>
      <c r="C2784" s="483" t="s">
        <v>7822</v>
      </c>
      <c r="E2784" s="356" t="s">
        <v>7823</v>
      </c>
      <c r="F2784" s="280">
        <v>35431</v>
      </c>
      <c r="G2784" s="280">
        <v>45123</v>
      </c>
      <c r="H2784" s="280">
        <v>45123</v>
      </c>
      <c r="K2784" s="97">
        <v>8797020253</v>
      </c>
    </row>
    <row r="2785" spans="1:11" x14ac:dyDescent="0.3">
      <c r="A2785" s="302" t="s">
        <v>155</v>
      </c>
      <c r="B2785" s="302" t="str">
        <f t="shared" si="26"/>
        <v>Y</v>
      </c>
      <c r="C2785" s="483" t="s">
        <v>7824</v>
      </c>
      <c r="D2785" s="353" t="s">
        <v>7815</v>
      </c>
      <c r="E2785" s="356" t="s">
        <v>7825</v>
      </c>
      <c r="F2785" s="280">
        <v>30326</v>
      </c>
      <c r="G2785" s="280">
        <v>45123</v>
      </c>
      <c r="H2785" s="280">
        <v>45123</v>
      </c>
      <c r="K2785" s="97">
        <v>8304735995</v>
      </c>
    </row>
    <row r="2786" spans="1:11" x14ac:dyDescent="0.3">
      <c r="A2786" s="302" t="s">
        <v>155</v>
      </c>
      <c r="B2786" s="302" t="str">
        <f t="shared" si="26"/>
        <v>Y</v>
      </c>
      <c r="C2786" s="483" t="s">
        <v>7826</v>
      </c>
      <c r="D2786" s="353" t="s">
        <v>7827</v>
      </c>
      <c r="E2786" s="356" t="s">
        <v>1965</v>
      </c>
      <c r="F2786" s="280">
        <v>37554</v>
      </c>
      <c r="G2786" s="280">
        <v>45123</v>
      </c>
      <c r="H2786" s="280">
        <v>45123</v>
      </c>
      <c r="K2786" s="97">
        <v>9508987998</v>
      </c>
    </row>
    <row r="2787" spans="1:11" x14ac:dyDescent="0.3">
      <c r="A2787" s="302" t="s">
        <v>155</v>
      </c>
      <c r="B2787" s="302" t="str">
        <f t="shared" si="26"/>
        <v>Y</v>
      </c>
      <c r="C2787" s="483" t="s">
        <v>7828</v>
      </c>
      <c r="D2787" s="353" t="s">
        <v>7829</v>
      </c>
      <c r="E2787" s="356" t="s">
        <v>7830</v>
      </c>
      <c r="F2787" s="280">
        <v>27028</v>
      </c>
      <c r="G2787" s="280">
        <v>45123</v>
      </c>
      <c r="H2787" s="280">
        <v>45123</v>
      </c>
      <c r="K2787" s="97">
        <v>9031080124</v>
      </c>
    </row>
    <row r="2788" spans="1:11" x14ac:dyDescent="0.3">
      <c r="A2788" s="302" t="s">
        <v>155</v>
      </c>
      <c r="B2788" s="302" t="str">
        <f t="shared" si="26"/>
        <v>Y</v>
      </c>
      <c r="C2788" s="483" t="s">
        <v>7831</v>
      </c>
      <c r="D2788" s="353" t="s">
        <v>7832</v>
      </c>
      <c r="E2788" s="356" t="s">
        <v>7833</v>
      </c>
      <c r="F2788" s="280">
        <v>23757</v>
      </c>
      <c r="G2788" s="280">
        <v>45123</v>
      </c>
      <c r="H2788" s="280">
        <v>45006</v>
      </c>
      <c r="K2788" s="97">
        <v>7763818271</v>
      </c>
    </row>
    <row r="2789" spans="1:11" x14ac:dyDescent="0.3">
      <c r="A2789" s="302" t="s">
        <v>155</v>
      </c>
      <c r="B2789" s="302" t="str">
        <f t="shared" si="26"/>
        <v>Y</v>
      </c>
      <c r="C2789" s="480" t="s">
        <v>7834</v>
      </c>
      <c r="D2789" s="364"/>
      <c r="E2789" s="364" t="s">
        <v>7835</v>
      </c>
      <c r="F2789" s="288">
        <v>31413</v>
      </c>
      <c r="G2789" s="288">
        <v>45124</v>
      </c>
      <c r="H2789" s="288">
        <v>45124</v>
      </c>
      <c r="I2789" s="301" t="s">
        <v>7836</v>
      </c>
      <c r="K2789" s="97">
        <v>6363892780</v>
      </c>
    </row>
    <row r="2790" spans="1:11" x14ac:dyDescent="0.3">
      <c r="A2790" s="302" t="s">
        <v>155</v>
      </c>
      <c r="B2790" s="302" t="str">
        <f t="shared" si="26"/>
        <v>Y</v>
      </c>
      <c r="C2790" s="480" t="s">
        <v>7837</v>
      </c>
      <c r="D2790" s="364"/>
      <c r="E2790" s="364" t="s">
        <v>817</v>
      </c>
      <c r="F2790" s="288">
        <v>25569</v>
      </c>
      <c r="G2790" s="288">
        <v>45124</v>
      </c>
      <c r="H2790" s="288">
        <v>45124</v>
      </c>
      <c r="I2790" s="301" t="s">
        <v>7836</v>
      </c>
      <c r="K2790" s="97">
        <v>8825253828</v>
      </c>
    </row>
    <row r="2791" spans="1:11" x14ac:dyDescent="0.3">
      <c r="A2791" s="302" t="s">
        <v>155</v>
      </c>
      <c r="B2791" s="302" t="str">
        <f t="shared" si="26"/>
        <v>Y</v>
      </c>
      <c r="C2791" s="483" t="s">
        <v>7838</v>
      </c>
      <c r="D2791" s="356" t="s">
        <v>7795</v>
      </c>
      <c r="E2791" s="356" t="s">
        <v>7839</v>
      </c>
      <c r="F2791" s="280">
        <v>31236</v>
      </c>
      <c r="G2791" s="280">
        <v>45125</v>
      </c>
      <c r="H2791" s="280">
        <v>45126</v>
      </c>
    </row>
    <row r="2792" spans="1:11" x14ac:dyDescent="0.3">
      <c r="A2792" s="302" t="s">
        <v>155</v>
      </c>
      <c r="B2792" s="302" t="str">
        <f t="shared" si="26"/>
        <v>Y</v>
      </c>
      <c r="C2792" s="483" t="s">
        <v>7840</v>
      </c>
      <c r="D2792" s="356" t="s">
        <v>7841</v>
      </c>
      <c r="E2792" s="356" t="s">
        <v>7842</v>
      </c>
      <c r="F2792" s="280">
        <v>28949</v>
      </c>
      <c r="G2792" s="280">
        <v>45126</v>
      </c>
      <c r="H2792" s="280">
        <v>45126</v>
      </c>
      <c r="K2792" s="97">
        <v>7004359335</v>
      </c>
    </row>
    <row r="2793" spans="1:11" x14ac:dyDescent="0.3">
      <c r="A2793" s="302" t="s">
        <v>155</v>
      </c>
      <c r="B2793" s="302" t="str">
        <f t="shared" si="26"/>
        <v>Y</v>
      </c>
      <c r="C2793" s="483" t="s">
        <v>7843</v>
      </c>
      <c r="E2793" s="356" t="s">
        <v>7844</v>
      </c>
      <c r="F2793" s="280">
        <v>25208</v>
      </c>
      <c r="G2793" s="280">
        <v>45126</v>
      </c>
      <c r="H2793" s="280">
        <v>45126</v>
      </c>
      <c r="K2793" s="97">
        <v>8292641900</v>
      </c>
    </row>
    <row r="2794" spans="1:11" x14ac:dyDescent="0.3">
      <c r="A2794" s="302" t="s">
        <v>155</v>
      </c>
      <c r="B2794" s="302" t="str">
        <f t="shared" si="26"/>
        <v>Y</v>
      </c>
      <c r="C2794" s="483" t="s">
        <v>7845</v>
      </c>
      <c r="D2794" s="356" t="s">
        <v>7795</v>
      </c>
      <c r="E2794" s="356" t="s">
        <v>7846</v>
      </c>
      <c r="F2794" s="280">
        <v>23284</v>
      </c>
      <c r="G2794" s="280">
        <v>45126</v>
      </c>
      <c r="H2794" s="280">
        <v>45126</v>
      </c>
      <c r="K2794" s="97">
        <v>8252453237</v>
      </c>
    </row>
    <row r="2795" spans="1:11" x14ac:dyDescent="0.3">
      <c r="A2795" s="302" t="s">
        <v>155</v>
      </c>
      <c r="B2795" s="302" t="str">
        <f t="shared" si="26"/>
        <v>Y</v>
      </c>
      <c r="C2795" s="483" t="s">
        <v>7847</v>
      </c>
      <c r="E2795" s="356" t="s">
        <v>3614</v>
      </c>
      <c r="F2795" s="280">
        <v>27514</v>
      </c>
      <c r="G2795" s="280">
        <v>45126</v>
      </c>
      <c r="H2795" s="280">
        <v>45126</v>
      </c>
      <c r="K2795" s="97">
        <v>9204359913</v>
      </c>
    </row>
    <row r="2796" spans="1:11" x14ac:dyDescent="0.3">
      <c r="A2796" s="302" t="s">
        <v>155</v>
      </c>
      <c r="B2796" s="302" t="str">
        <f t="shared" si="26"/>
        <v>Y</v>
      </c>
      <c r="C2796" s="483" t="s">
        <v>7848</v>
      </c>
      <c r="E2796" s="356" t="s">
        <v>7849</v>
      </c>
      <c r="F2796" s="280">
        <v>33005</v>
      </c>
      <c r="G2796" s="280">
        <v>45126</v>
      </c>
      <c r="H2796" s="280">
        <v>45126</v>
      </c>
      <c r="K2796" s="97">
        <v>7367965496</v>
      </c>
    </row>
    <row r="2797" spans="1:11" x14ac:dyDescent="0.3">
      <c r="A2797" s="302" t="s">
        <v>155</v>
      </c>
      <c r="B2797" s="302" t="str">
        <f t="shared" si="26"/>
        <v>Y</v>
      </c>
      <c r="C2797" s="483" t="s">
        <v>7850</v>
      </c>
      <c r="E2797" s="356" t="s">
        <v>7851</v>
      </c>
      <c r="F2797" s="280">
        <v>38037</v>
      </c>
      <c r="G2797" s="280">
        <v>45127</v>
      </c>
      <c r="H2797" s="280">
        <v>45127</v>
      </c>
      <c r="K2797" s="97">
        <v>8797944745</v>
      </c>
    </row>
    <row r="2798" spans="1:11" x14ac:dyDescent="0.3">
      <c r="A2798" s="302" t="s">
        <v>155</v>
      </c>
      <c r="B2798" s="302" t="str">
        <f t="shared" si="26"/>
        <v>Y</v>
      </c>
      <c r="C2798" s="483" t="s">
        <v>7852</v>
      </c>
      <c r="E2798" s="356" t="s">
        <v>7853</v>
      </c>
      <c r="F2798" s="280">
        <v>38393</v>
      </c>
      <c r="G2798" s="280">
        <v>45127</v>
      </c>
      <c r="H2798" s="280">
        <v>45127</v>
      </c>
      <c r="K2798" s="97">
        <v>8797944745</v>
      </c>
    </row>
    <row r="2799" spans="1:11" x14ac:dyDescent="0.3">
      <c r="A2799" s="302" t="s">
        <v>155</v>
      </c>
      <c r="B2799" s="302" t="str">
        <f t="shared" si="26"/>
        <v>Y</v>
      </c>
      <c r="C2799" s="483" t="s">
        <v>7854</v>
      </c>
      <c r="E2799" s="356" t="s">
        <v>7855</v>
      </c>
      <c r="F2799" s="280">
        <v>38296</v>
      </c>
      <c r="G2799" s="280">
        <v>45127</v>
      </c>
      <c r="H2799" s="280">
        <v>45127</v>
      </c>
    </row>
    <row r="2800" spans="1:11" x14ac:dyDescent="0.3">
      <c r="A2800" s="302" t="s">
        <v>155</v>
      </c>
      <c r="B2800" s="302" t="str">
        <f t="shared" si="26"/>
        <v>Y</v>
      </c>
      <c r="C2800" s="480" t="s">
        <v>7856</v>
      </c>
      <c r="D2800" s="353" t="s">
        <v>7857</v>
      </c>
      <c r="E2800" s="356" t="s">
        <v>7858</v>
      </c>
      <c r="F2800" s="280">
        <v>31848</v>
      </c>
      <c r="G2800" s="280">
        <v>45127</v>
      </c>
      <c r="H2800" s="280">
        <v>45128</v>
      </c>
      <c r="K2800" s="97">
        <v>9835223645</v>
      </c>
    </row>
    <row r="2801" spans="1:11" x14ac:dyDescent="0.3">
      <c r="A2801" s="302" t="s">
        <v>155</v>
      </c>
      <c r="B2801" s="302" t="str">
        <f t="shared" si="26"/>
        <v>Y</v>
      </c>
      <c r="C2801" s="483" t="s">
        <v>7859</v>
      </c>
      <c r="D2801" s="353" t="s">
        <v>7857</v>
      </c>
      <c r="E2801" s="356" t="s">
        <v>7860</v>
      </c>
      <c r="F2801" s="280">
        <v>17304</v>
      </c>
      <c r="G2801" s="280">
        <v>45127</v>
      </c>
      <c r="H2801" s="280">
        <v>45128</v>
      </c>
      <c r="K2801" s="97">
        <v>8789947194</v>
      </c>
    </row>
    <row r="2802" spans="1:11" x14ac:dyDescent="0.3">
      <c r="A2802" s="302" t="s">
        <v>155</v>
      </c>
      <c r="B2802" s="302" t="str">
        <f t="shared" si="26"/>
        <v>Y</v>
      </c>
      <c r="C2802" s="483" t="s">
        <v>7861</v>
      </c>
      <c r="E2802" s="356" t="s">
        <v>3666</v>
      </c>
      <c r="F2802" s="280">
        <v>38266</v>
      </c>
      <c r="G2802" s="280">
        <v>45127</v>
      </c>
      <c r="H2802" s="280">
        <v>45128</v>
      </c>
      <c r="K2802" s="97">
        <v>6205577299</v>
      </c>
    </row>
    <row r="2803" spans="1:11" x14ac:dyDescent="0.3">
      <c r="A2803" s="302" t="s">
        <v>155</v>
      </c>
      <c r="B2803" s="302" t="str">
        <f t="shared" si="26"/>
        <v>Y</v>
      </c>
      <c r="C2803" s="483" t="s">
        <v>7862</v>
      </c>
      <c r="E2803" s="356" t="s">
        <v>7863</v>
      </c>
      <c r="F2803" s="280">
        <v>38180</v>
      </c>
      <c r="G2803" s="280">
        <v>45130</v>
      </c>
      <c r="H2803" s="280">
        <v>45130</v>
      </c>
      <c r="K2803" s="97">
        <v>6206761096</v>
      </c>
    </row>
    <row r="2804" spans="1:11" x14ac:dyDescent="0.3">
      <c r="A2804" s="302" t="s">
        <v>155</v>
      </c>
      <c r="B2804" s="302" t="str">
        <f t="shared" si="26"/>
        <v>Y</v>
      </c>
      <c r="C2804" s="483" t="s">
        <v>7864</v>
      </c>
      <c r="E2804" s="356" t="s">
        <v>7865</v>
      </c>
      <c r="F2804" s="280">
        <v>38472</v>
      </c>
      <c r="G2804" s="280">
        <v>45130</v>
      </c>
      <c r="H2804" s="280">
        <v>45130</v>
      </c>
      <c r="K2804" s="97">
        <v>8709748924</v>
      </c>
    </row>
    <row r="2805" spans="1:11" x14ac:dyDescent="0.3">
      <c r="A2805" s="302" t="s">
        <v>155</v>
      </c>
      <c r="B2805" s="302" t="str">
        <f t="shared" si="26"/>
        <v>Y</v>
      </c>
      <c r="C2805" s="479" t="s">
        <v>7866</v>
      </c>
      <c r="E2805" s="356" t="s">
        <v>7867</v>
      </c>
      <c r="F2805" s="280">
        <v>32058</v>
      </c>
      <c r="G2805" s="280">
        <v>45131</v>
      </c>
      <c r="H2805" s="280">
        <v>45132</v>
      </c>
      <c r="K2805" s="97">
        <v>9934176726</v>
      </c>
    </row>
    <row r="2806" spans="1:11" x14ac:dyDescent="0.3">
      <c r="A2806" s="302" t="s">
        <v>155</v>
      </c>
      <c r="B2806" s="302" t="str">
        <f t="shared" si="26"/>
        <v>Y</v>
      </c>
      <c r="C2806" s="479" t="s">
        <v>7868</v>
      </c>
      <c r="E2806" s="356" t="s">
        <v>3221</v>
      </c>
      <c r="F2806" s="280">
        <v>18314</v>
      </c>
      <c r="G2806" s="280">
        <v>45134</v>
      </c>
      <c r="H2806" s="280">
        <v>45134</v>
      </c>
      <c r="K2806" s="97">
        <v>9334076703</v>
      </c>
    </row>
    <row r="2807" spans="1:11" x14ac:dyDescent="0.3">
      <c r="A2807" s="302" t="s">
        <v>155</v>
      </c>
      <c r="B2807" s="302" t="str">
        <f t="shared" si="26"/>
        <v>Y</v>
      </c>
      <c r="C2807" s="479" t="s">
        <v>7869</v>
      </c>
      <c r="E2807" s="356" t="s">
        <v>7870</v>
      </c>
      <c r="F2807" s="280">
        <v>39159</v>
      </c>
      <c r="G2807" s="280">
        <v>45134</v>
      </c>
      <c r="H2807" s="280">
        <v>45134</v>
      </c>
      <c r="K2807" s="97">
        <v>9334536985</v>
      </c>
    </row>
    <row r="2808" spans="1:11" x14ac:dyDescent="0.3">
      <c r="A2808" s="302" t="s">
        <v>155</v>
      </c>
      <c r="B2808" s="302" t="str">
        <f t="shared" si="26"/>
        <v>Y</v>
      </c>
      <c r="C2808" s="479" t="s">
        <v>7871</v>
      </c>
      <c r="E2808" s="356" t="s">
        <v>7872</v>
      </c>
      <c r="F2808" s="280">
        <v>20222</v>
      </c>
      <c r="G2808" s="280">
        <v>45134</v>
      </c>
      <c r="H2808" s="280">
        <v>45134</v>
      </c>
      <c r="K2808" s="97">
        <v>7209311096</v>
      </c>
    </row>
    <row r="2809" spans="1:11" x14ac:dyDescent="0.3">
      <c r="A2809" s="302" t="s">
        <v>155</v>
      </c>
      <c r="B2809" s="302" t="str">
        <f t="shared" si="26"/>
        <v>Y</v>
      </c>
      <c r="C2809" s="479" t="s">
        <v>7873</v>
      </c>
      <c r="E2809" s="356" t="s">
        <v>7874</v>
      </c>
      <c r="F2809" s="280">
        <v>23012</v>
      </c>
      <c r="G2809" s="280">
        <v>45134</v>
      </c>
      <c r="H2809" s="280">
        <v>45134</v>
      </c>
      <c r="K2809" s="97">
        <v>9162526792</v>
      </c>
    </row>
    <row r="2810" spans="1:11" x14ac:dyDescent="0.3">
      <c r="A2810" s="302" t="s">
        <v>155</v>
      </c>
      <c r="B2810" s="302" t="str">
        <f t="shared" si="26"/>
        <v>Y</v>
      </c>
      <c r="C2810" s="479" t="s">
        <v>7875</v>
      </c>
      <c r="E2810" s="356" t="s">
        <v>7876</v>
      </c>
      <c r="F2810" s="280">
        <v>37149</v>
      </c>
      <c r="G2810" s="280">
        <v>45134</v>
      </c>
      <c r="H2810" s="280">
        <v>45134</v>
      </c>
      <c r="K2810" s="97">
        <v>8825391073</v>
      </c>
    </row>
    <row r="2811" spans="1:11" x14ac:dyDescent="0.3">
      <c r="A2811" s="302" t="s">
        <v>155</v>
      </c>
      <c r="B2811" s="302" t="str">
        <f t="shared" si="26"/>
        <v>Y</v>
      </c>
      <c r="C2811" s="479" t="s">
        <v>7877</v>
      </c>
      <c r="E2811" s="356" t="s">
        <v>7878</v>
      </c>
      <c r="F2811" s="303" t="s">
        <v>7879</v>
      </c>
      <c r="G2811" s="280">
        <v>45134</v>
      </c>
      <c r="H2811" s="280">
        <v>45134</v>
      </c>
      <c r="K2811" s="97">
        <v>6299974745</v>
      </c>
    </row>
    <row r="2812" spans="1:11" x14ac:dyDescent="0.3">
      <c r="A2812">
        <v>100</v>
      </c>
      <c r="B2812" s="302" t="str">
        <f>IF(H2812="","N","Y")</f>
        <v>Y</v>
      </c>
      <c r="C2812" s="479" t="s">
        <v>7880</v>
      </c>
      <c r="E2812" s="356" t="s">
        <v>2842</v>
      </c>
      <c r="F2812" s="280">
        <v>32754</v>
      </c>
      <c r="G2812" s="280">
        <v>45135</v>
      </c>
      <c r="H2812" s="280">
        <v>45135</v>
      </c>
      <c r="K2812" s="97">
        <v>8877801664</v>
      </c>
    </row>
    <row r="2813" spans="1:11" x14ac:dyDescent="0.3">
      <c r="A2813" s="302" t="s">
        <v>155</v>
      </c>
      <c r="B2813" s="302" t="str">
        <f t="shared" ref="B2813:B2876" si="27">IF(H2813="","N","Y")</f>
        <v>Y</v>
      </c>
      <c r="C2813" s="479" t="s">
        <v>7881</v>
      </c>
      <c r="E2813" s="356" t="s">
        <v>7882</v>
      </c>
      <c r="F2813" s="280">
        <v>38903</v>
      </c>
      <c r="G2813" s="280">
        <v>45136</v>
      </c>
      <c r="H2813" s="280">
        <v>45136</v>
      </c>
      <c r="K2813" s="97">
        <v>7320020105</v>
      </c>
    </row>
    <row r="2814" spans="1:11" x14ac:dyDescent="0.3">
      <c r="A2814" s="302" t="s">
        <v>155</v>
      </c>
      <c r="B2814" s="302" t="str">
        <f t="shared" si="27"/>
        <v>Y</v>
      </c>
      <c r="C2814" s="479" t="s">
        <v>7880</v>
      </c>
      <c r="E2814" s="356" t="s">
        <v>7883</v>
      </c>
      <c r="G2814" s="280">
        <v>45138</v>
      </c>
      <c r="H2814" s="280">
        <v>45138</v>
      </c>
      <c r="J2814" t="s">
        <v>7884</v>
      </c>
    </row>
    <row r="2815" spans="1:11" x14ac:dyDescent="0.3">
      <c r="A2815" s="302" t="s">
        <v>155</v>
      </c>
      <c r="B2815" s="302" t="str">
        <f t="shared" si="27"/>
        <v>Y</v>
      </c>
      <c r="C2815" s="479" t="s">
        <v>7885</v>
      </c>
      <c r="E2815" s="356" t="s">
        <v>7886</v>
      </c>
      <c r="F2815" s="280">
        <v>16498</v>
      </c>
      <c r="G2815" s="280">
        <v>45138</v>
      </c>
      <c r="H2815" s="280">
        <v>45138</v>
      </c>
      <c r="K2815" s="97">
        <v>9835931837</v>
      </c>
    </row>
    <row r="2816" spans="1:11" x14ac:dyDescent="0.3">
      <c r="A2816" s="302" t="s">
        <v>155</v>
      </c>
      <c r="B2816" s="302" t="str">
        <f t="shared" si="27"/>
        <v>Y</v>
      </c>
      <c r="C2816" s="479" t="s">
        <v>7887</v>
      </c>
      <c r="E2816" s="356" t="s">
        <v>7888</v>
      </c>
      <c r="F2816" s="280">
        <v>36687</v>
      </c>
      <c r="G2816" s="280">
        <v>45138</v>
      </c>
      <c r="H2816" s="280">
        <v>45138</v>
      </c>
      <c r="K2816" s="97">
        <v>6205438660</v>
      </c>
    </row>
    <row r="2817" spans="1:13" x14ac:dyDescent="0.3">
      <c r="A2817" s="302" t="s">
        <v>155</v>
      </c>
      <c r="B2817" s="302" t="str">
        <f t="shared" si="27"/>
        <v>Y</v>
      </c>
      <c r="C2817" s="479" t="s">
        <v>7889</v>
      </c>
      <c r="D2817" s="356" t="s">
        <v>7890</v>
      </c>
      <c r="E2817" s="356" t="s">
        <v>7891</v>
      </c>
      <c r="F2817" s="280">
        <v>23747</v>
      </c>
      <c r="G2817" s="280">
        <v>45139</v>
      </c>
      <c r="H2817" s="280">
        <v>45139</v>
      </c>
      <c r="K2817" s="97">
        <v>9835566462</v>
      </c>
    </row>
    <row r="2818" spans="1:13" x14ac:dyDescent="0.3">
      <c r="A2818" s="302" t="s">
        <v>155</v>
      </c>
      <c r="B2818" s="302" t="str">
        <f t="shared" si="27"/>
        <v>Y</v>
      </c>
      <c r="C2818" s="479" t="s">
        <v>7892</v>
      </c>
      <c r="D2818" s="356" t="s">
        <v>7795</v>
      </c>
      <c r="E2818" s="356" t="s">
        <v>7893</v>
      </c>
      <c r="F2818" s="280">
        <v>28488</v>
      </c>
      <c r="G2818" s="280">
        <v>45139</v>
      </c>
      <c r="H2818" s="280">
        <v>45139</v>
      </c>
      <c r="K2818" s="97">
        <v>8873480469</v>
      </c>
    </row>
    <row r="2819" spans="1:13" x14ac:dyDescent="0.3">
      <c r="A2819" s="302" t="s">
        <v>155</v>
      </c>
      <c r="B2819" s="302" t="str">
        <f t="shared" si="27"/>
        <v>Y</v>
      </c>
      <c r="C2819" s="479" t="s">
        <v>7894</v>
      </c>
      <c r="D2819" s="356" t="s">
        <v>7895</v>
      </c>
      <c r="E2819" s="356" t="s">
        <v>7896</v>
      </c>
      <c r="F2819" s="280">
        <v>19678</v>
      </c>
      <c r="G2819" s="280">
        <v>45139</v>
      </c>
      <c r="H2819" s="280">
        <v>45139</v>
      </c>
      <c r="K2819" s="97">
        <v>8092202921</v>
      </c>
    </row>
    <row r="2820" spans="1:13" x14ac:dyDescent="0.3">
      <c r="A2820" s="302" t="s">
        <v>155</v>
      </c>
      <c r="B2820" s="302" t="str">
        <f t="shared" si="27"/>
        <v>Y</v>
      </c>
      <c r="C2820" s="479" t="s">
        <v>7897</v>
      </c>
      <c r="E2820" s="356" t="s">
        <v>7898</v>
      </c>
      <c r="F2820" s="280">
        <v>31413</v>
      </c>
      <c r="G2820" s="280">
        <v>45140</v>
      </c>
      <c r="H2820" s="280">
        <v>45140</v>
      </c>
      <c r="K2820" s="97">
        <v>7320055973</v>
      </c>
    </row>
    <row r="2821" spans="1:13" x14ac:dyDescent="0.3">
      <c r="A2821" s="302" t="s">
        <v>155</v>
      </c>
      <c r="B2821" s="302" t="str">
        <f t="shared" si="27"/>
        <v>Y</v>
      </c>
      <c r="C2821" s="479" t="s">
        <v>7899</v>
      </c>
      <c r="D2821" s="353" t="s">
        <v>7895</v>
      </c>
      <c r="E2821" s="356" t="s">
        <v>7900</v>
      </c>
      <c r="F2821" s="280">
        <v>33874</v>
      </c>
      <c r="G2821" s="280">
        <v>45141</v>
      </c>
      <c r="H2821" s="280">
        <v>45141</v>
      </c>
      <c r="K2821" s="97">
        <v>9608686379</v>
      </c>
    </row>
    <row r="2822" spans="1:13" x14ac:dyDescent="0.3">
      <c r="A2822" s="302" t="s">
        <v>155</v>
      </c>
      <c r="B2822" s="302" t="str">
        <f t="shared" si="27"/>
        <v>Y</v>
      </c>
      <c r="C2822" s="479" t="s">
        <v>7901</v>
      </c>
      <c r="E2822" s="356" t="s">
        <v>7902</v>
      </c>
      <c r="F2822" s="280">
        <v>38050</v>
      </c>
      <c r="G2822" s="280">
        <v>45141</v>
      </c>
      <c r="H2822" s="280">
        <v>45141</v>
      </c>
      <c r="K2822" s="97">
        <v>9234581787</v>
      </c>
    </row>
    <row r="2823" spans="1:13" x14ac:dyDescent="0.3">
      <c r="A2823" s="279" t="s">
        <v>155</v>
      </c>
      <c r="B2823" s="279" t="str">
        <f t="shared" si="27"/>
        <v>N</v>
      </c>
      <c r="C2823" s="481" t="s">
        <v>7903</v>
      </c>
      <c r="D2823" s="368"/>
      <c r="E2823" s="358" t="s">
        <v>6122</v>
      </c>
      <c r="F2823" s="281">
        <v>37286</v>
      </c>
      <c r="G2823" s="281">
        <v>45141</v>
      </c>
      <c r="H2823" s="281"/>
      <c r="I2823" s="284"/>
      <c r="J2823" s="284"/>
      <c r="K2823" s="298">
        <v>8603602266</v>
      </c>
      <c r="L2823" t="s">
        <v>7904</v>
      </c>
      <c r="M2823" s="82">
        <v>45143</v>
      </c>
    </row>
    <row r="2824" spans="1:13" x14ac:dyDescent="0.3">
      <c r="A2824" s="302" t="s">
        <v>155</v>
      </c>
      <c r="B2824" s="302" t="str">
        <f t="shared" si="27"/>
        <v>Y</v>
      </c>
      <c r="C2824" s="479" t="s">
        <v>7905</v>
      </c>
      <c r="E2824" s="356" t="s">
        <v>7906</v>
      </c>
      <c r="F2824" s="280">
        <v>28856</v>
      </c>
      <c r="G2824" s="280">
        <v>45141</v>
      </c>
      <c r="H2824" s="280">
        <v>45141</v>
      </c>
      <c r="K2824" s="97">
        <v>8102503670</v>
      </c>
    </row>
    <row r="2825" spans="1:13" x14ac:dyDescent="0.3">
      <c r="A2825" s="302" t="s">
        <v>155</v>
      </c>
      <c r="B2825" s="302" t="str">
        <f t="shared" si="27"/>
        <v>Y</v>
      </c>
      <c r="C2825" s="479" t="s">
        <v>7907</v>
      </c>
      <c r="E2825" s="356" t="s">
        <v>7908</v>
      </c>
      <c r="F2825" s="280">
        <v>28491</v>
      </c>
      <c r="G2825" s="280">
        <v>45141</v>
      </c>
      <c r="H2825" s="280">
        <v>45141</v>
      </c>
      <c r="K2825" s="97">
        <v>9955198702</v>
      </c>
    </row>
    <row r="2826" spans="1:13" x14ac:dyDescent="0.3">
      <c r="A2826" s="302" t="s">
        <v>155</v>
      </c>
      <c r="B2826" s="302" t="str">
        <f t="shared" si="27"/>
        <v>Y</v>
      </c>
      <c r="C2826" s="458" t="s">
        <v>7909</v>
      </c>
      <c r="E2826" s="356" t="s">
        <v>7910</v>
      </c>
      <c r="F2826" s="280">
        <v>36892</v>
      </c>
      <c r="G2826" s="280">
        <v>45141</v>
      </c>
      <c r="H2826" s="280">
        <v>45141</v>
      </c>
      <c r="K2826" s="97">
        <v>8235429981</v>
      </c>
    </row>
    <row r="2827" spans="1:13" x14ac:dyDescent="0.3">
      <c r="A2827" s="302" t="s">
        <v>155</v>
      </c>
      <c r="B2827" s="302" t="str">
        <f t="shared" si="27"/>
        <v>Y</v>
      </c>
      <c r="C2827" s="479" t="s">
        <v>7911</v>
      </c>
      <c r="D2827" s="356" t="s">
        <v>7795</v>
      </c>
      <c r="E2827" s="356" t="s">
        <v>7912</v>
      </c>
      <c r="F2827" s="280">
        <v>26479</v>
      </c>
      <c r="G2827" s="280">
        <v>45142</v>
      </c>
      <c r="H2827" s="280">
        <v>45142</v>
      </c>
      <c r="K2827" s="97">
        <v>8986640405</v>
      </c>
    </row>
    <row r="2828" spans="1:13" x14ac:dyDescent="0.3">
      <c r="A2828" s="302" t="s">
        <v>155</v>
      </c>
      <c r="B2828" s="302" t="str">
        <f t="shared" si="27"/>
        <v>Y</v>
      </c>
      <c r="C2828" s="479" t="s">
        <v>7913</v>
      </c>
      <c r="E2828" s="356" t="s">
        <v>7914</v>
      </c>
      <c r="F2828" s="280">
        <v>37431</v>
      </c>
      <c r="G2828" s="280">
        <v>45142</v>
      </c>
      <c r="H2828" s="280">
        <v>45142</v>
      </c>
      <c r="K2828" s="97">
        <v>9693473566</v>
      </c>
    </row>
    <row r="2829" spans="1:13" x14ac:dyDescent="0.3">
      <c r="A2829" s="302" t="s">
        <v>155</v>
      </c>
      <c r="B2829" s="302" t="str">
        <f t="shared" si="27"/>
        <v>Y</v>
      </c>
      <c r="C2829" s="479" t="s">
        <v>7915</v>
      </c>
      <c r="E2829" s="356" t="s">
        <v>7916</v>
      </c>
      <c r="F2829" s="280">
        <v>17899</v>
      </c>
      <c r="G2829" s="280">
        <v>45128</v>
      </c>
      <c r="H2829" s="280">
        <v>45143</v>
      </c>
      <c r="K2829" s="97">
        <v>9334636033</v>
      </c>
    </row>
    <row r="2830" spans="1:13" x14ac:dyDescent="0.3">
      <c r="A2830" s="302" t="s">
        <v>155</v>
      </c>
      <c r="B2830" s="302" t="str">
        <f t="shared" si="27"/>
        <v>Y</v>
      </c>
      <c r="C2830" s="479" t="s">
        <v>7917</v>
      </c>
      <c r="E2830" s="356" t="s">
        <v>7825</v>
      </c>
      <c r="F2830" s="280">
        <v>36654</v>
      </c>
      <c r="G2830" s="280">
        <v>45143</v>
      </c>
      <c r="H2830" s="280">
        <v>45143</v>
      </c>
      <c r="K2830" s="97">
        <v>7091536650</v>
      </c>
    </row>
    <row r="2831" spans="1:13" x14ac:dyDescent="0.3">
      <c r="A2831" s="302" t="s">
        <v>155</v>
      </c>
      <c r="B2831" s="302" t="str">
        <f t="shared" si="27"/>
        <v>Y</v>
      </c>
      <c r="C2831" s="479" t="s">
        <v>7918</v>
      </c>
      <c r="E2831" s="356" t="s">
        <v>7919</v>
      </c>
      <c r="F2831" s="280">
        <v>38495</v>
      </c>
      <c r="G2831" s="280">
        <v>45143</v>
      </c>
      <c r="H2831" s="280">
        <v>45143</v>
      </c>
      <c r="K2831" s="97">
        <v>8252152920</v>
      </c>
    </row>
    <row r="2832" spans="1:13" x14ac:dyDescent="0.3">
      <c r="A2832" s="302" t="s">
        <v>155</v>
      </c>
      <c r="B2832" s="302" t="str">
        <f t="shared" si="27"/>
        <v>Y</v>
      </c>
      <c r="C2832" s="479" t="s">
        <v>7920</v>
      </c>
      <c r="E2832" s="356" t="s">
        <v>7921</v>
      </c>
      <c r="F2832" s="280">
        <v>21748</v>
      </c>
      <c r="G2832" s="280">
        <v>45143</v>
      </c>
      <c r="H2832" s="280">
        <v>45143</v>
      </c>
      <c r="K2832" s="97">
        <v>9431761645</v>
      </c>
    </row>
    <row r="2833" spans="1:11" x14ac:dyDescent="0.3">
      <c r="A2833" s="302" t="s">
        <v>155</v>
      </c>
      <c r="B2833" s="302" t="str">
        <f t="shared" si="27"/>
        <v>Y</v>
      </c>
      <c r="C2833" s="479" t="s">
        <v>7922</v>
      </c>
      <c r="E2833" s="356" t="s">
        <v>7923</v>
      </c>
      <c r="F2833" s="280">
        <v>19406</v>
      </c>
      <c r="G2833" s="280">
        <v>45143</v>
      </c>
      <c r="H2833" s="280">
        <v>45143</v>
      </c>
      <c r="K2833" s="97">
        <v>7546962475</v>
      </c>
    </row>
    <row r="2834" spans="1:11" x14ac:dyDescent="0.3">
      <c r="A2834" s="302" t="s">
        <v>155</v>
      </c>
      <c r="B2834" s="302" t="str">
        <f t="shared" si="27"/>
        <v>Y</v>
      </c>
      <c r="C2834" s="479" t="s">
        <v>7924</v>
      </c>
      <c r="E2834" s="356" t="s">
        <v>7925</v>
      </c>
      <c r="F2834" s="280">
        <v>29246</v>
      </c>
      <c r="G2834" s="280">
        <v>45147</v>
      </c>
      <c r="H2834" s="280">
        <v>45147</v>
      </c>
      <c r="K2834" s="97">
        <v>6370690748</v>
      </c>
    </row>
    <row r="2835" spans="1:11" x14ac:dyDescent="0.3">
      <c r="A2835" s="302" t="s">
        <v>155</v>
      </c>
      <c r="B2835" s="302" t="str">
        <f t="shared" si="27"/>
        <v>Y</v>
      </c>
      <c r="C2835" s="479" t="s">
        <v>7926</v>
      </c>
      <c r="E2835" s="356" t="s">
        <v>7927</v>
      </c>
      <c r="F2835" s="280">
        <v>28856</v>
      </c>
      <c r="G2835" s="280">
        <v>45147</v>
      </c>
      <c r="H2835" s="280">
        <v>45147</v>
      </c>
      <c r="K2835" s="97">
        <v>9308383695</v>
      </c>
    </row>
    <row r="2836" spans="1:11" x14ac:dyDescent="0.3">
      <c r="A2836" s="302" t="s">
        <v>155</v>
      </c>
      <c r="B2836" s="302" t="str">
        <f t="shared" si="27"/>
        <v>Y</v>
      </c>
      <c r="C2836" s="479" t="s">
        <v>7928</v>
      </c>
      <c r="E2836" s="356" t="s">
        <v>7929</v>
      </c>
      <c r="F2836" s="280">
        <v>27761</v>
      </c>
      <c r="G2836" s="280">
        <v>45147</v>
      </c>
      <c r="H2836" s="280">
        <v>45147</v>
      </c>
      <c r="K2836" s="97">
        <v>9031392638</v>
      </c>
    </row>
    <row r="2837" spans="1:11" x14ac:dyDescent="0.3">
      <c r="A2837" s="302" t="s">
        <v>155</v>
      </c>
      <c r="B2837" s="302" t="str">
        <f t="shared" si="27"/>
        <v>Y</v>
      </c>
      <c r="C2837" s="479" t="s">
        <v>7930</v>
      </c>
      <c r="E2837" s="356" t="s">
        <v>7931</v>
      </c>
      <c r="F2837" s="280">
        <v>38063</v>
      </c>
      <c r="G2837" s="280">
        <v>45148</v>
      </c>
      <c r="H2837" s="280">
        <v>45148</v>
      </c>
      <c r="K2837" s="97">
        <v>6204821642</v>
      </c>
    </row>
    <row r="2838" spans="1:11" x14ac:dyDescent="0.3">
      <c r="A2838" s="302" t="s">
        <v>155</v>
      </c>
      <c r="B2838" s="302" t="str">
        <f t="shared" si="27"/>
        <v>Y</v>
      </c>
      <c r="C2838" s="479" t="s">
        <v>7932</v>
      </c>
      <c r="E2838" s="356" t="s">
        <v>7933</v>
      </c>
      <c r="F2838" s="280">
        <v>22169</v>
      </c>
      <c r="G2838" s="280">
        <v>45148</v>
      </c>
      <c r="H2838" s="280">
        <v>45148</v>
      </c>
      <c r="K2838" s="97">
        <v>9334168746</v>
      </c>
    </row>
    <row r="2839" spans="1:11" x14ac:dyDescent="0.3">
      <c r="A2839" s="302" t="s">
        <v>155</v>
      </c>
      <c r="B2839" s="302" t="str">
        <f t="shared" si="27"/>
        <v>Y</v>
      </c>
      <c r="C2839" s="479" t="s">
        <v>7934</v>
      </c>
      <c r="E2839" s="356" t="s">
        <v>7149</v>
      </c>
      <c r="F2839" s="280">
        <v>38576</v>
      </c>
      <c r="G2839" s="280">
        <v>45150</v>
      </c>
      <c r="H2839" s="280">
        <v>45150</v>
      </c>
      <c r="K2839" s="97">
        <v>8092315528</v>
      </c>
    </row>
    <row r="2840" spans="1:11" x14ac:dyDescent="0.3">
      <c r="A2840" s="302" t="s">
        <v>155</v>
      </c>
      <c r="B2840" s="302" t="str">
        <f t="shared" si="27"/>
        <v>Y</v>
      </c>
      <c r="C2840" s="479" t="s">
        <v>7935</v>
      </c>
      <c r="E2840" s="356" t="s">
        <v>6122</v>
      </c>
      <c r="F2840" s="280">
        <v>37286</v>
      </c>
      <c r="G2840" s="280">
        <v>45150</v>
      </c>
      <c r="H2840" s="280">
        <v>45150</v>
      </c>
      <c r="K2840" s="97">
        <v>8603602266</v>
      </c>
    </row>
    <row r="2841" spans="1:11" x14ac:dyDescent="0.3">
      <c r="A2841" s="302" t="s">
        <v>155</v>
      </c>
      <c r="B2841" s="302" t="str">
        <f t="shared" si="27"/>
        <v>Y</v>
      </c>
      <c r="C2841" s="479" t="s">
        <v>7936</v>
      </c>
      <c r="E2841" s="356" t="s">
        <v>7937</v>
      </c>
      <c r="F2841" s="280">
        <v>31351</v>
      </c>
      <c r="G2841" s="280">
        <v>45156</v>
      </c>
      <c r="H2841" s="280">
        <v>45156</v>
      </c>
      <c r="K2841" s="97">
        <v>8409996022</v>
      </c>
    </row>
    <row r="2842" spans="1:11" x14ac:dyDescent="0.3">
      <c r="A2842" s="302" t="s">
        <v>155</v>
      </c>
      <c r="B2842" s="302" t="str">
        <f t="shared" si="27"/>
        <v>Y</v>
      </c>
      <c r="C2842" s="479" t="s">
        <v>7938</v>
      </c>
      <c r="E2842" s="356" t="s">
        <v>7939</v>
      </c>
      <c r="F2842" s="280">
        <v>24841</v>
      </c>
      <c r="G2842" s="280">
        <v>45156</v>
      </c>
      <c r="H2842" s="280">
        <v>45156</v>
      </c>
      <c r="K2842" s="97">
        <v>8092238686</v>
      </c>
    </row>
    <row r="2843" spans="1:11" x14ac:dyDescent="0.3">
      <c r="A2843" s="302" t="s">
        <v>155</v>
      </c>
      <c r="B2843" s="302" t="str">
        <f t="shared" si="27"/>
        <v>Y</v>
      </c>
      <c r="C2843" s="479" t="s">
        <v>7940</v>
      </c>
      <c r="E2843" s="356" t="s">
        <v>7941</v>
      </c>
      <c r="F2843" s="280">
        <v>38568</v>
      </c>
      <c r="G2843" s="280">
        <v>45156</v>
      </c>
      <c r="H2843" s="280">
        <v>45156</v>
      </c>
      <c r="K2843" s="97">
        <v>7764070581</v>
      </c>
    </row>
    <row r="2844" spans="1:11" x14ac:dyDescent="0.3">
      <c r="A2844" s="302" t="s">
        <v>155</v>
      </c>
      <c r="B2844" s="302" t="str">
        <f t="shared" si="27"/>
        <v>Y</v>
      </c>
      <c r="C2844" s="479" t="s">
        <v>7942</v>
      </c>
      <c r="E2844" s="356" t="s">
        <v>7943</v>
      </c>
      <c r="F2844" s="280">
        <v>27395</v>
      </c>
      <c r="G2844" s="280">
        <v>45161</v>
      </c>
      <c r="H2844" s="280">
        <v>45161</v>
      </c>
      <c r="K2844" s="97">
        <v>9204002174</v>
      </c>
    </row>
    <row r="2845" spans="1:11" x14ac:dyDescent="0.3">
      <c r="A2845" s="302" t="s">
        <v>155</v>
      </c>
      <c r="B2845" s="302" t="str">
        <f t="shared" si="27"/>
        <v>Y</v>
      </c>
      <c r="C2845" s="479" t="s">
        <v>7944</v>
      </c>
      <c r="E2845" s="356" t="s">
        <v>7945</v>
      </c>
      <c r="F2845" s="280">
        <v>33392</v>
      </c>
      <c r="G2845" s="280">
        <v>45157</v>
      </c>
      <c r="H2845" s="280">
        <v>45161</v>
      </c>
      <c r="K2845" s="97">
        <v>9334315773</v>
      </c>
    </row>
    <row r="2846" spans="1:11" x14ac:dyDescent="0.3">
      <c r="A2846" s="302" t="s">
        <v>155</v>
      </c>
      <c r="B2846" s="302" t="str">
        <f t="shared" si="27"/>
        <v>Y</v>
      </c>
      <c r="C2846" s="479" t="s">
        <v>7946</v>
      </c>
      <c r="E2846" s="356" t="s">
        <v>7947</v>
      </c>
      <c r="F2846" s="280">
        <v>38328</v>
      </c>
      <c r="G2846" s="280">
        <v>45157</v>
      </c>
      <c r="H2846" s="280">
        <v>45161</v>
      </c>
      <c r="K2846" s="97">
        <v>9059496075</v>
      </c>
    </row>
    <row r="2847" spans="1:11" x14ac:dyDescent="0.3">
      <c r="A2847" s="302" t="s">
        <v>155</v>
      </c>
      <c r="B2847" s="302" t="str">
        <f t="shared" si="27"/>
        <v>Y</v>
      </c>
      <c r="C2847" s="479" t="s">
        <v>7948</v>
      </c>
      <c r="E2847" s="356" t="s">
        <v>7949</v>
      </c>
      <c r="F2847" s="280">
        <v>45275</v>
      </c>
      <c r="G2847" s="280">
        <v>45161</v>
      </c>
      <c r="H2847" s="280">
        <v>45161</v>
      </c>
      <c r="K2847" s="97">
        <v>9153187978</v>
      </c>
    </row>
    <row r="2848" spans="1:11" x14ac:dyDescent="0.3">
      <c r="A2848" s="302" t="s">
        <v>155</v>
      </c>
      <c r="B2848" s="302" t="str">
        <f t="shared" si="27"/>
        <v>Y</v>
      </c>
      <c r="C2848" s="479" t="s">
        <v>7950</v>
      </c>
      <c r="E2848" s="356" t="s">
        <v>7951</v>
      </c>
      <c r="F2848" s="280">
        <v>39240</v>
      </c>
      <c r="G2848" s="280">
        <v>45161</v>
      </c>
      <c r="H2848" s="280">
        <v>45161</v>
      </c>
      <c r="K2848" s="97">
        <v>9031902182</v>
      </c>
    </row>
    <row r="2849" spans="1:11" x14ac:dyDescent="0.3">
      <c r="A2849" s="302" t="s">
        <v>155</v>
      </c>
      <c r="B2849" s="302" t="str">
        <f t="shared" si="27"/>
        <v>Y</v>
      </c>
      <c r="C2849" s="479" t="s">
        <v>7952</v>
      </c>
      <c r="D2849" s="356"/>
      <c r="E2849" s="356" t="s">
        <v>7953</v>
      </c>
      <c r="F2849" s="280">
        <v>38584</v>
      </c>
      <c r="G2849" s="280">
        <v>45161</v>
      </c>
      <c r="H2849" s="280">
        <v>45161</v>
      </c>
      <c r="K2849" s="97">
        <v>9065272105</v>
      </c>
    </row>
    <row r="2850" spans="1:11" x14ac:dyDescent="0.3">
      <c r="A2850" s="302" t="s">
        <v>155</v>
      </c>
      <c r="B2850" s="302" t="str">
        <f t="shared" si="27"/>
        <v>Y</v>
      </c>
      <c r="C2850" s="479" t="s">
        <v>7954</v>
      </c>
      <c r="E2850" s="356" t="s">
        <v>7955</v>
      </c>
      <c r="F2850" s="280">
        <v>27346</v>
      </c>
      <c r="G2850" s="280">
        <v>45161</v>
      </c>
      <c r="H2850" s="280">
        <v>45161</v>
      </c>
      <c r="K2850" s="97">
        <v>9955531822</v>
      </c>
    </row>
    <row r="2851" spans="1:11" x14ac:dyDescent="0.3">
      <c r="A2851" s="302" t="s">
        <v>155</v>
      </c>
      <c r="B2851" s="302" t="str">
        <f t="shared" si="27"/>
        <v>Y</v>
      </c>
      <c r="C2851" s="479" t="s">
        <v>7956</v>
      </c>
      <c r="E2851" s="356" t="s">
        <v>7957</v>
      </c>
      <c r="F2851" s="280">
        <v>27395</v>
      </c>
      <c r="G2851" s="280">
        <v>45162</v>
      </c>
      <c r="H2851" s="280">
        <v>45162</v>
      </c>
      <c r="K2851" s="97">
        <v>7209824304</v>
      </c>
    </row>
    <row r="2852" spans="1:11" x14ac:dyDescent="0.3">
      <c r="A2852" s="302" t="s">
        <v>155</v>
      </c>
      <c r="B2852" s="302" t="str">
        <f t="shared" si="27"/>
        <v>Y</v>
      </c>
      <c r="C2852" s="479" t="s">
        <v>7958</v>
      </c>
      <c r="E2852" s="356" t="s">
        <v>7959</v>
      </c>
      <c r="F2852" s="280">
        <v>37974</v>
      </c>
      <c r="G2852" s="280">
        <v>45162</v>
      </c>
      <c r="H2852" s="280">
        <v>45162</v>
      </c>
      <c r="K2852" s="97">
        <v>6204367455</v>
      </c>
    </row>
    <row r="2853" spans="1:11" x14ac:dyDescent="0.3">
      <c r="A2853" s="302" t="s">
        <v>155</v>
      </c>
      <c r="B2853" s="302" t="str">
        <f t="shared" si="27"/>
        <v>Y</v>
      </c>
      <c r="C2853" s="479" t="s">
        <v>7960</v>
      </c>
      <c r="E2853" s="356" t="s">
        <v>7961</v>
      </c>
      <c r="F2853" s="280">
        <v>28643</v>
      </c>
      <c r="G2853" s="280">
        <v>45162</v>
      </c>
      <c r="H2853" s="280">
        <v>45162</v>
      </c>
      <c r="K2853" s="97">
        <v>8294477190</v>
      </c>
    </row>
    <row r="2854" spans="1:11" x14ac:dyDescent="0.3">
      <c r="A2854" s="302" t="s">
        <v>155</v>
      </c>
      <c r="B2854" s="302" t="str">
        <f t="shared" si="27"/>
        <v>Y</v>
      </c>
      <c r="C2854" s="479" t="s">
        <v>7962</v>
      </c>
      <c r="E2854" s="356" t="s">
        <v>7963</v>
      </c>
      <c r="F2854" s="280">
        <v>24473</v>
      </c>
      <c r="G2854" s="280">
        <v>45163</v>
      </c>
      <c r="H2854" s="280">
        <v>45163</v>
      </c>
      <c r="K2854" s="97">
        <v>6206781309</v>
      </c>
    </row>
    <row r="2855" spans="1:11" x14ac:dyDescent="0.3">
      <c r="A2855" s="302" t="s">
        <v>155</v>
      </c>
      <c r="B2855" s="302" t="str">
        <f t="shared" si="27"/>
        <v>Y</v>
      </c>
      <c r="C2855" s="479" t="s">
        <v>7964</v>
      </c>
      <c r="E2855" s="356" t="s">
        <v>7965</v>
      </c>
      <c r="F2855" s="280">
        <v>21337</v>
      </c>
      <c r="G2855" s="280">
        <v>45164</v>
      </c>
      <c r="H2855" s="280">
        <v>45164</v>
      </c>
      <c r="K2855" s="97">
        <v>9523678106</v>
      </c>
    </row>
    <row r="2856" spans="1:11" x14ac:dyDescent="0.3">
      <c r="A2856" s="302" t="s">
        <v>155</v>
      </c>
      <c r="B2856" s="302" t="str">
        <f t="shared" si="27"/>
        <v>Y</v>
      </c>
      <c r="C2856" s="479" t="s">
        <v>7966</v>
      </c>
      <c r="E2856" s="356" t="s">
        <v>7967</v>
      </c>
      <c r="F2856" s="280">
        <v>30840</v>
      </c>
      <c r="G2856" s="280">
        <v>45164</v>
      </c>
      <c r="H2856" s="280">
        <v>45164</v>
      </c>
      <c r="K2856" s="97">
        <v>9523678106</v>
      </c>
    </row>
    <row r="2857" spans="1:11" x14ac:dyDescent="0.3">
      <c r="A2857" s="302" t="s">
        <v>155</v>
      </c>
      <c r="B2857" s="302" t="str">
        <f t="shared" si="27"/>
        <v>Y</v>
      </c>
      <c r="C2857" s="479" t="s">
        <v>7968</v>
      </c>
      <c r="E2857" s="356" t="s">
        <v>7969</v>
      </c>
      <c r="F2857" s="280">
        <v>33232</v>
      </c>
      <c r="G2857" s="280">
        <v>45164</v>
      </c>
      <c r="H2857" s="280">
        <v>45164</v>
      </c>
      <c r="K2857" s="97">
        <v>7909087348</v>
      </c>
    </row>
    <row r="2858" spans="1:11" x14ac:dyDescent="0.3">
      <c r="A2858" s="302" t="s">
        <v>155</v>
      </c>
      <c r="B2858" s="302" t="str">
        <f t="shared" si="27"/>
        <v>Y</v>
      </c>
      <c r="C2858" s="479" t="s">
        <v>7970</v>
      </c>
      <c r="E2858" s="356" t="s">
        <v>7971</v>
      </c>
      <c r="F2858" s="280">
        <v>45165</v>
      </c>
      <c r="G2858" s="280">
        <v>45165</v>
      </c>
      <c r="H2858" s="280">
        <v>45165</v>
      </c>
      <c r="K2858" s="97">
        <v>9031903050</v>
      </c>
    </row>
    <row r="2859" spans="1:11" x14ac:dyDescent="0.3">
      <c r="A2859" s="302" t="s">
        <v>155</v>
      </c>
      <c r="B2859" s="302" t="str">
        <f t="shared" si="27"/>
        <v>Y</v>
      </c>
      <c r="C2859" s="479" t="s">
        <v>7972</v>
      </c>
      <c r="E2859" s="356" t="s">
        <v>7973</v>
      </c>
      <c r="F2859" s="280">
        <v>36161</v>
      </c>
      <c r="G2859" s="280">
        <v>45166</v>
      </c>
      <c r="H2859" s="280">
        <v>45166</v>
      </c>
      <c r="K2859" s="97">
        <v>9263849454</v>
      </c>
    </row>
    <row r="2860" spans="1:11" x14ac:dyDescent="0.3">
      <c r="A2860" s="302" t="s">
        <v>155</v>
      </c>
      <c r="B2860" s="302" t="str">
        <f t="shared" si="27"/>
        <v>Y</v>
      </c>
      <c r="C2860" s="479" t="s">
        <v>7974</v>
      </c>
      <c r="E2860" s="356" t="s">
        <v>7975</v>
      </c>
      <c r="F2860" s="280">
        <v>31530</v>
      </c>
      <c r="G2860" s="280">
        <v>45166</v>
      </c>
      <c r="H2860" s="280">
        <v>45166</v>
      </c>
      <c r="K2860" s="97">
        <v>9608606579</v>
      </c>
    </row>
    <row r="2861" spans="1:11" x14ac:dyDescent="0.3">
      <c r="A2861" s="302" t="s">
        <v>155</v>
      </c>
      <c r="B2861" s="302" t="str">
        <f t="shared" si="27"/>
        <v>Y</v>
      </c>
      <c r="C2861" s="479" t="s">
        <v>7976</v>
      </c>
      <c r="E2861" s="356" t="s">
        <v>7977</v>
      </c>
      <c r="F2861" s="280">
        <v>33732</v>
      </c>
      <c r="G2861" s="280">
        <v>45166</v>
      </c>
      <c r="H2861" s="280">
        <v>45166</v>
      </c>
      <c r="K2861" s="97">
        <v>6202827901</v>
      </c>
    </row>
    <row r="2862" spans="1:11" x14ac:dyDescent="0.3">
      <c r="A2862" s="302" t="s">
        <v>155</v>
      </c>
      <c r="B2862" s="302" t="str">
        <f t="shared" si="27"/>
        <v>Y</v>
      </c>
      <c r="C2862" s="479" t="s">
        <v>7978</v>
      </c>
      <c r="E2862" s="356" t="s">
        <v>7979</v>
      </c>
      <c r="F2862" s="280">
        <v>25198</v>
      </c>
      <c r="G2862" s="280">
        <v>45166</v>
      </c>
      <c r="H2862" s="280">
        <v>45166</v>
      </c>
      <c r="K2862" s="97">
        <v>8709558967</v>
      </c>
    </row>
    <row r="2863" spans="1:11" x14ac:dyDescent="0.3">
      <c r="A2863" s="302" t="s">
        <v>155</v>
      </c>
      <c r="B2863" s="302" t="str">
        <f t="shared" si="27"/>
        <v>Y</v>
      </c>
      <c r="C2863" s="479" t="s">
        <v>7980</v>
      </c>
      <c r="E2863" s="356" t="s">
        <v>7981</v>
      </c>
      <c r="F2863" s="280">
        <v>31405</v>
      </c>
      <c r="G2863" s="280">
        <v>45166</v>
      </c>
      <c r="H2863" s="280">
        <v>45166</v>
      </c>
      <c r="K2863" s="97">
        <v>8757864446</v>
      </c>
    </row>
    <row r="2864" spans="1:11" x14ac:dyDescent="0.3">
      <c r="A2864" s="302" t="s">
        <v>155</v>
      </c>
      <c r="B2864" s="302" t="str">
        <f t="shared" si="27"/>
        <v>Y</v>
      </c>
      <c r="C2864" s="479" t="s">
        <v>7982</v>
      </c>
      <c r="E2864" s="356" t="s">
        <v>7983</v>
      </c>
      <c r="F2864" s="280">
        <v>38049</v>
      </c>
      <c r="G2864" s="280">
        <v>45166</v>
      </c>
      <c r="H2864" s="280">
        <v>45166</v>
      </c>
      <c r="K2864" s="97">
        <v>9835439093</v>
      </c>
    </row>
    <row r="2865" spans="1:11" x14ac:dyDescent="0.3">
      <c r="A2865" s="302" t="s">
        <v>155</v>
      </c>
      <c r="B2865" s="302" t="str">
        <f t="shared" si="27"/>
        <v>Y</v>
      </c>
      <c r="C2865" s="479" t="s">
        <v>7984</v>
      </c>
      <c r="E2865" s="356" t="s">
        <v>7985</v>
      </c>
      <c r="F2865" s="280">
        <v>37154</v>
      </c>
      <c r="G2865" s="280">
        <v>45167</v>
      </c>
      <c r="H2865" s="280">
        <v>45167</v>
      </c>
      <c r="K2865" s="97">
        <v>8877224772</v>
      </c>
    </row>
    <row r="2866" spans="1:11" x14ac:dyDescent="0.3">
      <c r="A2866" s="302" t="s">
        <v>155</v>
      </c>
      <c r="B2866" s="302" t="str">
        <f t="shared" si="27"/>
        <v>Y</v>
      </c>
      <c r="C2866" s="479" t="s">
        <v>7986</v>
      </c>
      <c r="E2866" s="356" t="s">
        <v>7987</v>
      </c>
      <c r="F2866" s="280">
        <v>27602</v>
      </c>
      <c r="G2866" s="280">
        <v>45167</v>
      </c>
      <c r="H2866" s="280">
        <v>45167</v>
      </c>
      <c r="K2866" s="97">
        <v>8651775827</v>
      </c>
    </row>
    <row r="2867" spans="1:11" x14ac:dyDescent="0.3">
      <c r="A2867" s="302" t="s">
        <v>155</v>
      </c>
      <c r="B2867" s="302" t="str">
        <f t="shared" si="27"/>
        <v>Y</v>
      </c>
      <c r="C2867" s="479" t="s">
        <v>7988</v>
      </c>
      <c r="E2867" s="356" t="s">
        <v>7989</v>
      </c>
      <c r="F2867" s="280">
        <v>38594</v>
      </c>
      <c r="G2867" s="280">
        <v>45168</v>
      </c>
      <c r="H2867" s="280">
        <v>45168</v>
      </c>
      <c r="K2867" s="97">
        <v>6206655957</v>
      </c>
    </row>
    <row r="2868" spans="1:11" x14ac:dyDescent="0.3">
      <c r="A2868" s="302" t="s">
        <v>155</v>
      </c>
      <c r="B2868" s="302" t="str">
        <f t="shared" si="27"/>
        <v>Y</v>
      </c>
      <c r="C2868" s="479" t="s">
        <v>7990</v>
      </c>
      <c r="E2868" s="356" t="s">
        <v>7991</v>
      </c>
      <c r="F2868" s="280">
        <v>27526</v>
      </c>
      <c r="G2868" s="280">
        <v>45174</v>
      </c>
      <c r="H2868" s="280">
        <v>45175</v>
      </c>
      <c r="K2868" s="300">
        <v>9006144360</v>
      </c>
    </row>
    <row r="2869" spans="1:11" x14ac:dyDescent="0.3">
      <c r="A2869" s="302" t="s">
        <v>155</v>
      </c>
      <c r="B2869" s="302" t="str">
        <f t="shared" si="27"/>
        <v>Y</v>
      </c>
      <c r="C2869" s="479" t="s">
        <v>7992</v>
      </c>
      <c r="E2869" s="356" t="s">
        <v>7993</v>
      </c>
      <c r="F2869" s="280">
        <v>25011</v>
      </c>
      <c r="G2869" s="280">
        <v>45175</v>
      </c>
      <c r="H2869" s="280">
        <v>45175</v>
      </c>
      <c r="K2869" s="97">
        <v>9931127803</v>
      </c>
    </row>
    <row r="2870" spans="1:11" x14ac:dyDescent="0.3">
      <c r="A2870" s="302" t="s">
        <v>155</v>
      </c>
      <c r="B2870" s="302" t="str">
        <f t="shared" si="27"/>
        <v>Y</v>
      </c>
      <c r="C2870" s="479" t="s">
        <v>7994</v>
      </c>
      <c r="E2870" s="356" t="s">
        <v>7995</v>
      </c>
      <c r="F2870" s="280">
        <v>28126</v>
      </c>
      <c r="G2870" s="280">
        <v>45175</v>
      </c>
      <c r="H2870" s="280">
        <v>45175</v>
      </c>
      <c r="K2870" s="97">
        <v>7667080892</v>
      </c>
    </row>
    <row r="2871" spans="1:11" x14ac:dyDescent="0.3">
      <c r="A2871" s="302" t="s">
        <v>155</v>
      </c>
      <c r="B2871" s="302" t="str">
        <f t="shared" si="27"/>
        <v>Y</v>
      </c>
      <c r="C2871" s="479" t="s">
        <v>7996</v>
      </c>
      <c r="D2871" s="356" t="s">
        <v>7997</v>
      </c>
      <c r="E2871" s="356" t="s">
        <v>7998</v>
      </c>
      <c r="F2871" s="280">
        <v>29213</v>
      </c>
      <c r="G2871" s="280">
        <v>45177</v>
      </c>
      <c r="H2871" s="280">
        <v>45177</v>
      </c>
      <c r="K2871" s="97">
        <v>7631027857</v>
      </c>
    </row>
    <row r="2872" spans="1:11" x14ac:dyDescent="0.3">
      <c r="A2872" s="302" t="s">
        <v>155</v>
      </c>
      <c r="B2872" s="302" t="str">
        <f t="shared" si="27"/>
        <v>Y</v>
      </c>
      <c r="C2872" s="479" t="s">
        <v>7999</v>
      </c>
      <c r="D2872" s="353" t="s">
        <v>7895</v>
      </c>
      <c r="E2872" s="356" t="s">
        <v>8000</v>
      </c>
      <c r="F2872" s="280">
        <v>25133</v>
      </c>
      <c r="G2872" s="280">
        <v>45182</v>
      </c>
      <c r="H2872" s="280">
        <v>45182</v>
      </c>
      <c r="K2872" s="97">
        <v>9204002174</v>
      </c>
    </row>
    <row r="2873" spans="1:11" x14ac:dyDescent="0.3">
      <c r="A2873" s="302" t="s">
        <v>155</v>
      </c>
      <c r="B2873" s="302" t="str">
        <f t="shared" si="27"/>
        <v>Y</v>
      </c>
      <c r="C2873" s="479" t="s">
        <v>8001</v>
      </c>
      <c r="E2873" s="356" t="s">
        <v>7346</v>
      </c>
      <c r="F2873" s="280">
        <v>37110</v>
      </c>
      <c r="G2873" s="280">
        <v>45179</v>
      </c>
      <c r="H2873" s="280">
        <v>45179</v>
      </c>
      <c r="K2873" s="97">
        <v>9835319979</v>
      </c>
    </row>
    <row r="2874" spans="1:11" x14ac:dyDescent="0.3">
      <c r="A2874" s="302" t="s">
        <v>155</v>
      </c>
      <c r="B2874" s="302" t="str">
        <f t="shared" si="27"/>
        <v>Y</v>
      </c>
      <c r="C2874" s="473" t="s">
        <v>8002</v>
      </c>
      <c r="D2874" s="353" t="s">
        <v>8003</v>
      </c>
      <c r="E2874" s="353" t="s">
        <v>8004</v>
      </c>
      <c r="F2874" s="280">
        <v>16311</v>
      </c>
      <c r="G2874" s="280">
        <v>45183</v>
      </c>
      <c r="H2874" s="280">
        <v>45183</v>
      </c>
      <c r="K2874" s="97">
        <v>8969393989</v>
      </c>
    </row>
    <row r="2875" spans="1:11" x14ac:dyDescent="0.3">
      <c r="A2875" s="302" t="s">
        <v>155</v>
      </c>
      <c r="B2875" s="302" t="str">
        <f t="shared" si="27"/>
        <v>Y</v>
      </c>
      <c r="C2875" s="473" t="s">
        <v>8005</v>
      </c>
      <c r="D2875" s="356" t="s">
        <v>7795</v>
      </c>
      <c r="E2875" s="356" t="s">
        <v>8006</v>
      </c>
      <c r="F2875" s="280">
        <v>19516</v>
      </c>
      <c r="G2875" s="280">
        <v>45187</v>
      </c>
      <c r="H2875" s="280">
        <v>45190</v>
      </c>
      <c r="K2875" s="97">
        <v>9386909611</v>
      </c>
    </row>
    <row r="2876" spans="1:11" x14ac:dyDescent="0.3">
      <c r="A2876" s="302" t="s">
        <v>155</v>
      </c>
      <c r="B2876" s="302" t="str">
        <f t="shared" si="27"/>
        <v>Y</v>
      </c>
      <c r="C2876" s="473" t="s">
        <v>8007</v>
      </c>
      <c r="D2876" s="356" t="s">
        <v>7792</v>
      </c>
      <c r="E2876" s="353" t="s">
        <v>8008</v>
      </c>
      <c r="F2876" s="280">
        <v>37656</v>
      </c>
      <c r="G2876" s="280">
        <v>45189</v>
      </c>
      <c r="H2876" s="280">
        <v>45189</v>
      </c>
      <c r="K2876" s="97">
        <v>9142520394</v>
      </c>
    </row>
    <row r="2877" spans="1:11" x14ac:dyDescent="0.3">
      <c r="A2877" s="302" t="s">
        <v>155</v>
      </c>
      <c r="B2877" s="302" t="str">
        <f t="shared" ref="B2877:B2940" si="28">IF(H2877="","N","Y")</f>
        <v>Y</v>
      </c>
      <c r="C2877" s="473" t="s">
        <v>8009</v>
      </c>
      <c r="D2877" s="353" t="s">
        <v>8010</v>
      </c>
      <c r="E2877" s="353" t="s">
        <v>8011</v>
      </c>
      <c r="F2877" s="280">
        <v>34949</v>
      </c>
      <c r="G2877" s="280">
        <v>45191</v>
      </c>
      <c r="H2877" s="280">
        <v>45191</v>
      </c>
      <c r="K2877" s="97">
        <v>6260447345</v>
      </c>
    </row>
    <row r="2878" spans="1:11" x14ac:dyDescent="0.3">
      <c r="A2878" s="302" t="s">
        <v>155</v>
      </c>
      <c r="B2878" s="302" t="str">
        <f t="shared" si="28"/>
        <v>Y</v>
      </c>
      <c r="C2878" s="473" t="s">
        <v>8012</v>
      </c>
      <c r="D2878" s="353" t="s">
        <v>8010</v>
      </c>
      <c r="E2878" s="353" t="s">
        <v>8013</v>
      </c>
      <c r="F2878" s="280">
        <v>32037</v>
      </c>
      <c r="G2878" s="280">
        <v>45191</v>
      </c>
      <c r="H2878" s="280">
        <v>45191</v>
      </c>
      <c r="K2878" s="97">
        <v>9973784433</v>
      </c>
    </row>
    <row r="2879" spans="1:11" x14ac:dyDescent="0.3">
      <c r="A2879" s="302" t="s">
        <v>155</v>
      </c>
      <c r="B2879" s="302" t="str">
        <f t="shared" si="28"/>
        <v>Y</v>
      </c>
      <c r="C2879" s="473" t="s">
        <v>8014</v>
      </c>
      <c r="D2879" s="353" t="s">
        <v>8010</v>
      </c>
      <c r="E2879" s="356" t="s">
        <v>8015</v>
      </c>
      <c r="F2879" s="280">
        <v>37464</v>
      </c>
      <c r="G2879" s="280">
        <v>45193</v>
      </c>
      <c r="H2879" s="280">
        <v>45193</v>
      </c>
      <c r="K2879" s="97">
        <v>7479401278</v>
      </c>
    </row>
    <row r="2880" spans="1:11" x14ac:dyDescent="0.3">
      <c r="A2880" s="302" t="s">
        <v>155</v>
      </c>
      <c r="B2880" s="302" t="str">
        <f t="shared" si="28"/>
        <v>Y</v>
      </c>
      <c r="C2880" s="479" t="s">
        <v>8016</v>
      </c>
      <c r="D2880" s="356" t="s">
        <v>7795</v>
      </c>
      <c r="E2880" s="356" t="s">
        <v>8017</v>
      </c>
      <c r="F2880" s="280">
        <v>25777</v>
      </c>
      <c r="G2880" s="280">
        <v>45194</v>
      </c>
      <c r="H2880" s="280">
        <v>45194</v>
      </c>
      <c r="K2880" s="97">
        <v>7903342103</v>
      </c>
    </row>
    <row r="2881" spans="1:11" x14ac:dyDescent="0.3">
      <c r="A2881" s="302" t="s">
        <v>155</v>
      </c>
      <c r="B2881" s="302" t="str">
        <f t="shared" si="28"/>
        <v>Y</v>
      </c>
      <c r="C2881" s="479" t="s">
        <v>8018</v>
      </c>
      <c r="D2881" s="356" t="s">
        <v>7890</v>
      </c>
      <c r="E2881" s="356" t="s">
        <v>8019</v>
      </c>
      <c r="F2881" s="280">
        <v>27148</v>
      </c>
      <c r="G2881" s="280">
        <v>45194</v>
      </c>
      <c r="H2881" s="280">
        <v>45194</v>
      </c>
      <c r="K2881" s="97">
        <v>9905310732</v>
      </c>
    </row>
    <row r="2882" spans="1:11" x14ac:dyDescent="0.3">
      <c r="A2882" s="302" t="s">
        <v>155</v>
      </c>
      <c r="B2882" s="302" t="str">
        <f t="shared" si="28"/>
        <v>Y</v>
      </c>
      <c r="C2882" s="479" t="s">
        <v>8020</v>
      </c>
      <c r="E2882" s="356" t="s">
        <v>8021</v>
      </c>
      <c r="F2882" s="280">
        <v>37505</v>
      </c>
      <c r="G2882" s="280">
        <v>45194</v>
      </c>
      <c r="H2882" s="280">
        <v>45194</v>
      </c>
      <c r="K2882" s="97">
        <v>6287334421</v>
      </c>
    </row>
    <row r="2883" spans="1:11" x14ac:dyDescent="0.3">
      <c r="A2883" s="302" t="s">
        <v>155</v>
      </c>
      <c r="B2883" s="302" t="str">
        <f t="shared" si="28"/>
        <v>Y</v>
      </c>
      <c r="C2883" s="479" t="s">
        <v>8022</v>
      </c>
      <c r="E2883" s="356" t="s">
        <v>8023</v>
      </c>
      <c r="F2883" s="280">
        <v>38588</v>
      </c>
      <c r="G2883" s="280">
        <v>45195</v>
      </c>
      <c r="H2883" s="280">
        <v>45195</v>
      </c>
      <c r="K2883" s="97">
        <v>7858009846</v>
      </c>
    </row>
    <row r="2884" spans="1:11" x14ac:dyDescent="0.3">
      <c r="A2884" s="302" t="s">
        <v>155</v>
      </c>
      <c r="B2884" s="302" t="str">
        <f t="shared" si="28"/>
        <v>Y</v>
      </c>
      <c r="C2884" s="479" t="s">
        <v>8024</v>
      </c>
      <c r="E2884" s="356" t="s">
        <v>8025</v>
      </c>
      <c r="F2884" s="280">
        <v>31076</v>
      </c>
      <c r="G2884" s="280">
        <v>45195</v>
      </c>
      <c r="H2884" s="280">
        <v>45195</v>
      </c>
      <c r="K2884" s="97">
        <v>7488641595</v>
      </c>
    </row>
    <row r="2885" spans="1:11" x14ac:dyDescent="0.3">
      <c r="A2885" s="302" t="s">
        <v>155</v>
      </c>
      <c r="B2885" s="302" t="str">
        <f t="shared" si="28"/>
        <v>Y</v>
      </c>
      <c r="C2885" s="479" t="s">
        <v>8026</v>
      </c>
      <c r="D2885" s="356" t="s">
        <v>8027</v>
      </c>
      <c r="E2885" s="356" t="s">
        <v>8028</v>
      </c>
      <c r="F2885" s="280">
        <v>18396</v>
      </c>
      <c r="G2885" s="280">
        <v>45195</v>
      </c>
      <c r="H2885" s="280">
        <v>45196</v>
      </c>
      <c r="K2885" s="97">
        <v>7321094574</v>
      </c>
    </row>
    <row r="2886" spans="1:11" x14ac:dyDescent="0.3">
      <c r="A2886" s="302" t="s">
        <v>155</v>
      </c>
      <c r="B2886" s="302" t="str">
        <f t="shared" si="28"/>
        <v>Y</v>
      </c>
      <c r="C2886" s="479" t="s">
        <v>8029</v>
      </c>
      <c r="E2886" s="356" t="s">
        <v>8030</v>
      </c>
      <c r="F2886" s="280">
        <v>36112</v>
      </c>
      <c r="G2886" s="280">
        <v>47326</v>
      </c>
      <c r="H2886" s="280">
        <v>45196</v>
      </c>
      <c r="K2886" s="97">
        <v>8969154650</v>
      </c>
    </row>
    <row r="2887" spans="1:11" x14ac:dyDescent="0.3">
      <c r="A2887" s="302" t="s">
        <v>155</v>
      </c>
      <c r="B2887" s="302" t="str">
        <f t="shared" si="28"/>
        <v>Y</v>
      </c>
      <c r="C2887" s="479" t="s">
        <v>8031</v>
      </c>
      <c r="D2887" s="353" t="s">
        <v>8032</v>
      </c>
      <c r="E2887" s="356" t="s">
        <v>8033</v>
      </c>
      <c r="F2887" s="280">
        <v>34505</v>
      </c>
      <c r="G2887" s="280">
        <v>47326</v>
      </c>
      <c r="H2887" s="280">
        <v>45196</v>
      </c>
      <c r="K2887" s="97">
        <v>9304413308</v>
      </c>
    </row>
    <row r="2888" spans="1:11" x14ac:dyDescent="0.3">
      <c r="A2888" s="302" t="s">
        <v>155</v>
      </c>
      <c r="B2888" s="302" t="str">
        <f t="shared" si="28"/>
        <v>Y</v>
      </c>
      <c r="C2888" s="479" t="s">
        <v>8034</v>
      </c>
      <c r="D2888" s="353" t="s">
        <v>7795</v>
      </c>
      <c r="E2888" s="356" t="s">
        <v>8035</v>
      </c>
      <c r="F2888" s="280">
        <v>23743</v>
      </c>
      <c r="G2888" s="280">
        <v>45197</v>
      </c>
      <c r="H2888" s="280">
        <v>45197</v>
      </c>
      <c r="K2888" s="97">
        <v>9122434016</v>
      </c>
    </row>
    <row r="2889" spans="1:11" x14ac:dyDescent="0.3">
      <c r="A2889" s="302" t="s">
        <v>155</v>
      </c>
      <c r="B2889" s="302" t="str">
        <f t="shared" si="28"/>
        <v>Y</v>
      </c>
      <c r="C2889" s="479" t="s">
        <v>8036</v>
      </c>
      <c r="D2889" s="353" t="s">
        <v>7795</v>
      </c>
      <c r="E2889" s="356" t="s">
        <v>8037</v>
      </c>
      <c r="F2889" s="280">
        <v>33604</v>
      </c>
      <c r="G2889" s="280">
        <v>45198</v>
      </c>
      <c r="H2889" s="280">
        <v>45198</v>
      </c>
      <c r="K2889" s="97">
        <v>9031136569</v>
      </c>
    </row>
    <row r="2890" spans="1:11" x14ac:dyDescent="0.3">
      <c r="A2890" s="302" t="s">
        <v>155</v>
      </c>
      <c r="B2890" s="302" t="str">
        <f t="shared" si="28"/>
        <v>Y</v>
      </c>
      <c r="C2890" s="479" t="s">
        <v>8038</v>
      </c>
      <c r="E2890" s="356" t="s">
        <v>8039</v>
      </c>
      <c r="F2890" s="280">
        <v>35854</v>
      </c>
      <c r="G2890" s="280">
        <v>45200</v>
      </c>
      <c r="H2890" s="280">
        <v>45200</v>
      </c>
      <c r="K2890" s="97">
        <v>9934977558</v>
      </c>
    </row>
    <row r="2891" spans="1:11" x14ac:dyDescent="0.3">
      <c r="A2891" s="302" t="s">
        <v>155</v>
      </c>
      <c r="B2891" s="302" t="str">
        <f t="shared" si="28"/>
        <v>N</v>
      </c>
      <c r="C2891" s="480" t="s">
        <v>8040</v>
      </c>
      <c r="D2891" s="364"/>
      <c r="E2891" s="364" t="s">
        <v>8041</v>
      </c>
      <c r="F2891" s="288">
        <v>37816</v>
      </c>
      <c r="G2891" s="289" t="s">
        <v>8042</v>
      </c>
      <c r="H2891" s="303"/>
    </row>
    <row r="2892" spans="1:11" x14ac:dyDescent="0.3">
      <c r="A2892" s="302" t="s">
        <v>155</v>
      </c>
      <c r="B2892" s="302" t="str">
        <f t="shared" si="28"/>
        <v>Y</v>
      </c>
      <c r="C2892" s="473" t="s">
        <v>8043</v>
      </c>
      <c r="E2892" s="356" t="s">
        <v>8041</v>
      </c>
      <c r="F2892" s="280">
        <v>37817</v>
      </c>
      <c r="G2892" s="280">
        <v>45201</v>
      </c>
      <c r="H2892" s="280">
        <v>45201</v>
      </c>
      <c r="K2892" s="97">
        <v>6205526910</v>
      </c>
    </row>
    <row r="2893" spans="1:11" x14ac:dyDescent="0.3">
      <c r="A2893" s="302" t="s">
        <v>155</v>
      </c>
      <c r="B2893" s="302" t="str">
        <f t="shared" si="28"/>
        <v>Y</v>
      </c>
      <c r="C2893" s="473" t="s">
        <v>8044</v>
      </c>
      <c r="D2893" s="353" t="s">
        <v>7795</v>
      </c>
      <c r="E2893" s="356" t="s">
        <v>8045</v>
      </c>
      <c r="F2893" s="280">
        <v>32298</v>
      </c>
      <c r="G2893" s="280">
        <v>45203</v>
      </c>
      <c r="H2893" s="280">
        <v>45203</v>
      </c>
      <c r="K2893" s="97">
        <v>7209947596</v>
      </c>
    </row>
    <row r="2894" spans="1:11" x14ac:dyDescent="0.3">
      <c r="A2894" s="302" t="s">
        <v>155</v>
      </c>
      <c r="B2894" s="302" t="str">
        <f t="shared" si="28"/>
        <v>Y</v>
      </c>
      <c r="C2894" s="473" t="s">
        <v>8046</v>
      </c>
      <c r="E2894" s="356" t="s">
        <v>8047</v>
      </c>
      <c r="F2894" s="280">
        <v>19055</v>
      </c>
      <c r="G2894" s="280">
        <v>45206</v>
      </c>
      <c r="H2894" s="280">
        <v>45206</v>
      </c>
      <c r="K2894" s="97">
        <v>6206699134</v>
      </c>
    </row>
    <row r="2895" spans="1:11" x14ac:dyDescent="0.3">
      <c r="A2895" s="302" t="s">
        <v>155</v>
      </c>
      <c r="B2895" s="302" t="str">
        <f t="shared" si="28"/>
        <v>Y</v>
      </c>
      <c r="C2895" s="473" t="s">
        <v>8048</v>
      </c>
      <c r="E2895" s="356" t="s">
        <v>8049</v>
      </c>
      <c r="F2895" s="280">
        <v>20112</v>
      </c>
      <c r="G2895" s="280">
        <v>45209</v>
      </c>
      <c r="H2895" s="280">
        <v>45211</v>
      </c>
      <c r="K2895" s="97">
        <v>7479711530</v>
      </c>
    </row>
    <row r="2896" spans="1:11" x14ac:dyDescent="0.3">
      <c r="A2896" s="302" t="s">
        <v>155</v>
      </c>
      <c r="B2896" s="302" t="str">
        <f t="shared" si="28"/>
        <v>Y</v>
      </c>
      <c r="C2896" s="473" t="s">
        <v>8050</v>
      </c>
      <c r="D2896" s="353" t="s">
        <v>8051</v>
      </c>
      <c r="E2896" s="356" t="s">
        <v>8052</v>
      </c>
      <c r="F2896" s="280">
        <v>38633</v>
      </c>
      <c r="G2896" s="280">
        <v>45209</v>
      </c>
      <c r="H2896" s="280">
        <v>45209</v>
      </c>
      <c r="K2896" s="97">
        <v>9334895011</v>
      </c>
    </row>
    <row r="2897" spans="1:11" x14ac:dyDescent="0.3">
      <c r="A2897" s="302" t="s">
        <v>155</v>
      </c>
      <c r="B2897" s="302" t="str">
        <f t="shared" si="28"/>
        <v>Y</v>
      </c>
      <c r="C2897" s="473" t="s">
        <v>8053</v>
      </c>
      <c r="D2897" s="353" t="s">
        <v>7795</v>
      </c>
      <c r="E2897" s="356" t="s">
        <v>6352</v>
      </c>
      <c r="F2897" s="280">
        <v>19218</v>
      </c>
      <c r="G2897" s="280">
        <v>45209</v>
      </c>
      <c r="H2897" s="280">
        <v>45209</v>
      </c>
      <c r="K2897" s="97">
        <v>9199847410</v>
      </c>
    </row>
    <row r="2898" spans="1:11" x14ac:dyDescent="0.3">
      <c r="A2898" s="302" t="s">
        <v>155</v>
      </c>
      <c r="B2898" s="302" t="str">
        <f t="shared" si="28"/>
        <v>Y</v>
      </c>
      <c r="C2898" s="473" t="s">
        <v>8054</v>
      </c>
      <c r="D2898" s="353" t="s">
        <v>8051</v>
      </c>
      <c r="E2898" s="356" t="s">
        <v>8055</v>
      </c>
      <c r="F2898" s="280">
        <v>31374</v>
      </c>
      <c r="G2898" s="280">
        <v>45209</v>
      </c>
      <c r="H2898" s="280">
        <v>45209</v>
      </c>
      <c r="K2898" s="97">
        <v>8603290632</v>
      </c>
    </row>
    <row r="2899" spans="1:11" x14ac:dyDescent="0.3">
      <c r="A2899" s="302" t="s">
        <v>155</v>
      </c>
      <c r="B2899" s="302" t="str">
        <f t="shared" si="28"/>
        <v>Y</v>
      </c>
      <c r="C2899" s="473" t="s">
        <v>8056</v>
      </c>
      <c r="D2899" s="353" t="s">
        <v>8003</v>
      </c>
      <c r="E2899" s="356" t="s">
        <v>6925</v>
      </c>
      <c r="F2899" s="280">
        <v>30665</v>
      </c>
      <c r="G2899" s="280">
        <v>45209</v>
      </c>
      <c r="H2899" s="280">
        <v>45209</v>
      </c>
      <c r="K2899" s="97">
        <v>9263801745</v>
      </c>
    </row>
    <row r="2900" spans="1:11" x14ac:dyDescent="0.3">
      <c r="A2900" s="302" t="s">
        <v>155</v>
      </c>
      <c r="B2900" s="302" t="str">
        <f t="shared" si="28"/>
        <v>Y</v>
      </c>
      <c r="C2900" s="479" t="s">
        <v>8057</v>
      </c>
      <c r="E2900" s="356" t="s">
        <v>2621</v>
      </c>
      <c r="F2900" s="280">
        <v>38353</v>
      </c>
      <c r="G2900" s="280">
        <v>45210</v>
      </c>
      <c r="H2900" s="280">
        <v>45209</v>
      </c>
      <c r="K2900" s="97">
        <v>8092331833</v>
      </c>
    </row>
    <row r="2901" spans="1:11" x14ac:dyDescent="0.3">
      <c r="A2901" s="302" t="s">
        <v>155</v>
      </c>
      <c r="B2901" s="302" t="str">
        <f t="shared" si="28"/>
        <v>Y</v>
      </c>
      <c r="C2901" s="479" t="s">
        <v>8058</v>
      </c>
      <c r="D2901" s="356" t="s">
        <v>7795</v>
      </c>
      <c r="E2901" s="356" t="s">
        <v>8059</v>
      </c>
      <c r="F2901" s="280">
        <v>32932</v>
      </c>
      <c r="G2901" s="280">
        <v>45212</v>
      </c>
      <c r="H2901" s="280">
        <v>45212</v>
      </c>
      <c r="K2901" s="97">
        <v>9334248482</v>
      </c>
    </row>
    <row r="2902" spans="1:11" x14ac:dyDescent="0.3">
      <c r="A2902" s="302" t="s">
        <v>155</v>
      </c>
      <c r="B2902" s="302" t="str">
        <f t="shared" si="28"/>
        <v>Y</v>
      </c>
      <c r="C2902" s="479" t="s">
        <v>8060</v>
      </c>
      <c r="E2902" s="356" t="s">
        <v>2369</v>
      </c>
      <c r="F2902" s="280">
        <v>35698</v>
      </c>
      <c r="G2902" s="280">
        <v>45214</v>
      </c>
      <c r="H2902" s="280">
        <v>45214</v>
      </c>
      <c r="K2902" s="97">
        <v>7209992580</v>
      </c>
    </row>
    <row r="2903" spans="1:11" x14ac:dyDescent="0.3">
      <c r="A2903" s="302" t="s">
        <v>155</v>
      </c>
      <c r="B2903" s="302" t="str">
        <f t="shared" si="28"/>
        <v>Y</v>
      </c>
      <c r="C2903" s="479" t="s">
        <v>8061</v>
      </c>
      <c r="D2903" s="353" t="s">
        <v>8003</v>
      </c>
      <c r="E2903" s="356" t="s">
        <v>8062</v>
      </c>
      <c r="F2903" s="280">
        <v>34900</v>
      </c>
      <c r="G2903" s="280">
        <v>45216</v>
      </c>
      <c r="H2903" s="280">
        <v>45216</v>
      </c>
      <c r="K2903" s="97">
        <v>8329085498</v>
      </c>
    </row>
    <row r="2904" spans="1:11" x14ac:dyDescent="0.3">
      <c r="A2904" s="302" t="s">
        <v>155</v>
      </c>
      <c r="B2904" s="302" t="str">
        <f t="shared" si="28"/>
        <v>Y</v>
      </c>
      <c r="C2904" s="479" t="s">
        <v>8063</v>
      </c>
      <c r="E2904" s="356" t="s">
        <v>8064</v>
      </c>
      <c r="F2904" s="280">
        <v>20090</v>
      </c>
      <c r="G2904" s="280">
        <v>45216</v>
      </c>
      <c r="H2904" s="280">
        <v>45216</v>
      </c>
      <c r="K2904" s="97">
        <v>6207131207</v>
      </c>
    </row>
    <row r="2905" spans="1:11" x14ac:dyDescent="0.3">
      <c r="A2905" s="302" t="s">
        <v>155</v>
      </c>
      <c r="B2905" s="302" t="str">
        <f t="shared" si="28"/>
        <v>Y</v>
      </c>
      <c r="C2905" s="479" t="s">
        <v>8065</v>
      </c>
      <c r="D2905" s="356" t="s">
        <v>8066</v>
      </c>
      <c r="E2905" s="356" t="s">
        <v>8067</v>
      </c>
      <c r="F2905" s="280">
        <v>37585</v>
      </c>
      <c r="G2905" s="280">
        <v>45217</v>
      </c>
      <c r="H2905" s="280">
        <v>45217</v>
      </c>
      <c r="K2905" s="97">
        <v>7667218880</v>
      </c>
    </row>
    <row r="2906" spans="1:11" x14ac:dyDescent="0.3">
      <c r="A2906" s="302" t="s">
        <v>155</v>
      </c>
      <c r="B2906" s="302" t="str">
        <f t="shared" si="28"/>
        <v>Y</v>
      </c>
      <c r="C2906" s="479" t="s">
        <v>8068</v>
      </c>
      <c r="E2906" s="356" t="s">
        <v>8069</v>
      </c>
      <c r="F2906" s="280">
        <v>32525</v>
      </c>
      <c r="G2906" s="280">
        <v>45222</v>
      </c>
      <c r="H2906" s="280">
        <v>45222</v>
      </c>
      <c r="K2906" s="97">
        <v>7870225410</v>
      </c>
    </row>
    <row r="2907" spans="1:11" x14ac:dyDescent="0.3">
      <c r="A2907" s="302" t="s">
        <v>155</v>
      </c>
      <c r="B2907" s="302" t="str">
        <f t="shared" si="28"/>
        <v>Y</v>
      </c>
      <c r="C2907" s="479" t="s">
        <v>8070</v>
      </c>
      <c r="D2907" s="356" t="s">
        <v>7890</v>
      </c>
      <c r="E2907" s="356" t="s">
        <v>8071</v>
      </c>
      <c r="F2907" s="280">
        <v>23877</v>
      </c>
      <c r="G2907" s="280">
        <v>45225</v>
      </c>
      <c r="H2907" s="280">
        <v>46321</v>
      </c>
      <c r="K2907" s="97">
        <v>9431568317</v>
      </c>
    </row>
    <row r="2908" spans="1:11" x14ac:dyDescent="0.3">
      <c r="A2908" s="302" t="s">
        <v>155</v>
      </c>
      <c r="B2908" s="302" t="str">
        <f t="shared" si="28"/>
        <v>Y</v>
      </c>
      <c r="C2908" s="479" t="s">
        <v>8072</v>
      </c>
      <c r="E2908" s="356" t="s">
        <v>8073</v>
      </c>
      <c r="F2908" s="280">
        <v>27822</v>
      </c>
      <c r="G2908" s="280">
        <v>45225</v>
      </c>
      <c r="H2908" s="280">
        <v>46321</v>
      </c>
      <c r="K2908" s="97">
        <v>7366982903</v>
      </c>
    </row>
    <row r="2909" spans="1:11" x14ac:dyDescent="0.3">
      <c r="A2909" s="302" t="s">
        <v>155</v>
      </c>
      <c r="B2909" s="302" t="str">
        <f t="shared" si="28"/>
        <v>Y</v>
      </c>
      <c r="C2909" s="479" t="s">
        <v>8074</v>
      </c>
      <c r="E2909" s="356" t="s">
        <v>8075</v>
      </c>
      <c r="F2909" s="280">
        <v>25934</v>
      </c>
      <c r="G2909" s="280">
        <v>45225</v>
      </c>
      <c r="H2909" s="280">
        <v>46321</v>
      </c>
      <c r="K2909" s="97">
        <v>7366982903</v>
      </c>
    </row>
    <row r="2910" spans="1:11" x14ac:dyDescent="0.3">
      <c r="A2910" s="302" t="s">
        <v>155</v>
      </c>
      <c r="B2910" s="302" t="str">
        <f t="shared" si="28"/>
        <v>Y</v>
      </c>
      <c r="C2910" s="479" t="s">
        <v>8076</v>
      </c>
      <c r="D2910" s="353" t="s">
        <v>7890</v>
      </c>
      <c r="E2910" s="356" t="s">
        <v>8077</v>
      </c>
      <c r="F2910" s="280">
        <v>23049</v>
      </c>
      <c r="G2910" s="280">
        <v>45225</v>
      </c>
      <c r="H2910" s="280">
        <v>46321</v>
      </c>
      <c r="K2910" s="97">
        <v>7070948914</v>
      </c>
    </row>
    <row r="2911" spans="1:11" x14ac:dyDescent="0.3">
      <c r="A2911" s="302" t="s">
        <v>155</v>
      </c>
      <c r="B2911" s="302" t="str">
        <f t="shared" si="28"/>
        <v>Y</v>
      </c>
      <c r="C2911" s="479" t="s">
        <v>8078</v>
      </c>
      <c r="D2911" s="356" t="s">
        <v>8079</v>
      </c>
      <c r="E2911" s="356" t="s">
        <v>8080</v>
      </c>
      <c r="F2911" s="280">
        <v>17562</v>
      </c>
      <c r="G2911" s="280">
        <v>45225</v>
      </c>
      <c r="H2911" s="280">
        <v>46321</v>
      </c>
      <c r="K2911" s="97">
        <v>9263870905</v>
      </c>
    </row>
    <row r="2912" spans="1:11" x14ac:dyDescent="0.3">
      <c r="A2912" s="302" t="s">
        <v>155</v>
      </c>
      <c r="B2912" s="302" t="str">
        <f t="shared" si="28"/>
        <v>Y</v>
      </c>
      <c r="C2912" s="479" t="s">
        <v>8081</v>
      </c>
      <c r="E2912" s="356" t="s">
        <v>8082</v>
      </c>
      <c r="F2912" s="280">
        <v>38606</v>
      </c>
      <c r="G2912" s="280">
        <v>45228</v>
      </c>
      <c r="H2912" s="280">
        <v>45228</v>
      </c>
      <c r="K2912" s="97">
        <v>7352462202</v>
      </c>
    </row>
    <row r="2913" spans="1:13" x14ac:dyDescent="0.3">
      <c r="A2913" s="302" t="s">
        <v>155</v>
      </c>
      <c r="B2913" s="302" t="str">
        <f t="shared" si="28"/>
        <v>Y</v>
      </c>
      <c r="C2913" s="479" t="s">
        <v>8083</v>
      </c>
      <c r="D2913" s="356" t="s">
        <v>7795</v>
      </c>
      <c r="E2913" s="356" t="s">
        <v>8084</v>
      </c>
      <c r="F2913" s="280">
        <v>24058</v>
      </c>
      <c r="G2913" s="280">
        <v>45231</v>
      </c>
      <c r="H2913" s="280">
        <v>45231</v>
      </c>
      <c r="K2913" s="97">
        <v>7903342103</v>
      </c>
    </row>
    <row r="2914" spans="1:13" x14ac:dyDescent="0.3">
      <c r="A2914" s="302" t="s">
        <v>155</v>
      </c>
      <c r="B2914" s="302" t="str">
        <f t="shared" si="28"/>
        <v>Y</v>
      </c>
      <c r="C2914" s="479" t="s">
        <v>8085</v>
      </c>
      <c r="E2914" s="356" t="s">
        <v>8086</v>
      </c>
      <c r="F2914" s="280">
        <v>30592</v>
      </c>
      <c r="G2914" s="280">
        <v>45231</v>
      </c>
      <c r="H2914" s="280">
        <v>45231</v>
      </c>
      <c r="K2914" s="97">
        <v>7763956666</v>
      </c>
    </row>
    <row r="2915" spans="1:13" x14ac:dyDescent="0.3">
      <c r="A2915" s="302" t="s">
        <v>155</v>
      </c>
      <c r="B2915" s="302" t="str">
        <f t="shared" si="28"/>
        <v>Y</v>
      </c>
      <c r="C2915" s="479" t="s">
        <v>8087</v>
      </c>
      <c r="D2915" s="353" t="s">
        <v>8010</v>
      </c>
      <c r="E2915" s="356" t="s">
        <v>8088</v>
      </c>
      <c r="F2915" s="280">
        <v>32217</v>
      </c>
      <c r="G2915" s="280">
        <v>45234</v>
      </c>
      <c r="H2915" s="280">
        <v>45234</v>
      </c>
      <c r="K2915" s="97">
        <v>8521755669</v>
      </c>
    </row>
    <row r="2916" spans="1:13" x14ac:dyDescent="0.3">
      <c r="A2916" s="302" t="s">
        <v>155</v>
      </c>
      <c r="B2916" s="302" t="str">
        <f t="shared" si="28"/>
        <v>Y</v>
      </c>
      <c r="C2916" s="479" t="s">
        <v>8089</v>
      </c>
      <c r="D2916" s="353" t="s">
        <v>8010</v>
      </c>
      <c r="E2916" s="356" t="s">
        <v>8090</v>
      </c>
      <c r="F2916" s="280">
        <v>27810</v>
      </c>
      <c r="G2916" s="280">
        <v>45235</v>
      </c>
      <c r="H2916" s="280">
        <v>45235</v>
      </c>
      <c r="K2916" s="97">
        <v>8709575404</v>
      </c>
    </row>
    <row r="2917" spans="1:13" x14ac:dyDescent="0.3">
      <c r="A2917" s="302" t="s">
        <v>155</v>
      </c>
      <c r="B2917" s="302" t="str">
        <f t="shared" si="28"/>
        <v>Y</v>
      </c>
      <c r="C2917" s="479" t="s">
        <v>8091</v>
      </c>
      <c r="D2917" s="353" t="s">
        <v>8003</v>
      </c>
      <c r="E2917" s="356" t="s">
        <v>8092</v>
      </c>
      <c r="F2917" s="280">
        <v>19998</v>
      </c>
      <c r="G2917" s="280">
        <v>45236</v>
      </c>
      <c r="H2917" s="280">
        <v>45236</v>
      </c>
      <c r="K2917" s="97">
        <v>8863826939</v>
      </c>
    </row>
    <row r="2918" spans="1:13" x14ac:dyDescent="0.3">
      <c r="A2918" s="302" t="s">
        <v>155</v>
      </c>
      <c r="B2918" s="302" t="str">
        <f t="shared" si="28"/>
        <v>Y</v>
      </c>
      <c r="C2918" s="479" t="s">
        <v>8093</v>
      </c>
      <c r="E2918" s="356" t="s">
        <v>6122</v>
      </c>
      <c r="F2918" s="280">
        <v>37096</v>
      </c>
      <c r="G2918" s="280">
        <v>45237</v>
      </c>
      <c r="H2918" s="280">
        <v>45237</v>
      </c>
      <c r="K2918" s="97">
        <v>8709132540</v>
      </c>
    </row>
    <row r="2919" spans="1:13" x14ac:dyDescent="0.3">
      <c r="A2919" s="302" t="s">
        <v>155</v>
      </c>
      <c r="B2919" s="302" t="str">
        <f t="shared" si="28"/>
        <v>Y</v>
      </c>
      <c r="C2919" s="479" t="s">
        <v>8094</v>
      </c>
      <c r="D2919" s="353" t="s">
        <v>8003</v>
      </c>
      <c r="E2919" s="356" t="s">
        <v>8095</v>
      </c>
      <c r="F2919" s="280">
        <v>28311</v>
      </c>
      <c r="G2919" s="280">
        <v>45237</v>
      </c>
      <c r="H2919" s="280">
        <v>45237</v>
      </c>
      <c r="K2919" s="97">
        <v>9007079191</v>
      </c>
    </row>
    <row r="2920" spans="1:13" x14ac:dyDescent="0.3">
      <c r="A2920" s="302" t="s">
        <v>155</v>
      </c>
      <c r="B2920" s="302" t="str">
        <f t="shared" si="28"/>
        <v>Y</v>
      </c>
      <c r="C2920" s="479" t="s">
        <v>8096</v>
      </c>
      <c r="D2920" s="353">
        <v>6796380</v>
      </c>
      <c r="E2920" s="356" t="s">
        <v>8097</v>
      </c>
      <c r="F2920" s="280">
        <v>38600</v>
      </c>
      <c r="G2920" s="280">
        <v>45239</v>
      </c>
      <c r="H2920" s="280">
        <v>45239</v>
      </c>
      <c r="K2920" s="97">
        <v>8434302877</v>
      </c>
      <c r="M2920" t="s">
        <v>8098</v>
      </c>
    </row>
    <row r="2921" spans="1:13" x14ac:dyDescent="0.3">
      <c r="A2921" s="302" t="s">
        <v>155</v>
      </c>
      <c r="B2921" s="302" t="str">
        <f t="shared" si="28"/>
        <v>Y</v>
      </c>
      <c r="C2921" s="479" t="s">
        <v>8099</v>
      </c>
      <c r="E2921" s="356" t="s">
        <v>8100</v>
      </c>
      <c r="F2921" s="280">
        <v>36560</v>
      </c>
      <c r="G2921" s="280">
        <v>45244</v>
      </c>
      <c r="H2921" s="280">
        <v>45244</v>
      </c>
      <c r="K2921" s="97">
        <v>8969249995</v>
      </c>
    </row>
    <row r="2922" spans="1:13" x14ac:dyDescent="0.3">
      <c r="A2922" s="302" t="s">
        <v>155</v>
      </c>
      <c r="B2922" s="302" t="str">
        <f t="shared" si="28"/>
        <v>Y</v>
      </c>
      <c r="C2922" s="479" t="s">
        <v>8101</v>
      </c>
      <c r="D2922" s="353" t="s">
        <v>8102</v>
      </c>
      <c r="E2922" s="356" t="s">
        <v>8103</v>
      </c>
      <c r="F2922" s="280">
        <v>20089</v>
      </c>
      <c r="G2922" s="280">
        <v>45244</v>
      </c>
      <c r="H2922" s="280">
        <v>45244</v>
      </c>
      <c r="K2922" s="97">
        <v>9162776583</v>
      </c>
    </row>
    <row r="2923" spans="1:13" x14ac:dyDescent="0.3">
      <c r="A2923" s="302" t="s">
        <v>155</v>
      </c>
      <c r="B2923" s="302" t="str">
        <f t="shared" si="28"/>
        <v>Y</v>
      </c>
      <c r="C2923" s="479" t="s">
        <v>8104</v>
      </c>
      <c r="D2923" s="356" t="s">
        <v>7795</v>
      </c>
      <c r="E2923" s="356" t="s">
        <v>8105</v>
      </c>
      <c r="F2923" s="280">
        <v>32014</v>
      </c>
      <c r="G2923" s="280">
        <v>45245</v>
      </c>
      <c r="H2923" s="280">
        <v>45245</v>
      </c>
      <c r="K2923" s="97">
        <v>7461805958</v>
      </c>
    </row>
    <row r="2924" spans="1:13" x14ac:dyDescent="0.3">
      <c r="A2924" s="302" t="s">
        <v>155</v>
      </c>
      <c r="B2924" s="302" t="str">
        <f t="shared" si="28"/>
        <v>Y</v>
      </c>
      <c r="C2924" s="479" t="s">
        <v>8106</v>
      </c>
      <c r="E2924" s="356" t="s">
        <v>8107</v>
      </c>
      <c r="F2924" s="280">
        <v>41027</v>
      </c>
      <c r="G2924" s="280">
        <v>45248</v>
      </c>
      <c r="H2924" s="280">
        <v>45248</v>
      </c>
      <c r="K2924" s="97">
        <v>9546338230</v>
      </c>
    </row>
    <row r="2925" spans="1:13" x14ac:dyDescent="0.3">
      <c r="A2925" s="302" t="s">
        <v>155</v>
      </c>
      <c r="B2925" s="302" t="str">
        <f t="shared" si="28"/>
        <v>Y</v>
      </c>
      <c r="C2925" s="479" t="s">
        <v>8108</v>
      </c>
      <c r="E2925" s="356" t="s">
        <v>8109</v>
      </c>
      <c r="F2925" s="280">
        <v>40197</v>
      </c>
      <c r="G2925" s="280">
        <v>45248</v>
      </c>
      <c r="H2925" s="280">
        <v>45248</v>
      </c>
      <c r="K2925" s="97">
        <v>9546338230</v>
      </c>
    </row>
    <row r="2926" spans="1:13" x14ac:dyDescent="0.3">
      <c r="A2926" s="302" t="s">
        <v>155</v>
      </c>
      <c r="B2926" s="302" t="str">
        <f t="shared" si="28"/>
        <v>Y</v>
      </c>
      <c r="C2926" s="479" t="s">
        <v>8110</v>
      </c>
      <c r="E2926" s="356" t="s">
        <v>8111</v>
      </c>
      <c r="F2926" s="280">
        <v>28949</v>
      </c>
      <c r="G2926" s="280">
        <v>45249</v>
      </c>
      <c r="H2926" s="280">
        <v>45249</v>
      </c>
      <c r="K2926" s="97">
        <v>8235434402</v>
      </c>
    </row>
    <row r="2927" spans="1:13" x14ac:dyDescent="0.3">
      <c r="A2927" s="302" t="s">
        <v>155</v>
      </c>
      <c r="B2927" s="302" t="str">
        <f t="shared" si="28"/>
        <v>Y</v>
      </c>
      <c r="C2927" s="479" t="s">
        <v>8112</v>
      </c>
      <c r="D2927" s="353" t="s">
        <v>8113</v>
      </c>
      <c r="E2927" s="356" t="s">
        <v>8114</v>
      </c>
      <c r="F2927" s="280">
        <v>36078</v>
      </c>
      <c r="G2927" s="280">
        <v>45251</v>
      </c>
      <c r="H2927" s="280">
        <v>45251</v>
      </c>
      <c r="K2927" s="97">
        <v>7011479117</v>
      </c>
    </row>
    <row r="2928" spans="1:13" x14ac:dyDescent="0.3">
      <c r="A2928" s="302" t="s">
        <v>155</v>
      </c>
      <c r="B2928" s="302" t="str">
        <f t="shared" si="28"/>
        <v>Y</v>
      </c>
      <c r="C2928" s="479" t="s">
        <v>8115</v>
      </c>
      <c r="D2928" s="356" t="s">
        <v>8051</v>
      </c>
      <c r="E2928" s="356" t="s">
        <v>8116</v>
      </c>
      <c r="F2928" s="280">
        <v>31119</v>
      </c>
      <c r="G2928" s="280">
        <v>45253</v>
      </c>
      <c r="H2928" s="280">
        <v>45253</v>
      </c>
      <c r="K2928" s="97">
        <v>8603237181</v>
      </c>
    </row>
    <row r="2929" spans="1:11" x14ac:dyDescent="0.3">
      <c r="A2929" s="302" t="s">
        <v>155</v>
      </c>
      <c r="B2929" s="302" t="str">
        <f t="shared" si="28"/>
        <v>Y</v>
      </c>
      <c r="C2929" s="479" t="s">
        <v>8117</v>
      </c>
      <c r="E2929" s="356" t="s">
        <v>5868</v>
      </c>
      <c r="F2929" s="280">
        <v>38579</v>
      </c>
      <c r="G2929" s="280">
        <v>45253</v>
      </c>
      <c r="H2929" s="280">
        <v>45253</v>
      </c>
      <c r="K2929" s="97">
        <v>7004404804</v>
      </c>
    </row>
    <row r="2930" spans="1:11" x14ac:dyDescent="0.3">
      <c r="A2930" s="302" t="s">
        <v>155</v>
      </c>
      <c r="B2930" s="302" t="str">
        <f t="shared" si="28"/>
        <v>Y</v>
      </c>
      <c r="C2930" s="479" t="s">
        <v>8118</v>
      </c>
      <c r="E2930" s="356" t="s">
        <v>3697</v>
      </c>
      <c r="F2930" s="280">
        <v>37247</v>
      </c>
      <c r="G2930" s="280">
        <v>45255</v>
      </c>
      <c r="H2930" s="280">
        <v>45255</v>
      </c>
      <c r="K2930" s="97">
        <v>9142936576</v>
      </c>
    </row>
    <row r="2931" spans="1:11" x14ac:dyDescent="0.3">
      <c r="A2931" s="302" t="s">
        <v>155</v>
      </c>
      <c r="B2931" s="302" t="str">
        <f t="shared" si="28"/>
        <v>Y</v>
      </c>
      <c r="C2931" s="473" t="s">
        <v>8119</v>
      </c>
      <c r="E2931" s="356" t="s">
        <v>3113</v>
      </c>
      <c r="F2931" s="280">
        <v>38019</v>
      </c>
      <c r="G2931" s="280">
        <v>45255</v>
      </c>
      <c r="H2931" s="280">
        <v>45255</v>
      </c>
      <c r="K2931" s="97">
        <v>9608127395</v>
      </c>
    </row>
    <row r="2932" spans="1:11" x14ac:dyDescent="0.3">
      <c r="A2932" s="302" t="s">
        <v>155</v>
      </c>
      <c r="B2932" s="302" t="str">
        <f t="shared" si="28"/>
        <v>Y</v>
      </c>
      <c r="C2932" s="479" t="s">
        <v>8120</v>
      </c>
      <c r="D2932" s="353" t="s">
        <v>7890</v>
      </c>
      <c r="E2932" s="356" t="s">
        <v>8121</v>
      </c>
      <c r="F2932" s="280">
        <v>36924</v>
      </c>
      <c r="G2932" s="280">
        <v>45255</v>
      </c>
      <c r="H2932" s="280">
        <v>45255</v>
      </c>
      <c r="K2932" s="97">
        <v>6202410165</v>
      </c>
    </row>
    <row r="2933" spans="1:11" x14ac:dyDescent="0.3">
      <c r="A2933" s="302" t="s">
        <v>155</v>
      </c>
      <c r="B2933" s="302" t="str">
        <f t="shared" si="28"/>
        <v>Y</v>
      </c>
      <c r="C2933" s="479" t="s">
        <v>8122</v>
      </c>
      <c r="E2933" s="353" t="s">
        <v>8123</v>
      </c>
      <c r="F2933" s="280">
        <v>36587</v>
      </c>
      <c r="G2933" s="280">
        <v>45255</v>
      </c>
      <c r="H2933" s="280">
        <v>45256</v>
      </c>
    </row>
    <row r="2934" spans="1:11" x14ac:dyDescent="0.3">
      <c r="A2934" s="302" t="s">
        <v>155</v>
      </c>
      <c r="B2934" s="302" t="str">
        <f t="shared" si="28"/>
        <v>Y</v>
      </c>
      <c r="C2934" s="479" t="s">
        <v>8124</v>
      </c>
      <c r="E2934" s="353" t="s">
        <v>3666</v>
      </c>
      <c r="F2934" s="280">
        <v>38629</v>
      </c>
      <c r="G2934" s="280">
        <v>45256</v>
      </c>
      <c r="H2934" s="280">
        <v>45256</v>
      </c>
      <c r="K2934" s="97">
        <v>9508495838</v>
      </c>
    </row>
    <row r="2935" spans="1:11" x14ac:dyDescent="0.3">
      <c r="A2935" s="302" t="s">
        <v>155</v>
      </c>
      <c r="B2935" s="302" t="str">
        <f t="shared" si="28"/>
        <v>Y</v>
      </c>
      <c r="C2935" s="479" t="s">
        <v>8125</v>
      </c>
      <c r="E2935" s="353" t="s">
        <v>8126</v>
      </c>
      <c r="F2935" s="280">
        <v>38659</v>
      </c>
      <c r="G2935" s="280">
        <v>45257</v>
      </c>
      <c r="H2935" s="280">
        <v>45257</v>
      </c>
      <c r="K2935" s="97">
        <v>8986839909</v>
      </c>
    </row>
    <row r="2936" spans="1:11" x14ac:dyDescent="0.3">
      <c r="A2936" s="302" t="s">
        <v>155</v>
      </c>
      <c r="B2936" s="302" t="str">
        <f t="shared" si="28"/>
        <v>Y</v>
      </c>
      <c r="C2936" s="479" t="s">
        <v>8127</v>
      </c>
      <c r="D2936" s="353" t="s">
        <v>7890</v>
      </c>
      <c r="E2936" s="353" t="s">
        <v>8128</v>
      </c>
      <c r="F2936" s="280">
        <v>29480</v>
      </c>
      <c r="G2936" s="280">
        <v>45257</v>
      </c>
      <c r="H2936" s="280">
        <v>45257</v>
      </c>
      <c r="K2936" s="97">
        <v>9234663543</v>
      </c>
    </row>
    <row r="2937" spans="1:11" x14ac:dyDescent="0.3">
      <c r="A2937" s="302" t="s">
        <v>155</v>
      </c>
      <c r="B2937" s="302" t="str">
        <f t="shared" si="28"/>
        <v>Y</v>
      </c>
      <c r="C2937" s="473" t="s">
        <v>8129</v>
      </c>
      <c r="D2937" s="353" t="s">
        <v>7795</v>
      </c>
      <c r="E2937" s="353" t="s">
        <v>8130</v>
      </c>
      <c r="F2937" s="280">
        <v>18628</v>
      </c>
      <c r="G2937" s="280">
        <v>45257</v>
      </c>
      <c r="H2937" s="280">
        <v>45257</v>
      </c>
      <c r="K2937" s="97">
        <v>7007364242</v>
      </c>
    </row>
    <row r="2938" spans="1:11" x14ac:dyDescent="0.3">
      <c r="A2938" s="302" t="s">
        <v>155</v>
      </c>
      <c r="B2938" s="302" t="str">
        <f t="shared" si="28"/>
        <v>Y</v>
      </c>
      <c r="C2938" s="473" t="s">
        <v>8131</v>
      </c>
      <c r="E2938" s="353" t="s">
        <v>8132</v>
      </c>
      <c r="F2938" s="280">
        <v>36520</v>
      </c>
      <c r="G2938" s="280">
        <v>45258</v>
      </c>
      <c r="H2938" s="280">
        <v>45258</v>
      </c>
      <c r="K2938" s="97">
        <v>7717779854</v>
      </c>
    </row>
    <row r="2939" spans="1:11" x14ac:dyDescent="0.3">
      <c r="A2939" s="302" t="s">
        <v>155</v>
      </c>
      <c r="B2939" s="302" t="str">
        <f t="shared" si="28"/>
        <v>Y</v>
      </c>
      <c r="C2939" s="473" t="s">
        <v>8133</v>
      </c>
      <c r="D2939" s="353" t="s">
        <v>7895</v>
      </c>
      <c r="E2939" s="353" t="s">
        <v>8134</v>
      </c>
      <c r="F2939" s="280">
        <v>37399</v>
      </c>
      <c r="G2939" s="280">
        <v>45258</v>
      </c>
      <c r="H2939" s="280">
        <v>45258</v>
      </c>
      <c r="K2939" s="97">
        <v>6204609589</v>
      </c>
    </row>
    <row r="2940" spans="1:11" x14ac:dyDescent="0.3">
      <c r="A2940" s="302" t="s">
        <v>155</v>
      </c>
      <c r="B2940" s="302" t="str">
        <f t="shared" si="28"/>
        <v>Y</v>
      </c>
      <c r="C2940" s="473" t="s">
        <v>8135</v>
      </c>
      <c r="E2940" s="353" t="s">
        <v>8136</v>
      </c>
      <c r="F2940" s="280">
        <v>31778</v>
      </c>
      <c r="G2940" s="280">
        <v>45259</v>
      </c>
      <c r="H2940" s="280">
        <v>45259</v>
      </c>
      <c r="K2940" s="97">
        <v>6201827110</v>
      </c>
    </row>
    <row r="2941" spans="1:11" x14ac:dyDescent="0.3">
      <c r="A2941" s="302" t="s">
        <v>155</v>
      </c>
      <c r="B2941" s="302" t="str">
        <f t="shared" ref="B2941:B3004" si="29">IF(H2941="","N","Y")</f>
        <v>Y</v>
      </c>
      <c r="C2941" s="473" t="s">
        <v>8137</v>
      </c>
      <c r="D2941" s="353" t="s">
        <v>7895</v>
      </c>
      <c r="E2941" s="353" t="s">
        <v>8138</v>
      </c>
      <c r="F2941" s="280">
        <v>29017</v>
      </c>
      <c r="G2941" s="280">
        <v>45260</v>
      </c>
      <c r="H2941" s="280">
        <v>45260</v>
      </c>
      <c r="K2941" s="97">
        <v>9934186445</v>
      </c>
    </row>
    <row r="2942" spans="1:11" x14ac:dyDescent="0.3">
      <c r="A2942" s="302" t="s">
        <v>155</v>
      </c>
      <c r="B2942" s="302" t="str">
        <f t="shared" si="29"/>
        <v>Y</v>
      </c>
      <c r="C2942" s="479" t="s">
        <v>8139</v>
      </c>
      <c r="E2942" s="356" t="s">
        <v>8140</v>
      </c>
      <c r="F2942" s="280">
        <v>33161</v>
      </c>
      <c r="G2942" s="280">
        <v>45261</v>
      </c>
      <c r="H2942" s="280">
        <v>45261</v>
      </c>
      <c r="K2942" s="97">
        <v>9065709249</v>
      </c>
    </row>
    <row r="2943" spans="1:11" x14ac:dyDescent="0.3">
      <c r="A2943" s="302" t="s">
        <v>155</v>
      </c>
      <c r="B2943" s="302" t="str">
        <f t="shared" si="29"/>
        <v>Y</v>
      </c>
      <c r="C2943" s="479" t="s">
        <v>8141</v>
      </c>
      <c r="D2943" s="356" t="s">
        <v>7895</v>
      </c>
      <c r="E2943" s="356" t="s">
        <v>8142</v>
      </c>
      <c r="F2943" s="280">
        <v>35651</v>
      </c>
      <c r="G2943" s="280">
        <v>45261</v>
      </c>
      <c r="H2943" s="280">
        <v>45261</v>
      </c>
      <c r="K2943" s="97">
        <v>9572660463</v>
      </c>
    </row>
    <row r="2944" spans="1:11" x14ac:dyDescent="0.3">
      <c r="A2944" s="302" t="s">
        <v>155</v>
      </c>
      <c r="B2944" s="302" t="str">
        <f t="shared" si="29"/>
        <v>Y</v>
      </c>
      <c r="C2944" s="479" t="s">
        <v>8143</v>
      </c>
      <c r="D2944" s="356" t="s">
        <v>8144</v>
      </c>
      <c r="E2944" s="356" t="s">
        <v>8145</v>
      </c>
      <c r="F2944" s="280">
        <v>31019</v>
      </c>
      <c r="G2944" s="280">
        <v>45261</v>
      </c>
      <c r="H2944" s="280">
        <v>45261</v>
      </c>
      <c r="K2944" s="97">
        <v>8334822775</v>
      </c>
    </row>
    <row r="2945" spans="1:11" x14ac:dyDescent="0.3">
      <c r="A2945" s="302" t="s">
        <v>155</v>
      </c>
      <c r="B2945" s="302" t="str">
        <f t="shared" si="29"/>
        <v>Y</v>
      </c>
      <c r="C2945" s="479" t="s">
        <v>8146</v>
      </c>
      <c r="D2945" s="356" t="s">
        <v>8003</v>
      </c>
      <c r="E2945" s="356" t="s">
        <v>8147</v>
      </c>
      <c r="F2945" s="280">
        <v>33693</v>
      </c>
      <c r="G2945" s="280">
        <v>45261</v>
      </c>
      <c r="H2945" s="280">
        <v>45261</v>
      </c>
      <c r="K2945" s="97">
        <v>9263807615</v>
      </c>
    </row>
    <row r="2946" spans="1:11" x14ac:dyDescent="0.3">
      <c r="A2946" s="302" t="s">
        <v>155</v>
      </c>
      <c r="B2946" s="302" t="str">
        <f t="shared" si="29"/>
        <v>Y</v>
      </c>
      <c r="C2946" s="479" t="s">
        <v>8148</v>
      </c>
      <c r="E2946" s="356" t="s">
        <v>8149</v>
      </c>
      <c r="F2946" s="280">
        <v>38661</v>
      </c>
      <c r="G2946" s="280">
        <v>45262</v>
      </c>
      <c r="H2946" s="280">
        <v>45262</v>
      </c>
      <c r="K2946" s="97">
        <v>8340260501</v>
      </c>
    </row>
    <row r="2947" spans="1:11" x14ac:dyDescent="0.3">
      <c r="A2947" s="302" t="s">
        <v>155</v>
      </c>
      <c r="B2947" s="302" t="str">
        <f t="shared" si="29"/>
        <v>Y</v>
      </c>
      <c r="C2947" s="479" t="s">
        <v>8150</v>
      </c>
      <c r="E2947" s="356" t="s">
        <v>6122</v>
      </c>
      <c r="F2947" s="280">
        <v>37599</v>
      </c>
      <c r="G2947" s="280">
        <v>45266</v>
      </c>
      <c r="H2947" s="280">
        <v>45266</v>
      </c>
      <c r="K2947" s="97">
        <v>6203359628</v>
      </c>
    </row>
    <row r="2948" spans="1:11" x14ac:dyDescent="0.3">
      <c r="A2948" s="302" t="s">
        <v>155</v>
      </c>
      <c r="B2948" s="302" t="str">
        <f t="shared" si="29"/>
        <v>Y</v>
      </c>
      <c r="C2948" s="479" t="s">
        <v>8151</v>
      </c>
      <c r="E2948" s="356" t="s">
        <v>8152</v>
      </c>
      <c r="F2948" s="280">
        <v>38643</v>
      </c>
      <c r="G2948" s="280">
        <v>45271</v>
      </c>
      <c r="H2948" s="280">
        <v>45271</v>
      </c>
      <c r="K2948" s="97">
        <v>8434671734</v>
      </c>
    </row>
    <row r="2949" spans="1:11" x14ac:dyDescent="0.3">
      <c r="A2949" s="302" t="s">
        <v>155</v>
      </c>
      <c r="B2949" s="302" t="str">
        <f t="shared" si="29"/>
        <v>Y</v>
      </c>
      <c r="C2949" s="479" t="s">
        <v>8153</v>
      </c>
      <c r="D2949" s="353" t="s">
        <v>8154</v>
      </c>
      <c r="E2949" s="356" t="s">
        <v>6164</v>
      </c>
      <c r="F2949" s="280">
        <v>29620</v>
      </c>
      <c r="G2949" s="280">
        <v>45271</v>
      </c>
      <c r="H2949" s="280">
        <v>45271</v>
      </c>
      <c r="K2949" s="97">
        <v>8797595759</v>
      </c>
    </row>
    <row r="2950" spans="1:11" x14ac:dyDescent="0.3">
      <c r="A2950" s="302" t="s">
        <v>155</v>
      </c>
      <c r="B2950" s="302" t="str">
        <f t="shared" si="29"/>
        <v>Y</v>
      </c>
      <c r="C2950" s="479" t="s">
        <v>8155</v>
      </c>
      <c r="D2950" s="356" t="s">
        <v>7795</v>
      </c>
      <c r="E2950" s="356" t="s">
        <v>7898</v>
      </c>
      <c r="F2950" s="280">
        <v>20090</v>
      </c>
      <c r="G2950" s="280">
        <v>45271</v>
      </c>
      <c r="H2950" s="280">
        <v>45271</v>
      </c>
      <c r="K2950" s="97">
        <v>6204289257</v>
      </c>
    </row>
    <row r="2951" spans="1:11" x14ac:dyDescent="0.3">
      <c r="A2951" s="302" t="s">
        <v>155</v>
      </c>
      <c r="B2951" s="302" t="str">
        <f t="shared" si="29"/>
        <v>Y</v>
      </c>
      <c r="C2951" s="479" t="s">
        <v>8156</v>
      </c>
      <c r="D2951" s="353" t="s">
        <v>8003</v>
      </c>
      <c r="E2951" s="356" t="s">
        <v>8157</v>
      </c>
      <c r="F2951" s="280">
        <v>32857</v>
      </c>
      <c r="G2951" s="280">
        <v>45272</v>
      </c>
      <c r="H2951" s="280">
        <v>45272</v>
      </c>
      <c r="K2951" s="97">
        <v>9507221434</v>
      </c>
    </row>
    <row r="2952" spans="1:11" x14ac:dyDescent="0.3">
      <c r="A2952" s="302" t="s">
        <v>155</v>
      </c>
      <c r="B2952" s="302" t="str">
        <f t="shared" si="29"/>
        <v>Y</v>
      </c>
      <c r="C2952" s="479" t="s">
        <v>8158</v>
      </c>
      <c r="D2952" s="353" t="s">
        <v>7795</v>
      </c>
      <c r="E2952" s="356" t="s">
        <v>8159</v>
      </c>
      <c r="F2952" s="280">
        <v>20821</v>
      </c>
      <c r="G2952" s="280">
        <v>45272</v>
      </c>
      <c r="H2952" s="280">
        <v>45272</v>
      </c>
      <c r="K2952" s="97">
        <v>7761823449</v>
      </c>
    </row>
    <row r="2953" spans="1:11" x14ac:dyDescent="0.3">
      <c r="A2953" s="302" t="s">
        <v>155</v>
      </c>
      <c r="B2953" s="302" t="str">
        <f t="shared" si="29"/>
        <v>Y</v>
      </c>
      <c r="C2953" s="479" t="s">
        <v>8160</v>
      </c>
      <c r="D2953" s="353" t="s">
        <v>8003</v>
      </c>
      <c r="E2953" s="356" t="s">
        <v>8161</v>
      </c>
      <c r="F2953" s="280">
        <v>33433</v>
      </c>
      <c r="G2953" s="280">
        <v>45273</v>
      </c>
      <c r="H2953" s="280">
        <v>45273</v>
      </c>
      <c r="K2953" s="97">
        <v>9661947920</v>
      </c>
    </row>
    <row r="2954" spans="1:11" x14ac:dyDescent="0.3">
      <c r="A2954" s="302" t="s">
        <v>155</v>
      </c>
      <c r="B2954" s="302" t="str">
        <f t="shared" si="29"/>
        <v>Y</v>
      </c>
      <c r="C2954" s="479" t="s">
        <v>8162</v>
      </c>
      <c r="D2954" s="356" t="s">
        <v>7895</v>
      </c>
      <c r="E2954" s="356" t="s">
        <v>1020</v>
      </c>
      <c r="F2954" s="280">
        <v>28730</v>
      </c>
      <c r="G2954" s="280">
        <v>45275</v>
      </c>
      <c r="H2954" s="280">
        <v>45275</v>
      </c>
      <c r="K2954" s="97">
        <v>9234844299</v>
      </c>
    </row>
    <row r="2955" spans="1:11" x14ac:dyDescent="0.3">
      <c r="A2955" s="302" t="s">
        <v>155</v>
      </c>
      <c r="B2955" s="302" t="str">
        <f t="shared" si="29"/>
        <v>Y</v>
      </c>
      <c r="C2955" s="479" t="s">
        <v>8163</v>
      </c>
      <c r="D2955" s="356" t="s">
        <v>7792</v>
      </c>
      <c r="E2955" s="356" t="s">
        <v>8164</v>
      </c>
      <c r="F2955" s="280">
        <v>36880</v>
      </c>
      <c r="G2955" s="280">
        <v>45275</v>
      </c>
      <c r="H2955" s="280">
        <v>45275</v>
      </c>
      <c r="K2955" s="97">
        <v>6202213773</v>
      </c>
    </row>
    <row r="2956" spans="1:11" x14ac:dyDescent="0.3">
      <c r="A2956" s="302" t="s">
        <v>155</v>
      </c>
      <c r="B2956" s="302" t="str">
        <f t="shared" si="29"/>
        <v>Y</v>
      </c>
      <c r="C2956" s="479" t="s">
        <v>8165</v>
      </c>
      <c r="D2956" s="356" t="s">
        <v>7792</v>
      </c>
      <c r="E2956" s="356" t="s">
        <v>8166</v>
      </c>
      <c r="F2956" s="280">
        <v>38610</v>
      </c>
      <c r="G2956" s="280">
        <v>45277</v>
      </c>
      <c r="H2956" s="280">
        <v>45277</v>
      </c>
      <c r="K2956" s="97">
        <v>8207755181</v>
      </c>
    </row>
    <row r="2957" spans="1:11" x14ac:dyDescent="0.3">
      <c r="A2957" s="302" t="s">
        <v>155</v>
      </c>
      <c r="B2957" s="302" t="str">
        <f t="shared" si="29"/>
        <v>Y</v>
      </c>
      <c r="C2957" s="479" t="s">
        <v>8167</v>
      </c>
      <c r="D2957" s="356" t="s">
        <v>8168</v>
      </c>
      <c r="E2957" s="356" t="s">
        <v>8169</v>
      </c>
      <c r="F2957" s="280">
        <v>23924</v>
      </c>
      <c r="G2957" s="280">
        <v>45278</v>
      </c>
      <c r="H2957" s="280">
        <v>45278</v>
      </c>
      <c r="K2957" s="97">
        <v>9263024641</v>
      </c>
    </row>
    <row r="2958" spans="1:11" x14ac:dyDescent="0.3">
      <c r="A2958" s="302" t="s">
        <v>155</v>
      </c>
      <c r="B2958" s="302" t="str">
        <f t="shared" si="29"/>
        <v>Y</v>
      </c>
      <c r="C2958" s="479" t="s">
        <v>8170</v>
      </c>
      <c r="D2958" s="356" t="s">
        <v>28</v>
      </c>
      <c r="E2958" s="356" t="s">
        <v>8171</v>
      </c>
      <c r="F2958" s="280">
        <v>27244</v>
      </c>
      <c r="G2958" s="280">
        <v>45278</v>
      </c>
      <c r="H2958" s="280">
        <v>45278</v>
      </c>
      <c r="K2958" s="97">
        <v>9263024641</v>
      </c>
    </row>
    <row r="2959" spans="1:11" x14ac:dyDescent="0.3">
      <c r="A2959" s="302" t="s">
        <v>155</v>
      </c>
      <c r="B2959" s="302" t="str">
        <f t="shared" si="29"/>
        <v>Y</v>
      </c>
      <c r="C2959" s="479" t="s">
        <v>8172</v>
      </c>
      <c r="D2959" s="356" t="s">
        <v>7792</v>
      </c>
      <c r="E2959" s="356" t="s">
        <v>8173</v>
      </c>
      <c r="F2959" s="280">
        <v>26587</v>
      </c>
      <c r="G2959" s="280">
        <v>45280</v>
      </c>
      <c r="H2959" s="280">
        <v>45280</v>
      </c>
      <c r="K2959" s="97">
        <v>7209281949</v>
      </c>
    </row>
    <row r="2960" spans="1:11" x14ac:dyDescent="0.3">
      <c r="A2960" s="302" t="s">
        <v>155</v>
      </c>
      <c r="B2960" s="302" t="str">
        <f t="shared" si="29"/>
        <v>Y</v>
      </c>
      <c r="C2960" s="479" t="s">
        <v>8174</v>
      </c>
      <c r="D2960" s="356" t="s">
        <v>8003</v>
      </c>
      <c r="E2960" s="356" t="s">
        <v>8175</v>
      </c>
      <c r="F2960" s="280">
        <v>27412</v>
      </c>
      <c r="G2960" s="280">
        <v>45280</v>
      </c>
      <c r="H2960" s="280">
        <v>45280</v>
      </c>
      <c r="K2960" s="97">
        <v>9771338527</v>
      </c>
    </row>
    <row r="2961" spans="1:11" x14ac:dyDescent="0.3">
      <c r="A2961" s="302" t="s">
        <v>155</v>
      </c>
      <c r="B2961" s="302" t="str">
        <f t="shared" si="29"/>
        <v>Y</v>
      </c>
      <c r="C2961" s="479" t="s">
        <v>8176</v>
      </c>
      <c r="D2961" s="356" t="s">
        <v>7792</v>
      </c>
      <c r="E2961" s="356" t="s">
        <v>8177</v>
      </c>
      <c r="F2961" s="280">
        <v>31413</v>
      </c>
      <c r="G2961" s="280">
        <v>45280</v>
      </c>
      <c r="H2961" s="280">
        <v>45280</v>
      </c>
      <c r="K2961" s="97">
        <v>9234531213</v>
      </c>
    </row>
    <row r="2962" spans="1:11" x14ac:dyDescent="0.3">
      <c r="A2962" s="302" t="s">
        <v>155</v>
      </c>
      <c r="B2962" s="302" t="str">
        <f t="shared" si="29"/>
        <v>Y</v>
      </c>
      <c r="C2962" s="479" t="s">
        <v>8178</v>
      </c>
      <c r="D2962" s="356" t="s">
        <v>7890</v>
      </c>
      <c r="E2962" s="356" t="s">
        <v>8179</v>
      </c>
      <c r="F2962" s="280">
        <v>23468</v>
      </c>
      <c r="G2962" s="280">
        <v>45281</v>
      </c>
      <c r="H2962" s="280">
        <v>45281</v>
      </c>
      <c r="K2962" s="97">
        <v>9304439234</v>
      </c>
    </row>
    <row r="2963" spans="1:11" x14ac:dyDescent="0.3">
      <c r="A2963" s="302" t="s">
        <v>155</v>
      </c>
      <c r="B2963" s="302" t="str">
        <f t="shared" si="29"/>
        <v>Y</v>
      </c>
      <c r="C2963" s="479" t="s">
        <v>8180</v>
      </c>
      <c r="D2963" s="356" t="s">
        <v>7792</v>
      </c>
      <c r="E2963" s="356" t="s">
        <v>8181</v>
      </c>
      <c r="F2963" s="280">
        <v>33677</v>
      </c>
      <c r="G2963" s="304">
        <v>45282</v>
      </c>
      <c r="H2963" s="280">
        <v>45282</v>
      </c>
      <c r="K2963" s="97">
        <v>9559938884</v>
      </c>
    </row>
    <row r="2964" spans="1:11" x14ac:dyDescent="0.3">
      <c r="A2964" s="302" t="s">
        <v>155</v>
      </c>
      <c r="B2964" s="302" t="str">
        <f t="shared" si="29"/>
        <v>Y</v>
      </c>
      <c r="C2964" s="479" t="s">
        <v>8182</v>
      </c>
      <c r="D2964" s="353" t="s">
        <v>7832</v>
      </c>
      <c r="E2964" s="356" t="s">
        <v>8183</v>
      </c>
      <c r="F2964" s="280">
        <v>34993</v>
      </c>
      <c r="G2964" s="280">
        <v>45283</v>
      </c>
      <c r="H2964" s="280">
        <v>45283</v>
      </c>
      <c r="K2964" s="97">
        <v>9168736263</v>
      </c>
    </row>
    <row r="2965" spans="1:11" x14ac:dyDescent="0.3">
      <c r="A2965" s="302" t="s">
        <v>155</v>
      </c>
      <c r="B2965" s="302" t="str">
        <f t="shared" si="29"/>
        <v>Y</v>
      </c>
      <c r="C2965" s="479" t="s">
        <v>8184</v>
      </c>
      <c r="D2965" s="353" t="s">
        <v>7795</v>
      </c>
      <c r="E2965" s="356" t="s">
        <v>6010</v>
      </c>
      <c r="F2965" s="280">
        <v>30822</v>
      </c>
      <c r="G2965" s="280">
        <v>45284</v>
      </c>
      <c r="H2965" s="280">
        <v>45284</v>
      </c>
      <c r="K2965" s="97">
        <v>6201836758</v>
      </c>
    </row>
    <row r="2966" spans="1:11" x14ac:dyDescent="0.3">
      <c r="A2966" s="302" t="s">
        <v>155</v>
      </c>
      <c r="B2966" s="302" t="str">
        <f t="shared" si="29"/>
        <v>Y</v>
      </c>
      <c r="C2966" s="479" t="s">
        <v>8185</v>
      </c>
      <c r="D2966" s="353" t="s">
        <v>7792</v>
      </c>
      <c r="E2966" s="356" t="s">
        <v>8186</v>
      </c>
      <c r="F2966" s="280">
        <v>38204</v>
      </c>
      <c r="G2966" s="280">
        <v>45286</v>
      </c>
      <c r="H2966" s="280">
        <v>45286</v>
      </c>
      <c r="K2966" s="97">
        <v>9065979878</v>
      </c>
    </row>
    <row r="2967" spans="1:11" x14ac:dyDescent="0.3">
      <c r="A2967" s="302" t="s">
        <v>155</v>
      </c>
      <c r="B2967" s="302" t="str">
        <f t="shared" si="29"/>
        <v>Y</v>
      </c>
      <c r="C2967" s="479" t="s">
        <v>8187</v>
      </c>
      <c r="E2967" s="356" t="s">
        <v>8188</v>
      </c>
      <c r="F2967" s="280">
        <v>37092</v>
      </c>
      <c r="G2967" s="280">
        <v>45286</v>
      </c>
      <c r="H2967" s="280">
        <v>45286</v>
      </c>
      <c r="K2967" s="97">
        <v>8789289780</v>
      </c>
    </row>
    <row r="2968" spans="1:11" x14ac:dyDescent="0.3">
      <c r="A2968" s="302" t="s">
        <v>155</v>
      </c>
      <c r="B2968" s="302" t="str">
        <f t="shared" si="29"/>
        <v>Y</v>
      </c>
      <c r="C2968" s="479" t="s">
        <v>8189</v>
      </c>
      <c r="D2968" s="353" t="s">
        <v>7795</v>
      </c>
      <c r="E2968" s="356" t="s">
        <v>8190</v>
      </c>
      <c r="F2968" s="280">
        <v>24473</v>
      </c>
      <c r="G2968" s="280">
        <v>45287</v>
      </c>
      <c r="H2968" s="280">
        <v>45287</v>
      </c>
      <c r="K2968" s="97">
        <v>7209442958</v>
      </c>
    </row>
    <row r="2969" spans="1:11" x14ac:dyDescent="0.3">
      <c r="A2969" s="302" t="s">
        <v>155</v>
      </c>
      <c r="B2969" s="302" t="str">
        <f t="shared" si="29"/>
        <v>Y</v>
      </c>
      <c r="C2969" s="479" t="s">
        <v>8191</v>
      </c>
      <c r="D2969" s="353" t="s">
        <v>7857</v>
      </c>
      <c r="E2969" s="356" t="s">
        <v>8192</v>
      </c>
      <c r="F2969" s="280">
        <v>32143</v>
      </c>
      <c r="G2969" s="280">
        <v>45287</v>
      </c>
      <c r="H2969" s="280">
        <v>45287</v>
      </c>
      <c r="K2969" s="97">
        <v>7408742678</v>
      </c>
    </row>
    <row r="2970" spans="1:11" x14ac:dyDescent="0.3">
      <c r="A2970" s="302" t="s">
        <v>155</v>
      </c>
      <c r="B2970" s="302" t="str">
        <f t="shared" si="29"/>
        <v>Y</v>
      </c>
      <c r="C2970" s="479" t="s">
        <v>8193</v>
      </c>
      <c r="D2970" s="353" t="s">
        <v>8194</v>
      </c>
      <c r="E2970" s="356" t="s">
        <v>8195</v>
      </c>
      <c r="F2970" s="280">
        <v>37506</v>
      </c>
      <c r="G2970" s="280">
        <v>45287</v>
      </c>
      <c r="H2970" s="280">
        <v>45287</v>
      </c>
      <c r="K2970" s="97">
        <v>7667118964</v>
      </c>
    </row>
    <row r="2971" spans="1:11" x14ac:dyDescent="0.3">
      <c r="A2971" s="302" t="s">
        <v>155</v>
      </c>
      <c r="B2971" s="302" t="str">
        <f t="shared" si="29"/>
        <v>Y</v>
      </c>
      <c r="C2971" s="479" t="s">
        <v>8196</v>
      </c>
      <c r="D2971" s="353" t="s">
        <v>27</v>
      </c>
      <c r="E2971" s="356" t="s">
        <v>8197</v>
      </c>
      <c r="F2971" s="280">
        <v>18879</v>
      </c>
      <c r="G2971" s="280">
        <v>45287</v>
      </c>
      <c r="H2971" s="280">
        <v>45287</v>
      </c>
      <c r="K2971" s="97">
        <v>7903577546</v>
      </c>
    </row>
    <row r="2972" spans="1:11" x14ac:dyDescent="0.3">
      <c r="A2972" s="302" t="s">
        <v>155</v>
      </c>
      <c r="B2972" s="302" t="str">
        <f t="shared" si="29"/>
        <v>Y</v>
      </c>
      <c r="C2972" s="479" t="s">
        <v>8198</v>
      </c>
      <c r="D2972" s="356"/>
      <c r="E2972" s="356" t="s">
        <v>8199</v>
      </c>
      <c r="F2972" s="280">
        <v>21551</v>
      </c>
      <c r="G2972" s="280">
        <v>45290</v>
      </c>
      <c r="H2972" s="280">
        <v>45290</v>
      </c>
      <c r="K2972" s="97">
        <v>9199847410</v>
      </c>
    </row>
    <row r="2973" spans="1:11" x14ac:dyDescent="0.3">
      <c r="A2973" s="302" t="s">
        <v>155</v>
      </c>
      <c r="B2973" s="302" t="str">
        <f t="shared" si="29"/>
        <v>Y</v>
      </c>
      <c r="C2973" s="479" t="s">
        <v>8200</v>
      </c>
      <c r="E2973" s="356" t="s">
        <v>8201</v>
      </c>
      <c r="F2973" s="280">
        <v>20455</v>
      </c>
      <c r="G2973" s="280">
        <v>45290</v>
      </c>
      <c r="H2973" s="280">
        <v>45290</v>
      </c>
      <c r="K2973" s="97">
        <v>7209938465</v>
      </c>
    </row>
    <row r="2974" spans="1:11" x14ac:dyDescent="0.3">
      <c r="A2974" s="302" t="s">
        <v>155</v>
      </c>
      <c r="B2974" s="302" t="str">
        <f t="shared" si="29"/>
        <v>Y</v>
      </c>
      <c r="C2974" s="479" t="s">
        <v>8202</v>
      </c>
      <c r="E2974" s="356" t="s">
        <v>8203</v>
      </c>
      <c r="F2974" s="280">
        <v>38597</v>
      </c>
      <c r="G2974" s="280">
        <v>45290</v>
      </c>
      <c r="H2974" s="280">
        <v>45290</v>
      </c>
      <c r="K2974" s="97">
        <v>7463843058</v>
      </c>
    </row>
    <row r="2975" spans="1:11" x14ac:dyDescent="0.3">
      <c r="A2975" s="302" t="s">
        <v>155</v>
      </c>
      <c r="B2975" s="302" t="str">
        <f t="shared" si="29"/>
        <v>Y</v>
      </c>
      <c r="C2975" s="479" t="s">
        <v>8204</v>
      </c>
      <c r="E2975" s="356" t="s">
        <v>5581</v>
      </c>
      <c r="F2975" s="280">
        <v>38805</v>
      </c>
      <c r="G2975" s="280">
        <v>45295</v>
      </c>
      <c r="H2975" s="280">
        <v>45295</v>
      </c>
      <c r="K2975" s="97">
        <v>9939257327</v>
      </c>
    </row>
    <row r="2976" spans="1:11" x14ac:dyDescent="0.3">
      <c r="A2976" s="302" t="s">
        <v>155</v>
      </c>
      <c r="B2976" s="302" t="str">
        <f t="shared" si="29"/>
        <v>Y</v>
      </c>
      <c r="C2976" s="479" t="s">
        <v>8205</v>
      </c>
      <c r="E2976" s="356" t="s">
        <v>8206</v>
      </c>
      <c r="F2976" s="280">
        <v>39305</v>
      </c>
      <c r="G2976" s="280">
        <v>45295</v>
      </c>
      <c r="H2976" s="280">
        <v>45295</v>
      </c>
      <c r="K2976" s="97">
        <v>8825316633</v>
      </c>
    </row>
    <row r="2977" spans="1:14" x14ac:dyDescent="0.3">
      <c r="A2977" s="302" t="s">
        <v>155</v>
      </c>
      <c r="B2977" s="302" t="str">
        <f t="shared" si="29"/>
        <v>Y</v>
      </c>
      <c r="C2977" s="479" t="s">
        <v>8207</v>
      </c>
      <c r="E2977" s="356" t="s">
        <v>8208</v>
      </c>
      <c r="F2977" s="280">
        <v>30317</v>
      </c>
      <c r="G2977" s="280">
        <v>45296</v>
      </c>
      <c r="H2977" s="280">
        <v>45296</v>
      </c>
      <c r="K2977" s="97">
        <v>7033989059</v>
      </c>
    </row>
    <row r="2978" spans="1:14" x14ac:dyDescent="0.3">
      <c r="A2978" s="302" t="s">
        <v>155</v>
      </c>
      <c r="B2978" s="302" t="str">
        <f t="shared" si="29"/>
        <v>Y</v>
      </c>
      <c r="C2978" s="479" t="s">
        <v>8209</v>
      </c>
      <c r="E2978" s="356" t="s">
        <v>8210</v>
      </c>
      <c r="F2978" s="280">
        <v>38353</v>
      </c>
      <c r="G2978" s="280">
        <v>45296</v>
      </c>
      <c r="H2978" s="280">
        <v>45296</v>
      </c>
      <c r="K2978" s="97">
        <v>9155131218</v>
      </c>
    </row>
    <row r="2979" spans="1:14" x14ac:dyDescent="0.3">
      <c r="A2979" s="302" t="s">
        <v>155</v>
      </c>
      <c r="B2979" s="302" t="str">
        <f t="shared" si="29"/>
        <v>Y</v>
      </c>
      <c r="C2979" s="479" t="s">
        <v>8211</v>
      </c>
      <c r="E2979" s="356" t="s">
        <v>8212</v>
      </c>
      <c r="F2979" s="280">
        <v>38658</v>
      </c>
      <c r="G2979" s="280">
        <v>45296</v>
      </c>
      <c r="H2979" s="280">
        <v>45296</v>
      </c>
      <c r="K2979" s="97">
        <v>7857879936</v>
      </c>
    </row>
    <row r="2980" spans="1:14" x14ac:dyDescent="0.3">
      <c r="A2980" s="302" t="s">
        <v>155</v>
      </c>
      <c r="B2980" s="302" t="str">
        <f t="shared" si="29"/>
        <v>Y</v>
      </c>
      <c r="C2980" s="479" t="s">
        <v>8213</v>
      </c>
      <c r="E2980" s="356" t="s">
        <v>8214</v>
      </c>
      <c r="F2980" s="280">
        <v>33242</v>
      </c>
      <c r="G2980" s="280">
        <v>45297</v>
      </c>
      <c r="H2980" s="280">
        <v>45297</v>
      </c>
      <c r="K2980" s="97">
        <v>7295914300</v>
      </c>
    </row>
    <row r="2981" spans="1:14" x14ac:dyDescent="0.3">
      <c r="A2981" s="302" t="s">
        <v>155</v>
      </c>
      <c r="B2981" s="302" t="str">
        <f t="shared" si="29"/>
        <v>Y</v>
      </c>
      <c r="C2981" s="479" t="s">
        <v>8215</v>
      </c>
      <c r="D2981" s="356" t="s">
        <v>7857</v>
      </c>
      <c r="E2981" s="356" t="s">
        <v>8216</v>
      </c>
      <c r="F2981" s="280">
        <v>33604</v>
      </c>
      <c r="G2981" s="280">
        <v>45297</v>
      </c>
      <c r="H2981" s="280">
        <v>45297</v>
      </c>
      <c r="K2981" s="97">
        <v>8092877146</v>
      </c>
    </row>
    <row r="2982" spans="1:14" x14ac:dyDescent="0.3">
      <c r="A2982" s="302" t="s">
        <v>155</v>
      </c>
      <c r="B2982" s="302" t="str">
        <f t="shared" si="29"/>
        <v>Y</v>
      </c>
      <c r="C2982" s="479" t="s">
        <v>8217</v>
      </c>
      <c r="E2982" s="356" t="s">
        <v>6447</v>
      </c>
      <c r="F2982" s="280">
        <v>38636</v>
      </c>
      <c r="G2982" s="280">
        <v>45298</v>
      </c>
      <c r="H2982" s="280">
        <v>45298</v>
      </c>
      <c r="K2982" s="97">
        <v>9931096336</v>
      </c>
    </row>
    <row r="2983" spans="1:14" x14ac:dyDescent="0.3">
      <c r="A2983" s="302" t="s">
        <v>155</v>
      </c>
      <c r="B2983" s="302" t="str">
        <f t="shared" si="29"/>
        <v>Y</v>
      </c>
      <c r="C2983" s="479" t="s">
        <v>8218</v>
      </c>
      <c r="E2983" s="356" t="s">
        <v>8219</v>
      </c>
      <c r="F2983" s="280">
        <v>38362</v>
      </c>
      <c r="G2983" s="280">
        <v>45298</v>
      </c>
      <c r="H2983" s="280">
        <v>45298</v>
      </c>
      <c r="K2983" s="97">
        <v>8210758937</v>
      </c>
    </row>
    <row r="2984" spans="1:14" x14ac:dyDescent="0.3">
      <c r="A2984" s="302" t="s">
        <v>155</v>
      </c>
      <c r="B2984" s="302" t="str">
        <f t="shared" si="29"/>
        <v>Y</v>
      </c>
      <c r="C2984" s="479" t="s">
        <v>8220</v>
      </c>
      <c r="E2984" s="356" t="s">
        <v>8221</v>
      </c>
      <c r="F2984" s="280">
        <v>37279</v>
      </c>
      <c r="G2984" s="280">
        <v>45298</v>
      </c>
      <c r="H2984" s="280">
        <v>45298</v>
      </c>
      <c r="K2984" s="97">
        <v>9065022441</v>
      </c>
    </row>
    <row r="2985" spans="1:14" x14ac:dyDescent="0.3">
      <c r="A2985" s="302" t="s">
        <v>155</v>
      </c>
      <c r="B2985" s="302" t="str">
        <f t="shared" si="29"/>
        <v>Y</v>
      </c>
      <c r="C2985" s="479" t="s">
        <v>8222</v>
      </c>
      <c r="E2985" s="356" t="s">
        <v>8223</v>
      </c>
      <c r="F2985" s="280">
        <v>38275</v>
      </c>
      <c r="G2985" s="280">
        <v>45299</v>
      </c>
      <c r="H2985" s="280">
        <v>45299</v>
      </c>
      <c r="K2985" s="97">
        <v>6203318409</v>
      </c>
      <c r="N2985">
        <f>145*2*1.5+25+20</f>
        <v>480</v>
      </c>
    </row>
    <row r="2986" spans="1:14" x14ac:dyDescent="0.3">
      <c r="A2986" s="302" t="s">
        <v>155</v>
      </c>
      <c r="B2986" s="302" t="str">
        <f t="shared" si="29"/>
        <v>Y</v>
      </c>
      <c r="C2986" s="479" t="s">
        <v>8224</v>
      </c>
      <c r="E2986" s="356" t="s">
        <v>8225</v>
      </c>
      <c r="F2986" s="280">
        <v>37197</v>
      </c>
      <c r="G2986" s="280">
        <v>45299</v>
      </c>
      <c r="H2986" s="280">
        <v>45299</v>
      </c>
      <c r="K2986" s="97">
        <v>8210988633</v>
      </c>
    </row>
    <row r="2987" spans="1:14" x14ac:dyDescent="0.3">
      <c r="A2987" s="302" t="s">
        <v>155</v>
      </c>
      <c r="B2987" s="302" t="str">
        <f t="shared" si="29"/>
        <v>Y</v>
      </c>
      <c r="C2987" s="473" t="s">
        <v>8226</v>
      </c>
      <c r="D2987" s="356" t="s">
        <v>8051</v>
      </c>
      <c r="E2987" s="356" t="s">
        <v>8227</v>
      </c>
      <c r="F2987" s="280">
        <v>26665</v>
      </c>
      <c r="G2987" s="280">
        <v>45299</v>
      </c>
      <c r="H2987" s="280">
        <v>45299</v>
      </c>
      <c r="K2987" s="97">
        <v>9031929021</v>
      </c>
    </row>
    <row r="2988" spans="1:14" x14ac:dyDescent="0.3">
      <c r="A2988" s="302" t="s">
        <v>155</v>
      </c>
      <c r="B2988" s="302" t="str">
        <f t="shared" si="29"/>
        <v>Y</v>
      </c>
      <c r="C2988" s="479" t="s">
        <v>8228</v>
      </c>
      <c r="D2988" s="356" t="s">
        <v>8051</v>
      </c>
      <c r="E2988" s="356" t="s">
        <v>8229</v>
      </c>
      <c r="F2988" s="280">
        <v>23343</v>
      </c>
      <c r="G2988" s="280">
        <v>45299</v>
      </c>
      <c r="H2988" s="280">
        <v>45299</v>
      </c>
      <c r="K2988" s="97">
        <v>9031929021</v>
      </c>
    </row>
    <row r="2989" spans="1:14" x14ac:dyDescent="0.3">
      <c r="A2989" s="302" t="s">
        <v>155</v>
      </c>
      <c r="B2989" s="302" t="str">
        <f t="shared" si="29"/>
        <v>Y</v>
      </c>
      <c r="C2989" s="479" t="s">
        <v>8230</v>
      </c>
      <c r="E2989" s="356" t="s">
        <v>8231</v>
      </c>
      <c r="F2989" s="280">
        <v>38456</v>
      </c>
      <c r="G2989" s="280">
        <v>45299</v>
      </c>
      <c r="H2989" s="280">
        <v>45299</v>
      </c>
      <c r="K2989" s="97">
        <v>9955579192</v>
      </c>
    </row>
    <row r="2990" spans="1:14" x14ac:dyDescent="0.3">
      <c r="A2990" s="302" t="s">
        <v>155</v>
      </c>
      <c r="B2990" s="302" t="str">
        <f t="shared" si="29"/>
        <v>Y</v>
      </c>
      <c r="C2990" s="479" t="s">
        <v>8232</v>
      </c>
      <c r="E2990" s="356" t="s">
        <v>8233</v>
      </c>
      <c r="F2990" s="280">
        <v>26304</v>
      </c>
      <c r="G2990" s="280">
        <v>45299</v>
      </c>
      <c r="H2990" s="280">
        <v>45299</v>
      </c>
      <c r="K2990" s="97">
        <v>8409508277</v>
      </c>
    </row>
    <row r="2991" spans="1:14" x14ac:dyDescent="0.3">
      <c r="A2991" s="302" t="s">
        <v>155</v>
      </c>
      <c r="B2991" s="302" t="str">
        <f t="shared" si="29"/>
        <v>Y</v>
      </c>
      <c r="C2991" s="479" t="s">
        <v>8234</v>
      </c>
      <c r="E2991" s="356" t="s">
        <v>8235</v>
      </c>
      <c r="F2991" s="280">
        <v>24141</v>
      </c>
      <c r="G2991" s="280">
        <v>45300</v>
      </c>
      <c r="H2991" s="280">
        <v>45300</v>
      </c>
      <c r="K2991" s="97">
        <v>9097333667</v>
      </c>
    </row>
    <row r="2992" spans="1:14" x14ac:dyDescent="0.3">
      <c r="A2992" s="302" t="s">
        <v>155</v>
      </c>
      <c r="B2992" s="302" t="str">
        <f t="shared" si="29"/>
        <v>Y</v>
      </c>
      <c r="C2992" s="479" t="s">
        <v>8236</v>
      </c>
      <c r="E2992" s="356" t="s">
        <v>8237</v>
      </c>
      <c r="F2992" s="280">
        <v>39094</v>
      </c>
      <c r="G2992" s="280">
        <v>45301</v>
      </c>
      <c r="H2992" s="280">
        <v>45301</v>
      </c>
      <c r="K2992" s="97">
        <v>7903429796</v>
      </c>
    </row>
    <row r="2993" spans="1:11" x14ac:dyDescent="0.3">
      <c r="A2993" s="302" t="s">
        <v>155</v>
      </c>
      <c r="B2993" s="302" t="str">
        <f t="shared" si="29"/>
        <v>Y</v>
      </c>
      <c r="C2993" s="479" t="s">
        <v>8238</v>
      </c>
      <c r="E2993" s="356" t="s">
        <v>8239</v>
      </c>
      <c r="F2993" s="280">
        <v>39403</v>
      </c>
      <c r="G2993" s="280">
        <v>45832</v>
      </c>
      <c r="H2993" s="280">
        <v>45832</v>
      </c>
      <c r="K2993" s="97">
        <v>8292855059</v>
      </c>
    </row>
    <row r="2994" spans="1:11" x14ac:dyDescent="0.3">
      <c r="A2994" s="302" t="s">
        <v>155</v>
      </c>
      <c r="B2994" s="302" t="str">
        <f t="shared" si="29"/>
        <v>Y</v>
      </c>
      <c r="C2994" s="479" t="s">
        <v>8240</v>
      </c>
      <c r="E2994" s="356" t="s">
        <v>7967</v>
      </c>
      <c r="F2994" s="280">
        <v>38358</v>
      </c>
      <c r="G2994" s="280">
        <v>45833</v>
      </c>
      <c r="H2994" s="280">
        <v>45833</v>
      </c>
      <c r="K2994" s="97">
        <v>9122132979</v>
      </c>
    </row>
    <row r="2995" spans="1:11" x14ac:dyDescent="0.3">
      <c r="A2995" s="302" t="s">
        <v>155</v>
      </c>
      <c r="B2995" s="302" t="str">
        <f t="shared" si="29"/>
        <v>Y</v>
      </c>
      <c r="C2995" s="479" t="s">
        <v>8241</v>
      </c>
      <c r="E2995" s="356" t="s">
        <v>8242</v>
      </c>
      <c r="F2995" s="280">
        <v>39236</v>
      </c>
      <c r="G2995" s="280">
        <v>45834</v>
      </c>
      <c r="H2995" s="280">
        <v>45834</v>
      </c>
      <c r="K2995" s="97">
        <v>7367913105</v>
      </c>
    </row>
    <row r="2996" spans="1:11" x14ac:dyDescent="0.3">
      <c r="A2996" s="302" t="s">
        <v>155</v>
      </c>
      <c r="B2996" s="302" t="str">
        <f t="shared" si="29"/>
        <v>Y</v>
      </c>
      <c r="C2996" s="479" t="s">
        <v>8243</v>
      </c>
      <c r="E2996" s="356" t="s">
        <v>8244</v>
      </c>
      <c r="F2996" s="280">
        <v>23746</v>
      </c>
      <c r="G2996" s="280">
        <v>45831</v>
      </c>
      <c r="H2996" s="280">
        <v>45831</v>
      </c>
      <c r="K2996" s="97">
        <v>7061173916</v>
      </c>
    </row>
    <row r="2997" spans="1:11" x14ac:dyDescent="0.3">
      <c r="A2997" s="302" t="s">
        <v>155</v>
      </c>
      <c r="B2997" s="302" t="str">
        <f t="shared" si="29"/>
        <v>Y</v>
      </c>
      <c r="C2997" s="479" t="s">
        <v>8245</v>
      </c>
      <c r="E2997" s="356" t="s">
        <v>8246</v>
      </c>
      <c r="F2997" s="280">
        <v>38890</v>
      </c>
      <c r="G2997" s="280">
        <v>45834</v>
      </c>
      <c r="H2997" s="280">
        <v>45834</v>
      </c>
      <c r="K2997" s="97">
        <v>8092879454</v>
      </c>
    </row>
    <row r="2998" spans="1:11" x14ac:dyDescent="0.3">
      <c r="A2998" s="302" t="s">
        <v>155</v>
      </c>
      <c r="B2998" s="302" t="str">
        <f t="shared" si="29"/>
        <v>Y</v>
      </c>
      <c r="C2998" s="479" t="s">
        <v>8247</v>
      </c>
      <c r="E2998" s="356" t="s">
        <v>8248</v>
      </c>
      <c r="F2998" s="280">
        <v>39254</v>
      </c>
      <c r="G2998" s="280">
        <v>45835</v>
      </c>
      <c r="H2998" s="280">
        <v>45835</v>
      </c>
      <c r="K2998" s="97">
        <v>9934302235</v>
      </c>
    </row>
    <row r="2999" spans="1:11" x14ac:dyDescent="0.3">
      <c r="A2999" s="302" t="s">
        <v>155</v>
      </c>
      <c r="B2999" s="302" t="str">
        <f t="shared" si="29"/>
        <v>Y</v>
      </c>
      <c r="C2999" s="479" t="s">
        <v>8249</v>
      </c>
      <c r="E2999" s="356" t="s">
        <v>8250</v>
      </c>
      <c r="F2999" s="280">
        <v>30103</v>
      </c>
      <c r="G2999" s="280">
        <v>45833</v>
      </c>
      <c r="H2999" s="280">
        <v>45833</v>
      </c>
      <c r="K2999" s="97">
        <v>9031352982</v>
      </c>
    </row>
    <row r="3000" spans="1:11" x14ac:dyDescent="0.3">
      <c r="A3000" s="302" t="s">
        <v>155</v>
      </c>
      <c r="B3000" s="302" t="str">
        <f t="shared" si="29"/>
        <v>Y</v>
      </c>
      <c r="C3000" s="479" t="s">
        <v>8251</v>
      </c>
      <c r="E3000" s="356" t="s">
        <v>8252</v>
      </c>
      <c r="F3000" s="280">
        <v>25451</v>
      </c>
      <c r="G3000" s="280">
        <v>45829</v>
      </c>
      <c r="H3000" s="280">
        <v>45829</v>
      </c>
      <c r="K3000" s="97">
        <v>9031720400</v>
      </c>
    </row>
    <row r="3001" spans="1:11" x14ac:dyDescent="0.3">
      <c r="A3001" s="302" t="s">
        <v>155</v>
      </c>
      <c r="B3001" s="302" t="str">
        <f t="shared" si="29"/>
        <v>Y</v>
      </c>
      <c r="C3001" s="479" t="s">
        <v>8253</v>
      </c>
      <c r="E3001" s="356" t="s">
        <v>8254</v>
      </c>
      <c r="F3001" s="280">
        <v>23839</v>
      </c>
      <c r="G3001" s="280">
        <v>45832</v>
      </c>
      <c r="H3001" s="280">
        <v>45832</v>
      </c>
      <c r="K3001" s="97">
        <v>9771403149</v>
      </c>
    </row>
    <row r="3002" spans="1:11" x14ac:dyDescent="0.3">
      <c r="A3002" s="302" t="s">
        <v>155</v>
      </c>
      <c r="B3002" s="302" t="str">
        <f t="shared" si="29"/>
        <v>Y</v>
      </c>
      <c r="C3002" s="479" t="s">
        <v>8255</v>
      </c>
      <c r="E3002" s="356" t="s">
        <v>8256</v>
      </c>
      <c r="F3002" s="280">
        <v>39411</v>
      </c>
      <c r="G3002" s="280">
        <v>45837</v>
      </c>
      <c r="H3002" s="280">
        <v>45837</v>
      </c>
      <c r="K3002" s="97">
        <v>8092578037</v>
      </c>
    </row>
    <row r="3003" spans="1:11" x14ac:dyDescent="0.3">
      <c r="A3003" s="302" t="s">
        <v>155</v>
      </c>
      <c r="B3003" s="302" t="str">
        <f t="shared" si="29"/>
        <v>Y</v>
      </c>
      <c r="C3003" s="479" t="s">
        <v>8257</v>
      </c>
      <c r="E3003" s="356" t="s">
        <v>8258</v>
      </c>
      <c r="F3003" s="280">
        <v>21940</v>
      </c>
      <c r="G3003" s="280">
        <v>45840</v>
      </c>
      <c r="H3003" s="280">
        <v>45840</v>
      </c>
      <c r="K3003" s="97">
        <v>7004755692</v>
      </c>
    </row>
    <row r="3004" spans="1:11" x14ac:dyDescent="0.3">
      <c r="A3004" s="302" t="s">
        <v>155</v>
      </c>
      <c r="B3004" s="302" t="str">
        <f t="shared" si="29"/>
        <v>Y</v>
      </c>
      <c r="C3004" s="479" t="s">
        <v>8259</v>
      </c>
      <c r="E3004" s="356" t="s">
        <v>8260</v>
      </c>
      <c r="F3004" s="280">
        <v>25904</v>
      </c>
      <c r="G3004" s="280">
        <v>45840</v>
      </c>
      <c r="H3004" s="280">
        <v>45840</v>
      </c>
      <c r="K3004" s="97">
        <v>9279234168</v>
      </c>
    </row>
    <row r="3005" spans="1:11" x14ac:dyDescent="0.3">
      <c r="A3005" s="302" t="s">
        <v>155</v>
      </c>
      <c r="B3005" s="302" t="str">
        <f t="shared" ref="B3005:B3024" si="30">IF(H3005="","N","Y")</f>
        <v>Y</v>
      </c>
      <c r="C3005" s="479" t="s">
        <v>8261</v>
      </c>
      <c r="E3005" s="356" t="s">
        <v>6148</v>
      </c>
      <c r="F3005" s="280">
        <v>38600</v>
      </c>
      <c r="G3005" s="280">
        <v>45841</v>
      </c>
      <c r="H3005" s="280">
        <v>45841</v>
      </c>
      <c r="K3005" s="97">
        <v>9693228598</v>
      </c>
    </row>
    <row r="3006" spans="1:11" x14ac:dyDescent="0.3">
      <c r="A3006" s="302" t="s">
        <v>155</v>
      </c>
      <c r="B3006" s="302" t="str">
        <f t="shared" si="30"/>
        <v>Y</v>
      </c>
      <c r="C3006" s="479" t="s">
        <v>8262</v>
      </c>
      <c r="E3006" s="356" t="s">
        <v>322</v>
      </c>
      <c r="F3006" s="280">
        <v>23377</v>
      </c>
      <c r="G3006" s="280">
        <v>45843</v>
      </c>
      <c r="H3006" s="280">
        <v>45843</v>
      </c>
      <c r="K3006" s="97">
        <v>8797605119</v>
      </c>
    </row>
    <row r="3007" spans="1:11" x14ac:dyDescent="0.3">
      <c r="A3007" s="302" t="s">
        <v>155</v>
      </c>
      <c r="B3007" s="302" t="str">
        <f>IF(H3011="","N","Y")</f>
        <v>Y</v>
      </c>
      <c r="C3007" s="479" t="s">
        <v>8263</v>
      </c>
      <c r="E3007" s="356" t="s">
        <v>8264</v>
      </c>
      <c r="F3007" s="304">
        <v>40058</v>
      </c>
      <c r="G3007" s="280">
        <v>45844</v>
      </c>
      <c r="H3007" s="280">
        <v>45844</v>
      </c>
      <c r="K3007" s="97">
        <v>8804741776</v>
      </c>
    </row>
    <row r="3008" spans="1:11" x14ac:dyDescent="0.3">
      <c r="A3008" s="302" t="s">
        <v>155</v>
      </c>
      <c r="B3008" s="302" t="str">
        <f t="shared" si="30"/>
        <v>Y</v>
      </c>
      <c r="C3008" s="479" t="s">
        <v>8265</v>
      </c>
      <c r="E3008" s="356" t="s">
        <v>8266</v>
      </c>
      <c r="F3008" s="280">
        <v>39217</v>
      </c>
      <c r="G3008" s="280">
        <v>45848</v>
      </c>
      <c r="H3008" s="280">
        <v>45848</v>
      </c>
      <c r="K3008" s="97">
        <v>7368067687</v>
      </c>
    </row>
    <row r="3009" spans="1:11" x14ac:dyDescent="0.3">
      <c r="A3009" s="302" t="s">
        <v>155</v>
      </c>
      <c r="B3009" s="302" t="str">
        <f t="shared" si="30"/>
        <v>Y</v>
      </c>
      <c r="C3009" s="479" t="s">
        <v>8267</v>
      </c>
      <c r="E3009" s="356" t="s">
        <v>3545</v>
      </c>
      <c r="F3009" s="280">
        <v>39271</v>
      </c>
      <c r="G3009" s="280">
        <v>45848</v>
      </c>
      <c r="H3009" s="280">
        <v>45848</v>
      </c>
      <c r="K3009" s="97">
        <v>7091525398</v>
      </c>
    </row>
    <row r="3010" spans="1:11" x14ac:dyDescent="0.3">
      <c r="A3010" s="302" t="s">
        <v>155</v>
      </c>
      <c r="B3010" s="302" t="str">
        <f t="shared" si="30"/>
        <v>Y</v>
      </c>
      <c r="C3010" s="479" t="s">
        <v>8268</v>
      </c>
      <c r="E3010" s="356" t="s">
        <v>8269</v>
      </c>
      <c r="F3010" s="280">
        <v>29893</v>
      </c>
      <c r="G3010" s="280">
        <v>45848</v>
      </c>
      <c r="H3010" s="280">
        <v>45848</v>
      </c>
      <c r="K3010" s="97">
        <v>8797058828</v>
      </c>
    </row>
    <row r="3011" spans="1:11" x14ac:dyDescent="0.3">
      <c r="A3011" s="302" t="s">
        <v>155</v>
      </c>
      <c r="B3011" s="302" t="str">
        <f t="shared" si="30"/>
        <v>Y</v>
      </c>
      <c r="C3011" s="479" t="s">
        <v>8270</v>
      </c>
      <c r="E3011" s="356" t="s">
        <v>8271</v>
      </c>
      <c r="F3011" s="280">
        <v>39302</v>
      </c>
      <c r="G3011" s="280">
        <v>45845</v>
      </c>
      <c r="H3011" s="280">
        <v>45845</v>
      </c>
      <c r="K3011" s="97">
        <v>9204791927</v>
      </c>
    </row>
    <row r="3012" spans="1:11" x14ac:dyDescent="0.3">
      <c r="A3012" s="302" t="s">
        <v>155</v>
      </c>
      <c r="B3012" s="302" t="str">
        <f t="shared" si="30"/>
        <v>N</v>
      </c>
      <c r="E3012" s="356" t="s">
        <v>8272</v>
      </c>
      <c r="F3012" s="280">
        <v>38805</v>
      </c>
    </row>
    <row r="3013" spans="1:11" x14ac:dyDescent="0.3">
      <c r="A3013" s="302" t="s">
        <v>155</v>
      </c>
      <c r="B3013" s="302" t="str">
        <f t="shared" si="30"/>
        <v>Y</v>
      </c>
      <c r="C3013" s="479" t="s">
        <v>8273</v>
      </c>
      <c r="E3013" s="356" t="s">
        <v>8274</v>
      </c>
      <c r="F3013" s="280">
        <v>39194</v>
      </c>
      <c r="G3013" s="280">
        <v>45850</v>
      </c>
      <c r="H3013" s="280">
        <v>45850</v>
      </c>
      <c r="K3013" s="97">
        <v>7978159406</v>
      </c>
    </row>
    <row r="3014" spans="1:11" x14ac:dyDescent="0.3">
      <c r="A3014" s="302" t="s">
        <v>155</v>
      </c>
      <c r="B3014" s="302" t="str">
        <f t="shared" si="30"/>
        <v>Y</v>
      </c>
      <c r="C3014" s="479" t="s">
        <v>8275</v>
      </c>
      <c r="E3014" s="356" t="s">
        <v>8276</v>
      </c>
      <c r="F3014" s="280">
        <v>35451</v>
      </c>
      <c r="G3014" s="280">
        <v>45851</v>
      </c>
      <c r="H3014" s="280">
        <v>45851</v>
      </c>
      <c r="K3014" s="97">
        <v>6201381981</v>
      </c>
    </row>
    <row r="3015" spans="1:11" x14ac:dyDescent="0.3">
      <c r="A3015" s="302" t="s">
        <v>155</v>
      </c>
      <c r="B3015" s="302" t="str">
        <f t="shared" si="30"/>
        <v>Y</v>
      </c>
      <c r="C3015" s="479" t="s">
        <v>8277</v>
      </c>
      <c r="E3015" s="356" t="s">
        <v>8278</v>
      </c>
      <c r="F3015" s="280">
        <v>39069</v>
      </c>
      <c r="G3015" s="280">
        <v>45851</v>
      </c>
      <c r="H3015" s="280">
        <v>45851</v>
      </c>
      <c r="K3015" s="97">
        <v>7739873848</v>
      </c>
    </row>
    <row r="3016" spans="1:11" x14ac:dyDescent="0.3">
      <c r="A3016" s="302" t="s">
        <v>155</v>
      </c>
      <c r="B3016" s="302" t="str">
        <f t="shared" si="30"/>
        <v>Y</v>
      </c>
      <c r="C3016" s="479" t="s">
        <v>8279</v>
      </c>
      <c r="D3016" s="353" t="s">
        <v>8280</v>
      </c>
      <c r="E3016" s="356" t="s">
        <v>548</v>
      </c>
      <c r="F3016" s="280">
        <v>28126</v>
      </c>
      <c r="G3016" s="280">
        <v>45851</v>
      </c>
      <c r="H3016" s="280">
        <v>45851</v>
      </c>
      <c r="K3016" s="97">
        <v>9931335889</v>
      </c>
    </row>
    <row r="3017" spans="1:11" x14ac:dyDescent="0.3">
      <c r="A3017" s="302" t="s">
        <v>155</v>
      </c>
      <c r="B3017" s="302" t="str">
        <f t="shared" si="30"/>
        <v>Y</v>
      </c>
      <c r="C3017" s="479" t="s">
        <v>8281</v>
      </c>
      <c r="E3017" s="356" t="s">
        <v>8282</v>
      </c>
      <c r="F3017" s="280">
        <v>36382</v>
      </c>
      <c r="G3017" s="280">
        <v>45851</v>
      </c>
      <c r="H3017" s="280">
        <v>45851</v>
      </c>
      <c r="K3017" s="97">
        <v>7488988702</v>
      </c>
    </row>
    <row r="3018" spans="1:11" x14ac:dyDescent="0.3">
      <c r="A3018" s="302" t="s">
        <v>155</v>
      </c>
      <c r="B3018" s="302" t="str">
        <f t="shared" si="30"/>
        <v>Y</v>
      </c>
      <c r="C3018" s="479" t="s">
        <v>8283</v>
      </c>
      <c r="D3018" s="353" t="s">
        <v>8284</v>
      </c>
      <c r="E3018" s="356" t="s">
        <v>8285</v>
      </c>
      <c r="F3018" s="280">
        <v>25926</v>
      </c>
      <c r="G3018" s="280">
        <v>45851</v>
      </c>
      <c r="H3018" s="280">
        <v>45851</v>
      </c>
      <c r="K3018" s="97">
        <v>8002500809</v>
      </c>
    </row>
    <row r="3019" spans="1:11" x14ac:dyDescent="0.3">
      <c r="A3019" s="302" t="s">
        <v>155</v>
      </c>
      <c r="B3019" s="302" t="str">
        <f t="shared" si="30"/>
        <v>Y</v>
      </c>
      <c r="C3019" s="479" t="s">
        <v>8286</v>
      </c>
      <c r="E3019" s="356" t="s">
        <v>8287</v>
      </c>
      <c r="F3019" s="280">
        <v>39274</v>
      </c>
      <c r="G3019" s="280">
        <v>45851</v>
      </c>
      <c r="H3019" s="280">
        <v>45851</v>
      </c>
      <c r="K3019" s="97">
        <v>9693607910</v>
      </c>
    </row>
    <row r="3020" spans="1:11" x14ac:dyDescent="0.3">
      <c r="A3020" s="302" t="s">
        <v>155</v>
      </c>
      <c r="B3020" s="302" t="str">
        <f t="shared" si="30"/>
        <v>Y</v>
      </c>
      <c r="C3020" s="479" t="s">
        <v>8288</v>
      </c>
      <c r="D3020" s="353" t="s">
        <v>8289</v>
      </c>
      <c r="E3020" s="356" t="s">
        <v>8290</v>
      </c>
      <c r="F3020" s="280">
        <v>26912</v>
      </c>
      <c r="G3020" s="280">
        <v>45851</v>
      </c>
      <c r="H3020" s="280">
        <v>45851</v>
      </c>
      <c r="K3020" s="97">
        <v>9279469422</v>
      </c>
    </row>
    <row r="3021" spans="1:11" x14ac:dyDescent="0.3">
      <c r="A3021" s="302" t="s">
        <v>155</v>
      </c>
      <c r="B3021" s="302" t="str">
        <f t="shared" si="30"/>
        <v>Y</v>
      </c>
      <c r="C3021" s="479" t="s">
        <v>8291</v>
      </c>
      <c r="E3021" s="356" t="s">
        <v>8292</v>
      </c>
      <c r="F3021" s="280">
        <v>38965</v>
      </c>
      <c r="G3021" s="280">
        <v>45852</v>
      </c>
      <c r="H3021" s="280">
        <v>45852</v>
      </c>
      <c r="K3021" s="97">
        <v>8210478875</v>
      </c>
    </row>
    <row r="3022" spans="1:11" x14ac:dyDescent="0.3">
      <c r="A3022" s="302" t="s">
        <v>155</v>
      </c>
      <c r="B3022" s="302" t="str">
        <f t="shared" si="30"/>
        <v>Y</v>
      </c>
      <c r="C3022" s="479" t="s">
        <v>8293</v>
      </c>
      <c r="E3022" s="356" t="s">
        <v>8294</v>
      </c>
      <c r="F3022" s="280">
        <v>39143</v>
      </c>
      <c r="G3022" s="280">
        <v>45852</v>
      </c>
      <c r="H3022" s="280">
        <v>45852</v>
      </c>
      <c r="K3022" s="97">
        <v>8797471898</v>
      </c>
    </row>
    <row r="3023" spans="1:11" x14ac:dyDescent="0.3">
      <c r="A3023" s="302" t="s">
        <v>155</v>
      </c>
      <c r="B3023" s="302" t="str">
        <f t="shared" si="30"/>
        <v>Y</v>
      </c>
      <c r="C3023" s="479" t="s">
        <v>8295</v>
      </c>
      <c r="E3023" s="356" t="s">
        <v>8296</v>
      </c>
      <c r="F3023" s="280">
        <v>28484</v>
      </c>
      <c r="G3023" s="280">
        <v>45852</v>
      </c>
      <c r="H3023" s="280">
        <v>45852</v>
      </c>
      <c r="K3023" s="97">
        <v>9234975840</v>
      </c>
    </row>
    <row r="3024" spans="1:11" x14ac:dyDescent="0.3">
      <c r="A3024" s="302" t="s">
        <v>155</v>
      </c>
      <c r="B3024" s="302" t="str">
        <f t="shared" si="30"/>
        <v>Y</v>
      </c>
      <c r="C3024" s="479" t="s">
        <v>8297</v>
      </c>
      <c r="E3024" s="356" t="s">
        <v>8298</v>
      </c>
      <c r="F3024" s="280">
        <v>34385</v>
      </c>
      <c r="G3024" s="280">
        <v>45852</v>
      </c>
      <c r="H3024" s="280">
        <v>45852</v>
      </c>
      <c r="K3024" s="97">
        <v>9920606499</v>
      </c>
    </row>
    <row r="3025" spans="1:11" x14ac:dyDescent="0.3">
      <c r="A3025" s="302" t="s">
        <v>155</v>
      </c>
      <c r="B3025" s="302" t="str">
        <f t="shared" ref="B3025:B3037" si="31">IF(H3025="","N","Y")</f>
        <v>Y</v>
      </c>
      <c r="C3025" s="479" t="s">
        <v>8299</v>
      </c>
      <c r="E3025" s="356" t="s">
        <v>8300</v>
      </c>
      <c r="F3025" s="280">
        <v>39428</v>
      </c>
      <c r="G3025" s="280">
        <v>45844</v>
      </c>
      <c r="H3025" s="280">
        <v>45844</v>
      </c>
      <c r="K3025" s="97">
        <v>8797046569</v>
      </c>
    </row>
    <row r="3026" spans="1:11" x14ac:dyDescent="0.3">
      <c r="A3026" s="302" t="s">
        <v>155</v>
      </c>
      <c r="B3026" s="302" t="str">
        <f t="shared" si="31"/>
        <v>Y</v>
      </c>
      <c r="C3026" s="479" t="s">
        <v>8301</v>
      </c>
      <c r="E3026" s="356" t="s">
        <v>8302</v>
      </c>
      <c r="F3026" s="280">
        <v>38962</v>
      </c>
      <c r="G3026" s="280">
        <v>45844</v>
      </c>
      <c r="H3026" s="280">
        <v>45844</v>
      </c>
      <c r="K3026" s="97">
        <v>8210988132</v>
      </c>
    </row>
    <row r="3027" spans="1:11" x14ac:dyDescent="0.3">
      <c r="A3027" s="302" t="s">
        <v>155</v>
      </c>
      <c r="B3027" s="302" t="str">
        <f t="shared" si="31"/>
        <v>Y</v>
      </c>
      <c r="C3027" s="479" t="s">
        <v>8303</v>
      </c>
      <c r="E3027" s="356" t="s">
        <v>8304</v>
      </c>
      <c r="F3027" s="280">
        <v>30391</v>
      </c>
      <c r="G3027" s="280">
        <v>45844</v>
      </c>
      <c r="H3027" s="280">
        <v>45844</v>
      </c>
      <c r="K3027" s="97">
        <v>9973515583</v>
      </c>
    </row>
    <row r="3028" spans="1:11" x14ac:dyDescent="0.3">
      <c r="A3028" s="302" t="s">
        <v>155</v>
      </c>
      <c r="B3028" s="302" t="str">
        <f t="shared" si="31"/>
        <v>Y</v>
      </c>
      <c r="C3028" s="479" t="s">
        <v>8305</v>
      </c>
      <c r="E3028" s="356" t="s">
        <v>8306</v>
      </c>
      <c r="F3028" s="280">
        <v>25239</v>
      </c>
      <c r="G3028" s="280">
        <v>45844</v>
      </c>
      <c r="H3028" s="280">
        <v>45844</v>
      </c>
      <c r="K3028" s="97">
        <v>9204264716</v>
      </c>
    </row>
    <row r="3029" spans="1:11" x14ac:dyDescent="0.3">
      <c r="A3029" s="302" t="s">
        <v>155</v>
      </c>
      <c r="B3029" s="302" t="str">
        <f t="shared" si="31"/>
        <v>Y</v>
      </c>
      <c r="C3029" s="479" t="s">
        <v>8307</v>
      </c>
      <c r="E3029" s="356" t="s">
        <v>8308</v>
      </c>
      <c r="F3029" s="280">
        <v>28463</v>
      </c>
      <c r="G3029" s="280">
        <v>45844</v>
      </c>
      <c r="H3029" s="280">
        <v>45844</v>
      </c>
      <c r="K3029" s="97">
        <v>8317344419</v>
      </c>
    </row>
    <row r="3030" spans="1:11" x14ac:dyDescent="0.3">
      <c r="A3030" s="302" t="s">
        <v>155</v>
      </c>
      <c r="B3030" s="302" t="str">
        <f t="shared" si="31"/>
        <v>Y</v>
      </c>
      <c r="C3030" s="479" t="s">
        <v>8309</v>
      </c>
      <c r="E3030" s="356" t="s">
        <v>8310</v>
      </c>
      <c r="F3030" s="280">
        <v>31413</v>
      </c>
      <c r="G3030" s="280">
        <v>45857</v>
      </c>
      <c r="H3030" s="280">
        <v>45857</v>
      </c>
      <c r="K3030" s="97">
        <v>9122070227</v>
      </c>
    </row>
    <row r="3031" spans="1:11" x14ac:dyDescent="0.3">
      <c r="A3031" s="302" t="s">
        <v>155</v>
      </c>
      <c r="B3031" s="302" t="str">
        <f t="shared" si="31"/>
        <v>Y</v>
      </c>
      <c r="C3031" s="479" t="s">
        <v>8311</v>
      </c>
      <c r="E3031" s="356" t="s">
        <v>8312</v>
      </c>
      <c r="F3031" s="280">
        <v>19119</v>
      </c>
      <c r="G3031" s="280">
        <v>45857</v>
      </c>
      <c r="H3031" s="280">
        <v>45857</v>
      </c>
      <c r="K3031" s="97">
        <v>9031984207</v>
      </c>
    </row>
    <row r="3032" spans="1:11" x14ac:dyDescent="0.3">
      <c r="A3032" s="302" t="s">
        <v>155</v>
      </c>
      <c r="B3032" s="302" t="str">
        <f t="shared" si="31"/>
        <v>Y</v>
      </c>
      <c r="C3032" s="479" t="s">
        <v>8313</v>
      </c>
      <c r="E3032" s="356" t="s">
        <v>8314</v>
      </c>
      <c r="F3032" s="280">
        <v>33317</v>
      </c>
      <c r="G3032" s="280">
        <v>45857</v>
      </c>
      <c r="H3032" s="280">
        <v>45857</v>
      </c>
      <c r="K3032" s="97">
        <v>7079584068</v>
      </c>
    </row>
    <row r="3033" spans="1:11" x14ac:dyDescent="0.3">
      <c r="A3033" s="302" t="s">
        <v>155</v>
      </c>
      <c r="B3033" s="302" t="str">
        <f t="shared" si="31"/>
        <v>Y</v>
      </c>
      <c r="C3033" s="479" t="s">
        <v>8315</v>
      </c>
      <c r="E3033" s="356" t="s">
        <v>8316</v>
      </c>
      <c r="F3033" s="280">
        <v>24279</v>
      </c>
      <c r="G3033" s="280">
        <v>45857</v>
      </c>
      <c r="H3033" s="280">
        <v>45857</v>
      </c>
      <c r="K3033" s="97">
        <v>8292766918</v>
      </c>
    </row>
    <row r="3034" spans="1:11" x14ac:dyDescent="0.3">
      <c r="A3034" s="302" t="s">
        <v>155</v>
      </c>
      <c r="B3034" s="302" t="str">
        <f t="shared" si="31"/>
        <v>Y</v>
      </c>
      <c r="C3034" s="479" t="s">
        <v>8317</v>
      </c>
      <c r="E3034" s="356" t="s">
        <v>8318</v>
      </c>
      <c r="F3034" s="280">
        <v>38321</v>
      </c>
      <c r="G3034" s="280">
        <v>45857</v>
      </c>
      <c r="H3034" s="280">
        <v>45857</v>
      </c>
      <c r="K3034" s="97">
        <v>8340542830</v>
      </c>
    </row>
    <row r="3035" spans="1:11" x14ac:dyDescent="0.3">
      <c r="A3035" s="302" t="s">
        <v>155</v>
      </c>
      <c r="B3035" s="302" t="str">
        <f t="shared" si="31"/>
        <v>Y</v>
      </c>
      <c r="C3035" s="479" t="s">
        <v>8319</v>
      </c>
      <c r="E3035" s="356" t="s">
        <v>8320</v>
      </c>
      <c r="F3035" s="280">
        <v>39263</v>
      </c>
      <c r="G3035" s="280">
        <v>45857</v>
      </c>
      <c r="H3035" s="280">
        <v>45857</v>
      </c>
      <c r="K3035" s="97">
        <v>7295913326</v>
      </c>
    </row>
    <row r="3036" spans="1:11" x14ac:dyDescent="0.3">
      <c r="A3036" s="302" t="s">
        <v>155</v>
      </c>
      <c r="B3036" s="302" t="str">
        <f t="shared" si="31"/>
        <v>Y</v>
      </c>
      <c r="C3036" s="479" t="s">
        <v>8321</v>
      </c>
      <c r="E3036" s="356" t="s">
        <v>8322</v>
      </c>
      <c r="F3036" s="280">
        <v>37674</v>
      </c>
      <c r="G3036" s="280">
        <v>45857</v>
      </c>
      <c r="H3036" s="280">
        <v>45857</v>
      </c>
      <c r="K3036" s="97">
        <v>9334649544</v>
      </c>
    </row>
    <row r="3037" spans="1:11" x14ac:dyDescent="0.3">
      <c r="A3037" s="302" t="s">
        <v>155</v>
      </c>
      <c r="B3037" s="302" t="str">
        <f t="shared" si="31"/>
        <v>Y</v>
      </c>
      <c r="C3037" s="479" t="s">
        <v>8323</v>
      </c>
      <c r="E3037" s="356" t="s">
        <v>8324</v>
      </c>
      <c r="F3037" s="280">
        <v>38916</v>
      </c>
      <c r="G3037" s="280">
        <v>45858</v>
      </c>
      <c r="H3037" s="280">
        <v>45858</v>
      </c>
      <c r="K3037" s="97">
        <v>9031737893</v>
      </c>
    </row>
    <row r="3038" spans="1:11" x14ac:dyDescent="0.3">
      <c r="A3038" s="302" t="s">
        <v>155</v>
      </c>
      <c r="B3038" s="302" t="str">
        <f t="shared" ref="B3038:B3040" si="32">IF(H3038="","N","Y")</f>
        <v>Y</v>
      </c>
      <c r="C3038" s="479" t="s">
        <v>8325</v>
      </c>
      <c r="E3038" s="356" t="s">
        <v>8326</v>
      </c>
      <c r="F3038" s="280">
        <v>14611</v>
      </c>
      <c r="G3038" s="280">
        <v>45859</v>
      </c>
      <c r="H3038" s="280">
        <v>45859</v>
      </c>
      <c r="K3038" s="97">
        <v>9031138764</v>
      </c>
    </row>
    <row r="3039" spans="1:11" x14ac:dyDescent="0.3">
      <c r="A3039" s="302" t="s">
        <v>155</v>
      </c>
      <c r="B3039" s="302" t="str">
        <f t="shared" si="32"/>
        <v>Y</v>
      </c>
      <c r="C3039" s="479" t="s">
        <v>8327</v>
      </c>
      <c r="E3039" s="356" t="s">
        <v>8328</v>
      </c>
      <c r="F3039" s="97" t="s">
        <v>8329</v>
      </c>
      <c r="G3039" s="280">
        <v>45859</v>
      </c>
      <c r="H3039" s="280">
        <v>45859</v>
      </c>
      <c r="K3039" s="97">
        <v>9431343316</v>
      </c>
    </row>
    <row r="3040" spans="1:11" x14ac:dyDescent="0.3">
      <c r="A3040" s="302" t="s">
        <v>155</v>
      </c>
      <c r="B3040" s="302" t="str">
        <f t="shared" si="32"/>
        <v>Y</v>
      </c>
      <c r="C3040" s="473" t="s">
        <v>8330</v>
      </c>
      <c r="E3040" s="356" t="s">
        <v>8331</v>
      </c>
      <c r="F3040" s="280">
        <v>18970</v>
      </c>
      <c r="G3040" s="280">
        <v>45860</v>
      </c>
      <c r="H3040" s="280">
        <v>45860</v>
      </c>
      <c r="K3040" s="97">
        <v>7033628599</v>
      </c>
    </row>
    <row r="3041" spans="1:11" x14ac:dyDescent="0.3">
      <c r="A3041" s="302" t="s">
        <v>155</v>
      </c>
      <c r="B3041" s="302" t="str">
        <f t="shared" ref="B3041:B3047" si="33">IF(H3041="","N","Y")</f>
        <v>Y</v>
      </c>
      <c r="C3041" s="473" t="s">
        <v>8332</v>
      </c>
      <c r="E3041" s="356" t="s">
        <v>8333</v>
      </c>
      <c r="F3041" s="280">
        <v>39149</v>
      </c>
      <c r="G3041" s="280">
        <v>45861</v>
      </c>
      <c r="H3041" s="280">
        <v>45862</v>
      </c>
      <c r="K3041" s="97">
        <v>8603941386</v>
      </c>
    </row>
    <row r="3042" spans="1:11" x14ac:dyDescent="0.3">
      <c r="A3042" s="302" t="s">
        <v>155</v>
      </c>
      <c r="B3042" s="302" t="str">
        <f t="shared" ref="B3042:B3043" si="34">IF(H3042="","N","Y")</f>
        <v>Y</v>
      </c>
      <c r="C3042" s="473" t="s">
        <v>8334</v>
      </c>
      <c r="E3042" s="356" t="s">
        <v>8335</v>
      </c>
      <c r="F3042" s="280">
        <v>38947</v>
      </c>
      <c r="G3042" s="280">
        <v>45861</v>
      </c>
      <c r="H3042" s="280">
        <v>45861</v>
      </c>
      <c r="K3042" s="97">
        <v>9262581126</v>
      </c>
    </row>
    <row r="3043" spans="1:11" x14ac:dyDescent="0.3">
      <c r="A3043" s="302" t="s">
        <v>155</v>
      </c>
      <c r="B3043" s="302" t="str">
        <f t="shared" si="34"/>
        <v>Y</v>
      </c>
      <c r="C3043" s="473" t="s">
        <v>8336</v>
      </c>
      <c r="E3043" s="356" t="s">
        <v>8337</v>
      </c>
      <c r="F3043" s="280">
        <v>38729</v>
      </c>
      <c r="G3043" s="280">
        <v>45862</v>
      </c>
      <c r="H3043" s="280">
        <v>45862</v>
      </c>
      <c r="K3043" s="97">
        <v>9835815941</v>
      </c>
    </row>
    <row r="3044" spans="1:11" x14ac:dyDescent="0.3">
      <c r="A3044" s="302" t="s">
        <v>155</v>
      </c>
      <c r="B3044" s="302" t="str">
        <f t="shared" si="33"/>
        <v>Y</v>
      </c>
      <c r="C3044" s="473" t="s">
        <v>8338</v>
      </c>
      <c r="E3044" s="356" t="s">
        <v>8339</v>
      </c>
      <c r="F3044" s="280">
        <v>27332</v>
      </c>
      <c r="G3044" s="280">
        <v>45861</v>
      </c>
      <c r="H3044" s="280">
        <v>45862</v>
      </c>
      <c r="K3044" s="97">
        <v>9661880779</v>
      </c>
    </row>
    <row r="3045" spans="1:11" x14ac:dyDescent="0.3">
      <c r="A3045" s="302" t="s">
        <v>155</v>
      </c>
      <c r="B3045" s="302" t="str">
        <f t="shared" si="33"/>
        <v>Y</v>
      </c>
      <c r="C3045" s="473" t="s">
        <v>8340</v>
      </c>
      <c r="E3045" s="356" t="s">
        <v>8341</v>
      </c>
      <c r="F3045" s="280">
        <v>29610</v>
      </c>
      <c r="G3045" s="280">
        <v>45861</v>
      </c>
      <c r="H3045" s="280">
        <v>45862</v>
      </c>
      <c r="K3045" s="97">
        <v>8969483254</v>
      </c>
    </row>
    <row r="3046" spans="1:11" x14ac:dyDescent="0.3">
      <c r="A3046" s="302" t="s">
        <v>155</v>
      </c>
      <c r="B3046" s="302" t="str">
        <f t="shared" si="33"/>
        <v>Y</v>
      </c>
      <c r="C3046" s="473" t="s">
        <v>8342</v>
      </c>
      <c r="E3046" s="356" t="s">
        <v>8343</v>
      </c>
      <c r="F3046" s="280">
        <v>26695</v>
      </c>
      <c r="G3046" s="280">
        <v>45862</v>
      </c>
      <c r="H3046" s="280">
        <v>45862</v>
      </c>
      <c r="K3046" s="97">
        <v>9304824579</v>
      </c>
    </row>
    <row r="3047" spans="1:11" x14ac:dyDescent="0.3">
      <c r="A3047" s="302" t="s">
        <v>155</v>
      </c>
      <c r="B3047" s="302" t="str">
        <f t="shared" si="33"/>
        <v>Y</v>
      </c>
      <c r="C3047" s="473" t="s">
        <v>8344</v>
      </c>
      <c r="E3047" s="356" t="s">
        <v>8345</v>
      </c>
      <c r="F3047" s="280">
        <v>26403</v>
      </c>
      <c r="G3047" s="280">
        <v>45862</v>
      </c>
      <c r="H3047" s="280">
        <v>45862</v>
      </c>
      <c r="K3047" s="97">
        <v>9431521637</v>
      </c>
    </row>
    <row r="3048" spans="1:11" x14ac:dyDescent="0.3">
      <c r="A3048" s="302" t="s">
        <v>155</v>
      </c>
      <c r="B3048" s="302" t="str">
        <f t="shared" ref="B3048:B3087" si="35">IF(H3048="","N","Y")</f>
        <v>Y</v>
      </c>
      <c r="C3048" s="473" t="s">
        <v>8346</v>
      </c>
      <c r="E3048" s="356" t="s">
        <v>8347</v>
      </c>
      <c r="F3048" s="280">
        <v>37019</v>
      </c>
      <c r="G3048" s="280">
        <v>45862</v>
      </c>
      <c r="H3048" s="280">
        <v>45862</v>
      </c>
      <c r="K3048" s="97">
        <v>9693600064</v>
      </c>
    </row>
    <row r="3049" spans="1:11" x14ac:dyDescent="0.3">
      <c r="A3049" s="302" t="s">
        <v>155</v>
      </c>
      <c r="B3049" s="302" t="str">
        <f t="shared" si="35"/>
        <v>Y</v>
      </c>
      <c r="C3049" s="473" t="s">
        <v>8348</v>
      </c>
      <c r="E3049" s="356" t="s">
        <v>8349</v>
      </c>
      <c r="F3049" s="280">
        <v>39465</v>
      </c>
      <c r="G3049" s="280">
        <v>45862</v>
      </c>
      <c r="H3049" s="280">
        <v>45862</v>
      </c>
      <c r="K3049" s="97">
        <v>9060888083</v>
      </c>
    </row>
    <row r="3050" spans="1:11" x14ac:dyDescent="0.3">
      <c r="A3050" s="302" t="s">
        <v>155</v>
      </c>
      <c r="B3050" s="302" t="str">
        <f t="shared" si="35"/>
        <v>Y</v>
      </c>
      <c r="C3050" s="473" t="s">
        <v>8350</v>
      </c>
      <c r="E3050" s="356" t="s">
        <v>8351</v>
      </c>
      <c r="F3050" s="280">
        <v>45863</v>
      </c>
      <c r="G3050" s="280">
        <v>45863</v>
      </c>
      <c r="H3050" s="280">
        <v>45863</v>
      </c>
      <c r="K3050" s="97">
        <v>7972220657</v>
      </c>
    </row>
    <row r="3051" spans="1:11" x14ac:dyDescent="0.3">
      <c r="A3051" s="302" t="s">
        <v>155</v>
      </c>
      <c r="B3051" s="302" t="str">
        <f t="shared" si="35"/>
        <v>Y</v>
      </c>
      <c r="C3051" s="479" t="s">
        <v>8352</v>
      </c>
      <c r="E3051" s="356" t="s">
        <v>8353</v>
      </c>
      <c r="F3051" s="280">
        <v>32143</v>
      </c>
      <c r="G3051" s="280">
        <v>45863</v>
      </c>
      <c r="H3051" s="280">
        <v>45863</v>
      </c>
      <c r="K3051" s="97">
        <v>9835168572</v>
      </c>
    </row>
    <row r="3052" spans="1:11" x14ac:dyDescent="0.3">
      <c r="A3052" s="302" t="s">
        <v>155</v>
      </c>
      <c r="B3052" s="302" t="str">
        <f t="shared" si="35"/>
        <v>Y</v>
      </c>
      <c r="E3052" s="353" t="s">
        <v>8354</v>
      </c>
      <c r="F3052" s="280">
        <v>39279</v>
      </c>
      <c r="G3052" s="280">
        <v>45863</v>
      </c>
      <c r="H3052" s="280">
        <v>45863</v>
      </c>
      <c r="K3052" s="97">
        <v>7485067169</v>
      </c>
    </row>
    <row r="3053" spans="1:11" x14ac:dyDescent="0.3">
      <c r="A3053" s="302" t="s">
        <v>155</v>
      </c>
      <c r="B3053" s="302" t="str">
        <f t="shared" si="35"/>
        <v>Y</v>
      </c>
      <c r="C3053" s="473" t="s">
        <v>8355</v>
      </c>
      <c r="E3053" s="353" t="s">
        <v>8356</v>
      </c>
      <c r="F3053" s="280">
        <v>25934</v>
      </c>
      <c r="G3053" s="280">
        <v>45863</v>
      </c>
      <c r="H3053" s="280">
        <v>45863</v>
      </c>
      <c r="K3053" s="97">
        <v>9771542664</v>
      </c>
    </row>
    <row r="3054" spans="1:11" x14ac:dyDescent="0.3">
      <c r="A3054" s="302" t="s">
        <v>155</v>
      </c>
      <c r="B3054" s="302" t="str">
        <f t="shared" si="35"/>
        <v>Y</v>
      </c>
      <c r="C3054" s="473" t="s">
        <v>8357</v>
      </c>
      <c r="E3054" s="356" t="s">
        <v>8358</v>
      </c>
      <c r="F3054" s="280">
        <v>22647</v>
      </c>
      <c r="G3054" s="280">
        <v>45863</v>
      </c>
      <c r="H3054" s="280">
        <v>45864</v>
      </c>
      <c r="K3054" s="97">
        <v>7488804060</v>
      </c>
    </row>
    <row r="3055" spans="1:11" x14ac:dyDescent="0.3">
      <c r="A3055" s="302" t="s">
        <v>155</v>
      </c>
      <c r="B3055" s="302" t="str">
        <f t="shared" si="35"/>
        <v>Y</v>
      </c>
      <c r="C3055" s="473" t="s">
        <v>8359</v>
      </c>
      <c r="E3055" s="356" t="s">
        <v>8360</v>
      </c>
      <c r="F3055" s="280">
        <v>31789</v>
      </c>
      <c r="G3055" s="280">
        <v>45864</v>
      </c>
      <c r="H3055" s="280">
        <v>45864</v>
      </c>
      <c r="K3055" s="97">
        <v>8603633258</v>
      </c>
    </row>
    <row r="3056" spans="1:11" x14ac:dyDescent="0.3">
      <c r="A3056" s="302" t="s">
        <v>155</v>
      </c>
      <c r="B3056" s="302" t="str">
        <f t="shared" si="35"/>
        <v>Y</v>
      </c>
      <c r="C3056" s="473" t="s">
        <v>8361</v>
      </c>
      <c r="E3056" s="356" t="s">
        <v>8362</v>
      </c>
      <c r="F3056" s="280">
        <v>39246</v>
      </c>
      <c r="G3056" s="280">
        <v>45828</v>
      </c>
      <c r="H3056" s="280">
        <v>45864</v>
      </c>
      <c r="K3056" s="97">
        <v>8986728655</v>
      </c>
    </row>
    <row r="3057" spans="1:12" x14ac:dyDescent="0.3">
      <c r="A3057" s="302" t="s">
        <v>155</v>
      </c>
      <c r="B3057" s="302" t="str">
        <f t="shared" si="35"/>
        <v>Y</v>
      </c>
      <c r="C3057" s="473" t="s">
        <v>8363</v>
      </c>
      <c r="E3057" s="356" t="s">
        <v>8364</v>
      </c>
      <c r="F3057" s="280">
        <v>16619</v>
      </c>
      <c r="G3057" s="280">
        <v>45866</v>
      </c>
      <c r="H3057" s="280">
        <v>45866</v>
      </c>
      <c r="K3057" s="97">
        <v>9234278338</v>
      </c>
    </row>
    <row r="3058" spans="1:12" x14ac:dyDescent="0.3">
      <c r="A3058" s="302" t="s">
        <v>155</v>
      </c>
      <c r="B3058" s="302" t="str">
        <f t="shared" si="35"/>
        <v>Y</v>
      </c>
      <c r="C3058" s="473" t="s">
        <v>8365</v>
      </c>
      <c r="E3058" s="356" t="s">
        <v>8366</v>
      </c>
      <c r="F3058" s="280">
        <v>37472</v>
      </c>
      <c r="G3058" s="280">
        <v>45866</v>
      </c>
      <c r="H3058" s="280">
        <v>45866</v>
      </c>
      <c r="K3058" s="97">
        <v>9142212934</v>
      </c>
    </row>
    <row r="3059" spans="1:12" x14ac:dyDescent="0.3">
      <c r="A3059" s="302" t="s">
        <v>155</v>
      </c>
      <c r="B3059" s="302" t="str">
        <f t="shared" si="35"/>
        <v>Y</v>
      </c>
      <c r="C3059" s="473" t="s">
        <v>8367</v>
      </c>
      <c r="E3059" s="356" t="s">
        <v>8368</v>
      </c>
      <c r="F3059" s="280">
        <v>38445</v>
      </c>
      <c r="G3059" s="280">
        <v>45869</v>
      </c>
      <c r="H3059" s="280">
        <v>45869</v>
      </c>
      <c r="K3059" s="97">
        <v>7779983056</v>
      </c>
    </row>
    <row r="3060" spans="1:12" x14ac:dyDescent="0.3">
      <c r="A3060" s="302" t="s">
        <v>155</v>
      </c>
      <c r="B3060" s="302" t="str">
        <f t="shared" si="35"/>
        <v>Y</v>
      </c>
      <c r="C3060" s="473" t="s">
        <v>8369</v>
      </c>
      <c r="E3060" s="356" t="s">
        <v>8370</v>
      </c>
      <c r="F3060" s="280">
        <v>31001</v>
      </c>
      <c r="G3060" s="280">
        <v>45869</v>
      </c>
      <c r="H3060" s="280">
        <v>45869</v>
      </c>
      <c r="K3060" s="97">
        <v>7782850922</v>
      </c>
    </row>
    <row r="3061" spans="1:12" x14ac:dyDescent="0.3">
      <c r="A3061" s="302" t="s">
        <v>155</v>
      </c>
      <c r="B3061" s="302" t="str">
        <f t="shared" si="35"/>
        <v>Y</v>
      </c>
      <c r="C3061" s="473" t="s">
        <v>8371</v>
      </c>
      <c r="E3061" s="356" t="s">
        <v>8372</v>
      </c>
      <c r="F3061" s="280">
        <v>38551</v>
      </c>
      <c r="G3061" s="280">
        <v>45869</v>
      </c>
      <c r="H3061" s="280">
        <v>45869</v>
      </c>
      <c r="K3061" s="97">
        <v>9279766239</v>
      </c>
    </row>
    <row r="3062" spans="1:12" x14ac:dyDescent="0.3">
      <c r="A3062" s="302" t="s">
        <v>155</v>
      </c>
      <c r="B3062" s="302" t="str">
        <f t="shared" si="35"/>
        <v>Y</v>
      </c>
      <c r="C3062" s="473" t="s">
        <v>8373</v>
      </c>
      <c r="D3062" s="364" t="s">
        <v>556</v>
      </c>
      <c r="E3062" s="356" t="s">
        <v>8372</v>
      </c>
      <c r="F3062" s="289" t="s">
        <v>8374</v>
      </c>
      <c r="G3062" s="288">
        <v>45871</v>
      </c>
      <c r="H3062" s="288">
        <v>45871</v>
      </c>
      <c r="I3062" s="98"/>
      <c r="J3062" s="98"/>
    </row>
    <row r="3063" spans="1:12" x14ac:dyDescent="0.3">
      <c r="A3063" s="302" t="s">
        <v>155</v>
      </c>
      <c r="B3063" s="302" t="str">
        <f t="shared" si="35"/>
        <v>Y</v>
      </c>
      <c r="C3063" s="473" t="s">
        <v>8375</v>
      </c>
      <c r="E3063" s="356" t="s">
        <v>8376</v>
      </c>
      <c r="F3063" s="280">
        <v>29990</v>
      </c>
      <c r="G3063" s="280">
        <v>45869</v>
      </c>
      <c r="H3063" s="280">
        <v>45869</v>
      </c>
      <c r="K3063" s="97">
        <v>7488933005</v>
      </c>
    </row>
    <row r="3064" spans="1:12" x14ac:dyDescent="0.3">
      <c r="A3064" s="302" t="s">
        <v>155</v>
      </c>
      <c r="B3064" s="302" t="str">
        <f t="shared" si="35"/>
        <v>Y</v>
      </c>
      <c r="C3064" s="473" t="s">
        <v>8377</v>
      </c>
      <c r="D3064" s="364"/>
      <c r="E3064" s="356" t="s">
        <v>8378</v>
      </c>
      <c r="F3064" s="288">
        <v>36418</v>
      </c>
      <c r="G3064" s="288">
        <v>45869</v>
      </c>
      <c r="H3064" s="288">
        <v>45871</v>
      </c>
      <c r="I3064" s="98"/>
      <c r="J3064" s="98"/>
      <c r="K3064" s="97">
        <v>9724946024</v>
      </c>
      <c r="L3064" s="98"/>
    </row>
    <row r="3065" spans="1:12" x14ac:dyDescent="0.3">
      <c r="A3065" s="302" t="s">
        <v>155</v>
      </c>
      <c r="B3065" s="302" t="str">
        <f t="shared" si="35"/>
        <v>Y</v>
      </c>
      <c r="C3065" s="473" t="s">
        <v>8379</v>
      </c>
      <c r="E3065" s="356" t="s">
        <v>8380</v>
      </c>
      <c r="F3065" s="280">
        <v>38851</v>
      </c>
      <c r="G3065" s="280">
        <v>45869</v>
      </c>
      <c r="H3065" s="280">
        <v>45869</v>
      </c>
      <c r="K3065" s="97">
        <v>8252815637</v>
      </c>
    </row>
    <row r="3066" spans="1:12" x14ac:dyDescent="0.3">
      <c r="A3066" s="302" t="s">
        <v>155</v>
      </c>
      <c r="B3066" s="302" t="str">
        <f t="shared" si="35"/>
        <v>Y</v>
      </c>
      <c r="C3066" s="473" t="s">
        <v>8381</v>
      </c>
      <c r="E3066" s="356" t="s">
        <v>8382</v>
      </c>
      <c r="F3066" s="280">
        <v>19672</v>
      </c>
      <c r="G3066" s="280">
        <v>45871</v>
      </c>
      <c r="H3066" s="280">
        <v>45871</v>
      </c>
      <c r="K3066" s="97">
        <v>8986810328</v>
      </c>
    </row>
    <row r="3067" spans="1:12" x14ac:dyDescent="0.3">
      <c r="A3067" s="302" t="s">
        <v>155</v>
      </c>
      <c r="B3067" s="302" t="str">
        <f t="shared" si="35"/>
        <v>Y</v>
      </c>
      <c r="C3067" s="473" t="s">
        <v>8383</v>
      </c>
      <c r="E3067" s="356" t="s">
        <v>5649</v>
      </c>
      <c r="F3067" s="280">
        <v>39093</v>
      </c>
      <c r="G3067" s="280">
        <v>45871</v>
      </c>
      <c r="H3067" s="280">
        <v>45871</v>
      </c>
      <c r="K3067" s="97">
        <v>9229874106</v>
      </c>
    </row>
    <row r="3068" spans="1:12" x14ac:dyDescent="0.3">
      <c r="A3068" s="302" t="s">
        <v>155</v>
      </c>
      <c r="B3068" s="302" t="str">
        <f t="shared" si="35"/>
        <v>Y</v>
      </c>
      <c r="C3068" s="473" t="s">
        <v>8384</v>
      </c>
      <c r="E3068" s="356" t="s">
        <v>8385</v>
      </c>
      <c r="F3068" s="280">
        <v>38903</v>
      </c>
      <c r="G3068" s="280">
        <v>45872</v>
      </c>
      <c r="H3068" s="280">
        <v>45872</v>
      </c>
      <c r="K3068" s="97">
        <v>7320020105</v>
      </c>
    </row>
    <row r="3069" spans="1:12" x14ac:dyDescent="0.3">
      <c r="A3069" s="302" t="s">
        <v>155</v>
      </c>
      <c r="B3069" s="302" t="str">
        <f t="shared" si="35"/>
        <v>Y</v>
      </c>
      <c r="C3069" s="473" t="s">
        <v>8386</v>
      </c>
      <c r="E3069" s="356" t="s">
        <v>8387</v>
      </c>
      <c r="F3069" s="280">
        <v>39168</v>
      </c>
      <c r="G3069" s="280">
        <v>45873</v>
      </c>
      <c r="H3069" s="280">
        <v>45873</v>
      </c>
      <c r="K3069" s="97">
        <v>6206584307</v>
      </c>
    </row>
    <row r="3070" spans="1:12" x14ac:dyDescent="0.3">
      <c r="A3070" s="302" t="s">
        <v>155</v>
      </c>
      <c r="B3070" s="302" t="str">
        <f t="shared" si="35"/>
        <v>Y</v>
      </c>
      <c r="C3070" s="473" t="s">
        <v>8388</v>
      </c>
      <c r="E3070" s="356" t="s">
        <v>8389</v>
      </c>
      <c r="F3070" s="280">
        <v>39123</v>
      </c>
      <c r="G3070" s="280">
        <v>45873</v>
      </c>
      <c r="H3070" s="280">
        <v>45873</v>
      </c>
      <c r="K3070" s="97">
        <v>9142991197</v>
      </c>
    </row>
    <row r="3071" spans="1:12" x14ac:dyDescent="0.3">
      <c r="A3071" s="302" t="s">
        <v>155</v>
      </c>
      <c r="B3071" s="302" t="str">
        <f t="shared" si="35"/>
        <v>Y</v>
      </c>
      <c r="C3071" s="473" t="s">
        <v>8390</v>
      </c>
      <c r="E3071" s="353" t="s">
        <v>8391</v>
      </c>
      <c r="F3071" s="280">
        <v>39102</v>
      </c>
      <c r="G3071" s="280">
        <v>45873</v>
      </c>
      <c r="H3071" s="280">
        <v>45873</v>
      </c>
      <c r="K3071" s="97">
        <v>8797805808</v>
      </c>
    </row>
    <row r="3072" spans="1:12" x14ac:dyDescent="0.3">
      <c r="A3072" s="302" t="s">
        <v>155</v>
      </c>
      <c r="B3072" s="302" t="str">
        <f t="shared" si="35"/>
        <v>Y</v>
      </c>
      <c r="C3072" s="473" t="s">
        <v>8392</v>
      </c>
      <c r="E3072" s="353" t="s">
        <v>8393</v>
      </c>
      <c r="F3072" s="280">
        <v>39295</v>
      </c>
      <c r="G3072" s="280">
        <v>45874</v>
      </c>
      <c r="H3072" s="280">
        <v>45874</v>
      </c>
      <c r="K3072" s="97">
        <v>9031547488</v>
      </c>
    </row>
    <row r="3073" spans="1:11" x14ac:dyDescent="0.3">
      <c r="A3073" s="302" t="s">
        <v>155</v>
      </c>
      <c r="B3073" s="302" t="str">
        <f t="shared" si="35"/>
        <v>Y</v>
      </c>
      <c r="C3073" s="473" t="s">
        <v>8394</v>
      </c>
      <c r="E3073" s="353" t="s">
        <v>817</v>
      </c>
      <c r="F3073" s="280">
        <v>28269</v>
      </c>
      <c r="G3073" s="280">
        <v>45874</v>
      </c>
      <c r="H3073" s="280">
        <v>45874</v>
      </c>
      <c r="K3073" s="97">
        <v>8877023995</v>
      </c>
    </row>
    <row r="3074" spans="1:11" x14ac:dyDescent="0.3">
      <c r="A3074" s="302" t="s">
        <v>155</v>
      </c>
      <c r="B3074" s="302" t="str">
        <f t="shared" si="35"/>
        <v>Y</v>
      </c>
      <c r="C3074" s="473" t="s">
        <v>8395</v>
      </c>
      <c r="E3074" s="353" t="s">
        <v>8396</v>
      </c>
      <c r="F3074" s="280">
        <v>39250</v>
      </c>
      <c r="G3074" s="280">
        <v>45874</v>
      </c>
      <c r="H3074" s="280">
        <v>45874</v>
      </c>
      <c r="K3074" s="97" t="s">
        <v>8397</v>
      </c>
    </row>
    <row r="3075" spans="1:11" x14ac:dyDescent="0.3">
      <c r="A3075" s="302" t="s">
        <v>155</v>
      </c>
      <c r="B3075" s="302" t="str">
        <f t="shared" si="35"/>
        <v>Y</v>
      </c>
      <c r="C3075" s="473" t="s">
        <v>8398</v>
      </c>
      <c r="E3075" s="353" t="s">
        <v>8399</v>
      </c>
      <c r="F3075" s="280">
        <v>39179</v>
      </c>
      <c r="G3075" s="280">
        <v>45874</v>
      </c>
      <c r="H3075" s="280">
        <v>45874</v>
      </c>
      <c r="K3075" s="97">
        <v>9234949937</v>
      </c>
    </row>
    <row r="3076" spans="1:11" x14ac:dyDescent="0.3">
      <c r="A3076" s="302" t="s">
        <v>155</v>
      </c>
      <c r="B3076" s="302" t="str">
        <f t="shared" si="35"/>
        <v>Y</v>
      </c>
      <c r="C3076" s="473" t="s">
        <v>8400</v>
      </c>
      <c r="E3076" s="353" t="s">
        <v>4111</v>
      </c>
      <c r="F3076" s="280">
        <v>20455</v>
      </c>
      <c r="G3076" s="280">
        <v>45874</v>
      </c>
      <c r="H3076" s="280">
        <v>45875</v>
      </c>
      <c r="K3076" s="97">
        <v>9234244348</v>
      </c>
    </row>
    <row r="3077" spans="1:11" x14ac:dyDescent="0.3">
      <c r="A3077" s="302" t="s">
        <v>155</v>
      </c>
      <c r="B3077" s="302" t="str">
        <f t="shared" si="35"/>
        <v>Y</v>
      </c>
      <c r="C3077" s="473" t="s">
        <v>8401</v>
      </c>
      <c r="E3077" s="353" t="s">
        <v>8326</v>
      </c>
      <c r="F3077" s="280">
        <v>14611</v>
      </c>
      <c r="G3077" s="280">
        <v>46971</v>
      </c>
      <c r="H3077" s="280">
        <v>45875</v>
      </c>
      <c r="K3077" s="97">
        <v>9031138764</v>
      </c>
    </row>
    <row r="3078" spans="1:11" x14ac:dyDescent="0.3">
      <c r="A3078" s="302" t="s">
        <v>155</v>
      </c>
      <c r="B3078" s="302" t="str">
        <f t="shared" si="35"/>
        <v>Y</v>
      </c>
      <c r="C3078" s="473" t="s">
        <v>8402</v>
      </c>
      <c r="E3078" s="353" t="s">
        <v>8403</v>
      </c>
      <c r="F3078" s="280">
        <v>26710</v>
      </c>
      <c r="G3078" s="280">
        <v>46971</v>
      </c>
      <c r="H3078" s="280">
        <v>45875</v>
      </c>
      <c r="K3078" s="97">
        <v>8002664065</v>
      </c>
    </row>
    <row r="3079" spans="1:11" x14ac:dyDescent="0.3">
      <c r="A3079" s="302" t="s">
        <v>155</v>
      </c>
      <c r="B3079" s="302" t="str">
        <f t="shared" si="35"/>
        <v>Y</v>
      </c>
      <c r="C3079" s="473" t="s">
        <v>8384</v>
      </c>
      <c r="E3079" s="353" t="s">
        <v>7882</v>
      </c>
      <c r="F3079" s="280">
        <v>38903</v>
      </c>
      <c r="G3079" s="280">
        <v>46971</v>
      </c>
      <c r="H3079" s="280">
        <v>45875</v>
      </c>
      <c r="K3079" s="97">
        <v>7320020105</v>
      </c>
    </row>
    <row r="3080" spans="1:11" x14ac:dyDescent="0.3">
      <c r="A3080" s="302" t="s">
        <v>155</v>
      </c>
      <c r="B3080" s="302" t="str">
        <f t="shared" si="35"/>
        <v>Y</v>
      </c>
      <c r="C3080" s="479" t="s">
        <v>8404</v>
      </c>
      <c r="E3080" s="356" t="s">
        <v>8405</v>
      </c>
      <c r="F3080" s="280">
        <v>29587</v>
      </c>
      <c r="G3080" s="280">
        <v>45877</v>
      </c>
      <c r="H3080" s="280">
        <v>46973</v>
      </c>
      <c r="K3080" s="97">
        <v>8092339286</v>
      </c>
    </row>
    <row r="3081" spans="1:11" x14ac:dyDescent="0.3">
      <c r="A3081" s="302" t="s">
        <v>155</v>
      </c>
      <c r="B3081" s="302" t="str">
        <f t="shared" si="35"/>
        <v>Y</v>
      </c>
      <c r="C3081" s="479" t="s">
        <v>8406</v>
      </c>
      <c r="E3081" s="356" t="s">
        <v>8407</v>
      </c>
      <c r="F3081" s="280">
        <v>39290</v>
      </c>
      <c r="G3081" s="280">
        <v>45880</v>
      </c>
      <c r="H3081" s="280">
        <v>45880</v>
      </c>
      <c r="I3081" t="s">
        <v>556</v>
      </c>
      <c r="K3081" s="97">
        <v>6299374710</v>
      </c>
    </row>
    <row r="3082" spans="1:11" x14ac:dyDescent="0.3">
      <c r="A3082" s="302" t="s">
        <v>155</v>
      </c>
      <c r="B3082" s="302" t="str">
        <f t="shared" si="35"/>
        <v>Y</v>
      </c>
      <c r="C3082" s="479" t="s">
        <v>8408</v>
      </c>
      <c r="E3082" s="356" t="s">
        <v>8409</v>
      </c>
      <c r="F3082" s="280">
        <v>39303</v>
      </c>
      <c r="G3082" s="280">
        <v>45880</v>
      </c>
      <c r="H3082" s="280">
        <v>45880</v>
      </c>
      <c r="I3082" t="s">
        <v>556</v>
      </c>
      <c r="K3082" s="97">
        <v>9934562860</v>
      </c>
    </row>
    <row r="3083" spans="1:11" x14ac:dyDescent="0.3">
      <c r="A3083" s="302" t="s">
        <v>155</v>
      </c>
      <c r="B3083" s="302" t="str">
        <f t="shared" si="35"/>
        <v>Y</v>
      </c>
      <c r="C3083" s="473" t="s">
        <v>8410</v>
      </c>
      <c r="E3083" s="356" t="s">
        <v>8411</v>
      </c>
      <c r="F3083" s="280">
        <v>39436</v>
      </c>
      <c r="G3083" s="280">
        <v>45880</v>
      </c>
      <c r="H3083" s="280">
        <v>45880</v>
      </c>
      <c r="I3083" t="s">
        <v>556</v>
      </c>
      <c r="K3083" s="97">
        <v>9905175377</v>
      </c>
    </row>
    <row r="3084" spans="1:11" x14ac:dyDescent="0.3">
      <c r="A3084" s="302" t="s">
        <v>155</v>
      </c>
      <c r="B3084" s="302" t="str">
        <f t="shared" si="35"/>
        <v>Y</v>
      </c>
      <c r="C3084" s="473" t="s">
        <v>8412</v>
      </c>
      <c r="E3084" s="356" t="s">
        <v>8271</v>
      </c>
      <c r="F3084" s="280">
        <v>39302</v>
      </c>
      <c r="G3084" s="280">
        <v>45879</v>
      </c>
      <c r="H3084" s="280">
        <v>45879</v>
      </c>
      <c r="K3084" s="97">
        <v>9204791927</v>
      </c>
    </row>
    <row r="3085" spans="1:11" x14ac:dyDescent="0.3">
      <c r="A3085" s="302" t="s">
        <v>155</v>
      </c>
      <c r="B3085" s="302" t="str">
        <f t="shared" si="35"/>
        <v>Y</v>
      </c>
      <c r="C3085" s="473" t="s">
        <v>8413</v>
      </c>
      <c r="E3085" s="356" t="s">
        <v>8414</v>
      </c>
      <c r="F3085" s="280">
        <v>37681</v>
      </c>
      <c r="G3085" s="280">
        <v>45881</v>
      </c>
      <c r="H3085" s="280">
        <v>45881</v>
      </c>
      <c r="K3085" s="97">
        <v>7209698176</v>
      </c>
    </row>
    <row r="3086" spans="1:11" x14ac:dyDescent="0.3">
      <c r="A3086" s="302" t="s">
        <v>155</v>
      </c>
      <c r="B3086" s="302" t="str">
        <f t="shared" si="35"/>
        <v>Y</v>
      </c>
      <c r="C3086" s="473" t="s">
        <v>8415</v>
      </c>
      <c r="E3086" s="356" t="s">
        <v>8416</v>
      </c>
      <c r="F3086" s="280">
        <v>28491</v>
      </c>
      <c r="G3086" s="280">
        <v>45881</v>
      </c>
      <c r="H3086" s="280">
        <v>45881</v>
      </c>
      <c r="K3086" s="97">
        <v>8102798309</v>
      </c>
    </row>
    <row r="3087" spans="1:11" x14ac:dyDescent="0.3">
      <c r="A3087" s="302" t="s">
        <v>155</v>
      </c>
      <c r="B3087" s="302" t="str">
        <f t="shared" si="35"/>
        <v>Y</v>
      </c>
      <c r="C3087" s="473" t="s">
        <v>8417</v>
      </c>
      <c r="E3087" s="356" t="s">
        <v>8418</v>
      </c>
      <c r="F3087" s="280">
        <v>39305</v>
      </c>
      <c r="G3087" s="280">
        <v>46978</v>
      </c>
      <c r="H3087" s="280">
        <v>45882</v>
      </c>
      <c r="K3087" s="97">
        <v>8825316633</v>
      </c>
    </row>
    <row r="3088" spans="1:11" x14ac:dyDescent="0.3">
      <c r="A3088" s="302" t="s">
        <v>155</v>
      </c>
      <c r="B3088" s="302" t="str">
        <f t="shared" ref="B3088:B3091" si="36">IF(H3088="","N","Y")</f>
        <v>Y</v>
      </c>
      <c r="C3088" s="473" t="s">
        <v>8419</v>
      </c>
      <c r="E3088" s="356" t="s">
        <v>8420</v>
      </c>
      <c r="F3088" s="280">
        <v>25934</v>
      </c>
      <c r="G3088" s="280">
        <v>45883</v>
      </c>
      <c r="H3088" s="280">
        <v>45883</v>
      </c>
      <c r="K3088" s="97">
        <v>9031396282</v>
      </c>
    </row>
    <row r="3089" spans="1:11" x14ac:dyDescent="0.3">
      <c r="A3089" s="302" t="s">
        <v>155</v>
      </c>
      <c r="B3089" s="302" t="str">
        <f t="shared" si="36"/>
        <v>Y</v>
      </c>
      <c r="C3089" s="473" t="s">
        <v>8421</v>
      </c>
      <c r="E3089" s="356" t="s">
        <v>201</v>
      </c>
      <c r="F3089" s="280">
        <v>39393</v>
      </c>
      <c r="G3089" s="280">
        <v>45883</v>
      </c>
      <c r="H3089" s="280">
        <v>45883</v>
      </c>
      <c r="K3089" s="97">
        <v>9204267319</v>
      </c>
    </row>
    <row r="3090" spans="1:11" x14ac:dyDescent="0.3">
      <c r="A3090" s="302" t="s">
        <v>155</v>
      </c>
      <c r="B3090" s="302" t="str">
        <f t="shared" si="36"/>
        <v>Y</v>
      </c>
      <c r="C3090" s="473" t="s">
        <v>8422</v>
      </c>
      <c r="E3090" s="353" t="s">
        <v>8423</v>
      </c>
      <c r="F3090" s="280">
        <v>32183</v>
      </c>
      <c r="G3090" s="280">
        <v>45884</v>
      </c>
      <c r="H3090" s="280">
        <v>45884</v>
      </c>
      <c r="I3090" t="s">
        <v>556</v>
      </c>
      <c r="K3090" s="97">
        <v>6203775036</v>
      </c>
    </row>
    <row r="3091" spans="1:11" x14ac:dyDescent="0.3">
      <c r="A3091" s="302" t="s">
        <v>155</v>
      </c>
      <c r="B3091" s="302" t="str">
        <f t="shared" si="36"/>
        <v>Y</v>
      </c>
      <c r="C3091" s="473" t="s">
        <v>8424</v>
      </c>
      <c r="E3091" s="353" t="s">
        <v>8425</v>
      </c>
      <c r="F3091" s="280">
        <v>34186</v>
      </c>
      <c r="G3091" s="280">
        <v>45884</v>
      </c>
      <c r="H3091" s="280">
        <v>45884</v>
      </c>
      <c r="I3091" t="s">
        <v>556</v>
      </c>
      <c r="K3091" s="97">
        <v>8092248707</v>
      </c>
    </row>
    <row r="3092" spans="1:11" x14ac:dyDescent="0.3">
      <c r="A3092" s="302" t="s">
        <v>155</v>
      </c>
      <c r="B3092" s="302" t="str">
        <f t="shared" ref="B3092" si="37">IF(H3092="","N","Y")</f>
        <v>Y</v>
      </c>
      <c r="C3092" s="473" t="s">
        <v>8426</v>
      </c>
      <c r="E3092" s="353" t="s">
        <v>8427</v>
      </c>
      <c r="F3092" s="280">
        <v>39106</v>
      </c>
      <c r="G3092" s="280">
        <v>45884</v>
      </c>
      <c r="H3092" s="280">
        <v>45884</v>
      </c>
      <c r="K3092" s="97">
        <v>8987515010</v>
      </c>
    </row>
    <row r="3093" spans="1:11" x14ac:dyDescent="0.3">
      <c r="A3093" s="302" t="s">
        <v>155</v>
      </c>
      <c r="B3093" s="302" t="str">
        <f t="shared" ref="B3093:B3097" si="38">IF(H3093="","N","Y")</f>
        <v>Y</v>
      </c>
      <c r="C3093" s="473" t="s">
        <v>8428</v>
      </c>
      <c r="E3093" s="353" t="s">
        <v>3545</v>
      </c>
      <c r="F3093" s="280">
        <v>37996</v>
      </c>
      <c r="G3093" s="280">
        <v>45886</v>
      </c>
      <c r="H3093" s="280">
        <v>45887</v>
      </c>
      <c r="K3093" s="97">
        <v>7070714387</v>
      </c>
    </row>
    <row r="3094" spans="1:11" x14ac:dyDescent="0.3">
      <c r="A3094" s="302" t="s">
        <v>155</v>
      </c>
      <c r="B3094" s="302" t="str">
        <f t="shared" si="38"/>
        <v>Y</v>
      </c>
      <c r="C3094" s="473" t="s">
        <v>8429</v>
      </c>
      <c r="E3094" s="353" t="s">
        <v>8430</v>
      </c>
      <c r="F3094" s="280">
        <v>38832</v>
      </c>
      <c r="G3094" s="280">
        <v>45886</v>
      </c>
      <c r="H3094" s="280">
        <v>45888</v>
      </c>
      <c r="K3094" s="97">
        <v>6200880471</v>
      </c>
    </row>
    <row r="3095" spans="1:11" x14ac:dyDescent="0.3">
      <c r="A3095" s="302" t="s">
        <v>155</v>
      </c>
      <c r="B3095" s="302" t="str">
        <f t="shared" si="38"/>
        <v>Y</v>
      </c>
      <c r="C3095" s="473" t="s">
        <v>8431</v>
      </c>
      <c r="E3095" s="353" t="s">
        <v>8432</v>
      </c>
      <c r="F3095" s="280">
        <v>37052</v>
      </c>
      <c r="G3095" s="280">
        <v>46983</v>
      </c>
      <c r="H3095" s="280">
        <v>45887</v>
      </c>
      <c r="K3095" s="97">
        <v>9661948041</v>
      </c>
    </row>
    <row r="3096" spans="1:11" x14ac:dyDescent="0.3">
      <c r="A3096" s="302" t="s">
        <v>155</v>
      </c>
      <c r="B3096" s="302" t="str">
        <f t="shared" si="38"/>
        <v>Y</v>
      </c>
      <c r="C3096" s="473" t="s">
        <v>8433</v>
      </c>
      <c r="E3096" s="353" t="s">
        <v>8434</v>
      </c>
      <c r="F3096" s="280">
        <v>32143</v>
      </c>
      <c r="G3096" s="280">
        <v>46983</v>
      </c>
      <c r="H3096" s="280">
        <v>45887</v>
      </c>
      <c r="K3096" s="97">
        <v>9229455582</v>
      </c>
    </row>
    <row r="3097" spans="1:11" x14ac:dyDescent="0.3">
      <c r="A3097" s="302" t="s">
        <v>155</v>
      </c>
      <c r="B3097" s="302" t="str">
        <f t="shared" si="38"/>
        <v>Y</v>
      </c>
      <c r="C3097" s="473" t="s">
        <v>8428</v>
      </c>
      <c r="E3097" s="353" t="s">
        <v>3545</v>
      </c>
      <c r="F3097" s="280">
        <v>37996</v>
      </c>
      <c r="G3097" s="280">
        <v>46983</v>
      </c>
      <c r="H3097" s="280">
        <v>45887</v>
      </c>
      <c r="K3097" s="97">
        <v>7070714387</v>
      </c>
    </row>
    <row r="3098" spans="1:11" x14ac:dyDescent="0.3">
      <c r="A3098" s="302" t="s">
        <v>155</v>
      </c>
      <c r="B3098" s="302" t="str">
        <f t="shared" ref="B3098:B3101" si="39">IF(H3098="","N","Y")</f>
        <v>Y</v>
      </c>
      <c r="C3098" s="473" t="s">
        <v>8435</v>
      </c>
      <c r="E3098" s="353" t="s">
        <v>8436</v>
      </c>
      <c r="F3098" s="280">
        <v>32874</v>
      </c>
      <c r="G3098" s="280">
        <v>46983</v>
      </c>
      <c r="H3098" s="280">
        <v>45887</v>
      </c>
      <c r="K3098" s="97">
        <v>7970497514</v>
      </c>
    </row>
    <row r="3099" spans="1:11" x14ac:dyDescent="0.3">
      <c r="A3099" s="302" t="s">
        <v>155</v>
      </c>
      <c r="B3099" s="302" t="str">
        <f t="shared" si="39"/>
        <v>Y</v>
      </c>
      <c r="C3099" s="473" t="s">
        <v>8437</v>
      </c>
      <c r="E3099" s="353" t="s">
        <v>8438</v>
      </c>
      <c r="F3099" s="280">
        <v>26665</v>
      </c>
      <c r="G3099" s="280">
        <v>46983</v>
      </c>
      <c r="H3099" s="280">
        <v>45887</v>
      </c>
      <c r="K3099" s="97">
        <v>7209298899</v>
      </c>
    </row>
    <row r="3100" spans="1:11" x14ac:dyDescent="0.3">
      <c r="A3100" s="302" t="s">
        <v>155</v>
      </c>
      <c r="B3100" s="302" t="str">
        <f t="shared" si="39"/>
        <v>Y</v>
      </c>
      <c r="C3100" s="473" t="s">
        <v>8439</v>
      </c>
      <c r="E3100" s="353" t="s">
        <v>8440</v>
      </c>
      <c r="F3100" s="280">
        <v>25666</v>
      </c>
      <c r="G3100" s="280">
        <v>46983</v>
      </c>
      <c r="H3100" s="280">
        <v>45887</v>
      </c>
      <c r="K3100" s="97">
        <v>9534146013</v>
      </c>
    </row>
    <row r="3101" spans="1:11" x14ac:dyDescent="0.3">
      <c r="A3101" s="302" t="s">
        <v>155</v>
      </c>
      <c r="B3101" s="302" t="str">
        <f t="shared" si="39"/>
        <v>Y</v>
      </c>
      <c r="C3101" s="473" t="s">
        <v>8441</v>
      </c>
      <c r="E3101" s="353" t="s">
        <v>8442</v>
      </c>
      <c r="F3101" s="280">
        <v>35160</v>
      </c>
      <c r="G3101" s="280">
        <v>46983</v>
      </c>
      <c r="H3101" s="280">
        <v>45887</v>
      </c>
      <c r="K3101" s="97">
        <v>8002545999</v>
      </c>
    </row>
    <row r="3102" spans="1:11" x14ac:dyDescent="0.3">
      <c r="A3102" s="302" t="s">
        <v>155</v>
      </c>
      <c r="B3102" s="302" t="str">
        <f t="shared" ref="B3102" si="40">IF(H3102="","N","Y")</f>
        <v>Y</v>
      </c>
      <c r="C3102" s="473" t="s">
        <v>8443</v>
      </c>
      <c r="E3102" s="353" t="s">
        <v>8444</v>
      </c>
      <c r="F3102" s="280">
        <v>16863</v>
      </c>
      <c r="G3102" s="280">
        <v>46983</v>
      </c>
      <c r="H3102" s="280">
        <v>45887</v>
      </c>
      <c r="K3102" s="97">
        <v>9631515447</v>
      </c>
    </row>
    <row r="3103" spans="1:11" x14ac:dyDescent="0.3">
      <c r="A3103" s="302" t="s">
        <v>155</v>
      </c>
      <c r="B3103" s="302" t="str">
        <f t="shared" ref="B3103:B3160" si="41">IF(H3103="","N","Y")</f>
        <v>Y</v>
      </c>
      <c r="C3103" s="473" t="s">
        <v>8445</v>
      </c>
      <c r="E3103" s="353" t="s">
        <v>8446</v>
      </c>
      <c r="F3103" s="280">
        <v>33623</v>
      </c>
      <c r="G3103" s="280">
        <v>45890</v>
      </c>
      <c r="H3103" s="280">
        <v>45890</v>
      </c>
      <c r="K3103" s="97">
        <v>8709717436</v>
      </c>
    </row>
    <row r="3104" spans="1:11" x14ac:dyDescent="0.3">
      <c r="A3104" s="302" t="s">
        <v>155</v>
      </c>
      <c r="B3104" s="302" t="str">
        <f t="shared" si="41"/>
        <v>Y</v>
      </c>
      <c r="C3104" s="473" t="s">
        <v>8447</v>
      </c>
      <c r="E3104" s="353" t="s">
        <v>8448</v>
      </c>
      <c r="F3104" s="280">
        <v>39306</v>
      </c>
      <c r="G3104" s="280">
        <v>45890</v>
      </c>
      <c r="H3104" s="280">
        <v>45890</v>
      </c>
      <c r="K3104" s="97">
        <v>9304722007</v>
      </c>
    </row>
    <row r="3105" spans="1:13" x14ac:dyDescent="0.3">
      <c r="A3105" s="302" t="s">
        <v>155</v>
      </c>
      <c r="B3105" s="302" t="str">
        <f t="shared" si="41"/>
        <v>Y</v>
      </c>
      <c r="C3105" s="473" t="s">
        <v>8449</v>
      </c>
      <c r="E3105" s="353" t="s">
        <v>8450</v>
      </c>
      <c r="F3105" s="280">
        <v>37987</v>
      </c>
      <c r="G3105" s="280">
        <v>45890</v>
      </c>
      <c r="H3105" s="280">
        <v>45890</v>
      </c>
      <c r="K3105" s="97">
        <v>7859056775</v>
      </c>
    </row>
    <row r="3106" spans="1:13" x14ac:dyDescent="0.3">
      <c r="A3106" s="302" t="s">
        <v>155</v>
      </c>
      <c r="B3106" s="302" t="str">
        <f t="shared" si="41"/>
        <v>Y</v>
      </c>
      <c r="C3106" s="473" t="s">
        <v>8451</v>
      </c>
      <c r="E3106" s="353" t="s">
        <v>1669</v>
      </c>
      <c r="F3106" s="280">
        <v>27593</v>
      </c>
      <c r="G3106" s="280">
        <v>45890</v>
      </c>
      <c r="H3106" s="280">
        <v>45890</v>
      </c>
      <c r="K3106" s="97">
        <v>7739044155</v>
      </c>
    </row>
    <row r="3107" spans="1:13" x14ac:dyDescent="0.3">
      <c r="A3107" s="302" t="s">
        <v>155</v>
      </c>
      <c r="B3107" s="302" t="str">
        <f t="shared" si="41"/>
        <v>Y</v>
      </c>
      <c r="C3107" s="473" t="s">
        <v>8452</v>
      </c>
      <c r="E3107" s="353" t="s">
        <v>8453</v>
      </c>
      <c r="F3107" s="280">
        <v>41965</v>
      </c>
      <c r="G3107" s="280">
        <v>45891</v>
      </c>
      <c r="H3107" s="280">
        <v>45891</v>
      </c>
      <c r="K3107" s="97">
        <v>8936815954</v>
      </c>
    </row>
    <row r="3108" spans="1:13" x14ac:dyDescent="0.3">
      <c r="A3108" s="302" t="s">
        <v>155</v>
      </c>
      <c r="B3108" s="302" t="str">
        <f t="shared" si="41"/>
        <v>Y</v>
      </c>
      <c r="C3108" s="473" t="s">
        <v>8454</v>
      </c>
      <c r="E3108" s="353" t="s">
        <v>6948</v>
      </c>
      <c r="F3108" s="280">
        <v>32874</v>
      </c>
      <c r="G3108" s="280">
        <v>45891</v>
      </c>
      <c r="H3108" s="280">
        <v>45891</v>
      </c>
      <c r="K3108" s="97">
        <v>7979738994</v>
      </c>
    </row>
    <row r="3109" spans="1:13" x14ac:dyDescent="0.3">
      <c r="A3109" s="302" t="s">
        <v>155</v>
      </c>
      <c r="B3109" s="302" t="str">
        <f t="shared" si="41"/>
        <v>Y</v>
      </c>
      <c r="C3109" s="479" t="s">
        <v>8455</v>
      </c>
      <c r="E3109" s="353" t="s">
        <v>8456</v>
      </c>
      <c r="F3109" s="280">
        <v>20630</v>
      </c>
      <c r="G3109" s="280">
        <v>45890</v>
      </c>
      <c r="H3109" s="280">
        <v>45892</v>
      </c>
      <c r="K3109" s="97">
        <v>9122863300</v>
      </c>
    </row>
    <row r="3110" spans="1:13" x14ac:dyDescent="0.3">
      <c r="A3110" s="302" t="s">
        <v>155</v>
      </c>
      <c r="B3110" s="302" t="str">
        <f t="shared" si="41"/>
        <v>Y</v>
      </c>
      <c r="C3110" s="479" t="s">
        <v>8457</v>
      </c>
      <c r="E3110" s="353" t="s">
        <v>8458</v>
      </c>
      <c r="F3110" s="280">
        <v>34483</v>
      </c>
      <c r="G3110" s="280">
        <v>45893</v>
      </c>
      <c r="H3110" s="280">
        <v>45892</v>
      </c>
      <c r="K3110" s="97">
        <v>8789566047</v>
      </c>
    </row>
    <row r="3111" spans="1:13" x14ac:dyDescent="0.3">
      <c r="A3111" s="302" t="s">
        <v>155</v>
      </c>
      <c r="B3111" s="302" t="str">
        <f t="shared" si="41"/>
        <v>Y</v>
      </c>
      <c r="C3111" s="479" t="s">
        <v>8459</v>
      </c>
      <c r="E3111" s="353" t="s">
        <v>7008</v>
      </c>
      <c r="F3111" s="280">
        <v>39304</v>
      </c>
      <c r="G3111" s="280">
        <v>45893</v>
      </c>
      <c r="H3111" s="280">
        <v>45892</v>
      </c>
      <c r="K3111" s="97">
        <v>6299162846</v>
      </c>
    </row>
    <row r="3112" spans="1:13" x14ac:dyDescent="0.3">
      <c r="A3112" s="302" t="s">
        <v>155</v>
      </c>
      <c r="B3112" s="302" t="str">
        <f t="shared" si="41"/>
        <v>Y</v>
      </c>
      <c r="C3112" s="479" t="s">
        <v>8460</v>
      </c>
      <c r="E3112" s="353" t="s">
        <v>8461</v>
      </c>
      <c r="F3112" s="280">
        <v>39013</v>
      </c>
      <c r="G3112" s="280">
        <v>45893</v>
      </c>
      <c r="H3112" s="280">
        <v>45892</v>
      </c>
      <c r="K3112" s="97">
        <v>8102930559</v>
      </c>
      <c r="M3112" s="290"/>
    </row>
    <row r="3113" spans="1:13" x14ac:dyDescent="0.3">
      <c r="A3113" s="302" t="s">
        <v>155</v>
      </c>
      <c r="B3113" s="302" t="str">
        <f t="shared" si="41"/>
        <v>Y</v>
      </c>
      <c r="C3113" s="479" t="s">
        <v>8462</v>
      </c>
      <c r="E3113" s="353" t="s">
        <v>8463</v>
      </c>
      <c r="F3113" s="280">
        <v>35744</v>
      </c>
      <c r="G3113" s="280">
        <v>45895</v>
      </c>
      <c r="H3113" s="280">
        <v>45895</v>
      </c>
      <c r="K3113" s="97">
        <v>8809398991</v>
      </c>
    </row>
    <row r="3114" spans="1:13" x14ac:dyDescent="0.3">
      <c r="A3114" s="302" t="s">
        <v>155</v>
      </c>
      <c r="B3114" s="302" t="str">
        <f t="shared" si="41"/>
        <v>Y</v>
      </c>
      <c r="C3114" s="479" t="s">
        <v>8464</v>
      </c>
      <c r="E3114" s="353" t="s">
        <v>3976</v>
      </c>
      <c r="F3114" s="280">
        <v>32207</v>
      </c>
      <c r="G3114" s="280">
        <v>45895</v>
      </c>
      <c r="H3114" s="280">
        <v>45895</v>
      </c>
      <c r="K3114" s="97">
        <v>7479868542</v>
      </c>
    </row>
    <row r="3115" spans="1:13" x14ac:dyDescent="0.3">
      <c r="A3115" s="302" t="s">
        <v>155</v>
      </c>
      <c r="B3115" s="302" t="str">
        <f t="shared" si="41"/>
        <v>Y</v>
      </c>
      <c r="C3115" s="479" t="s">
        <v>8465</v>
      </c>
      <c r="E3115" s="353" t="s">
        <v>8466</v>
      </c>
      <c r="F3115" s="280">
        <v>39035</v>
      </c>
      <c r="G3115" s="280">
        <v>45895</v>
      </c>
      <c r="H3115" s="280">
        <v>45895</v>
      </c>
      <c r="I3115" t="s">
        <v>556</v>
      </c>
      <c r="K3115" s="97">
        <v>6200658089</v>
      </c>
    </row>
    <row r="3116" spans="1:13" x14ac:dyDescent="0.3">
      <c r="A3116" s="302" t="s">
        <v>155</v>
      </c>
      <c r="B3116" s="302" t="str">
        <f t="shared" si="41"/>
        <v>Y</v>
      </c>
      <c r="C3116" s="473" t="s">
        <v>8467</v>
      </c>
      <c r="E3116" s="353" t="s">
        <v>8468</v>
      </c>
      <c r="F3116" s="280">
        <v>37259</v>
      </c>
      <c r="G3116" s="280">
        <v>45895</v>
      </c>
      <c r="H3116" s="280">
        <v>45895</v>
      </c>
      <c r="K3116" s="97">
        <v>9234262021</v>
      </c>
    </row>
    <row r="3117" spans="1:13" x14ac:dyDescent="0.3">
      <c r="A3117" s="302" t="s">
        <v>155</v>
      </c>
      <c r="B3117" s="302" t="str">
        <f t="shared" si="41"/>
        <v>Y</v>
      </c>
      <c r="C3117" s="473" t="s">
        <v>8469</v>
      </c>
      <c r="E3117" s="353" t="s">
        <v>8470</v>
      </c>
      <c r="F3117" s="280">
        <v>19059</v>
      </c>
      <c r="G3117" s="280">
        <v>45896</v>
      </c>
      <c r="H3117" s="280">
        <v>45896</v>
      </c>
      <c r="I3117" t="s">
        <v>556</v>
      </c>
      <c r="K3117" s="97">
        <v>9572621113</v>
      </c>
    </row>
    <row r="3118" spans="1:13" x14ac:dyDescent="0.3">
      <c r="A3118" s="302" t="s">
        <v>155</v>
      </c>
      <c r="B3118" s="302" t="str">
        <f t="shared" si="41"/>
        <v>Y</v>
      </c>
      <c r="C3118" s="473" t="s">
        <v>8471</v>
      </c>
      <c r="E3118" s="353" t="s">
        <v>8472</v>
      </c>
      <c r="F3118" s="280">
        <v>39436</v>
      </c>
      <c r="G3118" s="280">
        <v>45896</v>
      </c>
      <c r="H3118" s="280">
        <v>45896</v>
      </c>
      <c r="I3118" t="s">
        <v>556</v>
      </c>
      <c r="K3118" s="97">
        <v>7209584293</v>
      </c>
    </row>
    <row r="3119" spans="1:13" x14ac:dyDescent="0.3">
      <c r="A3119" s="302" t="s">
        <v>155</v>
      </c>
      <c r="B3119" s="302" t="str">
        <f t="shared" si="41"/>
        <v>Y</v>
      </c>
      <c r="C3119" s="473" t="s">
        <v>8473</v>
      </c>
      <c r="E3119" s="353" t="s">
        <v>8474</v>
      </c>
      <c r="F3119" s="280">
        <v>39296</v>
      </c>
      <c r="G3119" s="280">
        <v>45898</v>
      </c>
      <c r="H3119" s="280">
        <v>45898</v>
      </c>
      <c r="K3119" s="97">
        <v>9835075602</v>
      </c>
    </row>
    <row r="3120" spans="1:13" x14ac:dyDescent="0.3">
      <c r="A3120" s="302" t="s">
        <v>155</v>
      </c>
      <c r="B3120" s="302" t="str">
        <f t="shared" si="41"/>
        <v>Y</v>
      </c>
      <c r="C3120" s="473" t="s">
        <v>8475</v>
      </c>
      <c r="E3120" s="353" t="s">
        <v>8476</v>
      </c>
      <c r="F3120" s="280">
        <v>25177</v>
      </c>
      <c r="G3120" s="280">
        <v>45899</v>
      </c>
      <c r="H3120" s="280">
        <v>45899</v>
      </c>
      <c r="K3120" s="97">
        <v>9348029423</v>
      </c>
    </row>
    <row r="3121" spans="1:11" x14ac:dyDescent="0.3">
      <c r="A3121" s="302" t="s">
        <v>155</v>
      </c>
      <c r="B3121" s="302" t="str">
        <f t="shared" si="41"/>
        <v>Y</v>
      </c>
      <c r="C3121" s="473" t="s">
        <v>8477</v>
      </c>
      <c r="E3121" s="353" t="s">
        <v>8326</v>
      </c>
      <c r="F3121" s="280">
        <v>14611</v>
      </c>
      <c r="G3121" s="280">
        <v>45899</v>
      </c>
      <c r="H3121" s="280">
        <v>45899</v>
      </c>
      <c r="K3121" s="97">
        <v>8781759278</v>
      </c>
    </row>
    <row r="3122" spans="1:11" x14ac:dyDescent="0.3">
      <c r="A3122" s="302" t="s">
        <v>155</v>
      </c>
      <c r="B3122" s="302" t="str">
        <f t="shared" si="41"/>
        <v>N</v>
      </c>
      <c r="C3122" s="473" t="s">
        <v>8478</v>
      </c>
      <c r="E3122" s="353" t="s">
        <v>8479</v>
      </c>
      <c r="F3122" s="280">
        <v>24139</v>
      </c>
      <c r="G3122" s="280">
        <v>45898</v>
      </c>
      <c r="K3122" s="97">
        <v>7070138436</v>
      </c>
    </row>
    <row r="3123" spans="1:11" x14ac:dyDescent="0.3">
      <c r="A3123" s="302" t="s">
        <v>155</v>
      </c>
      <c r="B3123" s="302" t="str">
        <f t="shared" si="41"/>
        <v>Y</v>
      </c>
      <c r="C3123" s="473" t="s">
        <v>8480</v>
      </c>
      <c r="E3123" s="353" t="s">
        <v>8481</v>
      </c>
      <c r="F3123" s="280">
        <v>39320</v>
      </c>
      <c r="G3123" s="280">
        <v>45899</v>
      </c>
      <c r="H3123" s="280">
        <v>45899</v>
      </c>
      <c r="K3123" s="97">
        <v>9229570211</v>
      </c>
    </row>
    <row r="3124" spans="1:11" x14ac:dyDescent="0.3">
      <c r="A3124" s="302" t="s">
        <v>155</v>
      </c>
      <c r="B3124" s="302" t="str">
        <f t="shared" si="41"/>
        <v>Y</v>
      </c>
      <c r="C3124" s="473" t="s">
        <v>8482</v>
      </c>
      <c r="E3124" s="353" t="s">
        <v>8483</v>
      </c>
      <c r="F3124" s="280">
        <v>39313</v>
      </c>
      <c r="G3124" s="280">
        <v>45902</v>
      </c>
      <c r="H3124" s="280">
        <v>45902</v>
      </c>
      <c r="K3124" s="97">
        <v>6202227031</v>
      </c>
    </row>
    <row r="3125" spans="1:11" x14ac:dyDescent="0.3">
      <c r="A3125" s="302" t="s">
        <v>155</v>
      </c>
      <c r="B3125" s="302" t="str">
        <f t="shared" si="41"/>
        <v>Y</v>
      </c>
      <c r="C3125" s="473" t="s">
        <v>8484</v>
      </c>
      <c r="E3125" s="353" t="s">
        <v>8485</v>
      </c>
      <c r="F3125" s="280">
        <v>38630</v>
      </c>
      <c r="G3125" s="280">
        <v>45904</v>
      </c>
      <c r="H3125" s="280">
        <v>45904</v>
      </c>
      <c r="K3125" s="97">
        <v>8540957678</v>
      </c>
    </row>
    <row r="3126" spans="1:11" x14ac:dyDescent="0.3">
      <c r="A3126" s="302" t="s">
        <v>155</v>
      </c>
      <c r="B3126" s="302" t="str">
        <f t="shared" si="41"/>
        <v>Y</v>
      </c>
      <c r="C3126" s="473" t="s">
        <v>8486</v>
      </c>
      <c r="E3126" s="353" t="s">
        <v>8487</v>
      </c>
      <c r="F3126" s="280">
        <v>19360</v>
      </c>
      <c r="G3126" s="280">
        <v>45904</v>
      </c>
      <c r="H3126" s="280">
        <v>45904</v>
      </c>
    </row>
    <row r="3127" spans="1:11" x14ac:dyDescent="0.3">
      <c r="A3127" s="302" t="s">
        <v>155</v>
      </c>
      <c r="B3127" s="302" t="str">
        <f t="shared" si="41"/>
        <v>Y</v>
      </c>
      <c r="C3127" s="479" t="s">
        <v>8488</v>
      </c>
      <c r="E3127" s="353" t="s">
        <v>8489</v>
      </c>
      <c r="F3127" s="280">
        <v>20214</v>
      </c>
      <c r="G3127" s="280">
        <v>45904</v>
      </c>
      <c r="H3127" s="280">
        <v>45904</v>
      </c>
      <c r="K3127" s="97">
        <v>8434597277</v>
      </c>
    </row>
    <row r="3128" spans="1:11" x14ac:dyDescent="0.3">
      <c r="A3128" s="302" t="s">
        <v>155</v>
      </c>
      <c r="B3128" s="302" t="str">
        <f t="shared" si="41"/>
        <v>Y</v>
      </c>
      <c r="C3128" s="479" t="s">
        <v>8490</v>
      </c>
      <c r="E3128" s="353" t="s">
        <v>8491</v>
      </c>
      <c r="F3128" s="280">
        <v>35921</v>
      </c>
      <c r="G3128" s="280">
        <v>45904</v>
      </c>
      <c r="H3128" s="280">
        <v>45904</v>
      </c>
      <c r="K3128" s="97">
        <v>9693949599</v>
      </c>
    </row>
    <row r="3129" spans="1:11" x14ac:dyDescent="0.3">
      <c r="A3129" s="302" t="s">
        <v>155</v>
      </c>
      <c r="B3129" s="302" t="str">
        <f t="shared" si="41"/>
        <v>Y</v>
      </c>
      <c r="C3129" s="479" t="s">
        <v>8492</v>
      </c>
      <c r="E3129" s="353" t="s">
        <v>8493</v>
      </c>
      <c r="F3129" s="280">
        <v>39044</v>
      </c>
      <c r="G3129" s="280">
        <v>45904</v>
      </c>
      <c r="H3129" s="280">
        <v>45904</v>
      </c>
      <c r="K3129" s="97">
        <v>8434700235</v>
      </c>
    </row>
    <row r="3130" spans="1:11" x14ac:dyDescent="0.3">
      <c r="A3130" s="302" t="s">
        <v>155</v>
      </c>
      <c r="B3130" s="302" t="str">
        <f t="shared" si="41"/>
        <v>Y</v>
      </c>
      <c r="C3130" s="479" t="s">
        <v>8494</v>
      </c>
      <c r="E3130" s="353" t="s">
        <v>8495</v>
      </c>
      <c r="F3130" s="280">
        <v>20876</v>
      </c>
      <c r="G3130" s="280">
        <v>45904</v>
      </c>
      <c r="H3130" s="280">
        <v>45904</v>
      </c>
      <c r="K3130" s="97">
        <v>9279241882</v>
      </c>
    </row>
    <row r="3131" spans="1:11" x14ac:dyDescent="0.3">
      <c r="A3131" s="302" t="s">
        <v>155</v>
      </c>
      <c r="B3131" s="302" t="str">
        <f t="shared" si="41"/>
        <v>Y</v>
      </c>
      <c r="C3131" s="479" t="s">
        <v>8496</v>
      </c>
      <c r="E3131" s="353" t="s">
        <v>8497</v>
      </c>
      <c r="F3131" s="280">
        <v>38096</v>
      </c>
      <c r="G3131" s="280">
        <v>45904</v>
      </c>
      <c r="H3131" s="280">
        <v>45904</v>
      </c>
      <c r="I3131" t="s">
        <v>556</v>
      </c>
      <c r="K3131" s="97">
        <v>9508893161</v>
      </c>
    </row>
    <row r="3132" spans="1:11" x14ac:dyDescent="0.3">
      <c r="A3132" s="302" t="s">
        <v>155</v>
      </c>
      <c r="B3132" s="302" t="str">
        <f t="shared" si="41"/>
        <v>Y</v>
      </c>
      <c r="C3132" s="479" t="s">
        <v>8498</v>
      </c>
      <c r="E3132" s="353" t="s">
        <v>8499</v>
      </c>
      <c r="F3132" s="280">
        <v>25086</v>
      </c>
      <c r="G3132" s="280">
        <v>45904</v>
      </c>
      <c r="H3132" s="280">
        <v>45904</v>
      </c>
      <c r="I3132" t="s">
        <v>556</v>
      </c>
      <c r="K3132" s="97">
        <v>8797120618</v>
      </c>
    </row>
    <row r="3133" spans="1:11" x14ac:dyDescent="0.3">
      <c r="A3133" s="302" t="s">
        <v>155</v>
      </c>
      <c r="B3133" s="302" t="str">
        <f t="shared" si="41"/>
        <v>Y</v>
      </c>
      <c r="C3133" s="479" t="s">
        <v>8500</v>
      </c>
      <c r="E3133" s="353" t="s">
        <v>8501</v>
      </c>
      <c r="F3133" s="280">
        <v>32216</v>
      </c>
      <c r="G3133" s="280">
        <v>45904</v>
      </c>
      <c r="H3133" s="280">
        <v>45904</v>
      </c>
      <c r="I3133" t="s">
        <v>556</v>
      </c>
      <c r="K3133" s="97">
        <v>7294166456</v>
      </c>
    </row>
    <row r="3134" spans="1:11" x14ac:dyDescent="0.3">
      <c r="A3134" s="302" t="s">
        <v>155</v>
      </c>
      <c r="B3134" s="302" t="str">
        <f t="shared" si="41"/>
        <v>Y</v>
      </c>
      <c r="C3134" s="479" t="s">
        <v>8502</v>
      </c>
      <c r="E3134" s="353" t="s">
        <v>8503</v>
      </c>
      <c r="F3134" s="280">
        <v>36777</v>
      </c>
      <c r="G3134" s="280">
        <v>45904</v>
      </c>
      <c r="H3134" s="280">
        <v>45904</v>
      </c>
      <c r="I3134" t="s">
        <v>556</v>
      </c>
      <c r="K3134" s="97">
        <v>6200638923</v>
      </c>
    </row>
    <row r="3135" spans="1:11" x14ac:dyDescent="0.3">
      <c r="A3135" s="302" t="s">
        <v>155</v>
      </c>
      <c r="B3135" s="302" t="str">
        <f t="shared" si="41"/>
        <v>Y</v>
      </c>
      <c r="C3135" s="479" t="s">
        <v>8504</v>
      </c>
      <c r="E3135" s="353" t="s">
        <v>8505</v>
      </c>
      <c r="F3135" s="280">
        <v>34219</v>
      </c>
      <c r="G3135" s="280">
        <v>45908</v>
      </c>
      <c r="H3135" s="280">
        <v>45908</v>
      </c>
      <c r="K3135" s="97">
        <v>8804223151</v>
      </c>
    </row>
    <row r="3136" spans="1:11" x14ac:dyDescent="0.3">
      <c r="A3136" s="302" t="s">
        <v>155</v>
      </c>
      <c r="B3136" s="302" t="str">
        <f t="shared" si="41"/>
        <v>Y</v>
      </c>
      <c r="C3136" s="479" t="s">
        <v>8506</v>
      </c>
      <c r="E3136" s="353" t="s">
        <v>8507</v>
      </c>
      <c r="F3136" s="280">
        <v>39170</v>
      </c>
      <c r="G3136" s="280">
        <v>45908</v>
      </c>
      <c r="H3136" s="280">
        <v>45908</v>
      </c>
      <c r="K3136" s="97">
        <v>8709520348</v>
      </c>
    </row>
    <row r="3137" spans="1:11" x14ac:dyDescent="0.3">
      <c r="A3137" s="302" t="s">
        <v>155</v>
      </c>
      <c r="B3137" s="302" t="str">
        <f t="shared" si="41"/>
        <v>Y</v>
      </c>
      <c r="C3137" s="479" t="s">
        <v>8508</v>
      </c>
      <c r="E3137" s="353" t="s">
        <v>8509</v>
      </c>
      <c r="F3137" s="280">
        <v>36917</v>
      </c>
      <c r="G3137" s="280">
        <v>45909</v>
      </c>
      <c r="H3137" s="280">
        <v>45910</v>
      </c>
      <c r="K3137" s="97">
        <v>8210450378</v>
      </c>
    </row>
    <row r="3138" spans="1:11" x14ac:dyDescent="0.3">
      <c r="A3138" s="302" t="s">
        <v>155</v>
      </c>
      <c r="B3138" s="302" t="str">
        <f t="shared" si="41"/>
        <v>Y</v>
      </c>
      <c r="C3138" s="479" t="s">
        <v>8510</v>
      </c>
      <c r="E3138" s="353" t="s">
        <v>8511</v>
      </c>
      <c r="F3138" s="280">
        <v>27649</v>
      </c>
      <c r="G3138" s="280">
        <v>45911</v>
      </c>
      <c r="H3138" s="280">
        <v>45911</v>
      </c>
      <c r="K3138" s="97">
        <v>7462094818</v>
      </c>
    </row>
    <row r="3139" spans="1:11" x14ac:dyDescent="0.3">
      <c r="A3139" s="302" t="s">
        <v>155</v>
      </c>
      <c r="B3139" s="302" t="str">
        <f t="shared" si="41"/>
        <v>Y</v>
      </c>
      <c r="C3139" s="479" t="s">
        <v>8512</v>
      </c>
      <c r="E3139" s="353" t="s">
        <v>8513</v>
      </c>
      <c r="F3139" s="280">
        <v>37879</v>
      </c>
      <c r="G3139" s="280">
        <v>45911</v>
      </c>
      <c r="H3139" s="280">
        <v>45911</v>
      </c>
      <c r="K3139" s="97">
        <v>8092270183</v>
      </c>
    </row>
    <row r="3140" spans="1:11" x14ac:dyDescent="0.3">
      <c r="A3140" s="302" t="s">
        <v>155</v>
      </c>
      <c r="B3140" s="302" t="str">
        <f t="shared" si="41"/>
        <v>Y</v>
      </c>
      <c r="C3140" s="479" t="s">
        <v>8514</v>
      </c>
      <c r="E3140" s="353" t="s">
        <v>8515</v>
      </c>
      <c r="F3140" s="280">
        <v>39219</v>
      </c>
      <c r="G3140" s="280">
        <v>45911</v>
      </c>
      <c r="H3140" s="280">
        <v>45911</v>
      </c>
      <c r="K3140" s="97">
        <v>7061818784</v>
      </c>
    </row>
    <row r="3141" spans="1:11" x14ac:dyDescent="0.3">
      <c r="A3141" s="302" t="s">
        <v>155</v>
      </c>
      <c r="B3141" s="302" t="str">
        <f t="shared" si="41"/>
        <v>Y</v>
      </c>
      <c r="C3141" s="479" t="s">
        <v>8516</v>
      </c>
      <c r="E3141" s="353" t="s">
        <v>8517</v>
      </c>
      <c r="F3141" s="280">
        <v>24108</v>
      </c>
      <c r="G3141" s="280">
        <v>45911</v>
      </c>
      <c r="H3141" s="280">
        <v>45912</v>
      </c>
      <c r="K3141" s="97">
        <v>7463062521</v>
      </c>
    </row>
    <row r="3142" spans="1:11" x14ac:dyDescent="0.3">
      <c r="A3142" s="302" t="s">
        <v>155</v>
      </c>
      <c r="B3142" s="302" t="str">
        <f t="shared" si="41"/>
        <v>Y</v>
      </c>
      <c r="C3142" s="473" t="s">
        <v>8518</v>
      </c>
      <c r="E3142" s="353" t="s">
        <v>8519</v>
      </c>
      <c r="F3142" s="280">
        <v>30127</v>
      </c>
      <c r="G3142" s="280">
        <v>45915</v>
      </c>
      <c r="H3142" s="280">
        <v>45916</v>
      </c>
      <c r="K3142" s="97">
        <v>9204356790</v>
      </c>
    </row>
    <row r="3143" spans="1:11" x14ac:dyDescent="0.3">
      <c r="A3143" s="302" t="s">
        <v>155</v>
      </c>
      <c r="B3143" s="302" t="str">
        <f t="shared" si="41"/>
        <v>Y</v>
      </c>
      <c r="C3143" s="479" t="s">
        <v>8520</v>
      </c>
      <c r="E3143" s="353" t="s">
        <v>1717</v>
      </c>
      <c r="F3143" s="280">
        <v>37064</v>
      </c>
      <c r="G3143" s="280">
        <v>45917</v>
      </c>
      <c r="H3143" s="280">
        <v>45918</v>
      </c>
      <c r="I3143" t="s">
        <v>556</v>
      </c>
      <c r="K3143" s="97">
        <v>6287078149</v>
      </c>
    </row>
    <row r="3144" spans="1:11" x14ac:dyDescent="0.3">
      <c r="A3144" s="302" t="s">
        <v>155</v>
      </c>
      <c r="B3144" s="302" t="str">
        <f t="shared" si="41"/>
        <v>Y</v>
      </c>
      <c r="C3144" s="479" t="s">
        <v>8521</v>
      </c>
      <c r="E3144" s="353" t="s">
        <v>8522</v>
      </c>
      <c r="F3144" s="280">
        <v>38939</v>
      </c>
      <c r="G3144" s="280">
        <v>45917</v>
      </c>
      <c r="H3144" s="280">
        <v>45918</v>
      </c>
      <c r="K3144" s="97">
        <v>8092252094</v>
      </c>
    </row>
    <row r="3145" spans="1:11" x14ac:dyDescent="0.3">
      <c r="A3145" s="302" t="s">
        <v>155</v>
      </c>
      <c r="B3145" s="302" t="str">
        <f t="shared" si="41"/>
        <v>Y</v>
      </c>
      <c r="C3145" s="479" t="s">
        <v>8523</v>
      </c>
      <c r="E3145" s="353" t="s">
        <v>8524</v>
      </c>
      <c r="F3145" s="280">
        <v>39322</v>
      </c>
      <c r="G3145" s="280">
        <v>45917</v>
      </c>
      <c r="H3145" s="280">
        <v>45918</v>
      </c>
      <c r="I3145" t="s">
        <v>556</v>
      </c>
      <c r="K3145" s="97">
        <v>7236046367</v>
      </c>
    </row>
    <row r="3146" spans="1:11" x14ac:dyDescent="0.3">
      <c r="A3146" s="302" t="s">
        <v>155</v>
      </c>
      <c r="B3146" s="302" t="str">
        <f t="shared" si="41"/>
        <v>Y</v>
      </c>
      <c r="C3146" s="479" t="s">
        <v>8525</v>
      </c>
      <c r="E3146" s="353" t="s">
        <v>8526</v>
      </c>
      <c r="F3146" s="280">
        <v>34500</v>
      </c>
      <c r="G3146" s="280">
        <v>45918</v>
      </c>
      <c r="H3146" s="280">
        <v>45918</v>
      </c>
      <c r="K3146" s="97">
        <v>8102329156</v>
      </c>
    </row>
    <row r="3147" spans="1:11" x14ac:dyDescent="0.3">
      <c r="A3147" s="302" t="s">
        <v>155</v>
      </c>
      <c r="B3147" s="302" t="str">
        <f t="shared" si="41"/>
        <v>Y</v>
      </c>
      <c r="C3147" s="473" t="s">
        <v>8527</v>
      </c>
      <c r="E3147" s="353" t="s">
        <v>8528</v>
      </c>
      <c r="F3147" s="280">
        <v>35963</v>
      </c>
      <c r="G3147" s="280">
        <v>45918</v>
      </c>
      <c r="H3147" s="280">
        <v>45918</v>
      </c>
      <c r="K3147" s="97">
        <v>7061499610</v>
      </c>
    </row>
    <row r="3148" spans="1:11" x14ac:dyDescent="0.3">
      <c r="A3148" s="302" t="s">
        <v>155</v>
      </c>
      <c r="B3148" s="302" t="str">
        <f t="shared" si="41"/>
        <v>Y</v>
      </c>
      <c r="C3148" s="473" t="s">
        <v>8529</v>
      </c>
      <c r="E3148" s="353" t="s">
        <v>8530</v>
      </c>
      <c r="F3148" s="280">
        <v>37492</v>
      </c>
      <c r="G3148" s="280">
        <v>45917</v>
      </c>
      <c r="H3148" s="280">
        <v>45918</v>
      </c>
      <c r="I3148" t="s">
        <v>556</v>
      </c>
      <c r="K3148" s="97">
        <v>8789805995</v>
      </c>
    </row>
    <row r="3149" spans="1:11" x14ac:dyDescent="0.3">
      <c r="A3149" s="302" t="s">
        <v>155</v>
      </c>
      <c r="B3149" s="302" t="str">
        <f t="shared" si="41"/>
        <v>Y</v>
      </c>
      <c r="C3149" s="473" t="s">
        <v>8531</v>
      </c>
      <c r="E3149" s="353" t="s">
        <v>8532</v>
      </c>
      <c r="F3149" s="280">
        <v>18264</v>
      </c>
      <c r="G3149" s="280">
        <v>45918</v>
      </c>
      <c r="H3149" s="280">
        <v>45918</v>
      </c>
      <c r="I3149" t="s">
        <v>556</v>
      </c>
      <c r="K3149" s="97">
        <v>9835749698</v>
      </c>
    </row>
    <row r="3150" spans="1:11" x14ac:dyDescent="0.3">
      <c r="A3150" s="302" t="s">
        <v>155</v>
      </c>
      <c r="B3150" s="302" t="str">
        <f t="shared" si="41"/>
        <v>Y</v>
      </c>
      <c r="C3150" s="473" t="s">
        <v>8533</v>
      </c>
      <c r="E3150" s="353" t="s">
        <v>8534</v>
      </c>
      <c r="F3150" s="280">
        <v>39334</v>
      </c>
      <c r="G3150" s="280">
        <v>45918</v>
      </c>
      <c r="H3150" s="280">
        <v>45918</v>
      </c>
      <c r="I3150" t="s">
        <v>556</v>
      </c>
      <c r="K3150" s="97">
        <v>7654022010</v>
      </c>
    </row>
    <row r="3151" spans="1:11" x14ac:dyDescent="0.3">
      <c r="A3151" s="302" t="s">
        <v>155</v>
      </c>
      <c r="B3151" s="302" t="str">
        <f t="shared" si="41"/>
        <v>Y</v>
      </c>
      <c r="C3151" s="473" t="s">
        <v>8535</v>
      </c>
      <c r="E3151" s="353" t="s">
        <v>8536</v>
      </c>
      <c r="F3151" s="280">
        <v>32143</v>
      </c>
      <c r="G3151" s="280">
        <v>45918</v>
      </c>
      <c r="H3151" s="280">
        <v>45918</v>
      </c>
      <c r="I3151" t="s">
        <v>556</v>
      </c>
      <c r="K3151" s="97">
        <v>7050215377</v>
      </c>
    </row>
    <row r="3152" spans="1:11" x14ac:dyDescent="0.3">
      <c r="A3152" s="302" t="s">
        <v>155</v>
      </c>
      <c r="B3152" s="302" t="str">
        <f t="shared" si="41"/>
        <v>Y</v>
      </c>
      <c r="C3152" s="473" t="s">
        <v>8537</v>
      </c>
      <c r="E3152" s="353" t="s">
        <v>8538</v>
      </c>
      <c r="F3152" s="280">
        <v>33771</v>
      </c>
      <c r="G3152" s="280">
        <v>45918</v>
      </c>
      <c r="H3152" s="280">
        <v>45918</v>
      </c>
      <c r="K3152" s="97">
        <v>9572265603</v>
      </c>
    </row>
    <row r="3153" spans="1:11" x14ac:dyDescent="0.3">
      <c r="A3153" s="302" t="s">
        <v>155</v>
      </c>
      <c r="B3153" s="302" t="str">
        <f t="shared" si="41"/>
        <v>Y</v>
      </c>
      <c r="C3153" s="473" t="s">
        <v>8539</v>
      </c>
      <c r="E3153" s="353" t="s">
        <v>8540</v>
      </c>
      <c r="F3153" s="280">
        <v>33195</v>
      </c>
      <c r="G3153" s="280">
        <v>45921</v>
      </c>
      <c r="H3153" s="280">
        <v>45921</v>
      </c>
      <c r="K3153" s="97">
        <v>9905930850</v>
      </c>
    </row>
    <row r="3154" spans="1:11" x14ac:dyDescent="0.3">
      <c r="A3154" s="302" t="s">
        <v>155</v>
      </c>
      <c r="B3154" s="302" t="str">
        <f t="shared" si="41"/>
        <v>Y</v>
      </c>
      <c r="C3154" s="473" t="s">
        <v>8541</v>
      </c>
      <c r="E3154" s="356" t="s">
        <v>3576</v>
      </c>
      <c r="F3154" s="280">
        <v>38216</v>
      </c>
      <c r="G3154" s="280">
        <v>45924</v>
      </c>
      <c r="H3154" s="280">
        <v>45924</v>
      </c>
      <c r="I3154" s="301" t="s">
        <v>8542</v>
      </c>
      <c r="K3154" s="97">
        <v>7488883630</v>
      </c>
    </row>
    <row r="3155" spans="1:11" x14ac:dyDescent="0.3">
      <c r="A3155" s="302" t="s">
        <v>155</v>
      </c>
      <c r="B3155" s="302" t="str">
        <f t="shared" si="41"/>
        <v>Y</v>
      </c>
      <c r="C3155" s="473" t="s">
        <v>8543</v>
      </c>
      <c r="E3155" s="356" t="s">
        <v>8544</v>
      </c>
      <c r="F3155" s="280">
        <v>38863</v>
      </c>
      <c r="G3155" s="280">
        <v>45924</v>
      </c>
      <c r="H3155" s="280">
        <v>45924</v>
      </c>
      <c r="K3155" s="97">
        <v>9122755828</v>
      </c>
    </row>
    <row r="3156" spans="1:11" x14ac:dyDescent="0.3">
      <c r="A3156" s="302" t="s">
        <v>155</v>
      </c>
      <c r="B3156" s="302" t="str">
        <f t="shared" si="41"/>
        <v>Y</v>
      </c>
      <c r="C3156" s="473" t="s">
        <v>8545</v>
      </c>
      <c r="E3156" s="356" t="s">
        <v>8546</v>
      </c>
      <c r="F3156" s="280">
        <v>27468</v>
      </c>
      <c r="G3156" s="280">
        <v>45924</v>
      </c>
      <c r="H3156" s="280">
        <v>45924</v>
      </c>
      <c r="K3156" s="97">
        <v>7320060924</v>
      </c>
    </row>
    <row r="3157" spans="1:11" x14ac:dyDescent="0.3">
      <c r="A3157" s="302" t="s">
        <v>155</v>
      </c>
      <c r="B3157" s="302" t="str">
        <f t="shared" si="41"/>
        <v>Y</v>
      </c>
      <c r="C3157" s="473" t="s">
        <v>8547</v>
      </c>
      <c r="E3157" s="356" t="s">
        <v>8548</v>
      </c>
      <c r="F3157" s="280">
        <v>32509</v>
      </c>
      <c r="G3157" s="280">
        <v>45924</v>
      </c>
      <c r="H3157" s="280">
        <v>45924</v>
      </c>
      <c r="K3157" s="97">
        <v>9234266571</v>
      </c>
    </row>
    <row r="3158" spans="1:11" x14ac:dyDescent="0.3">
      <c r="A3158" s="302" t="s">
        <v>155</v>
      </c>
      <c r="B3158" s="302" t="str">
        <f t="shared" si="41"/>
        <v>Y</v>
      </c>
      <c r="C3158" s="473" t="s">
        <v>8549</v>
      </c>
      <c r="E3158" s="356" t="s">
        <v>8550</v>
      </c>
      <c r="F3158" s="280">
        <v>34221</v>
      </c>
      <c r="G3158" s="280">
        <v>45925</v>
      </c>
      <c r="H3158" s="280">
        <v>45925</v>
      </c>
      <c r="K3158" s="97">
        <v>9234628347</v>
      </c>
    </row>
    <row r="3159" spans="1:11" x14ac:dyDescent="0.3">
      <c r="A3159" s="302" t="s">
        <v>155</v>
      </c>
      <c r="B3159" s="302" t="str">
        <f t="shared" si="41"/>
        <v>Y</v>
      </c>
      <c r="C3159" s="473" t="s">
        <v>8551</v>
      </c>
      <c r="E3159" s="356" t="s">
        <v>8552</v>
      </c>
      <c r="F3159" s="280">
        <v>39212</v>
      </c>
      <c r="G3159" s="280">
        <v>45924</v>
      </c>
      <c r="H3159" s="280">
        <v>45925</v>
      </c>
      <c r="K3159" s="97">
        <v>9939211975</v>
      </c>
    </row>
    <row r="3160" spans="1:11" x14ac:dyDescent="0.3">
      <c r="A3160" s="302" t="s">
        <v>155</v>
      </c>
      <c r="B3160" s="302" t="str">
        <f t="shared" si="41"/>
        <v>Y</v>
      </c>
      <c r="C3160" s="473" t="s">
        <v>8553</v>
      </c>
      <c r="E3160" s="356" t="s">
        <v>8554</v>
      </c>
      <c r="F3160" s="280">
        <v>39209</v>
      </c>
      <c r="G3160" s="280">
        <v>45925</v>
      </c>
      <c r="H3160" s="280">
        <v>45925</v>
      </c>
      <c r="K3160" s="97">
        <v>9931195639</v>
      </c>
    </row>
    <row r="3161" spans="1:11" x14ac:dyDescent="0.3">
      <c r="A3161" s="302" t="s">
        <v>155</v>
      </c>
      <c r="B3161" s="302" t="str">
        <f t="shared" ref="B3161" si="42">IF(H3161="","N","Y")</f>
        <v>Y</v>
      </c>
      <c r="C3161" s="473" t="s">
        <v>8555</v>
      </c>
      <c r="E3161" s="356" t="s">
        <v>8556</v>
      </c>
      <c r="F3161" s="280">
        <v>37879</v>
      </c>
      <c r="G3161" s="280">
        <v>45929</v>
      </c>
      <c r="H3161" s="280">
        <v>45929</v>
      </c>
      <c r="I3161" s="301" t="s">
        <v>8542</v>
      </c>
      <c r="K3161" s="97">
        <v>6207763412</v>
      </c>
    </row>
    <row r="3162" spans="1:11" x14ac:dyDescent="0.3">
      <c r="A3162" s="302" t="s">
        <v>155</v>
      </c>
      <c r="B3162" s="302" t="str">
        <f t="shared" ref="B3162:B3170" si="43">IF(H3162="","N","Y")</f>
        <v>Y</v>
      </c>
      <c r="C3162" s="473" t="s">
        <v>8557</v>
      </c>
      <c r="E3162" s="356" t="s">
        <v>1778</v>
      </c>
      <c r="F3162" s="280">
        <v>31048</v>
      </c>
      <c r="G3162" s="280">
        <v>45935</v>
      </c>
      <c r="H3162" s="280">
        <v>45935</v>
      </c>
      <c r="I3162" t="s">
        <v>556</v>
      </c>
      <c r="K3162" s="97">
        <v>700432654</v>
      </c>
    </row>
    <row r="3163" spans="1:11" x14ac:dyDescent="0.3">
      <c r="A3163" s="302" t="s">
        <v>155</v>
      </c>
      <c r="B3163" s="302" t="str">
        <f t="shared" si="43"/>
        <v>Y</v>
      </c>
      <c r="C3163" s="473" t="s">
        <v>8558</v>
      </c>
      <c r="E3163" s="356" t="s">
        <v>8559</v>
      </c>
      <c r="F3163" s="280">
        <v>31332</v>
      </c>
      <c r="G3163" s="280">
        <v>45935</v>
      </c>
      <c r="H3163" s="280">
        <v>45935</v>
      </c>
      <c r="I3163" t="s">
        <v>556</v>
      </c>
      <c r="K3163" s="97">
        <v>7033092994</v>
      </c>
    </row>
    <row r="3164" spans="1:11" x14ac:dyDescent="0.3">
      <c r="A3164" s="302" t="s">
        <v>155</v>
      </c>
      <c r="B3164" s="302" t="str">
        <f t="shared" si="43"/>
        <v>Y</v>
      </c>
      <c r="C3164" s="473" t="s">
        <v>8560</v>
      </c>
      <c r="E3164" s="356" t="s">
        <v>8561</v>
      </c>
      <c r="F3164" s="280">
        <v>26465</v>
      </c>
      <c r="G3164" s="280">
        <v>45935</v>
      </c>
      <c r="H3164" s="280">
        <v>45935</v>
      </c>
      <c r="I3164" t="s">
        <v>556</v>
      </c>
      <c r="K3164" s="97">
        <v>9931724675</v>
      </c>
    </row>
    <row r="3165" spans="1:11" x14ac:dyDescent="0.3">
      <c r="A3165" s="302" t="s">
        <v>155</v>
      </c>
      <c r="B3165" s="302" t="str">
        <f t="shared" si="43"/>
        <v>Y</v>
      </c>
      <c r="C3165" s="473" t="s">
        <v>8562</v>
      </c>
      <c r="E3165" s="356" t="s">
        <v>8563</v>
      </c>
      <c r="F3165" s="280">
        <v>34688</v>
      </c>
      <c r="G3165" s="280">
        <v>45935</v>
      </c>
      <c r="H3165" s="280">
        <v>45935</v>
      </c>
      <c r="K3165" s="97">
        <v>6201732823</v>
      </c>
    </row>
    <row r="3166" spans="1:11" x14ac:dyDescent="0.3">
      <c r="A3166" s="302" t="s">
        <v>155</v>
      </c>
      <c r="B3166" s="302" t="str">
        <f t="shared" si="43"/>
        <v>Y</v>
      </c>
      <c r="C3166" s="473" t="s">
        <v>8564</v>
      </c>
      <c r="E3166" s="356" t="s">
        <v>8565</v>
      </c>
      <c r="F3166" s="280">
        <v>20220</v>
      </c>
      <c r="G3166" s="280">
        <v>45935</v>
      </c>
      <c r="H3166" s="280">
        <v>45935</v>
      </c>
      <c r="I3166" t="s">
        <v>556</v>
      </c>
      <c r="K3166" s="97">
        <v>9031381880</v>
      </c>
    </row>
    <row r="3167" spans="1:11" x14ac:dyDescent="0.3">
      <c r="A3167" s="302" t="s">
        <v>155</v>
      </c>
      <c r="B3167" s="302" t="str">
        <f t="shared" si="43"/>
        <v>Y</v>
      </c>
      <c r="C3167" s="479" t="s">
        <v>8566</v>
      </c>
      <c r="E3167" s="356" t="s">
        <v>8567</v>
      </c>
      <c r="F3167" s="280">
        <v>31072</v>
      </c>
      <c r="G3167" s="280">
        <v>45937</v>
      </c>
      <c r="H3167" s="280">
        <v>45940</v>
      </c>
      <c r="K3167" s="97">
        <v>8603319278</v>
      </c>
    </row>
    <row r="3168" spans="1:11" x14ac:dyDescent="0.3">
      <c r="A3168" s="302" t="s">
        <v>155</v>
      </c>
      <c r="B3168" s="302" t="str">
        <f t="shared" si="43"/>
        <v>Y</v>
      </c>
      <c r="C3168" s="479" t="s">
        <v>8568</v>
      </c>
      <c r="E3168" s="356" t="s">
        <v>8569</v>
      </c>
      <c r="F3168" s="280">
        <v>39247</v>
      </c>
      <c r="G3168" s="280">
        <v>45941</v>
      </c>
      <c r="H3168" s="280">
        <v>45942</v>
      </c>
      <c r="K3168" s="97">
        <v>8789886991</v>
      </c>
    </row>
    <row r="3169" spans="1:12" x14ac:dyDescent="0.3">
      <c r="A3169" s="302" t="s">
        <v>155</v>
      </c>
      <c r="B3169" s="302" t="str">
        <f t="shared" si="43"/>
        <v>Y</v>
      </c>
      <c r="C3169" s="479" t="s">
        <v>8570</v>
      </c>
      <c r="E3169" s="356" t="s">
        <v>8571</v>
      </c>
      <c r="F3169" s="280">
        <v>26635</v>
      </c>
      <c r="G3169" s="280">
        <v>45942</v>
      </c>
      <c r="H3169" s="280">
        <v>45942</v>
      </c>
      <c r="K3169" s="97">
        <v>8409774380</v>
      </c>
    </row>
    <row r="3170" spans="1:12" x14ac:dyDescent="0.3">
      <c r="A3170" s="302" t="s">
        <v>155</v>
      </c>
      <c r="B3170" s="302" t="str">
        <f t="shared" si="43"/>
        <v>Y</v>
      </c>
      <c r="C3170" s="479" t="s">
        <v>8572</v>
      </c>
      <c r="E3170" s="356" t="s">
        <v>8573</v>
      </c>
      <c r="F3170" s="280">
        <v>38823</v>
      </c>
      <c r="G3170" s="280">
        <v>45941</v>
      </c>
      <c r="H3170" s="280">
        <v>45941</v>
      </c>
      <c r="K3170" s="97">
        <v>808861852</v>
      </c>
    </row>
    <row r="3171" spans="1:12" x14ac:dyDescent="0.3">
      <c r="A3171" s="302" t="s">
        <v>155</v>
      </c>
      <c r="B3171" s="302" t="str">
        <f t="shared" ref="B3171:B3176" si="44">IF(H3171="","N","Y")</f>
        <v>Y</v>
      </c>
      <c r="C3171" s="479" t="s">
        <v>8574</v>
      </c>
      <c r="E3171" s="356" t="s">
        <v>8575</v>
      </c>
      <c r="F3171" s="280">
        <v>27395</v>
      </c>
      <c r="G3171" s="280">
        <v>45941</v>
      </c>
      <c r="H3171" s="280">
        <v>45942</v>
      </c>
      <c r="K3171" s="97">
        <v>7739101738</v>
      </c>
    </row>
    <row r="3172" spans="1:12" x14ac:dyDescent="0.3">
      <c r="A3172" s="302" t="s">
        <v>155</v>
      </c>
      <c r="B3172" s="302" t="str">
        <f t="shared" si="44"/>
        <v>Y</v>
      </c>
      <c r="C3172" s="479" t="s">
        <v>8576</v>
      </c>
      <c r="E3172" s="356" t="s">
        <v>8577</v>
      </c>
      <c r="F3172" s="280">
        <v>38942</v>
      </c>
      <c r="G3172" s="280">
        <v>45941</v>
      </c>
      <c r="H3172" s="280">
        <v>45942</v>
      </c>
      <c r="I3172" t="s">
        <v>556</v>
      </c>
      <c r="K3172" s="97">
        <v>6206943907</v>
      </c>
    </row>
    <row r="3173" spans="1:12" x14ac:dyDescent="0.3">
      <c r="A3173" s="302" t="s">
        <v>155</v>
      </c>
      <c r="B3173" s="302" t="str">
        <f t="shared" si="44"/>
        <v>Y</v>
      </c>
      <c r="C3173" s="479" t="s">
        <v>8578</v>
      </c>
      <c r="E3173" s="356" t="s">
        <v>8579</v>
      </c>
      <c r="F3173" s="280">
        <v>37650</v>
      </c>
      <c r="G3173" s="280">
        <v>45941</v>
      </c>
      <c r="H3173" s="280">
        <v>45942</v>
      </c>
      <c r="K3173" s="97">
        <v>6202894402</v>
      </c>
    </row>
    <row r="3174" spans="1:12" x14ac:dyDescent="0.3">
      <c r="A3174" s="302" t="s">
        <v>155</v>
      </c>
      <c r="B3174" s="302" t="str">
        <f t="shared" si="44"/>
        <v>Y</v>
      </c>
      <c r="C3174" s="479" t="s">
        <v>8580</v>
      </c>
      <c r="E3174" s="356" t="s">
        <v>8581</v>
      </c>
      <c r="F3174" s="280">
        <v>22843</v>
      </c>
      <c r="G3174" s="280">
        <v>45941</v>
      </c>
      <c r="H3174" s="280">
        <v>45942</v>
      </c>
      <c r="I3174" t="s">
        <v>556</v>
      </c>
      <c r="K3174" s="97">
        <v>8083103607</v>
      </c>
    </row>
    <row r="3175" spans="1:12" x14ac:dyDescent="0.3">
      <c r="A3175" s="302" t="s">
        <v>155</v>
      </c>
      <c r="B3175" s="302" t="str">
        <f t="shared" si="44"/>
        <v>Y</v>
      </c>
      <c r="C3175" s="479" t="s">
        <v>8582</v>
      </c>
      <c r="E3175" s="356" t="s">
        <v>8583</v>
      </c>
      <c r="F3175" s="280">
        <v>24608</v>
      </c>
      <c r="G3175" s="280">
        <v>45941</v>
      </c>
      <c r="H3175" s="280">
        <v>45942</v>
      </c>
      <c r="I3175" t="s">
        <v>556</v>
      </c>
      <c r="K3175" s="97">
        <v>9279242831</v>
      </c>
    </row>
    <row r="3176" spans="1:12" x14ac:dyDescent="0.3">
      <c r="A3176" s="302" t="s">
        <v>155</v>
      </c>
      <c r="B3176" s="302" t="str">
        <f t="shared" si="44"/>
        <v>Y</v>
      </c>
      <c r="C3176" s="479" t="s">
        <v>8584</v>
      </c>
      <c r="E3176" s="356" t="s">
        <v>2572</v>
      </c>
      <c r="F3176" s="280">
        <v>38021</v>
      </c>
      <c r="G3176" s="280">
        <v>45941</v>
      </c>
      <c r="H3176" s="280">
        <v>45942</v>
      </c>
      <c r="I3176" t="s">
        <v>556</v>
      </c>
      <c r="K3176" s="97">
        <v>9304600292</v>
      </c>
    </row>
    <row r="3177" spans="1:12" x14ac:dyDescent="0.3">
      <c r="A3177" s="302" t="s">
        <v>155</v>
      </c>
      <c r="B3177" s="302" t="str">
        <f t="shared" ref="B3177:B3179" si="45">IF(H3177="","N","Y")</f>
        <v>Y</v>
      </c>
      <c r="C3177" s="479" t="s">
        <v>8585</v>
      </c>
      <c r="E3177" s="356" t="s">
        <v>642</v>
      </c>
      <c r="F3177" s="280">
        <v>28552</v>
      </c>
      <c r="G3177" s="280">
        <v>45941</v>
      </c>
      <c r="H3177" s="280">
        <v>45942</v>
      </c>
      <c r="K3177" s="97">
        <v>7061499610</v>
      </c>
    </row>
    <row r="3178" spans="1:12" x14ac:dyDescent="0.3">
      <c r="A3178" s="302" t="s">
        <v>155</v>
      </c>
      <c r="B3178" s="302" t="str">
        <f t="shared" si="45"/>
        <v>Y</v>
      </c>
      <c r="C3178" s="479" t="s">
        <v>8586</v>
      </c>
      <c r="E3178" s="356" t="s">
        <v>8587</v>
      </c>
      <c r="F3178" s="280">
        <v>40749</v>
      </c>
      <c r="G3178" s="280">
        <v>45941</v>
      </c>
      <c r="H3178" s="280">
        <v>45942</v>
      </c>
      <c r="K3178" s="97">
        <v>7543906986</v>
      </c>
    </row>
    <row r="3179" spans="1:12" x14ac:dyDescent="0.3">
      <c r="A3179" s="302" t="s">
        <v>155</v>
      </c>
      <c r="B3179" s="302" t="str">
        <f t="shared" si="45"/>
        <v>Y</v>
      </c>
      <c r="C3179" s="479" t="s">
        <v>8588</v>
      </c>
      <c r="E3179" s="356" t="s">
        <v>8589</v>
      </c>
      <c r="F3179" s="280">
        <v>37269</v>
      </c>
      <c r="G3179" s="280">
        <v>45943</v>
      </c>
      <c r="H3179" s="280">
        <v>45946</v>
      </c>
      <c r="K3179" s="97">
        <v>7091257264</v>
      </c>
    </row>
    <row r="3180" spans="1:12" x14ac:dyDescent="0.3">
      <c r="A3180" s="302" t="s">
        <v>155</v>
      </c>
      <c r="B3180" s="302" t="str">
        <f t="shared" ref="B3180:B3242" si="46">IF(H3180="","N","Y")</f>
        <v>Y</v>
      </c>
      <c r="C3180" s="479" t="s">
        <v>8590</v>
      </c>
      <c r="E3180" s="356" t="s">
        <v>8591</v>
      </c>
      <c r="F3180" s="280">
        <v>39109</v>
      </c>
      <c r="G3180" s="280">
        <v>45946</v>
      </c>
      <c r="H3180" s="280">
        <v>45947</v>
      </c>
      <c r="K3180" s="97">
        <v>8084017957</v>
      </c>
    </row>
    <row r="3181" spans="1:12" x14ac:dyDescent="0.3">
      <c r="A3181" s="302" t="s">
        <v>155</v>
      </c>
      <c r="B3181" s="302" t="str">
        <f t="shared" si="46"/>
        <v>Y</v>
      </c>
      <c r="C3181" s="479" t="s">
        <v>8592</v>
      </c>
      <c r="E3181" s="356" t="s">
        <v>8593</v>
      </c>
      <c r="F3181" s="280">
        <v>35774</v>
      </c>
      <c r="G3181" s="280">
        <v>45946</v>
      </c>
      <c r="H3181" s="280">
        <v>45947</v>
      </c>
      <c r="K3181" s="97">
        <v>8092368015</v>
      </c>
    </row>
    <row r="3182" spans="1:12" x14ac:dyDescent="0.3">
      <c r="A3182" s="302" t="s">
        <v>155</v>
      </c>
      <c r="B3182" s="302" t="str">
        <f t="shared" si="46"/>
        <v>Y</v>
      </c>
      <c r="C3182" s="479" t="s">
        <v>8594</v>
      </c>
      <c r="E3182" s="356" t="s">
        <v>8595</v>
      </c>
      <c r="F3182" s="280">
        <v>32973</v>
      </c>
      <c r="G3182" s="280">
        <v>45946</v>
      </c>
      <c r="H3182" s="280">
        <v>45947</v>
      </c>
      <c r="K3182" s="280"/>
    </row>
    <row r="3183" spans="1:12" x14ac:dyDescent="0.3">
      <c r="A3183" s="302" t="s">
        <v>155</v>
      </c>
      <c r="B3183" s="302" t="str">
        <f t="shared" si="46"/>
        <v>Y</v>
      </c>
      <c r="C3183" s="479" t="s">
        <v>8596</v>
      </c>
      <c r="D3183" s="353" t="s">
        <v>8597</v>
      </c>
      <c r="E3183" s="356" t="s">
        <v>8598</v>
      </c>
      <c r="F3183" s="280">
        <v>19953</v>
      </c>
      <c r="G3183" s="280">
        <v>45947</v>
      </c>
      <c r="H3183" s="280">
        <v>45947</v>
      </c>
      <c r="K3183" s="97">
        <v>9204976811</v>
      </c>
    </row>
    <row r="3184" spans="1:12" x14ac:dyDescent="0.3">
      <c r="A3184" s="302" t="s">
        <v>155</v>
      </c>
      <c r="B3184" s="302" t="str">
        <f t="shared" si="46"/>
        <v>Y</v>
      </c>
      <c r="C3184" s="479" t="s">
        <v>8599</v>
      </c>
      <c r="E3184" s="356" t="s">
        <v>8600</v>
      </c>
      <c r="F3184" s="280">
        <v>28126</v>
      </c>
      <c r="G3184" s="280">
        <v>45947</v>
      </c>
      <c r="H3184" s="280">
        <v>45947</v>
      </c>
      <c r="K3184" s="97">
        <v>9939249986</v>
      </c>
      <c r="L3184">
        <f>6000/2000</f>
        <v>3</v>
      </c>
    </row>
    <row r="3185" spans="1:11" x14ac:dyDescent="0.3">
      <c r="A3185" s="302" t="s">
        <v>155</v>
      </c>
      <c r="B3185" s="302" t="str">
        <f t="shared" si="46"/>
        <v>Y</v>
      </c>
      <c r="C3185" s="479" t="s">
        <v>8601</v>
      </c>
      <c r="E3185" s="356" t="s">
        <v>8602</v>
      </c>
      <c r="F3185" s="280">
        <v>21915</v>
      </c>
      <c r="G3185" s="280">
        <v>45947</v>
      </c>
      <c r="H3185" s="280">
        <v>45947</v>
      </c>
      <c r="K3185" s="97">
        <v>8252826986</v>
      </c>
    </row>
    <row r="3186" spans="1:11" x14ac:dyDescent="0.3">
      <c r="A3186" s="302" t="s">
        <v>155</v>
      </c>
      <c r="B3186" s="302" t="str">
        <f t="shared" si="46"/>
        <v>Y</v>
      </c>
      <c r="C3186" s="479" t="s">
        <v>8603</v>
      </c>
      <c r="E3186" s="356" t="s">
        <v>8604</v>
      </c>
      <c r="F3186" s="280">
        <v>40802</v>
      </c>
      <c r="G3186" s="280">
        <v>45948</v>
      </c>
      <c r="H3186" s="280">
        <v>45948</v>
      </c>
      <c r="K3186" s="97">
        <v>7209938465</v>
      </c>
    </row>
    <row r="3187" spans="1:11" x14ac:dyDescent="0.3">
      <c r="A3187" s="302" t="s">
        <v>155</v>
      </c>
      <c r="B3187" s="302" t="str">
        <f t="shared" si="46"/>
        <v>Y</v>
      </c>
      <c r="C3187" s="479" t="s">
        <v>8605</v>
      </c>
      <c r="E3187" s="356" t="s">
        <v>8606</v>
      </c>
      <c r="F3187" s="280">
        <v>32932</v>
      </c>
      <c r="G3187" s="280">
        <v>45948</v>
      </c>
      <c r="H3187" s="280">
        <v>45948</v>
      </c>
      <c r="K3187" s="97">
        <v>9061478731</v>
      </c>
    </row>
    <row r="3188" spans="1:11" x14ac:dyDescent="0.3">
      <c r="A3188" s="302" t="s">
        <v>155</v>
      </c>
      <c r="B3188" s="302" t="str">
        <f t="shared" si="46"/>
        <v>Y</v>
      </c>
      <c r="C3188" s="473" t="s">
        <v>8607</v>
      </c>
      <c r="E3188" s="356" t="s">
        <v>8608</v>
      </c>
      <c r="F3188" s="280">
        <v>39085</v>
      </c>
      <c r="G3188" s="280">
        <v>45953</v>
      </c>
      <c r="H3188" s="280">
        <v>45953</v>
      </c>
      <c r="I3188" t="s">
        <v>556</v>
      </c>
      <c r="K3188" s="97">
        <v>9977883056</v>
      </c>
    </row>
    <row r="3189" spans="1:11" x14ac:dyDescent="0.3">
      <c r="A3189" s="302" t="s">
        <v>155</v>
      </c>
      <c r="B3189" s="302" t="str">
        <f t="shared" si="46"/>
        <v>Y</v>
      </c>
      <c r="C3189" s="473" t="s">
        <v>8609</v>
      </c>
      <c r="E3189" s="356" t="s">
        <v>8610</v>
      </c>
      <c r="F3189" s="280">
        <v>39363</v>
      </c>
      <c r="G3189" s="280">
        <v>45953</v>
      </c>
      <c r="H3189" s="280">
        <v>45953</v>
      </c>
      <c r="I3189" t="s">
        <v>556</v>
      </c>
      <c r="K3189" s="97">
        <v>9304467957</v>
      </c>
    </row>
    <row r="3190" spans="1:11" x14ac:dyDescent="0.3">
      <c r="A3190" s="302" t="s">
        <v>155</v>
      </c>
      <c r="B3190" s="302" t="str">
        <f t="shared" si="46"/>
        <v>Y</v>
      </c>
      <c r="C3190" s="473" t="s">
        <v>8611</v>
      </c>
      <c r="E3190" s="356" t="s">
        <v>8612</v>
      </c>
      <c r="F3190" s="280">
        <v>39371</v>
      </c>
      <c r="G3190" s="280">
        <v>45953</v>
      </c>
      <c r="H3190" s="280">
        <v>45953</v>
      </c>
      <c r="I3190" t="s">
        <v>556</v>
      </c>
      <c r="K3190" s="97">
        <v>9031393864</v>
      </c>
    </row>
    <row r="3191" spans="1:11" x14ac:dyDescent="0.3">
      <c r="A3191" s="302" t="s">
        <v>155</v>
      </c>
      <c r="B3191" s="302" t="str">
        <f t="shared" si="46"/>
        <v>Y</v>
      </c>
      <c r="C3191" s="473" t="s">
        <v>8613</v>
      </c>
      <c r="E3191" s="356" t="s">
        <v>8614</v>
      </c>
      <c r="F3191" s="280">
        <v>39335</v>
      </c>
      <c r="G3191" s="280">
        <v>45948</v>
      </c>
      <c r="H3191" s="280">
        <v>45953</v>
      </c>
      <c r="K3191" s="97">
        <v>9031726510</v>
      </c>
    </row>
    <row r="3192" spans="1:11" x14ac:dyDescent="0.3">
      <c r="A3192" s="302" t="s">
        <v>155</v>
      </c>
      <c r="B3192" s="302" t="str">
        <f t="shared" si="46"/>
        <v>Y</v>
      </c>
      <c r="C3192" s="473" t="s">
        <v>8615</v>
      </c>
      <c r="E3192" s="356" t="s">
        <v>8616</v>
      </c>
      <c r="F3192" s="280">
        <v>36161</v>
      </c>
      <c r="G3192" s="280">
        <v>45955</v>
      </c>
      <c r="H3192" s="280">
        <v>45955</v>
      </c>
      <c r="I3192" t="s">
        <v>556</v>
      </c>
      <c r="K3192" s="97">
        <v>8825159553</v>
      </c>
    </row>
    <row r="3193" spans="1:11" x14ac:dyDescent="0.3">
      <c r="A3193" s="302" t="s">
        <v>155</v>
      </c>
      <c r="B3193" s="302" t="str">
        <f t="shared" si="46"/>
        <v>Y</v>
      </c>
      <c r="C3193" s="473" t="s">
        <v>8617</v>
      </c>
      <c r="E3193" s="356" t="s">
        <v>8618</v>
      </c>
      <c r="F3193" s="280">
        <v>38740</v>
      </c>
      <c r="G3193" s="280">
        <v>45955</v>
      </c>
      <c r="H3193" s="280">
        <v>45955</v>
      </c>
      <c r="K3193" s="97">
        <v>9279014832</v>
      </c>
    </row>
    <row r="3194" spans="1:11" x14ac:dyDescent="0.3">
      <c r="A3194" s="302" t="s">
        <v>155</v>
      </c>
      <c r="B3194" s="302" t="str">
        <f t="shared" si="46"/>
        <v>Y</v>
      </c>
      <c r="C3194" s="473" t="s">
        <v>8619</v>
      </c>
      <c r="E3194" s="356" t="s">
        <v>5581</v>
      </c>
      <c r="F3194" s="280">
        <v>37511</v>
      </c>
      <c r="G3194" s="280">
        <v>45955</v>
      </c>
      <c r="H3194" s="280">
        <v>45955</v>
      </c>
      <c r="I3194" t="s">
        <v>556</v>
      </c>
      <c r="K3194" s="97">
        <v>9934808983</v>
      </c>
    </row>
    <row r="3195" spans="1:11" x14ac:dyDescent="0.3">
      <c r="A3195" s="302" t="s">
        <v>155</v>
      </c>
      <c r="B3195" s="302" t="str">
        <f t="shared" si="46"/>
        <v>Y</v>
      </c>
      <c r="C3195" s="473" t="s">
        <v>8620</v>
      </c>
      <c r="E3195" s="356" t="s">
        <v>8621</v>
      </c>
      <c r="F3195" s="280">
        <v>28491</v>
      </c>
      <c r="G3195" s="280">
        <v>45955</v>
      </c>
      <c r="H3195" s="280">
        <v>45955</v>
      </c>
      <c r="I3195" t="s">
        <v>556</v>
      </c>
      <c r="K3195" s="97">
        <v>8292087944</v>
      </c>
    </row>
    <row r="3196" spans="1:11" x14ac:dyDescent="0.3">
      <c r="A3196" s="302" t="s">
        <v>155</v>
      </c>
      <c r="B3196" s="302" t="str">
        <f t="shared" si="46"/>
        <v>Y</v>
      </c>
      <c r="C3196" s="473" t="s">
        <v>8622</v>
      </c>
      <c r="E3196" s="356" t="s">
        <v>8623</v>
      </c>
      <c r="F3196" s="280">
        <v>20214</v>
      </c>
      <c r="G3196" s="280">
        <v>45955</v>
      </c>
      <c r="H3196" s="280">
        <v>45955</v>
      </c>
      <c r="I3196" t="s">
        <v>556</v>
      </c>
      <c r="K3196" s="97">
        <v>9471339007</v>
      </c>
    </row>
    <row r="3197" spans="1:11" x14ac:dyDescent="0.3">
      <c r="A3197" s="302" t="s">
        <v>155</v>
      </c>
      <c r="B3197" s="302" t="str">
        <f t="shared" si="46"/>
        <v>Y</v>
      </c>
      <c r="C3197" s="479" t="s">
        <v>8624</v>
      </c>
      <c r="E3197" s="356" t="s">
        <v>8625</v>
      </c>
      <c r="F3197" s="280">
        <v>39193</v>
      </c>
      <c r="G3197" s="280">
        <v>45686</v>
      </c>
      <c r="H3197" s="280">
        <v>45959</v>
      </c>
      <c r="K3197" s="97">
        <v>9204399484</v>
      </c>
    </row>
    <row r="3198" spans="1:11" x14ac:dyDescent="0.3">
      <c r="A3198" s="302" t="s">
        <v>155</v>
      </c>
      <c r="B3198" s="302" t="str">
        <f t="shared" si="46"/>
        <v>Y</v>
      </c>
      <c r="C3198" s="479" t="s">
        <v>8626</v>
      </c>
      <c r="E3198" s="356" t="s">
        <v>8627</v>
      </c>
      <c r="F3198" s="280">
        <v>39376</v>
      </c>
      <c r="G3198" s="280">
        <v>45966</v>
      </c>
      <c r="H3198" s="280">
        <v>45966</v>
      </c>
      <c r="I3198" t="s">
        <v>556</v>
      </c>
      <c r="K3198" s="97">
        <v>9942928256</v>
      </c>
    </row>
    <row r="3199" spans="1:11" x14ac:dyDescent="0.3">
      <c r="A3199" s="302" t="s">
        <v>155</v>
      </c>
      <c r="B3199" s="302" t="str">
        <f t="shared" si="46"/>
        <v>Y</v>
      </c>
      <c r="C3199" s="479" t="s">
        <v>8628</v>
      </c>
      <c r="E3199" s="356" t="s">
        <v>8629</v>
      </c>
      <c r="F3199" s="280">
        <v>19511</v>
      </c>
      <c r="G3199" s="280">
        <v>45966</v>
      </c>
      <c r="H3199" s="280">
        <v>45966</v>
      </c>
      <c r="I3199" t="s">
        <v>556</v>
      </c>
      <c r="K3199" s="97">
        <v>7903798360</v>
      </c>
    </row>
    <row r="3200" spans="1:11" x14ac:dyDescent="0.3">
      <c r="A3200" s="302" t="s">
        <v>155</v>
      </c>
      <c r="B3200" s="302" t="str">
        <f t="shared" si="46"/>
        <v>Y</v>
      </c>
      <c r="C3200" s="479" t="s">
        <v>8630</v>
      </c>
      <c r="E3200" s="356" t="s">
        <v>8631</v>
      </c>
      <c r="F3200" s="280">
        <v>27128</v>
      </c>
      <c r="G3200" s="280">
        <v>45966</v>
      </c>
      <c r="H3200" s="280">
        <v>45966</v>
      </c>
      <c r="K3200" s="97">
        <v>9204204783</v>
      </c>
    </row>
    <row r="3201" spans="1:11" x14ac:dyDescent="0.3">
      <c r="A3201" s="302" t="s">
        <v>155</v>
      </c>
      <c r="B3201" s="302" t="str">
        <f t="shared" si="46"/>
        <v>Y</v>
      </c>
      <c r="C3201" s="479" t="s">
        <v>8632</v>
      </c>
      <c r="E3201" s="356" t="s">
        <v>8633</v>
      </c>
      <c r="F3201" s="280">
        <v>28568</v>
      </c>
      <c r="G3201" s="280">
        <v>45966</v>
      </c>
      <c r="H3201" s="280">
        <v>45966</v>
      </c>
      <c r="K3201" s="97">
        <v>9534101223</v>
      </c>
    </row>
    <row r="3202" spans="1:11" x14ac:dyDescent="0.3">
      <c r="A3202" s="302" t="s">
        <v>155</v>
      </c>
      <c r="B3202" s="302" t="str">
        <f t="shared" si="46"/>
        <v>Y</v>
      </c>
      <c r="C3202" s="479" t="s">
        <v>8634</v>
      </c>
      <c r="E3202" s="356" t="s">
        <v>8635</v>
      </c>
      <c r="F3202" s="280">
        <v>26282</v>
      </c>
      <c r="G3202" s="280">
        <v>45966</v>
      </c>
      <c r="H3202" s="280">
        <v>45966</v>
      </c>
      <c r="K3202" s="97">
        <v>9234590348</v>
      </c>
    </row>
    <row r="3203" spans="1:11" x14ac:dyDescent="0.3">
      <c r="A3203" s="302" t="s">
        <v>155</v>
      </c>
      <c r="B3203" s="302" t="str">
        <f t="shared" si="46"/>
        <v>Y</v>
      </c>
      <c r="C3203" s="479" t="s">
        <v>8636</v>
      </c>
      <c r="E3203" s="356" t="s">
        <v>8637</v>
      </c>
      <c r="F3203" s="280">
        <v>39361</v>
      </c>
      <c r="G3203" s="280">
        <v>45966</v>
      </c>
      <c r="H3203" s="280">
        <v>45966</v>
      </c>
      <c r="K3203" s="97">
        <v>9939315339</v>
      </c>
    </row>
    <row r="3204" spans="1:11" x14ac:dyDescent="0.3">
      <c r="A3204" s="302" t="s">
        <v>155</v>
      </c>
      <c r="B3204" s="302" t="str">
        <f t="shared" si="46"/>
        <v>Y</v>
      </c>
      <c r="C3204" s="479" t="s">
        <v>8638</v>
      </c>
      <c r="E3204" s="356" t="s">
        <v>8639</v>
      </c>
      <c r="F3204" s="280">
        <v>39193</v>
      </c>
      <c r="G3204" s="280">
        <v>45966</v>
      </c>
      <c r="H3204" s="280">
        <v>45966</v>
      </c>
      <c r="K3204" s="97">
        <v>77484877508</v>
      </c>
    </row>
    <row r="3205" spans="1:11" x14ac:dyDescent="0.3">
      <c r="A3205" s="302" t="s">
        <v>155</v>
      </c>
      <c r="B3205" s="302" t="str">
        <f t="shared" si="46"/>
        <v>Y</v>
      </c>
      <c r="C3205" s="479" t="s">
        <v>8640</v>
      </c>
      <c r="E3205" s="356" t="s">
        <v>8641</v>
      </c>
      <c r="F3205" s="280">
        <v>29672</v>
      </c>
      <c r="G3205" s="280">
        <v>45966</v>
      </c>
      <c r="H3205" s="280">
        <v>45966</v>
      </c>
      <c r="K3205" s="97">
        <v>7004491551</v>
      </c>
    </row>
    <row r="3206" spans="1:11" x14ac:dyDescent="0.3">
      <c r="A3206" s="302" t="s">
        <v>155</v>
      </c>
      <c r="B3206" s="302" t="str">
        <f t="shared" si="46"/>
        <v>Y</v>
      </c>
      <c r="C3206" s="479" t="s">
        <v>8642</v>
      </c>
      <c r="E3206" s="356" t="s">
        <v>8643</v>
      </c>
      <c r="F3206" s="280">
        <v>30975</v>
      </c>
      <c r="G3206" s="280">
        <v>45966</v>
      </c>
      <c r="H3206" s="280">
        <v>45966</v>
      </c>
      <c r="K3206" s="97">
        <v>9955197837</v>
      </c>
    </row>
    <row r="3207" spans="1:11" x14ac:dyDescent="0.3">
      <c r="A3207" s="302" t="s">
        <v>155</v>
      </c>
      <c r="B3207" s="302" t="str">
        <f t="shared" si="46"/>
        <v>Y</v>
      </c>
      <c r="C3207" s="479" t="s">
        <v>8644</v>
      </c>
      <c r="E3207" s="356" t="s">
        <v>8645</v>
      </c>
      <c r="F3207" s="280">
        <v>39338</v>
      </c>
      <c r="G3207" s="280">
        <v>45966</v>
      </c>
      <c r="H3207" s="280">
        <v>45966</v>
      </c>
      <c r="K3207" s="97">
        <v>8789932160</v>
      </c>
    </row>
    <row r="3208" spans="1:11" x14ac:dyDescent="0.3">
      <c r="A3208" s="302" t="s">
        <v>155</v>
      </c>
      <c r="B3208" s="302" t="str">
        <f t="shared" si="46"/>
        <v>Y</v>
      </c>
      <c r="C3208" s="479" t="s">
        <v>8646</v>
      </c>
      <c r="E3208" s="356" t="s">
        <v>8647</v>
      </c>
      <c r="F3208" s="280">
        <v>35065</v>
      </c>
      <c r="G3208" s="280">
        <v>45975</v>
      </c>
      <c r="H3208" s="280">
        <v>45975</v>
      </c>
      <c r="K3208" s="97">
        <v>6201461780</v>
      </c>
    </row>
    <row r="3209" spans="1:11" x14ac:dyDescent="0.3">
      <c r="A3209" s="302" t="s">
        <v>155</v>
      </c>
      <c r="B3209" s="302" t="str">
        <f t="shared" si="46"/>
        <v>Y</v>
      </c>
      <c r="C3209" s="479" t="s">
        <v>8648</v>
      </c>
      <c r="E3209" s="356" t="s">
        <v>8649</v>
      </c>
      <c r="F3209" s="280">
        <v>25934</v>
      </c>
      <c r="G3209" s="280">
        <v>45976</v>
      </c>
      <c r="H3209" s="280">
        <v>45976</v>
      </c>
      <c r="K3209" s="97">
        <v>7479976553</v>
      </c>
    </row>
    <row r="3210" spans="1:11" x14ac:dyDescent="0.3">
      <c r="A3210" s="302" t="s">
        <v>155</v>
      </c>
      <c r="B3210" s="302" t="str">
        <f t="shared" si="46"/>
        <v>Y</v>
      </c>
      <c r="C3210" s="485" t="s">
        <v>10626</v>
      </c>
      <c r="E3210" s="356" t="s">
        <v>8650</v>
      </c>
      <c r="F3210" s="280">
        <v>39503</v>
      </c>
      <c r="G3210" s="280">
        <v>45978</v>
      </c>
      <c r="H3210" s="280">
        <v>45978</v>
      </c>
      <c r="I3210" s="310" t="s">
        <v>556</v>
      </c>
      <c r="K3210" s="97">
        <v>9263884106</v>
      </c>
    </row>
    <row r="3211" spans="1:11" x14ac:dyDescent="0.3">
      <c r="A3211" s="302" t="s">
        <v>155</v>
      </c>
      <c r="B3211" s="302" t="str">
        <f t="shared" si="46"/>
        <v>Y</v>
      </c>
      <c r="C3211" s="485" t="s">
        <v>10615</v>
      </c>
      <c r="E3211" s="369" t="s">
        <v>10616</v>
      </c>
      <c r="F3211" s="280">
        <v>31778</v>
      </c>
      <c r="G3211" s="280">
        <v>45987</v>
      </c>
      <c r="H3211" s="280">
        <v>45987</v>
      </c>
      <c r="K3211" s="97">
        <v>7870807330</v>
      </c>
    </row>
    <row r="3212" spans="1:11" x14ac:dyDescent="0.3">
      <c r="A3212" s="302" t="s">
        <v>155</v>
      </c>
      <c r="B3212" s="302" t="str">
        <f t="shared" si="46"/>
        <v>Y</v>
      </c>
      <c r="C3212" s="485" t="s">
        <v>10617</v>
      </c>
      <c r="E3212" s="369" t="s">
        <v>10618</v>
      </c>
      <c r="F3212" s="280">
        <v>31537</v>
      </c>
      <c r="G3212" s="280">
        <v>45987</v>
      </c>
      <c r="H3212" s="280">
        <v>45987</v>
      </c>
      <c r="K3212" s="97">
        <v>9798321864</v>
      </c>
    </row>
    <row r="3213" spans="1:11" x14ac:dyDescent="0.3">
      <c r="A3213" s="302" t="s">
        <v>155</v>
      </c>
      <c r="B3213" s="302" t="str">
        <f t="shared" si="46"/>
        <v>Y</v>
      </c>
      <c r="C3213" s="485" t="s">
        <v>10619</v>
      </c>
      <c r="E3213" s="369" t="s">
        <v>10620</v>
      </c>
      <c r="F3213" s="280">
        <v>28836</v>
      </c>
      <c r="G3213" s="280">
        <v>45985</v>
      </c>
      <c r="H3213" s="280">
        <v>45985</v>
      </c>
      <c r="K3213" s="97">
        <v>8294022592</v>
      </c>
    </row>
    <row r="3214" spans="1:11" x14ac:dyDescent="0.3">
      <c r="A3214" s="302" t="s">
        <v>155</v>
      </c>
      <c r="B3214" s="302" t="str">
        <f t="shared" si="46"/>
        <v>Y</v>
      </c>
      <c r="C3214" s="485" t="s">
        <v>10621</v>
      </c>
      <c r="E3214" s="369" t="s">
        <v>10622</v>
      </c>
      <c r="F3214" s="280">
        <v>31401</v>
      </c>
      <c r="G3214" s="280">
        <v>45985</v>
      </c>
      <c r="H3214" s="280">
        <v>45985</v>
      </c>
      <c r="K3214" s="97">
        <v>7763921667</v>
      </c>
    </row>
    <row r="3215" spans="1:11" x14ac:dyDescent="0.3">
      <c r="A3215" s="302" t="s">
        <v>155</v>
      </c>
      <c r="B3215" s="302" t="str">
        <f t="shared" si="46"/>
        <v>Y</v>
      </c>
      <c r="C3215" s="485" t="s">
        <v>10623</v>
      </c>
      <c r="E3215" s="369" t="s">
        <v>3113</v>
      </c>
      <c r="F3215" s="280">
        <v>35930</v>
      </c>
      <c r="G3215" s="280">
        <v>45985</v>
      </c>
      <c r="H3215" s="280">
        <v>45985</v>
      </c>
      <c r="K3215" s="97">
        <v>9304210299</v>
      </c>
    </row>
    <row r="3216" spans="1:11" x14ac:dyDescent="0.3">
      <c r="A3216" s="302" t="s">
        <v>155</v>
      </c>
      <c r="B3216" s="302" t="str">
        <f t="shared" si="46"/>
        <v>Y</v>
      </c>
      <c r="C3216" s="485" t="s">
        <v>10624</v>
      </c>
      <c r="E3216" s="369" t="s">
        <v>10625</v>
      </c>
      <c r="F3216" s="280">
        <v>36643</v>
      </c>
      <c r="G3216" s="280">
        <v>45981</v>
      </c>
      <c r="H3216" s="280">
        <v>45981</v>
      </c>
      <c r="K3216" s="97">
        <v>8102051207</v>
      </c>
    </row>
    <row r="3217" spans="1:11" x14ac:dyDescent="0.3">
      <c r="A3217" s="302" t="s">
        <v>155</v>
      </c>
      <c r="B3217" s="302" t="str">
        <f t="shared" si="46"/>
        <v>Y</v>
      </c>
      <c r="C3217" s="485" t="s">
        <v>10628</v>
      </c>
      <c r="E3217" s="369" t="s">
        <v>10627</v>
      </c>
      <c r="F3217" s="280">
        <v>29086</v>
      </c>
      <c r="G3217" s="280">
        <v>45979</v>
      </c>
      <c r="H3217" s="280">
        <v>45979</v>
      </c>
      <c r="K3217" s="97">
        <v>7070557735</v>
      </c>
    </row>
    <row r="3218" spans="1:11" x14ac:dyDescent="0.3">
      <c r="A3218" s="302" t="s">
        <v>155</v>
      </c>
      <c r="B3218" s="302" t="str">
        <f t="shared" si="46"/>
        <v>Y</v>
      </c>
      <c r="C3218" s="485" t="s">
        <v>10629</v>
      </c>
      <c r="E3218" s="369" t="s">
        <v>8239</v>
      </c>
      <c r="F3218" s="280">
        <v>39403</v>
      </c>
      <c r="G3218" s="280">
        <v>45979</v>
      </c>
      <c r="H3218" s="280">
        <v>45979</v>
      </c>
      <c r="K3218" s="97">
        <v>8292855059</v>
      </c>
    </row>
    <row r="3219" spans="1:11" x14ac:dyDescent="0.3">
      <c r="A3219" s="302" t="s">
        <v>155</v>
      </c>
      <c r="B3219" s="302" t="str">
        <f t="shared" si="46"/>
        <v>Y</v>
      </c>
      <c r="C3219" s="485" t="s">
        <v>10630</v>
      </c>
      <c r="E3219" s="369" t="s">
        <v>10631</v>
      </c>
      <c r="F3219" s="280">
        <v>39369</v>
      </c>
      <c r="G3219" s="280">
        <v>45979</v>
      </c>
      <c r="H3219" s="280">
        <v>45979</v>
      </c>
      <c r="I3219" s="310" t="s">
        <v>556</v>
      </c>
      <c r="K3219" s="97">
        <v>7480832246</v>
      </c>
    </row>
    <row r="3220" spans="1:11" x14ac:dyDescent="0.3">
      <c r="A3220" s="302" t="s">
        <v>155</v>
      </c>
      <c r="B3220" s="302" t="str">
        <f t="shared" si="46"/>
        <v>Y</v>
      </c>
      <c r="C3220" s="485" t="s">
        <v>10632</v>
      </c>
      <c r="E3220" s="369" t="s">
        <v>10633</v>
      </c>
      <c r="F3220" s="280">
        <v>29313</v>
      </c>
      <c r="G3220" s="280">
        <v>45979</v>
      </c>
      <c r="H3220" s="280">
        <v>45979</v>
      </c>
      <c r="I3220" s="310" t="s">
        <v>556</v>
      </c>
      <c r="K3220" s="97">
        <v>7079786513</v>
      </c>
    </row>
    <row r="3221" spans="1:11" x14ac:dyDescent="0.3">
      <c r="A3221" s="302" t="s">
        <v>155</v>
      </c>
      <c r="B3221" s="302" t="str">
        <f t="shared" si="46"/>
        <v>Y</v>
      </c>
      <c r="C3221" s="485" t="s">
        <v>10634</v>
      </c>
      <c r="E3221" s="369" t="s">
        <v>10635</v>
      </c>
      <c r="F3221" s="280">
        <v>39235</v>
      </c>
      <c r="G3221" s="280">
        <v>45979</v>
      </c>
      <c r="H3221" s="280">
        <v>45979</v>
      </c>
      <c r="I3221" s="310" t="s">
        <v>556</v>
      </c>
      <c r="K3221" s="97">
        <v>7488752189</v>
      </c>
    </row>
    <row r="3222" spans="1:11" x14ac:dyDescent="0.3">
      <c r="A3222" s="302" t="s">
        <v>155</v>
      </c>
      <c r="B3222" s="302" t="str">
        <f t="shared" si="46"/>
        <v>Y</v>
      </c>
      <c r="C3222" s="485" t="s">
        <v>10636</v>
      </c>
      <c r="E3222" s="369" t="s">
        <v>10637</v>
      </c>
      <c r="F3222" s="280">
        <v>35844</v>
      </c>
      <c r="G3222" s="280">
        <v>45979</v>
      </c>
      <c r="H3222" s="280">
        <v>45979</v>
      </c>
      <c r="I3222" s="310" t="s">
        <v>556</v>
      </c>
      <c r="K3222" s="97">
        <v>6299525797</v>
      </c>
    </row>
    <row r="3223" spans="1:11" x14ac:dyDescent="0.3">
      <c r="A3223" s="302" t="s">
        <v>155</v>
      </c>
      <c r="B3223" s="302" t="str">
        <f t="shared" si="46"/>
        <v>Y</v>
      </c>
      <c r="C3223" s="485" t="s">
        <v>10638</v>
      </c>
      <c r="E3223" s="369" t="s">
        <v>10639</v>
      </c>
      <c r="F3223" s="280">
        <v>37724</v>
      </c>
      <c r="G3223" s="280">
        <v>45979</v>
      </c>
      <c r="H3223" s="280">
        <v>45979</v>
      </c>
      <c r="I3223" s="310"/>
      <c r="K3223" s="97">
        <v>9263222905</v>
      </c>
    </row>
    <row r="3224" spans="1:11" x14ac:dyDescent="0.3">
      <c r="A3224" s="302" t="s">
        <v>155</v>
      </c>
      <c r="B3224" s="302" t="str">
        <f t="shared" si="46"/>
        <v>Y</v>
      </c>
      <c r="C3224" s="485" t="s">
        <v>10640</v>
      </c>
      <c r="E3224" s="369" t="s">
        <v>10641</v>
      </c>
      <c r="F3224" s="280">
        <v>39061</v>
      </c>
      <c r="G3224" s="280">
        <v>45979</v>
      </c>
      <c r="H3224" s="280">
        <v>45979</v>
      </c>
      <c r="I3224" s="310" t="s">
        <v>556</v>
      </c>
      <c r="K3224" s="97">
        <v>9341970562</v>
      </c>
    </row>
    <row r="3225" spans="1:11" x14ac:dyDescent="0.3">
      <c r="A3225" s="302" t="s">
        <v>155</v>
      </c>
      <c r="B3225" s="302" t="str">
        <f t="shared" si="46"/>
        <v>Y</v>
      </c>
      <c r="C3225" s="485" t="s">
        <v>10642</v>
      </c>
      <c r="E3225" s="369" t="s">
        <v>10643</v>
      </c>
      <c r="F3225" s="280">
        <v>37392</v>
      </c>
      <c r="G3225" s="280">
        <v>45981</v>
      </c>
      <c r="H3225" s="280">
        <v>45981</v>
      </c>
      <c r="I3225" s="310"/>
      <c r="K3225" s="97">
        <v>8340171127</v>
      </c>
    </row>
    <row r="3226" spans="1:11" x14ac:dyDescent="0.3">
      <c r="A3226" s="302" t="s">
        <v>155</v>
      </c>
      <c r="B3226" s="302" t="str">
        <f t="shared" si="46"/>
        <v>Y</v>
      </c>
      <c r="C3226" s="485" t="s">
        <v>10644</v>
      </c>
      <c r="E3226" s="369" t="s">
        <v>10645</v>
      </c>
      <c r="F3226" s="280">
        <v>31048</v>
      </c>
      <c r="G3226" s="280">
        <v>45979</v>
      </c>
      <c r="H3226" s="280">
        <v>45979</v>
      </c>
      <c r="I3226" s="310"/>
      <c r="K3226" s="97">
        <v>8102177563</v>
      </c>
    </row>
    <row r="3227" spans="1:11" x14ac:dyDescent="0.3">
      <c r="A3227" s="302" t="s">
        <v>155</v>
      </c>
      <c r="B3227" s="302" t="str">
        <f t="shared" si="46"/>
        <v>Y</v>
      </c>
      <c r="C3227" s="485" t="s">
        <v>10646</v>
      </c>
      <c r="E3227" s="369" t="s">
        <v>10647</v>
      </c>
      <c r="F3227" s="280">
        <v>29587</v>
      </c>
      <c r="G3227" s="280">
        <v>45979</v>
      </c>
      <c r="H3227" s="280">
        <v>45979</v>
      </c>
      <c r="I3227" s="310" t="s">
        <v>556</v>
      </c>
      <c r="K3227" s="97">
        <v>8873109940</v>
      </c>
    </row>
    <row r="3228" spans="1:11" x14ac:dyDescent="0.3">
      <c r="A3228" s="302" t="s">
        <v>155</v>
      </c>
      <c r="B3228" s="302" t="str">
        <f t="shared" si="46"/>
        <v>Y</v>
      </c>
      <c r="C3228" s="485" t="s">
        <v>10648</v>
      </c>
      <c r="E3228" s="369" t="s">
        <v>10649</v>
      </c>
      <c r="F3228" s="280">
        <v>40121</v>
      </c>
      <c r="G3228" s="280">
        <v>45979</v>
      </c>
      <c r="H3228" s="280">
        <v>45979</v>
      </c>
      <c r="I3228" s="310" t="s">
        <v>556</v>
      </c>
      <c r="K3228" s="97">
        <v>7889321960</v>
      </c>
    </row>
    <row r="3229" spans="1:11" x14ac:dyDescent="0.3">
      <c r="A3229" s="302" t="s">
        <v>155</v>
      </c>
      <c r="B3229" s="302" t="str">
        <f t="shared" si="46"/>
        <v>Y</v>
      </c>
      <c r="C3229" s="485" t="s">
        <v>10650</v>
      </c>
      <c r="E3229" s="369" t="s">
        <v>10651</v>
      </c>
      <c r="F3229" s="280">
        <v>27589</v>
      </c>
      <c r="G3229" s="280">
        <v>45979</v>
      </c>
      <c r="H3229" s="280">
        <v>45979</v>
      </c>
      <c r="I3229" s="310" t="s">
        <v>556</v>
      </c>
      <c r="K3229" s="97">
        <v>8210054412</v>
      </c>
    </row>
    <row r="3230" spans="1:11" x14ac:dyDescent="0.3">
      <c r="A3230" s="302" t="s">
        <v>155</v>
      </c>
      <c r="B3230" s="302" t="str">
        <f t="shared" si="46"/>
        <v>Y</v>
      </c>
      <c r="C3230" s="485" t="s">
        <v>10652</v>
      </c>
      <c r="E3230" s="369" t="s">
        <v>10653</v>
      </c>
      <c r="F3230" s="280">
        <v>25183</v>
      </c>
      <c r="G3230" s="280">
        <v>45979</v>
      </c>
      <c r="H3230" s="280">
        <v>45979</v>
      </c>
      <c r="I3230" s="310" t="s">
        <v>556</v>
      </c>
      <c r="K3230" s="97">
        <v>6203401311</v>
      </c>
    </row>
    <row r="3231" spans="1:11" x14ac:dyDescent="0.3">
      <c r="A3231" s="302" t="s">
        <v>155</v>
      </c>
      <c r="B3231" s="302" t="str">
        <f t="shared" si="46"/>
        <v>Y</v>
      </c>
      <c r="C3231" s="485" t="s">
        <v>10654</v>
      </c>
      <c r="E3231" s="369" t="s">
        <v>10655</v>
      </c>
      <c r="F3231" s="280">
        <v>25096</v>
      </c>
      <c r="G3231" s="280">
        <v>45979</v>
      </c>
      <c r="H3231" s="280">
        <v>45979</v>
      </c>
      <c r="I3231" s="310" t="s">
        <v>556</v>
      </c>
      <c r="K3231" s="97">
        <v>9431754259</v>
      </c>
    </row>
    <row r="3232" spans="1:11" x14ac:dyDescent="0.3">
      <c r="A3232" s="302" t="s">
        <v>155</v>
      </c>
      <c r="B3232" s="302" t="str">
        <f t="shared" si="46"/>
        <v>Y</v>
      </c>
      <c r="C3232" s="485" t="s">
        <v>10656</v>
      </c>
      <c r="E3232" s="369" t="s">
        <v>10657</v>
      </c>
      <c r="F3232" s="280">
        <v>29221</v>
      </c>
      <c r="G3232" s="280">
        <v>45979</v>
      </c>
      <c r="H3232" s="280">
        <v>45979</v>
      </c>
      <c r="I3232" s="310" t="s">
        <v>556</v>
      </c>
      <c r="K3232" s="97">
        <v>8986623669</v>
      </c>
    </row>
    <row r="3233" spans="1:11" x14ac:dyDescent="0.3">
      <c r="A3233" s="302" t="s">
        <v>155</v>
      </c>
      <c r="B3233" s="302" t="str">
        <f t="shared" si="46"/>
        <v>Y</v>
      </c>
      <c r="C3233" s="485" t="s">
        <v>10658</v>
      </c>
      <c r="E3233" s="369" t="s">
        <v>5778</v>
      </c>
      <c r="F3233" s="280">
        <v>32820</v>
      </c>
      <c r="G3233" s="280">
        <v>45979</v>
      </c>
      <c r="H3233" s="280">
        <v>45979</v>
      </c>
      <c r="I3233" s="310" t="s">
        <v>556</v>
      </c>
      <c r="K3233" s="97">
        <v>7979906718</v>
      </c>
    </row>
    <row r="3234" spans="1:11" x14ac:dyDescent="0.3">
      <c r="A3234" s="302" t="s">
        <v>155</v>
      </c>
      <c r="B3234" s="302" t="str">
        <f t="shared" si="46"/>
        <v>Y</v>
      </c>
      <c r="C3234" s="485" t="s">
        <v>8648</v>
      </c>
      <c r="E3234" s="369" t="s">
        <v>10659</v>
      </c>
      <c r="F3234" s="280">
        <v>25934</v>
      </c>
      <c r="G3234" s="280">
        <v>45976</v>
      </c>
      <c r="H3234" s="280">
        <v>45976</v>
      </c>
      <c r="I3234" s="310"/>
      <c r="K3234" s="97">
        <v>7479976553</v>
      </c>
    </row>
    <row r="3235" spans="1:11" x14ac:dyDescent="0.3">
      <c r="A3235" s="302" t="s">
        <v>155</v>
      </c>
      <c r="B3235" s="302" t="str">
        <f t="shared" si="46"/>
        <v>Y</v>
      </c>
      <c r="C3235" s="486" t="s">
        <v>10662</v>
      </c>
      <c r="E3235" s="370" t="s">
        <v>10663</v>
      </c>
      <c r="F3235" s="280">
        <v>33239</v>
      </c>
      <c r="G3235" s="280">
        <v>45990</v>
      </c>
      <c r="H3235" s="280">
        <v>45990</v>
      </c>
      <c r="I3235" s="310" t="s">
        <v>556</v>
      </c>
      <c r="K3235" s="97">
        <v>9110101268</v>
      </c>
    </row>
    <row r="3236" spans="1:11" x14ac:dyDescent="0.3">
      <c r="A3236" s="302" t="s">
        <v>155</v>
      </c>
      <c r="B3236" s="302" t="str">
        <f t="shared" si="46"/>
        <v>Y</v>
      </c>
      <c r="C3236" s="486" t="s">
        <v>10665</v>
      </c>
      <c r="E3236" s="370" t="s">
        <v>10664</v>
      </c>
      <c r="F3236" s="280">
        <v>39380</v>
      </c>
      <c r="G3236" s="280">
        <v>45990</v>
      </c>
      <c r="H3236" s="280">
        <v>45990</v>
      </c>
      <c r="I3236" s="310" t="s">
        <v>556</v>
      </c>
      <c r="K3236" s="97">
        <v>8092227089</v>
      </c>
    </row>
    <row r="3237" spans="1:11" x14ac:dyDescent="0.3">
      <c r="A3237" s="302" t="s">
        <v>155</v>
      </c>
      <c r="B3237" s="302" t="str">
        <f t="shared" si="46"/>
        <v>Y</v>
      </c>
      <c r="C3237" s="486" t="s">
        <v>10666</v>
      </c>
      <c r="E3237" s="370" t="s">
        <v>10667</v>
      </c>
      <c r="F3237" s="280">
        <v>38966</v>
      </c>
      <c r="G3237" s="280">
        <v>45990</v>
      </c>
      <c r="H3237" s="280">
        <v>45990</v>
      </c>
      <c r="K3237" s="97">
        <v>9229399679</v>
      </c>
    </row>
    <row r="3238" spans="1:11" x14ac:dyDescent="0.3">
      <c r="A3238" s="302" t="s">
        <v>155</v>
      </c>
      <c r="B3238" s="302" t="str">
        <f t="shared" si="46"/>
        <v>Y</v>
      </c>
      <c r="C3238" s="486" t="s">
        <v>10669</v>
      </c>
      <c r="E3238" s="370" t="s">
        <v>10668</v>
      </c>
      <c r="F3238" s="280">
        <v>39107</v>
      </c>
      <c r="G3238" s="280">
        <v>45990</v>
      </c>
      <c r="H3238" s="280">
        <v>45990</v>
      </c>
      <c r="K3238" s="97">
        <v>7488410843</v>
      </c>
    </row>
    <row r="3239" spans="1:11" x14ac:dyDescent="0.3">
      <c r="A3239" s="302" t="s">
        <v>155</v>
      </c>
      <c r="B3239" s="302" t="str">
        <f t="shared" si="46"/>
        <v>Y</v>
      </c>
      <c r="C3239" s="486" t="s">
        <v>10670</v>
      </c>
      <c r="E3239" s="370" t="s">
        <v>10671</v>
      </c>
      <c r="F3239" s="280">
        <v>31048</v>
      </c>
      <c r="G3239" s="280">
        <v>45989</v>
      </c>
      <c r="H3239" s="280">
        <v>47085</v>
      </c>
      <c r="I3239" t="s">
        <v>556</v>
      </c>
      <c r="K3239" s="97">
        <v>9507183263</v>
      </c>
    </row>
    <row r="3240" spans="1:11" x14ac:dyDescent="0.3">
      <c r="A3240" s="302" t="s">
        <v>155</v>
      </c>
      <c r="B3240" s="302" t="str">
        <f t="shared" si="46"/>
        <v>Y</v>
      </c>
      <c r="C3240" s="487" t="s">
        <v>10673</v>
      </c>
      <c r="E3240" s="353" t="s">
        <v>10674</v>
      </c>
      <c r="F3240" s="280">
        <v>39370</v>
      </c>
      <c r="G3240" s="280">
        <v>45989</v>
      </c>
      <c r="H3240" s="280">
        <v>47085</v>
      </c>
      <c r="I3240" t="s">
        <v>556</v>
      </c>
      <c r="K3240" s="97">
        <v>7369030129</v>
      </c>
    </row>
    <row r="3241" spans="1:11" x14ac:dyDescent="0.3">
      <c r="A3241" s="302" t="s">
        <v>155</v>
      </c>
      <c r="B3241" s="302" t="str">
        <f t="shared" si="46"/>
        <v>Y</v>
      </c>
      <c r="C3241" s="487" t="s">
        <v>10675</v>
      </c>
      <c r="E3241" s="353" t="s">
        <v>10676</v>
      </c>
      <c r="F3241" s="280">
        <v>34835</v>
      </c>
      <c r="G3241" s="280">
        <v>45989</v>
      </c>
      <c r="H3241" s="280">
        <v>47085</v>
      </c>
      <c r="I3241" t="s">
        <v>556</v>
      </c>
      <c r="K3241" s="97">
        <v>7667498500</v>
      </c>
    </row>
    <row r="3242" spans="1:11" x14ac:dyDescent="0.3">
      <c r="A3242" s="302" t="s">
        <v>155</v>
      </c>
      <c r="B3242" s="302" t="str">
        <f t="shared" si="46"/>
        <v>Y</v>
      </c>
      <c r="C3242" s="487" t="s">
        <v>10677</v>
      </c>
      <c r="E3242" s="353" t="s">
        <v>10678</v>
      </c>
      <c r="F3242" s="280">
        <v>39035</v>
      </c>
      <c r="G3242" s="280">
        <v>45989</v>
      </c>
      <c r="H3242" s="280">
        <v>47085</v>
      </c>
      <c r="I3242" t="s">
        <v>556</v>
      </c>
      <c r="K3242" s="97">
        <v>8340469413</v>
      </c>
    </row>
    <row r="3243" spans="1:11" x14ac:dyDescent="0.3">
      <c r="A3243" s="302" t="s">
        <v>155</v>
      </c>
      <c r="B3243" s="302" t="str">
        <f t="shared" ref="B3243:B3247" si="47">IF(H3243="","N","Y")</f>
        <v>Y</v>
      </c>
      <c r="C3243" s="487" t="s">
        <v>10679</v>
      </c>
      <c r="E3243" s="353" t="s">
        <v>10680</v>
      </c>
      <c r="F3243" s="280">
        <v>32874</v>
      </c>
      <c r="G3243" s="280">
        <v>45989</v>
      </c>
      <c r="H3243" s="280">
        <v>47085</v>
      </c>
      <c r="I3243" t="s">
        <v>556</v>
      </c>
      <c r="K3243" s="97">
        <v>8910794949</v>
      </c>
    </row>
    <row r="3244" spans="1:11" x14ac:dyDescent="0.3">
      <c r="A3244" s="302" t="s">
        <v>155</v>
      </c>
      <c r="B3244" s="302" t="str">
        <f t="shared" si="47"/>
        <v>Y</v>
      </c>
      <c r="C3244" s="487" t="s">
        <v>10681</v>
      </c>
      <c r="E3244" s="353" t="s">
        <v>10682</v>
      </c>
      <c r="F3244" s="280">
        <v>32425</v>
      </c>
      <c r="G3244" s="280">
        <v>45989</v>
      </c>
      <c r="H3244" s="280">
        <v>47085</v>
      </c>
      <c r="I3244" t="s">
        <v>556</v>
      </c>
      <c r="K3244" s="97">
        <v>9153574737</v>
      </c>
    </row>
    <row r="3245" spans="1:11" x14ac:dyDescent="0.3">
      <c r="A3245" s="302" t="s">
        <v>155</v>
      </c>
      <c r="B3245" s="302" t="str">
        <f t="shared" si="47"/>
        <v>Y</v>
      </c>
      <c r="C3245" s="487" t="s">
        <v>10683</v>
      </c>
      <c r="E3245" s="353" t="s">
        <v>5256</v>
      </c>
      <c r="F3245" s="280">
        <v>39267</v>
      </c>
      <c r="G3245" s="280">
        <v>45989</v>
      </c>
      <c r="H3245" s="280">
        <v>47085</v>
      </c>
      <c r="I3245" t="s">
        <v>556</v>
      </c>
      <c r="K3245" s="97">
        <v>9572619611</v>
      </c>
    </row>
    <row r="3246" spans="1:11" x14ac:dyDescent="0.3">
      <c r="A3246" s="302" t="s">
        <v>155</v>
      </c>
      <c r="B3246" s="302" t="str">
        <f t="shared" si="47"/>
        <v>Y</v>
      </c>
      <c r="C3246" s="487" t="s">
        <v>10684</v>
      </c>
      <c r="E3246" s="353" t="s">
        <v>10685</v>
      </c>
      <c r="F3246" s="280">
        <v>19086</v>
      </c>
      <c r="G3246" s="280">
        <v>45989</v>
      </c>
      <c r="H3246" s="280">
        <v>47085</v>
      </c>
      <c r="I3246" t="s">
        <v>556</v>
      </c>
      <c r="K3246" s="97">
        <v>8777670370</v>
      </c>
    </row>
    <row r="3247" spans="1:11" x14ac:dyDescent="0.3">
      <c r="A3247" s="302" t="s">
        <v>155</v>
      </c>
      <c r="B3247" s="302" t="str">
        <f t="shared" si="47"/>
        <v>Y</v>
      </c>
      <c r="C3247" s="488" t="s">
        <v>10686</v>
      </c>
      <c r="E3247" s="371" t="s">
        <v>10687</v>
      </c>
      <c r="F3247" s="280">
        <v>45882</v>
      </c>
      <c r="G3247" s="280">
        <v>45992</v>
      </c>
      <c r="H3247" s="280">
        <v>45992</v>
      </c>
      <c r="I3247" t="s">
        <v>556</v>
      </c>
      <c r="K3247" s="97">
        <v>7004699221</v>
      </c>
    </row>
    <row r="3248" spans="1:11" x14ac:dyDescent="0.3">
      <c r="A3248" s="302" t="s">
        <v>155</v>
      </c>
      <c r="B3248" s="302" t="str">
        <f t="shared" ref="B3248:B3272" si="48">IF(H3248="","N","Y")</f>
        <v>Y</v>
      </c>
      <c r="C3248" s="488" t="s">
        <v>10688</v>
      </c>
      <c r="E3248" s="371" t="s">
        <v>10689</v>
      </c>
      <c r="F3248" s="280">
        <v>27251</v>
      </c>
      <c r="G3248" s="280">
        <v>45992</v>
      </c>
      <c r="H3248" s="280">
        <v>45992</v>
      </c>
      <c r="I3248" t="s">
        <v>556</v>
      </c>
      <c r="K3248" s="97">
        <v>8210939121</v>
      </c>
    </row>
    <row r="3249" spans="1:11" x14ac:dyDescent="0.3">
      <c r="A3249" s="302" t="s">
        <v>155</v>
      </c>
      <c r="B3249" s="302" t="str">
        <f t="shared" si="48"/>
        <v>Y</v>
      </c>
      <c r="C3249" s="489" t="s">
        <v>10692</v>
      </c>
      <c r="E3249" s="372" t="s">
        <v>10691</v>
      </c>
      <c r="F3249" s="280">
        <v>35796</v>
      </c>
      <c r="G3249" s="280">
        <v>45993</v>
      </c>
      <c r="H3249" s="280">
        <v>45993</v>
      </c>
      <c r="K3249" s="97">
        <v>9973967017</v>
      </c>
    </row>
    <row r="3250" spans="1:11" x14ac:dyDescent="0.3">
      <c r="A3250" s="302" t="s">
        <v>155</v>
      </c>
      <c r="B3250" s="302" t="str">
        <f t="shared" si="48"/>
        <v>Y</v>
      </c>
      <c r="C3250" s="489" t="s">
        <v>10694</v>
      </c>
      <c r="E3250" s="372" t="s">
        <v>10693</v>
      </c>
      <c r="F3250" s="280">
        <v>39195</v>
      </c>
      <c r="G3250" s="280">
        <v>45993</v>
      </c>
      <c r="H3250" s="280">
        <v>45993</v>
      </c>
      <c r="I3250" t="s">
        <v>556</v>
      </c>
      <c r="K3250" s="97">
        <v>8789982783</v>
      </c>
    </row>
    <row r="3251" spans="1:11" x14ac:dyDescent="0.3">
      <c r="A3251" s="302" t="s">
        <v>155</v>
      </c>
      <c r="B3251" s="302" t="str">
        <f t="shared" si="48"/>
        <v>Y</v>
      </c>
      <c r="C3251" s="489" t="s">
        <v>10696</v>
      </c>
      <c r="E3251" s="372" t="s">
        <v>10695</v>
      </c>
      <c r="F3251" s="280">
        <v>41313</v>
      </c>
      <c r="G3251" s="280">
        <v>45993</v>
      </c>
      <c r="H3251" s="280">
        <v>45993</v>
      </c>
      <c r="I3251" t="s">
        <v>556</v>
      </c>
      <c r="K3251" s="97">
        <v>9204788198</v>
      </c>
    </row>
    <row r="3252" spans="1:11" x14ac:dyDescent="0.3">
      <c r="A3252" s="302" t="s">
        <v>155</v>
      </c>
      <c r="B3252" s="302" t="str">
        <f t="shared" si="48"/>
        <v>Y</v>
      </c>
      <c r="C3252" s="489" t="s">
        <v>10697</v>
      </c>
      <c r="E3252" s="372" t="s">
        <v>10698</v>
      </c>
      <c r="F3252" s="280">
        <v>21375</v>
      </c>
      <c r="G3252" s="280">
        <v>45993</v>
      </c>
      <c r="H3252" s="280">
        <v>45993</v>
      </c>
      <c r="I3252" t="s">
        <v>556</v>
      </c>
      <c r="K3252" s="97">
        <v>7209729074</v>
      </c>
    </row>
    <row r="3253" spans="1:11" x14ac:dyDescent="0.3">
      <c r="A3253" s="302" t="s">
        <v>155</v>
      </c>
      <c r="B3253" s="302" t="str">
        <f t="shared" si="48"/>
        <v>Y</v>
      </c>
      <c r="C3253" s="489" t="s">
        <v>10700</v>
      </c>
      <c r="E3253" s="372" t="s">
        <v>10699</v>
      </c>
      <c r="F3253" s="97" t="s">
        <v>10701</v>
      </c>
      <c r="G3253" s="280">
        <v>45993</v>
      </c>
      <c r="H3253" s="280">
        <v>45993</v>
      </c>
      <c r="I3253" t="s">
        <v>556</v>
      </c>
      <c r="K3253" s="97">
        <v>9631563263</v>
      </c>
    </row>
    <row r="3254" spans="1:11" x14ac:dyDescent="0.3">
      <c r="A3254" s="302" t="s">
        <v>155</v>
      </c>
      <c r="B3254" s="302" t="str">
        <f t="shared" si="48"/>
        <v>Y</v>
      </c>
      <c r="C3254" s="490" t="s">
        <v>10702</v>
      </c>
      <c r="E3254" s="373" t="s">
        <v>10703</v>
      </c>
      <c r="F3254" s="280">
        <v>32463</v>
      </c>
      <c r="G3254" s="280">
        <v>45994</v>
      </c>
      <c r="H3254" s="280">
        <v>45994</v>
      </c>
      <c r="K3254" s="97">
        <v>7979837430</v>
      </c>
    </row>
    <row r="3255" spans="1:11" x14ac:dyDescent="0.3">
      <c r="A3255" s="302" t="s">
        <v>155</v>
      </c>
      <c r="B3255" s="302" t="str">
        <f t="shared" si="48"/>
        <v>Y</v>
      </c>
      <c r="C3255" s="490" t="s">
        <v>10704</v>
      </c>
      <c r="E3255" s="373" t="s">
        <v>10705</v>
      </c>
      <c r="F3255" s="280">
        <v>15406</v>
      </c>
      <c r="G3255" s="280">
        <v>45994</v>
      </c>
      <c r="H3255" s="280">
        <v>45994</v>
      </c>
      <c r="K3255" s="97">
        <v>9113393535</v>
      </c>
    </row>
    <row r="3256" spans="1:11" x14ac:dyDescent="0.3">
      <c r="A3256" s="302" t="s">
        <v>155</v>
      </c>
      <c r="B3256" s="302" t="str">
        <f t="shared" si="48"/>
        <v>Y</v>
      </c>
      <c r="C3256" s="473" t="s">
        <v>10706</v>
      </c>
      <c r="E3256" s="374" t="s">
        <v>10707</v>
      </c>
      <c r="F3256" s="280">
        <v>38683</v>
      </c>
      <c r="G3256" s="280">
        <v>45996</v>
      </c>
      <c r="H3256" s="280">
        <v>45996</v>
      </c>
      <c r="K3256" s="97">
        <v>9693355707</v>
      </c>
    </row>
    <row r="3257" spans="1:11" x14ac:dyDescent="0.3">
      <c r="A3257" s="302" t="s">
        <v>155</v>
      </c>
      <c r="B3257" s="302" t="str">
        <f t="shared" si="48"/>
        <v>Y</v>
      </c>
      <c r="C3257" s="473" t="s">
        <v>10710</v>
      </c>
      <c r="E3257" s="353" t="s">
        <v>8256</v>
      </c>
      <c r="F3257" s="280">
        <v>39411</v>
      </c>
      <c r="G3257" s="280">
        <v>45996</v>
      </c>
      <c r="H3257" s="280">
        <v>45996</v>
      </c>
      <c r="K3257" s="97">
        <v>8092578037</v>
      </c>
    </row>
    <row r="3258" spans="1:11" x14ac:dyDescent="0.3">
      <c r="A3258" s="302" t="s">
        <v>155</v>
      </c>
      <c r="B3258" s="302" t="str">
        <f t="shared" si="48"/>
        <v>Y</v>
      </c>
      <c r="C3258" s="473" t="s">
        <v>10709</v>
      </c>
      <c r="E3258" s="353" t="s">
        <v>10708</v>
      </c>
      <c r="F3258" s="280">
        <v>37349</v>
      </c>
      <c r="G3258" s="280">
        <v>45996</v>
      </c>
      <c r="H3258" s="280">
        <v>45996</v>
      </c>
      <c r="K3258" s="97">
        <v>9546858561</v>
      </c>
    </row>
    <row r="3259" spans="1:11" x14ac:dyDescent="0.3">
      <c r="A3259" s="302" t="s">
        <v>155</v>
      </c>
      <c r="B3259" s="302" t="str">
        <f t="shared" si="48"/>
        <v>Y</v>
      </c>
      <c r="C3259" s="491" t="s">
        <v>10711</v>
      </c>
      <c r="E3259" s="375" t="s">
        <v>10712</v>
      </c>
      <c r="F3259" s="280">
        <v>25934</v>
      </c>
      <c r="G3259" s="280">
        <v>45997</v>
      </c>
      <c r="H3259" s="280">
        <v>45997</v>
      </c>
      <c r="K3259" s="97">
        <v>7004954772</v>
      </c>
    </row>
    <row r="3260" spans="1:11" x14ac:dyDescent="0.3">
      <c r="A3260" s="302" t="s">
        <v>155</v>
      </c>
      <c r="B3260" s="302" t="str">
        <f t="shared" si="48"/>
        <v>Y</v>
      </c>
      <c r="C3260" s="491" t="s">
        <v>10714</v>
      </c>
      <c r="E3260" s="375" t="s">
        <v>10713</v>
      </c>
      <c r="F3260" s="280">
        <v>39408</v>
      </c>
      <c r="G3260" s="280">
        <v>45997</v>
      </c>
      <c r="H3260" s="280">
        <v>45997</v>
      </c>
      <c r="K3260" s="97">
        <v>7632053336</v>
      </c>
    </row>
    <row r="3261" spans="1:11" x14ac:dyDescent="0.3">
      <c r="A3261" s="302" t="s">
        <v>155</v>
      </c>
      <c r="B3261" s="302" t="str">
        <f t="shared" si="48"/>
        <v>Y</v>
      </c>
      <c r="C3261" s="491" t="s">
        <v>10718</v>
      </c>
      <c r="E3261" s="375" t="s">
        <v>10719</v>
      </c>
      <c r="F3261" s="280">
        <v>28830</v>
      </c>
      <c r="G3261" s="280">
        <v>45999</v>
      </c>
      <c r="H3261" s="280">
        <v>45999</v>
      </c>
      <c r="K3261" s="97">
        <v>9934326715</v>
      </c>
    </row>
    <row r="3262" spans="1:11" x14ac:dyDescent="0.3">
      <c r="A3262" s="302" t="s">
        <v>155</v>
      </c>
      <c r="B3262" s="302" t="str">
        <f t="shared" si="48"/>
        <v>Y</v>
      </c>
      <c r="C3262" s="492" t="s">
        <v>10725</v>
      </c>
      <c r="E3262" s="377" t="s">
        <v>10720</v>
      </c>
      <c r="F3262" s="280">
        <v>39401</v>
      </c>
      <c r="G3262" s="280">
        <v>46001</v>
      </c>
      <c r="H3262" s="97" t="s">
        <v>10724</v>
      </c>
      <c r="I3262" s="313" t="s">
        <v>463</v>
      </c>
      <c r="K3262" s="97">
        <v>8235939645</v>
      </c>
    </row>
    <row r="3263" spans="1:11" x14ac:dyDescent="0.3">
      <c r="A3263" s="302" t="s">
        <v>155</v>
      </c>
      <c r="B3263" s="302" t="str">
        <f t="shared" si="48"/>
        <v>Y</v>
      </c>
      <c r="C3263" s="492" t="s">
        <v>10723</v>
      </c>
      <c r="E3263" s="377" t="s">
        <v>10721</v>
      </c>
      <c r="F3263" s="280">
        <v>39053</v>
      </c>
      <c r="G3263" s="280">
        <v>46001</v>
      </c>
      <c r="H3263" s="280">
        <v>46002</v>
      </c>
      <c r="I3263" s="313" t="s">
        <v>463</v>
      </c>
      <c r="K3263" s="97">
        <v>9006355826</v>
      </c>
    </row>
    <row r="3264" spans="1:11" x14ac:dyDescent="0.3">
      <c r="A3264" s="302" t="s">
        <v>155</v>
      </c>
      <c r="B3264" s="302" t="str">
        <f t="shared" si="48"/>
        <v>Y</v>
      </c>
      <c r="C3264" s="492" t="s">
        <v>10726</v>
      </c>
      <c r="E3264" s="376" t="s">
        <v>10727</v>
      </c>
      <c r="F3264" s="280">
        <v>38383</v>
      </c>
      <c r="G3264" s="280">
        <v>46001</v>
      </c>
      <c r="H3264" s="280">
        <v>46001</v>
      </c>
      <c r="I3264" s="313" t="s">
        <v>463</v>
      </c>
      <c r="K3264" s="97">
        <v>8340264452</v>
      </c>
    </row>
    <row r="3265" spans="1:11" x14ac:dyDescent="0.3">
      <c r="A3265" s="302" t="s">
        <v>155</v>
      </c>
      <c r="B3265" s="302" t="str">
        <f t="shared" si="48"/>
        <v>Y</v>
      </c>
      <c r="C3265" s="492" t="s">
        <v>10729</v>
      </c>
      <c r="E3265" s="376" t="s">
        <v>10728</v>
      </c>
      <c r="F3265" s="280">
        <v>44691</v>
      </c>
      <c r="G3265" s="280">
        <v>45992</v>
      </c>
      <c r="H3265" s="280">
        <v>45994</v>
      </c>
      <c r="I3265" s="313"/>
      <c r="K3265" s="97">
        <v>9431372507</v>
      </c>
    </row>
    <row r="3266" spans="1:11" x14ac:dyDescent="0.3">
      <c r="A3266" s="302" t="s">
        <v>155</v>
      </c>
      <c r="B3266" s="302" t="str">
        <f t="shared" si="48"/>
        <v>Y</v>
      </c>
      <c r="C3266" s="492" t="s">
        <v>10731</v>
      </c>
      <c r="E3266" s="376" t="s">
        <v>10730</v>
      </c>
      <c r="F3266" s="280">
        <v>39270</v>
      </c>
      <c r="G3266" s="280">
        <v>46002</v>
      </c>
      <c r="H3266" s="280">
        <v>46002</v>
      </c>
      <c r="I3266" s="313" t="s">
        <v>463</v>
      </c>
      <c r="K3266" s="97">
        <v>7480930573</v>
      </c>
    </row>
    <row r="3267" spans="1:11" x14ac:dyDescent="0.3">
      <c r="A3267" s="302" t="s">
        <v>155</v>
      </c>
      <c r="B3267" s="302" t="str">
        <f t="shared" si="48"/>
        <v>Y</v>
      </c>
      <c r="C3267" s="492" t="s">
        <v>10732</v>
      </c>
      <c r="E3267" s="376" t="s">
        <v>10733</v>
      </c>
      <c r="F3267" s="280">
        <v>31795</v>
      </c>
      <c r="G3267" s="280">
        <v>46002</v>
      </c>
      <c r="H3267" s="280">
        <v>46002</v>
      </c>
      <c r="I3267" s="313" t="s">
        <v>463</v>
      </c>
      <c r="K3267" s="97">
        <v>9939520879</v>
      </c>
    </row>
    <row r="3268" spans="1:11" x14ac:dyDescent="0.3">
      <c r="A3268" s="302" t="s">
        <v>155</v>
      </c>
      <c r="B3268" s="302" t="str">
        <f t="shared" si="48"/>
        <v>Y</v>
      </c>
      <c r="C3268" s="492" t="s">
        <v>10735</v>
      </c>
      <c r="E3268" s="376" t="s">
        <v>10734</v>
      </c>
      <c r="F3268" s="280">
        <v>31451</v>
      </c>
      <c r="G3268" s="280">
        <v>46002</v>
      </c>
      <c r="H3268" s="280">
        <v>46002</v>
      </c>
      <c r="I3268" s="313"/>
      <c r="K3268" s="97">
        <v>7482099135</v>
      </c>
    </row>
    <row r="3269" spans="1:11" x14ac:dyDescent="0.3">
      <c r="A3269" s="302" t="s">
        <v>155</v>
      </c>
      <c r="B3269" s="302" t="str">
        <f t="shared" si="48"/>
        <v>Y</v>
      </c>
      <c r="C3269" s="493" t="s">
        <v>10737</v>
      </c>
      <c r="E3269" s="378" t="s">
        <v>10738</v>
      </c>
      <c r="F3269" s="280">
        <v>39346</v>
      </c>
      <c r="G3269" s="280">
        <v>46005</v>
      </c>
      <c r="H3269" s="280">
        <v>46005</v>
      </c>
      <c r="I3269" s="313"/>
      <c r="K3269" s="97">
        <v>9835668488</v>
      </c>
    </row>
    <row r="3270" spans="1:11" x14ac:dyDescent="0.3">
      <c r="A3270" s="302" t="s">
        <v>155</v>
      </c>
      <c r="B3270" s="302" t="str">
        <f t="shared" si="48"/>
        <v>Y</v>
      </c>
      <c r="C3270" s="493" t="s">
        <v>10739</v>
      </c>
      <c r="E3270" s="378" t="s">
        <v>10740</v>
      </c>
      <c r="F3270" s="280">
        <v>25589</v>
      </c>
      <c r="G3270" s="280">
        <v>46004</v>
      </c>
      <c r="H3270" s="280">
        <v>46005</v>
      </c>
      <c r="K3270" s="97">
        <v>9279401160</v>
      </c>
    </row>
    <row r="3271" spans="1:11" x14ac:dyDescent="0.3">
      <c r="A3271" s="302" t="s">
        <v>155</v>
      </c>
      <c r="B3271" s="302" t="str">
        <f t="shared" si="48"/>
        <v>Y</v>
      </c>
      <c r="C3271" s="494" t="s">
        <v>10742</v>
      </c>
      <c r="E3271" s="379" t="s">
        <v>10741</v>
      </c>
      <c r="F3271" s="280">
        <v>38638</v>
      </c>
      <c r="G3271" s="280">
        <v>46006</v>
      </c>
      <c r="H3271" s="280">
        <v>46006</v>
      </c>
      <c r="K3271" s="97">
        <v>9905930850</v>
      </c>
    </row>
    <row r="3272" spans="1:11" x14ac:dyDescent="0.3">
      <c r="A3272" s="302" t="s">
        <v>155</v>
      </c>
      <c r="B3272" s="302" t="str">
        <f t="shared" si="48"/>
        <v>Y</v>
      </c>
      <c r="C3272" s="494" t="s">
        <v>10743</v>
      </c>
      <c r="E3272" s="379" t="s">
        <v>10744</v>
      </c>
      <c r="F3272" s="280">
        <v>16984</v>
      </c>
      <c r="G3272" s="280">
        <v>46006</v>
      </c>
      <c r="H3272" s="280">
        <v>46006</v>
      </c>
      <c r="K3272" s="97">
        <v>6204980728</v>
      </c>
    </row>
    <row r="3273" spans="1:11" x14ac:dyDescent="0.3">
      <c r="A3273" s="302" t="s">
        <v>155</v>
      </c>
      <c r="B3273" s="302" t="str">
        <f t="shared" ref="B3273:B3291" si="49">IF(H3273="","N","Y")</f>
        <v>Y</v>
      </c>
      <c r="C3273" s="495" t="s">
        <v>10766</v>
      </c>
      <c r="E3273" s="380" t="s">
        <v>10767</v>
      </c>
      <c r="F3273" s="280">
        <v>30850</v>
      </c>
      <c r="G3273" s="280">
        <v>46007</v>
      </c>
      <c r="H3273" s="280">
        <v>46007</v>
      </c>
      <c r="K3273" s="97">
        <v>9263291746</v>
      </c>
    </row>
    <row r="3274" spans="1:11" x14ac:dyDescent="0.3">
      <c r="A3274" s="302" t="s">
        <v>155</v>
      </c>
      <c r="B3274" s="302" t="str">
        <f t="shared" si="49"/>
        <v>Y</v>
      </c>
      <c r="C3274" s="495" t="s">
        <v>10765</v>
      </c>
      <c r="E3274" s="380" t="s">
        <v>291</v>
      </c>
      <c r="F3274" s="280">
        <v>39358</v>
      </c>
      <c r="G3274" s="280">
        <v>46008</v>
      </c>
      <c r="H3274" s="280">
        <v>46008</v>
      </c>
      <c r="K3274" s="97">
        <v>9508495838</v>
      </c>
    </row>
    <row r="3275" spans="1:11" x14ac:dyDescent="0.3">
      <c r="A3275" s="302" t="s">
        <v>155</v>
      </c>
      <c r="B3275" s="302" t="str">
        <f t="shared" si="49"/>
        <v>Y</v>
      </c>
      <c r="C3275" s="473" t="s">
        <v>10763</v>
      </c>
      <c r="E3275" s="353" t="s">
        <v>10764</v>
      </c>
      <c r="F3275" s="280">
        <v>33961</v>
      </c>
      <c r="G3275" s="280">
        <v>46008</v>
      </c>
      <c r="H3275" s="280">
        <v>46008</v>
      </c>
      <c r="K3275" s="97">
        <v>9955350857</v>
      </c>
    </row>
    <row r="3276" spans="1:11" x14ac:dyDescent="0.3">
      <c r="A3276" s="302" t="s">
        <v>155</v>
      </c>
      <c r="B3276" s="302" t="str">
        <f t="shared" si="49"/>
        <v>Y</v>
      </c>
      <c r="C3276" s="473" t="s">
        <v>10761</v>
      </c>
      <c r="E3276" s="353" t="s">
        <v>10762</v>
      </c>
      <c r="F3276" s="280">
        <v>37257</v>
      </c>
      <c r="G3276" s="280">
        <v>46008</v>
      </c>
      <c r="H3276" s="280">
        <v>46008</v>
      </c>
      <c r="K3276" s="97">
        <v>9241282104</v>
      </c>
    </row>
    <row r="3277" spans="1:11" x14ac:dyDescent="0.3">
      <c r="A3277" s="302" t="s">
        <v>155</v>
      </c>
      <c r="B3277" s="302" t="str">
        <f t="shared" si="49"/>
        <v>Y</v>
      </c>
      <c r="C3277" s="473" t="s">
        <v>10756</v>
      </c>
      <c r="E3277" s="353" t="s">
        <v>10757</v>
      </c>
      <c r="F3277" s="280">
        <v>44919</v>
      </c>
      <c r="G3277" s="280">
        <v>46008</v>
      </c>
      <c r="H3277" s="280">
        <v>46009</v>
      </c>
      <c r="K3277" s="97">
        <v>9334991061</v>
      </c>
    </row>
    <row r="3278" spans="1:11" x14ac:dyDescent="0.3">
      <c r="A3278" s="302" t="s">
        <v>155</v>
      </c>
      <c r="B3278" s="302" t="str">
        <f t="shared" si="49"/>
        <v>Y</v>
      </c>
      <c r="C3278" s="473" t="s">
        <v>10758</v>
      </c>
      <c r="E3278" s="353" t="s">
        <v>10759</v>
      </c>
      <c r="F3278" s="280">
        <v>36161</v>
      </c>
      <c r="G3278" s="280">
        <v>46008</v>
      </c>
      <c r="H3278" s="280">
        <v>46009</v>
      </c>
      <c r="K3278" s="97">
        <v>8825115843</v>
      </c>
    </row>
    <row r="3279" spans="1:11" x14ac:dyDescent="0.3">
      <c r="A3279" s="302" t="s">
        <v>155</v>
      </c>
      <c r="B3279" s="302" t="str">
        <f t="shared" si="49"/>
        <v>Y</v>
      </c>
      <c r="C3279" s="473" t="s">
        <v>10760</v>
      </c>
      <c r="E3279" s="353" t="s">
        <v>1971</v>
      </c>
      <c r="F3279" s="280">
        <v>29221</v>
      </c>
      <c r="G3279" s="280">
        <v>46008</v>
      </c>
      <c r="H3279" s="280">
        <v>46009</v>
      </c>
      <c r="K3279" s="97">
        <v>9204212510</v>
      </c>
    </row>
    <row r="3280" spans="1:11" x14ac:dyDescent="0.3">
      <c r="A3280" s="302" t="s">
        <v>155</v>
      </c>
      <c r="B3280" s="302" t="str">
        <f t="shared" si="49"/>
        <v>Y</v>
      </c>
      <c r="C3280" s="473" t="s">
        <v>10754</v>
      </c>
      <c r="E3280" s="353" t="s">
        <v>10755</v>
      </c>
      <c r="F3280" s="280">
        <v>39336</v>
      </c>
      <c r="G3280" s="280">
        <v>46010</v>
      </c>
      <c r="H3280" s="280">
        <v>46010</v>
      </c>
      <c r="K3280" s="97">
        <v>7543993969</v>
      </c>
    </row>
    <row r="3281" spans="1:13" x14ac:dyDescent="0.3">
      <c r="A3281" s="302" t="s">
        <v>155</v>
      </c>
      <c r="B3281" s="302" t="str">
        <f t="shared" si="49"/>
        <v>Y</v>
      </c>
      <c r="C3281" s="473" t="s">
        <v>10752</v>
      </c>
      <c r="E3281" s="353" t="s">
        <v>10753</v>
      </c>
      <c r="F3281" s="280">
        <v>20158</v>
      </c>
      <c r="G3281" s="280">
        <v>46010</v>
      </c>
      <c r="H3281" s="280">
        <v>46010</v>
      </c>
      <c r="K3281" s="97">
        <v>9934514062</v>
      </c>
    </row>
    <row r="3282" spans="1:13" x14ac:dyDescent="0.3">
      <c r="A3282" s="302" t="s">
        <v>155</v>
      </c>
      <c r="B3282" s="302" t="str">
        <f t="shared" si="49"/>
        <v>Y</v>
      </c>
      <c r="C3282" s="473" t="s">
        <v>10750</v>
      </c>
      <c r="E3282" s="353" t="s">
        <v>10751</v>
      </c>
      <c r="F3282" s="280">
        <v>21947</v>
      </c>
      <c r="G3282" s="280">
        <v>46010</v>
      </c>
      <c r="H3282" s="280">
        <v>46010</v>
      </c>
      <c r="K3282" s="97">
        <v>9934514062</v>
      </c>
    </row>
    <row r="3283" spans="1:13" x14ac:dyDescent="0.3">
      <c r="A3283" s="302" t="s">
        <v>155</v>
      </c>
      <c r="B3283" s="302" t="str">
        <f t="shared" si="49"/>
        <v>Y</v>
      </c>
      <c r="C3283" s="495" t="s">
        <v>10749</v>
      </c>
      <c r="E3283" s="380" t="s">
        <v>9176</v>
      </c>
      <c r="F3283" s="280">
        <v>21547</v>
      </c>
      <c r="G3283" s="280">
        <v>46010</v>
      </c>
      <c r="H3283" s="280">
        <v>46010</v>
      </c>
      <c r="K3283" s="97">
        <v>9162138310</v>
      </c>
    </row>
    <row r="3284" spans="1:13" x14ac:dyDescent="0.3">
      <c r="A3284" s="302" t="s">
        <v>155</v>
      </c>
      <c r="B3284" s="302" t="str">
        <f t="shared" si="49"/>
        <v>Y</v>
      </c>
      <c r="C3284" s="495" t="s">
        <v>10768</v>
      </c>
      <c r="E3284" s="380" t="s">
        <v>10769</v>
      </c>
      <c r="F3284" s="280">
        <v>27399</v>
      </c>
      <c r="G3284" s="280">
        <v>46010</v>
      </c>
      <c r="H3284" s="280">
        <v>46010</v>
      </c>
      <c r="K3284" s="97">
        <v>9006055069</v>
      </c>
    </row>
    <row r="3285" spans="1:13" x14ac:dyDescent="0.3">
      <c r="A3285" s="302" t="s">
        <v>155</v>
      </c>
      <c r="B3285" s="302" t="str">
        <f t="shared" si="49"/>
        <v>Y</v>
      </c>
      <c r="C3285" s="495" t="s">
        <v>10770</v>
      </c>
      <c r="E3285" s="364" t="s">
        <v>10771</v>
      </c>
      <c r="F3285" s="280">
        <v>20559</v>
      </c>
      <c r="G3285" s="280">
        <v>46010</v>
      </c>
      <c r="H3285" s="280">
        <v>46010</v>
      </c>
      <c r="K3285" s="97">
        <v>9661504877</v>
      </c>
    </row>
    <row r="3286" spans="1:13" x14ac:dyDescent="0.3">
      <c r="A3286" s="302" t="s">
        <v>155</v>
      </c>
      <c r="B3286" s="302" t="str">
        <f t="shared" si="49"/>
        <v>Y</v>
      </c>
      <c r="C3286" s="496" t="s">
        <v>10772</v>
      </c>
      <c r="E3286" s="381" t="s">
        <v>796</v>
      </c>
      <c r="F3286" s="280">
        <v>37245</v>
      </c>
      <c r="G3286" s="280">
        <v>46012</v>
      </c>
      <c r="H3286" s="280">
        <v>46012</v>
      </c>
      <c r="K3286" s="97">
        <v>9570123263</v>
      </c>
    </row>
    <row r="3287" spans="1:13" x14ac:dyDescent="0.3">
      <c r="A3287" s="302" t="s">
        <v>155</v>
      </c>
      <c r="B3287" s="302" t="str">
        <f t="shared" si="49"/>
        <v>Y</v>
      </c>
      <c r="C3287" s="497" t="s">
        <v>10782</v>
      </c>
      <c r="E3287" s="382" t="s">
        <v>10773</v>
      </c>
      <c r="F3287" s="280">
        <v>40088</v>
      </c>
      <c r="G3287" s="280">
        <v>46014</v>
      </c>
      <c r="H3287" s="280">
        <v>46017</v>
      </c>
      <c r="K3287" s="97">
        <v>9631563263</v>
      </c>
    </row>
    <row r="3288" spans="1:13" x14ac:dyDescent="0.3">
      <c r="A3288" s="302" t="s">
        <v>155</v>
      </c>
      <c r="B3288" s="302" t="str">
        <f t="shared" si="49"/>
        <v>Y</v>
      </c>
      <c r="C3288" s="498" t="s">
        <v>10783</v>
      </c>
      <c r="E3288" s="382" t="s">
        <v>10774</v>
      </c>
      <c r="F3288" s="280">
        <v>38505</v>
      </c>
      <c r="G3288" s="280">
        <v>46015</v>
      </c>
      <c r="H3288" s="280">
        <v>46017</v>
      </c>
      <c r="K3288" s="97">
        <v>9693910905</v>
      </c>
    </row>
    <row r="3289" spans="1:13" x14ac:dyDescent="0.3">
      <c r="A3289" s="302" t="s">
        <v>155</v>
      </c>
      <c r="B3289" s="302" t="str">
        <f t="shared" si="49"/>
        <v>Y</v>
      </c>
      <c r="C3289" s="498" t="s">
        <v>10784</v>
      </c>
      <c r="E3289" s="383" t="s">
        <v>10785</v>
      </c>
      <c r="F3289" s="280">
        <v>33306</v>
      </c>
      <c r="G3289" s="280">
        <v>46014</v>
      </c>
      <c r="H3289" s="280">
        <v>46017</v>
      </c>
      <c r="K3289" s="97">
        <v>7773972924</v>
      </c>
    </row>
    <row r="3290" spans="1:13" x14ac:dyDescent="0.3">
      <c r="A3290" s="302" t="s">
        <v>155</v>
      </c>
      <c r="B3290" s="302" t="str">
        <f t="shared" si="49"/>
        <v>Y</v>
      </c>
      <c r="C3290" s="498" t="s">
        <v>10786</v>
      </c>
      <c r="E3290" s="383" t="s">
        <v>10787</v>
      </c>
      <c r="F3290" s="280">
        <v>40026</v>
      </c>
      <c r="G3290" s="280">
        <v>46015</v>
      </c>
      <c r="H3290" s="280">
        <v>46017</v>
      </c>
      <c r="K3290" s="97">
        <v>7858819009</v>
      </c>
    </row>
    <row r="3291" spans="1:13" x14ac:dyDescent="0.3">
      <c r="A3291" s="302" t="s">
        <v>155</v>
      </c>
      <c r="B3291" s="302" t="str">
        <f t="shared" si="49"/>
        <v>Y</v>
      </c>
      <c r="C3291" s="498" t="s">
        <v>10789</v>
      </c>
      <c r="E3291" s="383" t="s">
        <v>10788</v>
      </c>
      <c r="F3291" s="280">
        <v>38442</v>
      </c>
      <c r="G3291" s="280">
        <v>46013</v>
      </c>
      <c r="H3291" s="280">
        <v>46013</v>
      </c>
      <c r="K3291" s="97">
        <v>9296248393</v>
      </c>
    </row>
    <row r="3292" spans="1:13" x14ac:dyDescent="0.3">
      <c r="A3292" s="302" t="s">
        <v>155</v>
      </c>
      <c r="B3292" s="302" t="str">
        <f t="shared" ref="B3292" si="50">IF(H3292="","N","Y")</f>
        <v>Y</v>
      </c>
      <c r="C3292" s="499" t="s">
        <v>10793</v>
      </c>
      <c r="E3292" s="383" t="s">
        <v>6791</v>
      </c>
      <c r="F3292" s="280">
        <v>37930</v>
      </c>
      <c r="G3292" s="280">
        <v>46017</v>
      </c>
      <c r="H3292" s="280">
        <v>46019</v>
      </c>
      <c r="K3292" s="97">
        <v>9835566129</v>
      </c>
    </row>
    <row r="3293" spans="1:13" x14ac:dyDescent="0.3">
      <c r="A3293" s="302" t="s">
        <v>155</v>
      </c>
      <c r="B3293" s="302" t="str">
        <f t="shared" ref="B3293:B3300" si="51">IF(H3293="","N","Y")</f>
        <v>Y</v>
      </c>
      <c r="C3293" s="500" t="s">
        <v>10794</v>
      </c>
      <c r="E3293" s="384" t="s">
        <v>10795</v>
      </c>
      <c r="F3293" s="280">
        <v>32143</v>
      </c>
      <c r="G3293" s="280">
        <v>46019</v>
      </c>
      <c r="H3293" s="280">
        <v>46019</v>
      </c>
      <c r="K3293" s="97">
        <v>9608557261</v>
      </c>
    </row>
    <row r="3294" spans="1:13" x14ac:dyDescent="0.3">
      <c r="A3294" s="302" t="s">
        <v>155</v>
      </c>
      <c r="B3294" s="302" t="str">
        <f t="shared" si="51"/>
        <v>Y</v>
      </c>
      <c r="C3294" s="500" t="s">
        <v>10796</v>
      </c>
      <c r="E3294" s="384" t="s">
        <v>10797</v>
      </c>
      <c r="F3294" s="280">
        <v>34700</v>
      </c>
      <c r="G3294" s="280">
        <v>46019</v>
      </c>
      <c r="H3294" s="280">
        <v>46019</v>
      </c>
      <c r="K3294" s="97">
        <v>9279577959</v>
      </c>
    </row>
    <row r="3295" spans="1:13" x14ac:dyDescent="0.3">
      <c r="A3295" s="302" t="s">
        <v>155</v>
      </c>
      <c r="B3295" s="302" t="str">
        <f t="shared" si="51"/>
        <v>Y</v>
      </c>
      <c r="C3295" s="500" t="s">
        <v>10798</v>
      </c>
      <c r="E3295" s="384" t="s">
        <v>10799</v>
      </c>
      <c r="F3295" s="280">
        <v>35796</v>
      </c>
      <c r="G3295" s="280">
        <v>46019</v>
      </c>
      <c r="H3295" s="280">
        <v>46019</v>
      </c>
      <c r="K3295" s="97">
        <v>9263127547</v>
      </c>
    </row>
    <row r="3296" spans="1:13" x14ac:dyDescent="0.3">
      <c r="A3296" s="302" t="s">
        <v>155</v>
      </c>
      <c r="B3296" s="302" t="str">
        <f t="shared" si="51"/>
        <v>Y</v>
      </c>
      <c r="C3296" s="500" t="s">
        <v>10800</v>
      </c>
      <c r="E3296" s="384" t="s">
        <v>10801</v>
      </c>
      <c r="F3296" s="280">
        <v>39210</v>
      </c>
      <c r="G3296" s="280">
        <v>46019</v>
      </c>
      <c r="H3296" s="280">
        <v>46019</v>
      </c>
      <c r="K3296" s="97">
        <v>7488290995</v>
      </c>
      <c r="M3296">
        <f>35000+12000+6000+10000+10000-91000</f>
        <v>-18000</v>
      </c>
    </row>
    <row r="3297" spans="1:11" x14ac:dyDescent="0.3">
      <c r="A3297" s="302" t="s">
        <v>155</v>
      </c>
      <c r="B3297" s="302" t="str">
        <f t="shared" si="51"/>
        <v>Y</v>
      </c>
      <c r="C3297" s="500" t="s">
        <v>10802</v>
      </c>
      <c r="E3297" s="384" t="s">
        <v>10803</v>
      </c>
      <c r="F3297" s="280">
        <v>28919</v>
      </c>
      <c r="G3297" s="280">
        <v>46019</v>
      </c>
      <c r="H3297" s="280">
        <v>46019</v>
      </c>
      <c r="K3297" s="97">
        <v>7004752779</v>
      </c>
    </row>
    <row r="3298" spans="1:11" x14ac:dyDescent="0.3">
      <c r="A3298" s="302" t="s">
        <v>155</v>
      </c>
      <c r="B3298" s="302" t="str">
        <f t="shared" si="51"/>
        <v>Y</v>
      </c>
      <c r="C3298" s="500" t="s">
        <v>10804</v>
      </c>
      <c r="E3298" s="384" t="s">
        <v>10805</v>
      </c>
      <c r="F3298" s="280">
        <v>30682</v>
      </c>
      <c r="G3298" s="280">
        <v>46019</v>
      </c>
      <c r="H3298" s="280">
        <v>46019</v>
      </c>
      <c r="K3298" s="97">
        <v>7501492500</v>
      </c>
    </row>
    <row r="3299" spans="1:11" x14ac:dyDescent="0.3">
      <c r="A3299" s="302" t="s">
        <v>155</v>
      </c>
      <c r="B3299" s="302" t="str">
        <f t="shared" si="51"/>
        <v>Y</v>
      </c>
      <c r="C3299" s="500" t="s">
        <v>10806</v>
      </c>
      <c r="E3299" s="384" t="s">
        <v>10807</v>
      </c>
      <c r="F3299" s="280">
        <v>28313</v>
      </c>
      <c r="G3299" s="280">
        <v>46019</v>
      </c>
      <c r="H3299" s="280">
        <v>46019</v>
      </c>
      <c r="K3299" s="97">
        <v>7439760731</v>
      </c>
    </row>
    <row r="3300" spans="1:11" x14ac:dyDescent="0.3">
      <c r="A3300" s="302" t="s">
        <v>155</v>
      </c>
      <c r="B3300" s="302" t="str">
        <f t="shared" si="51"/>
        <v>Y</v>
      </c>
      <c r="C3300" s="500" t="s">
        <v>10808</v>
      </c>
      <c r="E3300" s="384" t="s">
        <v>10809</v>
      </c>
      <c r="F3300" s="280">
        <v>36482</v>
      </c>
      <c r="G3300" s="280">
        <v>46019</v>
      </c>
      <c r="H3300" s="280">
        <v>46019</v>
      </c>
      <c r="K3300" s="97">
        <v>7091435899</v>
      </c>
    </row>
    <row r="3301" spans="1:11" x14ac:dyDescent="0.3">
      <c r="A3301" s="302" t="s">
        <v>155</v>
      </c>
      <c r="B3301" s="302" t="str">
        <f t="shared" ref="B3301" si="52">IF(H3301="","N","Y")</f>
        <v>Y</v>
      </c>
      <c r="C3301" s="501" t="s">
        <v>10810</v>
      </c>
      <c r="D3301" s="385" t="s">
        <v>10812</v>
      </c>
      <c r="E3301" s="385" t="s">
        <v>10811</v>
      </c>
      <c r="F3301" s="280">
        <v>20172</v>
      </c>
      <c r="G3301" s="280">
        <v>46021</v>
      </c>
      <c r="H3301" s="280">
        <v>46021</v>
      </c>
      <c r="K3301" s="97">
        <v>7759991129</v>
      </c>
    </row>
    <row r="3302" spans="1:11" x14ac:dyDescent="0.3">
      <c r="A3302" s="302" t="s">
        <v>155</v>
      </c>
      <c r="B3302" s="302" t="str">
        <f t="shared" ref="B3302:B3365" si="53">IF(H3302="","N","Y")</f>
        <v>Y</v>
      </c>
      <c r="C3302" s="502" t="s">
        <v>10813</v>
      </c>
      <c r="E3302" s="386" t="s">
        <v>10814</v>
      </c>
      <c r="F3302" s="280">
        <v>19524</v>
      </c>
      <c r="G3302" s="280">
        <v>46024</v>
      </c>
      <c r="H3302" s="280">
        <v>46024</v>
      </c>
      <c r="K3302" s="97">
        <v>7261053321</v>
      </c>
    </row>
    <row r="3303" spans="1:11" x14ac:dyDescent="0.3">
      <c r="A3303" s="302" t="s">
        <v>155</v>
      </c>
      <c r="B3303" s="302" t="str">
        <f t="shared" si="53"/>
        <v>Y</v>
      </c>
      <c r="C3303" s="503" t="s">
        <v>10815</v>
      </c>
      <c r="E3303" s="387" t="s">
        <v>8600</v>
      </c>
      <c r="F3303" s="280">
        <v>22647</v>
      </c>
      <c r="G3303" s="280">
        <v>46025</v>
      </c>
      <c r="H3303" s="280">
        <v>46026</v>
      </c>
      <c r="K3303" s="97">
        <v>8873381186</v>
      </c>
    </row>
    <row r="3304" spans="1:11" x14ac:dyDescent="0.3">
      <c r="A3304" s="302" t="s">
        <v>155</v>
      </c>
      <c r="B3304" s="302" t="str">
        <f t="shared" si="53"/>
        <v>Y</v>
      </c>
      <c r="C3304" s="503" t="s">
        <v>10817</v>
      </c>
      <c r="E3304" s="387" t="s">
        <v>10816</v>
      </c>
      <c r="F3304" s="280">
        <v>25204</v>
      </c>
      <c r="G3304" s="280">
        <v>46025</v>
      </c>
      <c r="H3304" s="280">
        <v>46026</v>
      </c>
      <c r="I3304" t="s">
        <v>556</v>
      </c>
      <c r="K3304" s="97">
        <v>9955700574</v>
      </c>
    </row>
    <row r="3305" spans="1:11" x14ac:dyDescent="0.3">
      <c r="A3305" s="302" t="s">
        <v>155</v>
      </c>
      <c r="B3305" s="302" t="str">
        <f t="shared" si="53"/>
        <v>Y</v>
      </c>
      <c r="C3305" s="503" t="s">
        <v>10818</v>
      </c>
      <c r="E3305" s="387" t="s">
        <v>10819</v>
      </c>
      <c r="F3305" s="280">
        <v>39298</v>
      </c>
      <c r="G3305" s="280">
        <v>46025</v>
      </c>
      <c r="H3305" s="280">
        <v>46026</v>
      </c>
      <c r="K3305" s="97">
        <v>6206185039</v>
      </c>
    </row>
    <row r="3306" spans="1:11" x14ac:dyDescent="0.3">
      <c r="A3306" s="302" t="s">
        <v>155</v>
      </c>
      <c r="B3306" s="302" t="str">
        <f t="shared" si="53"/>
        <v>Y</v>
      </c>
      <c r="C3306" s="503" t="s">
        <v>10821</v>
      </c>
      <c r="D3306" s="353" t="s">
        <v>10825</v>
      </c>
      <c r="E3306" s="387" t="s">
        <v>10820</v>
      </c>
      <c r="F3306" s="280">
        <v>34594</v>
      </c>
      <c r="G3306" s="280">
        <v>46025</v>
      </c>
      <c r="H3306" s="280">
        <v>46026</v>
      </c>
      <c r="I3306" t="s">
        <v>556</v>
      </c>
      <c r="K3306" s="97">
        <v>9065216525</v>
      </c>
    </row>
    <row r="3307" spans="1:11" x14ac:dyDescent="0.3">
      <c r="A3307" s="302" t="s">
        <v>155</v>
      </c>
      <c r="B3307" s="302" t="str">
        <f t="shared" si="53"/>
        <v>Y</v>
      </c>
      <c r="C3307" s="503" t="s">
        <v>10822</v>
      </c>
      <c r="D3307" s="353" t="s">
        <v>10824</v>
      </c>
      <c r="E3307" s="387" t="s">
        <v>10823</v>
      </c>
      <c r="F3307" s="280">
        <v>32417</v>
      </c>
      <c r="G3307" s="280">
        <v>46025</v>
      </c>
      <c r="H3307" s="280">
        <v>46026</v>
      </c>
      <c r="I3307" t="s">
        <v>556</v>
      </c>
      <c r="K3307" s="97">
        <v>7903278568</v>
      </c>
    </row>
    <row r="3308" spans="1:11" x14ac:dyDescent="0.3">
      <c r="A3308" s="302" t="s">
        <v>155</v>
      </c>
      <c r="B3308" s="302" t="str">
        <f t="shared" si="53"/>
        <v>Y</v>
      </c>
      <c r="C3308" s="503" t="s">
        <v>10828</v>
      </c>
      <c r="D3308" s="353" t="s">
        <v>10827</v>
      </c>
      <c r="E3308" s="387" t="s">
        <v>10826</v>
      </c>
      <c r="F3308" s="280">
        <v>34804</v>
      </c>
      <c r="G3308" s="280">
        <v>46025</v>
      </c>
      <c r="H3308" s="280">
        <v>46026</v>
      </c>
      <c r="I3308" t="s">
        <v>556</v>
      </c>
      <c r="K3308" s="97">
        <v>7209870495</v>
      </c>
    </row>
    <row r="3309" spans="1:11" x14ac:dyDescent="0.3">
      <c r="A3309" s="302" t="s">
        <v>155</v>
      </c>
      <c r="B3309" s="302" t="str">
        <f t="shared" si="53"/>
        <v>Y</v>
      </c>
      <c r="C3309" s="503" t="s">
        <v>10829</v>
      </c>
      <c r="D3309" s="353" t="s">
        <v>10830</v>
      </c>
      <c r="E3309" s="387" t="s">
        <v>10831</v>
      </c>
      <c r="F3309" s="280">
        <v>39436</v>
      </c>
      <c r="G3309" s="280">
        <v>46025</v>
      </c>
      <c r="H3309" s="280">
        <v>46026</v>
      </c>
      <c r="I3309" t="s">
        <v>556</v>
      </c>
      <c r="K3309" s="97">
        <v>7209584293</v>
      </c>
    </row>
    <row r="3310" spans="1:11" x14ac:dyDescent="0.3">
      <c r="A3310" s="302" t="s">
        <v>155</v>
      </c>
      <c r="B3310" s="302" t="str">
        <f t="shared" si="53"/>
        <v>Y</v>
      </c>
      <c r="C3310" s="503" t="s">
        <v>10834</v>
      </c>
      <c r="D3310" s="353" t="s">
        <v>10833</v>
      </c>
      <c r="E3310" s="387" t="s">
        <v>10832</v>
      </c>
      <c r="F3310" s="280">
        <v>28554</v>
      </c>
      <c r="G3310" s="280">
        <v>46025</v>
      </c>
      <c r="H3310" s="280">
        <v>46026</v>
      </c>
      <c r="I3310" t="s">
        <v>556</v>
      </c>
      <c r="K3310" s="97">
        <v>7763889873</v>
      </c>
    </row>
    <row r="3311" spans="1:11" x14ac:dyDescent="0.3">
      <c r="A3311" s="302" t="s">
        <v>155</v>
      </c>
      <c r="B3311" s="302" t="str">
        <f t="shared" si="53"/>
        <v>Y</v>
      </c>
      <c r="C3311" s="504" t="s">
        <v>10828</v>
      </c>
      <c r="D3311" s="353" t="s">
        <v>10827</v>
      </c>
      <c r="E3311" s="388" t="s">
        <v>7530</v>
      </c>
      <c r="F3311" s="280">
        <v>34804</v>
      </c>
      <c r="G3311" s="280">
        <v>46025</v>
      </c>
      <c r="H3311" s="280">
        <v>46026</v>
      </c>
      <c r="K3311" s="97">
        <v>7209870495</v>
      </c>
    </row>
    <row r="3312" spans="1:11" x14ac:dyDescent="0.3">
      <c r="A3312" s="302" t="s">
        <v>155</v>
      </c>
      <c r="B3312" s="302" t="str">
        <f t="shared" si="53"/>
        <v>Y</v>
      </c>
      <c r="C3312" s="505" t="s">
        <v>10839</v>
      </c>
      <c r="E3312" s="389" t="s">
        <v>10840</v>
      </c>
      <c r="F3312" s="280">
        <v>39797</v>
      </c>
      <c r="G3312" s="280">
        <v>46030</v>
      </c>
      <c r="H3312" s="280">
        <v>46030</v>
      </c>
      <c r="K3312" s="97">
        <v>7001372809</v>
      </c>
    </row>
    <row r="3313" spans="1:11" x14ac:dyDescent="0.3">
      <c r="A3313" s="302" t="s">
        <v>155</v>
      </c>
      <c r="B3313" s="302" t="str">
        <f t="shared" si="53"/>
        <v>Y</v>
      </c>
      <c r="C3313" s="505" t="s">
        <v>10841</v>
      </c>
      <c r="E3313" s="389" t="s">
        <v>10842</v>
      </c>
      <c r="F3313" s="280">
        <v>32702</v>
      </c>
      <c r="G3313" s="280">
        <v>46030</v>
      </c>
      <c r="H3313" s="280">
        <v>46030</v>
      </c>
      <c r="K3313" s="97">
        <v>7557755037</v>
      </c>
    </row>
    <row r="3314" spans="1:11" x14ac:dyDescent="0.3">
      <c r="A3314" s="302" t="s">
        <v>155</v>
      </c>
      <c r="B3314" s="302" t="str">
        <f t="shared" si="53"/>
        <v>Y</v>
      </c>
      <c r="C3314" s="505" t="s">
        <v>10843</v>
      </c>
      <c r="E3314" s="389" t="s">
        <v>10844</v>
      </c>
      <c r="F3314" s="280">
        <v>39083</v>
      </c>
      <c r="G3314" s="280">
        <v>46030</v>
      </c>
      <c r="H3314" s="280">
        <v>46030</v>
      </c>
      <c r="K3314" s="97">
        <v>6207614411</v>
      </c>
    </row>
    <row r="3315" spans="1:11" x14ac:dyDescent="0.3">
      <c r="A3315" s="302" t="s">
        <v>155</v>
      </c>
      <c r="B3315" s="302" t="str">
        <f t="shared" si="53"/>
        <v>Y</v>
      </c>
      <c r="C3315" s="505" t="s">
        <v>10845</v>
      </c>
      <c r="E3315" s="389" t="s">
        <v>10846</v>
      </c>
      <c r="F3315" s="280">
        <v>24838</v>
      </c>
      <c r="G3315" s="280">
        <v>46030</v>
      </c>
      <c r="H3315" s="280">
        <v>46030</v>
      </c>
      <c r="K3315" s="97">
        <v>9204420469</v>
      </c>
    </row>
    <row r="3316" spans="1:11" x14ac:dyDescent="0.3">
      <c r="A3316" s="302" t="s">
        <v>155</v>
      </c>
      <c r="B3316" s="302" t="str">
        <f t="shared" si="53"/>
        <v>Y</v>
      </c>
      <c r="C3316" s="505" t="s">
        <v>10847</v>
      </c>
      <c r="D3316" s="353" t="s">
        <v>10849</v>
      </c>
      <c r="E3316" s="389" t="s">
        <v>10848</v>
      </c>
      <c r="F3316" s="280">
        <v>28230</v>
      </c>
      <c r="G3316" s="280">
        <v>46030</v>
      </c>
      <c r="H3316" s="280">
        <v>46030</v>
      </c>
      <c r="K3316" s="97">
        <v>7061886518</v>
      </c>
    </row>
    <row r="3317" spans="1:11" x14ac:dyDescent="0.3">
      <c r="A3317" s="302" t="s">
        <v>155</v>
      </c>
      <c r="B3317" s="302" t="str">
        <f t="shared" si="53"/>
        <v>Y</v>
      </c>
      <c r="C3317" s="505" t="s">
        <v>10852</v>
      </c>
      <c r="D3317" s="353" t="s">
        <v>10851</v>
      </c>
      <c r="E3317" s="389" t="s">
        <v>10850</v>
      </c>
      <c r="F3317" s="280">
        <v>23419</v>
      </c>
      <c r="G3317" s="280">
        <v>46030</v>
      </c>
      <c r="H3317" s="280">
        <v>46030</v>
      </c>
      <c r="K3317" s="97">
        <v>7091493399</v>
      </c>
    </row>
    <row r="3318" spans="1:11" x14ac:dyDescent="0.3">
      <c r="A3318" s="302" t="s">
        <v>155</v>
      </c>
      <c r="B3318" s="302" t="str">
        <f t="shared" si="53"/>
        <v>Y</v>
      </c>
      <c r="C3318" s="505" t="s">
        <v>10853</v>
      </c>
      <c r="D3318" s="353" t="s">
        <v>10854</v>
      </c>
      <c r="E3318" s="389" t="s">
        <v>10855</v>
      </c>
      <c r="F3318" s="280">
        <v>31075</v>
      </c>
      <c r="G3318" s="280">
        <v>46030</v>
      </c>
      <c r="H3318" s="280">
        <v>46030</v>
      </c>
      <c r="K3318" s="97">
        <v>9234445617</v>
      </c>
    </row>
    <row r="3319" spans="1:11" x14ac:dyDescent="0.3">
      <c r="A3319" s="302" t="s">
        <v>155</v>
      </c>
      <c r="B3319" s="302" t="str">
        <f t="shared" si="53"/>
        <v>Y</v>
      </c>
      <c r="C3319" s="506" t="s">
        <v>10858</v>
      </c>
      <c r="D3319" s="390" t="s">
        <v>10860</v>
      </c>
      <c r="E3319" s="390" t="s">
        <v>10859</v>
      </c>
      <c r="F3319" s="280">
        <v>21186</v>
      </c>
      <c r="G3319" s="280">
        <v>46031</v>
      </c>
      <c r="H3319" s="280">
        <v>46031</v>
      </c>
      <c r="K3319" s="97">
        <v>9234608505</v>
      </c>
    </row>
    <row r="3320" spans="1:11" x14ac:dyDescent="0.3">
      <c r="A3320" s="302" t="s">
        <v>155</v>
      </c>
      <c r="B3320" s="302" t="str">
        <f t="shared" si="53"/>
        <v>Y</v>
      </c>
      <c r="C3320" s="506" t="s">
        <v>10862</v>
      </c>
      <c r="E3320" s="390" t="s">
        <v>10861</v>
      </c>
      <c r="F3320" s="280">
        <v>34335</v>
      </c>
      <c r="G3320" s="280">
        <v>46031</v>
      </c>
      <c r="H3320" s="280">
        <v>46031</v>
      </c>
      <c r="I3320" s="317" t="s">
        <v>1034</v>
      </c>
      <c r="K3320" s="97">
        <v>6202605119</v>
      </c>
    </row>
    <row r="3321" spans="1:11" x14ac:dyDescent="0.3">
      <c r="A3321" s="302" t="s">
        <v>155</v>
      </c>
      <c r="B3321" s="302" t="str">
        <f t="shared" si="53"/>
        <v>Y</v>
      </c>
      <c r="C3321" s="506" t="s">
        <v>10863</v>
      </c>
      <c r="E3321" s="390" t="s">
        <v>10864</v>
      </c>
      <c r="F3321" s="280">
        <v>38540</v>
      </c>
      <c r="G3321" s="280">
        <v>46031</v>
      </c>
      <c r="H3321" s="280">
        <v>46031</v>
      </c>
      <c r="I3321" s="317" t="s">
        <v>1034</v>
      </c>
      <c r="K3321" s="97">
        <v>9304606123</v>
      </c>
    </row>
    <row r="3322" spans="1:11" x14ac:dyDescent="0.3">
      <c r="A3322" s="302" t="s">
        <v>155</v>
      </c>
      <c r="B3322" s="302" t="str">
        <f t="shared" si="53"/>
        <v>Y</v>
      </c>
      <c r="C3322" s="506" t="s">
        <v>10866</v>
      </c>
      <c r="E3322" s="390" t="s">
        <v>10865</v>
      </c>
      <c r="F3322" s="280">
        <v>29986</v>
      </c>
      <c r="G3322" s="280">
        <v>46031</v>
      </c>
      <c r="H3322" s="280">
        <v>46031</v>
      </c>
      <c r="K3322" s="97">
        <v>8210698924</v>
      </c>
    </row>
    <row r="3323" spans="1:11" x14ac:dyDescent="0.3">
      <c r="A3323" s="302" t="s">
        <v>155</v>
      </c>
      <c r="B3323" s="302" t="str">
        <f t="shared" si="53"/>
        <v>Y</v>
      </c>
      <c r="C3323" s="507" t="s">
        <v>10867</v>
      </c>
      <c r="E3323" s="391" t="s">
        <v>10868</v>
      </c>
      <c r="F3323" s="280">
        <v>36537</v>
      </c>
      <c r="G3323" s="280">
        <v>46032</v>
      </c>
      <c r="H3323" s="280">
        <v>46032</v>
      </c>
      <c r="K3323" s="97">
        <v>8789806620</v>
      </c>
    </row>
    <row r="3324" spans="1:11" x14ac:dyDescent="0.3">
      <c r="A3324" s="302" t="s">
        <v>155</v>
      </c>
      <c r="B3324" s="302" t="str">
        <f t="shared" si="53"/>
        <v>Y</v>
      </c>
      <c r="C3324" s="507" t="s">
        <v>10870</v>
      </c>
      <c r="E3324" s="391" t="s">
        <v>10869</v>
      </c>
      <c r="F3324" s="280">
        <v>37992</v>
      </c>
      <c r="G3324" s="280">
        <v>46032</v>
      </c>
      <c r="H3324" s="280">
        <v>46032</v>
      </c>
      <c r="K3324" s="97">
        <v>9031805366</v>
      </c>
    </row>
    <row r="3325" spans="1:11" x14ac:dyDescent="0.3">
      <c r="A3325" s="302" t="s">
        <v>155</v>
      </c>
      <c r="B3325" s="302" t="str">
        <f t="shared" si="53"/>
        <v>Y</v>
      </c>
      <c r="C3325" s="507" t="s">
        <v>10871</v>
      </c>
      <c r="E3325" s="353" t="s">
        <v>10872</v>
      </c>
      <c r="F3325" s="280">
        <v>33970</v>
      </c>
      <c r="G3325" s="280">
        <v>46032</v>
      </c>
      <c r="H3325" s="280">
        <v>46032</v>
      </c>
      <c r="K3325" s="97">
        <v>7764818322</v>
      </c>
    </row>
    <row r="3326" spans="1:11" x14ac:dyDescent="0.3">
      <c r="A3326" s="302" t="s">
        <v>155</v>
      </c>
      <c r="B3326" s="302" t="str">
        <f t="shared" si="53"/>
        <v>Y</v>
      </c>
      <c r="C3326" s="507" t="s">
        <v>10874</v>
      </c>
      <c r="E3326" s="353" t="s">
        <v>10873</v>
      </c>
      <c r="F3326" s="280">
        <v>39128</v>
      </c>
      <c r="G3326" s="280">
        <v>46032</v>
      </c>
      <c r="H3326" s="280">
        <v>46032</v>
      </c>
      <c r="K3326" s="97">
        <v>9263388995</v>
      </c>
    </row>
    <row r="3327" spans="1:11" x14ac:dyDescent="0.3">
      <c r="A3327" s="302" t="s">
        <v>155</v>
      </c>
      <c r="B3327" s="302" t="str">
        <f t="shared" si="53"/>
        <v>Y</v>
      </c>
      <c r="C3327" s="508" t="s">
        <v>10879</v>
      </c>
      <c r="E3327" s="353" t="s">
        <v>10880</v>
      </c>
      <c r="F3327" s="280">
        <v>30682</v>
      </c>
      <c r="G3327" s="280">
        <v>46034</v>
      </c>
      <c r="H3327" s="280">
        <v>46034</v>
      </c>
      <c r="K3327" s="97">
        <v>8797789477</v>
      </c>
    </row>
    <row r="3328" spans="1:11" x14ac:dyDescent="0.3">
      <c r="A3328" s="302" t="s">
        <v>155</v>
      </c>
      <c r="B3328" s="302" t="str">
        <f t="shared" si="53"/>
        <v>Y</v>
      </c>
      <c r="C3328" s="509" t="s">
        <v>10884</v>
      </c>
      <c r="E3328" s="353" t="s">
        <v>10885</v>
      </c>
      <c r="F3328" s="280">
        <v>24672</v>
      </c>
      <c r="G3328" s="280">
        <v>46039</v>
      </c>
      <c r="H3328" s="280">
        <v>46039</v>
      </c>
      <c r="K3328" s="97">
        <v>8092156768</v>
      </c>
    </row>
    <row r="3329" spans="1:12" x14ac:dyDescent="0.3">
      <c r="A3329" s="302" t="s">
        <v>155</v>
      </c>
      <c r="B3329" s="302" t="str">
        <f t="shared" si="53"/>
        <v>Y</v>
      </c>
      <c r="C3329" s="510" t="s">
        <v>10899</v>
      </c>
      <c r="E3329" s="353" t="s">
        <v>10900</v>
      </c>
      <c r="F3329" s="280">
        <v>30943</v>
      </c>
      <c r="G3329" s="280">
        <v>46042</v>
      </c>
      <c r="H3329" s="280">
        <v>46046</v>
      </c>
      <c r="K3329" s="97">
        <v>7368886232</v>
      </c>
    </row>
    <row r="3330" spans="1:12" x14ac:dyDescent="0.3">
      <c r="A3330" s="302" t="s">
        <v>155</v>
      </c>
      <c r="B3330" s="302" t="str">
        <f t="shared" si="53"/>
        <v>Y</v>
      </c>
      <c r="C3330" s="510" t="s">
        <v>10901</v>
      </c>
      <c r="E3330" s="353" t="s">
        <v>10902</v>
      </c>
      <c r="F3330" s="280">
        <v>38658</v>
      </c>
      <c r="G3330" s="280">
        <v>46044</v>
      </c>
      <c r="H3330" s="280">
        <v>46044</v>
      </c>
      <c r="K3330" s="97">
        <v>6202875316</v>
      </c>
    </row>
    <row r="3331" spans="1:12" x14ac:dyDescent="0.3">
      <c r="A3331" s="302" t="s">
        <v>155</v>
      </c>
      <c r="B3331" s="302" t="str">
        <f t="shared" si="53"/>
        <v>Y</v>
      </c>
      <c r="C3331" s="510" t="s">
        <v>10904</v>
      </c>
      <c r="E3331" s="353" t="s">
        <v>10903</v>
      </c>
      <c r="F3331" s="280">
        <v>29283</v>
      </c>
      <c r="G3331" s="280">
        <v>46042</v>
      </c>
      <c r="H3331" s="280">
        <v>46046</v>
      </c>
      <c r="K3331" s="97">
        <v>9142435296</v>
      </c>
    </row>
    <row r="3332" spans="1:12" x14ac:dyDescent="0.3">
      <c r="A3332" s="302" t="s">
        <v>155</v>
      </c>
      <c r="B3332" s="302" t="str">
        <f t="shared" si="53"/>
        <v>Y</v>
      </c>
      <c r="C3332" s="510" t="s">
        <v>10905</v>
      </c>
      <c r="E3332" s="353" t="s">
        <v>10906</v>
      </c>
      <c r="F3332" s="280">
        <v>39448</v>
      </c>
      <c r="G3332" s="280">
        <v>46042</v>
      </c>
      <c r="H3332" s="280">
        <v>46046</v>
      </c>
      <c r="K3332" s="97">
        <v>7209433771</v>
      </c>
    </row>
    <row r="3333" spans="1:12" x14ac:dyDescent="0.3">
      <c r="A3333" s="302" t="s">
        <v>155</v>
      </c>
      <c r="B3333" s="302" t="str">
        <f t="shared" si="53"/>
        <v>Y</v>
      </c>
      <c r="C3333" s="510" t="s">
        <v>10908</v>
      </c>
      <c r="E3333" s="353" t="s">
        <v>10907</v>
      </c>
      <c r="F3333" s="280">
        <v>38899</v>
      </c>
      <c r="G3333" s="280">
        <v>46042</v>
      </c>
      <c r="H3333" s="280">
        <v>46046</v>
      </c>
      <c r="K3333" s="97">
        <v>9234642757</v>
      </c>
    </row>
    <row r="3334" spans="1:12" x14ac:dyDescent="0.3">
      <c r="A3334" s="302" t="s">
        <v>155</v>
      </c>
      <c r="B3334" s="302" t="str">
        <f t="shared" si="53"/>
        <v>Y</v>
      </c>
      <c r="C3334" s="510" t="s">
        <v>10909</v>
      </c>
      <c r="E3334" s="353" t="s">
        <v>4977</v>
      </c>
      <c r="F3334" s="280">
        <v>29587</v>
      </c>
      <c r="G3334" s="280">
        <v>46042</v>
      </c>
      <c r="H3334" s="280">
        <v>46046</v>
      </c>
      <c r="K3334" s="97">
        <v>6206003058</v>
      </c>
    </row>
    <row r="3335" spans="1:12" x14ac:dyDescent="0.3">
      <c r="A3335" s="302" t="s">
        <v>155</v>
      </c>
      <c r="B3335" s="302" t="str">
        <f t="shared" si="53"/>
        <v>Y</v>
      </c>
      <c r="C3335" s="510" t="s">
        <v>10915</v>
      </c>
      <c r="E3335" s="353" t="s">
        <v>10890</v>
      </c>
      <c r="F3335" s="280">
        <v>31778</v>
      </c>
      <c r="G3335" s="280">
        <v>46046</v>
      </c>
      <c r="H3335" s="280">
        <v>46047</v>
      </c>
      <c r="K3335">
        <v>8804223151</v>
      </c>
    </row>
    <row r="3336" spans="1:12" s="98" customFormat="1" x14ac:dyDescent="0.3">
      <c r="A3336" s="302" t="s">
        <v>155</v>
      </c>
      <c r="B3336" s="302" t="str">
        <f t="shared" si="53"/>
        <v>N</v>
      </c>
      <c r="C3336" s="480"/>
      <c r="D3336" s="364"/>
      <c r="E3336" s="364" t="s">
        <v>10891</v>
      </c>
      <c r="F3336" s="288">
        <v>30344</v>
      </c>
      <c r="G3336" s="289"/>
      <c r="H3336" s="289"/>
      <c r="K3336" s="289">
        <v>8797279612</v>
      </c>
      <c r="L3336" s="98" t="s">
        <v>10892</v>
      </c>
    </row>
    <row r="3337" spans="1:12" x14ac:dyDescent="0.3">
      <c r="A3337" s="302" t="s">
        <v>155</v>
      </c>
      <c r="B3337" s="302" t="str">
        <f t="shared" si="53"/>
        <v>Y</v>
      </c>
      <c r="C3337" s="473" t="s">
        <v>10914</v>
      </c>
      <c r="E3337" s="353" t="s">
        <v>10893</v>
      </c>
      <c r="F3337" s="280">
        <v>32097</v>
      </c>
      <c r="G3337" s="280">
        <v>46046</v>
      </c>
      <c r="H3337" s="280">
        <v>46047</v>
      </c>
      <c r="K3337">
        <v>9155526333</v>
      </c>
    </row>
    <row r="3338" spans="1:12" x14ac:dyDescent="0.3">
      <c r="A3338" s="302" t="s">
        <v>155</v>
      </c>
      <c r="B3338" s="302" t="str">
        <f t="shared" si="53"/>
        <v>Y</v>
      </c>
      <c r="C3338" s="473" t="s">
        <v>10913</v>
      </c>
      <c r="E3338" s="353" t="s">
        <v>10894</v>
      </c>
      <c r="F3338" s="280">
        <v>39116</v>
      </c>
      <c r="G3338" s="280">
        <v>46046</v>
      </c>
      <c r="H3338" s="280">
        <v>46047</v>
      </c>
      <c r="K3338" s="97">
        <v>9798940108</v>
      </c>
    </row>
    <row r="3339" spans="1:12" x14ac:dyDescent="0.3">
      <c r="A3339" s="302" t="s">
        <v>155</v>
      </c>
      <c r="B3339" s="302" t="str">
        <f t="shared" si="53"/>
        <v>Y</v>
      </c>
      <c r="C3339" s="473" t="s">
        <v>10912</v>
      </c>
      <c r="E3339" s="353" t="s">
        <v>10895</v>
      </c>
      <c r="F3339" s="280">
        <v>40148</v>
      </c>
      <c r="G3339" s="280">
        <v>46046</v>
      </c>
      <c r="H3339" s="280">
        <v>46047</v>
      </c>
      <c r="K3339" s="97">
        <v>9973015528</v>
      </c>
    </row>
    <row r="3340" spans="1:12" x14ac:dyDescent="0.3">
      <c r="A3340" s="302" t="s">
        <v>155</v>
      </c>
      <c r="B3340" s="302" t="str">
        <f t="shared" si="53"/>
        <v>Y</v>
      </c>
      <c r="C3340" s="473" t="s">
        <v>10910</v>
      </c>
      <c r="E3340" s="353" t="s">
        <v>10896</v>
      </c>
      <c r="F3340" s="280">
        <v>29952</v>
      </c>
      <c r="G3340" s="280">
        <v>46046</v>
      </c>
      <c r="H3340" s="280">
        <v>46047</v>
      </c>
      <c r="K3340" s="97">
        <v>8434575278</v>
      </c>
    </row>
    <row r="3341" spans="1:12" x14ac:dyDescent="0.3">
      <c r="A3341" s="302" t="s">
        <v>155</v>
      </c>
      <c r="B3341" s="302" t="str">
        <f t="shared" si="53"/>
        <v>Y</v>
      </c>
      <c r="C3341" s="473" t="s">
        <v>10911</v>
      </c>
      <c r="E3341" s="353" t="s">
        <v>10897</v>
      </c>
      <c r="F3341" s="280">
        <v>23037</v>
      </c>
      <c r="G3341" s="280">
        <v>46046</v>
      </c>
      <c r="H3341" s="280">
        <v>46047</v>
      </c>
      <c r="K3341" s="97">
        <v>9204421644</v>
      </c>
    </row>
    <row r="3342" spans="1:12" x14ac:dyDescent="0.3">
      <c r="A3342" s="302" t="s">
        <v>155</v>
      </c>
      <c r="B3342" s="302" t="str">
        <f t="shared" si="53"/>
        <v>Y</v>
      </c>
      <c r="C3342" s="473" t="s">
        <v>10916</v>
      </c>
      <c r="E3342" s="353" t="s">
        <v>10917</v>
      </c>
      <c r="F3342" s="280">
        <v>35693</v>
      </c>
      <c r="G3342" s="280">
        <v>46047</v>
      </c>
      <c r="H3342" s="280">
        <v>46047</v>
      </c>
      <c r="K3342" s="97">
        <v>9113325421</v>
      </c>
    </row>
    <row r="3343" spans="1:12" x14ac:dyDescent="0.3">
      <c r="A3343" s="302" t="s">
        <v>155</v>
      </c>
      <c r="B3343" s="302" t="str">
        <f t="shared" si="53"/>
        <v>Y</v>
      </c>
      <c r="C3343" s="473" t="s">
        <v>10918</v>
      </c>
      <c r="E3343" s="353" t="s">
        <v>7305</v>
      </c>
      <c r="F3343" s="280">
        <v>39291</v>
      </c>
      <c r="G3343" s="280">
        <v>46046</v>
      </c>
      <c r="H3343" s="280">
        <v>46048</v>
      </c>
      <c r="K3343" s="97">
        <v>8797592416</v>
      </c>
    </row>
    <row r="3344" spans="1:12" x14ac:dyDescent="0.3">
      <c r="A3344" s="302" t="s">
        <v>155</v>
      </c>
      <c r="B3344" s="302" t="str">
        <f t="shared" si="53"/>
        <v>Y</v>
      </c>
      <c r="C3344" s="511" t="s">
        <v>10921</v>
      </c>
      <c r="E3344" s="392" t="s">
        <v>10922</v>
      </c>
      <c r="F3344" s="280">
        <v>29639</v>
      </c>
      <c r="G3344" s="280">
        <v>46052</v>
      </c>
      <c r="H3344" s="280">
        <v>46052</v>
      </c>
      <c r="K3344" s="97">
        <v>8092265455</v>
      </c>
    </row>
    <row r="3345" spans="1:11" x14ac:dyDescent="0.3">
      <c r="A3345" s="302" t="s">
        <v>155</v>
      </c>
      <c r="B3345" s="302" t="str">
        <f t="shared" si="53"/>
        <v>Y</v>
      </c>
      <c r="C3345" s="511" t="s">
        <v>10923</v>
      </c>
      <c r="E3345" s="392" t="s">
        <v>10924</v>
      </c>
      <c r="F3345" s="280">
        <v>27760</v>
      </c>
      <c r="G3345" s="280">
        <v>46052</v>
      </c>
      <c r="H3345" s="280">
        <v>46052</v>
      </c>
      <c r="K3345" s="97">
        <v>9546114538</v>
      </c>
    </row>
    <row r="3346" spans="1:11" x14ac:dyDescent="0.3">
      <c r="A3346" s="302" t="s">
        <v>155</v>
      </c>
      <c r="B3346" s="302" t="str">
        <f t="shared" si="53"/>
        <v>Y</v>
      </c>
      <c r="C3346" s="511" t="s">
        <v>10925</v>
      </c>
      <c r="E3346" s="392" t="s">
        <v>10926</v>
      </c>
      <c r="F3346" s="280">
        <v>43795</v>
      </c>
      <c r="G3346" s="280">
        <v>46052</v>
      </c>
      <c r="H3346" s="280">
        <v>46052</v>
      </c>
      <c r="K3346" s="97">
        <v>7979940210</v>
      </c>
    </row>
    <row r="3347" spans="1:11" x14ac:dyDescent="0.3">
      <c r="A3347" s="302" t="s">
        <v>155</v>
      </c>
      <c r="B3347" s="302" t="str">
        <f t="shared" si="53"/>
        <v>Y</v>
      </c>
      <c r="C3347" s="511" t="s">
        <v>10927</v>
      </c>
      <c r="E3347" s="392" t="s">
        <v>10928</v>
      </c>
      <c r="F3347" s="280">
        <v>39414</v>
      </c>
      <c r="G3347" s="280">
        <v>46052</v>
      </c>
      <c r="H3347" s="280">
        <v>46052</v>
      </c>
      <c r="K3347" s="97">
        <v>6202971531</v>
      </c>
    </row>
    <row r="3348" spans="1:11" x14ac:dyDescent="0.3">
      <c r="A3348" s="302" t="s">
        <v>155</v>
      </c>
      <c r="B3348" s="302" t="str">
        <f t="shared" si="53"/>
        <v>Y</v>
      </c>
      <c r="C3348" s="511" t="s">
        <v>10929</v>
      </c>
      <c r="E3348" s="392" t="s">
        <v>10930</v>
      </c>
      <c r="F3348" s="280">
        <v>35271</v>
      </c>
      <c r="G3348" s="280">
        <v>46052</v>
      </c>
      <c r="H3348" s="280">
        <v>46052</v>
      </c>
      <c r="K3348" s="97">
        <v>7903197912</v>
      </c>
    </row>
    <row r="3349" spans="1:11" x14ac:dyDescent="0.3">
      <c r="A3349" s="302" t="s">
        <v>155</v>
      </c>
      <c r="B3349" s="302" t="str">
        <f t="shared" si="53"/>
        <v>Y</v>
      </c>
      <c r="C3349" s="511" t="s">
        <v>10931</v>
      </c>
      <c r="E3349" s="392" t="s">
        <v>10932</v>
      </c>
      <c r="F3349" s="280">
        <v>42189</v>
      </c>
      <c r="G3349" s="280">
        <v>46052</v>
      </c>
      <c r="H3349" s="280">
        <v>46052</v>
      </c>
      <c r="K3349" s="97">
        <v>7979940210</v>
      </c>
    </row>
    <row r="3350" spans="1:11" x14ac:dyDescent="0.3">
      <c r="A3350" s="302" t="s">
        <v>155</v>
      </c>
      <c r="B3350" s="302" t="str">
        <f t="shared" si="53"/>
        <v>Y</v>
      </c>
      <c r="C3350" s="512" t="s">
        <v>10936</v>
      </c>
      <c r="E3350" s="393" t="s">
        <v>10937</v>
      </c>
      <c r="F3350" s="280">
        <v>16807</v>
      </c>
      <c r="G3350" s="280">
        <v>46055</v>
      </c>
      <c r="H3350" s="280">
        <v>46056</v>
      </c>
      <c r="K3350" s="97">
        <v>9431184627</v>
      </c>
    </row>
    <row r="3351" spans="1:11" x14ac:dyDescent="0.3">
      <c r="A3351" s="302" t="s">
        <v>155</v>
      </c>
      <c r="B3351" s="302" t="str">
        <f t="shared" si="53"/>
        <v>Y</v>
      </c>
      <c r="C3351" s="512" t="s">
        <v>10940</v>
      </c>
      <c r="E3351" s="393" t="s">
        <v>10939</v>
      </c>
      <c r="F3351" s="280">
        <v>18069</v>
      </c>
      <c r="G3351" s="280">
        <v>46057</v>
      </c>
      <c r="H3351" s="280">
        <v>46058</v>
      </c>
      <c r="K3351" s="97">
        <v>9431184627</v>
      </c>
    </row>
    <row r="3352" spans="1:11" x14ac:dyDescent="0.3">
      <c r="A3352" s="302" t="s">
        <v>155</v>
      </c>
      <c r="B3352" s="302" t="str">
        <f t="shared" si="53"/>
        <v>Y</v>
      </c>
      <c r="C3352" s="512" t="s">
        <v>10941</v>
      </c>
      <c r="E3352" s="393" t="s">
        <v>10938</v>
      </c>
      <c r="F3352" s="280">
        <v>35377</v>
      </c>
      <c r="G3352" s="280">
        <v>46057</v>
      </c>
      <c r="H3352" s="280">
        <v>46058</v>
      </c>
      <c r="K3352" s="97">
        <v>7763928289</v>
      </c>
    </row>
    <row r="3353" spans="1:11" x14ac:dyDescent="0.3">
      <c r="A3353" s="302" t="s">
        <v>155</v>
      </c>
      <c r="B3353" s="302" t="str">
        <f t="shared" si="53"/>
        <v>Y</v>
      </c>
      <c r="C3353" s="512" t="s">
        <v>10943</v>
      </c>
      <c r="E3353" s="393" t="s">
        <v>10942</v>
      </c>
      <c r="F3353" s="280">
        <v>37050</v>
      </c>
      <c r="G3353" s="280">
        <v>46057</v>
      </c>
      <c r="H3353" s="280">
        <v>46058</v>
      </c>
      <c r="K3353" s="97">
        <v>7541903775</v>
      </c>
    </row>
    <row r="3354" spans="1:11" x14ac:dyDescent="0.3">
      <c r="A3354" s="302" t="s">
        <v>155</v>
      </c>
      <c r="B3354" s="302" t="str">
        <f t="shared" si="53"/>
        <v>Y</v>
      </c>
      <c r="C3354" s="512" t="s">
        <v>10944</v>
      </c>
      <c r="E3354" s="393" t="s">
        <v>10945</v>
      </c>
      <c r="F3354" s="280">
        <v>38685</v>
      </c>
      <c r="G3354" s="280">
        <v>46057</v>
      </c>
      <c r="H3354" s="280">
        <v>46058</v>
      </c>
      <c r="K3354" s="97">
        <v>7209824307</v>
      </c>
    </row>
    <row r="3355" spans="1:11" x14ac:dyDescent="0.3">
      <c r="A3355" s="302" t="s">
        <v>155</v>
      </c>
      <c r="B3355" s="302" t="str">
        <f t="shared" si="53"/>
        <v>Y</v>
      </c>
      <c r="C3355" s="512" t="s">
        <v>10947</v>
      </c>
      <c r="E3355" s="393" t="s">
        <v>10946</v>
      </c>
      <c r="F3355" s="280">
        <v>30034</v>
      </c>
      <c r="G3355" s="280">
        <v>46057</v>
      </c>
      <c r="H3355" s="280">
        <v>46058</v>
      </c>
      <c r="K3355" s="97">
        <v>8092425467</v>
      </c>
    </row>
    <row r="3356" spans="1:11" x14ac:dyDescent="0.3">
      <c r="A3356" s="302" t="s">
        <v>155</v>
      </c>
      <c r="B3356" s="302" t="str">
        <f t="shared" si="53"/>
        <v>Y</v>
      </c>
      <c r="C3356" s="512" t="s">
        <v>10948</v>
      </c>
      <c r="E3356" s="393" t="s">
        <v>10949</v>
      </c>
      <c r="F3356" s="280">
        <v>39447</v>
      </c>
      <c r="G3356" s="280">
        <v>46056</v>
      </c>
      <c r="H3356" s="280">
        <v>46056</v>
      </c>
      <c r="K3356" s="97">
        <v>6207852729</v>
      </c>
    </row>
    <row r="3357" spans="1:11" x14ac:dyDescent="0.3">
      <c r="A3357" s="302" t="s">
        <v>155</v>
      </c>
      <c r="B3357" s="302" t="str">
        <f t="shared" si="53"/>
        <v>Y</v>
      </c>
      <c r="C3357" s="512" t="s">
        <v>10950</v>
      </c>
      <c r="E3357" s="393" t="s">
        <v>10951</v>
      </c>
      <c r="F3357" s="280">
        <v>39464</v>
      </c>
      <c r="G3357" s="280">
        <v>46059</v>
      </c>
      <c r="H3357" s="280">
        <v>38754</v>
      </c>
      <c r="K3357" s="97">
        <v>7033534573</v>
      </c>
    </row>
    <row r="3358" spans="1:11" x14ac:dyDescent="0.3">
      <c r="A3358" s="302" t="s">
        <v>155</v>
      </c>
      <c r="B3358" s="302" t="str">
        <f t="shared" si="53"/>
        <v>Y</v>
      </c>
      <c r="C3358" s="513" t="s">
        <v>10953</v>
      </c>
      <c r="E3358" s="394" t="s">
        <v>10954</v>
      </c>
      <c r="F3358" s="280">
        <v>30682</v>
      </c>
      <c r="G3358" s="280">
        <v>46060</v>
      </c>
      <c r="H3358" s="280">
        <v>46060</v>
      </c>
      <c r="K3358" s="97">
        <v>8877550667</v>
      </c>
    </row>
    <row r="3359" spans="1:11" x14ac:dyDescent="0.3">
      <c r="A3359" s="302" t="s">
        <v>155</v>
      </c>
      <c r="B3359" s="302" t="str">
        <f t="shared" si="53"/>
        <v>Y</v>
      </c>
      <c r="C3359" s="514" t="s">
        <v>10976</v>
      </c>
      <c r="E3359" s="395" t="s">
        <v>10958</v>
      </c>
      <c r="F3359" s="280">
        <v>39699</v>
      </c>
      <c r="G3359" s="280">
        <v>46065</v>
      </c>
      <c r="H3359" s="280">
        <v>46065</v>
      </c>
      <c r="K3359" s="97">
        <v>9031726510</v>
      </c>
    </row>
    <row r="3360" spans="1:11" x14ac:dyDescent="0.3">
      <c r="A3360" s="302" t="s">
        <v>155</v>
      </c>
      <c r="B3360" s="302" t="str">
        <f t="shared" si="53"/>
        <v>Y</v>
      </c>
      <c r="C3360" s="514" t="s">
        <v>10966</v>
      </c>
      <c r="E3360" s="395" t="s">
        <v>10959</v>
      </c>
      <c r="F3360" s="280">
        <v>39372</v>
      </c>
      <c r="G3360" s="280">
        <v>46065</v>
      </c>
      <c r="H3360" s="280">
        <v>46065</v>
      </c>
      <c r="K3360" s="97">
        <v>6206266306</v>
      </c>
    </row>
    <row r="3361" spans="1:11" x14ac:dyDescent="0.3">
      <c r="A3361" s="302" t="s">
        <v>155</v>
      </c>
      <c r="B3361" s="302" t="str">
        <f t="shared" si="53"/>
        <v>Y</v>
      </c>
      <c r="C3361" s="514" t="s">
        <v>10973</v>
      </c>
      <c r="E3361" s="395" t="s">
        <v>10960</v>
      </c>
      <c r="F3361" s="280">
        <v>38801</v>
      </c>
      <c r="G3361" s="280">
        <v>46065</v>
      </c>
      <c r="H3361" s="280">
        <v>46065</v>
      </c>
      <c r="I3361" s="325" t="s">
        <v>463</v>
      </c>
      <c r="K3361" s="97">
        <v>9155440976</v>
      </c>
    </row>
    <row r="3362" spans="1:11" x14ac:dyDescent="0.3">
      <c r="A3362" s="302" t="s">
        <v>155</v>
      </c>
      <c r="B3362" s="302" t="str">
        <f t="shared" si="53"/>
        <v>Y</v>
      </c>
      <c r="C3362" s="515" t="s">
        <v>10977</v>
      </c>
      <c r="E3362" s="395" t="s">
        <v>10961</v>
      </c>
      <c r="F3362" s="280">
        <v>38912</v>
      </c>
      <c r="G3362" s="280">
        <v>46066</v>
      </c>
      <c r="H3362" s="280">
        <v>46066</v>
      </c>
      <c r="I3362" s="325" t="s">
        <v>463</v>
      </c>
      <c r="K3362" s="97">
        <v>8340549184</v>
      </c>
    </row>
    <row r="3363" spans="1:11" x14ac:dyDescent="0.3">
      <c r="A3363" s="302" t="s">
        <v>155</v>
      </c>
      <c r="B3363" s="302" t="str">
        <f t="shared" si="53"/>
        <v>Y</v>
      </c>
      <c r="C3363" s="514" t="s">
        <v>10970</v>
      </c>
      <c r="E3363" s="395" t="s">
        <v>10962</v>
      </c>
      <c r="F3363" s="280">
        <v>42544</v>
      </c>
      <c r="G3363" s="280">
        <v>46065</v>
      </c>
      <c r="H3363" s="280">
        <v>46065</v>
      </c>
      <c r="I3363" s="325" t="s">
        <v>463</v>
      </c>
      <c r="K3363" s="97">
        <v>8825337496</v>
      </c>
    </row>
    <row r="3364" spans="1:11" x14ac:dyDescent="0.3">
      <c r="A3364" s="302" t="s">
        <v>155</v>
      </c>
      <c r="B3364" s="302" t="str">
        <f t="shared" si="53"/>
        <v>Y</v>
      </c>
      <c r="C3364" s="514" t="s">
        <v>10974</v>
      </c>
      <c r="E3364" s="395" t="s">
        <v>10963</v>
      </c>
      <c r="F3364" s="280">
        <v>30317</v>
      </c>
      <c r="G3364" s="280">
        <v>46065</v>
      </c>
      <c r="H3364" s="280">
        <v>46065</v>
      </c>
      <c r="I3364" s="325" t="s">
        <v>463</v>
      </c>
      <c r="K3364" s="97">
        <v>9279100455</v>
      </c>
    </row>
    <row r="3365" spans="1:11" x14ac:dyDescent="0.3">
      <c r="A3365" s="302" t="s">
        <v>155</v>
      </c>
      <c r="B3365" s="302" t="str">
        <f t="shared" si="53"/>
        <v>Y</v>
      </c>
      <c r="C3365" s="514" t="s">
        <v>10975</v>
      </c>
      <c r="E3365" s="395" t="s">
        <v>10964</v>
      </c>
      <c r="F3365" s="280">
        <v>36688</v>
      </c>
      <c r="G3365" s="280">
        <v>46065</v>
      </c>
      <c r="H3365" s="280">
        <v>46065</v>
      </c>
      <c r="I3365" s="325" t="s">
        <v>463</v>
      </c>
      <c r="K3365" s="97">
        <v>6205159050</v>
      </c>
    </row>
    <row r="3366" spans="1:11" x14ac:dyDescent="0.3">
      <c r="A3366" s="302" t="s">
        <v>155</v>
      </c>
      <c r="B3366" s="302" t="str">
        <f t="shared" ref="B3366:B3375" si="54">IF(H3366="","N","Y")</f>
        <v>Y</v>
      </c>
      <c r="C3366" s="514" t="s">
        <v>10972</v>
      </c>
      <c r="E3366" s="395" t="s">
        <v>10965</v>
      </c>
      <c r="F3366" s="280">
        <v>38353</v>
      </c>
      <c r="G3366" s="280">
        <v>46065</v>
      </c>
      <c r="H3366" s="280">
        <v>46065</v>
      </c>
      <c r="I3366" s="325" t="s">
        <v>463</v>
      </c>
      <c r="K3366" s="97">
        <v>6202331480</v>
      </c>
    </row>
    <row r="3367" spans="1:11" x14ac:dyDescent="0.3">
      <c r="A3367" s="302" t="s">
        <v>155</v>
      </c>
      <c r="B3367" s="302" t="str">
        <f t="shared" si="54"/>
        <v>Y</v>
      </c>
      <c r="C3367" s="514" t="s">
        <v>10968</v>
      </c>
      <c r="D3367" s="353" t="s">
        <v>10969</v>
      </c>
      <c r="E3367" s="396" t="s">
        <v>10967</v>
      </c>
      <c r="F3367" s="280">
        <v>32716</v>
      </c>
      <c r="G3367" s="280">
        <v>46062</v>
      </c>
      <c r="H3367" s="280">
        <v>46065</v>
      </c>
      <c r="I3367" s="325"/>
      <c r="K3367" s="97">
        <v>9334085366</v>
      </c>
    </row>
    <row r="3368" spans="1:11" x14ac:dyDescent="0.3">
      <c r="A3368" s="302" t="s">
        <v>155</v>
      </c>
      <c r="B3368" s="302" t="str">
        <f t="shared" si="54"/>
        <v>Y</v>
      </c>
      <c r="C3368" s="514" t="s">
        <v>10971</v>
      </c>
      <c r="E3368" s="396" t="s">
        <v>10781</v>
      </c>
      <c r="F3368" s="280">
        <v>37987</v>
      </c>
      <c r="G3368" s="280">
        <v>46065</v>
      </c>
      <c r="H3368" s="280">
        <v>46065</v>
      </c>
      <c r="I3368" s="325"/>
      <c r="K3368" s="97">
        <v>8539080671</v>
      </c>
    </row>
    <row r="3369" spans="1:11" x14ac:dyDescent="0.3">
      <c r="A3369" s="302" t="s">
        <v>155</v>
      </c>
      <c r="B3369" s="302" t="str">
        <f t="shared" si="54"/>
        <v>Y</v>
      </c>
      <c r="C3369" s="516" t="s">
        <v>10984</v>
      </c>
      <c r="E3369" s="400" t="s">
        <v>10979</v>
      </c>
      <c r="F3369" s="280">
        <v>39478</v>
      </c>
      <c r="G3369" s="280">
        <v>46070</v>
      </c>
      <c r="H3369" s="280">
        <v>46070</v>
      </c>
      <c r="I3369" s="325" t="s">
        <v>463</v>
      </c>
      <c r="K3369" s="97">
        <v>9204362452</v>
      </c>
    </row>
    <row r="3370" spans="1:11" x14ac:dyDescent="0.3">
      <c r="A3370" s="302" t="s">
        <v>155</v>
      </c>
      <c r="B3370" s="302" t="str">
        <f t="shared" si="54"/>
        <v>Y</v>
      </c>
      <c r="C3370" s="516" t="s">
        <v>10983</v>
      </c>
      <c r="E3370" s="400" t="s">
        <v>10980</v>
      </c>
      <c r="F3370" s="280">
        <v>38387</v>
      </c>
      <c r="G3370" s="280">
        <v>46070</v>
      </c>
      <c r="H3370" s="280">
        <v>46070</v>
      </c>
      <c r="I3370" s="325" t="s">
        <v>463</v>
      </c>
      <c r="K3370" s="97">
        <v>8862888415</v>
      </c>
    </row>
    <row r="3371" spans="1:11" x14ac:dyDescent="0.3">
      <c r="A3371" s="302" t="s">
        <v>155</v>
      </c>
      <c r="B3371" s="302" t="str">
        <f t="shared" si="54"/>
        <v>N</v>
      </c>
      <c r="C3371" s="516" t="s">
        <v>10981</v>
      </c>
      <c r="E3371" s="395" t="s">
        <v>10982</v>
      </c>
      <c r="F3371" s="280">
        <v>30247</v>
      </c>
      <c r="G3371" s="280"/>
      <c r="H3371" s="280"/>
      <c r="I3371" s="325"/>
      <c r="K3371" s="97">
        <v>9304360564</v>
      </c>
    </row>
    <row r="3372" spans="1:11" x14ac:dyDescent="0.3">
      <c r="A3372" s="302" t="s">
        <v>155</v>
      </c>
      <c r="B3372" s="302" t="str">
        <f t="shared" ref="B3372" si="55">IF(H3372="","N","Y")</f>
        <v>Y</v>
      </c>
      <c r="C3372" s="517" t="s">
        <v>10986</v>
      </c>
      <c r="E3372" s="401" t="s">
        <v>10987</v>
      </c>
      <c r="F3372" s="280">
        <v>30742</v>
      </c>
      <c r="G3372" s="280">
        <v>46073</v>
      </c>
      <c r="H3372" s="280">
        <v>46073</v>
      </c>
      <c r="I3372" s="402" t="s">
        <v>570</v>
      </c>
      <c r="K3372" s="97">
        <v>9122244338</v>
      </c>
    </row>
    <row r="3373" spans="1:11" x14ac:dyDescent="0.3">
      <c r="A3373" s="302" t="s">
        <v>155</v>
      </c>
      <c r="B3373" s="302" t="str">
        <f t="shared" ref="B3373" si="56">IF(H3373="","N","Y")</f>
        <v>Y</v>
      </c>
      <c r="C3373" s="517" t="s">
        <v>10988</v>
      </c>
      <c r="E3373" s="401" t="s">
        <v>10989</v>
      </c>
      <c r="F3373" s="280">
        <v>44935</v>
      </c>
      <c r="G3373" s="280">
        <v>46073</v>
      </c>
      <c r="H3373" s="280">
        <v>46073</v>
      </c>
      <c r="I3373" s="402" t="s">
        <v>570</v>
      </c>
      <c r="K3373" s="97">
        <v>8132977221</v>
      </c>
    </row>
    <row r="3374" spans="1:11" x14ac:dyDescent="0.3">
      <c r="A3374" s="302" t="s">
        <v>155</v>
      </c>
      <c r="B3374" s="302" t="str">
        <f t="shared" si="54"/>
        <v>Y</v>
      </c>
      <c r="C3374" s="518" t="s">
        <v>10990</v>
      </c>
      <c r="E3374" s="403" t="s">
        <v>10991</v>
      </c>
      <c r="F3374" s="280">
        <v>39209</v>
      </c>
      <c r="G3374" s="280">
        <v>46074</v>
      </c>
      <c r="H3374" s="280">
        <v>46074</v>
      </c>
      <c r="I3374" s="325"/>
      <c r="K3374" s="97">
        <v>9955465637</v>
      </c>
    </row>
    <row r="3375" spans="1:11" x14ac:dyDescent="0.3">
      <c r="A3375" s="302" t="s">
        <v>155</v>
      </c>
      <c r="B3375" s="302" t="str">
        <f t="shared" si="54"/>
        <v>Y</v>
      </c>
      <c r="C3375" s="519" t="s">
        <v>10992</v>
      </c>
      <c r="E3375" s="404" t="s">
        <v>10993</v>
      </c>
      <c r="F3375" s="280">
        <v>42069</v>
      </c>
      <c r="G3375" s="280">
        <v>46078</v>
      </c>
      <c r="H3375" s="280">
        <v>46081</v>
      </c>
      <c r="I3375" s="325"/>
      <c r="K3375" s="97">
        <v>8271344660</v>
      </c>
    </row>
    <row r="3376" spans="1:11" x14ac:dyDescent="0.3">
      <c r="A3376" s="302" t="s">
        <v>155</v>
      </c>
      <c r="B3376" s="302" t="str">
        <f t="shared" ref="B3376:B3415" si="57">IF(H3376="","N","Y")</f>
        <v>Y</v>
      </c>
      <c r="C3376" s="519" t="s">
        <v>10994</v>
      </c>
      <c r="E3376" s="404" t="s">
        <v>10995</v>
      </c>
      <c r="F3376" s="280">
        <v>40369</v>
      </c>
      <c r="G3376" s="280">
        <v>46078</v>
      </c>
      <c r="H3376" s="280">
        <v>46081</v>
      </c>
      <c r="I3376" s="325"/>
      <c r="K3376" s="97">
        <v>8271344660</v>
      </c>
    </row>
    <row r="3377" spans="1:11" x14ac:dyDescent="0.3">
      <c r="A3377" s="302" t="s">
        <v>155</v>
      </c>
      <c r="B3377" s="302" t="str">
        <f t="shared" si="57"/>
        <v>Y</v>
      </c>
      <c r="C3377" s="519" t="s">
        <v>10996</v>
      </c>
      <c r="E3377" s="404" t="s">
        <v>10997</v>
      </c>
      <c r="F3377" s="280">
        <v>21916</v>
      </c>
      <c r="G3377" s="280">
        <v>46078</v>
      </c>
      <c r="H3377" s="280">
        <v>46081</v>
      </c>
      <c r="I3377" s="325"/>
      <c r="K3377" s="97">
        <v>9304701805</v>
      </c>
    </row>
    <row r="3378" spans="1:11" x14ac:dyDescent="0.3">
      <c r="A3378" s="302" t="s">
        <v>155</v>
      </c>
      <c r="B3378" s="302" t="str">
        <f t="shared" si="57"/>
        <v>Y</v>
      </c>
      <c r="C3378" s="499" t="s">
        <v>11002</v>
      </c>
      <c r="E3378" s="404" t="s">
        <v>10998</v>
      </c>
      <c r="F3378" s="280">
        <v>39502</v>
      </c>
      <c r="G3378" s="280">
        <v>46081</v>
      </c>
      <c r="H3378" s="280">
        <v>46082</v>
      </c>
      <c r="I3378" s="325"/>
      <c r="K3378" s="97">
        <v>7654857715</v>
      </c>
    </row>
    <row r="3379" spans="1:11" x14ac:dyDescent="0.3">
      <c r="A3379" s="302" t="s">
        <v>155</v>
      </c>
      <c r="B3379" s="302" t="str">
        <f t="shared" si="57"/>
        <v>Y</v>
      </c>
      <c r="C3379" s="499" t="s">
        <v>11003</v>
      </c>
      <c r="E3379" s="405" t="s">
        <v>11004</v>
      </c>
      <c r="F3379" s="280">
        <v>33751</v>
      </c>
      <c r="G3379" s="280">
        <v>46083</v>
      </c>
      <c r="H3379" s="280">
        <v>46083</v>
      </c>
      <c r="I3379" s="406" t="s">
        <v>556</v>
      </c>
      <c r="K3379" s="97">
        <v>7977073636</v>
      </c>
    </row>
    <row r="3380" spans="1:11" x14ac:dyDescent="0.3">
      <c r="A3380" s="302" t="s">
        <v>155</v>
      </c>
      <c r="B3380" s="302" t="str">
        <f t="shared" si="57"/>
        <v>Y</v>
      </c>
      <c r="C3380" s="520" t="s">
        <v>11005</v>
      </c>
      <c r="E3380" s="407" t="s">
        <v>11006</v>
      </c>
      <c r="F3380" s="280">
        <v>30869</v>
      </c>
      <c r="G3380" s="280">
        <v>46086</v>
      </c>
      <c r="H3380" s="280">
        <v>46086</v>
      </c>
      <c r="I3380" s="406" t="s">
        <v>556</v>
      </c>
      <c r="K3380" s="97">
        <v>8877960536</v>
      </c>
    </row>
    <row r="3381" spans="1:11" x14ac:dyDescent="0.3">
      <c r="A3381" s="302" t="s">
        <v>155</v>
      </c>
      <c r="B3381" s="302" t="str">
        <f t="shared" si="57"/>
        <v>Y</v>
      </c>
      <c r="C3381" s="521" t="s">
        <v>11007</v>
      </c>
      <c r="E3381" s="408" t="s">
        <v>11008</v>
      </c>
      <c r="F3381" s="280">
        <v>29915</v>
      </c>
      <c r="G3381" s="280">
        <v>46087</v>
      </c>
      <c r="H3381" s="280">
        <v>46087</v>
      </c>
      <c r="I3381" s="325"/>
      <c r="K3381" s="97">
        <v>9210078816</v>
      </c>
    </row>
    <row r="3382" spans="1:11" x14ac:dyDescent="0.3">
      <c r="A3382" s="302" t="s">
        <v>155</v>
      </c>
      <c r="B3382" s="302" t="str">
        <f t="shared" ref="B3382:B3394" si="58">IF(H3382="","N","Y")</f>
        <v>Y</v>
      </c>
      <c r="C3382" s="518" t="s">
        <v>11013</v>
      </c>
      <c r="E3382" s="410" t="s">
        <v>11014</v>
      </c>
      <c r="F3382" s="280">
        <v>39492</v>
      </c>
      <c r="G3382" s="280">
        <v>46095</v>
      </c>
      <c r="H3382" s="280">
        <v>46095</v>
      </c>
      <c r="I3382" s="411" t="s">
        <v>556</v>
      </c>
      <c r="K3382" s="97">
        <v>7667396758</v>
      </c>
    </row>
    <row r="3383" spans="1:11" x14ac:dyDescent="0.3">
      <c r="A3383" s="302" t="s">
        <v>155</v>
      </c>
      <c r="B3383" s="302" t="str">
        <f t="shared" si="58"/>
        <v>Y</v>
      </c>
      <c r="C3383" s="518" t="s">
        <v>11016</v>
      </c>
      <c r="E3383" s="410" t="s">
        <v>11015</v>
      </c>
      <c r="F3383" s="280">
        <v>39465</v>
      </c>
      <c r="G3383" s="280">
        <v>46095</v>
      </c>
      <c r="H3383" s="280">
        <v>46095</v>
      </c>
      <c r="I3383" s="411" t="s">
        <v>556</v>
      </c>
      <c r="K3383" s="97">
        <v>6287813004</v>
      </c>
    </row>
    <row r="3384" spans="1:11" x14ac:dyDescent="0.3">
      <c r="A3384" s="302" t="s">
        <v>155</v>
      </c>
      <c r="B3384" s="302" t="str">
        <f t="shared" si="58"/>
        <v>Y</v>
      </c>
      <c r="C3384" s="518" t="s">
        <v>11017</v>
      </c>
      <c r="E3384" s="410" t="s">
        <v>11018</v>
      </c>
      <c r="F3384" s="280">
        <v>29062</v>
      </c>
      <c r="G3384" s="280">
        <v>46095</v>
      </c>
      <c r="H3384" s="280">
        <v>46095</v>
      </c>
      <c r="I3384" s="411" t="s">
        <v>556</v>
      </c>
      <c r="K3384" s="97">
        <v>6203087836</v>
      </c>
    </row>
    <row r="3385" spans="1:11" x14ac:dyDescent="0.3">
      <c r="A3385" s="302" t="s">
        <v>155</v>
      </c>
      <c r="B3385" s="302" t="str">
        <f t="shared" si="58"/>
        <v>Y</v>
      </c>
      <c r="C3385" s="518" t="s">
        <v>11020</v>
      </c>
      <c r="E3385" s="410" t="s">
        <v>11019</v>
      </c>
      <c r="F3385" s="280">
        <v>31174</v>
      </c>
      <c r="G3385" s="280">
        <v>46095</v>
      </c>
      <c r="H3385" s="280">
        <v>46095</v>
      </c>
      <c r="I3385" s="411" t="s">
        <v>556</v>
      </c>
      <c r="K3385" s="97">
        <v>9546506699</v>
      </c>
    </row>
    <row r="3386" spans="1:11" x14ac:dyDescent="0.3">
      <c r="A3386" s="302" t="s">
        <v>155</v>
      </c>
      <c r="B3386" s="302" t="str">
        <f t="shared" si="58"/>
        <v>Y</v>
      </c>
      <c r="C3386" s="518" t="s">
        <v>11021</v>
      </c>
      <c r="E3386" s="410" t="s">
        <v>11022</v>
      </c>
      <c r="F3386" s="280">
        <v>21746</v>
      </c>
      <c r="G3386" s="280">
        <v>46095</v>
      </c>
      <c r="H3386" s="280">
        <v>46095</v>
      </c>
      <c r="I3386" s="411" t="s">
        <v>556</v>
      </c>
      <c r="K3386" s="97">
        <v>9693329708</v>
      </c>
    </row>
    <row r="3387" spans="1:11" x14ac:dyDescent="0.3">
      <c r="A3387" s="302" t="s">
        <v>155</v>
      </c>
      <c r="B3387" s="302" t="str">
        <f t="shared" si="58"/>
        <v>Y</v>
      </c>
      <c r="C3387" s="518" t="s">
        <v>11024</v>
      </c>
      <c r="E3387" s="410" t="s">
        <v>11023</v>
      </c>
      <c r="F3387" s="280">
        <v>43351</v>
      </c>
      <c r="G3387" s="280">
        <v>46095</v>
      </c>
      <c r="H3387" s="280">
        <v>46095</v>
      </c>
      <c r="I3387" s="411" t="s">
        <v>556</v>
      </c>
      <c r="K3387" s="97">
        <v>9204251044</v>
      </c>
    </row>
    <row r="3388" spans="1:11" x14ac:dyDescent="0.3">
      <c r="A3388" s="302" t="s">
        <v>155</v>
      </c>
      <c r="B3388" s="302" t="str">
        <f t="shared" si="58"/>
        <v>Y</v>
      </c>
      <c r="C3388" s="522" t="s">
        <v>11028</v>
      </c>
      <c r="E3388" s="410" t="s">
        <v>11025</v>
      </c>
      <c r="F3388" s="280">
        <v>39866</v>
      </c>
      <c r="G3388" s="280">
        <v>46095</v>
      </c>
      <c r="H3388" s="280">
        <v>46095</v>
      </c>
      <c r="I3388" s="325"/>
      <c r="K3388" s="97">
        <v>9288558704</v>
      </c>
    </row>
    <row r="3389" spans="1:11" x14ac:dyDescent="0.3">
      <c r="A3389" s="302" t="s">
        <v>155</v>
      </c>
      <c r="B3389" s="302" t="str">
        <f t="shared" si="58"/>
        <v>N</v>
      </c>
      <c r="C3389" s="518" t="s">
        <v>11027</v>
      </c>
      <c r="E3389" s="410" t="s">
        <v>11026</v>
      </c>
      <c r="F3389" s="280">
        <v>38811</v>
      </c>
      <c r="G3389" s="280">
        <v>46095</v>
      </c>
      <c r="H3389" s="280"/>
      <c r="I3389" s="411" t="s">
        <v>556</v>
      </c>
    </row>
    <row r="3390" spans="1:11" x14ac:dyDescent="0.3">
      <c r="A3390" s="302" t="s">
        <v>155</v>
      </c>
      <c r="B3390" s="302" t="str">
        <f t="shared" si="58"/>
        <v>N</v>
      </c>
      <c r="C3390" s="522" t="s">
        <v>11029</v>
      </c>
      <c r="E3390" s="412" t="s">
        <v>9997</v>
      </c>
      <c r="F3390" s="280">
        <v>36007</v>
      </c>
      <c r="G3390" s="280">
        <v>46098</v>
      </c>
      <c r="H3390" s="280"/>
      <c r="I3390" s="413" t="s">
        <v>556</v>
      </c>
      <c r="K3390" s="97">
        <v>8797675952</v>
      </c>
    </row>
    <row r="3391" spans="1:11" x14ac:dyDescent="0.3">
      <c r="A3391" s="302" t="s">
        <v>155</v>
      </c>
      <c r="B3391" s="302" t="str">
        <f t="shared" si="58"/>
        <v>Y</v>
      </c>
      <c r="C3391" s="523" t="s">
        <v>11033</v>
      </c>
      <c r="E3391" s="414" t="s">
        <v>11034</v>
      </c>
      <c r="F3391" s="280">
        <v>45869</v>
      </c>
      <c r="G3391" s="280">
        <v>45734</v>
      </c>
      <c r="H3391" s="280">
        <v>46100</v>
      </c>
      <c r="I3391" s="325"/>
      <c r="K3391" s="97">
        <v>8092221727</v>
      </c>
    </row>
    <row r="3392" spans="1:11" x14ac:dyDescent="0.3">
      <c r="A3392" s="302" t="s">
        <v>155</v>
      </c>
      <c r="B3392" s="302" t="str">
        <f t="shared" si="58"/>
        <v>Y</v>
      </c>
      <c r="C3392" s="473" t="s">
        <v>11035</v>
      </c>
      <c r="E3392" s="414" t="s">
        <v>11036</v>
      </c>
      <c r="F3392" s="280">
        <v>21008</v>
      </c>
      <c r="G3392" s="280">
        <v>46100</v>
      </c>
      <c r="H3392" s="280">
        <v>46100</v>
      </c>
      <c r="I3392" s="325"/>
      <c r="K3392" s="97">
        <v>9939641301</v>
      </c>
    </row>
    <row r="3393" spans="1:12" x14ac:dyDescent="0.3">
      <c r="A3393" s="302" t="s">
        <v>155</v>
      </c>
      <c r="B3393" s="302" t="str">
        <f t="shared" si="58"/>
        <v>Y</v>
      </c>
      <c r="C3393" s="523" t="s">
        <v>11037</v>
      </c>
      <c r="E3393" s="414" t="s">
        <v>11038</v>
      </c>
      <c r="F3393" s="280">
        <v>38487</v>
      </c>
      <c r="G3393" s="280">
        <v>46100</v>
      </c>
      <c r="H3393" s="280">
        <v>46100</v>
      </c>
      <c r="I3393" s="325"/>
      <c r="K3393" s="97">
        <v>7261812342</v>
      </c>
    </row>
    <row r="3394" spans="1:12" x14ac:dyDescent="0.3">
      <c r="A3394" s="302" t="s">
        <v>155</v>
      </c>
      <c r="B3394" s="302" t="str">
        <f t="shared" si="58"/>
        <v>Y</v>
      </c>
      <c r="C3394" s="524" t="s">
        <v>11039</v>
      </c>
      <c r="E3394" s="415" t="s">
        <v>7661</v>
      </c>
      <c r="F3394" s="280">
        <v>32383</v>
      </c>
      <c r="G3394" s="280">
        <v>46101</v>
      </c>
      <c r="H3394" s="280">
        <v>46101</v>
      </c>
      <c r="I3394" s="325"/>
      <c r="K3394" s="97">
        <v>7250111700</v>
      </c>
      <c r="L3394">
        <f>68.764*95.315</f>
        <v>6554.2406599999995</v>
      </c>
    </row>
    <row r="3395" spans="1:12" x14ac:dyDescent="0.3">
      <c r="A3395" s="302" t="s">
        <v>155</v>
      </c>
      <c r="B3395" s="302" t="str">
        <f t="shared" ref="B3395:B3414" si="59">IF(H3395="","N","Y")</f>
        <v>Y</v>
      </c>
      <c r="C3395" s="525" t="s">
        <v>11040</v>
      </c>
      <c r="E3395" s="416" t="s">
        <v>11041</v>
      </c>
      <c r="F3395" s="280">
        <v>24135</v>
      </c>
      <c r="G3395" s="280">
        <v>46101</v>
      </c>
      <c r="H3395" s="280">
        <v>46101</v>
      </c>
      <c r="I3395" s="325">
        <f>1000/95.315</f>
        <v>10.491528091066463</v>
      </c>
      <c r="K3395" s="97">
        <v>7488370516</v>
      </c>
    </row>
    <row r="3396" spans="1:12" x14ac:dyDescent="0.3">
      <c r="A3396" s="302" t="s">
        <v>155</v>
      </c>
      <c r="B3396" s="302" t="str">
        <f t="shared" si="59"/>
        <v>N</v>
      </c>
      <c r="C3396" s="521"/>
      <c r="E3396" s="408"/>
      <c r="F3396" s="280">
        <f>68.764/7</f>
        <v>9.8234285714285701</v>
      </c>
      <c r="G3396" s="280"/>
      <c r="H3396" s="280"/>
      <c r="I3396" s="325">
        <f>1000/68.764</f>
        <v>14.542493165028214</v>
      </c>
    </row>
    <row r="3397" spans="1:12" x14ac:dyDescent="0.3">
      <c r="A3397" s="302" t="s">
        <v>155</v>
      </c>
      <c r="B3397" s="302" t="str">
        <f t="shared" si="59"/>
        <v>Y</v>
      </c>
      <c r="C3397" s="526" t="s">
        <v>11044</v>
      </c>
      <c r="E3397" s="418" t="s">
        <v>11045</v>
      </c>
      <c r="F3397" s="280">
        <v>33496</v>
      </c>
      <c r="G3397" s="280">
        <v>46102</v>
      </c>
      <c r="H3397" s="280">
        <v>46102</v>
      </c>
      <c r="I3397" s="417" t="s">
        <v>556</v>
      </c>
      <c r="K3397" s="97">
        <v>9262700881</v>
      </c>
    </row>
    <row r="3398" spans="1:12" x14ac:dyDescent="0.3">
      <c r="A3398" s="302" t="s">
        <v>155</v>
      </c>
      <c r="B3398" s="302" t="str">
        <f t="shared" si="59"/>
        <v>Y</v>
      </c>
      <c r="C3398" s="473" t="s">
        <v>11047</v>
      </c>
      <c r="E3398" s="418" t="s">
        <v>11046</v>
      </c>
      <c r="F3398" s="280">
        <v>24654</v>
      </c>
      <c r="G3398" s="280">
        <v>46102</v>
      </c>
      <c r="H3398" s="280">
        <v>46102</v>
      </c>
      <c r="I3398" s="417" t="s">
        <v>556</v>
      </c>
      <c r="K3398" s="97">
        <v>8789944099</v>
      </c>
    </row>
    <row r="3399" spans="1:12" x14ac:dyDescent="0.3">
      <c r="A3399" s="302" t="s">
        <v>155</v>
      </c>
      <c r="B3399" s="302" t="str">
        <f t="shared" si="59"/>
        <v>Y</v>
      </c>
      <c r="C3399" s="473" t="s">
        <v>11049</v>
      </c>
      <c r="E3399" s="418" t="s">
        <v>11048</v>
      </c>
      <c r="F3399" s="280">
        <v>39246</v>
      </c>
      <c r="G3399" s="280">
        <v>46102</v>
      </c>
      <c r="H3399" s="280">
        <v>46102</v>
      </c>
      <c r="I3399" s="417" t="s">
        <v>556</v>
      </c>
      <c r="K3399" s="97">
        <v>6209188292</v>
      </c>
    </row>
    <row r="3400" spans="1:12" x14ac:dyDescent="0.3">
      <c r="A3400" s="302" t="s">
        <v>155</v>
      </c>
      <c r="B3400" s="302" t="str">
        <f t="shared" si="59"/>
        <v>Y</v>
      </c>
      <c r="C3400" s="526" t="s">
        <v>11050</v>
      </c>
      <c r="E3400" s="418" t="s">
        <v>11051</v>
      </c>
      <c r="F3400" s="280">
        <v>39339</v>
      </c>
      <c r="G3400" s="280">
        <v>46102</v>
      </c>
      <c r="H3400" s="280">
        <v>46102</v>
      </c>
      <c r="I3400" s="417" t="s">
        <v>556</v>
      </c>
      <c r="K3400" s="97">
        <v>6205819842</v>
      </c>
    </row>
    <row r="3401" spans="1:12" x14ac:dyDescent="0.3">
      <c r="A3401" s="302" t="s">
        <v>155</v>
      </c>
      <c r="B3401" s="302" t="str">
        <f t="shared" si="59"/>
        <v>Y</v>
      </c>
      <c r="C3401" s="526" t="s">
        <v>11052</v>
      </c>
      <c r="E3401" s="418" t="s">
        <v>11053</v>
      </c>
      <c r="F3401" s="280">
        <v>39284</v>
      </c>
      <c r="G3401" s="280">
        <v>46102</v>
      </c>
      <c r="H3401" s="280">
        <v>46102</v>
      </c>
      <c r="I3401" s="417" t="s">
        <v>556</v>
      </c>
      <c r="K3401" s="97">
        <v>8521212707</v>
      </c>
    </row>
    <row r="3402" spans="1:12" x14ac:dyDescent="0.3">
      <c r="A3402" s="302" t="s">
        <v>155</v>
      </c>
      <c r="B3402" s="302" t="str">
        <f t="shared" si="59"/>
        <v>Y</v>
      </c>
      <c r="C3402" s="526" t="s">
        <v>11054</v>
      </c>
      <c r="E3402" s="418" t="s">
        <v>11055</v>
      </c>
      <c r="F3402" s="280">
        <v>34834</v>
      </c>
      <c r="G3402" s="280">
        <v>46102</v>
      </c>
      <c r="H3402" s="280">
        <v>46102</v>
      </c>
      <c r="I3402" s="417" t="s">
        <v>556</v>
      </c>
      <c r="K3402" s="97">
        <v>7209471793</v>
      </c>
    </row>
    <row r="3403" spans="1:12" x14ac:dyDescent="0.3">
      <c r="A3403" s="302" t="s">
        <v>155</v>
      </c>
      <c r="B3403" s="302" t="str">
        <f t="shared" si="59"/>
        <v>Y</v>
      </c>
      <c r="C3403" s="526" t="s">
        <v>11056</v>
      </c>
      <c r="E3403" s="418" t="s">
        <v>11057</v>
      </c>
      <c r="F3403" s="280">
        <v>37093</v>
      </c>
      <c r="G3403" s="280">
        <v>46102</v>
      </c>
      <c r="H3403" s="280">
        <v>46102</v>
      </c>
      <c r="I3403" s="417" t="s">
        <v>556</v>
      </c>
      <c r="K3403" s="97">
        <v>7004889118</v>
      </c>
    </row>
    <row r="3404" spans="1:12" x14ac:dyDescent="0.3">
      <c r="A3404" s="302" t="s">
        <v>155</v>
      </c>
      <c r="B3404" s="302" t="str">
        <f t="shared" si="59"/>
        <v>Y</v>
      </c>
      <c r="C3404" s="526" t="s">
        <v>11058</v>
      </c>
      <c r="E3404" s="418" t="s">
        <v>11059</v>
      </c>
      <c r="F3404" s="280">
        <v>39380</v>
      </c>
      <c r="G3404" s="280">
        <v>46102</v>
      </c>
      <c r="H3404" s="280">
        <v>46102</v>
      </c>
      <c r="I3404" s="417" t="s">
        <v>556</v>
      </c>
      <c r="K3404" s="97">
        <v>9905546714</v>
      </c>
    </row>
    <row r="3405" spans="1:12" x14ac:dyDescent="0.3">
      <c r="A3405" s="302" t="s">
        <v>155</v>
      </c>
      <c r="B3405" s="302" t="str">
        <f t="shared" si="59"/>
        <v>Y</v>
      </c>
      <c r="C3405" s="527" t="s">
        <v>11060</v>
      </c>
      <c r="E3405" s="419" t="s">
        <v>11061</v>
      </c>
      <c r="F3405" s="280">
        <v>30110</v>
      </c>
      <c r="G3405" s="280">
        <v>46102</v>
      </c>
      <c r="H3405" s="280">
        <v>46102</v>
      </c>
      <c r="I3405" s="417" t="s">
        <v>556</v>
      </c>
      <c r="K3405" s="97">
        <v>8789852164</v>
      </c>
    </row>
    <row r="3406" spans="1:12" x14ac:dyDescent="0.3">
      <c r="A3406" s="302" t="s">
        <v>155</v>
      </c>
      <c r="B3406" s="302" t="str">
        <f t="shared" si="59"/>
        <v>N</v>
      </c>
      <c r="C3406" s="528" t="s">
        <v>11062</v>
      </c>
      <c r="E3406" s="408" t="s">
        <v>11063</v>
      </c>
      <c r="F3406" s="280">
        <v>27075</v>
      </c>
      <c r="G3406" s="280"/>
      <c r="H3406" s="280"/>
      <c r="I3406" s="417" t="s">
        <v>556</v>
      </c>
      <c r="K3406" s="97">
        <v>9204695970</v>
      </c>
      <c r="L3406" s="420" t="s">
        <v>11064</v>
      </c>
    </row>
    <row r="3407" spans="1:12" x14ac:dyDescent="0.3">
      <c r="A3407" s="302" t="s">
        <v>155</v>
      </c>
      <c r="B3407" s="302" t="str">
        <f t="shared" si="59"/>
        <v>Y</v>
      </c>
      <c r="C3407" s="529" t="s">
        <v>11066</v>
      </c>
      <c r="E3407" s="421" t="s">
        <v>11067</v>
      </c>
      <c r="F3407" s="280">
        <v>38164</v>
      </c>
      <c r="G3407" s="280">
        <v>46106</v>
      </c>
      <c r="H3407" s="280">
        <v>46106</v>
      </c>
      <c r="I3407" s="325"/>
      <c r="K3407" s="97">
        <v>9693876271</v>
      </c>
    </row>
    <row r="3408" spans="1:12" x14ac:dyDescent="0.3">
      <c r="A3408" s="302" t="s">
        <v>155</v>
      </c>
      <c r="B3408" s="302" t="str">
        <f t="shared" si="59"/>
        <v>Y</v>
      </c>
      <c r="C3408" s="529" t="s">
        <v>11068</v>
      </c>
      <c r="E3408" s="421" t="s">
        <v>11069</v>
      </c>
      <c r="F3408" s="280">
        <v>38768</v>
      </c>
      <c r="G3408" s="280">
        <v>46106</v>
      </c>
      <c r="H3408" s="280">
        <v>46106</v>
      </c>
      <c r="I3408" s="325"/>
      <c r="K3408" s="97">
        <v>6299974745</v>
      </c>
    </row>
    <row r="3409" spans="1:11" x14ac:dyDescent="0.3">
      <c r="A3409" s="302" t="s">
        <v>155</v>
      </c>
      <c r="B3409" s="302" t="str">
        <f t="shared" si="59"/>
        <v>Y</v>
      </c>
      <c r="C3409" s="529" t="s">
        <v>11070</v>
      </c>
      <c r="E3409" s="421" t="s">
        <v>11071</v>
      </c>
      <c r="F3409" s="280">
        <v>38536</v>
      </c>
      <c r="G3409" s="280">
        <v>46106</v>
      </c>
      <c r="H3409" s="280">
        <v>46106</v>
      </c>
      <c r="I3409" s="422" t="s">
        <v>556</v>
      </c>
      <c r="K3409" s="97">
        <v>9031907147</v>
      </c>
    </row>
    <row r="3410" spans="1:11" x14ac:dyDescent="0.3">
      <c r="A3410" s="302" t="s">
        <v>155</v>
      </c>
      <c r="B3410" s="302" t="str">
        <f t="shared" si="59"/>
        <v>Y</v>
      </c>
      <c r="C3410" s="530" t="s">
        <v>11072</v>
      </c>
      <c r="E3410" s="423" t="s">
        <v>7344</v>
      </c>
      <c r="F3410" s="280">
        <v>32215</v>
      </c>
      <c r="G3410" s="280">
        <v>46106</v>
      </c>
      <c r="H3410" s="280">
        <v>46106</v>
      </c>
      <c r="I3410" s="325"/>
      <c r="K3410" s="97">
        <v>8434027032</v>
      </c>
    </row>
    <row r="3411" spans="1:11" x14ac:dyDescent="0.3">
      <c r="A3411" s="302" t="s">
        <v>155</v>
      </c>
      <c r="B3411" s="302" t="str">
        <f t="shared" si="59"/>
        <v>Y</v>
      </c>
      <c r="C3411" s="531" t="s">
        <v>11076</v>
      </c>
      <c r="E3411" s="425" t="s">
        <v>11077</v>
      </c>
      <c r="F3411" s="280">
        <v>24535</v>
      </c>
      <c r="G3411" s="280">
        <v>46107</v>
      </c>
      <c r="H3411" s="280">
        <v>46107</v>
      </c>
      <c r="I3411" s="325"/>
      <c r="K3411" s="97">
        <v>9835358614</v>
      </c>
    </row>
    <row r="3412" spans="1:11" x14ac:dyDescent="0.3">
      <c r="A3412" s="302" t="s">
        <v>155</v>
      </c>
      <c r="B3412" s="302" t="str">
        <f t="shared" si="59"/>
        <v>Y</v>
      </c>
      <c r="C3412" s="531" t="s">
        <v>11078</v>
      </c>
      <c r="E3412" s="425" t="s">
        <v>11079</v>
      </c>
      <c r="F3412" s="280">
        <v>38490</v>
      </c>
      <c r="G3412" s="280">
        <v>46109</v>
      </c>
      <c r="H3412" s="280">
        <v>46109</v>
      </c>
      <c r="I3412" s="325"/>
      <c r="K3412" s="97">
        <v>6206969766</v>
      </c>
    </row>
    <row r="3413" spans="1:11" s="409" customFormat="1" x14ac:dyDescent="0.3">
      <c r="A3413" s="302" t="s">
        <v>155</v>
      </c>
      <c r="B3413" s="302" t="str">
        <f t="shared" si="59"/>
        <v>N</v>
      </c>
      <c r="C3413" s="532"/>
    </row>
    <row r="3414" spans="1:11" x14ac:dyDescent="0.3">
      <c r="A3414" s="302" t="s">
        <v>155</v>
      </c>
      <c r="B3414" s="302" t="str">
        <f t="shared" si="59"/>
        <v>Y</v>
      </c>
      <c r="C3414" s="532" t="s">
        <v>11084</v>
      </c>
      <c r="E3414" s="426" t="s">
        <v>11083</v>
      </c>
      <c r="F3414" s="280">
        <v>39513</v>
      </c>
      <c r="G3414" s="280">
        <v>46118</v>
      </c>
      <c r="H3414" s="280">
        <v>46118</v>
      </c>
      <c r="I3414" s="325"/>
      <c r="K3414" s="97">
        <v>7667090825</v>
      </c>
    </row>
    <row r="3415" spans="1:11" x14ac:dyDescent="0.3">
      <c r="A3415" s="302" t="s">
        <v>155</v>
      </c>
      <c r="B3415" s="302" t="str">
        <f t="shared" si="57"/>
        <v>Y</v>
      </c>
      <c r="C3415" s="532" t="s">
        <v>11085</v>
      </c>
      <c r="E3415" s="427" t="s">
        <v>11086</v>
      </c>
      <c r="F3415" s="280">
        <v>38638</v>
      </c>
      <c r="G3415" s="280">
        <v>46124</v>
      </c>
      <c r="H3415" s="280">
        <v>46124</v>
      </c>
      <c r="I3415" s="325"/>
      <c r="K3415" s="97">
        <v>8210323960</v>
      </c>
    </row>
    <row r="3416" spans="1:11" x14ac:dyDescent="0.3">
      <c r="A3416" s="302" t="s">
        <v>155</v>
      </c>
      <c r="B3416" s="302" t="str">
        <f t="shared" ref="B3416" si="60">IF(H3416="","N","Y")</f>
        <v>Y</v>
      </c>
      <c r="C3416" s="532" t="s">
        <v>11088</v>
      </c>
      <c r="E3416" s="353" t="s">
        <v>11089</v>
      </c>
      <c r="F3416" s="280">
        <v>39463</v>
      </c>
      <c r="G3416" s="280">
        <v>46125</v>
      </c>
      <c r="H3416" s="280">
        <v>46125</v>
      </c>
      <c r="K3416" s="97">
        <v>9296434396</v>
      </c>
    </row>
    <row r="3417" spans="1:11" x14ac:dyDescent="0.3">
      <c r="A3417" s="302" t="s">
        <v>155</v>
      </c>
      <c r="B3417" s="302" t="str">
        <f t="shared" ref="B3417" si="61">IF(H3417="","N","Y")</f>
        <v>Y</v>
      </c>
      <c r="C3417" s="532" t="s">
        <v>11094</v>
      </c>
      <c r="E3417" s="428" t="s">
        <v>11095</v>
      </c>
      <c r="F3417" s="429" t="s">
        <v>11096</v>
      </c>
      <c r="G3417" s="280">
        <v>46127</v>
      </c>
      <c r="H3417" s="280">
        <v>46127</v>
      </c>
      <c r="K3417" s="97">
        <v>8797008625</v>
      </c>
    </row>
    <row r="3418" spans="1:11" x14ac:dyDescent="0.3">
      <c r="A3418" s="302" t="s">
        <v>155</v>
      </c>
      <c r="B3418" s="302" t="str">
        <f t="shared" ref="B3418:B3424" si="62">IF(H3418="","N","Y")</f>
        <v>Y</v>
      </c>
      <c r="C3418" s="532" t="s">
        <v>11097</v>
      </c>
      <c r="E3418" s="428" t="s">
        <v>11098</v>
      </c>
      <c r="F3418" s="280">
        <v>45612</v>
      </c>
      <c r="G3418" s="280">
        <v>46126</v>
      </c>
      <c r="H3418" s="280">
        <v>46127</v>
      </c>
      <c r="I3418" s="430" t="s">
        <v>556</v>
      </c>
    </row>
    <row r="3419" spans="1:11" x14ac:dyDescent="0.3">
      <c r="A3419" s="302" t="s">
        <v>155</v>
      </c>
      <c r="B3419" s="302" t="str">
        <f t="shared" si="62"/>
        <v>Y</v>
      </c>
      <c r="C3419" s="532" t="s">
        <v>11099</v>
      </c>
      <c r="E3419" s="435" t="s">
        <v>11118</v>
      </c>
      <c r="F3419" s="280">
        <v>44319</v>
      </c>
      <c r="G3419" s="280">
        <v>46126</v>
      </c>
      <c r="H3419" s="280">
        <v>46127</v>
      </c>
      <c r="I3419" s="430" t="s">
        <v>556</v>
      </c>
    </row>
    <row r="3420" spans="1:11" x14ac:dyDescent="0.3">
      <c r="A3420" s="302" t="s">
        <v>155</v>
      </c>
      <c r="B3420" s="302" t="str">
        <f t="shared" si="62"/>
        <v>Y</v>
      </c>
      <c r="C3420" s="473" t="s">
        <v>11112</v>
      </c>
      <c r="E3420" s="432" t="s">
        <v>11100</v>
      </c>
      <c r="F3420" s="280">
        <v>25906</v>
      </c>
      <c r="G3420" s="280">
        <v>46138</v>
      </c>
      <c r="H3420" s="280">
        <v>46139</v>
      </c>
      <c r="I3420" s="433" t="s">
        <v>556</v>
      </c>
      <c r="K3420" s="97">
        <v>9162186500</v>
      </c>
    </row>
    <row r="3421" spans="1:11" x14ac:dyDescent="0.3">
      <c r="A3421" s="302" t="s">
        <v>155</v>
      </c>
      <c r="B3421" s="302" t="str">
        <f t="shared" si="62"/>
        <v>Y</v>
      </c>
      <c r="C3421" s="532" t="s">
        <v>11113</v>
      </c>
      <c r="E3421" s="432" t="s">
        <v>11101</v>
      </c>
      <c r="F3421" s="280">
        <v>39755</v>
      </c>
      <c r="G3421" s="280">
        <v>46133</v>
      </c>
      <c r="H3421" s="280">
        <v>46133</v>
      </c>
      <c r="I3421" s="433" t="s">
        <v>556</v>
      </c>
      <c r="K3421" s="97">
        <v>9031056540</v>
      </c>
    </row>
    <row r="3422" spans="1:11" x14ac:dyDescent="0.3">
      <c r="A3422" s="302" t="s">
        <v>155</v>
      </c>
      <c r="B3422" s="302" t="str">
        <f t="shared" si="62"/>
        <v>Y</v>
      </c>
      <c r="C3422" s="532" t="s">
        <v>11114</v>
      </c>
      <c r="E3422" s="432" t="s">
        <v>11102</v>
      </c>
      <c r="F3422" s="280">
        <v>39755</v>
      </c>
      <c r="G3422" s="280">
        <v>46133</v>
      </c>
      <c r="H3422" s="280">
        <v>46133</v>
      </c>
      <c r="I3422" s="433" t="s">
        <v>556</v>
      </c>
      <c r="K3422" s="97">
        <v>9031056540</v>
      </c>
    </row>
    <row r="3423" spans="1:11" x14ac:dyDescent="0.3">
      <c r="A3423" s="302" t="s">
        <v>155</v>
      </c>
      <c r="B3423" s="302" t="str">
        <f t="shared" si="62"/>
        <v>Y</v>
      </c>
      <c r="C3423" s="532" t="s">
        <v>11111</v>
      </c>
      <c r="E3423" s="434" t="s">
        <v>11110</v>
      </c>
      <c r="F3423" s="280">
        <v>38224</v>
      </c>
      <c r="G3423" s="280">
        <v>46138</v>
      </c>
      <c r="H3423" s="280">
        <v>46139</v>
      </c>
      <c r="I3423" s="430"/>
      <c r="K3423" s="97">
        <v>9031739521</v>
      </c>
    </row>
    <row r="3424" spans="1:11" x14ac:dyDescent="0.3">
      <c r="A3424" s="302" t="s">
        <v>155</v>
      </c>
      <c r="B3424" s="302" t="str">
        <f t="shared" si="62"/>
        <v>Y</v>
      </c>
      <c r="C3424" s="532" t="s">
        <v>11119</v>
      </c>
      <c r="E3424" s="436" t="s">
        <v>11120</v>
      </c>
      <c r="F3424" s="280">
        <v>27961</v>
      </c>
      <c r="G3424" s="280">
        <v>46143</v>
      </c>
      <c r="H3424" s="280">
        <v>46143</v>
      </c>
      <c r="I3424" s="430"/>
      <c r="K3424" s="97">
        <v>7488205234</v>
      </c>
    </row>
    <row r="3425" spans="1:11" x14ac:dyDescent="0.3">
      <c r="A3425" s="302" t="s">
        <v>155</v>
      </c>
      <c r="B3425" s="302" t="str">
        <f t="shared" ref="B3425:B3426" si="63">IF(H3425="","N","Y")</f>
        <v>Y</v>
      </c>
      <c r="C3425" s="532" t="s">
        <v>11121</v>
      </c>
      <c r="E3425" s="436" t="s">
        <v>11123</v>
      </c>
      <c r="F3425" s="280"/>
      <c r="G3425" s="280">
        <v>46143</v>
      </c>
      <c r="H3425" s="280">
        <v>46143</v>
      </c>
      <c r="I3425" s="430"/>
      <c r="K3425" s="97">
        <v>7488205234</v>
      </c>
    </row>
    <row r="3426" spans="1:11" x14ac:dyDescent="0.3">
      <c r="A3426" s="302" t="s">
        <v>155</v>
      </c>
      <c r="B3426" s="302" t="str">
        <f t="shared" si="63"/>
        <v>Y</v>
      </c>
      <c r="C3426" s="532" t="s">
        <v>11122</v>
      </c>
      <c r="E3426" s="436" t="s">
        <v>11124</v>
      </c>
      <c r="F3426" s="280">
        <v>39284</v>
      </c>
      <c r="G3426" s="280">
        <v>46143</v>
      </c>
      <c r="H3426" s="280">
        <v>46143</v>
      </c>
      <c r="I3426" s="430"/>
      <c r="K3426" s="97">
        <v>9142997004</v>
      </c>
    </row>
    <row r="3427" spans="1:11" x14ac:dyDescent="0.3">
      <c r="A3427" s="302" t="s">
        <v>155</v>
      </c>
      <c r="B3427" s="302" t="str">
        <f t="shared" ref="B3427:B3428" si="64">IF(H3427="","N","Y")</f>
        <v>Y</v>
      </c>
      <c r="C3427" s="532" t="s">
        <v>11125</v>
      </c>
      <c r="E3427" s="437" t="s">
        <v>11126</v>
      </c>
      <c r="F3427" s="280">
        <v>39636</v>
      </c>
      <c r="G3427" s="280">
        <v>46144</v>
      </c>
      <c r="H3427" s="280">
        <v>46144</v>
      </c>
      <c r="I3427" s="430"/>
      <c r="K3427" s="97">
        <v>8789422787</v>
      </c>
    </row>
    <row r="3428" spans="1:11" ht="19.2" customHeight="1" x14ac:dyDescent="0.3">
      <c r="A3428" s="302" t="s">
        <v>155</v>
      </c>
      <c r="B3428" s="302" t="str">
        <f t="shared" si="64"/>
        <v>Y</v>
      </c>
      <c r="C3428" s="532" t="s">
        <v>11127</v>
      </c>
      <c r="E3428" s="437" t="s">
        <v>11128</v>
      </c>
      <c r="F3428" s="280">
        <v>36161</v>
      </c>
      <c r="G3428" s="280">
        <v>46144</v>
      </c>
      <c r="H3428" s="280">
        <v>46144</v>
      </c>
      <c r="K3428" s="97">
        <v>7250059158</v>
      </c>
    </row>
    <row r="3429" spans="1:11" ht="19.2" customHeight="1" x14ac:dyDescent="0.3">
      <c r="A3429" s="302" t="s">
        <v>155</v>
      </c>
      <c r="B3429" s="302" t="str">
        <f t="shared" ref="B3429:B3430" si="65">IF(H3429="","N","Y")</f>
        <v>Y</v>
      </c>
      <c r="C3429" s="532" t="s">
        <v>11129</v>
      </c>
      <c r="E3429" s="439" t="s">
        <v>11130</v>
      </c>
      <c r="F3429" s="280">
        <v>36986</v>
      </c>
      <c r="G3429" s="280">
        <v>46145</v>
      </c>
      <c r="H3429" s="280">
        <v>46145</v>
      </c>
      <c r="I3429" s="438" t="s">
        <v>556</v>
      </c>
      <c r="K3429" s="97">
        <v>8092700684</v>
      </c>
    </row>
    <row r="3430" spans="1:11" ht="19.2" customHeight="1" x14ac:dyDescent="0.3">
      <c r="A3430" s="302" t="s">
        <v>155</v>
      </c>
      <c r="B3430" s="302" t="str">
        <f t="shared" si="65"/>
        <v>Y</v>
      </c>
      <c r="C3430" s="532" t="s">
        <v>11131</v>
      </c>
      <c r="E3430" s="439" t="s">
        <v>11132</v>
      </c>
      <c r="F3430" s="280">
        <v>24469</v>
      </c>
      <c r="G3430" s="280">
        <v>46144</v>
      </c>
      <c r="H3430" s="280">
        <v>46144</v>
      </c>
      <c r="I3430" s="438" t="s">
        <v>556</v>
      </c>
      <c r="K3430" s="97">
        <v>8987516001</v>
      </c>
    </row>
    <row r="3431" spans="1:11" ht="19.2" customHeight="1" x14ac:dyDescent="0.3">
      <c r="A3431" s="302" t="s">
        <v>155</v>
      </c>
      <c r="B3431" s="302" t="str">
        <f t="shared" ref="B3431" si="66">IF(H3431="","N","Y")</f>
        <v>Y</v>
      </c>
      <c r="C3431" s="532" t="s">
        <v>11133</v>
      </c>
      <c r="E3431" s="439" t="s">
        <v>11134</v>
      </c>
      <c r="F3431" s="280">
        <v>34791</v>
      </c>
      <c r="G3431" s="280">
        <v>46145</v>
      </c>
      <c r="H3431" s="280">
        <v>46145</v>
      </c>
      <c r="K3431" s="97">
        <v>8986769983</v>
      </c>
    </row>
    <row r="3432" spans="1:11" ht="19.2" customHeight="1" x14ac:dyDescent="0.3">
      <c r="A3432" s="302" t="s">
        <v>155</v>
      </c>
      <c r="B3432" s="302" t="str">
        <f t="shared" ref="B3432" si="67">IF(H3432="","N","Y")</f>
        <v>Y</v>
      </c>
      <c r="C3432" s="532" t="s">
        <v>11135</v>
      </c>
      <c r="E3432" s="440" t="s">
        <v>11136</v>
      </c>
      <c r="F3432" s="280">
        <v>33923</v>
      </c>
      <c r="G3432" s="280">
        <v>46147</v>
      </c>
      <c r="H3432" s="280">
        <v>46147</v>
      </c>
      <c r="K3432" s="97">
        <v>8092448945</v>
      </c>
    </row>
    <row r="3433" spans="1:11" ht="19.2" customHeight="1" x14ac:dyDescent="0.3">
      <c r="A3433" s="302" t="s">
        <v>155</v>
      </c>
      <c r="B3433" s="302" t="str">
        <f t="shared" ref="B3433" si="68">IF(H3433="","N","Y")</f>
        <v>Y</v>
      </c>
      <c r="C3433" s="532" t="s">
        <v>11137</v>
      </c>
      <c r="E3433" s="441" t="s">
        <v>5628</v>
      </c>
      <c r="F3433" s="280">
        <v>39309</v>
      </c>
      <c r="G3433" s="280">
        <v>46148</v>
      </c>
      <c r="H3433" s="280">
        <v>46148</v>
      </c>
      <c r="I3433" s="442" t="s">
        <v>556</v>
      </c>
      <c r="K3433" s="97">
        <v>9523123465</v>
      </c>
    </row>
    <row r="3434" spans="1:11" ht="19.2" customHeight="1" x14ac:dyDescent="0.3">
      <c r="A3434" s="302" t="s">
        <v>155</v>
      </c>
      <c r="B3434" s="302" t="str">
        <f t="shared" ref="B3434" si="69">IF(H3434="","N","Y")</f>
        <v>Y</v>
      </c>
      <c r="C3434" s="532" t="s">
        <v>11138</v>
      </c>
      <c r="E3434" s="443" t="s">
        <v>11139</v>
      </c>
      <c r="F3434" s="280">
        <v>39472</v>
      </c>
      <c r="G3434" s="280">
        <v>46149</v>
      </c>
      <c r="H3434" s="280">
        <v>46149</v>
      </c>
      <c r="K3434" s="97">
        <v>7979728598</v>
      </c>
    </row>
    <row r="3435" spans="1:11" ht="19.2" customHeight="1" x14ac:dyDescent="0.3">
      <c r="A3435" s="302" t="s">
        <v>155</v>
      </c>
      <c r="B3435" s="302" t="str">
        <f t="shared" ref="B3435" si="70">IF(H3435="","N","Y")</f>
        <v>Y</v>
      </c>
      <c r="C3435" s="532" t="s">
        <v>11141</v>
      </c>
      <c r="E3435" s="444" t="s">
        <v>11140</v>
      </c>
      <c r="G3435" s="280">
        <v>46151</v>
      </c>
      <c r="H3435" s="280">
        <v>46151</v>
      </c>
    </row>
    <row r="3436" spans="1:11" ht="19.2" customHeight="1" x14ac:dyDescent="0.3">
      <c r="A3436" s="302" t="s">
        <v>155</v>
      </c>
      <c r="B3436" s="302" t="str">
        <f t="shared" ref="B3436" si="71">IF(H3436="","N","Y")</f>
        <v>Y</v>
      </c>
      <c r="C3436" s="532" t="s">
        <v>11142</v>
      </c>
      <c r="E3436" s="445" t="s">
        <v>11143</v>
      </c>
      <c r="F3436" s="280">
        <v>39522</v>
      </c>
      <c r="G3436" s="280">
        <v>46151</v>
      </c>
      <c r="H3436" s="280">
        <v>46151</v>
      </c>
      <c r="K3436" s="97">
        <v>7209885489</v>
      </c>
    </row>
    <row r="3437" spans="1:11" ht="19.2" customHeight="1" x14ac:dyDescent="0.3">
      <c r="A3437" s="302" t="s">
        <v>155</v>
      </c>
      <c r="B3437" s="302" t="str">
        <f t="shared" ref="B3437:B3454" si="72">IF(H3437="","N","Y")</f>
        <v>Y</v>
      </c>
      <c r="C3437" s="532" t="s">
        <v>11145</v>
      </c>
      <c r="E3437" s="446" t="s">
        <v>11146</v>
      </c>
      <c r="F3437" s="280">
        <v>39367</v>
      </c>
      <c r="G3437" s="280">
        <v>46162</v>
      </c>
      <c r="H3437" s="280">
        <v>46162</v>
      </c>
      <c r="K3437" s="97">
        <v>8936098436</v>
      </c>
    </row>
    <row r="3438" spans="1:11" ht="19.2" customHeight="1" x14ac:dyDescent="0.3">
      <c r="A3438" s="302" t="s">
        <v>155</v>
      </c>
      <c r="B3438" s="302" t="str">
        <f t="shared" si="72"/>
        <v>Y</v>
      </c>
      <c r="C3438" s="532" t="s">
        <v>11147</v>
      </c>
      <c r="E3438" s="446" t="s">
        <v>11148</v>
      </c>
      <c r="F3438" s="280">
        <v>39250</v>
      </c>
      <c r="G3438" s="280">
        <v>46162</v>
      </c>
      <c r="H3438" s="280">
        <v>46162</v>
      </c>
      <c r="K3438" s="97">
        <v>9608680287</v>
      </c>
    </row>
    <row r="3439" spans="1:11" ht="19.2" customHeight="1" x14ac:dyDescent="0.3">
      <c r="A3439" s="302" t="s">
        <v>155</v>
      </c>
      <c r="B3439" s="302" t="str">
        <f t="shared" si="72"/>
        <v>Y</v>
      </c>
      <c r="C3439" s="532" t="s">
        <v>11149</v>
      </c>
      <c r="E3439" s="446" t="s">
        <v>11150</v>
      </c>
      <c r="F3439" s="280">
        <v>40889</v>
      </c>
      <c r="G3439" s="280">
        <v>46162</v>
      </c>
      <c r="H3439" s="280">
        <v>46162</v>
      </c>
      <c r="K3439" s="97">
        <v>9031000413</v>
      </c>
    </row>
    <row r="3440" spans="1:11" ht="19.2" customHeight="1" x14ac:dyDescent="0.3">
      <c r="A3440" s="302" t="s">
        <v>155</v>
      </c>
      <c r="B3440" s="302" t="str">
        <f t="shared" si="72"/>
        <v>Y</v>
      </c>
      <c r="C3440" s="532" t="s">
        <v>11151</v>
      </c>
      <c r="E3440" s="446" t="s">
        <v>11152</v>
      </c>
      <c r="F3440" s="280">
        <v>39566</v>
      </c>
      <c r="G3440" s="280">
        <v>46162</v>
      </c>
      <c r="H3440" s="280">
        <v>46162</v>
      </c>
      <c r="K3440" s="97">
        <v>8797605742</v>
      </c>
    </row>
    <row r="3441" spans="1:11" ht="19.2" customHeight="1" x14ac:dyDescent="0.3">
      <c r="A3441" s="302" t="s">
        <v>155</v>
      </c>
      <c r="B3441" s="302" t="str">
        <f t="shared" si="72"/>
        <v>Y</v>
      </c>
      <c r="C3441" s="532" t="s">
        <v>11153</v>
      </c>
      <c r="E3441" s="446" t="s">
        <v>11154</v>
      </c>
      <c r="F3441" s="280">
        <v>24852</v>
      </c>
      <c r="G3441" s="280">
        <v>46162</v>
      </c>
      <c r="H3441" s="280">
        <v>46162</v>
      </c>
      <c r="K3441" s="97">
        <v>7488361901</v>
      </c>
    </row>
    <row r="3442" spans="1:11" ht="19.2" customHeight="1" x14ac:dyDescent="0.3">
      <c r="A3442" s="302" t="s">
        <v>155</v>
      </c>
      <c r="B3442" s="302" t="str">
        <f t="shared" si="72"/>
        <v>Y</v>
      </c>
      <c r="C3442" s="532" t="s">
        <v>11155</v>
      </c>
      <c r="E3442" s="446" t="s">
        <v>11156</v>
      </c>
      <c r="F3442" s="280">
        <v>37913</v>
      </c>
      <c r="G3442" s="280">
        <v>46162</v>
      </c>
      <c r="H3442" s="280">
        <v>46162</v>
      </c>
      <c r="K3442" s="97">
        <v>7258965938</v>
      </c>
    </row>
    <row r="3443" spans="1:11" ht="19.2" customHeight="1" x14ac:dyDescent="0.3">
      <c r="A3443" s="302" t="s">
        <v>155</v>
      </c>
      <c r="B3443" s="302" t="str">
        <f t="shared" si="72"/>
        <v>Y</v>
      </c>
      <c r="C3443" s="532" t="s">
        <v>11157</v>
      </c>
      <c r="E3443" s="446" t="s">
        <v>11158</v>
      </c>
      <c r="F3443" s="280">
        <v>39206</v>
      </c>
      <c r="G3443" s="280">
        <v>46162</v>
      </c>
      <c r="H3443" s="280">
        <v>46162</v>
      </c>
      <c r="K3443" s="97">
        <v>6201935748</v>
      </c>
    </row>
    <row r="3444" spans="1:11" ht="19.2" customHeight="1" x14ac:dyDescent="0.3">
      <c r="A3444" s="302" t="s">
        <v>155</v>
      </c>
      <c r="B3444" s="302" t="str">
        <f t="shared" si="72"/>
        <v>Y</v>
      </c>
      <c r="C3444" s="532" t="s">
        <v>11159</v>
      </c>
      <c r="E3444" s="446" t="s">
        <v>6390</v>
      </c>
      <c r="F3444" s="280">
        <v>39828</v>
      </c>
      <c r="G3444" s="280">
        <v>46152</v>
      </c>
      <c r="H3444" s="280">
        <v>46152</v>
      </c>
      <c r="K3444" s="97">
        <v>8335038676</v>
      </c>
    </row>
    <row r="3445" spans="1:11" ht="19.2" customHeight="1" x14ac:dyDescent="0.3">
      <c r="A3445" s="302" t="s">
        <v>155</v>
      </c>
      <c r="B3445" s="302" t="str">
        <f t="shared" si="72"/>
        <v>Y</v>
      </c>
      <c r="C3445" s="532" t="s">
        <v>11160</v>
      </c>
      <c r="E3445" s="446" t="s">
        <v>6493</v>
      </c>
      <c r="F3445" s="280">
        <v>39458</v>
      </c>
      <c r="G3445" s="280">
        <v>46162</v>
      </c>
      <c r="H3445" s="280">
        <v>46162</v>
      </c>
      <c r="K3445" s="97">
        <v>7979025934</v>
      </c>
    </row>
    <row r="3446" spans="1:11" ht="19.2" customHeight="1" x14ac:dyDescent="0.3">
      <c r="A3446" s="302" t="s">
        <v>155</v>
      </c>
      <c r="B3446" s="302" t="str">
        <f t="shared" si="72"/>
        <v>Y</v>
      </c>
      <c r="C3446" s="532" t="s">
        <v>11161</v>
      </c>
      <c r="E3446" s="447" t="s">
        <v>528</v>
      </c>
      <c r="F3446" s="280">
        <v>38765</v>
      </c>
      <c r="G3446" s="280">
        <v>46162</v>
      </c>
      <c r="H3446" s="280">
        <v>46163</v>
      </c>
      <c r="I3446" t="s">
        <v>556</v>
      </c>
      <c r="K3446" s="97">
        <v>7667022004</v>
      </c>
    </row>
    <row r="3447" spans="1:11" ht="19.2" customHeight="1" x14ac:dyDescent="0.3">
      <c r="A3447" s="302" t="s">
        <v>155</v>
      </c>
      <c r="B3447" s="302" t="str">
        <f t="shared" si="72"/>
        <v>Y</v>
      </c>
      <c r="C3447" s="532" t="s">
        <v>11162</v>
      </c>
      <c r="E3447" s="447" t="s">
        <v>11163</v>
      </c>
      <c r="F3447" s="280">
        <v>39605</v>
      </c>
      <c r="G3447" s="280">
        <v>46162</v>
      </c>
      <c r="H3447" s="280">
        <v>46163</v>
      </c>
      <c r="I3447" t="s">
        <v>556</v>
      </c>
      <c r="K3447" s="97">
        <v>9234143013</v>
      </c>
    </row>
    <row r="3448" spans="1:11" ht="19.2" customHeight="1" x14ac:dyDescent="0.3">
      <c r="A3448" s="302" t="s">
        <v>155</v>
      </c>
      <c r="B3448" s="302" t="str">
        <f t="shared" si="72"/>
        <v>Y</v>
      </c>
      <c r="C3448" s="532" t="s">
        <v>11164</v>
      </c>
      <c r="E3448" s="447" t="s">
        <v>6493</v>
      </c>
      <c r="F3448" s="280">
        <v>43067</v>
      </c>
      <c r="G3448" s="280">
        <v>46162</v>
      </c>
      <c r="H3448" s="280">
        <v>46163</v>
      </c>
      <c r="K3448" s="97">
        <v>9801688071</v>
      </c>
    </row>
    <row r="3449" spans="1:11" ht="19.2" customHeight="1" x14ac:dyDescent="0.3">
      <c r="A3449" s="302" t="s">
        <v>155</v>
      </c>
      <c r="B3449" s="302" t="str">
        <f t="shared" si="72"/>
        <v>Y</v>
      </c>
      <c r="C3449" s="532" t="s">
        <v>11165</v>
      </c>
      <c r="E3449" s="447" t="s">
        <v>11166</v>
      </c>
      <c r="F3449" s="280">
        <v>39266</v>
      </c>
      <c r="G3449" s="280">
        <v>46162</v>
      </c>
      <c r="H3449" s="280">
        <v>46163</v>
      </c>
      <c r="K3449" s="97">
        <v>8709245939</v>
      </c>
    </row>
    <row r="3450" spans="1:11" ht="19.2" customHeight="1" x14ac:dyDescent="0.3">
      <c r="A3450" s="302" t="s">
        <v>155</v>
      </c>
      <c r="B3450" s="302" t="str">
        <f t="shared" si="72"/>
        <v>Y</v>
      </c>
      <c r="C3450" s="532" t="s">
        <v>11167</v>
      </c>
      <c r="E3450" s="447" t="s">
        <v>11168</v>
      </c>
      <c r="F3450" s="280">
        <v>37622</v>
      </c>
      <c r="G3450" s="280">
        <v>46162</v>
      </c>
      <c r="H3450" s="280">
        <v>46163</v>
      </c>
      <c r="K3450" s="97">
        <v>7070860747</v>
      </c>
    </row>
    <row r="3451" spans="1:11" ht="19.2" customHeight="1" x14ac:dyDescent="0.3">
      <c r="A3451" s="302" t="s">
        <v>155</v>
      </c>
      <c r="B3451" s="302" t="str">
        <f t="shared" si="72"/>
        <v>Y</v>
      </c>
      <c r="C3451" s="532" t="s">
        <v>11169</v>
      </c>
      <c r="E3451" s="447" t="s">
        <v>11170</v>
      </c>
      <c r="F3451" s="280">
        <v>38385</v>
      </c>
      <c r="G3451" s="280">
        <v>46162</v>
      </c>
      <c r="H3451" s="280">
        <v>46163</v>
      </c>
      <c r="K3451" s="97">
        <v>7992286091</v>
      </c>
    </row>
    <row r="3452" spans="1:11" ht="19.2" customHeight="1" x14ac:dyDescent="0.3">
      <c r="A3452" s="302" t="s">
        <v>155</v>
      </c>
      <c r="B3452" s="302" t="str">
        <f t="shared" si="72"/>
        <v>Y</v>
      </c>
      <c r="C3452" s="532" t="s">
        <v>11171</v>
      </c>
      <c r="E3452" s="447" t="s">
        <v>11172</v>
      </c>
      <c r="F3452" s="280">
        <v>39144</v>
      </c>
      <c r="G3452" s="280">
        <v>46162</v>
      </c>
      <c r="H3452" s="280">
        <v>46163</v>
      </c>
      <c r="K3452" s="97">
        <v>9835656988</v>
      </c>
    </row>
    <row r="3453" spans="1:11" ht="19.2" customHeight="1" x14ac:dyDescent="0.3">
      <c r="A3453" s="302" t="s">
        <v>155</v>
      </c>
      <c r="B3453" s="302" t="str">
        <f t="shared" si="72"/>
        <v>N</v>
      </c>
      <c r="C3453" s="532"/>
      <c r="E3453" s="448" t="s">
        <v>11175</v>
      </c>
      <c r="F3453" s="280">
        <v>31552</v>
      </c>
      <c r="G3453" s="280">
        <v>46163</v>
      </c>
      <c r="H3453" s="280"/>
    </row>
    <row r="3454" spans="1:11" ht="19.2" customHeight="1" x14ac:dyDescent="0.3">
      <c r="A3454" s="302" t="s">
        <v>155</v>
      </c>
      <c r="B3454" s="302" t="str">
        <f t="shared" si="72"/>
        <v>Y</v>
      </c>
      <c r="C3454" s="532">
        <v>990059762247894</v>
      </c>
      <c r="E3454" s="534" t="s">
        <v>11176</v>
      </c>
      <c r="F3454" s="280">
        <v>39345</v>
      </c>
      <c r="G3454" s="280">
        <v>46164</v>
      </c>
      <c r="H3454" s="280">
        <v>46164</v>
      </c>
      <c r="K3454" s="97">
        <v>8863865999</v>
      </c>
    </row>
    <row r="3455" spans="1:11" ht="19.2" customHeight="1" x14ac:dyDescent="0.3">
      <c r="A3455" s="302" t="s">
        <v>155</v>
      </c>
      <c r="B3455" s="302" t="str">
        <f t="shared" ref="B3455:B3456" si="73">IF(H3455="","N","Y")</f>
        <v>Y</v>
      </c>
      <c r="C3455" s="532" t="s">
        <v>11178</v>
      </c>
      <c r="E3455" s="536" t="s">
        <v>11177</v>
      </c>
      <c r="F3455" s="280">
        <v>40088</v>
      </c>
      <c r="G3455" s="280">
        <v>46166</v>
      </c>
      <c r="H3455" s="280">
        <v>46166</v>
      </c>
      <c r="K3455" s="97">
        <v>9631563263</v>
      </c>
    </row>
    <row r="3456" spans="1:11" ht="19.2" customHeight="1" x14ac:dyDescent="0.3">
      <c r="A3456" s="302" t="s">
        <v>155</v>
      </c>
      <c r="B3456" s="302" t="str">
        <f t="shared" si="73"/>
        <v>Y</v>
      </c>
      <c r="C3456" s="532" t="s">
        <v>11184</v>
      </c>
      <c r="E3456" s="537" t="s">
        <v>11183</v>
      </c>
      <c r="F3456" s="280">
        <v>41274</v>
      </c>
      <c r="G3456" s="280">
        <v>46175</v>
      </c>
      <c r="H3456" s="280">
        <v>46176</v>
      </c>
      <c r="K3456" s="97">
        <v>7004459030</v>
      </c>
    </row>
    <row r="3457" spans="1:11" ht="19.2" customHeight="1" x14ac:dyDescent="0.3">
      <c r="A3457" s="302" t="s">
        <v>155</v>
      </c>
      <c r="B3457" s="302" t="str">
        <f t="shared" ref="B3457:B3459" si="74">IF(H3457="","N","Y")</f>
        <v>Y</v>
      </c>
      <c r="C3457" s="532" t="s">
        <v>11185</v>
      </c>
      <c r="E3457" s="537" t="s">
        <v>11186</v>
      </c>
      <c r="F3457" s="280">
        <v>39590</v>
      </c>
      <c r="G3457" s="280">
        <v>46175</v>
      </c>
      <c r="H3457" s="280">
        <v>46176</v>
      </c>
      <c r="K3457" s="97">
        <v>7700870760</v>
      </c>
    </row>
    <row r="3458" spans="1:11" ht="19.2" customHeight="1" x14ac:dyDescent="0.3">
      <c r="A3458" s="302" t="s">
        <v>155</v>
      </c>
      <c r="B3458" s="302" t="str">
        <f t="shared" si="74"/>
        <v>Y</v>
      </c>
      <c r="C3458" s="532" t="s">
        <v>11187</v>
      </c>
      <c r="E3458" s="537" t="s">
        <v>11188</v>
      </c>
      <c r="F3458" s="280">
        <v>39798</v>
      </c>
      <c r="G3458" s="280">
        <v>46175</v>
      </c>
      <c r="H3458" s="280">
        <v>46176</v>
      </c>
      <c r="K3458" s="97">
        <v>8092864591</v>
      </c>
    </row>
    <row r="3459" spans="1:11" ht="19.2" customHeight="1" x14ac:dyDescent="0.3">
      <c r="A3459" s="302" t="s">
        <v>155</v>
      </c>
      <c r="B3459" s="302" t="str">
        <f t="shared" si="74"/>
        <v>Y</v>
      </c>
      <c r="C3459" s="532" t="s">
        <v>11189</v>
      </c>
      <c r="E3459" s="537" t="s">
        <v>11190</v>
      </c>
      <c r="F3459" s="280">
        <v>39586</v>
      </c>
      <c r="G3459" s="280">
        <v>46175</v>
      </c>
      <c r="H3459" s="280">
        <v>46176</v>
      </c>
      <c r="K3459" s="97">
        <v>7766989130</v>
      </c>
    </row>
    <row r="3460" spans="1:11" ht="19.2" customHeight="1" x14ac:dyDescent="0.3">
      <c r="A3460" s="302" t="s">
        <v>155</v>
      </c>
      <c r="B3460" s="302" t="str">
        <f t="shared" ref="B3460" si="75">IF(H3460="","N","Y")</f>
        <v>Y</v>
      </c>
      <c r="C3460" s="532">
        <v>990059768846083</v>
      </c>
      <c r="E3460" s="539" t="s">
        <v>11201</v>
      </c>
      <c r="F3460" s="280">
        <v>38385</v>
      </c>
      <c r="G3460" s="280">
        <v>46182</v>
      </c>
      <c r="H3460" s="280">
        <v>46182</v>
      </c>
      <c r="K3460" s="97">
        <v>8918390878</v>
      </c>
    </row>
    <row r="3461" spans="1:11" ht="19.2" customHeight="1" x14ac:dyDescent="0.3">
      <c r="A3461" s="302" t="s">
        <v>155</v>
      </c>
      <c r="B3461" s="302" t="str">
        <f t="shared" ref="B3461" si="76">IF(H3461="","N","Y")</f>
        <v>Y</v>
      </c>
      <c r="C3461" s="532">
        <v>990059769260251</v>
      </c>
      <c r="E3461" s="540" t="s">
        <v>11202</v>
      </c>
      <c r="F3461" s="280">
        <v>39093</v>
      </c>
      <c r="G3461" s="280">
        <v>46183</v>
      </c>
      <c r="H3461" s="280">
        <v>46183</v>
      </c>
      <c r="K3461" s="97">
        <v>8092880893</v>
      </c>
    </row>
    <row r="3462" spans="1:11" ht="19.2" customHeight="1" x14ac:dyDescent="0.3">
      <c r="A3462" s="302" t="s">
        <v>155</v>
      </c>
      <c r="B3462" s="302" t="str">
        <f t="shared" ref="B3462" si="77">IF(H3462="","N","Y")</f>
        <v>Y</v>
      </c>
      <c r="C3462" s="532">
        <v>990059769481646</v>
      </c>
      <c r="E3462" s="541" t="s">
        <v>11205</v>
      </c>
      <c r="F3462" s="280">
        <v>39501</v>
      </c>
      <c r="G3462" s="280">
        <v>46184</v>
      </c>
      <c r="H3462" s="280">
        <v>46184</v>
      </c>
      <c r="K3462" s="97">
        <v>8797086847</v>
      </c>
    </row>
    <row r="3463" spans="1:11" ht="19.2" customHeight="1" x14ac:dyDescent="0.3">
      <c r="A3463" s="302" t="s">
        <v>155</v>
      </c>
      <c r="B3463" s="302" t="str">
        <f t="shared" ref="B3463" si="78">IF(H3463="","N","Y")</f>
        <v>Y</v>
      </c>
      <c r="C3463" s="532">
        <v>990059769972420</v>
      </c>
      <c r="E3463" s="542" t="s">
        <v>11206</v>
      </c>
      <c r="F3463" s="280">
        <v>39553</v>
      </c>
      <c r="G3463" s="280">
        <v>46185</v>
      </c>
      <c r="H3463" s="280">
        <v>46185</v>
      </c>
      <c r="K3463" s="97">
        <v>7979812818</v>
      </c>
    </row>
    <row r="3464" spans="1:11" ht="19.2" customHeight="1" x14ac:dyDescent="0.3">
      <c r="A3464" s="302" t="s">
        <v>155</v>
      </c>
      <c r="B3464" s="302" t="str">
        <f t="shared" ref="B3464:B3465" si="79">IF(H3464="","N","Y")</f>
        <v>Y</v>
      </c>
      <c r="C3464" s="532" t="s">
        <v>11207</v>
      </c>
      <c r="E3464" s="542" t="s">
        <v>11208</v>
      </c>
      <c r="F3464" s="280">
        <v>23377</v>
      </c>
      <c r="G3464" s="280">
        <v>46185</v>
      </c>
      <c r="H3464" s="280">
        <v>46185</v>
      </c>
      <c r="K3464" s="97">
        <v>7070361262</v>
      </c>
    </row>
    <row r="3465" spans="1:11" ht="19.2" customHeight="1" x14ac:dyDescent="0.3">
      <c r="A3465" s="302" t="s">
        <v>155</v>
      </c>
      <c r="B3465" s="302" t="str">
        <f t="shared" si="79"/>
        <v>Y</v>
      </c>
      <c r="C3465" s="532" t="s">
        <v>11209</v>
      </c>
      <c r="E3465" s="542" t="s">
        <v>11210</v>
      </c>
      <c r="F3465" s="280">
        <v>39726</v>
      </c>
      <c r="G3465" s="280">
        <v>46185</v>
      </c>
      <c r="H3465" s="280">
        <v>46185</v>
      </c>
      <c r="K3465" s="97">
        <v>9881025442</v>
      </c>
    </row>
    <row r="3466" spans="1:11" ht="19.2" customHeight="1" x14ac:dyDescent="0.3">
      <c r="A3466" s="302" t="s">
        <v>155</v>
      </c>
      <c r="B3466" s="302" t="str">
        <f t="shared" ref="B3466" si="80">IF(H3466="","N","Y")</f>
        <v>Y</v>
      </c>
      <c r="C3466" s="532" t="s">
        <v>11211</v>
      </c>
      <c r="E3466" s="542" t="s">
        <v>11212</v>
      </c>
      <c r="F3466" s="280">
        <v>37141</v>
      </c>
      <c r="G3466" s="280">
        <v>46177</v>
      </c>
      <c r="H3466" s="280">
        <v>46177</v>
      </c>
      <c r="K3466" s="97">
        <v>8210040769</v>
      </c>
    </row>
    <row r="3467" spans="1:11" ht="19.2" customHeight="1" x14ac:dyDescent="0.3">
      <c r="A3467" s="302" t="s">
        <v>155</v>
      </c>
      <c r="B3467" s="302" t="str">
        <f t="shared" ref="B3467:B3468" si="81">IF(H3467="","N","Y")</f>
        <v>Y</v>
      </c>
      <c r="C3467" s="532" t="s">
        <v>11216</v>
      </c>
      <c r="E3467" s="542" t="s">
        <v>11213</v>
      </c>
      <c r="F3467" s="280">
        <v>39442</v>
      </c>
      <c r="G3467" s="280">
        <v>46186</v>
      </c>
      <c r="H3467" s="280">
        <v>46186</v>
      </c>
      <c r="K3467" s="97">
        <v>6209035532</v>
      </c>
    </row>
    <row r="3468" spans="1:11" ht="19.2" customHeight="1" x14ac:dyDescent="0.3">
      <c r="A3468" s="302" t="s">
        <v>155</v>
      </c>
      <c r="B3468" s="302" t="str">
        <f t="shared" si="81"/>
        <v>Y</v>
      </c>
      <c r="C3468" s="532" t="s">
        <v>11217</v>
      </c>
      <c r="E3468" s="542" t="s">
        <v>11214</v>
      </c>
      <c r="F3468" s="280">
        <v>39406</v>
      </c>
      <c r="G3468" s="280">
        <v>46187</v>
      </c>
      <c r="H3468" s="280">
        <v>46187</v>
      </c>
      <c r="K3468" s="97">
        <v>9798998337</v>
      </c>
    </row>
    <row r="3469" spans="1:11" ht="19.2" customHeight="1" x14ac:dyDescent="0.3">
      <c r="A3469" s="302" t="s">
        <v>155</v>
      </c>
      <c r="B3469" s="302" t="str">
        <f t="shared" ref="B3469" si="82">IF(H3469="","N","Y")</f>
        <v>Y</v>
      </c>
      <c r="C3469" s="532" t="s">
        <v>11220</v>
      </c>
      <c r="E3469" s="543" t="s">
        <v>11221</v>
      </c>
      <c r="F3469" s="280">
        <v>29600</v>
      </c>
      <c r="G3469" s="280">
        <v>46187</v>
      </c>
      <c r="H3469" s="280">
        <v>46187</v>
      </c>
      <c r="K3469" s="97">
        <v>6207420722</v>
      </c>
    </row>
    <row r="3470" spans="1:11" ht="19.2" customHeight="1" x14ac:dyDescent="0.3">
      <c r="A3470" s="302" t="s">
        <v>155</v>
      </c>
      <c r="B3470" s="302" t="str">
        <f t="shared" ref="B3470" si="83">IF(H3470="","N","Y")</f>
        <v>N</v>
      </c>
      <c r="C3470" s="532"/>
      <c r="E3470" s="544" t="s">
        <v>11223</v>
      </c>
      <c r="F3470" s="280">
        <v>34961</v>
      </c>
      <c r="G3470" s="280">
        <v>46189</v>
      </c>
      <c r="H3470" s="280"/>
      <c r="K3470" s="97">
        <v>7482025786</v>
      </c>
    </row>
    <row r="3471" spans="1:11" ht="19.2" customHeight="1" x14ac:dyDescent="0.3">
      <c r="A3471" s="302" t="s">
        <v>155</v>
      </c>
      <c r="B3471" s="302" t="str">
        <f t="shared" ref="B3471" si="84">IF(H3471="","N","Y")</f>
        <v>N</v>
      </c>
      <c r="C3471" s="532" t="s">
        <v>11224</v>
      </c>
      <c r="E3471" s="545" t="s">
        <v>11225</v>
      </c>
      <c r="F3471" s="280">
        <v>39512</v>
      </c>
      <c r="G3471" s="280">
        <v>46190</v>
      </c>
      <c r="H3471" s="280"/>
      <c r="K3471" s="97">
        <v>9835582266</v>
      </c>
    </row>
    <row r="3472" spans="1:11" ht="19.2" customHeight="1" x14ac:dyDescent="0.3">
      <c r="A3472" s="302" t="s">
        <v>155</v>
      </c>
      <c r="B3472" s="302" t="str">
        <f t="shared" ref="B3472" si="85">IF(H3472="","N","Y")</f>
        <v>Y</v>
      </c>
      <c r="C3472" s="532" t="s">
        <v>11237</v>
      </c>
      <c r="D3472" s="353" t="s">
        <v>11238</v>
      </c>
      <c r="E3472" s="547" t="s">
        <v>4225</v>
      </c>
      <c r="F3472" s="280">
        <v>36610</v>
      </c>
      <c r="G3472" s="280">
        <v>46196</v>
      </c>
      <c r="H3472" s="280">
        <v>46196</v>
      </c>
      <c r="K3472" s="97">
        <v>7970739902</v>
      </c>
    </row>
    <row r="3473" spans="1:11" ht="19.2" customHeight="1" x14ac:dyDescent="0.3">
      <c r="A3473" s="302" t="s">
        <v>155</v>
      </c>
      <c r="B3473" s="302" t="str">
        <f t="shared" ref="B3473:B3474" si="86">IF(H3473="","N","Y")</f>
        <v>Y</v>
      </c>
      <c r="C3473" s="532" t="s">
        <v>11239</v>
      </c>
      <c r="D3473" s="353" t="s">
        <v>11240</v>
      </c>
      <c r="E3473" s="547" t="s">
        <v>11241</v>
      </c>
      <c r="F3473" s="280">
        <v>34323</v>
      </c>
      <c r="G3473" s="280">
        <v>46196</v>
      </c>
      <c r="H3473" s="280">
        <v>46196</v>
      </c>
      <c r="K3473" s="97">
        <v>7209139068</v>
      </c>
    </row>
    <row r="3474" spans="1:11" ht="19.2" customHeight="1" x14ac:dyDescent="0.3">
      <c r="A3474" s="302" t="s">
        <v>155</v>
      </c>
      <c r="B3474" s="302" t="str">
        <f t="shared" si="86"/>
        <v>Y</v>
      </c>
      <c r="C3474" s="532" t="s">
        <v>11243</v>
      </c>
      <c r="E3474" s="547" t="s">
        <v>11242</v>
      </c>
      <c r="F3474" s="280">
        <v>39566</v>
      </c>
      <c r="G3474" s="280">
        <v>46196</v>
      </c>
      <c r="H3474" s="280">
        <v>46196</v>
      </c>
      <c r="K3474" s="97">
        <v>7643874748</v>
      </c>
    </row>
    <row r="3475" spans="1:11" ht="19.2" customHeight="1" x14ac:dyDescent="0.3">
      <c r="A3475" s="302" t="s">
        <v>155</v>
      </c>
      <c r="B3475" s="302" t="str">
        <f t="shared" ref="B3475:B3476" si="87">IF(H3475="","N","Y")</f>
        <v>Y</v>
      </c>
      <c r="C3475" s="532" t="s">
        <v>11246</v>
      </c>
      <c r="D3475" s="548" t="s">
        <v>11247</v>
      </c>
      <c r="E3475" s="548" t="s">
        <v>11245</v>
      </c>
      <c r="F3475" s="280">
        <v>21582</v>
      </c>
      <c r="G3475" s="280">
        <v>46199</v>
      </c>
      <c r="H3475" s="280">
        <v>46199</v>
      </c>
      <c r="I3475" s="549" t="s">
        <v>556</v>
      </c>
      <c r="K3475" s="97">
        <v>7668666946</v>
      </c>
    </row>
    <row r="3476" spans="1:11" ht="19.2" customHeight="1" x14ac:dyDescent="0.3">
      <c r="A3476" s="302" t="s">
        <v>155</v>
      </c>
      <c r="B3476" s="302" t="str">
        <f t="shared" si="87"/>
        <v>Y</v>
      </c>
      <c r="C3476" s="532" t="s">
        <v>11249</v>
      </c>
      <c r="E3476" s="548" t="s">
        <v>11248</v>
      </c>
      <c r="F3476" s="280">
        <v>38332</v>
      </c>
      <c r="G3476" s="280">
        <v>46199</v>
      </c>
      <c r="H3476" s="280">
        <v>46199</v>
      </c>
      <c r="I3476" s="549" t="s">
        <v>556</v>
      </c>
      <c r="K3476" s="97">
        <v>6200855611</v>
      </c>
    </row>
    <row r="3477" spans="1:11" ht="19.2" customHeight="1" x14ac:dyDescent="0.3">
      <c r="A3477" s="302" t="s">
        <v>155</v>
      </c>
      <c r="B3477" s="302" t="str">
        <f t="shared" ref="B3477:B3481" si="88">IF(H3477="","N","Y")</f>
        <v>Y</v>
      </c>
      <c r="C3477" s="532" t="s">
        <v>11254</v>
      </c>
      <c r="E3477" s="552" t="s">
        <v>11255</v>
      </c>
      <c r="F3477" s="280">
        <v>22648</v>
      </c>
      <c r="G3477" s="280">
        <v>46201</v>
      </c>
      <c r="H3477" s="280">
        <v>46201</v>
      </c>
      <c r="K3477" s="97">
        <v>8603179516</v>
      </c>
    </row>
    <row r="3478" spans="1:11" ht="19.2" customHeight="1" x14ac:dyDescent="0.3">
      <c r="A3478" s="302" t="s">
        <v>155</v>
      </c>
      <c r="B3478" s="302" t="str">
        <f t="shared" si="88"/>
        <v>Y</v>
      </c>
      <c r="C3478" s="532" t="s">
        <v>11256</v>
      </c>
      <c r="E3478" s="553" t="s">
        <v>3545</v>
      </c>
      <c r="F3478" s="280">
        <v>35163</v>
      </c>
      <c r="G3478" s="280">
        <v>46201</v>
      </c>
      <c r="H3478" s="280">
        <v>46201</v>
      </c>
      <c r="K3478" s="97">
        <v>99188892950</v>
      </c>
    </row>
    <row r="3479" spans="1:11" ht="19.2" customHeight="1" x14ac:dyDescent="0.3">
      <c r="A3479" s="302" t="s">
        <v>155</v>
      </c>
      <c r="B3479" s="302" t="str">
        <f t="shared" si="88"/>
        <v>Y</v>
      </c>
      <c r="C3479" s="532" t="s">
        <v>11257</v>
      </c>
      <c r="E3479" s="553" t="s">
        <v>11258</v>
      </c>
      <c r="F3479" s="280">
        <v>37987</v>
      </c>
      <c r="G3479" s="280">
        <v>46201</v>
      </c>
      <c r="H3479" s="280">
        <v>46201</v>
      </c>
      <c r="I3479" t="s">
        <v>463</v>
      </c>
      <c r="K3479" s="97">
        <v>9031484071</v>
      </c>
    </row>
    <row r="3480" spans="1:11" ht="19.2" customHeight="1" x14ac:dyDescent="0.3">
      <c r="A3480" s="302" t="s">
        <v>155</v>
      </c>
      <c r="B3480" s="302" t="str">
        <f t="shared" si="88"/>
        <v>Y</v>
      </c>
      <c r="C3480" s="532" t="s">
        <v>11262</v>
      </c>
      <c r="E3480" s="353" t="s">
        <v>11261</v>
      </c>
      <c r="F3480" s="280">
        <v>39731</v>
      </c>
      <c r="G3480" s="280">
        <v>46204</v>
      </c>
      <c r="H3480" s="280">
        <v>46204</v>
      </c>
      <c r="K3480" s="97">
        <v>9471704584</v>
      </c>
    </row>
    <row r="3481" spans="1:11" ht="19.2" customHeight="1" x14ac:dyDescent="0.3">
      <c r="A3481" s="302" t="s">
        <v>155</v>
      </c>
      <c r="B3481" s="302" t="str">
        <f t="shared" si="88"/>
        <v>Y</v>
      </c>
      <c r="C3481" s="532" t="s">
        <v>11264</v>
      </c>
      <c r="E3481" s="554" t="s">
        <v>11263</v>
      </c>
      <c r="F3481" s="280">
        <v>38006</v>
      </c>
      <c r="G3481" s="280">
        <v>46203</v>
      </c>
      <c r="H3481" s="280">
        <v>46203</v>
      </c>
      <c r="K3481" s="97">
        <v>8092880910</v>
      </c>
    </row>
    <row r="3482" spans="1:11" ht="19.2" customHeight="1" x14ac:dyDescent="0.3">
      <c r="A3482" s="302" t="s">
        <v>155</v>
      </c>
      <c r="B3482" s="302" t="str">
        <f t="shared" ref="B3482:B3488" si="89">IF(H3482="","N","Y")</f>
        <v>Y</v>
      </c>
      <c r="C3482" s="532" t="s">
        <v>11265</v>
      </c>
      <c r="D3482" s="353" t="s">
        <v>11267</v>
      </c>
      <c r="E3482" s="555" t="s">
        <v>11266</v>
      </c>
      <c r="F3482" s="280">
        <v>29112</v>
      </c>
      <c r="G3482" s="280">
        <v>46205</v>
      </c>
      <c r="H3482" s="280">
        <v>46205</v>
      </c>
      <c r="K3482" s="97">
        <v>9955844105</v>
      </c>
    </row>
    <row r="3483" spans="1:11" ht="19.2" customHeight="1" x14ac:dyDescent="0.3">
      <c r="A3483" s="302" t="s">
        <v>155</v>
      </c>
      <c r="B3483" s="302" t="str">
        <f t="shared" si="89"/>
        <v>Y</v>
      </c>
      <c r="C3483" s="532" t="s">
        <v>11268</v>
      </c>
      <c r="E3483" s="555" t="s">
        <v>11269</v>
      </c>
      <c r="F3483" s="280">
        <v>34335</v>
      </c>
      <c r="G3483" s="280">
        <v>46205</v>
      </c>
      <c r="H3483" s="280">
        <v>46205</v>
      </c>
      <c r="K3483" s="97">
        <v>6202376331</v>
      </c>
    </row>
    <row r="3484" spans="1:11" ht="19.2" customHeight="1" x14ac:dyDescent="0.3">
      <c r="A3484" s="302" t="s">
        <v>155</v>
      </c>
      <c r="B3484" s="302" t="str">
        <f t="shared" si="89"/>
        <v>Y</v>
      </c>
      <c r="C3484" s="532" t="s">
        <v>11270</v>
      </c>
      <c r="E3484" s="353" t="s">
        <v>5140</v>
      </c>
      <c r="F3484" s="280">
        <v>27771</v>
      </c>
      <c r="G3484" s="280">
        <v>46205</v>
      </c>
      <c r="H3484" s="280">
        <v>46205</v>
      </c>
      <c r="K3484" s="97">
        <v>9234702488</v>
      </c>
    </row>
    <row r="3485" spans="1:11" ht="19.2" customHeight="1" x14ac:dyDescent="0.3">
      <c r="A3485" s="302" t="s">
        <v>155</v>
      </c>
      <c r="B3485" s="302" t="str">
        <f t="shared" si="89"/>
        <v>Y</v>
      </c>
      <c r="C3485" s="532" t="s">
        <v>11272</v>
      </c>
      <c r="E3485" s="555" t="s">
        <v>11271</v>
      </c>
      <c r="F3485" s="280">
        <v>40357</v>
      </c>
      <c r="G3485" s="280">
        <v>46205</v>
      </c>
      <c r="H3485" s="280">
        <v>46205</v>
      </c>
      <c r="I3485" t="s">
        <v>463</v>
      </c>
      <c r="K3485" s="97">
        <v>9936102340</v>
      </c>
    </row>
    <row r="3486" spans="1:11" ht="19.2" customHeight="1" x14ac:dyDescent="0.3">
      <c r="A3486" s="302" t="s">
        <v>155</v>
      </c>
      <c r="B3486" s="302" t="str">
        <f t="shared" si="89"/>
        <v>Y</v>
      </c>
      <c r="C3486" s="532" t="s">
        <v>11273</v>
      </c>
      <c r="E3486" s="556" t="s">
        <v>11289</v>
      </c>
      <c r="F3486" s="280">
        <v>41050</v>
      </c>
      <c r="G3486" s="280">
        <v>46205</v>
      </c>
      <c r="H3486" s="280">
        <v>46205</v>
      </c>
      <c r="I3486" t="s">
        <v>463</v>
      </c>
      <c r="K3486" s="97">
        <v>9936102340</v>
      </c>
    </row>
    <row r="3487" spans="1:11" ht="19.2" customHeight="1" x14ac:dyDescent="0.3">
      <c r="A3487" s="302" t="s">
        <v>155</v>
      </c>
      <c r="B3487" s="302" t="str">
        <f t="shared" si="89"/>
        <v>Y</v>
      </c>
      <c r="C3487" s="532" t="s">
        <v>11275</v>
      </c>
      <c r="E3487" s="555" t="s">
        <v>11274</v>
      </c>
      <c r="F3487" s="280">
        <v>36409</v>
      </c>
      <c r="G3487" s="280">
        <v>46205</v>
      </c>
      <c r="H3487" s="280">
        <v>46205</v>
      </c>
      <c r="I3487" t="s">
        <v>463</v>
      </c>
      <c r="K3487" s="97">
        <v>8294188184</v>
      </c>
    </row>
    <row r="3488" spans="1:11" ht="19.2" customHeight="1" x14ac:dyDescent="0.3">
      <c r="A3488" s="302" t="s">
        <v>155</v>
      </c>
      <c r="B3488" s="302" t="str">
        <f t="shared" si="89"/>
        <v>Y</v>
      </c>
      <c r="C3488" s="532" t="s">
        <v>11290</v>
      </c>
      <c r="E3488" s="555" t="s">
        <v>11276</v>
      </c>
      <c r="F3488" s="280">
        <v>39479</v>
      </c>
      <c r="G3488" s="280">
        <v>46205</v>
      </c>
      <c r="H3488" s="280">
        <v>46205</v>
      </c>
      <c r="K3488" s="97">
        <v>9142732466</v>
      </c>
    </row>
    <row r="3489" spans="1:11" ht="19.2" customHeight="1" x14ac:dyDescent="0.3">
      <c r="A3489" s="302" t="s">
        <v>155</v>
      </c>
      <c r="B3489" s="302" t="str">
        <f t="shared" ref="B3489:B3490" si="90">IF(H3489="","N","Y")</f>
        <v>Y</v>
      </c>
      <c r="C3489" s="532" t="s">
        <v>11334</v>
      </c>
      <c r="E3489" s="559" t="s">
        <v>11333</v>
      </c>
      <c r="F3489" s="280">
        <v>25244</v>
      </c>
      <c r="G3489" s="280">
        <v>46219</v>
      </c>
      <c r="H3489" s="280">
        <v>46223</v>
      </c>
      <c r="K3489" s="97">
        <v>8294210991</v>
      </c>
    </row>
    <row r="3490" spans="1:11" ht="19.2" customHeight="1" x14ac:dyDescent="0.3">
      <c r="A3490" s="302" t="s">
        <v>155</v>
      </c>
      <c r="B3490" s="302" t="str">
        <f t="shared" si="90"/>
        <v>Y</v>
      </c>
      <c r="C3490" s="532" t="s">
        <v>11336</v>
      </c>
      <c r="E3490" s="559" t="s">
        <v>11335</v>
      </c>
      <c r="F3490" s="280">
        <v>20861</v>
      </c>
      <c r="G3490" s="280">
        <v>46219</v>
      </c>
      <c r="H3490" s="280">
        <v>46223</v>
      </c>
      <c r="K3490" s="97">
        <v>9835141011</v>
      </c>
    </row>
    <row r="3491" spans="1:11" ht="19.2" customHeight="1" x14ac:dyDescent="0.3">
      <c r="A3491" s="302" t="s">
        <v>155</v>
      </c>
      <c r="B3491" s="302" t="str">
        <f t="shared" ref="B3491:B3492" si="91">IF(H3491="","N","Y")</f>
        <v>N</v>
      </c>
      <c r="C3491" s="532" t="s">
        <v>11343</v>
      </c>
      <c r="E3491" s="559" t="s">
        <v>11337</v>
      </c>
      <c r="F3491" s="280">
        <v>39490</v>
      </c>
      <c r="G3491" s="280"/>
      <c r="H3491" s="280"/>
      <c r="I3491" t="s">
        <v>556</v>
      </c>
      <c r="K3491" s="97">
        <v>7667981014</v>
      </c>
    </row>
    <row r="3492" spans="1:11" s="318" customFormat="1" ht="19.2" customHeight="1" x14ac:dyDescent="0.3">
      <c r="A3492" s="302" t="s">
        <v>155</v>
      </c>
      <c r="B3492" s="302" t="str">
        <f t="shared" si="91"/>
        <v>Y</v>
      </c>
      <c r="C3492" s="532" t="s">
        <v>11342</v>
      </c>
      <c r="E3492" s="560" t="s">
        <v>11341</v>
      </c>
      <c r="F3492" s="324">
        <v>38416</v>
      </c>
      <c r="G3492" s="324">
        <v>46216</v>
      </c>
      <c r="H3492" s="324">
        <v>46224</v>
      </c>
      <c r="K3492" s="97">
        <v>6201423378</v>
      </c>
    </row>
    <row r="3493" spans="1:11" ht="19.2" customHeight="1" x14ac:dyDescent="0.3">
      <c r="A3493" s="302" t="s">
        <v>155</v>
      </c>
      <c r="B3493" s="302" t="str">
        <f t="shared" ref="B3493" si="92">IF(H3493="","N","Y")</f>
        <v>Y</v>
      </c>
      <c r="C3493" s="538" t="s">
        <v>11346</v>
      </c>
      <c r="E3493" s="561" t="s">
        <v>11345</v>
      </c>
      <c r="F3493" s="280">
        <v>39643</v>
      </c>
      <c r="G3493" s="280">
        <v>46227</v>
      </c>
      <c r="H3493" s="280">
        <v>46227</v>
      </c>
      <c r="K3493">
        <v>7979988509</v>
      </c>
    </row>
    <row r="3494" spans="1:11" ht="19.2" customHeight="1" x14ac:dyDescent="0.3">
      <c r="A3494" s="302" t="s">
        <v>155</v>
      </c>
      <c r="B3494" s="302" t="str">
        <f t="shared" ref="B3494:B3495" si="93">IF(H3494="","N","Y")</f>
        <v>Y</v>
      </c>
      <c r="C3494" s="538" t="s">
        <v>11352</v>
      </c>
      <c r="E3494" s="562" t="s">
        <v>11351</v>
      </c>
      <c r="F3494" s="280">
        <v>34336</v>
      </c>
      <c r="G3494" s="280">
        <v>46231</v>
      </c>
      <c r="H3494" s="280">
        <v>46231</v>
      </c>
      <c r="K3494" s="97">
        <v>7488206486</v>
      </c>
    </row>
    <row r="3495" spans="1:11" ht="19.2" customHeight="1" x14ac:dyDescent="0.3">
      <c r="A3495" s="302" t="s">
        <v>155</v>
      </c>
      <c r="B3495" s="302" t="str">
        <f t="shared" si="93"/>
        <v>Y</v>
      </c>
      <c r="C3495" s="538" t="s">
        <v>11353</v>
      </c>
      <c r="E3495" s="562" t="s">
        <v>11354</v>
      </c>
      <c r="F3495" s="280">
        <v>41513</v>
      </c>
      <c r="G3495" s="280">
        <v>46231</v>
      </c>
      <c r="H3495" s="280">
        <v>46231</v>
      </c>
      <c r="K3495" s="97">
        <v>6202896578</v>
      </c>
    </row>
    <row r="3496" spans="1:11" ht="19.2" customHeight="1" x14ac:dyDescent="0.3">
      <c r="A3496" s="302" t="s">
        <v>155</v>
      </c>
      <c r="B3496" s="302" t="str">
        <f t="shared" ref="B3496:B3497" si="94">IF(H3496="","N","Y")</f>
        <v>Y</v>
      </c>
      <c r="C3496" s="538" t="s">
        <v>11364</v>
      </c>
      <c r="E3496" s="563" t="s">
        <v>11365</v>
      </c>
      <c r="F3496" s="280">
        <v>36644</v>
      </c>
      <c r="G3496" s="280">
        <v>46233</v>
      </c>
      <c r="H3496" s="280">
        <v>46233</v>
      </c>
      <c r="K3496" s="97">
        <v>7481893131</v>
      </c>
    </row>
    <row r="3497" spans="1:11" ht="19.2" customHeight="1" x14ac:dyDescent="0.3">
      <c r="A3497" s="302" t="s">
        <v>155</v>
      </c>
      <c r="B3497" s="302" t="str">
        <f t="shared" si="94"/>
        <v>Y</v>
      </c>
      <c r="C3497" s="538" t="s">
        <v>11367</v>
      </c>
      <c r="E3497" s="564" t="s">
        <v>11368</v>
      </c>
      <c r="F3497" s="280">
        <v>41261</v>
      </c>
      <c r="G3497" s="280">
        <v>46233</v>
      </c>
      <c r="H3497" s="280">
        <v>46233</v>
      </c>
      <c r="K3497" s="97">
        <v>7319808833</v>
      </c>
    </row>
    <row r="3498" spans="1:11" ht="19.2" customHeight="1" x14ac:dyDescent="0.3">
      <c r="A3498" s="302" t="s">
        <v>155</v>
      </c>
      <c r="B3498" s="302" t="str">
        <f t="shared" ref="B3498" si="95">IF(H3498="","N","Y")</f>
        <v>Y</v>
      </c>
      <c r="C3498" s="538" t="s">
        <v>11370</v>
      </c>
      <c r="E3498" s="565" t="s">
        <v>11371</v>
      </c>
      <c r="F3498" s="280">
        <v>39659</v>
      </c>
      <c r="G3498" s="280">
        <v>46235</v>
      </c>
      <c r="H3498" s="280">
        <v>46235</v>
      </c>
      <c r="K3498" s="97">
        <v>8434705247</v>
      </c>
    </row>
    <row r="3499" spans="1:11" ht="19.2" customHeight="1" x14ac:dyDescent="0.3">
      <c r="A3499" s="302" t="s">
        <v>155</v>
      </c>
      <c r="B3499" s="302" t="str">
        <f t="shared" ref="B3499" si="96">IF(H3499="","N","Y")</f>
        <v>Y</v>
      </c>
      <c r="C3499" s="538" t="s">
        <v>11372</v>
      </c>
      <c r="E3499" s="565" t="s">
        <v>11373</v>
      </c>
      <c r="F3499" s="280">
        <v>39681</v>
      </c>
      <c r="G3499" s="280">
        <v>46235</v>
      </c>
      <c r="H3499" s="280">
        <v>46235</v>
      </c>
      <c r="K3499" s="97">
        <v>7903411482</v>
      </c>
    </row>
    <row r="3500" spans="1:11" ht="19.2" customHeight="1" x14ac:dyDescent="0.3">
      <c r="A3500" s="302" t="s">
        <v>155</v>
      </c>
      <c r="B3500" s="302" t="str">
        <f t="shared" ref="B3500:B3501" si="97">IF(H3500="","N","Y")</f>
        <v>Y</v>
      </c>
      <c r="C3500" s="538" t="s">
        <v>11377</v>
      </c>
      <c r="E3500" s="566" t="s">
        <v>11378</v>
      </c>
      <c r="F3500" s="280">
        <v>38880</v>
      </c>
      <c r="G3500" s="280">
        <v>46237</v>
      </c>
      <c r="H3500" s="280">
        <v>46237</v>
      </c>
      <c r="K3500" s="97">
        <v>9835137078</v>
      </c>
    </row>
    <row r="3501" spans="1:11" ht="19.2" customHeight="1" x14ac:dyDescent="0.3">
      <c r="A3501" s="302" t="s">
        <v>155</v>
      </c>
      <c r="B3501" s="302" t="str">
        <f t="shared" si="97"/>
        <v>Y</v>
      </c>
      <c r="C3501" s="567" t="s">
        <v>11380</v>
      </c>
      <c r="E3501" s="538" t="s">
        <v>11379</v>
      </c>
      <c r="F3501" s="280">
        <v>41452</v>
      </c>
      <c r="G3501" s="280">
        <v>46237</v>
      </c>
      <c r="H3501" s="280">
        <v>46237</v>
      </c>
      <c r="K3501" s="97">
        <v>6202896578</v>
      </c>
    </row>
    <row r="3502" spans="1:11" ht="19.2" customHeight="1" x14ac:dyDescent="0.3">
      <c r="A3502" s="302" t="s">
        <v>155</v>
      </c>
      <c r="B3502" s="302" t="str">
        <f t="shared" ref="B3502" si="98">IF(H3502="","N","Y")</f>
        <v>Y</v>
      </c>
      <c r="C3502" s="538" t="s">
        <v>11381</v>
      </c>
      <c r="E3502" s="568" t="s">
        <v>11382</v>
      </c>
      <c r="F3502" s="280">
        <v>30869</v>
      </c>
      <c r="G3502" s="280">
        <v>46240</v>
      </c>
      <c r="H3502" s="280">
        <v>46240</v>
      </c>
      <c r="K3502" s="97">
        <v>8877960536</v>
      </c>
    </row>
    <row r="3503" spans="1:11" ht="19.2" customHeight="1" x14ac:dyDescent="0.3">
      <c r="A3503" s="302" t="s">
        <v>155</v>
      </c>
      <c r="B3503" s="302" t="str">
        <f t="shared" ref="B3503" si="99">IF(H3503="","N","Y")</f>
        <v>Y</v>
      </c>
      <c r="C3503" s="538" t="s">
        <v>11383</v>
      </c>
      <c r="E3503" s="569" t="s">
        <v>11384</v>
      </c>
      <c r="F3503" s="280">
        <v>39651</v>
      </c>
      <c r="G3503" s="280">
        <v>46241</v>
      </c>
      <c r="H3503" s="280">
        <v>46241</v>
      </c>
      <c r="K3503" s="97">
        <v>8521576444</v>
      </c>
    </row>
    <row r="3504" spans="1:11" ht="19.2" customHeight="1" x14ac:dyDescent="0.3">
      <c r="A3504" s="302" t="s">
        <v>155</v>
      </c>
      <c r="B3504" s="302" t="str">
        <f t="shared" ref="B3504" si="100">IF(H3504="","N","Y")</f>
        <v>Y</v>
      </c>
      <c r="C3504" s="538" t="s">
        <v>11386</v>
      </c>
      <c r="E3504" s="569" t="s">
        <v>11385</v>
      </c>
      <c r="F3504" s="280">
        <v>39288</v>
      </c>
      <c r="G3504" s="280">
        <v>46241</v>
      </c>
      <c r="H3504" s="280">
        <v>46241</v>
      </c>
      <c r="K3504" s="97">
        <v>8434700045</v>
      </c>
    </row>
    <row r="3505" spans="1:11" ht="19.2" customHeight="1" x14ac:dyDescent="0.3">
      <c r="A3505" s="302" t="s">
        <v>155</v>
      </c>
      <c r="B3505" s="302" t="str">
        <f t="shared" ref="B3505" si="101">IF(H3505="","N","Y")</f>
        <v>Y</v>
      </c>
      <c r="C3505" s="538" t="s">
        <v>11387</v>
      </c>
      <c r="E3505" s="569" t="s">
        <v>11388</v>
      </c>
      <c r="F3505" s="280">
        <v>34531</v>
      </c>
      <c r="G3505" s="280">
        <v>46241</v>
      </c>
      <c r="H3505" s="280">
        <v>46241</v>
      </c>
      <c r="K3505" s="97">
        <v>8092797987</v>
      </c>
    </row>
    <row r="3506" spans="1:11" ht="19.2" customHeight="1" x14ac:dyDescent="0.3">
      <c r="A3506" s="302" t="s">
        <v>155</v>
      </c>
      <c r="B3506" s="302" t="str">
        <f t="shared" ref="B3506:B3507" si="102">IF(H3506="","N","Y")</f>
        <v>Y</v>
      </c>
      <c r="C3506" s="538" t="s">
        <v>11389</v>
      </c>
      <c r="E3506" s="570" t="s">
        <v>11390</v>
      </c>
      <c r="F3506" s="280">
        <v>39482</v>
      </c>
      <c r="G3506" s="280">
        <v>46243</v>
      </c>
      <c r="H3506" s="280">
        <v>46243</v>
      </c>
      <c r="K3506" s="97">
        <v>8092555727</v>
      </c>
    </row>
    <row r="3507" spans="1:11" ht="19.2" customHeight="1" x14ac:dyDescent="0.3">
      <c r="A3507" s="302" t="s">
        <v>155</v>
      </c>
      <c r="B3507" s="302" t="str">
        <f t="shared" si="102"/>
        <v>Y</v>
      </c>
      <c r="C3507" s="538" t="s">
        <v>11393</v>
      </c>
      <c r="E3507" s="570" t="s">
        <v>11391</v>
      </c>
      <c r="F3507" s="280">
        <v>39594</v>
      </c>
      <c r="G3507" s="280">
        <v>46243</v>
      </c>
      <c r="H3507" s="280">
        <v>46244</v>
      </c>
      <c r="K3507" s="97">
        <v>7903071323</v>
      </c>
    </row>
    <row r="3508" spans="1:11" ht="19.2" customHeight="1" x14ac:dyDescent="0.3">
      <c r="A3508" s="302" t="s">
        <v>155</v>
      </c>
      <c r="B3508" s="302" t="str">
        <f t="shared" ref="B3508" si="103">IF(H3508="","N","Y")</f>
        <v>Y</v>
      </c>
      <c r="C3508" s="538" t="s">
        <v>11400</v>
      </c>
      <c r="E3508" s="571" t="s">
        <v>11401</v>
      </c>
      <c r="F3508" s="280">
        <v>29037</v>
      </c>
      <c r="G3508" s="280">
        <v>46246</v>
      </c>
      <c r="H3508" s="280">
        <v>46246</v>
      </c>
      <c r="K3508" s="97">
        <v>9204333040</v>
      </c>
    </row>
    <row r="3509" spans="1:11" ht="19.2" customHeight="1" x14ac:dyDescent="0.3">
      <c r="A3509" s="302" t="s">
        <v>155</v>
      </c>
      <c r="B3509" s="302" t="str">
        <f t="shared" ref="B3509:B3510" si="104">IF(H3509="","N","Y")</f>
        <v>Y</v>
      </c>
      <c r="C3509" s="538" t="s">
        <v>11394</v>
      </c>
      <c r="E3509" s="571" t="s">
        <v>11395</v>
      </c>
      <c r="F3509" s="280">
        <v>30761</v>
      </c>
      <c r="G3509" s="280">
        <v>46246</v>
      </c>
      <c r="H3509" s="280">
        <v>46247</v>
      </c>
      <c r="I3509" s="572" t="s">
        <v>556</v>
      </c>
      <c r="K3509" s="97">
        <v>7275433291</v>
      </c>
    </row>
    <row r="3510" spans="1:11" ht="19.2" customHeight="1" x14ac:dyDescent="0.3">
      <c r="A3510" s="302" t="s">
        <v>155</v>
      </c>
      <c r="B3510" s="302" t="str">
        <f t="shared" si="104"/>
        <v>Y</v>
      </c>
      <c r="C3510" s="538" t="s">
        <v>11397</v>
      </c>
      <c r="E3510" s="571" t="s">
        <v>11396</v>
      </c>
      <c r="F3510" s="280">
        <v>39637</v>
      </c>
      <c r="G3510" s="280">
        <v>46246</v>
      </c>
      <c r="H3510" s="280">
        <v>46247</v>
      </c>
      <c r="K3510" s="97">
        <v>9060171967</v>
      </c>
    </row>
    <row r="3511" spans="1:11" ht="19.2" customHeight="1" x14ac:dyDescent="0.3">
      <c r="A3511" s="302" t="s">
        <v>155</v>
      </c>
      <c r="B3511" s="302" t="str">
        <f t="shared" ref="B3511" si="105">IF(H3511="","N","Y")</f>
        <v>Y</v>
      </c>
      <c r="C3511" s="81" t="s">
        <v>11399</v>
      </c>
      <c r="E3511" s="571" t="s">
        <v>11398</v>
      </c>
      <c r="F3511" s="280">
        <v>39600</v>
      </c>
      <c r="G3511" s="280">
        <v>46246</v>
      </c>
      <c r="H3511" s="280">
        <v>46247</v>
      </c>
      <c r="K3511" s="97">
        <v>6203162226</v>
      </c>
    </row>
    <row r="3512" spans="1:11" ht="19.2" customHeight="1" x14ac:dyDescent="0.3">
      <c r="A3512" s="302" t="s">
        <v>155</v>
      </c>
      <c r="B3512" s="302" t="str">
        <f t="shared" ref="B3512" si="106">IF(H3512="","N","Y")</f>
        <v>Y</v>
      </c>
      <c r="C3512" s="538" t="s">
        <v>11403</v>
      </c>
      <c r="E3512" s="573" t="s">
        <v>11404</v>
      </c>
      <c r="F3512" s="280">
        <v>39782</v>
      </c>
      <c r="G3512" s="280">
        <v>46248</v>
      </c>
      <c r="H3512" s="280">
        <v>46248</v>
      </c>
      <c r="K3512" s="97">
        <v>9204936948</v>
      </c>
    </row>
    <row r="3513" spans="1:11" ht="19.2" customHeight="1" x14ac:dyDescent="0.3">
      <c r="A3513" s="302" t="s">
        <v>155</v>
      </c>
      <c r="B3513" s="302" t="str">
        <f t="shared" ref="B3513:B3514" si="107">IF(H3513="","N","Y")</f>
        <v>Y</v>
      </c>
      <c r="C3513" s="538" t="s">
        <v>11409</v>
      </c>
      <c r="E3513" s="574" t="s">
        <v>11408</v>
      </c>
      <c r="F3513" s="280">
        <v>38747</v>
      </c>
      <c r="G3513" s="280">
        <v>46256</v>
      </c>
      <c r="H3513" s="280">
        <v>46256</v>
      </c>
      <c r="K3513" s="97">
        <v>9264110484</v>
      </c>
    </row>
    <row r="3514" spans="1:11" ht="19.2" customHeight="1" x14ac:dyDescent="0.3">
      <c r="A3514" s="302" t="s">
        <v>155</v>
      </c>
      <c r="B3514" s="302" t="str">
        <f t="shared" si="107"/>
        <v>Y</v>
      </c>
      <c r="C3514" s="538" t="s">
        <v>11411</v>
      </c>
      <c r="E3514" s="574" t="s">
        <v>11410</v>
      </c>
      <c r="F3514" s="280">
        <v>24834</v>
      </c>
      <c r="G3514" s="280">
        <v>46256</v>
      </c>
      <c r="H3514" s="280">
        <v>46256</v>
      </c>
      <c r="K3514" s="97">
        <v>7209563637</v>
      </c>
    </row>
    <row r="3515" spans="1:11" ht="19.2" customHeight="1" x14ac:dyDescent="0.3">
      <c r="A3515" s="302" t="s">
        <v>155</v>
      </c>
      <c r="B3515" s="302" t="str">
        <f t="shared" ref="B3515:B3524" si="108">IF(H3515="","N","Y")</f>
        <v>Y</v>
      </c>
      <c r="C3515" s="538" t="s">
        <v>11413</v>
      </c>
      <c r="E3515" s="575" t="s">
        <v>11412</v>
      </c>
      <c r="F3515" s="280">
        <v>39814</v>
      </c>
      <c r="G3515" s="280">
        <v>46258</v>
      </c>
      <c r="H3515" s="280">
        <v>46258</v>
      </c>
      <c r="K3515" s="97">
        <v>8434007360</v>
      </c>
    </row>
    <row r="3516" spans="1:11" ht="19.2" customHeight="1" x14ac:dyDescent="0.3">
      <c r="A3516" s="302" t="s">
        <v>155</v>
      </c>
      <c r="B3516" s="302" t="str">
        <f t="shared" si="108"/>
        <v>Y</v>
      </c>
      <c r="C3516" s="538" t="s">
        <v>11414</v>
      </c>
      <c r="E3516" s="576" t="s">
        <v>11415</v>
      </c>
      <c r="F3516" s="280">
        <v>39002</v>
      </c>
      <c r="G3516" s="280">
        <v>46262</v>
      </c>
      <c r="H3516" s="280">
        <v>46262</v>
      </c>
      <c r="I3516" s="577" t="s">
        <v>556</v>
      </c>
      <c r="K3516" s="97">
        <v>8757888867</v>
      </c>
    </row>
    <row r="3517" spans="1:11" ht="19.2" customHeight="1" x14ac:dyDescent="0.3">
      <c r="A3517" s="302" t="s">
        <v>155</v>
      </c>
      <c r="B3517" s="302" t="str">
        <f t="shared" si="108"/>
        <v>Y</v>
      </c>
      <c r="C3517" s="538" t="s">
        <v>11416</v>
      </c>
      <c r="E3517" s="576" t="s">
        <v>11418</v>
      </c>
      <c r="F3517" s="280">
        <v>33734</v>
      </c>
      <c r="G3517" s="280">
        <v>46262</v>
      </c>
      <c r="H3517" s="280">
        <v>46262</v>
      </c>
      <c r="I3517" s="577" t="s">
        <v>556</v>
      </c>
      <c r="K3517" s="97">
        <v>8580103278</v>
      </c>
    </row>
    <row r="3518" spans="1:11" ht="19.2" customHeight="1" x14ac:dyDescent="0.3">
      <c r="A3518" s="302" t="s">
        <v>155</v>
      </c>
      <c r="B3518" s="302" t="str">
        <f t="shared" si="108"/>
        <v>Y</v>
      </c>
      <c r="C3518" s="538" t="s">
        <v>11417</v>
      </c>
      <c r="E3518" s="576" t="s">
        <v>11419</v>
      </c>
      <c r="F3518" s="280">
        <v>33136</v>
      </c>
      <c r="G3518" s="280">
        <v>46262</v>
      </c>
      <c r="H3518" s="280">
        <v>46262</v>
      </c>
      <c r="I3518" s="577" t="s">
        <v>556</v>
      </c>
      <c r="K3518" s="97">
        <v>9709946736</v>
      </c>
    </row>
    <row r="3519" spans="1:11" ht="19.2" customHeight="1" x14ac:dyDescent="0.3">
      <c r="A3519" s="302" t="s">
        <v>155</v>
      </c>
      <c r="B3519" s="302" t="str">
        <f t="shared" si="108"/>
        <v>Y</v>
      </c>
      <c r="C3519" s="538" t="s">
        <v>11420</v>
      </c>
      <c r="E3519" s="576" t="s">
        <v>11421</v>
      </c>
      <c r="F3519" s="280">
        <v>39602</v>
      </c>
      <c r="G3519" s="280">
        <v>46262</v>
      </c>
      <c r="H3519" s="280">
        <v>46262</v>
      </c>
      <c r="I3519" s="577" t="s">
        <v>556</v>
      </c>
      <c r="K3519" s="97">
        <v>7761023068</v>
      </c>
    </row>
    <row r="3520" spans="1:11" ht="19.2" customHeight="1" x14ac:dyDescent="0.3">
      <c r="A3520" s="302" t="s">
        <v>155</v>
      </c>
      <c r="B3520" s="302" t="str">
        <f t="shared" si="108"/>
        <v>Y</v>
      </c>
      <c r="C3520" s="538" t="s">
        <v>11422</v>
      </c>
      <c r="E3520" s="578" t="s">
        <v>11423</v>
      </c>
      <c r="F3520" s="280">
        <v>39682</v>
      </c>
      <c r="G3520" s="280">
        <v>46263</v>
      </c>
      <c r="H3520" s="280">
        <v>46263</v>
      </c>
      <c r="I3520" s="577" t="s">
        <v>556</v>
      </c>
      <c r="K3520" s="97">
        <v>7479672336</v>
      </c>
    </row>
    <row r="3521" spans="1:11" ht="19.2" customHeight="1" x14ac:dyDescent="0.3">
      <c r="A3521" s="302" t="s">
        <v>155</v>
      </c>
      <c r="B3521" s="302" t="str">
        <f t="shared" si="108"/>
        <v>Y</v>
      </c>
      <c r="C3521" s="538" t="s">
        <v>11424</v>
      </c>
      <c r="E3521" s="579" t="s">
        <v>9114</v>
      </c>
      <c r="F3521" s="280">
        <v>39597</v>
      </c>
      <c r="G3521" s="280">
        <v>46264</v>
      </c>
      <c r="H3521" s="280">
        <v>46264</v>
      </c>
      <c r="I3521" s="577"/>
      <c r="K3521" s="97">
        <v>7858820414</v>
      </c>
    </row>
    <row r="3522" spans="1:11" ht="19.2" customHeight="1" x14ac:dyDescent="0.3">
      <c r="A3522" s="302" t="s">
        <v>155</v>
      </c>
      <c r="B3522" s="302" t="str">
        <f t="shared" si="108"/>
        <v>Y</v>
      </c>
      <c r="C3522" s="538" t="s">
        <v>11433</v>
      </c>
      <c r="E3522" s="580" t="s">
        <v>11434</v>
      </c>
      <c r="F3522" s="280">
        <v>27150</v>
      </c>
      <c r="G3522" s="280">
        <v>46269</v>
      </c>
      <c r="H3522" s="280">
        <v>46269</v>
      </c>
      <c r="K3522" s="97">
        <v>7091318275</v>
      </c>
    </row>
    <row r="3523" spans="1:11" ht="19.2" customHeight="1" x14ac:dyDescent="0.3">
      <c r="A3523" s="302" t="s">
        <v>155</v>
      </c>
      <c r="B3523" s="302" t="str">
        <f t="shared" si="108"/>
        <v>Y</v>
      </c>
      <c r="C3523" s="538" t="s">
        <v>11435</v>
      </c>
      <c r="E3523" s="580" t="s">
        <v>11436</v>
      </c>
      <c r="F3523" s="280">
        <v>39421</v>
      </c>
      <c r="G3523" s="280">
        <v>46269</v>
      </c>
      <c r="H3523" s="280">
        <v>46269</v>
      </c>
      <c r="K3523" s="97">
        <v>7366887685</v>
      </c>
    </row>
    <row r="3524" spans="1:11" ht="19.2" customHeight="1" x14ac:dyDescent="0.3">
      <c r="A3524" s="302" t="s">
        <v>155</v>
      </c>
      <c r="B3524" s="302" t="str">
        <f t="shared" si="108"/>
        <v>Y</v>
      </c>
      <c r="C3524" s="538" t="s">
        <v>11438</v>
      </c>
      <c r="E3524" s="580" t="s">
        <v>11437</v>
      </c>
      <c r="F3524" s="280">
        <v>39559</v>
      </c>
      <c r="G3524" s="280">
        <v>46270</v>
      </c>
      <c r="H3524" s="280">
        <v>46270</v>
      </c>
      <c r="K3524" s="97">
        <v>8102731423</v>
      </c>
    </row>
    <row r="3525" spans="1:11" ht="19.2" customHeight="1" x14ac:dyDescent="0.3">
      <c r="A3525" s="302" t="s">
        <v>155</v>
      </c>
      <c r="B3525" s="302" t="str">
        <f t="shared" ref="B3525:B3527" si="109">IF(H3525="","N","Y")</f>
        <v>Y</v>
      </c>
      <c r="C3525" s="538" t="s">
        <v>11442</v>
      </c>
      <c r="E3525" s="583" t="s">
        <v>11443</v>
      </c>
      <c r="F3525" s="280">
        <v>26910</v>
      </c>
      <c r="G3525" s="280">
        <v>46274</v>
      </c>
      <c r="H3525" s="280">
        <v>46274</v>
      </c>
      <c r="I3525" t="s">
        <v>556</v>
      </c>
      <c r="K3525" s="97">
        <v>7762057865</v>
      </c>
    </row>
    <row r="3526" spans="1:11" ht="19.2" customHeight="1" x14ac:dyDescent="0.3">
      <c r="A3526" s="302" t="s">
        <v>155</v>
      </c>
      <c r="B3526" s="302" t="str">
        <f t="shared" si="109"/>
        <v>Y</v>
      </c>
      <c r="C3526" s="538" t="s">
        <v>11444</v>
      </c>
      <c r="E3526" s="583" t="s">
        <v>9116</v>
      </c>
      <c r="F3526" s="280">
        <v>39281</v>
      </c>
      <c r="G3526" s="280">
        <v>46274</v>
      </c>
      <c r="H3526" s="280">
        <v>46274</v>
      </c>
      <c r="I3526" t="s">
        <v>556</v>
      </c>
      <c r="K3526" s="97">
        <v>9006435436</v>
      </c>
    </row>
    <row r="3527" spans="1:11" ht="19.2" customHeight="1" x14ac:dyDescent="0.3">
      <c r="A3527" s="302" t="s">
        <v>155</v>
      </c>
      <c r="B3527" s="302" t="str">
        <f t="shared" si="109"/>
        <v>Y</v>
      </c>
      <c r="C3527" s="538" t="s">
        <v>11445</v>
      </c>
      <c r="E3527" s="583" t="s">
        <v>11446</v>
      </c>
      <c r="F3527" s="280">
        <v>39090</v>
      </c>
      <c r="G3527" s="280">
        <v>46274</v>
      </c>
      <c r="H3527" s="280">
        <v>46274</v>
      </c>
      <c r="I3527" t="s">
        <v>556</v>
      </c>
      <c r="K3527" s="97">
        <v>7004684357</v>
      </c>
    </row>
    <row r="3528" spans="1:11" ht="19.2" customHeight="1" x14ac:dyDescent="0.3">
      <c r="A3528" s="302" t="s">
        <v>155</v>
      </c>
      <c r="B3528" s="302" t="str">
        <f t="shared" ref="B3528:B3529" si="110">IF(H3528="","N","Y")</f>
        <v>Y</v>
      </c>
      <c r="C3528" s="538" t="s">
        <v>11447</v>
      </c>
      <c r="E3528" s="584" t="s">
        <v>11448</v>
      </c>
      <c r="F3528" s="280">
        <v>33018</v>
      </c>
      <c r="G3528" s="280">
        <v>46275</v>
      </c>
      <c r="H3528" s="280">
        <v>46275</v>
      </c>
      <c r="I3528" t="s">
        <v>556</v>
      </c>
      <c r="K3528" s="97">
        <v>7717771500</v>
      </c>
    </row>
    <row r="3529" spans="1:11" ht="19.2" customHeight="1" x14ac:dyDescent="0.3">
      <c r="A3529" s="302" t="s">
        <v>155</v>
      </c>
      <c r="B3529" s="302" t="str">
        <f t="shared" si="110"/>
        <v>Y</v>
      </c>
      <c r="C3529" s="538" t="s">
        <v>11450</v>
      </c>
      <c r="E3529" s="584" t="s">
        <v>11449</v>
      </c>
      <c r="F3529" s="280">
        <v>39180</v>
      </c>
      <c r="G3529" s="280">
        <v>46275</v>
      </c>
      <c r="H3529" s="280">
        <v>46275</v>
      </c>
      <c r="I3529" t="s">
        <v>556</v>
      </c>
      <c r="K3529" s="97">
        <v>8797021049</v>
      </c>
    </row>
    <row r="3530" spans="1:11" ht="19.2" customHeight="1" x14ac:dyDescent="0.3">
      <c r="A3530" s="302" t="s">
        <v>155</v>
      </c>
      <c r="B3530" s="302" t="str">
        <f t="shared" ref="B3530:B3538" si="111">IF(H3530="","N","Y")</f>
        <v>Y</v>
      </c>
      <c r="C3530" s="538" t="s">
        <v>11451</v>
      </c>
      <c r="E3530" s="585" t="s">
        <v>11452</v>
      </c>
      <c r="F3530" s="280">
        <v>40144</v>
      </c>
      <c r="G3530" s="280">
        <v>46276</v>
      </c>
      <c r="H3530" s="280">
        <v>46276</v>
      </c>
      <c r="K3530" s="97">
        <v>9204625902</v>
      </c>
    </row>
    <row r="3531" spans="1:11" ht="19.2" customHeight="1" x14ac:dyDescent="0.3">
      <c r="A3531" s="302" t="s">
        <v>155</v>
      </c>
      <c r="B3531" s="302" t="str">
        <f t="shared" si="111"/>
        <v>Y</v>
      </c>
      <c r="C3531" s="538" t="s">
        <v>11463</v>
      </c>
      <c r="E3531" s="586" t="s">
        <v>11464</v>
      </c>
      <c r="F3531" s="280">
        <v>39232</v>
      </c>
      <c r="G3531" s="280">
        <v>46285</v>
      </c>
      <c r="H3531" s="280">
        <v>46285</v>
      </c>
      <c r="I3531" s="587" t="s">
        <v>556</v>
      </c>
      <c r="K3531" s="97">
        <v>7979816476</v>
      </c>
    </row>
    <row r="3532" spans="1:11" ht="19.2" customHeight="1" x14ac:dyDescent="0.3">
      <c r="A3532" s="302" t="s">
        <v>155</v>
      </c>
      <c r="B3532" s="302" t="str">
        <f t="shared" si="111"/>
        <v>Y</v>
      </c>
      <c r="C3532" s="538" t="s">
        <v>11466</v>
      </c>
      <c r="E3532" s="588" t="s">
        <v>11467</v>
      </c>
      <c r="F3532" s="280">
        <v>39327</v>
      </c>
      <c r="G3532" s="280">
        <v>46286</v>
      </c>
      <c r="H3532" s="280">
        <v>46286</v>
      </c>
      <c r="I3532" s="587" t="s">
        <v>556</v>
      </c>
      <c r="K3532" s="97">
        <v>6202258820</v>
      </c>
    </row>
    <row r="3533" spans="1:11" ht="19.2" customHeight="1" x14ac:dyDescent="0.3">
      <c r="A3533" s="302" t="s">
        <v>155</v>
      </c>
      <c r="B3533" s="302" t="str">
        <f t="shared" si="111"/>
        <v>Y</v>
      </c>
      <c r="C3533" s="538" t="s">
        <v>11468</v>
      </c>
      <c r="E3533" s="588" t="s">
        <v>11465</v>
      </c>
      <c r="F3533" s="280">
        <v>46286</v>
      </c>
      <c r="G3533" s="280">
        <v>46286</v>
      </c>
      <c r="H3533" s="280">
        <v>46287</v>
      </c>
      <c r="I3533" s="587" t="s">
        <v>556</v>
      </c>
      <c r="K3533" s="97">
        <v>6203427493</v>
      </c>
    </row>
    <row r="3534" spans="1:11" ht="19.2" customHeight="1" x14ac:dyDescent="0.3">
      <c r="A3534" s="302" t="s">
        <v>155</v>
      </c>
      <c r="B3534" s="302" t="str">
        <f t="shared" si="111"/>
        <v>Y</v>
      </c>
      <c r="C3534" s="538" t="s">
        <v>11469</v>
      </c>
      <c r="E3534" s="589" t="s">
        <v>11470</v>
      </c>
      <c r="F3534" s="280">
        <v>38985</v>
      </c>
      <c r="G3534" s="280">
        <v>46291</v>
      </c>
      <c r="H3534" s="280">
        <v>46291</v>
      </c>
      <c r="K3534" s="97">
        <v>8084701003</v>
      </c>
    </row>
    <row r="3535" spans="1:11" ht="19.2" customHeight="1" x14ac:dyDescent="0.3">
      <c r="A3535" s="302" t="s">
        <v>155</v>
      </c>
      <c r="B3535" s="302" t="str">
        <f t="shared" si="111"/>
        <v>Y</v>
      </c>
      <c r="C3535" s="538" t="s">
        <v>11471</v>
      </c>
      <c r="E3535" s="589" t="s">
        <v>11472</v>
      </c>
      <c r="F3535" s="280">
        <v>30236</v>
      </c>
      <c r="G3535" s="280">
        <v>46291</v>
      </c>
      <c r="H3535" s="280">
        <v>46292</v>
      </c>
      <c r="K3535" s="97">
        <v>6202933086</v>
      </c>
    </row>
    <row r="3536" spans="1:11" ht="19.2" customHeight="1" x14ac:dyDescent="0.3">
      <c r="A3536" s="302" t="s">
        <v>155</v>
      </c>
      <c r="B3536" s="302" t="str">
        <f t="shared" si="111"/>
        <v>Y</v>
      </c>
      <c r="C3536" s="538" t="s">
        <v>11473</v>
      </c>
      <c r="E3536" s="593" t="s">
        <v>11474</v>
      </c>
      <c r="F3536" s="280">
        <v>39614</v>
      </c>
      <c r="G3536" s="280">
        <v>46293</v>
      </c>
      <c r="H3536" s="280">
        <v>46293</v>
      </c>
      <c r="K3536" s="97">
        <v>9973660138</v>
      </c>
    </row>
    <row r="3537" spans="1:11" ht="19.2" customHeight="1" x14ac:dyDescent="0.3">
      <c r="A3537" s="302"/>
      <c r="B3537" s="302" t="str">
        <f t="shared" si="111"/>
        <v>N</v>
      </c>
      <c r="C3537" s="538"/>
      <c r="E3537" s="585"/>
      <c r="F3537" s="280"/>
      <c r="G3537" s="280"/>
      <c r="H3537" s="280"/>
    </row>
    <row r="3538" spans="1:11" ht="19.2" customHeight="1" x14ac:dyDescent="0.3">
      <c r="A3538" s="302"/>
      <c r="B3538" s="302" t="str">
        <f t="shared" si="111"/>
        <v>N</v>
      </c>
      <c r="C3538" s="538"/>
      <c r="E3538" s="585"/>
      <c r="F3538" s="280"/>
      <c r="G3538" s="280"/>
      <c r="H3538" s="280"/>
    </row>
    <row r="3539" spans="1:11" ht="19.2" customHeight="1" x14ac:dyDescent="0.3">
      <c r="A3539" s="302"/>
      <c r="B3539" s="302"/>
      <c r="C3539" s="538"/>
      <c r="E3539" s="585"/>
      <c r="F3539" s="280"/>
      <c r="G3539" s="280"/>
      <c r="H3539" s="280"/>
    </row>
    <row r="3540" spans="1:11" ht="19.2" customHeight="1" x14ac:dyDescent="0.3">
      <c r="A3540" s="302"/>
      <c r="B3540" s="302"/>
      <c r="C3540" s="538"/>
      <c r="E3540" s="585"/>
      <c r="F3540" s="280"/>
      <c r="G3540" s="280"/>
      <c r="H3540" s="280"/>
    </row>
    <row r="3541" spans="1:11" ht="19.2" customHeight="1" x14ac:dyDescent="0.3">
      <c r="A3541" s="302"/>
      <c r="B3541" s="302"/>
      <c r="C3541" s="538"/>
      <c r="E3541" s="585"/>
      <c r="F3541" s="280"/>
      <c r="G3541" s="280"/>
      <c r="H3541" s="280"/>
    </row>
    <row r="3542" spans="1:11" ht="18" x14ac:dyDescent="0.35">
      <c r="B3542" s="302" t="str">
        <f>IF(H3542="","N","Y")</f>
        <v>N</v>
      </c>
      <c r="C3542" s="532"/>
      <c r="E3542" s="397" t="s">
        <v>10919</v>
      </c>
      <c r="F3542" s="280"/>
      <c r="G3542" s="280"/>
      <c r="H3542" s="280"/>
      <c r="K3542" s="97">
        <v>9934518406</v>
      </c>
    </row>
    <row r="3543" spans="1:11" x14ac:dyDescent="0.3">
      <c r="B3543" s="302" t="str">
        <f>IF(H3543="","N","Y")</f>
        <v>N</v>
      </c>
      <c r="C3543" s="532"/>
      <c r="E3543" s="353" t="s">
        <v>10920</v>
      </c>
      <c r="F3543" s="280"/>
      <c r="G3543" s="280"/>
      <c r="H3543" s="280"/>
      <c r="K3543" s="97">
        <v>9934518406</v>
      </c>
    </row>
    <row r="3544" spans="1:11" x14ac:dyDescent="0.3">
      <c r="B3544" s="302" t="str">
        <f>IF(H3544="","N","Y")</f>
        <v>N</v>
      </c>
      <c r="C3544" s="532"/>
      <c r="E3544" s="395" t="s">
        <v>7819</v>
      </c>
      <c r="F3544" s="280">
        <v>21551</v>
      </c>
      <c r="G3544" s="280" t="s">
        <v>545</v>
      </c>
      <c r="H3544" s="280"/>
      <c r="I3544" s="325" t="s">
        <v>463</v>
      </c>
      <c r="K3544" s="97">
        <v>8603928893</v>
      </c>
    </row>
    <row r="3546" spans="1:11" x14ac:dyDescent="0.3">
      <c r="B3546" s="302"/>
      <c r="C3546" s="533" t="s">
        <v>10770</v>
      </c>
      <c r="D3546" s="368"/>
      <c r="E3546" s="398" t="s">
        <v>10771</v>
      </c>
      <c r="F3546" s="592" t="s">
        <v>10898</v>
      </c>
      <c r="G3546" s="592"/>
      <c r="H3546" s="592"/>
      <c r="I3546" s="592"/>
    </row>
  </sheetData>
  <mergeCells count="1">
    <mergeCell ref="F3546:I3546"/>
  </mergeCells>
  <conditionalFormatting sqref="C970:E970">
    <cfRule type="expression" dxfId="3" priority="5">
      <formula>"if(left($D$1162)=""Q"")"</formula>
    </cfRule>
  </conditionalFormatting>
  <conditionalFormatting sqref="C854:K854">
    <cfRule type="expression" dxfId="2" priority="3">
      <formula>"O"</formula>
    </cfRule>
    <cfRule type="expression" dxfId="1" priority="4">
      <formula>"O"</formula>
    </cfRule>
  </conditionalFormatting>
  <conditionalFormatting sqref="F2:F2954 F2956:F2963 F2964:H2975 G2976:H2976 F2976:F2978 H2977:H2978 F2980:F2996 F2998:F3006 F3008:F3028">
    <cfRule type="expression" priority="1">
      <formula>TODAY()</formula>
    </cfRule>
  </conditionalFormatting>
  <conditionalFormatting sqref="L2:L45 L48:L52 L54 L56:L68 M70 L71:L84 L87:L89 L91:L92 L97:L138 L140:L141 L144:L156 M157 L158:L171 L173:L178 L180:L182 L184:L249 M250 L251:L259 L261:L277 L280:L315 L317:L348 L350:L354 L359 L362:L371 L373 L375:L383 L385:L390 L392:L395 L397:L405 L407:L408 L410:L411 L413:L422 L425 F427 L428:L449 L451:L460 L462:L490 L492:L494 L496:L502 L504:L582 L584 L586:L591 L593:L877 L879:L1028 L1030:L1222 K1223:K1232 L1224:L2255 K1234:K1251 K1253:K1323 K1325:K1353 K1355:K1356 K1358:K1371 K1373:K1388 K1391">
    <cfRule type="cellIs" dxfId="0" priority="2" operator="equal">
      <formula>"withheld"</formula>
    </cfRule>
  </conditionalFormatting>
  <hyperlinks>
    <hyperlink ref="L1017" r:id="rId1" xr:uid="{2F7EF04B-8107-4192-AC29-BC5ECE84D009}"/>
    <hyperlink ref="L1046" r:id="rId2" xr:uid="{594D4507-6957-4ED4-9EA9-5E0382AFA48E}"/>
    <hyperlink ref="J1083" r:id="rId3" xr:uid="{0183A245-2A19-46AA-8380-8C2DDBF75D38}"/>
    <hyperlink ref="J1089" r:id="rId4" xr:uid="{5A775600-886F-4ECC-99E1-031E4F440067}"/>
    <hyperlink ref="J1090" r:id="rId5" xr:uid="{B2C095FB-3E16-49E1-841B-D43301C53323}"/>
    <hyperlink ref="J1091" r:id="rId6" xr:uid="{C810427F-D400-40E5-BF4D-AE39F056A875}"/>
    <hyperlink ref="J1093" r:id="rId7" xr:uid="{1E3C031A-1EB6-433F-BC23-E7165D035034}"/>
    <hyperlink ref="J1094" r:id="rId8" xr:uid="{9FA76F61-3B31-4D4C-A498-346ABEECF87D}"/>
    <hyperlink ref="J1095" r:id="rId9" xr:uid="{F953179A-63CF-4453-81FC-856FD09F84DA}"/>
    <hyperlink ref="J1096" r:id="rId10" xr:uid="{8EE8AFA7-5274-4705-A30C-34DC14099190}"/>
    <hyperlink ref="J1097" r:id="rId11" xr:uid="{333E1ADE-7906-461B-8F5C-95CDCE78A905}"/>
    <hyperlink ref="J1098" r:id="rId12" xr:uid="{ACDC2A7D-7AAF-4006-A087-A0864BDB4B48}"/>
    <hyperlink ref="J1100" r:id="rId13" xr:uid="{A746AEC7-37B4-42E4-BCC1-B42F638141FC}"/>
    <hyperlink ref="J1101" r:id="rId14" xr:uid="{7CC05DF8-9143-4D66-814C-D6D82CF4F714}"/>
    <hyperlink ref="J1102" r:id="rId15" xr:uid="{D8FCA4F2-2CD3-4828-B653-76F4133D6BC8}"/>
    <hyperlink ref="J1104" r:id="rId16" xr:uid="{B6B56A33-BFB9-4124-BF80-319860BF4074}"/>
    <hyperlink ref="J1107" r:id="rId17" xr:uid="{970330D0-3FC2-4891-B726-04A0E441A9A5}"/>
    <hyperlink ref="J1108" r:id="rId18" xr:uid="{B3031FFF-CD15-4C06-80B2-AB457831E09D}"/>
    <hyperlink ref="J1111" r:id="rId19" xr:uid="{B60BA9B8-C50F-49C9-8C9A-8F37DAFDEDB4}"/>
    <hyperlink ref="J1112" r:id="rId20" xr:uid="{F94CA5F9-1A50-4A8B-AAD2-A9C569DF5C66}"/>
    <hyperlink ref="J1113" r:id="rId21" xr:uid="{A443F57A-4967-4C61-A96C-EA0586B26DB3}"/>
    <hyperlink ref="J1114" r:id="rId22" xr:uid="{DB2B2D8C-7A74-436D-928D-E888C93FE214}"/>
    <hyperlink ref="J1117" r:id="rId23" xr:uid="{78B3D38F-7DD9-4A1A-99FC-C77EC26DB745}"/>
    <hyperlink ref="J1120" r:id="rId24" xr:uid="{0D9B305C-B063-4737-BDE9-F5AFF0E4D677}"/>
    <hyperlink ref="J1121" r:id="rId25" xr:uid="{F8727F3D-7223-4D6E-8338-7D180E7214C5}"/>
    <hyperlink ref="J1122" r:id="rId26" xr:uid="{C9CDB322-1E8D-4D30-8E92-D87143741AAC}"/>
    <hyperlink ref="J1128" r:id="rId27" xr:uid="{677FB04A-7240-496F-B34A-0564649EA30D}"/>
    <hyperlink ref="J1129" r:id="rId28" xr:uid="{B9205128-DFCE-4342-BD38-00C7CCC9BEA0}"/>
    <hyperlink ref="J1130" r:id="rId29" xr:uid="{7EE4816D-1A72-48A9-91FD-9B3DCC96E510}"/>
    <hyperlink ref="J1133" r:id="rId30" xr:uid="{D839BF36-55BD-410A-9853-5D9DC01A873E}"/>
    <hyperlink ref="J1134" r:id="rId31" xr:uid="{2BC5FA35-7FC5-4BBA-ACDB-A63A790722FE}"/>
    <hyperlink ref="J1136" r:id="rId32" xr:uid="{EE587F5E-A2FD-4FC2-9E7D-DF94A5AF28D4}"/>
    <hyperlink ref="J1137" r:id="rId33" xr:uid="{7F729D36-9E27-4A87-947A-AE46F8A14E5A}"/>
    <hyperlink ref="J1138" r:id="rId34" xr:uid="{4DD14D32-8FC9-4DD5-B205-43A8085264C6}"/>
    <hyperlink ref="J1139" r:id="rId35" xr:uid="{C433EDF6-673C-4823-8796-72FED2457D2E}"/>
    <hyperlink ref="J1140" r:id="rId36" xr:uid="{68775959-613A-4419-9560-0939A8ECF74A}"/>
    <hyperlink ref="J1143" r:id="rId37" xr:uid="{BA986C0A-3EC9-40D2-9645-8BC487A82951}"/>
    <hyperlink ref="J1145" r:id="rId38" xr:uid="{9A118684-C013-406F-90B6-7315C6B059A9}"/>
    <hyperlink ref="J1147" r:id="rId39" xr:uid="{6122CA82-2B92-4359-9C3F-F4F0919F0648}"/>
    <hyperlink ref="J1148" r:id="rId40" xr:uid="{AD08FB09-B195-4A70-9C52-B0052734C60D}"/>
    <hyperlink ref="J1150" r:id="rId41" xr:uid="{4D071959-EFAD-4EBF-9A29-DC1ED2B44C1C}"/>
    <hyperlink ref="J1151" r:id="rId42" xr:uid="{DE151A74-0377-4561-B8EA-F2B967C5547A}"/>
    <hyperlink ref="J1156" r:id="rId43" xr:uid="{D5085726-FBF6-4F7F-BF35-48926B3331D1}"/>
    <hyperlink ref="J1157" r:id="rId44" xr:uid="{6CEFF228-C637-453A-A635-622DB74E07D0}"/>
    <hyperlink ref="J1158" r:id="rId45" xr:uid="{33FEFA10-61D3-4029-968C-480F7328BBC4}"/>
    <hyperlink ref="J1161" r:id="rId46" xr:uid="{D7784A5A-EE17-4BC4-A96E-AB77C9E63C6F}"/>
    <hyperlink ref="J1165" r:id="rId47" xr:uid="{5ADB1609-B712-4660-A811-C75D80FF6CFD}"/>
    <hyperlink ref="J1166" r:id="rId48" xr:uid="{6CE6DA9B-5695-49D5-A4CD-32D45E8DBD66}"/>
    <hyperlink ref="J1168" r:id="rId49" xr:uid="{967E620E-7BF4-49BB-BF61-1E6495EEFB21}"/>
    <hyperlink ref="J1176" r:id="rId50" xr:uid="{65F13ABC-6130-4B51-8050-1D23CAAFB1B3}"/>
    <hyperlink ref="J1177" r:id="rId51" xr:uid="{E394A8CC-F827-49C2-AA51-CED8649692E6}"/>
    <hyperlink ref="J1178" r:id="rId52" xr:uid="{FF765218-45B9-4A74-AC05-04378BD74DF3}"/>
    <hyperlink ref="J1179" r:id="rId53" xr:uid="{416A2E77-6DE1-4A95-BDC1-DC16F50A3F70}"/>
    <hyperlink ref="J1180" r:id="rId54" xr:uid="{950416F3-35C1-4B95-97FA-6B308EEBEC0F}"/>
    <hyperlink ref="J1181" r:id="rId55" xr:uid="{FAFB005A-DA52-4A64-9495-7AC10EBCA484}"/>
    <hyperlink ref="J1182" r:id="rId56" xr:uid="{5EAAC5FA-EF39-4FFE-9663-B8978EB7A1DF}"/>
    <hyperlink ref="J1183" r:id="rId57" xr:uid="{5E307CC6-53E8-4754-B7F0-705A387A3765}"/>
    <hyperlink ref="J1184" r:id="rId58" xr:uid="{E2F13DE2-553C-416B-AC8C-45E605833557}"/>
    <hyperlink ref="J1186" r:id="rId59" xr:uid="{BA94FFFC-853B-4C9F-AABC-5241DA9C5958}"/>
    <hyperlink ref="J1188" r:id="rId60" xr:uid="{B663AE8A-05DC-47A9-9CA4-C67E58A4F180}"/>
    <hyperlink ref="J1190" r:id="rId61" xr:uid="{C474ED99-A6E8-413B-9DE6-8A8B2C5ECAFE}"/>
    <hyperlink ref="J1195" r:id="rId62" xr:uid="{7509EA78-1536-4D41-B5AF-116229301749}"/>
    <hyperlink ref="J1197" r:id="rId63" xr:uid="{1517EACF-B5F4-43E6-85AF-29FEFFDCBAF4}"/>
    <hyperlink ref="J1199" r:id="rId64" xr:uid="{0167F1AB-58CA-4290-99F2-A7B720FAE415}"/>
    <hyperlink ref="J1200" r:id="rId65" xr:uid="{05D94F4D-F5A3-488D-8017-E3EB5EC68C9A}"/>
    <hyperlink ref="J1202" r:id="rId66" xr:uid="{AAE18198-AC17-40C5-A275-091C804A118B}"/>
    <hyperlink ref="J1204" r:id="rId67" xr:uid="{582314DB-A821-49C4-AB62-78A85770C43E}"/>
    <hyperlink ref="J1206" r:id="rId68" xr:uid="{8FC0DA88-F97F-4D81-8E8B-7D1766FC9E6B}"/>
    <hyperlink ref="J1207" r:id="rId69" xr:uid="{D66ED323-51C6-4F23-A3FF-558E68B11DA6}"/>
    <hyperlink ref="J1210" r:id="rId70" xr:uid="{9E9047DC-E5B9-47C8-8789-349BD6256547}"/>
    <hyperlink ref="J1213" r:id="rId71" xr:uid="{A42C5E2E-90C5-4521-9AF5-05E7636F280F}"/>
    <hyperlink ref="J1226" r:id="rId72" xr:uid="{A902A8C9-4F8D-4176-9DCD-0DC9613BCE70}"/>
    <hyperlink ref="J1227" r:id="rId73" xr:uid="{D687BA89-FD0F-4D97-BC57-98C6B21D2C18}"/>
    <hyperlink ref="J1228" r:id="rId74" xr:uid="{1E3DF0BB-6A35-411B-9860-6DD6B8367427}"/>
    <hyperlink ref="J1229" r:id="rId75" xr:uid="{51C51F78-DA68-4E82-8A44-FD491AAA3515}"/>
    <hyperlink ref="J1230" r:id="rId76" xr:uid="{DF2A8609-1989-4956-B073-D102EC07283F}"/>
    <hyperlink ref="J1231" r:id="rId77" xr:uid="{E7FC8CAC-0A42-4E31-9BAD-7CCC971AD99C}"/>
    <hyperlink ref="J1242" r:id="rId78" xr:uid="{5F5069E7-1510-46D1-86C2-359F42221D3D}"/>
    <hyperlink ref="J1247" r:id="rId79" xr:uid="{4E55E0CF-B3E8-4730-85C7-C9E189BABBD9}"/>
    <hyperlink ref="J1255" r:id="rId80" xr:uid="{64359283-48B0-40A3-B2CA-1EF3431DF3E9}"/>
    <hyperlink ref="J1258" r:id="rId81" xr:uid="{D095447E-DABC-40D1-AAF8-1C0BC4A466F4}"/>
    <hyperlink ref="J1259" r:id="rId82" xr:uid="{20487011-3D2E-4989-B809-A673FE3E2DE3}"/>
    <hyperlink ref="J1260" r:id="rId83" xr:uid="{D4EF9A2C-E684-4B9A-8088-06D00A0475F5}"/>
    <hyperlink ref="J1261" r:id="rId84" xr:uid="{C963C0F3-473C-4C95-8A5F-BDCE3BE9C5D7}"/>
    <hyperlink ref="J1264" r:id="rId85" xr:uid="{1B42F80B-D6EB-4CC9-A2C7-E69FD6564613}"/>
    <hyperlink ref="J1265" r:id="rId86" xr:uid="{C858FEE0-27AC-44C0-AC8C-E625404F9906}"/>
    <hyperlink ref="J1266" r:id="rId87" xr:uid="{59812290-6B9F-440D-AC0C-08FB2167F306}"/>
    <hyperlink ref="J1268" r:id="rId88" xr:uid="{08773D29-A20B-4852-8DE4-2B3892CD5C60}"/>
    <hyperlink ref="J1270" r:id="rId89" xr:uid="{5A1998DE-8052-4F5B-9C89-F3A0A69265A3}"/>
    <hyperlink ref="J1271" r:id="rId90" xr:uid="{F24E134F-5A4F-4AAF-8B26-61021FE6CB15}"/>
    <hyperlink ref="J1272" r:id="rId91" xr:uid="{CD888027-A9FF-4CDB-B668-796DBB94E008}"/>
    <hyperlink ref="J1273" r:id="rId92" xr:uid="{930BE09B-7B0D-47BD-9F58-297337FEEDB5}"/>
    <hyperlink ref="J1274" r:id="rId93" xr:uid="{EB59AEEF-9D7A-4AF2-A4B5-1A740E3EDAAF}"/>
    <hyperlink ref="J1275" r:id="rId94" xr:uid="{CB8ACB17-5CA1-4B25-94EA-58B25F49E7DF}"/>
    <hyperlink ref="J1276" r:id="rId95" xr:uid="{7D24ADF3-9C31-493C-85FD-026F602D08B3}"/>
    <hyperlink ref="J1277" r:id="rId96" xr:uid="{CF9D44CF-1253-4140-960B-7B703A2F183F}"/>
    <hyperlink ref="J1278" r:id="rId97" xr:uid="{B449C7DC-8F04-4803-B781-272A496A7315}"/>
    <hyperlink ref="J1279" r:id="rId98" xr:uid="{584D0F52-EDBB-4844-83E6-9C11B4F38595}"/>
    <hyperlink ref="J1282" r:id="rId99" xr:uid="{87E5E349-1FC7-4E6C-8531-765BAEED7E7A}"/>
    <hyperlink ref="J1283" r:id="rId100" xr:uid="{95464D9D-9669-4EE9-B08B-E2E037F674C4}"/>
    <hyperlink ref="J1284" r:id="rId101" xr:uid="{66CB579F-EAB0-431F-9986-BA956246DECE}"/>
    <hyperlink ref="J1286" r:id="rId102" xr:uid="{2F695DAA-B166-4A3F-81AB-E64E76FB670E}"/>
    <hyperlink ref="J1290" r:id="rId103" xr:uid="{989BE06A-6B54-4894-BF67-DB0C404D10B4}"/>
    <hyperlink ref="J1291" r:id="rId104" xr:uid="{4C2C1195-FCB0-4E3E-A38D-2E266A873D4A}"/>
    <hyperlink ref="J1333" r:id="rId105" xr:uid="{5D997FFB-7CDB-49A3-84BA-99355BD73676}"/>
    <hyperlink ref="J1364" r:id="rId106" xr:uid="{F3E92772-3D55-4F1A-9CEA-22119D293E87}"/>
    <hyperlink ref="J1365" r:id="rId107" xr:uid="{45E7B4F0-B346-46A6-9BEE-9E1686296D05}"/>
    <hyperlink ref="J1366" r:id="rId108" xr:uid="{40B12288-8E2B-493E-9D2A-E84C5B453F74}"/>
    <hyperlink ref="J1367" r:id="rId109" xr:uid="{7DE08D6D-4404-46DB-9A90-2ED8348AC28E}"/>
    <hyperlink ref="J1384" r:id="rId110" xr:uid="{7C52EB77-4785-4E45-8562-3D59BD3B8E6B}"/>
    <hyperlink ref="J1414" r:id="rId111" xr:uid="{DAD9B22E-B91F-4034-99BA-07F2A3EE5016}"/>
    <hyperlink ref="J2714" r:id="rId112" xr:uid="{6B5B9ACF-7F29-4216-9263-2DE4A2455116}"/>
    <hyperlink ref="J2735" r:id="rId113" xr:uid="{650A76A0-CF26-44D4-8F1B-6B0AA5098FFB}"/>
    <hyperlink ref="J2742" r:id="rId114" xr:uid="{398863F1-47CC-40B3-9A28-6B98E587EB5E}"/>
  </hyperlinks>
  <pageMargins left="0.7" right="0.7" top="0.75" bottom="0.75" header="0.3" footer="0.3"/>
  <pageSetup paperSize="9" orientation="portrait" horizontalDpi="0" verticalDpi="0" r:id="rId1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FD71-78AD-4531-8870-DF01B48FF0F5}">
  <dimension ref="A1:M1007"/>
  <sheetViews>
    <sheetView zoomScale="145" zoomScaleNormal="145" workbookViewId="0">
      <pane ySplit="1" topLeftCell="A429" activePane="bottomLeft" state="frozen"/>
      <selection pane="bottomLeft" activeCell="J442" sqref="J442"/>
    </sheetView>
  </sheetViews>
  <sheetFormatPr defaultColWidth="14.44140625" defaultRowHeight="15" customHeight="1" x14ac:dyDescent="0.3"/>
  <cols>
    <col min="1" max="1" width="5.5546875" customWidth="1"/>
    <col min="2" max="2" width="10.6640625" customWidth="1"/>
    <col min="3" max="3" width="24.6640625" customWidth="1"/>
    <col min="4" max="4" width="13.5546875" customWidth="1"/>
    <col min="5" max="5" width="11.88671875" customWidth="1"/>
    <col min="6" max="6" width="14.6640625" customWidth="1"/>
    <col min="7" max="7" width="12" customWidth="1"/>
    <col min="8" max="8" width="15.88671875" customWidth="1"/>
    <col min="9" max="9" width="13.33203125" customWidth="1"/>
    <col min="10" max="10" width="18.6640625" customWidth="1"/>
    <col min="11" max="11" width="21.33203125" customWidth="1"/>
    <col min="12" max="12" width="28.33203125" customWidth="1"/>
    <col min="13" max="26" width="8.5546875" customWidth="1"/>
  </cols>
  <sheetData>
    <row r="1" spans="1:12" ht="14.25" customHeight="1" x14ac:dyDescent="0.3">
      <c r="A1" s="2" t="s">
        <v>8651</v>
      </c>
      <c r="B1" s="2" t="s">
        <v>8652</v>
      </c>
      <c r="C1" s="2" t="s">
        <v>27</v>
      </c>
      <c r="D1" s="2" t="s">
        <v>8653</v>
      </c>
      <c r="E1" s="2" t="s">
        <v>8654</v>
      </c>
      <c r="G1" s="2" t="s">
        <v>7795</v>
      </c>
      <c r="H1" s="2" t="s">
        <v>8655</v>
      </c>
      <c r="I1" s="2" t="s">
        <v>8656</v>
      </c>
      <c r="J1" s="2" t="s">
        <v>8657</v>
      </c>
      <c r="K1" s="5" t="s">
        <v>8658</v>
      </c>
      <c r="L1" s="5" t="s">
        <v>8659</v>
      </c>
    </row>
    <row r="2" spans="1:12" ht="14.25" customHeight="1" x14ac:dyDescent="0.3">
      <c r="A2" s="2">
        <v>1</v>
      </c>
      <c r="B2" s="1">
        <v>43128</v>
      </c>
      <c r="C2" s="2" t="s">
        <v>8660</v>
      </c>
      <c r="D2" s="2">
        <v>9810495368</v>
      </c>
      <c r="H2" s="2" t="s">
        <v>8661</v>
      </c>
      <c r="I2" s="12" t="s">
        <v>8662</v>
      </c>
      <c r="J2" s="2" t="s">
        <v>5766</v>
      </c>
      <c r="K2" s="5" t="s">
        <v>8663</v>
      </c>
      <c r="L2" s="5"/>
    </row>
    <row r="3" spans="1:12" ht="14.25" customHeight="1" x14ac:dyDescent="0.3">
      <c r="A3" s="2">
        <v>2</v>
      </c>
      <c r="B3" s="1">
        <v>43128</v>
      </c>
      <c r="C3" s="2" t="s">
        <v>8664</v>
      </c>
      <c r="D3" s="2">
        <v>7665006623</v>
      </c>
      <c r="H3" s="2" t="s">
        <v>8661</v>
      </c>
      <c r="I3" s="12" t="s">
        <v>8662</v>
      </c>
      <c r="J3" s="2" t="s">
        <v>5766</v>
      </c>
      <c r="K3" s="5" t="s">
        <v>8663</v>
      </c>
      <c r="L3" s="5"/>
    </row>
    <row r="4" spans="1:12" ht="14.25" customHeight="1" x14ac:dyDescent="0.3">
      <c r="A4" s="2">
        <v>3</v>
      </c>
      <c r="B4" s="1">
        <v>43147</v>
      </c>
      <c r="C4" s="2" t="s">
        <v>8665</v>
      </c>
      <c r="H4" s="2" t="s">
        <v>8661</v>
      </c>
      <c r="I4" s="12" t="s">
        <v>8662</v>
      </c>
      <c r="J4" s="2" t="s">
        <v>5766</v>
      </c>
      <c r="K4" s="5"/>
      <c r="L4" s="5"/>
    </row>
    <row r="5" spans="1:12" ht="14.25" customHeight="1" x14ac:dyDescent="0.3">
      <c r="A5" s="2">
        <v>4</v>
      </c>
      <c r="B5" s="1">
        <v>43147</v>
      </c>
      <c r="C5" s="2" t="s">
        <v>8666</v>
      </c>
      <c r="D5" s="2">
        <v>9031396437</v>
      </c>
      <c r="H5" s="2" t="s">
        <v>8667</v>
      </c>
      <c r="I5" s="12" t="s">
        <v>8662</v>
      </c>
      <c r="J5" s="2" t="s">
        <v>5766</v>
      </c>
      <c r="K5" s="5"/>
      <c r="L5" s="5"/>
    </row>
    <row r="6" spans="1:12" ht="14.25" customHeight="1" x14ac:dyDescent="0.3">
      <c r="A6" s="2">
        <v>5</v>
      </c>
      <c r="B6" s="1">
        <v>43147</v>
      </c>
      <c r="C6" s="2" t="s">
        <v>8668</v>
      </c>
      <c r="D6" s="2">
        <v>9031396437</v>
      </c>
      <c r="H6" s="2" t="s">
        <v>8667</v>
      </c>
      <c r="I6" s="12" t="s">
        <v>8662</v>
      </c>
      <c r="J6" s="2" t="s">
        <v>5766</v>
      </c>
      <c r="K6" s="5"/>
      <c r="L6" s="5"/>
    </row>
    <row r="7" spans="1:12" ht="14.25" customHeight="1" x14ac:dyDescent="0.3">
      <c r="A7" s="2">
        <v>6</v>
      </c>
      <c r="B7" s="1">
        <v>43168</v>
      </c>
      <c r="C7" s="2" t="s">
        <v>8668</v>
      </c>
      <c r="H7" s="2" t="s">
        <v>8667</v>
      </c>
      <c r="I7" s="8" t="s">
        <v>8662</v>
      </c>
      <c r="J7" s="2" t="s">
        <v>5766</v>
      </c>
      <c r="K7" s="5"/>
      <c r="L7" s="5"/>
    </row>
    <row r="8" spans="1:12" ht="14.25" customHeight="1" x14ac:dyDescent="0.3">
      <c r="A8" s="2">
        <v>7</v>
      </c>
      <c r="B8" s="1">
        <v>43170</v>
      </c>
      <c r="C8" s="2" t="s">
        <v>8669</v>
      </c>
      <c r="H8" s="2" t="s">
        <v>8667</v>
      </c>
      <c r="I8" s="8" t="s">
        <v>8662</v>
      </c>
      <c r="J8" s="2" t="s">
        <v>5766</v>
      </c>
      <c r="K8" s="5"/>
      <c r="L8" s="5"/>
    </row>
    <row r="9" spans="1:12" ht="14.25" customHeight="1" x14ac:dyDescent="0.3">
      <c r="A9" s="2">
        <v>7</v>
      </c>
      <c r="B9" s="1">
        <v>43171</v>
      </c>
      <c r="C9" s="2" t="s">
        <v>8670</v>
      </c>
      <c r="D9" s="2">
        <v>8228070960</v>
      </c>
      <c r="H9" s="2" t="s">
        <v>8671</v>
      </c>
      <c r="I9" s="8" t="s">
        <v>8662</v>
      </c>
      <c r="J9" s="2" t="s">
        <v>5766</v>
      </c>
      <c r="K9" s="5"/>
      <c r="L9" s="5"/>
    </row>
    <row r="10" spans="1:12" ht="14.25" customHeight="1" x14ac:dyDescent="0.3">
      <c r="B10" s="1">
        <v>43180</v>
      </c>
      <c r="C10" s="2" t="s">
        <v>8672</v>
      </c>
      <c r="D10" s="2">
        <v>9931830641</v>
      </c>
      <c r="H10" s="2" t="s">
        <v>8671</v>
      </c>
      <c r="I10" s="8" t="s">
        <v>8662</v>
      </c>
      <c r="J10" s="2" t="s">
        <v>5766</v>
      </c>
      <c r="K10" s="5"/>
      <c r="L10" s="5"/>
    </row>
    <row r="11" spans="1:12" ht="14.25" customHeight="1" x14ac:dyDescent="0.3">
      <c r="B11" s="1">
        <v>43182</v>
      </c>
      <c r="C11" s="2" t="s">
        <v>8673</v>
      </c>
      <c r="D11" s="2">
        <v>9304524553</v>
      </c>
      <c r="H11" s="2" t="s">
        <v>8671</v>
      </c>
      <c r="I11" s="8" t="s">
        <v>8662</v>
      </c>
      <c r="J11" s="2" t="s">
        <v>5766</v>
      </c>
      <c r="K11" s="5"/>
      <c r="L11" s="5"/>
    </row>
    <row r="12" spans="1:12" ht="14.25" customHeight="1" x14ac:dyDescent="0.3">
      <c r="B12" s="1">
        <v>43182</v>
      </c>
      <c r="C12" s="2" t="s">
        <v>8674</v>
      </c>
      <c r="D12" s="2">
        <v>8581812162</v>
      </c>
      <c r="H12" s="2" t="s">
        <v>8671</v>
      </c>
      <c r="I12" s="8" t="s">
        <v>8662</v>
      </c>
      <c r="J12" s="2" t="s">
        <v>5766</v>
      </c>
      <c r="K12" s="5"/>
      <c r="L12" s="5"/>
    </row>
    <row r="13" spans="1:12" ht="14.25" customHeight="1" x14ac:dyDescent="0.3">
      <c r="B13" s="1">
        <v>43182</v>
      </c>
      <c r="C13" s="2" t="s">
        <v>8675</v>
      </c>
      <c r="H13" s="2" t="s">
        <v>8661</v>
      </c>
      <c r="I13" s="8" t="s">
        <v>8662</v>
      </c>
      <c r="J13" s="2" t="s">
        <v>5766</v>
      </c>
      <c r="K13" s="5"/>
      <c r="L13" s="5"/>
    </row>
    <row r="14" spans="1:12" ht="14.25" customHeight="1" x14ac:dyDescent="0.3">
      <c r="B14" s="1">
        <v>43183</v>
      </c>
      <c r="C14" s="2" t="s">
        <v>8676</v>
      </c>
      <c r="D14" s="2">
        <v>9234628324</v>
      </c>
      <c r="E14" s="2" t="s">
        <v>8677</v>
      </c>
      <c r="H14" s="2" t="s">
        <v>8661</v>
      </c>
      <c r="I14" s="8" t="s">
        <v>8662</v>
      </c>
      <c r="J14" s="2" t="s">
        <v>1490</v>
      </c>
      <c r="K14" s="5">
        <v>9431755312</v>
      </c>
      <c r="L14" s="5">
        <v>9471309728</v>
      </c>
    </row>
    <row r="15" spans="1:12" ht="14.25" customHeight="1" x14ac:dyDescent="0.3">
      <c r="B15" s="1">
        <v>43196</v>
      </c>
      <c r="C15" s="2" t="s">
        <v>8678</v>
      </c>
      <c r="E15" s="2" t="s">
        <v>8679</v>
      </c>
      <c r="H15" s="2" t="s">
        <v>8680</v>
      </c>
      <c r="I15" s="8" t="s">
        <v>8662</v>
      </c>
      <c r="K15" s="5"/>
      <c r="L15" s="5"/>
    </row>
    <row r="16" spans="1:12" ht="14.25" customHeight="1" x14ac:dyDescent="0.3">
      <c r="B16" s="1">
        <v>43196</v>
      </c>
      <c r="C16" s="2" t="s">
        <v>8681</v>
      </c>
      <c r="E16" s="2" t="s">
        <v>8682</v>
      </c>
      <c r="H16" s="2" t="s">
        <v>8680</v>
      </c>
      <c r="I16" s="8" t="s">
        <v>8662</v>
      </c>
      <c r="K16" s="5"/>
      <c r="L16" s="5"/>
    </row>
    <row r="17" spans="2:12" ht="14.25" customHeight="1" x14ac:dyDescent="0.3">
      <c r="B17" s="1">
        <v>43196</v>
      </c>
      <c r="C17" s="2" t="s">
        <v>8681</v>
      </c>
      <c r="E17" s="2" t="s">
        <v>8683</v>
      </c>
      <c r="H17" s="2" t="s">
        <v>8680</v>
      </c>
      <c r="I17" s="8" t="s">
        <v>8662</v>
      </c>
      <c r="K17" s="5"/>
      <c r="L17" s="5"/>
    </row>
    <row r="18" spans="2:12" ht="14.25" customHeight="1" x14ac:dyDescent="0.3">
      <c r="B18" s="1">
        <v>43196</v>
      </c>
      <c r="C18" s="2" t="s">
        <v>8684</v>
      </c>
      <c r="E18" s="2" t="s">
        <v>8685</v>
      </c>
      <c r="H18" s="2" t="s">
        <v>8680</v>
      </c>
      <c r="I18" s="8" t="s">
        <v>8662</v>
      </c>
      <c r="K18" s="5"/>
      <c r="L18" s="5"/>
    </row>
    <row r="19" spans="2:12" ht="14.25" customHeight="1" x14ac:dyDescent="0.3">
      <c r="C19" s="2" t="s">
        <v>8686</v>
      </c>
      <c r="D19" s="2">
        <v>6200304767</v>
      </c>
      <c r="H19" s="16" t="s">
        <v>8687</v>
      </c>
      <c r="I19" s="305" t="s">
        <v>8662</v>
      </c>
      <c r="K19" s="5"/>
      <c r="L19" s="5"/>
    </row>
    <row r="20" spans="2:12" ht="14.25" customHeight="1" x14ac:dyDescent="0.3">
      <c r="C20" s="7" t="s">
        <v>8688</v>
      </c>
      <c r="H20" s="16"/>
      <c r="I20" s="305"/>
      <c r="K20" s="5"/>
      <c r="L20" s="5"/>
    </row>
    <row r="21" spans="2:12" ht="14.25" customHeight="1" x14ac:dyDescent="0.3">
      <c r="C21" s="7" t="s">
        <v>8689</v>
      </c>
      <c r="H21" s="16"/>
      <c r="I21" s="305"/>
      <c r="K21" s="5"/>
      <c r="L21" s="5"/>
    </row>
    <row r="22" spans="2:12" ht="14.25" customHeight="1" x14ac:dyDescent="0.3">
      <c r="C22" s="7" t="s">
        <v>8690</v>
      </c>
      <c r="H22" s="16"/>
      <c r="I22" s="305"/>
      <c r="K22" s="5"/>
      <c r="L22" s="5"/>
    </row>
    <row r="23" spans="2:12" ht="14.25" customHeight="1" x14ac:dyDescent="0.3">
      <c r="C23" s="7" t="s">
        <v>8691</v>
      </c>
      <c r="H23" s="16"/>
      <c r="I23" s="305"/>
      <c r="K23" s="5"/>
      <c r="L23" s="5"/>
    </row>
    <row r="24" spans="2:12" ht="14.25" customHeight="1" x14ac:dyDescent="0.3">
      <c r="B24" s="1">
        <v>43708</v>
      </c>
      <c r="C24" s="7" t="s">
        <v>8692</v>
      </c>
      <c r="D24" s="2">
        <v>7043617971</v>
      </c>
      <c r="E24" s="2" t="s">
        <v>8685</v>
      </c>
      <c r="H24" s="2" t="s">
        <v>8693</v>
      </c>
      <c r="I24" s="12" t="s">
        <v>8694</v>
      </c>
      <c r="J24" s="2" t="s">
        <v>8695</v>
      </c>
      <c r="K24" s="5"/>
      <c r="L24" s="5"/>
    </row>
    <row r="25" spans="2:12" ht="14.25" customHeight="1" x14ac:dyDescent="0.3">
      <c r="B25" s="1">
        <v>43674</v>
      </c>
      <c r="C25" s="7" t="s">
        <v>8696</v>
      </c>
      <c r="E25" s="2" t="s">
        <v>8685</v>
      </c>
      <c r="H25" s="2" t="s">
        <v>8697</v>
      </c>
      <c r="I25" s="12" t="s">
        <v>8698</v>
      </c>
      <c r="K25" s="5"/>
      <c r="L25" s="5"/>
    </row>
    <row r="26" spans="2:12" ht="14.25" customHeight="1" x14ac:dyDescent="0.3">
      <c r="B26" s="1">
        <v>43687</v>
      </c>
      <c r="C26" s="7" t="s">
        <v>8699</v>
      </c>
      <c r="E26" s="2" t="s">
        <v>8685</v>
      </c>
      <c r="H26" s="2" t="s">
        <v>8697</v>
      </c>
      <c r="I26" s="12" t="s">
        <v>8698</v>
      </c>
      <c r="K26" s="5"/>
      <c r="L26" s="5"/>
    </row>
    <row r="27" spans="2:12" ht="14.25" customHeight="1" x14ac:dyDescent="0.3">
      <c r="B27" s="1">
        <v>43695</v>
      </c>
      <c r="C27" s="7" t="s">
        <v>8700</v>
      </c>
      <c r="E27" s="2" t="s">
        <v>8685</v>
      </c>
      <c r="H27" s="2" t="s">
        <v>8697</v>
      </c>
      <c r="I27" s="12" t="s">
        <v>8698</v>
      </c>
      <c r="K27" s="5"/>
      <c r="L27" s="5"/>
    </row>
    <row r="28" spans="2:12" ht="14.25" customHeight="1" x14ac:dyDescent="0.3">
      <c r="B28" s="1">
        <v>43706</v>
      </c>
      <c r="C28" s="7" t="s">
        <v>8701</v>
      </c>
      <c r="E28" s="2" t="s">
        <v>8685</v>
      </c>
      <c r="H28" s="2" t="s">
        <v>8697</v>
      </c>
      <c r="I28" s="12" t="s">
        <v>8698</v>
      </c>
      <c r="K28" s="5"/>
      <c r="L28" s="5"/>
    </row>
    <row r="29" spans="2:12" ht="14.25" customHeight="1" x14ac:dyDescent="0.3">
      <c r="B29" s="1">
        <v>43713</v>
      </c>
      <c r="C29" s="7" t="s">
        <v>8702</v>
      </c>
      <c r="D29" s="2">
        <v>9431345759</v>
      </c>
      <c r="E29" s="2" t="s">
        <v>8168</v>
      </c>
      <c r="H29" s="2" t="s">
        <v>8693</v>
      </c>
      <c r="I29" s="12" t="s">
        <v>8694</v>
      </c>
      <c r="J29" s="2" t="s">
        <v>5766</v>
      </c>
      <c r="K29" s="5"/>
      <c r="L29" s="5"/>
    </row>
    <row r="30" spans="2:12" ht="14.25" customHeight="1" x14ac:dyDescent="0.3">
      <c r="B30" s="1">
        <v>43713</v>
      </c>
      <c r="C30" s="7" t="s">
        <v>8703</v>
      </c>
      <c r="D30" s="2">
        <v>7209310758</v>
      </c>
      <c r="E30" s="2" t="s">
        <v>8685</v>
      </c>
      <c r="H30" s="2" t="s">
        <v>8693</v>
      </c>
      <c r="I30" s="12" t="s">
        <v>8694</v>
      </c>
      <c r="K30" s="5"/>
      <c r="L30" s="5"/>
    </row>
    <row r="31" spans="2:12" ht="14.25" customHeight="1" x14ac:dyDescent="0.3">
      <c r="B31" s="1">
        <v>43716</v>
      </c>
      <c r="C31" s="7" t="s">
        <v>8704</v>
      </c>
      <c r="D31" s="2">
        <v>8809365355</v>
      </c>
      <c r="E31" s="2" t="s">
        <v>8685</v>
      </c>
      <c r="H31" s="2" t="s">
        <v>8693</v>
      </c>
      <c r="I31" s="12" t="s">
        <v>8694</v>
      </c>
      <c r="K31" s="17">
        <v>100015126910119</v>
      </c>
      <c r="L31" s="17" t="s">
        <v>8705</v>
      </c>
    </row>
    <row r="32" spans="2:12" ht="14.25" customHeight="1" x14ac:dyDescent="0.3">
      <c r="B32" s="1">
        <v>43722</v>
      </c>
      <c r="C32" s="7" t="s">
        <v>8233</v>
      </c>
      <c r="D32" s="2">
        <v>7903798550</v>
      </c>
      <c r="E32" s="2" t="s">
        <v>8685</v>
      </c>
      <c r="H32" s="2" t="s">
        <v>8706</v>
      </c>
      <c r="I32" s="12" t="s">
        <v>2731</v>
      </c>
      <c r="K32" s="5">
        <v>190012889486</v>
      </c>
      <c r="L32" s="5"/>
    </row>
    <row r="33" spans="2:12" ht="14.25" customHeight="1" x14ac:dyDescent="0.3">
      <c r="B33" s="1">
        <v>43725</v>
      </c>
      <c r="C33" s="7" t="s">
        <v>8707</v>
      </c>
      <c r="D33" s="2">
        <v>9955531957</v>
      </c>
      <c r="E33" s="2" t="s">
        <v>8685</v>
      </c>
      <c r="H33" s="2" t="s">
        <v>8706</v>
      </c>
      <c r="I33" s="12" t="s">
        <v>2731</v>
      </c>
      <c r="K33" s="5"/>
      <c r="L33" s="5"/>
    </row>
    <row r="34" spans="2:12" ht="14.25" customHeight="1" x14ac:dyDescent="0.3">
      <c r="B34" s="1">
        <v>43725</v>
      </c>
      <c r="C34" s="7" t="s">
        <v>8708</v>
      </c>
      <c r="D34" s="2">
        <v>9835337812</v>
      </c>
      <c r="E34" s="2" t="s">
        <v>8685</v>
      </c>
      <c r="H34" s="2" t="s">
        <v>8706</v>
      </c>
      <c r="I34" s="12" t="s">
        <v>2731</v>
      </c>
      <c r="K34" s="5">
        <v>6</v>
      </c>
      <c r="L34" s="5"/>
    </row>
    <row r="35" spans="2:12" ht="14.25" customHeight="1" x14ac:dyDescent="0.3">
      <c r="B35" s="1">
        <v>43730</v>
      </c>
      <c r="C35" s="7" t="s">
        <v>8709</v>
      </c>
      <c r="D35" s="2">
        <v>8340318636</v>
      </c>
      <c r="E35" s="2" t="s">
        <v>8685</v>
      </c>
      <c r="H35" s="2" t="s">
        <v>8706</v>
      </c>
      <c r="I35" s="12" t="s">
        <v>2731</v>
      </c>
      <c r="K35" s="5"/>
      <c r="L35" s="5"/>
    </row>
    <row r="36" spans="2:12" ht="14.25" customHeight="1" x14ac:dyDescent="0.3">
      <c r="B36" s="1">
        <v>43733</v>
      </c>
      <c r="C36" s="7" t="s">
        <v>8710</v>
      </c>
      <c r="D36" s="2">
        <v>9031905223</v>
      </c>
      <c r="E36" s="2" t="s">
        <v>8685</v>
      </c>
      <c r="H36" s="2" t="s">
        <v>8711</v>
      </c>
      <c r="I36" s="12" t="s">
        <v>8694</v>
      </c>
      <c r="K36" s="5">
        <v>100015279045519</v>
      </c>
      <c r="L36" s="5" t="s">
        <v>8712</v>
      </c>
    </row>
    <row r="37" spans="2:12" ht="14.25" customHeight="1" x14ac:dyDescent="0.3">
      <c r="B37" s="1">
        <v>43743</v>
      </c>
      <c r="C37" s="7" t="s">
        <v>8713</v>
      </c>
      <c r="D37" s="2">
        <v>8294696993</v>
      </c>
      <c r="E37" s="2" t="s">
        <v>8685</v>
      </c>
      <c r="H37" s="2" t="s">
        <v>8714</v>
      </c>
      <c r="I37" s="12" t="s">
        <v>8694</v>
      </c>
      <c r="J37" s="1">
        <v>43761</v>
      </c>
      <c r="K37" s="5">
        <v>100015311004919</v>
      </c>
      <c r="L37" s="5" t="s">
        <v>8715</v>
      </c>
    </row>
    <row r="38" spans="2:12" ht="14.25" customHeight="1" x14ac:dyDescent="0.3">
      <c r="B38" s="1">
        <v>43746</v>
      </c>
      <c r="H38" s="2" t="s">
        <v>8714</v>
      </c>
      <c r="I38" s="12" t="s">
        <v>8694</v>
      </c>
      <c r="K38" s="5"/>
      <c r="L38" s="5"/>
    </row>
    <row r="39" spans="2:12" ht="14.25" customHeight="1" x14ac:dyDescent="0.3">
      <c r="B39" s="1">
        <v>43750</v>
      </c>
      <c r="C39" s="7" t="s">
        <v>8716</v>
      </c>
      <c r="H39" s="2" t="s">
        <v>8714</v>
      </c>
      <c r="I39" s="12" t="s">
        <v>8694</v>
      </c>
      <c r="J39" s="1">
        <v>43767</v>
      </c>
      <c r="K39" s="5"/>
      <c r="L39" s="5"/>
    </row>
    <row r="40" spans="2:12" ht="14.25" customHeight="1" x14ac:dyDescent="0.3">
      <c r="C40" s="7" t="s">
        <v>8717</v>
      </c>
      <c r="H40" s="2" t="s">
        <v>908</v>
      </c>
      <c r="K40" s="5"/>
      <c r="L40" s="5"/>
    </row>
    <row r="41" spans="2:12" ht="14.25" customHeight="1" x14ac:dyDescent="0.3">
      <c r="B41" s="1">
        <v>43754</v>
      </c>
      <c r="C41" s="7" t="s">
        <v>8718</v>
      </c>
      <c r="H41" s="2" t="s">
        <v>8719</v>
      </c>
      <c r="I41" s="12" t="s">
        <v>8698</v>
      </c>
      <c r="K41" s="5"/>
      <c r="L41" s="5"/>
    </row>
    <row r="42" spans="2:12" ht="14.25" customHeight="1" x14ac:dyDescent="0.3">
      <c r="B42" s="1">
        <v>43754</v>
      </c>
      <c r="C42" s="7" t="s">
        <v>8720</v>
      </c>
      <c r="H42" s="2" t="s">
        <v>8719</v>
      </c>
      <c r="I42" s="12" t="s">
        <v>8698</v>
      </c>
      <c r="K42" s="5"/>
      <c r="L42" s="5"/>
    </row>
    <row r="43" spans="2:12" ht="14.25" customHeight="1" x14ac:dyDescent="0.3">
      <c r="B43" s="1">
        <v>43754</v>
      </c>
      <c r="C43" s="7" t="s">
        <v>8721</v>
      </c>
      <c r="H43" s="2" t="s">
        <v>8719</v>
      </c>
      <c r="I43" s="12" t="s">
        <v>8698</v>
      </c>
      <c r="K43" s="5"/>
      <c r="L43" s="5"/>
    </row>
    <row r="44" spans="2:12" ht="14.25" customHeight="1" x14ac:dyDescent="0.3">
      <c r="C44" s="7" t="s">
        <v>556</v>
      </c>
      <c r="H44" s="2" t="s">
        <v>8722</v>
      </c>
      <c r="I44" s="12" t="s">
        <v>8698</v>
      </c>
      <c r="K44" s="5"/>
      <c r="L44" s="5"/>
    </row>
    <row r="45" spans="2:12" ht="14.25" customHeight="1" x14ac:dyDescent="0.3">
      <c r="C45" s="7" t="s">
        <v>556</v>
      </c>
      <c r="H45" s="2" t="s">
        <v>8722</v>
      </c>
      <c r="I45" s="12" t="s">
        <v>8698</v>
      </c>
      <c r="K45" s="5"/>
      <c r="L45" s="5"/>
    </row>
    <row r="46" spans="2:12" ht="14.25" customHeight="1" x14ac:dyDescent="0.3">
      <c r="C46" s="7" t="s">
        <v>556</v>
      </c>
      <c r="H46" s="2" t="s">
        <v>8722</v>
      </c>
      <c r="I46" s="12" t="s">
        <v>8698</v>
      </c>
      <c r="K46" s="5"/>
      <c r="L46" s="5"/>
    </row>
    <row r="47" spans="2:12" ht="14.25" customHeight="1" x14ac:dyDescent="0.3">
      <c r="B47" s="1">
        <v>43759</v>
      </c>
      <c r="C47" s="7" t="s">
        <v>8723</v>
      </c>
      <c r="D47" s="2">
        <v>7295876646</v>
      </c>
      <c r="E47" s="2" t="s">
        <v>8168</v>
      </c>
      <c r="H47" s="2" t="s">
        <v>8714</v>
      </c>
      <c r="I47" s="12" t="s">
        <v>8698</v>
      </c>
      <c r="K47" s="5"/>
      <c r="L47" s="5"/>
    </row>
    <row r="48" spans="2:12" ht="14.25" customHeight="1" x14ac:dyDescent="0.3">
      <c r="B48" s="1">
        <v>43766</v>
      </c>
      <c r="C48" s="7" t="s">
        <v>8724</v>
      </c>
      <c r="D48" s="2">
        <v>7033985889</v>
      </c>
      <c r="E48" s="2" t="s">
        <v>8168</v>
      </c>
      <c r="H48" s="2" t="s">
        <v>8714</v>
      </c>
      <c r="I48" s="12" t="s">
        <v>8698</v>
      </c>
      <c r="K48" s="5"/>
      <c r="L48" s="5"/>
    </row>
    <row r="49" spans="1:12" ht="14.25" customHeight="1" x14ac:dyDescent="0.3">
      <c r="C49" s="7" t="s">
        <v>2290</v>
      </c>
      <c r="D49" s="2">
        <v>8227064613</v>
      </c>
      <c r="H49" s="2" t="s">
        <v>8719</v>
      </c>
      <c r="I49" s="12" t="s">
        <v>8698</v>
      </c>
      <c r="J49" s="1">
        <v>43795</v>
      </c>
      <c r="K49" s="5">
        <v>100015547972919</v>
      </c>
      <c r="L49" s="5" t="s">
        <v>8725</v>
      </c>
    </row>
    <row r="50" spans="1:12" ht="14.25" customHeight="1" x14ac:dyDescent="0.3">
      <c r="A50" s="2" t="s">
        <v>8726</v>
      </c>
      <c r="B50" s="1">
        <v>43787</v>
      </c>
      <c r="C50" s="7" t="s">
        <v>8727</v>
      </c>
      <c r="D50" s="2">
        <v>9572856979</v>
      </c>
      <c r="H50" s="2" t="s">
        <v>8728</v>
      </c>
      <c r="I50" s="12" t="s">
        <v>8698</v>
      </c>
      <c r="J50" s="1">
        <v>43791</v>
      </c>
      <c r="K50" s="5">
        <v>100015724286319</v>
      </c>
      <c r="L50" s="5" t="s">
        <v>8729</v>
      </c>
    </row>
    <row r="51" spans="1:12" ht="14.25" customHeight="1" x14ac:dyDescent="0.3">
      <c r="B51" s="1">
        <v>43797</v>
      </c>
      <c r="C51" s="7" t="s">
        <v>8730</v>
      </c>
      <c r="D51" s="2">
        <v>7209501855</v>
      </c>
      <c r="H51" s="2" t="s">
        <v>8731</v>
      </c>
      <c r="I51" s="12" t="s">
        <v>8732</v>
      </c>
      <c r="K51" s="5"/>
      <c r="L51" s="5"/>
    </row>
    <row r="52" spans="1:12" ht="14.25" customHeight="1" x14ac:dyDescent="0.3">
      <c r="B52" s="1">
        <v>43800</v>
      </c>
      <c r="C52" s="7" t="s">
        <v>8733</v>
      </c>
      <c r="D52" s="2">
        <v>8804803000</v>
      </c>
      <c r="E52" s="2" t="s">
        <v>7792</v>
      </c>
      <c r="H52" s="2" t="s">
        <v>8734</v>
      </c>
      <c r="I52" s="12" t="s">
        <v>8694</v>
      </c>
      <c r="J52" s="1">
        <v>43815</v>
      </c>
      <c r="K52" s="5">
        <v>100015676172919</v>
      </c>
      <c r="L52" s="5" t="s">
        <v>8735</v>
      </c>
    </row>
    <row r="53" spans="1:12" ht="14.25" customHeight="1" x14ac:dyDescent="0.3">
      <c r="B53" s="1">
        <v>43822</v>
      </c>
      <c r="C53" s="7" t="s">
        <v>8736</v>
      </c>
      <c r="D53" s="2">
        <v>8092231804</v>
      </c>
      <c r="E53" s="2" t="s">
        <v>7792</v>
      </c>
      <c r="H53" s="2" t="s">
        <v>8734</v>
      </c>
      <c r="I53" s="12" t="s">
        <v>8694</v>
      </c>
      <c r="J53" s="1">
        <v>43838</v>
      </c>
      <c r="K53" s="18">
        <v>100015825786119</v>
      </c>
      <c r="L53" s="18" t="s">
        <v>8737</v>
      </c>
    </row>
    <row r="54" spans="1:12" ht="14.25" customHeight="1" x14ac:dyDescent="0.3">
      <c r="B54" s="1">
        <v>43824</v>
      </c>
      <c r="C54" s="7" t="s">
        <v>8738</v>
      </c>
      <c r="D54" s="2">
        <v>9263448314</v>
      </c>
      <c r="E54" s="2" t="s">
        <v>7792</v>
      </c>
      <c r="H54" s="2" t="s">
        <v>8734</v>
      </c>
      <c r="I54" s="12" t="s">
        <v>8694</v>
      </c>
      <c r="J54" s="1">
        <v>43839</v>
      </c>
      <c r="K54" s="5"/>
      <c r="L54" s="5"/>
    </row>
    <row r="55" spans="1:12" ht="14.25" customHeight="1" x14ac:dyDescent="0.3">
      <c r="B55" s="1">
        <v>43824</v>
      </c>
      <c r="C55" s="7" t="s">
        <v>8739</v>
      </c>
      <c r="D55" s="2">
        <v>7631194435</v>
      </c>
      <c r="H55" s="2" t="s">
        <v>8734</v>
      </c>
      <c r="I55" s="12" t="s">
        <v>8694</v>
      </c>
      <c r="J55" s="1">
        <v>43839</v>
      </c>
      <c r="K55" s="5"/>
      <c r="L55" s="5"/>
    </row>
    <row r="56" spans="1:12" ht="14.25" customHeight="1" x14ac:dyDescent="0.3">
      <c r="B56" s="1">
        <v>43828</v>
      </c>
      <c r="C56" s="7" t="s">
        <v>8740</v>
      </c>
      <c r="D56" s="2">
        <v>9939278339</v>
      </c>
      <c r="E56" s="2" t="s">
        <v>8741</v>
      </c>
      <c r="H56" s="2" t="s">
        <v>8742</v>
      </c>
      <c r="I56" s="12" t="s">
        <v>8694</v>
      </c>
      <c r="J56" s="1">
        <v>43844</v>
      </c>
      <c r="K56" s="5">
        <v>100015873488319</v>
      </c>
      <c r="L56" s="5" t="s">
        <v>8743</v>
      </c>
    </row>
    <row r="57" spans="1:12" ht="14.25" customHeight="1" x14ac:dyDescent="0.3">
      <c r="B57" s="1">
        <v>43838</v>
      </c>
      <c r="C57" s="7" t="s">
        <v>8744</v>
      </c>
      <c r="D57" s="2">
        <v>8789590873</v>
      </c>
      <c r="E57" s="2" t="s">
        <v>8685</v>
      </c>
      <c r="H57" s="2" t="s">
        <v>8742</v>
      </c>
      <c r="I57" s="12" t="s">
        <v>8694</v>
      </c>
      <c r="J57" s="1">
        <v>43854</v>
      </c>
      <c r="K57" s="5"/>
      <c r="L57" s="5"/>
    </row>
    <row r="58" spans="1:12" ht="14.25" customHeight="1" x14ac:dyDescent="0.3">
      <c r="C58" s="7" t="s">
        <v>8745</v>
      </c>
      <c r="H58" s="2" t="s">
        <v>8742</v>
      </c>
      <c r="I58" s="12" t="s">
        <v>8694</v>
      </c>
      <c r="K58" s="5"/>
      <c r="L58" s="5"/>
    </row>
    <row r="59" spans="1:12" ht="14.25" customHeight="1" x14ac:dyDescent="0.3">
      <c r="A59" s="2" t="s">
        <v>8746</v>
      </c>
      <c r="C59" s="7" t="s">
        <v>8747</v>
      </c>
      <c r="D59" s="2">
        <v>9955462727</v>
      </c>
      <c r="E59" s="2" t="s">
        <v>8685</v>
      </c>
      <c r="H59" s="2" t="s">
        <v>8748</v>
      </c>
      <c r="I59" s="12" t="s">
        <v>8694</v>
      </c>
      <c r="K59" s="5"/>
      <c r="L59" s="5"/>
    </row>
    <row r="60" spans="1:12" ht="14.25" customHeight="1" x14ac:dyDescent="0.3">
      <c r="A60" s="2" t="s">
        <v>8749</v>
      </c>
      <c r="B60" s="1">
        <v>43851</v>
      </c>
      <c r="C60" s="7" t="s">
        <v>8750</v>
      </c>
      <c r="D60" s="2">
        <v>9123468947</v>
      </c>
      <c r="H60" s="2" t="s">
        <v>8751</v>
      </c>
      <c r="I60" s="12" t="s">
        <v>8752</v>
      </c>
      <c r="K60" s="5"/>
      <c r="L60" s="5"/>
    </row>
    <row r="61" spans="1:12" ht="14.25" customHeight="1" x14ac:dyDescent="0.3">
      <c r="A61" s="2" t="s">
        <v>8749</v>
      </c>
      <c r="B61" s="1">
        <v>43851</v>
      </c>
      <c r="C61" s="19" t="s">
        <v>8753</v>
      </c>
      <c r="H61" s="2" t="s">
        <v>8751</v>
      </c>
      <c r="I61" s="12" t="s">
        <v>8752</v>
      </c>
      <c r="K61" s="5"/>
      <c r="L61" s="5"/>
    </row>
    <row r="62" spans="1:12" ht="14.25" customHeight="1" x14ac:dyDescent="0.3">
      <c r="B62" s="1">
        <v>43883</v>
      </c>
      <c r="C62" s="7" t="s">
        <v>8754</v>
      </c>
      <c r="H62" s="2" t="s">
        <v>8751</v>
      </c>
      <c r="I62" s="12" t="s">
        <v>8752</v>
      </c>
      <c r="K62" s="5"/>
      <c r="L62" s="5"/>
    </row>
    <row r="63" spans="1:12" ht="14.25" customHeight="1" x14ac:dyDescent="0.3">
      <c r="C63" s="7" t="s">
        <v>8755</v>
      </c>
      <c r="H63" s="2" t="s">
        <v>8751</v>
      </c>
      <c r="I63" s="12" t="s">
        <v>8752</v>
      </c>
      <c r="K63" s="5"/>
      <c r="L63" s="5"/>
    </row>
    <row r="64" spans="1:12" ht="14.25" customHeight="1" x14ac:dyDescent="0.3">
      <c r="C64" s="7" t="s">
        <v>8756</v>
      </c>
      <c r="H64" s="2" t="s">
        <v>8751</v>
      </c>
      <c r="I64" s="12" t="s">
        <v>8752</v>
      </c>
      <c r="K64" s="5"/>
      <c r="L64" s="5"/>
    </row>
    <row r="65" spans="1:13" ht="14.25" customHeight="1" x14ac:dyDescent="0.3">
      <c r="B65" s="1">
        <v>43871</v>
      </c>
      <c r="C65" s="7" t="s">
        <v>8757</v>
      </c>
      <c r="D65" s="2">
        <v>7979020542</v>
      </c>
      <c r="E65" s="2" t="s">
        <v>8685</v>
      </c>
      <c r="H65" s="2" t="s">
        <v>8758</v>
      </c>
      <c r="I65" s="12" t="s">
        <v>2731</v>
      </c>
      <c r="J65" s="1">
        <v>43888</v>
      </c>
      <c r="K65" s="5" t="s">
        <v>8759</v>
      </c>
      <c r="L65" s="5"/>
    </row>
    <row r="66" spans="1:13" ht="14.25" customHeight="1" x14ac:dyDescent="0.3">
      <c r="B66" s="1">
        <v>43874</v>
      </c>
      <c r="C66" s="7" t="s">
        <v>8760</v>
      </c>
      <c r="D66" s="2">
        <v>7979707686</v>
      </c>
      <c r="E66" s="2" t="s">
        <v>8685</v>
      </c>
      <c r="H66" s="2" t="s">
        <v>8758</v>
      </c>
      <c r="I66" s="12" t="s">
        <v>2731</v>
      </c>
      <c r="K66" s="5"/>
      <c r="L66" s="5"/>
    </row>
    <row r="67" spans="1:13" ht="14.25" customHeight="1" x14ac:dyDescent="0.3">
      <c r="B67" s="1">
        <v>43875</v>
      </c>
      <c r="C67" s="7" t="s">
        <v>8761</v>
      </c>
      <c r="D67" s="2">
        <v>9102777856</v>
      </c>
      <c r="E67" s="2" t="s">
        <v>8685</v>
      </c>
      <c r="H67" s="2" t="s">
        <v>8758</v>
      </c>
      <c r="I67" s="12" t="s">
        <v>2731</v>
      </c>
      <c r="K67" s="5"/>
      <c r="L67" s="5"/>
    </row>
    <row r="68" spans="1:13" ht="14.25" customHeight="1" x14ac:dyDescent="0.3">
      <c r="B68" s="1">
        <v>43875</v>
      </c>
      <c r="C68" s="7" t="s">
        <v>8762</v>
      </c>
      <c r="D68" s="2">
        <v>9708277278</v>
      </c>
      <c r="E68" s="2" t="s">
        <v>8685</v>
      </c>
      <c r="H68" s="2" t="s">
        <v>8758</v>
      </c>
      <c r="I68" s="12" t="s">
        <v>2731</v>
      </c>
      <c r="J68" s="1">
        <v>43893</v>
      </c>
      <c r="K68" s="5">
        <v>100016231408720</v>
      </c>
      <c r="L68" s="19" t="s">
        <v>8763</v>
      </c>
    </row>
    <row r="69" spans="1:13" ht="14.25" customHeight="1" x14ac:dyDescent="0.3">
      <c r="A69" s="2" t="s">
        <v>8749</v>
      </c>
      <c r="B69" s="1">
        <v>43902</v>
      </c>
      <c r="C69" s="7" t="s">
        <v>1062</v>
      </c>
      <c r="D69" s="2">
        <v>7091556451</v>
      </c>
      <c r="E69" s="2" t="s">
        <v>8685</v>
      </c>
      <c r="H69" s="2" t="s">
        <v>8764</v>
      </c>
      <c r="I69" s="12" t="s">
        <v>8765</v>
      </c>
      <c r="J69" s="1">
        <v>43916</v>
      </c>
      <c r="K69" s="5"/>
      <c r="L69" s="5" t="s">
        <v>8766</v>
      </c>
    </row>
    <row r="70" spans="1:13" ht="14.25" customHeight="1" x14ac:dyDescent="0.3">
      <c r="A70" s="2" t="s">
        <v>8767</v>
      </c>
      <c r="B70" s="1">
        <v>29572</v>
      </c>
      <c r="C70" s="7" t="s">
        <v>8768</v>
      </c>
      <c r="D70" s="2">
        <v>6205211012</v>
      </c>
      <c r="E70" s="2" t="s">
        <v>8685</v>
      </c>
      <c r="H70" s="2" t="s">
        <v>8764</v>
      </c>
      <c r="I70" s="12" t="s">
        <v>8765</v>
      </c>
      <c r="J70" s="1">
        <v>43920</v>
      </c>
      <c r="K70" s="5">
        <v>100016393276120</v>
      </c>
      <c r="L70" s="5" t="s">
        <v>8769</v>
      </c>
    </row>
    <row r="71" spans="1:13" ht="14.25" customHeight="1" x14ac:dyDescent="0.3">
      <c r="A71" s="2" t="s">
        <v>8770</v>
      </c>
      <c r="B71" s="1">
        <v>43991</v>
      </c>
      <c r="C71" s="7" t="s">
        <v>8771</v>
      </c>
      <c r="D71" s="2">
        <v>8825195700</v>
      </c>
      <c r="E71" s="2" t="s">
        <v>8685</v>
      </c>
      <c r="H71" s="8" t="s">
        <v>8772</v>
      </c>
      <c r="I71" s="12" t="s">
        <v>2731</v>
      </c>
      <c r="J71" s="1">
        <v>44082</v>
      </c>
      <c r="K71" s="5"/>
      <c r="L71" s="5"/>
    </row>
    <row r="72" spans="1:13" ht="14.25" customHeight="1" x14ac:dyDescent="0.3">
      <c r="E72" s="2" t="s">
        <v>8685</v>
      </c>
      <c r="H72" s="2" t="s">
        <v>908</v>
      </c>
      <c r="K72" s="5"/>
      <c r="L72" s="5"/>
    </row>
    <row r="73" spans="1:13" ht="14.25" customHeight="1" x14ac:dyDescent="0.3">
      <c r="H73" s="2" t="s">
        <v>908</v>
      </c>
      <c r="K73" s="5"/>
      <c r="L73" s="5"/>
    </row>
    <row r="74" spans="1:13" ht="14.25" customHeight="1" x14ac:dyDescent="0.3">
      <c r="A74" s="2" t="s">
        <v>8767</v>
      </c>
      <c r="B74" s="1">
        <v>44013</v>
      </c>
      <c r="C74" s="7" t="s">
        <v>3117</v>
      </c>
      <c r="D74" s="2">
        <v>9031734009</v>
      </c>
      <c r="H74" s="2" t="s">
        <v>8773</v>
      </c>
      <c r="I74" s="12" t="s">
        <v>2731</v>
      </c>
      <c r="K74" s="5"/>
      <c r="L74" s="20" t="s">
        <v>8774</v>
      </c>
      <c r="M74" s="20"/>
    </row>
    <row r="75" spans="1:13" ht="14.25" customHeight="1" x14ac:dyDescent="0.3">
      <c r="B75" s="1">
        <v>44082</v>
      </c>
      <c r="C75" s="7" t="s">
        <v>8775</v>
      </c>
      <c r="D75" s="2">
        <v>9334332165</v>
      </c>
      <c r="E75" s="2" t="s">
        <v>8685</v>
      </c>
      <c r="H75" s="8" t="s">
        <v>8772</v>
      </c>
      <c r="I75" s="12" t="s">
        <v>2731</v>
      </c>
      <c r="J75" s="1">
        <v>44084</v>
      </c>
      <c r="K75" s="5">
        <v>100017307254320</v>
      </c>
      <c r="L75" s="20" t="s">
        <v>8776</v>
      </c>
      <c r="M75" s="20"/>
    </row>
    <row r="76" spans="1:13" ht="14.25" customHeight="1" x14ac:dyDescent="0.3">
      <c r="B76" s="1">
        <v>44105</v>
      </c>
      <c r="C76" s="7" t="s">
        <v>8777</v>
      </c>
      <c r="D76" s="2">
        <v>7260045036</v>
      </c>
      <c r="E76" s="2" t="s">
        <v>8685</v>
      </c>
      <c r="H76" s="8" t="s">
        <v>8778</v>
      </c>
      <c r="I76" s="12" t="s">
        <v>2731</v>
      </c>
      <c r="J76" s="1">
        <v>44123</v>
      </c>
      <c r="K76" s="5"/>
      <c r="L76" s="5"/>
    </row>
    <row r="77" spans="1:13" ht="14.25" customHeight="1" x14ac:dyDescent="0.3">
      <c r="B77" s="1">
        <v>44113</v>
      </c>
      <c r="C77" s="7" t="s">
        <v>3687</v>
      </c>
      <c r="D77" s="2">
        <v>8210463626</v>
      </c>
      <c r="E77" s="2" t="s">
        <v>8685</v>
      </c>
      <c r="H77" s="2" t="s">
        <v>8779</v>
      </c>
      <c r="I77" s="12" t="s">
        <v>8765</v>
      </c>
      <c r="J77" s="2" t="s">
        <v>8780</v>
      </c>
      <c r="K77" s="1">
        <v>36221</v>
      </c>
      <c r="L77" s="5"/>
    </row>
    <row r="78" spans="1:13" ht="14.25" customHeight="1" x14ac:dyDescent="0.3">
      <c r="B78" s="1">
        <v>44113</v>
      </c>
      <c r="C78" s="7" t="s">
        <v>8781</v>
      </c>
      <c r="D78" s="2">
        <v>82</v>
      </c>
      <c r="E78" s="2" t="s">
        <v>8685</v>
      </c>
      <c r="H78" s="2" t="s">
        <v>8779</v>
      </c>
      <c r="I78" s="12" t="s">
        <v>8765</v>
      </c>
      <c r="J78" s="2" t="s">
        <v>8780</v>
      </c>
      <c r="K78" s="5"/>
      <c r="L78" s="5"/>
    </row>
    <row r="79" spans="1:13" ht="14.25" customHeight="1" x14ac:dyDescent="0.3">
      <c r="A79" s="2" t="s">
        <v>8767</v>
      </c>
      <c r="B79" s="1">
        <v>44119</v>
      </c>
      <c r="C79" s="7" t="s">
        <v>8782</v>
      </c>
      <c r="D79" s="2">
        <v>8235238981</v>
      </c>
      <c r="E79" s="2" t="s">
        <v>8783</v>
      </c>
      <c r="H79" s="2" t="s">
        <v>8784</v>
      </c>
      <c r="I79" s="12" t="s">
        <v>2731</v>
      </c>
      <c r="J79" s="2" t="s">
        <v>8785</v>
      </c>
      <c r="K79" s="5"/>
      <c r="L79" s="5"/>
    </row>
    <row r="80" spans="1:13" ht="14.25" customHeight="1" x14ac:dyDescent="0.3">
      <c r="B80" s="1">
        <v>44126</v>
      </c>
      <c r="C80" s="7" t="s">
        <v>8786</v>
      </c>
      <c r="D80" s="2">
        <v>9508218504</v>
      </c>
      <c r="E80" s="2" t="s">
        <v>8685</v>
      </c>
      <c r="H80" s="2" t="s">
        <v>8787</v>
      </c>
      <c r="I80" s="12" t="s">
        <v>8765</v>
      </c>
      <c r="J80" s="1">
        <v>44245</v>
      </c>
      <c r="K80" s="5"/>
      <c r="L80" s="5"/>
    </row>
    <row r="81" spans="2:12" ht="14.25" customHeight="1" x14ac:dyDescent="0.3">
      <c r="B81" s="1">
        <v>44135</v>
      </c>
      <c r="C81" s="7" t="s">
        <v>8788</v>
      </c>
      <c r="H81" s="2" t="s">
        <v>8779</v>
      </c>
      <c r="I81" s="12" t="s">
        <v>8765</v>
      </c>
      <c r="J81" s="2" t="s">
        <v>8785</v>
      </c>
      <c r="K81" s="5"/>
      <c r="L81" s="5"/>
    </row>
    <row r="82" spans="2:12" ht="14.25" customHeight="1" x14ac:dyDescent="0.3">
      <c r="B82" s="1">
        <v>44160</v>
      </c>
      <c r="C82" s="7" t="s">
        <v>8789</v>
      </c>
      <c r="E82" s="2" t="s">
        <v>7792</v>
      </c>
      <c r="H82" s="2" t="s">
        <v>8779</v>
      </c>
      <c r="I82" s="12" t="s">
        <v>8765</v>
      </c>
      <c r="J82" s="1">
        <v>44182</v>
      </c>
      <c r="K82" s="5"/>
      <c r="L82" s="5"/>
    </row>
    <row r="83" spans="2:12" ht="14.25" customHeight="1" x14ac:dyDescent="0.3">
      <c r="B83" s="1">
        <v>44160</v>
      </c>
      <c r="C83" s="7" t="s">
        <v>8790</v>
      </c>
      <c r="E83" s="2" t="s">
        <v>7792</v>
      </c>
      <c r="H83" s="2" t="s">
        <v>8779</v>
      </c>
      <c r="I83" s="12" t="s">
        <v>8765</v>
      </c>
      <c r="J83" s="1">
        <v>44245</v>
      </c>
      <c r="K83" s="5"/>
      <c r="L83" s="5"/>
    </row>
    <row r="84" spans="2:12" ht="14.25" customHeight="1" x14ac:dyDescent="0.3">
      <c r="B84" s="1">
        <v>44161</v>
      </c>
      <c r="C84" s="7" t="s">
        <v>8791</v>
      </c>
      <c r="D84" s="2">
        <v>9931018604</v>
      </c>
      <c r="E84" s="2" t="s">
        <v>8783</v>
      </c>
      <c r="H84" s="2" t="s">
        <v>8792</v>
      </c>
      <c r="I84" s="12" t="s">
        <v>2731</v>
      </c>
      <c r="J84" s="1">
        <v>44186</v>
      </c>
      <c r="K84" s="1">
        <v>44183</v>
      </c>
      <c r="L84" s="5"/>
    </row>
    <row r="85" spans="2:12" ht="14.25" customHeight="1" x14ac:dyDescent="0.3">
      <c r="B85" s="1">
        <v>44174</v>
      </c>
      <c r="C85" s="7" t="s">
        <v>8793</v>
      </c>
      <c r="D85" s="2">
        <v>7021099764</v>
      </c>
      <c r="E85" s="2" t="s">
        <v>7792</v>
      </c>
      <c r="H85" s="2" t="s">
        <v>8794</v>
      </c>
      <c r="I85" s="12" t="s">
        <v>2731</v>
      </c>
      <c r="J85" s="1">
        <v>44185</v>
      </c>
      <c r="K85" s="5">
        <v>100018114601320</v>
      </c>
      <c r="L85" s="5" t="s">
        <v>8795</v>
      </c>
    </row>
    <row r="86" spans="2:12" ht="14.25" customHeight="1" x14ac:dyDescent="0.3">
      <c r="B86" s="1">
        <v>44174</v>
      </c>
      <c r="C86" s="7" t="s">
        <v>2142</v>
      </c>
      <c r="D86" s="2">
        <v>9304439663</v>
      </c>
      <c r="E86" s="2" t="s">
        <v>7792</v>
      </c>
      <c r="H86" s="2" t="s">
        <v>8794</v>
      </c>
      <c r="I86" s="12" t="s">
        <v>2731</v>
      </c>
      <c r="J86" s="1">
        <v>44185</v>
      </c>
      <c r="K86" s="5">
        <v>100018114601720</v>
      </c>
      <c r="L86" s="11" t="s">
        <v>8796</v>
      </c>
    </row>
    <row r="87" spans="2:12" ht="14.25" customHeight="1" x14ac:dyDescent="0.3">
      <c r="B87" s="1">
        <v>44181</v>
      </c>
      <c r="C87" s="7" t="s">
        <v>8797</v>
      </c>
      <c r="D87" s="2">
        <v>9031787790</v>
      </c>
      <c r="E87" s="2" t="s">
        <v>7792</v>
      </c>
      <c r="H87" s="2" t="s">
        <v>8794</v>
      </c>
      <c r="I87" s="12" t="s">
        <v>2731</v>
      </c>
      <c r="J87" s="1">
        <v>44245</v>
      </c>
      <c r="K87" s="5">
        <v>100018164924921</v>
      </c>
      <c r="L87" s="21" t="s">
        <v>8798</v>
      </c>
    </row>
    <row r="88" spans="2:12" ht="14.25" customHeight="1" x14ac:dyDescent="0.3">
      <c r="B88" s="1">
        <v>44167</v>
      </c>
      <c r="C88" s="7" t="s">
        <v>3722</v>
      </c>
      <c r="D88" s="2">
        <v>6202144394</v>
      </c>
      <c r="E88" s="2" t="s">
        <v>7792</v>
      </c>
      <c r="H88" s="2" t="s">
        <v>8799</v>
      </c>
      <c r="I88" s="12" t="s">
        <v>2731</v>
      </c>
      <c r="K88" s="5">
        <v>100018114637520</v>
      </c>
      <c r="L88" s="5" t="s">
        <v>8800</v>
      </c>
    </row>
    <row r="89" spans="2:12" ht="14.25" customHeight="1" x14ac:dyDescent="0.3">
      <c r="B89" s="1">
        <v>44199</v>
      </c>
      <c r="C89" s="7" t="s">
        <v>8801</v>
      </c>
      <c r="D89" s="2">
        <v>8340157175</v>
      </c>
      <c r="E89" s="2" t="s">
        <v>7792</v>
      </c>
      <c r="H89" s="2" t="s">
        <v>8799</v>
      </c>
      <c r="I89" s="12" t="s">
        <v>2731</v>
      </c>
      <c r="J89" s="2" t="s">
        <v>8802</v>
      </c>
      <c r="K89" s="5"/>
      <c r="L89" s="5"/>
    </row>
    <row r="90" spans="2:12" ht="14.25" customHeight="1" x14ac:dyDescent="0.3">
      <c r="B90" s="1">
        <v>44228</v>
      </c>
      <c r="C90" s="7" t="s">
        <v>8803</v>
      </c>
      <c r="D90" s="2">
        <v>9608387160</v>
      </c>
      <c r="E90" s="2" t="s">
        <v>7792</v>
      </c>
      <c r="H90" s="2" t="s">
        <v>8799</v>
      </c>
      <c r="I90" s="12" t="s">
        <v>2731</v>
      </c>
      <c r="K90" s="5"/>
      <c r="L90" s="5"/>
    </row>
    <row r="91" spans="2:12" ht="14.25" customHeight="1" x14ac:dyDescent="0.3">
      <c r="B91" s="1">
        <v>44237</v>
      </c>
      <c r="C91" s="7" t="s">
        <v>8708</v>
      </c>
      <c r="D91" s="2">
        <v>9835337812</v>
      </c>
      <c r="E91" s="2" t="s">
        <v>7792</v>
      </c>
      <c r="H91" s="2" t="s">
        <v>8799</v>
      </c>
      <c r="I91" s="12" t="s">
        <v>2731</v>
      </c>
      <c r="J91" s="1">
        <v>44260</v>
      </c>
      <c r="K91" s="5"/>
      <c r="L91" s="5"/>
    </row>
    <row r="92" spans="2:12" ht="14.25" customHeight="1" x14ac:dyDescent="0.3">
      <c r="B92" s="1">
        <v>44240</v>
      </c>
      <c r="C92" s="7" t="s">
        <v>8804</v>
      </c>
      <c r="D92" s="2">
        <v>9693273379</v>
      </c>
      <c r="E92" s="2" t="s">
        <v>7792</v>
      </c>
      <c r="H92" s="2" t="s">
        <v>8805</v>
      </c>
      <c r="I92" s="12" t="s">
        <v>8765</v>
      </c>
      <c r="J92" s="1">
        <v>44243</v>
      </c>
      <c r="K92" s="5">
        <v>100018173841121</v>
      </c>
      <c r="L92" s="21" t="s">
        <v>8806</v>
      </c>
    </row>
    <row r="93" spans="2:12" ht="14.25" customHeight="1" x14ac:dyDescent="0.3">
      <c r="B93" s="1">
        <v>44240</v>
      </c>
      <c r="C93" s="7" t="s">
        <v>8807</v>
      </c>
      <c r="D93" s="2">
        <v>8797690557</v>
      </c>
      <c r="E93" s="2" t="s">
        <v>7792</v>
      </c>
      <c r="H93" s="2" t="s">
        <v>8805</v>
      </c>
      <c r="I93" s="12" t="s">
        <v>8765</v>
      </c>
      <c r="J93" s="1">
        <v>44243</v>
      </c>
      <c r="K93" s="5">
        <v>100018173841321</v>
      </c>
      <c r="L93" s="21" t="s">
        <v>8808</v>
      </c>
    </row>
    <row r="94" spans="2:12" ht="14.25" customHeight="1" x14ac:dyDescent="0.3">
      <c r="B94" s="1">
        <v>44244</v>
      </c>
      <c r="C94" s="7" t="s">
        <v>8809</v>
      </c>
      <c r="D94" s="2">
        <v>8789585949</v>
      </c>
      <c r="E94" s="2" t="s">
        <v>7792</v>
      </c>
      <c r="H94" s="2" t="s">
        <v>8810</v>
      </c>
      <c r="I94" s="12" t="s">
        <v>8765</v>
      </c>
      <c r="J94" s="1">
        <v>44246</v>
      </c>
      <c r="K94" s="5">
        <v>100018173864921</v>
      </c>
      <c r="L94" s="5" t="s">
        <v>8811</v>
      </c>
    </row>
    <row r="95" spans="2:12" ht="14.25" customHeight="1" x14ac:dyDescent="0.3">
      <c r="B95" s="1">
        <v>44254</v>
      </c>
      <c r="C95" s="7" t="s">
        <v>8812</v>
      </c>
      <c r="D95" s="2">
        <v>8092171255</v>
      </c>
      <c r="E95" s="2" t="s">
        <v>7792</v>
      </c>
      <c r="H95" s="2" t="s">
        <v>8799</v>
      </c>
      <c r="I95" s="12" t="s">
        <v>2731</v>
      </c>
      <c r="J95" s="1">
        <v>44279</v>
      </c>
      <c r="K95" s="5"/>
      <c r="L95" s="5"/>
    </row>
    <row r="96" spans="2:12" ht="14.25" customHeight="1" x14ac:dyDescent="0.3">
      <c r="B96" s="1">
        <v>44256</v>
      </c>
      <c r="C96" s="7" t="s">
        <v>1115</v>
      </c>
      <c r="D96" s="2">
        <v>8797804720</v>
      </c>
      <c r="E96" s="2" t="s">
        <v>7792</v>
      </c>
      <c r="H96" s="2" t="s">
        <v>8813</v>
      </c>
      <c r="I96" s="12" t="s">
        <v>8765</v>
      </c>
      <c r="J96" s="1">
        <v>44257</v>
      </c>
      <c r="K96" s="5"/>
      <c r="L96" s="5"/>
    </row>
    <row r="97" spans="2:12" ht="14.25" customHeight="1" x14ac:dyDescent="0.3">
      <c r="B97" s="1">
        <v>44263</v>
      </c>
      <c r="C97" s="7" t="s">
        <v>1884</v>
      </c>
      <c r="D97" s="2">
        <v>9102977767</v>
      </c>
      <c r="E97" s="2" t="s">
        <v>7792</v>
      </c>
      <c r="H97" s="2" t="s">
        <v>8813</v>
      </c>
      <c r="I97" s="12" t="s">
        <v>8765</v>
      </c>
      <c r="J97" s="1">
        <v>44265</v>
      </c>
      <c r="K97" s="5"/>
      <c r="L97" s="5"/>
    </row>
    <row r="98" spans="2:12" ht="14.25" customHeight="1" x14ac:dyDescent="0.3">
      <c r="B98" s="1">
        <v>44268</v>
      </c>
      <c r="C98" s="7" t="s">
        <v>4269</v>
      </c>
      <c r="D98" s="2">
        <v>8709464598</v>
      </c>
      <c r="E98" s="2" t="s">
        <v>7792</v>
      </c>
      <c r="H98" s="2" t="s">
        <v>8813</v>
      </c>
      <c r="I98" s="12" t="s">
        <v>8765</v>
      </c>
      <c r="J98" s="1">
        <v>44270</v>
      </c>
      <c r="K98" s="5" t="s">
        <v>8814</v>
      </c>
      <c r="L98" s="5"/>
    </row>
    <row r="99" spans="2:12" ht="14.25" customHeight="1" x14ac:dyDescent="0.3">
      <c r="B99" s="1">
        <v>44272</v>
      </c>
      <c r="C99" s="7" t="s">
        <v>6510</v>
      </c>
      <c r="D99" s="2">
        <v>7033661166</v>
      </c>
      <c r="E99" s="2" t="s">
        <v>7792</v>
      </c>
      <c r="H99" s="2" t="s">
        <v>8815</v>
      </c>
      <c r="I99" s="12" t="s">
        <v>2731</v>
      </c>
      <c r="K99" s="5"/>
      <c r="L99" s="5"/>
    </row>
    <row r="100" spans="2:12" ht="14.25" customHeight="1" x14ac:dyDescent="0.3">
      <c r="B100" s="1">
        <v>44279</v>
      </c>
      <c r="C100" s="7" t="s">
        <v>8816</v>
      </c>
      <c r="D100" s="2">
        <v>8825273705</v>
      </c>
      <c r="E100" s="2" t="s">
        <v>7792</v>
      </c>
      <c r="H100" s="2" t="s">
        <v>8815</v>
      </c>
      <c r="I100" s="12" t="s">
        <v>2731</v>
      </c>
      <c r="K100" s="5"/>
      <c r="L100" s="22" t="s">
        <v>8817</v>
      </c>
    </row>
    <row r="101" spans="2:12" ht="14.25" customHeight="1" x14ac:dyDescent="0.3">
      <c r="C101" s="7" t="s">
        <v>8818</v>
      </c>
      <c r="H101" s="2" t="s">
        <v>8815</v>
      </c>
      <c r="I101" s="12" t="s">
        <v>2731</v>
      </c>
      <c r="K101" s="5"/>
      <c r="L101" s="5"/>
    </row>
    <row r="102" spans="2:12" ht="14.25" customHeight="1" x14ac:dyDescent="0.3">
      <c r="B102" s="14">
        <v>44290</v>
      </c>
      <c r="C102" s="10" t="s">
        <v>8819</v>
      </c>
      <c r="D102" s="9">
        <v>7091336551</v>
      </c>
      <c r="E102" s="9" t="s">
        <v>8168</v>
      </c>
      <c r="F102" s="9"/>
      <c r="G102" s="9"/>
      <c r="H102" s="9" t="s">
        <v>8820</v>
      </c>
      <c r="I102" s="9" t="s">
        <v>8765</v>
      </c>
      <c r="J102" s="9"/>
      <c r="K102" s="23" t="s">
        <v>8821</v>
      </c>
      <c r="L102" s="23"/>
    </row>
    <row r="103" spans="2:12" ht="14.25" customHeight="1" x14ac:dyDescent="0.3">
      <c r="B103" s="1">
        <v>44291</v>
      </c>
      <c r="C103" s="7" t="s">
        <v>8822</v>
      </c>
      <c r="D103" s="2">
        <v>9205019131</v>
      </c>
      <c r="E103" s="2" t="s">
        <v>7792</v>
      </c>
      <c r="H103" s="2" t="s">
        <v>8820</v>
      </c>
      <c r="I103" s="12" t="s">
        <v>8765</v>
      </c>
      <c r="K103" s="5"/>
      <c r="L103" s="5"/>
    </row>
    <row r="104" spans="2:12" ht="14.25" customHeight="1" x14ac:dyDescent="0.3">
      <c r="B104" s="1">
        <v>44292</v>
      </c>
      <c r="C104" s="10" t="s">
        <v>8823</v>
      </c>
      <c r="D104" s="2">
        <v>9934188094</v>
      </c>
      <c r="E104" s="2" t="s">
        <v>7792</v>
      </c>
      <c r="H104" s="2" t="s">
        <v>8820</v>
      </c>
      <c r="I104" s="12" t="s">
        <v>8765</v>
      </c>
      <c r="J104" s="1">
        <v>44319</v>
      </c>
      <c r="K104" s="5" t="s">
        <v>8824</v>
      </c>
      <c r="L104" s="5"/>
    </row>
    <row r="105" spans="2:12" ht="14.25" customHeight="1" x14ac:dyDescent="0.3">
      <c r="C105" s="7" t="s">
        <v>8825</v>
      </c>
      <c r="D105" s="2">
        <v>9556961015</v>
      </c>
      <c r="G105" s="1">
        <v>35794</v>
      </c>
      <c r="H105" s="2" t="s">
        <v>8826</v>
      </c>
      <c r="I105" s="12" t="s">
        <v>8827</v>
      </c>
      <c r="J105" s="1">
        <v>44321</v>
      </c>
      <c r="K105" s="5"/>
      <c r="L105" s="5" t="s">
        <v>8828</v>
      </c>
    </row>
    <row r="106" spans="2:12" ht="14.25" customHeight="1" x14ac:dyDescent="0.3">
      <c r="B106" s="1">
        <v>44305</v>
      </c>
      <c r="C106" s="7" t="s">
        <v>8829</v>
      </c>
      <c r="D106" s="7">
        <v>7759072420</v>
      </c>
      <c r="E106" s="2" t="s">
        <v>7792</v>
      </c>
      <c r="H106" s="2" t="s">
        <v>8826</v>
      </c>
      <c r="I106" s="12" t="s">
        <v>8827</v>
      </c>
      <c r="K106" s="5" t="s">
        <v>8830</v>
      </c>
      <c r="L106" s="5"/>
    </row>
    <row r="107" spans="2:12" ht="14.25" customHeight="1" x14ac:dyDescent="0.3">
      <c r="B107" s="1">
        <v>44306</v>
      </c>
      <c r="C107" s="7" t="s">
        <v>8831</v>
      </c>
      <c r="D107" s="2">
        <v>7004661019</v>
      </c>
      <c r="E107" s="2" t="s">
        <v>7792</v>
      </c>
      <c r="H107" s="2" t="s">
        <v>8832</v>
      </c>
      <c r="I107" s="8" t="s">
        <v>8765</v>
      </c>
      <c r="J107" s="1">
        <v>44328</v>
      </c>
      <c r="K107" s="5" t="s">
        <v>8767</v>
      </c>
      <c r="L107" s="5"/>
    </row>
    <row r="108" spans="2:12" ht="14.25" customHeight="1" x14ac:dyDescent="0.3">
      <c r="B108" s="1">
        <v>44309</v>
      </c>
      <c r="C108" s="7" t="s">
        <v>4075</v>
      </c>
      <c r="D108" s="2">
        <v>8409169079</v>
      </c>
      <c r="E108" s="2" t="s">
        <v>7792</v>
      </c>
      <c r="H108" s="2" t="s">
        <v>8826</v>
      </c>
      <c r="I108" s="8" t="s">
        <v>8765</v>
      </c>
      <c r="J108" s="1">
        <v>44333</v>
      </c>
      <c r="K108" s="5" t="s">
        <v>8767</v>
      </c>
      <c r="L108" s="5"/>
    </row>
    <row r="109" spans="2:12" ht="14.25" customHeight="1" x14ac:dyDescent="0.3">
      <c r="C109" s="7" t="s">
        <v>8833</v>
      </c>
      <c r="H109" s="2" t="s">
        <v>8826</v>
      </c>
      <c r="I109" s="8" t="s">
        <v>8765</v>
      </c>
      <c r="K109" s="5"/>
      <c r="L109" s="5"/>
    </row>
    <row r="110" spans="2:12" ht="14.25" customHeight="1" x14ac:dyDescent="0.3">
      <c r="B110" s="1">
        <v>44328</v>
      </c>
      <c r="C110" s="7" t="s">
        <v>8834</v>
      </c>
      <c r="D110" s="2">
        <v>6302972253</v>
      </c>
      <c r="E110" s="2" t="s">
        <v>7792</v>
      </c>
      <c r="H110" s="2" t="s">
        <v>8835</v>
      </c>
      <c r="I110" s="8" t="s">
        <v>8765</v>
      </c>
      <c r="K110" s="5"/>
      <c r="L110" s="5"/>
    </row>
    <row r="111" spans="2:12" ht="14.25" customHeight="1" x14ac:dyDescent="0.3">
      <c r="B111" s="1">
        <v>44358</v>
      </c>
      <c r="C111" s="7" t="s">
        <v>8836</v>
      </c>
      <c r="D111" s="2">
        <v>9162525813</v>
      </c>
      <c r="E111" s="2" t="s">
        <v>7792</v>
      </c>
      <c r="H111" s="2" t="s">
        <v>8835</v>
      </c>
      <c r="I111" s="8" t="s">
        <v>8765</v>
      </c>
      <c r="J111" s="1">
        <v>44362</v>
      </c>
      <c r="K111" s="5" t="s">
        <v>8821</v>
      </c>
      <c r="L111" s="2" t="s">
        <v>8837</v>
      </c>
    </row>
    <row r="112" spans="2:12" ht="14.25" customHeight="1" x14ac:dyDescent="0.3">
      <c r="B112" s="1">
        <v>44361</v>
      </c>
      <c r="C112" s="7" t="s">
        <v>4524</v>
      </c>
      <c r="D112" s="2">
        <v>9955494023</v>
      </c>
      <c r="E112" s="2" t="s">
        <v>7792</v>
      </c>
      <c r="H112" s="2" t="s">
        <v>8835</v>
      </c>
      <c r="I112" s="8" t="s">
        <v>8765</v>
      </c>
      <c r="J112" s="1">
        <v>44362</v>
      </c>
      <c r="K112" s="5" t="s">
        <v>8770</v>
      </c>
      <c r="L112" s="5"/>
    </row>
    <row r="113" spans="2:12" ht="14.25" customHeight="1" x14ac:dyDescent="0.3">
      <c r="B113" s="1">
        <v>44366</v>
      </c>
      <c r="C113" s="7" t="s">
        <v>8838</v>
      </c>
      <c r="D113" s="2">
        <v>9931316895</v>
      </c>
      <c r="K113" s="5"/>
      <c r="L113" s="5"/>
    </row>
    <row r="114" spans="2:12" ht="14.25" customHeight="1" x14ac:dyDescent="0.3">
      <c r="B114" s="1">
        <v>44370</v>
      </c>
      <c r="C114" s="7" t="s">
        <v>4688</v>
      </c>
      <c r="D114" s="2">
        <v>8969726404</v>
      </c>
      <c r="H114" s="2" t="s">
        <v>8839</v>
      </c>
      <c r="I114" s="8" t="s">
        <v>8765</v>
      </c>
      <c r="J114" s="1">
        <v>44379</v>
      </c>
      <c r="K114" s="5" t="s">
        <v>8821</v>
      </c>
      <c r="L114" s="5"/>
    </row>
    <row r="115" spans="2:12" ht="14.25" customHeight="1" x14ac:dyDescent="0.3">
      <c r="B115" s="1">
        <v>44370</v>
      </c>
      <c r="C115" s="7" t="s">
        <v>8840</v>
      </c>
      <c r="D115" s="2">
        <v>9955025985</v>
      </c>
      <c r="H115" s="2" t="s">
        <v>8839</v>
      </c>
      <c r="I115" s="8" t="s">
        <v>8765</v>
      </c>
      <c r="J115" s="1">
        <v>44379</v>
      </c>
      <c r="K115" s="5" t="s">
        <v>8821</v>
      </c>
      <c r="L115" s="5"/>
    </row>
    <row r="116" spans="2:12" ht="14.25" customHeight="1" x14ac:dyDescent="0.3">
      <c r="B116" s="1">
        <v>44373</v>
      </c>
      <c r="C116" s="7" t="s">
        <v>8841</v>
      </c>
      <c r="D116" s="2">
        <v>9431953434</v>
      </c>
      <c r="H116" s="2" t="s">
        <v>8842</v>
      </c>
      <c r="I116" s="8" t="s">
        <v>8765</v>
      </c>
      <c r="K116" s="5"/>
      <c r="L116" s="5"/>
    </row>
    <row r="117" spans="2:12" ht="14.25" customHeight="1" x14ac:dyDescent="0.3">
      <c r="B117" s="1">
        <v>44380</v>
      </c>
      <c r="C117" s="7" t="s">
        <v>4452</v>
      </c>
      <c r="H117" s="2" t="s">
        <v>8843</v>
      </c>
      <c r="I117" s="8" t="s">
        <v>8765</v>
      </c>
      <c r="J117" s="1">
        <v>44384</v>
      </c>
      <c r="K117" s="5" t="s">
        <v>8770</v>
      </c>
      <c r="L117" s="5"/>
    </row>
    <row r="118" spans="2:12" ht="14.25" customHeight="1" x14ac:dyDescent="0.3">
      <c r="B118" s="1">
        <v>44383</v>
      </c>
      <c r="C118" s="7" t="s">
        <v>8844</v>
      </c>
      <c r="D118" s="2">
        <v>8789408277</v>
      </c>
      <c r="G118" s="1">
        <v>37471</v>
      </c>
      <c r="H118" s="2" t="s">
        <v>8845</v>
      </c>
      <c r="I118" s="8" t="s">
        <v>8846</v>
      </c>
      <c r="K118" s="5"/>
      <c r="L118" s="5"/>
    </row>
    <row r="119" spans="2:12" ht="14.25" customHeight="1" x14ac:dyDescent="0.3">
      <c r="C119" s="7" t="s">
        <v>8847</v>
      </c>
      <c r="D119" s="2">
        <v>8809070417</v>
      </c>
      <c r="G119" s="1">
        <v>35767</v>
      </c>
      <c r="H119" s="2" t="s">
        <v>8848</v>
      </c>
      <c r="I119" s="8" t="s">
        <v>8849</v>
      </c>
      <c r="J119" s="1">
        <v>44495</v>
      </c>
      <c r="K119" s="2" t="s">
        <v>8850</v>
      </c>
      <c r="L119" s="5"/>
    </row>
    <row r="120" spans="2:12" ht="14.25" customHeight="1" x14ac:dyDescent="0.3">
      <c r="B120" s="1">
        <v>44445</v>
      </c>
      <c r="C120" s="7" t="s">
        <v>3545</v>
      </c>
      <c r="D120" s="2">
        <v>8235432847</v>
      </c>
      <c r="E120" s="2" t="s">
        <v>7792</v>
      </c>
      <c r="G120" s="1">
        <v>35125</v>
      </c>
      <c r="H120" s="2" t="s">
        <v>8851</v>
      </c>
      <c r="I120" s="8" t="s">
        <v>8765</v>
      </c>
      <c r="J120" s="1">
        <v>44481</v>
      </c>
      <c r="K120" s="5" t="s">
        <v>8767</v>
      </c>
      <c r="L120" s="5" t="s">
        <v>8852</v>
      </c>
    </row>
    <row r="121" spans="2:12" ht="14.25" customHeight="1" x14ac:dyDescent="0.3">
      <c r="B121" s="1">
        <v>44445</v>
      </c>
      <c r="C121" s="7" t="s">
        <v>8853</v>
      </c>
      <c r="D121" s="2">
        <v>9641125137</v>
      </c>
      <c r="E121" s="2" t="s">
        <v>7792</v>
      </c>
      <c r="G121" s="1">
        <v>29932</v>
      </c>
      <c r="H121" s="2" t="s">
        <v>8854</v>
      </c>
      <c r="I121" s="8" t="s">
        <v>8765</v>
      </c>
      <c r="K121" s="5"/>
      <c r="L121" s="5" t="s">
        <v>8852</v>
      </c>
    </row>
    <row r="122" spans="2:12" ht="14.25" customHeight="1" x14ac:dyDescent="0.3">
      <c r="C122" s="7" t="s">
        <v>8855</v>
      </c>
      <c r="D122" s="2">
        <v>9641125137</v>
      </c>
      <c r="H122" s="2" t="s">
        <v>8854</v>
      </c>
      <c r="I122" s="8" t="s">
        <v>8765</v>
      </c>
      <c r="K122" s="5"/>
      <c r="L122" s="5"/>
    </row>
    <row r="123" spans="2:12" ht="14.25" customHeight="1" x14ac:dyDescent="0.3">
      <c r="C123" s="7" t="s">
        <v>8856</v>
      </c>
      <c r="D123" s="2">
        <v>9641125137</v>
      </c>
      <c r="H123" s="2" t="s">
        <v>8854</v>
      </c>
      <c r="I123" s="8" t="s">
        <v>8765</v>
      </c>
      <c r="K123" s="5"/>
      <c r="L123" s="5"/>
    </row>
    <row r="124" spans="2:12" ht="14.25" customHeight="1" x14ac:dyDescent="0.3">
      <c r="C124" s="7" t="s">
        <v>4410</v>
      </c>
      <c r="D124" s="2">
        <v>8757307377</v>
      </c>
      <c r="G124" s="1">
        <v>37723</v>
      </c>
      <c r="H124" s="2" t="s">
        <v>8857</v>
      </c>
      <c r="I124" s="8" t="s">
        <v>8858</v>
      </c>
      <c r="J124" s="1">
        <v>37723</v>
      </c>
      <c r="K124" s="5"/>
      <c r="L124" s="5"/>
    </row>
    <row r="125" spans="2:12" ht="14.25" customHeight="1" x14ac:dyDescent="0.3">
      <c r="B125" s="1">
        <v>44463</v>
      </c>
      <c r="C125" s="7" t="s">
        <v>5628</v>
      </c>
      <c r="D125" s="2">
        <v>8210825009</v>
      </c>
      <c r="E125" s="2" t="s">
        <v>8685</v>
      </c>
      <c r="G125" s="1">
        <v>35927</v>
      </c>
      <c r="H125" s="2" t="s">
        <v>8859</v>
      </c>
      <c r="I125" s="8" t="s">
        <v>8765</v>
      </c>
      <c r="J125" s="1">
        <v>44503</v>
      </c>
      <c r="K125" s="5"/>
      <c r="L125" s="5"/>
    </row>
    <row r="126" spans="2:12" ht="14.25" customHeight="1" x14ac:dyDescent="0.3">
      <c r="B126" s="1">
        <v>44464</v>
      </c>
      <c r="C126" s="7" t="s">
        <v>5153</v>
      </c>
      <c r="D126" s="2">
        <v>8409949983</v>
      </c>
      <c r="E126" s="2" t="s">
        <v>8726</v>
      </c>
      <c r="G126" s="1">
        <v>37824</v>
      </c>
      <c r="H126" s="2" t="s">
        <v>8860</v>
      </c>
      <c r="I126" s="8" t="s">
        <v>8765</v>
      </c>
      <c r="K126" s="5"/>
      <c r="L126" s="5"/>
    </row>
    <row r="127" spans="2:12" ht="14.25" customHeight="1" x14ac:dyDescent="0.3">
      <c r="B127" s="1">
        <v>44485</v>
      </c>
      <c r="C127" s="7" t="s">
        <v>8861</v>
      </c>
      <c r="D127" s="2">
        <v>7050378791</v>
      </c>
      <c r="E127" s="2" t="s">
        <v>7792</v>
      </c>
      <c r="F127" s="2" t="s">
        <v>8852</v>
      </c>
      <c r="G127" s="1">
        <v>36472</v>
      </c>
      <c r="H127" s="2" t="s">
        <v>8862</v>
      </c>
      <c r="I127" s="8" t="s">
        <v>8765</v>
      </c>
      <c r="K127" s="5" t="s">
        <v>8863</v>
      </c>
      <c r="L127" s="5"/>
    </row>
    <row r="128" spans="2:12" ht="14.25" customHeight="1" x14ac:dyDescent="0.3">
      <c r="B128" s="1">
        <v>44485</v>
      </c>
      <c r="C128" s="7" t="s">
        <v>8864</v>
      </c>
      <c r="D128" s="2">
        <v>7050378791</v>
      </c>
      <c r="E128" s="2" t="s">
        <v>7792</v>
      </c>
      <c r="F128" s="2" t="s">
        <v>8852</v>
      </c>
      <c r="G128" s="1">
        <v>37867</v>
      </c>
      <c r="H128" s="2" t="s">
        <v>8862</v>
      </c>
      <c r="I128" s="8" t="s">
        <v>8765</v>
      </c>
      <c r="K128" s="5" t="s">
        <v>8863</v>
      </c>
      <c r="L128" s="5"/>
    </row>
    <row r="129" spans="2:12" ht="14.25" customHeight="1" x14ac:dyDescent="0.3">
      <c r="B129" s="1">
        <v>44499</v>
      </c>
      <c r="C129" s="7" t="s">
        <v>8865</v>
      </c>
      <c r="D129" s="2">
        <v>8825395036</v>
      </c>
      <c r="E129" s="2" t="s">
        <v>7792</v>
      </c>
      <c r="F129" s="2" t="s">
        <v>8767</v>
      </c>
      <c r="G129" s="1">
        <v>36146</v>
      </c>
      <c r="H129" s="2" t="s">
        <v>8866</v>
      </c>
      <c r="I129" s="8" t="s">
        <v>8765</v>
      </c>
      <c r="K129" s="5"/>
      <c r="L129" s="5"/>
    </row>
    <row r="130" spans="2:12" ht="14.25" customHeight="1" x14ac:dyDescent="0.3">
      <c r="B130" s="1">
        <v>44499</v>
      </c>
      <c r="C130" s="7" t="s">
        <v>8791</v>
      </c>
      <c r="E130" s="2" t="s">
        <v>8677</v>
      </c>
      <c r="F130" s="2" t="s">
        <v>8852</v>
      </c>
      <c r="H130" s="2" t="s">
        <v>8867</v>
      </c>
      <c r="I130" s="8" t="s">
        <v>8765</v>
      </c>
      <c r="J130" s="1">
        <v>44537</v>
      </c>
      <c r="K130" s="5" t="s">
        <v>8863</v>
      </c>
      <c r="L130" s="5"/>
    </row>
    <row r="131" spans="2:12" ht="14.25" customHeight="1" x14ac:dyDescent="0.3">
      <c r="B131" s="1">
        <v>44513</v>
      </c>
      <c r="C131" s="7" t="s">
        <v>8868</v>
      </c>
      <c r="D131" s="2">
        <v>8897956136</v>
      </c>
      <c r="E131" s="2" t="s">
        <v>7792</v>
      </c>
      <c r="F131" s="2" t="s">
        <v>8852</v>
      </c>
      <c r="G131" s="1">
        <v>37616</v>
      </c>
      <c r="H131" s="2" t="s">
        <v>8869</v>
      </c>
      <c r="I131" s="8" t="s">
        <v>8765</v>
      </c>
      <c r="K131" s="5"/>
      <c r="L131" s="5"/>
    </row>
    <row r="132" spans="2:12" ht="14.25" customHeight="1" x14ac:dyDescent="0.3">
      <c r="B132" s="1">
        <v>44511</v>
      </c>
      <c r="C132" s="7" t="s">
        <v>8791</v>
      </c>
      <c r="E132" s="2" t="s">
        <v>8677</v>
      </c>
      <c r="F132" s="2" t="s">
        <v>8852</v>
      </c>
      <c r="H132" s="2" t="s">
        <v>8867</v>
      </c>
      <c r="I132" s="8" t="s">
        <v>8765</v>
      </c>
      <c r="J132" s="1">
        <v>44537</v>
      </c>
      <c r="K132" s="5" t="s">
        <v>8863</v>
      </c>
      <c r="L132" s="5"/>
    </row>
    <row r="133" spans="2:12" ht="14.25" customHeight="1" x14ac:dyDescent="0.3">
      <c r="B133" s="1">
        <v>44517</v>
      </c>
      <c r="C133" s="7" t="s">
        <v>8870</v>
      </c>
      <c r="D133" s="2">
        <v>8789882083</v>
      </c>
      <c r="E133" s="2" t="s">
        <v>7792</v>
      </c>
      <c r="H133" s="2" t="s">
        <v>8871</v>
      </c>
      <c r="I133" s="8" t="s">
        <v>8765</v>
      </c>
      <c r="J133" s="1">
        <v>37672</v>
      </c>
      <c r="K133" s="5" t="s">
        <v>8863</v>
      </c>
      <c r="L133" s="5" t="s">
        <v>8767</v>
      </c>
    </row>
    <row r="134" spans="2:12" ht="14.25" customHeight="1" x14ac:dyDescent="0.3">
      <c r="B134" s="1">
        <v>44524</v>
      </c>
      <c r="C134" s="7" t="s">
        <v>8872</v>
      </c>
      <c r="D134" s="2">
        <v>7631066168</v>
      </c>
      <c r="E134" s="2" t="s">
        <v>7792</v>
      </c>
      <c r="F134" s="2" t="s">
        <v>8852</v>
      </c>
      <c r="G134" s="1">
        <v>30979</v>
      </c>
      <c r="H134" s="2" t="s">
        <v>8873</v>
      </c>
      <c r="I134" s="8" t="s">
        <v>8765</v>
      </c>
      <c r="K134" s="5"/>
      <c r="L134" s="5"/>
    </row>
    <row r="135" spans="2:12" ht="14.25" customHeight="1" x14ac:dyDescent="0.3">
      <c r="C135" s="7" t="s">
        <v>2092</v>
      </c>
      <c r="D135" s="2">
        <v>9007882224</v>
      </c>
      <c r="E135" s="2" t="s">
        <v>8874</v>
      </c>
      <c r="F135" s="2" t="s">
        <v>8852</v>
      </c>
      <c r="G135" s="1">
        <v>33847</v>
      </c>
      <c r="H135" s="2" t="s">
        <v>8875</v>
      </c>
      <c r="I135" s="8" t="s">
        <v>8765</v>
      </c>
      <c r="K135" s="5" t="s">
        <v>8863</v>
      </c>
      <c r="L135" s="5"/>
    </row>
    <row r="136" spans="2:12" ht="14.25" customHeight="1" x14ac:dyDescent="0.3">
      <c r="C136" s="7" t="s">
        <v>8822</v>
      </c>
      <c r="D136" s="2">
        <v>9205019131</v>
      </c>
      <c r="E136" s="2" t="s">
        <v>7792</v>
      </c>
      <c r="F136" s="2" t="s">
        <v>8852</v>
      </c>
      <c r="G136" s="1">
        <v>33507</v>
      </c>
      <c r="H136" s="2" t="s">
        <v>8876</v>
      </c>
      <c r="I136" s="8" t="s">
        <v>8765</v>
      </c>
      <c r="K136" s="5" t="s">
        <v>8863</v>
      </c>
      <c r="L136" s="5"/>
    </row>
    <row r="137" spans="2:12" ht="14.25" customHeight="1" x14ac:dyDescent="0.3">
      <c r="B137" s="1">
        <v>44399</v>
      </c>
      <c r="C137" s="7" t="s">
        <v>5153</v>
      </c>
      <c r="D137" s="2">
        <v>8409949983</v>
      </c>
      <c r="E137" s="2" t="s">
        <v>7792</v>
      </c>
      <c r="F137" s="2" t="s">
        <v>8852</v>
      </c>
      <c r="G137" s="1">
        <v>37824</v>
      </c>
      <c r="H137" s="2" t="s">
        <v>8877</v>
      </c>
      <c r="I137" s="8" t="s">
        <v>8765</v>
      </c>
      <c r="K137" s="5" t="s">
        <v>8863</v>
      </c>
      <c r="L137" s="5"/>
    </row>
    <row r="138" spans="2:12" ht="14.25" customHeight="1" x14ac:dyDescent="0.3">
      <c r="B138" s="1">
        <v>44399</v>
      </c>
      <c r="C138" s="7" t="s">
        <v>8878</v>
      </c>
      <c r="D138" s="2">
        <v>6202900720</v>
      </c>
      <c r="E138" s="2" t="s">
        <v>7792</v>
      </c>
      <c r="F138" s="2" t="s">
        <v>8852</v>
      </c>
      <c r="G138" s="1">
        <v>36821</v>
      </c>
      <c r="H138" s="2" t="s">
        <v>8879</v>
      </c>
      <c r="I138" s="8" t="s">
        <v>8765</v>
      </c>
      <c r="K138" s="5" t="s">
        <v>8863</v>
      </c>
      <c r="L138" s="5"/>
    </row>
    <row r="139" spans="2:12" ht="14.25" customHeight="1" x14ac:dyDescent="0.3">
      <c r="C139" s="7" t="s">
        <v>8880</v>
      </c>
      <c r="D139" s="2">
        <v>7563061743</v>
      </c>
      <c r="E139" s="2" t="s">
        <v>7792</v>
      </c>
      <c r="F139" s="2" t="s">
        <v>8881</v>
      </c>
      <c r="G139" s="1">
        <v>35987</v>
      </c>
      <c r="H139" s="2" t="s">
        <v>8882</v>
      </c>
      <c r="I139" s="8" t="s">
        <v>8765</v>
      </c>
      <c r="J139" s="9"/>
      <c r="K139" s="5" t="s">
        <v>8863</v>
      </c>
      <c r="L139" s="23"/>
    </row>
    <row r="140" spans="2:12" ht="14.25" customHeight="1" x14ac:dyDescent="0.3">
      <c r="B140" s="1">
        <v>44568</v>
      </c>
      <c r="C140" s="7" t="s">
        <v>5720</v>
      </c>
      <c r="D140" s="2">
        <v>7856886204</v>
      </c>
      <c r="E140" s="2" t="s">
        <v>7792</v>
      </c>
      <c r="G140" s="1">
        <v>37946</v>
      </c>
      <c r="H140" s="2" t="s">
        <v>8883</v>
      </c>
      <c r="I140" s="8" t="s">
        <v>8765</v>
      </c>
      <c r="K140" s="5" t="s">
        <v>8863</v>
      </c>
      <c r="L140" s="5"/>
    </row>
    <row r="141" spans="2:12" ht="14.25" customHeight="1" x14ac:dyDescent="0.3">
      <c r="B141" s="1">
        <v>44568</v>
      </c>
      <c r="C141" s="7" t="s">
        <v>8884</v>
      </c>
      <c r="D141" s="2">
        <v>6200356242</v>
      </c>
      <c r="E141" s="2" t="s">
        <v>7792</v>
      </c>
      <c r="F141" s="2" t="s">
        <v>8852</v>
      </c>
      <c r="G141" s="1">
        <v>27417</v>
      </c>
      <c r="H141" s="2" t="s">
        <v>8885</v>
      </c>
      <c r="I141" s="107" t="s">
        <v>8886</v>
      </c>
      <c r="K141" s="5" t="s">
        <v>8863</v>
      </c>
      <c r="L141" s="5"/>
    </row>
    <row r="142" spans="2:12" ht="14.25" customHeight="1" x14ac:dyDescent="0.3">
      <c r="C142" s="7" t="s">
        <v>8887</v>
      </c>
      <c r="D142" s="2">
        <v>7260062347</v>
      </c>
      <c r="E142" s="2" t="s">
        <v>7792</v>
      </c>
      <c r="F142" s="2" t="s">
        <v>8852</v>
      </c>
      <c r="G142" s="1">
        <v>35728</v>
      </c>
      <c r="H142" s="2" t="s">
        <v>8888</v>
      </c>
      <c r="I142" s="8" t="s">
        <v>8858</v>
      </c>
      <c r="K142" s="5"/>
      <c r="L142" s="5"/>
    </row>
    <row r="143" spans="2:12" ht="14.25" customHeight="1" x14ac:dyDescent="0.3">
      <c r="B143" s="1">
        <v>44580</v>
      </c>
      <c r="C143" s="7" t="s">
        <v>8889</v>
      </c>
      <c r="D143" s="2">
        <v>7091493399</v>
      </c>
      <c r="E143" s="2" t="s">
        <v>7792</v>
      </c>
      <c r="F143" s="2" t="s">
        <v>8852</v>
      </c>
      <c r="G143" s="1">
        <v>32605</v>
      </c>
      <c r="H143" s="2" t="s">
        <v>8890</v>
      </c>
      <c r="I143" s="8" t="s">
        <v>8858</v>
      </c>
      <c r="K143" s="5"/>
      <c r="L143" s="5"/>
    </row>
    <row r="144" spans="2:12" ht="14.25" customHeight="1" x14ac:dyDescent="0.3">
      <c r="B144" s="1">
        <v>44581</v>
      </c>
      <c r="C144" s="7" t="s">
        <v>8891</v>
      </c>
      <c r="D144" s="2">
        <v>7011152603</v>
      </c>
      <c r="E144" s="2" t="s">
        <v>7792</v>
      </c>
      <c r="G144" s="1">
        <v>36007</v>
      </c>
      <c r="H144" s="2" t="s">
        <v>8890</v>
      </c>
      <c r="I144" s="8" t="s">
        <v>8858</v>
      </c>
      <c r="K144" s="5"/>
      <c r="L144" s="5" t="s">
        <v>8892</v>
      </c>
    </row>
    <row r="145" spans="2:12" ht="14.25" customHeight="1" x14ac:dyDescent="0.3">
      <c r="B145" s="1">
        <v>44581</v>
      </c>
      <c r="C145" s="7" t="s">
        <v>2019</v>
      </c>
      <c r="D145" s="2">
        <v>8207352736</v>
      </c>
      <c r="E145" s="2" t="s">
        <v>7792</v>
      </c>
      <c r="G145" s="1">
        <v>37110</v>
      </c>
      <c r="H145" s="2" t="s">
        <v>8893</v>
      </c>
      <c r="I145" s="8" t="s">
        <v>8858</v>
      </c>
      <c r="K145" s="5"/>
      <c r="L145" s="5" t="s">
        <v>8802</v>
      </c>
    </row>
    <row r="146" spans="2:12" ht="14.25" customHeight="1" x14ac:dyDescent="0.3">
      <c r="B146" s="1">
        <v>44582</v>
      </c>
      <c r="C146" s="7" t="s">
        <v>8894</v>
      </c>
      <c r="D146" s="2">
        <v>9835356644</v>
      </c>
      <c r="E146" s="2" t="s">
        <v>8168</v>
      </c>
      <c r="F146" s="2" t="s">
        <v>8881</v>
      </c>
      <c r="G146" s="1">
        <v>27191</v>
      </c>
      <c r="H146" s="2" t="s">
        <v>8893</v>
      </c>
      <c r="I146" s="8" t="s">
        <v>8858</v>
      </c>
      <c r="J146" s="1">
        <v>44585</v>
      </c>
      <c r="K146" s="5"/>
      <c r="L146" s="5"/>
    </row>
    <row r="147" spans="2:12" ht="14.25" customHeight="1" x14ac:dyDescent="0.3">
      <c r="B147" s="1">
        <v>44575</v>
      </c>
      <c r="C147" s="7" t="s">
        <v>8895</v>
      </c>
      <c r="D147" s="2"/>
      <c r="E147" s="2"/>
      <c r="F147" s="2"/>
      <c r="G147" s="1">
        <v>37147</v>
      </c>
      <c r="H147" s="2" t="s">
        <v>8896</v>
      </c>
      <c r="I147" s="8"/>
      <c r="J147" s="1"/>
      <c r="K147" s="5"/>
      <c r="L147" s="5"/>
    </row>
    <row r="148" spans="2:12" ht="14.25" customHeight="1" x14ac:dyDescent="0.3">
      <c r="B148" s="1">
        <v>44603</v>
      </c>
      <c r="C148" s="7" t="s">
        <v>8897</v>
      </c>
      <c r="D148" s="2">
        <v>9160692545</v>
      </c>
      <c r="E148" s="2" t="s">
        <v>7792</v>
      </c>
      <c r="G148" s="1">
        <v>31350</v>
      </c>
      <c r="H148" s="2" t="s">
        <v>8898</v>
      </c>
      <c r="I148" s="8" t="s">
        <v>8886</v>
      </c>
      <c r="K148" s="5"/>
      <c r="L148" s="5"/>
    </row>
    <row r="149" spans="2:12" ht="14.25" customHeight="1" x14ac:dyDescent="0.3">
      <c r="B149" s="1">
        <v>44603</v>
      </c>
      <c r="C149" s="7" t="s">
        <v>8899</v>
      </c>
      <c r="D149" s="2">
        <v>7488717436</v>
      </c>
      <c r="E149" s="2" t="s">
        <v>7792</v>
      </c>
      <c r="G149" s="1">
        <v>35125</v>
      </c>
      <c r="H149" s="2" t="s">
        <v>8898</v>
      </c>
      <c r="I149" s="8" t="s">
        <v>8886</v>
      </c>
      <c r="K149" s="5"/>
      <c r="L149" s="5"/>
    </row>
    <row r="150" spans="2:12" ht="14.25" customHeight="1" x14ac:dyDescent="0.3">
      <c r="B150" s="1">
        <v>44603</v>
      </c>
      <c r="C150" s="7" t="s">
        <v>6093</v>
      </c>
      <c r="D150" s="2">
        <v>6206035278</v>
      </c>
      <c r="E150" s="2" t="s">
        <v>7792</v>
      </c>
      <c r="G150" s="1">
        <v>37820</v>
      </c>
      <c r="H150" s="2" t="s">
        <v>8898</v>
      </c>
      <c r="I150" s="8" t="s">
        <v>8886</v>
      </c>
      <c r="K150" s="5"/>
      <c r="L150" s="5"/>
    </row>
    <row r="151" spans="2:12" ht="14.25" customHeight="1" x14ac:dyDescent="0.3">
      <c r="B151" s="1">
        <v>44612</v>
      </c>
      <c r="C151" s="7" t="s">
        <v>2721</v>
      </c>
      <c r="D151" s="2">
        <v>9696615803</v>
      </c>
      <c r="E151" s="2" t="s">
        <v>7792</v>
      </c>
      <c r="G151" s="1">
        <v>36855</v>
      </c>
      <c r="H151" s="2" t="s">
        <v>8900</v>
      </c>
      <c r="I151" s="2" t="s">
        <v>8886</v>
      </c>
      <c r="K151" s="5"/>
      <c r="L151" s="5"/>
    </row>
    <row r="152" spans="2:12" ht="14.25" customHeight="1" x14ac:dyDescent="0.3">
      <c r="B152" s="1">
        <v>44612</v>
      </c>
      <c r="C152" s="7" t="s">
        <v>3806</v>
      </c>
      <c r="D152" s="2">
        <v>9696615803</v>
      </c>
      <c r="E152" s="2" t="s">
        <v>7792</v>
      </c>
      <c r="G152" s="1">
        <v>28960</v>
      </c>
      <c r="H152" s="2" t="s">
        <v>8900</v>
      </c>
      <c r="I152" s="2" t="s">
        <v>8886</v>
      </c>
      <c r="K152" s="5"/>
      <c r="L152" s="5"/>
    </row>
    <row r="153" spans="2:12" ht="14.25" customHeight="1" x14ac:dyDescent="0.3">
      <c r="C153" s="7" t="s">
        <v>8901</v>
      </c>
      <c r="H153" s="2" t="s">
        <v>8902</v>
      </c>
      <c r="I153" s="107" t="s">
        <v>8903</v>
      </c>
      <c r="K153" s="5"/>
      <c r="L153" s="5"/>
    </row>
    <row r="154" spans="2:12" ht="14.25" customHeight="1" x14ac:dyDescent="0.3">
      <c r="C154" s="7" t="s">
        <v>8904</v>
      </c>
      <c r="I154" s="107" t="s">
        <v>8903</v>
      </c>
      <c r="K154" s="5"/>
      <c r="L154" s="5"/>
    </row>
    <row r="155" spans="2:12" ht="14.25" customHeight="1" x14ac:dyDescent="0.3">
      <c r="B155" s="82">
        <v>44646</v>
      </c>
      <c r="C155" s="7" t="s">
        <v>8905</v>
      </c>
      <c r="D155">
        <v>7979984867</v>
      </c>
      <c r="E155" s="301" t="s">
        <v>7792</v>
      </c>
      <c r="F155" s="301" t="s">
        <v>8852</v>
      </c>
      <c r="G155" s="82">
        <v>34662</v>
      </c>
      <c r="H155" s="301" t="s">
        <v>8906</v>
      </c>
      <c r="I155" s="107" t="s">
        <v>8903</v>
      </c>
      <c r="J155" s="81" t="s">
        <v>8907</v>
      </c>
      <c r="K155" s="83" t="s">
        <v>8863</v>
      </c>
      <c r="L155" s="5"/>
    </row>
    <row r="156" spans="2:12" ht="14.25" customHeight="1" x14ac:dyDescent="0.3">
      <c r="B156" s="82">
        <v>44648</v>
      </c>
      <c r="C156" s="7" t="s">
        <v>8908</v>
      </c>
      <c r="D156">
        <v>9534014199</v>
      </c>
      <c r="E156" s="301" t="s">
        <v>7792</v>
      </c>
      <c r="F156" s="301" t="s">
        <v>8852</v>
      </c>
      <c r="G156" s="82">
        <v>33623</v>
      </c>
      <c r="H156" s="301" t="s">
        <v>908</v>
      </c>
      <c r="K156" s="5"/>
      <c r="L156" s="5" t="s">
        <v>8909</v>
      </c>
    </row>
    <row r="157" spans="2:12" ht="14.25" customHeight="1" x14ac:dyDescent="0.3">
      <c r="C157" s="7" t="s">
        <v>5153</v>
      </c>
      <c r="D157">
        <v>8409949983</v>
      </c>
      <c r="E157" s="301" t="s">
        <v>7792</v>
      </c>
      <c r="F157" s="301" t="s">
        <v>8852</v>
      </c>
      <c r="G157" s="82">
        <v>37824</v>
      </c>
      <c r="H157" s="301" t="s">
        <v>8910</v>
      </c>
      <c r="I157" s="85" t="s">
        <v>8858</v>
      </c>
      <c r="K157" s="5"/>
      <c r="L157" s="5"/>
    </row>
    <row r="158" spans="2:12" ht="14.25" customHeight="1" x14ac:dyDescent="0.3">
      <c r="C158" s="7" t="s">
        <v>8911</v>
      </c>
      <c r="F158" s="301" t="s">
        <v>8821</v>
      </c>
      <c r="H158" s="301" t="s">
        <v>8910</v>
      </c>
      <c r="I158" s="85" t="s">
        <v>8858</v>
      </c>
      <c r="K158" s="5"/>
      <c r="L158" s="5"/>
    </row>
    <row r="159" spans="2:12" ht="14.25" customHeight="1" x14ac:dyDescent="0.3">
      <c r="C159" s="7" t="s">
        <v>8912</v>
      </c>
      <c r="D159">
        <v>7992278846</v>
      </c>
      <c r="E159" t="s">
        <v>7792</v>
      </c>
      <c r="F159" s="301" t="s">
        <v>8821</v>
      </c>
      <c r="H159" s="301" t="s">
        <v>8910</v>
      </c>
      <c r="I159" s="85" t="s">
        <v>8858</v>
      </c>
      <c r="K159" s="5"/>
      <c r="L159" s="5"/>
    </row>
    <row r="160" spans="2:12" ht="14.25" customHeight="1" x14ac:dyDescent="0.3">
      <c r="C160" s="7" t="s">
        <v>8913</v>
      </c>
      <c r="D160">
        <v>8102132787</v>
      </c>
      <c r="E160" t="s">
        <v>7792</v>
      </c>
      <c r="G160" s="82">
        <v>35211</v>
      </c>
      <c r="H160" s="301" t="s">
        <v>8914</v>
      </c>
      <c r="I160" s="85" t="s">
        <v>8858</v>
      </c>
      <c r="K160" s="5"/>
      <c r="L160" s="5"/>
    </row>
    <row r="161" spans="2:12" ht="14.25" customHeight="1" x14ac:dyDescent="0.3">
      <c r="G161" s="82">
        <v>24330</v>
      </c>
      <c r="H161" s="301" t="s">
        <v>8915</v>
      </c>
      <c r="I161" s="85" t="s">
        <v>8858</v>
      </c>
      <c r="K161" s="5"/>
      <c r="L161" s="5"/>
    </row>
    <row r="162" spans="2:12" ht="14.25" customHeight="1" x14ac:dyDescent="0.3">
      <c r="B162" s="82">
        <v>44693</v>
      </c>
      <c r="C162" s="7" t="s">
        <v>8916</v>
      </c>
      <c r="D162">
        <v>9060888390</v>
      </c>
      <c r="E162" t="s">
        <v>7792</v>
      </c>
      <c r="F162" t="s">
        <v>8881</v>
      </c>
      <c r="G162" s="82">
        <v>35136</v>
      </c>
      <c r="H162" s="301" t="s">
        <v>8914</v>
      </c>
      <c r="I162" s="85" t="s">
        <v>8827</v>
      </c>
      <c r="K162" s="5"/>
      <c r="L162" s="5"/>
    </row>
    <row r="163" spans="2:12" ht="14.25" customHeight="1" x14ac:dyDescent="0.3">
      <c r="B163" s="82">
        <v>44714</v>
      </c>
      <c r="C163" s="7" t="s">
        <v>1606</v>
      </c>
      <c r="F163" t="s">
        <v>8824</v>
      </c>
      <c r="H163" s="301" t="s">
        <v>8914</v>
      </c>
      <c r="I163" s="85" t="s">
        <v>8886</v>
      </c>
      <c r="K163" s="5"/>
      <c r="L163" s="5">
        <v>52000</v>
      </c>
    </row>
    <row r="164" spans="2:12" ht="14.25" customHeight="1" x14ac:dyDescent="0.3">
      <c r="B164" s="82">
        <v>44716</v>
      </c>
      <c r="C164" s="7" t="s">
        <v>8917</v>
      </c>
      <c r="D164">
        <v>9199562454</v>
      </c>
      <c r="E164" t="s">
        <v>7792</v>
      </c>
      <c r="F164" t="s">
        <v>8824</v>
      </c>
      <c r="G164" s="82">
        <v>37353</v>
      </c>
      <c r="H164" s="301" t="s">
        <v>8918</v>
      </c>
      <c r="I164" s="85" t="s">
        <v>8858</v>
      </c>
      <c r="K164" s="5"/>
      <c r="L164" s="5">
        <f>2840*24</f>
        <v>68160</v>
      </c>
    </row>
    <row r="165" spans="2:12" ht="14.25" customHeight="1" x14ac:dyDescent="0.3">
      <c r="B165" s="82">
        <v>44716</v>
      </c>
      <c r="C165" s="7" t="s">
        <v>6590</v>
      </c>
      <c r="D165">
        <v>9263445537</v>
      </c>
      <c r="E165" t="s">
        <v>7792</v>
      </c>
      <c r="F165" t="s">
        <v>8824</v>
      </c>
      <c r="G165" s="82">
        <v>28101</v>
      </c>
      <c r="H165" s="301" t="s">
        <v>8918</v>
      </c>
      <c r="I165" s="85" t="s">
        <v>8858</v>
      </c>
      <c r="K165" s="5"/>
      <c r="L165" s="5"/>
    </row>
    <row r="166" spans="2:12" ht="14.25" customHeight="1" x14ac:dyDescent="0.3">
      <c r="C166" s="7" t="s">
        <v>1379</v>
      </c>
      <c r="F166" t="s">
        <v>8824</v>
      </c>
      <c r="H166" s="301" t="s">
        <v>8918</v>
      </c>
      <c r="I166" s="85" t="s">
        <v>8858</v>
      </c>
      <c r="K166" s="5"/>
      <c r="L166" s="5">
        <f>L164-L163</f>
        <v>16160</v>
      </c>
    </row>
    <row r="167" spans="2:12" ht="14.25" customHeight="1" x14ac:dyDescent="0.3">
      <c r="B167" s="82">
        <v>44732</v>
      </c>
      <c r="C167" s="7" t="s">
        <v>8919</v>
      </c>
      <c r="D167">
        <v>9123405500</v>
      </c>
      <c r="G167" s="306">
        <v>36977</v>
      </c>
      <c r="H167" s="301" t="s">
        <v>8914</v>
      </c>
      <c r="I167" s="85" t="s">
        <v>8858</v>
      </c>
      <c r="K167" s="5"/>
      <c r="L167" s="5"/>
    </row>
    <row r="168" spans="2:12" ht="14.25" customHeight="1" x14ac:dyDescent="0.3">
      <c r="B168" s="82">
        <v>44732</v>
      </c>
      <c r="C168" s="7" t="s">
        <v>8920</v>
      </c>
      <c r="D168">
        <v>8210087356</v>
      </c>
      <c r="G168" s="82">
        <v>34485</v>
      </c>
      <c r="H168" s="301" t="s">
        <v>8921</v>
      </c>
      <c r="I168" s="85" t="s">
        <v>8858</v>
      </c>
      <c r="K168" s="5"/>
      <c r="L168" s="5"/>
    </row>
    <row r="169" spans="2:12" ht="14.25" customHeight="1" x14ac:dyDescent="0.3">
      <c r="B169" s="82">
        <v>44742</v>
      </c>
      <c r="C169" s="7" t="s">
        <v>8895</v>
      </c>
      <c r="F169" t="s">
        <v>8824</v>
      </c>
      <c r="G169" s="82">
        <v>37147</v>
      </c>
      <c r="H169" s="301" t="s">
        <v>8922</v>
      </c>
      <c r="I169" s="85" t="s">
        <v>8886</v>
      </c>
      <c r="K169" s="5"/>
      <c r="L169" s="5"/>
    </row>
    <row r="170" spans="2:12" ht="14.25" customHeight="1" x14ac:dyDescent="0.3">
      <c r="B170" s="82">
        <v>44743</v>
      </c>
      <c r="C170" s="7" t="s">
        <v>8923</v>
      </c>
      <c r="D170">
        <v>7903082835</v>
      </c>
      <c r="F170" t="s">
        <v>8852</v>
      </c>
      <c r="G170" s="82">
        <v>37268</v>
      </c>
      <c r="H170" s="301" t="s">
        <v>8924</v>
      </c>
      <c r="I170" s="85" t="s">
        <v>8858</v>
      </c>
      <c r="K170" s="5"/>
      <c r="L170" s="5"/>
    </row>
    <row r="171" spans="2:12" ht="14.25" customHeight="1" x14ac:dyDescent="0.3">
      <c r="B171" s="82">
        <v>44743</v>
      </c>
      <c r="C171" s="7" t="s">
        <v>8925</v>
      </c>
      <c r="D171">
        <v>8709866299</v>
      </c>
      <c r="G171" s="82">
        <v>37978</v>
      </c>
      <c r="K171" s="5"/>
      <c r="L171" s="5"/>
    </row>
    <row r="172" spans="2:12" ht="14.25" customHeight="1" x14ac:dyDescent="0.3">
      <c r="B172" s="82">
        <v>44754</v>
      </c>
      <c r="C172" s="7" t="s">
        <v>8926</v>
      </c>
      <c r="D172">
        <v>8444854188</v>
      </c>
      <c r="E172" t="s">
        <v>7792</v>
      </c>
      <c r="F172" t="s">
        <v>8852</v>
      </c>
      <c r="G172" s="82">
        <v>33367</v>
      </c>
      <c r="H172" t="s">
        <v>8927</v>
      </c>
      <c r="I172" s="85" t="s">
        <v>8858</v>
      </c>
      <c r="J172" s="82">
        <v>44780</v>
      </c>
      <c r="K172" s="5"/>
      <c r="L172" s="5"/>
    </row>
    <row r="173" spans="2:12" ht="14.25" customHeight="1" x14ac:dyDescent="0.3">
      <c r="B173" s="82">
        <v>44780</v>
      </c>
      <c r="C173" s="7" t="s">
        <v>8928</v>
      </c>
      <c r="D173">
        <v>8102554200</v>
      </c>
      <c r="E173" t="s">
        <v>7792</v>
      </c>
      <c r="F173" t="s">
        <v>8852</v>
      </c>
      <c r="G173" s="82">
        <v>37518</v>
      </c>
      <c r="H173" t="s">
        <v>8929</v>
      </c>
      <c r="I173" s="85" t="s">
        <v>8858</v>
      </c>
      <c r="K173" s="5"/>
      <c r="L173" s="5"/>
    </row>
    <row r="174" spans="2:12" ht="14.25" customHeight="1" x14ac:dyDescent="0.3">
      <c r="B174" s="82">
        <v>44791</v>
      </c>
      <c r="C174" s="7" t="s">
        <v>8930</v>
      </c>
      <c r="D174">
        <v>9576199025</v>
      </c>
      <c r="E174" t="s">
        <v>7792</v>
      </c>
      <c r="F174" t="s">
        <v>8852</v>
      </c>
      <c r="G174" s="82">
        <v>27020</v>
      </c>
      <c r="H174" t="s">
        <v>8931</v>
      </c>
      <c r="I174" s="85" t="s">
        <v>8858</v>
      </c>
      <c r="J174" t="s">
        <v>8932</v>
      </c>
      <c r="K174" s="5"/>
      <c r="L174" s="5"/>
    </row>
    <row r="175" spans="2:12" ht="14.25" customHeight="1" x14ac:dyDescent="0.3">
      <c r="C175" s="7" t="s">
        <v>8933</v>
      </c>
      <c r="F175" t="s">
        <v>8852</v>
      </c>
      <c r="H175" t="s">
        <v>8931</v>
      </c>
      <c r="I175" s="85" t="s">
        <v>8858</v>
      </c>
      <c r="J175" s="82">
        <v>44810</v>
      </c>
      <c r="K175" s="5"/>
      <c r="L175" s="5"/>
    </row>
    <row r="176" spans="2:12" ht="14.25" customHeight="1" x14ac:dyDescent="0.3">
      <c r="C176" s="7" t="s">
        <v>8934</v>
      </c>
      <c r="F176" t="s">
        <v>8852</v>
      </c>
      <c r="H176" t="s">
        <v>8931</v>
      </c>
      <c r="I176" s="85" t="s">
        <v>8858</v>
      </c>
      <c r="J176" s="82">
        <v>44810</v>
      </c>
      <c r="K176" s="5"/>
      <c r="L176" s="5"/>
    </row>
    <row r="177" spans="2:12" ht="14.25" customHeight="1" x14ac:dyDescent="0.3">
      <c r="B177" s="82">
        <v>44791</v>
      </c>
      <c r="C177" s="7" t="s">
        <v>8935</v>
      </c>
      <c r="F177" t="s">
        <v>8852</v>
      </c>
      <c r="H177" t="s">
        <v>8931</v>
      </c>
      <c r="I177" s="85" t="s">
        <v>8858</v>
      </c>
      <c r="J177" s="82">
        <v>44810</v>
      </c>
      <c r="K177" s="5"/>
      <c r="L177" s="5"/>
    </row>
    <row r="178" spans="2:12" ht="14.25" customHeight="1" x14ac:dyDescent="0.3">
      <c r="B178" s="82">
        <v>44791</v>
      </c>
      <c r="C178" s="7" t="s">
        <v>8936</v>
      </c>
      <c r="D178">
        <v>9060063554</v>
      </c>
      <c r="F178" t="s">
        <v>8767</v>
      </c>
      <c r="G178" s="82">
        <v>38211</v>
      </c>
      <c r="H178" t="s">
        <v>8937</v>
      </c>
      <c r="I178" s="85" t="s">
        <v>8858</v>
      </c>
      <c r="K178" s="5"/>
      <c r="L178" s="5"/>
    </row>
    <row r="179" spans="2:12" ht="14.25" customHeight="1" x14ac:dyDescent="0.3">
      <c r="B179" s="82">
        <v>44802</v>
      </c>
      <c r="C179" s="7" t="s">
        <v>8938</v>
      </c>
      <c r="D179">
        <v>8697541070</v>
      </c>
      <c r="F179" t="s">
        <v>8767</v>
      </c>
      <c r="G179" s="82">
        <v>17750</v>
      </c>
      <c r="H179" t="s">
        <v>8939</v>
      </c>
      <c r="I179" s="85" t="s">
        <v>8858</v>
      </c>
      <c r="J179" s="82">
        <v>44824</v>
      </c>
      <c r="K179" s="5"/>
      <c r="L179" s="5"/>
    </row>
    <row r="180" spans="2:12" ht="14.25" customHeight="1" x14ac:dyDescent="0.3">
      <c r="B180" s="82">
        <v>44808</v>
      </c>
      <c r="C180" s="7" t="s">
        <v>8940</v>
      </c>
      <c r="D180">
        <v>9798777928</v>
      </c>
      <c r="F180" t="s">
        <v>8852</v>
      </c>
      <c r="G180" s="82">
        <v>23091</v>
      </c>
      <c r="H180" t="s">
        <v>8941</v>
      </c>
      <c r="I180" s="85" t="s">
        <v>8858</v>
      </c>
      <c r="J180" s="82">
        <v>44833</v>
      </c>
      <c r="K180" s="5"/>
      <c r="L180" s="5"/>
    </row>
    <row r="181" spans="2:12" ht="14.25" customHeight="1" x14ac:dyDescent="0.3">
      <c r="B181" s="82">
        <v>44810</v>
      </c>
      <c r="C181" s="7" t="s">
        <v>8942</v>
      </c>
      <c r="D181">
        <v>6207198064</v>
      </c>
      <c r="F181" t="s">
        <v>8852</v>
      </c>
      <c r="G181" s="82">
        <v>36273</v>
      </c>
      <c r="H181" t="s">
        <v>8943</v>
      </c>
      <c r="I181" s="85" t="s">
        <v>8858</v>
      </c>
      <c r="K181" s="5"/>
      <c r="L181" s="5"/>
    </row>
    <row r="182" spans="2:12" ht="14.25" customHeight="1" x14ac:dyDescent="0.3">
      <c r="B182" s="82">
        <v>44814</v>
      </c>
      <c r="C182" s="7" t="s">
        <v>8944</v>
      </c>
      <c r="D182">
        <v>8789886585</v>
      </c>
      <c r="F182" t="s">
        <v>8881</v>
      </c>
      <c r="G182" s="82">
        <v>25914</v>
      </c>
      <c r="H182" t="s">
        <v>8945</v>
      </c>
      <c r="K182" s="5"/>
      <c r="L182" s="5"/>
    </row>
    <row r="183" spans="2:12" ht="14.25" customHeight="1" x14ac:dyDescent="0.3">
      <c r="B183" s="82">
        <v>44814</v>
      </c>
      <c r="C183" s="7" t="s">
        <v>8946</v>
      </c>
      <c r="D183">
        <v>9053101827</v>
      </c>
      <c r="F183" t="s">
        <v>8881</v>
      </c>
      <c r="G183" s="82">
        <v>35701</v>
      </c>
      <c r="H183" t="s">
        <v>8945</v>
      </c>
      <c r="K183" s="5"/>
      <c r="L183" s="5"/>
    </row>
    <row r="184" spans="2:12" ht="14.25" customHeight="1" x14ac:dyDescent="0.3">
      <c r="C184" s="7" t="s">
        <v>8947</v>
      </c>
      <c r="D184">
        <v>9031505571</v>
      </c>
      <c r="G184" s="82">
        <v>38211</v>
      </c>
      <c r="H184" t="s">
        <v>8937</v>
      </c>
      <c r="I184" s="85" t="s">
        <v>8948</v>
      </c>
      <c r="K184" s="5"/>
      <c r="L184" s="5"/>
    </row>
    <row r="185" spans="2:12" ht="14.25" customHeight="1" x14ac:dyDescent="0.3">
      <c r="C185" s="7" t="s">
        <v>8949</v>
      </c>
      <c r="G185" s="82">
        <v>37046</v>
      </c>
      <c r="H185" t="s">
        <v>8937</v>
      </c>
      <c r="I185" s="85" t="s">
        <v>8948</v>
      </c>
      <c r="K185" s="5"/>
      <c r="L185" s="5"/>
    </row>
    <row r="186" spans="2:12" ht="14.25" customHeight="1" x14ac:dyDescent="0.3">
      <c r="C186" s="7" t="s">
        <v>8950</v>
      </c>
      <c r="D186">
        <v>9200648891</v>
      </c>
      <c r="G186" s="82">
        <v>36256</v>
      </c>
      <c r="H186" t="s">
        <v>8951</v>
      </c>
      <c r="I186" s="118" t="s">
        <v>8858</v>
      </c>
      <c r="K186" s="5"/>
      <c r="L186" s="5"/>
    </row>
    <row r="187" spans="2:12" ht="14.25" customHeight="1" x14ac:dyDescent="0.3">
      <c r="C187" s="7" t="s">
        <v>8952</v>
      </c>
      <c r="D187">
        <v>7667602718</v>
      </c>
      <c r="G187" s="82">
        <v>36188</v>
      </c>
      <c r="H187" t="s">
        <v>8951</v>
      </c>
      <c r="I187" s="118" t="s">
        <v>8858</v>
      </c>
      <c r="K187" s="5"/>
      <c r="L187" s="5"/>
    </row>
    <row r="188" spans="2:12" ht="14.25" customHeight="1" x14ac:dyDescent="0.3">
      <c r="B188" s="82">
        <v>44854</v>
      </c>
      <c r="C188" s="7" t="s">
        <v>4261</v>
      </c>
      <c r="D188">
        <v>8789552082</v>
      </c>
      <c r="F188" t="s">
        <v>8881</v>
      </c>
      <c r="H188" t="s">
        <v>8951</v>
      </c>
      <c r="I188" s="85"/>
      <c r="K188" s="5"/>
      <c r="L188" s="5"/>
    </row>
    <row r="189" spans="2:12" ht="14.25" customHeight="1" x14ac:dyDescent="0.3">
      <c r="B189" s="82">
        <v>44855</v>
      </c>
      <c r="C189" s="7" t="s">
        <v>8953</v>
      </c>
      <c r="D189">
        <v>8107133654</v>
      </c>
      <c r="F189" t="s">
        <v>8881</v>
      </c>
      <c r="G189" s="82">
        <v>37046</v>
      </c>
      <c r="H189" t="s">
        <v>8937</v>
      </c>
      <c r="I189" s="118" t="s">
        <v>8858</v>
      </c>
      <c r="K189" s="5"/>
      <c r="L189" s="5"/>
    </row>
    <row r="190" spans="2:12" ht="14.25" customHeight="1" x14ac:dyDescent="0.3">
      <c r="C190" s="7" t="s">
        <v>8954</v>
      </c>
      <c r="D190">
        <v>9297699926</v>
      </c>
      <c r="H190" t="s">
        <v>8951</v>
      </c>
      <c r="K190" s="5"/>
      <c r="L190" s="5"/>
    </row>
    <row r="191" spans="2:12" ht="14.25" customHeight="1" x14ac:dyDescent="0.3">
      <c r="C191" s="7" t="s">
        <v>8955</v>
      </c>
      <c r="D191">
        <v>8210774870</v>
      </c>
      <c r="H191" t="s">
        <v>8951</v>
      </c>
      <c r="K191" s="5"/>
      <c r="L191" s="5"/>
    </row>
    <row r="192" spans="2:12" ht="14.25" customHeight="1" x14ac:dyDescent="0.3">
      <c r="B192" s="82">
        <v>44888</v>
      </c>
      <c r="C192" s="7" t="s">
        <v>8956</v>
      </c>
      <c r="D192">
        <v>8210796022</v>
      </c>
      <c r="F192" t="s">
        <v>8852</v>
      </c>
      <c r="G192" s="82">
        <v>28208</v>
      </c>
      <c r="H192" t="s">
        <v>8957</v>
      </c>
      <c r="I192" s="118" t="s">
        <v>8858</v>
      </c>
      <c r="J192" s="82">
        <v>44903</v>
      </c>
      <c r="K192" s="5"/>
      <c r="L192" s="5"/>
    </row>
    <row r="193" spans="2:12" ht="14.25" customHeight="1" x14ac:dyDescent="0.3">
      <c r="B193" s="82">
        <v>44892</v>
      </c>
      <c r="C193" s="7" t="s">
        <v>8958</v>
      </c>
      <c r="D193">
        <v>8210089396</v>
      </c>
      <c r="F193" t="s">
        <v>8852</v>
      </c>
      <c r="G193" s="82">
        <v>34481</v>
      </c>
      <c r="H193" t="s">
        <v>8959</v>
      </c>
      <c r="I193" s="118" t="s">
        <v>8858</v>
      </c>
      <c r="J193" s="119" t="s">
        <v>8960</v>
      </c>
      <c r="K193" s="5"/>
      <c r="L193" s="5"/>
    </row>
    <row r="194" spans="2:12" ht="14.25" customHeight="1" x14ac:dyDescent="0.3">
      <c r="B194" s="82">
        <v>44894</v>
      </c>
      <c r="C194" s="7" t="s">
        <v>8961</v>
      </c>
      <c r="D194">
        <v>9031703893</v>
      </c>
      <c r="F194" t="s">
        <v>8852</v>
      </c>
      <c r="G194" s="82">
        <v>38009</v>
      </c>
      <c r="H194" t="s">
        <v>8959</v>
      </c>
      <c r="I194" s="118" t="s">
        <v>8858</v>
      </c>
      <c r="K194" s="5"/>
      <c r="L194" s="5"/>
    </row>
    <row r="195" spans="2:12" ht="14.25" customHeight="1" x14ac:dyDescent="0.3">
      <c r="B195" s="82">
        <v>44897</v>
      </c>
      <c r="C195" s="7" t="s">
        <v>7072</v>
      </c>
      <c r="D195">
        <v>9608956144</v>
      </c>
      <c r="F195" t="s">
        <v>8852</v>
      </c>
      <c r="G195" s="82">
        <v>38240</v>
      </c>
      <c r="H195" t="s">
        <v>8962</v>
      </c>
      <c r="I195" s="118" t="s">
        <v>8858</v>
      </c>
      <c r="K195" s="5"/>
      <c r="L195" s="5"/>
    </row>
    <row r="196" spans="2:12" ht="14.25" customHeight="1" x14ac:dyDescent="0.3">
      <c r="B196" s="82">
        <v>44906</v>
      </c>
      <c r="C196" s="7" t="s">
        <v>8963</v>
      </c>
      <c r="D196">
        <v>9199929672</v>
      </c>
      <c r="F196" t="s">
        <v>8852</v>
      </c>
      <c r="G196" s="82">
        <v>41908</v>
      </c>
      <c r="H196" t="s">
        <v>8964</v>
      </c>
      <c r="I196" s="118" t="s">
        <v>8858</v>
      </c>
      <c r="K196" s="5"/>
      <c r="L196" s="5"/>
    </row>
    <row r="197" spans="2:12" ht="14.25" customHeight="1" x14ac:dyDescent="0.3">
      <c r="B197" s="82">
        <v>44906</v>
      </c>
      <c r="C197" s="7" t="s">
        <v>8039</v>
      </c>
      <c r="D197">
        <v>9199929672</v>
      </c>
      <c r="F197" t="s">
        <v>8852</v>
      </c>
      <c r="G197" s="82">
        <v>28287</v>
      </c>
      <c r="H197" t="s">
        <v>8964</v>
      </c>
      <c r="I197" s="118" t="s">
        <v>8858</v>
      </c>
      <c r="K197" s="5"/>
      <c r="L197" s="5"/>
    </row>
    <row r="198" spans="2:12" ht="14.25" customHeight="1" x14ac:dyDescent="0.3">
      <c r="B198" s="82">
        <v>44913</v>
      </c>
      <c r="C198" s="7" t="s">
        <v>589</v>
      </c>
      <c r="D198">
        <v>7979718006</v>
      </c>
      <c r="F198" t="s">
        <v>8852</v>
      </c>
      <c r="G198" s="82">
        <v>35115</v>
      </c>
      <c r="H198" t="s">
        <v>8965</v>
      </c>
      <c r="I198" s="120" t="s">
        <v>8948</v>
      </c>
      <c r="K198" s="5"/>
      <c r="L198" s="5"/>
    </row>
    <row r="199" spans="2:12" ht="14.25" customHeight="1" x14ac:dyDescent="0.3">
      <c r="B199" s="82">
        <v>44916</v>
      </c>
      <c r="C199" s="7" t="s">
        <v>7224</v>
      </c>
      <c r="D199">
        <v>7488095011</v>
      </c>
      <c r="F199" t="s">
        <v>8852</v>
      </c>
      <c r="G199" s="82">
        <v>35820</v>
      </c>
      <c r="H199" t="s">
        <v>8966</v>
      </c>
      <c r="I199" s="120" t="s">
        <v>8948</v>
      </c>
      <c r="J199" s="82">
        <v>44932</v>
      </c>
      <c r="K199" s="5"/>
      <c r="L199" s="5"/>
    </row>
    <row r="200" spans="2:12" ht="14.25" customHeight="1" x14ac:dyDescent="0.3">
      <c r="B200" s="82">
        <v>44940</v>
      </c>
      <c r="C200" s="7" t="s">
        <v>8967</v>
      </c>
      <c r="D200">
        <v>9334237402</v>
      </c>
      <c r="F200" t="s">
        <v>8852</v>
      </c>
      <c r="G200" s="82">
        <v>26299</v>
      </c>
      <c r="H200" t="s">
        <v>8966</v>
      </c>
      <c r="I200" s="120" t="s">
        <v>8948</v>
      </c>
      <c r="K200" s="5"/>
      <c r="L200" s="5"/>
    </row>
    <row r="201" spans="2:12" ht="14.25" customHeight="1" x14ac:dyDescent="0.3">
      <c r="B201" s="82">
        <v>44954</v>
      </c>
      <c r="C201" s="7" t="s">
        <v>8968</v>
      </c>
      <c r="D201">
        <v>7061011009</v>
      </c>
      <c r="F201" t="s">
        <v>8749</v>
      </c>
      <c r="H201" t="s">
        <v>8966</v>
      </c>
      <c r="I201" s="120" t="s">
        <v>8948</v>
      </c>
      <c r="K201" s="5"/>
      <c r="L201" s="5"/>
    </row>
    <row r="202" spans="2:12" ht="14.25" customHeight="1" x14ac:dyDescent="0.3">
      <c r="C202" s="7" t="s">
        <v>143</v>
      </c>
      <c r="H202" t="s">
        <v>8965</v>
      </c>
      <c r="I202" s="120" t="s">
        <v>8948</v>
      </c>
      <c r="K202" s="5"/>
      <c r="L202" s="5"/>
    </row>
    <row r="203" spans="2:12" ht="14.25" customHeight="1" x14ac:dyDescent="0.3">
      <c r="C203" s="7" t="s">
        <v>8969</v>
      </c>
      <c r="H203" t="s">
        <v>8966</v>
      </c>
      <c r="I203" s="120" t="s">
        <v>8948</v>
      </c>
      <c r="K203" s="5"/>
      <c r="L203" s="5"/>
    </row>
    <row r="204" spans="2:12" ht="14.25" customHeight="1" x14ac:dyDescent="0.3">
      <c r="C204" s="7" t="s">
        <v>8970</v>
      </c>
      <c r="H204" t="s">
        <v>8965</v>
      </c>
      <c r="I204" s="120" t="s">
        <v>8948</v>
      </c>
      <c r="K204" s="5"/>
      <c r="L204" s="5"/>
    </row>
    <row r="205" spans="2:12" ht="14.25" customHeight="1" x14ac:dyDescent="0.3">
      <c r="C205" s="7" t="s">
        <v>8971</v>
      </c>
      <c r="H205" t="s">
        <v>8964</v>
      </c>
      <c r="I205" s="118" t="s">
        <v>8858</v>
      </c>
      <c r="K205" s="5"/>
      <c r="L205" s="5"/>
    </row>
    <row r="206" spans="2:12" ht="14.25" customHeight="1" x14ac:dyDescent="0.3">
      <c r="B206" s="82">
        <v>44964</v>
      </c>
      <c r="C206" s="7" t="s">
        <v>8972</v>
      </c>
      <c r="D206">
        <v>7004479558</v>
      </c>
      <c r="F206" t="s">
        <v>8852</v>
      </c>
      <c r="H206" t="s">
        <v>8973</v>
      </c>
      <c r="I206" s="120" t="s">
        <v>8948</v>
      </c>
      <c r="K206" s="5"/>
      <c r="L206" s="5"/>
    </row>
    <row r="207" spans="2:12" ht="14.25" customHeight="1" x14ac:dyDescent="0.3">
      <c r="B207" s="82">
        <v>44965</v>
      </c>
      <c r="C207" s="7" t="s">
        <v>8974</v>
      </c>
      <c r="D207">
        <v>7255854088</v>
      </c>
      <c r="F207" t="s">
        <v>8852</v>
      </c>
      <c r="G207" s="82">
        <v>44977</v>
      </c>
      <c r="H207" t="s">
        <v>8975</v>
      </c>
      <c r="I207" s="120" t="s">
        <v>8948</v>
      </c>
      <c r="K207" s="5"/>
      <c r="L207" s="5"/>
    </row>
    <row r="208" spans="2:12" ht="14.25" customHeight="1" x14ac:dyDescent="0.3">
      <c r="B208" s="82">
        <v>44967</v>
      </c>
      <c r="C208" s="7" t="s">
        <v>8976</v>
      </c>
      <c r="D208">
        <v>7979728816</v>
      </c>
      <c r="F208" t="s">
        <v>8852</v>
      </c>
      <c r="G208" s="82">
        <v>44978</v>
      </c>
      <c r="H208" t="s">
        <v>8975</v>
      </c>
      <c r="I208" s="120" t="s">
        <v>8948</v>
      </c>
      <c r="K208" s="5"/>
      <c r="L208" s="5"/>
    </row>
    <row r="209" spans="2:12" ht="14.25" customHeight="1" x14ac:dyDescent="0.3">
      <c r="B209" s="82">
        <v>44972</v>
      </c>
      <c r="C209" s="7" t="s">
        <v>8977</v>
      </c>
      <c r="F209" t="s">
        <v>8852</v>
      </c>
      <c r="G209" s="82"/>
      <c r="H209" t="s">
        <v>8975</v>
      </c>
      <c r="I209" s="120" t="s">
        <v>8948</v>
      </c>
      <c r="J209" t="s">
        <v>8978</v>
      </c>
      <c r="K209" s="5"/>
      <c r="L209" s="5"/>
    </row>
    <row r="210" spans="2:12" ht="14.25" customHeight="1" x14ac:dyDescent="0.3">
      <c r="B210" s="82">
        <v>44979</v>
      </c>
      <c r="C210" s="7" t="s">
        <v>8979</v>
      </c>
      <c r="D210">
        <v>7260031160</v>
      </c>
      <c r="F210" t="s">
        <v>8852</v>
      </c>
      <c r="G210" s="82">
        <v>44991</v>
      </c>
      <c r="H210" t="s">
        <v>8973</v>
      </c>
      <c r="I210" s="120" t="s">
        <v>8948</v>
      </c>
      <c r="J210" t="s">
        <v>7042</v>
      </c>
      <c r="K210" s="5"/>
      <c r="L210" s="5"/>
    </row>
    <row r="211" spans="2:12" ht="14.25" customHeight="1" x14ac:dyDescent="0.3">
      <c r="B211" s="82">
        <v>44980</v>
      </c>
      <c r="C211" s="7" t="s">
        <v>8980</v>
      </c>
      <c r="D211">
        <v>9431393604</v>
      </c>
      <c r="F211" t="s">
        <v>8852</v>
      </c>
      <c r="G211" s="82">
        <v>44991</v>
      </c>
      <c r="H211" t="s">
        <v>8973</v>
      </c>
      <c r="I211" s="120" t="s">
        <v>8948</v>
      </c>
      <c r="K211" s="5"/>
      <c r="L211" s="5"/>
    </row>
    <row r="212" spans="2:12" ht="14.25" customHeight="1" x14ac:dyDescent="0.3">
      <c r="B212" s="82">
        <v>44981</v>
      </c>
      <c r="C212" s="7" t="s">
        <v>8981</v>
      </c>
      <c r="D212">
        <v>9431393604</v>
      </c>
      <c r="F212" t="s">
        <v>8852</v>
      </c>
      <c r="G212" s="82">
        <v>44991</v>
      </c>
      <c r="H212" t="s">
        <v>8973</v>
      </c>
      <c r="I212" s="120" t="s">
        <v>8948</v>
      </c>
      <c r="K212" s="5"/>
      <c r="L212" s="5"/>
    </row>
    <row r="213" spans="2:12" ht="14.25" customHeight="1" x14ac:dyDescent="0.3">
      <c r="B213" s="82">
        <v>44982</v>
      </c>
      <c r="C213" s="7" t="s">
        <v>8982</v>
      </c>
      <c r="D213">
        <v>9431393604</v>
      </c>
      <c r="F213" t="s">
        <v>8852</v>
      </c>
      <c r="G213" s="82">
        <v>44991</v>
      </c>
      <c r="H213" t="s">
        <v>8973</v>
      </c>
      <c r="I213" s="120" t="s">
        <v>8948</v>
      </c>
      <c r="K213" s="5"/>
      <c r="L213" s="5"/>
    </row>
    <row r="214" spans="2:12" ht="14.25" customHeight="1" x14ac:dyDescent="0.3">
      <c r="B214" s="82">
        <v>44982</v>
      </c>
      <c r="C214" s="7" t="s">
        <v>8983</v>
      </c>
      <c r="D214">
        <v>9431393604</v>
      </c>
      <c r="F214" t="s">
        <v>8852</v>
      </c>
      <c r="I214" s="120" t="s">
        <v>8948</v>
      </c>
      <c r="K214" s="5"/>
      <c r="L214" s="5"/>
    </row>
    <row r="215" spans="2:12" ht="14.25" customHeight="1" x14ac:dyDescent="0.3">
      <c r="B215" s="82">
        <v>44958</v>
      </c>
      <c r="C215" s="7" t="s">
        <v>8984</v>
      </c>
      <c r="D215">
        <v>8252329213</v>
      </c>
      <c r="F215" t="s">
        <v>8852</v>
      </c>
      <c r="G215" s="82">
        <v>44999</v>
      </c>
      <c r="H215" t="s">
        <v>8985</v>
      </c>
      <c r="I215" s="120" t="s">
        <v>8948</v>
      </c>
      <c r="K215" s="5"/>
      <c r="L215" s="5"/>
    </row>
    <row r="216" spans="2:12" ht="14.25" customHeight="1" x14ac:dyDescent="0.3">
      <c r="C216" s="7" t="s">
        <v>8986</v>
      </c>
      <c r="D216">
        <v>7319799147</v>
      </c>
      <c r="H216" s="301" t="s">
        <v>8987</v>
      </c>
    </row>
    <row r="217" spans="2:12" ht="14.25" customHeight="1" x14ac:dyDescent="0.3">
      <c r="C217" s="7" t="s">
        <v>8988</v>
      </c>
      <c r="D217">
        <v>9304470189</v>
      </c>
      <c r="H217" s="301" t="s">
        <v>8987</v>
      </c>
      <c r="I217" s="120" t="s">
        <v>8948</v>
      </c>
      <c r="K217" s="5"/>
      <c r="L217" s="5"/>
    </row>
    <row r="218" spans="2:12" ht="14.25" customHeight="1" x14ac:dyDescent="0.3">
      <c r="B218" s="82">
        <v>45003</v>
      </c>
      <c r="C218" s="7" t="s">
        <v>8989</v>
      </c>
      <c r="D218">
        <v>9703654662</v>
      </c>
      <c r="F218" t="s">
        <v>8830</v>
      </c>
      <c r="H218" t="s">
        <v>8990</v>
      </c>
      <c r="I218" s="120" t="s">
        <v>8948</v>
      </c>
      <c r="K218" s="5"/>
      <c r="L218" s="5"/>
    </row>
    <row r="219" spans="2:12" ht="14.25" customHeight="1" x14ac:dyDescent="0.3">
      <c r="B219" s="82">
        <v>45003</v>
      </c>
      <c r="C219" s="7" t="s">
        <v>8991</v>
      </c>
      <c r="D219">
        <v>9703654662</v>
      </c>
      <c r="F219" t="s">
        <v>8830</v>
      </c>
      <c r="H219" t="s">
        <v>8990</v>
      </c>
      <c r="I219" s="120" t="s">
        <v>8948</v>
      </c>
      <c r="K219" s="5"/>
      <c r="L219" s="5"/>
    </row>
    <row r="220" spans="2:12" ht="14.25" customHeight="1" x14ac:dyDescent="0.3">
      <c r="B220" s="82">
        <v>45010</v>
      </c>
      <c r="C220" s="7" t="s">
        <v>7457</v>
      </c>
      <c r="D220">
        <v>7739990511</v>
      </c>
      <c r="F220" t="s">
        <v>8992</v>
      </c>
      <c r="G220" s="82">
        <v>35998</v>
      </c>
      <c r="H220" t="s">
        <v>8993</v>
      </c>
      <c r="I220" s="120" t="s">
        <v>8948</v>
      </c>
      <c r="K220" s="5"/>
      <c r="L220" s="5"/>
    </row>
    <row r="221" spans="2:12" ht="14.25" customHeight="1" x14ac:dyDescent="0.3">
      <c r="C221" s="7" t="s">
        <v>8920</v>
      </c>
      <c r="H221" t="s">
        <v>8993</v>
      </c>
      <c r="I221" s="120" t="s">
        <v>8948</v>
      </c>
      <c r="K221" s="5"/>
      <c r="L221" s="5"/>
    </row>
    <row r="222" spans="2:12" ht="14.25" customHeight="1" x14ac:dyDescent="0.3">
      <c r="B222" s="82">
        <v>45023</v>
      </c>
      <c r="C222" s="7" t="s">
        <v>8994</v>
      </c>
      <c r="D222">
        <v>9771243020</v>
      </c>
      <c r="E222" s="82">
        <v>45043</v>
      </c>
      <c r="F222" t="s">
        <v>8852</v>
      </c>
      <c r="G222" s="82">
        <v>36644</v>
      </c>
      <c r="H222" t="s">
        <v>8995</v>
      </c>
      <c r="I222" s="120" t="s">
        <v>8948</v>
      </c>
      <c r="K222" s="5"/>
      <c r="L222" s="5"/>
    </row>
    <row r="223" spans="2:12" ht="14.25" customHeight="1" x14ac:dyDescent="0.3">
      <c r="B223" s="82">
        <v>45023</v>
      </c>
      <c r="C223" s="7" t="s">
        <v>4127</v>
      </c>
      <c r="D223">
        <v>9525264346</v>
      </c>
      <c r="E223" s="82">
        <v>45043</v>
      </c>
      <c r="F223" t="s">
        <v>8852</v>
      </c>
      <c r="G223" s="82">
        <v>37407</v>
      </c>
      <c r="H223" t="s">
        <v>8995</v>
      </c>
      <c r="I223" s="120" t="s">
        <v>8948</v>
      </c>
      <c r="K223" s="5"/>
      <c r="L223" s="5"/>
    </row>
    <row r="224" spans="2:12" ht="14.25" customHeight="1" x14ac:dyDescent="0.3">
      <c r="B224" s="82">
        <v>45023</v>
      </c>
      <c r="C224" s="7" t="s">
        <v>8996</v>
      </c>
      <c r="D224">
        <v>8873176695</v>
      </c>
      <c r="E224" s="82">
        <v>45043</v>
      </c>
      <c r="F224" t="s">
        <v>8852</v>
      </c>
      <c r="G224" s="82">
        <v>36402</v>
      </c>
      <c r="H224" t="s">
        <v>8995</v>
      </c>
      <c r="I224" s="120" t="s">
        <v>8948</v>
      </c>
      <c r="K224" s="5"/>
      <c r="L224" s="5"/>
    </row>
    <row r="225" spans="2:12" ht="14.25" customHeight="1" x14ac:dyDescent="0.3">
      <c r="B225" s="82">
        <v>45045</v>
      </c>
      <c r="C225" s="7" t="s">
        <v>8791</v>
      </c>
      <c r="D225">
        <v>9931018604</v>
      </c>
      <c r="F225" t="s">
        <v>8677</v>
      </c>
      <c r="H225" t="s">
        <v>8995</v>
      </c>
      <c r="I225" s="120" t="s">
        <v>8948</v>
      </c>
      <c r="K225" s="5"/>
      <c r="L225" s="5"/>
    </row>
    <row r="226" spans="2:12" ht="14.25" customHeight="1" x14ac:dyDescent="0.3">
      <c r="B226" s="82">
        <v>45049</v>
      </c>
      <c r="C226" s="7" t="s">
        <v>8997</v>
      </c>
      <c r="D226">
        <v>8092876772</v>
      </c>
      <c r="G226" s="82">
        <v>37708</v>
      </c>
      <c r="H226" s="301" t="s">
        <v>8987</v>
      </c>
      <c r="I226" s="120" t="s">
        <v>8948</v>
      </c>
      <c r="K226" s="5"/>
      <c r="L226" s="5"/>
    </row>
    <row r="227" spans="2:12" ht="14.25" customHeight="1" x14ac:dyDescent="0.3">
      <c r="B227" s="82">
        <v>45050</v>
      </c>
      <c r="C227" s="7" t="s">
        <v>8998</v>
      </c>
      <c r="D227">
        <v>9006918962</v>
      </c>
      <c r="G227" s="82">
        <v>45064</v>
      </c>
      <c r="H227" s="301" t="s">
        <v>8987</v>
      </c>
      <c r="I227" s="120" t="s">
        <v>8948</v>
      </c>
      <c r="K227" s="5"/>
      <c r="L227" s="5"/>
    </row>
    <row r="228" spans="2:12" ht="14.25" customHeight="1" x14ac:dyDescent="0.3">
      <c r="B228" s="82">
        <v>45066</v>
      </c>
      <c r="C228" s="7" t="s">
        <v>8999</v>
      </c>
      <c r="D228">
        <v>7764982535</v>
      </c>
      <c r="G228" s="82">
        <v>38068</v>
      </c>
      <c r="H228" s="301" t="s">
        <v>9000</v>
      </c>
      <c r="I228" s="107" t="s">
        <v>9001</v>
      </c>
      <c r="K228" s="5"/>
      <c r="L228" s="5"/>
    </row>
    <row r="229" spans="2:12" ht="14.25" customHeight="1" x14ac:dyDescent="0.3">
      <c r="B229" s="82">
        <v>45068</v>
      </c>
      <c r="C229" s="7" t="s">
        <v>9002</v>
      </c>
      <c r="D229">
        <v>9931567350</v>
      </c>
      <c r="H229" s="301" t="s">
        <v>9000</v>
      </c>
      <c r="I229" s="107" t="s">
        <v>9001</v>
      </c>
      <c r="K229" s="5"/>
      <c r="L229" s="5"/>
    </row>
    <row r="230" spans="2:12" ht="14.25" customHeight="1" x14ac:dyDescent="0.3">
      <c r="B230" s="82">
        <v>45068</v>
      </c>
      <c r="C230" s="7" t="s">
        <v>9003</v>
      </c>
      <c r="D230">
        <v>9523484066</v>
      </c>
      <c r="E230" s="82">
        <v>45085</v>
      </c>
      <c r="F230" t="s">
        <v>8767</v>
      </c>
      <c r="G230" s="82">
        <v>37097</v>
      </c>
      <c r="H230" s="301" t="s">
        <v>9000</v>
      </c>
      <c r="I230" s="107" t="s">
        <v>9001</v>
      </c>
      <c r="K230" s="5"/>
      <c r="L230" s="5"/>
    </row>
    <row r="231" spans="2:12" ht="14.25" customHeight="1" x14ac:dyDescent="0.3">
      <c r="B231" s="82">
        <v>45075</v>
      </c>
      <c r="C231" s="7" t="s">
        <v>9004</v>
      </c>
      <c r="D231">
        <v>7250550087</v>
      </c>
      <c r="F231" t="s">
        <v>8749</v>
      </c>
      <c r="G231" s="82">
        <v>27784</v>
      </c>
      <c r="H231" s="301" t="s">
        <v>9000</v>
      </c>
      <c r="I231" s="107" t="s">
        <v>9001</v>
      </c>
      <c r="K231" s="5"/>
      <c r="L231" s="5"/>
    </row>
    <row r="232" spans="2:12" ht="14.25" customHeight="1" x14ac:dyDescent="0.3">
      <c r="B232" s="82">
        <v>45077</v>
      </c>
      <c r="C232" s="7" t="s">
        <v>9005</v>
      </c>
      <c r="D232">
        <v>9955197437</v>
      </c>
      <c r="G232" s="82">
        <v>24473</v>
      </c>
      <c r="H232" s="301" t="s">
        <v>9000</v>
      </c>
      <c r="I232" s="107" t="s">
        <v>9001</v>
      </c>
      <c r="K232" s="5"/>
      <c r="L232" s="5"/>
    </row>
    <row r="233" spans="2:12" ht="14.25" customHeight="1" x14ac:dyDescent="0.3">
      <c r="B233" s="82">
        <v>45083</v>
      </c>
      <c r="C233" s="7" t="s">
        <v>9006</v>
      </c>
      <c r="D233">
        <v>7209165658</v>
      </c>
      <c r="G233" s="82">
        <v>37738</v>
      </c>
      <c r="H233" s="301" t="s">
        <v>9007</v>
      </c>
      <c r="I233" s="107" t="s">
        <v>9001</v>
      </c>
      <c r="K233" s="5"/>
      <c r="L233" s="5"/>
    </row>
    <row r="234" spans="2:12" ht="14.25" customHeight="1" x14ac:dyDescent="0.3">
      <c r="B234" s="82">
        <v>45083</v>
      </c>
      <c r="C234" s="7" t="s">
        <v>9008</v>
      </c>
      <c r="D234">
        <v>9835373078</v>
      </c>
      <c r="G234" t="s">
        <v>9009</v>
      </c>
      <c r="H234" s="301" t="s">
        <v>9007</v>
      </c>
      <c r="I234" s="107" t="s">
        <v>9001</v>
      </c>
      <c r="K234" s="5"/>
      <c r="L234" s="5"/>
    </row>
    <row r="235" spans="2:12" ht="14.25" customHeight="1" x14ac:dyDescent="0.3">
      <c r="B235" s="82">
        <v>45083</v>
      </c>
      <c r="C235" s="7" t="s">
        <v>9010</v>
      </c>
      <c r="D235">
        <v>8797123078</v>
      </c>
      <c r="G235" s="82">
        <v>27176</v>
      </c>
      <c r="H235" s="301" t="s">
        <v>9007</v>
      </c>
      <c r="I235" s="107" t="s">
        <v>9001</v>
      </c>
      <c r="K235" s="5"/>
      <c r="L235" s="5"/>
    </row>
    <row r="236" spans="2:12" ht="14.25" customHeight="1" x14ac:dyDescent="0.3">
      <c r="B236" s="82">
        <v>45083</v>
      </c>
      <c r="H236" s="301" t="s">
        <v>9007</v>
      </c>
      <c r="I236" s="107" t="s">
        <v>9001</v>
      </c>
      <c r="K236" s="5"/>
      <c r="L236" s="5"/>
    </row>
    <row r="237" spans="2:12" ht="14.25" customHeight="1" x14ac:dyDescent="0.3">
      <c r="B237" s="82">
        <v>45083</v>
      </c>
      <c r="H237" s="301" t="s">
        <v>9007</v>
      </c>
      <c r="I237" s="107" t="s">
        <v>9001</v>
      </c>
      <c r="K237" s="5"/>
      <c r="L237" s="5"/>
    </row>
    <row r="238" spans="2:12" ht="14.25" customHeight="1" x14ac:dyDescent="0.3">
      <c r="B238" s="82">
        <v>45083</v>
      </c>
      <c r="C238" t="s">
        <v>9011</v>
      </c>
      <c r="F238" t="s">
        <v>8881</v>
      </c>
      <c r="G238" s="82">
        <v>35739</v>
      </c>
      <c r="H238" s="301" t="s">
        <v>9012</v>
      </c>
      <c r="I238" s="107" t="s">
        <v>9001</v>
      </c>
      <c r="K238" s="5"/>
      <c r="L238" s="5"/>
    </row>
    <row r="239" spans="2:12" ht="14.25" customHeight="1" x14ac:dyDescent="0.3">
      <c r="B239" s="82">
        <v>45085</v>
      </c>
      <c r="C239" t="s">
        <v>9013</v>
      </c>
      <c r="G239" s="82">
        <v>29562</v>
      </c>
      <c r="H239" s="301" t="s">
        <v>9012</v>
      </c>
      <c r="I239" s="107" t="s">
        <v>9001</v>
      </c>
      <c r="K239" s="5"/>
      <c r="L239" s="5"/>
    </row>
    <row r="240" spans="2:12" ht="14.25" customHeight="1" x14ac:dyDescent="0.3">
      <c r="B240" s="82">
        <v>45088</v>
      </c>
      <c r="C240" t="s">
        <v>301</v>
      </c>
      <c r="D240">
        <v>9031056405</v>
      </c>
      <c r="G240" s="82">
        <v>37015</v>
      </c>
      <c r="H240" s="301" t="s">
        <v>9014</v>
      </c>
      <c r="I240" s="107" t="s">
        <v>9001</v>
      </c>
      <c r="J240" t="s">
        <v>8978</v>
      </c>
      <c r="K240" s="5"/>
      <c r="L240" s="5"/>
    </row>
    <row r="241" spans="2:12" ht="14.25" customHeight="1" x14ac:dyDescent="0.3">
      <c r="B241" s="82">
        <v>45088</v>
      </c>
      <c r="C241" t="s">
        <v>9015</v>
      </c>
      <c r="D241">
        <v>9031056405</v>
      </c>
      <c r="H241" s="301" t="s">
        <v>9014</v>
      </c>
      <c r="I241" s="107" t="s">
        <v>9001</v>
      </c>
      <c r="J241" t="s">
        <v>8978</v>
      </c>
      <c r="K241" s="5"/>
      <c r="L241" s="5"/>
    </row>
    <row r="242" spans="2:12" ht="14.25" customHeight="1" x14ac:dyDescent="0.3">
      <c r="B242" s="82">
        <v>45088</v>
      </c>
      <c r="C242" t="s">
        <v>7858</v>
      </c>
      <c r="D242">
        <v>7542926214</v>
      </c>
      <c r="E242" s="82">
        <v>45103</v>
      </c>
      <c r="G242" s="82">
        <v>32175</v>
      </c>
      <c r="H242" s="301" t="s">
        <v>9016</v>
      </c>
      <c r="I242" s="107" t="s">
        <v>9001</v>
      </c>
      <c r="K242" s="5"/>
      <c r="L242" s="5"/>
    </row>
    <row r="243" spans="2:12" ht="14.25" customHeight="1" x14ac:dyDescent="0.3">
      <c r="B243" s="82">
        <v>45088</v>
      </c>
      <c r="C243" t="s">
        <v>9017</v>
      </c>
      <c r="D243">
        <v>7542926214</v>
      </c>
      <c r="E243" s="82">
        <v>45103</v>
      </c>
      <c r="G243" s="82">
        <v>42718</v>
      </c>
      <c r="H243" s="301" t="s">
        <v>9016</v>
      </c>
      <c r="I243" s="107" t="s">
        <v>9001</v>
      </c>
      <c r="K243" s="5"/>
      <c r="L243" s="5"/>
    </row>
    <row r="244" spans="2:12" ht="14.25" customHeight="1" x14ac:dyDescent="0.3">
      <c r="B244" s="82">
        <v>45088</v>
      </c>
      <c r="C244" t="s">
        <v>9018</v>
      </c>
      <c r="D244">
        <v>7542926214</v>
      </c>
      <c r="E244" s="82">
        <v>45103</v>
      </c>
      <c r="H244" s="301" t="s">
        <v>9016</v>
      </c>
      <c r="I244" s="107" t="s">
        <v>9001</v>
      </c>
      <c r="K244" s="5"/>
      <c r="L244" s="5"/>
    </row>
    <row r="245" spans="2:12" ht="14.25" customHeight="1" x14ac:dyDescent="0.3">
      <c r="B245" s="82">
        <v>45088</v>
      </c>
      <c r="C245" t="s">
        <v>9019</v>
      </c>
      <c r="D245">
        <v>7542926214</v>
      </c>
      <c r="E245" s="82">
        <v>45103</v>
      </c>
      <c r="G245" s="82">
        <v>43160</v>
      </c>
      <c r="H245" s="301" t="s">
        <v>9016</v>
      </c>
      <c r="I245" s="107" t="s">
        <v>9001</v>
      </c>
      <c r="K245" s="5"/>
      <c r="L245" s="5"/>
    </row>
    <row r="246" spans="2:12" ht="14.25" customHeight="1" x14ac:dyDescent="0.3">
      <c r="B246" s="82">
        <v>45097</v>
      </c>
      <c r="C246" t="s">
        <v>9020</v>
      </c>
      <c r="D246">
        <v>7542926214</v>
      </c>
      <c r="E246" s="82">
        <v>45112</v>
      </c>
      <c r="G246" s="82">
        <v>39676</v>
      </c>
      <c r="H246" s="301" t="s">
        <v>9014</v>
      </c>
      <c r="I246" s="122" t="s">
        <v>8948</v>
      </c>
      <c r="K246" s="5"/>
      <c r="L246" s="5"/>
    </row>
    <row r="247" spans="2:12" ht="14.25" customHeight="1" x14ac:dyDescent="0.3">
      <c r="B247" s="82">
        <v>45105</v>
      </c>
      <c r="E247" s="82">
        <v>45108</v>
      </c>
      <c r="H247" s="301" t="s">
        <v>9014</v>
      </c>
      <c r="I247" s="122" t="s">
        <v>8948</v>
      </c>
      <c r="K247" s="5"/>
      <c r="L247" s="5"/>
    </row>
    <row r="248" spans="2:12" ht="14.25" customHeight="1" x14ac:dyDescent="0.3">
      <c r="B248" s="82">
        <v>45109</v>
      </c>
      <c r="C248" t="s">
        <v>9021</v>
      </c>
      <c r="D248">
        <v>7091311830</v>
      </c>
      <c r="E248" s="82">
        <v>45121</v>
      </c>
      <c r="G248" s="82">
        <v>29253</v>
      </c>
      <c r="H248" s="301" t="s">
        <v>9014</v>
      </c>
      <c r="I248" s="122" t="s">
        <v>8948</v>
      </c>
      <c r="K248" s="5"/>
      <c r="L248" s="5"/>
    </row>
    <row r="249" spans="2:12" ht="14.25" customHeight="1" x14ac:dyDescent="0.3">
      <c r="B249" s="82">
        <v>45125</v>
      </c>
      <c r="C249" t="s">
        <v>9022</v>
      </c>
      <c r="D249">
        <v>9576679775</v>
      </c>
      <c r="E249" s="82">
        <v>45135</v>
      </c>
      <c r="G249" s="82">
        <v>22901</v>
      </c>
      <c r="H249" s="301" t="s">
        <v>9023</v>
      </c>
      <c r="I249" s="107" t="s">
        <v>8948</v>
      </c>
      <c r="K249" s="5"/>
      <c r="L249" s="5"/>
    </row>
    <row r="250" spans="2:12" ht="14.25" customHeight="1" x14ac:dyDescent="0.3">
      <c r="B250" s="82">
        <v>45125</v>
      </c>
      <c r="C250" t="s">
        <v>9024</v>
      </c>
      <c r="D250">
        <v>7209275851</v>
      </c>
      <c r="E250" s="82">
        <v>45135</v>
      </c>
      <c r="G250" s="82">
        <v>27030</v>
      </c>
      <c r="H250" s="301" t="s">
        <v>9023</v>
      </c>
      <c r="I250" s="107" t="s">
        <v>8948</v>
      </c>
      <c r="K250" s="5"/>
      <c r="L250" s="5"/>
    </row>
    <row r="251" spans="2:12" ht="14.25" customHeight="1" x14ac:dyDescent="0.3">
      <c r="B251" s="82">
        <v>45125</v>
      </c>
      <c r="C251" t="s">
        <v>9025</v>
      </c>
      <c r="D251">
        <v>9576679775</v>
      </c>
      <c r="E251" s="82">
        <v>45135</v>
      </c>
      <c r="G251" s="82">
        <v>27395</v>
      </c>
      <c r="H251" s="301" t="s">
        <v>9023</v>
      </c>
      <c r="I251" s="107" t="s">
        <v>8948</v>
      </c>
      <c r="K251" s="5"/>
      <c r="L251" s="5"/>
    </row>
    <row r="252" spans="2:12" ht="14.25" customHeight="1" x14ac:dyDescent="0.3">
      <c r="B252" s="82">
        <v>45125</v>
      </c>
      <c r="C252" t="s">
        <v>9026</v>
      </c>
      <c r="D252">
        <v>7209275851</v>
      </c>
      <c r="E252" s="82">
        <v>45135</v>
      </c>
      <c r="G252" s="82">
        <v>23625</v>
      </c>
      <c r="H252" s="301" t="s">
        <v>9023</v>
      </c>
      <c r="I252" s="107" t="s">
        <v>8948</v>
      </c>
      <c r="K252" s="5"/>
      <c r="L252" s="5"/>
    </row>
    <row r="253" spans="2:12" ht="14.25" customHeight="1" x14ac:dyDescent="0.3">
      <c r="B253" s="108">
        <v>45136</v>
      </c>
      <c r="C253" s="98" t="s">
        <v>9027</v>
      </c>
      <c r="D253" s="98">
        <v>9142269192</v>
      </c>
      <c r="E253" s="98" t="s">
        <v>8892</v>
      </c>
      <c r="F253" s="98">
        <v>200</v>
      </c>
      <c r="G253" s="108">
        <v>37242</v>
      </c>
      <c r="H253" s="98" t="s">
        <v>9028</v>
      </c>
      <c r="I253" s="146" t="s">
        <v>8948</v>
      </c>
      <c r="K253" s="5"/>
      <c r="L253" s="5"/>
    </row>
    <row r="254" spans="2:12" ht="14.25" customHeight="1" x14ac:dyDescent="0.3">
      <c r="C254" s="301" t="s">
        <v>9029</v>
      </c>
      <c r="H254" s="301" t="s">
        <v>9030</v>
      </c>
      <c r="I254" s="118" t="s">
        <v>9001</v>
      </c>
      <c r="K254" s="5"/>
      <c r="L254" s="5"/>
    </row>
    <row r="255" spans="2:12" ht="14.25" customHeight="1" x14ac:dyDescent="0.3">
      <c r="B255" s="82">
        <v>45139</v>
      </c>
      <c r="C255" s="301" t="s">
        <v>9031</v>
      </c>
      <c r="D255">
        <v>8102549019</v>
      </c>
      <c r="E255" s="82">
        <v>45147</v>
      </c>
      <c r="G255" s="82">
        <v>36211</v>
      </c>
      <c r="H255" s="301" t="s">
        <v>9030</v>
      </c>
      <c r="I255" s="118" t="s">
        <v>9001</v>
      </c>
      <c r="K255" s="5"/>
      <c r="L255" s="5"/>
    </row>
    <row r="256" spans="2:12" ht="14.25" customHeight="1" x14ac:dyDescent="0.3">
      <c r="B256" s="82">
        <v>45139</v>
      </c>
      <c r="C256" s="301" t="s">
        <v>9032</v>
      </c>
      <c r="D256">
        <v>8804096244</v>
      </c>
      <c r="E256" s="82">
        <v>45147</v>
      </c>
      <c r="G256" s="82">
        <v>36124</v>
      </c>
      <c r="H256" s="301" t="s">
        <v>9030</v>
      </c>
      <c r="I256" s="118" t="s">
        <v>9001</v>
      </c>
      <c r="K256" s="5"/>
      <c r="L256" s="5"/>
    </row>
    <row r="257" spans="2:12" ht="14.25" customHeight="1" x14ac:dyDescent="0.3">
      <c r="B257" s="82">
        <v>45146</v>
      </c>
      <c r="C257" s="301" t="s">
        <v>8495</v>
      </c>
      <c r="D257">
        <v>9279241882</v>
      </c>
      <c r="E257" s="82">
        <v>45154</v>
      </c>
      <c r="F257" t="s">
        <v>8852</v>
      </c>
      <c r="G257" s="82">
        <v>20876</v>
      </c>
      <c r="H257" s="301" t="s">
        <v>9033</v>
      </c>
      <c r="I257" s="118" t="s">
        <v>8948</v>
      </c>
      <c r="K257" s="5"/>
      <c r="L257" s="5"/>
    </row>
    <row r="258" spans="2:12" ht="14.25" customHeight="1" x14ac:dyDescent="0.3">
      <c r="B258" s="82">
        <v>45166</v>
      </c>
      <c r="C258" s="301" t="s">
        <v>9034</v>
      </c>
      <c r="D258">
        <v>8757864446</v>
      </c>
      <c r="E258" s="82">
        <v>45166</v>
      </c>
      <c r="F258" t="s">
        <v>8677</v>
      </c>
      <c r="G258" s="82">
        <v>31405</v>
      </c>
      <c r="H258" s="301" t="s">
        <v>9033</v>
      </c>
      <c r="I258" s="118" t="s">
        <v>8948</v>
      </c>
      <c r="K258" s="5"/>
      <c r="L258" s="5"/>
    </row>
    <row r="259" spans="2:12" ht="14.25" customHeight="1" x14ac:dyDescent="0.3">
      <c r="B259" s="82">
        <v>45187</v>
      </c>
      <c r="C259" s="301" t="s">
        <v>9035</v>
      </c>
      <c r="D259">
        <v>8271312110</v>
      </c>
      <c r="G259" s="82">
        <v>30168</v>
      </c>
      <c r="H259" s="107" t="s">
        <v>9036</v>
      </c>
      <c r="I259" s="118" t="s">
        <v>8948</v>
      </c>
      <c r="K259" s="5"/>
      <c r="L259" s="5"/>
    </row>
    <row r="260" spans="2:12" ht="14.25" customHeight="1" x14ac:dyDescent="0.3">
      <c r="B260" s="82">
        <v>45188</v>
      </c>
      <c r="C260" s="301" t="s">
        <v>9037</v>
      </c>
      <c r="D260">
        <v>8271312110</v>
      </c>
      <c r="G260" s="82">
        <v>25213</v>
      </c>
      <c r="H260" s="301" t="s">
        <v>9038</v>
      </c>
      <c r="I260" s="118" t="s">
        <v>8948</v>
      </c>
      <c r="K260" s="5"/>
      <c r="L260" s="5"/>
    </row>
    <row r="261" spans="2:12" ht="14.25" customHeight="1" x14ac:dyDescent="0.3">
      <c r="B261" s="82">
        <v>45188</v>
      </c>
      <c r="C261" s="301" t="s">
        <v>9035</v>
      </c>
      <c r="H261" s="301" t="s">
        <v>9038</v>
      </c>
      <c r="I261" s="118" t="s">
        <v>8948</v>
      </c>
      <c r="K261" s="5"/>
      <c r="L261" s="5"/>
    </row>
    <row r="262" spans="2:12" ht="14.25" customHeight="1" x14ac:dyDescent="0.3">
      <c r="C262" s="301" t="s">
        <v>9039</v>
      </c>
      <c r="D262">
        <v>7903591993</v>
      </c>
      <c r="G262" s="82">
        <v>26317</v>
      </c>
      <c r="H262" s="301" t="s">
        <v>9040</v>
      </c>
      <c r="I262" s="118" t="s">
        <v>8948</v>
      </c>
      <c r="K262" s="5"/>
      <c r="L262" s="5"/>
    </row>
    <row r="263" spans="2:12" ht="14.25" customHeight="1" x14ac:dyDescent="0.3">
      <c r="C263" s="301" t="s">
        <v>9041</v>
      </c>
      <c r="G263" s="82">
        <v>28286</v>
      </c>
      <c r="H263" s="301" t="s">
        <v>9040</v>
      </c>
      <c r="I263" s="118" t="s">
        <v>8948</v>
      </c>
      <c r="K263" s="5"/>
      <c r="L263" s="5"/>
    </row>
    <row r="264" spans="2:12" ht="14.25" customHeight="1" x14ac:dyDescent="0.3">
      <c r="C264" s="301" t="s">
        <v>8976</v>
      </c>
      <c r="D264">
        <v>7979728816</v>
      </c>
      <c r="F264" t="s">
        <v>9042</v>
      </c>
      <c r="G264" s="82">
        <v>33195</v>
      </c>
      <c r="H264" s="301" t="s">
        <v>9043</v>
      </c>
      <c r="I264" s="118" t="s">
        <v>8948</v>
      </c>
      <c r="J264" s="301"/>
      <c r="K264" s="5"/>
      <c r="L264" s="5"/>
    </row>
    <row r="265" spans="2:12" ht="14.25" customHeight="1" x14ac:dyDescent="0.3">
      <c r="B265" s="82">
        <v>45215</v>
      </c>
      <c r="C265" s="301" t="s">
        <v>9044</v>
      </c>
      <c r="D265">
        <v>9297699926</v>
      </c>
      <c r="G265" s="82">
        <v>45121</v>
      </c>
      <c r="H265" s="301" t="s">
        <v>8945</v>
      </c>
      <c r="K265" s="5"/>
      <c r="L265" s="5"/>
    </row>
    <row r="266" spans="2:12" ht="14.25" customHeight="1" x14ac:dyDescent="0.3">
      <c r="B266" s="82">
        <v>45217</v>
      </c>
      <c r="C266" s="301" t="s">
        <v>7900</v>
      </c>
      <c r="D266">
        <v>9608686379</v>
      </c>
      <c r="E266" s="82">
        <v>45226</v>
      </c>
      <c r="F266" s="301" t="s">
        <v>9045</v>
      </c>
      <c r="G266" s="82">
        <v>33874</v>
      </c>
      <c r="H266" s="301" t="s">
        <v>9043</v>
      </c>
      <c r="I266" s="118" t="s">
        <v>8948</v>
      </c>
      <c r="K266" s="5"/>
      <c r="L266" s="5"/>
    </row>
    <row r="267" spans="2:12" ht="14.25" customHeight="1" x14ac:dyDescent="0.3">
      <c r="B267" s="82">
        <v>45231</v>
      </c>
      <c r="C267" s="301" t="s">
        <v>9046</v>
      </c>
      <c r="G267" s="82">
        <v>33199</v>
      </c>
      <c r="H267" s="301" t="s">
        <v>9047</v>
      </c>
      <c r="I267" s="118" t="s">
        <v>9048</v>
      </c>
      <c r="K267" s="5"/>
      <c r="L267" s="5"/>
    </row>
    <row r="268" spans="2:12" ht="14.25" customHeight="1" x14ac:dyDescent="0.3">
      <c r="B268" s="82">
        <v>45247</v>
      </c>
      <c r="C268" s="301" t="s">
        <v>9049</v>
      </c>
      <c r="D268">
        <v>7488981006</v>
      </c>
      <c r="G268" s="82">
        <v>36508</v>
      </c>
      <c r="H268" s="301" t="s">
        <v>9043</v>
      </c>
      <c r="I268" s="118" t="s">
        <v>8948</v>
      </c>
      <c r="K268" s="5"/>
      <c r="L268" s="5"/>
    </row>
    <row r="269" spans="2:12" ht="14.25" customHeight="1" x14ac:dyDescent="0.3">
      <c r="K269" s="5"/>
      <c r="L269" s="5"/>
    </row>
    <row r="270" spans="2:12" ht="14.25" customHeight="1" x14ac:dyDescent="0.3">
      <c r="B270" s="82">
        <v>45253</v>
      </c>
      <c r="C270" s="301" t="s">
        <v>9050</v>
      </c>
      <c r="H270" s="301" t="s">
        <v>9051</v>
      </c>
      <c r="I270" s="118" t="s">
        <v>8948</v>
      </c>
      <c r="K270" s="5"/>
      <c r="L270" s="5"/>
    </row>
    <row r="271" spans="2:12" ht="14.25" customHeight="1" x14ac:dyDescent="0.3">
      <c r="B271" s="82">
        <v>45269</v>
      </c>
      <c r="C271" s="301" t="s">
        <v>9052</v>
      </c>
      <c r="D271">
        <v>8917380947</v>
      </c>
      <c r="H271" s="301" t="s">
        <v>8945</v>
      </c>
      <c r="K271" s="5"/>
      <c r="L271" s="5"/>
    </row>
    <row r="272" spans="2:12" ht="14.25" customHeight="1" x14ac:dyDescent="0.3">
      <c r="B272" s="82">
        <v>45269</v>
      </c>
      <c r="C272" s="301" t="s">
        <v>9053</v>
      </c>
      <c r="D272">
        <v>9821167282</v>
      </c>
      <c r="G272" s="82">
        <v>34610</v>
      </c>
      <c r="H272" s="301" t="s">
        <v>9054</v>
      </c>
      <c r="I272" s="118" t="s">
        <v>8948</v>
      </c>
      <c r="K272" s="5"/>
      <c r="L272" s="5"/>
    </row>
    <row r="273" spans="2:12" ht="14.25" customHeight="1" x14ac:dyDescent="0.3">
      <c r="B273" s="82">
        <v>45269</v>
      </c>
      <c r="C273" s="301" t="s">
        <v>9055</v>
      </c>
      <c r="G273" s="82">
        <v>26664</v>
      </c>
      <c r="H273" s="301" t="s">
        <v>9054</v>
      </c>
      <c r="I273" s="118" t="s">
        <v>8948</v>
      </c>
      <c r="K273" s="5"/>
      <c r="L273" s="5"/>
    </row>
    <row r="274" spans="2:12" ht="14.25" customHeight="1" x14ac:dyDescent="0.3">
      <c r="B274" s="82">
        <v>45269</v>
      </c>
      <c r="C274" s="301" t="s">
        <v>9056</v>
      </c>
      <c r="G274" s="82">
        <v>22672</v>
      </c>
      <c r="H274" s="301" t="s">
        <v>9054</v>
      </c>
      <c r="I274" s="118" t="s">
        <v>8948</v>
      </c>
      <c r="K274" s="5"/>
      <c r="L274" s="5"/>
    </row>
    <row r="275" spans="2:12" ht="14.25" customHeight="1" x14ac:dyDescent="0.3">
      <c r="B275" s="82">
        <v>45271</v>
      </c>
      <c r="C275" s="301" t="s">
        <v>9057</v>
      </c>
      <c r="D275">
        <v>7209432960</v>
      </c>
      <c r="G275" s="82">
        <v>38083</v>
      </c>
      <c r="H275" s="301" t="s">
        <v>9047</v>
      </c>
      <c r="I275" s="118" t="s">
        <v>9048</v>
      </c>
      <c r="J275" t="s">
        <v>9058</v>
      </c>
      <c r="K275" s="5" t="s">
        <v>9059</v>
      </c>
      <c r="L275" s="5"/>
    </row>
    <row r="276" spans="2:12" ht="14.25" customHeight="1" x14ac:dyDescent="0.3">
      <c r="B276" s="82">
        <v>45271</v>
      </c>
      <c r="C276" s="301" t="s">
        <v>9060</v>
      </c>
      <c r="F276" t="s">
        <v>8852</v>
      </c>
      <c r="H276" s="301" t="s">
        <v>9047</v>
      </c>
      <c r="I276" s="118" t="s">
        <v>9048</v>
      </c>
      <c r="K276" s="5"/>
      <c r="L276" s="5"/>
    </row>
    <row r="277" spans="2:12" ht="14.25" customHeight="1" x14ac:dyDescent="0.3">
      <c r="B277" s="82">
        <v>45272</v>
      </c>
      <c r="C277" s="301" t="s">
        <v>9061</v>
      </c>
      <c r="F277" t="s">
        <v>8852</v>
      </c>
      <c r="H277" s="301" t="s">
        <v>9047</v>
      </c>
      <c r="I277" s="118" t="s">
        <v>9048</v>
      </c>
      <c r="K277" s="5"/>
      <c r="L277" s="5"/>
    </row>
    <row r="278" spans="2:12" ht="14.25" customHeight="1" x14ac:dyDescent="0.3">
      <c r="F278" t="s">
        <v>8852</v>
      </c>
      <c r="G278" s="82">
        <v>39747</v>
      </c>
      <c r="H278" s="301" t="s">
        <v>9062</v>
      </c>
      <c r="I278" s="120" t="s">
        <v>9063</v>
      </c>
      <c r="K278" s="5"/>
      <c r="L278" s="5"/>
    </row>
    <row r="279" spans="2:12" ht="14.25" customHeight="1" x14ac:dyDescent="0.3">
      <c r="H279" s="301" t="s">
        <v>9062</v>
      </c>
      <c r="I279" s="120" t="s">
        <v>9063</v>
      </c>
      <c r="K279" s="5"/>
      <c r="L279" s="5"/>
    </row>
    <row r="280" spans="2:12" ht="14.25" customHeight="1" x14ac:dyDescent="0.3">
      <c r="B280" s="82">
        <v>45275</v>
      </c>
      <c r="C280" t="s">
        <v>9064</v>
      </c>
      <c r="H280" s="301" t="s">
        <v>9062</v>
      </c>
      <c r="I280" s="120" t="s">
        <v>9063</v>
      </c>
      <c r="K280" s="5"/>
      <c r="L280" s="5"/>
    </row>
    <row r="281" spans="2:12" ht="14.25" customHeight="1" x14ac:dyDescent="0.3">
      <c r="B281" s="82">
        <v>45275</v>
      </c>
      <c r="C281" t="s">
        <v>9065</v>
      </c>
      <c r="F281" t="s">
        <v>9066</v>
      </c>
      <c r="G281" s="82">
        <v>37351</v>
      </c>
      <c r="H281" s="301" t="s">
        <v>9067</v>
      </c>
      <c r="I281" s="120" t="s">
        <v>8948</v>
      </c>
      <c r="K281" s="5"/>
      <c r="L281" s="5"/>
    </row>
    <row r="282" spans="2:12" ht="14.25" customHeight="1" x14ac:dyDescent="0.3">
      <c r="B282" s="82">
        <v>45287</v>
      </c>
      <c r="C282" t="s">
        <v>9068</v>
      </c>
      <c r="D282">
        <v>6287188998</v>
      </c>
      <c r="E282" s="82">
        <v>45292</v>
      </c>
      <c r="F282" t="s">
        <v>9066</v>
      </c>
      <c r="G282" s="82">
        <v>37317</v>
      </c>
      <c r="H282" s="301" t="s">
        <v>9069</v>
      </c>
      <c r="I282" s="120" t="s">
        <v>8948</v>
      </c>
      <c r="J282" s="82"/>
      <c r="K282" s="5"/>
      <c r="L282" s="5"/>
    </row>
    <row r="283" spans="2:12" ht="14.25" customHeight="1" x14ac:dyDescent="0.3">
      <c r="B283" s="82">
        <v>45289</v>
      </c>
      <c r="C283" t="s">
        <v>9070</v>
      </c>
      <c r="D283">
        <v>9046772118</v>
      </c>
      <c r="E283" s="82">
        <v>45293</v>
      </c>
      <c r="F283" t="s">
        <v>9066</v>
      </c>
      <c r="G283" s="82">
        <v>36504</v>
      </c>
      <c r="H283" s="301" t="s">
        <v>9069</v>
      </c>
      <c r="I283" s="120" t="s">
        <v>8948</v>
      </c>
      <c r="K283" s="5"/>
      <c r="L283" s="5"/>
    </row>
    <row r="284" spans="2:12" ht="14.25" customHeight="1" x14ac:dyDescent="0.3">
      <c r="B284" s="82">
        <v>45295</v>
      </c>
      <c r="C284" t="s">
        <v>9071</v>
      </c>
      <c r="D284">
        <v>9006360044</v>
      </c>
      <c r="E284" s="82">
        <v>45300</v>
      </c>
      <c r="F284" t="s">
        <v>9066</v>
      </c>
      <c r="G284" s="82">
        <v>24226</v>
      </c>
      <c r="H284" s="301" t="s">
        <v>9067</v>
      </c>
      <c r="I284" s="120" t="s">
        <v>8948</v>
      </c>
      <c r="K284" s="5"/>
      <c r="L284" s="5"/>
    </row>
    <row r="285" spans="2:12" ht="14.25" customHeight="1" x14ac:dyDescent="0.3">
      <c r="B285" s="82">
        <v>45296</v>
      </c>
      <c r="C285" t="s">
        <v>9072</v>
      </c>
      <c r="D285">
        <v>9204776268</v>
      </c>
      <c r="E285" s="82">
        <v>45303</v>
      </c>
      <c r="F285" t="s">
        <v>9066</v>
      </c>
      <c r="G285" s="82">
        <v>27234</v>
      </c>
      <c r="H285" s="301" t="s">
        <v>9067</v>
      </c>
      <c r="I285" s="120" t="s">
        <v>8948</v>
      </c>
      <c r="K285" s="5"/>
      <c r="L285" s="5"/>
    </row>
    <row r="286" spans="2:12" ht="14.25" customHeight="1" x14ac:dyDescent="0.3">
      <c r="B286" s="82">
        <v>45296</v>
      </c>
      <c r="C286" t="s">
        <v>4480</v>
      </c>
      <c r="D286">
        <v>8521976846</v>
      </c>
      <c r="E286" s="82">
        <v>45312</v>
      </c>
      <c r="F286" t="s">
        <v>9066</v>
      </c>
      <c r="G286" s="82">
        <v>38144</v>
      </c>
      <c r="H286" s="301" t="s">
        <v>9073</v>
      </c>
      <c r="I286" s="120" t="s">
        <v>9063</v>
      </c>
      <c r="K286" s="5"/>
      <c r="L286" s="5"/>
    </row>
    <row r="287" spans="2:12" ht="14.25" customHeight="1" x14ac:dyDescent="0.3">
      <c r="F287" t="s">
        <v>9066</v>
      </c>
      <c r="G287" s="82"/>
      <c r="H287" s="301" t="s">
        <v>9073</v>
      </c>
      <c r="I287" s="120" t="s">
        <v>9063</v>
      </c>
      <c r="K287" s="5"/>
      <c r="L287" s="5"/>
    </row>
    <row r="288" spans="2:12" ht="14.25" customHeight="1" x14ac:dyDescent="0.3">
      <c r="B288" s="82">
        <v>45331</v>
      </c>
      <c r="C288" t="s">
        <v>9074</v>
      </c>
      <c r="D288">
        <v>7257992297</v>
      </c>
      <c r="E288" s="82">
        <v>45348</v>
      </c>
      <c r="F288" t="s">
        <v>9066</v>
      </c>
      <c r="G288" s="82">
        <v>22812</v>
      </c>
      <c r="H288" s="301" t="s">
        <v>9073</v>
      </c>
      <c r="I288" s="120" t="s">
        <v>9063</v>
      </c>
      <c r="K288" s="5"/>
      <c r="L288" s="5"/>
    </row>
    <row r="289" spans="2:12" ht="14.25" customHeight="1" x14ac:dyDescent="0.3">
      <c r="B289" s="82">
        <v>45331</v>
      </c>
      <c r="C289" t="s">
        <v>9075</v>
      </c>
      <c r="D289">
        <v>7033902925</v>
      </c>
      <c r="E289" s="82">
        <v>45348</v>
      </c>
      <c r="F289" t="s">
        <v>9066</v>
      </c>
      <c r="G289" s="82">
        <v>20108</v>
      </c>
      <c r="H289" s="301" t="s">
        <v>9073</v>
      </c>
      <c r="I289" s="120" t="s">
        <v>9063</v>
      </c>
      <c r="K289" s="5"/>
      <c r="L289" s="5"/>
    </row>
    <row r="290" spans="2:12" ht="14.25" customHeight="1" x14ac:dyDescent="0.3">
      <c r="B290" s="82">
        <v>45332</v>
      </c>
      <c r="C290" s="301" t="s">
        <v>9076</v>
      </c>
      <c r="D290">
        <v>8797240138</v>
      </c>
      <c r="E290" s="82">
        <v>45334</v>
      </c>
      <c r="F290" t="s">
        <v>9066</v>
      </c>
      <c r="G290" s="82">
        <v>26121</v>
      </c>
      <c r="H290" s="301" t="s">
        <v>9067</v>
      </c>
      <c r="I290" s="120" t="s">
        <v>8948</v>
      </c>
      <c r="J290" t="s">
        <v>8770</v>
      </c>
      <c r="L290" s="5"/>
    </row>
    <row r="291" spans="2:12" ht="14.25" customHeight="1" x14ac:dyDescent="0.3">
      <c r="B291" s="82">
        <v>45332</v>
      </c>
      <c r="C291" s="301" t="s">
        <v>9077</v>
      </c>
      <c r="D291">
        <v>7903174815</v>
      </c>
      <c r="E291" s="82">
        <v>45344</v>
      </c>
      <c r="F291" t="s">
        <v>9066</v>
      </c>
      <c r="G291" s="82">
        <v>36681</v>
      </c>
      <c r="H291" s="301" t="s">
        <v>9078</v>
      </c>
      <c r="I291" s="120" t="s">
        <v>9063</v>
      </c>
      <c r="K291" s="5"/>
      <c r="L291" s="5"/>
    </row>
    <row r="292" spans="2:12" ht="14.25" customHeight="1" x14ac:dyDescent="0.3">
      <c r="B292" s="82">
        <v>45343</v>
      </c>
      <c r="C292" s="301" t="s">
        <v>294</v>
      </c>
      <c r="D292">
        <v>9430745575</v>
      </c>
      <c r="F292" t="s">
        <v>9066</v>
      </c>
      <c r="G292" s="82">
        <v>28126</v>
      </c>
      <c r="H292" s="301" t="s">
        <v>9078</v>
      </c>
      <c r="I292" s="120" t="s">
        <v>9063</v>
      </c>
      <c r="K292" s="5"/>
      <c r="L292" s="5"/>
    </row>
    <row r="293" spans="2:12" ht="14.25" customHeight="1" x14ac:dyDescent="0.3">
      <c r="B293" s="82">
        <v>45349</v>
      </c>
      <c r="C293" s="301" t="s">
        <v>9079</v>
      </c>
      <c r="D293">
        <v>8210763386</v>
      </c>
      <c r="E293" s="82">
        <v>34031</v>
      </c>
      <c r="F293" t="s">
        <v>8852</v>
      </c>
      <c r="G293" s="82">
        <v>45363</v>
      </c>
      <c r="H293" s="301" t="s">
        <v>9080</v>
      </c>
      <c r="I293" s="120" t="s">
        <v>9063</v>
      </c>
      <c r="K293" s="5"/>
      <c r="L293" s="5"/>
    </row>
    <row r="294" spans="2:12" ht="14.25" customHeight="1" x14ac:dyDescent="0.3">
      <c r="B294" s="82">
        <v>45365</v>
      </c>
      <c r="C294" s="301" t="s">
        <v>9081</v>
      </c>
      <c r="D294">
        <v>9798946742</v>
      </c>
      <c r="E294" s="82">
        <v>33198</v>
      </c>
      <c r="F294" t="s">
        <v>8852</v>
      </c>
      <c r="G294" s="82">
        <v>33198</v>
      </c>
      <c r="H294" s="301" t="s">
        <v>9082</v>
      </c>
      <c r="I294" s="120" t="s">
        <v>9063</v>
      </c>
      <c r="K294" s="5"/>
      <c r="L294" s="5"/>
    </row>
    <row r="295" spans="2:12" ht="14.25" customHeight="1" x14ac:dyDescent="0.3">
      <c r="C295" s="301" t="s">
        <v>9083</v>
      </c>
      <c r="G295" s="82"/>
      <c r="H295" s="301" t="s">
        <v>9082</v>
      </c>
      <c r="I295" s="120" t="s">
        <v>9063</v>
      </c>
      <c r="K295" s="5"/>
      <c r="L295" s="5"/>
    </row>
    <row r="296" spans="2:12" ht="14.25" customHeight="1" x14ac:dyDescent="0.3">
      <c r="B296" s="82">
        <v>45378</v>
      </c>
      <c r="C296" s="21" t="s">
        <v>9084</v>
      </c>
      <c r="F296" s="301" t="s">
        <v>8677</v>
      </c>
      <c r="G296" s="82"/>
      <c r="H296" s="301" t="s">
        <v>9082</v>
      </c>
      <c r="I296" s="120" t="s">
        <v>9063</v>
      </c>
      <c r="K296" s="5"/>
      <c r="L296" s="5"/>
    </row>
    <row r="297" spans="2:12" ht="14.25" customHeight="1" x14ac:dyDescent="0.3">
      <c r="B297" s="82">
        <v>45380</v>
      </c>
      <c r="C297" s="301" t="s">
        <v>9085</v>
      </c>
      <c r="D297">
        <v>6299758394</v>
      </c>
      <c r="E297" s="82">
        <v>45394</v>
      </c>
      <c r="F297" s="301" t="s">
        <v>8852</v>
      </c>
      <c r="G297" s="82">
        <v>27013</v>
      </c>
      <c r="H297" s="301" t="s">
        <v>9086</v>
      </c>
      <c r="I297" s="120" t="s">
        <v>9063</v>
      </c>
      <c r="K297" s="5"/>
      <c r="L297" s="5"/>
    </row>
    <row r="298" spans="2:12" ht="14.25" customHeight="1" x14ac:dyDescent="0.3">
      <c r="B298" s="82">
        <v>45380</v>
      </c>
      <c r="C298" s="301" t="s">
        <v>9087</v>
      </c>
      <c r="G298" s="82"/>
      <c r="H298" s="301" t="s">
        <v>9088</v>
      </c>
      <c r="I298" s="120" t="s">
        <v>9063</v>
      </c>
      <c r="K298" s="5"/>
      <c r="L298" s="5"/>
    </row>
    <row r="299" spans="2:12" ht="14.25" customHeight="1" x14ac:dyDescent="0.3">
      <c r="B299" s="82">
        <v>45380</v>
      </c>
      <c r="C299" s="301" t="s">
        <v>9089</v>
      </c>
      <c r="G299" s="82"/>
      <c r="H299" s="301" t="s">
        <v>9088</v>
      </c>
      <c r="I299" s="120" t="s">
        <v>9063</v>
      </c>
      <c r="K299" s="5"/>
      <c r="L299" s="5"/>
    </row>
    <row r="300" spans="2:12" ht="14.25" customHeight="1" x14ac:dyDescent="0.3">
      <c r="B300" s="82">
        <v>45380</v>
      </c>
      <c r="C300" s="301" t="s">
        <v>9090</v>
      </c>
      <c r="G300" s="82"/>
      <c r="H300" s="301" t="s">
        <v>9088</v>
      </c>
      <c r="I300" s="120" t="s">
        <v>9063</v>
      </c>
      <c r="K300" s="5"/>
      <c r="L300" s="5"/>
    </row>
    <row r="301" spans="2:12" ht="14.25" customHeight="1" x14ac:dyDescent="0.3">
      <c r="B301" s="82">
        <v>45392</v>
      </c>
      <c r="C301" s="301" t="s">
        <v>9091</v>
      </c>
      <c r="D301">
        <v>8210888109</v>
      </c>
      <c r="E301" s="82">
        <v>45407</v>
      </c>
      <c r="F301" t="s">
        <v>8852</v>
      </c>
      <c r="G301" s="82">
        <v>33780</v>
      </c>
      <c r="H301" s="301" t="s">
        <v>9092</v>
      </c>
      <c r="I301" s="120" t="s">
        <v>9063</v>
      </c>
      <c r="K301" s="5"/>
      <c r="L301" s="5"/>
    </row>
    <row r="302" spans="2:12" ht="14.25" customHeight="1" x14ac:dyDescent="0.3">
      <c r="B302" s="82">
        <v>45394</v>
      </c>
      <c r="C302" s="301" t="s">
        <v>9093</v>
      </c>
      <c r="D302">
        <v>9234438330</v>
      </c>
      <c r="G302" s="82">
        <v>32419</v>
      </c>
      <c r="H302" s="301" t="s">
        <v>9088</v>
      </c>
      <c r="I302" s="120" t="s">
        <v>9063</v>
      </c>
      <c r="K302" s="5"/>
      <c r="L302" s="5"/>
    </row>
    <row r="303" spans="2:12" ht="14.25" customHeight="1" x14ac:dyDescent="0.3">
      <c r="B303" s="82">
        <v>45401</v>
      </c>
      <c r="C303" s="301" t="s">
        <v>1612</v>
      </c>
      <c r="D303">
        <v>7295016432</v>
      </c>
      <c r="G303" s="82">
        <v>37652</v>
      </c>
      <c r="H303" s="301" t="s">
        <v>9086</v>
      </c>
      <c r="I303" s="120" t="s">
        <v>9063</v>
      </c>
      <c r="J303" t="s">
        <v>9094</v>
      </c>
      <c r="K303" s="5"/>
      <c r="L303" s="5"/>
    </row>
    <row r="304" spans="2:12" ht="14.25" customHeight="1" x14ac:dyDescent="0.3">
      <c r="B304" s="82">
        <v>45407</v>
      </c>
      <c r="C304" s="301" t="s">
        <v>9095</v>
      </c>
      <c r="D304">
        <v>8002633211</v>
      </c>
      <c r="E304" s="82">
        <v>45412</v>
      </c>
      <c r="F304" s="301" t="s">
        <v>9096</v>
      </c>
      <c r="G304" s="82">
        <v>27649</v>
      </c>
      <c r="H304" s="301" t="s">
        <v>9097</v>
      </c>
      <c r="I304" s="120" t="s">
        <v>9063</v>
      </c>
      <c r="K304" s="5"/>
      <c r="L304" s="5"/>
    </row>
    <row r="305" spans="2:12" ht="14.25" customHeight="1" x14ac:dyDescent="0.3">
      <c r="B305" s="82">
        <v>45407</v>
      </c>
      <c r="C305" s="301" t="s">
        <v>9098</v>
      </c>
      <c r="D305">
        <v>9304130526</v>
      </c>
      <c r="E305" s="82">
        <v>45412</v>
      </c>
      <c r="F305" s="301" t="s">
        <v>9096</v>
      </c>
      <c r="G305" s="82">
        <v>38635</v>
      </c>
      <c r="H305" s="301" t="s">
        <v>9097</v>
      </c>
      <c r="I305" s="120" t="s">
        <v>9063</v>
      </c>
      <c r="K305" s="5"/>
      <c r="L305" s="5"/>
    </row>
    <row r="306" spans="2:12" ht="14.25" customHeight="1" x14ac:dyDescent="0.3">
      <c r="B306" s="82">
        <v>45415</v>
      </c>
      <c r="C306" s="301" t="s">
        <v>8004</v>
      </c>
      <c r="D306">
        <v>8178824952</v>
      </c>
      <c r="E306" s="82">
        <v>45432</v>
      </c>
      <c r="F306" s="301" t="s">
        <v>8992</v>
      </c>
      <c r="G306" s="82">
        <v>25813</v>
      </c>
      <c r="H306" s="301" t="s">
        <v>9097</v>
      </c>
      <c r="I306" s="120" t="s">
        <v>9063</v>
      </c>
      <c r="K306" s="5"/>
      <c r="L306" s="5"/>
    </row>
    <row r="307" spans="2:12" ht="14.25" customHeight="1" x14ac:dyDescent="0.3">
      <c r="B307" s="82">
        <v>45415</v>
      </c>
      <c r="C307" s="301" t="s">
        <v>9099</v>
      </c>
      <c r="D307">
        <v>8102316160</v>
      </c>
      <c r="E307" s="82">
        <v>45432</v>
      </c>
      <c r="F307" s="301" t="s">
        <v>8992</v>
      </c>
      <c r="G307" s="82">
        <v>29221</v>
      </c>
      <c r="H307" s="301" t="s">
        <v>9097</v>
      </c>
      <c r="I307" s="120" t="s">
        <v>9063</v>
      </c>
      <c r="K307" s="5"/>
      <c r="L307" s="5"/>
    </row>
    <row r="308" spans="2:12" ht="14.25" customHeight="1" x14ac:dyDescent="0.3">
      <c r="B308" s="82">
        <v>45458</v>
      </c>
      <c r="C308" s="301" t="s">
        <v>8071</v>
      </c>
      <c r="D308">
        <v>8084205342</v>
      </c>
      <c r="F308" s="301" t="s">
        <v>8992</v>
      </c>
      <c r="G308" s="82"/>
      <c r="H308" s="301" t="s">
        <v>9100</v>
      </c>
      <c r="I308" s="120" t="s">
        <v>9063</v>
      </c>
      <c r="K308" s="5"/>
      <c r="L308" s="5"/>
    </row>
    <row r="309" spans="2:12" ht="14.25" customHeight="1" x14ac:dyDescent="0.3">
      <c r="B309" s="82">
        <v>45458</v>
      </c>
      <c r="C309" s="301" t="s">
        <v>9101</v>
      </c>
      <c r="F309" s="301" t="s">
        <v>8992</v>
      </c>
      <c r="G309" s="82"/>
      <c r="H309" s="301" t="s">
        <v>9100</v>
      </c>
      <c r="I309" s="120" t="s">
        <v>9063</v>
      </c>
      <c r="K309" s="5"/>
      <c r="L309" s="5"/>
    </row>
    <row r="310" spans="2:12" ht="14.25" customHeight="1" x14ac:dyDescent="0.3">
      <c r="B310" s="82">
        <v>45459</v>
      </c>
      <c r="C310" s="301" t="s">
        <v>2391</v>
      </c>
      <c r="E310" s="82">
        <v>45472</v>
      </c>
      <c r="F310" s="301" t="s">
        <v>8992</v>
      </c>
      <c r="G310" s="82"/>
      <c r="H310" s="301" t="s">
        <v>9100</v>
      </c>
      <c r="I310" s="120" t="s">
        <v>9063</v>
      </c>
      <c r="K310" s="5"/>
      <c r="L310" s="5"/>
    </row>
    <row r="311" spans="2:12" ht="14.25" customHeight="1" x14ac:dyDescent="0.3">
      <c r="B311" s="82">
        <v>45465</v>
      </c>
      <c r="C311" s="301" t="s">
        <v>9102</v>
      </c>
      <c r="F311" s="301" t="s">
        <v>8992</v>
      </c>
      <c r="G311" s="82"/>
      <c r="H311" s="301" t="s">
        <v>9103</v>
      </c>
      <c r="I311" s="120" t="s">
        <v>9063</v>
      </c>
      <c r="K311" s="5"/>
      <c r="L311" s="5"/>
    </row>
    <row r="312" spans="2:12" ht="14.25" customHeight="1" x14ac:dyDescent="0.3">
      <c r="B312" s="82">
        <v>45467</v>
      </c>
      <c r="C312" s="301" t="s">
        <v>1831</v>
      </c>
      <c r="D312">
        <v>9608830368</v>
      </c>
      <c r="E312" s="82">
        <v>45469</v>
      </c>
      <c r="F312" s="301" t="s">
        <v>8992</v>
      </c>
      <c r="G312" s="82"/>
      <c r="H312" s="301" t="s">
        <v>9103</v>
      </c>
      <c r="I312" s="120" t="s">
        <v>9063</v>
      </c>
      <c r="K312" s="5"/>
      <c r="L312" s="5"/>
    </row>
    <row r="313" spans="2:12" ht="14.25" customHeight="1" x14ac:dyDescent="0.3">
      <c r="B313" s="82">
        <v>45466</v>
      </c>
      <c r="C313" s="301" t="s">
        <v>9104</v>
      </c>
      <c r="D313">
        <v>9304103847</v>
      </c>
      <c r="E313" s="82">
        <v>45481</v>
      </c>
      <c r="F313" s="301" t="s">
        <v>8992</v>
      </c>
      <c r="G313" s="82"/>
      <c r="H313" s="301" t="s">
        <v>9100</v>
      </c>
      <c r="I313" s="120" t="s">
        <v>9063</v>
      </c>
      <c r="K313" s="5"/>
      <c r="L313" s="5"/>
    </row>
    <row r="314" spans="2:12" ht="14.25" customHeight="1" x14ac:dyDescent="0.3">
      <c r="B314" s="82">
        <v>45469</v>
      </c>
      <c r="C314" s="301" t="s">
        <v>9105</v>
      </c>
      <c r="D314">
        <v>9835121075</v>
      </c>
      <c r="F314" s="301" t="s">
        <v>8992</v>
      </c>
      <c r="G314" s="82"/>
      <c r="H314" s="301" t="s">
        <v>9106</v>
      </c>
      <c r="I314" s="120" t="s">
        <v>9063</v>
      </c>
      <c r="K314" s="5"/>
      <c r="L314" s="5"/>
    </row>
    <row r="315" spans="2:12" ht="14.25" customHeight="1" x14ac:dyDescent="0.3">
      <c r="B315" s="82">
        <v>45469</v>
      </c>
      <c r="C315" s="301" t="s">
        <v>9107</v>
      </c>
      <c r="D315">
        <v>8210925417</v>
      </c>
      <c r="F315" s="301" t="s">
        <v>8992</v>
      </c>
      <c r="G315" s="82"/>
      <c r="H315" s="301" t="s">
        <v>9106</v>
      </c>
      <c r="I315" s="120" t="s">
        <v>9063</v>
      </c>
      <c r="K315" s="5"/>
      <c r="L315" s="5"/>
    </row>
    <row r="316" spans="2:12" ht="14.25" customHeight="1" x14ac:dyDescent="0.3">
      <c r="B316" s="82">
        <v>45494</v>
      </c>
      <c r="C316" s="301" t="s">
        <v>9108</v>
      </c>
      <c r="F316" s="301" t="s">
        <v>8992</v>
      </c>
      <c r="G316" s="82"/>
      <c r="H316" s="301" t="s">
        <v>9106</v>
      </c>
      <c r="I316" s="120" t="s">
        <v>9063</v>
      </c>
      <c r="K316" s="5"/>
      <c r="L316" s="5"/>
    </row>
    <row r="317" spans="2:12" ht="14.25" customHeight="1" x14ac:dyDescent="0.3">
      <c r="C317" s="301" t="s">
        <v>798</v>
      </c>
      <c r="D317">
        <v>9431187232</v>
      </c>
      <c r="G317" s="82"/>
      <c r="H317" s="301" t="s">
        <v>9109</v>
      </c>
      <c r="K317" s="5"/>
      <c r="L317" s="5"/>
    </row>
    <row r="318" spans="2:12" ht="14.25" customHeight="1" x14ac:dyDescent="0.3">
      <c r="C318" s="301" t="s">
        <v>9110</v>
      </c>
      <c r="G318" s="82"/>
      <c r="H318" s="301" t="s">
        <v>9109</v>
      </c>
      <c r="K318" s="5"/>
      <c r="L318" s="5"/>
    </row>
    <row r="319" spans="2:12" ht="14.25" customHeight="1" x14ac:dyDescent="0.3">
      <c r="B319" s="82">
        <v>45518</v>
      </c>
      <c r="C319" s="301" t="s">
        <v>9111</v>
      </c>
      <c r="D319">
        <v>6206231107</v>
      </c>
      <c r="F319" t="s">
        <v>8852</v>
      </c>
      <c r="G319" s="82">
        <v>36906</v>
      </c>
      <c r="H319" s="301" t="s">
        <v>9112</v>
      </c>
      <c r="I319" s="120" t="s">
        <v>9063</v>
      </c>
      <c r="K319" s="5"/>
      <c r="L319" s="5"/>
    </row>
    <row r="320" spans="2:12" ht="14.25" customHeight="1" x14ac:dyDescent="0.3">
      <c r="B320" s="82">
        <v>45520</v>
      </c>
      <c r="C320" s="301" t="s">
        <v>9113</v>
      </c>
      <c r="D320">
        <v>9007873292</v>
      </c>
      <c r="G320" s="82"/>
      <c r="H320" s="301" t="s">
        <v>9112</v>
      </c>
      <c r="I320" s="120" t="s">
        <v>9063</v>
      </c>
      <c r="J320" t="s">
        <v>8892</v>
      </c>
      <c r="K320" s="5"/>
      <c r="L320" s="5"/>
    </row>
    <row r="321" spans="2:12" ht="14.25" customHeight="1" x14ac:dyDescent="0.3">
      <c r="B321" s="82">
        <v>45527</v>
      </c>
      <c r="C321" s="301" t="s">
        <v>9114</v>
      </c>
      <c r="D321">
        <v>9142362876</v>
      </c>
      <c r="E321" s="82">
        <v>45530</v>
      </c>
      <c r="F321" t="s">
        <v>8852</v>
      </c>
      <c r="G321" s="82">
        <v>35049</v>
      </c>
      <c r="H321" s="301" t="s">
        <v>9115</v>
      </c>
      <c r="I321" s="120" t="s">
        <v>9063</v>
      </c>
      <c r="J321" s="301" t="s">
        <v>8814</v>
      </c>
      <c r="K321" s="5"/>
      <c r="L321" s="5"/>
    </row>
    <row r="322" spans="2:12" ht="14.25" customHeight="1" x14ac:dyDescent="0.3">
      <c r="B322" s="82">
        <v>45527</v>
      </c>
      <c r="C322" s="193" t="s">
        <v>9116</v>
      </c>
      <c r="D322">
        <v>8709416220</v>
      </c>
      <c r="E322" s="82">
        <v>45548</v>
      </c>
      <c r="F322" t="s">
        <v>8852</v>
      </c>
      <c r="G322" s="82">
        <v>35049</v>
      </c>
      <c r="H322" s="301" t="s">
        <v>9115</v>
      </c>
      <c r="I322" s="120" t="s">
        <v>9063</v>
      </c>
      <c r="J322" s="301" t="s">
        <v>8814</v>
      </c>
      <c r="K322" s="5" t="s">
        <v>8770</v>
      </c>
      <c r="L322" s="5"/>
    </row>
    <row r="323" spans="2:12" ht="14.25" customHeight="1" x14ac:dyDescent="0.3">
      <c r="B323" s="82">
        <v>45527</v>
      </c>
      <c r="C323" s="301" t="s">
        <v>3656</v>
      </c>
      <c r="D323">
        <v>7979771584</v>
      </c>
      <c r="E323" s="82">
        <v>45548</v>
      </c>
      <c r="F323" t="s">
        <v>8852</v>
      </c>
      <c r="G323" s="82">
        <v>35049</v>
      </c>
      <c r="H323" s="301" t="s">
        <v>9115</v>
      </c>
      <c r="I323" s="120" t="s">
        <v>9063</v>
      </c>
      <c r="J323" s="301" t="s">
        <v>8814</v>
      </c>
      <c r="K323" s="5" t="s">
        <v>8770</v>
      </c>
      <c r="L323" s="5"/>
    </row>
    <row r="324" spans="2:12" ht="14.25" customHeight="1" x14ac:dyDescent="0.3">
      <c r="B324" s="82">
        <v>45527</v>
      </c>
      <c r="C324" s="301" t="s">
        <v>9117</v>
      </c>
      <c r="D324">
        <v>9334803635</v>
      </c>
      <c r="F324" t="s">
        <v>8852</v>
      </c>
      <c r="G324" s="82">
        <v>21919</v>
      </c>
      <c r="K324" s="5"/>
      <c r="L324" s="5"/>
    </row>
    <row r="325" spans="2:12" ht="14.25" customHeight="1" x14ac:dyDescent="0.3">
      <c r="B325" s="82">
        <v>45539</v>
      </c>
      <c r="C325" s="301" t="s">
        <v>9118</v>
      </c>
      <c r="D325">
        <v>8877915050</v>
      </c>
      <c r="E325" s="82">
        <v>45558</v>
      </c>
      <c r="F325" t="s">
        <v>8852</v>
      </c>
      <c r="G325" s="82">
        <v>36906</v>
      </c>
      <c r="H325" s="301" t="s">
        <v>9112</v>
      </c>
      <c r="I325" s="120" t="s">
        <v>9063</v>
      </c>
      <c r="J325" s="301" t="s">
        <v>8767</v>
      </c>
      <c r="K325" s="5"/>
      <c r="L325" s="5"/>
    </row>
    <row r="326" spans="2:12" ht="14.25" customHeight="1" x14ac:dyDescent="0.3">
      <c r="B326" s="82">
        <v>45544</v>
      </c>
      <c r="C326" s="301" t="s">
        <v>8179</v>
      </c>
      <c r="D326">
        <v>9304473570</v>
      </c>
      <c r="E326" s="82">
        <v>45548</v>
      </c>
      <c r="F326" t="s">
        <v>8852</v>
      </c>
      <c r="G326" s="82">
        <v>23468</v>
      </c>
      <c r="H326" s="301" t="s">
        <v>9119</v>
      </c>
      <c r="I326" s="120" t="s">
        <v>9063</v>
      </c>
      <c r="J326" s="301" t="s">
        <v>8770</v>
      </c>
      <c r="K326" s="5"/>
      <c r="L326" s="5"/>
    </row>
    <row r="327" spans="2:12" ht="14.25" customHeight="1" x14ac:dyDescent="0.3">
      <c r="B327" s="82">
        <v>45544</v>
      </c>
      <c r="C327" s="301" t="s">
        <v>9120</v>
      </c>
      <c r="D327">
        <v>8651009145</v>
      </c>
      <c r="E327" s="82">
        <v>45548</v>
      </c>
      <c r="F327" t="s">
        <v>8852</v>
      </c>
      <c r="G327" s="82">
        <v>34123</v>
      </c>
      <c r="H327" s="301" t="s">
        <v>9119</v>
      </c>
      <c r="I327" s="120" t="s">
        <v>9063</v>
      </c>
      <c r="J327" s="301" t="s">
        <v>8770</v>
      </c>
      <c r="K327" s="5"/>
      <c r="L327" s="5"/>
    </row>
    <row r="328" spans="2:12" ht="14.25" customHeight="1" x14ac:dyDescent="0.3">
      <c r="B328" s="82">
        <v>45544</v>
      </c>
      <c r="C328" s="301" t="s">
        <v>9121</v>
      </c>
      <c r="D328">
        <v>9608883880</v>
      </c>
      <c r="E328" s="82">
        <v>45548</v>
      </c>
      <c r="F328" t="s">
        <v>8852</v>
      </c>
      <c r="G328" s="82">
        <v>38795</v>
      </c>
      <c r="H328" s="301" t="s">
        <v>9119</v>
      </c>
      <c r="I328" s="120" t="s">
        <v>9063</v>
      </c>
      <c r="J328" s="301" t="s">
        <v>8770</v>
      </c>
      <c r="K328" s="5"/>
      <c r="L328" s="5"/>
    </row>
    <row r="329" spans="2:12" ht="14.25" customHeight="1" x14ac:dyDescent="0.3">
      <c r="B329" s="82">
        <v>45548</v>
      </c>
      <c r="C329" s="301" t="s">
        <v>9122</v>
      </c>
      <c r="D329">
        <v>7250594438</v>
      </c>
      <c r="E329" s="82">
        <v>23386</v>
      </c>
      <c r="F329" t="s">
        <v>8852</v>
      </c>
      <c r="G329" s="82">
        <v>45565</v>
      </c>
      <c r="H329" s="301" t="s">
        <v>9123</v>
      </c>
      <c r="I329" s="120" t="s">
        <v>9063</v>
      </c>
      <c r="K329" s="5"/>
      <c r="L329" s="5"/>
    </row>
    <row r="330" spans="2:12" ht="14.25" customHeight="1" x14ac:dyDescent="0.3">
      <c r="B330" s="82">
        <v>45548</v>
      </c>
      <c r="C330" s="301" t="s">
        <v>9124</v>
      </c>
      <c r="D330">
        <v>7250594438</v>
      </c>
      <c r="E330" s="82">
        <v>26921</v>
      </c>
      <c r="F330" t="s">
        <v>8852</v>
      </c>
      <c r="G330" s="82">
        <v>45565</v>
      </c>
      <c r="H330" s="301" t="s">
        <v>9123</v>
      </c>
      <c r="I330" s="120" t="s">
        <v>9063</v>
      </c>
      <c r="K330" s="5"/>
      <c r="L330" s="5"/>
    </row>
    <row r="331" spans="2:12" ht="14.25" customHeight="1" x14ac:dyDescent="0.3">
      <c r="B331" s="82">
        <v>45548</v>
      </c>
      <c r="C331" s="301" t="s">
        <v>9125</v>
      </c>
      <c r="D331">
        <v>7250594438</v>
      </c>
      <c r="E331" s="82">
        <v>14977</v>
      </c>
      <c r="F331" t="s">
        <v>8852</v>
      </c>
      <c r="G331" s="82">
        <v>45565</v>
      </c>
      <c r="H331" s="301" t="s">
        <v>9123</v>
      </c>
      <c r="I331" s="120" t="s">
        <v>9063</v>
      </c>
      <c r="K331" s="5"/>
      <c r="L331" s="5"/>
    </row>
    <row r="332" spans="2:12" ht="14.25" customHeight="1" x14ac:dyDescent="0.3">
      <c r="B332" s="82">
        <v>45548</v>
      </c>
      <c r="C332" s="301" t="s">
        <v>9126</v>
      </c>
      <c r="D332">
        <v>7296008079</v>
      </c>
      <c r="E332" s="82">
        <v>38278</v>
      </c>
      <c r="F332" t="s">
        <v>8852</v>
      </c>
      <c r="G332" s="82">
        <v>45565</v>
      </c>
      <c r="H332" s="301" t="s">
        <v>9123</v>
      </c>
      <c r="I332" s="120" t="s">
        <v>9063</v>
      </c>
      <c r="K332" s="5"/>
      <c r="L332" s="5"/>
    </row>
    <row r="333" spans="2:12" ht="14.25" customHeight="1" x14ac:dyDescent="0.3">
      <c r="B333" s="82">
        <v>45560</v>
      </c>
      <c r="C333" s="301" t="s">
        <v>9127</v>
      </c>
      <c r="D333">
        <v>9608947427</v>
      </c>
      <c r="E333" s="82">
        <v>45575</v>
      </c>
      <c r="F333" t="s">
        <v>8852</v>
      </c>
      <c r="G333" s="82">
        <v>35870</v>
      </c>
      <c r="H333" s="301" t="s">
        <v>9112</v>
      </c>
      <c r="I333" s="120" t="s">
        <v>9063</v>
      </c>
      <c r="J333" s="301" t="s">
        <v>8767</v>
      </c>
      <c r="K333" s="5"/>
      <c r="L333" s="5"/>
    </row>
    <row r="334" spans="2:12" ht="14.25" customHeight="1" x14ac:dyDescent="0.3">
      <c r="B334" s="82">
        <v>45563</v>
      </c>
      <c r="C334" s="301" t="s">
        <v>9121</v>
      </c>
      <c r="D334">
        <v>9608883880</v>
      </c>
      <c r="E334" s="82">
        <v>45565</v>
      </c>
      <c r="F334" t="s">
        <v>8852</v>
      </c>
      <c r="G334" s="82">
        <v>38795</v>
      </c>
      <c r="H334" s="301" t="s">
        <v>9128</v>
      </c>
      <c r="I334" s="120" t="s">
        <v>9063</v>
      </c>
      <c r="K334" s="5"/>
      <c r="L334" s="5"/>
    </row>
    <row r="335" spans="2:12" ht="14.25" customHeight="1" x14ac:dyDescent="0.3">
      <c r="C335" s="301" t="s">
        <v>9129</v>
      </c>
      <c r="D335">
        <v>7091495468</v>
      </c>
      <c r="F335" t="s">
        <v>8852</v>
      </c>
      <c r="G335" s="82">
        <v>32065</v>
      </c>
      <c r="H335" s="301" t="s">
        <v>9128</v>
      </c>
      <c r="I335" s="120" t="s">
        <v>9063</v>
      </c>
      <c r="K335" s="5"/>
      <c r="L335" s="5"/>
    </row>
    <row r="336" spans="2:12" ht="14.25" customHeight="1" x14ac:dyDescent="0.3">
      <c r="C336" s="301" t="s">
        <v>9130</v>
      </c>
      <c r="F336" s="301" t="s">
        <v>8749</v>
      </c>
      <c r="G336" s="82"/>
      <c r="H336" s="301" t="s">
        <v>9128</v>
      </c>
      <c r="I336" s="120" t="s">
        <v>9063</v>
      </c>
      <c r="K336" s="5"/>
      <c r="L336" s="5"/>
    </row>
    <row r="337" spans="2:12" ht="14.25" customHeight="1" x14ac:dyDescent="0.3">
      <c r="B337" s="82">
        <v>45582</v>
      </c>
      <c r="C337" s="301" t="s">
        <v>7782</v>
      </c>
      <c r="E337" s="82">
        <v>45600</v>
      </c>
      <c r="F337" t="s">
        <v>8852</v>
      </c>
      <c r="G337" s="82"/>
      <c r="H337" s="301" t="s">
        <v>9128</v>
      </c>
      <c r="I337" s="120" t="s">
        <v>9063</v>
      </c>
      <c r="K337" s="5"/>
      <c r="L337" s="5"/>
    </row>
    <row r="338" spans="2:12" ht="14.25" customHeight="1" x14ac:dyDescent="0.3">
      <c r="B338" s="82">
        <v>45582</v>
      </c>
      <c r="C338" s="301" t="s">
        <v>9131</v>
      </c>
      <c r="E338" s="82">
        <v>45625</v>
      </c>
      <c r="F338" t="s">
        <v>8852</v>
      </c>
      <c r="G338" s="82"/>
      <c r="H338" s="301" t="s">
        <v>9128</v>
      </c>
      <c r="I338" s="120" t="s">
        <v>9063</v>
      </c>
      <c r="K338" s="5"/>
      <c r="L338" s="5"/>
    </row>
    <row r="339" spans="2:12" ht="14.25" customHeight="1" x14ac:dyDescent="0.3">
      <c r="B339" s="82">
        <v>45582</v>
      </c>
      <c r="C339" s="301" t="s">
        <v>7123</v>
      </c>
      <c r="E339" s="82">
        <v>45600</v>
      </c>
      <c r="F339" t="s">
        <v>8852</v>
      </c>
      <c r="G339" s="82"/>
      <c r="H339" s="301" t="s">
        <v>9112</v>
      </c>
      <c r="I339" s="120" t="s">
        <v>9063</v>
      </c>
      <c r="K339" s="5"/>
      <c r="L339" s="5"/>
    </row>
    <row r="340" spans="2:12" ht="14.25" customHeight="1" x14ac:dyDescent="0.3">
      <c r="B340" s="82">
        <v>45586</v>
      </c>
      <c r="C340" s="301" t="s">
        <v>9132</v>
      </c>
      <c r="D340">
        <v>9934135005</v>
      </c>
      <c r="F340" t="s">
        <v>8852</v>
      </c>
      <c r="G340" s="82"/>
      <c r="H340" s="301" t="s">
        <v>9133</v>
      </c>
      <c r="I340" s="120" t="s">
        <v>9134</v>
      </c>
      <c r="K340" s="5"/>
      <c r="L340" s="5"/>
    </row>
    <row r="341" spans="2:12" ht="14.25" customHeight="1" x14ac:dyDescent="0.3">
      <c r="B341" s="82">
        <v>45597</v>
      </c>
      <c r="C341" s="301" t="s">
        <v>9135</v>
      </c>
      <c r="D341">
        <v>9006141610</v>
      </c>
      <c r="E341" s="82">
        <v>45608</v>
      </c>
      <c r="F341" t="s">
        <v>8852</v>
      </c>
      <c r="G341" s="82"/>
      <c r="H341" s="301" t="s">
        <v>9136</v>
      </c>
      <c r="I341" s="120" t="s">
        <v>9063</v>
      </c>
      <c r="K341" s="5"/>
      <c r="L341" s="5"/>
    </row>
    <row r="342" spans="2:12" ht="14.25" customHeight="1" x14ac:dyDescent="0.3">
      <c r="B342" s="82">
        <v>45597</v>
      </c>
      <c r="C342" s="301" t="s">
        <v>8499</v>
      </c>
      <c r="D342">
        <v>9835250801</v>
      </c>
      <c r="E342" s="82">
        <v>45608</v>
      </c>
      <c r="F342" t="s">
        <v>8852</v>
      </c>
      <c r="G342" s="82"/>
      <c r="H342" s="301" t="s">
        <v>9136</v>
      </c>
      <c r="I342" s="120" t="s">
        <v>9063</v>
      </c>
      <c r="K342" s="5"/>
      <c r="L342" s="5"/>
    </row>
    <row r="343" spans="2:12" ht="14.25" customHeight="1" x14ac:dyDescent="0.3">
      <c r="B343" s="82">
        <v>45597</v>
      </c>
      <c r="C343" s="301" t="s">
        <v>9137</v>
      </c>
      <c r="D343">
        <v>9006141610</v>
      </c>
      <c r="E343" s="82">
        <v>45608</v>
      </c>
      <c r="F343" t="s">
        <v>8852</v>
      </c>
      <c r="G343" s="82"/>
      <c r="H343" s="301" t="s">
        <v>9136</v>
      </c>
      <c r="I343" s="120" t="s">
        <v>9063</v>
      </c>
      <c r="K343" s="5"/>
      <c r="L343" s="5"/>
    </row>
    <row r="344" spans="2:12" ht="14.25" customHeight="1" x14ac:dyDescent="0.3">
      <c r="B344" s="82">
        <v>46012</v>
      </c>
      <c r="C344" s="301" t="s">
        <v>9138</v>
      </c>
      <c r="D344">
        <v>9135936042</v>
      </c>
      <c r="E344" s="82">
        <v>45716</v>
      </c>
      <c r="F344" t="s">
        <v>8852</v>
      </c>
      <c r="G344" s="82"/>
      <c r="H344" s="301" t="s">
        <v>9139</v>
      </c>
      <c r="I344" s="120" t="s">
        <v>9134</v>
      </c>
      <c r="J344" s="301"/>
      <c r="K344" s="5"/>
      <c r="L344" s="5"/>
    </row>
    <row r="345" spans="2:12" ht="14.25" customHeight="1" x14ac:dyDescent="0.3">
      <c r="B345" s="82">
        <v>45615</v>
      </c>
      <c r="C345" s="301" t="s">
        <v>391</v>
      </c>
      <c r="D345">
        <v>7667947187</v>
      </c>
      <c r="E345" s="82">
        <v>45625</v>
      </c>
      <c r="F345" t="s">
        <v>8852</v>
      </c>
      <c r="G345" s="82"/>
      <c r="H345" s="301" t="s">
        <v>9139</v>
      </c>
      <c r="I345" s="120" t="s">
        <v>9063</v>
      </c>
      <c r="K345" s="5"/>
      <c r="L345" s="5"/>
    </row>
    <row r="346" spans="2:12" ht="14.25" customHeight="1" x14ac:dyDescent="0.3">
      <c r="B346" s="82">
        <v>45622</v>
      </c>
      <c r="C346" s="301" t="s">
        <v>9140</v>
      </c>
      <c r="D346">
        <v>9835121075</v>
      </c>
      <c r="E346" s="82">
        <v>45631</v>
      </c>
      <c r="F346" t="s">
        <v>8852</v>
      </c>
      <c r="G346" s="82"/>
      <c r="H346" s="301" t="s">
        <v>9141</v>
      </c>
      <c r="I346" s="120" t="s">
        <v>9063</v>
      </c>
      <c r="K346" s="5"/>
      <c r="L346" s="5"/>
    </row>
    <row r="347" spans="2:12" ht="14.25" customHeight="1" x14ac:dyDescent="0.3">
      <c r="B347" s="82">
        <v>45632</v>
      </c>
      <c r="C347" s="301" t="s">
        <v>5140</v>
      </c>
      <c r="D347">
        <v>7004184647</v>
      </c>
      <c r="G347" s="82"/>
      <c r="H347" s="301" t="s">
        <v>9141</v>
      </c>
      <c r="I347" s="120" t="s">
        <v>9063</v>
      </c>
      <c r="K347" s="5"/>
      <c r="L347" s="5"/>
    </row>
    <row r="348" spans="2:12" ht="14.25" customHeight="1" x14ac:dyDescent="0.3">
      <c r="B348" s="82">
        <v>45634</v>
      </c>
      <c r="C348" s="301" t="s">
        <v>9142</v>
      </c>
      <c r="D348">
        <v>9523678052</v>
      </c>
      <c r="E348" s="82">
        <v>31107</v>
      </c>
      <c r="F348" t="s">
        <v>8852</v>
      </c>
      <c r="G348" s="82">
        <v>31107</v>
      </c>
      <c r="H348" s="301" t="s">
        <v>9143</v>
      </c>
      <c r="I348" s="120" t="s">
        <v>9063</v>
      </c>
      <c r="J348" s="82">
        <v>45636</v>
      </c>
      <c r="K348" s="5"/>
      <c r="L348" s="5"/>
    </row>
    <row r="349" spans="2:12" ht="14.25" customHeight="1" x14ac:dyDescent="0.3">
      <c r="C349" s="301" t="s">
        <v>9144</v>
      </c>
      <c r="D349">
        <v>7004184647</v>
      </c>
      <c r="E349" s="82">
        <v>45639</v>
      </c>
      <c r="F349" t="s">
        <v>8852</v>
      </c>
      <c r="G349" s="82"/>
      <c r="H349" s="301" t="s">
        <v>9143</v>
      </c>
      <c r="I349" s="120" t="s">
        <v>9063</v>
      </c>
      <c r="K349" s="5"/>
      <c r="L349" s="5"/>
    </row>
    <row r="350" spans="2:12" ht="14.25" customHeight="1" x14ac:dyDescent="0.3">
      <c r="C350" s="301" t="s">
        <v>9145</v>
      </c>
      <c r="D350">
        <v>9939431089</v>
      </c>
      <c r="E350" s="82">
        <v>45664</v>
      </c>
      <c r="F350" t="s">
        <v>8852</v>
      </c>
      <c r="G350" s="82"/>
      <c r="H350" s="301" t="s">
        <v>9143</v>
      </c>
      <c r="I350" s="120" t="s">
        <v>9063</v>
      </c>
      <c r="K350" s="5"/>
      <c r="L350" s="5"/>
    </row>
    <row r="351" spans="2:12" ht="14.25" customHeight="1" x14ac:dyDescent="0.3">
      <c r="C351" s="301" t="s">
        <v>9146</v>
      </c>
      <c r="D351">
        <v>9939431089</v>
      </c>
      <c r="E351" s="82">
        <v>45664</v>
      </c>
      <c r="F351" t="s">
        <v>8852</v>
      </c>
      <c r="G351" s="82"/>
      <c r="H351" s="301" t="s">
        <v>9143</v>
      </c>
      <c r="I351" s="120" t="s">
        <v>9063</v>
      </c>
      <c r="K351" s="5"/>
      <c r="L351" s="5"/>
    </row>
    <row r="352" spans="2:12" ht="14.25" customHeight="1" x14ac:dyDescent="0.3">
      <c r="B352" s="82">
        <v>45645</v>
      </c>
      <c r="C352" s="301" t="s">
        <v>9147</v>
      </c>
      <c r="D352">
        <v>9263149738</v>
      </c>
      <c r="E352" s="82">
        <v>45653</v>
      </c>
      <c r="F352" t="s">
        <v>8992</v>
      </c>
      <c r="G352" s="82"/>
      <c r="H352" s="301" t="s">
        <v>9143</v>
      </c>
      <c r="I352" s="120" t="s">
        <v>9063</v>
      </c>
      <c r="K352" s="5"/>
      <c r="L352" s="5"/>
    </row>
    <row r="353" spans="2:12" ht="14.25" customHeight="1" x14ac:dyDescent="0.3">
      <c r="B353" s="82">
        <v>45650</v>
      </c>
      <c r="C353" s="7" t="s">
        <v>8923</v>
      </c>
      <c r="D353">
        <v>7903082835</v>
      </c>
      <c r="G353" s="82"/>
      <c r="H353" s="301" t="s">
        <v>9148</v>
      </c>
      <c r="I353" s="120" t="s">
        <v>9063</v>
      </c>
      <c r="K353" s="5"/>
      <c r="L353" s="5"/>
    </row>
    <row r="354" spans="2:12" ht="14.25" customHeight="1" x14ac:dyDescent="0.3">
      <c r="B354" s="82">
        <v>45654</v>
      </c>
      <c r="C354" s="301" t="s">
        <v>9149</v>
      </c>
      <c r="D354">
        <v>9304422746</v>
      </c>
      <c r="E354" s="82">
        <v>45299</v>
      </c>
      <c r="F354" t="s">
        <v>8852</v>
      </c>
      <c r="G354" s="82"/>
      <c r="H354" s="301" t="s">
        <v>9148</v>
      </c>
      <c r="I354" s="120" t="s">
        <v>9063</v>
      </c>
      <c r="K354" s="5"/>
      <c r="L354" s="5"/>
    </row>
    <row r="355" spans="2:12" ht="14.25" customHeight="1" x14ac:dyDescent="0.3">
      <c r="B355" s="82">
        <v>45693</v>
      </c>
      <c r="C355" s="301" t="s">
        <v>9150</v>
      </c>
      <c r="D355">
        <v>7004062939</v>
      </c>
      <c r="E355" s="82">
        <v>45702</v>
      </c>
      <c r="F355" t="s">
        <v>8852</v>
      </c>
      <c r="G355" s="82"/>
      <c r="H355" s="301" t="s">
        <v>9148</v>
      </c>
      <c r="I355" s="120" t="s">
        <v>9063</v>
      </c>
      <c r="K355" s="5"/>
      <c r="L355" s="5"/>
    </row>
    <row r="356" spans="2:12" ht="14.25" customHeight="1" x14ac:dyDescent="0.3">
      <c r="B356" s="82">
        <v>45696</v>
      </c>
      <c r="C356" s="301" t="s">
        <v>9151</v>
      </c>
      <c r="D356">
        <v>8521721576</v>
      </c>
      <c r="E356" s="82">
        <v>45705</v>
      </c>
      <c r="F356" t="s">
        <v>8852</v>
      </c>
      <c r="G356" s="82">
        <v>34930</v>
      </c>
      <c r="H356" t="s">
        <v>9152</v>
      </c>
      <c r="I356" s="107" t="s">
        <v>9063</v>
      </c>
      <c r="K356" s="5"/>
      <c r="L356" s="5"/>
    </row>
    <row r="357" spans="2:12" ht="14.25" customHeight="1" x14ac:dyDescent="0.3">
      <c r="B357" s="82">
        <v>45741</v>
      </c>
      <c r="C357" s="301" t="s">
        <v>9153</v>
      </c>
      <c r="D357">
        <v>7209707520</v>
      </c>
      <c r="E357" s="82">
        <v>45756</v>
      </c>
      <c r="F357" t="s">
        <v>8852</v>
      </c>
      <c r="G357" s="82"/>
      <c r="H357" t="s">
        <v>908</v>
      </c>
      <c r="K357" s="5"/>
      <c r="L357" s="5"/>
    </row>
    <row r="358" spans="2:12" ht="14.25" customHeight="1" x14ac:dyDescent="0.3">
      <c r="B358" s="82">
        <v>45741</v>
      </c>
      <c r="C358" s="301" t="s">
        <v>9154</v>
      </c>
      <c r="D358">
        <v>8757528714</v>
      </c>
      <c r="E358" s="82">
        <v>45756</v>
      </c>
      <c r="F358" t="s">
        <v>8852</v>
      </c>
      <c r="G358" s="82"/>
      <c r="H358" t="s">
        <v>908</v>
      </c>
      <c r="K358" s="5"/>
      <c r="L358" s="5"/>
    </row>
    <row r="359" spans="2:12" ht="14.25" customHeight="1" x14ac:dyDescent="0.3">
      <c r="C359" s="301" t="s">
        <v>9155</v>
      </c>
      <c r="G359" s="82"/>
      <c r="K359" s="5"/>
      <c r="L359" s="5"/>
    </row>
    <row r="360" spans="2:12" ht="14.25" customHeight="1" x14ac:dyDescent="0.3">
      <c r="B360" s="82">
        <v>45762</v>
      </c>
      <c r="C360" s="301" t="s">
        <v>9156</v>
      </c>
      <c r="D360">
        <v>8250329586</v>
      </c>
      <c r="E360" s="82">
        <v>45621</v>
      </c>
      <c r="F360" t="s">
        <v>8852</v>
      </c>
      <c r="G360" s="82">
        <v>35462</v>
      </c>
      <c r="H360" t="s">
        <v>9157</v>
      </c>
      <c r="I360" s="107" t="s">
        <v>9134</v>
      </c>
      <c r="K360" s="5"/>
      <c r="L360" s="5"/>
    </row>
    <row r="361" spans="2:12" ht="14.25" customHeight="1" x14ac:dyDescent="0.3">
      <c r="B361" s="82">
        <v>45762</v>
      </c>
      <c r="C361" s="301" t="s">
        <v>9158</v>
      </c>
      <c r="D361">
        <v>7004549426</v>
      </c>
      <c r="E361" s="82">
        <v>45764</v>
      </c>
      <c r="F361" t="s">
        <v>8852</v>
      </c>
      <c r="G361" s="82">
        <v>32077</v>
      </c>
      <c r="H361" t="s">
        <v>9159</v>
      </c>
      <c r="I361" s="107" t="s">
        <v>9134</v>
      </c>
      <c r="J361" t="s">
        <v>9160</v>
      </c>
      <c r="K361" s="5"/>
      <c r="L361" s="5"/>
    </row>
    <row r="362" spans="2:12" ht="14.25" customHeight="1" x14ac:dyDescent="0.3">
      <c r="C362" s="301" t="s">
        <v>9161</v>
      </c>
      <c r="D362">
        <v>9431380779</v>
      </c>
      <c r="E362" t="s">
        <v>9162</v>
      </c>
      <c r="F362" t="s">
        <v>8852</v>
      </c>
      <c r="G362" s="82">
        <v>26247</v>
      </c>
      <c r="H362" t="s">
        <v>9163</v>
      </c>
      <c r="I362" s="107" t="s">
        <v>9134</v>
      </c>
      <c r="K362" s="5"/>
      <c r="L362" s="5"/>
    </row>
    <row r="363" spans="2:12" ht="14.25" customHeight="1" x14ac:dyDescent="0.3">
      <c r="B363" s="82">
        <v>45764</v>
      </c>
      <c r="C363" s="301" t="s">
        <v>9164</v>
      </c>
      <c r="E363" s="82">
        <v>45783</v>
      </c>
      <c r="F363" t="s">
        <v>8852</v>
      </c>
      <c r="G363" s="82"/>
      <c r="H363" t="s">
        <v>9165</v>
      </c>
      <c r="I363" s="107" t="s">
        <v>9134</v>
      </c>
      <c r="K363" s="5"/>
      <c r="L363" s="5"/>
    </row>
    <row r="364" spans="2:12" ht="14.25" customHeight="1" x14ac:dyDescent="0.3">
      <c r="B364" s="82">
        <v>45764</v>
      </c>
      <c r="C364" s="301" t="s">
        <v>9166</v>
      </c>
      <c r="E364" s="82">
        <v>45783</v>
      </c>
      <c r="F364" t="s">
        <v>8852</v>
      </c>
      <c r="G364" s="82"/>
      <c r="H364" t="s">
        <v>9165</v>
      </c>
      <c r="I364" s="107" t="s">
        <v>9134</v>
      </c>
      <c r="K364" s="5"/>
      <c r="L364" s="5"/>
    </row>
    <row r="365" spans="2:12" ht="14.25" customHeight="1" x14ac:dyDescent="0.3">
      <c r="B365" s="82">
        <v>45766</v>
      </c>
      <c r="C365" s="301" t="s">
        <v>9167</v>
      </c>
      <c r="D365">
        <v>9931515511</v>
      </c>
      <c r="E365" s="82">
        <v>45782</v>
      </c>
      <c r="F365" t="s">
        <v>8852</v>
      </c>
      <c r="G365" s="82">
        <v>29587</v>
      </c>
      <c r="H365" t="s">
        <v>9165</v>
      </c>
      <c r="I365" s="107" t="s">
        <v>9134</v>
      </c>
      <c r="K365" s="5"/>
      <c r="L365" s="5"/>
    </row>
    <row r="366" spans="2:12" ht="14.25" customHeight="1" x14ac:dyDescent="0.3">
      <c r="C366" s="301" t="s">
        <v>9168</v>
      </c>
      <c r="D366">
        <v>6369464858</v>
      </c>
      <c r="E366" s="82">
        <v>45810</v>
      </c>
      <c r="F366" t="s">
        <v>8852</v>
      </c>
      <c r="G366" s="82">
        <v>37351</v>
      </c>
      <c r="H366" t="s">
        <v>9169</v>
      </c>
      <c r="I366" s="107" t="s">
        <v>9134</v>
      </c>
      <c r="K366" s="5"/>
      <c r="L366" s="5"/>
    </row>
    <row r="367" spans="2:12" ht="14.25" customHeight="1" x14ac:dyDescent="0.3">
      <c r="B367" s="82">
        <v>45772</v>
      </c>
      <c r="C367" t="s">
        <v>9170</v>
      </c>
      <c r="D367">
        <v>9304769459</v>
      </c>
      <c r="E367" s="82">
        <v>45786</v>
      </c>
      <c r="F367" t="s">
        <v>8852</v>
      </c>
      <c r="G367" s="82">
        <v>38136</v>
      </c>
      <c r="H367" t="s">
        <v>9171</v>
      </c>
      <c r="I367" s="107" t="s">
        <v>9134</v>
      </c>
      <c r="K367" s="5"/>
      <c r="L367" s="5"/>
    </row>
    <row r="368" spans="2:12" ht="14.25" customHeight="1" x14ac:dyDescent="0.3">
      <c r="B368" s="82">
        <v>45772</v>
      </c>
      <c r="C368" t="s">
        <v>9172</v>
      </c>
      <c r="D368">
        <v>8102672103</v>
      </c>
      <c r="E368" s="82">
        <v>45786</v>
      </c>
      <c r="F368" t="s">
        <v>8852</v>
      </c>
      <c r="G368" s="82">
        <v>39168</v>
      </c>
      <c r="H368" t="s">
        <v>9171</v>
      </c>
      <c r="I368" s="107" t="s">
        <v>9134</v>
      </c>
      <c r="K368" s="5"/>
      <c r="L368" s="5"/>
    </row>
    <row r="369" spans="2:12" ht="14.25" customHeight="1" x14ac:dyDescent="0.3">
      <c r="B369" s="82">
        <v>45777</v>
      </c>
      <c r="C369" t="s">
        <v>9173</v>
      </c>
      <c r="D369">
        <v>9570166204</v>
      </c>
      <c r="E369" s="82">
        <v>33450</v>
      </c>
      <c r="F369" t="s">
        <v>8852</v>
      </c>
      <c r="G369" s="82"/>
      <c r="H369" t="s">
        <v>9174</v>
      </c>
      <c r="I369" s="107" t="s">
        <v>9134</v>
      </c>
      <c r="J369" t="s">
        <v>9175</v>
      </c>
      <c r="K369" s="5"/>
      <c r="L369" s="5"/>
    </row>
    <row r="370" spans="2:12" ht="14.25" customHeight="1" x14ac:dyDescent="0.3">
      <c r="B370" s="82">
        <v>45778</v>
      </c>
      <c r="C370" t="s">
        <v>9176</v>
      </c>
      <c r="D370">
        <v>9162138310</v>
      </c>
      <c r="E370" s="82">
        <v>45792</v>
      </c>
      <c r="F370" t="s">
        <v>8852</v>
      </c>
      <c r="G370" s="82">
        <v>21547</v>
      </c>
      <c r="H370" t="s">
        <v>9177</v>
      </c>
      <c r="I370" s="107" t="s">
        <v>9134</v>
      </c>
      <c r="K370" s="5"/>
      <c r="L370" s="5"/>
    </row>
    <row r="371" spans="2:12" ht="14.25" customHeight="1" x14ac:dyDescent="0.3">
      <c r="B371" s="82">
        <v>45778</v>
      </c>
      <c r="C371" t="s">
        <v>9178</v>
      </c>
      <c r="D371">
        <v>9234500511</v>
      </c>
      <c r="E371" s="82">
        <v>45792</v>
      </c>
      <c r="F371" t="s">
        <v>8852</v>
      </c>
      <c r="G371" s="82">
        <v>18955</v>
      </c>
      <c r="H371" t="s">
        <v>9177</v>
      </c>
      <c r="I371" s="107" t="s">
        <v>9134</v>
      </c>
      <c r="K371" s="5"/>
      <c r="L371" s="5"/>
    </row>
    <row r="372" spans="2:12" ht="14.25" customHeight="1" x14ac:dyDescent="0.3">
      <c r="B372" s="82">
        <v>45783</v>
      </c>
      <c r="C372" t="s">
        <v>9179</v>
      </c>
      <c r="D372">
        <v>9835189579</v>
      </c>
      <c r="F372" t="s">
        <v>8852</v>
      </c>
      <c r="G372" s="82">
        <v>23023</v>
      </c>
      <c r="H372" t="s">
        <v>9180</v>
      </c>
      <c r="I372" s="107" t="s">
        <v>9134</v>
      </c>
      <c r="K372" s="5"/>
      <c r="L372" s="5"/>
    </row>
    <row r="373" spans="2:12" ht="14.25" customHeight="1" x14ac:dyDescent="0.3">
      <c r="B373" s="82">
        <v>45783</v>
      </c>
      <c r="C373" t="s">
        <v>9181</v>
      </c>
      <c r="D373">
        <v>9835189579</v>
      </c>
      <c r="F373" t="s">
        <v>8852</v>
      </c>
      <c r="G373" s="82">
        <v>22587</v>
      </c>
      <c r="H373" t="s">
        <v>9180</v>
      </c>
      <c r="I373" s="107" t="s">
        <v>9134</v>
      </c>
      <c r="K373" s="5"/>
      <c r="L373" s="5"/>
    </row>
    <row r="374" spans="2:12" ht="14.25" customHeight="1" x14ac:dyDescent="0.3">
      <c r="B374" s="82">
        <v>45784</v>
      </c>
      <c r="C374" t="s">
        <v>9182</v>
      </c>
      <c r="D374">
        <v>9934135005</v>
      </c>
      <c r="E374" s="82">
        <v>45798</v>
      </c>
      <c r="F374" t="s">
        <v>8852</v>
      </c>
      <c r="G374" s="82">
        <v>23811</v>
      </c>
      <c r="H374" t="s">
        <v>9183</v>
      </c>
      <c r="I374" s="107" t="s">
        <v>9134</v>
      </c>
      <c r="K374" s="5"/>
      <c r="L374" s="5"/>
    </row>
    <row r="375" spans="2:12" ht="14.25" customHeight="1" x14ac:dyDescent="0.3">
      <c r="B375" s="82">
        <v>45784</v>
      </c>
      <c r="C375" t="s">
        <v>7844</v>
      </c>
      <c r="D375">
        <v>9470938358</v>
      </c>
      <c r="E375" s="82">
        <v>45798</v>
      </c>
      <c r="F375" t="s">
        <v>8852</v>
      </c>
      <c r="G375" s="82">
        <v>25208</v>
      </c>
      <c r="H375" t="s">
        <v>9183</v>
      </c>
      <c r="I375" s="107" t="s">
        <v>9134</v>
      </c>
      <c r="K375" s="5"/>
      <c r="L375" s="5"/>
    </row>
    <row r="376" spans="2:12" ht="14.25" customHeight="1" x14ac:dyDescent="0.3">
      <c r="B376" s="82">
        <v>45787</v>
      </c>
      <c r="C376" t="s">
        <v>9184</v>
      </c>
      <c r="D376">
        <v>8084017957</v>
      </c>
      <c r="E376" s="82">
        <v>45799</v>
      </c>
      <c r="F376" t="s">
        <v>8852</v>
      </c>
      <c r="G376" s="82">
        <v>30672</v>
      </c>
      <c r="H376" t="s">
        <v>9185</v>
      </c>
      <c r="I376" s="107" t="s">
        <v>9134</v>
      </c>
      <c r="K376" s="5"/>
      <c r="L376" s="5"/>
    </row>
    <row r="377" spans="2:12" ht="14.25" customHeight="1" x14ac:dyDescent="0.3">
      <c r="B377" s="82">
        <v>45789</v>
      </c>
      <c r="C377" t="s">
        <v>9186</v>
      </c>
      <c r="D377">
        <v>7303393021</v>
      </c>
      <c r="F377" t="s">
        <v>8852</v>
      </c>
      <c r="G377" s="82">
        <v>35480</v>
      </c>
      <c r="H377" t="s">
        <v>9187</v>
      </c>
      <c r="I377" s="107" t="s">
        <v>9134</v>
      </c>
      <c r="K377" s="5"/>
      <c r="L377" s="5"/>
    </row>
    <row r="378" spans="2:12" ht="14.25" customHeight="1" x14ac:dyDescent="0.3">
      <c r="B378" s="82">
        <v>45801</v>
      </c>
      <c r="C378" t="s">
        <v>9188</v>
      </c>
      <c r="D378">
        <v>9431568370</v>
      </c>
      <c r="E378" s="82">
        <v>45818</v>
      </c>
      <c r="F378" t="s">
        <v>8852</v>
      </c>
      <c r="G378" s="82">
        <v>36719</v>
      </c>
      <c r="H378" t="s">
        <v>9189</v>
      </c>
      <c r="I378" s="107" t="s">
        <v>9134</v>
      </c>
      <c r="K378" s="5"/>
      <c r="L378" s="5"/>
    </row>
    <row r="379" spans="2:12" ht="14.25" customHeight="1" x14ac:dyDescent="0.3">
      <c r="C379" t="s">
        <v>9190</v>
      </c>
      <c r="G379" s="82"/>
      <c r="H379" t="s">
        <v>9191</v>
      </c>
      <c r="I379" s="107" t="s">
        <v>9134</v>
      </c>
      <c r="K379" s="5"/>
      <c r="L379" s="5"/>
    </row>
    <row r="380" spans="2:12" ht="14.25" customHeight="1" x14ac:dyDescent="0.3">
      <c r="C380" t="s">
        <v>9192</v>
      </c>
      <c r="G380" s="82"/>
      <c r="H380" t="s">
        <v>9191</v>
      </c>
      <c r="I380" s="107" t="s">
        <v>9134</v>
      </c>
      <c r="K380" s="5"/>
      <c r="L380" s="5"/>
    </row>
    <row r="381" spans="2:12" ht="14.25" customHeight="1" x14ac:dyDescent="0.3">
      <c r="C381" t="s">
        <v>9193</v>
      </c>
      <c r="G381" s="82"/>
      <c r="H381" t="s">
        <v>9191</v>
      </c>
      <c r="I381" s="107" t="s">
        <v>9134</v>
      </c>
      <c r="K381" s="5"/>
      <c r="L381" s="5"/>
    </row>
    <row r="382" spans="2:12" ht="14.25" customHeight="1" x14ac:dyDescent="0.3">
      <c r="G382" s="82"/>
      <c r="K382" s="5"/>
      <c r="L382" s="5"/>
    </row>
    <row r="383" spans="2:12" ht="14.25" customHeight="1" x14ac:dyDescent="0.3">
      <c r="G383" s="82"/>
      <c r="K383" s="5"/>
      <c r="L383" s="5"/>
    </row>
    <row r="384" spans="2:12" ht="14.25" customHeight="1" x14ac:dyDescent="0.3">
      <c r="B384" s="82">
        <v>45817</v>
      </c>
      <c r="C384" t="s">
        <v>9194</v>
      </c>
      <c r="D384">
        <v>8210359949</v>
      </c>
      <c r="E384" s="82">
        <v>45818</v>
      </c>
      <c r="F384" t="s">
        <v>8749</v>
      </c>
      <c r="G384" s="82">
        <v>37895</v>
      </c>
      <c r="H384" t="s">
        <v>9195</v>
      </c>
      <c r="I384" s="107" t="s">
        <v>9134</v>
      </c>
      <c r="K384" s="5"/>
      <c r="L384" s="5"/>
    </row>
    <row r="385" spans="2:12" ht="14.25" customHeight="1" x14ac:dyDescent="0.3">
      <c r="B385" s="82">
        <v>45822</v>
      </c>
      <c r="C385" t="s">
        <v>9196</v>
      </c>
      <c r="D385">
        <v>7979095121</v>
      </c>
      <c r="F385" t="s">
        <v>8830</v>
      </c>
      <c r="G385" s="82"/>
      <c r="H385" t="s">
        <v>9195</v>
      </c>
      <c r="I385" s="107" t="s">
        <v>9134</v>
      </c>
      <c r="K385" s="5"/>
      <c r="L385" s="5"/>
    </row>
    <row r="386" spans="2:12" ht="14.25" customHeight="1" x14ac:dyDescent="0.3">
      <c r="B386" s="82">
        <v>45831</v>
      </c>
      <c r="C386" t="s">
        <v>9197</v>
      </c>
      <c r="D386">
        <v>8709346550</v>
      </c>
      <c r="G386" s="82"/>
      <c r="H386" t="s">
        <v>9195</v>
      </c>
      <c r="I386" s="107" t="s">
        <v>9134</v>
      </c>
      <c r="K386" s="5"/>
      <c r="L386" s="5"/>
    </row>
    <row r="387" spans="2:12" ht="14.25" customHeight="1" x14ac:dyDescent="0.3">
      <c r="B387" s="82">
        <v>45832</v>
      </c>
      <c r="C387" t="s">
        <v>9198</v>
      </c>
      <c r="D387">
        <v>9973541963</v>
      </c>
      <c r="F387" t="s">
        <v>9199</v>
      </c>
      <c r="G387" s="82">
        <v>35516</v>
      </c>
      <c r="H387" t="s">
        <v>9195</v>
      </c>
      <c r="I387" s="107" t="s">
        <v>9134</v>
      </c>
      <c r="K387" s="5"/>
      <c r="L387" s="5"/>
    </row>
    <row r="388" spans="2:12" ht="14.25" customHeight="1" x14ac:dyDescent="0.3">
      <c r="B388" s="82">
        <v>45840</v>
      </c>
      <c r="C388" t="s">
        <v>9200</v>
      </c>
      <c r="D388">
        <v>8603851214</v>
      </c>
      <c r="G388" s="82"/>
      <c r="H388" t="s">
        <v>9201</v>
      </c>
      <c r="I388" s="107" t="s">
        <v>9134</v>
      </c>
      <c r="K388" s="5"/>
      <c r="L388" s="5"/>
    </row>
    <row r="389" spans="2:12" ht="14.25" customHeight="1" x14ac:dyDescent="0.3">
      <c r="B389" s="82">
        <v>45840</v>
      </c>
      <c r="C389" t="s">
        <v>9202</v>
      </c>
      <c r="D389">
        <v>9204028925</v>
      </c>
      <c r="H389" t="s">
        <v>9201</v>
      </c>
      <c r="I389" s="107" t="s">
        <v>9134</v>
      </c>
      <c r="K389" s="5"/>
      <c r="L389" s="5"/>
    </row>
    <row r="390" spans="2:12" ht="14.25" customHeight="1" x14ac:dyDescent="0.3">
      <c r="B390" s="82">
        <v>45856</v>
      </c>
      <c r="C390" t="s">
        <v>9203</v>
      </c>
      <c r="D390">
        <v>7488241857</v>
      </c>
      <c r="F390" t="s">
        <v>8749</v>
      </c>
      <c r="G390" s="82">
        <v>45859</v>
      </c>
      <c r="H390" t="s">
        <v>9195</v>
      </c>
      <c r="I390" s="107" t="s">
        <v>9134</v>
      </c>
      <c r="K390" s="5"/>
      <c r="L390" s="5"/>
    </row>
    <row r="391" spans="2:12" ht="14.25" customHeight="1" x14ac:dyDescent="0.3">
      <c r="B391" s="82">
        <v>45862</v>
      </c>
      <c r="C391" t="s">
        <v>9204</v>
      </c>
      <c r="D391">
        <v>9204268142</v>
      </c>
      <c r="F391" t="s">
        <v>8992</v>
      </c>
      <c r="G391" s="82">
        <v>45882</v>
      </c>
      <c r="H391" t="s">
        <v>9205</v>
      </c>
      <c r="I391" s="107" t="s">
        <v>9134</v>
      </c>
      <c r="K391" s="5"/>
      <c r="L391" s="5"/>
    </row>
    <row r="392" spans="2:12" ht="14.25" customHeight="1" x14ac:dyDescent="0.3">
      <c r="B392" s="82">
        <v>45862</v>
      </c>
      <c r="C392" t="s">
        <v>9206</v>
      </c>
      <c r="D392">
        <v>9771143351</v>
      </c>
      <c r="F392" t="s">
        <v>8992</v>
      </c>
      <c r="G392" s="82">
        <v>45882</v>
      </c>
      <c r="H392" t="s">
        <v>9205</v>
      </c>
      <c r="I392" s="107" t="s">
        <v>9134</v>
      </c>
      <c r="K392" s="5"/>
      <c r="L392" s="5"/>
    </row>
    <row r="393" spans="2:12" ht="14.25" customHeight="1" x14ac:dyDescent="0.3">
      <c r="B393" s="82">
        <v>45863</v>
      </c>
      <c r="C393" t="s">
        <v>9207</v>
      </c>
      <c r="D393">
        <v>9102518367</v>
      </c>
      <c r="F393" t="s">
        <v>8992</v>
      </c>
      <c r="G393" s="82">
        <v>45882</v>
      </c>
      <c r="H393" t="s">
        <v>9205</v>
      </c>
      <c r="I393" s="107" t="s">
        <v>9134</v>
      </c>
      <c r="K393" s="5"/>
      <c r="L393" s="5"/>
    </row>
    <row r="394" spans="2:12" ht="14.25" customHeight="1" x14ac:dyDescent="0.3">
      <c r="B394" s="82">
        <v>45866</v>
      </c>
      <c r="C394" s="301" t="s">
        <v>8326</v>
      </c>
      <c r="D394">
        <v>9031138764</v>
      </c>
      <c r="F394" s="301" t="s">
        <v>8767</v>
      </c>
      <c r="G394" s="82">
        <v>14611</v>
      </c>
      <c r="H394" s="301" t="s">
        <v>9208</v>
      </c>
      <c r="I394" s="107" t="s">
        <v>9134</v>
      </c>
      <c r="K394" s="5"/>
      <c r="L394" s="5"/>
    </row>
    <row r="395" spans="2:12" ht="14.25" customHeight="1" x14ac:dyDescent="0.3">
      <c r="B395" s="82">
        <v>45867</v>
      </c>
      <c r="C395" s="301" t="s">
        <v>9209</v>
      </c>
      <c r="D395">
        <v>9835746313</v>
      </c>
      <c r="F395" s="301" t="s">
        <v>8830</v>
      </c>
      <c r="G395" s="82">
        <v>37380</v>
      </c>
      <c r="H395" s="301" t="s">
        <v>9208</v>
      </c>
      <c r="I395" s="107" t="s">
        <v>9134</v>
      </c>
      <c r="K395" s="5"/>
      <c r="L395" s="5"/>
    </row>
    <row r="396" spans="2:12" ht="14.25" customHeight="1" x14ac:dyDescent="0.3">
      <c r="B396" s="82">
        <v>45869</v>
      </c>
      <c r="C396" s="301" t="s">
        <v>2461</v>
      </c>
      <c r="D396">
        <v>8002111251</v>
      </c>
      <c r="G396" s="306">
        <v>29587</v>
      </c>
      <c r="H396" s="301" t="s">
        <v>9210</v>
      </c>
      <c r="I396" s="107" t="s">
        <v>9134</v>
      </c>
      <c r="K396" s="5"/>
      <c r="L396" s="5"/>
    </row>
    <row r="397" spans="2:12" ht="14.25" customHeight="1" x14ac:dyDescent="0.3">
      <c r="B397" s="82">
        <v>45872</v>
      </c>
      <c r="C397" s="301" t="s">
        <v>8986</v>
      </c>
      <c r="D397">
        <v>7319799147</v>
      </c>
      <c r="E397" s="82">
        <v>45891</v>
      </c>
      <c r="F397" t="s">
        <v>8770</v>
      </c>
      <c r="G397" s="306">
        <v>29587</v>
      </c>
      <c r="H397" s="301" t="s">
        <v>9210</v>
      </c>
      <c r="I397" s="107" t="s">
        <v>9134</v>
      </c>
      <c r="K397" s="5"/>
      <c r="L397" s="5"/>
    </row>
    <row r="398" spans="2:12" ht="14.25" customHeight="1" x14ac:dyDescent="0.3">
      <c r="B398" s="82">
        <v>45884</v>
      </c>
      <c r="C398" s="301" t="s">
        <v>9211</v>
      </c>
      <c r="D398">
        <v>9142615545</v>
      </c>
      <c r="F398" t="s">
        <v>8992</v>
      </c>
      <c r="G398" s="306">
        <v>38125</v>
      </c>
      <c r="H398" s="301" t="s">
        <v>9212</v>
      </c>
      <c r="I398" s="107" t="s">
        <v>9134</v>
      </c>
      <c r="K398" s="5"/>
      <c r="L398" s="5"/>
    </row>
    <row r="399" spans="2:12" ht="14.25" customHeight="1" x14ac:dyDescent="0.3">
      <c r="B399" s="82">
        <v>45884</v>
      </c>
      <c r="C399" s="301" t="s">
        <v>9186</v>
      </c>
      <c r="D399">
        <v>7303393021</v>
      </c>
      <c r="F399" t="s">
        <v>8992</v>
      </c>
      <c r="G399" s="82">
        <v>35480</v>
      </c>
      <c r="H399" s="301" t="s">
        <v>9212</v>
      </c>
      <c r="I399" s="107" t="s">
        <v>9134</v>
      </c>
      <c r="K399" s="5"/>
      <c r="L399" s="5"/>
    </row>
    <row r="400" spans="2:12" ht="14.25" customHeight="1" x14ac:dyDescent="0.3">
      <c r="B400" s="82">
        <v>45902</v>
      </c>
      <c r="C400" s="301" t="s">
        <v>9213</v>
      </c>
      <c r="D400">
        <v>8252851795</v>
      </c>
      <c r="E400" t="s">
        <v>8821</v>
      </c>
      <c r="F400" t="s">
        <v>8992</v>
      </c>
      <c r="G400" s="82">
        <v>37544</v>
      </c>
      <c r="H400" s="301" t="s">
        <v>9214</v>
      </c>
      <c r="I400" s="107" t="s">
        <v>9134</v>
      </c>
      <c r="K400" s="5"/>
      <c r="L400" s="5"/>
    </row>
    <row r="401" spans="2:12" ht="14.25" customHeight="1" x14ac:dyDescent="0.3">
      <c r="B401" s="82">
        <v>45902</v>
      </c>
      <c r="C401" s="301" t="s">
        <v>9215</v>
      </c>
      <c r="D401">
        <v>7061983022</v>
      </c>
      <c r="E401" t="s">
        <v>8821</v>
      </c>
      <c r="F401" t="s">
        <v>8992</v>
      </c>
      <c r="G401" s="82">
        <v>37672</v>
      </c>
      <c r="H401" s="301" t="s">
        <v>9214</v>
      </c>
      <c r="I401" s="107" t="s">
        <v>9134</v>
      </c>
      <c r="K401" s="5"/>
      <c r="L401" s="5"/>
    </row>
    <row r="402" spans="2:12" ht="14.25" customHeight="1" x14ac:dyDescent="0.3">
      <c r="C402" s="301" t="s">
        <v>9216</v>
      </c>
      <c r="D402">
        <v>907796049227</v>
      </c>
      <c r="F402" t="s">
        <v>8992</v>
      </c>
      <c r="G402" s="82">
        <v>32664</v>
      </c>
      <c r="H402" s="301" t="s">
        <v>9214</v>
      </c>
      <c r="I402" s="107" t="s">
        <v>9134</v>
      </c>
      <c r="K402" s="5"/>
      <c r="L402" s="5"/>
    </row>
    <row r="403" spans="2:12" ht="14.25" customHeight="1" x14ac:dyDescent="0.3">
      <c r="B403" s="82">
        <v>45910</v>
      </c>
      <c r="C403" s="301" t="s">
        <v>9217</v>
      </c>
      <c r="D403">
        <v>9097089960</v>
      </c>
      <c r="E403" t="s">
        <v>9218</v>
      </c>
      <c r="F403" t="s">
        <v>8992</v>
      </c>
      <c r="G403" s="82">
        <v>31413</v>
      </c>
      <c r="H403" s="301" t="s">
        <v>9219</v>
      </c>
      <c r="I403" s="107" t="s">
        <v>9134</v>
      </c>
      <c r="J403" s="82">
        <v>45930</v>
      </c>
      <c r="K403" s="5"/>
      <c r="L403" s="5"/>
    </row>
    <row r="404" spans="2:12" ht="14.25" customHeight="1" x14ac:dyDescent="0.3">
      <c r="B404" s="82">
        <v>45922</v>
      </c>
      <c r="C404" s="301" t="s">
        <v>9220</v>
      </c>
      <c r="D404">
        <v>6202057081</v>
      </c>
      <c r="F404" t="s">
        <v>8992</v>
      </c>
      <c r="G404" t="s">
        <v>9221</v>
      </c>
      <c r="H404" s="301" t="s">
        <v>9219</v>
      </c>
      <c r="I404" s="107" t="s">
        <v>9134</v>
      </c>
      <c r="K404" s="5"/>
      <c r="L404" s="5"/>
    </row>
    <row r="405" spans="2:12" ht="14.25" customHeight="1" x14ac:dyDescent="0.3">
      <c r="B405" s="82">
        <v>45924</v>
      </c>
      <c r="C405" s="301" t="s">
        <v>9222</v>
      </c>
      <c r="D405">
        <v>9661880779</v>
      </c>
      <c r="E405" s="82">
        <v>45944</v>
      </c>
      <c r="F405" t="s">
        <v>8992</v>
      </c>
      <c r="H405" s="301" t="s">
        <v>9219</v>
      </c>
      <c r="I405" s="107" t="s">
        <v>9134</v>
      </c>
      <c r="K405" s="5"/>
      <c r="L405" s="5"/>
    </row>
    <row r="406" spans="2:12" ht="14.25" customHeight="1" x14ac:dyDescent="0.3">
      <c r="B406" s="82">
        <v>45924</v>
      </c>
      <c r="C406" s="301" t="s">
        <v>9223</v>
      </c>
      <c r="D406">
        <v>7739990511</v>
      </c>
      <c r="F406" t="s">
        <v>9224</v>
      </c>
      <c r="H406" s="301" t="s">
        <v>9212</v>
      </c>
      <c r="I406" s="107" t="s">
        <v>9134</v>
      </c>
      <c r="K406" s="5"/>
      <c r="L406" s="5"/>
    </row>
    <row r="407" spans="2:12" ht="14.25" customHeight="1" x14ac:dyDescent="0.3">
      <c r="B407" s="82">
        <v>45935</v>
      </c>
      <c r="C407" s="301" t="s">
        <v>9225</v>
      </c>
      <c r="D407">
        <v>6200772715</v>
      </c>
      <c r="F407" t="s">
        <v>9226</v>
      </c>
      <c r="H407" s="301" t="s">
        <v>9212</v>
      </c>
      <c r="I407" s="107" t="s">
        <v>9134</v>
      </c>
      <c r="K407" s="5"/>
      <c r="L407" s="5"/>
    </row>
    <row r="408" spans="2:12" ht="14.25" customHeight="1" x14ac:dyDescent="0.3">
      <c r="B408" s="82">
        <v>45937</v>
      </c>
      <c r="C408" s="98" t="s">
        <v>9227</v>
      </c>
      <c r="D408">
        <v>6200452210</v>
      </c>
      <c r="E408">
        <v>9801338906</v>
      </c>
      <c r="F408" t="s">
        <v>9226</v>
      </c>
      <c r="G408" s="82">
        <v>45985</v>
      </c>
      <c r="H408" s="301" t="s">
        <v>9228</v>
      </c>
      <c r="I408" s="107" t="s">
        <v>9134</v>
      </c>
      <c r="J408" s="301" t="s">
        <v>9229</v>
      </c>
      <c r="K408" s="5"/>
      <c r="L408" s="5"/>
    </row>
    <row r="409" spans="2:12" ht="14.25" customHeight="1" x14ac:dyDescent="0.3">
      <c r="B409" s="82">
        <v>45939</v>
      </c>
      <c r="C409" s="301" t="s">
        <v>9230</v>
      </c>
      <c r="F409" t="s">
        <v>9226</v>
      </c>
      <c r="H409" s="301" t="s">
        <v>9228</v>
      </c>
      <c r="I409" s="107" t="s">
        <v>9134</v>
      </c>
      <c r="K409" s="5"/>
      <c r="L409" s="5"/>
    </row>
    <row r="410" spans="2:12" ht="14.25" customHeight="1" x14ac:dyDescent="0.3">
      <c r="B410" s="82">
        <v>45946</v>
      </c>
      <c r="C410" s="301" t="s">
        <v>9231</v>
      </c>
      <c r="D410">
        <v>7903634461</v>
      </c>
      <c r="F410" t="s">
        <v>9226</v>
      </c>
      <c r="H410" s="301" t="s">
        <v>9228</v>
      </c>
      <c r="I410" s="107" t="s">
        <v>9134</v>
      </c>
      <c r="K410" s="5"/>
      <c r="L410" s="5"/>
    </row>
    <row r="411" spans="2:12" ht="14.25" customHeight="1" x14ac:dyDescent="0.3">
      <c r="B411" s="82">
        <v>45962</v>
      </c>
      <c r="C411" s="301" t="s">
        <v>9232</v>
      </c>
      <c r="E411" s="82">
        <v>45988</v>
      </c>
      <c r="F411" t="s">
        <v>9226</v>
      </c>
      <c r="G411" s="82">
        <v>41933</v>
      </c>
      <c r="H411" s="301" t="s">
        <v>9233</v>
      </c>
      <c r="I411" s="107" t="s">
        <v>9134</v>
      </c>
      <c r="K411" s="5"/>
      <c r="L411" s="5"/>
    </row>
    <row r="412" spans="2:12" ht="14.25" customHeight="1" x14ac:dyDescent="0.3">
      <c r="B412" s="82">
        <v>45962</v>
      </c>
      <c r="C412" s="301" t="s">
        <v>9234</v>
      </c>
      <c r="E412" s="82">
        <v>45988</v>
      </c>
      <c r="F412" t="s">
        <v>9226</v>
      </c>
      <c r="G412" s="82">
        <v>39912</v>
      </c>
      <c r="H412" s="301" t="s">
        <v>9233</v>
      </c>
      <c r="I412" s="107" t="s">
        <v>9134</v>
      </c>
      <c r="K412" s="5"/>
      <c r="L412" s="5"/>
    </row>
    <row r="413" spans="2:12" ht="14.25" customHeight="1" x14ac:dyDescent="0.3">
      <c r="B413" s="82">
        <v>45995</v>
      </c>
      <c r="C413" s="312" t="s">
        <v>10716</v>
      </c>
      <c r="F413" t="s">
        <v>9226</v>
      </c>
      <c r="H413" s="311" t="s">
        <v>10715</v>
      </c>
      <c r="I413" s="107" t="s">
        <v>9134</v>
      </c>
      <c r="K413" s="5"/>
      <c r="L413" s="5"/>
    </row>
    <row r="414" spans="2:12" ht="14.25" customHeight="1" x14ac:dyDescent="0.3">
      <c r="B414" s="82">
        <v>45995</v>
      </c>
      <c r="C414" s="312" t="s">
        <v>10717</v>
      </c>
      <c r="F414" t="s">
        <v>9226</v>
      </c>
      <c r="H414" s="311" t="s">
        <v>10715</v>
      </c>
      <c r="I414" s="107" t="s">
        <v>9134</v>
      </c>
      <c r="K414" s="5"/>
      <c r="L414" s="5"/>
    </row>
    <row r="415" spans="2:12" ht="14.25" customHeight="1" x14ac:dyDescent="0.3">
      <c r="B415" s="82">
        <v>46015</v>
      </c>
      <c r="C415" s="314" t="s">
        <v>10778</v>
      </c>
      <c r="E415" s="82">
        <v>46017</v>
      </c>
      <c r="F415" t="s">
        <v>8821</v>
      </c>
      <c r="H415" s="314" t="s">
        <v>10777</v>
      </c>
      <c r="I415" s="107" t="s">
        <v>9134</v>
      </c>
      <c r="K415" s="5"/>
      <c r="L415" s="5"/>
    </row>
    <row r="416" spans="2:12" ht="14.25" customHeight="1" x14ac:dyDescent="0.3">
      <c r="B416" s="82">
        <v>46015</v>
      </c>
      <c r="C416" s="314" t="s">
        <v>10779</v>
      </c>
      <c r="D416">
        <v>9234749448</v>
      </c>
      <c r="E416" s="82">
        <v>46021</v>
      </c>
      <c r="F416" t="s">
        <v>8821</v>
      </c>
      <c r="H416" s="314" t="s">
        <v>10777</v>
      </c>
      <c r="I416" s="107" t="s">
        <v>9134</v>
      </c>
      <c r="K416" s="5"/>
      <c r="L416" s="5"/>
    </row>
    <row r="417" spans="2:12" ht="14.25" customHeight="1" x14ac:dyDescent="0.3">
      <c r="B417" s="82">
        <v>46016</v>
      </c>
      <c r="C417" s="315" t="s">
        <v>10780</v>
      </c>
      <c r="D417">
        <v>7091339397</v>
      </c>
      <c r="E417" s="82">
        <v>46021</v>
      </c>
      <c r="F417" t="s">
        <v>8821</v>
      </c>
      <c r="H417" s="314" t="s">
        <v>10777</v>
      </c>
      <c r="I417" s="107" t="s">
        <v>9134</v>
      </c>
      <c r="K417" s="5"/>
      <c r="L417" s="5"/>
    </row>
    <row r="418" spans="2:12" ht="14.25" customHeight="1" x14ac:dyDescent="0.3">
      <c r="B418" s="82">
        <v>46019</v>
      </c>
      <c r="C418" s="316" t="s">
        <v>10791</v>
      </c>
      <c r="D418">
        <v>9430357053</v>
      </c>
      <c r="E418" s="82">
        <v>46049</v>
      </c>
      <c r="F418" s="316" t="s">
        <v>8767</v>
      </c>
      <c r="H418" s="314" t="s">
        <v>10790</v>
      </c>
      <c r="I418" s="107" t="s">
        <v>9134</v>
      </c>
      <c r="J418" s="316" t="s">
        <v>10792</v>
      </c>
      <c r="K418" s="5"/>
      <c r="L418" s="5"/>
    </row>
    <row r="419" spans="2:12" s="318" customFormat="1" ht="14.25" customHeight="1" x14ac:dyDescent="0.3">
      <c r="B419" s="324">
        <v>46034</v>
      </c>
      <c r="C419" s="323" t="s">
        <v>10933</v>
      </c>
      <c r="D419" s="318">
        <v>7544022311</v>
      </c>
      <c r="E419" s="324">
        <v>46090</v>
      </c>
      <c r="F419" s="316" t="s">
        <v>8767</v>
      </c>
      <c r="H419" s="318" t="s">
        <v>10876</v>
      </c>
      <c r="I419" s="107" t="s">
        <v>10877</v>
      </c>
    </row>
    <row r="420" spans="2:12" ht="14.25" customHeight="1" x14ac:dyDescent="0.3">
      <c r="B420" s="82">
        <v>46034</v>
      </c>
      <c r="C420" s="318" t="s">
        <v>10875</v>
      </c>
      <c r="D420">
        <v>9142427485</v>
      </c>
      <c r="E420" s="82">
        <v>38693</v>
      </c>
      <c r="F420" s="316" t="s">
        <v>8767</v>
      </c>
      <c r="G420" s="311" t="s">
        <v>2579</v>
      </c>
      <c r="H420" s="318" t="s">
        <v>10876</v>
      </c>
      <c r="I420" s="107" t="s">
        <v>10877</v>
      </c>
      <c r="K420" s="5"/>
      <c r="L420" s="5"/>
    </row>
    <row r="421" spans="2:12" ht="14.25" customHeight="1" x14ac:dyDescent="0.3">
      <c r="B421" s="82">
        <v>46034</v>
      </c>
      <c r="C421" s="318" t="s">
        <v>10878</v>
      </c>
      <c r="D421">
        <v>7250980141</v>
      </c>
      <c r="E421" s="82">
        <v>27147</v>
      </c>
      <c r="F421" s="316" t="s">
        <v>8767</v>
      </c>
      <c r="H421" s="318" t="s">
        <v>10876</v>
      </c>
      <c r="I421" s="107" t="s">
        <v>10877</v>
      </c>
      <c r="K421" s="5"/>
      <c r="L421" s="5"/>
    </row>
    <row r="422" spans="2:12" ht="14.25" customHeight="1" x14ac:dyDescent="0.3">
      <c r="B422" s="82">
        <v>46034</v>
      </c>
      <c r="F422" s="316" t="s">
        <v>8767</v>
      </c>
      <c r="H422" s="318" t="s">
        <v>10876</v>
      </c>
      <c r="I422" s="107" t="s">
        <v>10877</v>
      </c>
      <c r="K422" s="5"/>
      <c r="L422" s="5"/>
    </row>
    <row r="423" spans="2:12" ht="14.25" customHeight="1" x14ac:dyDescent="0.3">
      <c r="B423" s="82">
        <v>46058</v>
      </c>
      <c r="C423" s="424" t="s">
        <v>11073</v>
      </c>
      <c r="D423">
        <v>7209433556</v>
      </c>
      <c r="F423" s="316" t="s">
        <v>8767</v>
      </c>
      <c r="H423" s="424" t="s">
        <v>11075</v>
      </c>
      <c r="I423" s="107" t="s">
        <v>10877</v>
      </c>
      <c r="K423" s="5"/>
      <c r="L423" s="5"/>
    </row>
    <row r="424" spans="2:12" ht="14.25" customHeight="1" x14ac:dyDescent="0.3">
      <c r="B424" s="82">
        <v>46058</v>
      </c>
      <c r="C424" s="424" t="s">
        <v>11074</v>
      </c>
      <c r="D424">
        <v>7209433556</v>
      </c>
      <c r="F424" s="316" t="s">
        <v>8767</v>
      </c>
      <c r="H424" s="424" t="s">
        <v>11075</v>
      </c>
      <c r="I424" s="107" t="s">
        <v>10877</v>
      </c>
      <c r="K424" s="5"/>
      <c r="L424" s="5"/>
    </row>
    <row r="425" spans="2:12" ht="14.25" customHeight="1" x14ac:dyDescent="0.3">
      <c r="C425" t="s">
        <v>10672</v>
      </c>
      <c r="F425" s="316" t="s">
        <v>8767</v>
      </c>
      <c r="H425" s="399" t="s">
        <v>10978</v>
      </c>
      <c r="I425" s="107" t="s">
        <v>10877</v>
      </c>
      <c r="K425" s="5"/>
      <c r="L425" s="5"/>
    </row>
    <row r="426" spans="2:12" ht="14.25" customHeight="1" x14ac:dyDescent="0.3">
      <c r="C426" t="s">
        <v>11000</v>
      </c>
      <c r="E426" s="82">
        <v>46104</v>
      </c>
      <c r="F426" t="s">
        <v>8992</v>
      </c>
      <c r="H426" t="s">
        <v>10999</v>
      </c>
      <c r="I426" s="107" t="s">
        <v>10877</v>
      </c>
      <c r="K426" s="5"/>
      <c r="L426" s="5"/>
    </row>
    <row r="427" spans="2:12" ht="14.25" customHeight="1" x14ac:dyDescent="0.3">
      <c r="B427" s="82">
        <v>46081</v>
      </c>
      <c r="C427" t="s">
        <v>11001</v>
      </c>
      <c r="E427" s="82">
        <v>46105</v>
      </c>
      <c r="F427" t="s">
        <v>8992</v>
      </c>
      <c r="H427" t="s">
        <v>10999</v>
      </c>
      <c r="I427" s="107" t="s">
        <v>10877</v>
      </c>
      <c r="K427" s="5"/>
      <c r="L427" s="5"/>
    </row>
    <row r="428" spans="2:12" ht="14.25" customHeight="1" x14ac:dyDescent="0.3">
      <c r="B428" s="82">
        <v>46095</v>
      </c>
      <c r="C428" t="s">
        <v>11011</v>
      </c>
      <c r="D428">
        <v>9263721935</v>
      </c>
      <c r="E428" s="82">
        <v>46108</v>
      </c>
      <c r="F428" t="s">
        <v>8992</v>
      </c>
      <c r="H428" t="s">
        <v>11012</v>
      </c>
      <c r="I428" s="107" t="s">
        <v>10877</v>
      </c>
      <c r="K428" s="5"/>
      <c r="L428" s="5"/>
    </row>
    <row r="429" spans="2:12" ht="14.25" customHeight="1" x14ac:dyDescent="0.3">
      <c r="B429" s="82">
        <v>46099</v>
      </c>
      <c r="C429" t="s">
        <v>11030</v>
      </c>
      <c r="E429" s="82">
        <v>46100</v>
      </c>
      <c r="F429" t="s">
        <v>8992</v>
      </c>
      <c r="G429" t="s">
        <v>8677</v>
      </c>
      <c r="H429" t="s">
        <v>11012</v>
      </c>
      <c r="I429" s="107" t="s">
        <v>10877</v>
      </c>
      <c r="K429" s="5"/>
      <c r="L429" s="5"/>
    </row>
    <row r="430" spans="2:12" ht="14.25" customHeight="1" x14ac:dyDescent="0.3">
      <c r="B430" s="82">
        <v>46100</v>
      </c>
      <c r="C430" t="s">
        <v>3614</v>
      </c>
      <c r="D430">
        <v>9304788194</v>
      </c>
      <c r="E430" s="82">
        <v>46104</v>
      </c>
      <c r="F430" t="s">
        <v>8821</v>
      </c>
      <c r="G430" t="s">
        <v>11043</v>
      </c>
      <c r="H430" t="s">
        <v>11012</v>
      </c>
      <c r="I430" s="107" t="s">
        <v>10877</v>
      </c>
      <c r="K430" s="5"/>
      <c r="L430" s="5"/>
    </row>
    <row r="431" spans="2:12" ht="14.25" customHeight="1" x14ac:dyDescent="0.3">
      <c r="B431" s="82">
        <v>46100</v>
      </c>
      <c r="C431" t="s">
        <v>11042</v>
      </c>
      <c r="D431">
        <v>9431303078</v>
      </c>
      <c r="E431" s="82">
        <v>46104</v>
      </c>
      <c r="F431" t="s">
        <v>8821</v>
      </c>
      <c r="G431" t="s">
        <v>11043</v>
      </c>
      <c r="H431" t="s">
        <v>11012</v>
      </c>
      <c r="I431" s="107" t="s">
        <v>10877</v>
      </c>
      <c r="K431" s="5"/>
      <c r="L431" s="5"/>
    </row>
    <row r="432" spans="2:12" ht="14.25" customHeight="1" x14ac:dyDescent="0.3">
      <c r="B432" s="82">
        <v>46106</v>
      </c>
      <c r="C432" t="s">
        <v>11087</v>
      </c>
      <c r="D432">
        <v>9431364599</v>
      </c>
      <c r="E432" s="82">
        <v>46127</v>
      </c>
      <c r="F432" t="s">
        <v>8992</v>
      </c>
      <c r="G432" t="s">
        <v>11043</v>
      </c>
      <c r="H432" t="s">
        <v>11065</v>
      </c>
      <c r="I432" s="107" t="s">
        <v>10877</v>
      </c>
      <c r="K432" s="5"/>
      <c r="L432" s="5"/>
    </row>
    <row r="433" spans="2:12" ht="14.25" customHeight="1" x14ac:dyDescent="0.3">
      <c r="B433" s="82">
        <v>46131</v>
      </c>
      <c r="C433" t="s">
        <v>11103</v>
      </c>
      <c r="D433">
        <v>9304031034</v>
      </c>
      <c r="E433" t="s">
        <v>862</v>
      </c>
      <c r="F433" t="s">
        <v>8992</v>
      </c>
      <c r="H433" t="s">
        <v>11104</v>
      </c>
      <c r="I433" s="107" t="s">
        <v>10877</v>
      </c>
      <c r="J433" t="s">
        <v>11105</v>
      </c>
      <c r="K433" s="5"/>
      <c r="L433" s="5"/>
    </row>
    <row r="434" spans="2:12" ht="14.25" customHeight="1" x14ac:dyDescent="0.3">
      <c r="B434" s="82">
        <v>46132</v>
      </c>
      <c r="C434" t="s">
        <v>11108</v>
      </c>
      <c r="F434" t="s">
        <v>8992</v>
      </c>
      <c r="H434" t="s">
        <v>11065</v>
      </c>
      <c r="I434" s="107" t="s">
        <v>11428</v>
      </c>
      <c r="K434" s="5"/>
      <c r="L434" s="5"/>
    </row>
    <row r="435" spans="2:12" ht="14.25" customHeight="1" x14ac:dyDescent="0.3">
      <c r="C435" t="s">
        <v>11116</v>
      </c>
      <c r="F435" t="s">
        <v>8992</v>
      </c>
      <c r="H435" t="s">
        <v>11065</v>
      </c>
      <c r="I435" s="107" t="s">
        <v>10877</v>
      </c>
      <c r="K435" s="5"/>
      <c r="L435" s="5"/>
    </row>
    <row r="436" spans="2:12" ht="14.25" customHeight="1" x14ac:dyDescent="0.3">
      <c r="B436" s="82">
        <v>46140</v>
      </c>
      <c r="C436" t="s">
        <v>11117</v>
      </c>
      <c r="D436">
        <v>9334116529</v>
      </c>
      <c r="F436" t="s">
        <v>8992</v>
      </c>
      <c r="H436" t="s">
        <v>11065</v>
      </c>
      <c r="I436" s="107" t="s">
        <v>10877</v>
      </c>
      <c r="K436" s="5"/>
      <c r="L436" s="5"/>
    </row>
    <row r="437" spans="2:12" ht="14.25" customHeight="1" x14ac:dyDescent="0.3">
      <c r="B437" s="82">
        <v>46163</v>
      </c>
      <c r="C437" t="s">
        <v>11173</v>
      </c>
      <c r="D437">
        <v>6299240075</v>
      </c>
      <c r="F437" t="s">
        <v>8992</v>
      </c>
      <c r="H437" t="s">
        <v>11174</v>
      </c>
      <c r="I437" s="107" t="s">
        <v>10877</v>
      </c>
      <c r="J437">
        <v>26</v>
      </c>
      <c r="K437" s="5"/>
      <c r="L437" s="5"/>
    </row>
    <row r="438" spans="2:12" ht="14.25" customHeight="1" x14ac:dyDescent="0.3">
      <c r="B438" s="82">
        <v>46168</v>
      </c>
      <c r="C438" t="s">
        <v>11182</v>
      </c>
      <c r="D438">
        <v>9234942151</v>
      </c>
      <c r="F438" t="s">
        <v>8992</v>
      </c>
      <c r="H438" t="s">
        <v>11115</v>
      </c>
      <c r="I438" s="107" t="s">
        <v>10877</v>
      </c>
      <c r="K438" s="5"/>
      <c r="L438" s="5"/>
    </row>
    <row r="439" spans="2:12" ht="14.25" customHeight="1" x14ac:dyDescent="0.3">
      <c r="B439" s="82">
        <v>46196</v>
      </c>
      <c r="C439" t="s">
        <v>11234</v>
      </c>
      <c r="D439">
        <v>9381581410</v>
      </c>
      <c r="E439" t="s">
        <v>8679</v>
      </c>
      <c r="F439" t="s">
        <v>8992</v>
      </c>
      <c r="H439" t="s">
        <v>11115</v>
      </c>
      <c r="I439" s="107" t="s">
        <v>10877</v>
      </c>
      <c r="K439" s="5"/>
      <c r="L439" s="5"/>
    </row>
    <row r="440" spans="2:12" ht="14.25" customHeight="1" x14ac:dyDescent="0.3">
      <c r="B440" s="82">
        <v>46280</v>
      </c>
      <c r="C440" t="s">
        <v>11455</v>
      </c>
      <c r="F440" t="s">
        <v>8992</v>
      </c>
      <c r="H440" t="s">
        <v>11456</v>
      </c>
      <c r="K440" s="5"/>
      <c r="L440" s="5"/>
    </row>
    <row r="441" spans="2:12" ht="14.25" customHeight="1" x14ac:dyDescent="0.3">
      <c r="C441" t="s">
        <v>11457</v>
      </c>
      <c r="D441">
        <v>9234500303</v>
      </c>
      <c r="H441" t="s">
        <v>11456</v>
      </c>
      <c r="J441" t="s">
        <v>11458</v>
      </c>
      <c r="K441" s="5"/>
      <c r="L441" s="5"/>
    </row>
    <row r="442" spans="2:12" ht="14.25" customHeight="1" x14ac:dyDescent="0.3">
      <c r="K442" s="5"/>
      <c r="L442" s="5"/>
    </row>
    <row r="443" spans="2:12" ht="14.25" customHeight="1" x14ac:dyDescent="0.3">
      <c r="K443" s="5"/>
      <c r="L443" s="5"/>
    </row>
    <row r="444" spans="2:12" ht="14.25" customHeight="1" x14ac:dyDescent="0.3">
      <c r="K444" s="5"/>
      <c r="L444" s="5"/>
    </row>
    <row r="445" spans="2:12" ht="14.25" customHeight="1" x14ac:dyDescent="0.3">
      <c r="K445" s="5"/>
      <c r="L445" s="5"/>
    </row>
    <row r="446" spans="2:12" ht="14.25" customHeight="1" x14ac:dyDescent="0.3">
      <c r="H446">
        <v>200</v>
      </c>
      <c r="I446">
        <v>7.89</v>
      </c>
      <c r="J446">
        <f>H446*I446</f>
        <v>1578</v>
      </c>
      <c r="K446" s="5"/>
      <c r="L446" s="5"/>
    </row>
    <row r="447" spans="2:12" ht="14.25" customHeight="1" x14ac:dyDescent="0.3">
      <c r="H447">
        <v>300</v>
      </c>
      <c r="I447">
        <v>6.87</v>
      </c>
      <c r="J447">
        <f>H447*I447</f>
        <v>2061</v>
      </c>
      <c r="K447" s="5"/>
      <c r="L447" s="5"/>
    </row>
    <row r="448" spans="2:12" ht="14.25" customHeight="1" x14ac:dyDescent="0.3">
      <c r="H448">
        <f>SUM(H446:H447)</f>
        <v>500</v>
      </c>
      <c r="I448">
        <f>J448/H448</f>
        <v>7.2779999999999996</v>
      </c>
      <c r="J448">
        <f>SUM(J446:J447)</f>
        <v>3639</v>
      </c>
      <c r="K448" s="5"/>
      <c r="L448" s="5"/>
    </row>
    <row r="449" spans="11:12" ht="14.25" customHeight="1" x14ac:dyDescent="0.3">
      <c r="K449" s="5"/>
      <c r="L449" s="5"/>
    </row>
    <row r="450" spans="11:12" ht="14.25" customHeight="1" x14ac:dyDescent="0.3">
      <c r="K450" s="5"/>
      <c r="L450" s="5"/>
    </row>
    <row r="451" spans="11:12" ht="14.25" customHeight="1" x14ac:dyDescent="0.3">
      <c r="K451" s="5"/>
      <c r="L451" s="5"/>
    </row>
    <row r="452" spans="11:12" ht="14.25" customHeight="1" x14ac:dyDescent="0.3">
      <c r="K452" s="5"/>
      <c r="L452" s="5"/>
    </row>
    <row r="453" spans="11:12" ht="14.25" customHeight="1" x14ac:dyDescent="0.3">
      <c r="K453" s="5"/>
      <c r="L453" s="5"/>
    </row>
    <row r="454" spans="11:12" ht="14.25" customHeight="1" x14ac:dyDescent="0.3">
      <c r="K454" s="5"/>
      <c r="L454" s="5"/>
    </row>
    <row r="455" spans="11:12" ht="14.25" customHeight="1" x14ac:dyDescent="0.3">
      <c r="K455" s="5"/>
      <c r="L455" s="5"/>
    </row>
    <row r="456" spans="11:12" ht="14.25" customHeight="1" x14ac:dyDescent="0.3">
      <c r="K456" s="5"/>
      <c r="L456" s="5"/>
    </row>
    <row r="457" spans="11:12" ht="14.25" customHeight="1" x14ac:dyDescent="0.3">
      <c r="K457" s="5"/>
      <c r="L457" s="5"/>
    </row>
    <row r="458" spans="11:12" ht="14.25" customHeight="1" x14ac:dyDescent="0.3">
      <c r="K458" s="5"/>
      <c r="L458" s="5"/>
    </row>
    <row r="459" spans="11:12" ht="14.25" customHeight="1" x14ac:dyDescent="0.3">
      <c r="K459" s="5"/>
      <c r="L459" s="5"/>
    </row>
    <row r="460" spans="11:12" ht="14.25" customHeight="1" x14ac:dyDescent="0.3">
      <c r="K460" s="5"/>
      <c r="L460" s="5"/>
    </row>
    <row r="461" spans="11:12" ht="14.25" customHeight="1" x14ac:dyDescent="0.3">
      <c r="K461" s="5"/>
      <c r="L461" s="5"/>
    </row>
    <row r="462" spans="11:12" ht="14.25" customHeight="1" x14ac:dyDescent="0.3">
      <c r="K462" s="5"/>
      <c r="L462" s="5"/>
    </row>
    <row r="463" spans="11:12" ht="14.25" customHeight="1" x14ac:dyDescent="0.3">
      <c r="K463" s="5"/>
      <c r="L463" s="5"/>
    </row>
    <row r="464" spans="11:12" ht="14.25" customHeight="1" x14ac:dyDescent="0.3">
      <c r="K464" s="5"/>
      <c r="L464" s="5"/>
    </row>
    <row r="465" spans="11:12" ht="14.25" customHeight="1" x14ac:dyDescent="0.3">
      <c r="K465" s="5"/>
      <c r="L465" s="5"/>
    </row>
    <row r="466" spans="11:12" ht="14.25" customHeight="1" x14ac:dyDescent="0.3">
      <c r="K466" s="5"/>
      <c r="L466" s="5"/>
    </row>
    <row r="467" spans="11:12" ht="14.25" customHeight="1" x14ac:dyDescent="0.3">
      <c r="K467" s="5"/>
      <c r="L467" s="5"/>
    </row>
    <row r="468" spans="11:12" ht="14.25" customHeight="1" x14ac:dyDescent="0.3">
      <c r="K468" s="5"/>
      <c r="L468" s="5"/>
    </row>
    <row r="469" spans="11:12" ht="14.25" customHeight="1" x14ac:dyDescent="0.3">
      <c r="K469" s="5"/>
      <c r="L469" s="5"/>
    </row>
    <row r="470" spans="11:12" ht="14.25" customHeight="1" x14ac:dyDescent="0.3">
      <c r="K470" s="5"/>
      <c r="L470" s="5"/>
    </row>
    <row r="471" spans="11:12" ht="14.25" customHeight="1" x14ac:dyDescent="0.3">
      <c r="K471" s="5"/>
      <c r="L471" s="5"/>
    </row>
    <row r="472" spans="11:12" ht="14.25" customHeight="1" x14ac:dyDescent="0.3">
      <c r="K472" s="5"/>
      <c r="L472" s="5"/>
    </row>
    <row r="473" spans="11:12" ht="14.25" customHeight="1" x14ac:dyDescent="0.3">
      <c r="K473" s="5"/>
      <c r="L473" s="5"/>
    </row>
    <row r="474" spans="11:12" ht="14.25" customHeight="1" x14ac:dyDescent="0.3">
      <c r="K474" s="5"/>
      <c r="L474" s="5"/>
    </row>
    <row r="475" spans="11:12" ht="14.25" customHeight="1" x14ac:dyDescent="0.3">
      <c r="K475" s="5"/>
      <c r="L475" s="5"/>
    </row>
    <row r="476" spans="11:12" ht="14.25" customHeight="1" x14ac:dyDescent="0.3">
      <c r="K476" s="5"/>
      <c r="L476" s="5"/>
    </row>
    <row r="477" spans="11:12" ht="14.25" customHeight="1" x14ac:dyDescent="0.3">
      <c r="K477" s="5"/>
      <c r="L477" s="5"/>
    </row>
    <row r="478" spans="11:12" ht="14.25" customHeight="1" x14ac:dyDescent="0.3">
      <c r="K478" s="5"/>
      <c r="L478" s="5"/>
    </row>
    <row r="479" spans="11:12" ht="14.25" customHeight="1" x14ac:dyDescent="0.3">
      <c r="K479" s="5"/>
      <c r="L479" s="5"/>
    </row>
    <row r="480" spans="11:12" ht="14.25" customHeight="1" x14ac:dyDescent="0.3">
      <c r="K480" s="5"/>
      <c r="L480" s="5"/>
    </row>
    <row r="481" spans="11:12" ht="14.25" customHeight="1" x14ac:dyDescent="0.3">
      <c r="K481" s="5"/>
      <c r="L481" s="5"/>
    </row>
    <row r="482" spans="11:12" ht="14.25" customHeight="1" x14ac:dyDescent="0.3">
      <c r="K482" s="5"/>
      <c r="L482" s="5"/>
    </row>
    <row r="483" spans="11:12" ht="14.25" customHeight="1" x14ac:dyDescent="0.3">
      <c r="K483" s="5"/>
      <c r="L483" s="5"/>
    </row>
    <row r="484" spans="11:12" ht="14.25" customHeight="1" x14ac:dyDescent="0.3">
      <c r="K484" s="5"/>
      <c r="L484" s="5"/>
    </row>
    <row r="485" spans="11:12" ht="14.25" customHeight="1" x14ac:dyDescent="0.3">
      <c r="K485" s="5"/>
      <c r="L485" s="5"/>
    </row>
    <row r="486" spans="11:12" ht="14.25" customHeight="1" x14ac:dyDescent="0.3">
      <c r="K486" s="5"/>
      <c r="L486" s="5"/>
    </row>
    <row r="487" spans="11:12" ht="14.25" customHeight="1" x14ac:dyDescent="0.3">
      <c r="K487" s="5"/>
      <c r="L487" s="5"/>
    </row>
    <row r="488" spans="11:12" ht="14.25" customHeight="1" x14ac:dyDescent="0.3">
      <c r="K488" s="5"/>
      <c r="L488" s="5"/>
    </row>
    <row r="489" spans="11:12" ht="14.25" customHeight="1" x14ac:dyDescent="0.3">
      <c r="K489" s="5"/>
      <c r="L489" s="5"/>
    </row>
    <row r="490" spans="11:12" ht="14.25" customHeight="1" x14ac:dyDescent="0.3">
      <c r="K490" s="5"/>
      <c r="L490" s="5"/>
    </row>
    <row r="491" spans="11:12" ht="14.25" customHeight="1" x14ac:dyDescent="0.3">
      <c r="K491" s="5"/>
      <c r="L491" s="5"/>
    </row>
    <row r="492" spans="11:12" ht="14.25" customHeight="1" x14ac:dyDescent="0.3">
      <c r="K492" s="5"/>
      <c r="L492" s="5"/>
    </row>
    <row r="493" spans="11:12" ht="14.25" customHeight="1" x14ac:dyDescent="0.3">
      <c r="K493" s="5"/>
      <c r="L493" s="5"/>
    </row>
    <row r="494" spans="11:12" ht="14.25" customHeight="1" x14ac:dyDescent="0.3">
      <c r="K494" s="5"/>
      <c r="L494" s="5"/>
    </row>
    <row r="495" spans="11:12" ht="14.25" customHeight="1" x14ac:dyDescent="0.3">
      <c r="K495" s="5"/>
      <c r="L495" s="5"/>
    </row>
    <row r="496" spans="11:12" ht="14.25" customHeight="1" x14ac:dyDescent="0.3">
      <c r="K496" s="5"/>
      <c r="L496" s="5"/>
    </row>
    <row r="497" spans="11:12" ht="14.25" customHeight="1" x14ac:dyDescent="0.3">
      <c r="K497" s="5"/>
      <c r="L497" s="5"/>
    </row>
    <row r="498" spans="11:12" ht="14.25" customHeight="1" x14ac:dyDescent="0.3">
      <c r="K498" s="5"/>
      <c r="L498" s="5"/>
    </row>
    <row r="499" spans="11:12" ht="14.25" customHeight="1" x14ac:dyDescent="0.3">
      <c r="K499" s="5"/>
      <c r="L499" s="5"/>
    </row>
    <row r="500" spans="11:12" ht="14.25" customHeight="1" x14ac:dyDescent="0.3">
      <c r="K500" s="5"/>
      <c r="L500" s="5"/>
    </row>
    <row r="501" spans="11:12" ht="14.25" customHeight="1" x14ac:dyDescent="0.3">
      <c r="K501" s="5"/>
      <c r="L501" s="5"/>
    </row>
    <row r="502" spans="11:12" ht="14.25" customHeight="1" x14ac:dyDescent="0.3">
      <c r="K502" s="5"/>
      <c r="L502" s="5"/>
    </row>
    <row r="503" spans="11:12" ht="14.25" customHeight="1" x14ac:dyDescent="0.3">
      <c r="K503" s="5"/>
      <c r="L503" s="5"/>
    </row>
    <row r="504" spans="11:12" ht="14.25" customHeight="1" x14ac:dyDescent="0.3">
      <c r="K504" s="5"/>
      <c r="L504" s="5"/>
    </row>
    <row r="505" spans="11:12" ht="14.25" customHeight="1" x14ac:dyDescent="0.3">
      <c r="K505" s="5"/>
      <c r="L505" s="5"/>
    </row>
    <row r="506" spans="11:12" ht="14.25" customHeight="1" x14ac:dyDescent="0.3">
      <c r="K506" s="5"/>
      <c r="L506" s="5"/>
    </row>
    <row r="507" spans="11:12" ht="14.25" customHeight="1" x14ac:dyDescent="0.3">
      <c r="K507" s="5"/>
      <c r="L507" s="5"/>
    </row>
    <row r="508" spans="11:12" ht="14.25" customHeight="1" x14ac:dyDescent="0.3">
      <c r="K508" s="5"/>
      <c r="L508" s="5"/>
    </row>
    <row r="509" spans="11:12" ht="14.25" customHeight="1" x14ac:dyDescent="0.3">
      <c r="K509" s="5"/>
      <c r="L509" s="5"/>
    </row>
    <row r="510" spans="11:12" ht="14.25" customHeight="1" x14ac:dyDescent="0.3">
      <c r="K510" s="5"/>
      <c r="L510" s="5"/>
    </row>
    <row r="511" spans="11:12" ht="14.25" customHeight="1" x14ac:dyDescent="0.3">
      <c r="K511" s="5"/>
      <c r="L511" s="5"/>
    </row>
    <row r="512" spans="11:12" ht="14.25" customHeight="1" x14ac:dyDescent="0.3">
      <c r="K512" s="5"/>
      <c r="L512" s="5"/>
    </row>
    <row r="513" spans="11:12" ht="14.25" customHeight="1" x14ac:dyDescent="0.3">
      <c r="K513" s="5"/>
      <c r="L513" s="5"/>
    </row>
    <row r="514" spans="11:12" ht="14.25" customHeight="1" x14ac:dyDescent="0.3">
      <c r="K514" s="5"/>
      <c r="L514" s="5"/>
    </row>
    <row r="515" spans="11:12" ht="14.25" customHeight="1" x14ac:dyDescent="0.3">
      <c r="K515" s="5"/>
      <c r="L515" s="5"/>
    </row>
    <row r="516" spans="11:12" ht="14.25" customHeight="1" x14ac:dyDescent="0.3">
      <c r="K516" s="5"/>
      <c r="L516" s="5"/>
    </row>
    <row r="517" spans="11:12" ht="14.25" customHeight="1" x14ac:dyDescent="0.3">
      <c r="K517" s="5"/>
      <c r="L517" s="5"/>
    </row>
    <row r="518" spans="11:12" ht="14.25" customHeight="1" x14ac:dyDescent="0.3">
      <c r="K518" s="5"/>
      <c r="L518" s="5"/>
    </row>
    <row r="519" spans="11:12" ht="14.25" customHeight="1" x14ac:dyDescent="0.3">
      <c r="K519" s="5"/>
      <c r="L519" s="5"/>
    </row>
    <row r="520" spans="11:12" ht="14.25" customHeight="1" x14ac:dyDescent="0.3">
      <c r="K520" s="5"/>
      <c r="L520" s="5"/>
    </row>
    <row r="521" spans="11:12" ht="14.25" customHeight="1" x14ac:dyDescent="0.3">
      <c r="K521" s="5"/>
      <c r="L521" s="5"/>
    </row>
    <row r="522" spans="11:12" ht="14.25" customHeight="1" x14ac:dyDescent="0.3">
      <c r="K522" s="5"/>
      <c r="L522" s="5"/>
    </row>
    <row r="523" spans="11:12" ht="14.25" customHeight="1" x14ac:dyDescent="0.3">
      <c r="K523" s="5"/>
      <c r="L523" s="5"/>
    </row>
    <row r="524" spans="11:12" ht="14.25" customHeight="1" x14ac:dyDescent="0.3">
      <c r="K524" s="5"/>
      <c r="L524" s="5"/>
    </row>
    <row r="525" spans="11:12" ht="14.25" customHeight="1" x14ac:dyDescent="0.3">
      <c r="K525" s="5"/>
      <c r="L525" s="5"/>
    </row>
    <row r="526" spans="11:12" ht="14.25" customHeight="1" x14ac:dyDescent="0.3">
      <c r="K526" s="5"/>
      <c r="L526" s="5"/>
    </row>
    <row r="527" spans="11:12" ht="14.25" customHeight="1" x14ac:dyDescent="0.3">
      <c r="K527" s="5"/>
      <c r="L527" s="5"/>
    </row>
    <row r="528" spans="11:12" ht="14.25" customHeight="1" x14ac:dyDescent="0.3">
      <c r="K528" s="5"/>
      <c r="L528" s="5"/>
    </row>
    <row r="529" spans="11:12" ht="14.25" customHeight="1" x14ac:dyDescent="0.3">
      <c r="K529" s="5"/>
      <c r="L529" s="5"/>
    </row>
    <row r="530" spans="11:12" ht="14.25" customHeight="1" x14ac:dyDescent="0.3">
      <c r="K530" s="5"/>
      <c r="L530" s="5"/>
    </row>
    <row r="531" spans="11:12" ht="14.25" customHeight="1" x14ac:dyDescent="0.3">
      <c r="K531" s="5"/>
      <c r="L531" s="5"/>
    </row>
    <row r="532" spans="11:12" ht="14.25" customHeight="1" x14ac:dyDescent="0.3">
      <c r="K532" s="5"/>
      <c r="L532" s="5"/>
    </row>
    <row r="533" spans="11:12" ht="14.25" customHeight="1" x14ac:dyDescent="0.3">
      <c r="K533" s="5"/>
      <c r="L533" s="5"/>
    </row>
    <row r="534" spans="11:12" ht="14.25" customHeight="1" x14ac:dyDescent="0.3">
      <c r="K534" s="5"/>
      <c r="L534" s="5"/>
    </row>
    <row r="535" spans="11:12" ht="14.25" customHeight="1" x14ac:dyDescent="0.3">
      <c r="K535" s="5"/>
      <c r="L535" s="5"/>
    </row>
    <row r="536" spans="11:12" ht="14.25" customHeight="1" x14ac:dyDescent="0.3">
      <c r="K536" s="5"/>
      <c r="L536" s="5"/>
    </row>
    <row r="537" spans="11:12" ht="14.25" customHeight="1" x14ac:dyDescent="0.3">
      <c r="K537" s="5"/>
      <c r="L537" s="5"/>
    </row>
    <row r="538" spans="11:12" ht="14.25" customHeight="1" x14ac:dyDescent="0.3">
      <c r="K538" s="5"/>
      <c r="L538" s="5"/>
    </row>
    <row r="539" spans="11:12" ht="14.25" customHeight="1" x14ac:dyDescent="0.3">
      <c r="K539" s="5"/>
      <c r="L539" s="5"/>
    </row>
    <row r="540" spans="11:12" ht="14.25" customHeight="1" x14ac:dyDescent="0.3">
      <c r="K540" s="5"/>
      <c r="L540" s="5"/>
    </row>
    <row r="541" spans="11:12" ht="14.25" customHeight="1" x14ac:dyDescent="0.3">
      <c r="K541" s="5"/>
      <c r="L541" s="5"/>
    </row>
    <row r="542" spans="11:12" ht="14.25" customHeight="1" x14ac:dyDescent="0.3">
      <c r="K542" s="5"/>
      <c r="L542" s="5"/>
    </row>
    <row r="543" spans="11:12" ht="14.25" customHeight="1" x14ac:dyDescent="0.3">
      <c r="K543" s="5"/>
      <c r="L543" s="5"/>
    </row>
    <row r="544" spans="11:12" ht="14.25" customHeight="1" x14ac:dyDescent="0.3">
      <c r="K544" s="5"/>
      <c r="L544" s="5"/>
    </row>
    <row r="545" spans="11:12" ht="14.25" customHeight="1" x14ac:dyDescent="0.3">
      <c r="K545" s="5"/>
      <c r="L545" s="5"/>
    </row>
    <row r="546" spans="11:12" ht="14.25" customHeight="1" x14ac:dyDescent="0.3">
      <c r="K546" s="5"/>
      <c r="L546" s="5"/>
    </row>
    <row r="547" spans="11:12" ht="14.25" customHeight="1" x14ac:dyDescent="0.3">
      <c r="K547" s="5"/>
      <c r="L547" s="5"/>
    </row>
    <row r="548" spans="11:12" ht="14.25" customHeight="1" x14ac:dyDescent="0.3">
      <c r="K548" s="5"/>
      <c r="L548" s="5"/>
    </row>
    <row r="549" spans="11:12" ht="14.25" customHeight="1" x14ac:dyDescent="0.3">
      <c r="K549" s="5"/>
      <c r="L549" s="5"/>
    </row>
    <row r="550" spans="11:12" ht="14.25" customHeight="1" x14ac:dyDescent="0.3">
      <c r="K550" s="5"/>
      <c r="L550" s="5"/>
    </row>
    <row r="551" spans="11:12" ht="14.25" customHeight="1" x14ac:dyDescent="0.3">
      <c r="K551" s="5"/>
      <c r="L551" s="5"/>
    </row>
    <row r="552" spans="11:12" ht="14.25" customHeight="1" x14ac:dyDescent="0.3">
      <c r="K552" s="5"/>
      <c r="L552" s="5"/>
    </row>
    <row r="553" spans="11:12" ht="14.25" customHeight="1" x14ac:dyDescent="0.3">
      <c r="K553" s="5"/>
      <c r="L553" s="5"/>
    </row>
    <row r="554" spans="11:12" ht="14.25" customHeight="1" x14ac:dyDescent="0.3">
      <c r="K554" s="5"/>
      <c r="L554" s="5"/>
    </row>
    <row r="555" spans="11:12" ht="14.25" customHeight="1" x14ac:dyDescent="0.3">
      <c r="K555" s="5"/>
      <c r="L555" s="5"/>
    </row>
    <row r="556" spans="11:12" ht="14.25" customHeight="1" x14ac:dyDescent="0.3">
      <c r="K556" s="5"/>
      <c r="L556" s="5"/>
    </row>
    <row r="557" spans="11:12" ht="14.25" customHeight="1" x14ac:dyDescent="0.3">
      <c r="K557" s="5"/>
      <c r="L557" s="5"/>
    </row>
    <row r="558" spans="11:12" ht="14.25" customHeight="1" x14ac:dyDescent="0.3">
      <c r="K558" s="5"/>
      <c r="L558" s="5"/>
    </row>
    <row r="559" spans="11:12" ht="14.25" customHeight="1" x14ac:dyDescent="0.3">
      <c r="K559" s="5"/>
      <c r="L559" s="5"/>
    </row>
    <row r="560" spans="11:12" ht="14.25" customHeight="1" x14ac:dyDescent="0.3">
      <c r="K560" s="5"/>
      <c r="L560" s="5"/>
    </row>
    <row r="561" spans="11:12" ht="14.25" customHeight="1" x14ac:dyDescent="0.3">
      <c r="K561" s="5"/>
      <c r="L561" s="5"/>
    </row>
    <row r="562" spans="11:12" ht="14.25" customHeight="1" x14ac:dyDescent="0.3">
      <c r="K562" s="5"/>
      <c r="L562" s="5"/>
    </row>
    <row r="563" spans="11:12" ht="14.25" customHeight="1" x14ac:dyDescent="0.3">
      <c r="K563" s="5"/>
      <c r="L563" s="5"/>
    </row>
    <row r="564" spans="11:12" ht="14.25" customHeight="1" x14ac:dyDescent="0.3">
      <c r="K564" s="5"/>
      <c r="L564" s="5"/>
    </row>
    <row r="565" spans="11:12" ht="14.25" customHeight="1" x14ac:dyDescent="0.3">
      <c r="K565" s="5"/>
      <c r="L565" s="5"/>
    </row>
    <row r="566" spans="11:12" ht="14.25" customHeight="1" x14ac:dyDescent="0.3">
      <c r="K566" s="5"/>
      <c r="L566" s="5"/>
    </row>
    <row r="567" spans="11:12" ht="14.25" customHeight="1" x14ac:dyDescent="0.3">
      <c r="K567" s="5"/>
      <c r="L567" s="5"/>
    </row>
    <row r="568" spans="11:12" ht="14.25" customHeight="1" x14ac:dyDescent="0.3">
      <c r="K568" s="5"/>
      <c r="L568" s="5"/>
    </row>
    <row r="569" spans="11:12" ht="14.25" customHeight="1" x14ac:dyDescent="0.3">
      <c r="K569" s="5"/>
      <c r="L569" s="5"/>
    </row>
    <row r="570" spans="11:12" ht="14.25" customHeight="1" x14ac:dyDescent="0.3">
      <c r="K570" s="5"/>
      <c r="L570" s="5"/>
    </row>
    <row r="571" spans="11:12" ht="14.25" customHeight="1" x14ac:dyDescent="0.3">
      <c r="K571" s="5"/>
      <c r="L571" s="5"/>
    </row>
    <row r="572" spans="11:12" ht="14.25" customHeight="1" x14ac:dyDescent="0.3">
      <c r="K572" s="5"/>
      <c r="L572" s="5"/>
    </row>
    <row r="573" spans="11:12" ht="14.25" customHeight="1" x14ac:dyDescent="0.3">
      <c r="K573" s="5"/>
      <c r="L573" s="5"/>
    </row>
    <row r="574" spans="11:12" ht="14.25" customHeight="1" x14ac:dyDescent="0.3">
      <c r="K574" s="5"/>
      <c r="L574" s="5"/>
    </row>
    <row r="575" spans="11:12" ht="14.25" customHeight="1" x14ac:dyDescent="0.3">
      <c r="K575" s="5"/>
      <c r="L575" s="5"/>
    </row>
    <row r="576" spans="11:12" ht="14.25" customHeight="1" x14ac:dyDescent="0.3">
      <c r="K576" s="5"/>
      <c r="L576" s="5"/>
    </row>
    <row r="577" spans="11:12" ht="14.25" customHeight="1" x14ac:dyDescent="0.3">
      <c r="K577" s="5"/>
      <c r="L577" s="5"/>
    </row>
    <row r="578" spans="11:12" ht="14.25" customHeight="1" x14ac:dyDescent="0.3">
      <c r="K578" s="5"/>
      <c r="L578" s="5"/>
    </row>
    <row r="579" spans="11:12" ht="14.25" customHeight="1" x14ac:dyDescent="0.3">
      <c r="K579" s="5"/>
      <c r="L579" s="5"/>
    </row>
    <row r="580" spans="11:12" ht="14.25" customHeight="1" x14ac:dyDescent="0.3">
      <c r="K580" s="5"/>
      <c r="L580" s="5"/>
    </row>
    <row r="581" spans="11:12" ht="14.25" customHeight="1" x14ac:dyDescent="0.3">
      <c r="K581" s="5"/>
      <c r="L581" s="5"/>
    </row>
    <row r="582" spans="11:12" ht="14.25" customHeight="1" x14ac:dyDescent="0.3">
      <c r="K582" s="5"/>
      <c r="L582" s="5"/>
    </row>
    <row r="583" spans="11:12" ht="14.25" customHeight="1" x14ac:dyDescent="0.3">
      <c r="K583" s="5"/>
      <c r="L583" s="5"/>
    </row>
    <row r="584" spans="11:12" ht="14.25" customHeight="1" x14ac:dyDescent="0.3">
      <c r="K584" s="5"/>
      <c r="L584" s="5"/>
    </row>
    <row r="585" spans="11:12" ht="14.25" customHeight="1" x14ac:dyDescent="0.3">
      <c r="K585" s="5"/>
      <c r="L585" s="5"/>
    </row>
    <row r="586" spans="11:12" ht="14.25" customHeight="1" x14ac:dyDescent="0.3">
      <c r="K586" s="5"/>
      <c r="L586" s="5"/>
    </row>
    <row r="587" spans="11:12" ht="14.25" customHeight="1" x14ac:dyDescent="0.3">
      <c r="K587" s="5"/>
      <c r="L587" s="5"/>
    </row>
    <row r="588" spans="11:12" ht="14.25" customHeight="1" x14ac:dyDescent="0.3">
      <c r="K588" s="5"/>
      <c r="L588" s="5"/>
    </row>
    <row r="589" spans="11:12" ht="14.25" customHeight="1" x14ac:dyDescent="0.3">
      <c r="K589" s="5"/>
      <c r="L589" s="5"/>
    </row>
    <row r="590" spans="11:12" ht="14.25" customHeight="1" x14ac:dyDescent="0.3">
      <c r="K590" s="5"/>
      <c r="L590" s="5"/>
    </row>
    <row r="591" spans="11:12" ht="14.25" customHeight="1" x14ac:dyDescent="0.3">
      <c r="K591" s="5"/>
      <c r="L591" s="5"/>
    </row>
    <row r="592" spans="11:12" ht="14.25" customHeight="1" x14ac:dyDescent="0.3">
      <c r="K592" s="5"/>
      <c r="L592" s="5"/>
    </row>
    <row r="593" spans="11:12" ht="14.25" customHeight="1" x14ac:dyDescent="0.3">
      <c r="K593" s="5"/>
      <c r="L593" s="5"/>
    </row>
    <row r="594" spans="11:12" ht="14.25" customHeight="1" x14ac:dyDescent="0.3">
      <c r="K594" s="5"/>
      <c r="L594" s="5"/>
    </row>
    <row r="595" spans="11:12" ht="14.25" customHeight="1" x14ac:dyDescent="0.3">
      <c r="K595" s="5"/>
      <c r="L595" s="5"/>
    </row>
    <row r="596" spans="11:12" ht="14.25" customHeight="1" x14ac:dyDescent="0.3">
      <c r="K596" s="5"/>
      <c r="L596" s="5"/>
    </row>
    <row r="597" spans="11:12" ht="14.25" customHeight="1" x14ac:dyDescent="0.3">
      <c r="K597" s="5"/>
      <c r="L597" s="5"/>
    </row>
    <row r="598" spans="11:12" ht="14.25" customHeight="1" x14ac:dyDescent="0.3">
      <c r="K598" s="5"/>
      <c r="L598" s="5"/>
    </row>
    <row r="599" spans="11:12" ht="14.25" customHeight="1" x14ac:dyDescent="0.3">
      <c r="K599" s="5"/>
      <c r="L599" s="5"/>
    </row>
    <row r="600" spans="11:12" ht="14.25" customHeight="1" x14ac:dyDescent="0.3">
      <c r="K600" s="5"/>
      <c r="L600" s="5"/>
    </row>
    <row r="601" spans="11:12" ht="14.25" customHeight="1" x14ac:dyDescent="0.3">
      <c r="K601" s="5"/>
      <c r="L601" s="5"/>
    </row>
    <row r="602" spans="11:12" ht="14.25" customHeight="1" x14ac:dyDescent="0.3">
      <c r="K602" s="5"/>
      <c r="L602" s="5"/>
    </row>
    <row r="603" spans="11:12" ht="14.25" customHeight="1" x14ac:dyDescent="0.3">
      <c r="K603" s="5"/>
      <c r="L603" s="5"/>
    </row>
    <row r="604" spans="11:12" ht="14.25" customHeight="1" x14ac:dyDescent="0.3">
      <c r="K604" s="5"/>
      <c r="L604" s="5"/>
    </row>
    <row r="605" spans="11:12" ht="14.25" customHeight="1" x14ac:dyDescent="0.3">
      <c r="K605" s="5"/>
      <c r="L605" s="5"/>
    </row>
    <row r="606" spans="11:12" ht="14.25" customHeight="1" x14ac:dyDescent="0.3">
      <c r="K606" s="5"/>
      <c r="L606" s="5"/>
    </row>
    <row r="607" spans="11:12" ht="14.25" customHeight="1" x14ac:dyDescent="0.3">
      <c r="K607" s="5"/>
      <c r="L607" s="5"/>
    </row>
    <row r="608" spans="11:12" ht="14.25" customHeight="1" x14ac:dyDescent="0.3">
      <c r="K608" s="5"/>
      <c r="L608" s="5"/>
    </row>
    <row r="609" spans="11:12" ht="14.25" customHeight="1" x14ac:dyDescent="0.3">
      <c r="K609" s="5"/>
      <c r="L609" s="5"/>
    </row>
    <row r="610" spans="11:12" ht="14.25" customHeight="1" x14ac:dyDescent="0.3">
      <c r="K610" s="5"/>
      <c r="L610" s="5"/>
    </row>
    <row r="611" spans="11:12" ht="14.25" customHeight="1" x14ac:dyDescent="0.3">
      <c r="K611" s="5"/>
      <c r="L611" s="5"/>
    </row>
    <row r="612" spans="11:12" ht="14.25" customHeight="1" x14ac:dyDescent="0.3">
      <c r="K612" s="5"/>
      <c r="L612" s="5"/>
    </row>
    <row r="613" spans="11:12" ht="14.25" customHeight="1" x14ac:dyDescent="0.3">
      <c r="K613" s="5"/>
      <c r="L613" s="5"/>
    </row>
    <row r="614" spans="11:12" ht="14.25" customHeight="1" x14ac:dyDescent="0.3">
      <c r="K614" s="5"/>
      <c r="L614" s="5"/>
    </row>
    <row r="615" spans="11:12" ht="14.25" customHeight="1" x14ac:dyDescent="0.3">
      <c r="K615" s="5"/>
      <c r="L615" s="5"/>
    </row>
    <row r="616" spans="11:12" ht="14.25" customHeight="1" x14ac:dyDescent="0.3">
      <c r="K616" s="5"/>
      <c r="L616" s="5"/>
    </row>
    <row r="617" spans="11:12" ht="14.25" customHeight="1" x14ac:dyDescent="0.3">
      <c r="K617" s="5"/>
      <c r="L617" s="5"/>
    </row>
    <row r="618" spans="11:12" ht="14.25" customHeight="1" x14ac:dyDescent="0.3">
      <c r="K618" s="5"/>
      <c r="L618" s="5"/>
    </row>
    <row r="619" spans="11:12" ht="14.25" customHeight="1" x14ac:dyDescent="0.3">
      <c r="K619" s="5"/>
      <c r="L619" s="5"/>
    </row>
    <row r="620" spans="11:12" ht="14.25" customHeight="1" x14ac:dyDescent="0.3">
      <c r="K620" s="5"/>
      <c r="L620" s="5"/>
    </row>
    <row r="621" spans="11:12" ht="14.25" customHeight="1" x14ac:dyDescent="0.3">
      <c r="K621" s="5"/>
      <c r="L621" s="5"/>
    </row>
    <row r="622" spans="11:12" ht="14.25" customHeight="1" x14ac:dyDescent="0.3">
      <c r="K622" s="5"/>
      <c r="L622" s="5"/>
    </row>
    <row r="623" spans="11:12" ht="14.25" customHeight="1" x14ac:dyDescent="0.3">
      <c r="K623" s="5"/>
      <c r="L623" s="5"/>
    </row>
    <row r="624" spans="11:12" ht="14.25" customHeight="1" x14ac:dyDescent="0.3">
      <c r="K624" s="5"/>
      <c r="L624" s="5"/>
    </row>
    <row r="625" spans="11:12" ht="14.25" customHeight="1" x14ac:dyDescent="0.3">
      <c r="K625" s="5"/>
      <c r="L625" s="5"/>
    </row>
    <row r="626" spans="11:12" ht="14.25" customHeight="1" x14ac:dyDescent="0.3">
      <c r="K626" s="5"/>
      <c r="L626" s="5"/>
    </row>
    <row r="627" spans="11:12" ht="14.25" customHeight="1" x14ac:dyDescent="0.3">
      <c r="K627" s="5"/>
      <c r="L627" s="5"/>
    </row>
    <row r="628" spans="11:12" ht="14.25" customHeight="1" x14ac:dyDescent="0.3">
      <c r="K628" s="5"/>
      <c r="L628" s="5"/>
    </row>
    <row r="629" spans="11:12" ht="14.25" customHeight="1" x14ac:dyDescent="0.3">
      <c r="K629" s="5"/>
      <c r="L629" s="5"/>
    </row>
    <row r="630" spans="11:12" ht="14.25" customHeight="1" x14ac:dyDescent="0.3">
      <c r="K630" s="5"/>
      <c r="L630" s="5"/>
    </row>
    <row r="631" spans="11:12" ht="14.25" customHeight="1" x14ac:dyDescent="0.3">
      <c r="K631" s="5"/>
      <c r="L631" s="5"/>
    </row>
    <row r="632" spans="11:12" ht="14.25" customHeight="1" x14ac:dyDescent="0.3">
      <c r="K632" s="5"/>
      <c r="L632" s="5"/>
    </row>
    <row r="633" spans="11:12" ht="14.25" customHeight="1" x14ac:dyDescent="0.3">
      <c r="K633" s="5"/>
      <c r="L633" s="5"/>
    </row>
    <row r="634" spans="11:12" ht="14.25" customHeight="1" x14ac:dyDescent="0.3">
      <c r="K634" s="5"/>
      <c r="L634" s="5"/>
    </row>
    <row r="635" spans="11:12" ht="14.25" customHeight="1" x14ac:dyDescent="0.3">
      <c r="K635" s="5"/>
      <c r="L635" s="5"/>
    </row>
    <row r="636" spans="11:12" ht="14.25" customHeight="1" x14ac:dyDescent="0.3">
      <c r="K636" s="5"/>
      <c r="L636" s="5"/>
    </row>
    <row r="637" spans="11:12" ht="14.25" customHeight="1" x14ac:dyDescent="0.3">
      <c r="K637" s="5"/>
      <c r="L637" s="5"/>
    </row>
    <row r="638" spans="11:12" ht="14.25" customHeight="1" x14ac:dyDescent="0.3">
      <c r="K638" s="5"/>
      <c r="L638" s="5"/>
    </row>
    <row r="639" spans="11:12" ht="14.25" customHeight="1" x14ac:dyDescent="0.3">
      <c r="K639" s="5"/>
      <c r="L639" s="5"/>
    </row>
    <row r="640" spans="11:12" ht="14.25" customHeight="1" x14ac:dyDescent="0.3">
      <c r="K640" s="5"/>
      <c r="L640" s="5"/>
    </row>
    <row r="641" spans="11:12" ht="14.25" customHeight="1" x14ac:dyDescent="0.3">
      <c r="K641" s="5"/>
      <c r="L641" s="5"/>
    </row>
    <row r="642" spans="11:12" ht="14.25" customHeight="1" x14ac:dyDescent="0.3">
      <c r="K642" s="5"/>
      <c r="L642" s="5"/>
    </row>
    <row r="643" spans="11:12" ht="14.25" customHeight="1" x14ac:dyDescent="0.3">
      <c r="K643" s="5"/>
      <c r="L643" s="5"/>
    </row>
    <row r="644" spans="11:12" ht="14.25" customHeight="1" x14ac:dyDescent="0.3">
      <c r="K644" s="5"/>
      <c r="L644" s="5"/>
    </row>
    <row r="645" spans="11:12" ht="14.25" customHeight="1" x14ac:dyDescent="0.3">
      <c r="K645" s="5"/>
      <c r="L645" s="5"/>
    </row>
    <row r="646" spans="11:12" ht="14.25" customHeight="1" x14ac:dyDescent="0.3">
      <c r="K646" s="5"/>
      <c r="L646" s="5"/>
    </row>
    <row r="647" spans="11:12" ht="14.25" customHeight="1" x14ac:dyDescent="0.3">
      <c r="K647" s="5"/>
      <c r="L647" s="5"/>
    </row>
    <row r="648" spans="11:12" ht="14.25" customHeight="1" x14ac:dyDescent="0.3">
      <c r="K648" s="5"/>
      <c r="L648" s="5"/>
    </row>
    <row r="649" spans="11:12" ht="14.25" customHeight="1" x14ac:dyDescent="0.3">
      <c r="K649" s="5"/>
      <c r="L649" s="5"/>
    </row>
    <row r="650" spans="11:12" ht="14.25" customHeight="1" x14ac:dyDescent="0.3">
      <c r="K650" s="5"/>
      <c r="L650" s="5"/>
    </row>
    <row r="651" spans="11:12" ht="14.25" customHeight="1" x14ac:dyDescent="0.3">
      <c r="K651" s="5"/>
      <c r="L651" s="5"/>
    </row>
    <row r="652" spans="11:12" ht="14.25" customHeight="1" x14ac:dyDescent="0.3">
      <c r="K652" s="5"/>
      <c r="L652" s="5"/>
    </row>
    <row r="653" spans="11:12" ht="14.25" customHeight="1" x14ac:dyDescent="0.3">
      <c r="K653" s="5"/>
      <c r="L653" s="5"/>
    </row>
    <row r="654" spans="11:12" ht="14.25" customHeight="1" x14ac:dyDescent="0.3">
      <c r="K654" s="5"/>
      <c r="L654" s="5"/>
    </row>
    <row r="655" spans="11:12" ht="14.25" customHeight="1" x14ac:dyDescent="0.3">
      <c r="K655" s="5"/>
      <c r="L655" s="5"/>
    </row>
    <row r="656" spans="11:12" ht="14.25" customHeight="1" x14ac:dyDescent="0.3">
      <c r="K656" s="5"/>
      <c r="L656" s="5"/>
    </row>
    <row r="657" spans="11:12" ht="14.25" customHeight="1" x14ac:dyDescent="0.3">
      <c r="K657" s="5"/>
      <c r="L657" s="5"/>
    </row>
    <row r="658" spans="11:12" ht="14.25" customHeight="1" x14ac:dyDescent="0.3">
      <c r="K658" s="5"/>
      <c r="L658" s="5"/>
    </row>
    <row r="659" spans="11:12" ht="14.25" customHeight="1" x14ac:dyDescent="0.3">
      <c r="K659" s="5"/>
      <c r="L659" s="5"/>
    </row>
    <row r="660" spans="11:12" ht="14.25" customHeight="1" x14ac:dyDescent="0.3">
      <c r="K660" s="5"/>
      <c r="L660" s="5"/>
    </row>
    <row r="661" spans="11:12" ht="14.25" customHeight="1" x14ac:dyDescent="0.3">
      <c r="K661" s="5"/>
      <c r="L661" s="5"/>
    </row>
    <row r="662" spans="11:12" ht="14.25" customHeight="1" x14ac:dyDescent="0.3">
      <c r="K662" s="5"/>
      <c r="L662" s="5"/>
    </row>
    <row r="663" spans="11:12" ht="14.25" customHeight="1" x14ac:dyDescent="0.3">
      <c r="K663" s="5"/>
      <c r="L663" s="5"/>
    </row>
    <row r="664" spans="11:12" ht="14.25" customHeight="1" x14ac:dyDescent="0.3">
      <c r="K664" s="5"/>
      <c r="L664" s="5"/>
    </row>
    <row r="665" spans="11:12" ht="14.25" customHeight="1" x14ac:dyDescent="0.3">
      <c r="K665" s="5"/>
      <c r="L665" s="5"/>
    </row>
    <row r="666" spans="11:12" ht="14.25" customHeight="1" x14ac:dyDescent="0.3">
      <c r="K666" s="5"/>
      <c r="L666" s="5"/>
    </row>
    <row r="667" spans="11:12" ht="14.25" customHeight="1" x14ac:dyDescent="0.3">
      <c r="K667" s="5"/>
      <c r="L667" s="5"/>
    </row>
    <row r="668" spans="11:12" ht="14.25" customHeight="1" x14ac:dyDescent="0.3">
      <c r="K668" s="5"/>
      <c r="L668" s="5"/>
    </row>
    <row r="669" spans="11:12" ht="14.25" customHeight="1" x14ac:dyDescent="0.3">
      <c r="K669" s="5"/>
      <c r="L669" s="5"/>
    </row>
    <row r="670" spans="11:12" ht="14.25" customHeight="1" x14ac:dyDescent="0.3">
      <c r="K670" s="5"/>
      <c r="L670" s="5"/>
    </row>
    <row r="671" spans="11:12" ht="14.25" customHeight="1" x14ac:dyDescent="0.3">
      <c r="K671" s="5"/>
      <c r="L671" s="5"/>
    </row>
    <row r="672" spans="11:12" ht="14.25" customHeight="1" x14ac:dyDescent="0.3">
      <c r="K672" s="5"/>
      <c r="L672" s="5"/>
    </row>
    <row r="673" spans="11:12" ht="14.25" customHeight="1" x14ac:dyDescent="0.3">
      <c r="K673" s="5"/>
      <c r="L673" s="5"/>
    </row>
    <row r="674" spans="11:12" ht="14.25" customHeight="1" x14ac:dyDescent="0.3">
      <c r="K674" s="5"/>
      <c r="L674" s="5"/>
    </row>
    <row r="675" spans="11:12" ht="14.25" customHeight="1" x14ac:dyDescent="0.3">
      <c r="K675" s="5"/>
      <c r="L675" s="5"/>
    </row>
    <row r="676" spans="11:12" ht="14.25" customHeight="1" x14ac:dyDescent="0.3">
      <c r="K676" s="5"/>
      <c r="L676" s="5"/>
    </row>
    <row r="677" spans="11:12" ht="14.25" customHeight="1" x14ac:dyDescent="0.3">
      <c r="K677" s="5"/>
      <c r="L677" s="5"/>
    </row>
    <row r="678" spans="11:12" ht="14.25" customHeight="1" x14ac:dyDescent="0.3">
      <c r="K678" s="5"/>
      <c r="L678" s="5"/>
    </row>
    <row r="679" spans="11:12" ht="14.25" customHeight="1" x14ac:dyDescent="0.3">
      <c r="K679" s="5"/>
      <c r="L679" s="5"/>
    </row>
    <row r="680" spans="11:12" ht="14.25" customHeight="1" x14ac:dyDescent="0.3">
      <c r="K680" s="5"/>
      <c r="L680" s="5"/>
    </row>
    <row r="681" spans="11:12" ht="14.25" customHeight="1" x14ac:dyDescent="0.3">
      <c r="K681" s="5"/>
      <c r="L681" s="5"/>
    </row>
    <row r="682" spans="11:12" ht="14.25" customHeight="1" x14ac:dyDescent="0.3">
      <c r="K682" s="5"/>
      <c r="L682" s="5"/>
    </row>
    <row r="683" spans="11:12" ht="14.25" customHeight="1" x14ac:dyDescent="0.3">
      <c r="K683" s="5"/>
      <c r="L683" s="5"/>
    </row>
    <row r="684" spans="11:12" ht="14.25" customHeight="1" x14ac:dyDescent="0.3">
      <c r="K684" s="5"/>
      <c r="L684" s="5"/>
    </row>
    <row r="685" spans="11:12" ht="14.25" customHeight="1" x14ac:dyDescent="0.3">
      <c r="K685" s="5"/>
      <c r="L685" s="5"/>
    </row>
    <row r="686" spans="11:12" ht="14.25" customHeight="1" x14ac:dyDescent="0.3">
      <c r="K686" s="5"/>
      <c r="L686" s="5"/>
    </row>
    <row r="687" spans="11:12" ht="14.25" customHeight="1" x14ac:dyDescent="0.3">
      <c r="K687" s="5"/>
      <c r="L687" s="5"/>
    </row>
    <row r="688" spans="11:12" ht="14.25" customHeight="1" x14ac:dyDescent="0.3">
      <c r="K688" s="5"/>
      <c r="L688" s="5"/>
    </row>
    <row r="689" spans="11:12" ht="14.25" customHeight="1" x14ac:dyDescent="0.3">
      <c r="K689" s="5"/>
      <c r="L689" s="5"/>
    </row>
    <row r="690" spans="11:12" ht="14.25" customHeight="1" x14ac:dyDescent="0.3">
      <c r="K690" s="5"/>
      <c r="L690" s="5"/>
    </row>
    <row r="691" spans="11:12" ht="14.25" customHeight="1" x14ac:dyDescent="0.3">
      <c r="K691" s="5"/>
      <c r="L691" s="5"/>
    </row>
    <row r="692" spans="11:12" ht="14.25" customHeight="1" x14ac:dyDescent="0.3">
      <c r="K692" s="5"/>
      <c r="L692" s="5"/>
    </row>
    <row r="693" spans="11:12" ht="14.25" customHeight="1" x14ac:dyDescent="0.3">
      <c r="K693" s="5"/>
      <c r="L693" s="5"/>
    </row>
    <row r="694" spans="11:12" ht="14.25" customHeight="1" x14ac:dyDescent="0.3">
      <c r="K694" s="5"/>
      <c r="L694" s="5"/>
    </row>
    <row r="695" spans="11:12" ht="14.25" customHeight="1" x14ac:dyDescent="0.3">
      <c r="K695" s="5"/>
      <c r="L695" s="5"/>
    </row>
    <row r="696" spans="11:12" ht="14.25" customHeight="1" x14ac:dyDescent="0.3">
      <c r="K696" s="5"/>
      <c r="L696" s="5"/>
    </row>
    <row r="697" spans="11:12" ht="14.25" customHeight="1" x14ac:dyDescent="0.3">
      <c r="K697" s="5"/>
      <c r="L697" s="5"/>
    </row>
    <row r="698" spans="11:12" ht="14.25" customHeight="1" x14ac:dyDescent="0.3">
      <c r="K698" s="5"/>
      <c r="L698" s="5"/>
    </row>
    <row r="699" spans="11:12" ht="14.25" customHeight="1" x14ac:dyDescent="0.3">
      <c r="K699" s="5"/>
      <c r="L699" s="5"/>
    </row>
    <row r="700" spans="11:12" ht="14.25" customHeight="1" x14ac:dyDescent="0.3">
      <c r="K700" s="5"/>
      <c r="L700" s="5"/>
    </row>
    <row r="701" spans="11:12" ht="14.25" customHeight="1" x14ac:dyDescent="0.3">
      <c r="K701" s="5"/>
      <c r="L701" s="5"/>
    </row>
    <row r="702" spans="11:12" ht="14.25" customHeight="1" x14ac:dyDescent="0.3">
      <c r="K702" s="5"/>
      <c r="L702" s="5"/>
    </row>
    <row r="703" spans="11:12" ht="14.25" customHeight="1" x14ac:dyDescent="0.3">
      <c r="K703" s="5"/>
      <c r="L703" s="5"/>
    </row>
    <row r="704" spans="11:12" ht="14.25" customHeight="1" x14ac:dyDescent="0.3">
      <c r="K704" s="5"/>
      <c r="L704" s="5"/>
    </row>
    <row r="705" spans="11:12" ht="14.25" customHeight="1" x14ac:dyDescent="0.3">
      <c r="K705" s="5"/>
      <c r="L705" s="5"/>
    </row>
    <row r="706" spans="11:12" ht="14.25" customHeight="1" x14ac:dyDescent="0.3">
      <c r="K706" s="5"/>
      <c r="L706" s="5"/>
    </row>
    <row r="707" spans="11:12" ht="14.25" customHeight="1" x14ac:dyDescent="0.3">
      <c r="K707" s="5"/>
      <c r="L707" s="5"/>
    </row>
    <row r="708" spans="11:12" ht="14.25" customHeight="1" x14ac:dyDescent="0.3">
      <c r="K708" s="5"/>
      <c r="L708" s="5"/>
    </row>
    <row r="709" spans="11:12" ht="14.25" customHeight="1" x14ac:dyDescent="0.3">
      <c r="K709" s="5"/>
      <c r="L709" s="5"/>
    </row>
    <row r="710" spans="11:12" ht="14.25" customHeight="1" x14ac:dyDescent="0.3">
      <c r="K710" s="5"/>
      <c r="L710" s="5"/>
    </row>
    <row r="711" spans="11:12" ht="14.25" customHeight="1" x14ac:dyDescent="0.3">
      <c r="K711" s="5"/>
      <c r="L711" s="5"/>
    </row>
    <row r="712" spans="11:12" ht="14.25" customHeight="1" x14ac:dyDescent="0.3">
      <c r="K712" s="5"/>
      <c r="L712" s="5"/>
    </row>
    <row r="713" spans="11:12" ht="14.25" customHeight="1" x14ac:dyDescent="0.3">
      <c r="K713" s="5"/>
      <c r="L713" s="5"/>
    </row>
    <row r="714" spans="11:12" ht="14.25" customHeight="1" x14ac:dyDescent="0.3">
      <c r="K714" s="5"/>
      <c r="L714" s="5"/>
    </row>
    <row r="715" spans="11:12" ht="14.25" customHeight="1" x14ac:dyDescent="0.3">
      <c r="K715" s="5"/>
      <c r="L715" s="5"/>
    </row>
    <row r="716" spans="11:12" ht="14.25" customHeight="1" x14ac:dyDescent="0.3">
      <c r="K716" s="5"/>
      <c r="L716" s="5"/>
    </row>
    <row r="717" spans="11:12" ht="14.25" customHeight="1" x14ac:dyDescent="0.3">
      <c r="K717" s="5"/>
      <c r="L717" s="5"/>
    </row>
    <row r="718" spans="11:12" ht="14.25" customHeight="1" x14ac:dyDescent="0.3">
      <c r="K718" s="5"/>
      <c r="L718" s="5"/>
    </row>
    <row r="719" spans="11:12" ht="14.25" customHeight="1" x14ac:dyDescent="0.3">
      <c r="K719" s="5"/>
      <c r="L719" s="5"/>
    </row>
    <row r="720" spans="11:12" ht="14.25" customHeight="1" x14ac:dyDescent="0.3">
      <c r="K720" s="5"/>
      <c r="L720" s="5"/>
    </row>
    <row r="721" spans="11:12" ht="14.25" customHeight="1" x14ac:dyDescent="0.3">
      <c r="K721" s="5"/>
      <c r="L721" s="5"/>
    </row>
    <row r="722" spans="11:12" ht="14.25" customHeight="1" x14ac:dyDescent="0.3">
      <c r="K722" s="5"/>
      <c r="L722" s="5"/>
    </row>
    <row r="723" spans="11:12" ht="14.25" customHeight="1" x14ac:dyDescent="0.3">
      <c r="K723" s="5"/>
      <c r="L723" s="5"/>
    </row>
    <row r="724" spans="11:12" ht="14.25" customHeight="1" x14ac:dyDescent="0.3">
      <c r="K724" s="5"/>
      <c r="L724" s="5"/>
    </row>
    <row r="725" spans="11:12" ht="14.25" customHeight="1" x14ac:dyDescent="0.3">
      <c r="K725" s="5"/>
      <c r="L725" s="5"/>
    </row>
    <row r="726" spans="11:12" ht="14.25" customHeight="1" x14ac:dyDescent="0.3">
      <c r="K726" s="5"/>
      <c r="L726" s="5"/>
    </row>
    <row r="727" spans="11:12" ht="14.25" customHeight="1" x14ac:dyDescent="0.3">
      <c r="K727" s="5"/>
      <c r="L727" s="5"/>
    </row>
    <row r="728" spans="11:12" ht="14.25" customHeight="1" x14ac:dyDescent="0.3">
      <c r="K728" s="5"/>
      <c r="L728" s="5"/>
    </row>
    <row r="729" spans="11:12" ht="14.25" customHeight="1" x14ac:dyDescent="0.3">
      <c r="K729" s="5"/>
      <c r="L729" s="5"/>
    </row>
    <row r="730" spans="11:12" ht="14.25" customHeight="1" x14ac:dyDescent="0.3">
      <c r="K730" s="5"/>
      <c r="L730" s="5"/>
    </row>
    <row r="731" spans="11:12" ht="14.25" customHeight="1" x14ac:dyDescent="0.3">
      <c r="K731" s="5"/>
      <c r="L731" s="5"/>
    </row>
    <row r="732" spans="11:12" ht="14.25" customHeight="1" x14ac:dyDescent="0.3">
      <c r="K732" s="5"/>
      <c r="L732" s="5"/>
    </row>
    <row r="733" spans="11:12" ht="14.25" customHeight="1" x14ac:dyDescent="0.3">
      <c r="K733" s="5"/>
      <c r="L733" s="5"/>
    </row>
    <row r="734" spans="11:12" ht="14.25" customHeight="1" x14ac:dyDescent="0.3">
      <c r="K734" s="5"/>
      <c r="L734" s="5"/>
    </row>
    <row r="735" spans="11:12" ht="14.25" customHeight="1" x14ac:dyDescent="0.3">
      <c r="K735" s="5"/>
      <c r="L735" s="5"/>
    </row>
    <row r="736" spans="11:12" ht="14.25" customHeight="1" x14ac:dyDescent="0.3">
      <c r="K736" s="5"/>
      <c r="L736" s="5"/>
    </row>
    <row r="737" spans="11:12" ht="14.25" customHeight="1" x14ac:dyDescent="0.3">
      <c r="K737" s="5"/>
      <c r="L737" s="5"/>
    </row>
    <row r="738" spans="11:12" ht="14.25" customHeight="1" x14ac:dyDescent="0.3">
      <c r="K738" s="5"/>
      <c r="L738" s="5"/>
    </row>
    <row r="739" spans="11:12" ht="14.25" customHeight="1" x14ac:dyDescent="0.3">
      <c r="K739" s="5"/>
      <c r="L739" s="5"/>
    </row>
    <row r="740" spans="11:12" ht="14.25" customHeight="1" x14ac:dyDescent="0.3">
      <c r="K740" s="5"/>
      <c r="L740" s="5"/>
    </row>
    <row r="741" spans="11:12" ht="14.25" customHeight="1" x14ac:dyDescent="0.3">
      <c r="K741" s="5"/>
      <c r="L741" s="5"/>
    </row>
    <row r="742" spans="11:12" ht="14.25" customHeight="1" x14ac:dyDescent="0.3">
      <c r="K742" s="5"/>
      <c r="L742" s="5"/>
    </row>
    <row r="743" spans="11:12" ht="14.25" customHeight="1" x14ac:dyDescent="0.3">
      <c r="K743" s="5"/>
      <c r="L743" s="5"/>
    </row>
    <row r="744" spans="11:12" ht="14.25" customHeight="1" x14ac:dyDescent="0.3">
      <c r="K744" s="5"/>
      <c r="L744" s="5"/>
    </row>
    <row r="745" spans="11:12" ht="14.25" customHeight="1" x14ac:dyDescent="0.3">
      <c r="K745" s="5"/>
      <c r="L745" s="5"/>
    </row>
    <row r="746" spans="11:12" ht="14.25" customHeight="1" x14ac:dyDescent="0.3">
      <c r="K746" s="5"/>
      <c r="L746" s="5"/>
    </row>
    <row r="747" spans="11:12" ht="14.25" customHeight="1" x14ac:dyDescent="0.3">
      <c r="K747" s="5"/>
      <c r="L747" s="5"/>
    </row>
    <row r="748" spans="11:12" ht="14.25" customHeight="1" x14ac:dyDescent="0.3">
      <c r="K748" s="5"/>
      <c r="L748" s="5"/>
    </row>
    <row r="749" spans="11:12" ht="14.25" customHeight="1" x14ac:dyDescent="0.3">
      <c r="K749" s="5"/>
      <c r="L749" s="5"/>
    </row>
    <row r="750" spans="11:12" ht="14.25" customHeight="1" x14ac:dyDescent="0.3">
      <c r="K750" s="5"/>
      <c r="L750" s="5"/>
    </row>
    <row r="751" spans="11:12" ht="14.25" customHeight="1" x14ac:dyDescent="0.3">
      <c r="K751" s="5"/>
      <c r="L751" s="5"/>
    </row>
    <row r="752" spans="11:12" ht="14.25" customHeight="1" x14ac:dyDescent="0.3">
      <c r="K752" s="5"/>
      <c r="L752" s="5"/>
    </row>
    <row r="753" spans="11:12" ht="14.25" customHeight="1" x14ac:dyDescent="0.3">
      <c r="K753" s="5"/>
      <c r="L753" s="5"/>
    </row>
    <row r="754" spans="11:12" ht="14.25" customHeight="1" x14ac:dyDescent="0.3">
      <c r="K754" s="5"/>
      <c r="L754" s="5"/>
    </row>
    <row r="755" spans="11:12" ht="14.25" customHeight="1" x14ac:dyDescent="0.3">
      <c r="K755" s="5"/>
      <c r="L755" s="5"/>
    </row>
    <row r="756" spans="11:12" ht="14.25" customHeight="1" x14ac:dyDescent="0.3">
      <c r="K756" s="5"/>
      <c r="L756" s="5"/>
    </row>
    <row r="757" spans="11:12" ht="14.25" customHeight="1" x14ac:dyDescent="0.3">
      <c r="K757" s="5"/>
      <c r="L757" s="5"/>
    </row>
    <row r="758" spans="11:12" ht="14.25" customHeight="1" x14ac:dyDescent="0.3">
      <c r="K758" s="5"/>
      <c r="L758" s="5"/>
    </row>
    <row r="759" spans="11:12" ht="14.25" customHeight="1" x14ac:dyDescent="0.3">
      <c r="K759" s="5"/>
      <c r="L759" s="5"/>
    </row>
    <row r="760" spans="11:12" ht="14.25" customHeight="1" x14ac:dyDescent="0.3">
      <c r="K760" s="5"/>
      <c r="L760" s="5"/>
    </row>
    <row r="761" spans="11:12" ht="14.25" customHeight="1" x14ac:dyDescent="0.3">
      <c r="K761" s="5"/>
      <c r="L761" s="5"/>
    </row>
    <row r="762" spans="11:12" ht="14.25" customHeight="1" x14ac:dyDescent="0.3">
      <c r="K762" s="5"/>
      <c r="L762" s="5"/>
    </row>
    <row r="763" spans="11:12" ht="14.25" customHeight="1" x14ac:dyDescent="0.3">
      <c r="K763" s="5"/>
      <c r="L763" s="5"/>
    </row>
    <row r="764" spans="11:12" ht="14.25" customHeight="1" x14ac:dyDescent="0.3">
      <c r="K764" s="5"/>
      <c r="L764" s="5"/>
    </row>
    <row r="765" spans="11:12" ht="14.25" customHeight="1" x14ac:dyDescent="0.3">
      <c r="K765" s="5"/>
      <c r="L765" s="5"/>
    </row>
    <row r="766" spans="11:12" ht="14.25" customHeight="1" x14ac:dyDescent="0.3">
      <c r="K766" s="5"/>
      <c r="L766" s="5"/>
    </row>
    <row r="767" spans="11:12" ht="14.25" customHeight="1" x14ac:dyDescent="0.3">
      <c r="K767" s="5"/>
      <c r="L767" s="5"/>
    </row>
    <row r="768" spans="11:12" ht="14.25" customHeight="1" x14ac:dyDescent="0.3">
      <c r="K768" s="5"/>
      <c r="L768" s="5"/>
    </row>
    <row r="769" spans="11:12" ht="14.25" customHeight="1" x14ac:dyDescent="0.3">
      <c r="K769" s="5"/>
      <c r="L769" s="5"/>
    </row>
    <row r="770" spans="11:12" ht="14.25" customHeight="1" x14ac:dyDescent="0.3">
      <c r="K770" s="5"/>
      <c r="L770" s="5"/>
    </row>
    <row r="771" spans="11:12" ht="14.25" customHeight="1" x14ac:dyDescent="0.3">
      <c r="K771" s="5"/>
      <c r="L771" s="5"/>
    </row>
    <row r="772" spans="11:12" ht="14.25" customHeight="1" x14ac:dyDescent="0.3">
      <c r="K772" s="5"/>
      <c r="L772" s="5"/>
    </row>
    <row r="773" spans="11:12" ht="14.25" customHeight="1" x14ac:dyDescent="0.3">
      <c r="K773" s="5"/>
      <c r="L773" s="5"/>
    </row>
    <row r="774" spans="11:12" ht="14.25" customHeight="1" x14ac:dyDescent="0.3">
      <c r="K774" s="5"/>
      <c r="L774" s="5"/>
    </row>
    <row r="775" spans="11:12" ht="14.25" customHeight="1" x14ac:dyDescent="0.3">
      <c r="K775" s="5"/>
      <c r="L775" s="5"/>
    </row>
    <row r="776" spans="11:12" ht="14.25" customHeight="1" x14ac:dyDescent="0.3">
      <c r="K776" s="5"/>
      <c r="L776" s="5"/>
    </row>
    <row r="777" spans="11:12" ht="14.25" customHeight="1" x14ac:dyDescent="0.3">
      <c r="K777" s="5"/>
      <c r="L777" s="5"/>
    </row>
    <row r="778" spans="11:12" ht="14.25" customHeight="1" x14ac:dyDescent="0.3">
      <c r="K778" s="5"/>
      <c r="L778" s="5"/>
    </row>
    <row r="779" spans="11:12" ht="14.25" customHeight="1" x14ac:dyDescent="0.3">
      <c r="K779" s="5"/>
      <c r="L779" s="5"/>
    </row>
    <row r="780" spans="11:12" ht="14.25" customHeight="1" x14ac:dyDescent="0.3">
      <c r="K780" s="5"/>
      <c r="L780" s="5"/>
    </row>
    <row r="781" spans="11:12" ht="14.25" customHeight="1" x14ac:dyDescent="0.3">
      <c r="K781" s="5"/>
      <c r="L781" s="5"/>
    </row>
    <row r="782" spans="11:12" ht="14.25" customHeight="1" x14ac:dyDescent="0.3">
      <c r="K782" s="5"/>
      <c r="L782" s="5"/>
    </row>
    <row r="783" spans="11:12" ht="14.25" customHeight="1" x14ac:dyDescent="0.3">
      <c r="K783" s="5"/>
      <c r="L783" s="5"/>
    </row>
    <row r="784" spans="11:12" ht="14.25" customHeight="1" x14ac:dyDescent="0.3">
      <c r="K784" s="5"/>
      <c r="L784" s="5"/>
    </row>
    <row r="785" spans="11:12" ht="14.25" customHeight="1" x14ac:dyDescent="0.3">
      <c r="K785" s="5"/>
      <c r="L785" s="5"/>
    </row>
    <row r="786" spans="11:12" ht="14.25" customHeight="1" x14ac:dyDescent="0.3">
      <c r="K786" s="5"/>
      <c r="L786" s="5"/>
    </row>
    <row r="787" spans="11:12" ht="14.25" customHeight="1" x14ac:dyDescent="0.3">
      <c r="K787" s="5"/>
      <c r="L787" s="5"/>
    </row>
    <row r="788" spans="11:12" ht="14.25" customHeight="1" x14ac:dyDescent="0.3">
      <c r="K788" s="5"/>
      <c r="L788" s="5"/>
    </row>
    <row r="789" spans="11:12" ht="14.25" customHeight="1" x14ac:dyDescent="0.3">
      <c r="K789" s="5"/>
      <c r="L789" s="5"/>
    </row>
    <row r="790" spans="11:12" ht="14.25" customHeight="1" x14ac:dyDescent="0.3">
      <c r="K790" s="5"/>
      <c r="L790" s="5"/>
    </row>
    <row r="791" spans="11:12" ht="14.25" customHeight="1" x14ac:dyDescent="0.3">
      <c r="K791" s="5"/>
      <c r="L791" s="5"/>
    </row>
    <row r="792" spans="11:12" ht="14.25" customHeight="1" x14ac:dyDescent="0.3">
      <c r="K792" s="5"/>
      <c r="L792" s="5"/>
    </row>
    <row r="793" spans="11:12" ht="14.25" customHeight="1" x14ac:dyDescent="0.3">
      <c r="K793" s="5"/>
      <c r="L793" s="5"/>
    </row>
    <row r="794" spans="11:12" ht="14.25" customHeight="1" x14ac:dyDescent="0.3">
      <c r="K794" s="5"/>
      <c r="L794" s="5"/>
    </row>
    <row r="795" spans="11:12" ht="14.25" customHeight="1" x14ac:dyDescent="0.3">
      <c r="K795" s="5"/>
      <c r="L795" s="5"/>
    </row>
    <row r="796" spans="11:12" ht="14.25" customHeight="1" x14ac:dyDescent="0.3">
      <c r="K796" s="5"/>
      <c r="L796" s="5"/>
    </row>
    <row r="797" spans="11:12" ht="14.25" customHeight="1" x14ac:dyDescent="0.3">
      <c r="K797" s="5"/>
      <c r="L797" s="5"/>
    </row>
    <row r="798" spans="11:12" ht="14.25" customHeight="1" x14ac:dyDescent="0.3">
      <c r="K798" s="5"/>
      <c r="L798" s="5"/>
    </row>
    <row r="799" spans="11:12" ht="14.25" customHeight="1" x14ac:dyDescent="0.3">
      <c r="K799" s="5"/>
      <c r="L799" s="5"/>
    </row>
    <row r="800" spans="11:12" ht="14.25" customHeight="1" x14ac:dyDescent="0.3">
      <c r="K800" s="5"/>
      <c r="L800" s="5"/>
    </row>
    <row r="801" spans="11:12" ht="14.25" customHeight="1" x14ac:dyDescent="0.3">
      <c r="K801" s="5"/>
      <c r="L801" s="5"/>
    </row>
    <row r="802" spans="11:12" ht="14.25" customHeight="1" x14ac:dyDescent="0.3">
      <c r="K802" s="5"/>
      <c r="L802" s="5"/>
    </row>
    <row r="803" spans="11:12" ht="14.25" customHeight="1" x14ac:dyDescent="0.3">
      <c r="K803" s="5"/>
      <c r="L803" s="5"/>
    </row>
    <row r="804" spans="11:12" ht="14.25" customHeight="1" x14ac:dyDescent="0.3">
      <c r="K804" s="5"/>
      <c r="L804" s="5"/>
    </row>
    <row r="805" spans="11:12" ht="14.25" customHeight="1" x14ac:dyDescent="0.3">
      <c r="K805" s="5"/>
      <c r="L805" s="5"/>
    </row>
    <row r="806" spans="11:12" ht="14.25" customHeight="1" x14ac:dyDescent="0.3">
      <c r="K806" s="5"/>
      <c r="L806" s="5"/>
    </row>
    <row r="807" spans="11:12" ht="14.25" customHeight="1" x14ac:dyDescent="0.3">
      <c r="K807" s="5"/>
      <c r="L807" s="5"/>
    </row>
    <row r="808" spans="11:12" ht="14.25" customHeight="1" x14ac:dyDescent="0.3">
      <c r="K808" s="5"/>
      <c r="L808" s="5"/>
    </row>
    <row r="809" spans="11:12" ht="14.25" customHeight="1" x14ac:dyDescent="0.3">
      <c r="K809" s="5"/>
      <c r="L809" s="5"/>
    </row>
    <row r="810" spans="11:12" ht="14.25" customHeight="1" x14ac:dyDescent="0.3">
      <c r="K810" s="5"/>
      <c r="L810" s="5"/>
    </row>
    <row r="811" spans="11:12" ht="14.25" customHeight="1" x14ac:dyDescent="0.3">
      <c r="K811" s="5"/>
      <c r="L811" s="5"/>
    </row>
    <row r="812" spans="11:12" ht="14.25" customHeight="1" x14ac:dyDescent="0.3">
      <c r="K812" s="5"/>
      <c r="L812" s="5"/>
    </row>
    <row r="813" spans="11:12" ht="14.25" customHeight="1" x14ac:dyDescent="0.3">
      <c r="K813" s="5"/>
      <c r="L813" s="5"/>
    </row>
    <row r="814" spans="11:12" ht="14.25" customHeight="1" x14ac:dyDescent="0.3">
      <c r="K814" s="5"/>
      <c r="L814" s="5"/>
    </row>
    <row r="815" spans="11:12" ht="14.25" customHeight="1" x14ac:dyDescent="0.3">
      <c r="K815" s="5"/>
      <c r="L815" s="5"/>
    </row>
    <row r="816" spans="11:12" ht="14.25" customHeight="1" x14ac:dyDescent="0.3">
      <c r="K816" s="5"/>
      <c r="L816" s="5"/>
    </row>
    <row r="817" spans="11:12" ht="14.25" customHeight="1" x14ac:dyDescent="0.3">
      <c r="K817" s="5"/>
      <c r="L817" s="5"/>
    </row>
    <row r="818" spans="11:12" ht="14.25" customHeight="1" x14ac:dyDescent="0.3">
      <c r="K818" s="5"/>
      <c r="L818" s="5"/>
    </row>
    <row r="819" spans="11:12" ht="14.25" customHeight="1" x14ac:dyDescent="0.3">
      <c r="K819" s="5"/>
      <c r="L819" s="5"/>
    </row>
    <row r="820" spans="11:12" ht="14.25" customHeight="1" x14ac:dyDescent="0.3">
      <c r="K820" s="5"/>
      <c r="L820" s="5"/>
    </row>
    <row r="821" spans="11:12" ht="14.25" customHeight="1" x14ac:dyDescent="0.3">
      <c r="K821" s="5"/>
      <c r="L821" s="5"/>
    </row>
    <row r="822" spans="11:12" ht="14.25" customHeight="1" x14ac:dyDescent="0.3">
      <c r="K822" s="5"/>
      <c r="L822" s="5"/>
    </row>
    <row r="823" spans="11:12" ht="14.25" customHeight="1" x14ac:dyDescent="0.3">
      <c r="K823" s="5"/>
      <c r="L823" s="5"/>
    </row>
    <row r="824" spans="11:12" ht="14.25" customHeight="1" x14ac:dyDescent="0.3">
      <c r="K824" s="5"/>
      <c r="L824" s="5"/>
    </row>
    <row r="825" spans="11:12" ht="14.25" customHeight="1" x14ac:dyDescent="0.3">
      <c r="K825" s="5"/>
      <c r="L825" s="5"/>
    </row>
    <row r="826" spans="11:12" ht="14.25" customHeight="1" x14ac:dyDescent="0.3">
      <c r="K826" s="5"/>
      <c r="L826" s="5"/>
    </row>
    <row r="827" spans="11:12" ht="14.25" customHeight="1" x14ac:dyDescent="0.3">
      <c r="K827" s="5"/>
      <c r="L827" s="5"/>
    </row>
    <row r="828" spans="11:12" ht="14.25" customHeight="1" x14ac:dyDescent="0.3">
      <c r="K828" s="5"/>
      <c r="L828" s="5"/>
    </row>
    <row r="829" spans="11:12" ht="14.25" customHeight="1" x14ac:dyDescent="0.3">
      <c r="K829" s="5"/>
      <c r="L829" s="5"/>
    </row>
    <row r="830" spans="11:12" ht="14.25" customHeight="1" x14ac:dyDescent="0.3">
      <c r="K830" s="5"/>
      <c r="L830" s="5"/>
    </row>
    <row r="831" spans="11:12" ht="14.25" customHeight="1" x14ac:dyDescent="0.3">
      <c r="K831" s="5"/>
      <c r="L831" s="5"/>
    </row>
    <row r="832" spans="11:12" ht="14.25" customHeight="1" x14ac:dyDescent="0.3">
      <c r="K832" s="5"/>
      <c r="L832" s="5"/>
    </row>
    <row r="833" spans="11:12" ht="14.25" customHeight="1" x14ac:dyDescent="0.3">
      <c r="K833" s="5"/>
      <c r="L833" s="5"/>
    </row>
    <row r="834" spans="11:12" ht="14.25" customHeight="1" x14ac:dyDescent="0.3">
      <c r="K834" s="5"/>
      <c r="L834" s="5"/>
    </row>
    <row r="835" spans="11:12" ht="14.25" customHeight="1" x14ac:dyDescent="0.3">
      <c r="K835" s="5"/>
      <c r="L835" s="5"/>
    </row>
    <row r="836" spans="11:12" ht="14.25" customHeight="1" x14ac:dyDescent="0.3">
      <c r="K836" s="5"/>
      <c r="L836" s="5"/>
    </row>
    <row r="837" spans="11:12" ht="14.25" customHeight="1" x14ac:dyDescent="0.3">
      <c r="K837" s="5"/>
      <c r="L837" s="5"/>
    </row>
    <row r="838" spans="11:12" ht="14.25" customHeight="1" x14ac:dyDescent="0.3">
      <c r="K838" s="5"/>
      <c r="L838" s="5"/>
    </row>
    <row r="839" spans="11:12" ht="14.25" customHeight="1" x14ac:dyDescent="0.3">
      <c r="K839" s="5"/>
      <c r="L839" s="5"/>
    </row>
    <row r="840" spans="11:12" ht="14.25" customHeight="1" x14ac:dyDescent="0.3">
      <c r="K840" s="5"/>
      <c r="L840" s="5"/>
    </row>
    <row r="841" spans="11:12" ht="14.25" customHeight="1" x14ac:dyDescent="0.3">
      <c r="K841" s="5"/>
      <c r="L841" s="5"/>
    </row>
    <row r="842" spans="11:12" ht="14.25" customHeight="1" x14ac:dyDescent="0.3">
      <c r="K842" s="5"/>
      <c r="L842" s="5"/>
    </row>
    <row r="843" spans="11:12" ht="14.25" customHeight="1" x14ac:dyDescent="0.3">
      <c r="K843" s="5"/>
      <c r="L843" s="5"/>
    </row>
    <row r="844" spans="11:12" ht="14.25" customHeight="1" x14ac:dyDescent="0.3">
      <c r="K844" s="5"/>
      <c r="L844" s="5"/>
    </row>
    <row r="845" spans="11:12" ht="14.25" customHeight="1" x14ac:dyDescent="0.3">
      <c r="K845" s="5"/>
      <c r="L845" s="5"/>
    </row>
    <row r="846" spans="11:12" ht="14.25" customHeight="1" x14ac:dyDescent="0.3">
      <c r="K846" s="5"/>
      <c r="L846" s="5"/>
    </row>
    <row r="847" spans="11:12" ht="14.25" customHeight="1" x14ac:dyDescent="0.3">
      <c r="K847" s="5"/>
      <c r="L847" s="5"/>
    </row>
    <row r="848" spans="11:12" ht="14.25" customHeight="1" x14ac:dyDescent="0.3">
      <c r="K848" s="5"/>
      <c r="L848" s="5"/>
    </row>
    <row r="849" spans="11:12" ht="14.25" customHeight="1" x14ac:dyDescent="0.3">
      <c r="K849" s="5"/>
      <c r="L849" s="5"/>
    </row>
    <row r="850" spans="11:12" ht="14.25" customHeight="1" x14ac:dyDescent="0.3">
      <c r="K850" s="5"/>
      <c r="L850" s="5"/>
    </row>
    <row r="851" spans="11:12" ht="14.25" customHeight="1" x14ac:dyDescent="0.3">
      <c r="K851" s="5"/>
      <c r="L851" s="5"/>
    </row>
    <row r="852" spans="11:12" ht="14.25" customHeight="1" x14ac:dyDescent="0.3">
      <c r="K852" s="5"/>
      <c r="L852" s="5"/>
    </row>
    <row r="853" spans="11:12" ht="14.25" customHeight="1" x14ac:dyDescent="0.3">
      <c r="K853" s="5"/>
      <c r="L853" s="5"/>
    </row>
    <row r="854" spans="11:12" ht="14.25" customHeight="1" x14ac:dyDescent="0.3">
      <c r="K854" s="5"/>
      <c r="L854" s="5"/>
    </row>
    <row r="855" spans="11:12" ht="14.25" customHeight="1" x14ac:dyDescent="0.3">
      <c r="K855" s="5"/>
      <c r="L855" s="5"/>
    </row>
    <row r="856" spans="11:12" ht="14.25" customHeight="1" x14ac:dyDescent="0.3">
      <c r="K856" s="5"/>
      <c r="L856" s="5"/>
    </row>
    <row r="857" spans="11:12" ht="14.25" customHeight="1" x14ac:dyDescent="0.3">
      <c r="K857" s="5"/>
      <c r="L857" s="5"/>
    </row>
    <row r="858" spans="11:12" ht="14.25" customHeight="1" x14ac:dyDescent="0.3">
      <c r="K858" s="5"/>
      <c r="L858" s="5"/>
    </row>
    <row r="859" spans="11:12" ht="14.25" customHeight="1" x14ac:dyDescent="0.3">
      <c r="K859" s="5"/>
      <c r="L859" s="5"/>
    </row>
    <row r="860" spans="11:12" ht="14.25" customHeight="1" x14ac:dyDescent="0.3">
      <c r="K860" s="5"/>
      <c r="L860" s="5"/>
    </row>
    <row r="861" spans="11:12" ht="14.25" customHeight="1" x14ac:dyDescent="0.3">
      <c r="K861" s="5"/>
      <c r="L861" s="5"/>
    </row>
    <row r="862" spans="11:12" ht="14.25" customHeight="1" x14ac:dyDescent="0.3">
      <c r="K862" s="5"/>
      <c r="L862" s="5"/>
    </row>
    <row r="863" spans="11:12" ht="14.25" customHeight="1" x14ac:dyDescent="0.3">
      <c r="K863" s="5"/>
      <c r="L863" s="5"/>
    </row>
    <row r="864" spans="11:12" ht="14.25" customHeight="1" x14ac:dyDescent="0.3">
      <c r="K864" s="5"/>
      <c r="L864" s="5"/>
    </row>
    <row r="865" spans="11:12" ht="14.25" customHeight="1" x14ac:dyDescent="0.3">
      <c r="K865" s="5"/>
      <c r="L865" s="5"/>
    </row>
    <row r="866" spans="11:12" ht="14.25" customHeight="1" x14ac:dyDescent="0.3">
      <c r="K866" s="5"/>
      <c r="L866" s="5"/>
    </row>
    <row r="867" spans="11:12" ht="14.25" customHeight="1" x14ac:dyDescent="0.3">
      <c r="K867" s="5"/>
      <c r="L867" s="5"/>
    </row>
    <row r="868" spans="11:12" ht="14.25" customHeight="1" x14ac:dyDescent="0.3">
      <c r="K868" s="5"/>
      <c r="L868" s="5"/>
    </row>
    <row r="869" spans="11:12" ht="14.25" customHeight="1" x14ac:dyDescent="0.3">
      <c r="K869" s="5"/>
      <c r="L869" s="5"/>
    </row>
    <row r="870" spans="11:12" ht="14.25" customHeight="1" x14ac:dyDescent="0.3">
      <c r="K870" s="5"/>
      <c r="L870" s="5"/>
    </row>
    <row r="871" spans="11:12" ht="14.25" customHeight="1" x14ac:dyDescent="0.3">
      <c r="K871" s="5"/>
      <c r="L871" s="5"/>
    </row>
    <row r="872" spans="11:12" ht="14.25" customHeight="1" x14ac:dyDescent="0.3">
      <c r="K872" s="5"/>
      <c r="L872" s="5"/>
    </row>
    <row r="873" spans="11:12" ht="14.25" customHeight="1" x14ac:dyDescent="0.3">
      <c r="K873" s="5"/>
      <c r="L873" s="5"/>
    </row>
    <row r="874" spans="11:12" ht="14.25" customHeight="1" x14ac:dyDescent="0.3">
      <c r="K874" s="5"/>
      <c r="L874" s="5"/>
    </row>
    <row r="875" spans="11:12" ht="14.25" customHeight="1" x14ac:dyDescent="0.3">
      <c r="K875" s="5"/>
      <c r="L875" s="5"/>
    </row>
    <row r="876" spans="11:12" ht="14.25" customHeight="1" x14ac:dyDescent="0.3">
      <c r="K876" s="5"/>
      <c r="L876" s="5"/>
    </row>
    <row r="877" spans="11:12" ht="14.25" customHeight="1" x14ac:dyDescent="0.3">
      <c r="K877" s="5"/>
      <c r="L877" s="5"/>
    </row>
    <row r="878" spans="11:12" ht="14.25" customHeight="1" x14ac:dyDescent="0.3">
      <c r="K878" s="5"/>
      <c r="L878" s="5"/>
    </row>
    <row r="879" spans="11:12" ht="14.25" customHeight="1" x14ac:dyDescent="0.3">
      <c r="K879" s="5"/>
      <c r="L879" s="5"/>
    </row>
    <row r="880" spans="11:12" ht="14.25" customHeight="1" x14ac:dyDescent="0.3">
      <c r="K880" s="5"/>
      <c r="L880" s="5"/>
    </row>
    <row r="881" spans="11:12" ht="14.25" customHeight="1" x14ac:dyDescent="0.3">
      <c r="K881" s="5"/>
      <c r="L881" s="5"/>
    </row>
    <row r="882" spans="11:12" ht="14.25" customHeight="1" x14ac:dyDescent="0.3">
      <c r="K882" s="5"/>
      <c r="L882" s="5"/>
    </row>
    <row r="883" spans="11:12" ht="14.25" customHeight="1" x14ac:dyDescent="0.3">
      <c r="K883" s="5"/>
      <c r="L883" s="5"/>
    </row>
    <row r="884" spans="11:12" ht="14.25" customHeight="1" x14ac:dyDescent="0.3">
      <c r="K884" s="5"/>
      <c r="L884" s="5"/>
    </row>
    <row r="885" spans="11:12" ht="14.25" customHeight="1" x14ac:dyDescent="0.3">
      <c r="K885" s="5"/>
      <c r="L885" s="5"/>
    </row>
    <row r="886" spans="11:12" ht="14.25" customHeight="1" x14ac:dyDescent="0.3">
      <c r="K886" s="5"/>
      <c r="L886" s="5"/>
    </row>
    <row r="887" spans="11:12" ht="14.25" customHeight="1" x14ac:dyDescent="0.3">
      <c r="K887" s="5"/>
      <c r="L887" s="5"/>
    </row>
    <row r="888" spans="11:12" ht="14.25" customHeight="1" x14ac:dyDescent="0.3">
      <c r="K888" s="5"/>
      <c r="L888" s="5"/>
    </row>
    <row r="889" spans="11:12" ht="14.25" customHeight="1" x14ac:dyDescent="0.3">
      <c r="K889" s="5"/>
      <c r="L889" s="5"/>
    </row>
    <row r="890" spans="11:12" ht="14.25" customHeight="1" x14ac:dyDescent="0.3">
      <c r="K890" s="5"/>
      <c r="L890" s="5"/>
    </row>
    <row r="891" spans="11:12" ht="14.25" customHeight="1" x14ac:dyDescent="0.3">
      <c r="K891" s="5"/>
      <c r="L891" s="5"/>
    </row>
    <row r="892" spans="11:12" ht="14.25" customHeight="1" x14ac:dyDescent="0.3">
      <c r="K892" s="5"/>
      <c r="L892" s="5"/>
    </row>
    <row r="893" spans="11:12" ht="14.25" customHeight="1" x14ac:dyDescent="0.3">
      <c r="K893" s="5"/>
      <c r="L893" s="5"/>
    </row>
    <row r="894" spans="11:12" ht="14.25" customHeight="1" x14ac:dyDescent="0.3">
      <c r="K894" s="5"/>
      <c r="L894" s="5"/>
    </row>
    <row r="895" spans="11:12" ht="14.25" customHeight="1" x14ac:dyDescent="0.3">
      <c r="K895" s="5"/>
      <c r="L895" s="5"/>
    </row>
    <row r="896" spans="11:12" ht="14.25" customHeight="1" x14ac:dyDescent="0.3">
      <c r="K896" s="5"/>
      <c r="L896" s="5"/>
    </row>
    <row r="897" spans="11:12" ht="14.25" customHeight="1" x14ac:dyDescent="0.3">
      <c r="K897" s="5"/>
      <c r="L897" s="5"/>
    </row>
    <row r="898" spans="11:12" ht="14.25" customHeight="1" x14ac:dyDescent="0.3">
      <c r="K898" s="5"/>
      <c r="L898" s="5"/>
    </row>
    <row r="899" spans="11:12" ht="14.25" customHeight="1" x14ac:dyDescent="0.3">
      <c r="K899" s="5"/>
      <c r="L899" s="5"/>
    </row>
    <row r="900" spans="11:12" ht="14.25" customHeight="1" x14ac:dyDescent="0.3">
      <c r="K900" s="5"/>
      <c r="L900" s="5"/>
    </row>
    <row r="901" spans="11:12" ht="14.25" customHeight="1" x14ac:dyDescent="0.3">
      <c r="K901" s="5"/>
      <c r="L901" s="5"/>
    </row>
    <row r="902" spans="11:12" ht="14.25" customHeight="1" x14ac:dyDescent="0.3">
      <c r="K902" s="5"/>
      <c r="L902" s="5"/>
    </row>
    <row r="903" spans="11:12" ht="14.25" customHeight="1" x14ac:dyDescent="0.3">
      <c r="K903" s="5"/>
      <c r="L903" s="5"/>
    </row>
    <row r="904" spans="11:12" ht="14.25" customHeight="1" x14ac:dyDescent="0.3">
      <c r="K904" s="5"/>
      <c r="L904" s="5"/>
    </row>
    <row r="905" spans="11:12" ht="14.25" customHeight="1" x14ac:dyDescent="0.3">
      <c r="K905" s="5"/>
      <c r="L905" s="5"/>
    </row>
    <row r="906" spans="11:12" ht="14.25" customHeight="1" x14ac:dyDescent="0.3">
      <c r="K906" s="5"/>
      <c r="L906" s="5"/>
    </row>
    <row r="907" spans="11:12" ht="14.25" customHeight="1" x14ac:dyDescent="0.3">
      <c r="K907" s="5"/>
      <c r="L907" s="5"/>
    </row>
    <row r="908" spans="11:12" ht="14.25" customHeight="1" x14ac:dyDescent="0.3">
      <c r="K908" s="5"/>
      <c r="L908" s="5"/>
    </row>
    <row r="909" spans="11:12" ht="14.25" customHeight="1" x14ac:dyDescent="0.3">
      <c r="K909" s="5"/>
      <c r="L909" s="5"/>
    </row>
    <row r="910" spans="11:12" ht="14.25" customHeight="1" x14ac:dyDescent="0.3">
      <c r="K910" s="5"/>
      <c r="L910" s="5"/>
    </row>
    <row r="911" spans="11:12" ht="14.25" customHeight="1" x14ac:dyDescent="0.3">
      <c r="K911" s="5"/>
      <c r="L911" s="5"/>
    </row>
    <row r="912" spans="11:12" ht="14.25" customHeight="1" x14ac:dyDescent="0.3">
      <c r="K912" s="5"/>
      <c r="L912" s="5"/>
    </row>
    <row r="913" spans="11:12" ht="14.25" customHeight="1" x14ac:dyDescent="0.3">
      <c r="K913" s="5"/>
      <c r="L913" s="5"/>
    </row>
    <row r="914" spans="11:12" ht="14.25" customHeight="1" x14ac:dyDescent="0.3">
      <c r="K914" s="5"/>
      <c r="L914" s="5"/>
    </row>
    <row r="915" spans="11:12" ht="14.25" customHeight="1" x14ac:dyDescent="0.3">
      <c r="K915" s="5"/>
      <c r="L915" s="5"/>
    </row>
    <row r="916" spans="11:12" ht="14.25" customHeight="1" x14ac:dyDescent="0.3">
      <c r="K916" s="5"/>
      <c r="L916" s="5"/>
    </row>
    <row r="917" spans="11:12" ht="14.25" customHeight="1" x14ac:dyDescent="0.3">
      <c r="K917" s="5"/>
      <c r="L917" s="5"/>
    </row>
    <row r="918" spans="11:12" ht="14.25" customHeight="1" x14ac:dyDescent="0.3">
      <c r="K918" s="5"/>
      <c r="L918" s="5"/>
    </row>
    <row r="919" spans="11:12" ht="14.25" customHeight="1" x14ac:dyDescent="0.3">
      <c r="K919" s="5"/>
      <c r="L919" s="5"/>
    </row>
    <row r="920" spans="11:12" ht="14.25" customHeight="1" x14ac:dyDescent="0.3">
      <c r="K920" s="5"/>
      <c r="L920" s="5"/>
    </row>
    <row r="921" spans="11:12" ht="14.25" customHeight="1" x14ac:dyDescent="0.3">
      <c r="K921" s="5"/>
      <c r="L921" s="5"/>
    </row>
    <row r="922" spans="11:12" ht="14.25" customHeight="1" x14ac:dyDescent="0.3">
      <c r="K922" s="5"/>
      <c r="L922" s="5"/>
    </row>
    <row r="923" spans="11:12" ht="14.25" customHeight="1" x14ac:dyDescent="0.3">
      <c r="K923" s="5"/>
      <c r="L923" s="5"/>
    </row>
    <row r="924" spans="11:12" ht="14.25" customHeight="1" x14ac:dyDescent="0.3">
      <c r="K924" s="5"/>
      <c r="L924" s="5"/>
    </row>
    <row r="925" spans="11:12" ht="14.25" customHeight="1" x14ac:dyDescent="0.3">
      <c r="K925" s="5"/>
      <c r="L925" s="5"/>
    </row>
    <row r="926" spans="11:12" ht="14.25" customHeight="1" x14ac:dyDescent="0.3">
      <c r="K926" s="5"/>
      <c r="L926" s="5"/>
    </row>
    <row r="927" spans="11:12" ht="14.25" customHeight="1" x14ac:dyDescent="0.3">
      <c r="K927" s="5"/>
      <c r="L927" s="5"/>
    </row>
    <row r="928" spans="11:12" ht="14.25" customHeight="1" x14ac:dyDescent="0.3">
      <c r="K928" s="5"/>
      <c r="L928" s="5"/>
    </row>
    <row r="929" spans="11:12" ht="14.25" customHeight="1" x14ac:dyDescent="0.3">
      <c r="K929" s="5"/>
      <c r="L929" s="5"/>
    </row>
    <row r="930" spans="11:12" ht="14.25" customHeight="1" x14ac:dyDescent="0.3">
      <c r="K930" s="5"/>
      <c r="L930" s="5"/>
    </row>
    <row r="931" spans="11:12" ht="14.25" customHeight="1" x14ac:dyDescent="0.3">
      <c r="K931" s="5"/>
      <c r="L931" s="5"/>
    </row>
    <row r="932" spans="11:12" ht="14.25" customHeight="1" x14ac:dyDescent="0.3">
      <c r="K932" s="5"/>
      <c r="L932" s="5"/>
    </row>
    <row r="933" spans="11:12" ht="14.25" customHeight="1" x14ac:dyDescent="0.3">
      <c r="K933" s="5"/>
      <c r="L933" s="5"/>
    </row>
    <row r="934" spans="11:12" ht="14.25" customHeight="1" x14ac:dyDescent="0.3">
      <c r="K934" s="5"/>
      <c r="L934" s="5"/>
    </row>
    <row r="935" spans="11:12" ht="14.25" customHeight="1" x14ac:dyDescent="0.3">
      <c r="K935" s="5"/>
      <c r="L935" s="5"/>
    </row>
    <row r="936" spans="11:12" ht="14.25" customHeight="1" x14ac:dyDescent="0.3">
      <c r="K936" s="5"/>
      <c r="L936" s="5"/>
    </row>
    <row r="937" spans="11:12" ht="14.25" customHeight="1" x14ac:dyDescent="0.3">
      <c r="K937" s="5"/>
      <c r="L937" s="5"/>
    </row>
    <row r="938" spans="11:12" ht="14.25" customHeight="1" x14ac:dyDescent="0.3">
      <c r="K938" s="5"/>
      <c r="L938" s="5"/>
    </row>
    <row r="939" spans="11:12" ht="14.25" customHeight="1" x14ac:dyDescent="0.3">
      <c r="K939" s="5"/>
      <c r="L939" s="5"/>
    </row>
    <row r="940" spans="11:12" ht="14.25" customHeight="1" x14ac:dyDescent="0.3">
      <c r="K940" s="5"/>
      <c r="L940" s="5"/>
    </row>
    <row r="941" spans="11:12" ht="14.25" customHeight="1" x14ac:dyDescent="0.3">
      <c r="K941" s="5"/>
      <c r="L941" s="5"/>
    </row>
    <row r="942" spans="11:12" ht="14.25" customHeight="1" x14ac:dyDescent="0.3">
      <c r="K942" s="5"/>
      <c r="L942" s="5"/>
    </row>
    <row r="943" spans="11:12" ht="14.25" customHeight="1" x14ac:dyDescent="0.3">
      <c r="K943" s="5"/>
      <c r="L943" s="5"/>
    </row>
    <row r="944" spans="11:12" ht="14.25" customHeight="1" x14ac:dyDescent="0.3">
      <c r="K944" s="5"/>
      <c r="L944" s="5"/>
    </row>
    <row r="945" spans="11:12" ht="14.25" customHeight="1" x14ac:dyDescent="0.3">
      <c r="K945" s="5"/>
      <c r="L945" s="5"/>
    </row>
    <row r="946" spans="11:12" ht="14.25" customHeight="1" x14ac:dyDescent="0.3">
      <c r="K946" s="5"/>
      <c r="L946" s="5"/>
    </row>
    <row r="947" spans="11:12" ht="14.25" customHeight="1" x14ac:dyDescent="0.3">
      <c r="K947" s="5"/>
      <c r="L947" s="5"/>
    </row>
    <row r="948" spans="11:12" ht="14.25" customHeight="1" x14ac:dyDescent="0.3">
      <c r="K948" s="5"/>
      <c r="L948" s="5"/>
    </row>
    <row r="949" spans="11:12" ht="14.25" customHeight="1" x14ac:dyDescent="0.3">
      <c r="K949" s="5"/>
      <c r="L949" s="5"/>
    </row>
    <row r="950" spans="11:12" ht="14.25" customHeight="1" x14ac:dyDescent="0.3">
      <c r="K950" s="5"/>
      <c r="L950" s="5"/>
    </row>
    <row r="951" spans="11:12" ht="14.25" customHeight="1" x14ac:dyDescent="0.3">
      <c r="K951" s="5"/>
      <c r="L951" s="5"/>
    </row>
    <row r="952" spans="11:12" ht="14.25" customHeight="1" x14ac:dyDescent="0.3">
      <c r="K952" s="5"/>
      <c r="L952" s="5"/>
    </row>
    <row r="953" spans="11:12" ht="14.25" customHeight="1" x14ac:dyDescent="0.3">
      <c r="K953" s="5"/>
      <c r="L953" s="5"/>
    </row>
    <row r="954" spans="11:12" ht="14.25" customHeight="1" x14ac:dyDescent="0.3">
      <c r="K954" s="5"/>
      <c r="L954" s="5"/>
    </row>
    <row r="955" spans="11:12" ht="14.25" customHeight="1" x14ac:dyDescent="0.3">
      <c r="K955" s="5"/>
      <c r="L955" s="5"/>
    </row>
    <row r="956" spans="11:12" ht="14.25" customHeight="1" x14ac:dyDescent="0.3">
      <c r="K956" s="5"/>
      <c r="L956" s="5"/>
    </row>
    <row r="957" spans="11:12" ht="14.25" customHeight="1" x14ac:dyDescent="0.3">
      <c r="K957" s="5"/>
      <c r="L957" s="5"/>
    </row>
    <row r="958" spans="11:12" ht="14.25" customHeight="1" x14ac:dyDescent="0.3">
      <c r="K958" s="5"/>
      <c r="L958" s="5"/>
    </row>
    <row r="959" spans="11:12" ht="14.25" customHeight="1" x14ac:dyDescent="0.3">
      <c r="K959" s="5"/>
      <c r="L959" s="5"/>
    </row>
    <row r="960" spans="11:12" ht="14.25" customHeight="1" x14ac:dyDescent="0.3">
      <c r="K960" s="5"/>
      <c r="L960" s="5"/>
    </row>
    <row r="961" spans="11:12" ht="14.25" customHeight="1" x14ac:dyDescent="0.3">
      <c r="K961" s="5"/>
      <c r="L961" s="5"/>
    </row>
    <row r="962" spans="11:12" ht="14.25" customHeight="1" x14ac:dyDescent="0.3">
      <c r="K962" s="5"/>
      <c r="L962" s="5"/>
    </row>
    <row r="963" spans="11:12" ht="14.25" customHeight="1" x14ac:dyDescent="0.3">
      <c r="K963" s="5"/>
      <c r="L963" s="5"/>
    </row>
    <row r="964" spans="11:12" ht="14.25" customHeight="1" x14ac:dyDescent="0.3">
      <c r="K964" s="5"/>
      <c r="L964" s="5"/>
    </row>
    <row r="965" spans="11:12" ht="14.25" customHeight="1" x14ac:dyDescent="0.3">
      <c r="K965" s="5"/>
      <c r="L965" s="5"/>
    </row>
    <row r="966" spans="11:12" ht="14.25" customHeight="1" x14ac:dyDescent="0.3">
      <c r="K966" s="5"/>
      <c r="L966" s="5"/>
    </row>
    <row r="967" spans="11:12" ht="14.25" customHeight="1" x14ac:dyDescent="0.3">
      <c r="K967" s="5"/>
      <c r="L967" s="5"/>
    </row>
    <row r="968" spans="11:12" ht="14.25" customHeight="1" x14ac:dyDescent="0.3">
      <c r="K968" s="5"/>
      <c r="L968" s="5"/>
    </row>
    <row r="969" spans="11:12" ht="14.25" customHeight="1" x14ac:dyDescent="0.3">
      <c r="K969" s="5"/>
      <c r="L969" s="5"/>
    </row>
    <row r="970" spans="11:12" ht="14.25" customHeight="1" x14ac:dyDescent="0.3">
      <c r="K970" s="5"/>
      <c r="L970" s="5"/>
    </row>
    <row r="971" spans="11:12" ht="14.25" customHeight="1" x14ac:dyDescent="0.3">
      <c r="K971" s="5"/>
      <c r="L971" s="5"/>
    </row>
    <row r="972" spans="11:12" ht="14.25" customHeight="1" x14ac:dyDescent="0.3">
      <c r="K972" s="5"/>
      <c r="L972" s="5"/>
    </row>
    <row r="973" spans="11:12" ht="14.25" customHeight="1" x14ac:dyDescent="0.3">
      <c r="K973" s="5"/>
      <c r="L973" s="5"/>
    </row>
    <row r="974" spans="11:12" ht="14.25" customHeight="1" x14ac:dyDescent="0.3">
      <c r="K974" s="5"/>
      <c r="L974" s="5"/>
    </row>
    <row r="975" spans="11:12" ht="14.25" customHeight="1" x14ac:dyDescent="0.3">
      <c r="K975" s="5"/>
      <c r="L975" s="5"/>
    </row>
    <row r="976" spans="11:12" ht="14.25" customHeight="1" x14ac:dyDescent="0.3">
      <c r="K976" s="5"/>
      <c r="L976" s="5"/>
    </row>
    <row r="977" spans="11:12" ht="14.25" customHeight="1" x14ac:dyDescent="0.3">
      <c r="K977" s="5"/>
      <c r="L977" s="5"/>
    </row>
    <row r="978" spans="11:12" ht="14.25" customHeight="1" x14ac:dyDescent="0.3">
      <c r="K978" s="5"/>
      <c r="L978" s="5"/>
    </row>
    <row r="979" spans="11:12" ht="14.25" customHeight="1" x14ac:dyDescent="0.3">
      <c r="K979" s="5"/>
      <c r="L979" s="5"/>
    </row>
    <row r="980" spans="11:12" ht="14.25" customHeight="1" x14ac:dyDescent="0.3">
      <c r="K980" s="5"/>
      <c r="L980" s="5"/>
    </row>
    <row r="981" spans="11:12" ht="14.25" customHeight="1" x14ac:dyDescent="0.3">
      <c r="K981" s="5"/>
      <c r="L981" s="5"/>
    </row>
    <row r="982" spans="11:12" ht="14.25" customHeight="1" x14ac:dyDescent="0.3">
      <c r="K982" s="5"/>
      <c r="L982" s="5"/>
    </row>
    <row r="983" spans="11:12" ht="14.25" customHeight="1" x14ac:dyDescent="0.3">
      <c r="K983" s="5"/>
      <c r="L983" s="5"/>
    </row>
    <row r="984" spans="11:12" ht="14.25" customHeight="1" x14ac:dyDescent="0.3">
      <c r="K984" s="5"/>
      <c r="L984" s="5"/>
    </row>
    <row r="985" spans="11:12" ht="14.25" customHeight="1" x14ac:dyDescent="0.3">
      <c r="K985" s="5"/>
      <c r="L985" s="5"/>
    </row>
    <row r="986" spans="11:12" ht="14.25" customHeight="1" x14ac:dyDescent="0.3">
      <c r="K986" s="5"/>
      <c r="L986" s="5"/>
    </row>
    <row r="987" spans="11:12" ht="14.25" customHeight="1" x14ac:dyDescent="0.3">
      <c r="K987" s="5"/>
      <c r="L987" s="5"/>
    </row>
    <row r="988" spans="11:12" ht="14.25" customHeight="1" x14ac:dyDescent="0.3">
      <c r="K988" s="5"/>
      <c r="L988" s="5"/>
    </row>
    <row r="989" spans="11:12" ht="14.25" customHeight="1" x14ac:dyDescent="0.3">
      <c r="K989" s="5"/>
      <c r="L989" s="5"/>
    </row>
    <row r="990" spans="11:12" ht="14.25" customHeight="1" x14ac:dyDescent="0.3">
      <c r="K990" s="5"/>
      <c r="L990" s="5"/>
    </row>
    <row r="991" spans="11:12" ht="14.25" customHeight="1" x14ac:dyDescent="0.3">
      <c r="K991" s="5"/>
      <c r="L991" s="5"/>
    </row>
    <row r="992" spans="11:12" ht="14.25" customHeight="1" x14ac:dyDescent="0.3">
      <c r="K992" s="5"/>
      <c r="L992" s="5"/>
    </row>
    <row r="993" spans="11:12" ht="14.25" customHeight="1" x14ac:dyDescent="0.3">
      <c r="K993" s="5"/>
      <c r="L993" s="5"/>
    </row>
    <row r="994" spans="11:12" ht="14.25" customHeight="1" x14ac:dyDescent="0.3">
      <c r="K994" s="5"/>
      <c r="L994" s="5"/>
    </row>
    <row r="995" spans="11:12" ht="14.25" customHeight="1" x14ac:dyDescent="0.3">
      <c r="K995" s="5"/>
      <c r="L995" s="5"/>
    </row>
    <row r="996" spans="11:12" ht="14.25" customHeight="1" x14ac:dyDescent="0.3">
      <c r="K996" s="5"/>
      <c r="L996" s="5"/>
    </row>
    <row r="997" spans="11:12" ht="14.25" customHeight="1" x14ac:dyDescent="0.3">
      <c r="K997" s="5"/>
      <c r="L997" s="5"/>
    </row>
    <row r="998" spans="11:12" ht="14.25" customHeight="1" x14ac:dyDescent="0.3">
      <c r="K998" s="5"/>
      <c r="L998" s="5"/>
    </row>
    <row r="999" spans="11:12" ht="14.25" customHeight="1" x14ac:dyDescent="0.3">
      <c r="K999" s="5"/>
      <c r="L999" s="5"/>
    </row>
    <row r="1000" spans="11:12" ht="14.25" customHeight="1" x14ac:dyDescent="0.3">
      <c r="K1000" s="5"/>
      <c r="L1000" s="5"/>
    </row>
    <row r="1001" spans="11:12" ht="14.25" customHeight="1" x14ac:dyDescent="0.3">
      <c r="K1001" s="5"/>
      <c r="L1001" s="5"/>
    </row>
    <row r="1002" spans="11:12" ht="14.25" customHeight="1" x14ac:dyDescent="0.3">
      <c r="K1002" s="5"/>
      <c r="L1002" s="5"/>
    </row>
    <row r="1003" spans="11:12" ht="14.25" customHeight="1" x14ac:dyDescent="0.3">
      <c r="K1003" s="5"/>
      <c r="L1003" s="5"/>
    </row>
    <row r="1004" spans="11:12" ht="14.25" customHeight="1" x14ac:dyDescent="0.3">
      <c r="K1004" s="5"/>
      <c r="L1004" s="5"/>
    </row>
    <row r="1005" spans="11:12" ht="14.25" customHeight="1" x14ac:dyDescent="0.3">
      <c r="K1005" s="5"/>
      <c r="L1005" s="5"/>
    </row>
    <row r="1006" spans="11:12" ht="14.25" customHeight="1" x14ac:dyDescent="0.3">
      <c r="K1006" s="5"/>
      <c r="L1006" s="5"/>
    </row>
    <row r="1007" spans="11:12" ht="14.25" customHeight="1" x14ac:dyDescent="0.3">
      <c r="K1007" s="5"/>
      <c r="L1007" s="5"/>
    </row>
  </sheetData>
  <phoneticPr fontId="155" type="noConversion"/>
  <hyperlinks>
    <hyperlink ref="H71" r:id="rId1" xr:uid="{00000000-0004-0000-0600-000000000000}"/>
    <hyperlink ref="H75" r:id="rId2" xr:uid="{00000000-0004-0000-0600-000001000000}"/>
    <hyperlink ref="H76" r:id="rId3" xr:uid="{00000000-0004-0000-0600-000002000000}"/>
    <hyperlink ref="K155" r:id="rId4" xr:uid="{00000000-0004-0000-0600-000003000000}"/>
    <hyperlink ref="I157" r:id="rId5" xr:uid="{00000000-0004-0000-0600-000004000000}"/>
    <hyperlink ref="I158" r:id="rId6" xr:uid="{00000000-0004-0000-0600-000005000000}"/>
    <hyperlink ref="I159" r:id="rId7" xr:uid="{00000000-0004-0000-0600-000006000000}"/>
    <hyperlink ref="I160" r:id="rId8" xr:uid="{00000000-0004-0000-0600-000007000000}"/>
    <hyperlink ref="I161" r:id="rId9" xr:uid="{00000000-0004-0000-0600-000008000000}"/>
    <hyperlink ref="I163" r:id="rId10" xr:uid="{00000000-0004-0000-0600-00000A000000}"/>
    <hyperlink ref="I164" r:id="rId11" xr:uid="{00000000-0004-0000-0600-00000B000000}"/>
    <hyperlink ref="I165" r:id="rId12" xr:uid="{00000000-0004-0000-0600-00000C000000}"/>
    <hyperlink ref="I166" r:id="rId13" xr:uid="{00000000-0004-0000-0600-00000D000000}"/>
    <hyperlink ref="I167" r:id="rId14" xr:uid="{B17166C1-BF6E-446F-A155-9A941EF6BC8E}"/>
    <hyperlink ref="I168" r:id="rId15" xr:uid="{748C8380-DD23-4630-A3B4-6E2354425786}"/>
    <hyperlink ref="I141" r:id="rId16" xr:uid="{417B07CF-2ECB-4E93-99E2-C72C8158EB53}"/>
    <hyperlink ref="I169" r:id="rId17" xr:uid="{BD18EE3A-2107-465E-9695-98C16C359373}"/>
    <hyperlink ref="I170" r:id="rId18" xr:uid="{BE4A15C7-FB9C-4C17-A143-6E42CD366463}"/>
    <hyperlink ref="I172" r:id="rId19" xr:uid="{E8F4F289-384A-4D63-8FB3-2BAC79AD4CC1}"/>
    <hyperlink ref="I173" r:id="rId20" xr:uid="{5A988C11-08B7-4948-97F3-919CC569988E}"/>
    <hyperlink ref="I174" r:id="rId21" xr:uid="{D5972B79-51D3-4CD3-8745-DD3A031399A0}"/>
    <hyperlink ref="I175" r:id="rId22" xr:uid="{83281A51-2FDB-4E47-BD6D-3A0EE5C00695}"/>
    <hyperlink ref="I176" r:id="rId23" xr:uid="{DD68D644-6D0C-4DA5-A98E-F9B7E45536A4}"/>
    <hyperlink ref="I177" r:id="rId24" xr:uid="{EAFD1CE9-DC2F-4A11-A26C-CDE0A3B05F90}"/>
    <hyperlink ref="I178" r:id="rId25" xr:uid="{0802F3D3-6E23-4C5C-BC8E-765AC804DDD4}"/>
    <hyperlink ref="I179" r:id="rId26" xr:uid="{E204AF8A-29AE-4230-BC0B-DEF9C4D26B73}"/>
    <hyperlink ref="I180" r:id="rId27" xr:uid="{53B0816E-D54B-48D4-B430-E59D4A930693}"/>
    <hyperlink ref="I181" r:id="rId28" xr:uid="{E8F9F5E8-E8BA-436E-B534-98FA19CA400F}"/>
    <hyperlink ref="I184" r:id="rId29" xr:uid="{0929E623-3B26-43C7-8695-2EB930E4359A}"/>
    <hyperlink ref="I162" r:id="rId30" display="Pass@2022" xr:uid="{CE57529D-CB60-4CF2-868D-3CC1B53BC42D}"/>
    <hyperlink ref="I153" r:id="rId31" xr:uid="{10F38A3D-3FCA-4AFB-876A-6A6872B5C293}"/>
    <hyperlink ref="I154" r:id="rId32" xr:uid="{2E0B5EEF-50E7-4661-9048-321A9531FB29}"/>
    <hyperlink ref="I155" r:id="rId33" xr:uid="{65C71E3F-FE34-4ECD-B6DA-869DE8EFCC10}"/>
    <hyperlink ref="I185" r:id="rId34" xr:uid="{86FEE977-D10A-49BB-BECC-9101A6373AF1}"/>
    <hyperlink ref="I198" r:id="rId35" xr:uid="{8B0A76DB-0EE1-45F6-8DD2-809C19FAB8AD}"/>
    <hyperlink ref="I199" r:id="rId36" xr:uid="{21A0EB55-8FEE-4D90-807C-A542355AC43C}"/>
    <hyperlink ref="I200" r:id="rId37" xr:uid="{E0CCC235-336B-4446-8ED8-BBADD5979C79}"/>
    <hyperlink ref="I201" r:id="rId38" xr:uid="{924AFAA4-14A8-476B-9D65-A70A1A50782A}"/>
    <hyperlink ref="I202" r:id="rId39" xr:uid="{681171D6-F048-45D3-BAC2-699D8590C16B}"/>
    <hyperlink ref="I203" r:id="rId40" xr:uid="{2497235B-2DFA-4EB5-AE64-6E2939CAE94F}"/>
    <hyperlink ref="I204" r:id="rId41" xr:uid="{59E23672-ED5E-4405-9C16-EAEC0FB0147D}"/>
    <hyperlink ref="I206" r:id="rId42" xr:uid="{9E2C489D-CA7F-42F9-9EC8-F718E314B6BE}"/>
    <hyperlink ref="I207" r:id="rId43" xr:uid="{DDC9AD0B-3185-461A-8ADD-4A8D5EAA8026}"/>
    <hyperlink ref="I208" r:id="rId44" xr:uid="{BF12DE83-5F33-4320-A628-ADF08BE14607}"/>
    <hyperlink ref="I209" r:id="rId45" xr:uid="{5CA578A5-184B-4C5F-B531-EC77BDF4461C}"/>
    <hyperlink ref="I210" r:id="rId46" xr:uid="{7DCC2F26-0E03-466F-9135-0F548F1C9B95}"/>
    <hyperlink ref="I211" r:id="rId47" xr:uid="{34B3DE56-78BD-4C89-9FFB-CF37716C608F}"/>
    <hyperlink ref="I212" r:id="rId48" xr:uid="{E0210A54-CD7B-452D-A6E6-76CC700151FE}"/>
    <hyperlink ref="I213" r:id="rId49" xr:uid="{3A2F18C6-9AFF-40E7-8541-02248461EF09}"/>
    <hyperlink ref="I214" r:id="rId50" xr:uid="{49572DC9-6786-4EA6-969B-28CE90F471BC}"/>
    <hyperlink ref="I215" r:id="rId51" xr:uid="{BF6F8B90-C667-4E63-94B8-DA151B603B3C}"/>
    <hyperlink ref="I217" r:id="rId52" xr:uid="{C401A371-0AB0-44F4-BC73-B646FB0B12E1}"/>
    <hyperlink ref="I218" r:id="rId53" xr:uid="{D05A338A-7264-4E76-831E-757A5AE0DB1E}"/>
    <hyperlink ref="I219" r:id="rId54" xr:uid="{B29AFA8A-5B78-4092-A413-1331A385436A}"/>
    <hyperlink ref="I220" r:id="rId55" xr:uid="{10998562-C5EB-43E7-A543-C353BF2AD8C1}"/>
    <hyperlink ref="I221" r:id="rId56" xr:uid="{B54CB429-1F79-4BE5-91AF-825C39BBA1E4}"/>
    <hyperlink ref="I222" r:id="rId57" xr:uid="{68CCEC39-48D1-4D63-AF54-57B246E91F46}"/>
    <hyperlink ref="I223" r:id="rId58" xr:uid="{91103D03-BFF5-46D9-8838-E0B6A74FBD04}"/>
    <hyperlink ref="I224" r:id="rId59" xr:uid="{AEAE3CB4-0E15-4E4D-A03B-8E0F9C3B8E53}"/>
    <hyperlink ref="I225" r:id="rId60" xr:uid="{154E1F3B-BB68-4733-9D68-9FC71A5CE1B8}"/>
    <hyperlink ref="I226" r:id="rId61" xr:uid="{A23B552F-9101-4AFE-9C5D-0588DC654E6C}"/>
    <hyperlink ref="I227" r:id="rId62" xr:uid="{9899B1B7-E377-4167-B9C2-EABF9C6B5B8B}"/>
    <hyperlink ref="I228" r:id="rId63" xr:uid="{2FC45013-3639-4337-B005-D14333EC6B9F}"/>
    <hyperlink ref="I229" r:id="rId64" xr:uid="{75DFD3AA-347C-49FA-AC86-5422E719C2E1}"/>
    <hyperlink ref="I230" r:id="rId65" xr:uid="{94A394C2-0EB8-4937-8B44-99CA6A2D9E0A}"/>
    <hyperlink ref="I231" r:id="rId66" xr:uid="{5AF070AF-223F-440B-A047-0E06277AC77A}"/>
    <hyperlink ref="I232" r:id="rId67" xr:uid="{F2B99062-E5C1-4EE5-BF2C-DC14A58E899A}"/>
    <hyperlink ref="I233" r:id="rId68" xr:uid="{A7E353F6-28B0-438D-837F-9BF772039FDA}"/>
    <hyperlink ref="I234:I238" r:id="rId69" display="Mypass@23" xr:uid="{8E0F42F0-DA06-4D33-8A65-D0B9C3BED102}"/>
    <hyperlink ref="I239" r:id="rId70" xr:uid="{CE36F91A-3DAD-465E-AD95-3595F21F304A}"/>
    <hyperlink ref="I240" r:id="rId71" xr:uid="{591F1111-2594-473F-A209-0AEFEB7A00BF}"/>
    <hyperlink ref="I241" r:id="rId72" xr:uid="{81F6436A-74B9-414D-8FC8-0E84546128F5}"/>
    <hyperlink ref="I242" r:id="rId73" xr:uid="{05C10940-8713-44B6-B254-E8D53E199A45}"/>
    <hyperlink ref="I243" r:id="rId74" xr:uid="{5D1F19BC-319F-44B1-AE32-98F5FCA223B2}"/>
    <hyperlink ref="I244" r:id="rId75" xr:uid="{F8334DD2-268C-4D6A-A57E-A7AD0E5C8943}"/>
    <hyperlink ref="I245" r:id="rId76" xr:uid="{DAEA7101-B67F-4524-A414-91023EC090C1}"/>
    <hyperlink ref="I249" r:id="rId77" xr:uid="{64C92F0A-ED01-4558-9377-E4F7AF79DD5C}"/>
    <hyperlink ref="I250" r:id="rId78" xr:uid="{8C828E6D-DD1C-44C2-BBC4-E46415E7FBBB}"/>
    <hyperlink ref="I251" r:id="rId79" xr:uid="{A9E7E77C-936B-4BA8-AF98-E72187DF46D7}"/>
    <hyperlink ref="I252" r:id="rId80" xr:uid="{3F927290-528E-4C0C-BA70-89EDD80D888A}"/>
    <hyperlink ref="I253" r:id="rId81" xr:uid="{9EA4E977-1AF6-4FC5-A1A9-F6068A6C364A}"/>
    <hyperlink ref="I246" r:id="rId82" xr:uid="{8781CBE9-CD1B-4DCA-8623-FF088819A0D5}"/>
    <hyperlink ref="I247" r:id="rId83" xr:uid="{982B1128-868A-422E-9C66-B95F328AE8EF}"/>
    <hyperlink ref="I248" r:id="rId84" xr:uid="{EF3C5CB5-C405-45E8-86C4-334C315D25B1}"/>
    <hyperlink ref="H259" r:id="rId85" xr:uid="{64B423FC-4E23-4569-90CE-A4D328709153}"/>
    <hyperlink ref="I281" r:id="rId86" xr:uid="{3B7236EF-9306-46EA-8673-7038008BC12A}"/>
    <hyperlink ref="I278" r:id="rId87" xr:uid="{0B3558C1-472B-4898-9D1C-9CB7A0F15D16}"/>
    <hyperlink ref="I279" r:id="rId88" xr:uid="{F4BB5F07-870C-4FD3-9946-67B786D3DBE8}"/>
    <hyperlink ref="I280" r:id="rId89" xr:uid="{E2991A92-3A23-4E2A-8ADE-401CDE780CF9}"/>
    <hyperlink ref="I282" r:id="rId90" xr:uid="{AB358905-D467-447D-8EDE-4EC3ED963A48}"/>
    <hyperlink ref="I283" r:id="rId91" xr:uid="{73D879E3-8EE6-48C8-9449-3292785CA3B5}"/>
    <hyperlink ref="I284" r:id="rId92" xr:uid="{C1FB16C0-F489-4E1C-B2B6-6BB36D27138D}"/>
    <hyperlink ref="I285" r:id="rId93" xr:uid="{1A774364-9C35-410E-8D85-2AC25E705154}"/>
    <hyperlink ref="I286" r:id="rId94" xr:uid="{4607F3D4-5680-4378-88EF-AA2CEF026800}"/>
    <hyperlink ref="I287" r:id="rId95" xr:uid="{B444CD9A-47AB-4880-A502-4D08697760C1}"/>
    <hyperlink ref="I288" r:id="rId96" xr:uid="{38472653-4B4E-4F28-B7AE-69817F32E9CB}"/>
    <hyperlink ref="I289" r:id="rId97" xr:uid="{05E287F4-F7DE-4F1C-9DC1-3B858C76CD29}"/>
    <hyperlink ref="I290" r:id="rId98" xr:uid="{A6943499-4D1C-425C-8E80-0222FC6D24EE}"/>
    <hyperlink ref="I291" r:id="rId99" xr:uid="{59D0ABC5-8BCB-4F37-8F6E-CD83C712BC2A}"/>
    <hyperlink ref="I292" r:id="rId100" xr:uid="{854ECC80-DCFA-4C68-86F6-1C3F6E58D5EA}"/>
    <hyperlink ref="I293" r:id="rId101" xr:uid="{E1C3D689-DAAB-411B-AA49-CC4B3CE2D525}"/>
    <hyperlink ref="I294" r:id="rId102" xr:uid="{497D15A2-5359-4D33-852F-D8304EBFD163}"/>
    <hyperlink ref="I295" r:id="rId103" xr:uid="{52824422-D13E-43CD-ABBF-59A579D309E7}"/>
    <hyperlink ref="I296" r:id="rId104" xr:uid="{0D42B114-6871-4765-AA77-FC2C66717A3E}"/>
    <hyperlink ref="I297" r:id="rId105" xr:uid="{7DF93025-3F23-42BD-99B2-290481832B34}"/>
    <hyperlink ref="I298" r:id="rId106" xr:uid="{29906C15-E404-4B1A-B991-3780E280B354}"/>
    <hyperlink ref="I299" r:id="rId107" xr:uid="{D2804339-6108-4B5F-9645-5276406E20AE}"/>
    <hyperlink ref="I300" r:id="rId108" xr:uid="{85F6557D-F3B5-4C29-8402-524EEED42E23}"/>
    <hyperlink ref="I301" r:id="rId109" xr:uid="{11BB070C-8175-4BF7-846F-17A6818D6C85}"/>
    <hyperlink ref="I302" r:id="rId110" xr:uid="{D66645B5-13AD-4CED-A5B6-CDEF17F06F78}"/>
    <hyperlink ref="I303" r:id="rId111" xr:uid="{9498C11F-ADA7-4F74-862E-1254AF120729}"/>
    <hyperlink ref="I304" r:id="rId112" xr:uid="{BDD14B89-E0B9-4AA8-AC0A-A75743D6ED46}"/>
    <hyperlink ref="I305" r:id="rId113" xr:uid="{63916E4E-D0B9-4B71-8ADF-B4DCF6FE872C}"/>
    <hyperlink ref="I306" r:id="rId114" xr:uid="{AF355885-7597-4682-BD91-7BBD16E7A4D7}"/>
    <hyperlink ref="I307" r:id="rId115" xr:uid="{8B22A362-6553-48DD-97EA-35C7739A743B}"/>
    <hyperlink ref="I308:I309" r:id="rId116" display="Mypass@2024" xr:uid="{F8613CCD-AF92-4ACC-9CB9-5DE585D178DC}"/>
    <hyperlink ref="I310" r:id="rId117" xr:uid="{A40E144C-0F4F-4099-B88F-D8C84995F676}"/>
    <hyperlink ref="I311" r:id="rId118" xr:uid="{9C77182A-36D6-4BE5-91DF-C482333CD800}"/>
    <hyperlink ref="I312" r:id="rId119" xr:uid="{D0A11B5D-42E9-4DDC-917F-9F9D1A7128FD}"/>
    <hyperlink ref="I313" r:id="rId120" xr:uid="{A123E7D6-AB6F-46F3-A48F-0D0E7B27280C}"/>
    <hyperlink ref="I314:I315" r:id="rId121" display="Mypass@2024" xr:uid="{B58EF321-87AB-41D3-B35F-94FB7488FE9E}"/>
    <hyperlink ref="I316" r:id="rId122" xr:uid="{F2774288-1198-44DC-93B9-E4DA9F75F463}"/>
    <hyperlink ref="I319" r:id="rId123" xr:uid="{8B4C6830-5A84-48C3-95D8-2343552408D3}"/>
    <hyperlink ref="I320" r:id="rId124" xr:uid="{5B822A8C-0B6D-4E6B-B5B2-8ED0AD728134}"/>
    <hyperlink ref="I321" r:id="rId125" xr:uid="{1B64749E-DFA5-486B-8FCA-BEA1D9295283}"/>
    <hyperlink ref="I322" r:id="rId126" xr:uid="{C0E6F847-8DF5-4D9B-A9F4-35484A7531CC}"/>
    <hyperlink ref="I323" r:id="rId127" xr:uid="{70698D9D-1DC1-4E68-B1FB-F342B7E249AC}"/>
    <hyperlink ref="I325" r:id="rId128" xr:uid="{83E45DC0-26C1-4CA3-9678-DA13BC3EEF10}"/>
    <hyperlink ref="I326" r:id="rId129" xr:uid="{9E07CB27-6183-4691-B14D-53DB6B95FB01}"/>
    <hyperlink ref="I327" r:id="rId130" xr:uid="{10ECB9A2-643A-44A4-9B87-4D01BFD16EAB}"/>
    <hyperlink ref="I328" r:id="rId131" xr:uid="{8C741D31-C57D-4B77-AB89-854490288227}"/>
    <hyperlink ref="I329" r:id="rId132" xr:uid="{F6BAAD70-5439-411C-9A68-4440C4F09012}"/>
    <hyperlink ref="I330" r:id="rId133" xr:uid="{2D59BDBE-CEC6-4ED8-8AB7-9A67BA2F71AF}"/>
    <hyperlink ref="I331" r:id="rId134" xr:uid="{2EB4285B-4B6A-4AF2-A15E-6B53C3C4A7BF}"/>
    <hyperlink ref="I332" r:id="rId135" xr:uid="{D4F5E6E8-236A-44AA-A08F-925E70588B05}"/>
    <hyperlink ref="I333" r:id="rId136" xr:uid="{9B889A2F-5F59-493B-8EE5-E8608E1C7EE3}"/>
    <hyperlink ref="I334" r:id="rId137" xr:uid="{753EB5E6-19A6-4EF5-9270-C36F1CA2E2D7}"/>
    <hyperlink ref="I335" r:id="rId138" xr:uid="{6E707CAE-43CC-4D11-9154-2E7CBA35A973}"/>
    <hyperlink ref="I336" r:id="rId139" xr:uid="{4B5541AA-97A5-49D5-A987-6349BC791638}"/>
    <hyperlink ref="I337" r:id="rId140" xr:uid="{D74DDE9F-9FB7-4187-B15C-A4D50E84C12A}"/>
    <hyperlink ref="I338" r:id="rId141" xr:uid="{8FB4AF5C-5FFB-4FAE-9C94-BE6D704D0B11}"/>
    <hyperlink ref="I339" r:id="rId142" xr:uid="{64F07D40-A2E9-4607-996F-B457F8073F98}"/>
    <hyperlink ref="I340" r:id="rId143" xr:uid="{69266767-497E-4596-B310-DC296211D22F}"/>
    <hyperlink ref="I341" r:id="rId144" xr:uid="{04B14379-C52C-402A-A099-0A4BDD13D77D}"/>
    <hyperlink ref="I342" r:id="rId145" xr:uid="{A2495E0F-3D93-4E0E-AC7F-7E1180EE31F7}"/>
    <hyperlink ref="I343" r:id="rId146" xr:uid="{1F29EEB4-A370-4EAE-93DE-8F6934B0C59B}"/>
    <hyperlink ref="I344" r:id="rId147" xr:uid="{86C5C4FE-7AA0-4867-8E73-8928F7138249}"/>
    <hyperlink ref="I345" r:id="rId148" xr:uid="{545D0DD4-7F85-47B9-BED5-D09C0E56178C}"/>
    <hyperlink ref="I346" r:id="rId149" xr:uid="{1555176B-507E-4DEE-8F58-4BA226EEAD6E}"/>
    <hyperlink ref="I347" r:id="rId150" xr:uid="{23A4D726-CD7A-46CF-A6B7-F909BEE23D2D}"/>
    <hyperlink ref="I348" r:id="rId151" xr:uid="{888F4774-C026-4608-B88A-926C276D6785}"/>
    <hyperlink ref="I349" r:id="rId152" xr:uid="{74978171-16C7-4A90-92E9-A7682D187539}"/>
    <hyperlink ref="I350" r:id="rId153" xr:uid="{D455624F-8B7F-44B2-85A8-48B535F25A5C}"/>
    <hyperlink ref="I351" r:id="rId154" xr:uid="{137A1CDB-E99C-41EA-89B5-6F0629C3ED65}"/>
    <hyperlink ref="I352" r:id="rId155" xr:uid="{2710A62D-473F-4218-8A01-29E68F3884D6}"/>
    <hyperlink ref="I353" r:id="rId156" xr:uid="{1E2FADEB-85B0-4E2E-8CEA-AB1F4BF0F05E}"/>
    <hyperlink ref="I354" r:id="rId157" xr:uid="{E06F9585-A46A-419C-8A42-7B17C64B9F62}"/>
    <hyperlink ref="I355" r:id="rId158" xr:uid="{70C0653A-F708-4782-BBCA-A739EC3BD410}"/>
    <hyperlink ref="I356" r:id="rId159" xr:uid="{853DF8B5-E202-42C1-AC22-C4C4C23E81ED}"/>
    <hyperlink ref="I360" r:id="rId160" xr:uid="{0CE0EE27-706F-438F-B7F5-783F509EA509}"/>
    <hyperlink ref="I361" r:id="rId161" xr:uid="{DC49B6CF-CD8D-496B-AEE8-41BFEF22E14D}"/>
    <hyperlink ref="I362" r:id="rId162" xr:uid="{3460E976-BF83-4F34-BC48-C216DDCB3D12}"/>
    <hyperlink ref="I363:I364" r:id="rId163" display="Mypass@2025" xr:uid="{75C63F74-78A1-4D39-9C0C-C1580EEEC158}"/>
    <hyperlink ref="I365" r:id="rId164" xr:uid="{11C6D73B-BC69-4FA8-9015-7733504B2A4B}"/>
    <hyperlink ref="I366" r:id="rId165" xr:uid="{D683C6A8-02FE-4334-9E84-ED42045CFA30}"/>
    <hyperlink ref="I367" r:id="rId166" xr:uid="{B81A12E0-1F00-49B0-B8C4-EFD630B57506}"/>
    <hyperlink ref="I368" r:id="rId167" xr:uid="{03F72AC8-7C5B-420D-B72C-29B809CAEAF4}"/>
    <hyperlink ref="I369" r:id="rId168" xr:uid="{E5ED4A5B-D291-451D-B4C5-A75A2BBBADBF}"/>
    <hyperlink ref="I370" r:id="rId169" xr:uid="{1E816D05-8826-4C45-8A4D-97B3F9071DA8}"/>
    <hyperlink ref="I371" r:id="rId170" xr:uid="{E68DF747-9F6A-43E7-8039-7A450EDE1D1D}"/>
    <hyperlink ref="I372" r:id="rId171" xr:uid="{0EA5D44B-8141-4AD3-AA6A-E2DC10A3F110}"/>
    <hyperlink ref="I373" r:id="rId172" xr:uid="{6C42FABC-2A06-4710-8248-026F6E2B2F1E}"/>
    <hyperlink ref="I374" r:id="rId173" xr:uid="{7E7F9FBB-8E24-4A6C-BAA4-0C0F745C0C12}"/>
    <hyperlink ref="I375" r:id="rId174" xr:uid="{8D5D029E-E0E1-49B9-9EA2-76429D7826A5}"/>
    <hyperlink ref="I376" r:id="rId175" xr:uid="{D73CC58D-9478-45C7-B16F-A2E902AAC9AE}"/>
    <hyperlink ref="I377" r:id="rId176" xr:uid="{AE32E536-829E-48D2-AE0C-DA28FD9078EF}"/>
    <hyperlink ref="I378" r:id="rId177" xr:uid="{8EBD2054-0D38-4783-897B-989250131C0A}"/>
    <hyperlink ref="I384" r:id="rId178" xr:uid="{6C05145A-7291-4B06-A7A5-5511AD607593}"/>
    <hyperlink ref="I379" r:id="rId179" xr:uid="{2CDA0DBD-DD6D-4F18-905E-EC7DB1B5AF26}"/>
    <hyperlink ref="I380" r:id="rId180" xr:uid="{418D34A2-6FCD-4E17-A3CD-D7AE9469F966}"/>
    <hyperlink ref="I381" r:id="rId181" xr:uid="{82CA5752-F063-4A07-A11F-9B7CA7742FC1}"/>
    <hyperlink ref="I430" r:id="rId182" xr:uid="{95E13052-F1B4-4E9A-902D-131E6557E50F}"/>
    <hyperlink ref="I429" r:id="rId183" xr:uid="{62D62ED5-CD16-4AD3-81FA-5B759B90AC97}"/>
    <hyperlink ref="I428" r:id="rId184" xr:uid="{75A6331E-EDDD-4E99-B592-BED9F58C2C2C}"/>
    <hyperlink ref="I426:I427" r:id="rId185" display="Mypass@2026" xr:uid="{53F4CCBA-0A97-4D05-9361-C7F8A04014DD}"/>
    <hyperlink ref="I425" r:id="rId186" xr:uid="{AA815EFA-3927-4872-B9CE-950775581B18}"/>
    <hyperlink ref="I419" r:id="rId187" xr:uid="{3F2186AC-F39D-42F6-860F-3E7DCB774BD3}"/>
    <hyperlink ref="I422" r:id="rId188" xr:uid="{F1CA60AE-2556-48A2-A5A6-58C007B54304}"/>
    <hyperlink ref="I421" r:id="rId189" xr:uid="{3233B934-0CCA-4419-80DC-C6BCCA90FE70}"/>
    <hyperlink ref="I420" r:id="rId190" xr:uid="{38B859C7-0179-4220-AA8D-8E67A0F24624}"/>
    <hyperlink ref="I418" r:id="rId191" xr:uid="{9AEDBE6C-5B0F-4F0A-AA25-58A36F647004}"/>
    <hyperlink ref="I417" r:id="rId192" xr:uid="{D6B7B679-B401-456E-B276-7BB2D0A692BB}"/>
    <hyperlink ref="I416" r:id="rId193" xr:uid="{69F29CF2-C0A3-4598-8C15-FF5395BA3A48}"/>
    <hyperlink ref="I415" r:id="rId194" xr:uid="{4C85E4B2-BAE7-481B-AA8C-51568F6EC683}"/>
    <hyperlink ref="I413:I414" r:id="rId195" display="Mypass@2025" xr:uid="{68B4E5B0-BAE5-4C09-97DA-D3DEADB6E38B}"/>
    <hyperlink ref="I411" r:id="rId196" xr:uid="{925E41C7-32AA-4F04-8471-0D439416D885}"/>
    <hyperlink ref="I412" r:id="rId197" xr:uid="{754B3889-4649-4744-9919-EDACEBFA5E27}"/>
    <hyperlink ref="I410" r:id="rId198" xr:uid="{1072CDE8-D5C8-4CE7-9EB0-890BCCDB9FD5}"/>
    <hyperlink ref="I409" r:id="rId199" xr:uid="{483BCFDE-AAAC-4EC1-B027-0FF4AC7464C7}"/>
    <hyperlink ref="I408" r:id="rId200" xr:uid="{13D9AF14-AD11-4D73-825A-04F9A5D4AD11}"/>
    <hyperlink ref="I407" r:id="rId201" xr:uid="{3AACDA36-5F4A-4FC1-B381-1B45D4097BA6}"/>
    <hyperlink ref="I406" r:id="rId202" xr:uid="{1BD496AA-96FF-41D2-AE32-310653D36FAC}"/>
    <hyperlink ref="I405" r:id="rId203" xr:uid="{64A4E366-15C7-4739-ABEF-FE5372226791}"/>
    <hyperlink ref="I404" r:id="rId204" xr:uid="{7959A467-1014-4C35-A5C9-917AB5BA4863}"/>
    <hyperlink ref="I403" r:id="rId205" xr:uid="{01C60E11-ED7E-4AE5-B462-0EBD24A6D3CD}"/>
    <hyperlink ref="I402" r:id="rId206" xr:uid="{BD59EEAE-CB73-42DD-A3F7-81EB87D530F2}"/>
    <hyperlink ref="I401" r:id="rId207" xr:uid="{F845B465-F894-42D1-9DE8-EEABF86E573A}"/>
    <hyperlink ref="I400" r:id="rId208" xr:uid="{2071B660-9428-4B63-8BFE-C84EF1B043A1}"/>
    <hyperlink ref="I399" r:id="rId209" xr:uid="{0DC399A2-90AB-4CBA-A2AF-AD29A66CC8D6}"/>
    <hyperlink ref="I398" r:id="rId210" xr:uid="{2A1A3F8E-654E-4E8C-B39C-5263D33A6B3D}"/>
    <hyperlink ref="I397" r:id="rId211" xr:uid="{26E79ED5-3459-4854-AEEB-4A81FDE8397E}"/>
    <hyperlink ref="I396" r:id="rId212" xr:uid="{EA216420-F663-48DF-B087-2025FCACAEF4}"/>
    <hyperlink ref="I395" r:id="rId213" xr:uid="{9F0FB7B7-A5DC-4D24-9C5F-393A10E175A3}"/>
    <hyperlink ref="I394" r:id="rId214" xr:uid="{83118529-56E7-4957-976B-42F25EFAD666}"/>
    <hyperlink ref="I393" r:id="rId215" xr:uid="{C6956E73-D9EC-4C46-9315-5E99DDD95FF3}"/>
    <hyperlink ref="I392" r:id="rId216" xr:uid="{7D6F1F4D-F2A8-43CC-89B2-844F1AE94615}"/>
    <hyperlink ref="I391" r:id="rId217" xr:uid="{622D40D7-281E-46C7-83FF-B1CEFCDB039D}"/>
    <hyperlink ref="I390" r:id="rId218" xr:uid="{B55C11F1-F59B-4F79-A4EE-65AD9FC0D835}"/>
    <hyperlink ref="I389" r:id="rId219" xr:uid="{734EC063-F48E-4F46-AE0E-28FDD007AC7D}"/>
    <hyperlink ref="I388" r:id="rId220" xr:uid="{EAE28CFF-BF9B-4DBD-9D97-B18D3AC6302A}"/>
    <hyperlink ref="I387" r:id="rId221" xr:uid="{43949737-9AB8-4EF8-B2BC-21DDCC3E93BB}"/>
    <hyperlink ref="I386" r:id="rId222" xr:uid="{16D30E60-A846-45AF-9F2E-BFDEB3854C96}"/>
    <hyperlink ref="I385" r:id="rId223" xr:uid="{7FC74A76-1D87-4340-BCC6-FE43BB67511B}"/>
    <hyperlink ref="I431" r:id="rId224" xr:uid="{FB84389A-E97A-420F-845D-F7875DB7CC26}"/>
    <hyperlink ref="I432" r:id="rId225" xr:uid="{C3FF6FFB-213F-47D4-86A2-96638B2D35F2}"/>
    <hyperlink ref="I423" r:id="rId226" xr:uid="{0279D891-0669-4CAF-803F-DD774B507C50}"/>
    <hyperlink ref="I424" r:id="rId227" xr:uid="{6EFC6BC3-89DB-442C-A056-C2D15E171184}"/>
    <hyperlink ref="I433" r:id="rId228" xr:uid="{EE03F074-80E9-4631-89F1-5AE2818A73A4}"/>
    <hyperlink ref="I434" r:id="rId229" xr:uid="{C05E33A5-9B3B-49C2-8A35-71B070D4D365}"/>
    <hyperlink ref="I436" r:id="rId230" xr:uid="{C5A25794-5FB5-49B9-B8FB-6AF9AF4F2839}"/>
    <hyperlink ref="I435" r:id="rId231" xr:uid="{F8DCFBBF-4A7B-4E00-8DD9-4EB7D34C6DD8}"/>
    <hyperlink ref="I437" r:id="rId232" xr:uid="{52D9138D-85A2-4FE3-A606-9144A966F42F}"/>
    <hyperlink ref="I438" r:id="rId233" xr:uid="{92E888E8-66AA-4244-9497-B3A1E137114D}"/>
    <hyperlink ref="I439" r:id="rId234" xr:uid="{99373760-D1E6-465B-8B00-BB44B2838899}"/>
  </hyperlinks>
  <pageMargins left="0.7" right="0.7" top="0.75" bottom="0.75" header="0" footer="0"/>
  <pageSetup orientation="portrait" r:id="rId23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C9D8-E8C2-4D18-81FA-549C66F9364C}">
  <dimension ref="A1:L390"/>
  <sheetViews>
    <sheetView zoomScale="85" zoomScaleNormal="85" workbookViewId="0">
      <pane ySplit="1" topLeftCell="A216" activePane="bottomLeft" state="frozen"/>
      <selection pane="bottomLeft" activeCell="A227" sqref="A227"/>
    </sheetView>
  </sheetViews>
  <sheetFormatPr defaultColWidth="14.44140625" defaultRowHeight="18.75" customHeight="1" x14ac:dyDescent="0.35"/>
  <cols>
    <col min="1" max="1" width="18.6640625" style="99" customWidth="1"/>
    <col min="2" max="2" width="33.44140625" style="99" customWidth="1"/>
    <col min="3" max="3" width="23.109375" style="99" customWidth="1"/>
    <col min="4" max="5" width="16.44140625" style="104" customWidth="1"/>
    <col min="6" max="6" width="18.33203125" style="104" customWidth="1"/>
    <col min="7" max="7" width="22.5546875" style="104" customWidth="1"/>
    <col min="8" max="8" width="17" style="135" customWidth="1"/>
    <col min="9" max="9" width="15.33203125" style="145" customWidth="1"/>
    <col min="10" max="10" width="8.5546875" style="99" customWidth="1"/>
    <col min="11" max="11" width="7.88671875" style="104" customWidth="1"/>
    <col min="12" max="12" width="30.88671875" style="99" customWidth="1"/>
    <col min="13" max="28" width="8.5546875" style="99" customWidth="1"/>
    <col min="29" max="16384" width="14.44140625" style="99"/>
  </cols>
  <sheetData>
    <row r="1" spans="1:12" s="106" customFormat="1" ht="18.75" customHeight="1" x14ac:dyDescent="0.35">
      <c r="A1" s="106" t="s">
        <v>9235</v>
      </c>
      <c r="B1" s="106" t="s">
        <v>27</v>
      </c>
      <c r="C1" s="106" t="s">
        <v>9236</v>
      </c>
      <c r="D1" s="47" t="s">
        <v>7795</v>
      </c>
      <c r="E1" s="47" t="s">
        <v>11405</v>
      </c>
      <c r="F1" s="47" t="s">
        <v>9237</v>
      </c>
      <c r="G1" s="111" t="s">
        <v>9238</v>
      </c>
      <c r="H1" s="134" t="s">
        <v>9239</v>
      </c>
      <c r="I1" s="143" t="s">
        <v>9240</v>
      </c>
      <c r="J1" s="106" t="s">
        <v>9241</v>
      </c>
      <c r="K1" s="192"/>
    </row>
    <row r="2" spans="1:12" ht="18.75" customHeight="1" x14ac:dyDescent="0.35">
      <c r="A2" s="15" t="s">
        <v>9870</v>
      </c>
      <c r="B2" s="15" t="s">
        <v>9871</v>
      </c>
      <c r="C2" s="100" t="s">
        <v>9872</v>
      </c>
      <c r="D2" s="87">
        <v>23895</v>
      </c>
      <c r="E2" s="87"/>
      <c r="F2" s="105">
        <v>44743</v>
      </c>
      <c r="J2" s="99">
        <v>200</v>
      </c>
      <c r="K2" s="104" t="s">
        <v>9352</v>
      </c>
    </row>
    <row r="3" spans="1:12" ht="18.75" customHeight="1" x14ac:dyDescent="0.35">
      <c r="A3" s="99" t="s">
        <v>9867</v>
      </c>
      <c r="B3" s="99" t="s">
        <v>9868</v>
      </c>
      <c r="C3" s="107" t="s">
        <v>9869</v>
      </c>
      <c r="F3" s="105">
        <v>46219</v>
      </c>
      <c r="G3" s="104">
        <v>0</v>
      </c>
      <c r="H3" s="135">
        <v>6200881788</v>
      </c>
      <c r="J3" s="99">
        <v>500</v>
      </c>
      <c r="K3" s="104" t="s">
        <v>9267</v>
      </c>
    </row>
    <row r="4" spans="1:12" ht="18.75" customHeight="1" x14ac:dyDescent="0.35">
      <c r="A4" s="99" t="s">
        <v>9864</v>
      </c>
      <c r="B4" s="99" t="s">
        <v>9865</v>
      </c>
      <c r="C4" s="99" t="s">
        <v>9866</v>
      </c>
      <c r="D4" s="105">
        <v>22423</v>
      </c>
      <c r="E4" s="105"/>
      <c r="F4" s="87">
        <v>45461</v>
      </c>
      <c r="H4" s="135">
        <v>8797462622</v>
      </c>
      <c r="I4" s="145">
        <v>16500</v>
      </c>
      <c r="J4" s="99">
        <v>300</v>
      </c>
      <c r="K4" s="104" t="s">
        <v>9249</v>
      </c>
    </row>
    <row r="5" spans="1:12" ht="18.75" customHeight="1" x14ac:dyDescent="0.35">
      <c r="A5" s="99" t="s">
        <v>9864</v>
      </c>
      <c r="B5" s="99" t="s">
        <v>9865</v>
      </c>
      <c r="C5" s="99" t="s">
        <v>9866</v>
      </c>
      <c r="D5" s="105">
        <v>22423</v>
      </c>
      <c r="E5" s="105"/>
      <c r="F5" s="105">
        <v>45123</v>
      </c>
      <c r="H5" s="135">
        <v>8797462622</v>
      </c>
      <c r="I5" s="145">
        <v>9897</v>
      </c>
      <c r="J5" s="99">
        <v>200</v>
      </c>
      <c r="K5" s="104" t="s">
        <v>9267</v>
      </c>
    </row>
    <row r="6" spans="1:12" ht="18.75" customHeight="1" x14ac:dyDescent="0.35">
      <c r="A6" s="99" t="s">
        <v>9861</v>
      </c>
      <c r="B6" s="99" t="s">
        <v>9862</v>
      </c>
      <c r="C6" s="107" t="s">
        <v>9863</v>
      </c>
      <c r="F6" s="105">
        <v>46222</v>
      </c>
      <c r="H6" s="135">
        <v>7974928772</v>
      </c>
      <c r="I6" s="145">
        <v>2450</v>
      </c>
      <c r="J6" s="99">
        <v>300</v>
      </c>
      <c r="K6" s="104" t="s">
        <v>7792</v>
      </c>
    </row>
    <row r="7" spans="1:12" ht="18.75" customHeight="1" x14ac:dyDescent="0.35">
      <c r="A7" s="99" t="s">
        <v>9861</v>
      </c>
      <c r="B7" s="99" t="s">
        <v>9862</v>
      </c>
      <c r="C7" s="107" t="s">
        <v>9863</v>
      </c>
      <c r="F7" s="105">
        <v>45475</v>
      </c>
      <c r="H7" s="135">
        <v>7974928772</v>
      </c>
      <c r="I7" s="145">
        <v>2450</v>
      </c>
      <c r="J7" s="99">
        <v>300</v>
      </c>
      <c r="K7" s="104" t="s">
        <v>9249</v>
      </c>
    </row>
    <row r="8" spans="1:12" ht="18.75" customHeight="1" x14ac:dyDescent="0.35">
      <c r="A8" s="99" t="s">
        <v>9861</v>
      </c>
      <c r="B8" s="99" t="s">
        <v>9862</v>
      </c>
      <c r="C8" s="120" t="s">
        <v>9863</v>
      </c>
      <c r="F8" s="105">
        <v>45105</v>
      </c>
      <c r="H8" s="135">
        <v>7974928772</v>
      </c>
      <c r="I8" s="145">
        <v>2450</v>
      </c>
    </row>
    <row r="9" spans="1:12" ht="18.75" customHeight="1" x14ac:dyDescent="0.35">
      <c r="A9" s="99" t="s">
        <v>9858</v>
      </c>
      <c r="B9" s="99" t="s">
        <v>9859</v>
      </c>
      <c r="C9" s="107" t="s">
        <v>9860</v>
      </c>
      <c r="F9" s="105">
        <v>45480</v>
      </c>
      <c r="H9" s="135">
        <v>8797461140</v>
      </c>
      <c r="J9" s="99">
        <v>200</v>
      </c>
      <c r="K9" s="104" t="s">
        <v>9249</v>
      </c>
      <c r="L9" s="99" t="e">
        <f>I9*J9*K9/36500</f>
        <v>#VALUE!</v>
      </c>
    </row>
    <row r="10" spans="1:12" ht="18.75" customHeight="1" x14ac:dyDescent="0.35">
      <c r="A10" s="99" t="s">
        <v>9959</v>
      </c>
      <c r="B10" s="99" t="s">
        <v>9960</v>
      </c>
      <c r="C10" s="107" t="s">
        <v>9961</v>
      </c>
      <c r="F10" s="105">
        <v>45857</v>
      </c>
      <c r="H10" s="135">
        <v>6087856565</v>
      </c>
      <c r="I10" s="145" t="s">
        <v>9613</v>
      </c>
      <c r="J10" s="99">
        <v>400</v>
      </c>
      <c r="K10" s="104" t="s">
        <v>7792</v>
      </c>
    </row>
    <row r="11" spans="1:12" ht="18.75" customHeight="1" x14ac:dyDescent="0.35">
      <c r="A11" s="99" t="s">
        <v>9856</v>
      </c>
      <c r="B11" s="99" t="s">
        <v>9857</v>
      </c>
      <c r="C11" s="107" t="s">
        <v>11291</v>
      </c>
      <c r="F11" s="105">
        <v>46218</v>
      </c>
      <c r="H11" s="135">
        <v>9234686740</v>
      </c>
      <c r="I11" s="145">
        <v>330</v>
      </c>
    </row>
    <row r="12" spans="1:12" ht="18.75" customHeight="1" x14ac:dyDescent="0.35">
      <c r="A12" s="15" t="s">
        <v>9853</v>
      </c>
      <c r="B12" s="15" t="s">
        <v>9854</v>
      </c>
      <c r="C12" s="107" t="s">
        <v>9855</v>
      </c>
      <c r="D12" s="87">
        <v>18798</v>
      </c>
      <c r="E12" s="87"/>
      <c r="F12" s="105">
        <v>46204</v>
      </c>
      <c r="G12" s="96"/>
      <c r="H12" s="135">
        <v>9162141596</v>
      </c>
      <c r="I12" s="144">
        <v>0</v>
      </c>
      <c r="J12" s="99">
        <v>300</v>
      </c>
      <c r="K12" s="104" t="s">
        <v>9249</v>
      </c>
    </row>
    <row r="13" spans="1:12" ht="18.75" customHeight="1" x14ac:dyDescent="0.35">
      <c r="A13" s="99" t="s">
        <v>9850</v>
      </c>
      <c r="B13" s="99" t="s">
        <v>9851</v>
      </c>
      <c r="C13" s="107" t="s">
        <v>9852</v>
      </c>
      <c r="D13" s="105">
        <v>18056</v>
      </c>
      <c r="E13" s="105"/>
      <c r="F13" s="105">
        <v>45840</v>
      </c>
      <c r="H13" s="135">
        <v>9931145822</v>
      </c>
      <c r="J13" s="99">
        <v>300</v>
      </c>
      <c r="K13" s="104" t="s">
        <v>9249</v>
      </c>
    </row>
    <row r="14" spans="1:12" ht="18.75" customHeight="1" x14ac:dyDescent="0.35">
      <c r="A14" s="99" t="s">
        <v>9848</v>
      </c>
      <c r="B14" s="99" t="s">
        <v>9849</v>
      </c>
      <c r="C14" s="319" t="s">
        <v>9882</v>
      </c>
      <c r="D14" s="105">
        <v>21367</v>
      </c>
      <c r="E14" s="105"/>
      <c r="F14" s="105">
        <v>45812</v>
      </c>
      <c r="G14" s="112"/>
      <c r="H14" s="135">
        <v>8092243055</v>
      </c>
      <c r="J14" s="99">
        <v>200</v>
      </c>
      <c r="K14" s="104" t="s">
        <v>7792</v>
      </c>
    </row>
    <row r="15" spans="1:12" ht="18.75" customHeight="1" x14ac:dyDescent="0.35">
      <c r="A15" s="15" t="s">
        <v>9845</v>
      </c>
      <c r="B15" s="15" t="s">
        <v>9846</v>
      </c>
      <c r="C15" s="320" t="s">
        <v>9847</v>
      </c>
      <c r="F15" s="105">
        <v>45840</v>
      </c>
      <c r="J15" s="99">
        <v>200</v>
      </c>
      <c r="K15" s="104" t="s">
        <v>7792</v>
      </c>
    </row>
    <row r="16" spans="1:12" ht="18.75" customHeight="1" x14ac:dyDescent="0.35">
      <c r="A16" s="99" t="s">
        <v>9994</v>
      </c>
      <c r="B16" s="99" t="s">
        <v>9995</v>
      </c>
      <c r="F16" s="105">
        <v>45894</v>
      </c>
      <c r="H16" s="135">
        <v>9939219338</v>
      </c>
      <c r="J16" s="99">
        <v>200</v>
      </c>
      <c r="K16" s="104" t="s">
        <v>7792</v>
      </c>
    </row>
    <row r="17" spans="1:11" ht="18.75" customHeight="1" x14ac:dyDescent="0.35">
      <c r="A17" s="99" t="s">
        <v>9914</v>
      </c>
      <c r="B17" s="99" t="s">
        <v>9915</v>
      </c>
      <c r="C17" s="107" t="s">
        <v>9916</v>
      </c>
      <c r="F17" s="105">
        <v>45829</v>
      </c>
      <c r="I17" s="145">
        <v>23490</v>
      </c>
    </row>
    <row r="18" spans="1:11" ht="18.75" customHeight="1" x14ac:dyDescent="0.35">
      <c r="A18" s="99" t="s">
        <v>9842</v>
      </c>
      <c r="B18" s="319" t="s">
        <v>9756</v>
      </c>
      <c r="C18" s="319" t="s">
        <v>9843</v>
      </c>
      <c r="F18" s="105">
        <v>45100</v>
      </c>
      <c r="H18" s="135">
        <v>9204255634</v>
      </c>
      <c r="I18" s="145">
        <v>10710</v>
      </c>
      <c r="J18" s="99">
        <v>300</v>
      </c>
    </row>
    <row r="19" spans="1:11" ht="18.75" customHeight="1" x14ac:dyDescent="0.35">
      <c r="A19" s="99" t="s">
        <v>9842</v>
      </c>
      <c r="B19" s="99" t="s">
        <v>9844</v>
      </c>
      <c r="C19" s="319" t="s">
        <v>9843</v>
      </c>
      <c r="F19" s="105">
        <v>45100</v>
      </c>
      <c r="H19" s="135">
        <v>9204255634</v>
      </c>
      <c r="I19" s="145">
        <v>3220</v>
      </c>
      <c r="J19" s="99">
        <v>300</v>
      </c>
    </row>
    <row r="20" spans="1:11" ht="18.75" customHeight="1" x14ac:dyDescent="0.35">
      <c r="A20" s="99" t="s">
        <v>9839</v>
      </c>
      <c r="B20" s="99" t="s">
        <v>9840</v>
      </c>
      <c r="C20" s="319" t="s">
        <v>9841</v>
      </c>
      <c r="F20" s="105">
        <v>45138</v>
      </c>
      <c r="H20" s="135">
        <v>7979827467</v>
      </c>
      <c r="J20" s="99">
        <v>300</v>
      </c>
      <c r="K20" s="104" t="s">
        <v>7792</v>
      </c>
    </row>
    <row r="21" spans="1:11" ht="18.75" customHeight="1" x14ac:dyDescent="0.35">
      <c r="A21" s="99" t="s">
        <v>9836</v>
      </c>
      <c r="B21" s="99" t="s">
        <v>9837</v>
      </c>
      <c r="C21" s="319" t="s">
        <v>9838</v>
      </c>
      <c r="D21" s="105">
        <v>26040</v>
      </c>
      <c r="E21" s="105"/>
      <c r="F21" s="105">
        <v>44761</v>
      </c>
      <c r="H21" s="135">
        <v>9263388612</v>
      </c>
      <c r="J21" s="99">
        <v>250</v>
      </c>
    </row>
    <row r="22" spans="1:11" ht="18.75" customHeight="1" x14ac:dyDescent="0.35">
      <c r="A22" s="99" t="s">
        <v>9832</v>
      </c>
      <c r="B22" s="99" t="s">
        <v>7494</v>
      </c>
      <c r="C22" s="107" t="s">
        <v>9833</v>
      </c>
      <c r="D22" s="105">
        <v>27458</v>
      </c>
      <c r="E22" s="105"/>
      <c r="F22" s="105">
        <v>45097</v>
      </c>
      <c r="G22" s="104">
        <v>24280296581</v>
      </c>
      <c r="H22" s="135">
        <v>8235230872</v>
      </c>
      <c r="I22" s="145">
        <v>2300</v>
      </c>
      <c r="J22" s="99">
        <v>200</v>
      </c>
      <c r="K22" s="104" t="s">
        <v>7792</v>
      </c>
    </row>
    <row r="23" spans="1:11" ht="18.75" customHeight="1" x14ac:dyDescent="0.35">
      <c r="A23" s="99" t="s">
        <v>9829</v>
      </c>
      <c r="B23" s="99" t="s">
        <v>9830</v>
      </c>
      <c r="C23" s="107" t="s">
        <v>9831</v>
      </c>
      <c r="F23" s="105">
        <v>46199</v>
      </c>
      <c r="H23" s="135">
        <v>9835931837</v>
      </c>
      <c r="I23" s="145">
        <v>13430</v>
      </c>
    </row>
    <row r="24" spans="1:11" ht="18.75" customHeight="1" x14ac:dyDescent="0.35">
      <c r="A24" s="15" t="s">
        <v>9827</v>
      </c>
      <c r="C24" s="100" t="s">
        <v>9828</v>
      </c>
      <c r="F24" s="105">
        <v>44743</v>
      </c>
      <c r="I24" s="145">
        <v>40000</v>
      </c>
      <c r="J24" s="99">
        <v>300</v>
      </c>
      <c r="K24" s="104" t="s">
        <v>9267</v>
      </c>
    </row>
    <row r="25" spans="1:11" ht="18.75" customHeight="1" x14ac:dyDescent="0.35">
      <c r="A25" s="99" t="s">
        <v>9824</v>
      </c>
      <c r="B25" s="99" t="s">
        <v>9825</v>
      </c>
      <c r="C25" s="319" t="s">
        <v>9826</v>
      </c>
      <c r="D25" s="105">
        <v>23090</v>
      </c>
      <c r="E25" s="105"/>
      <c r="F25" s="105">
        <v>45502</v>
      </c>
      <c r="J25" s="99">
        <v>150</v>
      </c>
      <c r="K25" s="104" t="s">
        <v>9267</v>
      </c>
    </row>
    <row r="26" spans="1:11" ht="18.75" customHeight="1" x14ac:dyDescent="0.35">
      <c r="A26" s="15" t="s">
        <v>9820</v>
      </c>
      <c r="B26" s="15" t="s">
        <v>9821</v>
      </c>
      <c r="C26" s="107" t="s">
        <v>9822</v>
      </c>
      <c r="D26" s="103" t="s">
        <v>9823</v>
      </c>
      <c r="E26" s="103"/>
      <c r="F26" s="105">
        <v>46233</v>
      </c>
      <c r="G26" s="113"/>
      <c r="H26" s="136">
        <v>7033533918</v>
      </c>
      <c r="I26" s="144"/>
    </row>
    <row r="27" spans="1:11" ht="18.75" customHeight="1" x14ac:dyDescent="0.35">
      <c r="A27" s="99" t="s">
        <v>9987</v>
      </c>
      <c r="B27" s="99" t="s">
        <v>9988</v>
      </c>
      <c r="C27" s="319" t="s">
        <v>11203</v>
      </c>
      <c r="F27" s="105">
        <v>46184</v>
      </c>
      <c r="I27" s="145" t="s">
        <v>11204</v>
      </c>
      <c r="J27" s="99">
        <v>300</v>
      </c>
      <c r="K27" s="104" t="s">
        <v>9267</v>
      </c>
    </row>
    <row r="28" spans="1:11" ht="18.75" customHeight="1" x14ac:dyDescent="0.35">
      <c r="A28" s="15" t="s">
        <v>9817</v>
      </c>
      <c r="B28" s="15" t="s">
        <v>9818</v>
      </c>
      <c r="C28" s="15" t="s">
        <v>9819</v>
      </c>
      <c r="F28" s="105">
        <v>46224</v>
      </c>
      <c r="H28" s="137">
        <v>9234612204</v>
      </c>
      <c r="I28" s="145">
        <v>8990</v>
      </c>
      <c r="J28" s="99">
        <v>200</v>
      </c>
    </row>
    <row r="29" spans="1:11" ht="18.75" customHeight="1" x14ac:dyDescent="0.35">
      <c r="A29" s="15" t="s">
        <v>9817</v>
      </c>
      <c r="B29" s="15" t="s">
        <v>9818</v>
      </c>
      <c r="C29" s="15" t="s">
        <v>9819</v>
      </c>
      <c r="F29" s="105">
        <v>45128</v>
      </c>
      <c r="H29" s="137">
        <v>9234612204</v>
      </c>
      <c r="I29" s="145">
        <v>10130</v>
      </c>
      <c r="J29" s="99">
        <v>200</v>
      </c>
    </row>
    <row r="30" spans="1:11" ht="18.75" customHeight="1" x14ac:dyDescent="0.35">
      <c r="A30" s="99" t="s">
        <v>9815</v>
      </c>
      <c r="B30" s="99" t="s">
        <v>9816</v>
      </c>
      <c r="C30" s="319" t="s">
        <v>11181</v>
      </c>
      <c r="F30" s="105">
        <v>45815</v>
      </c>
      <c r="H30" s="135">
        <v>7209504023</v>
      </c>
      <c r="I30" s="145">
        <v>5860</v>
      </c>
      <c r="J30" s="99">
        <v>200</v>
      </c>
      <c r="K30" s="104" t="s">
        <v>9267</v>
      </c>
    </row>
    <row r="31" spans="1:11" ht="18.75" customHeight="1" x14ac:dyDescent="0.35">
      <c r="A31" s="99" t="s">
        <v>9813</v>
      </c>
      <c r="B31" s="99" t="s">
        <v>9814</v>
      </c>
      <c r="C31" s="107" t="s">
        <v>9583</v>
      </c>
      <c r="F31" s="105">
        <v>45083</v>
      </c>
    </row>
    <row r="32" spans="1:11" ht="18.75" customHeight="1" x14ac:dyDescent="0.35">
      <c r="A32" s="99" t="s">
        <v>9883</v>
      </c>
      <c r="B32" s="99" t="s">
        <v>9884</v>
      </c>
      <c r="C32" s="107" t="s">
        <v>11180</v>
      </c>
      <c r="D32" s="105"/>
      <c r="E32" s="105"/>
      <c r="F32" s="105">
        <v>46168</v>
      </c>
      <c r="G32" s="112"/>
      <c r="I32" s="145">
        <v>5367</v>
      </c>
      <c r="J32" s="99">
        <v>200</v>
      </c>
      <c r="K32" s="104" t="s">
        <v>7792</v>
      </c>
    </row>
    <row r="33" spans="1:11" ht="18.75" customHeight="1" x14ac:dyDescent="0.35">
      <c r="A33" s="99" t="s">
        <v>9883</v>
      </c>
      <c r="B33" s="99" t="s">
        <v>9884</v>
      </c>
      <c r="C33" s="120" t="s">
        <v>11180</v>
      </c>
      <c r="D33" s="105">
        <v>25623</v>
      </c>
      <c r="E33" s="105"/>
      <c r="F33" s="105">
        <v>45815</v>
      </c>
      <c r="G33" s="112"/>
      <c r="I33" s="145">
        <v>7340</v>
      </c>
      <c r="J33" s="99">
        <v>250</v>
      </c>
      <c r="K33" s="104" t="s">
        <v>7792</v>
      </c>
    </row>
    <row r="34" spans="1:11" ht="18.75" customHeight="1" x14ac:dyDescent="0.35">
      <c r="A34" s="15" t="s">
        <v>9810</v>
      </c>
      <c r="B34" s="15" t="s">
        <v>9811</v>
      </c>
      <c r="C34" s="141" t="s">
        <v>9812</v>
      </c>
      <c r="F34" s="105">
        <v>44743</v>
      </c>
      <c r="J34" s="99">
        <v>200</v>
      </c>
      <c r="K34" s="104" t="s">
        <v>7792</v>
      </c>
    </row>
    <row r="35" spans="1:11" ht="18.75" customHeight="1" x14ac:dyDescent="0.35">
      <c r="A35" s="15" t="s">
        <v>9807</v>
      </c>
      <c r="B35" s="15" t="s">
        <v>9808</v>
      </c>
      <c r="C35" s="141" t="s">
        <v>9809</v>
      </c>
      <c r="D35" s="103">
        <v>21108</v>
      </c>
      <c r="E35" s="103"/>
      <c r="F35" s="105">
        <v>44743</v>
      </c>
      <c r="G35" s="96">
        <v>346553267336</v>
      </c>
      <c r="H35" s="136">
        <v>7033628523</v>
      </c>
      <c r="I35" s="144"/>
      <c r="J35" s="99">
        <v>400</v>
      </c>
      <c r="K35" s="104" t="s">
        <v>9267</v>
      </c>
    </row>
    <row r="36" spans="1:11" ht="18.75" customHeight="1" x14ac:dyDescent="0.35">
      <c r="A36" s="99" t="s">
        <v>9805</v>
      </c>
      <c r="B36" s="99" t="s">
        <v>9806</v>
      </c>
      <c r="C36" s="107" t="s">
        <v>8858</v>
      </c>
      <c r="F36" s="105">
        <v>45131</v>
      </c>
      <c r="H36" s="135">
        <v>8280177646</v>
      </c>
      <c r="I36" s="145">
        <v>0</v>
      </c>
    </row>
    <row r="37" spans="1:11" ht="18.75" customHeight="1" x14ac:dyDescent="0.35">
      <c r="A37" s="99" t="s">
        <v>9805</v>
      </c>
      <c r="B37" s="99" t="s">
        <v>9806</v>
      </c>
      <c r="C37" s="107" t="s">
        <v>8858</v>
      </c>
      <c r="F37" s="105">
        <v>45127</v>
      </c>
      <c r="H37" s="135">
        <v>8280177646</v>
      </c>
      <c r="I37" s="145">
        <v>0</v>
      </c>
    </row>
    <row r="38" spans="1:11" ht="18.75" customHeight="1" x14ac:dyDescent="0.35">
      <c r="A38" s="99" t="s">
        <v>9802</v>
      </c>
      <c r="B38" s="99" t="s">
        <v>9803</v>
      </c>
      <c r="C38" s="319" t="s">
        <v>9804</v>
      </c>
      <c r="G38" s="112"/>
      <c r="H38" s="135">
        <v>8603206132</v>
      </c>
      <c r="J38" s="99">
        <v>250</v>
      </c>
      <c r="K38" s="104" t="s">
        <v>7792</v>
      </c>
    </row>
    <row r="39" spans="1:11" ht="18.75" customHeight="1" x14ac:dyDescent="0.35">
      <c r="A39" s="99" t="s">
        <v>9799</v>
      </c>
      <c r="B39" s="99" t="s">
        <v>9800</v>
      </c>
      <c r="C39" s="139" t="s">
        <v>9801</v>
      </c>
      <c r="D39" s="105">
        <v>19495</v>
      </c>
      <c r="E39" s="105"/>
      <c r="F39" s="105">
        <v>46233</v>
      </c>
      <c r="H39" s="135">
        <v>9234550363</v>
      </c>
      <c r="I39" s="145">
        <v>530</v>
      </c>
      <c r="J39" s="99">
        <v>200</v>
      </c>
      <c r="K39" s="104" t="s">
        <v>7792</v>
      </c>
    </row>
    <row r="40" spans="1:11" ht="18.75" customHeight="1" x14ac:dyDescent="0.35">
      <c r="A40" s="15" t="s">
        <v>9797</v>
      </c>
      <c r="B40" s="15" t="s">
        <v>4698</v>
      </c>
      <c r="C40" s="15" t="s">
        <v>9798</v>
      </c>
      <c r="F40" s="105">
        <v>46232</v>
      </c>
      <c r="H40" s="135">
        <v>7909044681</v>
      </c>
      <c r="I40" s="145">
        <v>0</v>
      </c>
      <c r="J40" s="99">
        <v>200</v>
      </c>
      <c r="K40" s="104" t="s">
        <v>7792</v>
      </c>
    </row>
    <row r="41" spans="1:11" ht="18.75" customHeight="1" x14ac:dyDescent="0.35">
      <c r="A41" s="99" t="s">
        <v>9794</v>
      </c>
      <c r="B41" s="99" t="s">
        <v>9795</v>
      </c>
      <c r="C41" s="107" t="s">
        <v>9796</v>
      </c>
      <c r="D41" s="105">
        <v>22909</v>
      </c>
      <c r="E41" s="105"/>
      <c r="F41" s="105">
        <v>46217</v>
      </c>
      <c r="H41" s="135">
        <v>9431544541</v>
      </c>
      <c r="I41" s="145">
        <v>0</v>
      </c>
    </row>
    <row r="42" spans="1:11" ht="18.75" customHeight="1" x14ac:dyDescent="0.35">
      <c r="A42" s="99" t="s">
        <v>9791</v>
      </c>
      <c r="B42" s="99" t="s">
        <v>9792</v>
      </c>
      <c r="C42" s="319" t="s">
        <v>9793</v>
      </c>
      <c r="D42" s="105">
        <v>28185</v>
      </c>
      <c r="E42" s="105"/>
      <c r="F42" s="105">
        <v>45127</v>
      </c>
      <c r="H42" s="135">
        <v>8102093509</v>
      </c>
      <c r="I42" s="145">
        <v>0</v>
      </c>
    </row>
    <row r="43" spans="1:11" ht="18.75" customHeight="1" x14ac:dyDescent="0.35">
      <c r="A43" s="99" t="s">
        <v>9981</v>
      </c>
      <c r="B43" s="99" t="s">
        <v>9982</v>
      </c>
      <c r="C43" s="139" t="s">
        <v>9983</v>
      </c>
      <c r="J43" s="99">
        <v>300</v>
      </c>
    </row>
    <row r="44" spans="1:11" ht="18.75" customHeight="1" x14ac:dyDescent="0.35">
      <c r="A44" s="99" t="s">
        <v>9788</v>
      </c>
      <c r="B44" s="99" t="s">
        <v>9789</v>
      </c>
      <c r="C44" s="107" t="s">
        <v>9790</v>
      </c>
      <c r="F44" s="105">
        <v>45411</v>
      </c>
      <c r="I44" s="145">
        <v>23580</v>
      </c>
      <c r="J44" s="99">
        <v>300</v>
      </c>
    </row>
    <row r="45" spans="1:11" ht="18.75" customHeight="1" x14ac:dyDescent="0.35">
      <c r="A45" s="99" t="s">
        <v>9992</v>
      </c>
      <c r="B45" s="99" t="s">
        <v>8495</v>
      </c>
      <c r="C45" s="107" t="s">
        <v>9993</v>
      </c>
      <c r="F45" s="105">
        <v>45895</v>
      </c>
      <c r="H45" s="135">
        <v>9279241882</v>
      </c>
      <c r="J45" s="99">
        <v>350</v>
      </c>
      <c r="K45" s="104" t="s">
        <v>9267</v>
      </c>
    </row>
    <row r="46" spans="1:11" ht="18.75" customHeight="1" x14ac:dyDescent="0.35">
      <c r="A46" s="99" t="s">
        <v>9785</v>
      </c>
      <c r="B46" s="99" t="s">
        <v>9786</v>
      </c>
      <c r="C46" s="319" t="s">
        <v>9787</v>
      </c>
      <c r="F46" s="105">
        <v>45457</v>
      </c>
      <c r="H46" s="135">
        <v>8863823206</v>
      </c>
      <c r="J46" s="99">
        <v>200</v>
      </c>
    </row>
    <row r="47" spans="1:11" ht="18.75" customHeight="1" x14ac:dyDescent="0.35">
      <c r="A47" s="99" t="s">
        <v>9785</v>
      </c>
      <c r="B47" s="99" t="s">
        <v>9786</v>
      </c>
      <c r="C47" s="107" t="s">
        <v>9787</v>
      </c>
      <c r="F47" s="105"/>
      <c r="H47" s="135">
        <v>8863823206</v>
      </c>
      <c r="J47" s="99">
        <v>200</v>
      </c>
    </row>
    <row r="48" spans="1:11" ht="18.75" customHeight="1" x14ac:dyDescent="0.35">
      <c r="A48" s="99" t="s">
        <v>9782</v>
      </c>
      <c r="B48" s="99" t="s">
        <v>9783</v>
      </c>
      <c r="C48" s="319" t="s">
        <v>9784</v>
      </c>
      <c r="F48" s="105">
        <v>44773</v>
      </c>
      <c r="G48" s="104">
        <v>4380</v>
      </c>
      <c r="H48" s="135">
        <v>9835951591</v>
      </c>
      <c r="J48" s="99">
        <v>200</v>
      </c>
      <c r="K48" s="104" t="s">
        <v>9267</v>
      </c>
    </row>
    <row r="49" spans="1:11" ht="18.75" customHeight="1" x14ac:dyDescent="0.35">
      <c r="A49" s="99" t="s">
        <v>9778</v>
      </c>
      <c r="B49" s="99" t="s">
        <v>9779</v>
      </c>
      <c r="C49" s="107" t="s">
        <v>9781</v>
      </c>
      <c r="F49" s="105">
        <v>46222</v>
      </c>
      <c r="I49" s="145">
        <v>48000</v>
      </c>
      <c r="J49" s="99">
        <v>500</v>
      </c>
      <c r="K49" s="104" t="s">
        <v>9352</v>
      </c>
    </row>
    <row r="50" spans="1:11" ht="18.75" customHeight="1" x14ac:dyDescent="0.35">
      <c r="A50" s="99" t="s">
        <v>9778</v>
      </c>
      <c r="B50" s="99" t="s">
        <v>9779</v>
      </c>
      <c r="C50" s="107" t="s">
        <v>9781</v>
      </c>
      <c r="F50" s="105">
        <v>45483</v>
      </c>
      <c r="I50" s="145">
        <v>50840</v>
      </c>
      <c r="J50" s="99">
        <v>300</v>
      </c>
      <c r="K50" s="104" t="s">
        <v>7792</v>
      </c>
    </row>
    <row r="51" spans="1:11" ht="18.75" customHeight="1" x14ac:dyDescent="0.35">
      <c r="A51" s="99" t="s">
        <v>9778</v>
      </c>
      <c r="B51" s="99" t="s">
        <v>9779</v>
      </c>
      <c r="C51" t="s">
        <v>9780</v>
      </c>
      <c r="F51" s="105">
        <v>45120</v>
      </c>
      <c r="H51" s="135">
        <v>8296092664</v>
      </c>
      <c r="I51" s="145">
        <v>4640</v>
      </c>
      <c r="J51" s="15"/>
    </row>
    <row r="52" spans="1:11" ht="18.75" customHeight="1" x14ac:dyDescent="0.35">
      <c r="A52" s="99" t="s">
        <v>9775</v>
      </c>
      <c r="B52" s="99" t="s">
        <v>9776</v>
      </c>
      <c r="C52" s="319" t="s">
        <v>9777</v>
      </c>
      <c r="F52" s="105">
        <v>46218</v>
      </c>
      <c r="I52" s="145">
        <v>0</v>
      </c>
      <c r="J52" s="99">
        <v>200</v>
      </c>
    </row>
    <row r="53" spans="1:11" ht="18.75" customHeight="1" x14ac:dyDescent="0.35">
      <c r="A53" s="99" t="s">
        <v>9773</v>
      </c>
      <c r="B53" s="99" t="s">
        <v>9328</v>
      </c>
      <c r="C53" s="107" t="s">
        <v>9312</v>
      </c>
      <c r="D53" s="105">
        <v>27042</v>
      </c>
      <c r="E53" s="105"/>
      <c r="F53" s="105">
        <v>44769</v>
      </c>
      <c r="G53" s="104" t="s">
        <v>9774</v>
      </c>
      <c r="H53" s="135">
        <v>8603207615</v>
      </c>
      <c r="J53" s="99">
        <v>300</v>
      </c>
      <c r="K53" s="104" t="s">
        <v>9267</v>
      </c>
    </row>
    <row r="54" spans="1:11" ht="18.75" customHeight="1" x14ac:dyDescent="0.35">
      <c r="A54" s="99" t="s">
        <v>9769</v>
      </c>
      <c r="B54" s="99" t="s">
        <v>9770</v>
      </c>
      <c r="C54" s="107" t="s">
        <v>9772</v>
      </c>
      <c r="F54" s="105">
        <v>46222</v>
      </c>
      <c r="H54" s="135">
        <v>7022107199</v>
      </c>
      <c r="I54" s="145" t="s">
        <v>9613</v>
      </c>
      <c r="J54" s="99">
        <v>300</v>
      </c>
      <c r="K54" s="104" t="s">
        <v>9267</v>
      </c>
    </row>
    <row r="55" spans="1:11" ht="18.75" customHeight="1" x14ac:dyDescent="0.35">
      <c r="A55" s="99" t="s">
        <v>9769</v>
      </c>
      <c r="B55" s="99" t="s">
        <v>9770</v>
      </c>
      <c r="C55" s="107" t="s">
        <v>9772</v>
      </c>
      <c r="F55" s="105">
        <v>45486</v>
      </c>
      <c r="H55" s="135">
        <v>7022107199</v>
      </c>
      <c r="I55" s="145" t="s">
        <v>9613</v>
      </c>
      <c r="J55" s="99">
        <v>300</v>
      </c>
    </row>
    <row r="56" spans="1:11" ht="18.75" customHeight="1" x14ac:dyDescent="0.35">
      <c r="A56" s="99" t="s">
        <v>9769</v>
      </c>
      <c r="B56" s="99" t="s">
        <v>9770</v>
      </c>
      <c r="C56" s="99" t="s">
        <v>9771</v>
      </c>
      <c r="F56" s="105">
        <v>45126</v>
      </c>
      <c r="I56" s="145">
        <v>4960</v>
      </c>
      <c r="J56" s="99">
        <v>300</v>
      </c>
      <c r="K56" s="104" t="s">
        <v>7792</v>
      </c>
    </row>
    <row r="57" spans="1:11" ht="18.75" customHeight="1" x14ac:dyDescent="0.35">
      <c r="A57" s="99" t="s">
        <v>9766</v>
      </c>
      <c r="B57" s="99" t="s">
        <v>9767</v>
      </c>
      <c r="C57" s="107" t="s">
        <v>9768</v>
      </c>
      <c r="F57" s="105">
        <v>45483</v>
      </c>
      <c r="G57" s="104">
        <v>12420</v>
      </c>
      <c r="J57" s="99">
        <v>200</v>
      </c>
      <c r="K57" s="104" t="s">
        <v>7792</v>
      </c>
    </row>
    <row r="58" spans="1:11" ht="18.75" customHeight="1" x14ac:dyDescent="0.35">
      <c r="A58" s="99" t="s">
        <v>9766</v>
      </c>
      <c r="B58" s="99" t="s">
        <v>9767</v>
      </c>
      <c r="C58" s="107" t="s">
        <v>9768</v>
      </c>
      <c r="F58" s="105">
        <v>45117</v>
      </c>
      <c r="G58" s="104">
        <v>12420</v>
      </c>
      <c r="J58" s="99">
        <v>200</v>
      </c>
      <c r="K58" s="104" t="s">
        <v>9249</v>
      </c>
    </row>
    <row r="59" spans="1:11" ht="18.75" customHeight="1" x14ac:dyDescent="0.35">
      <c r="A59" s="148" t="s">
        <v>9763</v>
      </c>
      <c r="B59" s="148" t="s">
        <v>9764</v>
      </c>
      <c r="C59" s="148" t="s">
        <v>9765</v>
      </c>
      <c r="D59" s="149"/>
      <c r="E59" s="149"/>
      <c r="F59" s="150">
        <v>45098</v>
      </c>
      <c r="G59" s="149"/>
      <c r="H59" s="151">
        <v>9523911312</v>
      </c>
      <c r="I59" s="152">
        <v>5602</v>
      </c>
    </row>
    <row r="60" spans="1:11" ht="18.75" customHeight="1" x14ac:dyDescent="0.35">
      <c r="A60" s="99" t="s">
        <v>9762</v>
      </c>
      <c r="B60" s="99" t="s">
        <v>539</v>
      </c>
      <c r="D60" s="105">
        <v>22784</v>
      </c>
      <c r="E60" s="105"/>
      <c r="F60" s="105">
        <v>45494</v>
      </c>
      <c r="H60" s="135">
        <v>8987449298</v>
      </c>
      <c r="I60" s="145">
        <v>0</v>
      </c>
      <c r="J60" s="99">
        <v>300</v>
      </c>
      <c r="K60" s="104" t="s">
        <v>9267</v>
      </c>
    </row>
    <row r="61" spans="1:11" ht="18.75" customHeight="1" x14ac:dyDescent="0.35">
      <c r="A61" s="99" t="s">
        <v>9759</v>
      </c>
      <c r="B61" s="99" t="s">
        <v>9760</v>
      </c>
      <c r="C61" s="319" t="s">
        <v>9761</v>
      </c>
      <c r="F61" s="105">
        <v>45824</v>
      </c>
      <c r="G61" s="104" t="s">
        <v>11344</v>
      </c>
      <c r="H61" s="135">
        <v>9955955911</v>
      </c>
      <c r="I61" s="145">
        <v>4850</v>
      </c>
      <c r="J61" s="99">
        <v>200</v>
      </c>
      <c r="K61" s="104" t="s">
        <v>9267</v>
      </c>
    </row>
    <row r="62" spans="1:11" ht="18.75" customHeight="1" x14ac:dyDescent="0.35">
      <c r="A62" s="99" t="s">
        <v>9757</v>
      </c>
      <c r="B62" s="99" t="s">
        <v>8092</v>
      </c>
      <c r="C62" s="120" t="s">
        <v>9758</v>
      </c>
      <c r="D62" s="105">
        <v>19998</v>
      </c>
      <c r="E62" s="105"/>
      <c r="H62" s="135">
        <v>8863826939</v>
      </c>
      <c r="I62" s="154"/>
    </row>
    <row r="63" spans="1:11" ht="18.75" customHeight="1" x14ac:dyDescent="0.35">
      <c r="A63" s="15" t="s">
        <v>9754</v>
      </c>
      <c r="B63" s="15" t="s">
        <v>9755</v>
      </c>
      <c r="C63" s="319" t="s">
        <v>9756</v>
      </c>
      <c r="F63" s="105">
        <v>45474</v>
      </c>
      <c r="H63" s="137">
        <v>9234686751</v>
      </c>
      <c r="I63" s="145">
        <v>8200</v>
      </c>
      <c r="J63" s="99">
        <v>400</v>
      </c>
    </row>
    <row r="64" spans="1:11" ht="18.75" customHeight="1" x14ac:dyDescent="0.35">
      <c r="A64" s="15" t="s">
        <v>9754</v>
      </c>
      <c r="B64" s="15" t="s">
        <v>9755</v>
      </c>
      <c r="C64" s="319" t="s">
        <v>9756</v>
      </c>
      <c r="F64" s="105">
        <v>45092</v>
      </c>
      <c r="H64" s="137">
        <v>9234686751</v>
      </c>
      <c r="I64" s="145">
        <v>11730</v>
      </c>
      <c r="J64" s="99">
        <v>400</v>
      </c>
      <c r="K64" s="104" t="s">
        <v>9352</v>
      </c>
    </row>
    <row r="65" spans="1:12" ht="18.75" customHeight="1" x14ac:dyDescent="0.35">
      <c r="A65" s="99" t="s">
        <v>9751</v>
      </c>
      <c r="B65" s="99" t="s">
        <v>9752</v>
      </c>
      <c r="C65" s="319" t="s">
        <v>9753</v>
      </c>
      <c r="F65" s="105">
        <v>45134</v>
      </c>
      <c r="H65" s="135">
        <v>9801967745</v>
      </c>
      <c r="I65" s="145">
        <v>7470</v>
      </c>
      <c r="J65" s="99">
        <v>400</v>
      </c>
      <c r="K65" s="104" t="s">
        <v>7792</v>
      </c>
    </row>
    <row r="66" spans="1:12" ht="18.75" customHeight="1" x14ac:dyDescent="0.35">
      <c r="A66" s="99" t="s">
        <v>9749</v>
      </c>
      <c r="B66" s="99" t="s">
        <v>237</v>
      </c>
      <c r="C66" s="107" t="s">
        <v>9750</v>
      </c>
      <c r="F66" s="105">
        <v>45829</v>
      </c>
      <c r="H66" s="135">
        <v>8804848058</v>
      </c>
      <c r="I66" s="145">
        <v>0</v>
      </c>
      <c r="J66" s="99">
        <v>300</v>
      </c>
    </row>
    <row r="67" spans="1:12" ht="18.75" customHeight="1" x14ac:dyDescent="0.35">
      <c r="A67" s="99" t="s">
        <v>9749</v>
      </c>
      <c r="B67" s="99" t="s">
        <v>237</v>
      </c>
      <c r="C67" s="107" t="s">
        <v>9750</v>
      </c>
      <c r="F67" s="105">
        <v>45468</v>
      </c>
      <c r="H67" s="135">
        <v>8804848058</v>
      </c>
      <c r="I67" s="145">
        <v>4000</v>
      </c>
      <c r="J67" s="99">
        <v>200</v>
      </c>
      <c r="K67" s="104" t="s">
        <v>7792</v>
      </c>
    </row>
    <row r="68" spans="1:12" ht="18.75" customHeight="1" x14ac:dyDescent="0.35">
      <c r="A68" s="99" t="s">
        <v>9746</v>
      </c>
      <c r="B68" s="99" t="s">
        <v>9747</v>
      </c>
      <c r="C68" t="s">
        <v>9748</v>
      </c>
      <c r="D68" s="105">
        <v>22811</v>
      </c>
      <c r="E68" s="105"/>
      <c r="F68" s="105">
        <v>45120</v>
      </c>
      <c r="I68" s="145">
        <v>3000</v>
      </c>
      <c r="J68" s="99">
        <v>300</v>
      </c>
      <c r="K68" s="104" t="s">
        <v>7792</v>
      </c>
    </row>
    <row r="69" spans="1:12" ht="18.75" customHeight="1" x14ac:dyDescent="0.35">
      <c r="A69" s="15" t="s">
        <v>9743</v>
      </c>
      <c r="B69" s="15" t="s">
        <v>5351</v>
      </c>
      <c r="C69" s="15" t="s">
        <v>9744</v>
      </c>
      <c r="D69" s="38" t="s">
        <v>9745</v>
      </c>
      <c r="E69" s="38"/>
      <c r="F69" s="87">
        <v>46184</v>
      </c>
      <c r="H69" s="137">
        <v>9771441692</v>
      </c>
      <c r="J69" s="99">
        <v>100</v>
      </c>
    </row>
    <row r="70" spans="1:12" ht="18.75" customHeight="1" x14ac:dyDescent="0.35">
      <c r="A70" s="15" t="s">
        <v>9743</v>
      </c>
      <c r="B70" s="15" t="s">
        <v>5351</v>
      </c>
      <c r="C70" s="15" t="s">
        <v>9744</v>
      </c>
      <c r="D70" s="38" t="s">
        <v>9745</v>
      </c>
      <c r="E70" s="38"/>
      <c r="F70" s="87">
        <v>45082</v>
      </c>
      <c r="H70" s="137">
        <v>9771441692</v>
      </c>
      <c r="J70" s="99">
        <v>100</v>
      </c>
    </row>
    <row r="71" spans="1:12" ht="18.75" customHeight="1" x14ac:dyDescent="0.35">
      <c r="A71" s="15" t="s">
        <v>9743</v>
      </c>
      <c r="B71" s="15" t="s">
        <v>5351</v>
      </c>
      <c r="C71" s="15" t="s">
        <v>9744</v>
      </c>
      <c r="D71" s="38" t="s">
        <v>9745</v>
      </c>
      <c r="E71" s="38"/>
      <c r="F71" s="87"/>
      <c r="H71" s="137">
        <v>9771441692</v>
      </c>
      <c r="J71" s="99">
        <v>400</v>
      </c>
      <c r="K71" s="104" t="s">
        <v>7792</v>
      </c>
    </row>
    <row r="72" spans="1:12" ht="18.75" customHeight="1" x14ac:dyDescent="0.35">
      <c r="A72" s="558" t="s">
        <v>11323</v>
      </c>
      <c r="B72" s="99" t="s">
        <v>11324</v>
      </c>
      <c r="C72" s="319" t="s">
        <v>11325</v>
      </c>
      <c r="F72" s="105">
        <v>46223</v>
      </c>
      <c r="H72" s="135">
        <v>6204726098</v>
      </c>
      <c r="J72" s="99">
        <v>500</v>
      </c>
      <c r="K72" s="104" t="s">
        <v>9267</v>
      </c>
      <c r="L72" s="99" t="s">
        <v>10856</v>
      </c>
    </row>
    <row r="73" spans="1:12" ht="18.75" customHeight="1" x14ac:dyDescent="0.35">
      <c r="A73" s="140" t="s">
        <v>9911</v>
      </c>
      <c r="B73" s="99" t="s">
        <v>9912</v>
      </c>
      <c r="C73" s="107" t="s">
        <v>9913</v>
      </c>
      <c r="J73" s="99">
        <v>150</v>
      </c>
      <c r="K73" s="104" t="s">
        <v>9267</v>
      </c>
    </row>
    <row r="74" spans="1:12" ht="18.75" customHeight="1" x14ac:dyDescent="0.35">
      <c r="A74" s="99" t="s">
        <v>9740</v>
      </c>
      <c r="B74" s="99" t="s">
        <v>9741</v>
      </c>
      <c r="C74" s="107" t="s">
        <v>9742</v>
      </c>
      <c r="F74" s="105">
        <v>45136</v>
      </c>
      <c r="H74" s="135">
        <v>9835359293</v>
      </c>
      <c r="I74" s="145">
        <v>9760</v>
      </c>
      <c r="K74" s="104" t="s">
        <v>7792</v>
      </c>
    </row>
    <row r="75" spans="1:12" ht="18.75" customHeight="1" x14ac:dyDescent="0.35">
      <c r="A75" s="15" t="s">
        <v>9737</v>
      </c>
      <c r="B75" s="15" t="s">
        <v>9738</v>
      </c>
      <c r="C75" s="15" t="s">
        <v>9739</v>
      </c>
      <c r="D75" s="87">
        <v>19680</v>
      </c>
      <c r="E75" s="87"/>
      <c r="F75" s="105">
        <v>46218</v>
      </c>
      <c r="J75" s="99">
        <v>200</v>
      </c>
      <c r="K75" s="104" t="s">
        <v>7792</v>
      </c>
    </row>
    <row r="76" spans="1:12" ht="18.75" customHeight="1" x14ac:dyDescent="0.35">
      <c r="A76" s="99" t="s">
        <v>11229</v>
      </c>
      <c r="B76" s="99" t="s">
        <v>11230</v>
      </c>
      <c r="G76" s="112"/>
      <c r="H76" s="135">
        <v>9431568317</v>
      </c>
      <c r="J76" s="99">
        <v>200</v>
      </c>
    </row>
    <row r="77" spans="1:12" ht="18.75" customHeight="1" x14ac:dyDescent="0.35">
      <c r="A77" s="15" t="s">
        <v>9734</v>
      </c>
      <c r="B77" s="15" t="s">
        <v>9735</v>
      </c>
      <c r="C77" s="142" t="s">
        <v>9736</v>
      </c>
      <c r="D77" s="87">
        <v>27854</v>
      </c>
      <c r="E77" s="87"/>
      <c r="F77" s="87">
        <v>45909</v>
      </c>
      <c r="H77" s="137">
        <v>7209948535</v>
      </c>
      <c r="J77" s="99">
        <v>200</v>
      </c>
      <c r="K77" s="104" t="s">
        <v>7792</v>
      </c>
    </row>
    <row r="78" spans="1:12" ht="18.75" customHeight="1" x14ac:dyDescent="0.35">
      <c r="A78" s="15" t="s">
        <v>9734</v>
      </c>
      <c r="B78" s="15" t="s">
        <v>9735</v>
      </c>
      <c r="C78" s="142" t="s">
        <v>9736</v>
      </c>
      <c r="D78" s="87">
        <v>27854</v>
      </c>
      <c r="E78" s="87"/>
      <c r="F78" s="87">
        <v>45496</v>
      </c>
      <c r="H78" s="137">
        <v>7209948535</v>
      </c>
      <c r="J78" s="99">
        <v>200</v>
      </c>
    </row>
    <row r="79" spans="1:12" ht="18.75" customHeight="1" x14ac:dyDescent="0.35">
      <c r="A79" s="15" t="s">
        <v>9734</v>
      </c>
      <c r="B79" s="15" t="s">
        <v>9735</v>
      </c>
      <c r="C79" s="15" t="s">
        <v>9736</v>
      </c>
      <c r="D79" s="87">
        <v>27854</v>
      </c>
      <c r="E79" s="87"/>
      <c r="F79" s="87">
        <v>45118</v>
      </c>
      <c r="H79" s="137">
        <v>7209948535</v>
      </c>
      <c r="I79" s="145">
        <v>9905715273</v>
      </c>
      <c r="J79" s="99">
        <v>300</v>
      </c>
    </row>
    <row r="80" spans="1:12" ht="18.75" customHeight="1" x14ac:dyDescent="0.35">
      <c r="A80" s="15" t="s">
        <v>9730</v>
      </c>
      <c r="B80" s="15" t="s">
        <v>9731</v>
      </c>
      <c r="C80" s="107" t="s">
        <v>9733</v>
      </c>
      <c r="F80" s="105">
        <v>45476</v>
      </c>
      <c r="H80" s="135">
        <v>8789100766</v>
      </c>
      <c r="I80" s="145">
        <v>11810</v>
      </c>
      <c r="J80" s="99">
        <v>400</v>
      </c>
    </row>
    <row r="81" spans="1:11" ht="18.75" customHeight="1" x14ac:dyDescent="0.35">
      <c r="A81" s="15" t="s">
        <v>9730</v>
      </c>
      <c r="B81" s="15" t="s">
        <v>9731</v>
      </c>
      <c r="C81" s="100" t="s">
        <v>9732</v>
      </c>
      <c r="F81" s="105">
        <v>45120</v>
      </c>
      <c r="H81" s="135">
        <v>8789100766</v>
      </c>
      <c r="I81" s="145">
        <v>19260</v>
      </c>
      <c r="J81" s="99">
        <v>300</v>
      </c>
    </row>
    <row r="82" spans="1:11" ht="18.75" customHeight="1" x14ac:dyDescent="0.35">
      <c r="A82" s="15" t="s">
        <v>9727</v>
      </c>
      <c r="B82" s="15" t="s">
        <v>9728</v>
      </c>
      <c r="C82" s="100" t="s">
        <v>9729</v>
      </c>
      <c r="D82" s="87">
        <v>18798</v>
      </c>
      <c r="E82" s="87"/>
      <c r="F82" s="105">
        <v>44743</v>
      </c>
      <c r="G82" s="96"/>
      <c r="I82" s="144"/>
      <c r="J82" s="99">
        <v>150</v>
      </c>
    </row>
    <row r="83" spans="1:11" ht="18.75" customHeight="1" x14ac:dyDescent="0.35">
      <c r="A83" s="99" t="s">
        <v>11317</v>
      </c>
      <c r="B83" s="99" t="s">
        <v>11318</v>
      </c>
      <c r="C83" s="107" t="s">
        <v>11319</v>
      </c>
      <c r="F83" s="105">
        <v>46222</v>
      </c>
      <c r="H83" s="135">
        <v>9504474395</v>
      </c>
    </row>
    <row r="84" spans="1:11" ht="18.75" customHeight="1" x14ac:dyDescent="0.35">
      <c r="A84" s="15" t="s">
        <v>9724</v>
      </c>
      <c r="B84" s="15" t="s">
        <v>9725</v>
      </c>
      <c r="C84" s="100" t="s">
        <v>9726</v>
      </c>
      <c r="D84" s="87">
        <v>22532</v>
      </c>
      <c r="E84" s="87"/>
      <c r="F84" s="105">
        <v>44743</v>
      </c>
      <c r="G84" s="96">
        <v>791523597998</v>
      </c>
      <c r="H84" s="137">
        <v>9334883756</v>
      </c>
      <c r="J84" s="99">
        <v>300</v>
      </c>
    </row>
    <row r="85" spans="1:11" ht="18.75" customHeight="1" x14ac:dyDescent="0.35">
      <c r="A85" s="99" t="s">
        <v>9721</v>
      </c>
      <c r="B85" s="99" t="s">
        <v>9722</v>
      </c>
      <c r="C85" s="107" t="s">
        <v>11231</v>
      </c>
      <c r="F85" s="105">
        <v>46195</v>
      </c>
      <c r="I85" s="145">
        <v>18700</v>
      </c>
    </row>
    <row r="86" spans="1:11" ht="18.75" customHeight="1" x14ac:dyDescent="0.35">
      <c r="A86" s="99" t="s">
        <v>9721</v>
      </c>
      <c r="B86" s="99" t="s">
        <v>9722</v>
      </c>
      <c r="C86" s="120" t="s">
        <v>9723</v>
      </c>
      <c r="F86" s="105">
        <v>45486</v>
      </c>
      <c r="I86" s="145">
        <v>18700</v>
      </c>
      <c r="J86" s="99">
        <v>350</v>
      </c>
    </row>
    <row r="87" spans="1:11" ht="18.75" customHeight="1" x14ac:dyDescent="0.35">
      <c r="A87" s="99" t="s">
        <v>9719</v>
      </c>
      <c r="B87" s="99" t="s">
        <v>9720</v>
      </c>
      <c r="C87" s="139" t="s">
        <v>9326</v>
      </c>
      <c r="F87" s="105">
        <v>44743</v>
      </c>
      <c r="H87" s="135">
        <v>8709465697</v>
      </c>
      <c r="J87" s="99">
        <v>350</v>
      </c>
    </row>
    <row r="88" spans="1:11" ht="18.75" customHeight="1" x14ac:dyDescent="0.35">
      <c r="A88" s="99" t="s">
        <v>9962</v>
      </c>
      <c r="B88" s="99" t="s">
        <v>9963</v>
      </c>
      <c r="C88" s="120" t="s">
        <v>9964</v>
      </c>
      <c r="D88" s="105">
        <v>22946</v>
      </c>
      <c r="E88" s="105"/>
      <c r="F88" s="105">
        <v>45858</v>
      </c>
      <c r="H88" s="135">
        <v>7070005849</v>
      </c>
      <c r="I88" s="145" t="s">
        <v>9613</v>
      </c>
      <c r="J88" s="99">
        <v>200</v>
      </c>
    </row>
    <row r="89" spans="1:11" ht="18.75" customHeight="1" x14ac:dyDescent="0.35">
      <c r="A89" s="99" t="s">
        <v>9950</v>
      </c>
      <c r="B89" s="99" t="s">
        <v>9951</v>
      </c>
      <c r="C89" s="107" t="s">
        <v>9952</v>
      </c>
      <c r="F89" s="105">
        <v>45851</v>
      </c>
      <c r="H89" s="135">
        <v>9234325578</v>
      </c>
      <c r="I89" s="145">
        <v>3320</v>
      </c>
      <c r="J89" s="99">
        <v>300</v>
      </c>
      <c r="K89" s="99"/>
    </row>
    <row r="90" spans="1:11" ht="18.75" customHeight="1" x14ac:dyDescent="0.35">
      <c r="A90" s="15" t="s">
        <v>9716</v>
      </c>
      <c r="B90" s="15" t="s">
        <v>9717</v>
      </c>
      <c r="C90" s="100" t="s">
        <v>9718</v>
      </c>
      <c r="D90" s="87">
        <v>28035</v>
      </c>
      <c r="E90" s="87"/>
      <c r="F90" s="105">
        <v>45473</v>
      </c>
      <c r="I90" s="145">
        <v>16290</v>
      </c>
      <c r="J90" s="99">
        <v>300</v>
      </c>
    </row>
    <row r="91" spans="1:11" ht="18.75" customHeight="1" x14ac:dyDescent="0.35">
      <c r="A91" s="15" t="s">
        <v>9716</v>
      </c>
      <c r="B91" s="15" t="s">
        <v>9717</v>
      </c>
      <c r="C91" s="100" t="s">
        <v>9718</v>
      </c>
      <c r="D91" s="87">
        <v>28035</v>
      </c>
      <c r="E91" s="87"/>
      <c r="F91" s="87">
        <v>45120</v>
      </c>
      <c r="G91" s="96"/>
      <c r="H91" s="135">
        <v>8084704220</v>
      </c>
      <c r="I91" s="145">
        <v>5610</v>
      </c>
      <c r="J91" s="99">
        <v>300</v>
      </c>
    </row>
    <row r="92" spans="1:11" ht="18.75" customHeight="1" x14ac:dyDescent="0.35">
      <c r="A92" s="99" t="s">
        <v>9905</v>
      </c>
      <c r="B92" s="99" t="s">
        <v>9906</v>
      </c>
      <c r="C92" s="107" t="s">
        <v>9907</v>
      </c>
      <c r="J92" s="99">
        <v>300</v>
      </c>
      <c r="K92" s="104" t="s">
        <v>9267</v>
      </c>
    </row>
    <row r="93" spans="1:11" ht="18.75" customHeight="1" x14ac:dyDescent="0.35">
      <c r="A93" s="15" t="s">
        <v>9713</v>
      </c>
      <c r="B93" s="15" t="s">
        <v>9714</v>
      </c>
      <c r="C93" s="15" t="s">
        <v>9715</v>
      </c>
      <c r="F93" s="105">
        <v>46181</v>
      </c>
      <c r="H93" s="135">
        <v>8252679991</v>
      </c>
      <c r="K93" s="104" t="s">
        <v>9267</v>
      </c>
    </row>
    <row r="94" spans="1:11" ht="18.75" customHeight="1" x14ac:dyDescent="0.35">
      <c r="A94" s="15" t="s">
        <v>9713</v>
      </c>
      <c r="B94" s="15" t="s">
        <v>9714</v>
      </c>
      <c r="C94" s="15" t="s">
        <v>9715</v>
      </c>
      <c r="F94" s="105">
        <v>45116</v>
      </c>
      <c r="H94" s="135">
        <v>8252679991</v>
      </c>
      <c r="J94" s="99">
        <v>400</v>
      </c>
      <c r="K94" s="104" t="s">
        <v>9470</v>
      </c>
    </row>
    <row r="95" spans="1:11" ht="18.75" customHeight="1" x14ac:dyDescent="0.35">
      <c r="A95" s="15" t="s">
        <v>9713</v>
      </c>
      <c r="B95" s="15" t="s">
        <v>9714</v>
      </c>
      <c r="C95" s="15" t="s">
        <v>9715</v>
      </c>
      <c r="F95" s="105">
        <v>45116</v>
      </c>
      <c r="H95" s="135">
        <v>8252679991</v>
      </c>
      <c r="J95" s="99">
        <v>200</v>
      </c>
      <c r="K95" s="104" t="s">
        <v>7792</v>
      </c>
    </row>
    <row r="96" spans="1:11" ht="18.75" customHeight="1" x14ac:dyDescent="0.35">
      <c r="A96" s="99" t="s">
        <v>9711</v>
      </c>
      <c r="B96" s="99" t="s">
        <v>7686</v>
      </c>
      <c r="C96" s="107" t="s">
        <v>9712</v>
      </c>
      <c r="D96" s="105">
        <v>23735</v>
      </c>
      <c r="E96" s="105"/>
      <c r="F96" s="105">
        <v>45091</v>
      </c>
      <c r="H96" s="135">
        <v>9234413453</v>
      </c>
      <c r="J96" s="99">
        <v>200</v>
      </c>
      <c r="K96" s="104" t="s">
        <v>9267</v>
      </c>
    </row>
    <row r="97" spans="1:11" ht="18.75" customHeight="1" x14ac:dyDescent="0.35">
      <c r="A97" s="99" t="s">
        <v>9708</v>
      </c>
      <c r="B97" s="99" t="s">
        <v>9709</v>
      </c>
      <c r="C97" s="120" t="s">
        <v>9710</v>
      </c>
      <c r="F97" s="105">
        <v>45493</v>
      </c>
      <c r="H97" s="135">
        <v>9304694569</v>
      </c>
      <c r="J97" s="99">
        <v>400</v>
      </c>
      <c r="K97" s="104" t="s">
        <v>7792</v>
      </c>
    </row>
    <row r="98" spans="1:11" ht="18.75" customHeight="1" x14ac:dyDescent="0.35">
      <c r="A98" s="99" t="s">
        <v>9705</v>
      </c>
      <c r="B98" s="99" t="s">
        <v>9706</v>
      </c>
      <c r="C98" t="s">
        <v>9707</v>
      </c>
      <c r="D98" s="105">
        <v>25184</v>
      </c>
      <c r="E98" s="105"/>
      <c r="F98" s="105">
        <v>46225</v>
      </c>
      <c r="H98" s="135">
        <v>9608521433</v>
      </c>
      <c r="J98" s="99">
        <v>300</v>
      </c>
      <c r="K98" s="104" t="s">
        <v>9352</v>
      </c>
    </row>
    <row r="99" spans="1:11" ht="18.75" customHeight="1" x14ac:dyDescent="0.35">
      <c r="A99" s="15" t="s">
        <v>9703</v>
      </c>
      <c r="B99" s="15" t="s">
        <v>9704</v>
      </c>
      <c r="C99" s="107" t="s">
        <v>11310</v>
      </c>
      <c r="F99" s="105">
        <v>46222</v>
      </c>
      <c r="I99" s="145">
        <v>34840</v>
      </c>
      <c r="J99" s="99">
        <v>300</v>
      </c>
      <c r="K99" s="104" t="s">
        <v>7792</v>
      </c>
    </row>
    <row r="100" spans="1:11" ht="18.75" customHeight="1" x14ac:dyDescent="0.35">
      <c r="A100" s="99" t="s">
        <v>9702</v>
      </c>
      <c r="B100" s="99" t="s">
        <v>711</v>
      </c>
      <c r="C100" s="107" t="s">
        <v>11277</v>
      </c>
      <c r="F100" s="105">
        <v>46213</v>
      </c>
      <c r="H100" s="135">
        <v>9608333434</v>
      </c>
      <c r="I100" s="145">
        <v>5420</v>
      </c>
      <c r="J100" s="99">
        <v>200</v>
      </c>
      <c r="K100" s="104" t="s">
        <v>9352</v>
      </c>
    </row>
    <row r="101" spans="1:11" ht="18.75" customHeight="1" x14ac:dyDescent="0.35">
      <c r="A101" s="15" t="s">
        <v>9699</v>
      </c>
      <c r="B101" s="15" t="s">
        <v>9700</v>
      </c>
      <c r="C101" s="142" t="s">
        <v>9701</v>
      </c>
      <c r="D101" s="87">
        <v>18751</v>
      </c>
      <c r="E101" s="87"/>
      <c r="F101" s="105">
        <v>44743</v>
      </c>
      <c r="H101" s="137">
        <v>9693117540</v>
      </c>
      <c r="J101" s="99">
        <v>300</v>
      </c>
      <c r="K101" s="104" t="s">
        <v>9267</v>
      </c>
    </row>
    <row r="102" spans="1:11" ht="18.75" customHeight="1" x14ac:dyDescent="0.35">
      <c r="A102" s="99" t="s">
        <v>9696</v>
      </c>
      <c r="B102" s="99" t="s">
        <v>9697</v>
      </c>
      <c r="C102" s="120" t="s">
        <v>9698</v>
      </c>
      <c r="D102" s="105">
        <v>23599</v>
      </c>
      <c r="E102" s="105"/>
      <c r="F102" s="105">
        <v>45499</v>
      </c>
      <c r="H102" s="135">
        <v>8092159775</v>
      </c>
      <c r="I102" s="145">
        <v>4610</v>
      </c>
      <c r="J102" s="99">
        <v>200</v>
      </c>
      <c r="K102" s="104" t="s">
        <v>9267</v>
      </c>
    </row>
    <row r="103" spans="1:11" ht="18.75" customHeight="1" x14ac:dyDescent="0.35">
      <c r="A103" s="99" t="s">
        <v>9693</v>
      </c>
      <c r="B103" s="99" t="s">
        <v>9694</v>
      </c>
      <c r="C103" s="107" t="s">
        <v>9695</v>
      </c>
      <c r="D103" s="105">
        <v>26909</v>
      </c>
      <c r="E103" s="105"/>
      <c r="F103" s="105">
        <v>45829</v>
      </c>
      <c r="H103" s="135">
        <v>8092532463</v>
      </c>
      <c r="I103" s="191">
        <v>17090</v>
      </c>
      <c r="J103" s="99">
        <v>350</v>
      </c>
      <c r="K103" s="104" t="s">
        <v>9267</v>
      </c>
    </row>
    <row r="104" spans="1:11" ht="18.75" customHeight="1" x14ac:dyDescent="0.35">
      <c r="A104" s="99" t="s">
        <v>9690</v>
      </c>
      <c r="B104" s="99" t="s">
        <v>9691</v>
      </c>
      <c r="C104" s="120" t="s">
        <v>9692</v>
      </c>
      <c r="F104" s="105">
        <v>46223</v>
      </c>
      <c r="H104" s="135">
        <v>8603317931</v>
      </c>
      <c r="J104" s="99">
        <v>400</v>
      </c>
      <c r="K104" s="104" t="s">
        <v>9249</v>
      </c>
    </row>
    <row r="105" spans="1:11" ht="18.75" customHeight="1" x14ac:dyDescent="0.35">
      <c r="A105" s="99" t="s">
        <v>9687</v>
      </c>
      <c r="B105" s="99" t="s">
        <v>9688</v>
      </c>
      <c r="C105" s="120" t="s">
        <v>9689</v>
      </c>
      <c r="F105" s="105">
        <v>45821</v>
      </c>
      <c r="I105" s="145">
        <v>30050</v>
      </c>
      <c r="J105" s="99">
        <v>400</v>
      </c>
      <c r="K105" s="104" t="s">
        <v>9267</v>
      </c>
    </row>
    <row r="106" spans="1:11" ht="18.75" customHeight="1" x14ac:dyDescent="0.35">
      <c r="A106" s="99" t="s">
        <v>9687</v>
      </c>
      <c r="B106" s="99" t="s">
        <v>9688</v>
      </c>
      <c r="C106" s="120" t="s">
        <v>9689</v>
      </c>
      <c r="F106" s="105">
        <v>45478</v>
      </c>
      <c r="H106" s="135">
        <v>8757528714</v>
      </c>
      <c r="I106" s="145">
        <v>13800</v>
      </c>
      <c r="J106" s="99">
        <v>400</v>
      </c>
      <c r="K106" s="104" t="s">
        <v>9267</v>
      </c>
    </row>
    <row r="107" spans="1:11" ht="18.75" customHeight="1" x14ac:dyDescent="0.35">
      <c r="A107" s="99" t="s">
        <v>9687</v>
      </c>
      <c r="B107" s="99" t="s">
        <v>9688</v>
      </c>
      <c r="C107" s="120" t="s">
        <v>9689</v>
      </c>
      <c r="F107" s="105">
        <v>45126</v>
      </c>
      <c r="H107" s="135">
        <v>8757528714</v>
      </c>
      <c r="I107" s="145">
        <v>8550</v>
      </c>
      <c r="J107" s="99">
        <f>300+200</f>
        <v>500</v>
      </c>
      <c r="K107" s="104" t="s">
        <v>7792</v>
      </c>
    </row>
    <row r="108" spans="1:11" ht="18.75" customHeight="1" x14ac:dyDescent="0.35">
      <c r="A108" s="99" t="s">
        <v>9941</v>
      </c>
      <c r="B108" s="99" t="s">
        <v>9942</v>
      </c>
      <c r="C108" s="107" t="s">
        <v>9943</v>
      </c>
      <c r="F108" s="105">
        <v>45844</v>
      </c>
      <c r="J108" s="99">
        <f>300+200</f>
        <v>500</v>
      </c>
      <c r="K108" s="104" t="s">
        <v>7792</v>
      </c>
    </row>
    <row r="109" spans="1:11" ht="18.75" customHeight="1" x14ac:dyDescent="0.35">
      <c r="A109" s="99" t="s">
        <v>9685</v>
      </c>
      <c r="B109" s="99" t="s">
        <v>9686</v>
      </c>
      <c r="C109" s="319" t="s">
        <v>11283</v>
      </c>
      <c r="F109" s="105">
        <v>45862</v>
      </c>
      <c r="H109" s="135">
        <v>6201756066</v>
      </c>
      <c r="J109" s="99">
        <v>300</v>
      </c>
      <c r="K109" s="104" t="s">
        <v>9267</v>
      </c>
    </row>
    <row r="110" spans="1:11" ht="18.75" customHeight="1" x14ac:dyDescent="0.35">
      <c r="A110" s="15" t="s">
        <v>9682</v>
      </c>
      <c r="B110" s="15" t="s">
        <v>9683</v>
      </c>
      <c r="C110" s="15" t="s">
        <v>9684</v>
      </c>
      <c r="D110" s="87">
        <v>27575</v>
      </c>
      <c r="E110" s="87"/>
      <c r="F110" s="105">
        <v>44743</v>
      </c>
      <c r="H110" s="137">
        <v>7070139828</v>
      </c>
      <c r="K110" s="104" t="s">
        <v>9267</v>
      </c>
    </row>
    <row r="111" spans="1:11" ht="18.75" customHeight="1" x14ac:dyDescent="0.35">
      <c r="A111" s="15" t="s">
        <v>9679</v>
      </c>
      <c r="B111" s="15" t="s">
        <v>9680</v>
      </c>
      <c r="C111" s="100" t="s">
        <v>9681</v>
      </c>
      <c r="D111" s="87">
        <v>31157</v>
      </c>
      <c r="E111" s="87"/>
      <c r="F111" s="105">
        <v>44743</v>
      </c>
      <c r="G111" s="96"/>
      <c r="K111" s="104" t="s">
        <v>7792</v>
      </c>
    </row>
    <row r="112" spans="1:11" ht="18.75" customHeight="1" x14ac:dyDescent="0.35">
      <c r="A112" s="99" t="s">
        <v>9676</v>
      </c>
      <c r="B112" s="99" t="s">
        <v>9677</v>
      </c>
      <c r="C112" s="120" t="s">
        <v>9678</v>
      </c>
      <c r="F112" s="105">
        <v>45124</v>
      </c>
      <c r="H112" s="135">
        <v>9204280126</v>
      </c>
      <c r="J112" s="99">
        <v>250</v>
      </c>
      <c r="K112" s="104" t="s">
        <v>7792</v>
      </c>
    </row>
    <row r="113" spans="1:11" ht="18.75" customHeight="1" x14ac:dyDescent="0.35">
      <c r="A113" s="99" t="s">
        <v>9976</v>
      </c>
      <c r="B113" s="99" t="s">
        <v>9977</v>
      </c>
      <c r="C113" s="107" t="s">
        <v>11366</v>
      </c>
      <c r="F113" s="105">
        <v>46234</v>
      </c>
      <c r="G113" s="112"/>
      <c r="H113" s="135">
        <v>8797240138</v>
      </c>
      <c r="I113" s="99">
        <v>42780</v>
      </c>
      <c r="J113" s="99">
        <v>150</v>
      </c>
      <c r="K113" s="104" t="s">
        <v>9267</v>
      </c>
    </row>
    <row r="114" spans="1:11" ht="18.75" customHeight="1" x14ac:dyDescent="0.35">
      <c r="A114" s="99" t="s">
        <v>9934</v>
      </c>
      <c r="C114" s="319" t="s">
        <v>9134</v>
      </c>
      <c r="J114" s="99">
        <v>300</v>
      </c>
      <c r="K114" s="104" t="s">
        <v>7792</v>
      </c>
    </row>
    <row r="115" spans="1:11" ht="18.75" customHeight="1" x14ac:dyDescent="0.35">
      <c r="A115" s="99" t="s">
        <v>9944</v>
      </c>
      <c r="B115" s="99" t="s">
        <v>9945</v>
      </c>
      <c r="C115" s="319" t="s">
        <v>9946</v>
      </c>
      <c r="F115" s="105">
        <v>46218</v>
      </c>
      <c r="H115" s="135">
        <v>8603493297</v>
      </c>
      <c r="I115" s="145">
        <v>4750</v>
      </c>
      <c r="J115" s="99">
        <v>300</v>
      </c>
      <c r="K115" s="104" t="s">
        <v>9249</v>
      </c>
    </row>
    <row r="116" spans="1:11" ht="18.75" customHeight="1" x14ac:dyDescent="0.35">
      <c r="A116" s="15" t="s">
        <v>9675</v>
      </c>
      <c r="B116" s="15" t="s">
        <v>237</v>
      </c>
      <c r="C116" s="320" t="s">
        <v>9917</v>
      </c>
      <c r="D116" s="105">
        <v>26567</v>
      </c>
      <c r="E116" s="105"/>
      <c r="F116" s="105">
        <v>46190</v>
      </c>
      <c r="I116" s="145">
        <v>2900</v>
      </c>
      <c r="J116" s="99">
        <v>400</v>
      </c>
      <c r="K116" s="104" t="s">
        <v>9267</v>
      </c>
    </row>
    <row r="117" spans="1:11" ht="18.75" customHeight="1" x14ac:dyDescent="0.35">
      <c r="A117" s="99" t="s">
        <v>9947</v>
      </c>
      <c r="B117" s="99" t="s">
        <v>9948</v>
      </c>
      <c r="C117" s="107" t="s">
        <v>9772</v>
      </c>
      <c r="F117" s="105">
        <v>45847</v>
      </c>
      <c r="H117" s="135">
        <v>9572559987</v>
      </c>
      <c r="J117" s="99">
        <v>250</v>
      </c>
      <c r="K117" s="104" t="s">
        <v>9267</v>
      </c>
    </row>
    <row r="118" spans="1:11" ht="18.75" customHeight="1" x14ac:dyDescent="0.35">
      <c r="A118" s="99" t="s">
        <v>9974</v>
      </c>
      <c r="B118" s="99" t="s">
        <v>9975</v>
      </c>
      <c r="H118" s="135">
        <v>8877030525</v>
      </c>
      <c r="J118" s="15"/>
    </row>
    <row r="119" spans="1:11" ht="18.75" customHeight="1" x14ac:dyDescent="0.35">
      <c r="A119" s="99" t="s">
        <v>9672</v>
      </c>
      <c r="B119" s="15" t="s">
        <v>9673</v>
      </c>
      <c r="C119" s="322" t="s">
        <v>9674</v>
      </c>
      <c r="D119" s="105">
        <v>27070</v>
      </c>
      <c r="E119" s="105"/>
      <c r="F119" s="105">
        <v>45455</v>
      </c>
      <c r="H119" s="135">
        <v>6206098052</v>
      </c>
      <c r="I119" s="145">
        <v>16840</v>
      </c>
    </row>
    <row r="120" spans="1:11" ht="18.75" customHeight="1" x14ac:dyDescent="0.35">
      <c r="A120" s="99" t="s">
        <v>9672</v>
      </c>
      <c r="B120" s="15" t="s">
        <v>9673</v>
      </c>
      <c r="C120" s="102" t="s">
        <v>9674</v>
      </c>
      <c r="D120" s="105">
        <v>27070</v>
      </c>
      <c r="E120" s="105"/>
      <c r="F120" s="105">
        <v>45091</v>
      </c>
      <c r="H120" s="135">
        <v>6206098052</v>
      </c>
      <c r="I120" s="145">
        <v>22630</v>
      </c>
      <c r="J120" s="99">
        <v>200</v>
      </c>
      <c r="K120" s="104" t="s">
        <v>9352</v>
      </c>
    </row>
    <row r="121" spans="1:11" ht="18.75" customHeight="1" x14ac:dyDescent="0.35">
      <c r="A121" s="99" t="s">
        <v>9670</v>
      </c>
      <c r="B121" s="99" t="s">
        <v>7886</v>
      </c>
      <c r="C121" s="107" t="s">
        <v>9949</v>
      </c>
      <c r="F121" s="105">
        <v>45848</v>
      </c>
      <c r="H121" s="135">
        <v>9835931837</v>
      </c>
      <c r="J121" s="99">
        <v>300</v>
      </c>
      <c r="K121" s="104" t="s">
        <v>9267</v>
      </c>
    </row>
    <row r="122" spans="1:11" ht="18.75" customHeight="1" x14ac:dyDescent="0.35">
      <c r="A122" s="99" t="s">
        <v>9670</v>
      </c>
      <c r="B122" s="99" t="s">
        <v>7886</v>
      </c>
      <c r="C122" s="107" t="s">
        <v>9671</v>
      </c>
      <c r="F122" s="105">
        <v>45462</v>
      </c>
      <c r="H122" s="135">
        <v>9835931837</v>
      </c>
      <c r="K122" s="104" t="s">
        <v>9352</v>
      </c>
    </row>
    <row r="123" spans="1:11" ht="18.75" customHeight="1" x14ac:dyDescent="0.35">
      <c r="A123" s="99" t="s">
        <v>9670</v>
      </c>
      <c r="B123" s="99" t="s">
        <v>7886</v>
      </c>
      <c r="C123" s="319" t="s">
        <v>9671</v>
      </c>
      <c r="F123" s="105">
        <v>45124</v>
      </c>
      <c r="H123" s="135">
        <v>9835931837</v>
      </c>
      <c r="I123" s="145">
        <v>16100</v>
      </c>
      <c r="J123" s="99">
        <v>400</v>
      </c>
      <c r="K123" s="104" t="s">
        <v>9352</v>
      </c>
    </row>
    <row r="124" spans="1:11" ht="18.75" customHeight="1" x14ac:dyDescent="0.35">
      <c r="A124" s="15" t="s">
        <v>9667</v>
      </c>
      <c r="B124" s="15" t="s">
        <v>9668</v>
      </c>
      <c r="C124" s="15" t="s">
        <v>9669</v>
      </c>
      <c r="D124" s="87">
        <v>23754</v>
      </c>
      <c r="E124" s="87"/>
      <c r="F124" s="87">
        <v>45461</v>
      </c>
      <c r="G124" s="104">
        <v>3650</v>
      </c>
      <c r="H124" s="137">
        <v>9204696356</v>
      </c>
      <c r="I124" s="145">
        <v>6700</v>
      </c>
      <c r="J124" s="99">
        <v>200</v>
      </c>
      <c r="K124" s="104" t="s">
        <v>9267</v>
      </c>
    </row>
    <row r="125" spans="1:11" ht="18.75" customHeight="1" x14ac:dyDescent="0.35">
      <c r="A125" s="15" t="s">
        <v>9667</v>
      </c>
      <c r="B125" s="15" t="s">
        <v>9668</v>
      </c>
      <c r="C125" s="15" t="s">
        <v>9669</v>
      </c>
      <c r="D125" s="87">
        <v>23754</v>
      </c>
      <c r="E125" s="87"/>
      <c r="F125" s="87">
        <v>45094</v>
      </c>
      <c r="G125" s="104">
        <v>3650</v>
      </c>
      <c r="H125" s="137">
        <v>9204696356</v>
      </c>
      <c r="K125" s="104" t="s">
        <v>9352</v>
      </c>
    </row>
    <row r="126" spans="1:11" ht="18.75" customHeight="1" x14ac:dyDescent="0.35">
      <c r="A126" s="99" t="s">
        <v>9965</v>
      </c>
      <c r="B126" s="99" t="s">
        <v>9966</v>
      </c>
      <c r="C126" s="107" t="s">
        <v>9967</v>
      </c>
      <c r="F126" s="105">
        <v>45861</v>
      </c>
      <c r="H126" s="135">
        <v>9031388584</v>
      </c>
      <c r="J126" s="99">
        <v>500</v>
      </c>
      <c r="K126" s="104" t="s">
        <v>9267</v>
      </c>
    </row>
    <row r="127" spans="1:11" ht="18.75" customHeight="1" x14ac:dyDescent="0.35">
      <c r="A127" s="99" t="s">
        <v>9664</v>
      </c>
      <c r="B127" s="99" t="s">
        <v>9665</v>
      </c>
      <c r="C127" s="319" t="s">
        <v>9666</v>
      </c>
      <c r="D127" s="105">
        <v>28490</v>
      </c>
      <c r="E127" s="105"/>
      <c r="F127" s="105">
        <v>45504</v>
      </c>
      <c r="H127" s="135">
        <v>7484060669</v>
      </c>
      <c r="J127" s="99">
        <v>300</v>
      </c>
      <c r="K127" s="104" t="s">
        <v>7792</v>
      </c>
    </row>
    <row r="128" spans="1:11" ht="18.75" customHeight="1" x14ac:dyDescent="0.35">
      <c r="A128" s="99" t="s">
        <v>11307</v>
      </c>
      <c r="B128" s="99" t="s">
        <v>11306</v>
      </c>
      <c r="C128" s="107" t="s">
        <v>11308</v>
      </c>
      <c r="F128" s="105">
        <v>46190</v>
      </c>
      <c r="H128" s="135">
        <v>9234146241</v>
      </c>
      <c r="J128" s="99">
        <v>100</v>
      </c>
      <c r="K128" s="104" t="s">
        <v>9267</v>
      </c>
    </row>
    <row r="129" spans="1:11" ht="18.75" customHeight="1" x14ac:dyDescent="0.35">
      <c r="A129" s="15" t="s">
        <v>9661</v>
      </c>
      <c r="B129" s="15" t="s">
        <v>9662</v>
      </c>
      <c r="C129" s="100" t="s">
        <v>9663</v>
      </c>
      <c r="D129" s="87">
        <v>25937</v>
      </c>
      <c r="E129" s="87"/>
      <c r="F129" s="105">
        <v>44743</v>
      </c>
      <c r="G129" s="96"/>
      <c r="J129" s="99">
        <v>300</v>
      </c>
      <c r="K129" s="104" t="s">
        <v>9267</v>
      </c>
    </row>
    <row r="130" spans="1:11" ht="18.75" customHeight="1" x14ac:dyDescent="0.35">
      <c r="A130" s="99" t="s">
        <v>9658</v>
      </c>
      <c r="B130" s="99" t="s">
        <v>9659</v>
      </c>
      <c r="C130" s="107" t="s">
        <v>9660</v>
      </c>
      <c r="D130" s="105">
        <v>29156</v>
      </c>
      <c r="E130" s="105"/>
      <c r="H130" s="135">
        <v>8294403318</v>
      </c>
      <c r="J130" s="99">
        <v>200</v>
      </c>
      <c r="K130" s="104" t="s">
        <v>9267</v>
      </c>
    </row>
    <row r="131" spans="1:11" ht="18.75" customHeight="1" x14ac:dyDescent="0.35">
      <c r="A131" s="99" t="s">
        <v>11296</v>
      </c>
      <c r="B131" s="99" t="s">
        <v>11297</v>
      </c>
      <c r="C131" s="107" t="s">
        <v>11298</v>
      </c>
      <c r="D131" s="105">
        <v>30680</v>
      </c>
      <c r="E131" s="105"/>
      <c r="F131" s="105">
        <v>46219</v>
      </c>
      <c r="J131" s="99">
        <v>400</v>
      </c>
      <c r="K131" s="104" t="s">
        <v>9267</v>
      </c>
    </row>
    <row r="132" spans="1:11" ht="18.75" customHeight="1" x14ac:dyDescent="0.35">
      <c r="A132" s="99" t="s">
        <v>9655</v>
      </c>
      <c r="B132" s="99" t="s">
        <v>9656</v>
      </c>
      <c r="C132" s="319" t="s">
        <v>9657</v>
      </c>
      <c r="D132" s="105">
        <v>27347</v>
      </c>
      <c r="E132" s="105"/>
      <c r="F132" s="105">
        <v>44743</v>
      </c>
      <c r="H132" s="135">
        <v>8789113141</v>
      </c>
      <c r="J132" s="99">
        <v>500</v>
      </c>
      <c r="K132" s="104" t="s">
        <v>9267</v>
      </c>
    </row>
    <row r="133" spans="1:11" ht="18.75" customHeight="1" x14ac:dyDescent="0.35">
      <c r="A133" s="99" t="s">
        <v>9653</v>
      </c>
      <c r="B133" s="99" t="s">
        <v>7569</v>
      </c>
      <c r="C133" s="99" t="s">
        <v>9654</v>
      </c>
      <c r="D133" s="105">
        <v>24716</v>
      </c>
      <c r="E133" s="105"/>
      <c r="F133" s="105">
        <v>45474</v>
      </c>
      <c r="H133" s="135">
        <v>9234544362</v>
      </c>
      <c r="I133" s="145">
        <v>10320</v>
      </c>
      <c r="J133" s="99">
        <v>400</v>
      </c>
      <c r="K133" s="104" t="s">
        <v>9267</v>
      </c>
    </row>
    <row r="134" spans="1:11" ht="18.75" customHeight="1" x14ac:dyDescent="0.35">
      <c r="A134" s="99" t="s">
        <v>9653</v>
      </c>
      <c r="B134" s="99" t="s">
        <v>7569</v>
      </c>
      <c r="C134" s="99" t="s">
        <v>9654</v>
      </c>
      <c r="D134" s="105">
        <v>24716</v>
      </c>
      <c r="E134" s="105"/>
      <c r="F134" s="105">
        <v>45093</v>
      </c>
      <c r="H134" s="135">
        <v>9234544362</v>
      </c>
      <c r="I134" s="145">
        <v>10320</v>
      </c>
      <c r="J134" s="99">
        <v>350</v>
      </c>
      <c r="K134" s="104" t="s">
        <v>9267</v>
      </c>
    </row>
    <row r="135" spans="1:11" ht="18.75" customHeight="1" x14ac:dyDescent="0.35">
      <c r="A135" s="99" t="s">
        <v>9653</v>
      </c>
      <c r="B135" s="99" t="s">
        <v>7569</v>
      </c>
      <c r="C135" s="99" t="s">
        <v>9654</v>
      </c>
      <c r="F135" s="105"/>
      <c r="G135" s="105">
        <v>45474</v>
      </c>
      <c r="H135" s="104"/>
      <c r="I135" s="135">
        <v>9234544362</v>
      </c>
      <c r="J135" s="99">
        <v>300</v>
      </c>
      <c r="K135" s="104" t="s">
        <v>9267</v>
      </c>
    </row>
    <row r="136" spans="1:11" ht="18.75" customHeight="1" x14ac:dyDescent="0.35">
      <c r="A136" s="99" t="s">
        <v>11284</v>
      </c>
      <c r="B136" s="99" t="s">
        <v>11285</v>
      </c>
      <c r="C136" s="107" t="s">
        <v>11286</v>
      </c>
      <c r="F136" s="105">
        <v>46222</v>
      </c>
      <c r="G136" s="112"/>
      <c r="H136" s="135">
        <v>9835911961</v>
      </c>
      <c r="I136" s="145" t="s">
        <v>11287</v>
      </c>
      <c r="J136" s="99">
        <v>400</v>
      </c>
      <c r="K136" s="104" t="s">
        <v>9267</v>
      </c>
    </row>
    <row r="137" spans="1:11" ht="18.75" customHeight="1" x14ac:dyDescent="0.35">
      <c r="A137" s="15" t="s">
        <v>9651</v>
      </c>
      <c r="B137" s="15" t="s">
        <v>11407</v>
      </c>
      <c r="C137" s="107" t="s">
        <v>11311</v>
      </c>
      <c r="F137" s="105">
        <v>45480</v>
      </c>
      <c r="I137" s="145">
        <v>1960</v>
      </c>
      <c r="J137" s="99">
        <v>200</v>
      </c>
      <c r="K137" s="104" t="s">
        <v>9267</v>
      </c>
    </row>
    <row r="138" spans="1:11" ht="18.75" customHeight="1" x14ac:dyDescent="0.35">
      <c r="A138" s="15" t="s">
        <v>9651</v>
      </c>
      <c r="B138" s="15" t="s">
        <v>11407</v>
      </c>
      <c r="C138" s="15" t="s">
        <v>9652</v>
      </c>
      <c r="F138" s="105">
        <v>45120</v>
      </c>
      <c r="J138" s="99">
        <v>400</v>
      </c>
      <c r="K138" s="104" t="s">
        <v>9267</v>
      </c>
    </row>
    <row r="139" spans="1:11" ht="18.75" customHeight="1" x14ac:dyDescent="0.35">
      <c r="A139" s="99" t="s">
        <v>9647</v>
      </c>
      <c r="B139" s="99" t="s">
        <v>9648</v>
      </c>
      <c r="C139" s="99" t="s">
        <v>9649</v>
      </c>
      <c r="D139" s="104" t="s">
        <v>9650</v>
      </c>
      <c r="H139" s="135">
        <v>8228811020</v>
      </c>
      <c r="J139" s="99">
        <v>200</v>
      </c>
      <c r="K139" s="104" t="s">
        <v>9267</v>
      </c>
    </row>
    <row r="140" spans="1:11" ht="18.75" customHeight="1" x14ac:dyDescent="0.35">
      <c r="A140" s="99" t="s">
        <v>9644</v>
      </c>
      <c r="B140" s="99" t="s">
        <v>9645</v>
      </c>
      <c r="C140" s="107" t="s">
        <v>9646</v>
      </c>
      <c r="F140" s="105">
        <v>44786</v>
      </c>
      <c r="G140" s="104">
        <v>1500</v>
      </c>
      <c r="H140" s="135">
        <v>8084871616</v>
      </c>
      <c r="I140" s="145">
        <v>9900</v>
      </c>
      <c r="J140" s="99">
        <v>400</v>
      </c>
      <c r="K140" s="104" t="s">
        <v>9267</v>
      </c>
    </row>
    <row r="141" spans="1:11" ht="18.75" customHeight="1" x14ac:dyDescent="0.35">
      <c r="A141" s="99" t="s">
        <v>9640</v>
      </c>
      <c r="B141" s="99" t="s">
        <v>9641</v>
      </c>
      <c r="C141" s="107" t="s">
        <v>9642</v>
      </c>
      <c r="F141" s="105">
        <v>44773</v>
      </c>
      <c r="G141" s="104" t="s">
        <v>9643</v>
      </c>
      <c r="H141" s="135">
        <v>9234630979</v>
      </c>
      <c r="J141" s="99">
        <v>300</v>
      </c>
      <c r="K141" s="104" t="s">
        <v>9267</v>
      </c>
    </row>
    <row r="142" spans="1:11" ht="18.75" customHeight="1" x14ac:dyDescent="0.35">
      <c r="A142" s="99" t="s">
        <v>9637</v>
      </c>
      <c r="B142" s="99" t="s">
        <v>9638</v>
      </c>
      <c r="C142" s="107" t="s">
        <v>9639</v>
      </c>
      <c r="F142" s="105">
        <v>44767</v>
      </c>
      <c r="H142" s="135">
        <v>8603174456</v>
      </c>
      <c r="J142" s="99">
        <v>300</v>
      </c>
      <c r="K142" s="104" t="s">
        <v>9267</v>
      </c>
    </row>
    <row r="143" spans="1:11" ht="18.75" customHeight="1" x14ac:dyDescent="0.35">
      <c r="A143" s="99" t="s">
        <v>9877</v>
      </c>
      <c r="B143" s="99" t="s">
        <v>9878</v>
      </c>
      <c r="C143" s="107" t="s">
        <v>9790</v>
      </c>
      <c r="F143" s="105">
        <v>45647</v>
      </c>
      <c r="G143" s="104">
        <v>500145375900</v>
      </c>
      <c r="H143" s="135">
        <v>920255659</v>
      </c>
      <c r="J143" s="99">
        <v>300</v>
      </c>
      <c r="K143" s="104" t="s">
        <v>9267</v>
      </c>
    </row>
    <row r="144" spans="1:11" ht="18.75" customHeight="1" x14ac:dyDescent="0.35">
      <c r="A144" s="99" t="s">
        <v>9633</v>
      </c>
      <c r="B144" s="99" t="s">
        <v>9634</v>
      </c>
      <c r="C144" s="319" t="s">
        <v>9635</v>
      </c>
      <c r="F144" s="105">
        <v>45134</v>
      </c>
      <c r="H144" s="135">
        <v>9589737210</v>
      </c>
      <c r="J144" s="99">
        <v>300</v>
      </c>
      <c r="K144" s="104" t="s">
        <v>9267</v>
      </c>
    </row>
    <row r="145" spans="1:11" ht="18.75" customHeight="1" x14ac:dyDescent="0.35">
      <c r="A145" s="99" t="s">
        <v>9633</v>
      </c>
      <c r="B145" s="99" t="s">
        <v>9634</v>
      </c>
      <c r="C145" s="120" t="s">
        <v>9636</v>
      </c>
      <c r="D145" s="105">
        <v>30241</v>
      </c>
      <c r="E145" s="105"/>
      <c r="F145" s="105">
        <v>45134</v>
      </c>
      <c r="H145" s="135">
        <v>9589737210</v>
      </c>
      <c r="J145" s="99">
        <v>300</v>
      </c>
      <c r="K145" s="104" t="s">
        <v>9267</v>
      </c>
    </row>
    <row r="146" spans="1:11" ht="18.75" customHeight="1" x14ac:dyDescent="0.35">
      <c r="A146" s="99" t="s">
        <v>9633</v>
      </c>
      <c r="B146" s="99" t="s">
        <v>9634</v>
      </c>
      <c r="C146" s="319" t="s">
        <v>9636</v>
      </c>
      <c r="D146" s="105">
        <v>30241</v>
      </c>
      <c r="E146" s="105"/>
      <c r="F146" s="105">
        <v>45134</v>
      </c>
      <c r="H146" s="135">
        <v>9589737210</v>
      </c>
      <c r="J146" s="99">
        <v>400</v>
      </c>
      <c r="K146" s="104" t="s">
        <v>9267</v>
      </c>
    </row>
    <row r="147" spans="1:11" ht="18.75" customHeight="1" x14ac:dyDescent="0.35">
      <c r="A147" s="115" t="s">
        <v>9630</v>
      </c>
      <c r="B147" s="115" t="s">
        <v>9631</v>
      </c>
      <c r="C147" s="557" t="s">
        <v>9632</v>
      </c>
      <c r="D147" s="116"/>
      <c r="E147" s="116"/>
      <c r="F147" s="117">
        <v>44719</v>
      </c>
      <c r="G147" s="116"/>
      <c r="J147" s="99">
        <v>400</v>
      </c>
      <c r="K147" s="104" t="s">
        <v>9267</v>
      </c>
    </row>
    <row r="148" spans="1:11" ht="18.75" customHeight="1" x14ac:dyDescent="0.35">
      <c r="A148" s="99" t="s">
        <v>9627</v>
      </c>
      <c r="B148" s="99" t="s">
        <v>9628</v>
      </c>
      <c r="C148" s="319" t="s">
        <v>9629</v>
      </c>
      <c r="F148" s="105">
        <v>45486</v>
      </c>
      <c r="H148" s="135">
        <v>9386616511</v>
      </c>
      <c r="I148" s="145">
        <v>20400</v>
      </c>
      <c r="J148" s="99">
        <v>0</v>
      </c>
      <c r="K148" s="104" t="s">
        <v>9267</v>
      </c>
    </row>
    <row r="149" spans="1:11" ht="18.75" customHeight="1" x14ac:dyDescent="0.35">
      <c r="A149" s="99" t="s">
        <v>11279</v>
      </c>
      <c r="B149" s="99" t="s">
        <v>11280</v>
      </c>
      <c r="G149" s="112"/>
      <c r="H149" s="135">
        <v>9931195820</v>
      </c>
      <c r="K149" s="104" t="s">
        <v>9267</v>
      </c>
    </row>
    <row r="150" spans="1:11" ht="18.75" customHeight="1" x14ac:dyDescent="0.35">
      <c r="A150" s="99" t="s">
        <v>11293</v>
      </c>
      <c r="B150" s="99" t="s">
        <v>11294</v>
      </c>
      <c r="C150" s="107" t="s">
        <v>11295</v>
      </c>
      <c r="F150" s="105">
        <v>46218</v>
      </c>
      <c r="G150" s="112"/>
      <c r="K150" s="104" t="s">
        <v>9267</v>
      </c>
    </row>
    <row r="151" spans="1:11" ht="18.75" customHeight="1" x14ac:dyDescent="0.35">
      <c r="A151" s="15" t="s">
        <v>9624</v>
      </c>
      <c r="B151" s="15" t="s">
        <v>9625</v>
      </c>
      <c r="C151" t="s">
        <v>9626</v>
      </c>
      <c r="D151" s="87">
        <v>21949</v>
      </c>
      <c r="E151" s="87"/>
      <c r="F151" s="105">
        <v>45880</v>
      </c>
      <c r="G151" s="96">
        <v>714958601214</v>
      </c>
      <c r="H151" s="137">
        <v>9905040647</v>
      </c>
      <c r="I151" s="145">
        <v>0</v>
      </c>
      <c r="J151" s="99">
        <v>500</v>
      </c>
      <c r="K151" s="104" t="s">
        <v>9267</v>
      </c>
    </row>
    <row r="152" spans="1:11" ht="18.75" customHeight="1" x14ac:dyDescent="0.35">
      <c r="A152" s="15" t="s">
        <v>9624</v>
      </c>
      <c r="B152" s="15" t="s">
        <v>9625</v>
      </c>
      <c r="C152" t="s">
        <v>9626</v>
      </c>
      <c r="D152" s="87">
        <v>21949</v>
      </c>
      <c r="E152" s="87"/>
      <c r="F152" s="105">
        <v>45487</v>
      </c>
      <c r="G152" s="96">
        <v>714958601214</v>
      </c>
      <c r="H152" s="137">
        <v>9905040647</v>
      </c>
      <c r="I152" s="145">
        <v>0</v>
      </c>
      <c r="J152" s="99">
        <v>200</v>
      </c>
      <c r="K152" s="104" t="s">
        <v>9267</v>
      </c>
    </row>
    <row r="153" spans="1:11" ht="18.75" customHeight="1" x14ac:dyDescent="0.35">
      <c r="A153" s="15" t="s">
        <v>9624</v>
      </c>
      <c r="B153" s="15" t="s">
        <v>9625</v>
      </c>
      <c r="C153" t="s">
        <v>9626</v>
      </c>
      <c r="D153" s="87">
        <v>21949</v>
      </c>
      <c r="E153" s="87"/>
      <c r="F153" s="105">
        <v>45127</v>
      </c>
      <c r="G153" s="96">
        <v>714958601214</v>
      </c>
      <c r="H153" s="137">
        <v>9905040647</v>
      </c>
      <c r="I153" s="145">
        <v>0</v>
      </c>
      <c r="J153" s="99">
        <v>700</v>
      </c>
    </row>
    <row r="154" spans="1:11" ht="18.75" customHeight="1" x14ac:dyDescent="0.35">
      <c r="A154" s="99" t="s">
        <v>9998</v>
      </c>
      <c r="B154" s="99" t="s">
        <v>9999</v>
      </c>
      <c r="C154" s="107" t="s">
        <v>10000</v>
      </c>
      <c r="D154" s="105">
        <v>21472</v>
      </c>
      <c r="E154" s="105"/>
      <c r="F154" s="105">
        <v>46190</v>
      </c>
      <c r="H154" s="135">
        <v>7765062780</v>
      </c>
      <c r="J154" s="99">
        <v>500</v>
      </c>
    </row>
    <row r="155" spans="1:11" ht="18.75" customHeight="1" x14ac:dyDescent="0.35">
      <c r="A155" s="99" t="s">
        <v>9998</v>
      </c>
      <c r="B155" s="99" t="s">
        <v>9999</v>
      </c>
      <c r="C155" s="107" t="s">
        <v>10000</v>
      </c>
      <c r="D155" s="105">
        <v>21472</v>
      </c>
      <c r="E155" s="105"/>
      <c r="F155" s="105">
        <v>45908</v>
      </c>
      <c r="H155" s="135">
        <v>7765062780</v>
      </c>
      <c r="J155" s="99">
        <v>200</v>
      </c>
    </row>
    <row r="156" spans="1:11" ht="18.75" customHeight="1" x14ac:dyDescent="0.35">
      <c r="A156" s="101" t="s">
        <v>9620</v>
      </c>
      <c r="B156" s="15" t="s">
        <v>9621</v>
      </c>
      <c r="C156" s="120" t="s">
        <v>9623</v>
      </c>
      <c r="F156" s="105">
        <v>45486</v>
      </c>
      <c r="H156" s="137">
        <v>8235229224</v>
      </c>
      <c r="I156" s="145" t="s">
        <v>9613</v>
      </c>
      <c r="J156" s="99">
        <v>500</v>
      </c>
    </row>
    <row r="157" spans="1:11" ht="18.75" customHeight="1" x14ac:dyDescent="0.35">
      <c r="A157" s="101" t="s">
        <v>9620</v>
      </c>
      <c r="B157" s="15" t="s">
        <v>9621</v>
      </c>
      <c r="C157" s="15" t="s">
        <v>9622</v>
      </c>
      <c r="F157" s="105">
        <v>44774</v>
      </c>
      <c r="H157" s="137">
        <v>8235229224</v>
      </c>
      <c r="J157" s="99">
        <v>500</v>
      </c>
    </row>
    <row r="158" spans="1:11" ht="18.75" customHeight="1" x14ac:dyDescent="0.35">
      <c r="A158" s="15" t="s">
        <v>9617</v>
      </c>
      <c r="B158" s="15" t="s">
        <v>9618</v>
      </c>
      <c r="C158" s="100" t="s">
        <v>9619</v>
      </c>
      <c r="D158" s="87">
        <v>23141</v>
      </c>
      <c r="E158" s="87"/>
      <c r="F158" s="105">
        <v>44743</v>
      </c>
      <c r="J158" s="99">
        <v>500</v>
      </c>
    </row>
    <row r="159" spans="1:11" ht="18.75" customHeight="1" x14ac:dyDescent="0.35">
      <c r="A159" s="301" t="s">
        <v>9614</v>
      </c>
      <c r="B159" s="99" t="s">
        <v>9615</v>
      </c>
      <c r="C159" s="319" t="s">
        <v>9616</v>
      </c>
      <c r="F159" s="105">
        <v>46234</v>
      </c>
      <c r="J159" s="99">
        <v>300</v>
      </c>
    </row>
    <row r="160" spans="1:11" ht="18.75" customHeight="1" x14ac:dyDescent="0.35">
      <c r="A160" s="99" t="s">
        <v>9611</v>
      </c>
      <c r="B160" s="99" t="s">
        <v>9408</v>
      </c>
      <c r="C160" s="319" t="s">
        <v>9612</v>
      </c>
      <c r="F160" s="105">
        <v>45841</v>
      </c>
      <c r="H160" s="135">
        <v>7870064254</v>
      </c>
      <c r="I160" s="145" t="s">
        <v>9613</v>
      </c>
      <c r="J160" s="99">
        <v>200</v>
      </c>
    </row>
    <row r="161" spans="1:11" ht="18.75" customHeight="1" x14ac:dyDescent="0.35">
      <c r="A161" s="99" t="s">
        <v>9611</v>
      </c>
      <c r="B161" s="99" t="s">
        <v>9408</v>
      </c>
      <c r="C161" s="319" t="s">
        <v>9612</v>
      </c>
      <c r="F161" s="105">
        <v>45485</v>
      </c>
      <c r="H161" s="135">
        <v>7870064254</v>
      </c>
      <c r="I161" s="145" t="s">
        <v>9613</v>
      </c>
      <c r="J161" s="99">
        <v>300</v>
      </c>
    </row>
    <row r="162" spans="1:11" ht="18.75" customHeight="1" x14ac:dyDescent="0.35">
      <c r="A162" s="99" t="s">
        <v>9611</v>
      </c>
      <c r="B162" s="99" t="s">
        <v>9408</v>
      </c>
      <c r="C162" s="319" t="s">
        <v>9612</v>
      </c>
      <c r="F162" s="105">
        <v>45141</v>
      </c>
      <c r="H162" s="135">
        <v>7870064254</v>
      </c>
      <c r="J162" s="99">
        <v>500</v>
      </c>
    </row>
    <row r="163" spans="1:11" ht="18.75" customHeight="1" x14ac:dyDescent="0.35">
      <c r="A163" s="99" t="s">
        <v>11303</v>
      </c>
      <c r="B163" s="99" t="s">
        <v>11304</v>
      </c>
      <c r="C163" s="107" t="s">
        <v>11305</v>
      </c>
      <c r="F163" s="105">
        <v>46190</v>
      </c>
      <c r="H163" s="135">
        <v>8092265975</v>
      </c>
      <c r="J163" s="99">
        <v>500</v>
      </c>
    </row>
    <row r="164" spans="1:11" ht="18.75" customHeight="1" x14ac:dyDescent="0.35">
      <c r="A164" s="99" t="s">
        <v>9608</v>
      </c>
      <c r="B164" s="99" t="s">
        <v>9609</v>
      </c>
      <c r="C164" s="319" t="s">
        <v>9610</v>
      </c>
      <c r="F164" s="105">
        <v>45101</v>
      </c>
      <c r="H164" s="135">
        <v>8797588334</v>
      </c>
      <c r="I164" s="145">
        <v>3510</v>
      </c>
      <c r="J164" s="99">
        <v>500</v>
      </c>
    </row>
    <row r="165" spans="1:11" ht="18.75" customHeight="1" x14ac:dyDescent="0.35">
      <c r="A165" s="99" t="s">
        <v>9605</v>
      </c>
      <c r="B165" s="99" t="s">
        <v>9606</v>
      </c>
      <c r="C165" s="307" t="s">
        <v>9607</v>
      </c>
      <c r="D165" s="105">
        <v>22947</v>
      </c>
      <c r="E165" s="105"/>
      <c r="F165" s="105">
        <v>45499</v>
      </c>
      <c r="H165" s="135">
        <v>8434671734</v>
      </c>
      <c r="I165" s="145">
        <v>260</v>
      </c>
      <c r="J165" s="99">
        <v>300</v>
      </c>
    </row>
    <row r="166" spans="1:11" ht="18.75" customHeight="1" x14ac:dyDescent="0.35">
      <c r="A166" s="99" t="s">
        <v>9605</v>
      </c>
      <c r="B166" s="99" t="s">
        <v>9606</v>
      </c>
      <c r="C166" s="307" t="s">
        <v>9607</v>
      </c>
      <c r="D166" s="105">
        <v>22947</v>
      </c>
      <c r="E166" s="105"/>
      <c r="F166" s="105">
        <v>45117</v>
      </c>
      <c r="H166" s="135">
        <v>8434671734</v>
      </c>
      <c r="J166" s="99">
        <v>500</v>
      </c>
    </row>
    <row r="167" spans="1:11" ht="18.75" customHeight="1" x14ac:dyDescent="0.35">
      <c r="A167" s="99" t="s">
        <v>9602</v>
      </c>
      <c r="B167" s="99" t="s">
        <v>10775</v>
      </c>
      <c r="C167" s="107" t="s">
        <v>10776</v>
      </c>
      <c r="D167" s="105">
        <v>19736</v>
      </c>
      <c r="E167" s="105"/>
      <c r="F167" s="105">
        <v>46181</v>
      </c>
      <c r="H167" s="135">
        <v>7209739396</v>
      </c>
      <c r="I167" s="145">
        <v>46650</v>
      </c>
      <c r="J167" s="99">
        <v>200</v>
      </c>
    </row>
    <row r="168" spans="1:11" ht="18.75" customHeight="1" x14ac:dyDescent="0.35">
      <c r="A168" s="99" t="s">
        <v>9602</v>
      </c>
      <c r="B168" s="99" t="s">
        <v>10775</v>
      </c>
      <c r="C168" s="319" t="s">
        <v>10776</v>
      </c>
      <c r="D168" s="105">
        <v>19736</v>
      </c>
      <c r="E168" s="105"/>
      <c r="F168" s="105">
        <v>46015</v>
      </c>
      <c r="H168" s="135">
        <v>7209739396</v>
      </c>
      <c r="I168" s="145">
        <v>11200</v>
      </c>
      <c r="J168" s="99">
        <v>200</v>
      </c>
    </row>
    <row r="169" spans="1:11" ht="18.75" customHeight="1" x14ac:dyDescent="0.35">
      <c r="A169" s="99" t="s">
        <v>9602</v>
      </c>
      <c r="B169" s="99" t="s">
        <v>9603</v>
      </c>
      <c r="C169" s="319" t="s">
        <v>9604</v>
      </c>
      <c r="F169" s="87">
        <v>45461</v>
      </c>
      <c r="I169" s="145">
        <v>5300</v>
      </c>
      <c r="J169" s="99">
        <v>800</v>
      </c>
    </row>
    <row r="170" spans="1:11" ht="18.75" customHeight="1" x14ac:dyDescent="0.35">
      <c r="A170" s="99" t="s">
        <v>9600</v>
      </c>
      <c r="B170" s="99" t="s">
        <v>9601</v>
      </c>
      <c r="C170" s="139" t="s">
        <v>9326</v>
      </c>
      <c r="F170" s="105">
        <v>44743</v>
      </c>
      <c r="H170" s="135">
        <v>6203956812</v>
      </c>
      <c r="J170" s="99">
        <v>300</v>
      </c>
    </row>
    <row r="171" spans="1:11" ht="18.75" customHeight="1" x14ac:dyDescent="0.35">
      <c r="A171" s="15" t="s">
        <v>9597</v>
      </c>
      <c r="B171" s="15" t="s">
        <v>9598</v>
      </c>
      <c r="C171" s="141" t="s">
        <v>9599</v>
      </c>
      <c r="D171" s="87">
        <v>28494</v>
      </c>
      <c r="E171" s="87"/>
      <c r="F171" s="87">
        <v>45120</v>
      </c>
      <c r="G171" s="96">
        <v>383671701192</v>
      </c>
      <c r="H171" s="136">
        <v>7903634461</v>
      </c>
      <c r="I171" s="144">
        <v>77</v>
      </c>
      <c r="J171" s="99">
        <v>500</v>
      </c>
    </row>
    <row r="172" spans="1:11" ht="18.75" customHeight="1" x14ac:dyDescent="0.35">
      <c r="A172" s="99" t="s">
        <v>9595</v>
      </c>
      <c r="C172" s="107" t="s">
        <v>9596</v>
      </c>
      <c r="J172" s="99">
        <v>300</v>
      </c>
    </row>
    <row r="173" spans="1:11" ht="18.75" customHeight="1" x14ac:dyDescent="0.35">
      <c r="A173" s="15" t="s">
        <v>9593</v>
      </c>
      <c r="B173" s="15" t="s">
        <v>4766</v>
      </c>
      <c r="C173" s="15" t="s">
        <v>9594</v>
      </c>
      <c r="F173" s="87">
        <v>46228</v>
      </c>
      <c r="G173" s="104" t="s">
        <v>11347</v>
      </c>
      <c r="H173" s="137">
        <v>9031395170</v>
      </c>
      <c r="J173" s="99">
        <v>300</v>
      </c>
    </row>
    <row r="174" spans="1:11" ht="18.75" customHeight="1" x14ac:dyDescent="0.35">
      <c r="A174" s="99" t="s">
        <v>9590</v>
      </c>
      <c r="B174" s="99" t="s">
        <v>9591</v>
      </c>
      <c r="C174" s="107" t="s">
        <v>9592</v>
      </c>
      <c r="D174" s="105">
        <v>30441</v>
      </c>
      <c r="E174" s="105"/>
      <c r="F174" s="105">
        <v>45086</v>
      </c>
      <c r="H174" s="135">
        <v>9852533183</v>
      </c>
      <c r="J174" s="99">
        <v>300</v>
      </c>
    </row>
    <row r="175" spans="1:11" ht="18.75" customHeight="1" x14ac:dyDescent="0.35">
      <c r="A175" s="15" t="s">
        <v>9587</v>
      </c>
      <c r="B175" s="15" t="s">
        <v>9588</v>
      </c>
      <c r="C175" s="100" t="s">
        <v>9589</v>
      </c>
      <c r="F175" s="105">
        <v>44743</v>
      </c>
      <c r="J175" s="99" t="s">
        <v>9248</v>
      </c>
      <c r="K175" s="104" t="s">
        <v>9249</v>
      </c>
    </row>
    <row r="176" spans="1:11" ht="18.75" customHeight="1" x14ac:dyDescent="0.35">
      <c r="A176" s="99" t="s">
        <v>9893</v>
      </c>
      <c r="B176" s="99" t="s">
        <v>9894</v>
      </c>
      <c r="C176" s="120" t="s">
        <v>9986</v>
      </c>
      <c r="F176" s="87">
        <v>45876</v>
      </c>
      <c r="H176" s="135">
        <v>7250663380</v>
      </c>
      <c r="J176" s="99">
        <v>200</v>
      </c>
      <c r="K176" s="104" t="s">
        <v>9352</v>
      </c>
    </row>
    <row r="177" spans="1:11" ht="18.75" customHeight="1" x14ac:dyDescent="0.35">
      <c r="A177" s="99" t="s">
        <v>9893</v>
      </c>
      <c r="B177" s="99" t="s">
        <v>9894</v>
      </c>
      <c r="C177" s="107" t="s">
        <v>9895</v>
      </c>
      <c r="H177" s="135">
        <v>7250663380</v>
      </c>
    </row>
    <row r="178" spans="1:11" ht="18.75" customHeight="1" x14ac:dyDescent="0.35">
      <c r="A178" s="99" t="s">
        <v>9584</v>
      </c>
      <c r="B178" s="99" t="s">
        <v>9585</v>
      </c>
      <c r="C178" s="107" t="s">
        <v>9586</v>
      </c>
      <c r="D178" s="105">
        <v>31901</v>
      </c>
      <c r="E178" s="105"/>
      <c r="F178" s="105">
        <v>45117</v>
      </c>
      <c r="H178" s="135">
        <v>7781037685</v>
      </c>
      <c r="I178" s="145">
        <v>10500</v>
      </c>
      <c r="J178" s="99">
        <v>300</v>
      </c>
    </row>
    <row r="179" spans="1:11" ht="18.75" customHeight="1" x14ac:dyDescent="0.35">
      <c r="A179" s="99" t="s">
        <v>9581</v>
      </c>
      <c r="B179" s="99" t="s">
        <v>9582</v>
      </c>
      <c r="C179" s="107" t="s">
        <v>9583</v>
      </c>
      <c r="D179" s="105">
        <v>17899</v>
      </c>
      <c r="E179" s="105"/>
      <c r="J179" s="99">
        <v>200</v>
      </c>
    </row>
    <row r="180" spans="1:11" ht="18.75" customHeight="1" x14ac:dyDescent="0.35">
      <c r="A180" s="99" t="s">
        <v>9908</v>
      </c>
      <c r="B180" s="99" t="s">
        <v>9909</v>
      </c>
      <c r="C180" s="107" t="s">
        <v>9910</v>
      </c>
      <c r="F180" s="105">
        <v>45827</v>
      </c>
      <c r="J180" s="99">
        <v>350</v>
      </c>
    </row>
    <row r="181" spans="1:11" ht="18.75" customHeight="1" x14ac:dyDescent="0.35">
      <c r="A181" s="99" t="s">
        <v>9578</v>
      </c>
      <c r="B181" s="99" t="s">
        <v>9579</v>
      </c>
      <c r="C181" s="107" t="s">
        <v>9580</v>
      </c>
      <c r="F181" s="105">
        <v>46228</v>
      </c>
      <c r="J181" s="99">
        <v>150</v>
      </c>
    </row>
    <row r="182" spans="1:11" ht="18.75" customHeight="1" x14ac:dyDescent="0.35">
      <c r="A182" s="99" t="s">
        <v>9575</v>
      </c>
      <c r="B182" s="99" t="s">
        <v>9576</v>
      </c>
      <c r="C182" s="107" t="s">
        <v>9577</v>
      </c>
      <c r="F182" s="105">
        <v>46220</v>
      </c>
      <c r="H182" s="135">
        <v>9572914166</v>
      </c>
      <c r="I182" s="145">
        <v>0</v>
      </c>
      <c r="J182" s="99">
        <v>300</v>
      </c>
    </row>
    <row r="183" spans="1:11" ht="18.75" customHeight="1" x14ac:dyDescent="0.35">
      <c r="A183" s="99" t="s">
        <v>9572</v>
      </c>
      <c r="B183" s="99" t="s">
        <v>9573</v>
      </c>
      <c r="C183" s="107" t="s">
        <v>9574</v>
      </c>
      <c r="D183" s="105">
        <v>27785</v>
      </c>
      <c r="E183" s="105"/>
      <c r="F183" s="105">
        <v>45489</v>
      </c>
      <c r="H183" s="135">
        <v>9204026098</v>
      </c>
      <c r="I183" s="145">
        <v>10070</v>
      </c>
      <c r="J183" s="99">
        <v>300</v>
      </c>
    </row>
    <row r="184" spans="1:11" ht="18.75" customHeight="1" x14ac:dyDescent="0.35">
      <c r="A184" s="99" t="s">
        <v>9567</v>
      </c>
      <c r="B184" s="99" t="s">
        <v>9568</v>
      </c>
      <c r="C184" s="319" t="s">
        <v>9569</v>
      </c>
      <c r="F184" s="105">
        <v>46222</v>
      </c>
      <c r="H184" s="135">
        <v>9955906594</v>
      </c>
      <c r="I184" s="145">
        <v>35000</v>
      </c>
      <c r="J184" s="99">
        <v>300</v>
      </c>
    </row>
    <row r="185" spans="1:11" ht="18.75" customHeight="1" x14ac:dyDescent="0.35">
      <c r="A185" s="15" t="s">
        <v>9567</v>
      </c>
      <c r="B185" s="15" t="s">
        <v>9570</v>
      </c>
      <c r="C185" s="15" t="s">
        <v>9571</v>
      </c>
      <c r="D185" s="87">
        <v>25510</v>
      </c>
      <c r="E185" s="87"/>
      <c r="F185" s="105">
        <v>44743</v>
      </c>
      <c r="H185" s="137">
        <v>9955906594</v>
      </c>
    </row>
    <row r="186" spans="1:11" ht="18.75" customHeight="1" x14ac:dyDescent="0.35">
      <c r="A186" s="99" t="s">
        <v>9564</v>
      </c>
      <c r="B186" s="99" t="s">
        <v>9565</v>
      </c>
      <c r="C186" s="99" t="s">
        <v>9566</v>
      </c>
      <c r="F186" s="105">
        <v>45480</v>
      </c>
      <c r="H186" s="135">
        <v>9835931837</v>
      </c>
      <c r="I186" s="145">
        <v>2500</v>
      </c>
      <c r="J186" s="99">
        <v>200</v>
      </c>
      <c r="K186" s="104" t="s">
        <v>9267</v>
      </c>
    </row>
    <row r="187" spans="1:11" ht="18.75" customHeight="1" x14ac:dyDescent="0.35">
      <c r="A187" s="99" t="s">
        <v>9564</v>
      </c>
      <c r="B187" s="99" t="s">
        <v>9565</v>
      </c>
      <c r="C187" s="99" t="s">
        <v>9566</v>
      </c>
      <c r="F187" s="105">
        <v>45123</v>
      </c>
      <c r="H187" s="135">
        <v>9279552871</v>
      </c>
      <c r="I187" s="145">
        <v>8680</v>
      </c>
      <c r="J187" s="99">
        <v>200</v>
      </c>
      <c r="K187" s="104" t="s">
        <v>9267</v>
      </c>
    </row>
    <row r="188" spans="1:11" ht="18.75" customHeight="1" x14ac:dyDescent="0.35">
      <c r="A188" s="99" t="s">
        <v>9561</v>
      </c>
      <c r="B188" s="99" t="s">
        <v>9562</v>
      </c>
      <c r="C188" s="107" t="s">
        <v>9563</v>
      </c>
      <c r="F188" s="105">
        <v>44770</v>
      </c>
      <c r="G188" s="104">
        <v>4605</v>
      </c>
      <c r="H188" s="135">
        <v>6280684856</v>
      </c>
      <c r="J188" s="99">
        <v>300</v>
      </c>
    </row>
    <row r="189" spans="1:11" ht="18.75" customHeight="1" x14ac:dyDescent="0.35">
      <c r="A189" s="99" t="s">
        <v>9559</v>
      </c>
      <c r="B189" s="99" t="s">
        <v>1395</v>
      </c>
      <c r="C189" s="321" t="s">
        <v>9560</v>
      </c>
      <c r="D189" s="105">
        <v>25144</v>
      </c>
      <c r="E189" s="105"/>
      <c r="F189" s="105">
        <v>44756</v>
      </c>
      <c r="H189" s="135">
        <v>9939369225</v>
      </c>
      <c r="J189" s="99">
        <v>200</v>
      </c>
    </row>
    <row r="190" spans="1:11" ht="18.75" customHeight="1" x14ac:dyDescent="0.35">
      <c r="A190" s="99" t="s">
        <v>9557</v>
      </c>
      <c r="C190" s="319" t="s">
        <v>9558</v>
      </c>
      <c r="G190" s="112"/>
      <c r="H190" s="135">
        <v>9570172731</v>
      </c>
      <c r="J190" s="99">
        <v>200</v>
      </c>
    </row>
    <row r="191" spans="1:11" ht="18.75" customHeight="1" x14ac:dyDescent="0.35">
      <c r="A191" s="99" t="s">
        <v>9555</v>
      </c>
      <c r="B191" s="99" t="s">
        <v>6844</v>
      </c>
      <c r="C191" s="107" t="s">
        <v>9556</v>
      </c>
      <c r="F191" s="105">
        <v>45125</v>
      </c>
      <c r="H191" s="135">
        <v>9279136634</v>
      </c>
      <c r="I191" s="145">
        <v>7140</v>
      </c>
      <c r="J191" s="99">
        <v>300</v>
      </c>
    </row>
    <row r="192" spans="1:11" ht="18.75" customHeight="1" x14ac:dyDescent="0.35">
      <c r="A192" s="99" t="s">
        <v>9552</v>
      </c>
      <c r="B192" s="99" t="s">
        <v>9553</v>
      </c>
      <c r="C192" s="107" t="s">
        <v>9554</v>
      </c>
      <c r="F192" s="105">
        <v>45465</v>
      </c>
      <c r="H192" s="135">
        <v>9204512759</v>
      </c>
      <c r="I192" s="145">
        <v>23090</v>
      </c>
      <c r="J192" s="99">
        <v>200</v>
      </c>
    </row>
    <row r="193" spans="1:11" ht="18.75" customHeight="1" x14ac:dyDescent="0.35">
      <c r="A193" s="99" t="s">
        <v>9550</v>
      </c>
      <c r="B193" s="99" t="s">
        <v>9551</v>
      </c>
      <c r="F193" s="105">
        <v>44743</v>
      </c>
      <c r="J193" s="99">
        <v>200</v>
      </c>
      <c r="K193" s="104" t="s">
        <v>9267</v>
      </c>
    </row>
    <row r="194" spans="1:11" ht="18.75" customHeight="1" x14ac:dyDescent="0.35">
      <c r="A194" s="99" t="s">
        <v>9548</v>
      </c>
      <c r="B194" s="99" t="s">
        <v>9549</v>
      </c>
      <c r="C194" s="99" t="s">
        <v>9326</v>
      </c>
      <c r="D194" s="105">
        <v>24628</v>
      </c>
      <c r="E194" s="105"/>
      <c r="F194" s="105">
        <v>44743</v>
      </c>
      <c r="H194" s="135">
        <v>9006320016</v>
      </c>
      <c r="J194" s="99">
        <v>150</v>
      </c>
    </row>
    <row r="195" spans="1:11" ht="18.75" customHeight="1" x14ac:dyDescent="0.35">
      <c r="A195" s="15" t="s">
        <v>9545</v>
      </c>
      <c r="B195" s="15" t="s">
        <v>9546</v>
      </c>
      <c r="C195" s="319" t="s">
        <v>9985</v>
      </c>
      <c r="D195" s="87">
        <v>29240</v>
      </c>
      <c r="E195" s="87"/>
      <c r="F195" s="87">
        <v>45876</v>
      </c>
      <c r="G195" s="96">
        <v>963206446972</v>
      </c>
      <c r="H195" s="136">
        <v>8603206132</v>
      </c>
      <c r="I195" s="144"/>
      <c r="J195" s="99">
        <v>200</v>
      </c>
    </row>
    <row r="196" spans="1:11" ht="18.75" customHeight="1" x14ac:dyDescent="0.35">
      <c r="A196" s="15" t="s">
        <v>9545</v>
      </c>
      <c r="B196" s="15" t="s">
        <v>9546</v>
      </c>
      <c r="C196" s="100" t="s">
        <v>9547</v>
      </c>
      <c r="D196" s="87">
        <v>29240</v>
      </c>
      <c r="E196" s="87"/>
      <c r="F196" s="87">
        <v>46232</v>
      </c>
      <c r="G196" s="96">
        <v>963206446972</v>
      </c>
      <c r="H196" s="136">
        <v>8603206132</v>
      </c>
      <c r="I196" s="144"/>
    </row>
    <row r="197" spans="1:11" ht="18.75" customHeight="1" x14ac:dyDescent="0.35">
      <c r="A197" s="15" t="s">
        <v>9545</v>
      </c>
      <c r="B197" s="15" t="s">
        <v>9546</v>
      </c>
      <c r="C197" s="100" t="s">
        <v>9547</v>
      </c>
      <c r="D197" s="87">
        <v>29240</v>
      </c>
      <c r="E197" s="87"/>
      <c r="F197" s="87">
        <v>45125</v>
      </c>
      <c r="G197" s="96">
        <v>963206446972</v>
      </c>
      <c r="H197" s="136">
        <v>8603206132</v>
      </c>
      <c r="I197" s="144"/>
      <c r="J197" s="99">
        <v>250</v>
      </c>
    </row>
    <row r="198" spans="1:11" ht="18.75" customHeight="1" x14ac:dyDescent="0.35">
      <c r="A198" s="99" t="s">
        <v>9971</v>
      </c>
      <c r="B198" s="99" t="s">
        <v>9972</v>
      </c>
      <c r="C198" s="139"/>
      <c r="F198" s="105">
        <v>45862</v>
      </c>
      <c r="J198" s="99">
        <v>200</v>
      </c>
    </row>
    <row r="199" spans="1:11" ht="18.75" customHeight="1" x14ac:dyDescent="0.35">
      <c r="A199" s="99" t="s">
        <v>9543</v>
      </c>
      <c r="B199" s="99" t="s">
        <v>4419</v>
      </c>
      <c r="C199" s="120" t="s">
        <v>11316</v>
      </c>
      <c r="D199" s="105">
        <v>28012</v>
      </c>
      <c r="E199" s="105"/>
      <c r="F199" s="105">
        <v>46222</v>
      </c>
      <c r="H199" s="135">
        <v>8797579335</v>
      </c>
      <c r="J199" s="99">
        <v>200</v>
      </c>
    </row>
    <row r="200" spans="1:11" ht="18.75" customHeight="1" x14ac:dyDescent="0.35">
      <c r="A200" s="99" t="s">
        <v>9543</v>
      </c>
      <c r="B200" s="99" t="s">
        <v>4419</v>
      </c>
      <c r="C200" s="319" t="s">
        <v>9544</v>
      </c>
      <c r="F200" s="105">
        <v>44766</v>
      </c>
      <c r="J200" s="99">
        <v>250</v>
      </c>
    </row>
    <row r="201" spans="1:11" ht="18.75" customHeight="1" x14ac:dyDescent="0.35">
      <c r="A201" s="99" t="s">
        <v>9543</v>
      </c>
      <c r="F201" s="105">
        <v>44743</v>
      </c>
      <c r="H201" s="135">
        <v>8797579335</v>
      </c>
      <c r="J201" s="99">
        <v>300</v>
      </c>
    </row>
    <row r="202" spans="1:11" ht="18.75" customHeight="1" x14ac:dyDescent="0.35">
      <c r="A202" s="99" t="s">
        <v>9541</v>
      </c>
      <c r="B202" s="99" t="s">
        <v>9542</v>
      </c>
      <c r="C202" s="120" t="s">
        <v>9937</v>
      </c>
      <c r="D202" s="105">
        <v>28299</v>
      </c>
      <c r="E202" s="105"/>
      <c r="F202" s="105">
        <v>45839</v>
      </c>
      <c r="H202" s="135">
        <v>9570804168</v>
      </c>
      <c r="I202" s="145">
        <v>28450</v>
      </c>
      <c r="J202" s="99">
        <v>200</v>
      </c>
    </row>
    <row r="203" spans="1:11" ht="18.75" customHeight="1" x14ac:dyDescent="0.35">
      <c r="A203" s="99" t="s">
        <v>9541</v>
      </c>
      <c r="B203" s="99" t="s">
        <v>9542</v>
      </c>
      <c r="D203" s="105">
        <v>28299</v>
      </c>
      <c r="E203" s="105"/>
      <c r="H203" s="135">
        <v>8092613337</v>
      </c>
      <c r="I203" s="145">
        <v>16470</v>
      </c>
      <c r="J203" s="99">
        <v>200</v>
      </c>
    </row>
    <row r="204" spans="1:11" ht="18.75" customHeight="1" x14ac:dyDescent="0.35">
      <c r="A204" s="99" t="s">
        <v>9538</v>
      </c>
      <c r="B204" s="99" t="s">
        <v>9539</v>
      </c>
      <c r="C204" s="107" t="s">
        <v>9540</v>
      </c>
      <c r="F204" s="105">
        <v>45858</v>
      </c>
      <c r="H204" s="135">
        <v>8709842494</v>
      </c>
      <c r="J204" s="99">
        <v>300</v>
      </c>
    </row>
    <row r="205" spans="1:11" ht="18.75" customHeight="1" x14ac:dyDescent="0.35">
      <c r="A205" s="99" t="s">
        <v>9538</v>
      </c>
      <c r="B205" s="99" t="s">
        <v>9539</v>
      </c>
      <c r="C205" s="319" t="s">
        <v>9540</v>
      </c>
      <c r="F205" s="105">
        <v>45499</v>
      </c>
      <c r="H205" s="135">
        <v>8709842494</v>
      </c>
    </row>
    <row r="206" spans="1:11" ht="18.75" customHeight="1" x14ac:dyDescent="0.35">
      <c r="A206" s="99" t="s">
        <v>9538</v>
      </c>
      <c r="B206" s="99" t="s">
        <v>9539</v>
      </c>
      <c r="C206" s="319" t="s">
        <v>9540</v>
      </c>
      <c r="F206" s="105">
        <v>45136</v>
      </c>
      <c r="H206" s="135">
        <v>8709842494</v>
      </c>
    </row>
    <row r="207" spans="1:11" ht="18.75" customHeight="1" x14ac:dyDescent="0.35">
      <c r="A207" s="99" t="s">
        <v>9896</v>
      </c>
      <c r="B207" s="99" t="s">
        <v>9897</v>
      </c>
      <c r="C207" s="107" t="s">
        <v>9898</v>
      </c>
      <c r="J207" s="99">
        <v>200</v>
      </c>
    </row>
    <row r="208" spans="1:11" ht="18.75" customHeight="1" x14ac:dyDescent="0.35">
      <c r="A208" s="99" t="s">
        <v>9535</v>
      </c>
      <c r="B208" s="99" t="s">
        <v>9536</v>
      </c>
      <c r="C208" s="319" t="s">
        <v>9537</v>
      </c>
      <c r="D208" s="105">
        <v>25818</v>
      </c>
      <c r="E208" s="105"/>
      <c r="F208" s="105">
        <v>45499</v>
      </c>
      <c r="H208" s="135">
        <v>8235232533</v>
      </c>
      <c r="I208" s="145">
        <v>0</v>
      </c>
    </row>
    <row r="209" spans="1:10" ht="18.75" customHeight="1" x14ac:dyDescent="0.35">
      <c r="A209" s="99" t="s">
        <v>9530</v>
      </c>
      <c r="B209" s="99" t="s">
        <v>9531</v>
      </c>
      <c r="C209" s="107" t="s">
        <v>9534</v>
      </c>
      <c r="D209" s="105">
        <v>26873</v>
      </c>
      <c r="E209" s="105"/>
      <c r="F209" s="105">
        <v>45500</v>
      </c>
      <c r="H209" s="135">
        <v>7857928426</v>
      </c>
      <c r="I209" s="145">
        <v>7970</v>
      </c>
    </row>
    <row r="210" spans="1:10" ht="18.75" customHeight="1" x14ac:dyDescent="0.35">
      <c r="A210" s="99" t="s">
        <v>9530</v>
      </c>
      <c r="B210" s="99" t="s">
        <v>9531</v>
      </c>
      <c r="C210" s="107" t="s">
        <v>9532</v>
      </c>
      <c r="F210" s="105">
        <v>44773</v>
      </c>
      <c r="G210" s="104" t="s">
        <v>9533</v>
      </c>
      <c r="H210" s="135">
        <v>7857928426</v>
      </c>
    </row>
    <row r="211" spans="1:10" ht="18.75" customHeight="1" x14ac:dyDescent="0.35">
      <c r="A211" s="99" t="s">
        <v>9527</v>
      </c>
      <c r="B211" s="99" t="s">
        <v>9528</v>
      </c>
      <c r="C211" s="120" t="s">
        <v>9529</v>
      </c>
      <c r="F211" s="105">
        <v>45462</v>
      </c>
      <c r="I211" s="145">
        <v>1660</v>
      </c>
      <c r="J211" s="99">
        <v>200</v>
      </c>
    </row>
    <row r="212" spans="1:10" ht="18.75" customHeight="1" x14ac:dyDescent="0.35">
      <c r="A212" s="99" t="s">
        <v>9879</v>
      </c>
      <c r="B212" s="99" t="s">
        <v>9880</v>
      </c>
      <c r="C212" s="120" t="s">
        <v>9881</v>
      </c>
      <c r="F212" s="105">
        <v>27147</v>
      </c>
    </row>
    <row r="213" spans="1:10" ht="18.75" customHeight="1" x14ac:dyDescent="0.35">
      <c r="A213" s="15" t="s">
        <v>9524</v>
      </c>
      <c r="B213" s="15" t="s">
        <v>9525</v>
      </c>
      <c r="C213" s="15" t="s">
        <v>9526</v>
      </c>
      <c r="D213" s="87">
        <v>29234</v>
      </c>
      <c r="E213" s="87"/>
      <c r="F213" s="105">
        <v>44743</v>
      </c>
      <c r="G213" s="96"/>
      <c r="I213" s="144"/>
      <c r="J213" s="99">
        <v>250</v>
      </c>
    </row>
    <row r="214" spans="1:10" ht="18.75" customHeight="1" x14ac:dyDescent="0.35">
      <c r="A214" s="99" t="s">
        <v>9522</v>
      </c>
      <c r="B214" s="99" t="s">
        <v>9523</v>
      </c>
      <c r="C214" s="107" t="s">
        <v>11357</v>
      </c>
      <c r="F214" s="105">
        <v>46232</v>
      </c>
      <c r="J214" s="99">
        <v>200</v>
      </c>
    </row>
    <row r="215" spans="1:10" ht="18.75" customHeight="1" x14ac:dyDescent="0.35">
      <c r="A215" s="99" t="s">
        <v>9519</v>
      </c>
      <c r="B215" s="99" t="s">
        <v>9520</v>
      </c>
      <c r="C215" s="319" t="s">
        <v>9521</v>
      </c>
      <c r="F215" s="105">
        <v>46223</v>
      </c>
      <c r="H215" s="135">
        <v>9304837622</v>
      </c>
      <c r="I215" s="145">
        <v>9930</v>
      </c>
      <c r="J215" s="15">
        <v>250</v>
      </c>
    </row>
    <row r="216" spans="1:10" ht="18.75" customHeight="1" x14ac:dyDescent="0.35">
      <c r="A216" s="99" t="s">
        <v>9519</v>
      </c>
      <c r="B216" s="99" t="s">
        <v>9520</v>
      </c>
      <c r="C216" s="107" t="s">
        <v>9521</v>
      </c>
      <c r="F216" s="105">
        <v>45486</v>
      </c>
      <c r="H216" s="135">
        <v>9304837622</v>
      </c>
    </row>
    <row r="217" spans="1:10" ht="18.75" customHeight="1" x14ac:dyDescent="0.35">
      <c r="A217" s="99" t="s">
        <v>9519</v>
      </c>
      <c r="B217" s="99" t="s">
        <v>9520</v>
      </c>
      <c r="C217" s="107" t="s">
        <v>9521</v>
      </c>
      <c r="F217" s="105">
        <v>45117</v>
      </c>
      <c r="H217" s="135">
        <v>9304837622</v>
      </c>
      <c r="I217" s="145">
        <v>7610</v>
      </c>
      <c r="J217" s="99">
        <v>250</v>
      </c>
    </row>
    <row r="218" spans="1:10" ht="18.75" customHeight="1" x14ac:dyDescent="0.35">
      <c r="A218" s="99" t="s">
        <v>11321</v>
      </c>
      <c r="B218" s="99" t="s">
        <v>11322</v>
      </c>
      <c r="C218" s="107" t="s">
        <v>11316</v>
      </c>
      <c r="D218" s="105">
        <v>23380</v>
      </c>
      <c r="E218" s="105"/>
      <c r="F218" s="105">
        <v>46223</v>
      </c>
      <c r="H218" s="135">
        <v>9931306530</v>
      </c>
      <c r="J218" s="15">
        <v>200</v>
      </c>
    </row>
    <row r="219" spans="1:10" ht="18.75" customHeight="1" x14ac:dyDescent="0.35">
      <c r="A219" s="99" t="s">
        <v>9517</v>
      </c>
      <c r="C219" s="319" t="s">
        <v>9518</v>
      </c>
      <c r="F219" s="105">
        <v>44743</v>
      </c>
      <c r="H219" s="135">
        <v>8987449246</v>
      </c>
    </row>
    <row r="220" spans="1:10" ht="18.75" customHeight="1" x14ac:dyDescent="0.35">
      <c r="A220" s="99" t="s">
        <v>9515</v>
      </c>
      <c r="B220" s="99" t="s">
        <v>1022</v>
      </c>
      <c r="C220" s="107" t="s">
        <v>9516</v>
      </c>
    </row>
    <row r="221" spans="1:10" ht="18.75" customHeight="1" x14ac:dyDescent="0.35">
      <c r="A221" s="99" t="s">
        <v>9512</v>
      </c>
      <c r="B221" s="99" t="s">
        <v>9513</v>
      </c>
      <c r="C221" s="107" t="s">
        <v>9514</v>
      </c>
      <c r="D221" s="105">
        <v>27915</v>
      </c>
      <c r="E221" s="105"/>
      <c r="F221" s="105">
        <v>44743</v>
      </c>
      <c r="H221" s="135">
        <v>9771913810</v>
      </c>
      <c r="J221" s="99">
        <v>300</v>
      </c>
    </row>
    <row r="222" spans="1:10" ht="18.75" customHeight="1" x14ac:dyDescent="0.35">
      <c r="A222" s="99" t="s">
        <v>9953</v>
      </c>
      <c r="B222" s="99" t="s">
        <v>9954</v>
      </c>
      <c r="C222" s="107" t="s">
        <v>9955</v>
      </c>
      <c r="F222" s="105">
        <v>45852</v>
      </c>
      <c r="H222" s="135">
        <v>7903887385</v>
      </c>
      <c r="J222" s="99">
        <v>300</v>
      </c>
    </row>
    <row r="223" spans="1:10" ht="18.75" customHeight="1" x14ac:dyDescent="0.35">
      <c r="A223" s="99" t="s">
        <v>9509</v>
      </c>
      <c r="B223" s="99" t="s">
        <v>9510</v>
      </c>
      <c r="C223" s="301" t="s">
        <v>9511</v>
      </c>
      <c r="F223" s="105">
        <v>45858</v>
      </c>
      <c r="H223" s="135">
        <v>8409006780</v>
      </c>
      <c r="J223" s="99">
        <v>300</v>
      </c>
    </row>
    <row r="224" spans="1:10" ht="18.75" customHeight="1" x14ac:dyDescent="0.35">
      <c r="A224" s="99" t="s">
        <v>9509</v>
      </c>
      <c r="B224" s="99" t="s">
        <v>9510</v>
      </c>
      <c r="C224" s="301" t="s">
        <v>9511</v>
      </c>
      <c r="F224" s="105">
        <v>45131</v>
      </c>
      <c r="H224" s="135">
        <v>8409006780</v>
      </c>
    </row>
    <row r="225" spans="1:11" ht="18.75" customHeight="1" x14ac:dyDescent="0.35">
      <c r="A225" s="99" t="s">
        <v>9506</v>
      </c>
      <c r="B225" s="99" t="s">
        <v>9507</v>
      </c>
      <c r="C225" s="107" t="s">
        <v>9508</v>
      </c>
      <c r="D225" s="105">
        <v>19008</v>
      </c>
      <c r="E225" s="105"/>
      <c r="H225" s="135">
        <v>9204521419</v>
      </c>
    </row>
    <row r="226" spans="1:11" ht="18.75" customHeight="1" x14ac:dyDescent="0.35">
      <c r="A226" s="99" t="s">
        <v>9504</v>
      </c>
      <c r="B226" s="99" t="s">
        <v>7800</v>
      </c>
      <c r="C226" s="107" t="s">
        <v>9505</v>
      </c>
      <c r="D226" s="105">
        <v>25039</v>
      </c>
      <c r="E226" s="105"/>
      <c r="G226" s="112"/>
    </row>
    <row r="227" spans="1:11" ht="18.75" customHeight="1" x14ac:dyDescent="0.35">
      <c r="A227" s="99" t="s">
        <v>9501</v>
      </c>
      <c r="B227" s="99" t="s">
        <v>9502</v>
      </c>
      <c r="C227" s="107" t="s">
        <v>9503</v>
      </c>
      <c r="F227" s="87">
        <v>46235</v>
      </c>
      <c r="H227" s="135">
        <v>8340605039</v>
      </c>
      <c r="I227" s="145">
        <v>0</v>
      </c>
    </row>
    <row r="228" spans="1:11" ht="18.75" customHeight="1" x14ac:dyDescent="0.35">
      <c r="A228" s="15" t="s">
        <v>9498</v>
      </c>
      <c r="B228" s="15" t="s">
        <v>9499</v>
      </c>
      <c r="C228" s="142" t="s">
        <v>9500</v>
      </c>
      <c r="F228" s="105">
        <v>45125</v>
      </c>
      <c r="H228" s="137">
        <v>9386030301</v>
      </c>
      <c r="I228" s="145">
        <v>2600</v>
      </c>
    </row>
    <row r="229" spans="1:11" ht="18.75" customHeight="1" x14ac:dyDescent="0.35">
      <c r="A229" s="99" t="s">
        <v>9496</v>
      </c>
      <c r="C229" s="319" t="s">
        <v>9497</v>
      </c>
      <c r="F229" s="105">
        <v>45095</v>
      </c>
    </row>
    <row r="230" spans="1:11" ht="18.75" customHeight="1" x14ac:dyDescent="0.35">
      <c r="A230" s="99" t="s">
        <v>11259</v>
      </c>
      <c r="B230" s="99" t="s">
        <v>11260</v>
      </c>
      <c r="C230" s="107" t="s">
        <v>9991</v>
      </c>
      <c r="G230" s="112"/>
      <c r="H230" s="135">
        <v>8826041134</v>
      </c>
      <c r="I230" s="145" t="s">
        <v>11287</v>
      </c>
    </row>
    <row r="231" spans="1:11" ht="18.75" customHeight="1" x14ac:dyDescent="0.35">
      <c r="A231" s="115" t="s">
        <v>9492</v>
      </c>
      <c r="B231" s="115" t="s">
        <v>9493</v>
      </c>
      <c r="C231" s="557" t="s">
        <v>9494</v>
      </c>
      <c r="D231" s="117">
        <v>34109</v>
      </c>
      <c r="E231" s="117"/>
      <c r="F231" s="116"/>
      <c r="G231" s="200"/>
      <c r="H231" s="194">
        <v>6201674392</v>
      </c>
      <c r="I231" s="145" t="s">
        <v>9495</v>
      </c>
    </row>
    <row r="232" spans="1:11" ht="18.75" customHeight="1" x14ac:dyDescent="0.35">
      <c r="A232" s="99" t="s">
        <v>9489</v>
      </c>
      <c r="B232" s="99" t="s">
        <v>9490</v>
      </c>
      <c r="C232" s="107" t="s">
        <v>9491</v>
      </c>
      <c r="H232" s="135">
        <v>8789368238</v>
      </c>
      <c r="I232" s="145">
        <v>6570</v>
      </c>
    </row>
    <row r="233" spans="1:11" ht="18.75" customHeight="1" x14ac:dyDescent="0.35">
      <c r="A233" s="99" t="s">
        <v>9487</v>
      </c>
      <c r="B233" s="99" t="s">
        <v>9488</v>
      </c>
      <c r="C233" s="99" t="s">
        <v>9326</v>
      </c>
      <c r="D233" s="105">
        <v>29236</v>
      </c>
      <c r="E233" s="105"/>
      <c r="F233" s="105">
        <v>44743</v>
      </c>
      <c r="H233" s="135">
        <v>9031764327</v>
      </c>
    </row>
    <row r="234" spans="1:11" ht="18.75" customHeight="1" x14ac:dyDescent="0.35">
      <c r="A234" s="99" t="s">
        <v>9485</v>
      </c>
      <c r="B234" s="99" t="s">
        <v>9486</v>
      </c>
      <c r="D234" s="105">
        <v>28705</v>
      </c>
      <c r="E234" s="105"/>
      <c r="G234" s="112">
        <v>780595854661</v>
      </c>
      <c r="H234" s="135">
        <v>7764047350</v>
      </c>
      <c r="I234" s="145">
        <v>20028934065</v>
      </c>
    </row>
    <row r="235" spans="1:11" ht="18.75" customHeight="1" x14ac:dyDescent="0.35">
      <c r="A235" s="99" t="s">
        <v>9899</v>
      </c>
      <c r="B235" s="99" t="s">
        <v>9900</v>
      </c>
      <c r="C235" s="99" t="s">
        <v>9901</v>
      </c>
      <c r="D235" s="105">
        <v>23352</v>
      </c>
      <c r="E235" s="105"/>
      <c r="F235" s="105">
        <v>45820</v>
      </c>
      <c r="H235" s="135">
        <v>8603845751</v>
      </c>
    </row>
    <row r="236" spans="1:11" ht="18.75" customHeight="1" x14ac:dyDescent="0.35">
      <c r="A236" s="99" t="s">
        <v>9483</v>
      </c>
      <c r="B236" s="99" t="s">
        <v>9484</v>
      </c>
      <c r="C236" s="99" t="s">
        <v>9332</v>
      </c>
      <c r="D236" s="105">
        <v>16265</v>
      </c>
      <c r="E236" s="105"/>
      <c r="F236" s="105">
        <v>44743</v>
      </c>
      <c r="H236" s="135">
        <v>8603714185</v>
      </c>
    </row>
    <row r="237" spans="1:11" ht="18.75" customHeight="1" x14ac:dyDescent="0.35">
      <c r="A237" s="99" t="s">
        <v>9480</v>
      </c>
      <c r="B237" s="99" t="s">
        <v>9481</v>
      </c>
      <c r="C237" s="120" t="s">
        <v>9482</v>
      </c>
      <c r="D237" s="105">
        <v>27080</v>
      </c>
      <c r="E237" s="105"/>
      <c r="F237" s="105">
        <v>45117</v>
      </c>
      <c r="H237" s="135">
        <v>7209611537</v>
      </c>
      <c r="I237" s="145">
        <v>160</v>
      </c>
      <c r="J237" s="99">
        <v>300</v>
      </c>
      <c r="K237" s="104" t="s">
        <v>9267</v>
      </c>
    </row>
    <row r="238" spans="1:11" ht="18.75" customHeight="1" x14ac:dyDescent="0.35">
      <c r="A238" s="99" t="s">
        <v>9477</v>
      </c>
      <c r="B238" s="99" t="s">
        <v>9478</v>
      </c>
      <c r="C238" s="120" t="s">
        <v>9479</v>
      </c>
      <c r="F238" s="105">
        <v>45468</v>
      </c>
      <c r="I238" s="145">
        <v>3270</v>
      </c>
    </row>
    <row r="239" spans="1:11" ht="18.75" customHeight="1" x14ac:dyDescent="0.35">
      <c r="A239" s="99" t="s">
        <v>9474</v>
      </c>
      <c r="B239" s="139" t="s">
        <v>9475</v>
      </c>
      <c r="C239" s="139" t="s">
        <v>9476</v>
      </c>
      <c r="F239" s="105">
        <v>44743</v>
      </c>
      <c r="H239" s="135">
        <v>9470975455</v>
      </c>
    </row>
    <row r="240" spans="1:11" ht="18.75" customHeight="1" x14ac:dyDescent="0.35">
      <c r="A240" s="99" t="s">
        <v>9885</v>
      </c>
      <c r="B240" s="99" t="s">
        <v>9886</v>
      </c>
      <c r="C240" s="120" t="s">
        <v>9887</v>
      </c>
      <c r="D240" s="104" t="s">
        <v>9888</v>
      </c>
      <c r="G240" s="112"/>
      <c r="H240" s="135">
        <v>9955579391</v>
      </c>
      <c r="I240" s="145" t="s">
        <v>9889</v>
      </c>
    </row>
    <row r="241" spans="1:11" ht="18.75" customHeight="1" x14ac:dyDescent="0.35">
      <c r="A241" s="99" t="s">
        <v>9471</v>
      </c>
      <c r="B241" s="99" t="s">
        <v>9472</v>
      </c>
      <c r="C241" s="120" t="s">
        <v>9473</v>
      </c>
      <c r="F241" s="105">
        <v>45125</v>
      </c>
      <c r="H241" s="135">
        <v>8210789515</v>
      </c>
      <c r="I241" s="145">
        <v>8450</v>
      </c>
      <c r="J241" s="99">
        <v>300</v>
      </c>
      <c r="K241" s="104" t="s">
        <v>9267</v>
      </c>
    </row>
    <row r="242" spans="1:11" ht="18.75" customHeight="1" x14ac:dyDescent="0.35">
      <c r="A242" s="99" t="s">
        <v>9465</v>
      </c>
      <c r="B242" s="99" t="s">
        <v>9466</v>
      </c>
      <c r="C242" s="120" t="s">
        <v>9468</v>
      </c>
      <c r="D242" s="105">
        <v>27124</v>
      </c>
      <c r="E242" s="105"/>
      <c r="F242" s="105">
        <v>45504</v>
      </c>
      <c r="G242" s="104" t="s">
        <v>9469</v>
      </c>
      <c r="H242" s="135">
        <v>7209656257</v>
      </c>
      <c r="J242" s="148"/>
      <c r="K242" s="149"/>
    </row>
    <row r="243" spans="1:11" ht="18.75" customHeight="1" x14ac:dyDescent="0.35">
      <c r="A243" s="99" t="s">
        <v>9465</v>
      </c>
      <c r="B243" s="99" t="s">
        <v>9466</v>
      </c>
      <c r="C243" s="107" t="s">
        <v>9467</v>
      </c>
      <c r="F243" s="105">
        <v>45150</v>
      </c>
      <c r="H243" s="135">
        <v>7209656257</v>
      </c>
      <c r="I243" s="145">
        <v>12360</v>
      </c>
    </row>
    <row r="244" spans="1:11" ht="18.75" customHeight="1" x14ac:dyDescent="0.35">
      <c r="A244" s="99" t="s">
        <v>9462</v>
      </c>
      <c r="B244" s="99" t="s">
        <v>9463</v>
      </c>
      <c r="C244" s="107" t="s">
        <v>9464</v>
      </c>
      <c r="H244" s="135">
        <v>9875564973</v>
      </c>
    </row>
    <row r="245" spans="1:11" ht="18.75" customHeight="1" x14ac:dyDescent="0.35">
      <c r="A245" s="99" t="s">
        <v>9458</v>
      </c>
      <c r="B245" s="99" t="s">
        <v>9461</v>
      </c>
      <c r="C245" s="319" t="s">
        <v>9460</v>
      </c>
      <c r="F245" s="105">
        <v>45468</v>
      </c>
      <c r="I245" s="145">
        <v>24650</v>
      </c>
      <c r="J245" s="107" t="s">
        <v>9834</v>
      </c>
      <c r="K245" s="104" t="s">
        <v>9835</v>
      </c>
    </row>
    <row r="246" spans="1:11" ht="18.75" customHeight="1" x14ac:dyDescent="0.35">
      <c r="A246" s="15" t="s">
        <v>9458</v>
      </c>
      <c r="B246" s="15" t="s">
        <v>9459</v>
      </c>
      <c r="C246" s="319" t="s">
        <v>9460</v>
      </c>
      <c r="F246" s="105">
        <v>45124</v>
      </c>
      <c r="I246" s="145">
        <v>4500</v>
      </c>
    </row>
    <row r="247" spans="1:11" ht="18.75" customHeight="1" x14ac:dyDescent="0.35">
      <c r="A247" s="99" t="s">
        <v>9454</v>
      </c>
      <c r="B247" s="99" t="s">
        <v>9455</v>
      </c>
      <c r="C247" s="321" t="s">
        <v>9457</v>
      </c>
      <c r="D247" s="105">
        <v>32872</v>
      </c>
      <c r="E247" s="105"/>
      <c r="F247" s="105">
        <v>45854</v>
      </c>
      <c r="H247" s="135">
        <v>7033299165</v>
      </c>
      <c r="I247" s="145">
        <v>9030</v>
      </c>
    </row>
    <row r="248" spans="1:11" ht="18.75" customHeight="1" x14ac:dyDescent="0.35">
      <c r="A248" s="99" t="s">
        <v>9454</v>
      </c>
      <c r="B248" s="99" t="s">
        <v>9455</v>
      </c>
      <c r="C248" s="321" t="s">
        <v>9457</v>
      </c>
      <c r="D248" s="105">
        <v>32872</v>
      </c>
      <c r="E248" s="105"/>
      <c r="F248" s="105">
        <v>45464</v>
      </c>
      <c r="H248" s="135">
        <v>7033299165</v>
      </c>
      <c r="I248" s="145">
        <v>18170</v>
      </c>
    </row>
    <row r="249" spans="1:11" ht="18.75" customHeight="1" x14ac:dyDescent="0.35">
      <c r="A249" s="99" t="s">
        <v>9454</v>
      </c>
      <c r="B249" s="99" t="s">
        <v>9455</v>
      </c>
      <c r="C249" s="321" t="s">
        <v>9456</v>
      </c>
      <c r="D249" s="105">
        <v>32872</v>
      </c>
      <c r="E249" s="105"/>
      <c r="F249" s="105">
        <v>44743</v>
      </c>
      <c r="H249" s="135">
        <v>7033299165</v>
      </c>
    </row>
    <row r="250" spans="1:11" ht="18.75" customHeight="1" x14ac:dyDescent="0.35">
      <c r="A250" s="99" t="s">
        <v>11313</v>
      </c>
      <c r="B250" s="99" t="s">
        <v>11314</v>
      </c>
      <c r="C250" s="107" t="s">
        <v>11315</v>
      </c>
      <c r="D250" s="105">
        <v>24181</v>
      </c>
      <c r="E250" s="105"/>
      <c r="F250" s="105">
        <v>46222</v>
      </c>
      <c r="H250" s="135">
        <v>9939702668</v>
      </c>
    </row>
    <row r="251" spans="1:11" ht="18.75" customHeight="1" x14ac:dyDescent="0.35">
      <c r="A251" s="99" t="s">
        <v>9451</v>
      </c>
      <c r="B251" s="99" t="s">
        <v>9452</v>
      </c>
      <c r="C251" s="107" t="s">
        <v>9453</v>
      </c>
      <c r="D251" s="105">
        <v>20821</v>
      </c>
      <c r="E251" s="105"/>
      <c r="F251" s="105">
        <v>45816</v>
      </c>
      <c r="G251" s="112">
        <v>746469247884</v>
      </c>
      <c r="H251" s="135">
        <v>9234501981</v>
      </c>
    </row>
    <row r="252" spans="1:11" ht="18.75" customHeight="1" x14ac:dyDescent="0.35">
      <c r="A252" s="99" t="s">
        <v>9451</v>
      </c>
      <c r="B252" s="99" t="s">
        <v>9452</v>
      </c>
      <c r="C252" s="107" t="s">
        <v>9453</v>
      </c>
      <c r="D252" s="105">
        <v>20821</v>
      </c>
      <c r="E252" s="105"/>
      <c r="G252" s="112">
        <v>746469247884</v>
      </c>
      <c r="H252" s="135">
        <v>9234501981</v>
      </c>
    </row>
    <row r="253" spans="1:11" ht="18.75" customHeight="1" x14ac:dyDescent="0.35">
      <c r="A253" s="99" t="s">
        <v>9448</v>
      </c>
      <c r="B253" s="99" t="s">
        <v>9449</v>
      </c>
      <c r="C253" t="s">
        <v>9450</v>
      </c>
      <c r="D253" s="105">
        <v>29204</v>
      </c>
      <c r="E253" s="105"/>
      <c r="F253" s="105">
        <v>44743</v>
      </c>
      <c r="H253" s="135">
        <v>9835970660</v>
      </c>
    </row>
    <row r="254" spans="1:11" ht="18.75" customHeight="1" x14ac:dyDescent="0.35">
      <c r="A254" s="546" t="s">
        <v>11226</v>
      </c>
      <c r="B254" s="99" t="s">
        <v>11227</v>
      </c>
      <c r="C254" s="107" t="s">
        <v>11228</v>
      </c>
      <c r="D254" s="105">
        <v>28583</v>
      </c>
      <c r="E254" s="105"/>
      <c r="F254" s="105">
        <v>46194</v>
      </c>
      <c r="G254" s="112"/>
      <c r="H254" s="135">
        <v>9234478780</v>
      </c>
    </row>
    <row r="255" spans="1:11" ht="18.75" customHeight="1" x14ac:dyDescent="0.35">
      <c r="A255" s="99" t="s">
        <v>11326</v>
      </c>
      <c r="B255" s="99" t="s">
        <v>11327</v>
      </c>
      <c r="C255" s="107" t="s">
        <v>11328</v>
      </c>
      <c r="D255" s="105">
        <v>26299</v>
      </c>
      <c r="E255" s="105"/>
      <c r="F255" s="105">
        <v>46223</v>
      </c>
      <c r="H255" s="135">
        <v>7209758427</v>
      </c>
    </row>
    <row r="256" spans="1:11" ht="18.75" customHeight="1" x14ac:dyDescent="0.35">
      <c r="A256" s="99" t="s">
        <v>9956</v>
      </c>
      <c r="B256" s="99" t="s">
        <v>9957</v>
      </c>
      <c r="C256" s="107" t="s">
        <v>9958</v>
      </c>
      <c r="F256" s="105">
        <v>46217</v>
      </c>
      <c r="H256" s="135">
        <v>9934173596</v>
      </c>
      <c r="I256" s="145">
        <v>5650</v>
      </c>
    </row>
    <row r="257" spans="1:10" ht="18.75" customHeight="1" x14ac:dyDescent="0.35">
      <c r="A257" s="99" t="s">
        <v>9445</v>
      </c>
      <c r="B257" s="99" t="s">
        <v>9446</v>
      </c>
      <c r="C257" s="319" t="s">
        <v>9447</v>
      </c>
      <c r="F257" s="105">
        <v>45118</v>
      </c>
      <c r="H257" s="135">
        <v>8809659800</v>
      </c>
      <c r="I257" s="145">
        <v>3570</v>
      </c>
    </row>
    <row r="258" spans="1:10" ht="18.75" customHeight="1" x14ac:dyDescent="0.35">
      <c r="A258" s="15" t="s">
        <v>9443</v>
      </c>
      <c r="B258" s="15" t="s">
        <v>6352</v>
      </c>
      <c r="C258" s="15" t="s">
        <v>9444</v>
      </c>
      <c r="F258" s="105">
        <v>45829</v>
      </c>
      <c r="H258" s="137">
        <v>7979052016</v>
      </c>
      <c r="I258" s="145">
        <v>22910</v>
      </c>
    </row>
    <row r="259" spans="1:10" ht="18.75" customHeight="1" x14ac:dyDescent="0.35">
      <c r="A259" s="15" t="s">
        <v>9443</v>
      </c>
      <c r="B259" s="15" t="s">
        <v>6352</v>
      </c>
      <c r="C259" s="15" t="s">
        <v>9444</v>
      </c>
      <c r="F259" s="105">
        <v>45480</v>
      </c>
      <c r="H259" s="137">
        <v>7979052016</v>
      </c>
      <c r="I259" s="154">
        <v>18210</v>
      </c>
    </row>
    <row r="260" spans="1:10" ht="18.75" customHeight="1" x14ac:dyDescent="0.35">
      <c r="A260" s="15" t="s">
        <v>9443</v>
      </c>
      <c r="B260" s="15" t="s">
        <v>6352</v>
      </c>
      <c r="C260" s="15" t="s">
        <v>9444</v>
      </c>
      <c r="F260" s="105">
        <v>44773</v>
      </c>
      <c r="H260" s="137">
        <v>7979052016</v>
      </c>
      <c r="I260" s="145">
        <v>5480</v>
      </c>
    </row>
    <row r="261" spans="1:10" ht="18.75" customHeight="1" x14ac:dyDescent="0.35">
      <c r="A261" s="99" t="s">
        <v>11299</v>
      </c>
      <c r="B261" s="99" t="s">
        <v>11300</v>
      </c>
      <c r="C261" s="107" t="s">
        <v>11301</v>
      </c>
      <c r="D261" s="105">
        <v>29557</v>
      </c>
      <c r="E261" s="105"/>
      <c r="F261" s="105">
        <v>46219</v>
      </c>
      <c r="H261" s="135">
        <v>7764824331</v>
      </c>
    </row>
    <row r="262" spans="1:10" ht="18.75" customHeight="1" x14ac:dyDescent="0.35">
      <c r="A262" s="99" t="s">
        <v>9440</v>
      </c>
      <c r="B262" s="99" t="s">
        <v>9441</v>
      </c>
      <c r="C262" s="319" t="s">
        <v>9442</v>
      </c>
      <c r="F262" s="105">
        <v>45851</v>
      </c>
      <c r="H262" s="135">
        <v>9835575359</v>
      </c>
      <c r="J262" s="99">
        <v>400</v>
      </c>
    </row>
    <row r="263" spans="1:10" ht="18.75" customHeight="1" x14ac:dyDescent="0.35">
      <c r="A263" s="99" t="s">
        <v>9440</v>
      </c>
      <c r="B263" s="99" t="s">
        <v>9441</v>
      </c>
      <c r="C263" s="319" t="s">
        <v>9442</v>
      </c>
      <c r="F263" s="105">
        <v>45131</v>
      </c>
      <c r="H263" s="135">
        <v>9835575359</v>
      </c>
    </row>
    <row r="264" spans="1:10" ht="18.75" customHeight="1" x14ac:dyDescent="0.35">
      <c r="A264" s="99" t="s">
        <v>9440</v>
      </c>
      <c r="B264" s="99" t="s">
        <v>9441</v>
      </c>
      <c r="C264" s="319" t="s">
        <v>9442</v>
      </c>
      <c r="F264" s="105">
        <v>45131</v>
      </c>
      <c r="H264" s="135">
        <v>9835575359</v>
      </c>
      <c r="J264" s="99">
        <v>400</v>
      </c>
    </row>
    <row r="265" spans="1:10" ht="18.75" customHeight="1" x14ac:dyDescent="0.35">
      <c r="A265" s="15" t="s">
        <v>9437</v>
      </c>
      <c r="B265" s="15" t="s">
        <v>9438</v>
      </c>
      <c r="C265" s="319" t="s">
        <v>10006</v>
      </c>
      <c r="D265" s="87">
        <v>23416</v>
      </c>
      <c r="E265" s="87"/>
      <c r="F265" s="105">
        <v>45910</v>
      </c>
      <c r="G265" s="96">
        <v>500897133270</v>
      </c>
      <c r="H265" s="136">
        <v>9431345961</v>
      </c>
      <c r="I265" s="144"/>
    </row>
    <row r="266" spans="1:10" ht="18.75" customHeight="1" x14ac:dyDescent="0.35">
      <c r="A266" s="15" t="s">
        <v>9437</v>
      </c>
      <c r="B266" s="15" t="s">
        <v>9438</v>
      </c>
      <c r="C266" s="100" t="s">
        <v>9439</v>
      </c>
      <c r="D266" s="87">
        <v>23416</v>
      </c>
      <c r="E266" s="87"/>
      <c r="F266" s="105">
        <v>44743</v>
      </c>
      <c r="G266" s="96">
        <v>500897133270</v>
      </c>
      <c r="H266" s="136">
        <v>9431345961</v>
      </c>
      <c r="I266" s="144"/>
    </row>
    <row r="267" spans="1:10" ht="18.75" customHeight="1" x14ac:dyDescent="0.35">
      <c r="A267" s="99" t="s">
        <v>9434</v>
      </c>
      <c r="B267" s="99" t="s">
        <v>9435</v>
      </c>
      <c r="C267" s="319" t="s">
        <v>9436</v>
      </c>
      <c r="F267" s="105">
        <v>45464</v>
      </c>
      <c r="H267" s="135">
        <v>9546250592</v>
      </c>
      <c r="I267" s="145">
        <v>46230</v>
      </c>
    </row>
    <row r="268" spans="1:10" ht="18.75" customHeight="1" x14ac:dyDescent="0.35">
      <c r="A268" s="99" t="s">
        <v>9434</v>
      </c>
      <c r="B268" s="99" t="s">
        <v>9435</v>
      </c>
      <c r="C268" s="319" t="s">
        <v>9436</v>
      </c>
      <c r="F268" s="105">
        <v>45464</v>
      </c>
      <c r="H268" s="135">
        <v>9546250592</v>
      </c>
      <c r="I268" s="145">
        <v>46230</v>
      </c>
    </row>
    <row r="269" spans="1:10" ht="18.75" customHeight="1" x14ac:dyDescent="0.35">
      <c r="A269" s="99" t="s">
        <v>9434</v>
      </c>
      <c r="B269" s="99" t="s">
        <v>9435</v>
      </c>
      <c r="C269" s="107" t="s">
        <v>9436</v>
      </c>
      <c r="F269" s="105"/>
      <c r="H269" s="135">
        <v>9546250592</v>
      </c>
      <c r="I269" s="145">
        <v>46230</v>
      </c>
    </row>
    <row r="270" spans="1:10" ht="18.75" customHeight="1" x14ac:dyDescent="0.35">
      <c r="A270" s="140" t="s">
        <v>9432</v>
      </c>
      <c r="B270" s="99" t="s">
        <v>9363</v>
      </c>
      <c r="C270" s="319" t="s">
        <v>9433</v>
      </c>
      <c r="F270" s="105">
        <v>45127</v>
      </c>
      <c r="H270" s="135">
        <v>7004289437</v>
      </c>
      <c r="I270" s="145">
        <v>0</v>
      </c>
    </row>
    <row r="271" spans="1:10" ht="18.75" customHeight="1" x14ac:dyDescent="0.35">
      <c r="A271" s="99" t="s">
        <v>9926</v>
      </c>
      <c r="B271" s="99" t="s">
        <v>9927</v>
      </c>
      <c r="C271" s="107" t="s">
        <v>9928</v>
      </c>
      <c r="D271" s="105">
        <v>35049</v>
      </c>
      <c r="E271" s="105"/>
      <c r="F271" s="105">
        <v>45831</v>
      </c>
      <c r="H271" s="135">
        <v>6203311349</v>
      </c>
    </row>
    <row r="272" spans="1:10" ht="18.75" customHeight="1" x14ac:dyDescent="0.35">
      <c r="A272" s="99" t="s">
        <v>9431</v>
      </c>
      <c r="B272" s="99" t="s">
        <v>237</v>
      </c>
      <c r="C272" s="319" t="s">
        <v>9394</v>
      </c>
      <c r="D272" s="105">
        <v>26840</v>
      </c>
      <c r="E272" s="105"/>
      <c r="F272" s="87">
        <v>45496</v>
      </c>
      <c r="H272" s="135">
        <v>9430722368</v>
      </c>
      <c r="I272" s="145">
        <v>4040</v>
      </c>
    </row>
    <row r="273" spans="1:9" ht="18.75" customHeight="1" x14ac:dyDescent="0.35">
      <c r="A273" s="99" t="s">
        <v>9429</v>
      </c>
      <c r="B273" s="99" t="s">
        <v>9430</v>
      </c>
      <c r="C273" s="107" t="s">
        <v>11233</v>
      </c>
      <c r="D273" s="105">
        <v>26538</v>
      </c>
      <c r="E273" s="105"/>
      <c r="F273" s="105">
        <v>46196</v>
      </c>
      <c r="H273" s="135">
        <v>8797946237</v>
      </c>
    </row>
    <row r="274" spans="1:9" ht="18.75" customHeight="1" x14ac:dyDescent="0.35">
      <c r="A274" s="99" t="s">
        <v>11232</v>
      </c>
      <c r="G274" s="112"/>
      <c r="H274" s="135">
        <v>883504817</v>
      </c>
    </row>
    <row r="275" spans="1:9" ht="18.75" customHeight="1" x14ac:dyDescent="0.35">
      <c r="A275" s="99" t="s">
        <v>9426</v>
      </c>
      <c r="B275" s="99" t="s">
        <v>9427</v>
      </c>
      <c r="C275" s="319" t="s">
        <v>9428</v>
      </c>
      <c r="F275" s="105">
        <v>45480</v>
      </c>
      <c r="H275" s="135">
        <v>6203219058</v>
      </c>
      <c r="I275" s="145">
        <v>27470</v>
      </c>
    </row>
    <row r="276" spans="1:9" ht="18.75" customHeight="1" x14ac:dyDescent="0.35">
      <c r="A276" s="99" t="s">
        <v>11281</v>
      </c>
      <c r="B276" s="99" t="s">
        <v>11282</v>
      </c>
      <c r="C276" s="120" t="s">
        <v>11288</v>
      </c>
      <c r="F276" s="105">
        <v>46187</v>
      </c>
      <c r="G276" s="112"/>
      <c r="H276" s="135">
        <v>9234713354</v>
      </c>
    </row>
    <row r="277" spans="1:9" ht="18.75" customHeight="1" x14ac:dyDescent="0.35">
      <c r="A277" s="99" t="s">
        <v>9423</v>
      </c>
      <c r="B277" s="99" t="s">
        <v>9424</v>
      </c>
      <c r="C277" s="319" t="s">
        <v>9425</v>
      </c>
      <c r="D277" s="105">
        <v>30487</v>
      </c>
      <c r="E277" s="105"/>
      <c r="F277" s="105">
        <v>45453</v>
      </c>
      <c r="H277" s="135">
        <v>8789978416</v>
      </c>
    </row>
    <row r="278" spans="1:9" ht="18.75" customHeight="1" x14ac:dyDescent="0.35">
      <c r="A278" s="99" t="s">
        <v>9423</v>
      </c>
      <c r="B278" s="99" t="s">
        <v>9424</v>
      </c>
      <c r="C278" s="319" t="s">
        <v>9425</v>
      </c>
      <c r="D278" s="105">
        <v>30487</v>
      </c>
      <c r="E278" s="105"/>
      <c r="F278" s="105">
        <v>45080</v>
      </c>
      <c r="H278" s="135">
        <v>8789978416</v>
      </c>
    </row>
    <row r="279" spans="1:9" ht="18.75" customHeight="1" x14ac:dyDescent="0.35">
      <c r="A279" s="99" t="s">
        <v>9984</v>
      </c>
      <c r="H279" s="135">
        <v>9955465637</v>
      </c>
    </row>
    <row r="280" spans="1:9" ht="18.75" customHeight="1" x14ac:dyDescent="0.35">
      <c r="A280" s="99" t="s">
        <v>9420</v>
      </c>
      <c r="B280" s="99" t="s">
        <v>9421</v>
      </c>
      <c r="C280" s="319" t="s">
        <v>9422</v>
      </c>
      <c r="F280" s="105">
        <v>45475</v>
      </c>
      <c r="H280" s="135">
        <v>9123110454</v>
      </c>
      <c r="I280" s="145">
        <v>17550</v>
      </c>
    </row>
    <row r="281" spans="1:9" ht="18.75" customHeight="1" x14ac:dyDescent="0.35">
      <c r="A281" s="99" t="s">
        <v>9420</v>
      </c>
      <c r="B281" s="99" t="s">
        <v>9421</v>
      </c>
      <c r="C281" s="319" t="s">
        <v>9422</v>
      </c>
    </row>
    <row r="282" spans="1:9" ht="18.75" customHeight="1" x14ac:dyDescent="0.35">
      <c r="A282" s="99" t="s">
        <v>9418</v>
      </c>
      <c r="B282" s="99" t="s">
        <v>1414</v>
      </c>
      <c r="C282" s="107" t="s">
        <v>9419</v>
      </c>
      <c r="D282" s="105">
        <v>33671</v>
      </c>
      <c r="E282" s="105"/>
      <c r="I282" s="154"/>
    </row>
    <row r="283" spans="1:9" ht="18.75" customHeight="1" x14ac:dyDescent="0.35">
      <c r="A283" s="99" t="s">
        <v>9416</v>
      </c>
      <c r="B283" s="99" t="s">
        <v>4671</v>
      </c>
      <c r="C283" t="s">
        <v>9417</v>
      </c>
      <c r="D283" s="105">
        <v>27091</v>
      </c>
      <c r="E283" s="105"/>
      <c r="F283" s="105">
        <v>44743</v>
      </c>
      <c r="H283" s="135">
        <v>7909087990</v>
      </c>
    </row>
    <row r="284" spans="1:9" ht="18.75" customHeight="1" x14ac:dyDescent="0.35">
      <c r="A284" s="99" t="s">
        <v>9413</v>
      </c>
      <c r="B284" s="99" t="s">
        <v>9414</v>
      </c>
      <c r="C284" s="107" t="s">
        <v>9415</v>
      </c>
      <c r="F284" s="105">
        <v>45463</v>
      </c>
      <c r="H284" s="135">
        <v>9234117596</v>
      </c>
      <c r="I284" s="145">
        <v>27950</v>
      </c>
    </row>
    <row r="285" spans="1:9" ht="18.75" customHeight="1" x14ac:dyDescent="0.35">
      <c r="A285" s="15" t="s">
        <v>9410</v>
      </c>
      <c r="B285" s="15" t="s">
        <v>9411</v>
      </c>
      <c r="C285" s="100" t="s">
        <v>9412</v>
      </c>
      <c r="D285" s="87">
        <v>29530</v>
      </c>
      <c r="E285" s="87"/>
      <c r="F285" s="87">
        <v>46198</v>
      </c>
      <c r="H285" s="135">
        <v>9308457927</v>
      </c>
      <c r="I285" s="145">
        <v>3900</v>
      </c>
    </row>
    <row r="286" spans="1:9" ht="18.75" customHeight="1" x14ac:dyDescent="0.35">
      <c r="A286" s="99" t="s">
        <v>9938</v>
      </c>
      <c r="B286" s="99" t="s">
        <v>9939</v>
      </c>
      <c r="C286" s="319" t="s">
        <v>9940</v>
      </c>
      <c r="D286" s="105">
        <v>28261</v>
      </c>
      <c r="E286" s="105"/>
      <c r="F286" s="105">
        <v>46184</v>
      </c>
      <c r="I286" s="145">
        <v>19500</v>
      </c>
    </row>
    <row r="287" spans="1:9" ht="18.75" customHeight="1" x14ac:dyDescent="0.35">
      <c r="A287" s="99" t="s">
        <v>9938</v>
      </c>
      <c r="B287" s="99" t="s">
        <v>9939</v>
      </c>
      <c r="C287" s="319" t="s">
        <v>9940</v>
      </c>
      <c r="D287" s="105">
        <v>28261</v>
      </c>
      <c r="E287" s="105"/>
      <c r="F287" s="105">
        <v>46204</v>
      </c>
      <c r="I287" s="145">
        <v>21200</v>
      </c>
    </row>
    <row r="288" spans="1:9" ht="18.75" customHeight="1" x14ac:dyDescent="0.35">
      <c r="A288" s="99" t="s">
        <v>9407</v>
      </c>
      <c r="B288" s="99" t="s">
        <v>9408</v>
      </c>
      <c r="C288" s="319" t="s">
        <v>9409</v>
      </c>
      <c r="F288" s="105">
        <v>45134</v>
      </c>
      <c r="H288" s="135">
        <v>7889664213</v>
      </c>
    </row>
    <row r="289" spans="1:10" ht="18.75" customHeight="1" x14ac:dyDescent="0.35">
      <c r="A289" s="99" t="s">
        <v>9989</v>
      </c>
      <c r="B289" s="99" t="s">
        <v>9990</v>
      </c>
      <c r="C289" s="107" t="s">
        <v>9991</v>
      </c>
      <c r="F289" s="105">
        <v>45881</v>
      </c>
      <c r="H289" s="135">
        <v>8271162032</v>
      </c>
    </row>
    <row r="290" spans="1:10" ht="18.75" customHeight="1" x14ac:dyDescent="0.35">
      <c r="A290" s="99" t="s">
        <v>9404</v>
      </c>
      <c r="B290" s="99" t="s">
        <v>9405</v>
      </c>
      <c r="C290" s="107" t="s">
        <v>9406</v>
      </c>
      <c r="D290" s="105"/>
      <c r="E290" s="105"/>
      <c r="F290" s="105">
        <v>46219</v>
      </c>
      <c r="H290" s="135">
        <v>9031399090</v>
      </c>
      <c r="J290" s="15"/>
    </row>
    <row r="291" spans="1:10" ht="18.75" customHeight="1" x14ac:dyDescent="0.35">
      <c r="A291" s="99" t="s">
        <v>9401</v>
      </c>
      <c r="B291" s="99" t="s">
        <v>9402</v>
      </c>
      <c r="C291" s="107" t="s">
        <v>9403</v>
      </c>
    </row>
    <row r="292" spans="1:10" ht="18.75" customHeight="1" x14ac:dyDescent="0.35">
      <c r="A292" s="99" t="s">
        <v>9398</v>
      </c>
      <c r="B292" s="99" t="s">
        <v>9399</v>
      </c>
      <c r="C292" s="107" t="s">
        <v>9400</v>
      </c>
      <c r="F292" s="105">
        <v>45486</v>
      </c>
      <c r="I292" s="145">
        <v>10000</v>
      </c>
    </row>
    <row r="293" spans="1:10" ht="18.75" customHeight="1" x14ac:dyDescent="0.35">
      <c r="A293" s="99" t="s">
        <v>9398</v>
      </c>
      <c r="B293" s="99" t="s">
        <v>9399</v>
      </c>
      <c r="C293" s="120" t="s">
        <v>9400</v>
      </c>
      <c r="F293" s="105"/>
      <c r="I293" s="145">
        <v>10000</v>
      </c>
    </row>
    <row r="294" spans="1:10" ht="18.75" customHeight="1" x14ac:dyDescent="0.35">
      <c r="A294" s="99" t="s">
        <v>9395</v>
      </c>
      <c r="B294" s="99" t="s">
        <v>9396</v>
      </c>
      <c r="C294" s="107" t="s">
        <v>9397</v>
      </c>
      <c r="F294" s="105">
        <v>46219</v>
      </c>
    </row>
    <row r="295" spans="1:10" ht="18.75" customHeight="1" x14ac:dyDescent="0.35">
      <c r="A295" s="99" t="s">
        <v>9903</v>
      </c>
      <c r="B295" s="99" t="s">
        <v>7583</v>
      </c>
      <c r="C295" s="99" t="s">
        <v>9904</v>
      </c>
      <c r="F295" s="105">
        <v>46190</v>
      </c>
      <c r="G295" s="104">
        <v>9031353035</v>
      </c>
      <c r="H295" s="135">
        <v>7979937834</v>
      </c>
    </row>
    <row r="296" spans="1:10" ht="18.75" customHeight="1" x14ac:dyDescent="0.35">
      <c r="A296" s="99" t="s">
        <v>9392</v>
      </c>
      <c r="B296" s="99" t="s">
        <v>9393</v>
      </c>
      <c r="C296" s="319" t="s">
        <v>9394</v>
      </c>
      <c r="D296" s="105">
        <v>27703</v>
      </c>
      <c r="E296" s="105"/>
      <c r="F296" s="87">
        <v>46194</v>
      </c>
      <c r="H296" s="135">
        <v>8521411224</v>
      </c>
    </row>
    <row r="297" spans="1:10" ht="18.75" customHeight="1" x14ac:dyDescent="0.35">
      <c r="A297" s="15" t="s">
        <v>9389</v>
      </c>
      <c r="B297" s="15" t="s">
        <v>9390</v>
      </c>
      <c r="C297" s="100" t="s">
        <v>9391</v>
      </c>
      <c r="D297" s="87">
        <v>26665</v>
      </c>
      <c r="E297" s="87"/>
      <c r="F297" s="105">
        <v>44743</v>
      </c>
      <c r="G297" s="96"/>
    </row>
    <row r="298" spans="1:10" ht="18.75" customHeight="1" x14ac:dyDescent="0.35">
      <c r="A298" s="15" t="s">
        <v>9387</v>
      </c>
      <c r="B298" s="15" t="s">
        <v>4013</v>
      </c>
      <c r="C298" s="100" t="s">
        <v>9388</v>
      </c>
      <c r="D298" s="87">
        <v>33668</v>
      </c>
      <c r="E298" s="87"/>
      <c r="F298" s="105">
        <v>44743</v>
      </c>
      <c r="G298" s="96"/>
    </row>
    <row r="299" spans="1:10" ht="18.75" customHeight="1" x14ac:dyDescent="0.35">
      <c r="A299" s="99" t="s">
        <v>9384</v>
      </c>
      <c r="B299" s="99" t="s">
        <v>9385</v>
      </c>
      <c r="C299" s="107" t="s">
        <v>9386</v>
      </c>
      <c r="D299" s="105"/>
      <c r="E299" s="105"/>
      <c r="F299" s="105">
        <v>45921</v>
      </c>
      <c r="H299" s="135">
        <v>8051068088</v>
      </c>
      <c r="I299" s="145">
        <v>0</v>
      </c>
    </row>
    <row r="300" spans="1:10" ht="18.75" customHeight="1" x14ac:dyDescent="0.35">
      <c r="A300" s="99" t="s">
        <v>9384</v>
      </c>
      <c r="B300" s="99" t="s">
        <v>9385</v>
      </c>
      <c r="C300" s="107" t="s">
        <v>9386</v>
      </c>
      <c r="D300" s="105">
        <v>26299</v>
      </c>
      <c r="E300" s="105"/>
      <c r="F300" s="105">
        <v>45128</v>
      </c>
      <c r="H300" s="135">
        <v>8051068088</v>
      </c>
      <c r="I300" s="145">
        <v>0</v>
      </c>
    </row>
    <row r="301" spans="1:10" ht="18.75" customHeight="1" x14ac:dyDescent="0.35">
      <c r="A301" s="99" t="s">
        <v>9384</v>
      </c>
      <c r="B301" s="99" t="s">
        <v>9385</v>
      </c>
      <c r="C301" s="107" t="s">
        <v>9386</v>
      </c>
      <c r="D301" s="105">
        <v>26299</v>
      </c>
      <c r="E301" s="105"/>
      <c r="F301" s="105"/>
      <c r="H301" s="135">
        <v>8051068088</v>
      </c>
      <c r="I301" s="145">
        <v>0</v>
      </c>
    </row>
    <row r="302" spans="1:10" ht="18.75" customHeight="1" x14ac:dyDescent="0.35">
      <c r="A302" s="99" t="s">
        <v>9381</v>
      </c>
      <c r="B302" s="99" t="s">
        <v>9382</v>
      </c>
      <c r="C302" s="319" t="s">
        <v>9383</v>
      </c>
      <c r="D302" s="105">
        <v>27445</v>
      </c>
      <c r="E302" s="105"/>
    </row>
    <row r="303" spans="1:10" ht="18.75" customHeight="1" x14ac:dyDescent="0.35">
      <c r="A303" s="15" t="s">
        <v>9377</v>
      </c>
      <c r="B303" s="15" t="s">
        <v>9378</v>
      </c>
      <c r="C303" s="319" t="s">
        <v>9380</v>
      </c>
      <c r="F303" s="105">
        <v>45486</v>
      </c>
    </row>
    <row r="304" spans="1:10" ht="18.75" customHeight="1" x14ac:dyDescent="0.35">
      <c r="A304" s="15" t="s">
        <v>9377</v>
      </c>
      <c r="B304" s="15" t="s">
        <v>9378</v>
      </c>
      <c r="C304" s="142" t="s">
        <v>9379</v>
      </c>
      <c r="F304" s="105">
        <v>44743</v>
      </c>
    </row>
    <row r="305" spans="1:10" ht="18.75" customHeight="1" x14ac:dyDescent="0.35">
      <c r="A305" s="99" t="s">
        <v>11338</v>
      </c>
      <c r="B305" s="99" t="s">
        <v>11339</v>
      </c>
      <c r="C305" s="107" t="s">
        <v>11340</v>
      </c>
      <c r="D305" s="105">
        <v>24129</v>
      </c>
      <c r="E305" s="105"/>
      <c r="F305" s="105">
        <v>46224</v>
      </c>
      <c r="H305" s="135">
        <v>8797784940</v>
      </c>
    </row>
    <row r="306" spans="1:10" ht="18.75" customHeight="1" x14ac:dyDescent="0.35">
      <c r="A306" s="99" t="s">
        <v>9374</v>
      </c>
      <c r="B306" s="99" t="s">
        <v>9375</v>
      </c>
      <c r="C306" s="319" t="s">
        <v>9376</v>
      </c>
      <c r="F306" s="105">
        <v>45105</v>
      </c>
      <c r="H306" s="135">
        <v>9955980111</v>
      </c>
      <c r="I306" s="145">
        <v>7360</v>
      </c>
    </row>
    <row r="307" spans="1:10" ht="18.75" customHeight="1" x14ac:dyDescent="0.35">
      <c r="A307" s="99" t="s">
        <v>9374</v>
      </c>
      <c r="B307" s="99" t="s">
        <v>9375</v>
      </c>
      <c r="C307" s="319" t="s">
        <v>9376</v>
      </c>
      <c r="F307" s="105">
        <v>45105</v>
      </c>
      <c r="H307" s="135">
        <v>9955980111</v>
      </c>
      <c r="I307" s="145">
        <v>7360</v>
      </c>
    </row>
    <row r="308" spans="1:10" ht="18.75" customHeight="1" x14ac:dyDescent="0.35">
      <c r="A308" s="99" t="s">
        <v>9371</v>
      </c>
      <c r="B308" s="99" t="s">
        <v>9372</v>
      </c>
      <c r="C308" s="319" t="s">
        <v>9373</v>
      </c>
      <c r="D308" s="105">
        <v>31871</v>
      </c>
      <c r="E308" s="105"/>
      <c r="F308" s="105">
        <v>45499</v>
      </c>
      <c r="H308" s="135">
        <v>9939269748</v>
      </c>
      <c r="I308" s="145">
        <v>0</v>
      </c>
    </row>
    <row r="309" spans="1:10" ht="18.75" customHeight="1" x14ac:dyDescent="0.35">
      <c r="A309" s="101" t="s">
        <v>9368</v>
      </c>
      <c r="B309" s="15" t="s">
        <v>9369</v>
      </c>
      <c r="C309" s="15" t="s">
        <v>9370</v>
      </c>
      <c r="F309" s="105">
        <v>44743</v>
      </c>
    </row>
    <row r="310" spans="1:10" ht="18.75" customHeight="1" x14ac:dyDescent="0.35">
      <c r="A310" s="99" t="s">
        <v>9874</v>
      </c>
      <c r="B310" s="99" t="s">
        <v>9875</v>
      </c>
      <c r="C310" s="319" t="s">
        <v>9876</v>
      </c>
      <c r="F310" s="105">
        <v>45910</v>
      </c>
      <c r="G310" s="112"/>
      <c r="H310" s="135">
        <v>8789492258</v>
      </c>
    </row>
    <row r="311" spans="1:10" ht="18.75" customHeight="1" x14ac:dyDescent="0.35">
      <c r="A311" s="99" t="s">
        <v>9874</v>
      </c>
      <c r="B311" s="99" t="s">
        <v>9875</v>
      </c>
      <c r="C311" s="319" t="s">
        <v>9876</v>
      </c>
      <c r="F311" s="105">
        <v>45589</v>
      </c>
      <c r="G311" s="112"/>
      <c r="H311" s="135">
        <v>8789492258</v>
      </c>
    </row>
    <row r="312" spans="1:10" ht="18.75" customHeight="1" x14ac:dyDescent="0.35">
      <c r="A312" s="99" t="s">
        <v>9365</v>
      </c>
      <c r="B312" s="99" t="s">
        <v>9366</v>
      </c>
      <c r="C312" s="99" t="s">
        <v>9367</v>
      </c>
      <c r="F312" s="105">
        <v>45097</v>
      </c>
    </row>
    <row r="313" spans="1:10" ht="18.75" customHeight="1" x14ac:dyDescent="0.35">
      <c r="A313" s="15" t="s">
        <v>9362</v>
      </c>
      <c r="B313" s="15" t="s">
        <v>9363</v>
      </c>
      <c r="C313" s="322" t="s">
        <v>9364</v>
      </c>
      <c r="D313" s="105">
        <v>28906</v>
      </c>
      <c r="E313" s="105"/>
      <c r="F313" s="105">
        <v>44743</v>
      </c>
      <c r="H313" s="137">
        <v>6295717297</v>
      </c>
    </row>
    <row r="314" spans="1:10" ht="18.75" customHeight="1" x14ac:dyDescent="0.35">
      <c r="A314" s="99" t="s">
        <v>9359</v>
      </c>
      <c r="B314" s="99" t="s">
        <v>9360</v>
      </c>
      <c r="C314" s="319" t="s">
        <v>9361</v>
      </c>
      <c r="D314" s="105">
        <v>27139</v>
      </c>
      <c r="E314" s="105"/>
      <c r="F314" s="105">
        <v>45096</v>
      </c>
      <c r="H314" s="135">
        <v>6205100363</v>
      </c>
      <c r="I314" s="145">
        <v>5380</v>
      </c>
    </row>
    <row r="315" spans="1:10" ht="18.75" customHeight="1" x14ac:dyDescent="0.35">
      <c r="A315" s="99" t="s">
        <v>9357</v>
      </c>
      <c r="B315" s="99" t="s">
        <v>3555</v>
      </c>
      <c r="C315" s="107" t="s">
        <v>11310</v>
      </c>
      <c r="F315" s="105">
        <v>46222</v>
      </c>
    </row>
    <row r="316" spans="1:10" ht="18.75" customHeight="1" x14ac:dyDescent="0.35">
      <c r="A316" s="99" t="s">
        <v>9357</v>
      </c>
      <c r="B316" s="99" t="s">
        <v>3555</v>
      </c>
      <c r="C316" s="99" t="s">
        <v>9358</v>
      </c>
      <c r="F316" s="105">
        <v>45494</v>
      </c>
    </row>
    <row r="317" spans="1:10" ht="18.75" customHeight="1" x14ac:dyDescent="0.35">
      <c r="A317" s="99" t="s">
        <v>9353</v>
      </c>
      <c r="B317" s="99" t="s">
        <v>9354</v>
      </c>
      <c r="C317" s="107" t="s">
        <v>11312</v>
      </c>
      <c r="F317" s="105">
        <v>46222</v>
      </c>
    </row>
    <row r="318" spans="1:10" ht="18.75" customHeight="1" x14ac:dyDescent="0.35">
      <c r="A318" s="99" t="s">
        <v>9353</v>
      </c>
      <c r="B318" s="99" t="s">
        <v>9354</v>
      </c>
      <c r="C318" s="107" t="s">
        <v>9356</v>
      </c>
      <c r="F318" s="105">
        <v>45458</v>
      </c>
    </row>
    <row r="319" spans="1:10" ht="18.75" customHeight="1" x14ac:dyDescent="0.35">
      <c r="A319" s="99" t="s">
        <v>9353</v>
      </c>
      <c r="B319" s="99" t="s">
        <v>9354</v>
      </c>
      <c r="C319" s="107" t="s">
        <v>9355</v>
      </c>
      <c r="F319" s="87">
        <v>45134</v>
      </c>
      <c r="H319" s="135">
        <v>9031734009</v>
      </c>
    </row>
    <row r="320" spans="1:10" ht="18.75" customHeight="1" x14ac:dyDescent="0.35">
      <c r="A320" s="99" t="s">
        <v>9349</v>
      </c>
      <c r="B320" s="99" t="s">
        <v>9350</v>
      </c>
      <c r="C320" s="319" t="s">
        <v>11329</v>
      </c>
      <c r="D320" s="105">
        <v>28859</v>
      </c>
      <c r="E320" s="105"/>
      <c r="F320" s="87">
        <v>46223</v>
      </c>
      <c r="G320" s="112">
        <v>596020707724</v>
      </c>
      <c r="H320" s="135">
        <v>7004519122</v>
      </c>
      <c r="J320" s="15"/>
    </row>
    <row r="321" spans="1:11" ht="18.75" customHeight="1" x14ac:dyDescent="0.35">
      <c r="A321" s="99" t="s">
        <v>9349</v>
      </c>
      <c r="B321" s="99" t="s">
        <v>9350</v>
      </c>
      <c r="C321" s="319" t="s">
        <v>9351</v>
      </c>
      <c r="D321" s="105">
        <v>28859</v>
      </c>
      <c r="E321" s="105"/>
      <c r="F321" s="105">
        <v>45136</v>
      </c>
      <c r="G321" s="112">
        <v>596020707724</v>
      </c>
      <c r="H321" s="135">
        <v>7004519122</v>
      </c>
    </row>
    <row r="322" spans="1:11" ht="18.75" customHeight="1" x14ac:dyDescent="0.35">
      <c r="A322" s="99" t="s">
        <v>9349</v>
      </c>
      <c r="B322" s="99" t="s">
        <v>9350</v>
      </c>
      <c r="C322" s="120" t="s">
        <v>9351</v>
      </c>
      <c r="D322" s="105">
        <v>28859</v>
      </c>
      <c r="E322" s="105"/>
      <c r="F322" s="105"/>
      <c r="G322" s="112">
        <v>596020707724</v>
      </c>
      <c r="H322" s="135">
        <v>7004519122</v>
      </c>
      <c r="K322" s="104">
        <v>3</v>
      </c>
    </row>
    <row r="323" spans="1:11" ht="18.75" customHeight="1" x14ac:dyDescent="0.35">
      <c r="A323" s="99" t="s">
        <v>9346</v>
      </c>
      <c r="B323" s="99" t="s">
        <v>9347</v>
      </c>
      <c r="C323" t="s">
        <v>9348</v>
      </c>
      <c r="D323" s="105">
        <v>25102</v>
      </c>
      <c r="E323" s="105"/>
      <c r="F323" s="105">
        <v>45120</v>
      </c>
      <c r="H323" s="135">
        <v>8797178310</v>
      </c>
      <c r="I323" s="145">
        <v>1050</v>
      </c>
    </row>
    <row r="324" spans="1:11" ht="18.75" customHeight="1" x14ac:dyDescent="0.35">
      <c r="A324" s="99" t="s">
        <v>9343</v>
      </c>
      <c r="B324" s="99" t="s">
        <v>9344</v>
      </c>
      <c r="C324" s="99" t="s">
        <v>9345</v>
      </c>
      <c r="D324" s="105">
        <v>29174</v>
      </c>
      <c r="E324" s="105"/>
      <c r="F324" s="105">
        <v>45464</v>
      </c>
      <c r="H324" s="135">
        <v>8210876461</v>
      </c>
    </row>
    <row r="325" spans="1:11" ht="18.75" customHeight="1" x14ac:dyDescent="0.35">
      <c r="A325" s="99" t="s">
        <v>9343</v>
      </c>
      <c r="B325" s="99" t="s">
        <v>9344</v>
      </c>
      <c r="C325" s="99" t="s">
        <v>9345</v>
      </c>
      <c r="D325" s="105">
        <v>29174</v>
      </c>
      <c r="E325" s="105"/>
      <c r="F325" s="105">
        <v>45127</v>
      </c>
      <c r="H325" s="135">
        <v>8210876461</v>
      </c>
    </row>
    <row r="326" spans="1:11" ht="18.75" customHeight="1" x14ac:dyDescent="0.35">
      <c r="A326" s="99" t="s">
        <v>9343</v>
      </c>
      <c r="B326" s="99" t="s">
        <v>9344</v>
      </c>
      <c r="C326" s="99" t="s">
        <v>9345</v>
      </c>
      <c r="D326" s="105">
        <v>29174</v>
      </c>
      <c r="E326" s="105"/>
      <c r="F326" s="105"/>
      <c r="H326" s="135">
        <v>8210876461</v>
      </c>
    </row>
    <row r="327" spans="1:11" ht="18.75" customHeight="1" x14ac:dyDescent="0.35">
      <c r="A327" s="99" t="s">
        <v>9343</v>
      </c>
      <c r="B327" s="99" t="s">
        <v>9344</v>
      </c>
      <c r="C327" s="99" t="s">
        <v>9345</v>
      </c>
      <c r="D327" s="105">
        <v>29174</v>
      </c>
      <c r="E327" s="105"/>
      <c r="F327" s="105"/>
      <c r="H327" s="135">
        <v>8210876461</v>
      </c>
    </row>
    <row r="328" spans="1:11" ht="18.75" customHeight="1" x14ac:dyDescent="0.35">
      <c r="A328" s="99" t="s">
        <v>9935</v>
      </c>
      <c r="B328" s="99" t="s">
        <v>9936</v>
      </c>
      <c r="D328" s="105">
        <v>23389</v>
      </c>
      <c r="E328" s="105"/>
      <c r="F328" s="105">
        <v>45839</v>
      </c>
    </row>
    <row r="329" spans="1:11" ht="18.75" customHeight="1" x14ac:dyDescent="0.35">
      <c r="A329" s="99" t="s">
        <v>9341</v>
      </c>
      <c r="B329" s="99" t="s">
        <v>9342</v>
      </c>
      <c r="C329" s="99" t="s">
        <v>9329</v>
      </c>
      <c r="F329" s="105">
        <v>44743</v>
      </c>
      <c r="H329" s="135">
        <v>9431953562</v>
      </c>
    </row>
    <row r="330" spans="1:11" ht="18.75" customHeight="1" x14ac:dyDescent="0.35">
      <c r="A330" s="15" t="s">
        <v>9338</v>
      </c>
      <c r="B330" s="15" t="s">
        <v>9339</v>
      </c>
      <c r="C330" s="100" t="s">
        <v>9340</v>
      </c>
      <c r="D330" s="87">
        <v>30301</v>
      </c>
      <c r="E330" s="87"/>
      <c r="F330" s="105">
        <v>44743</v>
      </c>
      <c r="G330" s="96">
        <v>311043095182</v>
      </c>
      <c r="H330" s="136">
        <v>7903634461</v>
      </c>
      <c r="I330" s="144"/>
    </row>
    <row r="331" spans="1:11" ht="18.75" customHeight="1" x14ac:dyDescent="0.35">
      <c r="A331" s="15" t="s">
        <v>9336</v>
      </c>
      <c r="B331" s="15" t="s">
        <v>2576</v>
      </c>
      <c r="C331" s="100" t="s">
        <v>9337</v>
      </c>
      <c r="D331" s="87">
        <v>34770</v>
      </c>
      <c r="E331" s="87"/>
      <c r="F331" s="105">
        <v>44743</v>
      </c>
      <c r="G331" s="96">
        <v>341564678480</v>
      </c>
      <c r="H331" s="137">
        <v>6203684208</v>
      </c>
      <c r="I331" s="144"/>
    </row>
    <row r="332" spans="1:11" ht="18.75" customHeight="1" x14ac:dyDescent="0.35">
      <c r="A332" s="99" t="s">
        <v>9333</v>
      </c>
      <c r="B332" s="99" t="s">
        <v>9334</v>
      </c>
      <c r="C332" s="107" t="s">
        <v>9335</v>
      </c>
      <c r="F332" s="105">
        <v>44767</v>
      </c>
      <c r="H332" s="135">
        <v>9028327454</v>
      </c>
    </row>
    <row r="333" spans="1:11" ht="18.75" customHeight="1" x14ac:dyDescent="0.35">
      <c r="A333" s="99" t="s">
        <v>9330</v>
      </c>
      <c r="B333" s="99" t="s">
        <v>9331</v>
      </c>
      <c r="C333" s="99" t="s">
        <v>9332</v>
      </c>
      <c r="F333" s="105">
        <v>44743</v>
      </c>
      <c r="H333" s="135">
        <v>8709475008</v>
      </c>
      <c r="J333" s="99">
        <v>200</v>
      </c>
    </row>
    <row r="334" spans="1:11" ht="18.75" customHeight="1" x14ac:dyDescent="0.35">
      <c r="A334" s="99" t="s">
        <v>9327</v>
      </c>
      <c r="B334" s="99" t="s">
        <v>9328</v>
      </c>
      <c r="C334" s="99" t="s">
        <v>9329</v>
      </c>
      <c r="F334" s="105">
        <v>44743</v>
      </c>
      <c r="H334" s="135">
        <v>9204258430</v>
      </c>
      <c r="J334" s="99">
        <v>200</v>
      </c>
    </row>
    <row r="335" spans="1:11" ht="18.75" customHeight="1" x14ac:dyDescent="0.35">
      <c r="A335" s="99" t="s">
        <v>9324</v>
      </c>
      <c r="B335" s="99" t="s">
        <v>9325</v>
      </c>
      <c r="C335" s="99" t="s">
        <v>9326</v>
      </c>
      <c r="D335" s="105">
        <v>27395</v>
      </c>
      <c r="E335" s="105"/>
      <c r="F335" s="105">
        <v>44743</v>
      </c>
      <c r="H335" s="135">
        <v>6200186843</v>
      </c>
    </row>
    <row r="336" spans="1:11" ht="18.75" customHeight="1" x14ac:dyDescent="0.35">
      <c r="A336" s="99" t="s">
        <v>9973</v>
      </c>
      <c r="J336" s="99">
        <v>300</v>
      </c>
      <c r="K336" s="104" t="s">
        <v>9267</v>
      </c>
    </row>
    <row r="337" spans="1:11" ht="18.75" customHeight="1" x14ac:dyDescent="0.35">
      <c r="A337" s="99" t="s">
        <v>9321</v>
      </c>
      <c r="B337" s="99" t="s">
        <v>9322</v>
      </c>
      <c r="C337" s="99" t="s">
        <v>9323</v>
      </c>
      <c r="F337" s="105">
        <v>44743</v>
      </c>
      <c r="H337" s="135">
        <v>9199250421</v>
      </c>
      <c r="J337" s="99">
        <v>300</v>
      </c>
      <c r="K337" s="104" t="s">
        <v>9267</v>
      </c>
    </row>
    <row r="338" spans="1:11" ht="18.75" customHeight="1" x14ac:dyDescent="0.35">
      <c r="A338" s="99" t="s">
        <v>9929</v>
      </c>
      <c r="B338" s="99" t="s">
        <v>9930</v>
      </c>
      <c r="C338" s="319" t="s">
        <v>9931</v>
      </c>
      <c r="F338" s="105">
        <v>45831</v>
      </c>
      <c r="I338" s="145">
        <v>18000</v>
      </c>
      <c r="K338" s="104" t="s">
        <v>9267</v>
      </c>
    </row>
    <row r="339" spans="1:11" ht="18.75" customHeight="1" x14ac:dyDescent="0.35">
      <c r="A339" s="99" t="s">
        <v>9996</v>
      </c>
      <c r="B339" s="99" t="s">
        <v>9997</v>
      </c>
      <c r="C339" s="107" t="s">
        <v>11315</v>
      </c>
      <c r="F339" s="105">
        <v>45894</v>
      </c>
      <c r="H339" s="135">
        <v>7004855534</v>
      </c>
    </row>
    <row r="340" spans="1:11" ht="18.75" customHeight="1" x14ac:dyDescent="0.35">
      <c r="A340" s="15" t="s">
        <v>9317</v>
      </c>
      <c r="B340" s="15" t="s">
        <v>9318</v>
      </c>
      <c r="C340" s="141" t="s">
        <v>9319</v>
      </c>
      <c r="D340" s="87">
        <v>32666</v>
      </c>
      <c r="E340" s="87"/>
      <c r="F340" s="105">
        <v>44743</v>
      </c>
      <c r="G340" s="96">
        <v>785214127251</v>
      </c>
      <c r="H340" s="137" t="s">
        <v>9320</v>
      </c>
      <c r="I340" s="144"/>
    </row>
    <row r="341" spans="1:11" ht="18.75" customHeight="1" x14ac:dyDescent="0.35">
      <c r="A341" s="99" t="s">
        <v>9890</v>
      </c>
      <c r="B341" s="99" t="s">
        <v>9891</v>
      </c>
      <c r="C341" s="107" t="s">
        <v>9892</v>
      </c>
      <c r="D341" s="105">
        <v>34072</v>
      </c>
      <c r="E341" s="105"/>
      <c r="F341" s="105">
        <v>45817</v>
      </c>
      <c r="G341" s="104">
        <v>700008480198</v>
      </c>
      <c r="H341" s="135">
        <v>7979961402</v>
      </c>
    </row>
    <row r="342" spans="1:11" ht="18.75" customHeight="1" x14ac:dyDescent="0.35">
      <c r="A342" s="99" t="s">
        <v>9315</v>
      </c>
      <c r="C342" s="319" t="s">
        <v>9316</v>
      </c>
      <c r="F342" s="105">
        <v>45135</v>
      </c>
      <c r="H342" s="135">
        <v>8235429755</v>
      </c>
      <c r="J342" s="99">
        <v>500</v>
      </c>
    </row>
    <row r="343" spans="1:11" ht="18.75" customHeight="1" x14ac:dyDescent="0.35">
      <c r="A343" s="99" t="s">
        <v>9315</v>
      </c>
      <c r="C343" s="319" t="s">
        <v>9316</v>
      </c>
      <c r="F343" s="105">
        <v>45135</v>
      </c>
      <c r="H343" s="135">
        <v>8235429755</v>
      </c>
      <c r="J343" s="99">
        <v>300</v>
      </c>
    </row>
    <row r="344" spans="1:11" ht="18.75" customHeight="1" x14ac:dyDescent="0.35">
      <c r="A344" s="99" t="s">
        <v>9315</v>
      </c>
      <c r="B344" s="99" t="s">
        <v>10009</v>
      </c>
      <c r="C344" s="107" t="s">
        <v>9316</v>
      </c>
      <c r="H344" s="135">
        <v>7004842583</v>
      </c>
    </row>
    <row r="345" spans="1:11" ht="18.75" customHeight="1" x14ac:dyDescent="0.35">
      <c r="A345" s="99" t="s">
        <v>9313</v>
      </c>
      <c r="B345" s="99" t="s">
        <v>7661</v>
      </c>
      <c r="C345" s="319" t="s">
        <v>9314</v>
      </c>
      <c r="E345" s="105">
        <v>45090</v>
      </c>
      <c r="F345" s="105">
        <v>46230</v>
      </c>
      <c r="H345" s="135">
        <v>7250111700</v>
      </c>
      <c r="J345" s="99">
        <v>300</v>
      </c>
    </row>
    <row r="346" spans="1:11" ht="18.75" customHeight="1" x14ac:dyDescent="0.35">
      <c r="A346" s="99" t="s">
        <v>10001</v>
      </c>
      <c r="B346" s="99" t="s">
        <v>10002</v>
      </c>
      <c r="D346" s="105">
        <v>24974</v>
      </c>
      <c r="E346" s="105"/>
      <c r="F346" s="105">
        <v>45908</v>
      </c>
      <c r="J346" s="99">
        <v>300</v>
      </c>
      <c r="K346" s="104" t="s">
        <v>9267</v>
      </c>
    </row>
    <row r="347" spans="1:11" ht="18.75" customHeight="1" x14ac:dyDescent="0.35">
      <c r="A347" s="99" t="s">
        <v>9311</v>
      </c>
      <c r="B347" s="99" t="s">
        <v>237</v>
      </c>
      <c r="C347" s="307" t="s">
        <v>9312</v>
      </c>
      <c r="F347" s="105">
        <v>44747</v>
      </c>
      <c r="H347" s="135">
        <v>7903129619</v>
      </c>
    </row>
    <row r="348" spans="1:11" ht="18.75" customHeight="1" x14ac:dyDescent="0.35">
      <c r="A348" s="15" t="s">
        <v>9308</v>
      </c>
      <c r="B348" s="15" t="s">
        <v>9309</v>
      </c>
      <c r="C348" s="100" t="s">
        <v>9310</v>
      </c>
      <c r="D348" s="87">
        <v>28111</v>
      </c>
      <c r="E348" s="87"/>
      <c r="F348" s="105">
        <v>46233</v>
      </c>
    </row>
    <row r="349" spans="1:11" ht="18.75" customHeight="1" x14ac:dyDescent="0.35">
      <c r="A349" s="15" t="s">
        <v>9308</v>
      </c>
      <c r="B349" s="15" t="s">
        <v>9309</v>
      </c>
      <c r="C349" s="100" t="s">
        <v>9310</v>
      </c>
      <c r="D349" s="87">
        <v>28111</v>
      </c>
      <c r="E349" s="87"/>
      <c r="F349" s="105">
        <v>44743</v>
      </c>
    </row>
    <row r="350" spans="1:11" ht="18.75" customHeight="1" x14ac:dyDescent="0.35">
      <c r="A350" s="99" t="s">
        <v>10003</v>
      </c>
      <c r="B350" s="99" t="s">
        <v>10004</v>
      </c>
      <c r="C350" s="107" t="s">
        <v>10005</v>
      </c>
      <c r="F350" s="105">
        <v>45909</v>
      </c>
      <c r="H350" s="135">
        <v>7631042488</v>
      </c>
    </row>
    <row r="351" spans="1:11" ht="18.75" customHeight="1" x14ac:dyDescent="0.35">
      <c r="A351" s="99" t="s">
        <v>9305</v>
      </c>
      <c r="B351" s="99" t="s">
        <v>9306</v>
      </c>
      <c r="C351" s="321" t="s">
        <v>9307</v>
      </c>
      <c r="F351" s="105">
        <v>45494</v>
      </c>
      <c r="H351" s="135">
        <v>9771209111</v>
      </c>
    </row>
    <row r="352" spans="1:11" ht="18.75" customHeight="1" x14ac:dyDescent="0.35">
      <c r="A352" s="99" t="s">
        <v>9305</v>
      </c>
      <c r="B352" s="99" t="s">
        <v>9306</v>
      </c>
      <c r="C352" s="85" t="s">
        <v>9307</v>
      </c>
      <c r="F352" s="105">
        <v>45494</v>
      </c>
      <c r="H352" s="135">
        <v>9771209111</v>
      </c>
    </row>
    <row r="353" spans="1:12" ht="18.75" customHeight="1" x14ac:dyDescent="0.35">
      <c r="A353" s="99" t="s">
        <v>9305</v>
      </c>
      <c r="B353" s="99" t="s">
        <v>9306</v>
      </c>
      <c r="C353" s="85" t="s">
        <v>9307</v>
      </c>
      <c r="F353" s="105">
        <v>45120</v>
      </c>
    </row>
    <row r="354" spans="1:12" ht="18.75" customHeight="1" x14ac:dyDescent="0.35">
      <c r="A354" s="99" t="s">
        <v>9302</v>
      </c>
      <c r="B354" s="99" t="s">
        <v>9303</v>
      </c>
      <c r="C354" s="107" t="s">
        <v>9304</v>
      </c>
      <c r="D354" s="105">
        <v>34761</v>
      </c>
      <c r="E354" s="105"/>
      <c r="G354" s="104">
        <v>455011794359</v>
      </c>
      <c r="H354" s="135">
        <v>9204486584</v>
      </c>
      <c r="J354" s="99">
        <v>500</v>
      </c>
      <c r="K354" s="104" t="s">
        <v>9267</v>
      </c>
    </row>
    <row r="355" spans="1:12" ht="18.75" customHeight="1" x14ac:dyDescent="0.35">
      <c r="A355" s="99" t="s">
        <v>9299</v>
      </c>
      <c r="B355" s="99" t="s">
        <v>10007</v>
      </c>
      <c r="C355" s="99" t="s">
        <v>10008</v>
      </c>
      <c r="F355" s="105">
        <v>45922</v>
      </c>
      <c r="H355" s="135">
        <v>7004842583</v>
      </c>
      <c r="L355" s="107"/>
    </row>
    <row r="356" spans="1:12" ht="18.75" customHeight="1" x14ac:dyDescent="0.35">
      <c r="A356" s="99" t="s">
        <v>9299</v>
      </c>
      <c r="B356" s="99" t="s">
        <v>9300</v>
      </c>
      <c r="C356" s="107" t="s">
        <v>9301</v>
      </c>
      <c r="F356" s="105">
        <v>45135</v>
      </c>
      <c r="H356" s="135">
        <v>7004842583</v>
      </c>
    </row>
    <row r="357" spans="1:12" s="107" customFormat="1" ht="18.75" customHeight="1" x14ac:dyDescent="0.35">
      <c r="A357" s="15" t="s">
        <v>9295</v>
      </c>
      <c r="B357" s="15" t="s">
        <v>9296</v>
      </c>
      <c r="C357" s="100" t="s">
        <v>9297</v>
      </c>
      <c r="D357" s="103" t="s">
        <v>9298</v>
      </c>
      <c r="E357" s="103"/>
      <c r="F357" s="105">
        <v>44743</v>
      </c>
      <c r="G357" s="96">
        <v>734464059996</v>
      </c>
      <c r="H357" s="137">
        <v>9162591889</v>
      </c>
      <c r="I357" s="144"/>
      <c r="J357" s="99"/>
      <c r="K357" s="104"/>
      <c r="L357" s="99"/>
    </row>
    <row r="358" spans="1:12" ht="18.75" customHeight="1" x14ac:dyDescent="0.35">
      <c r="A358" s="99" t="s">
        <v>9293</v>
      </c>
      <c r="B358" s="99" t="s">
        <v>9294</v>
      </c>
      <c r="C358" s="107" t="s">
        <v>8858</v>
      </c>
      <c r="F358" s="105">
        <v>44766</v>
      </c>
      <c r="H358" s="135">
        <v>8235667939</v>
      </c>
    </row>
    <row r="359" spans="1:12" ht="18.75" customHeight="1" x14ac:dyDescent="0.35">
      <c r="A359" s="99" t="s">
        <v>9290</v>
      </c>
      <c r="B359" s="99" t="s">
        <v>9291</v>
      </c>
      <c r="C359" s="107" t="s">
        <v>9292</v>
      </c>
      <c r="D359" s="105">
        <v>21915</v>
      </c>
      <c r="E359" s="105"/>
      <c r="H359" s="135">
        <v>8863826939</v>
      </c>
      <c r="J359" s="99">
        <v>800</v>
      </c>
      <c r="K359" s="104" t="s">
        <v>9267</v>
      </c>
    </row>
    <row r="360" spans="1:12" ht="18.75" customHeight="1" x14ac:dyDescent="0.35">
      <c r="A360" s="99" t="s">
        <v>9287</v>
      </c>
      <c r="B360" s="99" t="s">
        <v>9288</v>
      </c>
      <c r="C360" s="99" t="s">
        <v>9289</v>
      </c>
      <c r="F360" s="105">
        <v>44771</v>
      </c>
      <c r="J360" s="145">
        <v>10320</v>
      </c>
      <c r="K360" s="99">
        <v>300</v>
      </c>
    </row>
    <row r="361" spans="1:12" ht="18.75" customHeight="1" x14ac:dyDescent="0.35">
      <c r="A361" s="15" t="s">
        <v>9285</v>
      </c>
      <c r="B361" s="15" t="s">
        <v>2008</v>
      </c>
      <c r="C361" s="100" t="s">
        <v>9286</v>
      </c>
      <c r="D361" s="87">
        <v>28491</v>
      </c>
      <c r="E361" s="87"/>
      <c r="F361" s="105">
        <v>44743</v>
      </c>
      <c r="G361" s="96"/>
    </row>
    <row r="362" spans="1:12" ht="18.75" customHeight="1" x14ac:dyDescent="0.35">
      <c r="A362" s="15" t="s">
        <v>9282</v>
      </c>
      <c r="B362" s="15" t="s">
        <v>9283</v>
      </c>
      <c r="C362" s="100" t="s">
        <v>9284</v>
      </c>
      <c r="F362" s="105">
        <v>44743</v>
      </c>
      <c r="G362" s="96"/>
    </row>
    <row r="363" spans="1:12" ht="18.75" customHeight="1" x14ac:dyDescent="0.35">
      <c r="A363" s="99" t="s">
        <v>9278</v>
      </c>
      <c r="B363" s="99" t="s">
        <v>9279</v>
      </c>
      <c r="C363" s="99" t="s">
        <v>9280</v>
      </c>
      <c r="F363" s="105">
        <v>45490</v>
      </c>
      <c r="I363" s="145" t="s">
        <v>9281</v>
      </c>
    </row>
    <row r="364" spans="1:12" ht="18.75" customHeight="1" x14ac:dyDescent="0.35">
      <c r="A364" s="99" t="s">
        <v>9275</v>
      </c>
      <c r="B364" s="99" t="s">
        <v>9276</v>
      </c>
      <c r="C364" s="107" t="s">
        <v>9277</v>
      </c>
      <c r="D364" s="105">
        <v>27094</v>
      </c>
      <c r="E364" s="105">
        <v>45504</v>
      </c>
      <c r="F364" s="105">
        <v>45907</v>
      </c>
      <c r="H364" s="135">
        <v>9031351310</v>
      </c>
    </row>
    <row r="365" spans="1:12" ht="18.75" customHeight="1" x14ac:dyDescent="0.35">
      <c r="A365" s="99" t="s">
        <v>9968</v>
      </c>
      <c r="B365" s="99" t="s">
        <v>9969</v>
      </c>
      <c r="C365" s="319" t="s">
        <v>9970</v>
      </c>
      <c r="F365" s="105">
        <v>45861</v>
      </c>
      <c r="H365" s="135">
        <v>9934173596</v>
      </c>
      <c r="I365" s="145" t="s">
        <v>9613</v>
      </c>
    </row>
    <row r="366" spans="1:12" ht="18.75" customHeight="1" x14ac:dyDescent="0.35">
      <c r="A366" s="99" t="s">
        <v>9272</v>
      </c>
      <c r="B366" s="99" t="s">
        <v>9273</v>
      </c>
      <c r="C366" s="319" t="s">
        <v>9274</v>
      </c>
      <c r="F366" s="105">
        <v>45117</v>
      </c>
      <c r="H366" s="135">
        <v>6205972699</v>
      </c>
      <c r="I366" s="145">
        <v>41020</v>
      </c>
    </row>
    <row r="367" spans="1:12" ht="18.75" customHeight="1" x14ac:dyDescent="0.35">
      <c r="A367" s="15" t="s">
        <v>9269</v>
      </c>
      <c r="B367" s="15" t="s">
        <v>9270</v>
      </c>
      <c r="C367" s="100" t="s">
        <v>9271</v>
      </c>
      <c r="D367" s="87">
        <v>28550</v>
      </c>
      <c r="E367" s="87">
        <v>45120</v>
      </c>
      <c r="F367" s="105">
        <v>46216</v>
      </c>
      <c r="G367" s="96">
        <v>573458807266</v>
      </c>
      <c r="H367" s="136">
        <v>9470030023</v>
      </c>
      <c r="I367" s="144">
        <v>0</v>
      </c>
      <c r="J367" s="99">
        <v>300</v>
      </c>
    </row>
    <row r="368" spans="1:12" ht="18.75" customHeight="1" x14ac:dyDescent="0.35">
      <c r="A368" s="99" t="s">
        <v>939</v>
      </c>
      <c r="B368" s="99" t="s">
        <v>938</v>
      </c>
      <c r="C368" s="107" t="s">
        <v>9268</v>
      </c>
      <c r="E368" s="105">
        <v>45467</v>
      </c>
      <c r="F368" s="105">
        <v>46220</v>
      </c>
      <c r="H368" s="135">
        <v>9939221087</v>
      </c>
    </row>
    <row r="369" spans="1:9" ht="18.75" customHeight="1" x14ac:dyDescent="0.35">
      <c r="A369" s="99" t="s">
        <v>9265</v>
      </c>
      <c r="B369" s="99" t="s">
        <v>5973</v>
      </c>
      <c r="C369" s="107" t="s">
        <v>9266</v>
      </c>
      <c r="E369" s="105">
        <v>45119</v>
      </c>
      <c r="F369" s="105">
        <v>45479</v>
      </c>
      <c r="H369" s="135">
        <v>9102012423</v>
      </c>
      <c r="I369" s="145">
        <v>4650</v>
      </c>
    </row>
    <row r="370" spans="1:9" ht="18.75" customHeight="1" x14ac:dyDescent="0.35">
      <c r="A370" s="99" t="s">
        <v>10955</v>
      </c>
      <c r="B370" s="99" t="s">
        <v>10956</v>
      </c>
      <c r="C370" s="107" t="s">
        <v>10957</v>
      </c>
    </row>
    <row r="371" spans="1:9" ht="18.75" customHeight="1" x14ac:dyDescent="0.35">
      <c r="A371" s="99" t="s">
        <v>9918</v>
      </c>
      <c r="B371" s="99" t="s">
        <v>9919</v>
      </c>
      <c r="C371" s="319" t="s">
        <v>9920</v>
      </c>
      <c r="F371" s="105">
        <v>45830</v>
      </c>
    </row>
    <row r="372" spans="1:9" ht="18.75" customHeight="1" x14ac:dyDescent="0.35">
      <c r="A372" s="15" t="s">
        <v>9262</v>
      </c>
      <c r="B372" s="15" t="s">
        <v>9263</v>
      </c>
      <c r="C372" s="15" t="s">
        <v>9264</v>
      </c>
      <c r="D372" s="103">
        <v>25904</v>
      </c>
      <c r="E372" s="103"/>
      <c r="F372" s="105">
        <v>44743</v>
      </c>
      <c r="G372" s="96">
        <v>588814688761</v>
      </c>
      <c r="H372" s="136">
        <v>9279234168</v>
      </c>
      <c r="I372" s="144"/>
    </row>
    <row r="373" spans="1:9" ht="18.75" customHeight="1" x14ac:dyDescent="0.35">
      <c r="A373" s="99" t="s">
        <v>9259</v>
      </c>
      <c r="B373" s="99" t="s">
        <v>9260</v>
      </c>
      <c r="C373" s="319" t="s">
        <v>9261</v>
      </c>
      <c r="D373" s="105">
        <v>31297</v>
      </c>
      <c r="E373" s="105"/>
      <c r="G373" s="112">
        <v>237808065119</v>
      </c>
      <c r="H373" s="135">
        <v>9304118194</v>
      </c>
    </row>
    <row r="374" spans="1:9" ht="18.75" customHeight="1" x14ac:dyDescent="0.35">
      <c r="A374" s="99" t="s">
        <v>9924</v>
      </c>
      <c r="C374" s="319" t="s">
        <v>9925</v>
      </c>
      <c r="F374" s="105">
        <v>45830</v>
      </c>
    </row>
    <row r="375" spans="1:9" ht="18.75" customHeight="1" x14ac:dyDescent="0.35">
      <c r="A375" s="99" t="s">
        <v>9256</v>
      </c>
      <c r="B375" s="99" t="s">
        <v>9257</v>
      </c>
      <c r="C375" s="319" t="s">
        <v>9258</v>
      </c>
      <c r="F375" s="105">
        <v>44890</v>
      </c>
      <c r="H375" s="135">
        <v>6201843720</v>
      </c>
    </row>
    <row r="376" spans="1:9" ht="18.75" customHeight="1" x14ac:dyDescent="0.35">
      <c r="A376" s="99" t="s">
        <v>9253</v>
      </c>
      <c r="B376" s="99" t="s">
        <v>9254</v>
      </c>
      <c r="C376" s="319" t="s">
        <v>9255</v>
      </c>
      <c r="D376" s="105">
        <v>35638</v>
      </c>
      <c r="E376" s="105"/>
      <c r="F376" s="105">
        <v>45500</v>
      </c>
    </row>
    <row r="377" spans="1:9" ht="18.75" customHeight="1" x14ac:dyDescent="0.35">
      <c r="A377" s="15" t="s">
        <v>9250</v>
      </c>
      <c r="B377" s="15" t="s">
        <v>9251</v>
      </c>
      <c r="C377" s="100" t="s">
        <v>9252</v>
      </c>
      <c r="D377" s="87">
        <v>35248</v>
      </c>
      <c r="E377" s="87"/>
      <c r="F377" s="105">
        <v>44743</v>
      </c>
      <c r="G377" s="96">
        <v>506165653927</v>
      </c>
      <c r="H377" s="136">
        <v>8092161674</v>
      </c>
      <c r="I377" s="144"/>
    </row>
    <row r="378" spans="1:9" ht="18.75" customHeight="1" x14ac:dyDescent="0.35">
      <c r="A378" s="15" t="s">
        <v>9244</v>
      </c>
      <c r="B378" s="15" t="s">
        <v>9245</v>
      </c>
      <c r="C378" s="107" t="s">
        <v>9246</v>
      </c>
      <c r="D378" s="87">
        <v>33368</v>
      </c>
      <c r="E378" s="87"/>
      <c r="F378" s="87">
        <v>45138</v>
      </c>
      <c r="G378" s="96"/>
      <c r="H378" s="137">
        <v>8092161676</v>
      </c>
    </row>
    <row r="379" spans="1:9" ht="18.75" customHeight="1" x14ac:dyDescent="0.35">
      <c r="A379" s="15" t="s">
        <v>9244</v>
      </c>
      <c r="B379" s="15" t="s">
        <v>9245</v>
      </c>
      <c r="C379" s="107" t="s">
        <v>9247</v>
      </c>
      <c r="D379" s="87">
        <v>33368</v>
      </c>
      <c r="E379" s="87"/>
      <c r="F379" s="87">
        <v>45138</v>
      </c>
      <c r="G379" s="96"/>
      <c r="H379" s="137">
        <v>8092161676</v>
      </c>
    </row>
    <row r="380" spans="1:9" ht="18.75" customHeight="1" x14ac:dyDescent="0.35">
      <c r="A380" s="99" t="s">
        <v>9921</v>
      </c>
      <c r="B380" s="99" t="s">
        <v>9922</v>
      </c>
      <c r="C380" s="319" t="s">
        <v>9923</v>
      </c>
      <c r="D380" s="105">
        <v>33239</v>
      </c>
      <c r="E380" s="105"/>
      <c r="F380" s="105">
        <v>45830</v>
      </c>
      <c r="H380" s="135">
        <v>6205626518</v>
      </c>
    </row>
    <row r="381" spans="1:9" ht="18.75" customHeight="1" x14ac:dyDescent="0.35">
      <c r="A381" s="99" t="s">
        <v>9242</v>
      </c>
      <c r="B381" s="99" t="s">
        <v>1202</v>
      </c>
      <c r="C381" s="107" t="s">
        <v>9243</v>
      </c>
      <c r="G381" s="112"/>
      <c r="H381" s="135">
        <v>6201195600</v>
      </c>
    </row>
    <row r="382" spans="1:9" ht="18.75" customHeight="1" x14ac:dyDescent="0.35">
      <c r="A382" s="99" t="s">
        <v>11330</v>
      </c>
      <c r="B382" s="99" t="s">
        <v>11331</v>
      </c>
      <c r="C382" s="107" t="s">
        <v>11332</v>
      </c>
      <c r="F382" s="105">
        <v>46223</v>
      </c>
    </row>
    <row r="383" spans="1:9" ht="18.75" customHeight="1" x14ac:dyDescent="0.35">
      <c r="A383" s="99" t="s">
        <v>9978</v>
      </c>
      <c r="B383" s="99" t="s">
        <v>9979</v>
      </c>
      <c r="C383" s="99" t="s">
        <v>9980</v>
      </c>
      <c r="E383" s="105">
        <v>45864</v>
      </c>
      <c r="F383" s="105">
        <v>46182</v>
      </c>
      <c r="H383" s="135">
        <v>9709203838</v>
      </c>
      <c r="I383" s="145">
        <v>6150</v>
      </c>
    </row>
    <row r="384" spans="1:9" ht="18.75" customHeight="1" x14ac:dyDescent="0.35">
      <c r="B384" s="99" t="s">
        <v>9873</v>
      </c>
      <c r="F384" s="105">
        <v>45458</v>
      </c>
    </row>
    <row r="385" spans="1:9" ht="18.75" customHeight="1" x14ac:dyDescent="0.35">
      <c r="B385" s="99" t="s">
        <v>9932</v>
      </c>
      <c r="C385" s="107" t="s">
        <v>9933</v>
      </c>
    </row>
    <row r="386" spans="1:9" ht="18.75" customHeight="1" x14ac:dyDescent="0.35">
      <c r="A386" s="99" t="s">
        <v>11348</v>
      </c>
      <c r="C386" s="107" t="s">
        <v>11349</v>
      </c>
      <c r="H386" s="135">
        <v>9970624030</v>
      </c>
      <c r="I386" s="145" t="s">
        <v>11350</v>
      </c>
    </row>
    <row r="387" spans="1:9" ht="18.75" customHeight="1" x14ac:dyDescent="0.35">
      <c r="A387" s="99" t="s">
        <v>11355</v>
      </c>
      <c r="B387" s="99" t="s">
        <v>11356</v>
      </c>
      <c r="C387" s="107" t="s">
        <v>11231</v>
      </c>
      <c r="F387" s="105">
        <v>46231</v>
      </c>
    </row>
    <row r="388" spans="1:9" ht="18.75" customHeight="1" x14ac:dyDescent="0.35">
      <c r="A388" s="99" t="s">
        <v>11358</v>
      </c>
      <c r="B388" s="99" t="s">
        <v>1931</v>
      </c>
      <c r="H388" s="135">
        <v>8863824186</v>
      </c>
    </row>
    <row r="389" spans="1:9" ht="18.75" customHeight="1" x14ac:dyDescent="0.35">
      <c r="A389" s="99" t="s">
        <v>11359</v>
      </c>
      <c r="B389" s="99" t="s">
        <v>11361</v>
      </c>
      <c r="C389" s="107" t="s">
        <v>11360</v>
      </c>
      <c r="F389" s="105">
        <v>46232</v>
      </c>
    </row>
    <row r="390" spans="1:9" ht="18.75" customHeight="1" x14ac:dyDescent="0.35">
      <c r="A390" s="99" t="s">
        <v>11375</v>
      </c>
      <c r="B390" s="99" t="s">
        <v>11376</v>
      </c>
    </row>
  </sheetData>
  <sortState xmlns:xlrd2="http://schemas.microsoft.com/office/spreadsheetml/2017/richdata2" ref="A2:I384">
    <sortCondition ref="A1:A384"/>
  </sortState>
  <hyperlinks>
    <hyperlink ref="C313" r:id="rId1" xr:uid="{F50658D5-E90A-4FAF-AF03-414896FAACBA}"/>
    <hyperlink ref="C120" r:id="rId2" xr:uid="{ADC49C70-A3C8-4A87-87E8-A02548E5F3CD}"/>
    <hyperlink ref="C347" r:id="rId3" xr:uid="{9C867EBA-500B-4FDF-AEF7-DE2AA7882316}"/>
    <hyperlink ref="C249" r:id="rId4" xr:uid="{6BCD93C1-1CD7-4A4B-B1AB-E5E304B0AA88}"/>
    <hyperlink ref="C166" r:id="rId5" xr:uid="{9DAD17BD-ECC3-4C16-8CB1-F5326E7D0785}"/>
    <hyperlink ref="C353" r:id="rId6" xr:uid="{79829409-43C5-42A2-AE36-5BABDE3464AC}"/>
    <hyperlink ref="C189" r:id="rId7" xr:uid="{F477D16A-9AD6-46C5-B187-586CCB250F52}"/>
    <hyperlink ref="C21" r:id="rId8" xr:uid="{9FCFC024-7A13-41D4-920D-00E8970206A3}"/>
    <hyperlink ref="C257" r:id="rId9" xr:uid="{2349CB44-6273-443D-8C02-907E62173567}"/>
    <hyperlink ref="C219" r:id="rId10" xr:uid="{4A13A7D3-8D1D-4035-852E-FD11DBAEAFAF}"/>
    <hyperlink ref="C321" r:id="rId11" xr:uid="{3A9BDC4D-F9D1-4FBC-AA0A-4E23C5CF5024}"/>
    <hyperlink ref="C319" r:id="rId12" xr:uid="{F8628216-42DD-4117-8CE5-D5D8AC172850}"/>
    <hyperlink ref="C358" r:id="rId13" xr:uid="{C563102B-A374-4231-B9B2-38A3E3501219}"/>
    <hyperlink ref="C200" r:id="rId14" xr:uid="{49E205E8-4485-4763-BEA5-D76D0E50EEF2}"/>
    <hyperlink ref="C142" r:id="rId15" xr:uid="{365C9D63-6E55-4ACA-BDB4-FD7D145FCC57}"/>
    <hyperlink ref="C64" r:id="rId16" xr:uid="{C0670A70-ADE2-47B6-B5CF-B0A04142FB22}"/>
    <hyperlink ref="C37" r:id="rId17" xr:uid="{65B888F1-6A3F-4C28-84C6-EC5298F0FFF0}"/>
    <hyperlink ref="C332" r:id="rId18" xr:uid="{208B2CC9-EC31-4F42-8A1B-124DD667B7F1}"/>
    <hyperlink ref="C107" r:id="rId19" xr:uid="{017517A3-F3BD-4567-A66D-9F67AD638524}"/>
    <hyperlink ref="C53" r:id="rId20" xr:uid="{25116B7D-9346-485A-80D2-7BAF0B465842}"/>
    <hyperlink ref="C188" r:id="rId21" xr:uid="{981561E0-0F61-4ECF-A901-5EFBB42FE8B5}"/>
    <hyperlink ref="C263" r:id="rId22" xr:uid="{F7C75836-6021-41E2-B304-B235FAAFE892}"/>
    <hyperlink ref="C20" r:id="rId23" xr:uid="{844D517B-90C0-4423-BED9-A0ABD70866CC}"/>
    <hyperlink ref="C58" r:id="rId24" xr:uid="{AA995465-13D8-41D3-A2B6-F963C2DC0835}"/>
    <hyperlink ref="C378" r:id="rId25" xr:uid="{5FCA93A5-E047-4CEA-8FB5-9E5808356DFE}"/>
    <hyperlink ref="C48" r:id="rId26" xr:uid="{FB39C6B8-C787-481D-89FB-9AE87D1D6258}"/>
    <hyperlink ref="C141" r:id="rId27" xr:uid="{D87FF963-F700-4B4E-9B79-395379F50D10}"/>
    <hyperlink ref="C210" r:id="rId28" xr:uid="{3B162CF9-E8ED-4118-9006-092B0590F49A}"/>
    <hyperlink ref="C140" r:id="rId29" xr:uid="{19876F0B-F3BD-439A-8848-974855975A2A}"/>
    <hyperlink ref="C221" r:id="rId30" xr:uid="{AF8647F3-DD0A-42B6-9AA5-C7B97CEEB682}"/>
    <hyperlink ref="C147" r:id="rId31" xr:uid="{C5C761D3-2E7F-436F-80D4-10C7B675DB95}"/>
    <hyperlink ref="C162" r:id="rId32" xr:uid="{7AFFDC08-9E9A-4C9B-9A54-EA668D6F032B}"/>
    <hyperlink ref="C132" r:id="rId33" xr:uid="{8F7054B0-DCD8-4A39-BF73-7D68D0DAC3F0}"/>
    <hyperlink ref="C112" r:id="rId34" xr:uid="{5BFDCE9E-7D81-42A6-A277-D5CD47B8C0EE}"/>
    <hyperlink ref="C375" r:id="rId35" xr:uid="{8291C7F8-DEFE-49A7-A7D9-4C378AE7E32D}"/>
    <hyperlink ref="C278" r:id="rId36" xr:uid="{43083FB3-15A8-4BCC-91BD-A47897593F4B}"/>
    <hyperlink ref="C174" r:id="rId37" xr:uid="{54E66587-B8E6-4D6C-B7C3-630A03123336}"/>
    <hyperlink ref="C96" r:id="rId38" xr:uid="{95C089CA-0DC1-4F9D-863D-6DF35D896D39}"/>
    <hyperlink ref="C22" r:id="rId39" xr:uid="{2CA2C987-00A0-40DC-B463-05458A1E2123}"/>
    <hyperlink ref="J245" r:id="rId40" xr:uid="{F94A010E-3504-4383-985B-8B5612241538}"/>
    <hyperlink ref="C314" r:id="rId41" xr:uid="{FBAEBEE6-EF46-470B-B66D-219740536AF6}"/>
    <hyperlink ref="C229" r:id="rId42" xr:uid="{38632A50-F61D-4F05-84DC-E7ADBD639D69}"/>
    <hyperlink ref="C18" r:id="rId43" xr:uid="{552FE4FA-9604-4032-815F-A307812453DC}"/>
    <hyperlink ref="C164" r:id="rId44" xr:uid="{52D5B24E-FB4A-40DD-83BD-F94FBA7EE1B8}"/>
    <hyperlink ref="C306" r:id="rId45" xr:uid="{68907927-CC53-407C-8780-1D7C77792572}"/>
    <hyperlink ref="C8" r:id="rId46" xr:uid="{32A5D9AF-57BF-4571-9342-9E779DDE8E52}"/>
    <hyperlink ref="C178" r:id="rId47" xr:uid="{8E2C6DFB-F72A-4F37-ADB1-44E0685A2E49}"/>
    <hyperlink ref="C217" r:id="rId48" xr:uid="{9A303AE5-39ED-44B1-828A-5E35C807F78A}"/>
    <hyperlink ref="C366" r:id="rId49" xr:uid="{91F121DF-B43B-4B94-A2FE-662AE412C9CD}"/>
    <hyperlink ref="C237" r:id="rId50" xr:uid="{C5C64A5C-0E2D-45B0-B138-52F6FADF7CD7}"/>
    <hyperlink ref="B18" r:id="rId51" xr:uid="{0CF482B6-3241-4F5C-B891-55AF4CAD703B}"/>
    <hyperlink ref="C246" r:id="rId52" xr:uid="{1F8E979B-5312-4199-AA9F-ECA160BE2351}"/>
    <hyperlink ref="C123" r:id="rId53" xr:uid="{88DC957C-17B0-48B6-950D-8E5B7C423BDA}"/>
    <hyperlink ref="C191" r:id="rId54" xr:uid="{53963941-91D3-4642-9981-7FF2C1F341B3}"/>
    <hyperlink ref="C241" r:id="rId55" xr:uid="{10745D20-B0ED-4D0E-82B1-B9E3B6300D45}"/>
    <hyperlink ref="C31" r:id="rId56" xr:uid="{88A7A062-3E49-4953-9136-E95F374FBCFA}"/>
    <hyperlink ref="C42" r:id="rId57" xr:uid="{B3EBBAB9-2C7C-4E23-87F8-3D4D87D18F9D}"/>
    <hyperlink ref="C270" r:id="rId58" xr:uid="{8243D5B4-08BB-43D2-ACE7-59B7C92DD4B9}"/>
    <hyperlink ref="C300" r:id="rId59" xr:uid="{492E848C-6F6C-4A3A-8B01-FD902D64ED9C}"/>
    <hyperlink ref="C172" r:id="rId60" xr:uid="{0AB78116-25F8-4410-8512-293CBBA7AC8C}"/>
    <hyperlink ref="C288" r:id="rId61" xr:uid="{F89268BC-552A-4644-A909-C30A808159CA}"/>
    <hyperlink ref="C356" r:id="rId62" xr:uid="{E94B13EF-27C0-43F3-821A-E3C8725C7B62}"/>
    <hyperlink ref="C342" r:id="rId63" xr:uid="{AC47DF90-C6AD-44A1-979E-FDF8B69E983B}"/>
    <hyperlink ref="C65" r:id="rId64" xr:uid="{D5FE59C4-76B9-4630-893F-39559F0F935B}"/>
    <hyperlink ref="C244" r:id="rId65" xr:uid="{6AADDE4B-9F30-49EE-B3B6-61CE9DE01E45}"/>
    <hyperlink ref="C206" r:id="rId66" xr:uid="{B5D4826A-B010-4117-BB6C-0BA3FDDEA016}"/>
    <hyperlink ref="C74" r:id="rId67" xr:uid="{54596692-71DE-4D8A-AD22-9C3F0AC812B0}"/>
    <hyperlink ref="C243" r:id="rId68" xr:uid="{57BC178D-B110-41CB-AE90-E2F96EF7C839}"/>
    <hyperlink ref="C220" r:id="rId69" xr:uid="{93AE9D58-6687-48E1-A0A3-A1B8E29CEA06}"/>
    <hyperlink ref="C179" r:id="rId70" xr:uid="{447396AA-D1A9-4D44-A7F5-1FB8A70AD4A2}"/>
    <hyperlink ref="C302" r:id="rId71" xr:uid="{66142D89-02AC-431B-AE10-9BA3E9D751D8}"/>
    <hyperlink ref="C354" r:id="rId72" xr:uid="{79C0A5CB-6E98-4D7E-816A-94FF329F99A4}"/>
    <hyperlink ref="C130" r:id="rId73" xr:uid="{0594C734-984B-4BF5-814C-497723B210B3}"/>
    <hyperlink ref="C282" r:id="rId74" xr:uid="{76F67CB3-50C6-40A5-AD06-41EF1098688C}"/>
    <hyperlink ref="C225" r:id="rId75" xr:uid="{29063C07-A3A3-4C69-BC46-B7A4A208302D}"/>
    <hyperlink ref="C62" r:id="rId76" xr:uid="{D2CD04EC-110D-4B2E-8CEB-1596B6797BA3}"/>
    <hyperlink ref="C359" r:id="rId77" xr:uid="{7080E100-47D7-45C4-9553-3AAEC86F935D}"/>
    <hyperlink ref="C277" r:id="rId78" xr:uid="{5DEBCCB1-ED78-45B6-9F74-2B0AF85AFDD0}"/>
    <hyperlink ref="C119" r:id="rId79" xr:uid="{4B452CE7-5C66-4C23-AE4F-0C60DC63A447}"/>
    <hyperlink ref="C44" r:id="rId80" xr:uid="{9F13CF4A-B3C0-46C7-ABF9-CF146BDE6861}"/>
    <hyperlink ref="C46" r:id="rId81" xr:uid="{FB1D19F2-A33B-4B72-A24E-29EC30FCC361}"/>
    <hyperlink ref="C318" r:id="rId82" xr:uid="{52C44C8A-781A-4488-A27D-A126002757FB}"/>
    <hyperlink ref="C169" r:id="rId83" xr:uid="{860AD8F1-7FD9-40E1-9079-7FB26E10DDC5}"/>
    <hyperlink ref="C227" r:id="rId84" xr:uid="{053E6724-BDE4-4579-9595-CDA7528700C7}"/>
    <hyperlink ref="C211" r:id="rId85" xr:uid="{49DD29C6-E965-45C6-A48C-30D7BE7E75C1}"/>
    <hyperlink ref="C122" r:id="rId86" xr:uid="{662978A3-C82E-4576-9CF3-046117DBC7B5}"/>
    <hyperlink ref="C284" r:id="rId87" xr:uid="{8C99536E-3C30-4471-8BAB-F69BFA2CBB73}"/>
    <hyperlink ref="C248" r:id="rId88" xr:uid="{A85E3A41-A1FF-49B2-8463-646777750C0B}"/>
    <hyperlink ref="C267" r:id="rId89" xr:uid="{F4BEBD2A-79E4-408B-BE62-C8D6A469543F}"/>
    <hyperlink ref="C192" r:id="rId90" xr:uid="{0DA3FD73-6589-4990-9F56-677574D56F7B}"/>
    <hyperlink ref="C67" r:id="rId91" xr:uid="{7725B1BA-3FA9-4F13-A0DE-9256C9DEC713}"/>
    <hyperlink ref="C238" r:id="rId92" xr:uid="{46682052-3F78-4BC3-AA8F-C878870BCC92}"/>
    <hyperlink ref="C245" r:id="rId93" xr:uid="{E66C7577-FC19-46BA-A98B-1F9E7A5E29AE}"/>
    <hyperlink ref="C291" r:id="rId94" xr:uid="{687222FA-DCE1-4FDA-80CE-5EAD3B53CDBC}"/>
    <hyperlink ref="C19" r:id="rId95" xr:uid="{B10602B8-7A36-4968-8927-E96E723C7763}"/>
    <hyperlink ref="C301" r:id="rId96" xr:uid="{1F3806B9-0D8A-4566-A4D1-50C917D9C004}"/>
    <hyperlink ref="C232" r:id="rId97" xr:uid="{B65F5555-F05E-4846-BEA0-0923DCFAD8B6}"/>
    <hyperlink ref="C63" r:id="rId98" xr:uid="{D879ACB8-4167-4432-87DB-89577CD4A590}"/>
    <hyperlink ref="C7" r:id="rId99" xr:uid="{3679C9E0-49B6-4839-9BE7-490A79E7DFBE}"/>
    <hyperlink ref="C280" r:id="rId100" xr:uid="{E8446629-65EA-4394-8EE5-C81586B66A52}"/>
    <hyperlink ref="C80" r:id="rId101" xr:uid="{F17BEF7B-8959-48F3-8B39-1203A4201CE7}"/>
    <hyperlink ref="C106" r:id="rId102" xr:uid="{92A6693A-CF9F-4D7B-B586-CFC15CABD09E}"/>
    <hyperlink ref="C369" r:id="rId103" xr:uid="{BFE31D38-BD7A-44A7-8106-9F959E968292}"/>
    <hyperlink ref="C9" r:id="rId104" xr:uid="{738B2098-17E5-47E9-A864-B104220EEAF6}"/>
    <hyperlink ref="C50" r:id="rId105" xr:uid="{3E5B47D5-C6EE-4224-8CE9-7B47B05914F1}"/>
    <hyperlink ref="C275" r:id="rId106" xr:uid="{17BFE114-5057-4A1C-93A4-84699F8C4C21}"/>
    <hyperlink ref="C351" r:id="rId107" xr:uid="{DBF1D316-B27E-4A14-A127-7331EA79D2BE}"/>
    <hyperlink ref="C161" r:id="rId108" xr:uid="{92E566BC-0790-4317-8934-7E9E7AEA8465}"/>
    <hyperlink ref="C55" r:id="rId109" xr:uid="{7EA9EB8E-56D1-4CF6-BD75-127D9326B569}"/>
    <hyperlink ref="C216" r:id="rId110" xr:uid="{A9814532-9201-409E-A4ED-C7B4B5F21246}"/>
    <hyperlink ref="C156" r:id="rId111" xr:uid="{0ABA9E68-99C0-4F53-8EB4-F05A7B702FCC}"/>
    <hyperlink ref="C148" r:id="rId112" xr:uid="{C97DD99A-3714-4E2D-8A25-F6BFF6BD6C7A}"/>
    <hyperlink ref="C86" r:id="rId113" xr:uid="{5025A05F-051A-4018-8565-25A544708CB4}"/>
    <hyperlink ref="C292" r:id="rId114" xr:uid="{993E8A0A-E5D8-4878-ADD4-15DAC7B1643A}"/>
    <hyperlink ref="C381" r:id="rId115" xr:uid="{E35D75E5-9A50-41F7-90AE-CB4F564C2C6D}"/>
    <hyperlink ref="C303" r:id="rId116" xr:uid="{4D28EE27-C99F-44B8-AE6A-B9DC2A6A05AE}"/>
    <hyperlink ref="C38" r:id="rId117" xr:uid="{EEE3E69A-31E9-49A0-B137-5454BE5A325D}"/>
    <hyperlink ref="C183" r:id="rId118" xr:uid="{C25E2BE2-CCC0-46EB-B241-DA29DA44C2B9}"/>
    <hyperlink ref="C57" r:id="rId119" xr:uid="{225091FD-9710-4049-B288-B9934190C3F4}"/>
    <hyperlink ref="C181" r:id="rId120" xr:uid="{1AC0164E-1543-4EB3-BFB1-96169404C2BA}"/>
    <hyperlink ref="C97" r:id="rId121" xr:uid="{1B1A69BF-A0CD-48A6-AE86-F29C8EC84BD6}"/>
    <hyperlink ref="C214" r:id="rId122" xr:uid="{36F20B8E-5345-4C6D-856F-B435DD2120CE}"/>
    <hyperlink ref="C272" r:id="rId123" xr:uid="{F5E3C994-2C84-4F72-8687-536791FC9645}"/>
    <hyperlink ref="C264" r:id="rId124" xr:uid="{1074CF7F-0D30-4D16-B2DB-3B134EB1A9A4}"/>
    <hyperlink ref="C36" r:id="rId125" xr:uid="{958DF7CE-2164-4958-84BD-4AC98F21D1B0}"/>
    <hyperlink ref="C165" r:id="rId126" xr:uid="{262BAADC-C9E2-4D13-B1C3-B192BF83FA15}"/>
    <hyperlink ref="C208" r:id="rId127" xr:uid="{0AAF6142-050E-4B49-A612-0558CEE20A63}"/>
    <hyperlink ref="C205" r:id="rId128" xr:uid="{F8268871-062D-4D15-B9D6-5328D2C5C2DD}"/>
    <hyperlink ref="C308" r:id="rId129" xr:uid="{0D2DA36B-4AFD-4583-8881-B156ED7C740A}"/>
    <hyperlink ref="C102" r:id="rId130" xr:uid="{E40598AE-C747-48B5-A625-0360BB232E17}"/>
    <hyperlink ref="C209" r:id="rId131" xr:uid="{6CF50781-BC39-452D-9BD4-0E9F68D85AEC}"/>
    <hyperlink ref="C376" r:id="rId132" xr:uid="{BF1FD295-4F2C-414A-B5FB-687CB7D1B82E}"/>
    <hyperlink ref="C320" r:id="rId133" xr:uid="{5A7C27E3-322C-43C8-83B3-0EDCCF839C0E}"/>
    <hyperlink ref="C322" r:id="rId134" xr:uid="{BA837C2D-B6F7-41D2-BBDA-21644F3E8756}"/>
    <hyperlink ref="C190" r:id="rId135" xr:uid="{B3C83945-2749-44C5-992D-A37B0E5D7DDB}"/>
    <hyperlink ref="C25" r:id="rId136" xr:uid="{27E44A9F-A199-4AC5-B6A2-95443E8B6BBB}"/>
    <hyperlink ref="C145" r:id="rId137" xr:uid="{495F40DC-B889-4BB7-8CBE-60F71CCCEA68}"/>
    <hyperlink ref="C307" r:id="rId138" xr:uid="{B1D7961F-5ED1-465B-8DE5-4D40974C8B11}"/>
    <hyperlink ref="C242" r:id="rId139" xr:uid="{6B8CA564-7344-4F86-9D33-A862B36DAAA7}"/>
    <hyperlink ref="C127" r:id="rId140" xr:uid="{5B2889D6-DD09-481A-B1D9-B62008729937}"/>
    <hyperlink ref="C379" r:id="rId141" xr:uid="{DDB0A4EB-0FF3-41F5-9903-A09175632254}"/>
    <hyperlink ref="C231" r:id="rId142" xr:uid="{AFB6049D-F9E0-4942-8F06-740B1FAB3B56}"/>
    <hyperlink ref="C226" r:id="rId143" xr:uid="{0CBC70F3-DFD4-44A5-AD24-C4A9B6B649CC}"/>
    <hyperlink ref="C252" r:id="rId144" xr:uid="{689F5239-D541-4247-979D-78E3B0D6DC1D}"/>
    <hyperlink ref="C373" r:id="rId145" xr:uid="{6A9E3E8B-4090-4851-BAFD-7680CD4449BA}"/>
    <hyperlink ref="C311" r:id="rId146" xr:uid="{23EAADB7-2840-4C2B-90C5-78E636F38BA2}"/>
    <hyperlink ref="C144" r:id="rId147" xr:uid="{18E18503-EBB0-4564-A3C5-575AC3AD2E58}"/>
    <hyperlink ref="C143" r:id="rId148" xr:uid="{9A0CFFEC-7190-4354-B8F5-FCF5056340B5}"/>
    <hyperlink ref="C212" r:id="rId149" xr:uid="{53E77844-C56D-42BA-BAE6-CB9DFAF0C12A}"/>
    <hyperlink ref="C14" r:id="rId150" xr:uid="{690EB736-B67E-44C2-8377-21254D396C05}"/>
    <hyperlink ref="C240" r:id="rId151" xr:uid="{6EB71FB1-69BC-4E22-856B-9D301E21A803}"/>
    <hyperlink ref="C251" r:id="rId152" xr:uid="{4AEE8502-D894-4EE3-BBF4-D22C76F17A29}"/>
    <hyperlink ref="C341" r:id="rId153" xr:uid="{D4666AB6-E59B-4630-A97D-07BDCD5BCB0D}"/>
    <hyperlink ref="C100" r:id="rId154" xr:uid="{1EA08BAA-8B88-4D72-B429-C261E10F174E}"/>
    <hyperlink ref="C177" r:id="rId155" xr:uid="{7BFF6E5C-AAE3-40CC-A069-2F8456C1173C}"/>
    <hyperlink ref="C207" r:id="rId156" xr:uid="{01682712-BC6A-4819-9292-F6C924767F8A}"/>
    <hyperlink ref="C281" r:id="rId157" xr:uid="{FE8DD9FA-7E43-4ABE-9BFC-D3319ABF100B}"/>
    <hyperlink ref="C215" r:id="rId158" xr:uid="{CA7AD8AE-0E6B-4752-B3D4-72DF98A9B0B0}"/>
    <hyperlink ref="C105" r:id="rId159" xr:uid="{CDEC1E4C-F01F-4DFB-905A-F1DB686DC07B}"/>
    <hyperlink ref="C61" r:id="rId160" xr:uid="{7709D9EC-2EFC-4242-A75B-CD54C31D269C}"/>
    <hyperlink ref="C368" r:id="rId161" xr:uid="{8DBC41E2-52B5-4DBD-AA2E-39A96CDF0037}"/>
    <hyperlink ref="C296" r:id="rId162" xr:uid="{D774E6A9-E8BB-4BCC-9042-330F82E80365}"/>
    <hyperlink ref="C92" r:id="rId163" xr:uid="{E6C4969B-F969-451B-BADF-87E27CE2D76D}"/>
    <hyperlink ref="C104" r:id="rId164" xr:uid="{63103242-E4BB-4F62-B99B-2D03ED1FCDA6}"/>
    <hyperlink ref="C159" r:id="rId165" xr:uid="{2F5D0AA4-884E-49E5-80E0-B0548A1C1B83}"/>
    <hyperlink ref="C180" r:id="rId166" xr:uid="{AB19F83A-BFB5-4416-BFD6-4E8972958FB4}"/>
    <hyperlink ref="C85" r:id="rId167" xr:uid="{DD50D57B-B54E-4108-A4A0-46625DB1CB51}"/>
    <hyperlink ref="C73" r:id="rId168" xr:uid="{97F875FA-436A-4885-BAF8-BE71BF3E490B}"/>
    <hyperlink ref="C293" r:id="rId169" xr:uid="{F0B901A5-B6AF-466A-824E-083EB6F2B6FF}"/>
    <hyperlink ref="C17" r:id="rId170" xr:uid="{38815480-91C6-4158-B60C-D254EDF32E2B}"/>
    <hyperlink ref="C103" r:id="rId171" xr:uid="{54AF4253-90F4-4F7B-ADD9-4030DC456130}"/>
    <hyperlink ref="C66" r:id="rId172" xr:uid="{DB34C143-42C2-4FF5-B9B8-1127FDA65924}"/>
    <hyperlink ref="C116" r:id="rId173" xr:uid="{6B3FEC48-3DBF-4DA8-B952-BF73C8278630}"/>
    <hyperlink ref="C371" r:id="rId174" xr:uid="{45263206-F6B7-46FF-82B8-50CBB4F70EBA}"/>
    <hyperlink ref="C380" r:id="rId175" xr:uid="{955EC087-31AB-49C0-B83F-BCE57046F89E}"/>
    <hyperlink ref="C374" r:id="rId176" xr:uid="{65AA5E9B-624B-4D6D-A910-EF8DF5A8BBFE}"/>
    <hyperlink ref="C184" r:id="rId177" xr:uid="{A5AF867D-180C-4495-9709-2B98B91CA313}"/>
    <hyperlink ref="C271" r:id="rId178" xr:uid="{C5D3B22A-3AB4-4C52-9488-F617DFB10F21}"/>
    <hyperlink ref="C338" r:id="rId179" xr:uid="{91E93008-CF31-4797-B6C7-87F0EA2624B6}"/>
    <hyperlink ref="C385" r:id="rId180" xr:uid="{50DF8936-52EE-4231-9E19-C730AD949E20}"/>
    <hyperlink ref="C114" r:id="rId181" xr:uid="{C7BCC96D-906C-4A11-BB24-1D960E4213FE}"/>
    <hyperlink ref="C202" r:id="rId182" xr:uid="{45E53B35-7486-4388-9C63-E53F4C3AEE07}"/>
    <hyperlink ref="C12" r:id="rId183" xr:uid="{D341D161-407D-4F09-9251-102E1315798A}"/>
    <hyperlink ref="C287" r:id="rId184" xr:uid="{CD12BE1A-2CF6-4E17-A3BF-1D249287253B}"/>
    <hyperlink ref="C15" r:id="rId185" xr:uid="{BF99D86C-416A-44AD-911F-FBB42B15B9B3}"/>
    <hyperlink ref="C13" r:id="rId186" xr:uid="{79175E0C-3317-4D9E-8A8A-3A9AB00E2CED}"/>
    <hyperlink ref="C160" r:id="rId187" xr:uid="{8F77DA36-EB71-4AB1-B80F-5DD561F46DBF}"/>
    <hyperlink ref="C269" r:id="rId188" xr:uid="{B5EB5A03-3C07-43A1-B9BC-93922584B9B8}"/>
    <hyperlink ref="C108" r:id="rId189" xr:uid="{9C35C2F6-3D76-4EE8-911E-31BB09AA70E9}"/>
    <hyperlink ref="C115" r:id="rId190" xr:uid="{9015AF8E-5F96-486C-A602-4C34E67A74CA}"/>
    <hyperlink ref="C49" r:id="rId191" xr:uid="{4A6F9309-2C78-486A-B132-4E88CB8BE04D}"/>
    <hyperlink ref="C54" r:id="rId192" xr:uid="{12167ADD-ACA6-4458-B041-508799A2F9E0}"/>
    <hyperlink ref="C121" r:id="rId193" xr:uid="{F1FC8F29-4D27-4497-992C-250F7A08E1AD}"/>
    <hyperlink ref="C47" r:id="rId194" xr:uid="{F681D075-6E01-4CC6-A2DB-F4052113CBB7}"/>
    <hyperlink ref="C6" r:id="rId195" xr:uid="{50BAE942-0F7D-4E42-AA3B-85CB212435F2}"/>
    <hyperlink ref="C23" r:id="rId196" xr:uid="{05AD4509-F1AD-443A-BC64-DE672140BB89}"/>
    <hyperlink ref="C89" r:id="rId197" xr:uid="{C4B37A81-66EA-44C2-AC14-E847E3A211B5}"/>
    <hyperlink ref="C262" r:id="rId198" xr:uid="{D28522F6-CE52-4D42-B6B1-02D74A6E8484}"/>
    <hyperlink ref="C204" r:id="rId199" xr:uid="{9BE590AC-11BD-4CD4-9C68-563EFEBCD224}"/>
    <hyperlink ref="C222" r:id="rId200" xr:uid="{5A01BAF4-472C-4903-B185-4242B7D66B55}"/>
    <hyperlink ref="C256" r:id="rId201" xr:uid="{12414BE1-3225-466C-BF7F-92A108EDF7EB}"/>
    <hyperlink ref="C247" r:id="rId202" xr:uid="{30D86E78-929D-4C5C-B9B5-05D15481B07F}"/>
    <hyperlink ref="C10" r:id="rId203" xr:uid="{9CD30281-AAEA-4B8A-9F88-139496F8EFB5}"/>
    <hyperlink ref="C88" r:id="rId204" xr:uid="{8A8A898C-571F-4EF0-A81A-902F65308BDD}"/>
    <hyperlink ref="C126" r:id="rId205" xr:uid="{674CA8DF-2805-4C66-9C37-4BA6E7E9ACDF}"/>
    <hyperlink ref="C365" r:id="rId206" xr:uid="{6D6A778F-45E4-4B4D-AE76-1C39B4AFB104}"/>
    <hyperlink ref="C109" r:id="rId207" xr:uid="{84594B23-0F07-4FC4-9C8A-6E31BACB1D94}"/>
    <hyperlink ref="C11" r:id="rId208" xr:uid="{77CBB780-ADD1-431B-9F6A-617F03CC0FF9}"/>
    <hyperlink ref="C52" r:id="rId209" xr:uid="{E0A370A8-77AF-442C-9A21-DA27FC442566}"/>
    <hyperlink ref="C3" r:id="rId210" xr:uid="{83BDEC81-58C3-44AB-B74F-48890411CF21}"/>
    <hyperlink ref="C345" r:id="rId211" xr:uid="{BD4082AB-4B7D-4AB4-8473-D8E552AE7B7E}"/>
    <hyperlink ref="C176" r:id="rId212" xr:uid="{895DD7BA-66EB-476B-809E-5297EE88C769}"/>
    <hyperlink ref="C268" r:id="rId213" xr:uid="{7FA54D35-CB9A-4018-B93E-554630BD4D3B}"/>
    <hyperlink ref="C195" r:id="rId214" xr:uid="{7371DC73-63DB-4D35-8ECE-E4EBFA8BF041}"/>
    <hyperlink ref="C41" r:id="rId215" xr:uid="{C3C01DE3-FA3D-4DFE-8AD8-5956000B0544}"/>
    <hyperlink ref="C289" r:id="rId216" xr:uid="{1FF4425F-C299-49F6-A40E-501EC0E6F4A9}"/>
    <hyperlink ref="C182" r:id="rId217" xr:uid="{E867EE6C-4570-4CD4-A7C4-21C3EDD77CDF}"/>
    <hyperlink ref="C45" r:id="rId218" xr:uid="{CABB6C39-D9B4-4B86-A9A8-4E8DDA09ED10}"/>
    <hyperlink ref="C352" r:id="rId219" xr:uid="{E8D8583B-B529-4011-9A16-9AA8722C3C33}"/>
    <hyperlink ref="C317" r:id="rId220" xr:uid="{B222E3A7-5365-48AB-8001-818416662500}"/>
    <hyperlink ref="C310" r:id="rId221" xr:uid="{E441C653-8661-4159-B31B-466A5BE39DC0}"/>
    <hyperlink ref="C290" r:id="rId222" xr:uid="{426327A3-3F54-46B8-8D66-306DF2613A39}"/>
    <hyperlink ref="C364" r:id="rId223" xr:uid="{E2F9535C-6263-43BF-871D-98AD46B24FF4}"/>
    <hyperlink ref="C155" r:id="rId224" xr:uid="{0E1C524A-D274-4753-84EB-83FAC669598F}"/>
    <hyperlink ref="C294" r:id="rId225" display="Feha@~6574" xr:uid="{0760E32B-7D3B-4F6B-B90F-8460ECEA9EB5}"/>
    <hyperlink ref="C350" r:id="rId226" xr:uid="{95DA53CC-EA6B-496A-B61F-DF14CCD6D37E}"/>
    <hyperlink ref="C265" r:id="rId227" xr:uid="{7B8F7439-AA4E-42DF-8374-7BBE7923A58D}"/>
    <hyperlink ref="C343" r:id="rId228" xr:uid="{55B50086-FB83-4AFC-9730-EDAC0929F6DB}"/>
    <hyperlink ref="C146" r:id="rId229" xr:uid="{6A11CA5C-1BD8-4511-81F2-72B987440EB9}"/>
    <hyperlink ref="C299" r:id="rId230" xr:uid="{8E1D1F15-C94F-4942-86FC-C8A0820F74C8}"/>
    <hyperlink ref="C344" r:id="rId231" xr:uid="{723C9685-7220-43A5-9F30-4C5BD34AB9D4}"/>
    <hyperlink ref="C117" r:id="rId232" xr:uid="{8B7D9CF4-89C6-4B35-84E8-D82BC4B544A4}"/>
    <hyperlink ref="C168" r:id="rId233" xr:uid="{1B76DE3A-46DE-4BC4-900C-2124183323B8}"/>
    <hyperlink ref="C370" r:id="rId234" xr:uid="{DF464EB7-0541-41EE-83E9-1375DF7DC331}"/>
    <hyperlink ref="C33" r:id="rId235" xr:uid="{4C34E177-780A-4A16-AE69-73D78FF53DB4}"/>
    <hyperlink ref="C32" r:id="rId236" xr:uid="{272C1454-AC2E-4FDB-B3A2-F8F7E0737616}"/>
    <hyperlink ref="C331:C332" r:id="rId237" display="Manoj@3527f" xr:uid="{723A9E98-0C80-446A-92F5-016765195E1F}"/>
    <hyperlink ref="C167" r:id="rId238" xr:uid="{4B398A4E-3B44-4A6A-85C8-151DAA846F2F}"/>
    <hyperlink ref="C27" r:id="rId239" xr:uid="{AEA6F562-C72B-4F6A-A0CC-3DDA60FA8C56}"/>
    <hyperlink ref="C286" r:id="rId240" xr:uid="{B816065D-384F-4AD9-95E1-1A3770152080}"/>
    <hyperlink ref="C154" r:id="rId241" xr:uid="{CB7D834F-988A-4A84-9D58-8C1D2761796B}"/>
    <hyperlink ref="C254" r:id="rId242" xr:uid="{1487857E-3BBD-4CCE-9A39-5E1ABFF0EAD0}"/>
    <hyperlink ref="C273" r:id="rId243" xr:uid="{860199F2-2CEC-4130-94F6-78F45B0F3558}"/>
    <hyperlink ref="C230" r:id="rId244" xr:uid="{51A4EA56-F6E3-40E7-A131-5EA0F0A318C3}"/>
    <hyperlink ref="C136" r:id="rId245" xr:uid="{689B3DEA-08FC-42BB-9CEE-2FBF8D64BB19}"/>
    <hyperlink ref="C276" r:id="rId246" xr:uid="{40E25A2D-DFC3-4183-A01A-CFF2A621797E}"/>
    <hyperlink ref="C150" r:id="rId247" xr:uid="{7C1BE69E-7590-4677-BB93-9895B183312C}"/>
    <hyperlink ref="C131" r:id="rId248" xr:uid="{3BD9BD29-ABD1-4FB1-BE47-7CCFB43DFFA2}"/>
    <hyperlink ref="C261" r:id="rId249" xr:uid="{6522F9CF-6589-40E5-9764-01D29CAA3AB2}"/>
    <hyperlink ref="C163" r:id="rId250" xr:uid="{490FCB95-1E46-4F4F-BB80-BF05061F94B5}"/>
    <hyperlink ref="C128" r:id="rId251" xr:uid="{F52B7FCC-2F59-4B56-B38B-D7778F4B3E9D}"/>
    <hyperlink ref="C99" r:id="rId252" xr:uid="{DFD47161-5031-446A-9BF8-B1B5BABACCD5}"/>
    <hyperlink ref="C137" r:id="rId253" xr:uid="{544FB3E6-5485-4C37-BAA2-9449CACCCBF0}"/>
    <hyperlink ref="C250" r:id="rId254" xr:uid="{2F176829-769E-4B7F-B5F7-F2702A34D41B}"/>
    <hyperlink ref="C199" r:id="rId255" xr:uid="{71603BAF-A80A-4FBB-AF5D-03C5329A3343}"/>
    <hyperlink ref="C83" r:id="rId256" xr:uid="{EE461CB4-ECEF-4AB2-98D4-B4DB190D7BA4}"/>
    <hyperlink ref="C218" r:id="rId257" xr:uid="{EBE3E934-9C97-49A2-A020-DEA382319CA0}"/>
    <hyperlink ref="C72" r:id="rId258" xr:uid="{ED33101B-318F-4355-90FC-2B000B886743}"/>
    <hyperlink ref="C255" r:id="rId259" xr:uid="{4FA9EC0C-9F44-40AD-A410-8A03323F2E68}"/>
    <hyperlink ref="C382" r:id="rId260" xr:uid="{68CA3FC1-0653-4D7F-A009-3A36DD4D29C5}"/>
    <hyperlink ref="C305" r:id="rId261" xr:uid="{6EC65216-F0C8-43C1-9748-5EDA10DEC7F7}"/>
    <hyperlink ref="C315" r:id="rId262" xr:uid="{579AFC64-1FE7-429B-A25A-35FDDDBE32C6}"/>
    <hyperlink ref="C386" r:id="rId263" xr:uid="{E48E38EE-04BF-41EC-B1DA-4374F07FB93A}"/>
    <hyperlink ref="C387" r:id="rId264" xr:uid="{ADEF035B-ACF6-4153-A864-7F5B219A4EA3}"/>
    <hyperlink ref="C389" r:id="rId265" xr:uid="{8CED5C75-AFF5-45C9-BB7D-46A9CC652E66}"/>
    <hyperlink ref="C26" r:id="rId266" xr:uid="{728B3235-D670-4430-A2AF-F1BE03C44E32}"/>
    <hyperlink ref="C113" r:id="rId267" xr:uid="{4B3FAC54-7CA4-4FBF-8399-BC7CAA1BD6C9}"/>
    <hyperlink ref="C339" r:id="rId268" xr:uid="{7735DD5F-FD3F-4ECD-88F7-1898C54DCE16}"/>
  </hyperlinks>
  <pageMargins left="0.7" right="0.7" top="0.75" bottom="0.75" header="0" footer="0"/>
  <pageSetup paperSize="9" orientation="portrait" r:id="rId26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FD14-3A53-48D7-A385-340180FF41AC}">
  <dimension ref="A1:AA1001"/>
  <sheetViews>
    <sheetView zoomScale="85" zoomScaleNormal="85" workbookViewId="0">
      <pane ySplit="1" topLeftCell="A400" activePane="bottomLeft" state="frozen"/>
      <selection pane="bottomLeft" activeCell="F420" sqref="F420"/>
    </sheetView>
  </sheetViews>
  <sheetFormatPr defaultColWidth="14.44140625" defaultRowHeight="15" customHeight="1" x14ac:dyDescent="0.3"/>
  <cols>
    <col min="1" max="1" width="15.33203125" customWidth="1"/>
    <col min="2" max="2" width="18.6640625" style="133" customWidth="1"/>
    <col min="3" max="3" width="33" customWidth="1"/>
    <col min="4" max="4" width="16.109375" style="97" customWidth="1"/>
    <col min="5" max="5" width="21.109375" style="97" customWidth="1"/>
    <col min="6" max="6" width="21.88671875" customWidth="1"/>
    <col min="7" max="7" width="41.109375" customWidth="1"/>
    <col min="8" max="8" width="62.109375" style="133" customWidth="1"/>
    <col min="9" max="9" width="15.44140625" style="97" customWidth="1"/>
    <col min="10" max="10" width="11.88671875" customWidth="1"/>
    <col min="11" max="11" width="9.109375" customWidth="1"/>
    <col min="12" max="12" width="14.5546875" customWidth="1"/>
    <col min="13" max="13" width="134.5546875" customWidth="1"/>
    <col min="14" max="14" width="9.109375" customWidth="1"/>
    <col min="15" max="15" width="11.33203125" customWidth="1"/>
    <col min="16" max="16" width="13.33203125" customWidth="1"/>
    <col min="17" max="17" width="19.109375" customWidth="1"/>
    <col min="18" max="27" width="9.109375" customWidth="1"/>
  </cols>
  <sheetData>
    <row r="1" spans="1:27" ht="18" customHeight="1" x14ac:dyDescent="0.35">
      <c r="A1" s="24" t="s">
        <v>10010</v>
      </c>
      <c r="B1" s="170" t="s">
        <v>10011</v>
      </c>
      <c r="C1" s="26"/>
      <c r="D1" s="28" t="s">
        <v>28</v>
      </c>
      <c r="E1" s="28"/>
      <c r="F1" s="27" t="s">
        <v>10012</v>
      </c>
      <c r="G1" s="25" t="s">
        <v>10013</v>
      </c>
      <c r="H1" s="170"/>
      <c r="I1" s="25" t="s">
        <v>10014</v>
      </c>
      <c r="J1" s="25"/>
      <c r="K1" s="25" t="s">
        <v>10015</v>
      </c>
      <c r="L1" s="25" t="s">
        <v>10016</v>
      </c>
      <c r="M1" s="25"/>
      <c r="N1" s="25" t="s">
        <v>10017</v>
      </c>
      <c r="O1" s="25" t="s">
        <v>10018</v>
      </c>
      <c r="P1" s="25" t="s">
        <v>10019</v>
      </c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 ht="18" customHeight="1" x14ac:dyDescent="0.35">
      <c r="A2" s="29"/>
      <c r="B2" s="171"/>
      <c r="C2" s="31"/>
      <c r="D2" s="32"/>
      <c r="E2" s="87"/>
      <c r="F2" s="15"/>
      <c r="G2" s="30"/>
      <c r="H2" s="171"/>
      <c r="I2" s="30"/>
      <c r="J2" s="30"/>
      <c r="K2" s="30"/>
      <c r="L2" s="33">
        <f>SUM(L4:L394)</f>
        <v>74450</v>
      </c>
      <c r="M2" s="33"/>
      <c r="N2" s="33"/>
      <c r="O2" s="33"/>
      <c r="P2" s="33" t="e">
        <f>SUM(P4:P394)</f>
        <v>#VALUE!</v>
      </c>
      <c r="Q2" s="33" t="e">
        <f>P2-L2</f>
        <v>#VALUE!</v>
      </c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18" customHeight="1" x14ac:dyDescent="0.35">
      <c r="A3" s="34">
        <v>43227</v>
      </c>
      <c r="B3" s="172">
        <v>955062118</v>
      </c>
      <c r="C3" s="35" t="s">
        <v>8736</v>
      </c>
      <c r="D3" s="88">
        <v>36016</v>
      </c>
      <c r="E3" s="88" t="s">
        <v>10020</v>
      </c>
      <c r="F3" s="36"/>
      <c r="G3" s="37"/>
      <c r="H3" s="49"/>
      <c r="I3" s="40" t="s">
        <v>10021</v>
      </c>
      <c r="J3" s="36" t="s">
        <v>10022</v>
      </c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spans="1:27" ht="18" customHeight="1" x14ac:dyDescent="0.35">
      <c r="A4" s="29">
        <v>43513</v>
      </c>
      <c r="B4" s="39">
        <v>506354419</v>
      </c>
      <c r="C4" s="31" t="s">
        <v>10023</v>
      </c>
      <c r="D4" s="87">
        <v>34341</v>
      </c>
      <c r="E4" s="87" t="s">
        <v>10024</v>
      </c>
      <c r="F4" s="15" t="s">
        <v>10025</v>
      </c>
      <c r="G4" s="38"/>
      <c r="H4" s="39"/>
      <c r="I4" s="38" t="s">
        <v>10026</v>
      </c>
      <c r="J4" s="15">
        <v>4300</v>
      </c>
      <c r="K4" s="15">
        <v>4300</v>
      </c>
      <c r="L4" s="15">
        <f t="shared" ref="L4:L10" si="0">J4-K4</f>
        <v>0</v>
      </c>
      <c r="M4" s="15"/>
      <c r="N4" s="15">
        <v>3500</v>
      </c>
      <c r="O4" s="15">
        <v>3500</v>
      </c>
      <c r="P4" s="15">
        <f t="shared" ref="P4:P38" si="1">N4-O4</f>
        <v>0</v>
      </c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 ht="18" customHeight="1" x14ac:dyDescent="0.35">
      <c r="A5" s="29"/>
      <c r="B5" s="39" t="s">
        <v>10027</v>
      </c>
      <c r="C5" s="31" t="s">
        <v>10028</v>
      </c>
      <c r="D5" s="87">
        <v>20973</v>
      </c>
      <c r="E5" s="87" t="s">
        <v>10029</v>
      </c>
      <c r="F5" s="15"/>
      <c r="G5" s="38"/>
      <c r="H5" s="39"/>
      <c r="I5" s="38" t="s">
        <v>10030</v>
      </c>
      <c r="J5" s="15">
        <v>4800</v>
      </c>
      <c r="K5" s="15">
        <f>3000+1800</f>
        <v>4800</v>
      </c>
      <c r="L5" s="15">
        <f t="shared" si="0"/>
        <v>0</v>
      </c>
      <c r="M5" s="15"/>
      <c r="N5" s="15">
        <v>4000</v>
      </c>
      <c r="O5" s="15">
        <v>4000</v>
      </c>
      <c r="P5" s="15">
        <f t="shared" si="1"/>
        <v>0</v>
      </c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8" customHeight="1" x14ac:dyDescent="0.35">
      <c r="A6" s="29">
        <v>43568</v>
      </c>
      <c r="B6" s="39"/>
      <c r="C6" s="31" t="s">
        <v>10031</v>
      </c>
      <c r="D6" s="87"/>
      <c r="E6" s="87" t="s">
        <v>10032</v>
      </c>
      <c r="F6" s="15"/>
      <c r="G6" s="38"/>
      <c r="H6" s="39"/>
      <c r="I6" s="38" t="s">
        <v>10033</v>
      </c>
      <c r="J6" s="15">
        <v>2800</v>
      </c>
      <c r="K6" s="15">
        <v>2800</v>
      </c>
      <c r="L6" s="15">
        <f t="shared" si="0"/>
        <v>0</v>
      </c>
      <c r="M6" s="15"/>
      <c r="N6" s="15">
        <v>2500</v>
      </c>
      <c r="O6" s="15">
        <v>2500</v>
      </c>
      <c r="P6" s="15">
        <f t="shared" si="1"/>
        <v>0</v>
      </c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8" customHeight="1" x14ac:dyDescent="0.35">
      <c r="A7" s="34"/>
      <c r="B7" s="49">
        <v>2072130619</v>
      </c>
      <c r="C7" s="35" t="s">
        <v>4646</v>
      </c>
      <c r="D7" s="88"/>
      <c r="E7" s="88" t="s">
        <v>10034</v>
      </c>
      <c r="F7" s="36" t="s">
        <v>10025</v>
      </c>
      <c r="G7" s="40"/>
      <c r="H7" s="49"/>
      <c r="I7" s="40" t="s">
        <v>10035</v>
      </c>
      <c r="J7" s="36">
        <v>4300</v>
      </c>
      <c r="K7" s="36">
        <v>4300</v>
      </c>
      <c r="L7" s="36">
        <f t="shared" si="0"/>
        <v>0</v>
      </c>
      <c r="M7" s="36"/>
      <c r="N7" s="36">
        <v>3500</v>
      </c>
      <c r="O7" s="36">
        <v>3500</v>
      </c>
      <c r="P7" s="36">
        <f t="shared" si="1"/>
        <v>0</v>
      </c>
      <c r="Q7" s="36" t="s">
        <v>10036</v>
      </c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27" ht="18" customHeight="1" x14ac:dyDescent="0.35">
      <c r="A8" s="29"/>
      <c r="B8" s="39"/>
      <c r="C8" s="31" t="s">
        <v>10037</v>
      </c>
      <c r="D8" s="87"/>
      <c r="E8" s="87" t="s">
        <v>10038</v>
      </c>
      <c r="F8" s="15"/>
      <c r="G8" s="38"/>
      <c r="H8" s="39"/>
      <c r="I8" s="38" t="s">
        <v>10033</v>
      </c>
      <c r="J8" s="15">
        <v>4700</v>
      </c>
      <c r="K8" s="15">
        <v>4700</v>
      </c>
      <c r="L8" s="15">
        <f t="shared" si="0"/>
        <v>0</v>
      </c>
      <c r="M8" s="15"/>
      <c r="N8" s="15">
        <v>3400</v>
      </c>
      <c r="O8" s="15">
        <v>3400</v>
      </c>
      <c r="P8" s="15">
        <f t="shared" si="1"/>
        <v>0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8" customHeight="1" x14ac:dyDescent="0.35">
      <c r="A9" s="34">
        <v>43698</v>
      </c>
      <c r="B9" s="49">
        <v>4733277619</v>
      </c>
      <c r="C9" s="35" t="s">
        <v>1987</v>
      </c>
      <c r="D9" s="88">
        <v>29537</v>
      </c>
      <c r="E9" s="88" t="s">
        <v>10039</v>
      </c>
      <c r="F9" s="36"/>
      <c r="G9" s="40"/>
      <c r="H9" s="49"/>
      <c r="I9" s="40" t="s">
        <v>10040</v>
      </c>
      <c r="J9" s="36">
        <v>4600</v>
      </c>
      <c r="K9" s="36">
        <f>3000+1600</f>
        <v>4600</v>
      </c>
      <c r="L9" s="36">
        <f t="shared" si="0"/>
        <v>0</v>
      </c>
      <c r="M9" s="36"/>
      <c r="N9" s="36">
        <v>3700</v>
      </c>
      <c r="O9" s="36">
        <f>3000+700</f>
        <v>3700</v>
      </c>
      <c r="P9" s="36">
        <f t="shared" si="1"/>
        <v>0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27" ht="18" customHeight="1" x14ac:dyDescent="0.35">
      <c r="A10" s="34">
        <v>43699</v>
      </c>
      <c r="B10" s="49" t="s">
        <v>10041</v>
      </c>
      <c r="C10" s="35" t="s">
        <v>10042</v>
      </c>
      <c r="D10" s="88">
        <v>36613</v>
      </c>
      <c r="E10" s="88" t="s">
        <v>10043</v>
      </c>
      <c r="F10" s="36"/>
      <c r="G10" s="40"/>
      <c r="H10" s="49"/>
      <c r="I10" s="40" t="s">
        <v>10040</v>
      </c>
      <c r="J10" s="36">
        <v>4500</v>
      </c>
      <c r="K10" s="36">
        <v>4500</v>
      </c>
      <c r="L10" s="36">
        <f t="shared" si="0"/>
        <v>0</v>
      </c>
      <c r="M10" s="36"/>
      <c r="N10" s="36">
        <v>3700</v>
      </c>
      <c r="O10" s="36">
        <v>3700</v>
      </c>
      <c r="P10" s="36">
        <f t="shared" si="1"/>
        <v>0</v>
      </c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spans="1:27" ht="18" customHeight="1" x14ac:dyDescent="0.35">
      <c r="A11" s="34"/>
      <c r="B11" s="49"/>
      <c r="C11" s="35" t="s">
        <v>10042</v>
      </c>
      <c r="D11" s="88"/>
      <c r="E11" s="88" t="s">
        <v>10044</v>
      </c>
      <c r="F11" s="36"/>
      <c r="G11" s="40"/>
      <c r="H11" s="49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spans="1:27" ht="18" customHeight="1" x14ac:dyDescent="0.35">
      <c r="A12" s="34"/>
      <c r="B12" s="49"/>
      <c r="C12" s="35" t="s">
        <v>10042</v>
      </c>
      <c r="D12" s="88"/>
      <c r="E12" s="88" t="s">
        <v>10045</v>
      </c>
      <c r="F12" s="36"/>
      <c r="G12" s="40"/>
      <c r="H12" s="49"/>
      <c r="I12" s="40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 ht="18" customHeight="1" x14ac:dyDescent="0.35">
      <c r="A13" s="39"/>
      <c r="B13" s="39">
        <v>2735580119</v>
      </c>
      <c r="C13" s="41" t="s">
        <v>9179</v>
      </c>
      <c r="D13" s="87">
        <v>23023</v>
      </c>
      <c r="E13" s="89" t="s">
        <v>10046</v>
      </c>
      <c r="F13" s="15"/>
      <c r="G13" s="38"/>
      <c r="H13" s="39"/>
      <c r="I13" s="38" t="s">
        <v>10033</v>
      </c>
      <c r="J13" s="15">
        <v>1700</v>
      </c>
      <c r="K13" s="15">
        <v>1700</v>
      </c>
      <c r="L13" s="15">
        <f t="shared" ref="L13:L38" si="2">J13-K13</f>
        <v>0</v>
      </c>
      <c r="M13" s="15"/>
      <c r="N13" s="15">
        <v>1200</v>
      </c>
      <c r="O13" s="15">
        <v>1200</v>
      </c>
      <c r="P13" s="15">
        <f t="shared" si="1"/>
        <v>0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8" customHeight="1" x14ac:dyDescent="0.35">
      <c r="A14" s="29">
        <v>43713</v>
      </c>
      <c r="B14" s="39"/>
      <c r="C14" s="41" t="s">
        <v>10047</v>
      </c>
      <c r="D14" s="87"/>
      <c r="E14" s="89" t="s">
        <v>10048</v>
      </c>
      <c r="F14" s="15" t="s">
        <v>10025</v>
      </c>
      <c r="G14" s="38"/>
      <c r="H14" s="39"/>
      <c r="I14" s="38" t="s">
        <v>10033</v>
      </c>
      <c r="J14" s="15">
        <f>1700+1100</f>
        <v>2800</v>
      </c>
      <c r="K14" s="15">
        <v>2800</v>
      </c>
      <c r="L14" s="15">
        <f t="shared" si="2"/>
        <v>0</v>
      </c>
      <c r="M14" s="15"/>
      <c r="N14" s="15">
        <f>1300+1100</f>
        <v>2400</v>
      </c>
      <c r="O14" s="15">
        <v>2400</v>
      </c>
      <c r="P14" s="15">
        <f t="shared" si="1"/>
        <v>0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8" customHeight="1" x14ac:dyDescent="0.35">
      <c r="A15" s="29">
        <v>43713</v>
      </c>
      <c r="B15" s="39"/>
      <c r="C15" s="41" t="s">
        <v>10049</v>
      </c>
      <c r="D15" s="87"/>
      <c r="E15" s="89" t="s">
        <v>10050</v>
      </c>
      <c r="F15" s="15" t="s">
        <v>10025</v>
      </c>
      <c r="G15" s="38"/>
      <c r="H15" s="39"/>
      <c r="I15" s="38" t="s">
        <v>10040</v>
      </c>
      <c r="J15" s="15">
        <f>1700+500</f>
        <v>2200</v>
      </c>
      <c r="K15" s="15">
        <v>2200</v>
      </c>
      <c r="L15" s="15">
        <f t="shared" si="2"/>
        <v>0</v>
      </c>
      <c r="M15" s="15"/>
      <c r="N15" s="15">
        <f>1300+400</f>
        <v>1700</v>
      </c>
      <c r="O15" s="15">
        <v>1700</v>
      </c>
      <c r="P15" s="15">
        <f t="shared" si="1"/>
        <v>0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8" customHeight="1" x14ac:dyDescent="0.35">
      <c r="A16" s="34">
        <v>43713</v>
      </c>
      <c r="B16" s="49">
        <v>2767761419</v>
      </c>
      <c r="C16" s="35" t="s">
        <v>10051</v>
      </c>
      <c r="D16" s="88">
        <v>35227</v>
      </c>
      <c r="E16" s="88" t="s">
        <v>10052</v>
      </c>
      <c r="F16" s="36"/>
      <c r="G16" s="40"/>
      <c r="H16" s="49"/>
      <c r="I16" s="40" t="s">
        <v>10040</v>
      </c>
      <c r="J16" s="36">
        <v>4600</v>
      </c>
      <c r="K16" s="36">
        <v>4600</v>
      </c>
      <c r="L16" s="36">
        <f t="shared" si="2"/>
        <v>0</v>
      </c>
      <c r="M16" s="36"/>
      <c r="N16" s="36">
        <v>3700</v>
      </c>
      <c r="O16" s="36">
        <f t="shared" ref="O16:O18" si="3">1500+2200</f>
        <v>3700</v>
      </c>
      <c r="P16" s="36">
        <f t="shared" si="1"/>
        <v>0</v>
      </c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spans="1:27" ht="18" customHeight="1" x14ac:dyDescent="0.35">
      <c r="A17" s="34"/>
      <c r="B17" s="49">
        <v>2767761419</v>
      </c>
      <c r="C17" s="35" t="s">
        <v>10051</v>
      </c>
      <c r="D17" s="88"/>
      <c r="E17" s="88" t="s">
        <v>10053</v>
      </c>
      <c r="F17" s="36"/>
      <c r="G17" s="40"/>
      <c r="H17" s="49"/>
      <c r="I17" s="40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27" ht="18" customHeight="1" x14ac:dyDescent="0.35">
      <c r="A18" s="34">
        <v>43716</v>
      </c>
      <c r="B18" s="49" t="s">
        <v>10054</v>
      </c>
      <c r="C18" s="35" t="s">
        <v>9245</v>
      </c>
      <c r="D18" s="88">
        <v>33368</v>
      </c>
      <c r="E18" s="88" t="s">
        <v>10055</v>
      </c>
      <c r="F18" s="36"/>
      <c r="G18" s="40"/>
      <c r="H18" s="49"/>
      <c r="I18" s="40" t="s">
        <v>10040</v>
      </c>
      <c r="J18" s="36">
        <v>4500</v>
      </c>
      <c r="K18" s="36">
        <f>2000+2500</f>
        <v>4500</v>
      </c>
      <c r="L18" s="36">
        <f t="shared" si="2"/>
        <v>0</v>
      </c>
      <c r="M18" s="36"/>
      <c r="N18" s="36">
        <v>3700</v>
      </c>
      <c r="O18" s="36">
        <f t="shared" si="3"/>
        <v>3700</v>
      </c>
      <c r="P18" s="36">
        <f t="shared" si="1"/>
        <v>0</v>
      </c>
      <c r="Q18" s="36" t="s">
        <v>10056</v>
      </c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spans="1:27" ht="18" customHeight="1" x14ac:dyDescent="0.35">
      <c r="A19" s="29">
        <v>43719</v>
      </c>
      <c r="B19" s="39"/>
      <c r="C19" s="31" t="s">
        <v>283</v>
      </c>
      <c r="D19" s="87"/>
      <c r="E19" s="87" t="s">
        <v>10057</v>
      </c>
      <c r="F19" s="15"/>
      <c r="G19" s="38"/>
      <c r="H19" s="39"/>
      <c r="I19" s="38" t="s">
        <v>10033</v>
      </c>
      <c r="J19" s="15">
        <v>2900</v>
      </c>
      <c r="K19" s="15">
        <v>2900</v>
      </c>
      <c r="L19" s="15">
        <f t="shared" si="2"/>
        <v>0</v>
      </c>
      <c r="M19" s="15"/>
      <c r="N19" s="15">
        <v>2400</v>
      </c>
      <c r="O19" s="15">
        <v>2400</v>
      </c>
      <c r="P19" s="15">
        <f t="shared" si="1"/>
        <v>0</v>
      </c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8" customHeight="1" x14ac:dyDescent="0.35">
      <c r="A20" s="34">
        <v>43719</v>
      </c>
      <c r="B20" s="49">
        <v>2896050719</v>
      </c>
      <c r="C20" s="35" t="s">
        <v>1111</v>
      </c>
      <c r="D20" s="88">
        <v>27936</v>
      </c>
      <c r="E20" s="88" t="s">
        <v>10058</v>
      </c>
      <c r="F20" s="36"/>
      <c r="G20" s="40"/>
      <c r="H20" s="49"/>
      <c r="I20" s="40" t="s">
        <v>10040</v>
      </c>
      <c r="J20" s="36">
        <v>4400</v>
      </c>
      <c r="K20" s="36">
        <v>4400</v>
      </c>
      <c r="L20" s="36">
        <f t="shared" si="2"/>
        <v>0</v>
      </c>
      <c r="M20" s="36"/>
      <c r="N20" s="36">
        <v>3700</v>
      </c>
      <c r="O20" s="36">
        <f>2500+1200</f>
        <v>3700</v>
      </c>
      <c r="P20" s="36">
        <f t="shared" si="1"/>
        <v>0</v>
      </c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spans="1:27" ht="18" customHeight="1" x14ac:dyDescent="0.35">
      <c r="A21" s="29">
        <v>43735</v>
      </c>
      <c r="B21" s="39"/>
      <c r="C21" s="42" t="s">
        <v>10059</v>
      </c>
      <c r="D21" s="87"/>
      <c r="E21" s="90" t="s">
        <v>10060</v>
      </c>
      <c r="F21" s="15"/>
      <c r="G21" s="38"/>
      <c r="H21" s="39"/>
      <c r="I21" s="38" t="s">
        <v>10033</v>
      </c>
      <c r="J21" s="15">
        <f>1100+1700</f>
        <v>2800</v>
      </c>
      <c r="K21" s="15">
        <v>2800</v>
      </c>
      <c r="L21" s="15">
        <f t="shared" si="2"/>
        <v>0</v>
      </c>
      <c r="M21" s="15"/>
      <c r="N21" s="15">
        <f>1100+1300</f>
        <v>2400</v>
      </c>
      <c r="O21" s="15">
        <v>2400</v>
      </c>
      <c r="P21" s="15">
        <f t="shared" si="1"/>
        <v>0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8" customHeight="1" x14ac:dyDescent="0.35">
      <c r="A22" s="34">
        <v>43751</v>
      </c>
      <c r="B22" s="49">
        <v>3617237319</v>
      </c>
      <c r="C22" s="35" t="s">
        <v>10061</v>
      </c>
      <c r="D22" s="88">
        <v>24901</v>
      </c>
      <c r="E22" s="88" t="s">
        <v>10062</v>
      </c>
      <c r="F22" s="36"/>
      <c r="G22" s="40">
        <v>1083670820</v>
      </c>
      <c r="H22" s="49"/>
      <c r="I22" s="40" t="s">
        <v>10040</v>
      </c>
      <c r="J22" s="36">
        <v>4500</v>
      </c>
      <c r="K22" s="36">
        <f>1500+3000</f>
        <v>4500</v>
      </c>
      <c r="L22" s="36">
        <f t="shared" si="2"/>
        <v>0</v>
      </c>
      <c r="M22" s="36"/>
      <c r="N22" s="36">
        <v>3700</v>
      </c>
      <c r="O22" s="36">
        <f>1500+2200</f>
        <v>3700</v>
      </c>
      <c r="P22" s="36">
        <f t="shared" si="1"/>
        <v>0</v>
      </c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1:27" ht="18" customHeight="1" x14ac:dyDescent="0.35">
      <c r="A23" s="34">
        <v>43751</v>
      </c>
      <c r="B23" s="49">
        <v>3617765419</v>
      </c>
      <c r="C23" s="35" t="s">
        <v>10063</v>
      </c>
      <c r="D23" s="88">
        <v>26456</v>
      </c>
      <c r="E23" s="88" t="s">
        <v>10064</v>
      </c>
      <c r="F23" s="36"/>
      <c r="G23" s="40"/>
      <c r="H23" s="49"/>
      <c r="I23" s="40" t="s">
        <v>10040</v>
      </c>
      <c r="J23" s="36">
        <v>4200</v>
      </c>
      <c r="K23" s="36">
        <f>1500+2700</f>
        <v>4200</v>
      </c>
      <c r="L23" s="36">
        <f t="shared" si="2"/>
        <v>0</v>
      </c>
      <c r="M23" s="36"/>
      <c r="N23" s="36">
        <v>3700</v>
      </c>
      <c r="O23" s="36">
        <v>3700</v>
      </c>
      <c r="P23" s="36">
        <f t="shared" si="1"/>
        <v>0</v>
      </c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1:27" ht="18" customHeight="1" x14ac:dyDescent="0.35">
      <c r="A24" s="34">
        <v>43753</v>
      </c>
      <c r="B24" s="49">
        <v>3618088419</v>
      </c>
      <c r="C24" s="35" t="s">
        <v>10065</v>
      </c>
      <c r="D24" s="88">
        <v>32152</v>
      </c>
      <c r="E24" s="88" t="s">
        <v>10066</v>
      </c>
      <c r="F24" s="36"/>
      <c r="G24" s="43">
        <v>1083441220</v>
      </c>
      <c r="H24" s="49"/>
      <c r="I24" s="40" t="s">
        <v>10040</v>
      </c>
      <c r="J24" s="36">
        <v>4300</v>
      </c>
      <c r="K24" s="36">
        <f>3000+1300</f>
        <v>4300</v>
      </c>
      <c r="L24" s="36">
        <f t="shared" si="2"/>
        <v>0</v>
      </c>
      <c r="M24" s="36"/>
      <c r="N24" s="36">
        <v>3700</v>
      </c>
      <c r="O24" s="36">
        <f t="shared" ref="O24:O26" si="4">1500+2200</f>
        <v>3700</v>
      </c>
      <c r="P24" s="36">
        <f t="shared" si="1"/>
        <v>0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1:27" ht="18" customHeight="1" x14ac:dyDescent="0.35">
      <c r="A25" s="34">
        <v>43759</v>
      </c>
      <c r="B25" s="49">
        <v>3769626919</v>
      </c>
      <c r="C25" s="35" t="s">
        <v>10067</v>
      </c>
      <c r="D25" s="88">
        <v>33758</v>
      </c>
      <c r="E25" s="88" t="s">
        <v>10068</v>
      </c>
      <c r="F25" s="36"/>
      <c r="G25" s="40">
        <v>934847220</v>
      </c>
      <c r="H25" s="49"/>
      <c r="I25" s="40" t="s">
        <v>10040</v>
      </c>
      <c r="J25" s="36">
        <f>4300+500</f>
        <v>4800</v>
      </c>
      <c r="K25" s="36">
        <f>2500+2300</f>
        <v>4800</v>
      </c>
      <c r="L25" s="36">
        <f t="shared" si="2"/>
        <v>0</v>
      </c>
      <c r="M25" s="36"/>
      <c r="N25" s="36">
        <v>3700</v>
      </c>
      <c r="O25" s="36">
        <f t="shared" si="4"/>
        <v>3700</v>
      </c>
      <c r="P25" s="36">
        <f t="shared" si="1"/>
        <v>0</v>
      </c>
      <c r="Q25" s="36"/>
      <c r="R25" s="36">
        <v>4000</v>
      </c>
      <c r="S25" s="36"/>
      <c r="T25" s="36"/>
      <c r="U25" s="36"/>
      <c r="V25" s="36"/>
      <c r="W25" s="36"/>
      <c r="X25" s="36"/>
      <c r="Y25" s="36"/>
      <c r="Z25" s="36"/>
      <c r="AA25" s="36"/>
    </row>
    <row r="26" spans="1:27" ht="18" customHeight="1" x14ac:dyDescent="0.35">
      <c r="A26" s="34">
        <v>43764</v>
      </c>
      <c r="B26" s="49">
        <v>3868186019</v>
      </c>
      <c r="C26" s="35" t="s">
        <v>10069</v>
      </c>
      <c r="D26" s="88">
        <v>35278</v>
      </c>
      <c r="E26" s="88" t="s">
        <v>10070</v>
      </c>
      <c r="F26" s="36"/>
      <c r="G26" s="40"/>
      <c r="H26" s="49"/>
      <c r="I26" s="40" t="s">
        <v>10040</v>
      </c>
      <c r="J26" s="36">
        <v>4300</v>
      </c>
      <c r="K26" s="36">
        <v>4300</v>
      </c>
      <c r="L26" s="36">
        <f t="shared" si="2"/>
        <v>0</v>
      </c>
      <c r="M26" s="36"/>
      <c r="N26" s="36">
        <v>3700</v>
      </c>
      <c r="O26" s="36">
        <f t="shared" si="4"/>
        <v>3700</v>
      </c>
      <c r="P26" s="36">
        <f t="shared" si="1"/>
        <v>0</v>
      </c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1:27" ht="18" customHeight="1" x14ac:dyDescent="0.35">
      <c r="A27" s="34">
        <v>43768</v>
      </c>
      <c r="B27" s="49">
        <v>3888169819</v>
      </c>
      <c r="C27" s="35" t="s">
        <v>10071</v>
      </c>
      <c r="D27" s="88">
        <v>37915</v>
      </c>
      <c r="E27" s="88" t="s">
        <v>10072</v>
      </c>
      <c r="F27" s="36"/>
      <c r="G27" s="40"/>
      <c r="H27" s="49"/>
      <c r="I27" s="40" t="s">
        <v>10040</v>
      </c>
      <c r="J27" s="36">
        <v>3000</v>
      </c>
      <c r="K27" s="36">
        <v>3000</v>
      </c>
      <c r="L27" s="36">
        <f t="shared" si="2"/>
        <v>0</v>
      </c>
      <c r="M27" s="36"/>
      <c r="N27" s="36">
        <v>2700</v>
      </c>
      <c r="O27" s="36">
        <f>1500+1200</f>
        <v>2700</v>
      </c>
      <c r="P27" s="36">
        <f t="shared" si="1"/>
        <v>0</v>
      </c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1:27" ht="18" customHeight="1" x14ac:dyDescent="0.35">
      <c r="A28" s="34">
        <v>43752</v>
      </c>
      <c r="B28" s="49">
        <v>4138167919</v>
      </c>
      <c r="C28" s="35" t="s">
        <v>10073</v>
      </c>
      <c r="D28" s="88">
        <v>35804</v>
      </c>
      <c r="E28" s="88" t="s">
        <v>10074</v>
      </c>
      <c r="F28" s="36"/>
      <c r="G28" s="40"/>
      <c r="H28" s="49"/>
      <c r="I28" s="40" t="s">
        <v>10040</v>
      </c>
      <c r="J28" s="36">
        <v>4500</v>
      </c>
      <c r="K28" s="36">
        <f>2500+2000</f>
        <v>4500</v>
      </c>
      <c r="L28" s="36">
        <f t="shared" si="2"/>
        <v>0</v>
      </c>
      <c r="M28" s="36"/>
      <c r="N28" s="36">
        <v>3700</v>
      </c>
      <c r="O28" s="36">
        <f t="shared" ref="O28:O30" si="5">1500+1000+1200</f>
        <v>3700</v>
      </c>
      <c r="P28" s="36">
        <f t="shared" si="1"/>
        <v>0</v>
      </c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1:27" ht="18" customHeight="1" x14ac:dyDescent="0.35">
      <c r="A29" s="34">
        <v>43752</v>
      </c>
      <c r="B29" s="49">
        <v>4150091319</v>
      </c>
      <c r="C29" s="35" t="s">
        <v>10075</v>
      </c>
      <c r="D29" s="88">
        <v>35531</v>
      </c>
      <c r="E29" s="88" t="s">
        <v>10076</v>
      </c>
      <c r="F29" s="36"/>
      <c r="G29" s="40">
        <v>1036735220</v>
      </c>
      <c r="H29" s="49"/>
      <c r="I29" s="40" t="s">
        <v>10040</v>
      </c>
      <c r="J29" s="36">
        <v>4300</v>
      </c>
      <c r="K29" s="36">
        <f>2000+2300</f>
        <v>4300</v>
      </c>
      <c r="L29" s="36">
        <f t="shared" si="2"/>
        <v>0</v>
      </c>
      <c r="M29" s="36"/>
      <c r="N29" s="36">
        <v>3700</v>
      </c>
      <c r="O29" s="36">
        <f t="shared" si="5"/>
        <v>3700</v>
      </c>
      <c r="P29" s="36">
        <f t="shared" si="1"/>
        <v>0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1:27" ht="18" customHeight="1" x14ac:dyDescent="0.35">
      <c r="A30" s="34">
        <v>43752</v>
      </c>
      <c r="B30" s="49">
        <v>4150679619</v>
      </c>
      <c r="C30" s="35" t="s">
        <v>2877</v>
      </c>
      <c r="D30" s="88">
        <v>36170</v>
      </c>
      <c r="E30" s="88" t="s">
        <v>10077</v>
      </c>
      <c r="F30" s="36"/>
      <c r="G30" s="40"/>
      <c r="H30" s="49"/>
      <c r="I30" s="40" t="s">
        <v>10040</v>
      </c>
      <c r="J30" s="36">
        <v>4300</v>
      </c>
      <c r="K30" s="36">
        <v>4300</v>
      </c>
      <c r="L30" s="36">
        <f t="shared" si="2"/>
        <v>0</v>
      </c>
      <c r="M30" s="36"/>
      <c r="N30" s="36">
        <v>3700</v>
      </c>
      <c r="O30" s="36">
        <f t="shared" si="5"/>
        <v>3700</v>
      </c>
      <c r="P30" s="36">
        <f t="shared" si="1"/>
        <v>0</v>
      </c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1:27" ht="18" customHeight="1" x14ac:dyDescent="0.35">
      <c r="A31" s="34">
        <v>43756</v>
      </c>
      <c r="B31" s="49">
        <v>4218308919</v>
      </c>
      <c r="C31" s="35" t="s">
        <v>10078</v>
      </c>
      <c r="D31" s="88">
        <v>35643</v>
      </c>
      <c r="E31" s="88" t="s">
        <v>10079</v>
      </c>
      <c r="F31" s="36"/>
      <c r="G31" s="40">
        <v>1079233420</v>
      </c>
      <c r="H31" s="49"/>
      <c r="I31" s="40" t="s">
        <v>10040</v>
      </c>
      <c r="J31" s="36">
        <v>3300</v>
      </c>
      <c r="K31" s="36">
        <f>2000+1200</f>
        <v>3200</v>
      </c>
      <c r="L31" s="36">
        <f t="shared" si="2"/>
        <v>100</v>
      </c>
      <c r="M31" s="36"/>
      <c r="N31" s="36">
        <v>2700</v>
      </c>
      <c r="O31" s="36">
        <f>1500+700+500</f>
        <v>2700</v>
      </c>
      <c r="P31" s="36">
        <f t="shared" si="1"/>
        <v>0</v>
      </c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8" customHeight="1" x14ac:dyDescent="0.35">
      <c r="A32" s="34">
        <v>43795</v>
      </c>
      <c r="B32" s="49"/>
      <c r="C32" s="35" t="s">
        <v>10080</v>
      </c>
      <c r="D32" s="88"/>
      <c r="E32" s="88" t="s">
        <v>10081</v>
      </c>
      <c r="F32" s="36"/>
      <c r="G32" s="40"/>
      <c r="H32" s="49"/>
      <c r="I32" s="40" t="s">
        <v>8168</v>
      </c>
      <c r="J32" s="36">
        <v>2500</v>
      </c>
      <c r="K32" s="36">
        <v>2500</v>
      </c>
      <c r="L32" s="36">
        <f t="shared" si="2"/>
        <v>0</v>
      </c>
      <c r="M32" s="36"/>
      <c r="N32" s="36">
        <v>1900</v>
      </c>
      <c r="O32" s="36">
        <v>1900</v>
      </c>
      <c r="P32" s="36">
        <f t="shared" si="1"/>
        <v>0</v>
      </c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ht="18" customHeight="1" x14ac:dyDescent="0.35">
      <c r="A33" s="44">
        <v>43824</v>
      </c>
      <c r="B33" s="173">
        <v>4853253819</v>
      </c>
      <c r="C33" s="46" t="s">
        <v>10082</v>
      </c>
      <c r="D33" s="91">
        <v>34439</v>
      </c>
      <c r="E33" s="91" t="s">
        <v>10083</v>
      </c>
      <c r="F33" s="45" t="s">
        <v>10084</v>
      </c>
      <c r="G33" s="47" t="s">
        <v>10085</v>
      </c>
      <c r="H33" s="173"/>
      <c r="I33" s="47" t="s">
        <v>10040</v>
      </c>
      <c r="J33" s="45">
        <f>4300+500+300+500</f>
        <v>5600</v>
      </c>
      <c r="K33" s="45">
        <f>2500+3300</f>
        <v>5800</v>
      </c>
      <c r="L33" s="45">
        <f t="shared" si="2"/>
        <v>-200</v>
      </c>
      <c r="M33" s="45"/>
      <c r="N33" s="45">
        <f>3700+400+500+500</f>
        <v>5100</v>
      </c>
      <c r="O33" s="45">
        <v>1500</v>
      </c>
      <c r="P33" s="45">
        <f t="shared" si="1"/>
        <v>3600</v>
      </c>
      <c r="Q33" s="45" t="s">
        <v>8051</v>
      </c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spans="1:27" ht="18" customHeight="1" x14ac:dyDescent="0.35">
      <c r="A34" s="34">
        <v>43832</v>
      </c>
      <c r="B34" s="49">
        <v>42323620</v>
      </c>
      <c r="C34" s="35" t="s">
        <v>10086</v>
      </c>
      <c r="D34" s="88">
        <v>34722</v>
      </c>
      <c r="E34" s="88" t="s">
        <v>10087</v>
      </c>
      <c r="F34" s="36" t="s">
        <v>10088</v>
      </c>
      <c r="G34" s="40">
        <v>2793709520</v>
      </c>
      <c r="H34" s="49"/>
      <c r="I34" s="40" t="s">
        <v>10089</v>
      </c>
      <c r="J34" s="36">
        <v>3200</v>
      </c>
      <c r="K34" s="36">
        <f>2000+1200</f>
        <v>3200</v>
      </c>
      <c r="L34" s="36">
        <f t="shared" si="2"/>
        <v>0</v>
      </c>
      <c r="M34" s="36"/>
      <c r="N34" s="36">
        <v>2700</v>
      </c>
      <c r="O34" s="36">
        <f t="shared" ref="O34:O35" si="6">1500+1200</f>
        <v>2700</v>
      </c>
      <c r="P34" s="36">
        <f t="shared" si="1"/>
        <v>0</v>
      </c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1:27" ht="18" customHeight="1" x14ac:dyDescent="0.35">
      <c r="A35" s="34">
        <v>43836</v>
      </c>
      <c r="B35" s="49">
        <v>67495620</v>
      </c>
      <c r="C35" s="35" t="s">
        <v>10090</v>
      </c>
      <c r="D35" s="88">
        <v>29110</v>
      </c>
      <c r="E35" s="88" t="s">
        <v>10091</v>
      </c>
      <c r="F35" s="36" t="s">
        <v>10092</v>
      </c>
      <c r="G35" s="48">
        <v>3352360720</v>
      </c>
      <c r="H35" s="173"/>
      <c r="I35" s="40" t="s">
        <v>10089</v>
      </c>
      <c r="J35" s="36">
        <v>3000</v>
      </c>
      <c r="K35" s="36">
        <f>1500+1500</f>
        <v>3000</v>
      </c>
      <c r="L35" s="36">
        <f t="shared" si="2"/>
        <v>0</v>
      </c>
      <c r="M35" s="36"/>
      <c r="N35" s="36">
        <v>2700</v>
      </c>
      <c r="O35" s="36">
        <f t="shared" si="6"/>
        <v>2700</v>
      </c>
      <c r="P35" s="36">
        <f t="shared" si="1"/>
        <v>0</v>
      </c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27" ht="18" customHeight="1" x14ac:dyDescent="0.35">
      <c r="A36" s="49"/>
      <c r="B36" s="49">
        <v>137821120</v>
      </c>
      <c r="C36" s="35" t="s">
        <v>9854</v>
      </c>
      <c r="D36" s="88">
        <v>18798</v>
      </c>
      <c r="E36" s="88" t="s">
        <v>10093</v>
      </c>
      <c r="F36" s="36"/>
      <c r="G36" s="40"/>
      <c r="H36" s="49"/>
      <c r="I36" s="40" t="s">
        <v>8168</v>
      </c>
      <c r="J36" s="36">
        <v>1700</v>
      </c>
      <c r="K36" s="36">
        <v>1700</v>
      </c>
      <c r="L36" s="36">
        <f t="shared" si="2"/>
        <v>0</v>
      </c>
      <c r="M36" s="36"/>
      <c r="N36" s="36">
        <v>1300</v>
      </c>
      <c r="O36" s="36">
        <v>1300</v>
      </c>
      <c r="P36" s="36">
        <f t="shared" si="1"/>
        <v>0</v>
      </c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1:27" ht="18" customHeight="1" x14ac:dyDescent="0.35">
      <c r="A37" s="49"/>
      <c r="B37" s="49">
        <v>156980820</v>
      </c>
      <c r="C37" s="35" t="s">
        <v>10094</v>
      </c>
      <c r="D37" s="88">
        <v>27764</v>
      </c>
      <c r="E37" s="88" t="s">
        <v>10095</v>
      </c>
      <c r="F37" s="36" t="s">
        <v>10096</v>
      </c>
      <c r="G37" s="50">
        <v>3538908020</v>
      </c>
      <c r="H37" s="49"/>
      <c r="I37" s="40" t="s">
        <v>10040</v>
      </c>
      <c r="J37" s="36">
        <v>4300</v>
      </c>
      <c r="K37" s="36">
        <f>2000+1000</f>
        <v>3000</v>
      </c>
      <c r="L37" s="36">
        <f t="shared" si="2"/>
        <v>1300</v>
      </c>
      <c r="M37" s="36"/>
      <c r="N37" s="36">
        <v>3700</v>
      </c>
      <c r="O37" s="36">
        <v>3700</v>
      </c>
      <c r="P37" s="36">
        <f t="shared" si="1"/>
        <v>0</v>
      </c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1:27" ht="18" customHeight="1" x14ac:dyDescent="0.35">
      <c r="A38" s="35">
        <v>43848</v>
      </c>
      <c r="B38" s="49"/>
      <c r="C38" s="35" t="s">
        <v>10097</v>
      </c>
      <c r="D38" s="88">
        <v>34629</v>
      </c>
      <c r="E38" s="88" t="s">
        <v>10098</v>
      </c>
      <c r="F38" s="308" t="s">
        <v>10099</v>
      </c>
      <c r="G38" s="40">
        <v>259918020</v>
      </c>
      <c r="H38" s="49"/>
      <c r="I38" s="40" t="s">
        <v>10040</v>
      </c>
      <c r="J38" s="36">
        <v>4800</v>
      </c>
      <c r="K38" s="36">
        <v>4000</v>
      </c>
      <c r="L38" s="36">
        <f t="shared" si="2"/>
        <v>800</v>
      </c>
      <c r="M38" s="36"/>
      <c r="N38" s="36">
        <v>3700</v>
      </c>
      <c r="O38" s="36">
        <f>1500+2200</f>
        <v>3700</v>
      </c>
      <c r="P38" s="36">
        <f t="shared" si="1"/>
        <v>0</v>
      </c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1:27" ht="18" customHeight="1" x14ac:dyDescent="0.35">
      <c r="A39" s="31">
        <v>43848</v>
      </c>
      <c r="B39" s="39">
        <v>260000020</v>
      </c>
      <c r="C39" s="51" t="s">
        <v>10100</v>
      </c>
      <c r="D39" s="87">
        <v>34669</v>
      </c>
      <c r="E39" s="92" t="s">
        <v>10101</v>
      </c>
      <c r="F39" s="52" t="s">
        <v>10102</v>
      </c>
      <c r="G39" s="38"/>
      <c r="H39" s="39"/>
      <c r="I39" s="38" t="s">
        <v>10040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8" customHeight="1" x14ac:dyDescent="0.35">
      <c r="A40" s="34">
        <v>43850</v>
      </c>
      <c r="B40" s="49">
        <v>273088420</v>
      </c>
      <c r="C40" s="35" t="s">
        <v>2774</v>
      </c>
      <c r="D40" s="88">
        <v>27395</v>
      </c>
      <c r="E40" s="88" t="s">
        <v>10103</v>
      </c>
      <c r="F40" s="36"/>
      <c r="G40" s="43">
        <v>3352316220</v>
      </c>
      <c r="H40" s="49"/>
      <c r="I40" s="40" t="s">
        <v>10040</v>
      </c>
      <c r="J40" s="36">
        <v>4500</v>
      </c>
      <c r="K40" s="36">
        <v>4500</v>
      </c>
      <c r="L40" s="36">
        <f t="shared" ref="L40:L171" si="7">J40-K40</f>
        <v>0</v>
      </c>
      <c r="M40" s="36"/>
      <c r="N40" s="36">
        <v>3700</v>
      </c>
      <c r="O40" s="36">
        <f>1500+2000+200</f>
        <v>3700</v>
      </c>
      <c r="P40" s="36">
        <f>N40-O40</f>
        <v>0</v>
      </c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spans="1:27" ht="18" customHeight="1" x14ac:dyDescent="0.35">
      <c r="A41" s="49"/>
      <c r="B41" s="49"/>
      <c r="C41" s="35" t="s">
        <v>10104</v>
      </c>
      <c r="D41" s="88">
        <v>20041</v>
      </c>
      <c r="E41" s="88" t="s">
        <v>10105</v>
      </c>
      <c r="F41" s="36"/>
      <c r="G41" s="40"/>
      <c r="H41" s="49"/>
      <c r="I41" s="40" t="s">
        <v>10106</v>
      </c>
      <c r="J41" s="36">
        <v>5000</v>
      </c>
      <c r="K41" s="36">
        <v>5000</v>
      </c>
      <c r="L41" s="15">
        <f t="shared" si="7"/>
        <v>0</v>
      </c>
      <c r="M41" s="15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spans="1:27" ht="18" customHeight="1" x14ac:dyDescent="0.35">
      <c r="A42" s="53">
        <v>43862</v>
      </c>
      <c r="B42" s="174">
        <v>466444120</v>
      </c>
      <c r="C42" s="55" t="s">
        <v>10107</v>
      </c>
      <c r="D42" s="93">
        <v>26304</v>
      </c>
      <c r="E42" s="93" t="s">
        <v>10108</v>
      </c>
      <c r="F42" s="54"/>
      <c r="G42" s="56">
        <v>804604721</v>
      </c>
      <c r="H42" s="174"/>
      <c r="I42" s="61" t="s">
        <v>10109</v>
      </c>
      <c r="J42" s="54">
        <v>3300</v>
      </c>
      <c r="K42" s="54">
        <v>3300</v>
      </c>
      <c r="L42" s="54">
        <f t="shared" si="7"/>
        <v>0</v>
      </c>
      <c r="M42" s="54"/>
      <c r="N42" s="54">
        <v>2700</v>
      </c>
      <c r="O42" s="54">
        <f>1500+1200</f>
        <v>2700</v>
      </c>
      <c r="P42" s="54">
        <f t="shared" ref="P42:P168" si="8">N42-O42</f>
        <v>0</v>
      </c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8" customHeight="1" x14ac:dyDescent="0.35">
      <c r="A43" s="49"/>
      <c r="B43" s="49"/>
      <c r="C43" s="35" t="s">
        <v>10110</v>
      </c>
      <c r="D43" s="88"/>
      <c r="E43" s="88" t="s">
        <v>10111</v>
      </c>
      <c r="F43" s="36"/>
      <c r="G43" s="40"/>
      <c r="H43" s="49"/>
      <c r="I43" s="40" t="s">
        <v>10106</v>
      </c>
      <c r="J43" s="36">
        <v>1500</v>
      </c>
      <c r="K43" s="36">
        <v>1500</v>
      </c>
      <c r="L43" s="36">
        <f t="shared" si="7"/>
        <v>0</v>
      </c>
      <c r="M43" s="36"/>
      <c r="N43" s="36">
        <v>1300</v>
      </c>
      <c r="O43" s="36">
        <v>1300</v>
      </c>
      <c r="P43" s="36">
        <f t="shared" si="8"/>
        <v>0</v>
      </c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spans="1:27" ht="18" customHeight="1" x14ac:dyDescent="0.35">
      <c r="A44" s="49"/>
      <c r="B44" s="49"/>
      <c r="C44" s="35" t="s">
        <v>10112</v>
      </c>
      <c r="D44" s="88"/>
      <c r="E44" s="88" t="s">
        <v>10113</v>
      </c>
      <c r="F44" s="36"/>
      <c r="G44" s="40"/>
      <c r="H44" s="49"/>
      <c r="I44" s="40" t="s">
        <v>10114</v>
      </c>
      <c r="J44" s="36">
        <v>1400</v>
      </c>
      <c r="K44" s="36">
        <v>1400</v>
      </c>
      <c r="L44" s="36">
        <f t="shared" si="7"/>
        <v>0</v>
      </c>
      <c r="M44" s="36"/>
      <c r="N44" s="36">
        <v>1100</v>
      </c>
      <c r="O44" s="36">
        <v>1100</v>
      </c>
      <c r="P44" s="36">
        <f t="shared" si="8"/>
        <v>0</v>
      </c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spans="1:27" ht="18" customHeight="1" x14ac:dyDescent="0.35">
      <c r="A45" s="49"/>
      <c r="B45" s="49">
        <v>584124220</v>
      </c>
      <c r="C45" s="35" t="s">
        <v>10115</v>
      </c>
      <c r="D45" s="88">
        <v>34669</v>
      </c>
      <c r="E45" s="88" t="s">
        <v>10101</v>
      </c>
      <c r="F45" s="36" t="s">
        <v>10116</v>
      </c>
      <c r="G45" s="43">
        <v>3352289120</v>
      </c>
      <c r="H45" s="49"/>
      <c r="I45" s="40" t="s">
        <v>10040</v>
      </c>
      <c r="J45" s="36">
        <v>4800</v>
      </c>
      <c r="K45" s="36">
        <v>4800</v>
      </c>
      <c r="L45" s="36">
        <f t="shared" si="7"/>
        <v>0</v>
      </c>
      <c r="M45" s="36"/>
      <c r="N45" s="36">
        <v>3700</v>
      </c>
      <c r="O45" s="36">
        <f>1500+2200</f>
        <v>3700</v>
      </c>
      <c r="P45" s="36">
        <f t="shared" si="8"/>
        <v>0</v>
      </c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1:27" ht="18" customHeight="1" x14ac:dyDescent="0.35">
      <c r="A46" s="49"/>
      <c r="B46" s="49">
        <v>598977420</v>
      </c>
      <c r="C46" s="35" t="s">
        <v>10063</v>
      </c>
      <c r="D46" s="88">
        <v>30935</v>
      </c>
      <c r="E46" s="88" t="s">
        <v>10117</v>
      </c>
      <c r="F46" s="36"/>
      <c r="G46" s="40"/>
      <c r="H46" s="49"/>
      <c r="I46" s="40" t="s">
        <v>10114</v>
      </c>
      <c r="J46" s="36">
        <v>1500</v>
      </c>
      <c r="K46" s="36">
        <v>1500</v>
      </c>
      <c r="L46" s="36">
        <f t="shared" si="7"/>
        <v>0</v>
      </c>
      <c r="M46" s="36"/>
      <c r="N46" s="36">
        <v>1100</v>
      </c>
      <c r="O46" s="36">
        <v>1100</v>
      </c>
      <c r="P46" s="36">
        <f t="shared" si="8"/>
        <v>0</v>
      </c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1:27" ht="18" customHeight="1" x14ac:dyDescent="0.35">
      <c r="A47" s="29"/>
      <c r="B47" s="39">
        <v>824093420</v>
      </c>
      <c r="C47" s="31" t="s">
        <v>10118</v>
      </c>
      <c r="D47" s="87">
        <v>35049</v>
      </c>
      <c r="E47" s="87" t="s">
        <v>10111</v>
      </c>
      <c r="F47" s="57"/>
      <c r="G47" s="58"/>
      <c r="H47" s="39"/>
      <c r="I47" s="38" t="s">
        <v>10119</v>
      </c>
      <c r="J47" s="15">
        <v>3200</v>
      </c>
      <c r="K47" s="15">
        <v>1000</v>
      </c>
      <c r="L47" s="15">
        <f t="shared" si="7"/>
        <v>2200</v>
      </c>
      <c r="M47" s="15"/>
      <c r="N47" s="15">
        <v>2700</v>
      </c>
      <c r="O47" s="15">
        <v>1500</v>
      </c>
      <c r="P47" s="15">
        <f t="shared" si="8"/>
        <v>1200</v>
      </c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8" customHeight="1" x14ac:dyDescent="0.35">
      <c r="A48" s="29">
        <v>43892</v>
      </c>
      <c r="B48" s="39">
        <v>899858420</v>
      </c>
      <c r="C48" s="31" t="s">
        <v>10120</v>
      </c>
      <c r="D48" s="87">
        <v>33604</v>
      </c>
      <c r="E48" s="87" t="s">
        <v>10121</v>
      </c>
      <c r="F48" s="57"/>
      <c r="G48" s="58" t="s">
        <v>10085</v>
      </c>
      <c r="H48" s="39"/>
      <c r="I48" s="38" t="s">
        <v>10122</v>
      </c>
      <c r="J48" s="15">
        <v>4700</v>
      </c>
      <c r="K48" s="15">
        <f>2500+2200</f>
        <v>4700</v>
      </c>
      <c r="L48" s="15">
        <f t="shared" si="7"/>
        <v>0</v>
      </c>
      <c r="M48" s="15"/>
      <c r="N48" s="15">
        <v>3700</v>
      </c>
      <c r="O48" s="15">
        <v>1500</v>
      </c>
      <c r="P48" s="15">
        <f t="shared" si="8"/>
        <v>2200</v>
      </c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8" customHeight="1" x14ac:dyDescent="0.35">
      <c r="A49" s="34">
        <v>43899</v>
      </c>
      <c r="B49" s="49"/>
      <c r="C49" s="35" t="s">
        <v>10123</v>
      </c>
      <c r="D49" s="88">
        <v>33012</v>
      </c>
      <c r="E49" s="88" t="s">
        <v>10124</v>
      </c>
      <c r="F49" s="308"/>
      <c r="G49" s="40"/>
      <c r="H49" s="49"/>
      <c r="I49" s="40" t="s">
        <v>8783</v>
      </c>
      <c r="J49" s="36">
        <v>1500</v>
      </c>
      <c r="K49" s="36">
        <v>1500</v>
      </c>
      <c r="L49" s="36">
        <f t="shared" si="7"/>
        <v>0</v>
      </c>
      <c r="M49" s="36"/>
      <c r="N49" s="36"/>
      <c r="O49" s="36"/>
      <c r="P49" s="36">
        <f t="shared" si="8"/>
        <v>0</v>
      </c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spans="1:27" ht="18" customHeight="1" x14ac:dyDescent="0.35">
      <c r="A50" s="34">
        <v>43901</v>
      </c>
      <c r="B50" s="49"/>
      <c r="C50" s="35" t="s">
        <v>10125</v>
      </c>
      <c r="D50" s="88">
        <v>25995</v>
      </c>
      <c r="E50" s="88" t="s">
        <v>10126</v>
      </c>
      <c r="F50" s="308"/>
      <c r="G50" s="59"/>
      <c r="H50" s="49"/>
      <c r="I50" s="40" t="s">
        <v>8783</v>
      </c>
      <c r="J50" s="36">
        <v>1700</v>
      </c>
      <c r="K50" s="36">
        <v>1700</v>
      </c>
      <c r="L50" s="36">
        <f t="shared" si="7"/>
        <v>0</v>
      </c>
      <c r="M50" s="36"/>
      <c r="N50" s="36">
        <v>1300</v>
      </c>
      <c r="O50" s="36">
        <v>1300</v>
      </c>
      <c r="P50" s="36">
        <f t="shared" si="8"/>
        <v>0</v>
      </c>
      <c r="Q50" s="36" t="s">
        <v>10127</v>
      </c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spans="1:27" ht="18" customHeight="1" x14ac:dyDescent="0.35">
      <c r="A51" s="34"/>
      <c r="B51" s="49"/>
      <c r="C51" s="35" t="s">
        <v>10128</v>
      </c>
      <c r="D51" s="88"/>
      <c r="E51" s="88" t="s">
        <v>10129</v>
      </c>
      <c r="F51" s="308"/>
      <c r="G51" s="59"/>
      <c r="H51" s="49"/>
      <c r="I51" s="40"/>
      <c r="J51" s="36">
        <f>2200+1700+400</f>
        <v>4300</v>
      </c>
      <c r="K51" s="36">
        <v>3000</v>
      </c>
      <c r="L51" s="36">
        <f t="shared" si="7"/>
        <v>1300</v>
      </c>
      <c r="M51" s="36"/>
      <c r="N51" s="36">
        <v>2700</v>
      </c>
      <c r="O51" s="36">
        <v>2700</v>
      </c>
      <c r="P51" s="36">
        <f t="shared" si="8"/>
        <v>0</v>
      </c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spans="1:27" ht="18" customHeight="1" x14ac:dyDescent="0.35">
      <c r="A52" s="34">
        <v>43910</v>
      </c>
      <c r="B52" s="49"/>
      <c r="C52" s="35" t="s">
        <v>10130</v>
      </c>
      <c r="D52" s="88"/>
      <c r="E52" s="88" t="s">
        <v>10131</v>
      </c>
      <c r="F52" s="308" t="s">
        <v>10132</v>
      </c>
      <c r="G52" s="59"/>
      <c r="H52" s="49"/>
      <c r="I52" s="40" t="s">
        <v>10114</v>
      </c>
      <c r="J52" s="36">
        <f>1500+400</f>
        <v>1900</v>
      </c>
      <c r="K52" s="36">
        <v>1900</v>
      </c>
      <c r="L52" s="36">
        <f t="shared" si="7"/>
        <v>0</v>
      </c>
      <c r="M52" s="36"/>
      <c r="N52" s="36">
        <v>1600</v>
      </c>
      <c r="O52" s="36">
        <v>1600</v>
      </c>
      <c r="P52" s="36">
        <f t="shared" si="8"/>
        <v>0</v>
      </c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spans="1:27" ht="18" customHeight="1" x14ac:dyDescent="0.35">
      <c r="A53" s="34">
        <v>44078</v>
      </c>
      <c r="B53" s="49">
        <v>2509951020</v>
      </c>
      <c r="C53" s="35" t="s">
        <v>10133</v>
      </c>
      <c r="D53" s="88">
        <v>30330</v>
      </c>
      <c r="E53" s="88" t="s">
        <v>10134</v>
      </c>
      <c r="F53" s="308" t="s">
        <v>10135</v>
      </c>
      <c r="G53" s="59"/>
      <c r="H53" s="49"/>
      <c r="I53" s="40" t="s">
        <v>10114</v>
      </c>
      <c r="J53" s="36">
        <v>1500</v>
      </c>
      <c r="K53" s="36">
        <v>1500</v>
      </c>
      <c r="L53" s="36">
        <f t="shared" si="7"/>
        <v>0</v>
      </c>
      <c r="M53" s="36"/>
      <c r="N53" s="36">
        <v>1200</v>
      </c>
      <c r="O53" s="36">
        <v>1200</v>
      </c>
      <c r="P53" s="36">
        <f t="shared" si="8"/>
        <v>0</v>
      </c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spans="1:27" ht="18" customHeight="1" x14ac:dyDescent="0.35">
      <c r="A54" s="49"/>
      <c r="B54" s="49">
        <v>2499081620</v>
      </c>
      <c r="C54" s="35" t="s">
        <v>10136</v>
      </c>
      <c r="D54" s="88">
        <v>27603</v>
      </c>
      <c r="E54" s="88" t="s">
        <v>10137</v>
      </c>
      <c r="F54" s="36"/>
      <c r="G54" s="40"/>
      <c r="H54" s="49"/>
      <c r="I54" s="40" t="s">
        <v>10114</v>
      </c>
      <c r="J54" s="36">
        <v>1500</v>
      </c>
      <c r="K54" s="36">
        <v>1500</v>
      </c>
      <c r="L54" s="36">
        <f t="shared" si="7"/>
        <v>0</v>
      </c>
      <c r="M54" s="36"/>
      <c r="N54" s="36">
        <v>1200</v>
      </c>
      <c r="O54" s="36">
        <v>1200</v>
      </c>
      <c r="P54" s="36">
        <f t="shared" si="8"/>
        <v>0</v>
      </c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spans="1:27" ht="18" customHeight="1" x14ac:dyDescent="0.35">
      <c r="A55" s="34">
        <v>44102</v>
      </c>
      <c r="B55" s="49"/>
      <c r="C55" s="35" t="s">
        <v>9789</v>
      </c>
      <c r="D55" s="88"/>
      <c r="E55" s="88" t="s">
        <v>10138</v>
      </c>
      <c r="F55" s="36"/>
      <c r="G55" s="40"/>
      <c r="H55" s="49"/>
      <c r="I55" s="40" t="s">
        <v>10114</v>
      </c>
      <c r="J55" s="36">
        <v>1800</v>
      </c>
      <c r="K55" s="36">
        <v>1800</v>
      </c>
      <c r="L55" s="36">
        <f t="shared" si="7"/>
        <v>0</v>
      </c>
      <c r="M55" s="36"/>
      <c r="N55" s="36">
        <v>1400</v>
      </c>
      <c r="O55" s="36">
        <v>1400</v>
      </c>
      <c r="P55" s="36">
        <f t="shared" si="8"/>
        <v>0</v>
      </c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spans="1:27" ht="18" customHeight="1" x14ac:dyDescent="0.35">
      <c r="A56" s="34">
        <v>44103</v>
      </c>
      <c r="B56" s="49"/>
      <c r="C56" s="35" t="s">
        <v>10139</v>
      </c>
      <c r="D56" s="88"/>
      <c r="E56" s="88" t="s">
        <v>10140</v>
      </c>
      <c r="F56" s="36"/>
      <c r="G56" s="40"/>
      <c r="H56" s="49"/>
      <c r="I56" s="40" t="s">
        <v>10114</v>
      </c>
      <c r="J56" s="36">
        <v>2000</v>
      </c>
      <c r="K56" s="36">
        <v>2000</v>
      </c>
      <c r="L56" s="36">
        <f t="shared" si="7"/>
        <v>0</v>
      </c>
      <c r="M56" s="36"/>
      <c r="N56" s="36">
        <v>1500</v>
      </c>
      <c r="O56" s="36">
        <v>1500</v>
      </c>
      <c r="P56" s="36">
        <f t="shared" si="8"/>
        <v>0</v>
      </c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spans="1:27" ht="18" customHeight="1" x14ac:dyDescent="0.35">
      <c r="A57" s="53">
        <v>44110</v>
      </c>
      <c r="B57" s="174"/>
      <c r="C57" s="55" t="s">
        <v>10141</v>
      </c>
      <c r="D57" s="93"/>
      <c r="E57" s="93" t="s">
        <v>10142</v>
      </c>
      <c r="F57" s="60"/>
      <c r="G57" s="61"/>
      <c r="H57" s="39"/>
      <c r="I57" s="61" t="s">
        <v>10114</v>
      </c>
      <c r="J57" s="54">
        <v>7400</v>
      </c>
      <c r="K57" s="54">
        <f>6000+1400</f>
        <v>7400</v>
      </c>
      <c r="L57" s="54">
        <f t="shared" si="7"/>
        <v>0</v>
      </c>
      <c r="M57" s="54"/>
      <c r="N57" s="54">
        <f>1500+2100*2+1400</f>
        <v>7100</v>
      </c>
      <c r="O57" s="54">
        <f>6000+1100</f>
        <v>7100</v>
      </c>
      <c r="P57" s="54">
        <f t="shared" si="8"/>
        <v>0</v>
      </c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8" customHeight="1" x14ac:dyDescent="0.35">
      <c r="A58" s="34">
        <v>44109</v>
      </c>
      <c r="B58" s="49"/>
      <c r="C58" s="35" t="s">
        <v>10143</v>
      </c>
      <c r="D58" s="88"/>
      <c r="E58" s="88" t="s">
        <v>10144</v>
      </c>
      <c r="F58" s="60"/>
      <c r="G58" s="40"/>
      <c r="H58" s="49"/>
      <c r="I58" s="40" t="s">
        <v>10145</v>
      </c>
      <c r="J58" s="36">
        <v>1500</v>
      </c>
      <c r="K58" s="36">
        <v>1500</v>
      </c>
      <c r="L58" s="36">
        <f t="shared" si="7"/>
        <v>0</v>
      </c>
      <c r="M58" s="36"/>
      <c r="N58" s="36">
        <v>1300</v>
      </c>
      <c r="O58" s="36">
        <v>1300</v>
      </c>
      <c r="P58" s="36">
        <f t="shared" si="8"/>
        <v>0</v>
      </c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spans="1:27" ht="18" customHeight="1" x14ac:dyDescent="0.35">
      <c r="A59" s="49"/>
      <c r="B59" s="49"/>
      <c r="C59" s="35" t="s">
        <v>10146</v>
      </c>
      <c r="D59" s="88"/>
      <c r="E59" s="88" t="s">
        <v>10147</v>
      </c>
      <c r="F59" s="60"/>
      <c r="G59" s="40"/>
      <c r="H59" s="39"/>
      <c r="I59" s="40" t="s">
        <v>10148</v>
      </c>
      <c r="J59" s="36">
        <v>1500</v>
      </c>
      <c r="K59" s="36">
        <v>1500</v>
      </c>
      <c r="L59" s="36">
        <f t="shared" si="7"/>
        <v>0</v>
      </c>
      <c r="M59" s="36"/>
      <c r="N59" s="36">
        <v>1200</v>
      </c>
      <c r="O59" s="36">
        <v>1200</v>
      </c>
      <c r="P59" s="36">
        <f t="shared" si="8"/>
        <v>0</v>
      </c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8" customHeight="1" x14ac:dyDescent="0.35">
      <c r="A60" s="49"/>
      <c r="B60" s="175">
        <v>3502052020</v>
      </c>
      <c r="C60" s="35" t="s">
        <v>10149</v>
      </c>
      <c r="D60" s="88">
        <v>24211</v>
      </c>
      <c r="E60" s="88" t="s">
        <v>10150</v>
      </c>
      <c r="F60" s="62"/>
      <c r="G60" s="40"/>
      <c r="H60" s="49"/>
      <c r="I60" s="40" t="s">
        <v>10151</v>
      </c>
      <c r="J60" s="36">
        <v>3500</v>
      </c>
      <c r="K60" s="36">
        <v>3500</v>
      </c>
      <c r="L60" s="36">
        <f t="shared" si="7"/>
        <v>0</v>
      </c>
      <c r="M60" s="36"/>
      <c r="N60" s="36">
        <v>3000</v>
      </c>
      <c r="O60" s="15">
        <f>2000+1000</f>
        <v>3000</v>
      </c>
      <c r="P60" s="15">
        <f t="shared" si="8"/>
        <v>0</v>
      </c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8" customHeight="1" x14ac:dyDescent="0.35">
      <c r="A61" s="29">
        <v>44150</v>
      </c>
      <c r="B61" s="176">
        <v>3382242720</v>
      </c>
      <c r="C61" s="36" t="s">
        <v>10152</v>
      </c>
      <c r="D61" s="87">
        <v>29112</v>
      </c>
      <c r="E61" s="40" t="s">
        <v>10153</v>
      </c>
      <c r="F61" s="60" t="s">
        <v>10154</v>
      </c>
      <c r="G61" s="38"/>
      <c r="H61" s="39"/>
      <c r="I61" s="38" t="s">
        <v>10122</v>
      </c>
      <c r="J61" s="15">
        <v>4500</v>
      </c>
      <c r="K61" s="15">
        <f>3000+1500</f>
        <v>4500</v>
      </c>
      <c r="L61" s="36">
        <f t="shared" si="7"/>
        <v>0</v>
      </c>
      <c r="M61" s="36"/>
      <c r="N61" s="15">
        <v>3700</v>
      </c>
      <c r="O61" s="15">
        <v>1500</v>
      </c>
      <c r="P61" s="15">
        <f t="shared" si="8"/>
        <v>2200</v>
      </c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8" customHeight="1" x14ac:dyDescent="0.35">
      <c r="A62" s="29">
        <v>37576</v>
      </c>
      <c r="B62" s="176">
        <v>3367893920</v>
      </c>
      <c r="C62" s="36" t="s">
        <v>10155</v>
      </c>
      <c r="D62" s="87">
        <v>36494</v>
      </c>
      <c r="E62" s="40" t="s">
        <v>10156</v>
      </c>
      <c r="F62" s="60">
        <v>44237</v>
      </c>
      <c r="G62" s="38"/>
      <c r="H62" s="39"/>
      <c r="I62" s="38" t="s">
        <v>10122</v>
      </c>
      <c r="J62" s="15">
        <f>4300+400+300</f>
        <v>5000</v>
      </c>
      <c r="K62" s="15">
        <f t="shared" ref="K62:K63" si="9">2500+2500</f>
        <v>5000</v>
      </c>
      <c r="L62" s="15">
        <f t="shared" si="7"/>
        <v>0</v>
      </c>
      <c r="M62" s="15"/>
      <c r="N62" s="15">
        <f t="shared" ref="N62:N63" si="10">3700+400</f>
        <v>4100</v>
      </c>
      <c r="O62" s="15">
        <v>1500</v>
      </c>
      <c r="P62" s="15">
        <f t="shared" si="8"/>
        <v>2600</v>
      </c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8" customHeight="1" x14ac:dyDescent="0.35">
      <c r="A63" s="29">
        <v>37576</v>
      </c>
      <c r="B63" s="39">
        <v>3367961220</v>
      </c>
      <c r="C63" s="36" t="s">
        <v>3601</v>
      </c>
      <c r="D63" s="87">
        <v>37346</v>
      </c>
      <c r="E63" s="40" t="s">
        <v>10156</v>
      </c>
      <c r="F63" s="60">
        <v>44232</v>
      </c>
      <c r="G63" s="38"/>
      <c r="H63" s="39"/>
      <c r="I63" s="38" t="s">
        <v>10122</v>
      </c>
      <c r="J63" s="15">
        <f>4300+400</f>
        <v>4700</v>
      </c>
      <c r="K63" s="15">
        <f t="shared" si="9"/>
        <v>5000</v>
      </c>
      <c r="L63" s="15">
        <f t="shared" si="7"/>
        <v>-300</v>
      </c>
      <c r="M63" s="15"/>
      <c r="N63" s="15">
        <f t="shared" si="10"/>
        <v>4100</v>
      </c>
      <c r="O63" s="15">
        <v>1500</v>
      </c>
      <c r="P63" s="15">
        <f t="shared" si="8"/>
        <v>2600</v>
      </c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8" customHeight="1" x14ac:dyDescent="0.35">
      <c r="A64" s="29">
        <v>44166</v>
      </c>
      <c r="B64" s="39">
        <v>3563341920</v>
      </c>
      <c r="C64" s="35" t="s">
        <v>943</v>
      </c>
      <c r="D64" s="88">
        <v>36377</v>
      </c>
      <c r="E64" s="88" t="s">
        <v>10157</v>
      </c>
      <c r="F64" s="63" t="s">
        <v>10158</v>
      </c>
      <c r="G64" s="64">
        <v>804042521</v>
      </c>
      <c r="H64" s="49"/>
      <c r="I64" s="40" t="s">
        <v>10122</v>
      </c>
      <c r="J64" s="36">
        <v>4500</v>
      </c>
      <c r="K64" s="36">
        <f t="shared" ref="K64:K65" si="11">2500+1000</f>
        <v>3500</v>
      </c>
      <c r="L64" s="36">
        <f t="shared" si="7"/>
        <v>1000</v>
      </c>
      <c r="M64" s="36"/>
      <c r="N64" s="36">
        <v>4100</v>
      </c>
      <c r="O64" s="36">
        <f t="shared" ref="O64:O65" si="12">1600+1000+1500</f>
        <v>4100</v>
      </c>
      <c r="P64" s="36">
        <f t="shared" si="8"/>
        <v>0</v>
      </c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8" customHeight="1" x14ac:dyDescent="0.35">
      <c r="A65" s="29">
        <v>44166</v>
      </c>
      <c r="B65" s="39">
        <v>3564414420</v>
      </c>
      <c r="C65" s="35" t="s">
        <v>3634</v>
      </c>
      <c r="D65" s="88">
        <v>37414</v>
      </c>
      <c r="E65" s="88" t="s">
        <v>10159</v>
      </c>
      <c r="F65" s="63"/>
      <c r="G65" s="50">
        <v>798828121</v>
      </c>
      <c r="H65" s="49"/>
      <c r="I65" s="40" t="s">
        <v>10122</v>
      </c>
      <c r="J65" s="36">
        <v>4500</v>
      </c>
      <c r="K65" s="36">
        <f t="shared" si="11"/>
        <v>3500</v>
      </c>
      <c r="L65" s="36">
        <f t="shared" si="7"/>
        <v>1000</v>
      </c>
      <c r="M65" s="36"/>
      <c r="N65" s="36">
        <v>4100</v>
      </c>
      <c r="O65" s="36">
        <f t="shared" si="12"/>
        <v>4100</v>
      </c>
      <c r="P65" s="36">
        <f t="shared" si="8"/>
        <v>0</v>
      </c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8" customHeight="1" x14ac:dyDescent="0.35">
      <c r="A66" s="34">
        <v>44168</v>
      </c>
      <c r="B66" s="49">
        <v>3609103020</v>
      </c>
      <c r="C66" s="36" t="s">
        <v>10160</v>
      </c>
      <c r="D66" s="88">
        <v>21705</v>
      </c>
      <c r="E66" s="40" t="s">
        <v>10161</v>
      </c>
      <c r="F66" s="63"/>
      <c r="G66" s="40"/>
      <c r="H66" s="49"/>
      <c r="I66" s="40" t="s">
        <v>10114</v>
      </c>
      <c r="J66" s="36">
        <v>1700</v>
      </c>
      <c r="K66" s="36">
        <v>1700</v>
      </c>
      <c r="L66" s="36">
        <f t="shared" si="7"/>
        <v>0</v>
      </c>
      <c r="M66" s="36"/>
      <c r="N66" s="36">
        <v>1300</v>
      </c>
      <c r="O66" s="36">
        <v>1300</v>
      </c>
      <c r="P66" s="36">
        <f t="shared" si="8"/>
        <v>0</v>
      </c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spans="1:27" ht="18" customHeight="1" x14ac:dyDescent="0.35">
      <c r="A67" s="29">
        <v>44172</v>
      </c>
      <c r="B67" s="39">
        <v>3653545020</v>
      </c>
      <c r="C67" s="36" t="s">
        <v>10162</v>
      </c>
      <c r="D67" s="87">
        <v>37441</v>
      </c>
      <c r="E67" s="40" t="s">
        <v>10163</v>
      </c>
      <c r="F67" s="65" t="s">
        <v>10164</v>
      </c>
      <c r="G67" s="38"/>
      <c r="H67" s="39"/>
      <c r="I67" s="38" t="s">
        <v>10122</v>
      </c>
      <c r="J67" s="15">
        <v>4700</v>
      </c>
      <c r="K67" s="15">
        <v>4700</v>
      </c>
      <c r="L67" s="15">
        <f t="shared" si="7"/>
        <v>0</v>
      </c>
      <c r="M67" s="15"/>
      <c r="N67" s="15">
        <v>4100</v>
      </c>
      <c r="O67" s="15">
        <f>2000+2100</f>
        <v>4100</v>
      </c>
      <c r="P67" s="15">
        <f t="shared" si="8"/>
        <v>0</v>
      </c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8" customHeight="1" x14ac:dyDescent="0.35">
      <c r="A68" s="49"/>
      <c r="B68" s="49">
        <v>3770683020</v>
      </c>
      <c r="C68" s="36" t="s">
        <v>10165</v>
      </c>
      <c r="D68" s="88">
        <v>21740</v>
      </c>
      <c r="E68" s="40" t="s">
        <v>10166</v>
      </c>
      <c r="F68" s="63"/>
      <c r="G68" s="40"/>
      <c r="H68" s="49"/>
      <c r="I68" s="40" t="s">
        <v>8168</v>
      </c>
      <c r="J68" s="36">
        <v>2100</v>
      </c>
      <c r="K68" s="36">
        <v>2100</v>
      </c>
      <c r="L68" s="36">
        <f t="shared" si="7"/>
        <v>0</v>
      </c>
      <c r="M68" s="36"/>
      <c r="N68" s="36">
        <v>1800</v>
      </c>
      <c r="O68" s="36">
        <v>1800</v>
      </c>
      <c r="P68" s="36">
        <f t="shared" si="8"/>
        <v>0</v>
      </c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spans="1:27" ht="18" customHeight="1" x14ac:dyDescent="0.35">
      <c r="A69" s="34">
        <v>44183</v>
      </c>
      <c r="B69" s="66">
        <v>3837603220</v>
      </c>
      <c r="C69" s="36" t="s">
        <v>10167</v>
      </c>
      <c r="D69" s="88">
        <v>19953</v>
      </c>
      <c r="E69" s="40" t="s">
        <v>10168</v>
      </c>
      <c r="F69" s="67"/>
      <c r="G69" s="40"/>
      <c r="H69" s="39"/>
      <c r="I69" s="40" t="s">
        <v>8168</v>
      </c>
      <c r="J69" s="36">
        <v>1300</v>
      </c>
      <c r="K69" s="36">
        <v>0</v>
      </c>
      <c r="L69" s="36">
        <f t="shared" si="7"/>
        <v>1300</v>
      </c>
      <c r="M69" s="36"/>
      <c r="N69" s="36">
        <v>1300</v>
      </c>
      <c r="O69" s="36">
        <v>1300</v>
      </c>
      <c r="P69" s="36">
        <f t="shared" si="8"/>
        <v>0</v>
      </c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8" customHeight="1" x14ac:dyDescent="0.35">
      <c r="A70" s="29">
        <v>44184</v>
      </c>
      <c r="B70" s="39">
        <v>3850961920</v>
      </c>
      <c r="C70" s="36" t="s">
        <v>10169</v>
      </c>
      <c r="D70" s="87">
        <v>30913</v>
      </c>
      <c r="E70" s="40" t="s">
        <v>10170</v>
      </c>
      <c r="F70" s="62">
        <v>44237</v>
      </c>
      <c r="G70" s="38"/>
      <c r="H70" s="39"/>
      <c r="I70" s="38" t="s">
        <v>10171</v>
      </c>
      <c r="J70" s="15">
        <v>4700</v>
      </c>
      <c r="K70" s="15">
        <v>4700</v>
      </c>
      <c r="L70" s="15">
        <f t="shared" si="7"/>
        <v>0</v>
      </c>
      <c r="M70" s="15"/>
      <c r="N70" s="15">
        <v>4100</v>
      </c>
      <c r="O70" s="15">
        <f>2000+2100</f>
        <v>4100</v>
      </c>
      <c r="P70" s="15">
        <f t="shared" si="8"/>
        <v>0</v>
      </c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8" customHeight="1" x14ac:dyDescent="0.35">
      <c r="A71" s="34">
        <v>44184</v>
      </c>
      <c r="B71" s="49"/>
      <c r="C71" s="36" t="s">
        <v>10172</v>
      </c>
      <c r="D71" s="88"/>
      <c r="E71" s="40" t="s">
        <v>10173</v>
      </c>
      <c r="F71" s="63"/>
      <c r="G71" s="40"/>
      <c r="H71" s="49"/>
      <c r="I71" s="40" t="s">
        <v>10174</v>
      </c>
      <c r="J71" s="36">
        <v>2800</v>
      </c>
      <c r="K71" s="36">
        <v>2800</v>
      </c>
      <c r="L71" s="36">
        <f t="shared" si="7"/>
        <v>0</v>
      </c>
      <c r="M71" s="36"/>
      <c r="N71" s="36">
        <f>1200+600+200</f>
        <v>2000</v>
      </c>
      <c r="O71" s="36">
        <v>2000</v>
      </c>
      <c r="P71" s="36">
        <f t="shared" si="8"/>
        <v>0</v>
      </c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spans="1:27" ht="18" customHeight="1" x14ac:dyDescent="0.35">
      <c r="A72" s="29">
        <v>44184</v>
      </c>
      <c r="B72" s="39">
        <v>3864625320</v>
      </c>
      <c r="C72" s="36" t="s">
        <v>10175</v>
      </c>
      <c r="D72" s="87">
        <v>27300</v>
      </c>
      <c r="E72" s="40" t="s">
        <v>10176</v>
      </c>
      <c r="F72" s="60" t="s">
        <v>10177</v>
      </c>
      <c r="G72" s="38"/>
      <c r="H72" s="39"/>
      <c r="I72" s="38" t="s">
        <v>10171</v>
      </c>
      <c r="J72" s="15">
        <f>4700+300</f>
        <v>5000</v>
      </c>
      <c r="K72" s="15">
        <f>2500+300+2200</f>
        <v>5000</v>
      </c>
      <c r="L72" s="15">
        <f t="shared" si="7"/>
        <v>0</v>
      </c>
      <c r="M72" s="15"/>
      <c r="N72" s="15">
        <v>4100</v>
      </c>
      <c r="O72" s="15">
        <f>2000+300+1800</f>
        <v>4100</v>
      </c>
      <c r="P72" s="15">
        <f t="shared" si="8"/>
        <v>0</v>
      </c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8" customHeight="1" x14ac:dyDescent="0.35">
      <c r="A73" s="53">
        <v>44188</v>
      </c>
      <c r="B73" s="174">
        <v>3931606220</v>
      </c>
      <c r="C73" s="54" t="s">
        <v>7129</v>
      </c>
      <c r="D73" s="93">
        <v>37314</v>
      </c>
      <c r="E73" s="61" t="s">
        <v>10178</v>
      </c>
      <c r="F73" s="68" t="s">
        <v>10177</v>
      </c>
      <c r="G73" s="61"/>
      <c r="H73" s="174"/>
      <c r="I73" s="61" t="s">
        <v>10171</v>
      </c>
      <c r="J73" s="54">
        <v>4700</v>
      </c>
      <c r="K73" s="54">
        <f>2500+2200</f>
        <v>4700</v>
      </c>
      <c r="L73" s="54">
        <f t="shared" si="7"/>
        <v>0</v>
      </c>
      <c r="M73" s="54"/>
      <c r="N73" s="54">
        <v>4100</v>
      </c>
      <c r="O73" s="15">
        <f>1600+2500</f>
        <v>4100</v>
      </c>
      <c r="P73" s="15">
        <f t="shared" si="8"/>
        <v>0</v>
      </c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8" customHeight="1" x14ac:dyDescent="0.35">
      <c r="A74" s="34">
        <v>44195</v>
      </c>
      <c r="B74" s="49">
        <v>3976656220</v>
      </c>
      <c r="C74" s="36" t="s">
        <v>9459</v>
      </c>
      <c r="D74" s="88">
        <v>29945</v>
      </c>
      <c r="E74" s="40" t="s">
        <v>10179</v>
      </c>
      <c r="F74" s="60"/>
      <c r="G74" s="40"/>
      <c r="H74" s="49"/>
      <c r="I74" s="40" t="s">
        <v>8168</v>
      </c>
      <c r="J74" s="36">
        <v>1700</v>
      </c>
      <c r="K74" s="36">
        <v>500</v>
      </c>
      <c r="L74" s="36">
        <f t="shared" si="7"/>
        <v>1200</v>
      </c>
      <c r="M74" s="36"/>
      <c r="N74" s="36">
        <v>1300</v>
      </c>
      <c r="O74" s="36">
        <v>1300</v>
      </c>
      <c r="P74" s="36">
        <f t="shared" si="8"/>
        <v>0</v>
      </c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spans="1:27" ht="18" customHeight="1" x14ac:dyDescent="0.35">
      <c r="A75" s="34">
        <v>44202</v>
      </c>
      <c r="B75" s="49">
        <v>71130821</v>
      </c>
      <c r="C75" s="36" t="s">
        <v>9411</v>
      </c>
      <c r="D75" s="88">
        <v>29530</v>
      </c>
      <c r="E75" s="40" t="s">
        <v>10180</v>
      </c>
      <c r="F75" s="62" t="s">
        <v>875</v>
      </c>
      <c r="G75" s="40" t="s">
        <v>10181</v>
      </c>
      <c r="H75" s="49"/>
      <c r="I75" s="40" t="s">
        <v>8168</v>
      </c>
      <c r="J75" s="36">
        <v>2700</v>
      </c>
      <c r="K75" s="36">
        <v>2700</v>
      </c>
      <c r="L75" s="36">
        <f t="shared" si="7"/>
        <v>0</v>
      </c>
      <c r="M75" s="36"/>
      <c r="N75" s="36">
        <v>1200</v>
      </c>
      <c r="O75" s="36">
        <v>1200</v>
      </c>
      <c r="P75" s="36">
        <f t="shared" si="8"/>
        <v>0</v>
      </c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spans="1:27" ht="18" customHeight="1" x14ac:dyDescent="0.35">
      <c r="A76" s="53">
        <v>44207</v>
      </c>
      <c r="B76" s="174">
        <v>140986421</v>
      </c>
      <c r="C76" s="54" t="s">
        <v>10182</v>
      </c>
      <c r="D76" s="93">
        <v>31607</v>
      </c>
      <c r="E76" s="61" t="s">
        <v>10183</v>
      </c>
      <c r="F76" s="68" t="s">
        <v>10177</v>
      </c>
      <c r="G76" s="61"/>
      <c r="H76" s="174"/>
      <c r="I76" s="61" t="s">
        <v>10184</v>
      </c>
      <c r="J76" s="54">
        <v>3500</v>
      </c>
      <c r="K76" s="54">
        <v>3500</v>
      </c>
      <c r="L76" s="54">
        <f t="shared" si="7"/>
        <v>0</v>
      </c>
      <c r="M76" s="54"/>
      <c r="N76" s="54">
        <v>3100</v>
      </c>
      <c r="O76" s="54">
        <f>2000+1100</f>
        <v>3100</v>
      </c>
      <c r="P76" s="54">
        <f t="shared" si="8"/>
        <v>0</v>
      </c>
      <c r="Q76" s="54" t="s">
        <v>99</v>
      </c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8" customHeight="1" x14ac:dyDescent="0.35">
      <c r="A77" s="34">
        <v>44207</v>
      </c>
      <c r="B77" s="49"/>
      <c r="C77" s="36" t="s">
        <v>10185</v>
      </c>
      <c r="D77" s="88">
        <v>29229</v>
      </c>
      <c r="E77" s="40" t="s">
        <v>10183</v>
      </c>
      <c r="F77" s="62"/>
      <c r="G77" s="40"/>
      <c r="H77" s="49"/>
      <c r="I77" s="40" t="s">
        <v>10186</v>
      </c>
      <c r="J77" s="36">
        <f>1700+1100</f>
        <v>2800</v>
      </c>
      <c r="K77" s="36">
        <v>2800</v>
      </c>
      <c r="L77" s="36">
        <f t="shared" si="7"/>
        <v>0</v>
      </c>
      <c r="M77" s="36"/>
      <c r="N77" s="36">
        <v>1300</v>
      </c>
      <c r="O77" s="36">
        <v>1300</v>
      </c>
      <c r="P77" s="36">
        <f t="shared" si="8"/>
        <v>0</v>
      </c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spans="1:27" ht="18" customHeight="1" x14ac:dyDescent="0.35">
      <c r="A78" s="29">
        <v>44209</v>
      </c>
      <c r="B78" s="39">
        <v>181148621</v>
      </c>
      <c r="C78" s="15" t="s">
        <v>10187</v>
      </c>
      <c r="D78" s="87">
        <v>34980</v>
      </c>
      <c r="E78" s="38" t="s">
        <v>10188</v>
      </c>
      <c r="F78" s="60" t="s">
        <v>10177</v>
      </c>
      <c r="G78" s="38">
        <v>7978419984</v>
      </c>
      <c r="H78" s="39"/>
      <c r="I78" s="38" t="s">
        <v>10171</v>
      </c>
      <c r="J78" s="15">
        <v>5000</v>
      </c>
      <c r="K78" s="15">
        <f>3000+2000</f>
        <v>5000</v>
      </c>
      <c r="L78" s="15">
        <f t="shared" si="7"/>
        <v>0</v>
      </c>
      <c r="M78" s="15"/>
      <c r="N78" s="15">
        <f>4100+300</f>
        <v>4400</v>
      </c>
      <c r="O78" s="15">
        <f>2500+300+1600</f>
        <v>4400</v>
      </c>
      <c r="P78" s="15">
        <f t="shared" si="8"/>
        <v>0</v>
      </c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8" customHeight="1" x14ac:dyDescent="0.35">
      <c r="A79" s="69">
        <v>44209</v>
      </c>
      <c r="B79" s="177">
        <v>179280521</v>
      </c>
      <c r="C79" s="70" t="s">
        <v>6948</v>
      </c>
      <c r="D79" s="87">
        <v>31339</v>
      </c>
      <c r="E79" s="78" t="s">
        <v>10189</v>
      </c>
      <c r="F79" s="71">
        <v>44279</v>
      </c>
      <c r="G79" s="38"/>
      <c r="H79" s="39"/>
      <c r="I79" s="38" t="s">
        <v>10171</v>
      </c>
      <c r="J79" s="15">
        <v>4500</v>
      </c>
      <c r="K79" s="15">
        <f>2500+2000</f>
        <v>4500</v>
      </c>
      <c r="L79" s="15">
        <f t="shared" si="7"/>
        <v>0</v>
      </c>
      <c r="M79" s="15"/>
      <c r="N79" s="15">
        <v>4400</v>
      </c>
      <c r="O79" s="15">
        <f>2500+1900</f>
        <v>4400</v>
      </c>
      <c r="P79" s="15">
        <f t="shared" si="8"/>
        <v>0</v>
      </c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8" customHeight="1" x14ac:dyDescent="0.35">
      <c r="A80" s="29">
        <v>44217</v>
      </c>
      <c r="B80" s="39">
        <v>318184621</v>
      </c>
      <c r="C80" s="36" t="s">
        <v>10190</v>
      </c>
      <c r="D80" s="87">
        <v>32653</v>
      </c>
      <c r="E80" s="40" t="s">
        <v>10191</v>
      </c>
      <c r="F80" s="60">
        <v>44267</v>
      </c>
      <c r="G80" s="38"/>
      <c r="H80" s="39"/>
      <c r="I80" s="38" t="s">
        <v>10171</v>
      </c>
      <c r="J80" s="15">
        <v>5000</v>
      </c>
      <c r="K80" s="15">
        <f>2600+2400</f>
        <v>5000</v>
      </c>
      <c r="L80" s="15">
        <f t="shared" si="7"/>
        <v>0</v>
      </c>
      <c r="M80" s="15"/>
      <c r="N80" s="15">
        <f>4100+300</f>
        <v>4400</v>
      </c>
      <c r="O80" s="15">
        <f>2000+300+2100</f>
        <v>4400</v>
      </c>
      <c r="P80" s="15">
        <f t="shared" si="8"/>
        <v>0</v>
      </c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8" customHeight="1" x14ac:dyDescent="0.35">
      <c r="A81" s="39"/>
      <c r="B81" s="39">
        <v>285290821</v>
      </c>
      <c r="C81" s="36" t="s">
        <v>10192</v>
      </c>
      <c r="D81" s="87">
        <v>36484</v>
      </c>
      <c r="E81" s="40" t="s">
        <v>10193</v>
      </c>
      <c r="F81" s="60" t="s">
        <v>10194</v>
      </c>
      <c r="G81" s="38"/>
      <c r="H81" s="39"/>
      <c r="I81" s="38" t="s">
        <v>10171</v>
      </c>
      <c r="J81" s="15">
        <v>5000</v>
      </c>
      <c r="K81" s="15">
        <f>2000+3000</f>
        <v>5000</v>
      </c>
      <c r="L81" s="15">
        <f t="shared" si="7"/>
        <v>0</v>
      </c>
      <c r="M81" s="15"/>
      <c r="N81" s="15">
        <v>4100</v>
      </c>
      <c r="O81" s="15">
        <f>2000+300+1800</f>
        <v>4100</v>
      </c>
      <c r="P81" s="15">
        <f t="shared" si="8"/>
        <v>0</v>
      </c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8" customHeight="1" x14ac:dyDescent="0.35">
      <c r="A82" s="34">
        <v>44222</v>
      </c>
      <c r="B82" s="49"/>
      <c r="C82" s="36" t="s">
        <v>10195</v>
      </c>
      <c r="D82" s="88">
        <v>20937</v>
      </c>
      <c r="E82" s="40" t="s">
        <v>10196</v>
      </c>
      <c r="F82" s="62" t="s">
        <v>10197</v>
      </c>
      <c r="G82" s="40"/>
      <c r="H82" s="49"/>
      <c r="I82" s="40" t="s">
        <v>10114</v>
      </c>
      <c r="J82" s="36">
        <v>3100</v>
      </c>
      <c r="K82" s="36">
        <v>3100</v>
      </c>
      <c r="L82" s="36">
        <f t="shared" si="7"/>
        <v>0</v>
      </c>
      <c r="M82" s="36"/>
      <c r="N82" s="36">
        <v>1400</v>
      </c>
      <c r="O82" s="36">
        <v>1400</v>
      </c>
      <c r="P82" s="36">
        <f t="shared" si="8"/>
        <v>0</v>
      </c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spans="1:27" ht="18" customHeight="1" x14ac:dyDescent="0.35">
      <c r="A83" s="29">
        <v>44224</v>
      </c>
      <c r="B83" s="39">
        <v>407553221</v>
      </c>
      <c r="C83" s="36" t="s">
        <v>10198</v>
      </c>
      <c r="D83" s="87">
        <v>36148</v>
      </c>
      <c r="E83" s="40" t="s">
        <v>10199</v>
      </c>
      <c r="F83" s="60" t="s">
        <v>10200</v>
      </c>
      <c r="G83" s="38"/>
      <c r="H83" s="39"/>
      <c r="I83" s="38" t="s">
        <v>10171</v>
      </c>
      <c r="J83" s="15">
        <v>5000</v>
      </c>
      <c r="K83" s="15">
        <f>2500+2500</f>
        <v>5000</v>
      </c>
      <c r="L83" s="15">
        <f t="shared" si="7"/>
        <v>0</v>
      </c>
      <c r="M83" s="15"/>
      <c r="N83" s="15">
        <v>4400</v>
      </c>
      <c r="O83" s="15">
        <f>2000+300+2100</f>
        <v>4400</v>
      </c>
      <c r="P83" s="15">
        <f t="shared" si="8"/>
        <v>0</v>
      </c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8" customHeight="1" x14ac:dyDescent="0.35">
      <c r="A84" s="34">
        <v>44224</v>
      </c>
      <c r="B84" s="49">
        <v>9534014105</v>
      </c>
      <c r="C84" s="36" t="s">
        <v>10201</v>
      </c>
      <c r="D84" s="88"/>
      <c r="E84" s="40" t="s">
        <v>10202</v>
      </c>
      <c r="F84" s="62" t="s">
        <v>875</v>
      </c>
      <c r="G84" s="40">
        <v>6201309013</v>
      </c>
      <c r="H84" s="49"/>
      <c r="I84" s="40" t="s">
        <v>10203</v>
      </c>
      <c r="J84" s="36">
        <v>1500</v>
      </c>
      <c r="K84" s="36">
        <v>1500</v>
      </c>
      <c r="L84" s="36">
        <f t="shared" si="7"/>
        <v>0</v>
      </c>
      <c r="M84" s="36"/>
      <c r="N84" s="36">
        <v>1100</v>
      </c>
      <c r="O84" s="36">
        <v>1100</v>
      </c>
      <c r="P84" s="36">
        <f t="shared" si="8"/>
        <v>0</v>
      </c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spans="1:27" ht="18" customHeight="1" x14ac:dyDescent="0.35">
      <c r="A85" s="29">
        <v>44225</v>
      </c>
      <c r="B85" s="39">
        <v>432920321</v>
      </c>
      <c r="C85" s="15" t="s">
        <v>10204</v>
      </c>
      <c r="D85" s="87">
        <v>36204</v>
      </c>
      <c r="E85" s="38" t="s">
        <v>10205</v>
      </c>
      <c r="F85" s="60" t="s">
        <v>10206</v>
      </c>
      <c r="G85" s="38">
        <v>7004404580</v>
      </c>
      <c r="H85" s="39"/>
      <c r="I85" s="38" t="s">
        <v>10171</v>
      </c>
      <c r="J85" s="15">
        <v>5000</v>
      </c>
      <c r="K85" s="15">
        <f>2500+500</f>
        <v>3000</v>
      </c>
      <c r="L85" s="15">
        <f t="shared" si="7"/>
        <v>2000</v>
      </c>
      <c r="M85" s="15"/>
      <c r="N85" s="15">
        <v>4100</v>
      </c>
      <c r="O85" s="15">
        <f>2000+300</f>
        <v>2300</v>
      </c>
      <c r="P85" s="15">
        <f t="shared" si="8"/>
        <v>1800</v>
      </c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8" customHeight="1" x14ac:dyDescent="0.35">
      <c r="A86" s="53">
        <v>44228</v>
      </c>
      <c r="B86" s="174"/>
      <c r="C86" s="54" t="s">
        <v>10207</v>
      </c>
      <c r="D86" s="93">
        <v>18804</v>
      </c>
      <c r="E86" s="61" t="s">
        <v>10208</v>
      </c>
      <c r="F86" s="54" t="s">
        <v>10209</v>
      </c>
      <c r="G86" s="61"/>
      <c r="H86" s="174"/>
      <c r="I86" s="61" t="s">
        <v>10114</v>
      </c>
      <c r="J86" s="54">
        <v>1700</v>
      </c>
      <c r="K86" s="54">
        <v>1700</v>
      </c>
      <c r="L86" s="54">
        <f t="shared" si="7"/>
        <v>0</v>
      </c>
      <c r="M86" s="54"/>
      <c r="N86" s="54">
        <v>1400</v>
      </c>
      <c r="O86" s="15">
        <v>1400</v>
      </c>
      <c r="P86" s="15">
        <f t="shared" si="8"/>
        <v>0</v>
      </c>
      <c r="Q86" s="15"/>
      <c r="R86" s="15"/>
      <c r="S86" s="15"/>
      <c r="T86" s="15">
        <f>435*4+50</f>
        <v>1790</v>
      </c>
      <c r="U86" s="15"/>
      <c r="V86" s="15"/>
      <c r="W86" s="15"/>
      <c r="X86" s="15"/>
      <c r="Y86" s="15"/>
      <c r="Z86" s="15"/>
      <c r="AA86" s="15"/>
    </row>
    <row r="87" spans="1:27" ht="18" customHeight="1" x14ac:dyDescent="0.35">
      <c r="A87" s="29">
        <v>44243</v>
      </c>
      <c r="B87" s="39">
        <v>708049521</v>
      </c>
      <c r="C87" s="15" t="s">
        <v>10210</v>
      </c>
      <c r="D87" s="87">
        <v>36642</v>
      </c>
      <c r="E87" s="38" t="s">
        <v>10211</v>
      </c>
      <c r="F87" s="15" t="s">
        <v>10212</v>
      </c>
      <c r="G87" s="38"/>
      <c r="H87" s="39"/>
      <c r="I87" s="38" t="s">
        <v>10171</v>
      </c>
      <c r="J87" s="15">
        <v>5000</v>
      </c>
      <c r="K87" s="15">
        <f>2500+2500</f>
        <v>5000</v>
      </c>
      <c r="L87" s="15">
        <f t="shared" si="7"/>
        <v>0</v>
      </c>
      <c r="M87" s="15"/>
      <c r="N87" s="15">
        <v>4100</v>
      </c>
      <c r="O87" s="15">
        <f>2000+300+1800</f>
        <v>4100</v>
      </c>
      <c r="P87" s="15">
        <f t="shared" si="8"/>
        <v>0</v>
      </c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8" customHeight="1" x14ac:dyDescent="0.35">
      <c r="A88" s="29">
        <v>44243</v>
      </c>
      <c r="B88" s="39">
        <v>714568121</v>
      </c>
      <c r="C88" s="15" t="s">
        <v>10213</v>
      </c>
      <c r="D88" s="87">
        <v>35942</v>
      </c>
      <c r="E88" s="38" t="s">
        <v>10214</v>
      </c>
      <c r="F88" s="15" t="s">
        <v>10215</v>
      </c>
      <c r="G88" s="38"/>
      <c r="H88" s="39"/>
      <c r="I88" s="38" t="s">
        <v>10171</v>
      </c>
      <c r="J88" s="15">
        <f>5000+400+750</f>
        <v>6150</v>
      </c>
      <c r="K88" s="15">
        <f>2500+2000+500</f>
        <v>5000</v>
      </c>
      <c r="L88" s="15">
        <f t="shared" si="7"/>
        <v>1150</v>
      </c>
      <c r="M88" s="15"/>
      <c r="N88" s="15">
        <f>4100+300+400+750</f>
        <v>5550</v>
      </c>
      <c r="O88" s="15">
        <f>2000+300+2500+750</f>
        <v>5550</v>
      </c>
      <c r="P88" s="15">
        <f t="shared" si="8"/>
        <v>0</v>
      </c>
      <c r="Q88" s="15">
        <v>9835566462</v>
      </c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8" customHeight="1" x14ac:dyDescent="0.35">
      <c r="A89" s="69">
        <v>44244</v>
      </c>
      <c r="B89" s="177">
        <v>725349921</v>
      </c>
      <c r="C89" s="70" t="s">
        <v>10216</v>
      </c>
      <c r="D89" s="87">
        <v>32432</v>
      </c>
      <c r="E89" s="78" t="s">
        <v>10217</v>
      </c>
      <c r="F89" s="70" t="s">
        <v>8785</v>
      </c>
      <c r="G89" s="38"/>
      <c r="H89" s="39"/>
      <c r="I89" s="38">
        <v>2</v>
      </c>
      <c r="J89" s="15">
        <v>3500</v>
      </c>
      <c r="K89" s="15">
        <f>2100+1500</f>
        <v>3600</v>
      </c>
      <c r="L89" s="15">
        <f t="shared" si="7"/>
        <v>-100</v>
      </c>
      <c r="M89" s="15"/>
      <c r="N89" s="15">
        <v>3100</v>
      </c>
      <c r="O89" s="15">
        <f>1600+1500</f>
        <v>3100</v>
      </c>
      <c r="P89" s="15">
        <f t="shared" si="8"/>
        <v>0</v>
      </c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8" customHeight="1" x14ac:dyDescent="0.35">
      <c r="A90" s="29">
        <v>44250</v>
      </c>
      <c r="B90" s="174"/>
      <c r="C90" s="54" t="s">
        <v>10218</v>
      </c>
      <c r="D90" s="93">
        <v>23747</v>
      </c>
      <c r="E90" s="61" t="s">
        <v>10219</v>
      </c>
      <c r="F90" s="54"/>
      <c r="G90" s="61"/>
      <c r="H90" s="174"/>
      <c r="I90" s="61" t="s">
        <v>10220</v>
      </c>
      <c r="J90" s="54">
        <v>1900</v>
      </c>
      <c r="K90" s="54">
        <v>1900</v>
      </c>
      <c r="L90" s="54">
        <f t="shared" si="7"/>
        <v>0</v>
      </c>
      <c r="M90" s="54"/>
      <c r="N90" s="54">
        <v>1400</v>
      </c>
      <c r="O90" s="54">
        <v>1400</v>
      </c>
      <c r="P90" s="54">
        <f t="shared" si="8"/>
        <v>0</v>
      </c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8" customHeight="1" x14ac:dyDescent="0.35">
      <c r="A91" s="29">
        <v>44251</v>
      </c>
      <c r="B91" s="128">
        <v>830927621</v>
      </c>
      <c r="C91" s="84" t="s">
        <v>10221</v>
      </c>
      <c r="D91" s="87">
        <v>33769</v>
      </c>
      <c r="E91" s="95" t="s">
        <v>10222</v>
      </c>
      <c r="F91" s="84" t="s">
        <v>10223</v>
      </c>
      <c r="G91" s="38"/>
      <c r="H91" s="39"/>
      <c r="I91" s="38" t="s">
        <v>10224</v>
      </c>
      <c r="J91" s="15">
        <f>3800+500+550</f>
        <v>4850</v>
      </c>
      <c r="K91" s="15">
        <f>2000+2300</f>
        <v>4300</v>
      </c>
      <c r="L91" s="15">
        <f t="shared" si="7"/>
        <v>550</v>
      </c>
      <c r="M91" s="15"/>
      <c r="N91" s="15">
        <f>3400+400+550</f>
        <v>4350</v>
      </c>
      <c r="O91" s="15">
        <f>2000+300+1500+550</f>
        <v>4350</v>
      </c>
      <c r="P91" s="15">
        <f t="shared" si="8"/>
        <v>0</v>
      </c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8" customHeight="1" x14ac:dyDescent="0.35">
      <c r="A92" s="29">
        <v>44252</v>
      </c>
      <c r="B92" s="177">
        <v>862666821</v>
      </c>
      <c r="C92" s="70" t="s">
        <v>737</v>
      </c>
      <c r="D92" s="87">
        <v>37274</v>
      </c>
      <c r="E92" s="78" t="s">
        <v>10225</v>
      </c>
      <c r="F92" s="70"/>
      <c r="G92" s="38"/>
      <c r="H92" s="39"/>
      <c r="I92" s="38" t="s">
        <v>10171</v>
      </c>
      <c r="J92" s="15">
        <v>5000</v>
      </c>
      <c r="K92" s="15">
        <f>2500+2500</f>
        <v>5000</v>
      </c>
      <c r="L92" s="15">
        <f t="shared" si="7"/>
        <v>0</v>
      </c>
      <c r="M92" s="15"/>
      <c r="N92" s="15">
        <f>4100+300</f>
        <v>4400</v>
      </c>
      <c r="O92" s="15">
        <f>1600+300+2500</f>
        <v>4400</v>
      </c>
      <c r="P92" s="15">
        <f t="shared" si="8"/>
        <v>0</v>
      </c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8" customHeight="1" x14ac:dyDescent="0.35">
      <c r="A93" s="29">
        <v>44255</v>
      </c>
      <c r="B93" s="39">
        <v>892908021</v>
      </c>
      <c r="C93" s="15" t="s">
        <v>10226</v>
      </c>
      <c r="D93" s="87">
        <v>27030</v>
      </c>
      <c r="E93" s="38" t="s">
        <v>10227</v>
      </c>
      <c r="F93" s="15" t="s">
        <v>10228</v>
      </c>
      <c r="G93" s="38"/>
      <c r="H93" s="39"/>
      <c r="I93" s="38" t="s">
        <v>10229</v>
      </c>
      <c r="J93" s="15">
        <f>3500+300</f>
        <v>3800</v>
      </c>
      <c r="K93" s="15">
        <v>2000</v>
      </c>
      <c r="L93" s="15">
        <f t="shared" si="7"/>
        <v>1800</v>
      </c>
      <c r="M93" s="15"/>
      <c r="N93" s="15">
        <f>3100+300</f>
        <v>3400</v>
      </c>
      <c r="O93" s="15">
        <v>1500</v>
      </c>
      <c r="P93" s="15">
        <f t="shared" si="8"/>
        <v>1900</v>
      </c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8" customHeight="1" x14ac:dyDescent="0.35">
      <c r="A94" s="29">
        <v>44269</v>
      </c>
      <c r="B94" s="39">
        <v>1104129821</v>
      </c>
      <c r="C94" s="70" t="s">
        <v>4347</v>
      </c>
      <c r="D94" s="87">
        <v>37340</v>
      </c>
      <c r="E94" s="78" t="s">
        <v>10230</v>
      </c>
      <c r="F94" s="70" t="s">
        <v>10231</v>
      </c>
      <c r="G94" s="38"/>
      <c r="H94" s="39"/>
      <c r="I94" s="38" t="s">
        <v>10171</v>
      </c>
      <c r="J94" s="15">
        <f>5000+500</f>
        <v>5500</v>
      </c>
      <c r="K94" s="15">
        <f>2500+3000</f>
        <v>5500</v>
      </c>
      <c r="L94" s="15">
        <f t="shared" si="7"/>
        <v>0</v>
      </c>
      <c r="M94" s="15"/>
      <c r="N94" s="15">
        <f>4400+400</f>
        <v>4800</v>
      </c>
      <c r="O94" s="15">
        <f>2000+2800</f>
        <v>4800</v>
      </c>
      <c r="P94" s="15">
        <f t="shared" si="8"/>
        <v>0</v>
      </c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8" customHeight="1" x14ac:dyDescent="0.35">
      <c r="A95" s="34">
        <v>44288</v>
      </c>
      <c r="B95" s="49"/>
      <c r="C95" s="36" t="s">
        <v>10232</v>
      </c>
      <c r="D95" s="88">
        <v>20459</v>
      </c>
      <c r="E95" s="40" t="s">
        <v>10233</v>
      </c>
      <c r="F95" s="36" t="s">
        <v>8785</v>
      </c>
      <c r="G95" s="40"/>
      <c r="H95" s="49"/>
      <c r="I95" s="40" t="s">
        <v>10114</v>
      </c>
      <c r="J95" s="36">
        <v>2000</v>
      </c>
      <c r="K95" s="36">
        <v>2000</v>
      </c>
      <c r="L95" s="36">
        <f t="shared" si="7"/>
        <v>0</v>
      </c>
      <c r="M95" s="36"/>
      <c r="N95" s="36">
        <v>1800</v>
      </c>
      <c r="O95" s="36">
        <v>1800</v>
      </c>
      <c r="P95" s="36">
        <f t="shared" si="8"/>
        <v>0</v>
      </c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spans="1:27" ht="18" customHeight="1" x14ac:dyDescent="0.35">
      <c r="A96" s="72"/>
      <c r="B96" s="72">
        <v>1480294421</v>
      </c>
      <c r="C96" s="73" t="s">
        <v>10234</v>
      </c>
      <c r="D96" s="129">
        <v>33284</v>
      </c>
      <c r="E96" s="74" t="s">
        <v>10235</v>
      </c>
      <c r="F96" s="73"/>
      <c r="G96" s="74"/>
      <c r="H96" s="72"/>
      <c r="I96" s="74" t="s">
        <v>10171</v>
      </c>
      <c r="J96" s="73">
        <v>5000</v>
      </c>
      <c r="K96" s="73">
        <v>2000</v>
      </c>
      <c r="L96" s="73">
        <f t="shared" si="7"/>
        <v>3000</v>
      </c>
      <c r="M96" s="73"/>
      <c r="N96" s="73">
        <v>4400</v>
      </c>
      <c r="O96" s="73">
        <v>2000</v>
      </c>
      <c r="P96" s="73">
        <f t="shared" si="8"/>
        <v>2400</v>
      </c>
      <c r="Q96" s="73" t="s">
        <v>10236</v>
      </c>
      <c r="R96" s="73"/>
      <c r="S96" s="73"/>
      <c r="T96" s="73"/>
      <c r="U96" s="73"/>
      <c r="V96" s="73"/>
      <c r="W96" s="73"/>
      <c r="X96" s="73"/>
      <c r="Y96" s="73"/>
      <c r="Z96" s="73"/>
      <c r="AA96" s="73"/>
    </row>
    <row r="97" spans="1:27" ht="18" customHeight="1" x14ac:dyDescent="0.35">
      <c r="A97" s="29"/>
      <c r="B97" s="39"/>
      <c r="C97" s="15" t="s">
        <v>10237</v>
      </c>
      <c r="D97" s="87"/>
      <c r="E97" s="38" t="s">
        <v>10238</v>
      </c>
      <c r="F97" s="15"/>
      <c r="G97" s="38"/>
      <c r="H97" s="39"/>
      <c r="I97" s="38" t="s">
        <v>1725</v>
      </c>
      <c r="J97" s="15">
        <v>1600</v>
      </c>
      <c r="K97" s="15">
        <v>1600</v>
      </c>
      <c r="L97" s="15">
        <f t="shared" si="7"/>
        <v>0</v>
      </c>
      <c r="M97" s="15"/>
      <c r="N97" s="15">
        <v>1200</v>
      </c>
      <c r="O97" s="15">
        <v>1200</v>
      </c>
      <c r="P97" s="15">
        <f t="shared" si="8"/>
        <v>0</v>
      </c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8" customHeight="1" x14ac:dyDescent="0.35">
      <c r="A98" s="29">
        <v>44300</v>
      </c>
      <c r="B98" s="39">
        <v>1505084721</v>
      </c>
      <c r="C98" s="70" t="s">
        <v>6190</v>
      </c>
      <c r="D98" s="87">
        <v>29221</v>
      </c>
      <c r="E98" s="78" t="s">
        <v>10239</v>
      </c>
      <c r="F98" s="70" t="s">
        <v>10212</v>
      </c>
      <c r="G98" s="38"/>
      <c r="H98" s="39"/>
      <c r="I98" s="38" t="s">
        <v>10171</v>
      </c>
      <c r="J98" s="15">
        <f>5000+400</f>
        <v>5400</v>
      </c>
      <c r="K98" s="15">
        <f>3000+2400</f>
        <v>5400</v>
      </c>
      <c r="L98" s="15">
        <f t="shared" si="7"/>
        <v>0</v>
      </c>
      <c r="M98" s="15"/>
      <c r="N98" s="15">
        <f t="shared" ref="N98:N102" si="13">4400+400</f>
        <v>4800</v>
      </c>
      <c r="O98" s="15">
        <f t="shared" ref="O98:O100" si="14">2000+2800</f>
        <v>4800</v>
      </c>
      <c r="P98" s="15">
        <f t="shared" si="8"/>
        <v>0</v>
      </c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8" customHeight="1" x14ac:dyDescent="0.35">
      <c r="A99" s="29">
        <v>44354</v>
      </c>
      <c r="B99" s="177">
        <v>1753029121</v>
      </c>
      <c r="C99" s="70" t="s">
        <v>8891</v>
      </c>
      <c r="D99" s="87">
        <v>36007</v>
      </c>
      <c r="E99" s="78" t="s">
        <v>10240</v>
      </c>
      <c r="F99" s="70" t="s">
        <v>10241</v>
      </c>
      <c r="G99" s="38"/>
      <c r="H99" s="39"/>
      <c r="I99" s="38" t="s">
        <v>10171</v>
      </c>
      <c r="J99" s="15">
        <f>5000+500</f>
        <v>5500</v>
      </c>
      <c r="K99" s="15">
        <f>3000+2500</f>
        <v>5500</v>
      </c>
      <c r="L99" s="15">
        <f t="shared" si="7"/>
        <v>0</v>
      </c>
      <c r="M99" s="15"/>
      <c r="N99" s="15">
        <f t="shared" si="13"/>
        <v>4800</v>
      </c>
      <c r="O99" s="15">
        <f t="shared" si="14"/>
        <v>4800</v>
      </c>
      <c r="P99" s="15">
        <f t="shared" si="8"/>
        <v>0</v>
      </c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8" customHeight="1" x14ac:dyDescent="0.35">
      <c r="A100" s="29">
        <v>44370</v>
      </c>
      <c r="B100" s="177">
        <v>1929779421</v>
      </c>
      <c r="C100" s="70" t="s">
        <v>10242</v>
      </c>
      <c r="D100" s="87">
        <v>36743</v>
      </c>
      <c r="E100" s="78" t="s">
        <v>10243</v>
      </c>
      <c r="F100" s="70"/>
      <c r="G100" s="38"/>
      <c r="H100" s="39"/>
      <c r="I100" s="38" t="s">
        <v>10171</v>
      </c>
      <c r="J100" s="15">
        <f>5000+600</f>
        <v>5600</v>
      </c>
      <c r="K100" s="15">
        <f>2500+3100</f>
        <v>5600</v>
      </c>
      <c r="L100" s="15">
        <f t="shared" si="7"/>
        <v>0</v>
      </c>
      <c r="M100" s="15"/>
      <c r="N100" s="15">
        <f t="shared" si="13"/>
        <v>4800</v>
      </c>
      <c r="O100" s="15">
        <f t="shared" si="14"/>
        <v>4800</v>
      </c>
      <c r="P100" s="15">
        <f t="shared" si="8"/>
        <v>0</v>
      </c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8" customHeight="1" x14ac:dyDescent="0.35">
      <c r="A101" s="29">
        <v>44371</v>
      </c>
      <c r="B101" s="39">
        <v>1948596621</v>
      </c>
      <c r="C101" s="15" t="s">
        <v>10244</v>
      </c>
      <c r="D101" s="87">
        <v>35900</v>
      </c>
      <c r="E101" s="38" t="s">
        <v>10245</v>
      </c>
      <c r="F101" s="15"/>
      <c r="G101" s="38"/>
      <c r="H101" s="39"/>
      <c r="I101" s="38" t="s">
        <v>10171</v>
      </c>
      <c r="J101" s="15">
        <f>5000+500</f>
        <v>5500</v>
      </c>
      <c r="K101" s="15">
        <v>2400</v>
      </c>
      <c r="L101" s="15">
        <f t="shared" si="7"/>
        <v>3100</v>
      </c>
      <c r="M101" s="15"/>
      <c r="N101" s="15">
        <f t="shared" si="13"/>
        <v>4800</v>
      </c>
      <c r="O101" s="15">
        <v>2000</v>
      </c>
      <c r="P101" s="15">
        <f t="shared" si="8"/>
        <v>2800</v>
      </c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8" customHeight="1" x14ac:dyDescent="0.35">
      <c r="A102" s="39"/>
      <c r="B102" s="177">
        <v>1972303421</v>
      </c>
      <c r="C102" s="70" t="s">
        <v>1062</v>
      </c>
      <c r="D102" s="87">
        <v>36825</v>
      </c>
      <c r="E102" s="78" t="s">
        <v>10246</v>
      </c>
      <c r="F102" s="70" t="s">
        <v>10241</v>
      </c>
      <c r="G102" s="38"/>
      <c r="H102" s="39"/>
      <c r="I102" s="38" t="s">
        <v>10171</v>
      </c>
      <c r="J102" s="15">
        <f>5000+400</f>
        <v>5400</v>
      </c>
      <c r="K102" s="15">
        <v>5000</v>
      </c>
      <c r="L102" s="15">
        <f t="shared" si="7"/>
        <v>400</v>
      </c>
      <c r="M102" s="15"/>
      <c r="N102" s="15">
        <f t="shared" si="13"/>
        <v>4800</v>
      </c>
      <c r="O102" s="15">
        <f>2000+2800</f>
        <v>4800</v>
      </c>
      <c r="P102" s="15">
        <f t="shared" si="8"/>
        <v>0</v>
      </c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8" customHeight="1" x14ac:dyDescent="0.35">
      <c r="A103" s="39"/>
      <c r="B103" s="178"/>
      <c r="C103" s="86" t="s">
        <v>10247</v>
      </c>
      <c r="D103" s="87">
        <v>35346</v>
      </c>
      <c r="E103" s="94" t="s">
        <v>10111</v>
      </c>
      <c r="F103" s="70" t="s">
        <v>10241</v>
      </c>
      <c r="G103" s="38"/>
      <c r="H103" s="39"/>
      <c r="I103" s="38"/>
      <c r="J103" s="15"/>
      <c r="K103" s="15"/>
      <c r="L103" s="15">
        <f t="shared" si="7"/>
        <v>0</v>
      </c>
      <c r="M103" s="15"/>
      <c r="N103" s="15"/>
      <c r="O103" s="15"/>
      <c r="P103" s="15">
        <f t="shared" si="8"/>
        <v>0</v>
      </c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8" customHeight="1" x14ac:dyDescent="0.35">
      <c r="A104" s="29">
        <v>44384</v>
      </c>
      <c r="B104" s="177"/>
      <c r="C104" s="70" t="s">
        <v>10248</v>
      </c>
      <c r="D104" s="87">
        <v>18056</v>
      </c>
      <c r="E104" s="78" t="s">
        <v>10249</v>
      </c>
      <c r="F104" s="70"/>
      <c r="G104" s="38"/>
      <c r="H104" s="39"/>
      <c r="I104" s="38" t="s">
        <v>10114</v>
      </c>
      <c r="J104" s="15">
        <v>2000</v>
      </c>
      <c r="K104" s="15">
        <v>2000</v>
      </c>
      <c r="L104" s="15">
        <f t="shared" si="7"/>
        <v>0</v>
      </c>
      <c r="M104" s="15"/>
      <c r="N104" s="15">
        <v>1400</v>
      </c>
      <c r="O104" s="15">
        <v>1400</v>
      </c>
      <c r="P104" s="15">
        <f t="shared" si="8"/>
        <v>0</v>
      </c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8" customHeight="1" x14ac:dyDescent="0.35">
      <c r="A105" s="29">
        <v>44386</v>
      </c>
      <c r="B105" s="177"/>
      <c r="C105" s="70" t="s">
        <v>10250</v>
      </c>
      <c r="D105" s="87">
        <v>17770</v>
      </c>
      <c r="E105" s="78" t="s">
        <v>10251</v>
      </c>
      <c r="F105" s="70"/>
      <c r="G105" s="38"/>
      <c r="H105" s="39"/>
      <c r="I105" s="38" t="s">
        <v>10114</v>
      </c>
      <c r="J105" s="15">
        <v>2000</v>
      </c>
      <c r="K105" s="15">
        <v>2000</v>
      </c>
      <c r="L105" s="15">
        <f t="shared" si="7"/>
        <v>0</v>
      </c>
      <c r="M105" s="15"/>
      <c r="N105" s="15">
        <v>1400</v>
      </c>
      <c r="O105" s="15">
        <v>1400</v>
      </c>
      <c r="P105" s="15">
        <f t="shared" si="8"/>
        <v>0</v>
      </c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8" customHeight="1" x14ac:dyDescent="0.35">
      <c r="A106" s="29">
        <v>44385</v>
      </c>
      <c r="B106" s="177"/>
      <c r="C106" s="70" t="s">
        <v>10252</v>
      </c>
      <c r="D106" s="87">
        <v>35013</v>
      </c>
      <c r="E106" s="78" t="s">
        <v>10253</v>
      </c>
      <c r="F106" s="70"/>
      <c r="G106" s="38" t="s">
        <v>10254</v>
      </c>
      <c r="H106" s="39"/>
      <c r="I106" s="38">
        <v>2</v>
      </c>
      <c r="J106" s="15">
        <f>3700+400</f>
        <v>4100</v>
      </c>
      <c r="K106" s="15">
        <f>2000+2100</f>
        <v>4100</v>
      </c>
      <c r="L106" s="15">
        <f t="shared" si="7"/>
        <v>0</v>
      </c>
      <c r="M106" s="15"/>
      <c r="N106" s="15">
        <f>3100+400</f>
        <v>3500</v>
      </c>
      <c r="O106" s="15">
        <f>2000+1500</f>
        <v>3500</v>
      </c>
      <c r="P106" s="15">
        <f t="shared" si="8"/>
        <v>0</v>
      </c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8" customHeight="1" x14ac:dyDescent="0.35">
      <c r="A107" s="29">
        <v>44389</v>
      </c>
      <c r="B107" s="39">
        <v>2187460921</v>
      </c>
      <c r="C107" s="15" t="s">
        <v>4754</v>
      </c>
      <c r="D107" s="87">
        <v>35855</v>
      </c>
      <c r="E107" s="38" t="s">
        <v>10255</v>
      </c>
      <c r="F107" s="75" t="s">
        <v>10256</v>
      </c>
      <c r="G107" s="38"/>
      <c r="H107" s="39"/>
      <c r="I107" s="38" t="s">
        <v>10171</v>
      </c>
      <c r="J107" s="15">
        <f>5000+500</f>
        <v>5500</v>
      </c>
      <c r="K107" s="15">
        <f>2500+3000</f>
        <v>5500</v>
      </c>
      <c r="L107" s="15">
        <f t="shared" si="7"/>
        <v>0</v>
      </c>
      <c r="M107" s="15"/>
      <c r="N107" s="15">
        <v>4400</v>
      </c>
      <c r="O107" s="15">
        <f>2000+2400</f>
        <v>4400</v>
      </c>
      <c r="P107" s="15">
        <f t="shared" si="8"/>
        <v>0</v>
      </c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8" customHeight="1" x14ac:dyDescent="0.35">
      <c r="A108" s="29">
        <v>44387</v>
      </c>
      <c r="B108" s="177"/>
      <c r="C108" s="70" t="s">
        <v>4666</v>
      </c>
      <c r="D108" s="87">
        <v>27760</v>
      </c>
      <c r="E108" s="78" t="s">
        <v>10111</v>
      </c>
      <c r="F108" s="70"/>
      <c r="G108" s="38"/>
      <c r="H108" s="39"/>
      <c r="I108" s="38" t="s">
        <v>10114</v>
      </c>
      <c r="J108" s="15">
        <v>2000</v>
      </c>
      <c r="K108" s="15">
        <v>2000</v>
      </c>
      <c r="L108" s="15">
        <f t="shared" si="7"/>
        <v>0</v>
      </c>
      <c r="M108" s="15"/>
      <c r="N108" s="15">
        <v>1400</v>
      </c>
      <c r="O108" s="15">
        <v>1400</v>
      </c>
      <c r="P108" s="15">
        <f t="shared" si="8"/>
        <v>0</v>
      </c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8" customHeight="1" x14ac:dyDescent="0.35">
      <c r="A109" s="29">
        <v>44389</v>
      </c>
      <c r="B109" s="128">
        <v>2199487021</v>
      </c>
      <c r="C109" s="84" t="s">
        <v>10257</v>
      </c>
      <c r="D109" s="87">
        <v>34675</v>
      </c>
      <c r="E109" s="95" t="s">
        <v>10258</v>
      </c>
      <c r="F109" s="84" t="s">
        <v>8785</v>
      </c>
      <c r="G109" s="38"/>
      <c r="H109" s="39"/>
      <c r="I109" s="38" t="s">
        <v>10171</v>
      </c>
      <c r="J109" s="15">
        <v>5000</v>
      </c>
      <c r="K109" s="15">
        <f>2500+2500</f>
        <v>5000</v>
      </c>
      <c r="L109" s="15">
        <f t="shared" si="7"/>
        <v>0</v>
      </c>
      <c r="M109" s="15"/>
      <c r="N109" s="15">
        <v>4400</v>
      </c>
      <c r="O109" s="15">
        <f>2500+1900</f>
        <v>4400</v>
      </c>
      <c r="P109" s="15">
        <f t="shared" si="8"/>
        <v>0</v>
      </c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8" customHeight="1" x14ac:dyDescent="0.35">
      <c r="A110" s="29">
        <v>44398</v>
      </c>
      <c r="B110" s="177"/>
      <c r="C110" s="70" t="s">
        <v>10259</v>
      </c>
      <c r="D110" s="87" t="s">
        <v>10260</v>
      </c>
      <c r="E110" s="78" t="s">
        <v>10261</v>
      </c>
      <c r="F110" s="70"/>
      <c r="G110" s="38"/>
      <c r="H110" s="39"/>
      <c r="I110" s="38" t="s">
        <v>10114</v>
      </c>
      <c r="J110" s="15">
        <v>4400</v>
      </c>
      <c r="K110" s="15">
        <v>4400</v>
      </c>
      <c r="L110" s="15">
        <f t="shared" si="7"/>
        <v>0</v>
      </c>
      <c r="M110" s="15"/>
      <c r="N110" s="15">
        <v>3400</v>
      </c>
      <c r="O110" s="15">
        <v>3400</v>
      </c>
      <c r="P110" s="15">
        <f t="shared" si="8"/>
        <v>0</v>
      </c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8" customHeight="1" x14ac:dyDescent="0.35">
      <c r="A111" s="29">
        <v>44398</v>
      </c>
      <c r="B111" s="177"/>
      <c r="C111" s="70" t="s">
        <v>10262</v>
      </c>
      <c r="D111" s="87">
        <v>30368</v>
      </c>
      <c r="E111" s="78" t="s">
        <v>10263</v>
      </c>
      <c r="F111" s="76"/>
      <c r="G111" s="38"/>
      <c r="H111" s="39"/>
      <c r="I111" s="38" t="s">
        <v>10114</v>
      </c>
      <c r="J111" s="15">
        <v>3500</v>
      </c>
      <c r="K111" s="15">
        <v>3500</v>
      </c>
      <c r="L111" s="15">
        <f t="shared" si="7"/>
        <v>0</v>
      </c>
      <c r="M111" s="15"/>
      <c r="N111" s="15">
        <v>2500</v>
      </c>
      <c r="O111" s="15">
        <v>2500</v>
      </c>
      <c r="P111" s="15">
        <f t="shared" si="8"/>
        <v>0</v>
      </c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8" customHeight="1" x14ac:dyDescent="0.35">
      <c r="A112" s="29">
        <v>44402</v>
      </c>
      <c r="B112" s="177"/>
      <c r="C112" s="70" t="s">
        <v>10264</v>
      </c>
      <c r="D112" s="87"/>
      <c r="E112" s="78" t="s">
        <v>10111</v>
      </c>
      <c r="F112" s="70"/>
      <c r="G112" s="38"/>
      <c r="H112" s="39"/>
      <c r="I112" s="38" t="s">
        <v>10114</v>
      </c>
      <c r="J112" s="15">
        <v>1850</v>
      </c>
      <c r="K112" s="15">
        <v>1850</v>
      </c>
      <c r="L112" s="15">
        <f t="shared" si="7"/>
        <v>0</v>
      </c>
      <c r="M112" s="15"/>
      <c r="N112" s="15">
        <v>1500</v>
      </c>
      <c r="O112" s="15">
        <v>1500</v>
      </c>
      <c r="P112" s="15">
        <f t="shared" si="8"/>
        <v>0</v>
      </c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8" customHeight="1" x14ac:dyDescent="0.35">
      <c r="A113" s="29">
        <v>44402</v>
      </c>
      <c r="B113" s="177"/>
      <c r="C113" s="70" t="s">
        <v>10265</v>
      </c>
      <c r="D113" s="87">
        <v>26191</v>
      </c>
      <c r="E113" s="78" t="s">
        <v>10266</v>
      </c>
      <c r="F113" s="70"/>
      <c r="G113" s="38"/>
      <c r="H113" s="39"/>
      <c r="I113" s="38" t="s">
        <v>10114</v>
      </c>
      <c r="J113" s="15">
        <v>2900</v>
      </c>
      <c r="K113" s="15">
        <v>2900</v>
      </c>
      <c r="L113" s="15">
        <f t="shared" si="7"/>
        <v>0</v>
      </c>
      <c r="M113" s="15"/>
      <c r="N113" s="15">
        <f>1100+1400</f>
        <v>2500</v>
      </c>
      <c r="O113" s="15">
        <v>2500</v>
      </c>
      <c r="P113" s="15">
        <f t="shared" si="8"/>
        <v>0</v>
      </c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8" customHeight="1" x14ac:dyDescent="0.35">
      <c r="A114" s="29">
        <v>44416</v>
      </c>
      <c r="B114" s="177"/>
      <c r="C114" s="70" t="s">
        <v>10267</v>
      </c>
      <c r="D114" s="87">
        <v>37044</v>
      </c>
      <c r="E114" s="78" t="s">
        <v>10268</v>
      </c>
      <c r="F114" s="70"/>
      <c r="G114" s="38"/>
      <c r="H114" s="39"/>
      <c r="I114" s="38" t="s">
        <v>10269</v>
      </c>
      <c r="J114" s="15">
        <v>4200</v>
      </c>
      <c r="K114" s="15">
        <f>2000+2200</f>
        <v>4200</v>
      </c>
      <c r="L114" s="15">
        <f t="shared" si="7"/>
        <v>0</v>
      </c>
      <c r="M114" s="15"/>
      <c r="N114" s="15">
        <v>3800</v>
      </c>
      <c r="O114" s="15">
        <f>2000+1800</f>
        <v>3800</v>
      </c>
      <c r="P114" s="15">
        <f t="shared" si="8"/>
        <v>0</v>
      </c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8" customHeight="1" x14ac:dyDescent="0.35">
      <c r="A115" s="29">
        <v>44416</v>
      </c>
      <c r="B115" s="177"/>
      <c r="C115" s="70" t="s">
        <v>10270</v>
      </c>
      <c r="D115" s="87">
        <v>25586</v>
      </c>
      <c r="E115" s="78" t="s">
        <v>10271</v>
      </c>
      <c r="F115" s="70"/>
      <c r="G115" s="38"/>
      <c r="H115" s="39"/>
      <c r="I115" s="38" t="s">
        <v>10114</v>
      </c>
      <c r="J115" s="15"/>
      <c r="K115" s="15"/>
      <c r="L115" s="15">
        <f t="shared" si="7"/>
        <v>0</v>
      </c>
      <c r="M115" s="15"/>
      <c r="N115" s="15">
        <v>3800</v>
      </c>
      <c r="O115" s="15">
        <v>3800</v>
      </c>
      <c r="P115" s="15">
        <f t="shared" si="8"/>
        <v>0</v>
      </c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8" customHeight="1" x14ac:dyDescent="0.35">
      <c r="A116" s="29">
        <v>44416</v>
      </c>
      <c r="B116" s="177"/>
      <c r="C116" s="70" t="s">
        <v>4995</v>
      </c>
      <c r="D116" s="87">
        <v>37787</v>
      </c>
      <c r="E116" s="78" t="s">
        <v>10272</v>
      </c>
      <c r="F116" s="70"/>
      <c r="G116" s="38"/>
      <c r="H116" s="39"/>
      <c r="I116" s="38" t="s">
        <v>10171</v>
      </c>
      <c r="J116" s="15">
        <v>5700</v>
      </c>
      <c r="K116" s="15">
        <f>2500+3200</f>
        <v>5700</v>
      </c>
      <c r="L116" s="15">
        <f t="shared" si="7"/>
        <v>0</v>
      </c>
      <c r="M116" s="15"/>
      <c r="N116" s="15">
        <v>5100</v>
      </c>
      <c r="O116" s="15">
        <f>2500+2600</f>
        <v>5100</v>
      </c>
      <c r="P116" s="15">
        <f t="shared" si="8"/>
        <v>0</v>
      </c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8" customHeight="1" x14ac:dyDescent="0.35">
      <c r="A117" s="29">
        <v>44443</v>
      </c>
      <c r="B117" s="177">
        <v>2969875721</v>
      </c>
      <c r="C117" s="70" t="s">
        <v>10273</v>
      </c>
      <c r="D117" s="87">
        <v>36803</v>
      </c>
      <c r="E117" s="78" t="s">
        <v>10274</v>
      </c>
      <c r="F117" s="70" t="s">
        <v>10275</v>
      </c>
      <c r="G117" s="38"/>
      <c r="H117" s="39"/>
      <c r="I117" s="38" t="s">
        <v>10171</v>
      </c>
      <c r="J117" s="15">
        <v>5700</v>
      </c>
      <c r="K117" s="15">
        <f>2900+2800</f>
        <v>5700</v>
      </c>
      <c r="L117" s="15">
        <f t="shared" si="7"/>
        <v>0</v>
      </c>
      <c r="M117" s="15"/>
      <c r="N117" s="15">
        <v>5000</v>
      </c>
      <c r="O117" s="15">
        <f>3500+1500</f>
        <v>5000</v>
      </c>
      <c r="P117" s="15">
        <f t="shared" si="8"/>
        <v>0</v>
      </c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8" customHeight="1" x14ac:dyDescent="0.35">
      <c r="A118" s="29">
        <v>44449</v>
      </c>
      <c r="B118" s="128">
        <v>3069356821</v>
      </c>
      <c r="C118" s="84" t="s">
        <v>10276</v>
      </c>
      <c r="D118" s="87">
        <v>37525</v>
      </c>
      <c r="E118" s="95" t="s">
        <v>10277</v>
      </c>
      <c r="F118" s="84"/>
      <c r="G118" s="13">
        <v>4068194822</v>
      </c>
      <c r="H118" s="39"/>
      <c r="I118" s="38" t="s">
        <v>10171</v>
      </c>
      <c r="J118" s="15">
        <v>5800</v>
      </c>
      <c r="K118" s="15">
        <f>3000+2800</f>
        <v>5800</v>
      </c>
      <c r="L118" s="15">
        <f t="shared" si="7"/>
        <v>0</v>
      </c>
      <c r="M118" s="15"/>
      <c r="N118" s="15">
        <v>4800</v>
      </c>
      <c r="O118" s="15">
        <f>2500+2300</f>
        <v>4800</v>
      </c>
      <c r="P118" s="15">
        <f t="shared" si="8"/>
        <v>0</v>
      </c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8" customHeight="1" x14ac:dyDescent="0.35">
      <c r="A119" s="29">
        <v>44449</v>
      </c>
      <c r="B119" s="177">
        <v>3074618521</v>
      </c>
      <c r="C119" s="70" t="s">
        <v>10278</v>
      </c>
      <c r="D119" s="87">
        <v>33465</v>
      </c>
      <c r="E119" s="78" t="s">
        <v>10279</v>
      </c>
      <c r="F119" s="70" t="s">
        <v>10280</v>
      </c>
      <c r="G119" s="77">
        <v>4575101021</v>
      </c>
      <c r="H119" s="39"/>
      <c r="I119" s="38" t="s">
        <v>10171</v>
      </c>
      <c r="J119" s="15">
        <v>5700</v>
      </c>
      <c r="K119" s="15">
        <f>3000+2700</f>
        <v>5700</v>
      </c>
      <c r="L119" s="15">
        <f t="shared" si="7"/>
        <v>0</v>
      </c>
      <c r="M119" s="15"/>
      <c r="N119" s="15">
        <v>5100</v>
      </c>
      <c r="O119" s="15">
        <f>2500+2600</f>
        <v>5100</v>
      </c>
      <c r="P119" s="15">
        <f t="shared" si="8"/>
        <v>0</v>
      </c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8" customHeight="1" x14ac:dyDescent="0.35">
      <c r="A120" s="29">
        <v>44454</v>
      </c>
      <c r="B120" s="177"/>
      <c r="C120" s="70" t="s">
        <v>10281</v>
      </c>
      <c r="D120" s="87">
        <v>28156</v>
      </c>
      <c r="E120" s="78" t="s">
        <v>10282</v>
      </c>
      <c r="F120" s="70"/>
      <c r="G120" s="38"/>
      <c r="H120" s="39"/>
      <c r="I120" s="38" t="s">
        <v>10114</v>
      </c>
      <c r="J120" s="15">
        <v>1700</v>
      </c>
      <c r="K120" s="15">
        <v>1700</v>
      </c>
      <c r="L120" s="15">
        <f t="shared" si="7"/>
        <v>0</v>
      </c>
      <c r="M120" s="15"/>
      <c r="N120" s="15">
        <v>1200</v>
      </c>
      <c r="O120" s="15">
        <v>1200</v>
      </c>
      <c r="P120" s="15">
        <f t="shared" si="8"/>
        <v>0</v>
      </c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8" customHeight="1" x14ac:dyDescent="0.35">
      <c r="A121" s="29">
        <v>44455</v>
      </c>
      <c r="B121" s="128">
        <v>3156054221</v>
      </c>
      <c r="C121" s="84" t="s">
        <v>10283</v>
      </c>
      <c r="D121" s="87">
        <v>37198</v>
      </c>
      <c r="E121" s="95" t="s">
        <v>10284</v>
      </c>
      <c r="F121" s="84" t="s">
        <v>8785</v>
      </c>
      <c r="G121" s="85">
        <v>1606643422</v>
      </c>
      <c r="H121" s="39"/>
      <c r="I121" s="38" t="s">
        <v>10171</v>
      </c>
      <c r="J121" s="15">
        <v>5700</v>
      </c>
      <c r="K121" s="15">
        <f>2500+3200</f>
        <v>5700</v>
      </c>
      <c r="L121" s="15">
        <f t="shared" si="7"/>
        <v>0</v>
      </c>
      <c r="M121" s="15"/>
      <c r="N121" s="15">
        <v>4800</v>
      </c>
      <c r="O121" s="15">
        <f>2500+2300</f>
        <v>4800</v>
      </c>
      <c r="P121" s="15">
        <f t="shared" si="8"/>
        <v>0</v>
      </c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8" customHeight="1" x14ac:dyDescent="0.35">
      <c r="A122" s="29">
        <v>44457</v>
      </c>
      <c r="B122" s="128">
        <v>3188289721</v>
      </c>
      <c r="C122" s="84" t="s">
        <v>5153</v>
      </c>
      <c r="D122" s="87">
        <v>37824</v>
      </c>
      <c r="E122" s="95" t="s">
        <v>10285</v>
      </c>
      <c r="F122" s="84" t="s">
        <v>8785</v>
      </c>
      <c r="G122" s="38"/>
      <c r="H122" s="39"/>
      <c r="I122" s="38" t="s">
        <v>10171</v>
      </c>
      <c r="J122" s="15">
        <v>5700</v>
      </c>
      <c r="K122" s="15">
        <f>3000+2700</f>
        <v>5700</v>
      </c>
      <c r="L122" s="15">
        <f t="shared" si="7"/>
        <v>0</v>
      </c>
      <c r="M122" s="15"/>
      <c r="N122" s="15">
        <v>4800</v>
      </c>
      <c r="O122" s="15">
        <f>2500+2300</f>
        <v>4800</v>
      </c>
      <c r="P122" s="15">
        <f t="shared" si="8"/>
        <v>0</v>
      </c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8" customHeight="1" x14ac:dyDescent="0.35">
      <c r="A123" s="69">
        <v>44457</v>
      </c>
      <c r="B123" s="177" t="s">
        <v>10286</v>
      </c>
      <c r="C123" s="70" t="s">
        <v>10287</v>
      </c>
      <c r="D123" s="87">
        <v>29707</v>
      </c>
      <c r="E123" s="78" t="s">
        <v>10288</v>
      </c>
      <c r="F123" s="70"/>
      <c r="G123" s="38"/>
      <c r="H123" s="39"/>
      <c r="I123" s="38" t="s">
        <v>10289</v>
      </c>
      <c r="J123" s="15">
        <v>2000</v>
      </c>
      <c r="K123" s="15">
        <f>1500+500</f>
        <v>2000</v>
      </c>
      <c r="L123" s="15">
        <f t="shared" si="7"/>
        <v>0</v>
      </c>
      <c r="M123" s="15"/>
      <c r="N123" s="15">
        <v>1500</v>
      </c>
      <c r="O123" s="15">
        <v>1500</v>
      </c>
      <c r="P123" s="15">
        <f t="shared" si="8"/>
        <v>0</v>
      </c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8" customHeight="1" x14ac:dyDescent="0.35">
      <c r="A124" s="29">
        <v>44462</v>
      </c>
      <c r="B124" s="177">
        <v>3336165421</v>
      </c>
      <c r="C124" s="70" t="s">
        <v>10290</v>
      </c>
      <c r="D124" s="87">
        <v>31070</v>
      </c>
      <c r="E124" s="78" t="s">
        <v>10291</v>
      </c>
      <c r="F124" s="70" t="s">
        <v>10275</v>
      </c>
      <c r="G124" s="38"/>
      <c r="H124" s="39"/>
      <c r="I124" s="38" t="s">
        <v>10292</v>
      </c>
      <c r="J124" s="15">
        <v>4500</v>
      </c>
      <c r="K124" s="15">
        <f>2500+2000</f>
        <v>4500</v>
      </c>
      <c r="L124" s="15">
        <f t="shared" si="7"/>
        <v>0</v>
      </c>
      <c r="M124" s="15"/>
      <c r="N124" s="15">
        <v>3900</v>
      </c>
      <c r="O124" s="15">
        <f>2000+1900</f>
        <v>3900</v>
      </c>
      <c r="P124" s="15">
        <f t="shared" si="8"/>
        <v>0</v>
      </c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8" customHeight="1" x14ac:dyDescent="0.35">
      <c r="A125" s="29">
        <v>44462</v>
      </c>
      <c r="B125" s="128">
        <v>3277993021</v>
      </c>
      <c r="C125" s="84" t="s">
        <v>10293</v>
      </c>
      <c r="D125" s="87">
        <v>44462</v>
      </c>
      <c r="E125" s="95" t="s">
        <v>10294</v>
      </c>
      <c r="F125" s="84"/>
      <c r="G125" s="13">
        <v>661382522</v>
      </c>
      <c r="H125" s="39"/>
      <c r="I125" s="38" t="s">
        <v>10171</v>
      </c>
      <c r="J125" s="15">
        <f>5500+100</f>
        <v>5600</v>
      </c>
      <c r="K125" s="15">
        <f>3000+2600</f>
        <v>5600</v>
      </c>
      <c r="L125" s="15">
        <f t="shared" si="7"/>
        <v>0</v>
      </c>
      <c r="M125" s="15"/>
      <c r="N125" s="15">
        <v>5100</v>
      </c>
      <c r="O125" s="15">
        <f>2500+2600</f>
        <v>5100</v>
      </c>
      <c r="P125" s="15">
        <f t="shared" si="8"/>
        <v>0</v>
      </c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8" customHeight="1" x14ac:dyDescent="0.35">
      <c r="A126" s="39"/>
      <c r="B126" s="177"/>
      <c r="C126" s="70" t="s">
        <v>10295</v>
      </c>
      <c r="D126" s="87">
        <v>20475</v>
      </c>
      <c r="E126" s="78" t="s">
        <v>10296</v>
      </c>
      <c r="F126" s="70" t="s">
        <v>8785</v>
      </c>
      <c r="G126" s="38"/>
      <c r="H126" s="39"/>
      <c r="I126" s="38" t="s">
        <v>10114</v>
      </c>
      <c r="J126" s="15">
        <v>2000</v>
      </c>
      <c r="K126" s="15">
        <v>2000</v>
      </c>
      <c r="L126" s="15">
        <f t="shared" si="7"/>
        <v>0</v>
      </c>
      <c r="M126" s="15"/>
      <c r="N126" s="15">
        <v>1300</v>
      </c>
      <c r="O126" s="15">
        <v>1300</v>
      </c>
      <c r="P126" s="15">
        <f t="shared" si="8"/>
        <v>0</v>
      </c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8" customHeight="1" x14ac:dyDescent="0.35">
      <c r="A127" s="29">
        <v>44474</v>
      </c>
      <c r="B127" s="128">
        <v>3443911421</v>
      </c>
      <c r="C127" s="84" t="s">
        <v>10297</v>
      </c>
      <c r="D127" s="87">
        <v>37817</v>
      </c>
      <c r="E127" s="95" t="s">
        <v>10298</v>
      </c>
      <c r="F127" s="70" t="s">
        <v>8785</v>
      </c>
      <c r="G127" s="38">
        <v>1602015922</v>
      </c>
      <c r="H127" s="39"/>
      <c r="I127" s="38" t="s">
        <v>10171</v>
      </c>
      <c r="J127" s="15">
        <v>5500</v>
      </c>
      <c r="K127" s="15">
        <f>2500+3000</f>
        <v>5500</v>
      </c>
      <c r="L127" s="15">
        <f t="shared" si="7"/>
        <v>0</v>
      </c>
      <c r="M127" s="15"/>
      <c r="N127" s="15">
        <v>4800</v>
      </c>
      <c r="O127" s="15">
        <f>2500+2300</f>
        <v>4800</v>
      </c>
      <c r="P127" s="15">
        <f t="shared" si="8"/>
        <v>0</v>
      </c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8" customHeight="1" x14ac:dyDescent="0.35">
      <c r="A128" s="29">
        <v>44479</v>
      </c>
      <c r="B128" s="177">
        <v>3518415621</v>
      </c>
      <c r="C128" s="70" t="s">
        <v>10299</v>
      </c>
      <c r="D128" s="87">
        <v>34609</v>
      </c>
      <c r="E128" s="78" t="s">
        <v>10300</v>
      </c>
      <c r="F128" s="70" t="s">
        <v>10275</v>
      </c>
      <c r="G128" s="38"/>
      <c r="H128" s="39"/>
      <c r="I128" s="38" t="s">
        <v>10171</v>
      </c>
      <c r="J128" s="15">
        <v>5500</v>
      </c>
      <c r="K128" s="15">
        <f>3000+2500</f>
        <v>5500</v>
      </c>
      <c r="L128" s="15">
        <f t="shared" si="7"/>
        <v>0</v>
      </c>
      <c r="M128" s="15"/>
      <c r="N128" s="15">
        <v>5100</v>
      </c>
      <c r="O128" s="15">
        <f t="shared" ref="O128:O129" si="15">2500+2600</f>
        <v>5100</v>
      </c>
      <c r="P128" s="15">
        <f t="shared" si="8"/>
        <v>0</v>
      </c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8" customHeight="1" x14ac:dyDescent="0.35">
      <c r="A129" s="29">
        <v>44483</v>
      </c>
      <c r="B129" s="177">
        <v>3572358621</v>
      </c>
      <c r="C129" s="70" t="s">
        <v>10301</v>
      </c>
      <c r="D129" s="87">
        <v>37803</v>
      </c>
      <c r="E129" s="78" t="s">
        <v>10302</v>
      </c>
      <c r="F129" s="70" t="s">
        <v>10275</v>
      </c>
      <c r="G129" s="38"/>
      <c r="H129" s="39"/>
      <c r="I129" s="38" t="s">
        <v>10171</v>
      </c>
      <c r="J129" s="15">
        <v>5800</v>
      </c>
      <c r="K129" s="15">
        <f>3000+2800</f>
        <v>5800</v>
      </c>
      <c r="L129" s="15">
        <f t="shared" si="7"/>
        <v>0</v>
      </c>
      <c r="M129" s="15"/>
      <c r="N129" s="15">
        <v>5100</v>
      </c>
      <c r="O129" s="15">
        <f t="shared" si="15"/>
        <v>5100</v>
      </c>
      <c r="P129" s="15">
        <f t="shared" si="8"/>
        <v>0</v>
      </c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8" customHeight="1" x14ac:dyDescent="0.35">
      <c r="A130" s="29">
        <v>44493</v>
      </c>
      <c r="B130" s="177">
        <v>3685956321</v>
      </c>
      <c r="C130" s="70" t="s">
        <v>10303</v>
      </c>
      <c r="D130" s="87">
        <v>25623</v>
      </c>
      <c r="E130" s="78" t="s">
        <v>10304</v>
      </c>
      <c r="F130" s="70" t="s">
        <v>10275</v>
      </c>
      <c r="G130" s="38"/>
      <c r="H130" s="39"/>
      <c r="I130" s="38" t="s">
        <v>10171</v>
      </c>
      <c r="J130" s="15">
        <v>5800</v>
      </c>
      <c r="K130" s="15">
        <f t="shared" ref="K130:K132" si="16">3000+2800</f>
        <v>5800</v>
      </c>
      <c r="L130" s="15">
        <f t="shared" si="7"/>
        <v>0</v>
      </c>
      <c r="M130" s="15"/>
      <c r="N130" s="15">
        <v>5300</v>
      </c>
      <c r="O130" s="15">
        <f t="shared" ref="O130:O131" si="17">3000+2300</f>
        <v>5300</v>
      </c>
      <c r="P130" s="15">
        <f t="shared" si="8"/>
        <v>0</v>
      </c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8" customHeight="1" x14ac:dyDescent="0.35">
      <c r="A131" s="29">
        <v>44493</v>
      </c>
      <c r="B131" s="177">
        <v>3686003321</v>
      </c>
      <c r="C131" s="70" t="s">
        <v>10305</v>
      </c>
      <c r="D131" s="87">
        <v>25625</v>
      </c>
      <c r="E131" s="78" t="s">
        <v>10306</v>
      </c>
      <c r="F131" s="70" t="s">
        <v>10275</v>
      </c>
      <c r="G131" s="38"/>
      <c r="H131" s="39"/>
      <c r="I131" s="38" t="s">
        <v>10171</v>
      </c>
      <c r="J131" s="15">
        <v>5800</v>
      </c>
      <c r="K131" s="15">
        <f t="shared" si="16"/>
        <v>5800</v>
      </c>
      <c r="L131" s="15">
        <f t="shared" si="7"/>
        <v>0</v>
      </c>
      <c r="M131" s="15"/>
      <c r="N131" s="15">
        <v>5300</v>
      </c>
      <c r="O131" s="15">
        <f t="shared" si="17"/>
        <v>5300</v>
      </c>
      <c r="P131" s="15">
        <f t="shared" si="8"/>
        <v>0</v>
      </c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8" customHeight="1" x14ac:dyDescent="0.35">
      <c r="A132" s="29">
        <v>44518</v>
      </c>
      <c r="B132" s="177">
        <v>4014981421</v>
      </c>
      <c r="C132" s="70" t="s">
        <v>10307</v>
      </c>
      <c r="D132" s="87">
        <v>30628</v>
      </c>
      <c r="E132" s="78" t="s">
        <v>10308</v>
      </c>
      <c r="F132" s="70" t="s">
        <v>10309</v>
      </c>
      <c r="G132" s="38"/>
      <c r="H132" s="39"/>
      <c r="I132" s="38" t="s">
        <v>10171</v>
      </c>
      <c r="J132" s="15">
        <f>5500+300</f>
        <v>5800</v>
      </c>
      <c r="K132" s="15">
        <f t="shared" si="16"/>
        <v>5800</v>
      </c>
      <c r="L132" s="15">
        <f t="shared" si="7"/>
        <v>0</v>
      </c>
      <c r="M132" s="15"/>
      <c r="N132" s="15">
        <f>4800+300</f>
        <v>5100</v>
      </c>
      <c r="O132" s="15">
        <f>2500+2600</f>
        <v>5100</v>
      </c>
      <c r="P132" s="15">
        <f t="shared" si="8"/>
        <v>0</v>
      </c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8" customHeight="1" x14ac:dyDescent="0.35">
      <c r="A133" s="29">
        <v>44522</v>
      </c>
      <c r="B133" s="177">
        <v>3915462621</v>
      </c>
      <c r="C133" s="70" t="s">
        <v>10310</v>
      </c>
      <c r="D133" s="87">
        <v>34346</v>
      </c>
      <c r="E133" s="78" t="s">
        <v>10311</v>
      </c>
      <c r="F133" s="70" t="s">
        <v>10275</v>
      </c>
      <c r="G133" s="38"/>
      <c r="H133" s="39"/>
      <c r="I133" s="38" t="s">
        <v>10171</v>
      </c>
      <c r="J133" s="15">
        <f>5500</f>
        <v>5500</v>
      </c>
      <c r="K133" s="15">
        <f>3000+2500</f>
        <v>5500</v>
      </c>
      <c r="L133" s="15">
        <f t="shared" si="7"/>
        <v>0</v>
      </c>
      <c r="M133" s="15"/>
      <c r="N133" s="15">
        <f>4800</f>
        <v>4800</v>
      </c>
      <c r="O133" s="15">
        <f>2500+2300</f>
        <v>4800</v>
      </c>
      <c r="P133" s="15">
        <f t="shared" si="8"/>
        <v>0</v>
      </c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8" customHeight="1" x14ac:dyDescent="0.35">
      <c r="A134" s="39"/>
      <c r="B134" s="128">
        <v>4282754721</v>
      </c>
      <c r="C134" s="84" t="s">
        <v>10312</v>
      </c>
      <c r="D134" s="87">
        <v>27549</v>
      </c>
      <c r="E134" s="95" t="s">
        <v>10313</v>
      </c>
      <c r="F134" s="70" t="s">
        <v>10314</v>
      </c>
      <c r="G134" s="38" t="s">
        <v>2579</v>
      </c>
      <c r="H134" s="39"/>
      <c r="I134" s="38" t="s">
        <v>10114</v>
      </c>
      <c r="J134" s="15">
        <v>3800</v>
      </c>
      <c r="K134" s="15">
        <v>3800</v>
      </c>
      <c r="L134" s="15">
        <f t="shared" si="7"/>
        <v>0</v>
      </c>
      <c r="M134" s="15"/>
      <c r="N134" s="15">
        <v>3000</v>
      </c>
      <c r="O134" s="15">
        <v>3000</v>
      </c>
      <c r="P134" s="15">
        <f t="shared" si="8"/>
        <v>0</v>
      </c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8" customHeight="1" x14ac:dyDescent="0.35">
      <c r="A135" s="39"/>
      <c r="B135" s="177"/>
      <c r="C135" s="70" t="s">
        <v>1111</v>
      </c>
      <c r="D135" s="87"/>
      <c r="E135" s="78" t="s">
        <v>10058</v>
      </c>
      <c r="F135" s="70"/>
      <c r="G135" s="78"/>
      <c r="H135" s="39"/>
      <c r="I135" s="38" t="s">
        <v>10315</v>
      </c>
      <c r="J135" s="15">
        <v>1800</v>
      </c>
      <c r="K135" s="15">
        <v>1800</v>
      </c>
      <c r="L135" s="15">
        <f t="shared" si="7"/>
        <v>0</v>
      </c>
      <c r="M135" s="15"/>
      <c r="N135" s="15">
        <v>1200</v>
      </c>
      <c r="O135" s="15">
        <v>1200</v>
      </c>
      <c r="P135" s="15">
        <f t="shared" si="8"/>
        <v>0</v>
      </c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8" customHeight="1" x14ac:dyDescent="0.35">
      <c r="A136" s="39" t="s">
        <v>10316</v>
      </c>
      <c r="B136" s="128">
        <v>4327748521</v>
      </c>
      <c r="C136" s="84" t="s">
        <v>5335</v>
      </c>
      <c r="D136" s="87">
        <v>37888</v>
      </c>
      <c r="E136" s="95" t="s">
        <v>10317</v>
      </c>
      <c r="F136" s="70" t="s">
        <v>8785</v>
      </c>
      <c r="G136" s="38"/>
      <c r="H136" s="39"/>
      <c r="I136" s="38" t="s">
        <v>10171</v>
      </c>
      <c r="J136" s="15">
        <v>5500</v>
      </c>
      <c r="K136" s="15">
        <f t="shared" ref="K136:K137" si="18">3000+2500</f>
        <v>5500</v>
      </c>
      <c r="L136" s="15">
        <f t="shared" si="7"/>
        <v>0</v>
      </c>
      <c r="M136" s="15"/>
      <c r="N136" s="15">
        <v>4800</v>
      </c>
      <c r="O136" s="15">
        <f t="shared" ref="O136:O137" si="19">2500+2300</f>
        <v>4800</v>
      </c>
      <c r="P136" s="15">
        <f t="shared" si="8"/>
        <v>0</v>
      </c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8" customHeight="1" x14ac:dyDescent="0.35">
      <c r="A137" s="29">
        <v>44544</v>
      </c>
      <c r="B137" s="128">
        <v>4361447321</v>
      </c>
      <c r="C137" s="84" t="s">
        <v>10318</v>
      </c>
      <c r="D137" s="87">
        <v>37964</v>
      </c>
      <c r="E137" s="95" t="s">
        <v>10319</v>
      </c>
      <c r="F137" s="70" t="s">
        <v>8785</v>
      </c>
      <c r="G137" s="38"/>
      <c r="H137" s="39"/>
      <c r="I137" s="38" t="s">
        <v>10171</v>
      </c>
      <c r="J137" s="15">
        <v>5500</v>
      </c>
      <c r="K137" s="15">
        <f t="shared" si="18"/>
        <v>5500</v>
      </c>
      <c r="L137" s="15">
        <f t="shared" si="7"/>
        <v>0</v>
      </c>
      <c r="M137" s="15"/>
      <c r="N137" s="15">
        <v>4800</v>
      </c>
      <c r="O137" s="15">
        <f t="shared" si="19"/>
        <v>4800</v>
      </c>
      <c r="P137" s="15">
        <f t="shared" si="8"/>
        <v>0</v>
      </c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8" customHeight="1" x14ac:dyDescent="0.35">
      <c r="A138" s="39"/>
      <c r="B138" s="177"/>
      <c r="C138" s="70" t="s">
        <v>10320</v>
      </c>
      <c r="D138" s="87"/>
      <c r="E138" s="78" t="s">
        <v>10321</v>
      </c>
      <c r="F138" s="70" t="s">
        <v>10322</v>
      </c>
      <c r="G138" s="78"/>
      <c r="H138" s="39"/>
      <c r="I138" s="38"/>
      <c r="J138" s="15">
        <v>4200</v>
      </c>
      <c r="K138" s="15">
        <v>4200</v>
      </c>
      <c r="L138" s="15">
        <f t="shared" si="7"/>
        <v>0</v>
      </c>
      <c r="M138" s="15"/>
      <c r="N138" s="15">
        <v>3700</v>
      </c>
      <c r="O138" s="15">
        <v>3700</v>
      </c>
      <c r="P138" s="15">
        <f t="shared" si="8"/>
        <v>0</v>
      </c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8" customHeight="1" x14ac:dyDescent="0.35">
      <c r="A139" s="39"/>
      <c r="B139" s="179"/>
      <c r="C139" s="79" t="s">
        <v>9645</v>
      </c>
      <c r="D139" s="87">
        <v>23540</v>
      </c>
      <c r="E139" s="80" t="s">
        <v>10323</v>
      </c>
      <c r="F139" s="79" t="s">
        <v>10324</v>
      </c>
      <c r="G139" s="80"/>
      <c r="H139" s="39"/>
      <c r="I139" s="38" t="s">
        <v>10292</v>
      </c>
      <c r="J139" s="15">
        <v>4200</v>
      </c>
      <c r="K139" s="15">
        <f>2500+1700</f>
        <v>4200</v>
      </c>
      <c r="L139" s="15">
        <f t="shared" si="7"/>
        <v>0</v>
      </c>
      <c r="M139" s="15"/>
      <c r="N139" s="15">
        <v>3700</v>
      </c>
      <c r="O139" s="15">
        <f>2500+1200</f>
        <v>3700</v>
      </c>
      <c r="P139" s="15">
        <f t="shared" si="8"/>
        <v>0</v>
      </c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8" customHeight="1" x14ac:dyDescent="0.35">
      <c r="A140" s="39"/>
      <c r="B140" s="177"/>
      <c r="C140" s="70" t="s">
        <v>10325</v>
      </c>
      <c r="D140" s="87">
        <v>18813</v>
      </c>
      <c r="E140" s="78" t="s">
        <v>10326</v>
      </c>
      <c r="F140" s="70" t="s">
        <v>8785</v>
      </c>
      <c r="G140" s="78"/>
      <c r="H140" s="39"/>
      <c r="I140" s="38" t="s">
        <v>10186</v>
      </c>
      <c r="J140" s="15">
        <v>1900</v>
      </c>
      <c r="K140" s="15">
        <v>1900</v>
      </c>
      <c r="L140" s="15">
        <f t="shared" si="7"/>
        <v>0</v>
      </c>
      <c r="M140" s="15"/>
      <c r="N140" s="15">
        <v>1400</v>
      </c>
      <c r="O140" s="15">
        <v>1400</v>
      </c>
      <c r="P140" s="15">
        <f t="shared" si="8"/>
        <v>0</v>
      </c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8" customHeight="1" x14ac:dyDescent="0.35">
      <c r="A141" s="29">
        <v>44599</v>
      </c>
      <c r="B141" s="177"/>
      <c r="C141" s="70" t="s">
        <v>7891</v>
      </c>
      <c r="D141" s="87">
        <v>23747</v>
      </c>
      <c r="E141" s="78" t="s">
        <v>10327</v>
      </c>
      <c r="F141" s="70" t="s">
        <v>8785</v>
      </c>
      <c r="G141" s="38"/>
      <c r="H141" s="39"/>
      <c r="I141" s="38" t="s">
        <v>10186</v>
      </c>
      <c r="J141" s="15">
        <v>1500</v>
      </c>
      <c r="K141" s="15">
        <v>1500</v>
      </c>
      <c r="L141" s="15">
        <f t="shared" si="7"/>
        <v>0</v>
      </c>
      <c r="M141" s="15"/>
      <c r="N141" s="15">
        <v>1200</v>
      </c>
      <c r="O141" s="15">
        <v>1200</v>
      </c>
      <c r="P141" s="15">
        <f t="shared" si="8"/>
        <v>0</v>
      </c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8" customHeight="1" x14ac:dyDescent="0.35">
      <c r="A142" s="39"/>
      <c r="B142" s="177"/>
      <c r="C142" s="70" t="s">
        <v>10328</v>
      </c>
      <c r="D142" s="87">
        <v>30822</v>
      </c>
      <c r="E142" s="78" t="s">
        <v>10329</v>
      </c>
      <c r="F142" s="70" t="s">
        <v>8785</v>
      </c>
      <c r="G142" s="38"/>
      <c r="H142" s="39"/>
      <c r="I142" s="38" t="s">
        <v>10114</v>
      </c>
      <c r="J142" s="15">
        <v>1900</v>
      </c>
      <c r="K142" s="15">
        <v>1900</v>
      </c>
      <c r="L142" s="15">
        <f t="shared" si="7"/>
        <v>0</v>
      </c>
      <c r="M142" s="15"/>
      <c r="N142" s="15">
        <v>1300</v>
      </c>
      <c r="O142" s="15">
        <v>1300</v>
      </c>
      <c r="P142" s="15">
        <f t="shared" si="8"/>
        <v>0</v>
      </c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8" customHeight="1" x14ac:dyDescent="0.35">
      <c r="A143" s="39"/>
      <c r="B143" s="128">
        <v>729478722</v>
      </c>
      <c r="C143" s="84" t="s">
        <v>5992</v>
      </c>
      <c r="D143" s="87">
        <v>30176</v>
      </c>
      <c r="E143" s="95" t="s">
        <v>10330</v>
      </c>
      <c r="F143" s="70" t="s">
        <v>8785</v>
      </c>
      <c r="G143" s="38"/>
      <c r="H143" s="39"/>
      <c r="I143" s="38" t="s">
        <v>10331</v>
      </c>
      <c r="J143" s="15">
        <f>1800+500</f>
        <v>2300</v>
      </c>
      <c r="K143" s="15">
        <v>2300</v>
      </c>
      <c r="L143" s="15">
        <f t="shared" si="7"/>
        <v>0</v>
      </c>
      <c r="M143" s="15"/>
      <c r="N143" s="15">
        <f>1300+400</f>
        <v>1700</v>
      </c>
      <c r="O143" s="15">
        <v>1700</v>
      </c>
      <c r="P143" s="15">
        <f t="shared" si="8"/>
        <v>0</v>
      </c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8" customHeight="1" x14ac:dyDescent="0.35">
      <c r="A144" s="29">
        <v>44605</v>
      </c>
      <c r="B144" s="128">
        <v>639494122</v>
      </c>
      <c r="C144" s="84" t="s">
        <v>7977</v>
      </c>
      <c r="D144" s="87">
        <v>33732</v>
      </c>
      <c r="E144" s="95" t="s">
        <v>10332</v>
      </c>
      <c r="F144" s="70" t="s">
        <v>8785</v>
      </c>
      <c r="G144" s="38"/>
      <c r="H144" s="39"/>
      <c r="I144" s="38" t="s">
        <v>7792</v>
      </c>
      <c r="J144" s="15">
        <v>5500</v>
      </c>
      <c r="K144" s="15">
        <v>4000</v>
      </c>
      <c r="L144" s="15">
        <f>J144-K144-1500</f>
        <v>0</v>
      </c>
      <c r="M144" s="15"/>
      <c r="N144" s="15">
        <v>4800</v>
      </c>
      <c r="O144" s="15">
        <f>2500+2300</f>
        <v>4800</v>
      </c>
      <c r="P144" s="15">
        <f t="shared" si="8"/>
        <v>0</v>
      </c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8" customHeight="1" x14ac:dyDescent="0.35">
      <c r="A145" s="29">
        <v>44613</v>
      </c>
      <c r="B145" s="39">
        <v>736550822</v>
      </c>
      <c r="C145" s="15" t="s">
        <v>5958</v>
      </c>
      <c r="D145" s="87">
        <v>35549</v>
      </c>
      <c r="E145" s="38" t="s">
        <v>10333</v>
      </c>
      <c r="F145" s="15" t="s">
        <v>10334</v>
      </c>
      <c r="G145" s="38">
        <v>8336027836</v>
      </c>
      <c r="H145" s="39"/>
      <c r="I145" s="38" t="s">
        <v>7792</v>
      </c>
      <c r="J145" s="15">
        <v>5500</v>
      </c>
      <c r="K145" s="15">
        <v>5500</v>
      </c>
      <c r="L145" s="15">
        <f t="shared" si="7"/>
        <v>0</v>
      </c>
      <c r="M145" s="15"/>
      <c r="N145" s="15">
        <v>4800</v>
      </c>
      <c r="O145" s="15">
        <f>2500+2300</f>
        <v>4800</v>
      </c>
      <c r="P145" s="15">
        <f t="shared" si="8"/>
        <v>0</v>
      </c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8" customHeight="1" x14ac:dyDescent="0.35">
      <c r="A146" s="39"/>
      <c r="B146" s="177">
        <v>744478022</v>
      </c>
      <c r="C146" s="70" t="s">
        <v>10335</v>
      </c>
      <c r="D146" s="87">
        <v>35158</v>
      </c>
      <c r="E146" s="70" t="s">
        <v>10336</v>
      </c>
      <c r="F146" s="70" t="s">
        <v>10337</v>
      </c>
      <c r="G146" s="38"/>
      <c r="H146" s="39"/>
      <c r="I146" s="38" t="s">
        <v>7792</v>
      </c>
      <c r="J146" s="15">
        <v>5500</v>
      </c>
      <c r="K146" s="15">
        <f>3000+2500</f>
        <v>5500</v>
      </c>
      <c r="L146" s="15">
        <f t="shared" si="7"/>
        <v>0</v>
      </c>
      <c r="M146" s="15"/>
      <c r="N146" s="15">
        <v>4800</v>
      </c>
      <c r="O146" s="15">
        <f>2500+2300</f>
        <v>4800</v>
      </c>
      <c r="P146" s="15">
        <f t="shared" si="8"/>
        <v>0</v>
      </c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8" customHeight="1" x14ac:dyDescent="0.35">
      <c r="A147" s="39"/>
      <c r="B147" s="128">
        <v>342016222</v>
      </c>
      <c r="C147" s="84" t="s">
        <v>10338</v>
      </c>
      <c r="D147" s="87">
        <v>30326</v>
      </c>
      <c r="E147" s="95" t="s">
        <v>10339</v>
      </c>
      <c r="F147" s="84"/>
      <c r="G147" s="38"/>
      <c r="H147" s="39"/>
      <c r="I147" s="38" t="s">
        <v>10114</v>
      </c>
      <c r="J147" s="15">
        <v>1900</v>
      </c>
      <c r="K147" s="15">
        <v>1900</v>
      </c>
      <c r="L147" s="15">
        <f t="shared" si="7"/>
        <v>0</v>
      </c>
      <c r="M147" s="15"/>
      <c r="N147" s="15">
        <v>1300</v>
      </c>
      <c r="O147" s="15">
        <v>1300</v>
      </c>
      <c r="P147" s="15">
        <f t="shared" si="8"/>
        <v>0</v>
      </c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8" customHeight="1" x14ac:dyDescent="0.35">
      <c r="A148" s="29">
        <v>44618</v>
      </c>
      <c r="B148" s="128"/>
      <c r="C148" s="84" t="s">
        <v>10340</v>
      </c>
      <c r="D148" s="87"/>
      <c r="E148" s="95" t="s">
        <v>10341</v>
      </c>
      <c r="F148" s="84" t="s">
        <v>10342</v>
      </c>
      <c r="G148" s="38"/>
      <c r="H148" s="39"/>
      <c r="I148" s="38" t="s">
        <v>10343</v>
      </c>
      <c r="J148" s="15">
        <v>4200</v>
      </c>
      <c r="K148" s="15">
        <v>4200</v>
      </c>
      <c r="L148" s="15">
        <f t="shared" si="7"/>
        <v>0</v>
      </c>
      <c r="M148" s="15"/>
      <c r="N148" s="15">
        <v>3600</v>
      </c>
      <c r="O148" s="15">
        <v>3600</v>
      </c>
      <c r="P148" s="15">
        <f t="shared" si="8"/>
        <v>0</v>
      </c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8" customHeight="1" x14ac:dyDescent="0.35">
      <c r="A149" s="39" t="s">
        <v>6325</v>
      </c>
      <c r="B149" s="39">
        <v>1197292822</v>
      </c>
      <c r="C149" s="15" t="s">
        <v>10344</v>
      </c>
      <c r="D149" s="87">
        <v>34977</v>
      </c>
      <c r="E149" s="38" t="s">
        <v>10345</v>
      </c>
      <c r="F149" s="15"/>
      <c r="G149" s="38"/>
      <c r="H149" s="39"/>
      <c r="I149" s="38" t="s">
        <v>7792</v>
      </c>
      <c r="J149" s="15">
        <f>5500+600</f>
        <v>6100</v>
      </c>
      <c r="K149" s="15">
        <v>6100</v>
      </c>
      <c r="L149" s="15">
        <f t="shared" si="7"/>
        <v>0</v>
      </c>
      <c r="M149" s="15"/>
      <c r="N149" s="15">
        <f>4800+600</f>
        <v>5400</v>
      </c>
      <c r="O149" s="15">
        <f>2500+2300+600</f>
        <v>5400</v>
      </c>
      <c r="P149" s="15">
        <f t="shared" si="8"/>
        <v>0</v>
      </c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8" customHeight="1" x14ac:dyDescent="0.35">
      <c r="A150" s="29">
        <v>44645</v>
      </c>
      <c r="B150" s="128">
        <v>1257832422</v>
      </c>
      <c r="C150" s="84" t="s">
        <v>10346</v>
      </c>
      <c r="D150" s="87">
        <v>22282</v>
      </c>
      <c r="E150" s="95" t="s">
        <v>10347</v>
      </c>
      <c r="F150" s="84" t="s">
        <v>134</v>
      </c>
      <c r="G150" s="85">
        <v>2306728622</v>
      </c>
      <c r="H150" s="39"/>
      <c r="I150" s="38" t="s">
        <v>7792</v>
      </c>
      <c r="J150" s="15">
        <v>6000</v>
      </c>
      <c r="K150" s="15">
        <f>5000+1000</f>
        <v>6000</v>
      </c>
      <c r="L150" s="15">
        <f t="shared" si="7"/>
        <v>0</v>
      </c>
      <c r="M150" s="15"/>
      <c r="N150" s="15">
        <v>5100</v>
      </c>
      <c r="O150" s="15">
        <f>3000+2100</f>
        <v>5100</v>
      </c>
      <c r="P150" s="15">
        <f t="shared" si="8"/>
        <v>0</v>
      </c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8" customHeight="1" x14ac:dyDescent="0.35">
      <c r="A151" s="29">
        <v>44669</v>
      </c>
      <c r="B151" s="178">
        <v>1549851422</v>
      </c>
      <c r="C151" s="86" t="s">
        <v>10348</v>
      </c>
      <c r="D151" s="87">
        <v>27927</v>
      </c>
      <c r="E151" s="94" t="s">
        <v>10349</v>
      </c>
      <c r="F151" s="84" t="s">
        <v>10212</v>
      </c>
      <c r="G151" s="110">
        <v>2933433022</v>
      </c>
      <c r="H151" s="39"/>
      <c r="I151" s="38" t="s">
        <v>7792</v>
      </c>
      <c r="J151" s="15">
        <v>5500</v>
      </c>
      <c r="K151" s="15">
        <f>3000+2500</f>
        <v>5500</v>
      </c>
      <c r="L151" s="15">
        <f t="shared" si="7"/>
        <v>0</v>
      </c>
      <c r="M151" s="15"/>
      <c r="N151" s="15">
        <v>4800</v>
      </c>
      <c r="O151" s="15">
        <f>2500+2300</f>
        <v>4800</v>
      </c>
      <c r="P151" s="15">
        <f t="shared" si="8"/>
        <v>0</v>
      </c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8" customHeight="1" x14ac:dyDescent="0.35">
      <c r="A152" s="29">
        <v>44673</v>
      </c>
      <c r="B152" s="128">
        <v>1621702322</v>
      </c>
      <c r="C152" s="84" t="s">
        <v>10350</v>
      </c>
      <c r="D152" s="130">
        <v>32854</v>
      </c>
      <c r="E152" s="95" t="s">
        <v>10351</v>
      </c>
      <c r="F152" s="84" t="s">
        <v>10212</v>
      </c>
      <c r="G152" s="95"/>
      <c r="H152" s="128"/>
      <c r="I152" s="95" t="s">
        <v>7792</v>
      </c>
      <c r="J152" s="84">
        <v>5500</v>
      </c>
      <c r="K152" s="15">
        <f>3000+2500</f>
        <v>5500</v>
      </c>
      <c r="L152" s="15">
        <f t="shared" si="7"/>
        <v>0</v>
      </c>
      <c r="M152" s="15"/>
      <c r="N152" s="15">
        <v>4800</v>
      </c>
      <c r="O152" s="15">
        <f>2500+2300</f>
        <v>4800</v>
      </c>
      <c r="P152" s="15">
        <f t="shared" si="8"/>
        <v>0</v>
      </c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8" customHeight="1" x14ac:dyDescent="0.35">
      <c r="A153" s="39"/>
      <c r="B153" s="128"/>
      <c r="C153" s="84" t="s">
        <v>5699</v>
      </c>
      <c r="D153" s="87">
        <v>20531</v>
      </c>
      <c r="E153" s="95" t="s">
        <v>10352</v>
      </c>
      <c r="F153" s="84" t="s">
        <v>10209</v>
      </c>
      <c r="G153" s="38"/>
      <c r="H153" s="39"/>
      <c r="I153" s="38" t="s">
        <v>10353</v>
      </c>
      <c r="J153" s="15">
        <v>1500</v>
      </c>
      <c r="K153" s="15">
        <v>1500</v>
      </c>
      <c r="L153" s="15">
        <f t="shared" si="7"/>
        <v>0</v>
      </c>
      <c r="M153" s="15"/>
      <c r="N153" s="15">
        <v>1300</v>
      </c>
      <c r="O153" s="15">
        <v>1300</v>
      </c>
      <c r="P153" s="15">
        <f t="shared" si="8"/>
        <v>0</v>
      </c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8" customHeight="1" x14ac:dyDescent="0.35">
      <c r="A154" s="29">
        <v>37389</v>
      </c>
      <c r="B154" s="39">
        <v>1918056222</v>
      </c>
      <c r="C154" s="15" t="s">
        <v>10354</v>
      </c>
      <c r="D154" s="87"/>
      <c r="E154" s="96">
        <v>918298097289</v>
      </c>
      <c r="F154" s="15"/>
      <c r="G154" s="38">
        <v>4829113122</v>
      </c>
      <c r="H154" s="39"/>
      <c r="I154" s="38" t="s">
        <v>8685</v>
      </c>
      <c r="J154" s="15">
        <v>5500</v>
      </c>
      <c r="K154" s="15">
        <f>3000+2500</f>
        <v>5500</v>
      </c>
      <c r="L154" s="15">
        <f t="shared" si="7"/>
        <v>0</v>
      </c>
      <c r="M154" s="15"/>
      <c r="N154" s="15">
        <v>4800</v>
      </c>
      <c r="O154" s="15">
        <f>2500+2300</f>
        <v>4800</v>
      </c>
      <c r="P154" s="15">
        <f t="shared" si="8"/>
        <v>0</v>
      </c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8" customHeight="1" x14ac:dyDescent="0.35">
      <c r="A155" s="29">
        <v>44716</v>
      </c>
      <c r="B155" s="128">
        <v>2201767722</v>
      </c>
      <c r="C155" s="84" t="s">
        <v>4897</v>
      </c>
      <c r="D155" s="87">
        <v>38139</v>
      </c>
      <c r="E155" s="109">
        <v>916200941544</v>
      </c>
      <c r="F155" s="109">
        <v>918986633830</v>
      </c>
      <c r="G155" s="38" t="s">
        <v>10355</v>
      </c>
      <c r="H155" s="39"/>
      <c r="I155" s="38" t="s">
        <v>7792</v>
      </c>
      <c r="J155" s="15">
        <v>5500</v>
      </c>
      <c r="K155" s="15">
        <f>3000+2500</f>
        <v>5500</v>
      </c>
      <c r="L155" s="15">
        <f t="shared" si="7"/>
        <v>0</v>
      </c>
      <c r="M155" s="15"/>
      <c r="N155" s="15">
        <v>4800</v>
      </c>
      <c r="O155" s="15">
        <f>2500+2300</f>
        <v>4800</v>
      </c>
      <c r="P155" s="15">
        <f t="shared" si="8"/>
        <v>0</v>
      </c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8" customHeight="1" x14ac:dyDescent="0.35">
      <c r="A156" s="29">
        <v>44716</v>
      </c>
      <c r="B156" s="128">
        <v>2201767722</v>
      </c>
      <c r="C156" s="84" t="s">
        <v>10356</v>
      </c>
      <c r="D156" s="130">
        <v>28859</v>
      </c>
      <c r="E156" s="109">
        <v>917004519122</v>
      </c>
      <c r="F156" s="84" t="s">
        <v>10357</v>
      </c>
      <c r="G156" s="95"/>
      <c r="H156" s="128"/>
      <c r="I156" s="95" t="s">
        <v>7792</v>
      </c>
      <c r="J156" s="84">
        <v>5500</v>
      </c>
      <c r="K156" s="84">
        <f>3000+2500</f>
        <v>5500</v>
      </c>
      <c r="L156" s="84">
        <f t="shared" si="7"/>
        <v>0</v>
      </c>
      <c r="M156" s="84"/>
      <c r="N156" s="84">
        <v>4800</v>
      </c>
      <c r="O156" s="84">
        <f>2500+2300</f>
        <v>4800</v>
      </c>
      <c r="P156" s="15">
        <f t="shared" si="8"/>
        <v>0</v>
      </c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8" customHeight="1" x14ac:dyDescent="0.35">
      <c r="A157" s="138">
        <v>44724</v>
      </c>
      <c r="B157" s="128">
        <v>2335229422</v>
      </c>
      <c r="C157" s="84" t="s">
        <v>8039</v>
      </c>
      <c r="D157" s="130">
        <v>33826</v>
      </c>
      <c r="E157" s="109">
        <v>918102147187</v>
      </c>
      <c r="F157" s="84"/>
      <c r="G157" s="95">
        <v>3732332222</v>
      </c>
      <c r="H157" s="128" t="s">
        <v>7792</v>
      </c>
      <c r="I157" s="95" t="s">
        <v>10171</v>
      </c>
      <c r="J157" s="84">
        <v>5500</v>
      </c>
      <c r="K157" s="84">
        <f>3000+2500</f>
        <v>5500</v>
      </c>
      <c r="L157" s="84">
        <f t="shared" si="7"/>
        <v>0</v>
      </c>
      <c r="M157" s="84"/>
      <c r="N157" s="84">
        <v>4800</v>
      </c>
      <c r="O157" s="84">
        <f>2500+2300</f>
        <v>4800</v>
      </c>
      <c r="P157" s="15">
        <f t="shared" si="8"/>
        <v>0</v>
      </c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8" customHeight="1" x14ac:dyDescent="0.35">
      <c r="A158" s="29">
        <v>44725</v>
      </c>
      <c r="B158" s="128">
        <v>2328728222</v>
      </c>
      <c r="C158" s="84" t="s">
        <v>10358</v>
      </c>
      <c r="D158" s="130">
        <v>33920</v>
      </c>
      <c r="E158" s="109">
        <v>917870880705</v>
      </c>
      <c r="F158" s="84" t="s">
        <v>10197</v>
      </c>
      <c r="G158" s="95"/>
      <c r="H158" s="128" t="s">
        <v>7792</v>
      </c>
      <c r="I158" s="95" t="s">
        <v>10171</v>
      </c>
      <c r="J158" s="84">
        <f>5500+400+100</f>
        <v>6000</v>
      </c>
      <c r="K158" s="84">
        <f>2500+2000+1500</f>
        <v>6000</v>
      </c>
      <c r="L158" s="84">
        <f t="shared" si="7"/>
        <v>0</v>
      </c>
      <c r="M158" s="84"/>
      <c r="N158" s="84">
        <f>4800+400</f>
        <v>5200</v>
      </c>
      <c r="O158" s="84">
        <f>2500+700+2000</f>
        <v>5200</v>
      </c>
      <c r="P158" s="84">
        <f t="shared" si="8"/>
        <v>0</v>
      </c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8" customHeight="1" x14ac:dyDescent="0.35">
      <c r="A159" s="29">
        <v>44733</v>
      </c>
      <c r="B159" s="128">
        <v>2485914222</v>
      </c>
      <c r="C159" s="84" t="s">
        <v>9818</v>
      </c>
      <c r="D159" s="87">
        <v>21562</v>
      </c>
      <c r="E159" s="109">
        <v>919234612204</v>
      </c>
      <c r="F159" s="84" t="s">
        <v>10359</v>
      </c>
      <c r="G159" s="38"/>
      <c r="H159" s="39" t="s">
        <v>10114</v>
      </c>
      <c r="I159" s="38" t="s">
        <v>10114</v>
      </c>
      <c r="J159" s="15">
        <v>1800</v>
      </c>
      <c r="K159" s="15">
        <v>1800</v>
      </c>
      <c r="L159" s="15">
        <f t="shared" si="7"/>
        <v>0</v>
      </c>
      <c r="M159" s="15"/>
      <c r="N159" s="15">
        <v>1300</v>
      </c>
      <c r="O159" s="15">
        <v>1300</v>
      </c>
      <c r="P159" s="15">
        <f t="shared" si="8"/>
        <v>0</v>
      </c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8" customHeight="1" x14ac:dyDescent="0.35">
      <c r="B160" s="39">
        <v>1379294922</v>
      </c>
      <c r="C160" s="15" t="s">
        <v>10360</v>
      </c>
      <c r="D160" s="87">
        <v>28397</v>
      </c>
      <c r="J160" s="15">
        <v>5000</v>
      </c>
      <c r="K160" s="15">
        <v>5000</v>
      </c>
      <c r="L160" s="15">
        <f t="shared" si="7"/>
        <v>0</v>
      </c>
      <c r="M160" s="15"/>
      <c r="N160" s="15">
        <f>5000</f>
        <v>5000</v>
      </c>
      <c r="O160" s="301">
        <f>3000+2000</f>
        <v>5000</v>
      </c>
      <c r="P160" s="15">
        <f t="shared" si="8"/>
        <v>0</v>
      </c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8" customHeight="1" x14ac:dyDescent="0.35">
      <c r="B161" s="180">
        <v>2599979722</v>
      </c>
      <c r="C161" s="163" t="s">
        <v>6699</v>
      </c>
      <c r="D161" s="164">
        <v>37155</v>
      </c>
      <c r="E161" s="165">
        <v>919836372800</v>
      </c>
      <c r="F161" s="167"/>
      <c r="G161" s="167"/>
      <c r="H161" s="581"/>
      <c r="I161" s="166" t="s">
        <v>10171</v>
      </c>
      <c r="J161" s="163">
        <f>5500+400+1500</f>
        <v>7400</v>
      </c>
      <c r="K161" s="163">
        <f>3000+2900+1500</f>
        <v>7400</v>
      </c>
      <c r="L161" s="163">
        <f t="shared" si="7"/>
        <v>0</v>
      </c>
      <c r="M161" s="163"/>
      <c r="N161" s="163">
        <f>5100+2000</f>
        <v>7100</v>
      </c>
      <c r="O161" s="163">
        <f>3000+2100+2000</f>
        <v>7100</v>
      </c>
      <c r="P161" s="163">
        <f t="shared" si="8"/>
        <v>0</v>
      </c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8" customHeight="1" x14ac:dyDescent="0.35">
      <c r="A162" s="29">
        <v>44753</v>
      </c>
      <c r="B162" s="128">
        <v>2764541822</v>
      </c>
      <c r="C162" s="84" t="s">
        <v>2721</v>
      </c>
      <c r="D162" s="130">
        <v>30128</v>
      </c>
      <c r="E162" s="109">
        <v>918235232583</v>
      </c>
      <c r="F162" s="121">
        <v>44965</v>
      </c>
      <c r="G162" s="95"/>
      <c r="H162" s="39" t="s">
        <v>7792</v>
      </c>
      <c r="I162" s="38" t="s">
        <v>10171</v>
      </c>
      <c r="J162" s="15">
        <f>5500+500</f>
        <v>6000</v>
      </c>
      <c r="K162" s="15">
        <f>3000+3000</f>
        <v>6000</v>
      </c>
      <c r="L162" s="15">
        <f t="shared" si="7"/>
        <v>0</v>
      </c>
      <c r="M162" s="15"/>
      <c r="N162" s="15">
        <f>4800+400</f>
        <v>5200</v>
      </c>
      <c r="O162" s="15">
        <f>2500+2700</f>
        <v>5200</v>
      </c>
      <c r="P162" s="15">
        <f t="shared" si="8"/>
        <v>0</v>
      </c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8" customHeight="1" x14ac:dyDescent="0.35">
      <c r="A163" s="29">
        <v>44759</v>
      </c>
      <c r="B163" s="39">
        <v>2850505122</v>
      </c>
      <c r="C163" s="15" t="s">
        <v>10361</v>
      </c>
      <c r="D163" s="87">
        <v>34744</v>
      </c>
      <c r="E163" s="96">
        <v>919065618910</v>
      </c>
      <c r="F163" s="15" t="s">
        <v>10362</v>
      </c>
      <c r="G163" s="38">
        <v>4919917522</v>
      </c>
      <c r="H163" s="39" t="s">
        <v>7792</v>
      </c>
      <c r="I163" s="38" t="s">
        <v>10171</v>
      </c>
      <c r="J163" s="15">
        <v>5500</v>
      </c>
      <c r="K163" s="15">
        <f>2500+3000</f>
        <v>5500</v>
      </c>
      <c r="L163" s="15">
        <f t="shared" si="7"/>
        <v>0</v>
      </c>
      <c r="M163" s="15"/>
      <c r="N163" s="15">
        <v>4800</v>
      </c>
      <c r="O163" s="15">
        <f>2500+2300</f>
        <v>4800</v>
      </c>
      <c r="P163" s="15">
        <f t="shared" si="8"/>
        <v>0</v>
      </c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8" customHeight="1" x14ac:dyDescent="0.35">
      <c r="A164" s="29">
        <v>44759</v>
      </c>
      <c r="B164" s="128"/>
      <c r="C164" s="84" t="s">
        <v>10363</v>
      </c>
      <c r="D164" s="87"/>
      <c r="E164" s="109">
        <v>919279250587</v>
      </c>
      <c r="F164" s="84" t="s">
        <v>10364</v>
      </c>
      <c r="G164" s="38"/>
      <c r="H164" s="39" t="s">
        <v>10365</v>
      </c>
      <c r="I164" s="38"/>
      <c r="J164" s="15">
        <v>5200</v>
      </c>
      <c r="K164" s="15">
        <v>5200</v>
      </c>
      <c r="L164" s="15">
        <f t="shared" si="7"/>
        <v>0</v>
      </c>
      <c r="M164" s="15"/>
      <c r="N164" s="15">
        <v>4800</v>
      </c>
      <c r="O164" s="15">
        <v>4800</v>
      </c>
      <c r="P164" s="15">
        <f t="shared" si="8"/>
        <v>0</v>
      </c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8" customHeight="1" x14ac:dyDescent="0.35">
      <c r="A165" s="39"/>
      <c r="B165" s="181">
        <v>3473872722</v>
      </c>
      <c r="C165" s="33" t="s">
        <v>10366</v>
      </c>
      <c r="D165" s="87"/>
      <c r="E165" s="114">
        <v>918271665898</v>
      </c>
      <c r="F165" s="15"/>
      <c r="G165" s="38"/>
      <c r="H165" s="39"/>
      <c r="I165" s="38" t="s">
        <v>10367</v>
      </c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8" customHeight="1" x14ac:dyDescent="0.35">
      <c r="A166" s="29">
        <v>44804</v>
      </c>
      <c r="B166" s="128">
        <v>3495027122</v>
      </c>
      <c r="C166" s="84" t="s">
        <v>10368</v>
      </c>
      <c r="D166" s="87">
        <v>35270</v>
      </c>
      <c r="E166" s="109">
        <v>917903517966</v>
      </c>
      <c r="F166" s="84"/>
      <c r="G166" s="95" t="s">
        <v>10212</v>
      </c>
      <c r="H166" s="39"/>
      <c r="I166" s="38" t="s">
        <v>10171</v>
      </c>
      <c r="J166" s="15">
        <v>5500</v>
      </c>
      <c r="K166" s="15">
        <f>3000+2500</f>
        <v>5500</v>
      </c>
      <c r="L166" s="15">
        <f t="shared" si="7"/>
        <v>0</v>
      </c>
      <c r="M166" s="15"/>
      <c r="N166" s="15">
        <f>4800+100</f>
        <v>4900</v>
      </c>
      <c r="O166" s="15">
        <f>2500+2400</f>
        <v>4900</v>
      </c>
      <c r="P166" s="15">
        <f t="shared" si="8"/>
        <v>0</v>
      </c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8" customHeight="1" x14ac:dyDescent="0.35">
      <c r="A167" s="29">
        <v>44813</v>
      </c>
      <c r="B167" s="128">
        <v>3619128922</v>
      </c>
      <c r="C167" s="84" t="s">
        <v>10369</v>
      </c>
      <c r="D167" s="130">
        <v>37477</v>
      </c>
      <c r="E167" s="109">
        <v>918340545792</v>
      </c>
      <c r="F167" s="84"/>
      <c r="G167" s="95"/>
      <c r="H167" s="128"/>
      <c r="I167" s="95" t="s">
        <v>10171</v>
      </c>
      <c r="J167" s="84">
        <v>5500</v>
      </c>
      <c r="K167" s="84">
        <v>5500</v>
      </c>
      <c r="L167" s="84">
        <f t="shared" si="7"/>
        <v>0</v>
      </c>
      <c r="M167" s="84"/>
      <c r="N167" s="84">
        <f>4800+100</f>
        <v>4900</v>
      </c>
      <c r="O167" s="84">
        <f>2500+2400</f>
        <v>4900</v>
      </c>
      <c r="P167" s="15">
        <f t="shared" si="8"/>
        <v>0</v>
      </c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8" customHeight="1" x14ac:dyDescent="0.35">
      <c r="A168" s="29">
        <v>44815</v>
      </c>
      <c r="B168" s="128">
        <v>3633114622</v>
      </c>
      <c r="C168" s="84" t="s">
        <v>10370</v>
      </c>
      <c r="D168" s="130">
        <v>31778</v>
      </c>
      <c r="E168" s="109">
        <v>916200448906</v>
      </c>
      <c r="F168" s="84"/>
      <c r="G168" s="95"/>
      <c r="H168" s="128"/>
      <c r="I168" s="95" t="s">
        <v>10171</v>
      </c>
      <c r="J168" s="84">
        <v>5500</v>
      </c>
      <c r="K168" s="84">
        <f>4000+1500</f>
        <v>5500</v>
      </c>
      <c r="L168" s="84">
        <f t="shared" si="7"/>
        <v>0</v>
      </c>
      <c r="M168" s="84"/>
      <c r="N168" s="84">
        <v>4800</v>
      </c>
      <c r="O168" s="84">
        <f>2500+2300</f>
        <v>4800</v>
      </c>
      <c r="P168" s="15">
        <f t="shared" si="8"/>
        <v>0</v>
      </c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8" customHeight="1" x14ac:dyDescent="0.35">
      <c r="A169" s="39"/>
      <c r="B169" s="128">
        <v>3662340522</v>
      </c>
      <c r="C169" s="84" t="s">
        <v>10366</v>
      </c>
      <c r="D169" s="130">
        <v>25208</v>
      </c>
      <c r="E169" s="109">
        <v>918271665898</v>
      </c>
      <c r="F169" s="84"/>
      <c r="G169" s="95"/>
      <c r="H169" s="128"/>
      <c r="I169" s="95">
        <v>2</v>
      </c>
      <c r="J169" s="84">
        <f>4500+500</f>
        <v>5000</v>
      </c>
      <c r="K169" s="84">
        <f>2500+2500</f>
        <v>5000</v>
      </c>
      <c r="L169" s="84">
        <f>J169-K169</f>
        <v>0</v>
      </c>
      <c r="M169" s="84"/>
      <c r="N169" s="84">
        <f>3850+800+400</f>
        <v>5050</v>
      </c>
      <c r="O169" s="84">
        <f>2500+2500</f>
        <v>5000</v>
      </c>
      <c r="P169" s="15">
        <f>N169-O169</f>
        <v>50</v>
      </c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8" customHeight="1" x14ac:dyDescent="0.35">
      <c r="A170" s="29">
        <v>44822</v>
      </c>
      <c r="B170" s="128">
        <v>3728954222</v>
      </c>
      <c r="C170" s="84" t="s">
        <v>10371</v>
      </c>
      <c r="D170" s="130">
        <v>30236</v>
      </c>
      <c r="E170" s="109">
        <v>919204730087</v>
      </c>
      <c r="F170" s="121">
        <v>44958</v>
      </c>
      <c r="G170" s="123" t="s">
        <v>10372</v>
      </c>
      <c r="H170" s="128"/>
      <c r="I170" s="95" t="s">
        <v>10171</v>
      </c>
      <c r="J170" s="84">
        <v>5500</v>
      </c>
      <c r="K170" s="84">
        <f>3000+2500</f>
        <v>5500</v>
      </c>
      <c r="L170" s="84">
        <f t="shared" si="7"/>
        <v>0</v>
      </c>
      <c r="M170" s="84"/>
      <c r="N170" s="84">
        <f>4800+100</f>
        <v>4900</v>
      </c>
      <c r="O170" s="84">
        <f>2500+2400</f>
        <v>4900</v>
      </c>
      <c r="P170" s="15">
        <f t="shared" ref="P170:P171" si="20">N170-O170</f>
        <v>0</v>
      </c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8" customHeight="1" x14ac:dyDescent="0.35">
      <c r="A171" s="29">
        <v>44829</v>
      </c>
      <c r="B171" s="128">
        <v>3825414322</v>
      </c>
      <c r="C171" s="84" t="s">
        <v>6333</v>
      </c>
      <c r="D171" s="130">
        <v>37510</v>
      </c>
      <c r="E171" s="109">
        <v>918092191457</v>
      </c>
      <c r="F171" s="121">
        <v>45289</v>
      </c>
      <c r="G171" s="95">
        <v>4908954622</v>
      </c>
      <c r="H171" s="128"/>
      <c r="I171" s="95" t="s">
        <v>10171</v>
      </c>
      <c r="J171" s="84">
        <v>5500</v>
      </c>
      <c r="K171" s="84">
        <f>3000+2500</f>
        <v>5500</v>
      </c>
      <c r="L171" s="84">
        <f t="shared" si="7"/>
        <v>0</v>
      </c>
      <c r="M171" s="84"/>
      <c r="N171" s="84">
        <v>4800</v>
      </c>
      <c r="O171" s="84">
        <f>2500+2300</f>
        <v>4800</v>
      </c>
      <c r="P171" s="84">
        <f t="shared" si="20"/>
        <v>0</v>
      </c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s="167" customFormat="1" ht="18" customHeight="1" x14ac:dyDescent="0.35">
      <c r="A172" s="162">
        <v>44829</v>
      </c>
      <c r="B172" s="182">
        <v>889224423</v>
      </c>
      <c r="C172" s="163" t="s">
        <v>10373</v>
      </c>
      <c r="D172" s="164">
        <v>33923</v>
      </c>
      <c r="E172" s="165">
        <v>918789573411</v>
      </c>
      <c r="F172" s="163" t="s">
        <v>10374</v>
      </c>
      <c r="G172" s="168" t="s">
        <v>10375</v>
      </c>
      <c r="H172" s="180"/>
      <c r="I172" s="166" t="s">
        <v>10171</v>
      </c>
      <c r="J172" s="163">
        <v>5500</v>
      </c>
      <c r="K172" s="163">
        <f>3000+1000</f>
        <v>4000</v>
      </c>
      <c r="L172" s="163">
        <f t="shared" ref="L172:L178" si="21">J172-K172</f>
        <v>1500</v>
      </c>
      <c r="M172" s="163"/>
      <c r="N172" s="163">
        <v>4800</v>
      </c>
      <c r="O172" s="163">
        <f>2500+2300</f>
        <v>4800</v>
      </c>
      <c r="P172" s="163">
        <f t="shared" ref="P172:P193" si="22">N172-O172</f>
        <v>0</v>
      </c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</row>
    <row r="173" spans="1:27" ht="18" customHeight="1" x14ac:dyDescent="0.35">
      <c r="A173" s="39"/>
      <c r="B173" s="128">
        <v>3956979322</v>
      </c>
      <c r="C173" s="84" t="s">
        <v>10376</v>
      </c>
      <c r="D173" s="130">
        <v>36010</v>
      </c>
      <c r="E173" s="109">
        <v>918709398170</v>
      </c>
      <c r="F173" s="121">
        <v>45012</v>
      </c>
      <c r="G173" s="95"/>
      <c r="H173" s="128"/>
      <c r="I173" s="95" t="s">
        <v>10171</v>
      </c>
      <c r="J173" s="84">
        <v>5500</v>
      </c>
      <c r="K173" s="84">
        <f>3000+2500</f>
        <v>5500</v>
      </c>
      <c r="L173" s="84">
        <f t="shared" si="21"/>
        <v>0</v>
      </c>
      <c r="M173" s="84"/>
      <c r="N173" s="84">
        <v>4800</v>
      </c>
      <c r="O173" s="84">
        <f>2500+2300</f>
        <v>4800</v>
      </c>
      <c r="P173" s="15">
        <f t="shared" si="22"/>
        <v>0</v>
      </c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8" customHeight="1" x14ac:dyDescent="0.35">
      <c r="A174" s="29">
        <v>44861</v>
      </c>
      <c r="B174" s="128">
        <v>4195306722</v>
      </c>
      <c r="C174" s="84" t="s">
        <v>10377</v>
      </c>
      <c r="D174" s="130"/>
      <c r="E174" s="109">
        <v>919780140716</v>
      </c>
      <c r="F174" s="84" t="s">
        <v>99</v>
      </c>
      <c r="G174" s="95"/>
      <c r="H174" s="128" t="s">
        <v>10378</v>
      </c>
      <c r="I174" s="95"/>
      <c r="J174" s="84">
        <v>2900</v>
      </c>
      <c r="K174" s="84">
        <f>2200+700</f>
        <v>2900</v>
      </c>
      <c r="L174" s="84">
        <f t="shared" si="21"/>
        <v>0</v>
      </c>
      <c r="M174" s="84"/>
      <c r="N174" s="84">
        <v>2500</v>
      </c>
      <c r="O174" s="84">
        <v>2500</v>
      </c>
      <c r="P174" s="15">
        <f t="shared" si="22"/>
        <v>0</v>
      </c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s="147" customFormat="1" ht="18" customHeight="1" x14ac:dyDescent="0.35">
      <c r="A175" s="138">
        <v>44862</v>
      </c>
      <c r="B175" s="128">
        <v>4201271822</v>
      </c>
      <c r="C175" s="84" t="s">
        <v>10379</v>
      </c>
      <c r="D175" s="130">
        <v>29657</v>
      </c>
      <c r="E175" s="109">
        <v>918674893552</v>
      </c>
      <c r="F175" s="84" t="s">
        <v>10380</v>
      </c>
      <c r="G175" s="95" t="s">
        <v>10212</v>
      </c>
      <c r="H175" s="128"/>
      <c r="I175" s="95" t="s">
        <v>10171</v>
      </c>
      <c r="J175" s="84">
        <v>6000</v>
      </c>
      <c r="K175" s="84">
        <f>3000+3000</f>
        <v>6000</v>
      </c>
      <c r="L175" s="84">
        <f t="shared" si="21"/>
        <v>0</v>
      </c>
      <c r="M175" s="84"/>
      <c r="N175" s="84">
        <v>5200</v>
      </c>
      <c r="O175" s="84">
        <f>2500+2700</f>
        <v>5200</v>
      </c>
      <c r="P175" s="84">
        <f t="shared" si="22"/>
        <v>0</v>
      </c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</row>
    <row r="176" spans="1:27" s="147" customFormat="1" ht="18" customHeight="1" x14ac:dyDescent="0.35">
      <c r="A176" s="138">
        <v>44866</v>
      </c>
      <c r="B176" s="128">
        <v>4259513922</v>
      </c>
      <c r="C176" s="84" t="s">
        <v>7051</v>
      </c>
      <c r="D176" s="130">
        <v>38270</v>
      </c>
      <c r="E176" s="109">
        <v>919470353182</v>
      </c>
      <c r="F176" s="147" t="s">
        <v>10025</v>
      </c>
      <c r="G176" s="95" t="s">
        <v>10381</v>
      </c>
      <c r="H176" s="128" t="s">
        <v>7792</v>
      </c>
      <c r="I176" s="95" t="s">
        <v>10171</v>
      </c>
      <c r="J176" s="84">
        <v>6000</v>
      </c>
      <c r="K176" s="84">
        <f>3000+3000</f>
        <v>6000</v>
      </c>
      <c r="L176" s="84">
        <f t="shared" si="21"/>
        <v>0</v>
      </c>
      <c r="M176" s="84"/>
      <c r="N176" s="84">
        <v>4900</v>
      </c>
      <c r="O176" s="84">
        <f>2500+2400</f>
        <v>4900</v>
      </c>
      <c r="P176" s="84">
        <f t="shared" si="22"/>
        <v>0</v>
      </c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</row>
    <row r="177" spans="1:27" s="147" customFormat="1" ht="18" customHeight="1" x14ac:dyDescent="0.35">
      <c r="A177" s="128"/>
      <c r="B177" s="183">
        <v>634297623</v>
      </c>
      <c r="C177" s="84" t="s">
        <v>7072</v>
      </c>
      <c r="D177" s="130">
        <v>38240</v>
      </c>
      <c r="E177" s="109">
        <v>919608956144</v>
      </c>
      <c r="F177" s="84" t="s">
        <v>10025</v>
      </c>
      <c r="G177" s="95" t="s">
        <v>10212</v>
      </c>
      <c r="H177" s="128" t="s">
        <v>7792</v>
      </c>
      <c r="I177" s="95" t="s">
        <v>10171</v>
      </c>
      <c r="J177" s="84">
        <v>5500</v>
      </c>
      <c r="K177" s="84">
        <f>3000+2500</f>
        <v>5500</v>
      </c>
      <c r="L177" s="84">
        <f t="shared" si="21"/>
        <v>0</v>
      </c>
      <c r="M177" s="84"/>
      <c r="N177" s="84">
        <v>4800</v>
      </c>
      <c r="O177" s="84">
        <f>3000+1800</f>
        <v>4800</v>
      </c>
      <c r="P177" s="84">
        <f t="shared" si="22"/>
        <v>0</v>
      </c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</row>
    <row r="178" spans="1:27" s="147" customFormat="1" ht="18" customHeight="1" x14ac:dyDescent="0.35">
      <c r="A178" s="138">
        <v>44949</v>
      </c>
      <c r="B178" s="184">
        <v>292667823</v>
      </c>
      <c r="C178" s="124" t="s">
        <v>6122</v>
      </c>
      <c r="D178" s="131">
        <v>35720</v>
      </c>
      <c r="E178" s="125">
        <v>919199916336</v>
      </c>
      <c r="F178" s="124" t="s">
        <v>10212</v>
      </c>
      <c r="G178" s="126" t="s">
        <v>10382</v>
      </c>
      <c r="H178" s="184" t="s">
        <v>7792</v>
      </c>
      <c r="I178" s="126" t="s">
        <v>10171</v>
      </c>
      <c r="J178" s="124">
        <v>5500</v>
      </c>
      <c r="K178" s="124">
        <f>3000+2500</f>
        <v>5500</v>
      </c>
      <c r="L178" s="124">
        <f t="shared" si="21"/>
        <v>0</v>
      </c>
      <c r="M178" s="124"/>
      <c r="N178" s="124">
        <v>4800</v>
      </c>
      <c r="O178" s="124">
        <f>3000+1800</f>
        <v>4800</v>
      </c>
      <c r="P178" s="124">
        <f t="shared" si="22"/>
        <v>0</v>
      </c>
      <c r="Q178" s="84" t="s">
        <v>10383</v>
      </c>
      <c r="R178" s="84"/>
      <c r="S178" s="84"/>
      <c r="T178" s="84"/>
      <c r="U178" s="84"/>
      <c r="V178" s="84"/>
      <c r="W178" s="84"/>
      <c r="X178" s="84"/>
      <c r="Y178" s="84"/>
      <c r="Z178" s="84"/>
      <c r="AA178" s="84"/>
    </row>
    <row r="179" spans="1:27" s="147" customFormat="1" ht="18" customHeight="1" x14ac:dyDescent="0.35">
      <c r="A179" s="138">
        <v>44902</v>
      </c>
      <c r="B179" s="128">
        <v>497978223</v>
      </c>
      <c r="C179" s="84" t="s">
        <v>7583</v>
      </c>
      <c r="D179" s="130">
        <v>29209</v>
      </c>
      <c r="E179" s="109">
        <v>919031353035</v>
      </c>
      <c r="F179" s="84" t="s">
        <v>10025</v>
      </c>
      <c r="G179" s="95"/>
      <c r="H179" s="128" t="s">
        <v>7792</v>
      </c>
      <c r="I179" s="95" t="s">
        <v>10171</v>
      </c>
      <c r="J179" s="84">
        <v>5500</v>
      </c>
      <c r="K179" s="84">
        <f>3000+2500</f>
        <v>5500</v>
      </c>
      <c r="L179" s="84">
        <f t="shared" ref="L179:L193" si="23">J179-K179</f>
        <v>0</v>
      </c>
      <c r="M179" s="84"/>
      <c r="N179" s="84">
        <v>4900</v>
      </c>
      <c r="O179" s="84">
        <f>2500+2400</f>
        <v>4900</v>
      </c>
      <c r="P179" s="84">
        <f t="shared" si="22"/>
        <v>0</v>
      </c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</row>
    <row r="180" spans="1:27" ht="18" customHeight="1" x14ac:dyDescent="0.35">
      <c r="A180" s="29">
        <v>44903</v>
      </c>
      <c r="B180" s="178">
        <v>513495523</v>
      </c>
      <c r="C180" s="86" t="s">
        <v>10384</v>
      </c>
      <c r="D180" s="132">
        <v>23409</v>
      </c>
      <c r="E180" s="127">
        <v>917667199206</v>
      </c>
      <c r="F180" s="86" t="s">
        <v>10025</v>
      </c>
      <c r="G180" s="94"/>
      <c r="H180" s="178" t="s">
        <v>7792</v>
      </c>
      <c r="I180" s="94" t="s">
        <v>10171</v>
      </c>
      <c r="J180" s="86">
        <v>5500</v>
      </c>
      <c r="K180" s="86">
        <f>3000+2500</f>
        <v>5500</v>
      </c>
      <c r="L180" s="86">
        <f t="shared" si="23"/>
        <v>0</v>
      </c>
      <c r="M180" s="86"/>
      <c r="N180" s="86">
        <v>4900</v>
      </c>
      <c r="O180" s="86">
        <f>2500+2400</f>
        <v>4900</v>
      </c>
      <c r="P180" s="86">
        <f t="shared" si="22"/>
        <v>0</v>
      </c>
      <c r="Q180" s="15" t="s">
        <v>10385</v>
      </c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8" customHeight="1" x14ac:dyDescent="0.35">
      <c r="A181" s="29">
        <v>44911</v>
      </c>
      <c r="B181" s="128">
        <v>4813797222</v>
      </c>
      <c r="C181" s="84" t="s">
        <v>10386</v>
      </c>
      <c r="D181" s="130"/>
      <c r="E181" s="109">
        <v>917255865733</v>
      </c>
      <c r="F181" s="84"/>
      <c r="G181" s="95"/>
      <c r="H181" s="128" t="s">
        <v>10387</v>
      </c>
      <c r="I181" s="95"/>
      <c r="J181" s="84">
        <v>1700</v>
      </c>
      <c r="K181" s="84">
        <v>1700</v>
      </c>
      <c r="L181" s="84">
        <f t="shared" si="23"/>
        <v>0</v>
      </c>
      <c r="M181" s="84"/>
      <c r="N181" s="84">
        <v>1300</v>
      </c>
      <c r="O181" s="84">
        <v>1300</v>
      </c>
      <c r="P181" s="15">
        <f t="shared" si="22"/>
        <v>0</v>
      </c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8" customHeight="1" x14ac:dyDescent="0.35">
      <c r="A182" s="29">
        <v>44915</v>
      </c>
      <c r="B182" s="39">
        <v>873455423</v>
      </c>
      <c r="C182" s="15" t="s">
        <v>10388</v>
      </c>
      <c r="D182" s="87"/>
      <c r="E182" s="96">
        <v>917050492415</v>
      </c>
      <c r="F182" s="15" t="s">
        <v>10389</v>
      </c>
      <c r="G182" s="38"/>
      <c r="H182" s="39"/>
      <c r="I182" s="38" t="s">
        <v>10171</v>
      </c>
      <c r="J182" s="15">
        <v>6000</v>
      </c>
      <c r="K182" s="15">
        <v>6000</v>
      </c>
      <c r="L182" s="15">
        <f t="shared" si="23"/>
        <v>0</v>
      </c>
      <c r="M182" s="15"/>
      <c r="N182" s="15">
        <v>5200</v>
      </c>
      <c r="O182" s="15">
        <f>3000+2200</f>
        <v>5200</v>
      </c>
      <c r="P182" s="15">
        <f t="shared" si="22"/>
        <v>0</v>
      </c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8" customHeight="1" x14ac:dyDescent="0.35">
      <c r="A183" s="29">
        <v>44923</v>
      </c>
      <c r="B183" s="39">
        <v>901952123</v>
      </c>
      <c r="C183" s="15" t="s">
        <v>10390</v>
      </c>
      <c r="D183" s="87">
        <v>28185</v>
      </c>
      <c r="E183" s="96">
        <v>918102093509</v>
      </c>
      <c r="F183" s="15"/>
      <c r="G183" s="38" t="s">
        <v>10375</v>
      </c>
      <c r="H183" s="39" t="s">
        <v>7792</v>
      </c>
      <c r="I183" s="38" t="s">
        <v>10171</v>
      </c>
      <c r="J183" s="15">
        <v>5500</v>
      </c>
      <c r="K183" s="15">
        <f>3000+2500</f>
        <v>5500</v>
      </c>
      <c r="L183" s="15">
        <f t="shared" si="23"/>
        <v>0</v>
      </c>
      <c r="M183" s="15"/>
      <c r="N183" s="15">
        <v>4900</v>
      </c>
      <c r="O183" s="15">
        <f>2500+2400</f>
        <v>4900</v>
      </c>
      <c r="P183" s="15">
        <f t="shared" si="22"/>
        <v>0</v>
      </c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8" customHeight="1" x14ac:dyDescent="0.35">
      <c r="A184" s="39"/>
      <c r="B184" s="39"/>
      <c r="C184" s="15" t="s">
        <v>10391</v>
      </c>
      <c r="D184" s="87">
        <v>33393</v>
      </c>
      <c r="E184" s="96">
        <v>917250238627</v>
      </c>
      <c r="F184" s="15"/>
      <c r="G184" s="38" t="s">
        <v>10392</v>
      </c>
      <c r="H184" s="39" t="s">
        <v>10186</v>
      </c>
      <c r="I184" s="38"/>
      <c r="J184" s="15">
        <v>4700</v>
      </c>
      <c r="K184" s="15">
        <v>4700</v>
      </c>
      <c r="L184" s="15">
        <f t="shared" si="23"/>
        <v>0</v>
      </c>
      <c r="M184" s="15"/>
      <c r="N184" s="15">
        <v>4200</v>
      </c>
      <c r="O184" s="15">
        <v>4200</v>
      </c>
      <c r="P184" s="15">
        <f t="shared" si="22"/>
        <v>0</v>
      </c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8" customHeight="1" x14ac:dyDescent="0.35">
      <c r="A185" s="29">
        <v>44944</v>
      </c>
      <c r="B185" s="128"/>
      <c r="C185" s="84" t="s">
        <v>10393</v>
      </c>
      <c r="D185" s="130"/>
      <c r="E185" s="109">
        <v>917280073412</v>
      </c>
      <c r="F185" s="84" t="s">
        <v>10394</v>
      </c>
      <c r="G185" s="95" t="s">
        <v>10392</v>
      </c>
      <c r="H185" s="128" t="s">
        <v>10395</v>
      </c>
      <c r="I185" s="95" t="s">
        <v>10396</v>
      </c>
      <c r="J185" s="84">
        <v>5900</v>
      </c>
      <c r="K185" s="84">
        <v>5900</v>
      </c>
      <c r="L185" s="84">
        <f t="shared" si="23"/>
        <v>0</v>
      </c>
      <c r="M185" s="84"/>
      <c r="N185" s="84">
        <f>1200+4100</f>
        <v>5300</v>
      </c>
      <c r="O185" s="84">
        <v>5300</v>
      </c>
      <c r="P185" s="15">
        <f t="shared" si="22"/>
        <v>0</v>
      </c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8" customHeight="1" x14ac:dyDescent="0.35">
      <c r="A186" s="39"/>
      <c r="B186" s="39">
        <v>476106623</v>
      </c>
      <c r="C186" s="15" t="s">
        <v>10397</v>
      </c>
      <c r="D186" s="87">
        <v>26707</v>
      </c>
      <c r="E186" s="96">
        <v>919835749353</v>
      </c>
      <c r="F186" s="15"/>
      <c r="G186" s="38" t="s">
        <v>1725</v>
      </c>
      <c r="H186" s="39" t="s">
        <v>8168</v>
      </c>
      <c r="I186" s="38"/>
      <c r="J186" s="15">
        <v>1700</v>
      </c>
      <c r="K186" s="15">
        <v>1700</v>
      </c>
      <c r="L186" s="15">
        <f t="shared" si="23"/>
        <v>0</v>
      </c>
      <c r="M186" s="15"/>
      <c r="N186" s="15">
        <v>1300</v>
      </c>
      <c r="O186" s="15">
        <v>1300</v>
      </c>
      <c r="P186" s="15">
        <f t="shared" si="22"/>
        <v>0</v>
      </c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8" customHeight="1" x14ac:dyDescent="0.35">
      <c r="A187" s="29">
        <v>44964</v>
      </c>
      <c r="B187" s="128"/>
      <c r="C187" s="84" t="s">
        <v>10398</v>
      </c>
      <c r="D187" s="130"/>
      <c r="E187" s="109">
        <v>919304883771</v>
      </c>
      <c r="F187" s="84"/>
      <c r="G187" s="95"/>
      <c r="H187" s="128" t="s">
        <v>10399</v>
      </c>
      <c r="I187" s="95"/>
      <c r="J187" s="84">
        <v>2500</v>
      </c>
      <c r="K187" s="84">
        <v>2500</v>
      </c>
      <c r="L187" s="84">
        <f t="shared" si="23"/>
        <v>0</v>
      </c>
      <c r="M187" s="84"/>
      <c r="N187" s="84">
        <v>1700</v>
      </c>
      <c r="O187" s="84">
        <v>1700</v>
      </c>
      <c r="P187" s="15">
        <f t="shared" si="22"/>
        <v>0</v>
      </c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8" customHeight="1" x14ac:dyDescent="0.35">
      <c r="A188" s="29">
        <v>44965</v>
      </c>
      <c r="B188" s="128">
        <v>1418582223</v>
      </c>
      <c r="C188" s="84" t="s">
        <v>10400</v>
      </c>
      <c r="D188" s="130">
        <v>36214</v>
      </c>
      <c r="E188" s="109">
        <v>918825107674</v>
      </c>
      <c r="F188" s="84" t="s">
        <v>10025</v>
      </c>
      <c r="G188" s="95"/>
      <c r="H188" s="128" t="s">
        <v>10367</v>
      </c>
      <c r="I188" s="95"/>
      <c r="J188" s="84">
        <v>4700</v>
      </c>
      <c r="K188" s="84">
        <f>2500+2200</f>
        <v>4700</v>
      </c>
      <c r="L188" s="84">
        <f t="shared" si="23"/>
        <v>0</v>
      </c>
      <c r="M188" s="84"/>
      <c r="N188" s="84">
        <v>3800</v>
      </c>
      <c r="O188" s="84">
        <f>2500+1300</f>
        <v>3800</v>
      </c>
      <c r="P188" s="15">
        <f t="shared" si="22"/>
        <v>0</v>
      </c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8" customHeight="1" x14ac:dyDescent="0.35">
      <c r="A189" s="128"/>
      <c r="B189" s="128">
        <v>1968063423</v>
      </c>
      <c r="C189" s="84" t="s">
        <v>10401</v>
      </c>
      <c r="D189" s="130">
        <v>30116</v>
      </c>
      <c r="E189" s="109">
        <v>916202621692</v>
      </c>
      <c r="F189" s="84" t="s">
        <v>10025</v>
      </c>
      <c r="G189" s="130">
        <v>45113</v>
      </c>
      <c r="H189" s="128" t="s">
        <v>8685</v>
      </c>
      <c r="I189" s="95" t="s">
        <v>10171</v>
      </c>
      <c r="J189" s="84">
        <v>5500</v>
      </c>
      <c r="K189" s="84">
        <f>3000+2500</f>
        <v>5500</v>
      </c>
      <c r="L189" s="84">
        <f t="shared" si="23"/>
        <v>0</v>
      </c>
      <c r="M189" s="84"/>
      <c r="N189" s="84">
        <v>4900</v>
      </c>
      <c r="O189" s="15">
        <f>2500+2400</f>
        <v>4900</v>
      </c>
      <c r="P189" s="15">
        <f t="shared" si="22"/>
        <v>0</v>
      </c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8" customHeight="1" x14ac:dyDescent="0.35">
      <c r="A190" s="29">
        <v>45014</v>
      </c>
      <c r="B190" s="39">
        <v>3994870423</v>
      </c>
      <c r="C190" s="15" t="s">
        <v>5649</v>
      </c>
      <c r="D190" s="87">
        <v>37460</v>
      </c>
      <c r="E190" s="96">
        <v>919304540858</v>
      </c>
      <c r="F190" s="38" t="s">
        <v>10402</v>
      </c>
      <c r="H190" s="39" t="s">
        <v>8685</v>
      </c>
      <c r="I190" s="38" t="s">
        <v>10171</v>
      </c>
      <c r="J190" s="15">
        <f>5500+500</f>
        <v>6000</v>
      </c>
      <c r="K190" s="15">
        <f>3000+3000</f>
        <v>6000</v>
      </c>
      <c r="L190" s="15">
        <f t="shared" si="23"/>
        <v>0</v>
      </c>
      <c r="M190" s="15"/>
      <c r="N190" s="15">
        <v>4800</v>
      </c>
      <c r="O190" s="15">
        <f>2500+2300</f>
        <v>4800</v>
      </c>
      <c r="P190" s="15">
        <f t="shared" si="22"/>
        <v>0</v>
      </c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8" customHeight="1" x14ac:dyDescent="0.35">
      <c r="A191" s="39"/>
      <c r="B191" s="39"/>
      <c r="C191" s="15" t="s">
        <v>9789</v>
      </c>
      <c r="D191" s="87"/>
      <c r="E191" s="96">
        <v>918092138922</v>
      </c>
      <c r="F191" s="15" t="s">
        <v>10403</v>
      </c>
      <c r="G191" s="38"/>
      <c r="H191" s="39" t="s">
        <v>10404</v>
      </c>
      <c r="I191" s="38" t="s">
        <v>10292</v>
      </c>
      <c r="J191" s="15">
        <v>4000</v>
      </c>
      <c r="K191" s="15">
        <v>4000</v>
      </c>
      <c r="L191" s="15">
        <f t="shared" si="23"/>
        <v>0</v>
      </c>
      <c r="M191" s="15"/>
      <c r="N191" s="15">
        <v>3600</v>
      </c>
      <c r="O191" s="15">
        <v>3600</v>
      </c>
      <c r="P191" s="15">
        <f t="shared" si="22"/>
        <v>0</v>
      </c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8" customHeight="1" x14ac:dyDescent="0.35">
      <c r="A192" s="39"/>
      <c r="B192" s="128"/>
      <c r="C192" s="84" t="s">
        <v>10405</v>
      </c>
      <c r="D192" s="87"/>
      <c r="E192" s="109">
        <v>919905040647</v>
      </c>
      <c r="F192" s="84" t="s">
        <v>99</v>
      </c>
      <c r="G192" s="38" t="s">
        <v>10406</v>
      </c>
      <c r="H192" s="39" t="s">
        <v>10407</v>
      </c>
      <c r="I192" s="38"/>
      <c r="J192" s="15">
        <v>1700</v>
      </c>
      <c r="K192" s="15">
        <v>1700</v>
      </c>
      <c r="L192" s="15">
        <f t="shared" si="23"/>
        <v>0</v>
      </c>
      <c r="M192" s="15"/>
      <c r="N192" s="15">
        <v>1200</v>
      </c>
      <c r="O192" s="15">
        <v>1200</v>
      </c>
      <c r="P192" s="15">
        <f t="shared" si="22"/>
        <v>0</v>
      </c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8" customHeight="1" x14ac:dyDescent="0.35">
      <c r="A193" s="29">
        <v>45047</v>
      </c>
      <c r="B193" s="128"/>
      <c r="C193" s="84" t="s">
        <v>10408</v>
      </c>
      <c r="D193" s="130"/>
      <c r="E193" s="109">
        <v>917250482933</v>
      </c>
      <c r="F193" s="84" t="s">
        <v>10409</v>
      </c>
      <c r="G193" s="95" t="s">
        <v>10410</v>
      </c>
      <c r="H193" s="128"/>
      <c r="I193" s="95"/>
      <c r="J193" s="84">
        <f>2500+1500</f>
        <v>4000</v>
      </c>
      <c r="K193" s="84">
        <f>1500+500+1000+1000</f>
        <v>4000</v>
      </c>
      <c r="L193" s="84">
        <f t="shared" si="23"/>
        <v>0</v>
      </c>
      <c r="M193" s="84"/>
      <c r="N193" s="84">
        <f>2000+1400</f>
        <v>3400</v>
      </c>
      <c r="O193" s="84">
        <f>2000+1400</f>
        <v>3400</v>
      </c>
      <c r="P193" s="84">
        <f t="shared" si="22"/>
        <v>0</v>
      </c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s="147" customFormat="1" ht="18" customHeight="1" x14ac:dyDescent="0.35">
      <c r="A194" s="169">
        <v>44707</v>
      </c>
      <c r="B194" s="128">
        <v>3192649923</v>
      </c>
      <c r="C194" s="84" t="s">
        <v>10411</v>
      </c>
      <c r="D194" s="130">
        <v>33970</v>
      </c>
      <c r="E194" s="109">
        <v>919204218016</v>
      </c>
      <c r="F194" s="95" t="s">
        <v>8785</v>
      </c>
      <c r="G194" s="309"/>
      <c r="H194" s="128"/>
      <c r="I194" s="95" t="s">
        <v>7792</v>
      </c>
      <c r="J194" s="84">
        <v>5500</v>
      </c>
      <c r="K194" s="84">
        <f>3000+2500</f>
        <v>5500</v>
      </c>
      <c r="L194" s="84">
        <f t="shared" ref="L194:L217" si="24">J194-K194</f>
        <v>0</v>
      </c>
      <c r="M194" s="84"/>
      <c r="N194" s="84">
        <v>4800</v>
      </c>
      <c r="O194" s="84">
        <f>2500+2300</f>
        <v>4800</v>
      </c>
      <c r="P194" s="84">
        <f t="shared" ref="P194:P199" si="25">N194-O194</f>
        <v>0</v>
      </c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</row>
    <row r="195" spans="1:27" ht="18" customHeight="1" x14ac:dyDescent="0.35">
      <c r="A195" s="39"/>
      <c r="B195" s="128"/>
      <c r="C195" s="84" t="s">
        <v>7309</v>
      </c>
      <c r="D195" s="87"/>
      <c r="E195" s="109">
        <v>919308309351</v>
      </c>
      <c r="F195" s="84"/>
      <c r="G195" s="38"/>
      <c r="H195" s="39"/>
      <c r="I195" s="38" t="s">
        <v>10412</v>
      </c>
      <c r="J195" s="15">
        <v>1700</v>
      </c>
      <c r="K195" s="15">
        <v>1700</v>
      </c>
      <c r="L195" s="15">
        <f t="shared" si="24"/>
        <v>0</v>
      </c>
      <c r="M195" s="15"/>
      <c r="N195" s="15">
        <v>1300</v>
      </c>
      <c r="O195" s="15">
        <v>1300</v>
      </c>
      <c r="P195" s="15">
        <f t="shared" si="25"/>
        <v>0</v>
      </c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s="147" customFormat="1" ht="18" customHeight="1" x14ac:dyDescent="0.35">
      <c r="A196" s="138">
        <v>45035</v>
      </c>
      <c r="B196" s="185">
        <v>3473345823</v>
      </c>
      <c r="C196" s="84" t="s">
        <v>10413</v>
      </c>
      <c r="D196" s="130">
        <v>38370</v>
      </c>
      <c r="E196" s="109">
        <v>917461074948</v>
      </c>
      <c r="F196" s="84"/>
      <c r="G196" s="95" t="s">
        <v>99</v>
      </c>
      <c r="H196" s="128"/>
      <c r="I196" s="95" t="s">
        <v>10171</v>
      </c>
      <c r="J196" s="84">
        <v>5500</v>
      </c>
      <c r="K196" s="84">
        <f>3000+2500</f>
        <v>5500</v>
      </c>
      <c r="L196" s="84">
        <f t="shared" si="24"/>
        <v>0</v>
      </c>
      <c r="M196" s="84"/>
      <c r="N196" s="84">
        <v>4900</v>
      </c>
      <c r="O196" s="84">
        <f>2500+2400</f>
        <v>4900</v>
      </c>
      <c r="P196" s="84">
        <f t="shared" si="25"/>
        <v>0</v>
      </c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</row>
    <row r="197" spans="1:27" ht="18" customHeight="1" x14ac:dyDescent="0.35">
      <c r="A197" s="128"/>
      <c r="B197" s="186">
        <v>2873892723</v>
      </c>
      <c r="C197" s="124" t="s">
        <v>7485</v>
      </c>
      <c r="D197" s="131">
        <v>38427</v>
      </c>
      <c r="E197" s="125">
        <v>917677842838</v>
      </c>
      <c r="F197" s="84" t="s">
        <v>10025</v>
      </c>
      <c r="G197" s="95"/>
      <c r="H197" s="128"/>
      <c r="I197" s="95" t="s">
        <v>10171</v>
      </c>
      <c r="J197" s="84">
        <v>5500</v>
      </c>
      <c r="K197" s="84">
        <f>3000+2500</f>
        <v>5500</v>
      </c>
      <c r="L197" s="84">
        <f t="shared" si="24"/>
        <v>0</v>
      </c>
      <c r="M197" s="84"/>
      <c r="N197" s="84">
        <v>4900</v>
      </c>
      <c r="O197" s="15">
        <f>2500+2500</f>
        <v>5000</v>
      </c>
      <c r="P197" s="15">
        <f t="shared" si="25"/>
        <v>-100</v>
      </c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8" customHeight="1" x14ac:dyDescent="0.35">
      <c r="A198" s="29">
        <v>45040</v>
      </c>
      <c r="B198" s="128">
        <v>1466231123</v>
      </c>
      <c r="C198" s="84" t="s">
        <v>10414</v>
      </c>
      <c r="D198" s="130">
        <v>26754</v>
      </c>
      <c r="E198" s="109">
        <v>919234604219</v>
      </c>
      <c r="F198" s="84" t="s">
        <v>10025</v>
      </c>
      <c r="G198" s="95"/>
      <c r="H198" s="128"/>
      <c r="I198" s="95" t="s">
        <v>10415</v>
      </c>
      <c r="J198" s="84">
        <v>1700</v>
      </c>
      <c r="K198" s="84">
        <v>1700</v>
      </c>
      <c r="L198" s="84">
        <f t="shared" si="24"/>
        <v>0</v>
      </c>
      <c r="M198" s="84"/>
      <c r="N198" s="84">
        <v>1300</v>
      </c>
      <c r="O198" s="84">
        <v>1300</v>
      </c>
      <c r="P198" s="84">
        <f t="shared" si="25"/>
        <v>0</v>
      </c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8" customHeight="1" x14ac:dyDescent="0.35">
      <c r="A199" s="189">
        <v>45061</v>
      </c>
      <c r="B199" s="184">
        <v>3994984223</v>
      </c>
      <c r="C199" s="124" t="s">
        <v>10416</v>
      </c>
      <c r="D199" s="131">
        <v>37867</v>
      </c>
      <c r="E199" s="125">
        <v>919798528846</v>
      </c>
      <c r="F199" s="124">
        <v>7519966508</v>
      </c>
      <c r="G199" s="95" t="s">
        <v>10417</v>
      </c>
      <c r="H199" s="128"/>
      <c r="I199" s="95" t="s">
        <v>10171</v>
      </c>
      <c r="J199" s="84">
        <v>5500</v>
      </c>
      <c r="K199" s="84">
        <f>3000+2500</f>
        <v>5500</v>
      </c>
      <c r="L199" s="84">
        <f t="shared" si="24"/>
        <v>0</v>
      </c>
      <c r="M199" s="84"/>
      <c r="N199" s="156">
        <v>4900</v>
      </c>
      <c r="O199" s="156">
        <f>2500+2400</f>
        <v>4900</v>
      </c>
      <c r="P199" s="156">
        <f t="shared" si="25"/>
        <v>0</v>
      </c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8" customHeight="1" x14ac:dyDescent="0.35">
      <c r="A200" s="29">
        <v>45063</v>
      </c>
      <c r="B200" s="39"/>
      <c r="C200" s="15" t="s">
        <v>5584</v>
      </c>
      <c r="D200" s="87">
        <v>33748</v>
      </c>
      <c r="E200" s="96">
        <v>917070360382</v>
      </c>
      <c r="G200" s="38"/>
      <c r="H200" s="39"/>
      <c r="I200" s="38"/>
      <c r="J200" s="15"/>
      <c r="K200" s="15"/>
      <c r="L200" s="15"/>
      <c r="M200" s="15"/>
      <c r="N200" s="15">
        <v>0</v>
      </c>
      <c r="O200" s="15">
        <v>0</v>
      </c>
      <c r="P200" s="15">
        <f t="shared" ref="P200:P209" si="26">N200-O200</f>
        <v>0</v>
      </c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8" customHeight="1" x14ac:dyDescent="0.35">
      <c r="A201" s="138">
        <v>45076</v>
      </c>
      <c r="B201" s="128">
        <v>1984814023</v>
      </c>
      <c r="C201" s="84" t="s">
        <v>7558</v>
      </c>
      <c r="D201" s="130">
        <v>38471</v>
      </c>
      <c r="E201" s="109">
        <v>917004062939</v>
      </c>
      <c r="F201" s="196" t="s">
        <v>10418</v>
      </c>
      <c r="G201" s="95" t="s">
        <v>10419</v>
      </c>
      <c r="H201" s="128" t="s">
        <v>10420</v>
      </c>
      <c r="I201" s="197" t="s">
        <v>10171</v>
      </c>
      <c r="J201" s="84">
        <v>5500</v>
      </c>
      <c r="K201" s="84">
        <f>3000+2500</f>
        <v>5500</v>
      </c>
      <c r="L201" s="84">
        <f t="shared" si="24"/>
        <v>0</v>
      </c>
      <c r="M201" s="84"/>
      <c r="N201" s="15">
        <v>4900</v>
      </c>
      <c r="O201" s="15">
        <v>2500</v>
      </c>
      <c r="P201" s="15">
        <f t="shared" si="26"/>
        <v>2400</v>
      </c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8" customHeight="1" x14ac:dyDescent="0.35">
      <c r="A202" s="29">
        <v>45078</v>
      </c>
      <c r="B202" s="39">
        <v>2026308823</v>
      </c>
      <c r="C202" s="84" t="s">
        <v>10421</v>
      </c>
      <c r="D202" s="130">
        <v>36167</v>
      </c>
      <c r="E202" s="109">
        <v>919771768870</v>
      </c>
      <c r="F202" s="84" t="s">
        <v>99</v>
      </c>
      <c r="G202" s="95" t="s">
        <v>10422</v>
      </c>
      <c r="H202" s="128"/>
      <c r="I202" s="95" t="s">
        <v>10292</v>
      </c>
      <c r="J202" s="84">
        <v>4300</v>
      </c>
      <c r="K202" s="84">
        <f>2500+1800</f>
        <v>4300</v>
      </c>
      <c r="L202" s="84">
        <f t="shared" si="24"/>
        <v>0</v>
      </c>
      <c r="M202" s="84"/>
      <c r="N202" s="84">
        <v>3600</v>
      </c>
      <c r="O202" s="84">
        <f>2000+1600</f>
        <v>3600</v>
      </c>
      <c r="P202" s="84">
        <f t="shared" si="26"/>
        <v>0</v>
      </c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8" customHeight="1" x14ac:dyDescent="0.35">
      <c r="A203" s="29">
        <v>45079</v>
      </c>
      <c r="B203" s="39"/>
      <c r="C203" s="15" t="s">
        <v>10423</v>
      </c>
      <c r="D203" s="87">
        <v>22809</v>
      </c>
      <c r="E203" s="96">
        <v>919939644298</v>
      </c>
      <c r="F203" s="15" t="s">
        <v>134</v>
      </c>
      <c r="G203" s="38"/>
      <c r="H203" s="39"/>
      <c r="I203" s="38" t="s">
        <v>10186</v>
      </c>
      <c r="J203" s="15">
        <v>5500</v>
      </c>
      <c r="K203" s="15">
        <v>5500</v>
      </c>
      <c r="L203" s="15">
        <f t="shared" si="24"/>
        <v>0</v>
      </c>
      <c r="M203" s="15"/>
      <c r="N203" s="15">
        <v>5100</v>
      </c>
      <c r="O203" s="15">
        <v>5100</v>
      </c>
      <c r="P203" s="15">
        <f t="shared" si="26"/>
        <v>0</v>
      </c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8" customHeight="1" x14ac:dyDescent="0.35">
      <c r="A204" s="138">
        <v>45079</v>
      </c>
      <c r="B204" s="128">
        <v>2043023823</v>
      </c>
      <c r="C204" s="84" t="s">
        <v>10424</v>
      </c>
      <c r="D204" s="130">
        <v>24727</v>
      </c>
      <c r="E204" s="109">
        <v>917209393027</v>
      </c>
      <c r="F204" s="84"/>
      <c r="G204" s="95"/>
      <c r="H204" s="128"/>
      <c r="I204" s="95" t="s">
        <v>10186</v>
      </c>
      <c r="J204" s="84">
        <v>1700</v>
      </c>
      <c r="K204" s="84">
        <v>1700</v>
      </c>
      <c r="L204" s="84">
        <f t="shared" si="24"/>
        <v>0</v>
      </c>
      <c r="M204" s="84"/>
      <c r="N204" s="84">
        <v>1300</v>
      </c>
      <c r="O204" s="84">
        <v>1300</v>
      </c>
      <c r="P204" s="84">
        <f t="shared" si="26"/>
        <v>0</v>
      </c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8" customHeight="1" x14ac:dyDescent="0.35">
      <c r="A205" s="29">
        <v>45081</v>
      </c>
      <c r="B205" s="39"/>
      <c r="C205" s="15" t="s">
        <v>10425</v>
      </c>
      <c r="D205" s="87">
        <v>22839</v>
      </c>
      <c r="E205" s="96">
        <v>918797357063</v>
      </c>
      <c r="G205" s="15" t="s">
        <v>10426</v>
      </c>
      <c r="H205" s="39"/>
      <c r="I205" s="38" t="s">
        <v>10114</v>
      </c>
      <c r="J205" s="15">
        <v>1700</v>
      </c>
      <c r="K205" s="15">
        <v>1700</v>
      </c>
      <c r="L205" s="15">
        <f t="shared" si="24"/>
        <v>0</v>
      </c>
      <c r="M205" s="15"/>
      <c r="N205" s="15">
        <v>1300</v>
      </c>
      <c r="O205" s="15">
        <v>1300</v>
      </c>
      <c r="P205" s="15">
        <f t="shared" si="26"/>
        <v>0</v>
      </c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8" customHeight="1" x14ac:dyDescent="0.35">
      <c r="A206" s="128"/>
      <c r="B206" s="128"/>
      <c r="C206" s="84" t="s">
        <v>10427</v>
      </c>
      <c r="D206" s="130"/>
      <c r="E206" s="109">
        <v>917209497812</v>
      </c>
      <c r="F206" s="84"/>
      <c r="G206" s="95"/>
      <c r="H206" s="128"/>
      <c r="I206" s="95" t="s">
        <v>10428</v>
      </c>
      <c r="J206" s="84">
        <v>1500</v>
      </c>
      <c r="K206" s="84">
        <v>1500</v>
      </c>
      <c r="L206" s="84">
        <f t="shared" si="24"/>
        <v>0</v>
      </c>
      <c r="M206" s="84"/>
      <c r="N206" s="84">
        <v>1200</v>
      </c>
      <c r="O206" s="84">
        <v>1200</v>
      </c>
      <c r="P206" s="84">
        <f t="shared" si="26"/>
        <v>0</v>
      </c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8" customHeight="1" x14ac:dyDescent="0.35">
      <c r="A207" s="138">
        <v>45087</v>
      </c>
      <c r="B207" s="128">
        <v>2152017723</v>
      </c>
      <c r="C207" s="84" t="s">
        <v>10429</v>
      </c>
      <c r="D207" s="130">
        <v>31674</v>
      </c>
      <c r="E207" s="109">
        <v>918797206027</v>
      </c>
      <c r="F207" s="121" t="s">
        <v>10430</v>
      </c>
      <c r="G207" s="95"/>
      <c r="H207" s="128"/>
      <c r="I207" s="95" t="s">
        <v>10171</v>
      </c>
      <c r="J207" s="84">
        <v>5500</v>
      </c>
      <c r="K207" s="84">
        <f>3000+2500</f>
        <v>5500</v>
      </c>
      <c r="L207" s="84">
        <f t="shared" si="24"/>
        <v>0</v>
      </c>
      <c r="M207" s="84"/>
      <c r="N207" s="84">
        <v>4900</v>
      </c>
      <c r="O207" s="84">
        <f>2500+2400</f>
        <v>4900</v>
      </c>
      <c r="P207" s="15">
        <f t="shared" si="26"/>
        <v>0</v>
      </c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8" customHeight="1" x14ac:dyDescent="0.35">
      <c r="A208" s="29">
        <v>45090</v>
      </c>
      <c r="B208" s="128">
        <v>2187739123</v>
      </c>
      <c r="C208" s="84" t="s">
        <v>10431</v>
      </c>
      <c r="D208" s="130">
        <v>26538</v>
      </c>
      <c r="E208" s="109"/>
      <c r="F208" s="84" t="s">
        <v>10025</v>
      </c>
      <c r="G208" s="95"/>
      <c r="H208" s="128"/>
      <c r="I208" s="95" t="s">
        <v>10186</v>
      </c>
      <c r="J208" s="84">
        <v>1700</v>
      </c>
      <c r="K208" s="84">
        <v>1700</v>
      </c>
      <c r="L208" s="84">
        <f t="shared" si="24"/>
        <v>0</v>
      </c>
      <c r="M208" s="84"/>
      <c r="N208" s="84">
        <v>1300</v>
      </c>
      <c r="O208" s="84">
        <v>1300</v>
      </c>
      <c r="P208" s="84">
        <f t="shared" si="26"/>
        <v>0</v>
      </c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8" customHeight="1" x14ac:dyDescent="0.35">
      <c r="A209" s="155">
        <v>45195</v>
      </c>
      <c r="B209" s="187">
        <v>3729667223</v>
      </c>
      <c r="C209" s="156" t="s">
        <v>10432</v>
      </c>
      <c r="D209" s="157">
        <v>36601</v>
      </c>
      <c r="E209" s="158">
        <v>919065675300</v>
      </c>
      <c r="F209" s="159"/>
      <c r="G209" s="160"/>
      <c r="H209" s="187"/>
      <c r="I209" s="160" t="s">
        <v>10171</v>
      </c>
      <c r="J209" s="156">
        <v>5500</v>
      </c>
      <c r="K209" s="156">
        <f>3000+2500</f>
        <v>5500</v>
      </c>
      <c r="L209" s="156">
        <f t="shared" si="24"/>
        <v>0</v>
      </c>
      <c r="M209" s="156"/>
      <c r="N209" s="156">
        <v>4900</v>
      </c>
      <c r="O209" s="156">
        <f>2500+2400</f>
        <v>4900</v>
      </c>
      <c r="P209" s="156">
        <f t="shared" si="26"/>
        <v>0</v>
      </c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8" customHeight="1" x14ac:dyDescent="0.35">
      <c r="A210" s="162">
        <v>45103</v>
      </c>
      <c r="B210" s="182">
        <v>3668300823</v>
      </c>
      <c r="C210" s="163" t="s">
        <v>9875</v>
      </c>
      <c r="D210" s="164">
        <v>33427</v>
      </c>
      <c r="E210" s="165"/>
      <c r="F210" s="166" t="s">
        <v>10375</v>
      </c>
      <c r="G210" s="166" t="s">
        <v>10433</v>
      </c>
      <c r="H210" s="180"/>
      <c r="I210" s="166" t="s">
        <v>10171</v>
      </c>
      <c r="J210" s="163">
        <v>5400</v>
      </c>
      <c r="K210" s="163">
        <f>3000+2400</f>
        <v>5400</v>
      </c>
      <c r="L210" s="163">
        <f t="shared" si="24"/>
        <v>0</v>
      </c>
      <c r="M210" s="163"/>
      <c r="N210" s="163">
        <v>4900</v>
      </c>
      <c r="O210" s="163">
        <f>2500+2400</f>
        <v>4900</v>
      </c>
      <c r="P210" s="163">
        <f t="shared" ref="P210:P217" si="27">N210-O210</f>
        <v>0</v>
      </c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8" customHeight="1" x14ac:dyDescent="0.35">
      <c r="A211" s="162">
        <v>45103</v>
      </c>
      <c r="B211" s="180">
        <v>3668363023</v>
      </c>
      <c r="C211" s="163" t="s">
        <v>10434</v>
      </c>
      <c r="D211" s="164">
        <v>35598</v>
      </c>
      <c r="E211" s="165"/>
      <c r="F211" s="166" t="s">
        <v>10375</v>
      </c>
      <c r="G211" s="164">
        <v>45255</v>
      </c>
      <c r="H211" s="180"/>
      <c r="I211" s="166" t="s">
        <v>10171</v>
      </c>
      <c r="J211" s="163">
        <v>5400</v>
      </c>
      <c r="K211" s="163">
        <f>3000+2400</f>
        <v>5400</v>
      </c>
      <c r="L211" s="163">
        <f t="shared" si="24"/>
        <v>0</v>
      </c>
      <c r="M211" s="163"/>
      <c r="N211" s="163">
        <v>4900</v>
      </c>
      <c r="O211" s="163">
        <f>2500+2400</f>
        <v>4900</v>
      </c>
      <c r="P211" s="163">
        <f t="shared" si="27"/>
        <v>0</v>
      </c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8" customHeight="1" x14ac:dyDescent="0.35">
      <c r="A212" s="162">
        <v>45105</v>
      </c>
      <c r="B212" s="180">
        <v>3684460523</v>
      </c>
      <c r="C212" s="163" t="s">
        <v>10435</v>
      </c>
      <c r="D212" s="164">
        <v>30533</v>
      </c>
      <c r="E212" s="165">
        <v>918709271105</v>
      </c>
      <c r="F212" s="166" t="s">
        <v>10375</v>
      </c>
      <c r="G212" s="164">
        <v>45255</v>
      </c>
      <c r="H212" s="180"/>
      <c r="I212" s="166" t="s">
        <v>10171</v>
      </c>
      <c r="J212" s="163">
        <v>5500</v>
      </c>
      <c r="K212" s="163">
        <f>3000+2500</f>
        <v>5500</v>
      </c>
      <c r="L212" s="163">
        <f t="shared" si="24"/>
        <v>0</v>
      </c>
      <c r="M212" s="163"/>
      <c r="N212" s="163">
        <v>4900</v>
      </c>
      <c r="O212" s="163">
        <f>2500+2400</f>
        <v>4900</v>
      </c>
      <c r="P212" s="163">
        <f t="shared" si="27"/>
        <v>0</v>
      </c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8" customHeight="1" x14ac:dyDescent="0.35">
      <c r="A213" s="128"/>
      <c r="B213" s="128"/>
      <c r="C213" s="84" t="s">
        <v>9382</v>
      </c>
      <c r="D213" s="130"/>
      <c r="E213" s="109">
        <v>919234221972</v>
      </c>
      <c r="F213" s="84" t="s">
        <v>134</v>
      </c>
      <c r="G213" s="95"/>
      <c r="H213" s="128"/>
      <c r="I213" s="95" t="s">
        <v>10114</v>
      </c>
      <c r="J213" s="84">
        <v>1500</v>
      </c>
      <c r="K213" s="84">
        <v>1500</v>
      </c>
      <c r="L213" s="84">
        <f t="shared" si="24"/>
        <v>0</v>
      </c>
      <c r="M213" s="84"/>
      <c r="N213" s="84">
        <v>1300</v>
      </c>
      <c r="O213" s="84">
        <v>1300</v>
      </c>
      <c r="P213" s="84">
        <f t="shared" si="27"/>
        <v>0</v>
      </c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8" customHeight="1" x14ac:dyDescent="0.35">
      <c r="A214" s="128"/>
      <c r="B214" s="128"/>
      <c r="C214" s="84" t="s">
        <v>10436</v>
      </c>
      <c r="D214" s="130"/>
      <c r="E214" s="109">
        <v>917209497812</v>
      </c>
      <c r="G214" s="95" t="s">
        <v>10437</v>
      </c>
      <c r="H214" s="128"/>
      <c r="I214" s="84" t="s">
        <v>10399</v>
      </c>
      <c r="J214" s="84">
        <v>1500</v>
      </c>
      <c r="K214" s="84">
        <v>1500</v>
      </c>
      <c r="L214" s="84">
        <f t="shared" si="24"/>
        <v>0</v>
      </c>
      <c r="M214" s="84"/>
      <c r="N214" s="84">
        <v>1200</v>
      </c>
      <c r="O214" s="84">
        <v>1200</v>
      </c>
      <c r="P214" s="84">
        <f t="shared" si="27"/>
        <v>0</v>
      </c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8" customHeight="1" x14ac:dyDescent="0.35">
      <c r="A215" s="29">
        <v>45111</v>
      </c>
      <c r="B215" s="39"/>
      <c r="C215" s="15" t="s">
        <v>7649</v>
      </c>
      <c r="D215" s="87">
        <v>29343</v>
      </c>
      <c r="E215" s="96">
        <v>919931195820</v>
      </c>
      <c r="F215" s="15" t="s">
        <v>10438</v>
      </c>
      <c r="G215" s="38"/>
      <c r="H215" s="39"/>
      <c r="I215" s="38"/>
      <c r="J215" s="15">
        <v>1500</v>
      </c>
      <c r="K215" s="15">
        <v>1500</v>
      </c>
      <c r="L215" s="15">
        <f t="shared" si="24"/>
        <v>0</v>
      </c>
      <c r="M215" s="15"/>
      <c r="N215" s="15">
        <v>1400</v>
      </c>
      <c r="O215" s="15">
        <v>1400</v>
      </c>
      <c r="P215" s="15">
        <f t="shared" si="27"/>
        <v>0</v>
      </c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8" customHeight="1" x14ac:dyDescent="0.35">
      <c r="A216" s="128"/>
      <c r="B216" s="128">
        <v>2528669823</v>
      </c>
      <c r="C216" s="84" t="s">
        <v>7575</v>
      </c>
      <c r="D216" s="130">
        <v>38239</v>
      </c>
      <c r="E216" s="109">
        <v>919931471556</v>
      </c>
      <c r="F216" s="121">
        <v>45157</v>
      </c>
      <c r="G216" s="95" t="s">
        <v>10439</v>
      </c>
      <c r="H216" s="128"/>
      <c r="I216" s="95" t="s">
        <v>10171</v>
      </c>
      <c r="J216" s="84">
        <v>5500</v>
      </c>
      <c r="K216" s="84">
        <f>3000+2500</f>
        <v>5500</v>
      </c>
      <c r="L216" s="84">
        <f t="shared" si="24"/>
        <v>0</v>
      </c>
      <c r="M216" s="15"/>
      <c r="N216" s="15">
        <v>4900</v>
      </c>
      <c r="O216" s="15">
        <f>2500+2400</f>
        <v>4900</v>
      </c>
      <c r="P216" s="15">
        <f t="shared" si="27"/>
        <v>0</v>
      </c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8" customHeight="1" x14ac:dyDescent="0.35">
      <c r="A217" s="39"/>
      <c r="B217" s="39"/>
      <c r="C217" s="84" t="s">
        <v>10440</v>
      </c>
      <c r="D217" s="130"/>
      <c r="E217" s="109">
        <v>919279250587</v>
      </c>
      <c r="F217" s="84" t="s">
        <v>10441</v>
      </c>
      <c r="G217" s="95"/>
      <c r="H217" s="128"/>
      <c r="I217" s="95" t="s">
        <v>10114</v>
      </c>
      <c r="J217" s="84">
        <v>4500</v>
      </c>
      <c r="K217" s="84">
        <v>4500</v>
      </c>
      <c r="L217" s="84">
        <f t="shared" si="24"/>
        <v>0</v>
      </c>
      <c r="M217" s="84"/>
      <c r="N217" s="84">
        <v>4000</v>
      </c>
      <c r="O217" s="84">
        <v>4000</v>
      </c>
      <c r="P217" s="84">
        <f t="shared" si="27"/>
        <v>0</v>
      </c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8" customHeight="1" x14ac:dyDescent="0.35">
      <c r="A218" s="39"/>
      <c r="B218" s="39"/>
      <c r="C218" s="84" t="s">
        <v>10442</v>
      </c>
      <c r="D218" s="130">
        <v>23877</v>
      </c>
      <c r="E218" s="109">
        <v>919801343027</v>
      </c>
      <c r="F218" s="84" t="s">
        <v>10443</v>
      </c>
      <c r="G218" s="95"/>
      <c r="H218" s="128"/>
      <c r="I218" s="95" t="s">
        <v>10114</v>
      </c>
      <c r="J218" s="84">
        <v>4500</v>
      </c>
      <c r="K218" s="84">
        <v>4500</v>
      </c>
      <c r="L218" s="84">
        <f t="shared" ref="L218:L219" si="28">J218-K218</f>
        <v>0</v>
      </c>
      <c r="M218" s="84"/>
      <c r="N218" s="84">
        <v>4000</v>
      </c>
      <c r="O218" s="84">
        <v>4000</v>
      </c>
      <c r="P218" s="84">
        <f t="shared" ref="P218:P219" si="29">N218-O218</f>
        <v>0</v>
      </c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8" customHeight="1" x14ac:dyDescent="0.35">
      <c r="A219" s="155">
        <v>45195</v>
      </c>
      <c r="B219" s="128">
        <v>3729602523</v>
      </c>
      <c r="C219" s="84" t="s">
        <v>4104</v>
      </c>
      <c r="D219" s="130">
        <v>37563</v>
      </c>
      <c r="E219" s="109">
        <v>917033989059</v>
      </c>
      <c r="F219" s="121" t="s">
        <v>10375</v>
      </c>
      <c r="G219" s="95"/>
      <c r="H219" s="128"/>
      <c r="I219" s="95" t="s">
        <v>10171</v>
      </c>
      <c r="J219" s="84">
        <v>5500</v>
      </c>
      <c r="K219" s="84">
        <f>3000+2500</f>
        <v>5500</v>
      </c>
      <c r="L219" s="84">
        <f t="shared" si="28"/>
        <v>0</v>
      </c>
      <c r="M219" s="84"/>
      <c r="N219" s="84">
        <v>4900</v>
      </c>
      <c r="O219" s="84">
        <f>2500+2400</f>
        <v>4900</v>
      </c>
      <c r="P219" s="84">
        <f t="shared" si="29"/>
        <v>0</v>
      </c>
      <c r="Q219" s="15"/>
      <c r="R219" s="15"/>
      <c r="S219" s="15" t="s">
        <v>10444</v>
      </c>
      <c r="T219" s="15"/>
      <c r="U219" s="15"/>
      <c r="V219" s="15"/>
      <c r="W219" s="15"/>
      <c r="X219" s="15"/>
      <c r="Y219" s="15"/>
      <c r="Z219" s="15"/>
      <c r="AA219" s="15"/>
    </row>
    <row r="220" spans="1:27" s="147" customFormat="1" ht="18" customHeight="1" x14ac:dyDescent="0.35">
      <c r="A220" s="138">
        <v>45130</v>
      </c>
      <c r="B220" s="128">
        <v>2265020123</v>
      </c>
      <c r="C220" s="84" t="s">
        <v>10445</v>
      </c>
      <c r="D220" s="130">
        <v>24451</v>
      </c>
      <c r="E220" s="109">
        <v>919709107355</v>
      </c>
      <c r="H220" s="199"/>
      <c r="I220" s="95" t="s">
        <v>10114</v>
      </c>
      <c r="J220" s="84">
        <v>1700</v>
      </c>
      <c r="K220" s="84">
        <f>1200+500</f>
        <v>1700</v>
      </c>
      <c r="L220" s="84">
        <f t="shared" ref="L220:L225" si="30">J220-K220</f>
        <v>0</v>
      </c>
      <c r="M220" s="84"/>
      <c r="N220" s="84">
        <v>1300</v>
      </c>
      <c r="O220" s="84">
        <v>1300</v>
      </c>
      <c r="P220" s="84">
        <f t="shared" ref="P220:P225" si="31">N220-O220</f>
        <v>0</v>
      </c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</row>
    <row r="221" spans="1:27" ht="18" customHeight="1" x14ac:dyDescent="0.35">
      <c r="A221" s="155">
        <v>45250</v>
      </c>
      <c r="B221" s="187">
        <v>4394839923</v>
      </c>
      <c r="C221" s="156" t="s">
        <v>10446</v>
      </c>
      <c r="D221" s="157">
        <v>20350</v>
      </c>
      <c r="E221" s="158">
        <v>919852438170</v>
      </c>
      <c r="F221" s="159" t="s">
        <v>10447</v>
      </c>
      <c r="G221" s="160"/>
      <c r="H221" s="187"/>
      <c r="I221" s="160" t="s">
        <v>10171</v>
      </c>
      <c r="J221" s="156">
        <v>5700</v>
      </c>
      <c r="K221" s="156">
        <f>2500+1200+1000+500+500</f>
        <v>5700</v>
      </c>
      <c r="L221" s="156">
        <f t="shared" si="30"/>
        <v>0</v>
      </c>
      <c r="M221" s="156"/>
      <c r="N221" s="156">
        <v>4900</v>
      </c>
      <c r="O221" s="156">
        <f>2000+2900</f>
        <v>4900</v>
      </c>
      <c r="P221" s="156">
        <f t="shared" si="31"/>
        <v>0</v>
      </c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8" customHeight="1" x14ac:dyDescent="0.35">
      <c r="A222" s="155">
        <v>45136</v>
      </c>
      <c r="B222" s="128">
        <v>3994573223</v>
      </c>
      <c r="C222" s="84" t="s">
        <v>10448</v>
      </c>
      <c r="D222" s="130">
        <v>35676</v>
      </c>
      <c r="E222" s="109">
        <v>918822716325</v>
      </c>
      <c r="F222" s="121" t="s">
        <v>99</v>
      </c>
      <c r="G222" s="130">
        <v>45337</v>
      </c>
      <c r="H222" s="128"/>
      <c r="I222" s="95" t="s">
        <v>10171</v>
      </c>
      <c r="J222" s="84">
        <v>5500</v>
      </c>
      <c r="K222" s="84">
        <f>3000+2500</f>
        <v>5500</v>
      </c>
      <c r="L222" s="84">
        <f t="shared" si="30"/>
        <v>0</v>
      </c>
      <c r="M222" s="84"/>
      <c r="N222" s="84">
        <v>4900</v>
      </c>
      <c r="O222" s="84">
        <f>2500+2400</f>
        <v>4900</v>
      </c>
      <c r="P222" s="84">
        <f t="shared" si="31"/>
        <v>0</v>
      </c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8" customHeight="1" x14ac:dyDescent="0.35">
      <c r="A223" s="155">
        <v>45136</v>
      </c>
      <c r="B223" s="187">
        <v>2873769023</v>
      </c>
      <c r="C223" s="156" t="s">
        <v>7883</v>
      </c>
      <c r="D223" s="157">
        <v>38529</v>
      </c>
      <c r="E223" s="158">
        <v>917070911538</v>
      </c>
      <c r="F223" s="159" t="s">
        <v>10402</v>
      </c>
      <c r="G223" s="157"/>
      <c r="H223" s="187"/>
      <c r="I223" s="160" t="s">
        <v>10171</v>
      </c>
      <c r="J223" s="156">
        <v>5500</v>
      </c>
      <c r="K223" s="156">
        <f>2500+3000</f>
        <v>5500</v>
      </c>
      <c r="L223" s="156">
        <f t="shared" si="30"/>
        <v>0</v>
      </c>
      <c r="M223" s="156"/>
      <c r="N223" s="156">
        <v>4900</v>
      </c>
      <c r="O223" s="156">
        <f>2500+2400</f>
        <v>4900</v>
      </c>
      <c r="P223" s="156">
        <f t="shared" si="31"/>
        <v>0</v>
      </c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8" customHeight="1" x14ac:dyDescent="0.35">
      <c r="A224" s="155">
        <v>45250</v>
      </c>
      <c r="B224" s="187">
        <v>4394920423</v>
      </c>
      <c r="C224" s="156" t="s">
        <v>10449</v>
      </c>
      <c r="D224" s="157">
        <v>35353</v>
      </c>
      <c r="E224" s="158">
        <v>917991103560</v>
      </c>
      <c r="F224" s="161" t="s">
        <v>10450</v>
      </c>
      <c r="G224" s="160"/>
      <c r="H224" s="187"/>
      <c r="I224" s="160" t="s">
        <v>10171</v>
      </c>
      <c r="J224" s="156">
        <v>5500</v>
      </c>
      <c r="K224" s="156">
        <v>3000</v>
      </c>
      <c r="L224" s="156">
        <f t="shared" si="30"/>
        <v>2500</v>
      </c>
      <c r="M224" s="156"/>
      <c r="N224" s="156">
        <v>4900</v>
      </c>
      <c r="O224" s="156">
        <f>2500+2400</f>
        <v>4900</v>
      </c>
      <c r="P224" s="156">
        <f t="shared" si="31"/>
        <v>0</v>
      </c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s="167" customFormat="1" ht="18" customHeight="1" x14ac:dyDescent="0.35">
      <c r="A225" s="162">
        <v>45145</v>
      </c>
      <c r="B225" s="180">
        <v>399481823</v>
      </c>
      <c r="C225" s="163" t="s">
        <v>10451</v>
      </c>
      <c r="D225" s="164">
        <v>36801</v>
      </c>
      <c r="E225" s="165">
        <v>919608781143</v>
      </c>
      <c r="F225" s="204" t="s">
        <v>10212</v>
      </c>
      <c r="G225" s="164"/>
      <c r="H225" s="180"/>
      <c r="I225" s="166" t="s">
        <v>10171</v>
      </c>
      <c r="J225" s="163">
        <v>5500</v>
      </c>
      <c r="K225" s="163">
        <f>2500+2000+1000</f>
        <v>5500</v>
      </c>
      <c r="L225" s="163">
        <f t="shared" si="30"/>
        <v>0</v>
      </c>
      <c r="M225" s="163"/>
      <c r="N225" s="163">
        <v>4900</v>
      </c>
      <c r="O225" s="163">
        <f>2500+2400</f>
        <v>4900</v>
      </c>
      <c r="P225" s="163">
        <f t="shared" si="31"/>
        <v>0</v>
      </c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</row>
    <row r="226" spans="1:27" ht="18" customHeight="1" x14ac:dyDescent="0.35">
      <c r="A226" s="138">
        <v>45145</v>
      </c>
      <c r="B226" s="128">
        <v>8935997973</v>
      </c>
      <c r="C226" s="84" t="s">
        <v>10452</v>
      </c>
      <c r="D226" s="130">
        <v>26895</v>
      </c>
      <c r="E226" s="109">
        <v>918935997973</v>
      </c>
      <c r="F226" s="84" t="s">
        <v>10025</v>
      </c>
      <c r="G226" s="95"/>
      <c r="H226" s="128"/>
      <c r="I226" s="95" t="s">
        <v>10114</v>
      </c>
      <c r="J226" s="84">
        <v>1600</v>
      </c>
      <c r="K226" s="84">
        <v>1600</v>
      </c>
      <c r="L226" s="84">
        <f t="shared" ref="L226:L278" si="32">J226-K226</f>
        <v>0</v>
      </c>
      <c r="M226" s="84"/>
      <c r="N226" s="84">
        <v>1300</v>
      </c>
      <c r="O226" s="84">
        <v>1300</v>
      </c>
      <c r="P226" s="84">
        <f t="shared" ref="P226:P271" si="33">N226-O226</f>
        <v>0</v>
      </c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8" customHeight="1" x14ac:dyDescent="0.35">
      <c r="A227" s="138">
        <v>45146</v>
      </c>
      <c r="B227" s="128">
        <v>3994748223</v>
      </c>
      <c r="C227" s="84" t="s">
        <v>10453</v>
      </c>
      <c r="D227" s="130">
        <v>30691</v>
      </c>
      <c r="E227" s="109">
        <v>917488177612</v>
      </c>
      <c r="F227" s="121" t="s">
        <v>10454</v>
      </c>
      <c r="G227" s="130"/>
      <c r="H227" s="128"/>
      <c r="I227" s="95" t="s">
        <v>10171</v>
      </c>
      <c r="J227" s="84">
        <v>5500</v>
      </c>
      <c r="K227" s="84">
        <f>3000+2500</f>
        <v>5500</v>
      </c>
      <c r="L227" s="84">
        <f t="shared" si="32"/>
        <v>0</v>
      </c>
      <c r="M227" s="156"/>
      <c r="N227" s="156">
        <v>4900</v>
      </c>
      <c r="O227" s="156">
        <f>2500+2400</f>
        <v>4900</v>
      </c>
      <c r="P227" s="156">
        <f t="shared" si="33"/>
        <v>0</v>
      </c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8" customHeight="1" x14ac:dyDescent="0.35">
      <c r="A228" s="138">
        <v>45250</v>
      </c>
      <c r="B228" s="128">
        <v>4394957123</v>
      </c>
      <c r="C228" s="84" t="s">
        <v>10455</v>
      </c>
      <c r="D228" s="130">
        <v>32528</v>
      </c>
      <c r="E228" s="109">
        <v>917992235737</v>
      </c>
      <c r="F228" s="147"/>
      <c r="G228" s="84"/>
      <c r="H228" s="128"/>
      <c r="I228" s="95" t="s">
        <v>10171</v>
      </c>
      <c r="J228" s="84">
        <v>5500</v>
      </c>
      <c r="K228" s="84">
        <f>3000+2500</f>
        <v>5500</v>
      </c>
      <c r="L228" s="84">
        <f t="shared" si="32"/>
        <v>0</v>
      </c>
      <c r="M228" s="156"/>
      <c r="N228" s="156">
        <v>4900</v>
      </c>
      <c r="O228" s="156">
        <f>2400+2500</f>
        <v>4900</v>
      </c>
      <c r="P228" s="156">
        <f t="shared" si="33"/>
        <v>0</v>
      </c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8" customHeight="1" x14ac:dyDescent="0.35">
      <c r="A229" s="138">
        <v>45189</v>
      </c>
      <c r="B229" s="128"/>
      <c r="C229" s="84" t="s">
        <v>10456</v>
      </c>
      <c r="D229" s="130">
        <v>20428</v>
      </c>
      <c r="E229" s="109">
        <v>919771550850</v>
      </c>
      <c r="F229" s="84" t="s">
        <v>10433</v>
      </c>
      <c r="G229" s="147"/>
      <c r="H229" s="199"/>
      <c r="I229" s="153" t="s">
        <v>10457</v>
      </c>
      <c r="J229" s="84">
        <v>2000</v>
      </c>
      <c r="K229" s="84">
        <v>1700</v>
      </c>
      <c r="L229" s="84">
        <f t="shared" si="32"/>
        <v>300</v>
      </c>
      <c r="M229" s="84"/>
      <c r="N229" s="84">
        <v>1800</v>
      </c>
      <c r="O229" s="15">
        <v>1800</v>
      </c>
      <c r="P229" s="15">
        <f t="shared" si="33"/>
        <v>0</v>
      </c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8" customHeight="1" x14ac:dyDescent="0.35">
      <c r="A230" s="138">
        <v>45189</v>
      </c>
      <c r="B230" s="128"/>
      <c r="C230" s="84" t="s">
        <v>10456</v>
      </c>
      <c r="D230" s="130">
        <v>20428</v>
      </c>
      <c r="E230" s="109">
        <v>919771550850</v>
      </c>
      <c r="F230" s="84" t="s">
        <v>10025</v>
      </c>
      <c r="G230" s="95"/>
      <c r="H230" s="128"/>
      <c r="I230" s="95" t="s">
        <v>10114</v>
      </c>
      <c r="J230" s="84">
        <v>1700</v>
      </c>
      <c r="K230" s="84">
        <v>1700</v>
      </c>
      <c r="L230" s="84">
        <f t="shared" si="32"/>
        <v>0</v>
      </c>
      <c r="M230" s="84"/>
      <c r="N230" s="84">
        <v>1300</v>
      </c>
      <c r="O230" s="15">
        <v>1300</v>
      </c>
      <c r="P230" s="15">
        <f t="shared" si="33"/>
        <v>0</v>
      </c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8" customHeight="1" x14ac:dyDescent="0.35">
      <c r="A231" s="138">
        <v>45189</v>
      </c>
      <c r="B231" s="128">
        <v>3652578623</v>
      </c>
      <c r="C231" s="84" t="s">
        <v>10458</v>
      </c>
      <c r="D231" s="130">
        <v>31550</v>
      </c>
      <c r="E231" s="109">
        <v>917033298239</v>
      </c>
      <c r="F231" s="84"/>
      <c r="G231" s="95"/>
      <c r="H231" s="128"/>
      <c r="I231" s="95" t="s">
        <v>10171</v>
      </c>
      <c r="J231" s="84">
        <v>5500</v>
      </c>
      <c r="K231" s="84">
        <f>3000+2500</f>
        <v>5500</v>
      </c>
      <c r="L231" s="84">
        <f t="shared" si="32"/>
        <v>0</v>
      </c>
      <c r="M231" s="15"/>
      <c r="N231" s="15">
        <v>4900</v>
      </c>
      <c r="O231" s="15">
        <f>2500+2400</f>
        <v>4900</v>
      </c>
      <c r="P231" s="15">
        <f t="shared" si="33"/>
        <v>0</v>
      </c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8" customHeight="1" x14ac:dyDescent="0.35">
      <c r="A232" s="138">
        <v>45250</v>
      </c>
      <c r="B232" s="128">
        <v>4394990923</v>
      </c>
      <c r="C232" s="84" t="s">
        <v>8011</v>
      </c>
      <c r="D232" s="130">
        <v>34949</v>
      </c>
      <c r="E232" s="109">
        <v>916260447345</v>
      </c>
      <c r="F232" s="84" t="s">
        <v>10375</v>
      </c>
      <c r="G232" s="130">
        <v>45307</v>
      </c>
      <c r="H232" s="128"/>
      <c r="I232" s="95" t="s">
        <v>10171</v>
      </c>
      <c r="J232" s="84">
        <v>5500</v>
      </c>
      <c r="K232" s="84">
        <f>3000+2500</f>
        <v>5500</v>
      </c>
      <c r="L232" s="84">
        <f t="shared" si="32"/>
        <v>0</v>
      </c>
      <c r="M232" s="156"/>
      <c r="N232" s="156">
        <v>4900</v>
      </c>
      <c r="O232" s="156">
        <f>2500+2400</f>
        <v>4900</v>
      </c>
      <c r="P232" s="156">
        <f t="shared" si="33"/>
        <v>0</v>
      </c>
      <c r="Q232" s="15"/>
      <c r="R232" s="15"/>
      <c r="S232" s="15">
        <f>4800+2500+1300</f>
        <v>8600</v>
      </c>
      <c r="T232" s="15"/>
      <c r="U232" s="15"/>
      <c r="V232" s="15"/>
      <c r="W232" s="15"/>
      <c r="X232" s="15"/>
      <c r="Y232" s="15"/>
      <c r="Z232" s="15"/>
      <c r="AA232" s="15"/>
    </row>
    <row r="233" spans="1:27" ht="18" customHeight="1" x14ac:dyDescent="0.35">
      <c r="A233" s="138">
        <v>45191</v>
      </c>
      <c r="B233" s="128"/>
      <c r="C233" s="84" t="s">
        <v>6056</v>
      </c>
      <c r="D233" s="130">
        <v>25933</v>
      </c>
      <c r="E233" s="109">
        <v>919570121221</v>
      </c>
      <c r="F233" s="84" t="s">
        <v>10394</v>
      </c>
      <c r="G233" s="95"/>
      <c r="H233" s="128"/>
      <c r="I233" s="95" t="s">
        <v>10459</v>
      </c>
      <c r="J233" s="84">
        <v>1700</v>
      </c>
      <c r="K233" s="84">
        <v>1700</v>
      </c>
      <c r="L233" s="84">
        <f t="shared" si="32"/>
        <v>0</v>
      </c>
      <c r="M233" s="84"/>
      <c r="N233" s="84">
        <v>1300</v>
      </c>
      <c r="O233" s="84">
        <v>1300</v>
      </c>
      <c r="P233" s="84">
        <f t="shared" si="33"/>
        <v>0</v>
      </c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s="147" customFormat="1" ht="18" customHeight="1" x14ac:dyDescent="0.35">
      <c r="A234" s="138">
        <v>45210</v>
      </c>
      <c r="B234" s="128"/>
      <c r="C234" s="84" t="s">
        <v>10460</v>
      </c>
      <c r="D234" s="130"/>
      <c r="E234" s="109">
        <v>8670225647</v>
      </c>
      <c r="F234" s="84" t="s">
        <v>99</v>
      </c>
      <c r="G234" s="130">
        <v>45286</v>
      </c>
      <c r="H234" s="128"/>
      <c r="I234" s="95" t="s">
        <v>10315</v>
      </c>
      <c r="J234" s="84">
        <v>1700</v>
      </c>
      <c r="K234" s="84">
        <v>1700</v>
      </c>
      <c r="L234" s="84">
        <f t="shared" si="32"/>
        <v>0</v>
      </c>
      <c r="M234" s="84"/>
      <c r="N234" s="84">
        <v>1200</v>
      </c>
      <c r="O234" s="84">
        <v>1200</v>
      </c>
      <c r="P234" s="84">
        <f t="shared" si="33"/>
        <v>0</v>
      </c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</row>
    <row r="235" spans="1:27" ht="18" customHeight="1" x14ac:dyDescent="0.35">
      <c r="A235" s="138">
        <v>45210</v>
      </c>
      <c r="B235" s="128">
        <v>3910254023</v>
      </c>
      <c r="C235" s="84" t="s">
        <v>10461</v>
      </c>
      <c r="D235" s="130"/>
      <c r="E235" s="109">
        <v>917209643556</v>
      </c>
      <c r="F235" s="84"/>
      <c r="G235" s="95"/>
      <c r="H235" s="128"/>
      <c r="I235" s="95" t="s">
        <v>10462</v>
      </c>
      <c r="J235" s="84">
        <v>1700</v>
      </c>
      <c r="K235" s="84">
        <v>1700</v>
      </c>
      <c r="L235" s="84">
        <f t="shared" si="32"/>
        <v>0</v>
      </c>
      <c r="M235" s="84"/>
      <c r="N235" s="84">
        <v>1300</v>
      </c>
      <c r="O235" s="84">
        <v>1300</v>
      </c>
      <c r="P235" s="84">
        <f t="shared" si="33"/>
        <v>0</v>
      </c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8" customHeight="1" x14ac:dyDescent="0.35">
      <c r="A236" s="128"/>
      <c r="B236" s="128"/>
      <c r="C236" s="84" t="s">
        <v>10463</v>
      </c>
      <c r="D236" s="130"/>
      <c r="E236" s="96">
        <v>919835932956</v>
      </c>
      <c r="F236" s="84"/>
      <c r="G236" s="95"/>
      <c r="H236" s="128"/>
      <c r="I236" s="95" t="s">
        <v>10464</v>
      </c>
      <c r="J236" s="84">
        <v>8200</v>
      </c>
      <c r="K236" s="84">
        <v>8200</v>
      </c>
      <c r="L236" s="84">
        <f t="shared" si="32"/>
        <v>0</v>
      </c>
      <c r="M236" s="84"/>
      <c r="N236" s="84">
        <v>8000</v>
      </c>
      <c r="O236" s="84">
        <v>8000</v>
      </c>
      <c r="P236" s="84">
        <f t="shared" si="33"/>
        <v>0</v>
      </c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8" customHeight="1" x14ac:dyDescent="0.35">
      <c r="A237" s="39"/>
      <c r="B237" s="39"/>
      <c r="C237" s="15"/>
      <c r="D237" s="87"/>
      <c r="E237" s="96">
        <v>917033298422</v>
      </c>
      <c r="F237" s="15"/>
      <c r="G237" s="38"/>
      <c r="H237" s="39"/>
      <c r="I237" s="38"/>
      <c r="J237" s="15"/>
      <c r="K237" s="15"/>
      <c r="L237" s="15">
        <f t="shared" si="32"/>
        <v>0</v>
      </c>
      <c r="M237" s="15"/>
      <c r="N237" s="15"/>
      <c r="O237" s="15"/>
      <c r="P237" s="15">
        <f t="shared" si="33"/>
        <v>0</v>
      </c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8" customHeight="1" x14ac:dyDescent="0.35">
      <c r="A238" s="128"/>
      <c r="B238" s="128"/>
      <c r="C238" s="84" t="s">
        <v>9862</v>
      </c>
      <c r="D238" s="130"/>
      <c r="E238" s="109">
        <v>917974928772</v>
      </c>
      <c r="F238" s="84"/>
      <c r="G238" s="95"/>
      <c r="H238" s="128"/>
      <c r="I238" s="95" t="s">
        <v>10465</v>
      </c>
      <c r="J238" s="84">
        <v>3000</v>
      </c>
      <c r="K238" s="84">
        <v>3000</v>
      </c>
      <c r="L238" s="84">
        <f t="shared" si="32"/>
        <v>0</v>
      </c>
      <c r="M238" s="84"/>
      <c r="N238" s="84">
        <v>2500</v>
      </c>
      <c r="O238" s="84">
        <v>2500</v>
      </c>
      <c r="P238" s="84">
        <f t="shared" si="33"/>
        <v>0</v>
      </c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s="147" customFormat="1" ht="18" customHeight="1" x14ac:dyDescent="0.35">
      <c r="A239" s="128"/>
      <c r="B239" s="128"/>
      <c r="C239" s="84" t="s">
        <v>10466</v>
      </c>
      <c r="D239" s="130">
        <v>24290</v>
      </c>
      <c r="E239" s="109">
        <v>919836372800</v>
      </c>
      <c r="F239" s="84"/>
      <c r="G239" s="95" t="s">
        <v>99</v>
      </c>
      <c r="H239" s="128"/>
      <c r="I239" s="95" t="s">
        <v>8168</v>
      </c>
      <c r="J239" s="84">
        <v>1700</v>
      </c>
      <c r="K239" s="84">
        <v>1700</v>
      </c>
      <c r="L239" s="84">
        <f t="shared" si="32"/>
        <v>0</v>
      </c>
      <c r="M239" s="84"/>
      <c r="N239" s="84">
        <v>1300</v>
      </c>
      <c r="O239" s="84">
        <v>1300</v>
      </c>
      <c r="P239" s="84">
        <f t="shared" si="33"/>
        <v>0</v>
      </c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</row>
    <row r="240" spans="1:27" ht="18" customHeight="1" x14ac:dyDescent="0.35">
      <c r="A240" s="29">
        <v>45262</v>
      </c>
      <c r="B240" s="39">
        <v>1404943624</v>
      </c>
      <c r="C240" s="15" t="s">
        <v>10467</v>
      </c>
      <c r="D240" s="87">
        <v>37257</v>
      </c>
      <c r="E240" s="96">
        <v>916203994148</v>
      </c>
      <c r="F240" s="15" t="s">
        <v>10375</v>
      </c>
      <c r="G240" s="87"/>
      <c r="H240" s="39" t="s">
        <v>10468</v>
      </c>
      <c r="I240" s="38" t="s">
        <v>10171</v>
      </c>
      <c r="J240" s="15">
        <v>5500</v>
      </c>
      <c r="K240" s="15">
        <f>2500+2000</f>
        <v>4500</v>
      </c>
      <c r="L240" s="15">
        <f t="shared" si="32"/>
        <v>1000</v>
      </c>
      <c r="M240" s="15"/>
      <c r="N240" s="15">
        <v>4800</v>
      </c>
      <c r="O240" s="15">
        <v>4800</v>
      </c>
      <c r="P240" s="15">
        <f t="shared" si="33"/>
        <v>0</v>
      </c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8" customHeight="1" x14ac:dyDescent="0.35">
      <c r="A241" s="138">
        <v>45262</v>
      </c>
      <c r="B241" s="128">
        <v>4540977623</v>
      </c>
      <c r="C241" s="84" t="s">
        <v>10469</v>
      </c>
      <c r="D241" s="130">
        <v>27030</v>
      </c>
      <c r="E241" s="109">
        <v>918804259165</v>
      </c>
      <c r="F241" s="84" t="s">
        <v>10470</v>
      </c>
      <c r="G241" s="130" t="s">
        <v>10471</v>
      </c>
      <c r="H241" s="128"/>
      <c r="I241" s="95" t="s">
        <v>10171</v>
      </c>
      <c r="J241" s="84">
        <f>5500+200</f>
        <v>5700</v>
      </c>
      <c r="K241" s="84">
        <f>2000+200+3500</f>
        <v>5700</v>
      </c>
      <c r="L241" s="84">
        <f t="shared" si="32"/>
        <v>0</v>
      </c>
      <c r="M241" s="15"/>
      <c r="N241" s="15">
        <v>5000</v>
      </c>
      <c r="O241" s="15">
        <f>2500+2500</f>
        <v>5000</v>
      </c>
      <c r="P241" s="15">
        <f t="shared" si="33"/>
        <v>0</v>
      </c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8" customHeight="1" x14ac:dyDescent="0.35">
      <c r="A242" s="138">
        <v>45263</v>
      </c>
      <c r="B242" s="185">
        <v>498926624</v>
      </c>
      <c r="C242" s="84" t="s">
        <v>10472</v>
      </c>
      <c r="D242" s="130">
        <v>31177</v>
      </c>
      <c r="E242" s="109">
        <v>917209444760</v>
      </c>
      <c r="F242" s="84" t="s">
        <v>10470</v>
      </c>
      <c r="G242" s="130"/>
      <c r="H242" s="128"/>
      <c r="I242" s="95" t="s">
        <v>10171</v>
      </c>
      <c r="J242" s="84">
        <v>5500</v>
      </c>
      <c r="K242" s="84">
        <f>3000+2500</f>
        <v>5500</v>
      </c>
      <c r="L242" s="84">
        <f t="shared" si="32"/>
        <v>0</v>
      </c>
      <c r="M242" s="15"/>
      <c r="N242" s="15">
        <v>4900</v>
      </c>
      <c r="O242" s="15">
        <f>2500+2400</f>
        <v>4900</v>
      </c>
      <c r="P242" s="15">
        <f t="shared" si="33"/>
        <v>0</v>
      </c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8" customHeight="1" x14ac:dyDescent="0.35">
      <c r="A243" s="29">
        <v>45283</v>
      </c>
      <c r="B243" s="39">
        <v>4817857323</v>
      </c>
      <c r="C243" s="15" t="s">
        <v>10473</v>
      </c>
      <c r="D243" s="87">
        <v>32217</v>
      </c>
      <c r="E243" s="96">
        <v>917033298422</v>
      </c>
      <c r="F243" s="15" t="s">
        <v>10474</v>
      </c>
      <c r="G243" s="87">
        <v>45325</v>
      </c>
      <c r="H243" s="39" t="s">
        <v>10475</v>
      </c>
      <c r="I243" s="38" t="s">
        <v>10171</v>
      </c>
      <c r="J243" s="15">
        <v>5500</v>
      </c>
      <c r="K243" s="15">
        <f>3000+2500</f>
        <v>5500</v>
      </c>
      <c r="L243" s="15">
        <f t="shared" si="32"/>
        <v>0</v>
      </c>
      <c r="M243" s="15"/>
      <c r="N243" s="15">
        <v>4900</v>
      </c>
      <c r="O243" s="15">
        <f>2500+2400</f>
        <v>4900</v>
      </c>
      <c r="P243" s="15">
        <f t="shared" si="33"/>
        <v>0</v>
      </c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s="167" customFormat="1" ht="18" customHeight="1" x14ac:dyDescent="0.35">
      <c r="A244" s="201">
        <v>45294</v>
      </c>
      <c r="B244" s="202">
        <v>43094424</v>
      </c>
      <c r="C244" s="163" t="s">
        <v>5868</v>
      </c>
      <c r="D244" s="203">
        <v>38579</v>
      </c>
      <c r="E244" s="165">
        <v>918210945861</v>
      </c>
      <c r="F244" s="163" t="s">
        <v>10197</v>
      </c>
      <c r="G244" s="164">
        <v>45342</v>
      </c>
      <c r="H244" s="180"/>
      <c r="I244" s="166" t="s">
        <v>10171</v>
      </c>
      <c r="J244" s="163">
        <v>5500</v>
      </c>
      <c r="K244" s="163">
        <f>3000+2500</f>
        <v>5500</v>
      </c>
      <c r="L244" s="163">
        <f t="shared" si="32"/>
        <v>0</v>
      </c>
      <c r="M244" s="163"/>
      <c r="N244" s="163">
        <v>4800</v>
      </c>
      <c r="O244" s="163">
        <f>2500+2300</f>
        <v>4800</v>
      </c>
      <c r="P244" s="163">
        <f t="shared" si="33"/>
        <v>0</v>
      </c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</row>
    <row r="245" spans="1:27" ht="18" customHeight="1" x14ac:dyDescent="0.35">
      <c r="A245" s="29">
        <v>45324</v>
      </c>
      <c r="B245" s="39">
        <v>426036024</v>
      </c>
      <c r="C245" s="15" t="s">
        <v>10476</v>
      </c>
      <c r="D245" s="87">
        <v>25522</v>
      </c>
      <c r="E245" s="96">
        <v>918603112961</v>
      </c>
      <c r="F245" s="15" t="s">
        <v>10477</v>
      </c>
      <c r="G245" s="87">
        <v>45355</v>
      </c>
      <c r="H245" s="39" t="s">
        <v>10478</v>
      </c>
      <c r="I245" s="38" t="s">
        <v>10171</v>
      </c>
      <c r="J245" s="15">
        <f>5000+200</f>
        <v>5200</v>
      </c>
      <c r="K245" s="15">
        <v>3000</v>
      </c>
      <c r="L245" s="15">
        <f t="shared" si="32"/>
        <v>2200</v>
      </c>
      <c r="M245" s="15"/>
      <c r="N245" s="15">
        <v>4800</v>
      </c>
      <c r="O245" s="15">
        <v>2500</v>
      </c>
      <c r="P245" s="15">
        <f t="shared" si="33"/>
        <v>2300</v>
      </c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s="167" customFormat="1" ht="18" customHeight="1" x14ac:dyDescent="0.35">
      <c r="A246" s="162">
        <v>45326</v>
      </c>
      <c r="B246" s="180">
        <v>1363035124</v>
      </c>
      <c r="C246" s="163" t="s">
        <v>9270</v>
      </c>
      <c r="D246" s="164">
        <v>28550</v>
      </c>
      <c r="E246" s="165">
        <v>919470030023</v>
      </c>
      <c r="F246" s="163" t="s">
        <v>10375</v>
      </c>
      <c r="G246" s="166"/>
      <c r="H246" s="180"/>
      <c r="I246" s="166" t="s">
        <v>10171</v>
      </c>
      <c r="J246" s="163">
        <f>5000+200</f>
        <v>5200</v>
      </c>
      <c r="K246" s="163">
        <f>2500+2700</f>
        <v>5200</v>
      </c>
      <c r="L246" s="163">
        <f t="shared" si="32"/>
        <v>0</v>
      </c>
      <c r="M246" s="163"/>
      <c r="N246" s="163">
        <v>4800</v>
      </c>
      <c r="O246" s="163">
        <v>4800</v>
      </c>
      <c r="P246" s="163">
        <f t="shared" si="33"/>
        <v>0</v>
      </c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</row>
    <row r="247" spans="1:27" ht="18" customHeight="1" x14ac:dyDescent="0.35">
      <c r="A247" s="188">
        <v>45331</v>
      </c>
      <c r="B247" s="178"/>
      <c r="C247" s="86" t="s">
        <v>10479</v>
      </c>
      <c r="D247" s="132">
        <v>29620</v>
      </c>
      <c r="E247" s="127">
        <v>917903833040</v>
      </c>
      <c r="F247" s="86" t="s">
        <v>10480</v>
      </c>
      <c r="G247" s="94"/>
      <c r="H247" s="178"/>
      <c r="I247" s="94" t="s">
        <v>10481</v>
      </c>
      <c r="J247" s="86">
        <v>5700</v>
      </c>
      <c r="K247" s="86">
        <v>5700</v>
      </c>
      <c r="L247" s="15">
        <f t="shared" si="32"/>
        <v>0</v>
      </c>
      <c r="M247" s="15"/>
      <c r="N247" s="15">
        <v>5200</v>
      </c>
      <c r="O247" s="15">
        <v>5200</v>
      </c>
      <c r="P247" s="15">
        <f t="shared" si="33"/>
        <v>0</v>
      </c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8" customHeight="1" x14ac:dyDescent="0.35">
      <c r="A248" s="138">
        <v>45334</v>
      </c>
      <c r="B248" s="128">
        <v>1446477624</v>
      </c>
      <c r="C248" s="84" t="s">
        <v>5026</v>
      </c>
      <c r="D248" s="130">
        <v>37880</v>
      </c>
      <c r="E248" s="109">
        <v>917488377105</v>
      </c>
      <c r="F248" s="84" t="s">
        <v>10482</v>
      </c>
      <c r="G248" s="95"/>
      <c r="H248" s="128"/>
      <c r="I248" s="95" t="s">
        <v>10171</v>
      </c>
      <c r="J248" s="84">
        <v>5300</v>
      </c>
      <c r="K248" s="84">
        <f>2500+2500+300</f>
        <v>5300</v>
      </c>
      <c r="L248" s="84">
        <f t="shared" si="32"/>
        <v>0</v>
      </c>
      <c r="M248" s="33" t="s">
        <v>10483</v>
      </c>
      <c r="N248" s="15">
        <v>4800</v>
      </c>
      <c r="O248" s="15">
        <f>2500+2300</f>
        <v>4800</v>
      </c>
      <c r="P248" s="15">
        <f t="shared" si="33"/>
        <v>0</v>
      </c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8" customHeight="1" x14ac:dyDescent="0.35">
      <c r="A249" s="178"/>
      <c r="B249" s="178">
        <v>609292924</v>
      </c>
      <c r="C249" s="86" t="s">
        <v>10484</v>
      </c>
      <c r="D249" s="132">
        <v>20403</v>
      </c>
      <c r="E249" s="127">
        <v>918340587671</v>
      </c>
      <c r="F249" s="86"/>
      <c r="G249" s="94" t="s">
        <v>10485</v>
      </c>
      <c r="H249" s="178"/>
      <c r="I249" s="94" t="s">
        <v>10033</v>
      </c>
      <c r="J249" s="86">
        <v>1600</v>
      </c>
      <c r="K249" s="86">
        <v>1600</v>
      </c>
      <c r="L249" s="15">
        <f t="shared" si="32"/>
        <v>0</v>
      </c>
      <c r="M249" s="15"/>
      <c r="N249" s="15">
        <v>1300</v>
      </c>
      <c r="O249" s="15">
        <f>300+1000</f>
        <v>1300</v>
      </c>
      <c r="P249" s="15">
        <f t="shared" si="33"/>
        <v>0</v>
      </c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s="167" customFormat="1" ht="18" customHeight="1" x14ac:dyDescent="0.35">
      <c r="A250" s="162">
        <v>45341</v>
      </c>
      <c r="B250" s="180"/>
      <c r="C250" s="163" t="s">
        <v>10486</v>
      </c>
      <c r="D250" s="164">
        <v>27080</v>
      </c>
      <c r="E250" s="165">
        <v>917739229720</v>
      </c>
      <c r="F250" s="163"/>
      <c r="G250" s="163" t="s">
        <v>10487</v>
      </c>
      <c r="H250" s="581"/>
      <c r="I250" s="166" t="s">
        <v>10033</v>
      </c>
      <c r="J250" s="163">
        <v>1700</v>
      </c>
      <c r="K250" s="163">
        <v>1700</v>
      </c>
      <c r="L250" s="163">
        <f t="shared" si="32"/>
        <v>0</v>
      </c>
      <c r="M250" s="163"/>
      <c r="N250" s="163">
        <v>1300</v>
      </c>
      <c r="O250" s="163">
        <v>1300</v>
      </c>
      <c r="P250" s="163">
        <f t="shared" si="33"/>
        <v>0</v>
      </c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</row>
    <row r="251" spans="1:27" ht="18" customHeight="1" x14ac:dyDescent="0.35">
      <c r="A251" s="29">
        <v>45343</v>
      </c>
      <c r="B251" s="39">
        <v>677773924</v>
      </c>
      <c r="C251" s="15" t="s">
        <v>10488</v>
      </c>
      <c r="D251" s="87">
        <v>34841</v>
      </c>
      <c r="E251" s="96">
        <v>9430745575</v>
      </c>
      <c r="F251" s="15" t="s">
        <v>10197</v>
      </c>
      <c r="G251" s="38"/>
      <c r="H251" s="39" t="s">
        <v>10489</v>
      </c>
      <c r="I251" s="38" t="s">
        <v>10171</v>
      </c>
      <c r="J251" s="15">
        <f>5000+300</f>
        <v>5300</v>
      </c>
      <c r="K251" s="15">
        <f>2500+2800</f>
        <v>5300</v>
      </c>
      <c r="L251" s="15">
        <f t="shared" si="32"/>
        <v>0</v>
      </c>
      <c r="M251" s="15"/>
      <c r="N251" s="15">
        <v>4800</v>
      </c>
      <c r="O251" s="15">
        <f>2000+2800</f>
        <v>4800</v>
      </c>
      <c r="P251" s="15">
        <f t="shared" si="33"/>
        <v>0</v>
      </c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8" customHeight="1" x14ac:dyDescent="0.35">
      <c r="A252" s="29">
        <v>45343</v>
      </c>
      <c r="B252" s="39">
        <v>677913424</v>
      </c>
      <c r="C252" s="15" t="s">
        <v>10490</v>
      </c>
      <c r="D252" s="87">
        <v>35115</v>
      </c>
      <c r="E252" s="96">
        <v>919162187354</v>
      </c>
      <c r="F252" s="15" t="s">
        <v>10197</v>
      </c>
      <c r="G252" s="38"/>
      <c r="H252" s="39" t="s">
        <v>10489</v>
      </c>
      <c r="I252" s="38" t="s">
        <v>10171</v>
      </c>
      <c r="J252" s="15">
        <f>5000+300</f>
        <v>5300</v>
      </c>
      <c r="K252" s="15">
        <f>2500+2800</f>
        <v>5300</v>
      </c>
      <c r="L252" s="15">
        <f t="shared" si="32"/>
        <v>0</v>
      </c>
      <c r="M252" s="15"/>
      <c r="N252" s="15">
        <v>4800</v>
      </c>
      <c r="O252" s="15">
        <f>2000+2800</f>
        <v>4800</v>
      </c>
      <c r="P252" s="15">
        <f t="shared" si="33"/>
        <v>0</v>
      </c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s="167" customFormat="1" ht="18" customHeight="1" x14ac:dyDescent="0.35">
      <c r="A253" s="162">
        <v>45419</v>
      </c>
      <c r="B253" s="180">
        <v>1633906324</v>
      </c>
      <c r="C253" s="163" t="s">
        <v>6043</v>
      </c>
      <c r="D253" s="164">
        <v>36161</v>
      </c>
      <c r="E253" s="165">
        <v>917667701055</v>
      </c>
      <c r="F253" s="163" t="s">
        <v>10491</v>
      </c>
      <c r="G253" s="166"/>
      <c r="H253" s="180"/>
      <c r="I253" s="166" t="s">
        <v>10171</v>
      </c>
      <c r="J253" s="163">
        <f>5000+300</f>
        <v>5300</v>
      </c>
      <c r="K253" s="163">
        <f>5000+300</f>
        <v>5300</v>
      </c>
      <c r="L253" s="163">
        <f t="shared" si="32"/>
        <v>0</v>
      </c>
      <c r="M253" s="163"/>
      <c r="N253" s="163">
        <f>4400+400</f>
        <v>4800</v>
      </c>
      <c r="O253" s="163">
        <f>2500+2300</f>
        <v>4800</v>
      </c>
      <c r="P253" s="163">
        <f t="shared" si="33"/>
        <v>0</v>
      </c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</row>
    <row r="254" spans="1:27" s="167" customFormat="1" ht="18" customHeight="1" x14ac:dyDescent="0.35">
      <c r="A254" s="162">
        <v>45358</v>
      </c>
      <c r="B254" s="180"/>
      <c r="C254" s="163" t="s">
        <v>10492</v>
      </c>
      <c r="D254" s="164">
        <v>25204</v>
      </c>
      <c r="E254" s="165">
        <v>919431330169</v>
      </c>
      <c r="F254" s="163">
        <v>82100236593</v>
      </c>
      <c r="G254" s="166"/>
      <c r="H254" s="582"/>
      <c r="I254" s="166" t="s">
        <v>10493</v>
      </c>
      <c r="J254" s="163">
        <v>1600</v>
      </c>
      <c r="K254" s="163">
        <v>1600</v>
      </c>
      <c r="L254" s="163">
        <f t="shared" si="32"/>
        <v>0</v>
      </c>
      <c r="M254" s="163"/>
      <c r="N254" s="163">
        <v>1350</v>
      </c>
      <c r="O254" s="163">
        <v>1350</v>
      </c>
      <c r="P254" s="163">
        <f t="shared" si="33"/>
        <v>0</v>
      </c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</row>
    <row r="255" spans="1:27" ht="18" customHeight="1" x14ac:dyDescent="0.35">
      <c r="A255" s="128" t="s">
        <v>10494</v>
      </c>
      <c r="B255" s="128"/>
      <c r="C255" s="84" t="s">
        <v>8071</v>
      </c>
      <c r="D255" s="130">
        <v>23877</v>
      </c>
      <c r="E255" s="109">
        <v>919431568317</v>
      </c>
      <c r="F255" s="84"/>
      <c r="G255" s="95"/>
      <c r="H255" s="128"/>
      <c r="I255" s="95" t="s">
        <v>10495</v>
      </c>
      <c r="J255" s="84">
        <v>1500</v>
      </c>
      <c r="K255" s="84">
        <v>1500</v>
      </c>
      <c r="L255" s="84">
        <f t="shared" si="32"/>
        <v>0</v>
      </c>
      <c r="M255" s="15"/>
      <c r="N255" s="15">
        <v>1300</v>
      </c>
      <c r="O255" s="15">
        <v>1300</v>
      </c>
      <c r="P255" s="15">
        <f t="shared" si="33"/>
        <v>0</v>
      </c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s="167" customFormat="1" ht="18" customHeight="1" x14ac:dyDescent="0.35">
      <c r="A256" s="162">
        <v>45432</v>
      </c>
      <c r="B256" s="180">
        <v>2981392224</v>
      </c>
      <c r="C256" s="163" t="s">
        <v>502</v>
      </c>
      <c r="D256" s="164">
        <v>29833</v>
      </c>
      <c r="E256" s="165">
        <v>918809128433</v>
      </c>
      <c r="F256" s="163" t="s">
        <v>10474</v>
      </c>
      <c r="G256" s="166" t="s">
        <v>10496</v>
      </c>
      <c r="H256" s="180"/>
      <c r="I256" s="166" t="s">
        <v>7792</v>
      </c>
      <c r="J256" s="163">
        <v>5500</v>
      </c>
      <c r="K256" s="163">
        <f>3000+2500</f>
        <v>5500</v>
      </c>
      <c r="L256" s="163">
        <f t="shared" si="32"/>
        <v>0</v>
      </c>
      <c r="M256" s="163"/>
      <c r="N256" s="163">
        <v>4800</v>
      </c>
      <c r="O256" s="163">
        <f>2500+2300</f>
        <v>4800</v>
      </c>
      <c r="P256" s="163">
        <f t="shared" si="33"/>
        <v>0</v>
      </c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</row>
    <row r="257" spans="1:27" s="167" customFormat="1" ht="18" customHeight="1" x14ac:dyDescent="0.35">
      <c r="A257" s="162">
        <v>45432</v>
      </c>
      <c r="B257" s="180"/>
      <c r="C257" s="163" t="s">
        <v>6352</v>
      </c>
      <c r="D257" s="164">
        <v>26799</v>
      </c>
      <c r="E257" s="165">
        <v>917765917592</v>
      </c>
      <c r="F257" s="163"/>
      <c r="G257" s="166"/>
      <c r="H257" s="180"/>
      <c r="I257" s="166" t="s">
        <v>8168</v>
      </c>
      <c r="J257" s="163">
        <f>1700+1100+1100+300</f>
        <v>4200</v>
      </c>
      <c r="K257" s="163">
        <f>1700+2200+300</f>
        <v>4200</v>
      </c>
      <c r="L257" s="163">
        <f t="shared" si="32"/>
        <v>0</v>
      </c>
      <c r="M257" s="163"/>
      <c r="N257" s="163">
        <v>4000</v>
      </c>
      <c r="O257" s="163">
        <v>4000</v>
      </c>
      <c r="P257" s="163">
        <f t="shared" si="33"/>
        <v>0</v>
      </c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</row>
    <row r="258" spans="1:27" s="167" customFormat="1" ht="18" customHeight="1" x14ac:dyDescent="0.35">
      <c r="A258" s="162">
        <v>45434</v>
      </c>
      <c r="B258" s="180"/>
      <c r="C258" s="163" t="s">
        <v>10497</v>
      </c>
      <c r="D258" s="164">
        <v>26868</v>
      </c>
      <c r="E258" s="165">
        <v>7739925589</v>
      </c>
      <c r="F258" s="163"/>
      <c r="G258" s="166"/>
      <c r="H258" s="180"/>
      <c r="I258" s="166" t="s">
        <v>8168</v>
      </c>
      <c r="J258" s="163">
        <f>1100+1700</f>
        <v>2800</v>
      </c>
      <c r="K258" s="163">
        <v>2800</v>
      </c>
      <c r="L258" s="163">
        <f t="shared" si="32"/>
        <v>0</v>
      </c>
      <c r="M258" s="163"/>
      <c r="N258" s="163">
        <v>1300</v>
      </c>
      <c r="O258" s="163">
        <v>1300</v>
      </c>
      <c r="P258" s="163">
        <f t="shared" si="33"/>
        <v>0</v>
      </c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</row>
    <row r="259" spans="1:27" s="167" customFormat="1" ht="18" customHeight="1" x14ac:dyDescent="0.35">
      <c r="A259" s="180"/>
      <c r="B259" s="180">
        <v>2976590024</v>
      </c>
      <c r="C259" s="163" t="s">
        <v>7147</v>
      </c>
      <c r="D259" s="164">
        <v>38205</v>
      </c>
      <c r="E259" s="165"/>
      <c r="F259" s="163"/>
      <c r="G259" s="166"/>
      <c r="H259" s="180"/>
      <c r="I259" s="166" t="s">
        <v>10171</v>
      </c>
      <c r="J259" s="163">
        <v>4800</v>
      </c>
      <c r="K259" s="163">
        <v>4800</v>
      </c>
      <c r="L259" s="163">
        <f t="shared" si="32"/>
        <v>0</v>
      </c>
      <c r="M259" s="163"/>
      <c r="N259" s="163">
        <v>4800</v>
      </c>
      <c r="O259" s="163">
        <f>2000+1700+1100</f>
        <v>4800</v>
      </c>
      <c r="P259" s="163">
        <f t="shared" si="33"/>
        <v>0</v>
      </c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</row>
    <row r="260" spans="1:27" s="167" customFormat="1" ht="18" customHeight="1" x14ac:dyDescent="0.35">
      <c r="A260" s="162">
        <v>45442</v>
      </c>
      <c r="B260" s="180"/>
      <c r="C260" s="163" t="s">
        <v>10498</v>
      </c>
      <c r="D260" s="164"/>
      <c r="E260" s="165">
        <v>919693859539</v>
      </c>
      <c r="F260" s="163"/>
      <c r="G260" s="166"/>
      <c r="H260" s="180"/>
      <c r="I260" s="166" t="s">
        <v>10186</v>
      </c>
      <c r="J260" s="163">
        <v>1700</v>
      </c>
      <c r="K260" s="163">
        <v>1700</v>
      </c>
      <c r="L260" s="163">
        <f t="shared" si="32"/>
        <v>0</v>
      </c>
      <c r="M260" s="163"/>
      <c r="N260" s="163">
        <v>1300</v>
      </c>
      <c r="O260" s="163">
        <v>1300</v>
      </c>
      <c r="P260" s="163">
        <f t="shared" si="33"/>
        <v>0</v>
      </c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</row>
    <row r="261" spans="1:27" s="167" customFormat="1" ht="18" customHeight="1" x14ac:dyDescent="0.35">
      <c r="A261" s="180"/>
      <c r="B261" s="180"/>
      <c r="C261" s="163" t="s">
        <v>10499</v>
      </c>
      <c r="D261" s="164">
        <v>25369</v>
      </c>
      <c r="E261" s="165">
        <v>918252433937</v>
      </c>
      <c r="F261" s="163"/>
      <c r="G261" s="166"/>
      <c r="H261" s="180"/>
      <c r="I261" s="166" t="s">
        <v>10500</v>
      </c>
      <c r="J261" s="163">
        <v>3000</v>
      </c>
      <c r="K261" s="163">
        <v>3000</v>
      </c>
      <c r="L261" s="163">
        <f t="shared" si="32"/>
        <v>0</v>
      </c>
      <c r="M261" s="163"/>
      <c r="N261" s="163">
        <v>2700</v>
      </c>
      <c r="O261" s="163">
        <v>2700</v>
      </c>
      <c r="P261" s="163">
        <f t="shared" si="33"/>
        <v>0</v>
      </c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</row>
    <row r="262" spans="1:27" ht="18" customHeight="1" x14ac:dyDescent="0.35">
      <c r="A262" s="29">
        <v>45443</v>
      </c>
      <c r="B262" s="39">
        <v>3645723324</v>
      </c>
      <c r="C262" s="190" t="s">
        <v>10501</v>
      </c>
      <c r="D262" s="87">
        <v>38395</v>
      </c>
      <c r="E262" s="96">
        <v>917482994642</v>
      </c>
      <c r="F262" s="15" t="s">
        <v>10212</v>
      </c>
      <c r="G262" s="38"/>
      <c r="H262" s="39"/>
      <c r="I262" s="38" t="s">
        <v>10171</v>
      </c>
      <c r="J262" s="15">
        <v>5500</v>
      </c>
      <c r="K262" s="15">
        <f>2000+2500</f>
        <v>4500</v>
      </c>
      <c r="L262" s="15">
        <f t="shared" si="32"/>
        <v>1000</v>
      </c>
      <c r="M262" s="15"/>
      <c r="N262" s="15">
        <v>4800</v>
      </c>
      <c r="O262" s="15">
        <f>2000+2800</f>
        <v>4800</v>
      </c>
      <c r="P262" s="15">
        <f t="shared" si="33"/>
        <v>0</v>
      </c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8" customHeight="1" x14ac:dyDescent="0.35">
      <c r="A263" s="29">
        <v>45450</v>
      </c>
      <c r="B263" s="128">
        <v>2052338224</v>
      </c>
      <c r="C263" s="84" t="s">
        <v>10502</v>
      </c>
      <c r="D263" s="130">
        <v>38665</v>
      </c>
      <c r="E263" s="109">
        <v>919113414940</v>
      </c>
      <c r="F263" s="84" t="s">
        <v>99</v>
      </c>
      <c r="G263" s="95"/>
      <c r="H263" s="39"/>
      <c r="I263" s="38" t="s">
        <v>10171</v>
      </c>
      <c r="J263" s="15">
        <v>5500</v>
      </c>
      <c r="K263" s="15">
        <f>3000+2500</f>
        <v>5500</v>
      </c>
      <c r="L263" s="15">
        <f t="shared" si="32"/>
        <v>0</v>
      </c>
      <c r="M263" s="15"/>
      <c r="N263" s="15">
        <v>4800</v>
      </c>
      <c r="O263" s="15">
        <v>4800</v>
      </c>
      <c r="P263" s="15">
        <f t="shared" si="33"/>
        <v>0</v>
      </c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s="167" customFormat="1" ht="18" customHeight="1" x14ac:dyDescent="0.35">
      <c r="A264" s="162">
        <v>45464</v>
      </c>
      <c r="B264" s="180"/>
      <c r="C264" s="163" t="s">
        <v>10307</v>
      </c>
      <c r="D264" s="164"/>
      <c r="E264" s="165">
        <v>919199299448</v>
      </c>
      <c r="F264" s="163"/>
      <c r="G264" s="166"/>
      <c r="H264" s="180"/>
      <c r="I264" s="166" t="s">
        <v>10503</v>
      </c>
      <c r="J264" s="163">
        <v>5700</v>
      </c>
      <c r="K264" s="163">
        <v>5700</v>
      </c>
      <c r="L264" s="163">
        <f t="shared" si="32"/>
        <v>0</v>
      </c>
      <c r="M264" s="163"/>
      <c r="N264" s="163">
        <v>5200</v>
      </c>
      <c r="O264" s="163">
        <v>5200</v>
      </c>
      <c r="P264" s="163">
        <f t="shared" si="33"/>
        <v>0</v>
      </c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</row>
    <row r="265" spans="1:27" ht="18" customHeight="1" x14ac:dyDescent="0.35">
      <c r="A265" s="162">
        <v>45471</v>
      </c>
      <c r="B265" s="180">
        <v>3477162524</v>
      </c>
      <c r="C265" s="163" t="s">
        <v>8152</v>
      </c>
      <c r="D265" s="164">
        <v>38643</v>
      </c>
      <c r="E265" s="165">
        <v>918434671734</v>
      </c>
      <c r="F265" s="163"/>
      <c r="G265" s="166"/>
      <c r="H265" s="180"/>
      <c r="I265" s="166" t="s">
        <v>10171</v>
      </c>
      <c r="J265" s="163">
        <v>5500</v>
      </c>
      <c r="K265" s="163">
        <f>3000+2500</f>
        <v>5500</v>
      </c>
      <c r="L265" s="163">
        <f t="shared" si="32"/>
        <v>0</v>
      </c>
      <c r="M265" s="163"/>
      <c r="N265" s="163">
        <v>4800</v>
      </c>
      <c r="O265" s="163">
        <f>2500+2300</f>
        <v>4800</v>
      </c>
      <c r="P265" s="163">
        <f t="shared" si="33"/>
        <v>0</v>
      </c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8" customHeight="1" x14ac:dyDescent="0.35">
      <c r="A266" s="138">
        <v>45487</v>
      </c>
      <c r="B266" s="199">
        <v>2581493624</v>
      </c>
      <c r="C266" s="84" t="s">
        <v>10504</v>
      </c>
      <c r="D266" s="130">
        <v>33089</v>
      </c>
      <c r="E266" s="109">
        <v>917004771731</v>
      </c>
      <c r="F266" s="84"/>
      <c r="G266" s="95" t="s">
        <v>10505</v>
      </c>
      <c r="H266" s="128"/>
      <c r="I266" s="95" t="s">
        <v>10171</v>
      </c>
      <c r="J266" s="84">
        <v>5500</v>
      </c>
      <c r="K266" s="84">
        <f>2500+3000</f>
        <v>5500</v>
      </c>
      <c r="L266" s="84">
        <f t="shared" si="32"/>
        <v>0</v>
      </c>
      <c r="M266" s="15"/>
      <c r="N266" s="15">
        <v>4800</v>
      </c>
      <c r="O266" s="15">
        <f>2500+800+1500</f>
        <v>4800</v>
      </c>
      <c r="P266" s="15">
        <f t="shared" si="33"/>
        <v>0</v>
      </c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s="167" customFormat="1" ht="18" customHeight="1" x14ac:dyDescent="0.35">
      <c r="A267" s="162">
        <v>45559</v>
      </c>
      <c r="B267" s="180">
        <v>2589224524</v>
      </c>
      <c r="C267" s="163" t="s">
        <v>10506</v>
      </c>
      <c r="D267" s="164">
        <v>37840</v>
      </c>
      <c r="E267" s="165">
        <v>917481012808</v>
      </c>
      <c r="F267" s="163" t="s">
        <v>10507</v>
      </c>
      <c r="G267" s="166" t="s">
        <v>10508</v>
      </c>
      <c r="H267" s="180"/>
      <c r="I267" s="166" t="s">
        <v>10171</v>
      </c>
      <c r="J267" s="163">
        <v>5500</v>
      </c>
      <c r="K267" s="163">
        <f>3000+2500</f>
        <v>5500</v>
      </c>
      <c r="L267" s="163">
        <f t="shared" si="32"/>
        <v>0</v>
      </c>
      <c r="M267" s="163"/>
      <c r="N267" s="163">
        <v>4800</v>
      </c>
      <c r="O267" s="163">
        <f>2500+2300</f>
        <v>4800</v>
      </c>
      <c r="P267" s="163">
        <f t="shared" si="33"/>
        <v>0</v>
      </c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</row>
    <row r="268" spans="1:27" ht="18" customHeight="1" x14ac:dyDescent="0.35">
      <c r="A268" s="39"/>
      <c r="B268" s="39"/>
      <c r="C268" s="15" t="s">
        <v>10509</v>
      </c>
      <c r="D268" s="87"/>
      <c r="E268" s="96">
        <v>919573395115</v>
      </c>
      <c r="F268" s="15"/>
      <c r="G268" s="38"/>
      <c r="H268" s="39"/>
      <c r="I268" s="38" t="s">
        <v>10399</v>
      </c>
      <c r="J268" s="15">
        <v>2800</v>
      </c>
      <c r="K268" s="15">
        <v>2800</v>
      </c>
      <c r="L268" s="15">
        <f t="shared" si="32"/>
        <v>0</v>
      </c>
      <c r="M268" s="15"/>
      <c r="N268" s="15">
        <v>2400</v>
      </c>
      <c r="O268" s="15">
        <v>2400</v>
      </c>
      <c r="P268" s="15">
        <f t="shared" si="33"/>
        <v>0</v>
      </c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8" customHeight="1" x14ac:dyDescent="0.35">
      <c r="A269" s="29">
        <v>45508</v>
      </c>
      <c r="B269" s="39"/>
      <c r="C269" s="15" t="s">
        <v>10510</v>
      </c>
      <c r="D269" s="87">
        <v>27250</v>
      </c>
      <c r="E269" s="96">
        <v>919199171664</v>
      </c>
      <c r="F269" s="15"/>
      <c r="G269" s="38"/>
      <c r="H269" s="39"/>
      <c r="I269" s="38" t="s">
        <v>10114</v>
      </c>
      <c r="J269" s="15">
        <v>1700</v>
      </c>
      <c r="K269" s="15">
        <v>1700</v>
      </c>
      <c r="L269" s="15">
        <f t="shared" si="32"/>
        <v>0</v>
      </c>
      <c r="M269" s="15"/>
      <c r="N269" s="15">
        <v>1300</v>
      </c>
      <c r="O269" s="15">
        <v>1300</v>
      </c>
      <c r="P269" s="15">
        <f t="shared" si="33"/>
        <v>0</v>
      </c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8" customHeight="1" x14ac:dyDescent="0.35">
      <c r="A270" s="128"/>
      <c r="B270" s="128"/>
      <c r="C270" s="84" t="s">
        <v>10511</v>
      </c>
      <c r="D270" s="130">
        <v>23062</v>
      </c>
      <c r="E270" s="95">
        <v>7294164978</v>
      </c>
      <c r="F270" s="84"/>
      <c r="G270" s="95"/>
      <c r="H270" s="128"/>
      <c r="I270" s="95" t="s">
        <v>10114</v>
      </c>
      <c r="J270" s="84">
        <v>1700</v>
      </c>
      <c r="K270" s="84">
        <v>1700</v>
      </c>
      <c r="L270" s="84">
        <f t="shared" si="32"/>
        <v>0</v>
      </c>
      <c r="M270" s="15"/>
      <c r="N270" s="15">
        <v>1400</v>
      </c>
      <c r="O270" s="54">
        <v>1400</v>
      </c>
      <c r="P270" s="15">
        <f t="shared" si="33"/>
        <v>0</v>
      </c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8" customHeight="1" x14ac:dyDescent="0.35">
      <c r="A271" s="138">
        <v>45530</v>
      </c>
      <c r="B271" s="128">
        <v>3154167324</v>
      </c>
      <c r="C271" s="84" t="s">
        <v>10512</v>
      </c>
      <c r="D271" s="130">
        <v>38946</v>
      </c>
      <c r="E271" s="109">
        <v>8797951862</v>
      </c>
      <c r="F271" s="84"/>
      <c r="G271" s="95"/>
      <c r="H271" s="128"/>
      <c r="I271" s="95" t="s">
        <v>10171</v>
      </c>
      <c r="J271" s="84">
        <v>5500</v>
      </c>
      <c r="K271" s="198">
        <f>3000+2500</f>
        <v>5500</v>
      </c>
      <c r="L271" s="84">
        <f t="shared" si="32"/>
        <v>0</v>
      </c>
      <c r="M271" s="15" t="s">
        <v>10513</v>
      </c>
      <c r="N271" s="15">
        <v>4800</v>
      </c>
      <c r="O271" s="195">
        <f>2500+2300</f>
        <v>4800</v>
      </c>
      <c r="P271" s="15">
        <f t="shared" si="33"/>
        <v>0</v>
      </c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8" customHeight="1" x14ac:dyDescent="0.35">
      <c r="A272" s="29">
        <v>45530</v>
      </c>
      <c r="B272" s="128">
        <v>3146890224</v>
      </c>
      <c r="C272" s="84" t="s">
        <v>10514</v>
      </c>
      <c r="D272" s="130">
        <v>38873</v>
      </c>
      <c r="E272" s="95">
        <v>9430776952</v>
      </c>
      <c r="F272" s="84" t="s">
        <v>10212</v>
      </c>
      <c r="G272" s="95"/>
      <c r="H272" s="128"/>
      <c r="I272" s="38" t="s">
        <v>10171</v>
      </c>
      <c r="J272" s="15">
        <v>5500</v>
      </c>
      <c r="K272" s="54">
        <v>5500</v>
      </c>
      <c r="L272" s="15">
        <f t="shared" si="32"/>
        <v>0</v>
      </c>
      <c r="M272" s="15"/>
      <c r="N272" s="15">
        <v>4800</v>
      </c>
      <c r="O272" s="195">
        <f>2500+2300</f>
        <v>4800</v>
      </c>
      <c r="P272" s="15">
        <f t="shared" ref="P272:P278" si="34">N272-O272</f>
        <v>0</v>
      </c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8" customHeight="1" x14ac:dyDescent="0.35">
      <c r="A273" s="29">
        <v>45548</v>
      </c>
      <c r="B273" s="39">
        <v>3414105624</v>
      </c>
      <c r="C273" s="15" t="s">
        <v>10515</v>
      </c>
      <c r="D273" s="87">
        <v>23599</v>
      </c>
      <c r="E273" s="38">
        <v>6201073246</v>
      </c>
      <c r="F273" s="15"/>
      <c r="G273" s="38"/>
      <c r="H273" s="39"/>
      <c r="I273" s="38">
        <v>2</v>
      </c>
      <c r="J273" s="15">
        <v>4500</v>
      </c>
      <c r="K273" s="15">
        <f>3000+1500</f>
        <v>4500</v>
      </c>
      <c r="L273" s="15">
        <f t="shared" si="32"/>
        <v>0</v>
      </c>
      <c r="M273" s="15"/>
      <c r="N273" s="15">
        <v>3600</v>
      </c>
      <c r="O273" s="15">
        <f>1400+2200</f>
        <v>3600</v>
      </c>
      <c r="P273" s="15">
        <f t="shared" si="34"/>
        <v>0</v>
      </c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s="167" customFormat="1" ht="18" customHeight="1" x14ac:dyDescent="0.35">
      <c r="A274" s="162">
        <v>45548</v>
      </c>
      <c r="B274" s="180"/>
      <c r="C274" s="163" t="s">
        <v>10516</v>
      </c>
      <c r="D274" s="164">
        <v>20766</v>
      </c>
      <c r="E274" s="166">
        <v>9771187593</v>
      </c>
      <c r="F274" s="163" t="s">
        <v>10517</v>
      </c>
      <c r="G274" s="166"/>
      <c r="H274" s="180"/>
      <c r="I274" s="166" t="s">
        <v>10114</v>
      </c>
      <c r="J274" s="163">
        <v>1700</v>
      </c>
      <c r="K274" s="163">
        <v>1700</v>
      </c>
      <c r="L274" s="163">
        <f t="shared" si="32"/>
        <v>0</v>
      </c>
      <c r="M274" s="163"/>
      <c r="N274" s="163">
        <v>1400</v>
      </c>
      <c r="O274" s="163">
        <v>1400</v>
      </c>
      <c r="P274" s="163">
        <f t="shared" si="34"/>
        <v>0</v>
      </c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</row>
    <row r="275" spans="1:27" ht="18" customHeight="1" x14ac:dyDescent="0.35">
      <c r="A275" s="138" t="s">
        <v>7042</v>
      </c>
      <c r="B275" s="128">
        <v>3356117124</v>
      </c>
      <c r="C275" s="84" t="s">
        <v>10518</v>
      </c>
      <c r="D275" s="130">
        <v>36496</v>
      </c>
      <c r="E275" s="95">
        <v>7547010301</v>
      </c>
      <c r="F275" s="84"/>
      <c r="G275" s="95"/>
      <c r="H275" s="128"/>
      <c r="I275" s="95" t="s">
        <v>10171</v>
      </c>
      <c r="J275" s="15">
        <v>5500</v>
      </c>
      <c r="K275" s="15">
        <f>3000+2500</f>
        <v>5500</v>
      </c>
      <c r="L275" s="15">
        <f t="shared" si="32"/>
        <v>0</v>
      </c>
      <c r="M275" s="15"/>
      <c r="N275" s="15">
        <v>4800</v>
      </c>
      <c r="O275" s="15">
        <f>3000+1800</f>
        <v>4800</v>
      </c>
      <c r="P275" s="15">
        <f t="shared" si="34"/>
        <v>0</v>
      </c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s="167" customFormat="1" ht="18" customHeight="1" x14ac:dyDescent="0.35">
      <c r="A276" s="162">
        <v>45551</v>
      </c>
      <c r="B276" s="180"/>
      <c r="C276" s="163" t="s">
        <v>10519</v>
      </c>
      <c r="D276" s="164">
        <v>23091</v>
      </c>
      <c r="E276" s="166">
        <v>7739508284</v>
      </c>
      <c r="F276" s="163"/>
      <c r="G276" s="166"/>
      <c r="H276" s="180"/>
      <c r="I276" s="166" t="s">
        <v>8168</v>
      </c>
      <c r="J276" s="163">
        <v>5700</v>
      </c>
      <c r="K276" s="163">
        <v>5700</v>
      </c>
      <c r="L276" s="163">
        <f t="shared" si="32"/>
        <v>0</v>
      </c>
      <c r="M276" s="163"/>
      <c r="N276" s="163">
        <v>5200</v>
      </c>
      <c r="O276" s="163">
        <v>5200</v>
      </c>
      <c r="P276" s="163">
        <f t="shared" si="34"/>
        <v>0</v>
      </c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</row>
    <row r="277" spans="1:27" s="167" customFormat="1" ht="18" customHeight="1" x14ac:dyDescent="0.35">
      <c r="A277" s="162">
        <v>45551</v>
      </c>
      <c r="B277" s="180"/>
      <c r="C277" s="163" t="s">
        <v>10520</v>
      </c>
      <c r="D277" s="164">
        <v>19547</v>
      </c>
      <c r="E277" s="166">
        <v>9234500353</v>
      </c>
      <c r="F277" s="163" t="s">
        <v>10521</v>
      </c>
      <c r="G277" s="166"/>
      <c r="H277" s="180"/>
      <c r="I277" s="166" t="s">
        <v>8168</v>
      </c>
      <c r="J277" s="163">
        <v>1700</v>
      </c>
      <c r="K277" s="163">
        <v>1700</v>
      </c>
      <c r="L277" s="163">
        <f t="shared" si="32"/>
        <v>0</v>
      </c>
      <c r="M277" s="163"/>
      <c r="N277" s="163">
        <v>1400</v>
      </c>
      <c r="O277" s="163">
        <v>1400</v>
      </c>
      <c r="P277" s="163">
        <f t="shared" si="34"/>
        <v>0</v>
      </c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</row>
    <row r="278" spans="1:27" ht="18" customHeight="1" x14ac:dyDescent="0.35">
      <c r="A278" s="39"/>
      <c r="B278" s="39"/>
      <c r="C278" s="15" t="s">
        <v>2410</v>
      </c>
      <c r="D278" s="87">
        <v>18696</v>
      </c>
      <c r="E278" s="38">
        <v>7209105356</v>
      </c>
      <c r="F278" s="15"/>
      <c r="G278" s="38"/>
      <c r="H278" s="39"/>
      <c r="I278" s="38" t="s">
        <v>8168</v>
      </c>
      <c r="J278" s="15">
        <v>1700</v>
      </c>
      <c r="K278" s="15">
        <v>1700</v>
      </c>
      <c r="L278" s="15">
        <f t="shared" si="32"/>
        <v>0</v>
      </c>
      <c r="M278" s="15"/>
      <c r="N278" s="15">
        <v>1400</v>
      </c>
      <c r="O278" s="15">
        <v>1400</v>
      </c>
      <c r="P278" s="15">
        <f t="shared" si="34"/>
        <v>0</v>
      </c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8" customHeight="1" x14ac:dyDescent="0.35">
      <c r="A279" s="39"/>
      <c r="B279" s="39"/>
      <c r="C279" s="15" t="s">
        <v>10522</v>
      </c>
      <c r="D279" s="87">
        <v>27303</v>
      </c>
      <c r="E279" s="38">
        <v>9031736538</v>
      </c>
      <c r="F279" s="15"/>
      <c r="G279" s="38"/>
      <c r="H279" s="39"/>
      <c r="I279" s="38" t="s">
        <v>8168</v>
      </c>
      <c r="J279" s="15">
        <v>1700</v>
      </c>
      <c r="K279" s="15">
        <v>1700</v>
      </c>
      <c r="L279" s="15">
        <f t="shared" ref="L279:L287" si="35">J279-K279</f>
        <v>0</v>
      </c>
      <c r="M279" s="15"/>
      <c r="N279" s="15">
        <v>1400</v>
      </c>
      <c r="O279" s="15">
        <v>1400</v>
      </c>
      <c r="P279" s="15">
        <f t="shared" ref="P279:P287" si="36">N279-O279</f>
        <v>0</v>
      </c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8" customHeight="1" x14ac:dyDescent="0.35">
      <c r="A280" s="39"/>
      <c r="B280" s="180"/>
      <c r="C280" s="163" t="s">
        <v>10523</v>
      </c>
      <c r="D280" s="164"/>
      <c r="E280" s="166"/>
      <c r="F280" s="163" t="s">
        <v>99</v>
      </c>
      <c r="G280" s="164">
        <v>45610</v>
      </c>
      <c r="H280" s="180"/>
      <c r="I280" s="166" t="s">
        <v>8168</v>
      </c>
      <c r="J280" s="163">
        <v>1600</v>
      </c>
      <c r="K280" s="163">
        <v>1600</v>
      </c>
      <c r="L280" s="163">
        <f t="shared" si="35"/>
        <v>0</v>
      </c>
      <c r="M280" s="15"/>
      <c r="N280" s="15">
        <v>1400</v>
      </c>
      <c r="O280" s="15">
        <v>1400</v>
      </c>
      <c r="P280" s="15">
        <f t="shared" si="36"/>
        <v>0</v>
      </c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s="167" customFormat="1" ht="18" customHeight="1" x14ac:dyDescent="0.35">
      <c r="A281" s="180"/>
      <c r="B281" s="180"/>
      <c r="C281" s="163" t="s">
        <v>10524</v>
      </c>
      <c r="D281" s="164"/>
      <c r="E281" s="166">
        <v>9573395115</v>
      </c>
      <c r="F281" s="163" t="s">
        <v>99</v>
      </c>
      <c r="G281" s="166"/>
      <c r="H281" s="180"/>
      <c r="I281" s="166" t="s">
        <v>10525</v>
      </c>
      <c r="J281" s="163"/>
      <c r="K281" s="163"/>
      <c r="L281" s="163"/>
      <c r="M281" s="163"/>
      <c r="N281" s="163">
        <v>2000</v>
      </c>
      <c r="O281" s="163">
        <v>2000</v>
      </c>
      <c r="P281" s="163">
        <f t="shared" si="36"/>
        <v>0</v>
      </c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</row>
    <row r="282" spans="1:27" ht="18" customHeight="1" x14ac:dyDescent="0.35">
      <c r="A282" s="29">
        <v>45580</v>
      </c>
      <c r="B282" s="39"/>
      <c r="C282" s="15" t="s">
        <v>375</v>
      </c>
      <c r="D282" s="87">
        <v>27317</v>
      </c>
      <c r="E282" s="38">
        <v>7631070520</v>
      </c>
      <c r="F282" s="15"/>
      <c r="G282" s="38"/>
      <c r="H282" s="39"/>
      <c r="I282" s="38" t="s">
        <v>8168</v>
      </c>
      <c r="J282" s="15">
        <v>1700</v>
      </c>
      <c r="K282" s="15">
        <v>1700</v>
      </c>
      <c r="L282" s="15">
        <f t="shared" si="35"/>
        <v>0</v>
      </c>
      <c r="M282" s="15"/>
      <c r="N282" s="15">
        <v>1400</v>
      </c>
      <c r="O282" s="15">
        <v>1400</v>
      </c>
      <c r="P282" s="15">
        <f t="shared" si="36"/>
        <v>0</v>
      </c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8" customHeight="1" x14ac:dyDescent="0.35">
      <c r="A283" s="29">
        <v>45580</v>
      </c>
      <c r="B283" s="39"/>
      <c r="C283" s="84" t="s">
        <v>10526</v>
      </c>
      <c r="D283" s="87"/>
      <c r="E283" s="38">
        <v>7978650271</v>
      </c>
      <c r="F283" s="15">
        <v>38000</v>
      </c>
      <c r="G283" s="38"/>
      <c r="H283" s="39"/>
      <c r="I283" s="38" t="s">
        <v>10527</v>
      </c>
      <c r="J283" s="15">
        <v>500</v>
      </c>
      <c r="K283" s="15">
        <v>500</v>
      </c>
      <c r="L283" s="15">
        <f t="shared" si="35"/>
        <v>0</v>
      </c>
      <c r="M283" s="15"/>
      <c r="N283" s="15">
        <v>500</v>
      </c>
      <c r="O283" s="15">
        <v>500</v>
      </c>
      <c r="P283" s="15">
        <f t="shared" si="36"/>
        <v>0</v>
      </c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s="167" customFormat="1" ht="18" customHeight="1" x14ac:dyDescent="0.35">
      <c r="A284" s="162">
        <v>45583</v>
      </c>
      <c r="B284" s="180">
        <v>3867561024</v>
      </c>
      <c r="C284" s="163" t="s">
        <v>10528</v>
      </c>
      <c r="D284" s="164">
        <v>27314</v>
      </c>
      <c r="E284" s="166">
        <v>9835256820</v>
      </c>
      <c r="F284" s="163" t="s">
        <v>10529</v>
      </c>
      <c r="G284" s="166"/>
      <c r="H284" s="180"/>
      <c r="I284" s="166" t="s">
        <v>8168</v>
      </c>
      <c r="J284" s="163">
        <v>1700</v>
      </c>
      <c r="K284" s="163">
        <v>1700</v>
      </c>
      <c r="L284" s="163">
        <f t="shared" si="35"/>
        <v>0</v>
      </c>
      <c r="M284" s="163"/>
      <c r="N284" s="163">
        <v>1400</v>
      </c>
      <c r="O284" s="163">
        <v>1400</v>
      </c>
      <c r="P284" s="163">
        <f t="shared" si="36"/>
        <v>0</v>
      </c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</row>
    <row r="285" spans="1:27" ht="18" customHeight="1" x14ac:dyDescent="0.35">
      <c r="A285" s="138">
        <v>45586</v>
      </c>
      <c r="B285" s="128">
        <v>4770185524</v>
      </c>
      <c r="C285" s="84" t="s">
        <v>3320</v>
      </c>
      <c r="D285" s="130">
        <v>31911</v>
      </c>
      <c r="E285" s="95">
        <v>8651775827</v>
      </c>
      <c r="F285" s="84" t="s">
        <v>10530</v>
      </c>
      <c r="G285" s="95"/>
      <c r="H285" s="39"/>
      <c r="I285" s="38" t="s">
        <v>10171</v>
      </c>
      <c r="J285" s="15">
        <v>5500</v>
      </c>
      <c r="K285" s="15">
        <f>3000+2500</f>
        <v>5500</v>
      </c>
      <c r="L285" s="84">
        <f t="shared" si="35"/>
        <v>0</v>
      </c>
      <c r="M285" s="15"/>
      <c r="N285" s="15">
        <v>4800</v>
      </c>
      <c r="O285" s="15">
        <f>2500+2300</f>
        <v>4800</v>
      </c>
      <c r="P285" s="15">
        <f t="shared" si="36"/>
        <v>0</v>
      </c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s="167" customFormat="1" ht="18" customHeight="1" x14ac:dyDescent="0.35">
      <c r="A286" s="162">
        <v>45587</v>
      </c>
      <c r="B286" s="180"/>
      <c r="C286" s="163" t="s">
        <v>10531</v>
      </c>
      <c r="D286" s="164">
        <v>23012</v>
      </c>
      <c r="E286" s="166">
        <v>6203234419</v>
      </c>
      <c r="F286" s="163"/>
      <c r="G286" s="166"/>
      <c r="H286" s="180"/>
      <c r="I286" s="166" t="s">
        <v>10114</v>
      </c>
      <c r="J286" s="163">
        <v>1700</v>
      </c>
      <c r="K286" s="163">
        <v>1700</v>
      </c>
      <c r="L286" s="163">
        <f t="shared" si="35"/>
        <v>0</v>
      </c>
      <c r="M286" s="163"/>
      <c r="N286" s="163">
        <v>1400</v>
      </c>
      <c r="O286" s="163">
        <v>1400</v>
      </c>
      <c r="P286" s="163">
        <f t="shared" si="36"/>
        <v>0</v>
      </c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</row>
    <row r="287" spans="1:27" ht="18" customHeight="1" x14ac:dyDescent="0.35">
      <c r="A287" s="29">
        <v>45589</v>
      </c>
      <c r="B287" s="39">
        <v>856838325</v>
      </c>
      <c r="C287" s="15" t="s">
        <v>9254</v>
      </c>
      <c r="D287" s="87">
        <v>35638</v>
      </c>
      <c r="E287" s="38">
        <v>8861857960</v>
      </c>
      <c r="F287" s="15" t="s">
        <v>10532</v>
      </c>
      <c r="G287" s="38"/>
      <c r="H287" s="39"/>
      <c r="I287" s="38" t="s">
        <v>10171</v>
      </c>
      <c r="J287" s="15">
        <v>5500</v>
      </c>
      <c r="K287" s="15">
        <f>3000+2500</f>
        <v>5500</v>
      </c>
      <c r="L287" s="15">
        <f t="shared" si="35"/>
        <v>0</v>
      </c>
      <c r="M287" s="15"/>
      <c r="N287" s="15">
        <v>4800</v>
      </c>
      <c r="O287" s="15">
        <f>2500+2300</f>
        <v>4800</v>
      </c>
      <c r="P287" s="15">
        <f t="shared" si="36"/>
        <v>0</v>
      </c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8" customHeight="1" x14ac:dyDescent="0.35">
      <c r="A288" s="29">
        <v>45594</v>
      </c>
      <c r="B288" s="39">
        <v>4833038724</v>
      </c>
      <c r="C288" s="15" t="s">
        <v>10533</v>
      </c>
      <c r="D288" s="87">
        <v>30989</v>
      </c>
      <c r="E288" s="38">
        <v>9431360762</v>
      </c>
      <c r="F288" s="15" t="s">
        <v>10254</v>
      </c>
      <c r="G288" s="87">
        <v>45675</v>
      </c>
      <c r="H288" s="39"/>
      <c r="I288" s="38" t="s">
        <v>10171</v>
      </c>
      <c r="J288" s="15">
        <v>5500</v>
      </c>
      <c r="K288" s="15">
        <f>3000+2500</f>
        <v>5500</v>
      </c>
      <c r="L288" s="15">
        <f t="shared" ref="L288:L350" si="37">J288-K288</f>
        <v>0</v>
      </c>
      <c r="M288" s="15"/>
      <c r="N288" s="15">
        <v>4800</v>
      </c>
      <c r="O288" s="15">
        <f>2500+2300</f>
        <v>4800</v>
      </c>
      <c r="P288" s="15">
        <f t="shared" ref="P288:P346" si="38">N288-O288</f>
        <v>0</v>
      </c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8" customHeight="1" x14ac:dyDescent="0.35">
      <c r="A289" s="29">
        <v>45597</v>
      </c>
      <c r="B289" s="39">
        <v>4031696224</v>
      </c>
      <c r="C289" s="15" t="s">
        <v>10534</v>
      </c>
      <c r="D289" s="87">
        <v>21918</v>
      </c>
      <c r="E289" s="38">
        <v>9777450559</v>
      </c>
      <c r="F289" s="15" t="s">
        <v>10535</v>
      </c>
      <c r="G289" s="38"/>
      <c r="H289" s="39"/>
      <c r="I289" s="38" t="s">
        <v>10114</v>
      </c>
      <c r="J289" s="15">
        <v>1700</v>
      </c>
      <c r="K289" s="15">
        <v>1700</v>
      </c>
      <c r="L289" s="15">
        <f t="shared" si="37"/>
        <v>0</v>
      </c>
      <c r="M289" s="15"/>
      <c r="N289" s="15">
        <v>1400</v>
      </c>
      <c r="O289" s="15">
        <v>1400</v>
      </c>
      <c r="P289" s="15">
        <f t="shared" si="38"/>
        <v>0</v>
      </c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8" customHeight="1" x14ac:dyDescent="0.35">
      <c r="A290" s="29">
        <v>45598</v>
      </c>
      <c r="B290" s="128"/>
      <c r="C290" s="84" t="s">
        <v>10536</v>
      </c>
      <c r="D290" s="130">
        <v>28537</v>
      </c>
      <c r="E290" s="95">
        <v>9031080082</v>
      </c>
      <c r="F290" s="84"/>
      <c r="G290" s="95"/>
      <c r="H290" s="128"/>
      <c r="I290" s="95" t="s">
        <v>10315</v>
      </c>
      <c r="J290" s="15">
        <v>1700</v>
      </c>
      <c r="K290" s="15">
        <v>1700</v>
      </c>
      <c r="L290" s="15">
        <f t="shared" si="37"/>
        <v>0</v>
      </c>
      <c r="M290" s="15"/>
      <c r="N290" s="15">
        <v>1300</v>
      </c>
      <c r="O290" s="15">
        <v>1300</v>
      </c>
      <c r="P290" s="15">
        <f t="shared" si="38"/>
        <v>0</v>
      </c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s="147" customFormat="1" ht="18" customHeight="1" x14ac:dyDescent="0.35">
      <c r="A291" s="138">
        <v>45599</v>
      </c>
      <c r="B291" s="128">
        <v>4043223224</v>
      </c>
      <c r="C291" s="84" t="s">
        <v>10537</v>
      </c>
      <c r="D291" s="130">
        <v>31901</v>
      </c>
      <c r="E291" s="95">
        <v>8009437372</v>
      </c>
      <c r="F291" s="84">
        <v>9523593208</v>
      </c>
      <c r="G291" s="95" t="s">
        <v>10538</v>
      </c>
      <c r="H291" s="128"/>
      <c r="I291" s="95" t="s">
        <v>10171</v>
      </c>
      <c r="J291" s="84">
        <v>5500</v>
      </c>
      <c r="K291" s="84">
        <f>3000+2500</f>
        <v>5500</v>
      </c>
      <c r="L291" s="84">
        <f t="shared" si="37"/>
        <v>0</v>
      </c>
      <c r="M291" s="84"/>
      <c r="N291" s="84">
        <v>4800</v>
      </c>
      <c r="O291" s="84">
        <f>2300+2300</f>
        <v>4600</v>
      </c>
      <c r="P291" s="84">
        <f t="shared" si="38"/>
        <v>200</v>
      </c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</row>
    <row r="292" spans="1:27" s="167" customFormat="1" ht="18" customHeight="1" x14ac:dyDescent="0.35">
      <c r="A292" s="162">
        <v>45615</v>
      </c>
      <c r="B292" s="180">
        <v>4277504724</v>
      </c>
      <c r="C292" s="163" t="s">
        <v>10539</v>
      </c>
      <c r="D292" s="164">
        <v>27263</v>
      </c>
      <c r="E292" s="166">
        <v>7979718919</v>
      </c>
      <c r="F292" s="163" t="s">
        <v>10540</v>
      </c>
      <c r="G292" s="166"/>
      <c r="H292" s="180"/>
      <c r="I292" s="166" t="s">
        <v>10114</v>
      </c>
      <c r="J292" s="163">
        <v>1700</v>
      </c>
      <c r="K292" s="163">
        <v>1700</v>
      </c>
      <c r="L292" s="163">
        <f t="shared" si="37"/>
        <v>0</v>
      </c>
      <c r="M292" s="163"/>
      <c r="N292" s="163">
        <v>1400</v>
      </c>
      <c r="O292" s="163">
        <v>1400</v>
      </c>
      <c r="P292" s="163">
        <f t="shared" si="38"/>
        <v>0</v>
      </c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</row>
    <row r="293" spans="1:27" ht="18" customHeight="1" x14ac:dyDescent="0.35">
      <c r="A293" s="29">
        <v>45618</v>
      </c>
      <c r="B293" s="39">
        <v>397098525</v>
      </c>
      <c r="C293" s="15" t="s">
        <v>8071</v>
      </c>
      <c r="D293" s="87">
        <v>28178</v>
      </c>
      <c r="E293" s="38">
        <v>9679493219</v>
      </c>
      <c r="F293" s="15" t="s">
        <v>10433</v>
      </c>
      <c r="G293" s="82">
        <v>45685</v>
      </c>
      <c r="I293" s="97" t="s">
        <v>10171</v>
      </c>
      <c r="J293" s="15">
        <v>5500</v>
      </c>
      <c r="K293" s="15">
        <f>3000+2500</f>
        <v>5500</v>
      </c>
      <c r="L293" s="15">
        <f t="shared" si="37"/>
        <v>0</v>
      </c>
      <c r="M293" s="15"/>
      <c r="N293" s="15">
        <v>4800</v>
      </c>
      <c r="O293" s="15">
        <f>2500+2300</f>
        <v>4800</v>
      </c>
      <c r="P293" s="15">
        <f t="shared" si="38"/>
        <v>0</v>
      </c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8" customHeight="1" x14ac:dyDescent="0.35">
      <c r="A294" s="29">
        <v>45618</v>
      </c>
      <c r="B294" s="128">
        <v>4325683624</v>
      </c>
      <c r="C294" s="84" t="s">
        <v>8702</v>
      </c>
      <c r="D294" s="130">
        <v>21859</v>
      </c>
      <c r="E294" s="95">
        <v>9431345759</v>
      </c>
      <c r="F294" s="84" t="s">
        <v>10025</v>
      </c>
      <c r="G294" s="95"/>
      <c r="H294" s="128"/>
      <c r="I294" s="95" t="s">
        <v>10114</v>
      </c>
      <c r="J294" s="15">
        <v>1700</v>
      </c>
      <c r="K294" s="15">
        <v>1700</v>
      </c>
      <c r="L294" s="15">
        <f t="shared" si="37"/>
        <v>0</v>
      </c>
      <c r="M294" s="15"/>
      <c r="N294" s="15">
        <v>2500</v>
      </c>
      <c r="O294" s="15">
        <v>0</v>
      </c>
      <c r="P294" s="15">
        <f t="shared" si="38"/>
        <v>2500</v>
      </c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8" customHeight="1" x14ac:dyDescent="0.35">
      <c r="A295" s="29">
        <v>45710</v>
      </c>
      <c r="B295" s="39">
        <v>772151525</v>
      </c>
      <c r="C295" s="15" t="s">
        <v>10541</v>
      </c>
      <c r="D295" s="87">
        <v>36209</v>
      </c>
      <c r="E295" s="38">
        <v>9031082712</v>
      </c>
      <c r="F295" s="15" t="s">
        <v>10532</v>
      </c>
      <c r="G295" s="38"/>
      <c r="H295" s="39"/>
      <c r="I295" s="38" t="s">
        <v>10171</v>
      </c>
      <c r="J295" s="15">
        <v>5500</v>
      </c>
      <c r="K295" s="15">
        <f>3000+2500</f>
        <v>5500</v>
      </c>
      <c r="L295" s="15">
        <f t="shared" si="37"/>
        <v>0</v>
      </c>
      <c r="M295" s="15"/>
      <c r="N295" s="15">
        <v>4800</v>
      </c>
      <c r="O295" s="15">
        <f>2500+2300</f>
        <v>4800</v>
      </c>
      <c r="P295" s="15">
        <f t="shared" si="38"/>
        <v>0</v>
      </c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8" customHeight="1" x14ac:dyDescent="0.35">
      <c r="A296" s="29">
        <v>45330</v>
      </c>
      <c r="B296" s="39">
        <v>402357625</v>
      </c>
      <c r="C296" s="15" t="s">
        <v>10542</v>
      </c>
      <c r="D296" s="87">
        <v>36680</v>
      </c>
      <c r="E296" s="38">
        <v>6291766651</v>
      </c>
      <c r="F296" s="15" t="s">
        <v>10433</v>
      </c>
      <c r="G296" s="87">
        <v>45685</v>
      </c>
      <c r="H296" s="39"/>
      <c r="I296" s="38" t="s">
        <v>10171</v>
      </c>
      <c r="J296" s="15">
        <v>5500</v>
      </c>
      <c r="K296" s="15">
        <f>3000+2500</f>
        <v>5500</v>
      </c>
      <c r="L296" s="15">
        <f t="shared" si="37"/>
        <v>0</v>
      </c>
      <c r="M296" s="15"/>
      <c r="N296" s="15">
        <v>4800</v>
      </c>
      <c r="O296" s="15">
        <f>2500+2300</f>
        <v>4800</v>
      </c>
      <c r="P296" s="15">
        <f t="shared" si="38"/>
        <v>0</v>
      </c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8" customHeight="1" x14ac:dyDescent="0.35">
      <c r="A297" s="39"/>
      <c r="B297" s="39"/>
      <c r="C297" s="15" t="s">
        <v>10543</v>
      </c>
      <c r="D297" s="87">
        <v>23709</v>
      </c>
      <c r="E297" s="38">
        <v>6203467926</v>
      </c>
      <c r="F297" s="15"/>
      <c r="G297" s="38"/>
      <c r="H297" s="39"/>
      <c r="I297" s="38" t="s">
        <v>10544</v>
      </c>
      <c r="J297" s="15">
        <v>2300</v>
      </c>
      <c r="K297" s="15">
        <v>2300</v>
      </c>
      <c r="L297" s="15">
        <f t="shared" si="37"/>
        <v>0</v>
      </c>
      <c r="M297" s="15"/>
      <c r="N297" s="15">
        <v>1900</v>
      </c>
      <c r="O297" s="15">
        <v>1900</v>
      </c>
      <c r="P297" s="15">
        <f t="shared" si="38"/>
        <v>0</v>
      </c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8" customHeight="1" x14ac:dyDescent="0.35">
      <c r="A298" s="29">
        <v>45638</v>
      </c>
      <c r="B298" s="39">
        <v>4597021724</v>
      </c>
      <c r="C298" s="15" t="s">
        <v>10545</v>
      </c>
      <c r="D298" s="87">
        <v>27395</v>
      </c>
      <c r="E298" s="38">
        <v>9470567192</v>
      </c>
      <c r="F298" s="15"/>
      <c r="G298" s="38"/>
      <c r="H298" s="39"/>
      <c r="I298" s="38" t="s">
        <v>10186</v>
      </c>
      <c r="J298" s="15">
        <v>1700</v>
      </c>
      <c r="K298" s="15">
        <v>1700</v>
      </c>
      <c r="L298" s="15">
        <f t="shared" si="37"/>
        <v>0</v>
      </c>
      <c r="M298" s="15"/>
      <c r="N298" s="15">
        <v>1400</v>
      </c>
      <c r="O298" s="15">
        <v>1400</v>
      </c>
      <c r="P298" s="15">
        <f t="shared" si="38"/>
        <v>0</v>
      </c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8" customHeight="1" x14ac:dyDescent="0.35">
      <c r="A299" s="29">
        <v>45643</v>
      </c>
      <c r="B299" s="205">
        <v>4666147824</v>
      </c>
      <c r="C299" s="15" t="s">
        <v>10546</v>
      </c>
      <c r="D299" s="87">
        <v>37681</v>
      </c>
      <c r="E299" s="38">
        <v>9939787353</v>
      </c>
      <c r="F299" s="15"/>
      <c r="G299" s="38"/>
      <c r="H299" s="39"/>
      <c r="I299" s="38" t="s">
        <v>10171</v>
      </c>
      <c r="J299" s="15">
        <v>5500</v>
      </c>
      <c r="K299" s="15">
        <v>3000</v>
      </c>
      <c r="L299" s="15">
        <f t="shared" si="37"/>
        <v>2500</v>
      </c>
      <c r="M299" s="15"/>
      <c r="N299" s="15">
        <v>4800</v>
      </c>
      <c r="O299" s="15">
        <v>2500</v>
      </c>
      <c r="P299" s="15">
        <f t="shared" si="38"/>
        <v>2300</v>
      </c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8" customHeight="1" x14ac:dyDescent="0.35">
      <c r="A300" s="138">
        <v>45645</v>
      </c>
      <c r="B300" s="128">
        <v>4713441524</v>
      </c>
      <c r="C300" s="84" t="s">
        <v>10547</v>
      </c>
      <c r="D300" s="130">
        <v>21659</v>
      </c>
      <c r="E300" s="95">
        <v>9279148334</v>
      </c>
      <c r="F300" s="84"/>
      <c r="G300" s="95" t="s">
        <v>10548</v>
      </c>
      <c r="H300" s="128"/>
      <c r="I300" s="95" t="s">
        <v>10549</v>
      </c>
      <c r="J300" s="15">
        <v>4200</v>
      </c>
      <c r="K300" s="15">
        <v>4200</v>
      </c>
      <c r="L300" s="15">
        <f t="shared" si="37"/>
        <v>0</v>
      </c>
      <c r="M300" s="15"/>
      <c r="N300" s="15">
        <v>3700</v>
      </c>
      <c r="O300" s="15">
        <v>2500</v>
      </c>
      <c r="P300" s="15">
        <f t="shared" si="38"/>
        <v>1200</v>
      </c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8" customHeight="1" x14ac:dyDescent="0.35">
      <c r="A301" s="29">
        <v>45649</v>
      </c>
      <c r="B301" s="39"/>
      <c r="C301" s="15"/>
      <c r="D301" s="87"/>
      <c r="E301" s="38"/>
      <c r="F301" s="15"/>
      <c r="G301" s="38"/>
      <c r="H301" s="39"/>
      <c r="I301" s="38"/>
      <c r="J301" s="15">
        <v>0</v>
      </c>
      <c r="K301" s="15">
        <v>0</v>
      </c>
      <c r="L301" s="15">
        <f t="shared" si="37"/>
        <v>0</v>
      </c>
      <c r="M301" s="15"/>
      <c r="N301" s="15"/>
      <c r="O301" s="15">
        <v>0</v>
      </c>
      <c r="P301" s="15">
        <f t="shared" si="38"/>
        <v>0</v>
      </c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8" customHeight="1" x14ac:dyDescent="0.35">
      <c r="A302" s="29">
        <v>45652</v>
      </c>
      <c r="B302" s="39">
        <v>4802360324</v>
      </c>
      <c r="C302" s="15" t="s">
        <v>10550</v>
      </c>
      <c r="D302" s="87">
        <v>34768</v>
      </c>
      <c r="E302" s="38">
        <v>9263338173</v>
      </c>
      <c r="F302" s="15" t="s">
        <v>10532</v>
      </c>
      <c r="G302" s="38"/>
      <c r="H302" s="39"/>
      <c r="I302" s="38" t="s">
        <v>10171</v>
      </c>
      <c r="J302" s="15">
        <v>5500</v>
      </c>
      <c r="K302" s="15">
        <f>3000+2500</f>
        <v>5500</v>
      </c>
      <c r="L302" s="15">
        <f t="shared" si="37"/>
        <v>0</v>
      </c>
      <c r="M302" s="15"/>
      <c r="N302" s="15">
        <v>4800</v>
      </c>
      <c r="O302" s="15">
        <v>2500</v>
      </c>
      <c r="P302" s="15">
        <f t="shared" si="38"/>
        <v>2300</v>
      </c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8" customHeight="1" x14ac:dyDescent="0.35">
      <c r="A303" s="138">
        <v>45662</v>
      </c>
      <c r="B303" s="128"/>
      <c r="C303" s="84" t="s">
        <v>10551</v>
      </c>
      <c r="D303" s="130">
        <v>23072</v>
      </c>
      <c r="E303" s="95">
        <v>9835363490</v>
      </c>
      <c r="F303" s="84" t="s">
        <v>10552</v>
      </c>
      <c r="G303" s="95"/>
      <c r="H303" s="39"/>
      <c r="I303" s="38" t="s">
        <v>10553</v>
      </c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8" customHeight="1" x14ac:dyDescent="0.35">
      <c r="A304" s="39"/>
      <c r="B304" s="39">
        <v>29190725</v>
      </c>
      <c r="C304" s="15" t="s">
        <v>10554</v>
      </c>
      <c r="D304" s="87">
        <v>20863</v>
      </c>
      <c r="E304" s="38">
        <v>7296069766</v>
      </c>
      <c r="F304" s="15"/>
      <c r="G304" s="38"/>
      <c r="H304" s="39"/>
      <c r="I304" s="38" t="s">
        <v>10114</v>
      </c>
      <c r="J304" s="15">
        <v>1700</v>
      </c>
      <c r="K304" s="15">
        <v>1700</v>
      </c>
      <c r="L304" s="15">
        <f t="shared" si="37"/>
        <v>0</v>
      </c>
      <c r="M304" s="15"/>
      <c r="N304" s="15">
        <v>1400</v>
      </c>
      <c r="O304" s="15">
        <f>1000+400</f>
        <v>1400</v>
      </c>
      <c r="P304" s="15">
        <f t="shared" si="38"/>
        <v>0</v>
      </c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8" customHeight="1" x14ac:dyDescent="0.35">
      <c r="A305" s="29">
        <v>45681</v>
      </c>
      <c r="B305" s="39">
        <v>352255025</v>
      </c>
      <c r="C305" s="15" t="s">
        <v>5259</v>
      </c>
      <c r="D305" s="87">
        <v>37317</v>
      </c>
      <c r="E305" s="38">
        <v>7667844528</v>
      </c>
      <c r="F305" s="15" t="s">
        <v>10375</v>
      </c>
      <c r="G305" s="38"/>
      <c r="H305" s="39"/>
      <c r="I305" s="38" t="s">
        <v>10171</v>
      </c>
      <c r="J305" s="15">
        <v>5500</v>
      </c>
      <c r="K305" s="15">
        <v>3000</v>
      </c>
      <c r="L305" s="15">
        <f t="shared" si="37"/>
        <v>2500</v>
      </c>
      <c r="M305" s="15"/>
      <c r="N305" s="15">
        <v>4800</v>
      </c>
      <c r="O305" s="15">
        <v>2500</v>
      </c>
      <c r="P305" s="15">
        <f t="shared" si="38"/>
        <v>2300</v>
      </c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8" customHeight="1" x14ac:dyDescent="0.35">
      <c r="A306" s="138">
        <v>45682</v>
      </c>
      <c r="B306" s="128"/>
      <c r="C306" s="84" t="s">
        <v>10555</v>
      </c>
      <c r="D306" s="130"/>
      <c r="E306" s="95">
        <v>9570296485</v>
      </c>
      <c r="F306" s="84"/>
      <c r="G306" s="95"/>
      <c r="H306" s="128"/>
      <c r="I306" s="95" t="s">
        <v>10331</v>
      </c>
      <c r="J306" s="84">
        <v>5500</v>
      </c>
      <c r="K306" s="84">
        <v>5500</v>
      </c>
      <c r="L306" s="15">
        <f t="shared" si="37"/>
        <v>0</v>
      </c>
      <c r="M306" s="15"/>
      <c r="N306" s="15">
        <v>4800</v>
      </c>
      <c r="O306" s="15">
        <v>4800</v>
      </c>
      <c r="P306" s="15">
        <f t="shared" si="38"/>
        <v>0</v>
      </c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8" customHeight="1" x14ac:dyDescent="0.35">
      <c r="A307" s="128"/>
      <c r="B307" s="128"/>
      <c r="C307" s="84" t="s">
        <v>10556</v>
      </c>
      <c r="D307" s="130"/>
      <c r="E307" s="95">
        <v>9234550363</v>
      </c>
      <c r="F307" s="84"/>
      <c r="G307" s="95"/>
      <c r="H307" s="128"/>
      <c r="I307" s="95" t="s">
        <v>10557</v>
      </c>
      <c r="J307" s="84">
        <v>5500</v>
      </c>
      <c r="K307" s="84">
        <v>5500</v>
      </c>
      <c r="L307" s="15">
        <f t="shared" si="37"/>
        <v>0</v>
      </c>
      <c r="M307" s="15"/>
      <c r="N307" s="15">
        <v>5200</v>
      </c>
      <c r="O307" s="15">
        <v>5200</v>
      </c>
      <c r="P307" s="15">
        <f t="shared" si="38"/>
        <v>0</v>
      </c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8" customHeight="1" x14ac:dyDescent="0.35">
      <c r="A308" s="29">
        <v>45695</v>
      </c>
      <c r="B308" s="39">
        <v>557569925</v>
      </c>
      <c r="C308" s="15" t="s">
        <v>10558</v>
      </c>
      <c r="D308" s="87">
        <v>33122</v>
      </c>
      <c r="E308" s="38">
        <v>9771542664</v>
      </c>
      <c r="F308" s="15"/>
      <c r="G308" s="38" t="s">
        <v>10559</v>
      </c>
      <c r="H308" s="39"/>
      <c r="I308" s="38" t="s">
        <v>10171</v>
      </c>
      <c r="J308" s="15">
        <v>5500</v>
      </c>
      <c r="K308" s="15">
        <f>3000+2500</f>
        <v>5500</v>
      </c>
      <c r="L308" s="15">
        <f t="shared" si="37"/>
        <v>0</v>
      </c>
      <c r="M308" s="15"/>
      <c r="N308" s="15">
        <v>4800</v>
      </c>
      <c r="O308" s="15">
        <f>2500+2300</f>
        <v>4800</v>
      </c>
      <c r="P308" s="15">
        <f t="shared" si="38"/>
        <v>0</v>
      </c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8" customHeight="1" x14ac:dyDescent="0.35">
      <c r="A309" s="128"/>
      <c r="B309" s="128"/>
      <c r="C309" s="84" t="s">
        <v>10536</v>
      </c>
      <c r="D309" s="130"/>
      <c r="E309" s="95"/>
      <c r="F309" s="84"/>
      <c r="G309" s="95"/>
      <c r="H309" s="128"/>
      <c r="I309" s="95" t="s">
        <v>10315</v>
      </c>
      <c r="J309" s="84">
        <v>1700</v>
      </c>
      <c r="K309" s="15">
        <v>1700</v>
      </c>
      <c r="L309" s="15">
        <f t="shared" si="37"/>
        <v>0</v>
      </c>
      <c r="M309" s="15"/>
      <c r="N309" s="15">
        <v>1500</v>
      </c>
      <c r="O309" s="15">
        <v>1500</v>
      </c>
      <c r="P309" s="15">
        <f t="shared" si="38"/>
        <v>0</v>
      </c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8" customHeight="1" x14ac:dyDescent="0.35">
      <c r="A310" s="29">
        <v>45727</v>
      </c>
      <c r="B310" s="39">
        <v>1016299825</v>
      </c>
      <c r="C310" s="15" t="s">
        <v>10560</v>
      </c>
      <c r="D310" s="87">
        <v>39145</v>
      </c>
      <c r="E310" s="38">
        <v>9431302890</v>
      </c>
      <c r="F310" s="15"/>
      <c r="G310" s="38"/>
      <c r="H310" s="39" t="s">
        <v>10561</v>
      </c>
      <c r="I310" s="38" t="s">
        <v>10171</v>
      </c>
      <c r="J310" s="15">
        <v>5500</v>
      </c>
      <c r="K310" s="15">
        <f>3000+2500</f>
        <v>5500</v>
      </c>
      <c r="L310" s="15">
        <f t="shared" si="37"/>
        <v>0</v>
      </c>
      <c r="M310" s="15"/>
      <c r="N310" s="15">
        <v>4800</v>
      </c>
      <c r="O310" s="15">
        <f>2500+2300</f>
        <v>4800</v>
      </c>
      <c r="P310" s="15">
        <f t="shared" si="38"/>
        <v>0</v>
      </c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8" customHeight="1" x14ac:dyDescent="0.35">
      <c r="A311" s="29">
        <v>45733</v>
      </c>
      <c r="B311" s="39">
        <v>2184126425</v>
      </c>
      <c r="C311" s="15" t="s">
        <v>10562</v>
      </c>
      <c r="D311" s="87">
        <v>30259</v>
      </c>
      <c r="E311" s="38">
        <v>9162777013</v>
      </c>
      <c r="F311" s="15" t="s">
        <v>10433</v>
      </c>
      <c r="G311" s="38"/>
      <c r="H311" s="39"/>
      <c r="I311" s="38" t="s">
        <v>10171</v>
      </c>
      <c r="J311" s="15">
        <v>5500</v>
      </c>
      <c r="K311" s="15">
        <f>3000+2500</f>
        <v>5500</v>
      </c>
      <c r="L311" s="15">
        <f t="shared" si="37"/>
        <v>0</v>
      </c>
      <c r="M311" s="15"/>
      <c r="N311" s="15">
        <v>4800</v>
      </c>
      <c r="O311" s="15">
        <f>2500+2300</f>
        <v>4800</v>
      </c>
      <c r="P311" s="15">
        <f t="shared" si="38"/>
        <v>0</v>
      </c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8" customHeight="1" x14ac:dyDescent="0.35">
      <c r="A312" s="29">
        <v>45733</v>
      </c>
      <c r="B312" s="39"/>
      <c r="C312" s="15" t="s">
        <v>10563</v>
      </c>
      <c r="D312" s="87">
        <v>31778</v>
      </c>
      <c r="E312" s="38">
        <v>9334671781</v>
      </c>
      <c r="F312" s="15"/>
      <c r="G312" s="38"/>
      <c r="H312" s="39"/>
      <c r="I312" s="38" t="s">
        <v>10114</v>
      </c>
      <c r="J312" s="15">
        <v>3000</v>
      </c>
      <c r="K312" s="15">
        <v>3000</v>
      </c>
      <c r="L312" s="15">
        <f t="shared" si="37"/>
        <v>0</v>
      </c>
      <c r="M312" s="15"/>
      <c r="N312" s="15">
        <v>2500</v>
      </c>
      <c r="O312" s="15">
        <v>2500</v>
      </c>
      <c r="P312" s="15">
        <f t="shared" si="38"/>
        <v>0</v>
      </c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8" customHeight="1" x14ac:dyDescent="0.35">
      <c r="A313" s="39"/>
      <c r="B313" s="39"/>
      <c r="C313" s="15" t="s">
        <v>10564</v>
      </c>
      <c r="D313" s="87">
        <v>27030</v>
      </c>
      <c r="E313" s="38">
        <v>7874341220</v>
      </c>
      <c r="F313" s="15">
        <v>9163428698</v>
      </c>
      <c r="G313" s="38" t="s">
        <v>545</v>
      </c>
      <c r="H313" s="39"/>
      <c r="I313" s="38" t="s">
        <v>10114</v>
      </c>
      <c r="J313" s="15">
        <v>1700</v>
      </c>
      <c r="K313" s="15">
        <v>1700</v>
      </c>
      <c r="L313" s="15">
        <f t="shared" si="37"/>
        <v>0</v>
      </c>
      <c r="M313" s="15"/>
      <c r="N313" s="15">
        <v>1400</v>
      </c>
      <c r="O313" s="15">
        <v>1400</v>
      </c>
      <c r="P313" s="15">
        <f t="shared" si="38"/>
        <v>0</v>
      </c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8" customHeight="1" x14ac:dyDescent="0.35">
      <c r="A314" s="138">
        <v>45747</v>
      </c>
      <c r="B314" s="128">
        <v>2420716325</v>
      </c>
      <c r="C314" s="84" t="s">
        <v>10565</v>
      </c>
      <c r="D314" s="130">
        <v>29246</v>
      </c>
      <c r="E314" s="95">
        <v>8292165647</v>
      </c>
      <c r="F314" s="121" t="s">
        <v>10566</v>
      </c>
      <c r="G314" s="95"/>
      <c r="H314" s="128"/>
      <c r="I314" s="38">
        <v>2</v>
      </c>
      <c r="J314" s="15">
        <v>4200</v>
      </c>
      <c r="K314" s="15">
        <f>2500+1700</f>
        <v>4200</v>
      </c>
      <c r="L314" s="15">
        <f t="shared" si="37"/>
        <v>0</v>
      </c>
      <c r="M314" s="15"/>
      <c r="N314" s="15">
        <v>3600</v>
      </c>
      <c r="O314" s="15">
        <f>2000+1600</f>
        <v>3600</v>
      </c>
      <c r="P314" s="15">
        <f t="shared" si="38"/>
        <v>0</v>
      </c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8" customHeight="1" x14ac:dyDescent="0.35">
      <c r="A315" s="29">
        <v>45767</v>
      </c>
      <c r="B315" s="39">
        <v>1536125425</v>
      </c>
      <c r="C315" s="15" t="s">
        <v>10567</v>
      </c>
      <c r="D315" s="87">
        <v>36278</v>
      </c>
      <c r="E315" s="38">
        <v>7066815543</v>
      </c>
      <c r="F315" s="15">
        <v>2711758225</v>
      </c>
      <c r="G315" s="38" t="s">
        <v>134</v>
      </c>
      <c r="H315" s="39" t="s">
        <v>10568</v>
      </c>
      <c r="I315" s="38" t="s">
        <v>10171</v>
      </c>
      <c r="J315" s="15">
        <v>5500</v>
      </c>
      <c r="K315" s="15">
        <f>3000+2500</f>
        <v>5500</v>
      </c>
      <c r="L315" s="15">
        <f t="shared" si="37"/>
        <v>0</v>
      </c>
      <c r="M315" s="15"/>
      <c r="N315" s="15">
        <v>4800</v>
      </c>
      <c r="O315" s="15">
        <f>2500+2300</f>
        <v>4800</v>
      </c>
      <c r="P315" s="15">
        <f t="shared" si="38"/>
        <v>0</v>
      </c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8" customHeight="1" x14ac:dyDescent="0.35">
      <c r="A316" s="29">
        <v>45778</v>
      </c>
      <c r="B316" s="39"/>
      <c r="C316" s="15" t="s">
        <v>10569</v>
      </c>
      <c r="D316" s="87"/>
      <c r="E316" s="38"/>
      <c r="F316" s="15"/>
      <c r="G316" s="38"/>
      <c r="H316" s="39"/>
      <c r="I316" s="38" t="s">
        <v>10570</v>
      </c>
      <c r="J316" s="15">
        <v>5500</v>
      </c>
      <c r="K316" s="15">
        <v>5500</v>
      </c>
      <c r="L316" s="15">
        <f t="shared" si="37"/>
        <v>0</v>
      </c>
      <c r="M316" s="15"/>
      <c r="N316" s="15">
        <v>5200</v>
      </c>
      <c r="O316" s="15">
        <v>5200</v>
      </c>
      <c r="P316" s="15">
        <f t="shared" si="38"/>
        <v>0</v>
      </c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8" customHeight="1" x14ac:dyDescent="0.35">
      <c r="A317" s="138">
        <v>45779</v>
      </c>
      <c r="B317" s="128">
        <v>3260780025</v>
      </c>
      <c r="C317" s="84" t="s">
        <v>10571</v>
      </c>
      <c r="D317" s="130">
        <v>39128</v>
      </c>
      <c r="E317" s="95">
        <v>8540000342</v>
      </c>
      <c r="F317" s="84" t="s">
        <v>10532</v>
      </c>
      <c r="G317" s="95" t="s">
        <v>10572</v>
      </c>
      <c r="H317" s="128"/>
      <c r="I317" s="38" t="s">
        <v>10171</v>
      </c>
      <c r="J317" s="15">
        <v>5500</v>
      </c>
      <c r="K317" s="15">
        <f>3000+2500</f>
        <v>5500</v>
      </c>
      <c r="L317" s="15">
        <f t="shared" si="37"/>
        <v>0</v>
      </c>
      <c r="M317" s="15"/>
      <c r="N317" s="15">
        <v>4800</v>
      </c>
      <c r="O317" s="15">
        <f>2500+2300</f>
        <v>4800</v>
      </c>
      <c r="P317" s="15">
        <f t="shared" si="38"/>
        <v>0</v>
      </c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8" customHeight="1" x14ac:dyDescent="0.35">
      <c r="A318" s="138">
        <v>45791</v>
      </c>
      <c r="B318" s="128">
        <v>3160997025</v>
      </c>
      <c r="C318" s="84" t="s">
        <v>10573</v>
      </c>
      <c r="D318" s="130">
        <v>39133</v>
      </c>
      <c r="E318" s="95">
        <v>9608626925</v>
      </c>
      <c r="F318" s="84" t="s">
        <v>10532</v>
      </c>
      <c r="G318" s="95" t="s">
        <v>10574</v>
      </c>
      <c r="H318" s="39"/>
      <c r="I318" s="38" t="s">
        <v>10171</v>
      </c>
      <c r="J318" s="15">
        <v>5500</v>
      </c>
      <c r="K318" s="15">
        <f>3000+2500</f>
        <v>5500</v>
      </c>
      <c r="L318" s="15">
        <f t="shared" si="37"/>
        <v>0</v>
      </c>
      <c r="M318" s="15"/>
      <c r="N318" s="15">
        <v>4800</v>
      </c>
      <c r="O318" s="15">
        <f>2500+2300</f>
        <v>4800</v>
      </c>
      <c r="P318" s="15">
        <f t="shared" si="38"/>
        <v>0</v>
      </c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8" customHeight="1" x14ac:dyDescent="0.35">
      <c r="A319" s="29">
        <v>45791</v>
      </c>
      <c r="B319" s="39">
        <v>1868445925</v>
      </c>
      <c r="C319" s="15" t="s">
        <v>10575</v>
      </c>
      <c r="D319" s="87">
        <v>33528</v>
      </c>
      <c r="E319" s="38">
        <v>7209950247</v>
      </c>
      <c r="F319" s="15" t="s">
        <v>10576</v>
      </c>
      <c r="G319" s="38" t="s">
        <v>10577</v>
      </c>
      <c r="H319" s="39"/>
      <c r="I319" s="38" t="s">
        <v>10171</v>
      </c>
      <c r="J319" s="15">
        <v>5500</v>
      </c>
      <c r="K319" s="15">
        <f>3000+2500</f>
        <v>5500</v>
      </c>
      <c r="L319" s="15">
        <f t="shared" si="37"/>
        <v>0</v>
      </c>
      <c r="M319" s="15"/>
      <c r="N319" s="15">
        <v>4800</v>
      </c>
      <c r="O319" s="15">
        <f>2500+2300</f>
        <v>4800</v>
      </c>
      <c r="P319" s="15">
        <f t="shared" si="38"/>
        <v>0</v>
      </c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8" customHeight="1" x14ac:dyDescent="0.35">
      <c r="A320" s="29">
        <v>45800</v>
      </c>
      <c r="B320" s="39"/>
      <c r="C320" s="15" t="s">
        <v>10578</v>
      </c>
      <c r="D320" s="87">
        <v>28647</v>
      </c>
      <c r="E320" s="38">
        <v>9835746287</v>
      </c>
      <c r="F320" s="15"/>
      <c r="G320" s="38"/>
      <c r="H320" s="39"/>
      <c r="I320" s="38" t="s">
        <v>10570</v>
      </c>
      <c r="J320" s="15">
        <v>5500</v>
      </c>
      <c r="K320" s="15">
        <v>5500</v>
      </c>
      <c r="L320" s="15">
        <f t="shared" si="37"/>
        <v>0</v>
      </c>
      <c r="M320" s="15"/>
      <c r="N320" s="15">
        <v>5200</v>
      </c>
      <c r="O320" s="15">
        <v>5200</v>
      </c>
      <c r="P320" s="15">
        <f t="shared" si="38"/>
        <v>0</v>
      </c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8" customHeight="1" x14ac:dyDescent="0.35">
      <c r="A321" s="29">
        <v>45806</v>
      </c>
      <c r="B321" s="39">
        <v>2079224825</v>
      </c>
      <c r="C321" s="15" t="s">
        <v>10579</v>
      </c>
      <c r="D321" s="87">
        <v>36951</v>
      </c>
      <c r="E321" s="38">
        <v>9031278841</v>
      </c>
      <c r="F321" s="15" t="s">
        <v>10985</v>
      </c>
      <c r="G321" s="38"/>
      <c r="H321" s="39"/>
      <c r="I321" s="38" t="s">
        <v>10171</v>
      </c>
      <c r="J321" s="15">
        <v>5500</v>
      </c>
      <c r="K321" s="15">
        <f>3500+2000</f>
        <v>5500</v>
      </c>
      <c r="L321" s="15">
        <f t="shared" si="37"/>
        <v>0</v>
      </c>
      <c r="M321" s="15"/>
      <c r="N321" s="15">
        <v>4800</v>
      </c>
      <c r="O321" s="15">
        <f>2500+2300</f>
        <v>4800</v>
      </c>
      <c r="P321" s="15">
        <f t="shared" si="38"/>
        <v>0</v>
      </c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8" customHeight="1" x14ac:dyDescent="0.35">
      <c r="A322" s="29">
        <v>45808</v>
      </c>
      <c r="B322" s="39"/>
      <c r="C322" s="15" t="s">
        <v>10580</v>
      </c>
      <c r="D322" s="87">
        <v>31941</v>
      </c>
      <c r="E322" s="38">
        <v>9572011848</v>
      </c>
      <c r="F322" s="15"/>
      <c r="G322" s="38"/>
      <c r="H322" s="39" t="s">
        <v>10581</v>
      </c>
      <c r="I322" s="38" t="s">
        <v>10582</v>
      </c>
      <c r="J322" s="15">
        <v>4200</v>
      </c>
      <c r="K322" s="15">
        <v>4200</v>
      </c>
      <c r="L322" s="15">
        <f t="shared" si="37"/>
        <v>0</v>
      </c>
      <c r="M322" s="15"/>
      <c r="N322" s="15">
        <v>3800</v>
      </c>
      <c r="O322" s="15">
        <v>3800</v>
      </c>
      <c r="P322" s="15">
        <f t="shared" si="38"/>
        <v>0</v>
      </c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8" customHeight="1" x14ac:dyDescent="0.35">
      <c r="A323" s="29">
        <v>45814</v>
      </c>
      <c r="B323" s="39">
        <v>2217293325</v>
      </c>
      <c r="C323" s="15" t="s">
        <v>10583</v>
      </c>
      <c r="D323" s="87">
        <v>38797</v>
      </c>
      <c r="E323" s="38">
        <v>7979052016</v>
      </c>
      <c r="F323" s="15" t="s">
        <v>10375</v>
      </c>
      <c r="G323" s="38"/>
      <c r="H323" s="39"/>
      <c r="I323" s="38" t="s">
        <v>10171</v>
      </c>
      <c r="J323" s="15">
        <v>5500</v>
      </c>
      <c r="K323" s="15">
        <f>3000+2500</f>
        <v>5500</v>
      </c>
      <c r="L323" s="15">
        <f t="shared" si="37"/>
        <v>0</v>
      </c>
      <c r="M323" s="15"/>
      <c r="N323" s="15">
        <v>4800</v>
      </c>
      <c r="O323" s="15">
        <f>2500+2300</f>
        <v>4800</v>
      </c>
      <c r="P323" s="15">
        <f t="shared" si="38"/>
        <v>0</v>
      </c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8" customHeight="1" x14ac:dyDescent="0.35">
      <c r="A324" s="29">
        <v>45839</v>
      </c>
      <c r="B324" s="39">
        <v>2596512725</v>
      </c>
      <c r="C324" s="15" t="s">
        <v>10584</v>
      </c>
      <c r="D324" s="87">
        <v>29047</v>
      </c>
      <c r="E324" s="38">
        <v>7091319311</v>
      </c>
      <c r="F324" s="15" t="s">
        <v>10585</v>
      </c>
      <c r="G324" s="87"/>
      <c r="H324" s="39"/>
      <c r="I324" s="38" t="s">
        <v>10171</v>
      </c>
      <c r="J324" s="15">
        <v>5500</v>
      </c>
      <c r="K324" s="15">
        <f>3000+2500</f>
        <v>5500</v>
      </c>
      <c r="L324" s="15">
        <f t="shared" si="37"/>
        <v>0</v>
      </c>
      <c r="M324" s="15"/>
      <c r="N324" s="15">
        <v>4900</v>
      </c>
      <c r="O324" s="15">
        <f>2500+2400</f>
        <v>4900</v>
      </c>
      <c r="P324" s="15">
        <f t="shared" si="38"/>
        <v>0</v>
      </c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8" customHeight="1" x14ac:dyDescent="0.35">
      <c r="A325" s="29">
        <v>45848</v>
      </c>
      <c r="B325" s="39">
        <v>2694204225</v>
      </c>
      <c r="C325" s="15" t="s">
        <v>10586</v>
      </c>
      <c r="D325" s="87">
        <v>38666</v>
      </c>
      <c r="E325" s="38">
        <v>9097213284</v>
      </c>
      <c r="F325" s="15" t="s">
        <v>10470</v>
      </c>
      <c r="G325" s="38"/>
      <c r="H325" s="39"/>
      <c r="I325" s="38" t="s">
        <v>10171</v>
      </c>
      <c r="J325" s="15">
        <v>5500</v>
      </c>
      <c r="K325" s="15">
        <f>3000+2500</f>
        <v>5500</v>
      </c>
      <c r="L325" s="15">
        <f t="shared" si="37"/>
        <v>0</v>
      </c>
      <c r="M325" s="15"/>
      <c r="N325" s="15">
        <v>4900</v>
      </c>
      <c r="O325" s="15">
        <f>2500+2400</f>
        <v>4900</v>
      </c>
      <c r="P325" s="15">
        <f t="shared" si="38"/>
        <v>0</v>
      </c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8" customHeight="1" x14ac:dyDescent="0.35">
      <c r="A326" s="138">
        <v>45853</v>
      </c>
      <c r="B326" s="128"/>
      <c r="C326" s="84" t="s">
        <v>10587</v>
      </c>
      <c r="D326" s="130">
        <v>45853</v>
      </c>
      <c r="E326" s="95">
        <v>8092238686</v>
      </c>
      <c r="F326" s="84"/>
      <c r="G326" s="95"/>
      <c r="H326" s="128"/>
      <c r="I326" s="95" t="s">
        <v>8168</v>
      </c>
      <c r="J326" s="84">
        <v>1600</v>
      </c>
      <c r="K326" s="84">
        <f>1000+600</f>
        <v>1600</v>
      </c>
      <c r="L326" s="84">
        <f t="shared" si="37"/>
        <v>0</v>
      </c>
      <c r="M326" s="84"/>
      <c r="N326" s="15">
        <v>1400</v>
      </c>
      <c r="O326" s="15">
        <v>1400</v>
      </c>
      <c r="P326" s="15">
        <f t="shared" si="38"/>
        <v>0</v>
      </c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8" customHeight="1" x14ac:dyDescent="0.35">
      <c r="A327" s="29">
        <v>45859</v>
      </c>
      <c r="B327" s="39">
        <v>2897232425</v>
      </c>
      <c r="C327" s="15" t="s">
        <v>10588</v>
      </c>
      <c r="D327" s="87">
        <v>38769</v>
      </c>
      <c r="E327" s="38">
        <v>7488847557</v>
      </c>
      <c r="F327" s="15"/>
      <c r="G327" s="38"/>
      <c r="H327" s="39"/>
      <c r="I327" s="38" t="s">
        <v>10171</v>
      </c>
      <c r="J327" s="15">
        <v>5500</v>
      </c>
      <c r="K327" s="15">
        <v>5500</v>
      </c>
      <c r="L327" s="15">
        <f t="shared" si="37"/>
        <v>0</v>
      </c>
      <c r="M327" s="15"/>
      <c r="N327" s="15">
        <v>4900</v>
      </c>
      <c r="O327" s="15">
        <v>4800</v>
      </c>
      <c r="P327" s="15">
        <f t="shared" si="38"/>
        <v>100</v>
      </c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8" customHeight="1" x14ac:dyDescent="0.35">
      <c r="A328" s="29">
        <v>45803</v>
      </c>
      <c r="B328" s="39">
        <v>2982263825</v>
      </c>
      <c r="C328" s="15" t="s">
        <v>10589</v>
      </c>
      <c r="D328" s="87">
        <v>36908</v>
      </c>
      <c r="E328" s="38">
        <v>7070138436</v>
      </c>
      <c r="F328" s="15" t="s">
        <v>10590</v>
      </c>
      <c r="G328" s="38"/>
      <c r="H328" s="39"/>
      <c r="I328" s="38">
        <v>2</v>
      </c>
      <c r="J328" s="15">
        <v>4200</v>
      </c>
      <c r="K328" s="15">
        <v>4200</v>
      </c>
      <c r="L328" s="15">
        <f t="shared" si="37"/>
        <v>0</v>
      </c>
      <c r="M328" s="15"/>
      <c r="N328" s="15">
        <v>3700</v>
      </c>
      <c r="O328" s="15">
        <v>3800</v>
      </c>
      <c r="P328" s="15">
        <f t="shared" si="38"/>
        <v>-100</v>
      </c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8" customHeight="1" x14ac:dyDescent="0.35">
      <c r="A329" s="29">
        <v>45886</v>
      </c>
      <c r="B329" s="39">
        <v>3306059725</v>
      </c>
      <c r="C329" s="15" t="s">
        <v>10592</v>
      </c>
      <c r="D329" s="87">
        <v>35598</v>
      </c>
      <c r="E329" s="38">
        <v>9508895922</v>
      </c>
      <c r="F329" s="15" t="s">
        <v>10375</v>
      </c>
      <c r="G329" s="38" t="s">
        <v>10593</v>
      </c>
      <c r="H329" s="39"/>
      <c r="I329" s="38" t="s">
        <v>10171</v>
      </c>
      <c r="J329" s="15">
        <v>5500</v>
      </c>
      <c r="K329" s="15">
        <f>3000+2500</f>
        <v>5500</v>
      </c>
      <c r="L329" s="15">
        <f t="shared" si="37"/>
        <v>0</v>
      </c>
      <c r="M329" s="15"/>
      <c r="N329" s="15">
        <v>4900</v>
      </c>
      <c r="O329" s="15">
        <f>2500+2400</f>
        <v>4900</v>
      </c>
      <c r="P329" s="15">
        <f t="shared" si="38"/>
        <v>0</v>
      </c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8" customHeight="1" x14ac:dyDescent="0.35">
      <c r="A330" s="29">
        <v>45889</v>
      </c>
      <c r="B330" s="39"/>
      <c r="C330" s="15" t="s">
        <v>10130</v>
      </c>
      <c r="D330" s="87">
        <v>20667</v>
      </c>
      <c r="E330" s="38">
        <v>9572880148</v>
      </c>
      <c r="F330" s="15"/>
      <c r="G330" s="38"/>
      <c r="H330" s="39"/>
      <c r="I330" s="38" t="s">
        <v>10186</v>
      </c>
      <c r="J330" s="15">
        <v>1700</v>
      </c>
      <c r="K330" s="15">
        <v>1500</v>
      </c>
      <c r="L330" s="15">
        <f t="shared" si="37"/>
        <v>200</v>
      </c>
      <c r="M330" s="15"/>
      <c r="N330" s="15">
        <v>1400</v>
      </c>
      <c r="O330" s="15">
        <v>1400</v>
      </c>
      <c r="P330" s="15">
        <f t="shared" si="38"/>
        <v>0</v>
      </c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8" customHeight="1" x14ac:dyDescent="0.35">
      <c r="A331" s="29">
        <v>45893</v>
      </c>
      <c r="B331" s="39">
        <v>3454464725</v>
      </c>
      <c r="C331" s="15" t="s">
        <v>10594</v>
      </c>
      <c r="D331" s="87">
        <v>28744</v>
      </c>
      <c r="E331" s="38">
        <v>9472725139</v>
      </c>
      <c r="F331" s="15"/>
      <c r="G331" s="38"/>
      <c r="H331" s="39" t="s">
        <v>10835</v>
      </c>
      <c r="I331" s="38" t="s">
        <v>10171</v>
      </c>
      <c r="J331" s="15">
        <v>5500</v>
      </c>
      <c r="K331" s="15">
        <f>3000+2500</f>
        <v>5500</v>
      </c>
      <c r="L331" s="15">
        <f t="shared" si="37"/>
        <v>0</v>
      </c>
      <c r="M331" s="15"/>
      <c r="N331" s="15">
        <v>4900</v>
      </c>
      <c r="O331" s="15">
        <f>2500+2400</f>
        <v>4900</v>
      </c>
      <c r="P331" s="15">
        <f t="shared" si="38"/>
        <v>0</v>
      </c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8" customHeight="1" x14ac:dyDescent="0.35">
      <c r="A332" s="29">
        <v>45894</v>
      </c>
      <c r="B332" s="39"/>
      <c r="C332" s="15" t="s">
        <v>10595</v>
      </c>
      <c r="D332" s="87"/>
      <c r="E332" s="38">
        <v>9934175803</v>
      </c>
      <c r="F332" s="15"/>
      <c r="G332" s="38"/>
      <c r="H332" s="39"/>
      <c r="I332" s="38" t="s">
        <v>10186</v>
      </c>
      <c r="J332" s="15">
        <v>1700</v>
      </c>
      <c r="K332" s="15">
        <v>1700</v>
      </c>
      <c r="L332" s="15">
        <f t="shared" si="37"/>
        <v>0</v>
      </c>
      <c r="M332" s="15"/>
      <c r="N332" s="15">
        <v>1400</v>
      </c>
      <c r="O332" s="15">
        <v>1400</v>
      </c>
      <c r="P332" s="15">
        <f t="shared" si="38"/>
        <v>0</v>
      </c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8" customHeight="1" x14ac:dyDescent="0.35">
      <c r="A333" s="138">
        <v>45897</v>
      </c>
      <c r="B333" s="128"/>
      <c r="C333" s="84" t="s">
        <v>10596</v>
      </c>
      <c r="D333" s="130"/>
      <c r="E333" s="95">
        <v>7004991878</v>
      </c>
      <c r="F333" s="84" t="s">
        <v>10597</v>
      </c>
      <c r="G333" s="95"/>
      <c r="H333" s="128"/>
      <c r="I333" s="38" t="s">
        <v>10598</v>
      </c>
      <c r="J333" s="15">
        <v>1800</v>
      </c>
      <c r="K333" s="15">
        <v>1800</v>
      </c>
      <c r="L333" s="15">
        <f t="shared" si="37"/>
        <v>0</v>
      </c>
      <c r="M333" s="15"/>
      <c r="N333" s="15">
        <v>1500</v>
      </c>
      <c r="O333" s="15">
        <v>1500</v>
      </c>
      <c r="P333" s="15">
        <f t="shared" si="38"/>
        <v>0</v>
      </c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8" customHeight="1" x14ac:dyDescent="0.35">
      <c r="A334" s="138">
        <v>45901</v>
      </c>
      <c r="B334" s="128"/>
      <c r="C334" s="84" t="s">
        <v>10599</v>
      </c>
      <c r="D334" s="130"/>
      <c r="E334" s="95">
        <v>9835545001</v>
      </c>
      <c r="F334" s="84"/>
      <c r="G334" s="95" t="s">
        <v>10254</v>
      </c>
      <c r="H334" s="39"/>
      <c r="I334" s="38" t="s">
        <v>10600</v>
      </c>
      <c r="J334" s="15">
        <v>6700</v>
      </c>
      <c r="K334" s="15">
        <v>5700</v>
      </c>
      <c r="L334" s="15">
        <f t="shared" si="37"/>
        <v>1000</v>
      </c>
      <c r="M334" s="15"/>
      <c r="N334" s="15">
        <f>6200+500</f>
        <v>6700</v>
      </c>
      <c r="O334" s="15">
        <f>5200+1500</f>
        <v>6700</v>
      </c>
      <c r="P334" s="15">
        <f t="shared" si="38"/>
        <v>0</v>
      </c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8" customHeight="1" x14ac:dyDescent="0.35">
      <c r="A335" s="29">
        <v>45902</v>
      </c>
      <c r="B335" s="39">
        <v>3602457525</v>
      </c>
      <c r="C335" s="15" t="s">
        <v>6240</v>
      </c>
      <c r="D335" s="87">
        <v>37972</v>
      </c>
      <c r="E335" s="38">
        <v>8863032106</v>
      </c>
      <c r="F335" s="15"/>
      <c r="G335" s="38"/>
      <c r="H335" s="39"/>
      <c r="I335" s="38" t="s">
        <v>10171</v>
      </c>
      <c r="J335" s="15">
        <v>5500</v>
      </c>
      <c r="K335" s="15">
        <f>3000+2500</f>
        <v>5500</v>
      </c>
      <c r="L335" s="15">
        <f t="shared" si="37"/>
        <v>0</v>
      </c>
      <c r="M335" s="15">
        <f>2500+2400+1600</f>
        <v>6500</v>
      </c>
      <c r="N335" s="15">
        <v>4900</v>
      </c>
      <c r="O335" s="15">
        <f>3000+1900</f>
        <v>4900</v>
      </c>
      <c r="P335" s="15">
        <f t="shared" si="38"/>
        <v>0</v>
      </c>
      <c r="Q335" s="15"/>
      <c r="R335" s="15">
        <f>2400+1900</f>
        <v>4300</v>
      </c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8" customHeight="1" x14ac:dyDescent="0.35">
      <c r="A336" s="128"/>
      <c r="B336" s="84">
        <v>4471766024</v>
      </c>
      <c r="C336" s="84" t="s">
        <v>8528</v>
      </c>
      <c r="D336" s="84">
        <v>33034</v>
      </c>
      <c r="E336" s="84">
        <v>9931321832</v>
      </c>
      <c r="F336" s="84" t="s">
        <v>10601</v>
      </c>
      <c r="G336" s="95" t="s">
        <v>10602</v>
      </c>
      <c r="H336" s="39"/>
      <c r="I336" s="38" t="s">
        <v>10171</v>
      </c>
      <c r="J336" s="15">
        <v>5500</v>
      </c>
      <c r="K336" s="15">
        <f>2500+3000</f>
        <v>5500</v>
      </c>
      <c r="L336" s="15">
        <f t="shared" si="37"/>
        <v>0</v>
      </c>
      <c r="M336" s="15"/>
      <c r="N336" s="15">
        <v>4800</v>
      </c>
      <c r="O336" s="15">
        <f>2500+2300</f>
        <v>4800</v>
      </c>
      <c r="P336" s="15">
        <f t="shared" si="38"/>
        <v>0</v>
      </c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8" customHeight="1" x14ac:dyDescent="0.35">
      <c r="A337" s="29">
        <v>45910</v>
      </c>
      <c r="B337" s="39">
        <v>3720614825</v>
      </c>
      <c r="C337" s="15" t="s">
        <v>10603</v>
      </c>
      <c r="D337" s="87">
        <v>36816</v>
      </c>
      <c r="E337" s="38">
        <v>6200269343</v>
      </c>
      <c r="F337" s="15" t="s">
        <v>10491</v>
      </c>
      <c r="G337" s="38" t="s">
        <v>10660</v>
      </c>
      <c r="H337" s="39"/>
      <c r="I337" s="38" t="s">
        <v>10171</v>
      </c>
      <c r="J337" s="15">
        <v>5500</v>
      </c>
      <c r="K337" s="15">
        <f>3000+2500</f>
        <v>5500</v>
      </c>
      <c r="L337" s="15">
        <f t="shared" si="37"/>
        <v>0</v>
      </c>
      <c r="M337" s="15"/>
      <c r="N337" s="15">
        <v>4900</v>
      </c>
      <c r="O337" s="15">
        <f>2500+2400</f>
        <v>4900</v>
      </c>
      <c r="P337" s="15">
        <f t="shared" si="38"/>
        <v>0</v>
      </c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8" customHeight="1" x14ac:dyDescent="0.35">
      <c r="A338" s="128"/>
      <c r="B338" s="128"/>
      <c r="C338" s="84" t="s">
        <v>10604</v>
      </c>
      <c r="D338" s="130">
        <v>21884</v>
      </c>
      <c r="E338" s="95">
        <v>9234611530</v>
      </c>
      <c r="F338" s="84" t="s">
        <v>99</v>
      </c>
      <c r="G338" s="130">
        <v>45966</v>
      </c>
      <c r="H338" s="39"/>
      <c r="I338" s="38" t="s">
        <v>8168</v>
      </c>
      <c r="J338" s="15">
        <v>1700</v>
      </c>
      <c r="K338" s="15">
        <v>1700</v>
      </c>
      <c r="L338" s="15">
        <f t="shared" si="37"/>
        <v>0</v>
      </c>
      <c r="M338" s="15"/>
      <c r="N338" s="15">
        <v>1400</v>
      </c>
      <c r="O338" s="15">
        <v>1400</v>
      </c>
      <c r="P338" s="15">
        <f t="shared" si="38"/>
        <v>0</v>
      </c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8" customHeight="1" x14ac:dyDescent="0.35">
      <c r="A339" s="29">
        <v>45924</v>
      </c>
      <c r="B339" s="39">
        <v>3948013325</v>
      </c>
      <c r="C339" s="15" t="s">
        <v>10605</v>
      </c>
      <c r="D339" s="87">
        <v>39311</v>
      </c>
      <c r="E339" s="38">
        <v>7488883630</v>
      </c>
      <c r="F339" s="15" t="s">
        <v>10736</v>
      </c>
      <c r="G339" s="38"/>
      <c r="H339" s="39"/>
      <c r="I339" s="38" t="s">
        <v>10171</v>
      </c>
      <c r="J339" s="15">
        <v>5500</v>
      </c>
      <c r="K339" s="15">
        <f>3000+2500</f>
        <v>5500</v>
      </c>
      <c r="L339" s="15">
        <f t="shared" si="37"/>
        <v>0</v>
      </c>
      <c r="M339" s="15"/>
      <c r="N339" s="15">
        <v>4900</v>
      </c>
      <c r="O339" s="15">
        <f>2500+2400</f>
        <v>4900</v>
      </c>
      <c r="P339" s="15">
        <f t="shared" si="38"/>
        <v>0</v>
      </c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8" customHeight="1" x14ac:dyDescent="0.35">
      <c r="A340" s="29">
        <v>45932</v>
      </c>
      <c r="B340" s="39">
        <v>5166202925</v>
      </c>
      <c r="C340" s="15" t="s">
        <v>4972</v>
      </c>
      <c r="D340" s="87">
        <v>37766</v>
      </c>
      <c r="E340" s="38">
        <v>7292872596</v>
      </c>
      <c r="F340" s="15" t="s">
        <v>10736</v>
      </c>
      <c r="G340" s="38"/>
      <c r="H340" s="39"/>
      <c r="I340" s="38" t="s">
        <v>10171</v>
      </c>
      <c r="J340" s="15">
        <v>5500</v>
      </c>
      <c r="K340" s="15">
        <f>3000+2500</f>
        <v>5500</v>
      </c>
      <c r="L340" s="15">
        <f t="shared" si="37"/>
        <v>0</v>
      </c>
      <c r="M340" s="15"/>
      <c r="N340" s="15">
        <f>4900+600</f>
        <v>5500</v>
      </c>
      <c r="O340" s="15">
        <f>2500+600+2400</f>
        <v>5500</v>
      </c>
      <c r="P340" s="15">
        <f t="shared" si="38"/>
        <v>0</v>
      </c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8" customHeight="1" x14ac:dyDescent="0.35">
      <c r="A341" s="138">
        <v>45934</v>
      </c>
      <c r="B341" s="128"/>
      <c r="C341" s="84" t="s">
        <v>10606</v>
      </c>
      <c r="D341" s="130"/>
      <c r="E341" s="95">
        <v>9835749353</v>
      </c>
      <c r="F341" s="84"/>
      <c r="G341" s="95"/>
      <c r="H341" s="39"/>
      <c r="I341" s="38" t="s">
        <v>10315</v>
      </c>
      <c r="J341" s="15">
        <f>2000+100</f>
        <v>2100</v>
      </c>
      <c r="K341" s="15">
        <v>2100</v>
      </c>
      <c r="L341" s="15">
        <f t="shared" si="37"/>
        <v>0</v>
      </c>
      <c r="M341" s="15"/>
      <c r="N341" s="15">
        <f>1500+100</f>
        <v>1600</v>
      </c>
      <c r="O341" s="15">
        <v>1600</v>
      </c>
      <c r="P341" s="15">
        <f t="shared" si="38"/>
        <v>0</v>
      </c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8" customHeight="1" x14ac:dyDescent="0.35">
      <c r="A342" s="39"/>
      <c r="B342" s="39"/>
      <c r="C342" s="15" t="s">
        <v>10516</v>
      </c>
      <c r="D342" s="87"/>
      <c r="E342" s="38">
        <v>9771187593</v>
      </c>
      <c r="F342" s="15" t="s">
        <v>10607</v>
      </c>
      <c r="G342" s="38"/>
      <c r="H342" s="39"/>
      <c r="I342" s="38" t="s">
        <v>10600</v>
      </c>
      <c r="J342" s="15">
        <f>18500+2500+2000</f>
        <v>23000</v>
      </c>
      <c r="K342" s="15">
        <v>3500</v>
      </c>
      <c r="L342" s="15">
        <f t="shared" si="37"/>
        <v>19500</v>
      </c>
      <c r="M342" s="15"/>
      <c r="N342" s="15">
        <f>18500+2500</f>
        <v>21000</v>
      </c>
      <c r="O342" s="15">
        <v>21000</v>
      </c>
      <c r="P342" s="15">
        <f t="shared" si="38"/>
        <v>0</v>
      </c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8" customHeight="1" x14ac:dyDescent="0.35">
      <c r="A343" s="39"/>
      <c r="B343" s="39">
        <v>4194430425</v>
      </c>
      <c r="C343" s="15" t="s">
        <v>10608</v>
      </c>
      <c r="D343" s="87">
        <v>35533</v>
      </c>
      <c r="E343" s="38">
        <v>8797130782</v>
      </c>
      <c r="F343" s="15"/>
      <c r="G343" s="38"/>
      <c r="H343" s="39"/>
      <c r="I343" s="38" t="s">
        <v>10171</v>
      </c>
      <c r="J343" s="15">
        <v>5500</v>
      </c>
      <c r="K343" s="15">
        <f>3000+2500</f>
        <v>5500</v>
      </c>
      <c r="L343" s="15">
        <f t="shared" si="37"/>
        <v>0</v>
      </c>
      <c r="M343" s="15"/>
      <c r="N343" s="15">
        <v>4900</v>
      </c>
      <c r="O343" s="15">
        <f>2500+2400</f>
        <v>4900</v>
      </c>
      <c r="P343" s="15">
        <f t="shared" si="38"/>
        <v>0</v>
      </c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8" customHeight="1" x14ac:dyDescent="0.35">
      <c r="A344" s="138">
        <v>45947</v>
      </c>
      <c r="B344" s="128"/>
      <c r="C344" s="84" t="s">
        <v>10609</v>
      </c>
      <c r="D344" s="130">
        <v>23991</v>
      </c>
      <c r="E344" s="95">
        <v>9431703155</v>
      </c>
      <c r="F344" s="84" t="s">
        <v>99</v>
      </c>
      <c r="G344" s="38"/>
      <c r="H344" s="39"/>
      <c r="I344" s="38" t="s">
        <v>8168</v>
      </c>
      <c r="J344" s="15">
        <v>2100</v>
      </c>
      <c r="K344" s="15">
        <v>2100</v>
      </c>
      <c r="L344" s="15">
        <f t="shared" si="37"/>
        <v>0</v>
      </c>
      <c r="M344" s="15"/>
      <c r="N344" s="15">
        <v>1900</v>
      </c>
      <c r="O344" s="15">
        <v>1900</v>
      </c>
      <c r="P344" s="15">
        <f t="shared" si="38"/>
        <v>0</v>
      </c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8" customHeight="1" x14ac:dyDescent="0.35">
      <c r="A345" s="128"/>
      <c r="B345" s="128"/>
      <c r="C345" s="84" t="s">
        <v>9270</v>
      </c>
      <c r="D345" s="130">
        <v>24473</v>
      </c>
      <c r="E345" s="95">
        <v>9304031034</v>
      </c>
      <c r="F345" s="84" t="s">
        <v>99</v>
      </c>
      <c r="G345" s="38"/>
      <c r="H345" s="39"/>
      <c r="I345" s="38" t="s">
        <v>10610</v>
      </c>
      <c r="J345" s="15">
        <v>5700</v>
      </c>
      <c r="K345" s="15">
        <v>5700</v>
      </c>
      <c r="L345" s="15">
        <f t="shared" si="37"/>
        <v>0</v>
      </c>
      <c r="M345" s="15"/>
      <c r="N345" s="15">
        <v>5200</v>
      </c>
      <c r="O345" s="15">
        <v>5200</v>
      </c>
      <c r="P345" s="15">
        <f t="shared" si="38"/>
        <v>0</v>
      </c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8" customHeight="1" x14ac:dyDescent="0.35">
      <c r="A346" s="39"/>
      <c r="B346" s="39"/>
      <c r="C346" s="15" t="s">
        <v>9789</v>
      </c>
      <c r="D346" s="87"/>
      <c r="E346" s="38">
        <v>9113112064</v>
      </c>
      <c r="F346" s="15"/>
      <c r="G346" s="38"/>
      <c r="H346" s="39"/>
      <c r="I346" s="38" t="s">
        <v>10186</v>
      </c>
      <c r="J346" s="15">
        <v>1700</v>
      </c>
      <c r="K346" s="15">
        <v>1700</v>
      </c>
      <c r="L346" s="15">
        <f t="shared" si="37"/>
        <v>0</v>
      </c>
      <c r="M346" s="15"/>
      <c r="N346" s="15">
        <v>1400</v>
      </c>
      <c r="O346" s="15">
        <v>1400</v>
      </c>
      <c r="P346" s="15">
        <f t="shared" si="38"/>
        <v>0</v>
      </c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8" customHeight="1" x14ac:dyDescent="0.35">
      <c r="A347" s="29">
        <v>45975</v>
      </c>
      <c r="B347" s="39">
        <v>4852528125</v>
      </c>
      <c r="C347" s="15" t="s">
        <v>10611</v>
      </c>
      <c r="D347" s="87">
        <v>19640</v>
      </c>
      <c r="E347" s="38">
        <v>9204268142</v>
      </c>
      <c r="F347" s="15"/>
      <c r="G347" s="38"/>
      <c r="H347" s="39"/>
      <c r="I347" s="38" t="s">
        <v>10186</v>
      </c>
      <c r="J347" s="15">
        <v>1700</v>
      </c>
      <c r="K347" s="15">
        <v>1700</v>
      </c>
      <c r="L347" s="15">
        <f t="shared" si="37"/>
        <v>0</v>
      </c>
      <c r="M347" s="15"/>
      <c r="N347" s="15">
        <v>1400</v>
      </c>
      <c r="O347" s="15">
        <v>1400</v>
      </c>
      <c r="P347" s="15">
        <f t="shared" ref="P347:P357" si="39">N347-O347</f>
        <v>0</v>
      </c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8" customHeight="1" x14ac:dyDescent="0.35">
      <c r="A348" s="39"/>
      <c r="B348" s="39"/>
      <c r="C348" s="15" t="s">
        <v>10612</v>
      </c>
      <c r="D348" s="87"/>
      <c r="E348" s="38">
        <v>9234739801</v>
      </c>
      <c r="F348" s="15" t="s">
        <v>10747</v>
      </c>
      <c r="G348" s="38"/>
      <c r="H348" s="39"/>
      <c r="I348" s="38" t="s">
        <v>10557</v>
      </c>
      <c r="J348" s="15"/>
      <c r="K348" s="15"/>
      <c r="L348" s="15">
        <f t="shared" si="37"/>
        <v>0</v>
      </c>
      <c r="M348" s="15"/>
      <c r="N348" s="15"/>
      <c r="O348" s="15"/>
      <c r="P348" s="15">
        <f t="shared" si="39"/>
        <v>0</v>
      </c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8" customHeight="1" x14ac:dyDescent="0.35">
      <c r="A349" s="39"/>
      <c r="B349" s="39">
        <v>4738683525</v>
      </c>
      <c r="C349" s="15" t="s">
        <v>10613</v>
      </c>
      <c r="D349" s="87">
        <v>37377</v>
      </c>
      <c r="E349" s="38">
        <v>9064450593</v>
      </c>
      <c r="F349" s="15" t="s">
        <v>10736</v>
      </c>
      <c r="G349" s="38"/>
      <c r="H349" s="39"/>
      <c r="I349" s="38" t="s">
        <v>10171</v>
      </c>
      <c r="J349" s="15">
        <v>5500</v>
      </c>
      <c r="K349" s="15">
        <f>3000+2500</f>
        <v>5500</v>
      </c>
      <c r="L349" s="15">
        <f t="shared" si="37"/>
        <v>0</v>
      </c>
      <c r="M349" s="15"/>
      <c r="N349" s="15">
        <v>4900</v>
      </c>
      <c r="O349" s="15">
        <f>2500+2400</f>
        <v>4900</v>
      </c>
      <c r="P349" s="15">
        <f t="shared" si="39"/>
        <v>0</v>
      </c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8" customHeight="1" x14ac:dyDescent="0.35">
      <c r="A350" s="128"/>
      <c r="B350" s="128">
        <v>4720142825</v>
      </c>
      <c r="C350" s="84" t="s">
        <v>10614</v>
      </c>
      <c r="D350" s="130">
        <v>45192</v>
      </c>
      <c r="E350" s="95">
        <v>8603865392</v>
      </c>
      <c r="F350" s="84" t="s">
        <v>11010</v>
      </c>
      <c r="G350" s="95">
        <v>159826326</v>
      </c>
      <c r="H350" s="128"/>
      <c r="I350" s="38" t="s">
        <v>10171</v>
      </c>
      <c r="J350" s="15">
        <v>5500</v>
      </c>
      <c r="K350" s="15">
        <v>3000</v>
      </c>
      <c r="L350" s="15">
        <f t="shared" si="37"/>
        <v>2500</v>
      </c>
      <c r="M350" s="15"/>
      <c r="N350" s="15">
        <v>4900</v>
      </c>
      <c r="O350" s="15">
        <f>2500+2400</f>
        <v>4900</v>
      </c>
      <c r="P350" s="15">
        <f t="shared" si="39"/>
        <v>0</v>
      </c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8" customHeight="1" x14ac:dyDescent="0.35">
      <c r="A351" s="39"/>
      <c r="B351" s="39">
        <v>4719019725</v>
      </c>
      <c r="C351" s="15" t="s">
        <v>10591</v>
      </c>
      <c r="D351" s="87">
        <v>32793</v>
      </c>
      <c r="E351" s="38"/>
      <c r="F351" s="15"/>
      <c r="G351" s="38"/>
      <c r="H351" s="39"/>
      <c r="I351" s="38" t="s">
        <v>10171</v>
      </c>
      <c r="J351" s="15">
        <f>5500+1150</f>
        <v>6650</v>
      </c>
      <c r="K351" s="15">
        <f>2500+3000</f>
        <v>5500</v>
      </c>
      <c r="L351" s="15">
        <f t="shared" ref="L351:L402" si="40">J351-K351</f>
        <v>1150</v>
      </c>
      <c r="M351" s="15"/>
      <c r="N351" s="15">
        <v>4900</v>
      </c>
      <c r="O351" s="15">
        <f>2500+2400</f>
        <v>4900</v>
      </c>
      <c r="P351" s="15">
        <f t="shared" si="39"/>
        <v>0</v>
      </c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8" customHeight="1" x14ac:dyDescent="0.35">
      <c r="A352" s="128"/>
      <c r="B352" s="128"/>
      <c r="C352" s="84" t="s">
        <v>10661</v>
      </c>
      <c r="D352" s="130"/>
      <c r="E352" s="95"/>
      <c r="F352" s="84"/>
      <c r="G352" s="95"/>
      <c r="H352" s="128"/>
      <c r="I352" s="95" t="s">
        <v>10186</v>
      </c>
      <c r="J352" s="15">
        <v>1700</v>
      </c>
      <c r="K352" s="15">
        <v>1700</v>
      </c>
      <c r="L352" s="15">
        <f t="shared" si="40"/>
        <v>0</v>
      </c>
      <c r="M352" s="15"/>
      <c r="N352" s="15">
        <v>1400</v>
      </c>
      <c r="O352" s="15">
        <v>1400</v>
      </c>
      <c r="P352" s="15">
        <f t="shared" si="39"/>
        <v>0</v>
      </c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8" customHeight="1" x14ac:dyDescent="0.35">
      <c r="A353" s="29">
        <v>45991</v>
      </c>
      <c r="B353" s="39">
        <v>4934662925</v>
      </c>
      <c r="C353" s="15" t="s">
        <v>10672</v>
      </c>
      <c r="D353" s="87">
        <v>31675</v>
      </c>
      <c r="E353" s="38">
        <v>9661947920</v>
      </c>
      <c r="F353" s="15"/>
      <c r="G353" s="38"/>
      <c r="H353" s="39"/>
      <c r="I353" s="38" t="s">
        <v>10171</v>
      </c>
      <c r="J353" s="15">
        <v>5500</v>
      </c>
      <c r="K353" s="15">
        <v>5500</v>
      </c>
      <c r="L353" s="15">
        <f t="shared" si="40"/>
        <v>0</v>
      </c>
      <c r="M353" s="15"/>
      <c r="N353" s="15">
        <v>4900</v>
      </c>
      <c r="O353" s="15">
        <v>4900</v>
      </c>
      <c r="P353" s="15">
        <f t="shared" si="39"/>
        <v>0</v>
      </c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8" customHeight="1" x14ac:dyDescent="0.35">
      <c r="A354" s="29">
        <v>45993</v>
      </c>
      <c r="B354" s="39"/>
      <c r="C354" s="15" t="s">
        <v>10690</v>
      </c>
      <c r="D354" s="87"/>
      <c r="E354" s="38">
        <v>9162138310</v>
      </c>
      <c r="F354" s="15"/>
      <c r="G354" s="38"/>
      <c r="H354" s="39"/>
      <c r="I354" s="38" t="s">
        <v>10114</v>
      </c>
      <c r="J354" s="15">
        <v>1700</v>
      </c>
      <c r="K354" s="15">
        <v>1700</v>
      </c>
      <c r="L354" s="15">
        <f t="shared" si="40"/>
        <v>0</v>
      </c>
      <c r="M354" s="15"/>
      <c r="N354" s="15">
        <v>1400</v>
      </c>
      <c r="O354" s="15">
        <v>1400</v>
      </c>
      <c r="P354" s="15">
        <f t="shared" si="39"/>
        <v>0</v>
      </c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8" customHeight="1" x14ac:dyDescent="0.35">
      <c r="A355" s="138">
        <v>45995</v>
      </c>
      <c r="B355" s="128">
        <v>4999081425</v>
      </c>
      <c r="C355" s="84" t="s">
        <v>10722</v>
      </c>
      <c r="D355" s="130">
        <v>35291</v>
      </c>
      <c r="E355" s="95">
        <v>7859056775</v>
      </c>
      <c r="F355" s="84"/>
      <c r="G355" s="95"/>
      <c r="H355" s="128"/>
      <c r="I355" s="38" t="s">
        <v>10171</v>
      </c>
      <c r="J355" s="15">
        <v>5500</v>
      </c>
      <c r="K355" s="15">
        <f>3000+2500</f>
        <v>5500</v>
      </c>
      <c r="L355" s="15">
        <f t="shared" si="40"/>
        <v>0</v>
      </c>
      <c r="M355" s="15"/>
      <c r="N355" s="15">
        <v>4900</v>
      </c>
      <c r="O355" s="15">
        <f>2500+2400</f>
        <v>4900</v>
      </c>
      <c r="P355" s="15">
        <f t="shared" si="39"/>
        <v>0</v>
      </c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8" customHeight="1" x14ac:dyDescent="0.35">
      <c r="A356" s="29">
        <v>46007</v>
      </c>
      <c r="B356" s="39"/>
      <c r="C356" s="15" t="s">
        <v>10745</v>
      </c>
      <c r="D356" s="87">
        <v>22990</v>
      </c>
      <c r="E356" s="38">
        <v>8340190248</v>
      </c>
      <c r="F356" s="15" t="s">
        <v>10882</v>
      </c>
      <c r="G356" s="38"/>
      <c r="H356" s="39"/>
      <c r="I356" s="38" t="s">
        <v>10114</v>
      </c>
      <c r="J356" s="15">
        <v>1700</v>
      </c>
      <c r="K356" s="15">
        <v>1700</v>
      </c>
      <c r="L356" s="15">
        <f t="shared" si="40"/>
        <v>0</v>
      </c>
      <c r="M356" s="15"/>
      <c r="N356" s="15">
        <v>1400</v>
      </c>
      <c r="O356" s="15">
        <v>1400</v>
      </c>
      <c r="P356" s="15">
        <f t="shared" si="39"/>
        <v>0</v>
      </c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8" customHeight="1" x14ac:dyDescent="0.35">
      <c r="A357" s="138">
        <v>46007</v>
      </c>
      <c r="B357" s="128"/>
      <c r="C357" s="84" t="s">
        <v>10746</v>
      </c>
      <c r="D357" s="130">
        <v>27134</v>
      </c>
      <c r="E357" s="95">
        <v>9430157215</v>
      </c>
      <c r="F357" s="84"/>
      <c r="G357" s="95"/>
      <c r="H357" s="128"/>
      <c r="I357" s="38" t="s">
        <v>10557</v>
      </c>
      <c r="J357" s="15">
        <v>6500</v>
      </c>
      <c r="K357" s="15">
        <v>5700</v>
      </c>
      <c r="L357" s="15">
        <f t="shared" si="40"/>
        <v>800</v>
      </c>
      <c r="M357" s="15"/>
      <c r="N357" s="15">
        <v>5200</v>
      </c>
      <c r="O357" s="15">
        <v>0</v>
      </c>
      <c r="P357" s="15">
        <f t="shared" si="39"/>
        <v>5200</v>
      </c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8" customHeight="1" x14ac:dyDescent="0.35">
      <c r="A358" s="29">
        <v>46009</v>
      </c>
      <c r="B358" s="39">
        <v>5244498425</v>
      </c>
      <c r="C358" s="15" t="s">
        <v>10748</v>
      </c>
      <c r="D358" s="87">
        <v>30320</v>
      </c>
      <c r="E358" s="38">
        <v>8715999322</v>
      </c>
      <c r="F358" s="15" t="s">
        <v>11090</v>
      </c>
      <c r="G358" s="38"/>
      <c r="H358" s="39"/>
      <c r="I358" s="38" t="s">
        <v>10171</v>
      </c>
      <c r="J358" s="15">
        <v>5500</v>
      </c>
      <c r="K358" s="15">
        <v>5500</v>
      </c>
      <c r="L358" s="15">
        <f t="shared" si="40"/>
        <v>0</v>
      </c>
      <c r="M358" s="15"/>
      <c r="N358" s="15">
        <v>4900</v>
      </c>
      <c r="O358" s="15">
        <v>4900</v>
      </c>
      <c r="P358" s="15">
        <f t="shared" ref="P358:P409" si="41">N358-O358</f>
        <v>0</v>
      </c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8" customHeight="1" x14ac:dyDescent="0.35">
      <c r="A359" s="29">
        <v>46009</v>
      </c>
      <c r="B359" s="39">
        <v>5259147525</v>
      </c>
      <c r="C359" s="15" t="s">
        <v>6791</v>
      </c>
      <c r="D359" s="87">
        <v>37930</v>
      </c>
      <c r="E359" s="38">
        <v>9835566129</v>
      </c>
      <c r="F359" s="15"/>
      <c r="G359" s="38"/>
      <c r="H359" s="39"/>
      <c r="I359" s="38"/>
      <c r="J359" s="15">
        <v>5500</v>
      </c>
      <c r="K359" s="15">
        <v>3000</v>
      </c>
      <c r="L359" s="15">
        <f t="shared" si="40"/>
        <v>2500</v>
      </c>
      <c r="M359" s="15"/>
      <c r="N359" s="15">
        <v>4900</v>
      </c>
      <c r="O359" s="15">
        <v>2500</v>
      </c>
      <c r="P359" s="15">
        <f t="shared" si="41"/>
        <v>2400</v>
      </c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8" customHeight="1" x14ac:dyDescent="0.35">
      <c r="A360" s="29">
        <v>46132</v>
      </c>
      <c r="B360" s="39">
        <v>1707266226</v>
      </c>
      <c r="C360" s="15" t="s">
        <v>10836</v>
      </c>
      <c r="D360" s="87">
        <v>38801</v>
      </c>
      <c r="E360" s="38">
        <v>9229987525</v>
      </c>
      <c r="F360" s="15" t="s">
        <v>11278</v>
      </c>
      <c r="G360" s="38"/>
      <c r="H360" s="39"/>
      <c r="I360" s="38" t="s">
        <v>10171</v>
      </c>
      <c r="J360" s="15">
        <v>5500</v>
      </c>
      <c r="K360" s="15">
        <f>2500+3000</f>
        <v>5500</v>
      </c>
      <c r="L360" s="15">
        <f t="shared" si="40"/>
        <v>0</v>
      </c>
      <c r="M360" s="15"/>
      <c r="N360" s="15">
        <v>4900</v>
      </c>
      <c r="O360" s="15">
        <f>2500+2400</f>
        <v>4900</v>
      </c>
      <c r="P360" s="15">
        <f t="shared" si="41"/>
        <v>0</v>
      </c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8" customHeight="1" x14ac:dyDescent="0.35">
      <c r="A361" s="29">
        <v>46027</v>
      </c>
      <c r="B361" s="39"/>
      <c r="C361" s="15" t="s">
        <v>10838</v>
      </c>
      <c r="D361" s="87">
        <v>27764</v>
      </c>
      <c r="E361" s="38">
        <v>9939261027</v>
      </c>
      <c r="F361" s="15" t="s">
        <v>10889</v>
      </c>
      <c r="G361" s="38"/>
      <c r="H361" s="39"/>
      <c r="I361" s="38" t="s">
        <v>10837</v>
      </c>
      <c r="J361" s="15">
        <f>1700+300</f>
        <v>2000</v>
      </c>
      <c r="K361" s="15">
        <f>1700+300</f>
        <v>2000</v>
      </c>
      <c r="L361" s="15">
        <f t="shared" si="40"/>
        <v>0</v>
      </c>
      <c r="M361" s="15"/>
      <c r="N361" s="15">
        <f>1400+250</f>
        <v>1650</v>
      </c>
      <c r="O361" s="15">
        <v>1650</v>
      </c>
      <c r="P361" s="15">
        <f t="shared" si="41"/>
        <v>0</v>
      </c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8" customHeight="1" x14ac:dyDescent="0.35">
      <c r="A362" s="128"/>
      <c r="B362" s="128"/>
      <c r="C362" s="84" t="s">
        <v>10094</v>
      </c>
      <c r="D362" s="130"/>
      <c r="E362" s="95">
        <v>9608931932</v>
      </c>
      <c r="F362" s="84"/>
      <c r="G362" s="95"/>
      <c r="H362" s="128"/>
      <c r="I362" s="38" t="s">
        <v>10464</v>
      </c>
      <c r="J362" s="15">
        <v>500</v>
      </c>
      <c r="K362" s="15"/>
      <c r="L362" s="15">
        <f t="shared" si="40"/>
        <v>500</v>
      </c>
      <c r="M362" s="15"/>
      <c r="N362" s="15" t="s">
        <v>10952</v>
      </c>
      <c r="O362" s="15">
        <v>0</v>
      </c>
      <c r="P362" s="15" t="e">
        <f t="shared" si="41"/>
        <v>#VALUE!</v>
      </c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8" customHeight="1" x14ac:dyDescent="0.35">
      <c r="A363" s="29">
        <v>46114</v>
      </c>
      <c r="B363" s="39">
        <v>1440269126</v>
      </c>
      <c r="C363" s="15" t="s">
        <v>10857</v>
      </c>
      <c r="D363" s="280">
        <v>36850</v>
      </c>
      <c r="E363" s="38">
        <v>6205843309</v>
      </c>
      <c r="F363" s="15"/>
      <c r="G363" s="38"/>
      <c r="H363" s="39"/>
      <c r="I363" s="97" t="s">
        <v>10171</v>
      </c>
      <c r="J363" s="15">
        <v>5500</v>
      </c>
      <c r="K363" s="15">
        <f>3000+2500</f>
        <v>5500</v>
      </c>
      <c r="L363" s="15">
        <f t="shared" si="40"/>
        <v>0</v>
      </c>
      <c r="M363" s="15"/>
      <c r="N363" s="15">
        <v>4900</v>
      </c>
      <c r="O363" s="15">
        <f>2500+2400</f>
        <v>4900</v>
      </c>
      <c r="P363" s="15">
        <f t="shared" si="41"/>
        <v>0</v>
      </c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8" customHeight="1" x14ac:dyDescent="0.35">
      <c r="A364" s="29">
        <v>46037</v>
      </c>
      <c r="B364" s="39">
        <v>1151767026</v>
      </c>
      <c r="C364" s="15" t="s">
        <v>10881</v>
      </c>
      <c r="D364" s="87">
        <v>38812</v>
      </c>
      <c r="E364" s="38">
        <v>9153030040</v>
      </c>
      <c r="F364" s="15" t="s">
        <v>11032</v>
      </c>
      <c r="G364" s="38"/>
      <c r="H364" s="39"/>
      <c r="I364" s="97" t="s">
        <v>10171</v>
      </c>
      <c r="J364" s="15">
        <v>5500</v>
      </c>
      <c r="K364" s="15">
        <f>3000+2500</f>
        <v>5500</v>
      </c>
      <c r="L364" s="15">
        <f t="shared" si="40"/>
        <v>0</v>
      </c>
      <c r="M364" s="15"/>
      <c r="N364" s="15">
        <v>4900</v>
      </c>
      <c r="O364" s="15">
        <f>2500+2500</f>
        <v>5000</v>
      </c>
      <c r="P364" s="15">
        <f t="shared" si="41"/>
        <v>-100</v>
      </c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8" customHeight="1" x14ac:dyDescent="0.35">
      <c r="A365" s="29">
        <v>46039</v>
      </c>
      <c r="B365" s="39"/>
      <c r="C365" s="15" t="s">
        <v>10883</v>
      </c>
      <c r="D365" s="87">
        <v>23877</v>
      </c>
      <c r="E365" s="38">
        <v>9431568317</v>
      </c>
      <c r="F365" s="15"/>
      <c r="G365" s="38"/>
      <c r="H365" s="39"/>
      <c r="I365" s="38" t="s">
        <v>8168</v>
      </c>
      <c r="J365" s="15">
        <v>1700</v>
      </c>
      <c r="K365" s="15">
        <v>1700</v>
      </c>
      <c r="L365" s="15">
        <f t="shared" si="40"/>
        <v>0</v>
      </c>
      <c r="M365" s="15"/>
      <c r="N365" s="15">
        <v>1400</v>
      </c>
      <c r="O365" s="15">
        <v>1400</v>
      </c>
      <c r="P365" s="15">
        <f t="shared" si="41"/>
        <v>0</v>
      </c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8" customHeight="1" x14ac:dyDescent="0.35">
      <c r="A366" s="29">
        <v>46042</v>
      </c>
      <c r="B366" s="39">
        <v>1300416726</v>
      </c>
      <c r="C366" s="15" t="s">
        <v>10886</v>
      </c>
      <c r="D366" s="87">
        <v>33236</v>
      </c>
      <c r="E366" s="38">
        <v>9709900561</v>
      </c>
      <c r="F366" s="15" t="s">
        <v>10375</v>
      </c>
      <c r="G366" s="38"/>
      <c r="H366" s="39"/>
      <c r="I366" s="38" t="s">
        <v>10171</v>
      </c>
      <c r="J366" s="15">
        <v>5500</v>
      </c>
      <c r="K366" s="15">
        <f>2500+3000</f>
        <v>5500</v>
      </c>
      <c r="L366" s="15">
        <f t="shared" si="40"/>
        <v>0</v>
      </c>
      <c r="M366" s="15"/>
      <c r="N366" s="15">
        <v>4900</v>
      </c>
      <c r="O366" s="15">
        <f>2500+2400</f>
        <v>4900</v>
      </c>
      <c r="P366" s="15">
        <f t="shared" si="41"/>
        <v>0</v>
      </c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8" customHeight="1" x14ac:dyDescent="0.35">
      <c r="A367" s="29">
        <v>46042</v>
      </c>
      <c r="B367" s="39">
        <v>1300505626</v>
      </c>
      <c r="C367" s="15" t="s">
        <v>10887</v>
      </c>
      <c r="D367" s="87">
        <v>31856</v>
      </c>
      <c r="E367" s="38">
        <v>8235600756</v>
      </c>
      <c r="F367" s="15" t="s">
        <v>10375</v>
      </c>
      <c r="G367" s="38"/>
      <c r="H367" s="39"/>
      <c r="I367" s="38" t="s">
        <v>10171</v>
      </c>
      <c r="J367" s="15">
        <v>5500</v>
      </c>
      <c r="K367" s="15">
        <f>3000+2500</f>
        <v>5500</v>
      </c>
      <c r="L367" s="15">
        <f t="shared" si="40"/>
        <v>0</v>
      </c>
      <c r="M367" s="15"/>
      <c r="N367" s="15">
        <v>4900</v>
      </c>
      <c r="O367" s="15">
        <f>2500+2400</f>
        <v>4900</v>
      </c>
      <c r="P367" s="15">
        <f t="shared" si="41"/>
        <v>0</v>
      </c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8" customHeight="1" x14ac:dyDescent="0.35">
      <c r="A368" s="138">
        <v>46043</v>
      </c>
      <c r="B368" s="128"/>
      <c r="C368" s="84" t="s">
        <v>10888</v>
      </c>
      <c r="D368" s="130"/>
      <c r="E368" s="95">
        <v>9955465206</v>
      </c>
      <c r="F368" s="84"/>
      <c r="G368" s="95"/>
      <c r="H368" s="128"/>
      <c r="I368" s="95" t="s">
        <v>8168</v>
      </c>
      <c r="J368" s="84">
        <v>1700</v>
      </c>
      <c r="K368" s="84">
        <v>1700</v>
      </c>
      <c r="L368" s="84">
        <f t="shared" si="40"/>
        <v>0</v>
      </c>
      <c r="M368" s="15"/>
      <c r="N368" s="15">
        <v>1400</v>
      </c>
      <c r="O368" s="15">
        <v>1400</v>
      </c>
      <c r="P368" s="15">
        <f t="shared" si="41"/>
        <v>0</v>
      </c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8" customHeight="1" x14ac:dyDescent="0.35">
      <c r="A369" s="29">
        <v>46057</v>
      </c>
      <c r="B369" s="39"/>
      <c r="C369" s="15" t="s">
        <v>10934</v>
      </c>
      <c r="D369" s="87">
        <v>34801</v>
      </c>
      <c r="E369" s="38">
        <v>9204671368</v>
      </c>
      <c r="F369" s="15" t="s">
        <v>10375</v>
      </c>
      <c r="G369" s="38"/>
      <c r="H369" s="39"/>
      <c r="I369" s="38" t="s">
        <v>10171</v>
      </c>
      <c r="J369" s="15">
        <v>5500</v>
      </c>
      <c r="K369" s="15">
        <f>3000+2500</f>
        <v>5500</v>
      </c>
      <c r="L369" s="15">
        <f t="shared" si="40"/>
        <v>0</v>
      </c>
      <c r="M369" s="15"/>
      <c r="N369" s="15">
        <v>4900</v>
      </c>
      <c r="O369" s="15">
        <f>2500+2400</f>
        <v>4900</v>
      </c>
      <c r="P369" s="15">
        <f t="shared" si="41"/>
        <v>0</v>
      </c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8" customHeight="1" x14ac:dyDescent="0.35">
      <c r="A370" s="29">
        <v>46057</v>
      </c>
      <c r="B370" s="39">
        <v>546832826</v>
      </c>
      <c r="C370" s="15" t="s">
        <v>10935</v>
      </c>
      <c r="D370" s="87">
        <v>31253</v>
      </c>
      <c r="E370" s="38">
        <v>9204671368</v>
      </c>
      <c r="F370" s="15" t="s">
        <v>11093</v>
      </c>
      <c r="G370" s="38"/>
      <c r="H370" s="39"/>
      <c r="I370" s="38" t="s">
        <v>10171</v>
      </c>
      <c r="J370" s="15">
        <v>5500</v>
      </c>
      <c r="K370" s="15">
        <f>3000+2500</f>
        <v>5500</v>
      </c>
      <c r="L370" s="15">
        <f t="shared" si="40"/>
        <v>0</v>
      </c>
      <c r="M370" s="15"/>
      <c r="N370" s="15">
        <v>4900</v>
      </c>
      <c r="O370" s="15">
        <f>2500+2400</f>
        <v>4900</v>
      </c>
      <c r="P370" s="15">
        <f t="shared" si="41"/>
        <v>0</v>
      </c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8" customHeight="1" x14ac:dyDescent="0.35">
      <c r="A371" s="128"/>
      <c r="B371" s="128"/>
      <c r="C371" s="84" t="s">
        <v>11106</v>
      </c>
      <c r="D371" s="130">
        <v>1976</v>
      </c>
      <c r="E371" s="95">
        <v>7052231332</v>
      </c>
      <c r="F371" s="84" t="s">
        <v>11107</v>
      </c>
      <c r="G371" s="95"/>
      <c r="H371" s="128"/>
      <c r="I371" s="95" t="s">
        <v>10186</v>
      </c>
      <c r="J371" s="15">
        <v>3000</v>
      </c>
      <c r="K371" s="15">
        <v>3000</v>
      </c>
      <c r="L371" s="15">
        <f t="shared" si="40"/>
        <v>0</v>
      </c>
      <c r="M371" s="15"/>
      <c r="N371" s="15">
        <v>2700</v>
      </c>
      <c r="O371" s="15">
        <v>2700</v>
      </c>
      <c r="P371" s="15">
        <f t="shared" si="41"/>
        <v>0</v>
      </c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8" customHeight="1" x14ac:dyDescent="0.35">
      <c r="A372" s="29">
        <v>46097</v>
      </c>
      <c r="B372" s="39"/>
      <c r="C372" s="15" t="s">
        <v>11009</v>
      </c>
      <c r="D372" s="87">
        <v>28881</v>
      </c>
      <c r="E372" s="38">
        <v>9204939281</v>
      </c>
      <c r="F372" s="15" t="s">
        <v>9902</v>
      </c>
      <c r="G372" s="38"/>
      <c r="H372" s="39">
        <f>2400+2400+5200</f>
        <v>10000</v>
      </c>
      <c r="I372" s="38" t="s">
        <v>10600</v>
      </c>
      <c r="J372" s="15">
        <v>5700</v>
      </c>
      <c r="K372" s="15">
        <v>5700</v>
      </c>
      <c r="L372" s="15">
        <f t="shared" si="40"/>
        <v>0</v>
      </c>
      <c r="M372" s="15"/>
      <c r="N372" s="15">
        <v>5200</v>
      </c>
      <c r="O372" s="15">
        <v>5200</v>
      </c>
      <c r="P372" s="15">
        <f t="shared" si="41"/>
        <v>0</v>
      </c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8" customHeight="1" x14ac:dyDescent="0.35">
      <c r="A373" s="29">
        <v>46099</v>
      </c>
      <c r="B373" s="39">
        <v>2241533126</v>
      </c>
      <c r="C373" s="15" t="s">
        <v>11031</v>
      </c>
      <c r="D373" s="87">
        <v>37545</v>
      </c>
      <c r="E373" s="38">
        <v>8210078816</v>
      </c>
      <c r="F373" s="15" t="s">
        <v>10375</v>
      </c>
      <c r="G373" s="38"/>
      <c r="H373" s="39"/>
      <c r="I373" s="38" t="s">
        <v>10171</v>
      </c>
      <c r="J373" s="15">
        <v>5500</v>
      </c>
      <c r="K373" s="15">
        <f>2500+3000</f>
        <v>5500</v>
      </c>
      <c r="L373" s="15">
        <f t="shared" si="40"/>
        <v>0</v>
      </c>
      <c r="M373" s="15"/>
      <c r="N373" s="15">
        <v>4900</v>
      </c>
      <c r="O373" s="15">
        <f>2500+2400</f>
        <v>4900</v>
      </c>
      <c r="P373" s="15">
        <f t="shared" si="41"/>
        <v>0</v>
      </c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8" customHeight="1" x14ac:dyDescent="0.35">
      <c r="A374" s="29">
        <v>46107</v>
      </c>
      <c r="B374" s="39">
        <v>1352946226</v>
      </c>
      <c r="C374" s="15" t="s">
        <v>3301</v>
      </c>
      <c r="D374" s="87">
        <v>31828</v>
      </c>
      <c r="E374" s="38">
        <v>9709856869</v>
      </c>
      <c r="F374" s="15"/>
      <c r="G374" s="38"/>
      <c r="H374" s="39"/>
      <c r="I374" s="38" t="s">
        <v>10171</v>
      </c>
      <c r="J374" s="15">
        <v>5500</v>
      </c>
      <c r="K374" s="15">
        <v>3000</v>
      </c>
      <c r="L374" s="15">
        <f t="shared" si="40"/>
        <v>2500</v>
      </c>
      <c r="M374" s="15"/>
      <c r="N374" s="15">
        <v>4900</v>
      </c>
      <c r="O374" s="15">
        <v>2500</v>
      </c>
      <c r="P374" s="15">
        <f t="shared" si="41"/>
        <v>2400</v>
      </c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8" customHeight="1" x14ac:dyDescent="0.35">
      <c r="A375" s="29">
        <v>46111</v>
      </c>
      <c r="B375" s="39">
        <v>2415074226</v>
      </c>
      <c r="C375" s="15" t="s">
        <v>11080</v>
      </c>
      <c r="D375" s="87">
        <v>20487</v>
      </c>
      <c r="E375" s="38">
        <v>9304505205</v>
      </c>
      <c r="F375" s="15" t="s">
        <v>11193</v>
      </c>
      <c r="G375" s="38"/>
      <c r="H375" s="39"/>
      <c r="I375" s="38">
        <v>2</v>
      </c>
      <c r="J375" s="15">
        <v>4200</v>
      </c>
      <c r="K375" s="15">
        <v>4200</v>
      </c>
      <c r="L375" s="15">
        <f t="shared" si="40"/>
        <v>0</v>
      </c>
      <c r="M375" s="15"/>
      <c r="N375" s="15">
        <v>3700</v>
      </c>
      <c r="O375" s="15">
        <v>3700</v>
      </c>
      <c r="P375" s="15">
        <f t="shared" si="41"/>
        <v>0</v>
      </c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8" customHeight="1" x14ac:dyDescent="0.35">
      <c r="A376" s="29">
        <v>46117</v>
      </c>
      <c r="B376" s="39"/>
      <c r="C376" s="15" t="s">
        <v>11081</v>
      </c>
      <c r="D376" s="87"/>
      <c r="E376" s="38">
        <v>9234612103</v>
      </c>
      <c r="F376" s="15"/>
      <c r="G376" s="38"/>
      <c r="H376" s="39"/>
      <c r="I376" s="38" t="s">
        <v>11082</v>
      </c>
      <c r="J376" s="15">
        <v>1900</v>
      </c>
      <c r="K376" s="15">
        <v>1900</v>
      </c>
      <c r="L376" s="15">
        <f t="shared" si="40"/>
        <v>0</v>
      </c>
      <c r="M376" s="431"/>
      <c r="N376" s="15">
        <v>1600</v>
      </c>
      <c r="O376" s="15">
        <v>1600</v>
      </c>
      <c r="P376" s="15">
        <f t="shared" si="41"/>
        <v>0</v>
      </c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8" customHeight="1" x14ac:dyDescent="0.35">
      <c r="A377" s="29">
        <v>46126</v>
      </c>
      <c r="B377" s="39">
        <v>3227413026</v>
      </c>
      <c r="C377" s="15" t="s">
        <v>11092</v>
      </c>
      <c r="D377" s="87">
        <v>35650</v>
      </c>
      <c r="E377" s="38">
        <v>8210406021</v>
      </c>
      <c r="F377" s="31">
        <v>46293</v>
      </c>
      <c r="G377" s="535" t="s">
        <v>11432</v>
      </c>
      <c r="H377" s="39"/>
      <c r="I377" s="38" t="s">
        <v>10171</v>
      </c>
      <c r="J377" s="15">
        <v>5500</v>
      </c>
      <c r="K377" s="15">
        <v>3000</v>
      </c>
      <c r="L377" s="15">
        <f t="shared" si="40"/>
        <v>2500</v>
      </c>
      <c r="M377" s="15"/>
      <c r="N377" s="15">
        <v>4900</v>
      </c>
      <c r="O377" s="15">
        <f>2500+2400</f>
        <v>4900</v>
      </c>
      <c r="P377" s="15">
        <f t="shared" si="41"/>
        <v>0</v>
      </c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8" customHeight="1" x14ac:dyDescent="0.35">
      <c r="A378" s="29">
        <v>46127</v>
      </c>
      <c r="B378" s="39">
        <v>1640008626</v>
      </c>
      <c r="C378" s="15" t="s">
        <v>237</v>
      </c>
      <c r="D378" s="87">
        <v>27184</v>
      </c>
      <c r="E378" s="38">
        <v>9279561760</v>
      </c>
      <c r="F378" s="550" t="s">
        <v>11091</v>
      </c>
      <c r="G378" s="551" t="s">
        <v>11252</v>
      </c>
      <c r="H378" s="39"/>
      <c r="I378" s="38" t="s">
        <v>10171</v>
      </c>
      <c r="J378" s="15">
        <v>5500</v>
      </c>
      <c r="K378" s="15">
        <f>3000+2500</f>
        <v>5500</v>
      </c>
      <c r="L378" s="15">
        <f t="shared" si="40"/>
        <v>0</v>
      </c>
      <c r="M378" s="15"/>
      <c r="N378" s="15">
        <v>4900</v>
      </c>
      <c r="O378" s="15">
        <v>2500</v>
      </c>
      <c r="P378" s="15">
        <f t="shared" si="41"/>
        <v>2400</v>
      </c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8" customHeight="1" x14ac:dyDescent="0.35">
      <c r="A379" s="29">
        <v>46130</v>
      </c>
      <c r="B379" s="39"/>
      <c r="C379" s="84" t="s">
        <v>10596</v>
      </c>
      <c r="E379" s="38">
        <v>9002236840</v>
      </c>
      <c r="F379" s="15"/>
      <c r="G379" s="38"/>
      <c r="H379" s="39"/>
      <c r="I379" s="38" t="s">
        <v>10600</v>
      </c>
      <c r="J379" s="15">
        <v>5700</v>
      </c>
      <c r="K379" s="15">
        <v>5200</v>
      </c>
      <c r="L379" s="15">
        <f t="shared" si="40"/>
        <v>500</v>
      </c>
      <c r="N379" s="15">
        <v>5200</v>
      </c>
      <c r="O379" s="15">
        <v>5200</v>
      </c>
      <c r="P379" s="15">
        <f t="shared" si="41"/>
        <v>0</v>
      </c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8" customHeight="1" x14ac:dyDescent="0.35">
      <c r="A380" s="39"/>
      <c r="B380" s="107">
        <v>2617396826</v>
      </c>
      <c r="C380" s="15" t="s">
        <v>11109</v>
      </c>
      <c r="D380" s="87">
        <v>28541</v>
      </c>
      <c r="E380" s="38">
        <v>9122662544</v>
      </c>
      <c r="F380" s="15" t="s">
        <v>10736</v>
      </c>
      <c r="G380" s="38"/>
      <c r="H380" s="39"/>
      <c r="I380" s="38" t="s">
        <v>10171</v>
      </c>
      <c r="J380" s="15">
        <v>5500</v>
      </c>
      <c r="K380" s="15">
        <v>3000</v>
      </c>
      <c r="L380" s="15">
        <f t="shared" si="40"/>
        <v>2500</v>
      </c>
      <c r="M380" s="15"/>
      <c r="N380" s="15">
        <v>4900</v>
      </c>
      <c r="O380" s="15">
        <v>2500</v>
      </c>
      <c r="P380" s="15">
        <f t="shared" si="41"/>
        <v>2400</v>
      </c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8" customHeight="1" x14ac:dyDescent="0.35">
      <c r="A381" s="29">
        <v>46237</v>
      </c>
      <c r="B381" s="39">
        <v>3495854226</v>
      </c>
      <c r="C381" s="15" t="s">
        <v>11195</v>
      </c>
      <c r="D381" s="87">
        <v>30233</v>
      </c>
      <c r="E381" s="38">
        <v>9162186859</v>
      </c>
      <c r="F381" s="15" t="s">
        <v>10736</v>
      </c>
      <c r="G381" s="38"/>
      <c r="H381" s="39"/>
      <c r="I381" s="38" t="s">
        <v>10171</v>
      </c>
      <c r="J381" s="15">
        <v>5500</v>
      </c>
      <c r="K381" s="15">
        <f>3000+2500</f>
        <v>5500</v>
      </c>
      <c r="L381" s="15">
        <f t="shared" si="40"/>
        <v>0</v>
      </c>
      <c r="M381" s="15"/>
      <c r="N381" s="15">
        <v>4900</v>
      </c>
      <c r="O381" s="15">
        <f>2500+2400</f>
        <v>4900</v>
      </c>
      <c r="P381" s="15">
        <f t="shared" si="41"/>
        <v>0</v>
      </c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8" customHeight="1" x14ac:dyDescent="0.35">
      <c r="A382" s="128"/>
      <c r="B382" s="128"/>
      <c r="C382" s="84" t="s">
        <v>11144</v>
      </c>
      <c r="D382" s="130"/>
      <c r="E382" s="95">
        <v>9097179653</v>
      </c>
      <c r="F382" s="84"/>
      <c r="G382" s="95" t="s">
        <v>11215</v>
      </c>
      <c r="H382" s="128"/>
      <c r="I382" s="38" t="s">
        <v>10186</v>
      </c>
      <c r="J382" s="15">
        <v>1700</v>
      </c>
      <c r="K382" s="15">
        <v>1700</v>
      </c>
      <c r="L382" s="15">
        <f t="shared" si="40"/>
        <v>0</v>
      </c>
      <c r="M382" s="15"/>
      <c r="N382" s="15">
        <v>1400</v>
      </c>
      <c r="O382" s="15">
        <v>1400</v>
      </c>
      <c r="P382" s="15">
        <f t="shared" si="41"/>
        <v>0</v>
      </c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8" customHeight="1" x14ac:dyDescent="0.35">
      <c r="A383" s="29">
        <v>46153</v>
      </c>
      <c r="B383" s="39"/>
      <c r="C383" s="15" t="s">
        <v>11179</v>
      </c>
      <c r="D383" s="87"/>
      <c r="E383" s="38"/>
      <c r="F383" s="15"/>
      <c r="G383" s="38"/>
      <c r="H383" s="39"/>
      <c r="I383" s="38" t="s">
        <v>10600</v>
      </c>
      <c r="J383" s="15">
        <v>3400</v>
      </c>
      <c r="K383" s="15">
        <v>3400</v>
      </c>
      <c r="L383" s="15">
        <f t="shared" si="40"/>
        <v>0</v>
      </c>
      <c r="M383" s="15"/>
      <c r="N383" s="15">
        <v>2900</v>
      </c>
      <c r="O383" s="15">
        <v>2900</v>
      </c>
      <c r="P383" s="15">
        <f t="shared" si="41"/>
        <v>0</v>
      </c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8" customHeight="1" x14ac:dyDescent="0.35">
      <c r="A384" s="39"/>
      <c r="B384" s="39"/>
      <c r="C384" s="15" t="s">
        <v>11191</v>
      </c>
      <c r="D384" s="87">
        <v>21949</v>
      </c>
      <c r="E384" s="38">
        <v>9905040647</v>
      </c>
      <c r="F384" s="15"/>
      <c r="G384" s="38"/>
      <c r="H384" s="39"/>
      <c r="I384" s="38" t="s">
        <v>11192</v>
      </c>
      <c r="J384" s="15">
        <v>1600</v>
      </c>
      <c r="K384" s="15">
        <v>1600</v>
      </c>
      <c r="L384" s="15">
        <f t="shared" si="40"/>
        <v>0</v>
      </c>
      <c r="M384" s="15"/>
      <c r="N384" s="15">
        <v>1400</v>
      </c>
      <c r="O384" s="15">
        <v>0</v>
      </c>
      <c r="P384" s="15">
        <f t="shared" si="41"/>
        <v>1400</v>
      </c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8" customHeight="1" x14ac:dyDescent="0.35">
      <c r="A385" s="29">
        <v>46235</v>
      </c>
      <c r="B385" s="39">
        <v>3485433026</v>
      </c>
      <c r="C385" s="15" t="s">
        <v>11194</v>
      </c>
      <c r="D385" s="87">
        <v>38948</v>
      </c>
      <c r="E385" s="38">
        <v>8969077227</v>
      </c>
      <c r="F385" s="15" t="s">
        <v>10491</v>
      </c>
      <c r="G385" s="38"/>
      <c r="H385" s="39"/>
      <c r="I385" s="38" t="s">
        <v>10171</v>
      </c>
      <c r="J385" s="15">
        <v>5500</v>
      </c>
      <c r="K385" s="15">
        <v>5500</v>
      </c>
      <c r="L385" s="15">
        <f t="shared" si="40"/>
        <v>0</v>
      </c>
      <c r="M385" s="15" t="s">
        <v>11374</v>
      </c>
      <c r="N385" s="15">
        <v>4900</v>
      </c>
      <c r="O385" s="15">
        <f>3000+1900</f>
        <v>4900</v>
      </c>
      <c r="P385" s="15">
        <f t="shared" si="41"/>
        <v>0</v>
      </c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8" customHeight="1" x14ac:dyDescent="0.35">
      <c r="A386" s="29">
        <v>46178</v>
      </c>
      <c r="B386" s="39"/>
      <c r="C386" s="15" t="s">
        <v>11196</v>
      </c>
      <c r="D386" s="87">
        <v>27408</v>
      </c>
      <c r="E386" s="38">
        <v>6204435022</v>
      </c>
      <c r="F386" s="15"/>
      <c r="G386" s="38"/>
      <c r="H386" s="39"/>
      <c r="I386" s="38" t="s">
        <v>11197</v>
      </c>
      <c r="J386" s="15">
        <f>1900+200</f>
        <v>2100</v>
      </c>
      <c r="K386" s="15">
        <v>2100</v>
      </c>
      <c r="L386" s="15">
        <f t="shared" si="40"/>
        <v>0</v>
      </c>
      <c r="M386" s="15"/>
      <c r="N386" s="15">
        <v>1700</v>
      </c>
      <c r="O386" s="15">
        <v>1700</v>
      </c>
      <c r="P386" s="15">
        <f t="shared" si="41"/>
        <v>0</v>
      </c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8" customHeight="1" x14ac:dyDescent="0.35">
      <c r="A387" s="39"/>
      <c r="B387" s="39"/>
      <c r="C387" s="15" t="s">
        <v>10522</v>
      </c>
      <c r="D387" s="87"/>
      <c r="E387" s="38">
        <v>9031736539</v>
      </c>
      <c r="F387" s="15"/>
      <c r="G387" s="38"/>
      <c r="H387" s="39"/>
      <c r="I387" s="38" t="s">
        <v>11218</v>
      </c>
      <c r="J387" s="15">
        <v>1900</v>
      </c>
      <c r="K387" s="15">
        <v>1900</v>
      </c>
      <c r="L387" s="15">
        <f t="shared" si="40"/>
        <v>0</v>
      </c>
      <c r="M387" s="15"/>
      <c r="N387" s="15">
        <v>1500</v>
      </c>
      <c r="O387" s="15">
        <v>1500</v>
      </c>
      <c r="P387" s="15">
        <f t="shared" si="41"/>
        <v>0</v>
      </c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8" customHeight="1" x14ac:dyDescent="0.35">
      <c r="A388" s="39"/>
      <c r="B388" s="128"/>
      <c r="C388" s="84" t="s">
        <v>11219</v>
      </c>
      <c r="D388" s="130"/>
      <c r="E388" s="95"/>
      <c r="F388" s="84" t="s">
        <v>11402</v>
      </c>
      <c r="G388" s="95"/>
      <c r="H388" s="128"/>
      <c r="I388" s="95" t="s">
        <v>10399</v>
      </c>
      <c r="J388" s="15">
        <v>2200</v>
      </c>
      <c r="K388" s="15">
        <v>1500</v>
      </c>
      <c r="L388" s="15">
        <f t="shared" si="40"/>
        <v>700</v>
      </c>
      <c r="M388" s="15"/>
      <c r="N388" s="15">
        <v>2000</v>
      </c>
      <c r="O388" s="15">
        <v>2000</v>
      </c>
      <c r="P388" s="15">
        <f t="shared" si="41"/>
        <v>0</v>
      </c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8" customHeight="1" x14ac:dyDescent="0.35">
      <c r="A389" s="29">
        <v>46188</v>
      </c>
      <c r="B389" s="39">
        <v>2612470826</v>
      </c>
      <c r="C389" s="15" t="s">
        <v>11222</v>
      </c>
      <c r="D389" s="87">
        <v>38209</v>
      </c>
      <c r="E389" s="38"/>
      <c r="F389" s="15" t="s">
        <v>10736</v>
      </c>
      <c r="G389" s="38"/>
      <c r="H389" s="39"/>
      <c r="I389" s="38" t="s">
        <v>10171</v>
      </c>
      <c r="J389" s="15">
        <v>5500</v>
      </c>
      <c r="K389" s="15">
        <v>3000</v>
      </c>
      <c r="L389" s="15">
        <f t="shared" si="40"/>
        <v>2500</v>
      </c>
      <c r="M389" s="15"/>
      <c r="N389" s="15">
        <v>4900</v>
      </c>
      <c r="O389" s="15">
        <v>2500</v>
      </c>
      <c r="P389" s="15">
        <f t="shared" si="41"/>
        <v>2400</v>
      </c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8" customHeight="1" x14ac:dyDescent="0.35">
      <c r="A390" s="39"/>
      <c r="B390" s="39"/>
      <c r="C390" s="15" t="s">
        <v>11235</v>
      </c>
      <c r="D390" s="87"/>
      <c r="E390" s="38">
        <v>8084695035</v>
      </c>
      <c r="F390" s="15"/>
      <c r="G390" s="38"/>
      <c r="H390" s="39"/>
      <c r="I390" s="38" t="s">
        <v>11236</v>
      </c>
      <c r="J390" s="15">
        <v>5700</v>
      </c>
      <c r="K390" s="15">
        <v>5700</v>
      </c>
      <c r="L390" s="15">
        <f t="shared" si="40"/>
        <v>0</v>
      </c>
      <c r="M390" s="15"/>
      <c r="N390" s="15">
        <v>5200</v>
      </c>
      <c r="O390" s="15">
        <v>5200</v>
      </c>
      <c r="P390" s="15">
        <f t="shared" si="41"/>
        <v>0</v>
      </c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8" customHeight="1" x14ac:dyDescent="0.35">
      <c r="A391" s="128"/>
      <c r="B391" s="128"/>
      <c r="C391" s="84" t="s">
        <v>11244</v>
      </c>
      <c r="D391" s="130"/>
      <c r="E391" s="95"/>
      <c r="F391" s="84"/>
      <c r="G391" s="95"/>
      <c r="H391" s="128"/>
      <c r="I391" s="38" t="s">
        <v>10600</v>
      </c>
      <c r="J391" s="15">
        <v>4000</v>
      </c>
      <c r="K391" s="15">
        <v>4000</v>
      </c>
      <c r="L391" s="15">
        <f t="shared" si="40"/>
        <v>0</v>
      </c>
      <c r="M391" s="15"/>
      <c r="N391" s="15">
        <v>3000</v>
      </c>
      <c r="O391" s="15">
        <v>3000</v>
      </c>
      <c r="P391" s="15">
        <f t="shared" si="41"/>
        <v>0</v>
      </c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8" customHeight="1" x14ac:dyDescent="0.35">
      <c r="A392" s="29">
        <v>46271</v>
      </c>
      <c r="B392" s="39">
        <v>4046462526</v>
      </c>
      <c r="C392" s="15" t="s">
        <v>11250</v>
      </c>
      <c r="D392" s="87">
        <v>35223</v>
      </c>
      <c r="E392" s="38">
        <v>8210558460</v>
      </c>
      <c r="F392" s="15" t="s">
        <v>10736</v>
      </c>
      <c r="G392" s="38"/>
      <c r="H392" s="39"/>
      <c r="I392" s="38" t="s">
        <v>10171</v>
      </c>
      <c r="J392" s="15">
        <v>5500</v>
      </c>
      <c r="K392" s="15">
        <f>3000+2500</f>
        <v>5500</v>
      </c>
      <c r="L392" s="15">
        <f t="shared" si="40"/>
        <v>0</v>
      </c>
      <c r="M392" s="15"/>
      <c r="N392" s="15">
        <v>4900</v>
      </c>
      <c r="O392" s="15">
        <f>2500+2400</f>
        <v>4900</v>
      </c>
      <c r="P392" s="15">
        <f t="shared" si="41"/>
        <v>0</v>
      </c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8" customHeight="1" x14ac:dyDescent="0.35">
      <c r="A393" s="29">
        <v>46271</v>
      </c>
      <c r="B393" s="39">
        <v>4046766426</v>
      </c>
      <c r="C393" s="15" t="s">
        <v>11251</v>
      </c>
      <c r="D393" s="87">
        <v>39076</v>
      </c>
      <c r="E393" s="38">
        <v>8210413933</v>
      </c>
      <c r="F393" s="15" t="s">
        <v>10736</v>
      </c>
      <c r="G393" s="38"/>
      <c r="H393" s="39"/>
      <c r="I393" s="38" t="s">
        <v>10171</v>
      </c>
      <c r="J393" s="15">
        <v>5500</v>
      </c>
      <c r="K393" s="15">
        <f>3000+2500</f>
        <v>5500</v>
      </c>
      <c r="L393" s="15">
        <f t="shared" si="40"/>
        <v>0</v>
      </c>
      <c r="M393" s="15"/>
      <c r="N393" s="15">
        <v>4900</v>
      </c>
      <c r="O393" s="15">
        <f>2500+2400</f>
        <v>4900</v>
      </c>
      <c r="P393" s="15">
        <f t="shared" si="41"/>
        <v>0</v>
      </c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8" customHeight="1" x14ac:dyDescent="0.35">
      <c r="A394" s="29">
        <v>46201</v>
      </c>
      <c r="B394" s="39"/>
      <c r="C394" s="15" t="s">
        <v>10248</v>
      </c>
      <c r="D394" s="87">
        <v>18056</v>
      </c>
      <c r="E394" s="38">
        <v>9931145822</v>
      </c>
      <c r="F394" s="15"/>
      <c r="G394" s="38"/>
      <c r="H394" s="39"/>
      <c r="I394" s="38" t="s">
        <v>11253</v>
      </c>
      <c r="J394" s="15">
        <v>1700</v>
      </c>
      <c r="K394" s="15">
        <v>1700</v>
      </c>
      <c r="L394" s="15">
        <f t="shared" si="40"/>
        <v>0</v>
      </c>
      <c r="M394" s="15"/>
      <c r="N394" s="15">
        <v>1400</v>
      </c>
      <c r="O394" s="15">
        <v>1400</v>
      </c>
      <c r="P394" s="15">
        <f t="shared" si="41"/>
        <v>0</v>
      </c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8" customHeight="1" x14ac:dyDescent="0.35">
      <c r="A395" s="29">
        <v>46218</v>
      </c>
      <c r="B395" s="39">
        <v>3183628426</v>
      </c>
      <c r="C395" s="15" t="s">
        <v>11292</v>
      </c>
      <c r="D395" s="87">
        <v>33731</v>
      </c>
      <c r="E395" s="38">
        <v>7367861390</v>
      </c>
      <c r="F395" s="15"/>
      <c r="G395" s="38"/>
      <c r="H395" s="39"/>
      <c r="I395" s="38" t="s">
        <v>10171</v>
      </c>
      <c r="J395" s="15">
        <v>5500</v>
      </c>
      <c r="K395" s="15">
        <v>5500</v>
      </c>
      <c r="L395" s="15">
        <f t="shared" si="40"/>
        <v>0</v>
      </c>
      <c r="M395" s="15"/>
      <c r="N395" s="15">
        <v>4900</v>
      </c>
      <c r="O395" s="15">
        <v>2500</v>
      </c>
      <c r="P395" s="15">
        <f t="shared" si="41"/>
        <v>2400</v>
      </c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8" customHeight="1" x14ac:dyDescent="0.35">
      <c r="A396" s="39"/>
      <c r="B396" s="39"/>
      <c r="C396" s="15" t="s">
        <v>11302</v>
      </c>
      <c r="D396" s="87">
        <v>28139</v>
      </c>
      <c r="E396" s="38">
        <v>7979852544</v>
      </c>
      <c r="F396" s="15"/>
      <c r="G396" s="38"/>
      <c r="H396" s="39"/>
      <c r="I396" s="38" t="s">
        <v>10557</v>
      </c>
      <c r="J396" s="15">
        <v>5700</v>
      </c>
      <c r="K396" s="15">
        <v>5700</v>
      </c>
      <c r="L396" s="15">
        <f t="shared" si="40"/>
        <v>0</v>
      </c>
      <c r="M396" s="15"/>
      <c r="N396" s="15">
        <v>5200</v>
      </c>
      <c r="O396" s="15">
        <v>5200</v>
      </c>
      <c r="P396" s="15">
        <f t="shared" si="41"/>
        <v>0</v>
      </c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8" customHeight="1" x14ac:dyDescent="0.35">
      <c r="A397" s="39"/>
      <c r="B397" s="39"/>
      <c r="C397" s="15" t="s">
        <v>11309</v>
      </c>
      <c r="D397" s="87">
        <v>35760</v>
      </c>
      <c r="E397" s="38">
        <v>8825222342</v>
      </c>
      <c r="F397" s="15"/>
      <c r="G397" s="38"/>
      <c r="H397" s="39"/>
      <c r="I397" s="38" t="s">
        <v>10582</v>
      </c>
      <c r="J397" s="15">
        <v>4300</v>
      </c>
      <c r="K397" s="15">
        <v>4300</v>
      </c>
      <c r="L397" s="15">
        <f t="shared" si="40"/>
        <v>0</v>
      </c>
      <c r="M397" s="15"/>
      <c r="N397" s="15">
        <v>3900</v>
      </c>
      <c r="O397" s="15">
        <v>3900</v>
      </c>
      <c r="P397" s="15">
        <f t="shared" si="41"/>
        <v>0</v>
      </c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8" customHeight="1" x14ac:dyDescent="0.35">
      <c r="A398" s="39"/>
      <c r="B398" s="39"/>
      <c r="C398" s="15" t="s">
        <v>11320</v>
      </c>
      <c r="D398" s="87">
        <v>30334</v>
      </c>
      <c r="E398" s="38">
        <v>9031907120</v>
      </c>
      <c r="F398" s="15"/>
      <c r="G398" s="38"/>
      <c r="H398" s="39"/>
      <c r="I398" s="38" t="s">
        <v>11192</v>
      </c>
      <c r="J398" s="15">
        <v>1600</v>
      </c>
      <c r="K398" s="15">
        <v>1600</v>
      </c>
      <c r="L398" s="15">
        <f t="shared" si="40"/>
        <v>0</v>
      </c>
      <c r="M398" s="15"/>
      <c r="N398" s="15">
        <v>1400</v>
      </c>
      <c r="O398" s="15">
        <v>1400</v>
      </c>
      <c r="P398" s="15">
        <f t="shared" si="41"/>
        <v>0</v>
      </c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8" customHeight="1" x14ac:dyDescent="0.35">
      <c r="A399" s="39"/>
      <c r="B399" s="39"/>
      <c r="C399" s="15" t="s">
        <v>11362</v>
      </c>
      <c r="D399" s="87">
        <v>26313</v>
      </c>
      <c r="E399" s="38">
        <v>6202896578</v>
      </c>
      <c r="F399" s="15"/>
      <c r="G399" s="38"/>
      <c r="H399" s="39"/>
      <c r="I399" s="38" t="s">
        <v>10570</v>
      </c>
      <c r="J399" s="15">
        <v>5700</v>
      </c>
      <c r="K399" s="15">
        <v>5700</v>
      </c>
      <c r="L399" s="15">
        <f t="shared" si="40"/>
        <v>0</v>
      </c>
      <c r="M399" s="15"/>
      <c r="N399" s="15">
        <v>5200</v>
      </c>
      <c r="O399" s="15">
        <v>5200</v>
      </c>
      <c r="P399" s="15">
        <f t="shared" si="41"/>
        <v>0</v>
      </c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8" customHeight="1" x14ac:dyDescent="0.35">
      <c r="A400" s="39"/>
      <c r="B400" s="15">
        <v>3439619426</v>
      </c>
      <c r="C400" s="15" t="s">
        <v>11363</v>
      </c>
      <c r="D400" s="87">
        <v>32571</v>
      </c>
      <c r="E400" s="38">
        <v>7004620290</v>
      </c>
      <c r="F400" s="15"/>
      <c r="G400" s="38"/>
      <c r="H400" s="39"/>
      <c r="I400" s="38" t="s">
        <v>10171</v>
      </c>
      <c r="J400" s="15">
        <v>5500</v>
      </c>
      <c r="K400" s="15">
        <v>3000</v>
      </c>
      <c r="L400" s="15">
        <f t="shared" si="40"/>
        <v>2500</v>
      </c>
      <c r="M400" s="15"/>
      <c r="N400" s="15">
        <v>4900</v>
      </c>
      <c r="O400" s="15">
        <v>2500</v>
      </c>
      <c r="P400" s="15">
        <f t="shared" si="41"/>
        <v>2400</v>
      </c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8" customHeight="1" x14ac:dyDescent="0.35">
      <c r="A401" s="29">
        <v>46235</v>
      </c>
      <c r="B401" s="39">
        <v>3484273626</v>
      </c>
      <c r="C401" s="15" t="s">
        <v>11369</v>
      </c>
      <c r="D401" s="87">
        <v>37874</v>
      </c>
      <c r="E401" s="38">
        <v>6201108870</v>
      </c>
      <c r="F401" s="15"/>
      <c r="G401" s="38"/>
      <c r="H401" s="39"/>
      <c r="I401" s="38" t="s">
        <v>10171</v>
      </c>
      <c r="J401" s="15">
        <v>5500</v>
      </c>
      <c r="K401" s="15">
        <f>3000+2500</f>
        <v>5500</v>
      </c>
      <c r="L401" s="15">
        <f t="shared" si="40"/>
        <v>0</v>
      </c>
      <c r="M401" s="15"/>
      <c r="N401" s="15">
        <v>4900</v>
      </c>
      <c r="O401" s="15">
        <f>2500+2400</f>
        <v>4900</v>
      </c>
      <c r="P401" s="15">
        <f t="shared" si="41"/>
        <v>0</v>
      </c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8" customHeight="1" x14ac:dyDescent="0.35">
      <c r="A402" s="29">
        <v>46244</v>
      </c>
      <c r="B402" s="39">
        <v>3624161526</v>
      </c>
      <c r="C402" s="15" t="s">
        <v>11392</v>
      </c>
      <c r="D402" s="87">
        <v>38962</v>
      </c>
      <c r="E402" s="38">
        <v>6203590858</v>
      </c>
      <c r="F402" s="15"/>
      <c r="G402" s="38"/>
      <c r="H402" s="39">
        <f>5600+3500</f>
        <v>9100</v>
      </c>
      <c r="I402" s="38" t="s">
        <v>10171</v>
      </c>
      <c r="J402" s="15">
        <v>5500</v>
      </c>
      <c r="K402" s="15">
        <v>3000</v>
      </c>
      <c r="L402" s="15">
        <f t="shared" si="40"/>
        <v>2500</v>
      </c>
      <c r="M402" s="15"/>
      <c r="N402" s="15">
        <v>4900</v>
      </c>
      <c r="O402" s="15">
        <v>2500</v>
      </c>
      <c r="P402" s="15">
        <f t="shared" si="41"/>
        <v>2400</v>
      </c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8" customHeight="1" x14ac:dyDescent="0.35">
      <c r="A403" s="29">
        <v>46253</v>
      </c>
      <c r="B403" s="39">
        <v>3788131826</v>
      </c>
      <c r="C403" s="15" t="s">
        <v>11406</v>
      </c>
      <c r="D403" s="87" t="s">
        <v>11426</v>
      </c>
      <c r="E403" s="38">
        <v>9771589220</v>
      </c>
      <c r="F403" s="15"/>
      <c r="G403" s="38"/>
      <c r="H403" s="39"/>
      <c r="I403" s="38" t="s">
        <v>10171</v>
      </c>
      <c r="J403" s="15">
        <v>5500</v>
      </c>
      <c r="K403" s="15">
        <v>3000</v>
      </c>
      <c r="L403" s="15">
        <f t="shared" ref="L403:L410" si="42">J403-K403</f>
        <v>2500</v>
      </c>
      <c r="M403" s="15"/>
      <c r="N403" s="15">
        <v>4900</v>
      </c>
      <c r="O403" s="15">
        <v>0</v>
      </c>
      <c r="P403" s="15">
        <f t="shared" si="41"/>
        <v>4900</v>
      </c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8" customHeight="1" x14ac:dyDescent="0.35">
      <c r="A404" s="39"/>
      <c r="B404" s="39"/>
      <c r="C404" s="15" t="s">
        <v>11425</v>
      </c>
      <c r="D404" s="87">
        <v>18696</v>
      </c>
      <c r="E404" s="38">
        <v>7209105356</v>
      </c>
      <c r="F404" s="15"/>
      <c r="G404" s="38"/>
      <c r="H404" s="39"/>
      <c r="I404" s="38" t="s">
        <v>10600</v>
      </c>
      <c r="J404" s="15" t="s">
        <v>11427</v>
      </c>
      <c r="K404" s="15">
        <v>4000</v>
      </c>
      <c r="L404" s="15" t="e">
        <f t="shared" si="42"/>
        <v>#VALUE!</v>
      </c>
      <c r="M404" s="15"/>
      <c r="N404" s="15">
        <v>2700</v>
      </c>
      <c r="O404" s="15">
        <v>0</v>
      </c>
      <c r="P404" s="15">
        <f t="shared" si="41"/>
        <v>2700</v>
      </c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8" customHeight="1" x14ac:dyDescent="0.35">
      <c r="A405" s="29">
        <v>46271</v>
      </c>
      <c r="B405" s="39"/>
      <c r="C405" s="15" t="s">
        <v>11429</v>
      </c>
      <c r="D405" s="87"/>
      <c r="E405" s="38"/>
      <c r="F405" s="15"/>
      <c r="G405" s="38"/>
      <c r="H405" s="39" t="s">
        <v>11430</v>
      </c>
      <c r="I405" s="38" t="s">
        <v>10600</v>
      </c>
      <c r="J405" s="15">
        <f>5600+800</f>
        <v>6400</v>
      </c>
      <c r="K405" s="15">
        <v>5600</v>
      </c>
      <c r="L405" s="15">
        <f t="shared" si="42"/>
        <v>800</v>
      </c>
      <c r="M405" s="15"/>
      <c r="N405" s="15">
        <v>2600</v>
      </c>
      <c r="O405" s="15">
        <v>2600</v>
      </c>
      <c r="P405" s="15">
        <f t="shared" si="41"/>
        <v>0</v>
      </c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8" customHeight="1" x14ac:dyDescent="0.35">
      <c r="A406" s="29">
        <v>46271</v>
      </c>
      <c r="B406" s="39"/>
      <c r="C406" s="15" t="s">
        <v>11429</v>
      </c>
      <c r="D406" s="87"/>
      <c r="E406" s="38"/>
      <c r="F406" s="15"/>
      <c r="G406" s="38"/>
      <c r="H406" s="39" t="s">
        <v>10396</v>
      </c>
      <c r="I406" s="38" t="s">
        <v>10600</v>
      </c>
      <c r="J406" s="15" t="s">
        <v>11431</v>
      </c>
      <c r="K406" s="15">
        <v>3500</v>
      </c>
      <c r="L406" s="15" t="e">
        <f t="shared" si="42"/>
        <v>#VALUE!</v>
      </c>
      <c r="M406" s="15"/>
      <c r="N406" s="15">
        <v>6400</v>
      </c>
      <c r="O406" s="15">
        <v>6400</v>
      </c>
      <c r="P406" s="15">
        <f t="shared" si="41"/>
        <v>0</v>
      </c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8" customHeight="1" x14ac:dyDescent="0.35">
      <c r="A407" s="39"/>
      <c r="B407" s="39"/>
      <c r="C407" s="15" t="s">
        <v>11439</v>
      </c>
      <c r="D407" s="87">
        <v>35465</v>
      </c>
      <c r="E407" s="38">
        <v>8252369248</v>
      </c>
      <c r="F407" s="15"/>
      <c r="G407" s="38"/>
      <c r="H407" s="39" t="s">
        <v>11440</v>
      </c>
      <c r="I407" s="38" t="s">
        <v>10315</v>
      </c>
      <c r="J407" s="15">
        <f>1700+100</f>
        <v>1800</v>
      </c>
      <c r="K407" s="15">
        <v>1800</v>
      </c>
      <c r="L407" s="15">
        <f t="shared" si="42"/>
        <v>0</v>
      </c>
      <c r="M407" s="15"/>
      <c r="N407" s="15">
        <v>0</v>
      </c>
      <c r="O407" s="15">
        <v>0</v>
      </c>
      <c r="P407" s="15">
        <f t="shared" si="41"/>
        <v>0</v>
      </c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8" customHeight="1" x14ac:dyDescent="0.35">
      <c r="A408" s="39"/>
      <c r="B408" s="39"/>
      <c r="C408" s="15" t="s">
        <v>11441</v>
      </c>
      <c r="D408" s="87">
        <v>21888</v>
      </c>
      <c r="E408" s="38">
        <v>6206367065</v>
      </c>
      <c r="F408" s="15"/>
      <c r="G408" s="38"/>
      <c r="H408" s="39" t="s">
        <v>11430</v>
      </c>
      <c r="I408" s="38" t="s">
        <v>8168</v>
      </c>
      <c r="J408" s="15">
        <v>1700</v>
      </c>
      <c r="K408" s="15">
        <v>1700</v>
      </c>
      <c r="L408" s="15">
        <f t="shared" si="42"/>
        <v>0</v>
      </c>
      <c r="M408" s="15"/>
      <c r="N408" s="15">
        <v>0</v>
      </c>
      <c r="O408" s="15">
        <v>0</v>
      </c>
      <c r="P408" s="15">
        <f t="shared" si="41"/>
        <v>0</v>
      </c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8" customHeight="1" x14ac:dyDescent="0.35">
      <c r="A409" s="39"/>
      <c r="B409" s="39"/>
      <c r="C409" s="15" t="s">
        <v>11453</v>
      </c>
      <c r="D409" s="87"/>
      <c r="E409" s="38"/>
      <c r="F409" s="15"/>
      <c r="G409" s="38"/>
      <c r="I409" s="39" t="s">
        <v>11454</v>
      </c>
      <c r="J409" s="15">
        <v>4700</v>
      </c>
      <c r="K409" s="15">
        <v>4700</v>
      </c>
      <c r="L409" s="15">
        <f t="shared" si="42"/>
        <v>0</v>
      </c>
      <c r="M409" s="15"/>
      <c r="N409" s="15">
        <f>3800+400</f>
        <v>4200</v>
      </c>
      <c r="O409" s="15">
        <v>4200</v>
      </c>
      <c r="P409" s="15">
        <f t="shared" si="41"/>
        <v>0</v>
      </c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8" customHeight="1" x14ac:dyDescent="0.35">
      <c r="A410" s="39"/>
      <c r="B410" s="39"/>
      <c r="C410" s="15" t="s">
        <v>11460</v>
      </c>
      <c r="D410" s="87"/>
      <c r="E410" s="38">
        <v>8825107674</v>
      </c>
      <c r="F410" s="15" t="s">
        <v>11461</v>
      </c>
      <c r="G410" s="38"/>
      <c r="H410" s="39"/>
      <c r="I410" s="38" t="s">
        <v>11462</v>
      </c>
      <c r="J410" s="15">
        <v>1700</v>
      </c>
      <c r="K410" s="15">
        <v>1700</v>
      </c>
      <c r="L410" s="15">
        <f t="shared" si="42"/>
        <v>0</v>
      </c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8" customHeight="1" x14ac:dyDescent="0.35">
      <c r="A411" s="39"/>
      <c r="B411" s="39"/>
      <c r="C411" s="15"/>
      <c r="D411" s="87"/>
      <c r="E411" s="38"/>
      <c r="F411" s="15"/>
      <c r="G411" s="38"/>
      <c r="H411" s="39"/>
      <c r="I411" s="38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8" customHeight="1" x14ac:dyDescent="0.35">
      <c r="A412" s="39"/>
      <c r="B412" s="39"/>
      <c r="C412" s="15"/>
      <c r="D412" s="87"/>
      <c r="E412" s="38"/>
      <c r="F412" s="15"/>
      <c r="G412" s="38"/>
      <c r="H412" s="39"/>
      <c r="I412" s="38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8" customHeight="1" x14ac:dyDescent="0.35">
      <c r="A413" s="39"/>
      <c r="B413" s="39"/>
      <c r="C413" s="15"/>
      <c r="D413" s="87"/>
      <c r="E413" s="38"/>
      <c r="F413" s="15"/>
      <c r="G413" s="38"/>
      <c r="H413" s="39"/>
      <c r="I413" s="38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8" customHeight="1" x14ac:dyDescent="0.35">
      <c r="A414" s="39"/>
      <c r="B414" s="39"/>
      <c r="C414" s="15"/>
      <c r="D414" s="87"/>
      <c r="E414" s="38"/>
      <c r="F414" s="15"/>
      <c r="G414" s="38"/>
      <c r="H414" s="39"/>
      <c r="I414" s="38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8" customHeight="1" x14ac:dyDescent="0.35">
      <c r="A415" s="39"/>
      <c r="B415" s="39"/>
      <c r="C415" s="15" t="s">
        <v>11459</v>
      </c>
      <c r="D415" s="87"/>
      <c r="E415" s="38"/>
      <c r="F415" s="15"/>
      <c r="G415" s="38"/>
      <c r="H415" s="39"/>
      <c r="I415" s="38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8" customHeight="1" x14ac:dyDescent="0.35">
      <c r="A416" s="39"/>
      <c r="B416" s="39"/>
      <c r="C416" s="15" t="s">
        <v>11198</v>
      </c>
      <c r="D416" s="87"/>
      <c r="E416" s="38"/>
      <c r="F416" s="15"/>
      <c r="G416" s="38"/>
      <c r="H416" s="39"/>
      <c r="I416" s="38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8" customHeight="1" x14ac:dyDescent="0.35">
      <c r="A417" s="39"/>
      <c r="B417" s="39"/>
      <c r="C417" s="15" t="s">
        <v>11200</v>
      </c>
      <c r="D417" s="87"/>
      <c r="E417" s="38"/>
      <c r="F417" s="15"/>
      <c r="G417" s="38"/>
      <c r="H417" s="39"/>
      <c r="I417" s="38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8" customHeight="1" x14ac:dyDescent="0.35">
      <c r="A418" s="39"/>
      <c r="B418" s="39"/>
      <c r="C418" s="15" t="s">
        <v>11199</v>
      </c>
      <c r="D418" s="87"/>
      <c r="E418" s="38"/>
      <c r="F418" s="15"/>
      <c r="G418" s="38"/>
      <c r="H418" s="39"/>
      <c r="I418" s="38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8" customHeight="1" x14ac:dyDescent="0.35">
      <c r="A419" s="39"/>
      <c r="B419" s="39"/>
      <c r="C419" s="15"/>
      <c r="D419" s="87"/>
      <c r="E419" s="38"/>
      <c r="F419" s="15"/>
      <c r="G419" s="38"/>
      <c r="H419" s="39"/>
      <c r="I419" s="38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8" customHeight="1" x14ac:dyDescent="0.35">
      <c r="A420" s="39"/>
      <c r="B420" s="39"/>
      <c r="C420" s="15"/>
      <c r="D420" s="87"/>
      <c r="E420" s="38"/>
      <c r="F420" s="15"/>
      <c r="G420" s="38"/>
      <c r="H420" s="39"/>
      <c r="I420" s="38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8" customHeight="1" x14ac:dyDescent="0.35">
      <c r="A421" s="39"/>
      <c r="B421" s="39"/>
      <c r="C421" s="15"/>
      <c r="D421" s="87"/>
      <c r="E421" s="38"/>
      <c r="F421" s="15"/>
      <c r="G421" s="38"/>
      <c r="H421" s="39"/>
      <c r="I421" s="38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8" customHeight="1" x14ac:dyDescent="0.35">
      <c r="A422" s="39"/>
      <c r="B422" s="39"/>
      <c r="C422" s="15"/>
      <c r="D422" s="87"/>
      <c r="E422" s="38"/>
      <c r="F422" s="15"/>
      <c r="G422" s="38"/>
      <c r="H422" s="39"/>
      <c r="I422" s="38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8" customHeight="1" x14ac:dyDescent="0.35">
      <c r="A423" s="39"/>
      <c r="B423" s="39"/>
      <c r="C423" s="15"/>
      <c r="D423" s="87"/>
      <c r="E423" s="38"/>
      <c r="F423" s="15"/>
      <c r="G423" s="38"/>
      <c r="H423" s="39"/>
      <c r="I423" s="38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8" customHeight="1" x14ac:dyDescent="0.35">
      <c r="A424" s="39"/>
      <c r="B424" s="39"/>
      <c r="C424" s="15"/>
      <c r="D424" s="87"/>
      <c r="E424" s="38"/>
      <c r="F424" s="15"/>
      <c r="G424" s="38"/>
      <c r="H424" s="39"/>
      <c r="I424" s="38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8" customHeight="1" x14ac:dyDescent="0.35">
      <c r="A425" s="39"/>
      <c r="B425" s="39"/>
      <c r="C425" s="15"/>
      <c r="D425" s="87"/>
      <c r="E425" s="38"/>
      <c r="F425" s="15"/>
      <c r="G425" s="38"/>
      <c r="H425" s="39"/>
      <c r="I425" s="38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8" customHeight="1" x14ac:dyDescent="0.35">
      <c r="A426" s="39"/>
      <c r="B426" s="39"/>
      <c r="C426" s="15"/>
      <c r="D426" s="87"/>
      <c r="E426" s="38"/>
      <c r="F426" s="15"/>
      <c r="G426" s="38"/>
      <c r="H426" s="39"/>
      <c r="I426" s="38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8" customHeight="1" x14ac:dyDescent="0.35">
      <c r="A427" s="39"/>
      <c r="B427" s="39"/>
      <c r="C427" s="15"/>
      <c r="D427" s="87"/>
      <c r="E427" s="38"/>
      <c r="F427" s="15"/>
      <c r="G427" s="38"/>
      <c r="H427" s="39"/>
      <c r="I427" s="38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8" customHeight="1" x14ac:dyDescent="0.35">
      <c r="A428" s="39"/>
      <c r="B428" s="39"/>
      <c r="C428" s="15"/>
      <c r="D428" s="87"/>
      <c r="E428" s="38"/>
      <c r="F428" s="15"/>
      <c r="G428" s="38"/>
      <c r="H428" s="39"/>
      <c r="I428" s="38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8" customHeight="1" x14ac:dyDescent="0.35">
      <c r="A429" s="39"/>
      <c r="B429" s="39"/>
      <c r="C429" s="15"/>
      <c r="D429" s="87"/>
      <c r="E429" s="38"/>
      <c r="F429" s="15"/>
      <c r="G429" s="38"/>
      <c r="H429" s="39"/>
      <c r="I429" s="38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8" customHeight="1" x14ac:dyDescent="0.35">
      <c r="A430" s="39"/>
      <c r="B430" s="39"/>
      <c r="C430" s="15"/>
      <c r="D430" s="87"/>
      <c r="E430" s="38"/>
      <c r="F430" s="15"/>
      <c r="G430" s="38"/>
      <c r="H430" s="39"/>
      <c r="I430" s="38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8" customHeight="1" x14ac:dyDescent="0.35">
      <c r="A431" s="39"/>
      <c r="B431" s="39"/>
      <c r="C431" s="15"/>
      <c r="D431" s="87"/>
      <c r="E431" s="38"/>
      <c r="F431" s="15"/>
      <c r="G431" s="38"/>
      <c r="H431" s="39"/>
      <c r="I431" s="38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8" customHeight="1" x14ac:dyDescent="0.35">
      <c r="A432" s="39"/>
      <c r="B432" s="39"/>
      <c r="C432" s="15"/>
      <c r="D432" s="87"/>
      <c r="E432" s="38"/>
      <c r="F432" s="15"/>
      <c r="G432" s="38"/>
      <c r="H432" s="39"/>
      <c r="I432" s="38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8" customHeight="1" x14ac:dyDescent="0.35">
      <c r="A433" s="39"/>
      <c r="B433" s="39"/>
      <c r="C433" s="15"/>
      <c r="D433" s="87"/>
      <c r="E433" s="38"/>
      <c r="F433" s="15"/>
      <c r="G433" s="38"/>
      <c r="H433" s="39"/>
      <c r="I433" s="38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8" customHeight="1" x14ac:dyDescent="0.35">
      <c r="A434" s="39"/>
      <c r="B434" s="39"/>
      <c r="C434" s="15"/>
      <c r="D434" s="87"/>
      <c r="E434" s="38"/>
      <c r="F434" s="15"/>
      <c r="G434" s="38"/>
      <c r="H434" s="39"/>
      <c r="I434" s="38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8" customHeight="1" x14ac:dyDescent="0.35">
      <c r="A435" s="39"/>
      <c r="B435" s="39"/>
      <c r="C435" s="15"/>
      <c r="D435" s="87"/>
      <c r="E435" s="38"/>
      <c r="F435" s="15"/>
      <c r="G435" s="38"/>
      <c r="H435" s="39"/>
      <c r="I435" s="38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8" customHeight="1" x14ac:dyDescent="0.35">
      <c r="A436" s="39"/>
      <c r="B436" s="39"/>
      <c r="C436" s="15"/>
      <c r="D436" s="87"/>
      <c r="E436" s="38"/>
      <c r="F436" s="15"/>
      <c r="G436" s="38"/>
      <c r="H436" s="39"/>
      <c r="I436" s="38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8" customHeight="1" x14ac:dyDescent="0.35">
      <c r="A437" s="39"/>
      <c r="B437" s="39"/>
      <c r="C437" s="15"/>
      <c r="D437" s="87"/>
      <c r="E437" s="38"/>
      <c r="F437" s="15"/>
      <c r="G437" s="38"/>
      <c r="H437" s="39"/>
      <c r="I437" s="38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8" customHeight="1" x14ac:dyDescent="0.35">
      <c r="A438" s="39"/>
      <c r="B438" s="39"/>
      <c r="C438" s="15"/>
      <c r="D438" s="87"/>
      <c r="E438" s="38"/>
      <c r="F438" s="15"/>
      <c r="G438" s="38"/>
      <c r="H438" s="39"/>
      <c r="I438" s="38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8" customHeight="1" x14ac:dyDescent="0.35">
      <c r="A439" s="39"/>
      <c r="B439" s="39"/>
      <c r="C439" s="15"/>
      <c r="D439" s="87"/>
      <c r="E439" s="38"/>
      <c r="F439" s="15"/>
      <c r="G439" s="38"/>
      <c r="H439" s="39"/>
      <c r="I439" s="38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8" customHeight="1" x14ac:dyDescent="0.35">
      <c r="A440" s="39"/>
      <c r="B440" s="39"/>
      <c r="C440" s="15"/>
      <c r="D440" s="87"/>
      <c r="E440" s="38"/>
      <c r="F440" s="15"/>
      <c r="G440" s="38"/>
      <c r="H440" s="39"/>
      <c r="I440" s="38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8" customHeight="1" x14ac:dyDescent="0.35">
      <c r="A441" s="39"/>
      <c r="B441" s="39"/>
      <c r="C441" s="15"/>
      <c r="D441" s="87"/>
      <c r="E441" s="38"/>
      <c r="F441" s="15"/>
      <c r="G441" s="38"/>
      <c r="H441" s="39"/>
      <c r="I441" s="38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8" customHeight="1" x14ac:dyDescent="0.35">
      <c r="A442" s="39"/>
      <c r="B442" s="39"/>
      <c r="C442" s="15"/>
      <c r="D442" s="87"/>
      <c r="E442" s="38"/>
      <c r="F442" s="15"/>
      <c r="G442" s="38"/>
      <c r="H442" s="39"/>
      <c r="I442" s="38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8" customHeight="1" x14ac:dyDescent="0.35">
      <c r="A443" s="39"/>
      <c r="B443" s="39"/>
      <c r="C443" s="15"/>
      <c r="D443" s="87"/>
      <c r="E443" s="38"/>
      <c r="F443" s="15"/>
      <c r="G443" s="38"/>
      <c r="H443" s="39"/>
      <c r="I443" s="38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8" customHeight="1" x14ac:dyDescent="0.35">
      <c r="A444" s="39"/>
      <c r="B444" s="39"/>
      <c r="C444" s="15"/>
      <c r="D444" s="87"/>
      <c r="E444" s="38"/>
      <c r="F444" s="15"/>
      <c r="G444" s="38"/>
      <c r="H444" s="39"/>
      <c r="I444" s="38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8" customHeight="1" x14ac:dyDescent="0.35">
      <c r="A445" s="39"/>
      <c r="B445" s="39"/>
      <c r="C445" s="15"/>
      <c r="D445" s="87"/>
      <c r="E445" s="38"/>
      <c r="F445" s="15"/>
      <c r="G445" s="38"/>
      <c r="H445" s="39"/>
      <c r="I445" s="38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8" customHeight="1" x14ac:dyDescent="0.35">
      <c r="A446" s="39"/>
      <c r="B446" s="39"/>
      <c r="C446" s="15"/>
      <c r="D446" s="87"/>
      <c r="E446" s="38"/>
      <c r="F446" s="15"/>
      <c r="G446" s="38"/>
      <c r="H446" s="39"/>
      <c r="I446" s="38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8" customHeight="1" x14ac:dyDescent="0.35">
      <c r="A447" s="39"/>
      <c r="B447" s="39"/>
      <c r="C447" s="15"/>
      <c r="D447" s="87"/>
      <c r="E447" s="38"/>
      <c r="F447" s="15"/>
      <c r="G447" s="38"/>
      <c r="H447" s="39"/>
      <c r="I447" s="38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8" customHeight="1" x14ac:dyDescent="0.35">
      <c r="A448" s="39"/>
      <c r="B448" s="39"/>
      <c r="C448" s="15"/>
      <c r="D448" s="87"/>
      <c r="E448" s="38"/>
      <c r="F448" s="15"/>
      <c r="G448" s="38"/>
      <c r="H448" s="39"/>
      <c r="I448" s="38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8" customHeight="1" x14ac:dyDescent="0.35">
      <c r="A449" s="39"/>
      <c r="B449" s="39"/>
      <c r="C449" s="15"/>
      <c r="D449" s="87"/>
      <c r="E449" s="38"/>
      <c r="F449" s="15"/>
      <c r="G449" s="38"/>
      <c r="H449" s="39"/>
      <c r="I449" s="38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8" customHeight="1" x14ac:dyDescent="0.35">
      <c r="A450" s="39"/>
      <c r="B450" s="39"/>
      <c r="C450" s="15"/>
      <c r="D450" s="87"/>
      <c r="E450" s="38"/>
      <c r="F450" s="15"/>
      <c r="G450" s="38"/>
      <c r="H450" s="39"/>
      <c r="I450" s="38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8" customHeight="1" x14ac:dyDescent="0.35">
      <c r="A451" s="39"/>
      <c r="B451" s="39"/>
      <c r="C451" s="15"/>
      <c r="D451" s="87"/>
      <c r="E451" s="38"/>
      <c r="F451" s="15"/>
      <c r="G451" s="38"/>
      <c r="H451" s="39"/>
      <c r="I451" s="38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ht="18" customHeight="1" x14ac:dyDescent="0.35">
      <c r="A452" s="39"/>
      <c r="B452" s="39"/>
      <c r="C452" s="15"/>
      <c r="D452" s="87"/>
      <c r="E452" s="38"/>
      <c r="F452" s="15"/>
      <c r="G452" s="38"/>
      <c r="H452" s="39"/>
      <c r="I452" s="38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ht="18" customHeight="1" x14ac:dyDescent="0.35">
      <c r="A453" s="39"/>
      <c r="B453" s="39"/>
      <c r="C453" s="15"/>
      <c r="D453" s="87"/>
      <c r="E453" s="38"/>
      <c r="F453" s="15"/>
      <c r="G453" s="38"/>
      <c r="H453" s="39"/>
      <c r="I453" s="38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ht="18" customHeight="1" x14ac:dyDescent="0.35">
      <c r="A454" s="39"/>
      <c r="B454" s="39"/>
      <c r="C454" s="15"/>
      <c r="D454" s="87"/>
      <c r="E454" s="38"/>
      <c r="F454" s="15"/>
      <c r="G454" s="38"/>
      <c r="H454" s="39"/>
      <c r="I454" s="38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ht="18" customHeight="1" x14ac:dyDescent="0.35">
      <c r="A455" s="39"/>
      <c r="B455" s="39"/>
      <c r="C455" s="15"/>
      <c r="D455" s="87"/>
      <c r="E455" s="38"/>
      <c r="F455" s="15"/>
      <c r="G455" s="38"/>
      <c r="H455" s="39"/>
      <c r="I455" s="38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ht="18" customHeight="1" x14ac:dyDescent="0.35">
      <c r="A456" s="39"/>
      <c r="B456" s="39"/>
      <c r="C456" s="15"/>
      <c r="D456" s="87"/>
      <c r="E456" s="38"/>
      <c r="F456" s="15"/>
      <c r="G456" s="38"/>
      <c r="H456" s="39"/>
      <c r="I456" s="38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ht="18" customHeight="1" x14ac:dyDescent="0.35">
      <c r="A457" s="39"/>
      <c r="B457" s="39"/>
      <c r="C457" s="15"/>
      <c r="D457" s="87"/>
      <c r="E457" s="38"/>
      <c r="F457" s="15"/>
      <c r="G457" s="38"/>
      <c r="H457" s="39"/>
      <c r="I457" s="38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ht="18" customHeight="1" x14ac:dyDescent="0.35">
      <c r="A458" s="39"/>
      <c r="B458" s="39"/>
      <c r="C458" s="15"/>
      <c r="D458" s="87"/>
      <c r="E458" s="38"/>
      <c r="F458" s="15"/>
      <c r="G458" s="38"/>
      <c r="H458" s="39"/>
      <c r="I458" s="38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ht="18" customHeight="1" x14ac:dyDescent="0.35">
      <c r="A459" s="39"/>
      <c r="B459" s="39"/>
      <c r="C459" s="15"/>
      <c r="D459" s="87"/>
      <c r="E459" s="38"/>
      <c r="F459" s="15"/>
      <c r="G459" s="38"/>
      <c r="H459" s="39"/>
      <c r="I459" s="38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ht="18" customHeight="1" x14ac:dyDescent="0.35">
      <c r="A460" s="39"/>
      <c r="B460" s="39"/>
      <c r="C460" s="15"/>
      <c r="D460" s="87"/>
      <c r="E460" s="38"/>
      <c r="F460" s="15"/>
      <c r="G460" s="38"/>
      <c r="H460" s="39"/>
      <c r="I460" s="38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ht="18" customHeight="1" x14ac:dyDescent="0.35">
      <c r="A461" s="39"/>
      <c r="B461" s="39"/>
      <c r="C461" s="15"/>
      <c r="D461" s="87"/>
      <c r="E461" s="38"/>
      <c r="F461" s="15"/>
      <c r="G461" s="38"/>
      <c r="H461" s="39"/>
      <c r="I461" s="38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ht="18" customHeight="1" x14ac:dyDescent="0.35">
      <c r="A462" s="39"/>
      <c r="B462" s="39"/>
      <c r="C462" s="15"/>
      <c r="D462" s="87"/>
      <c r="E462" s="38"/>
      <c r="F462" s="15"/>
      <c r="G462" s="38"/>
      <c r="H462" s="39"/>
      <c r="I462" s="38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ht="18" customHeight="1" x14ac:dyDescent="0.35">
      <c r="A463" s="39"/>
      <c r="B463" s="39"/>
      <c r="C463" s="15"/>
      <c r="D463" s="87"/>
      <c r="E463" s="38"/>
      <c r="F463" s="15"/>
      <c r="G463" s="38"/>
      <c r="H463" s="39"/>
      <c r="I463" s="38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ht="18" customHeight="1" x14ac:dyDescent="0.35">
      <c r="A464" s="39"/>
      <c r="B464" s="39"/>
      <c r="C464" s="15"/>
      <c r="D464" s="87"/>
      <c r="E464" s="38"/>
      <c r="F464" s="15"/>
      <c r="G464" s="38"/>
      <c r="H464" s="39"/>
      <c r="I464" s="38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ht="18" customHeight="1" x14ac:dyDescent="0.35">
      <c r="A465" s="39"/>
      <c r="B465" s="39"/>
      <c r="C465" s="15"/>
      <c r="D465" s="87"/>
      <c r="E465" s="38"/>
      <c r="F465" s="15"/>
      <c r="G465" s="38"/>
      <c r="H465" s="39"/>
      <c r="I465" s="38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ht="18" customHeight="1" x14ac:dyDescent="0.35">
      <c r="A466" s="39"/>
      <c r="B466" s="39"/>
      <c r="C466" s="15"/>
      <c r="D466" s="87"/>
      <c r="E466" s="38"/>
      <c r="F466" s="15"/>
      <c r="G466" s="38"/>
      <c r="H466" s="39"/>
      <c r="I466" s="38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ht="18" customHeight="1" x14ac:dyDescent="0.35">
      <c r="A467" s="39"/>
      <c r="B467" s="39"/>
      <c r="C467" s="15"/>
      <c r="D467" s="87"/>
      <c r="E467" s="38"/>
      <c r="F467" s="15"/>
      <c r="G467" s="38"/>
      <c r="H467" s="39"/>
      <c r="I467" s="38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ht="18" customHeight="1" x14ac:dyDescent="0.35">
      <c r="A468" s="39"/>
      <c r="B468" s="39"/>
      <c r="C468" s="15"/>
      <c r="D468" s="87"/>
      <c r="E468" s="38"/>
      <c r="F468" s="15"/>
      <c r="G468" s="38"/>
      <c r="H468" s="39"/>
      <c r="I468" s="38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ht="18" customHeight="1" x14ac:dyDescent="0.35">
      <c r="A469" s="39"/>
      <c r="B469" s="39"/>
      <c r="C469" s="15"/>
      <c r="D469" s="87"/>
      <c r="E469" s="38"/>
      <c r="F469" s="15"/>
      <c r="G469" s="38"/>
      <c r="H469" s="39"/>
      <c r="I469" s="38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ht="18" customHeight="1" x14ac:dyDescent="0.35">
      <c r="A470" s="39"/>
      <c r="B470" s="39"/>
      <c r="C470" s="15"/>
      <c r="D470" s="87"/>
      <c r="E470" s="38"/>
      <c r="F470" s="15"/>
      <c r="G470" s="38"/>
      <c r="H470" s="39"/>
      <c r="I470" s="38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ht="18" customHeight="1" x14ac:dyDescent="0.35">
      <c r="A471" s="39"/>
      <c r="B471" s="39"/>
      <c r="C471" s="15"/>
      <c r="D471" s="87"/>
      <c r="E471" s="38"/>
      <c r="F471" s="15"/>
      <c r="G471" s="38"/>
      <c r="H471" s="39"/>
      <c r="I471" s="38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ht="18" customHeight="1" x14ac:dyDescent="0.35">
      <c r="A472" s="39"/>
      <c r="B472" s="39"/>
      <c r="C472" s="15"/>
      <c r="D472" s="87"/>
      <c r="E472" s="38"/>
      <c r="F472" s="15"/>
      <c r="G472" s="38"/>
      <c r="H472" s="39"/>
      <c r="I472" s="38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ht="18" customHeight="1" x14ac:dyDescent="0.35">
      <c r="A473" s="39"/>
      <c r="B473" s="39"/>
      <c r="C473" s="15"/>
      <c r="D473" s="87"/>
      <c r="E473" s="38"/>
      <c r="F473" s="15"/>
      <c r="G473" s="38"/>
      <c r="H473" s="39"/>
      <c r="I473" s="38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ht="18" customHeight="1" x14ac:dyDescent="0.35">
      <c r="A474" s="39"/>
      <c r="B474" s="39"/>
      <c r="C474" s="15"/>
      <c r="D474" s="87"/>
      <c r="E474" s="38"/>
      <c r="F474" s="15"/>
      <c r="G474" s="38"/>
      <c r="H474" s="39"/>
      <c r="I474" s="38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ht="18" customHeight="1" x14ac:dyDescent="0.35">
      <c r="A475" s="39"/>
      <c r="B475" s="39"/>
      <c r="C475" s="15"/>
      <c r="D475" s="87"/>
      <c r="E475" s="38"/>
      <c r="F475" s="15"/>
      <c r="G475" s="38"/>
      <c r="H475" s="39"/>
      <c r="I475" s="38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ht="18" customHeight="1" x14ac:dyDescent="0.35">
      <c r="A476" s="39"/>
      <c r="B476" s="39"/>
      <c r="C476" s="15"/>
      <c r="D476" s="87"/>
      <c r="E476" s="38"/>
      <c r="F476" s="15"/>
      <c r="G476" s="38"/>
      <c r="H476" s="39"/>
      <c r="I476" s="38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ht="18" customHeight="1" x14ac:dyDescent="0.35">
      <c r="A477" s="39"/>
      <c r="B477" s="39"/>
      <c r="C477" s="15"/>
      <c r="D477" s="87"/>
      <c r="E477" s="38"/>
      <c r="F477" s="15"/>
      <c r="G477" s="38"/>
      <c r="H477" s="39"/>
      <c r="I477" s="38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ht="18" customHeight="1" x14ac:dyDescent="0.35">
      <c r="A478" s="39"/>
      <c r="B478" s="39"/>
      <c r="C478" s="15"/>
      <c r="D478" s="87"/>
      <c r="E478" s="38"/>
      <c r="F478" s="15"/>
      <c r="G478" s="38"/>
      <c r="H478" s="39"/>
      <c r="I478" s="38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ht="18" customHeight="1" x14ac:dyDescent="0.35">
      <c r="A479" s="39"/>
      <c r="B479" s="39"/>
      <c r="C479" s="15"/>
      <c r="D479" s="87"/>
      <c r="E479" s="38"/>
      <c r="F479" s="15"/>
      <c r="G479" s="38"/>
      <c r="H479" s="39"/>
      <c r="I479" s="38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ht="18" customHeight="1" x14ac:dyDescent="0.35">
      <c r="A480" s="39"/>
      <c r="B480" s="39"/>
      <c r="C480" s="15"/>
      <c r="D480" s="87"/>
      <c r="E480" s="38"/>
      <c r="F480" s="15"/>
      <c r="G480" s="38"/>
      <c r="H480" s="39"/>
      <c r="I480" s="38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ht="18" customHeight="1" x14ac:dyDescent="0.35">
      <c r="A481" s="39"/>
      <c r="B481" s="39"/>
      <c r="C481" s="15"/>
      <c r="D481" s="87"/>
      <c r="E481" s="38"/>
      <c r="F481" s="15"/>
      <c r="G481" s="38"/>
      <c r="H481" s="39"/>
      <c r="I481" s="38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ht="18" customHeight="1" x14ac:dyDescent="0.35">
      <c r="A482" s="39"/>
      <c r="B482" s="39"/>
      <c r="C482" s="15"/>
      <c r="D482" s="87"/>
      <c r="E482" s="38"/>
      <c r="F482" s="15"/>
      <c r="G482" s="38"/>
      <c r="H482" s="39"/>
      <c r="I482" s="38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ht="18" customHeight="1" x14ac:dyDescent="0.35">
      <c r="A483" s="39"/>
      <c r="B483" s="39"/>
      <c r="C483" s="15"/>
      <c r="D483" s="87"/>
      <c r="E483" s="38"/>
      <c r="F483" s="15"/>
      <c r="G483" s="38"/>
      <c r="H483" s="39"/>
      <c r="I483" s="38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ht="18" customHeight="1" x14ac:dyDescent="0.35">
      <c r="A484" s="39"/>
      <c r="B484" s="39"/>
      <c r="C484" s="15"/>
      <c r="D484" s="87"/>
      <c r="E484" s="38"/>
      <c r="F484" s="15"/>
      <c r="G484" s="38"/>
      <c r="H484" s="39"/>
      <c r="I484" s="38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ht="18" customHeight="1" x14ac:dyDescent="0.35">
      <c r="A485" s="39"/>
      <c r="B485" s="39"/>
      <c r="C485" s="15"/>
      <c r="D485" s="87"/>
      <c r="E485" s="38"/>
      <c r="F485" s="15"/>
      <c r="G485" s="38"/>
      <c r="H485" s="39"/>
      <c r="I485" s="38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ht="18" customHeight="1" x14ac:dyDescent="0.35">
      <c r="A486" s="39"/>
      <c r="B486" s="39"/>
      <c r="C486" s="15"/>
      <c r="D486" s="87"/>
      <c r="E486" s="38"/>
      <c r="F486" s="15"/>
      <c r="G486" s="38"/>
      <c r="H486" s="39"/>
      <c r="I486" s="38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ht="18" customHeight="1" x14ac:dyDescent="0.35">
      <c r="A487" s="39"/>
      <c r="B487" s="39"/>
      <c r="C487" s="15"/>
      <c r="D487" s="87"/>
      <c r="E487" s="38"/>
      <c r="F487" s="15"/>
      <c r="G487" s="38"/>
      <c r="H487" s="39"/>
      <c r="I487" s="38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ht="18" customHeight="1" x14ac:dyDescent="0.35">
      <c r="A488" s="39"/>
      <c r="B488" s="39"/>
      <c r="C488" s="15"/>
      <c r="D488" s="87"/>
      <c r="E488" s="38"/>
      <c r="F488" s="15"/>
      <c r="G488" s="38"/>
      <c r="H488" s="39"/>
      <c r="I488" s="38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ht="18" customHeight="1" x14ac:dyDescent="0.35">
      <c r="A489" s="39"/>
      <c r="B489" s="39"/>
      <c r="C489" s="15"/>
      <c r="D489" s="87"/>
      <c r="E489" s="38"/>
      <c r="F489" s="15"/>
      <c r="G489" s="38"/>
      <c r="H489" s="39"/>
      <c r="I489" s="38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ht="18" customHeight="1" x14ac:dyDescent="0.35">
      <c r="A490" s="39"/>
      <c r="B490" s="39"/>
      <c r="C490" s="15"/>
      <c r="D490" s="87"/>
      <c r="E490" s="38"/>
      <c r="F490" s="15"/>
      <c r="G490" s="38"/>
      <c r="H490" s="39"/>
      <c r="I490" s="38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ht="18" customHeight="1" x14ac:dyDescent="0.35">
      <c r="A491" s="39"/>
      <c r="B491" s="39"/>
      <c r="C491" s="15"/>
      <c r="D491" s="87"/>
      <c r="E491" s="38"/>
      <c r="F491" s="15"/>
      <c r="G491" s="38"/>
      <c r="H491" s="39"/>
      <c r="I491" s="38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ht="18" customHeight="1" x14ac:dyDescent="0.35">
      <c r="A492" s="39"/>
      <c r="B492" s="39"/>
      <c r="C492" s="15"/>
      <c r="D492" s="87"/>
      <c r="E492" s="38"/>
      <c r="F492" s="15"/>
      <c r="G492" s="38"/>
      <c r="H492" s="39"/>
      <c r="I492" s="38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ht="18" customHeight="1" x14ac:dyDescent="0.35">
      <c r="A493" s="39"/>
      <c r="B493" s="39"/>
      <c r="C493" s="15"/>
      <c r="D493" s="87"/>
      <c r="E493" s="38"/>
      <c r="F493" s="15"/>
      <c r="G493" s="38"/>
      <c r="H493" s="39"/>
      <c r="I493" s="38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ht="18" customHeight="1" x14ac:dyDescent="0.35">
      <c r="A494" s="39"/>
      <c r="B494" s="39"/>
      <c r="C494" s="15"/>
      <c r="D494" s="87"/>
      <c r="E494" s="38"/>
      <c r="F494" s="15"/>
      <c r="G494" s="38"/>
      <c r="H494" s="39"/>
      <c r="I494" s="38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ht="18" customHeight="1" x14ac:dyDescent="0.35">
      <c r="A495" s="39"/>
      <c r="B495" s="39"/>
      <c r="C495" s="15"/>
      <c r="D495" s="87"/>
      <c r="E495" s="38"/>
      <c r="F495" s="15"/>
      <c r="G495" s="38"/>
      <c r="H495" s="39"/>
      <c r="I495" s="38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ht="18" customHeight="1" x14ac:dyDescent="0.35">
      <c r="A496" s="39"/>
      <c r="B496" s="39"/>
      <c r="C496" s="15"/>
      <c r="D496" s="87"/>
      <c r="E496" s="38"/>
      <c r="F496" s="15"/>
      <c r="G496" s="38"/>
      <c r="H496" s="39"/>
      <c r="I496" s="38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ht="18" customHeight="1" x14ac:dyDescent="0.35">
      <c r="A497" s="39"/>
      <c r="B497" s="39"/>
      <c r="C497" s="15"/>
      <c r="D497" s="87"/>
      <c r="E497" s="38"/>
      <c r="F497" s="15"/>
      <c r="G497" s="38"/>
      <c r="H497" s="39"/>
      <c r="I497" s="38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ht="18" customHeight="1" x14ac:dyDescent="0.35">
      <c r="A498" s="39"/>
      <c r="B498" s="39"/>
      <c r="C498" s="15"/>
      <c r="D498" s="87"/>
      <c r="E498" s="38"/>
      <c r="F498" s="15"/>
      <c r="G498" s="38"/>
      <c r="H498" s="39"/>
      <c r="I498" s="38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ht="18" customHeight="1" x14ac:dyDescent="0.35">
      <c r="A499" s="39"/>
      <c r="B499" s="39"/>
      <c r="C499" s="15"/>
      <c r="D499" s="87"/>
      <c r="E499" s="38"/>
      <c r="F499" s="15"/>
      <c r="G499" s="38"/>
      <c r="H499" s="39"/>
      <c r="I499" s="38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ht="18" customHeight="1" x14ac:dyDescent="0.35">
      <c r="A500" s="39"/>
      <c r="B500" s="39"/>
      <c r="C500" s="15"/>
      <c r="D500" s="87"/>
      <c r="E500" s="38"/>
      <c r="F500" s="15"/>
      <c r="G500" s="38"/>
      <c r="H500" s="39"/>
      <c r="I500" s="38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ht="18" customHeight="1" x14ac:dyDescent="0.35">
      <c r="A501" s="39"/>
      <c r="B501" s="39"/>
      <c r="C501" s="15"/>
      <c r="D501" s="87"/>
      <c r="E501" s="38"/>
      <c r="F501" s="15"/>
      <c r="G501" s="38"/>
      <c r="H501" s="39"/>
      <c r="I501" s="38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ht="18" customHeight="1" x14ac:dyDescent="0.35">
      <c r="A502" s="39"/>
      <c r="B502" s="39"/>
      <c r="C502" s="15"/>
      <c r="D502" s="87"/>
      <c r="E502" s="38"/>
      <c r="F502" s="15"/>
      <c r="G502" s="38"/>
      <c r="H502" s="39"/>
      <c r="I502" s="38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ht="18" customHeight="1" x14ac:dyDescent="0.35">
      <c r="A503" s="39"/>
      <c r="B503" s="39"/>
      <c r="C503" s="15"/>
      <c r="D503" s="87"/>
      <c r="E503" s="38"/>
      <c r="F503" s="15"/>
      <c r="G503" s="38"/>
      <c r="H503" s="39"/>
      <c r="I503" s="38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ht="18" customHeight="1" x14ac:dyDescent="0.35">
      <c r="A504" s="39"/>
      <c r="B504" s="39"/>
      <c r="C504" s="15"/>
      <c r="D504" s="87"/>
      <c r="E504" s="38"/>
      <c r="F504" s="15"/>
      <c r="G504" s="38"/>
      <c r="H504" s="39"/>
      <c r="I504" s="38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ht="18" customHeight="1" x14ac:dyDescent="0.35">
      <c r="A505" s="39"/>
      <c r="B505" s="39"/>
      <c r="C505" s="15"/>
      <c r="D505" s="87"/>
      <c r="E505" s="38"/>
      <c r="F505" s="15"/>
      <c r="G505" s="38"/>
      <c r="H505" s="39"/>
      <c r="I505" s="38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ht="18" customHeight="1" x14ac:dyDescent="0.35">
      <c r="A506" s="39"/>
      <c r="B506" s="39"/>
      <c r="C506" s="15"/>
      <c r="D506" s="87"/>
      <c r="E506" s="38"/>
      <c r="F506" s="15"/>
      <c r="G506" s="38"/>
      <c r="H506" s="39"/>
      <c r="I506" s="38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ht="18" customHeight="1" x14ac:dyDescent="0.35">
      <c r="A507" s="39"/>
      <c r="B507" s="39"/>
      <c r="C507" s="15"/>
      <c r="D507" s="87"/>
      <c r="E507" s="38"/>
      <c r="F507" s="15"/>
      <c r="G507" s="38"/>
      <c r="H507" s="39"/>
      <c r="I507" s="38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ht="18" customHeight="1" x14ac:dyDescent="0.35">
      <c r="A508" s="39"/>
      <c r="B508" s="39"/>
      <c r="C508" s="15"/>
      <c r="D508" s="87"/>
      <c r="E508" s="38"/>
      <c r="F508" s="15"/>
      <c r="G508" s="38"/>
      <c r="H508" s="39"/>
      <c r="I508" s="38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ht="18" customHeight="1" x14ac:dyDescent="0.35">
      <c r="A509" s="39"/>
      <c r="B509" s="39"/>
      <c r="C509" s="15"/>
      <c r="D509" s="87"/>
      <c r="E509" s="38"/>
      <c r="F509" s="15"/>
      <c r="G509" s="38"/>
      <c r="H509" s="39"/>
      <c r="I509" s="38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ht="18" customHeight="1" x14ac:dyDescent="0.35">
      <c r="A510" s="39"/>
      <c r="B510" s="39"/>
      <c r="C510" s="15"/>
      <c r="D510" s="87"/>
      <c r="E510" s="38"/>
      <c r="F510" s="15"/>
      <c r="G510" s="38"/>
      <c r="H510" s="39"/>
      <c r="I510" s="38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ht="18" customHeight="1" x14ac:dyDescent="0.35">
      <c r="A511" s="39"/>
      <c r="B511" s="39"/>
      <c r="C511" s="15"/>
      <c r="D511" s="87"/>
      <c r="E511" s="38"/>
      <c r="F511" s="15"/>
      <c r="G511" s="38"/>
      <c r="H511" s="39"/>
      <c r="I511" s="38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ht="18" customHeight="1" x14ac:dyDescent="0.35">
      <c r="A512" s="39"/>
      <c r="B512" s="39"/>
      <c r="C512" s="15"/>
      <c r="D512" s="87"/>
      <c r="E512" s="38"/>
      <c r="F512" s="15"/>
      <c r="G512" s="38"/>
      <c r="H512" s="39"/>
      <c r="I512" s="38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ht="18" customHeight="1" x14ac:dyDescent="0.35">
      <c r="A513" s="39"/>
      <c r="B513" s="39"/>
      <c r="C513" s="15"/>
      <c r="D513" s="87"/>
      <c r="E513" s="38"/>
      <c r="F513" s="15"/>
      <c r="G513" s="38"/>
      <c r="H513" s="39"/>
      <c r="I513" s="38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ht="18" customHeight="1" x14ac:dyDescent="0.35">
      <c r="A514" s="39"/>
      <c r="B514" s="39"/>
      <c r="C514" s="15"/>
      <c r="D514" s="87"/>
      <c r="E514" s="38"/>
      <c r="F514" s="15"/>
      <c r="G514" s="38"/>
      <c r="H514" s="39"/>
      <c r="I514" s="38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ht="18" customHeight="1" x14ac:dyDescent="0.35">
      <c r="A515" s="39"/>
      <c r="B515" s="39"/>
      <c r="C515" s="15"/>
      <c r="D515" s="87"/>
      <c r="E515" s="38"/>
      <c r="F515" s="15"/>
      <c r="G515" s="38"/>
      <c r="H515" s="39"/>
      <c r="I515" s="38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ht="18" customHeight="1" x14ac:dyDescent="0.35">
      <c r="A516" s="39"/>
      <c r="B516" s="39"/>
      <c r="C516" s="15"/>
      <c r="D516" s="87"/>
      <c r="E516" s="38"/>
      <c r="F516" s="15"/>
      <c r="G516" s="38"/>
      <c r="H516" s="39"/>
      <c r="I516" s="38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ht="18" customHeight="1" x14ac:dyDescent="0.35">
      <c r="A517" s="39"/>
      <c r="B517" s="39"/>
      <c r="C517" s="15"/>
      <c r="D517" s="87"/>
      <c r="E517" s="38"/>
      <c r="F517" s="15"/>
      <c r="G517" s="38"/>
      <c r="H517" s="39"/>
      <c r="I517" s="38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ht="18" customHeight="1" x14ac:dyDescent="0.35">
      <c r="A518" s="39"/>
      <c r="B518" s="39"/>
      <c r="C518" s="15"/>
      <c r="D518" s="87"/>
      <c r="E518" s="38"/>
      <c r="F518" s="15"/>
      <c r="G518" s="38"/>
      <c r="H518" s="39"/>
      <c r="I518" s="38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ht="18" customHeight="1" x14ac:dyDescent="0.35">
      <c r="A519" s="39"/>
      <c r="B519" s="39"/>
      <c r="C519" s="15"/>
      <c r="D519" s="87"/>
      <c r="E519" s="38"/>
      <c r="F519" s="15"/>
      <c r="G519" s="38"/>
      <c r="H519" s="39"/>
      <c r="I519" s="38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ht="18" customHeight="1" x14ac:dyDescent="0.35">
      <c r="A520" s="39"/>
      <c r="B520" s="39"/>
      <c r="C520" s="15"/>
      <c r="D520" s="87"/>
      <c r="E520" s="38"/>
      <c r="F520" s="15"/>
      <c r="G520" s="38"/>
      <c r="H520" s="39"/>
      <c r="I520" s="38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ht="18" customHeight="1" x14ac:dyDescent="0.35">
      <c r="A521" s="39"/>
      <c r="B521" s="39"/>
      <c r="C521" s="15"/>
      <c r="D521" s="87"/>
      <c r="E521" s="38"/>
      <c r="F521" s="15"/>
      <c r="G521" s="38"/>
      <c r="H521" s="39"/>
      <c r="I521" s="38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ht="18" customHeight="1" x14ac:dyDescent="0.35">
      <c r="A522" s="39"/>
      <c r="B522" s="39"/>
      <c r="C522" s="15"/>
      <c r="D522" s="87"/>
      <c r="E522" s="38"/>
      <c r="F522" s="15"/>
      <c r="G522" s="38"/>
      <c r="H522" s="39"/>
      <c r="I522" s="38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ht="18" customHeight="1" x14ac:dyDescent="0.35">
      <c r="A523" s="39"/>
      <c r="B523" s="39"/>
      <c r="C523" s="15"/>
      <c r="D523" s="87"/>
      <c r="E523" s="38"/>
      <c r="F523" s="15"/>
      <c r="G523" s="38"/>
      <c r="H523" s="39"/>
      <c r="I523" s="38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ht="18" customHeight="1" x14ac:dyDescent="0.35">
      <c r="A524" s="39"/>
      <c r="B524" s="39"/>
      <c r="C524" s="15"/>
      <c r="D524" s="87"/>
      <c r="E524" s="38"/>
      <c r="F524" s="15"/>
      <c r="G524" s="38"/>
      <c r="H524" s="39"/>
      <c r="I524" s="38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ht="18" customHeight="1" x14ac:dyDescent="0.35">
      <c r="A525" s="39"/>
      <c r="B525" s="39"/>
      <c r="C525" s="15"/>
      <c r="D525" s="87"/>
      <c r="E525" s="38"/>
      <c r="F525" s="15"/>
      <c r="G525" s="38"/>
      <c r="H525" s="39"/>
      <c r="I525" s="38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ht="18" customHeight="1" x14ac:dyDescent="0.35">
      <c r="A526" s="39"/>
      <c r="B526" s="39"/>
      <c r="C526" s="15"/>
      <c r="D526" s="87"/>
      <c r="E526" s="38"/>
      <c r="F526" s="15"/>
      <c r="G526" s="38"/>
      <c r="H526" s="39"/>
      <c r="I526" s="38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ht="18" customHeight="1" x14ac:dyDescent="0.35">
      <c r="A527" s="39"/>
      <c r="B527" s="39"/>
      <c r="C527" s="15"/>
      <c r="D527" s="87"/>
      <c r="E527" s="38"/>
      <c r="F527" s="15"/>
      <c r="G527" s="38"/>
      <c r="H527" s="39"/>
      <c r="I527" s="38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ht="18" customHeight="1" x14ac:dyDescent="0.35">
      <c r="A528" s="39"/>
      <c r="B528" s="39"/>
      <c r="C528" s="15"/>
      <c r="D528" s="87"/>
      <c r="E528" s="38"/>
      <c r="F528" s="15"/>
      <c r="G528" s="38"/>
      <c r="H528" s="39"/>
      <c r="I528" s="38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ht="18" customHeight="1" x14ac:dyDescent="0.35">
      <c r="A529" s="39"/>
      <c r="B529" s="39"/>
      <c r="C529" s="15"/>
      <c r="D529" s="87"/>
      <c r="E529" s="38"/>
      <c r="F529" s="15"/>
      <c r="G529" s="38"/>
      <c r="H529" s="39"/>
      <c r="I529" s="38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ht="18" customHeight="1" x14ac:dyDescent="0.35">
      <c r="A530" s="39"/>
      <c r="B530" s="39"/>
      <c r="C530" s="15"/>
      <c r="D530" s="87"/>
      <c r="E530" s="38"/>
      <c r="F530" s="15"/>
      <c r="G530" s="38"/>
      <c r="H530" s="39"/>
      <c r="I530" s="38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ht="18" customHeight="1" x14ac:dyDescent="0.35">
      <c r="A531" s="39"/>
      <c r="B531" s="39"/>
      <c r="C531" s="15"/>
      <c r="D531" s="87"/>
      <c r="E531" s="38"/>
      <c r="F531" s="15"/>
      <c r="G531" s="38"/>
      <c r="H531" s="39"/>
      <c r="I531" s="38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ht="18" customHeight="1" x14ac:dyDescent="0.35">
      <c r="A532" s="39"/>
      <c r="B532" s="39"/>
      <c r="C532" s="15"/>
      <c r="D532" s="87"/>
      <c r="E532" s="38"/>
      <c r="F532" s="15"/>
      <c r="G532" s="38"/>
      <c r="H532" s="39"/>
      <c r="I532" s="38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ht="18" customHeight="1" x14ac:dyDescent="0.35">
      <c r="A533" s="39"/>
      <c r="B533" s="39"/>
      <c r="C533" s="15"/>
      <c r="D533" s="87"/>
      <c r="E533" s="38"/>
      <c r="F533" s="15"/>
      <c r="G533" s="38"/>
      <c r="H533" s="39"/>
      <c r="I533" s="38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ht="18" customHeight="1" x14ac:dyDescent="0.35">
      <c r="A534" s="39"/>
      <c r="B534" s="39"/>
      <c r="C534" s="15"/>
      <c r="D534" s="87"/>
      <c r="E534" s="38"/>
      <c r="F534" s="15"/>
      <c r="G534" s="38"/>
      <c r="H534" s="39"/>
      <c r="I534" s="38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ht="18" customHeight="1" x14ac:dyDescent="0.35">
      <c r="A535" s="39"/>
      <c r="B535" s="39"/>
      <c r="C535" s="15"/>
      <c r="D535" s="87"/>
      <c r="E535" s="38"/>
      <c r="F535" s="15"/>
      <c r="G535" s="38"/>
      <c r="H535" s="39"/>
      <c r="I535" s="38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ht="18" customHeight="1" x14ac:dyDescent="0.35">
      <c r="A536" s="39"/>
      <c r="B536" s="39"/>
      <c r="C536" s="15"/>
      <c r="D536" s="87"/>
      <c r="E536" s="38"/>
      <c r="F536" s="15"/>
      <c r="G536" s="38"/>
      <c r="H536" s="39"/>
      <c r="I536" s="38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ht="18" customHeight="1" x14ac:dyDescent="0.35">
      <c r="A537" s="39"/>
      <c r="B537" s="39"/>
      <c r="C537" s="15"/>
      <c r="D537" s="87"/>
      <c r="E537" s="38"/>
      <c r="F537" s="15"/>
      <c r="G537" s="38"/>
      <c r="H537" s="39"/>
      <c r="I537" s="38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ht="18" customHeight="1" x14ac:dyDescent="0.35">
      <c r="A538" s="39"/>
      <c r="B538" s="39"/>
      <c r="C538" s="15"/>
      <c r="D538" s="87"/>
      <c r="E538" s="38"/>
      <c r="F538" s="15"/>
      <c r="G538" s="38"/>
      <c r="H538" s="39"/>
      <c r="I538" s="38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ht="18" customHeight="1" x14ac:dyDescent="0.35">
      <c r="A539" s="39"/>
      <c r="B539" s="39"/>
      <c r="C539" s="15"/>
      <c r="D539" s="87"/>
      <c r="E539" s="38"/>
      <c r="F539" s="15"/>
      <c r="G539" s="38"/>
      <c r="H539" s="39"/>
      <c r="I539" s="38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ht="18" customHeight="1" x14ac:dyDescent="0.35">
      <c r="A540" s="39"/>
      <c r="B540" s="39"/>
      <c r="C540" s="15"/>
      <c r="D540" s="87"/>
      <c r="E540" s="38"/>
      <c r="F540" s="15"/>
      <c r="G540" s="38"/>
      <c r="H540" s="39"/>
      <c r="I540" s="38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ht="18" customHeight="1" x14ac:dyDescent="0.35">
      <c r="A541" s="39"/>
      <c r="B541" s="39"/>
      <c r="C541" s="15"/>
      <c r="D541" s="87"/>
      <c r="E541" s="38"/>
      <c r="F541" s="15"/>
      <c r="G541" s="38"/>
      <c r="H541" s="39"/>
      <c r="I541" s="38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ht="18" customHeight="1" x14ac:dyDescent="0.35">
      <c r="A542" s="39"/>
      <c r="B542" s="39"/>
      <c r="C542" s="15"/>
      <c r="D542" s="87"/>
      <c r="E542" s="38"/>
      <c r="F542" s="15"/>
      <c r="G542" s="38"/>
      <c r="H542" s="39"/>
      <c r="I542" s="38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ht="18" customHeight="1" x14ac:dyDescent="0.35">
      <c r="A543" s="39"/>
      <c r="B543" s="39"/>
      <c r="C543" s="15"/>
      <c r="D543" s="87"/>
      <c r="E543" s="38"/>
      <c r="F543" s="15"/>
      <c r="G543" s="38"/>
      <c r="H543" s="39"/>
      <c r="I543" s="38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ht="18" customHeight="1" x14ac:dyDescent="0.35">
      <c r="A544" s="39"/>
      <c r="B544" s="39"/>
      <c r="C544" s="15"/>
      <c r="D544" s="87"/>
      <c r="E544" s="38"/>
      <c r="F544" s="15"/>
      <c r="G544" s="38"/>
      <c r="H544" s="39"/>
      <c r="I544" s="38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ht="18" customHeight="1" x14ac:dyDescent="0.35">
      <c r="A545" s="39"/>
      <c r="B545" s="39"/>
      <c r="C545" s="15"/>
      <c r="D545" s="87"/>
      <c r="E545" s="38"/>
      <c r="F545" s="15"/>
      <c r="G545" s="38"/>
      <c r="H545" s="39"/>
      <c r="I545" s="38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ht="18" customHeight="1" x14ac:dyDescent="0.35">
      <c r="A546" s="39"/>
      <c r="B546" s="39"/>
      <c r="C546" s="15"/>
      <c r="D546" s="87"/>
      <c r="E546" s="38"/>
      <c r="F546" s="15"/>
      <c r="G546" s="38"/>
      <c r="H546" s="39"/>
      <c r="I546" s="38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ht="18" customHeight="1" x14ac:dyDescent="0.35">
      <c r="A547" s="39"/>
      <c r="B547" s="39"/>
      <c r="C547" s="15"/>
      <c r="D547" s="87"/>
      <c r="E547" s="38"/>
      <c r="F547" s="15"/>
      <c r="G547" s="38"/>
      <c r="H547" s="39"/>
      <c r="I547" s="38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ht="18" customHeight="1" x14ac:dyDescent="0.35">
      <c r="A548" s="39"/>
      <c r="B548" s="39"/>
      <c r="C548" s="15"/>
      <c r="D548" s="87"/>
      <c r="E548" s="38"/>
      <c r="F548" s="15"/>
      <c r="G548" s="38"/>
      <c r="H548" s="39"/>
      <c r="I548" s="38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ht="18" customHeight="1" x14ac:dyDescent="0.35">
      <c r="A549" s="39"/>
      <c r="B549" s="39"/>
      <c r="C549" s="15"/>
      <c r="D549" s="87"/>
      <c r="E549" s="38"/>
      <c r="F549" s="15"/>
      <c r="G549" s="38"/>
      <c r="H549" s="39"/>
      <c r="I549" s="38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ht="18" customHeight="1" x14ac:dyDescent="0.35">
      <c r="A550" s="39"/>
      <c r="B550" s="39"/>
      <c r="C550" s="15"/>
      <c r="D550" s="87"/>
      <c r="E550" s="38"/>
      <c r="F550" s="15"/>
      <c r="G550" s="38"/>
      <c r="H550" s="39"/>
      <c r="I550" s="38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ht="18" customHeight="1" x14ac:dyDescent="0.35">
      <c r="A551" s="39"/>
      <c r="B551" s="39"/>
      <c r="C551" s="15"/>
      <c r="D551" s="87"/>
      <c r="E551" s="38"/>
      <c r="F551" s="15"/>
      <c r="G551" s="38"/>
      <c r="H551" s="39"/>
      <c r="I551" s="38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ht="18" customHeight="1" x14ac:dyDescent="0.35">
      <c r="A552" s="39"/>
      <c r="B552" s="39"/>
      <c r="C552" s="15"/>
      <c r="D552" s="87"/>
      <c r="E552" s="38"/>
      <c r="F552" s="15"/>
      <c r="G552" s="38"/>
      <c r="H552" s="39"/>
      <c r="I552" s="38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ht="18" customHeight="1" x14ac:dyDescent="0.35">
      <c r="A553" s="39"/>
      <c r="B553" s="39"/>
      <c r="C553" s="15"/>
      <c r="D553" s="87"/>
      <c r="E553" s="38"/>
      <c r="F553" s="15"/>
      <c r="G553" s="38"/>
      <c r="H553" s="39"/>
      <c r="I553" s="38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ht="18" customHeight="1" x14ac:dyDescent="0.35">
      <c r="A554" s="39"/>
      <c r="B554" s="39"/>
      <c r="C554" s="15"/>
      <c r="D554" s="87"/>
      <c r="E554" s="38"/>
      <c r="F554" s="15"/>
      <c r="G554" s="38"/>
      <c r="H554" s="39"/>
      <c r="I554" s="38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ht="18" customHeight="1" x14ac:dyDescent="0.35">
      <c r="A555" s="39"/>
      <c r="B555" s="39"/>
      <c r="C555" s="15"/>
      <c r="D555" s="87"/>
      <c r="E555" s="38"/>
      <c r="F555" s="15"/>
      <c r="G555" s="38"/>
      <c r="H555" s="39"/>
      <c r="I555" s="38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ht="18" customHeight="1" x14ac:dyDescent="0.35">
      <c r="A556" s="39"/>
      <c r="B556" s="39"/>
      <c r="C556" s="15"/>
      <c r="D556" s="87"/>
      <c r="E556" s="38"/>
      <c r="F556" s="15"/>
      <c r="G556" s="38"/>
      <c r="H556" s="39"/>
      <c r="I556" s="38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ht="18" customHeight="1" x14ac:dyDescent="0.35">
      <c r="A557" s="39"/>
      <c r="B557" s="39"/>
      <c r="C557" s="15"/>
      <c r="D557" s="87"/>
      <c r="E557" s="38"/>
      <c r="F557" s="15"/>
      <c r="G557" s="38"/>
      <c r="H557" s="39"/>
      <c r="I557" s="38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ht="18" customHeight="1" x14ac:dyDescent="0.35">
      <c r="A558" s="39"/>
      <c r="B558" s="39"/>
      <c r="C558" s="15"/>
      <c r="D558" s="87"/>
      <c r="E558" s="38"/>
      <c r="F558" s="15"/>
      <c r="G558" s="38"/>
      <c r="H558" s="39"/>
      <c r="I558" s="38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ht="18" customHeight="1" x14ac:dyDescent="0.35">
      <c r="A559" s="39"/>
      <c r="B559" s="39"/>
      <c r="C559" s="15"/>
      <c r="D559" s="87"/>
      <c r="E559" s="38"/>
      <c r="F559" s="15"/>
      <c r="G559" s="38"/>
      <c r="H559" s="39"/>
      <c r="I559" s="38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ht="18" customHeight="1" x14ac:dyDescent="0.35">
      <c r="A560" s="39"/>
      <c r="B560" s="39"/>
      <c r="C560" s="15"/>
      <c r="D560" s="87"/>
      <c r="E560" s="38"/>
      <c r="F560" s="15"/>
      <c r="G560" s="38"/>
      <c r="H560" s="39"/>
      <c r="I560" s="38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ht="18" customHeight="1" x14ac:dyDescent="0.35">
      <c r="A561" s="39"/>
      <c r="B561" s="39"/>
      <c r="C561" s="15"/>
      <c r="D561" s="87"/>
      <c r="E561" s="38"/>
      <c r="F561" s="15"/>
      <c r="G561" s="38"/>
      <c r="H561" s="39"/>
      <c r="I561" s="38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ht="18" customHeight="1" x14ac:dyDescent="0.35">
      <c r="A562" s="39"/>
      <c r="B562" s="39"/>
      <c r="C562" s="15"/>
      <c r="D562" s="87"/>
      <c r="E562" s="38"/>
      <c r="F562" s="15"/>
      <c r="G562" s="38"/>
      <c r="H562" s="39"/>
      <c r="I562" s="38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ht="18" customHeight="1" x14ac:dyDescent="0.35">
      <c r="A563" s="39"/>
      <c r="B563" s="39"/>
      <c r="C563" s="15"/>
      <c r="D563" s="87"/>
      <c r="E563" s="38"/>
      <c r="F563" s="15"/>
      <c r="G563" s="38"/>
      <c r="H563" s="39"/>
      <c r="I563" s="38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ht="18" customHeight="1" x14ac:dyDescent="0.35">
      <c r="A564" s="39"/>
      <c r="B564" s="39"/>
      <c r="C564" s="15"/>
      <c r="D564" s="87"/>
      <c r="E564" s="38"/>
      <c r="F564" s="15"/>
      <c r="G564" s="38"/>
      <c r="H564" s="39"/>
      <c r="I564" s="38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ht="18" customHeight="1" x14ac:dyDescent="0.35">
      <c r="A565" s="39"/>
      <c r="B565" s="39"/>
      <c r="C565" s="15"/>
      <c r="D565" s="87"/>
      <c r="E565" s="38"/>
      <c r="F565" s="15"/>
      <c r="G565" s="38"/>
      <c r="H565" s="39"/>
      <c r="I565" s="38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ht="18" customHeight="1" x14ac:dyDescent="0.35">
      <c r="A566" s="39"/>
      <c r="B566" s="39"/>
      <c r="C566" s="15"/>
      <c r="D566" s="87"/>
      <c r="E566" s="38"/>
      <c r="F566" s="15"/>
      <c r="G566" s="38"/>
      <c r="H566" s="39"/>
      <c r="I566" s="38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ht="18" customHeight="1" x14ac:dyDescent="0.35">
      <c r="A567" s="39"/>
      <c r="B567" s="39"/>
      <c r="C567" s="15"/>
      <c r="D567" s="87"/>
      <c r="E567" s="38"/>
      <c r="F567" s="15"/>
      <c r="G567" s="38"/>
      <c r="H567" s="39"/>
      <c r="I567" s="38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ht="18" customHeight="1" x14ac:dyDescent="0.35">
      <c r="A568" s="39"/>
      <c r="B568" s="39"/>
      <c r="C568" s="15"/>
      <c r="D568" s="87"/>
      <c r="E568" s="38"/>
      <c r="F568" s="15"/>
      <c r="G568" s="38"/>
      <c r="H568" s="39"/>
      <c r="I568" s="38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ht="18" customHeight="1" x14ac:dyDescent="0.35">
      <c r="A569" s="39"/>
      <c r="B569" s="39"/>
      <c r="C569" s="15"/>
      <c r="D569" s="87"/>
      <c r="E569" s="38"/>
      <c r="F569" s="15"/>
      <c r="G569" s="38"/>
      <c r="H569" s="39"/>
      <c r="I569" s="38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ht="18" customHeight="1" x14ac:dyDescent="0.35">
      <c r="A570" s="39"/>
      <c r="B570" s="39"/>
      <c r="C570" s="15"/>
      <c r="D570" s="87"/>
      <c r="E570" s="38"/>
      <c r="F570" s="15"/>
      <c r="G570" s="38"/>
      <c r="H570" s="39"/>
      <c r="I570" s="38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ht="18" customHeight="1" x14ac:dyDescent="0.35">
      <c r="A571" s="39"/>
      <c r="B571" s="39"/>
      <c r="C571" s="15"/>
      <c r="D571" s="87"/>
      <c r="E571" s="38"/>
      <c r="F571" s="15"/>
      <c r="G571" s="38"/>
      <c r="H571" s="39"/>
      <c r="I571" s="38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ht="18" customHeight="1" x14ac:dyDescent="0.35">
      <c r="A572" s="39"/>
      <c r="B572" s="39"/>
      <c r="C572" s="15"/>
      <c r="D572" s="87"/>
      <c r="E572" s="38"/>
      <c r="F572" s="15"/>
      <c r="G572" s="38"/>
      <c r="H572" s="39"/>
      <c r="I572" s="38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ht="18" customHeight="1" x14ac:dyDescent="0.35">
      <c r="A573" s="39"/>
      <c r="B573" s="39"/>
      <c r="C573" s="15"/>
      <c r="D573" s="87"/>
      <c r="E573" s="38"/>
      <c r="F573" s="15"/>
      <c r="G573" s="38"/>
      <c r="H573" s="39"/>
      <c r="I573" s="38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ht="18" customHeight="1" x14ac:dyDescent="0.35">
      <c r="A574" s="39"/>
      <c r="B574" s="39"/>
      <c r="C574" s="15"/>
      <c r="D574" s="87"/>
      <c r="E574" s="38"/>
      <c r="F574" s="15"/>
      <c r="G574" s="38"/>
      <c r="H574" s="39"/>
      <c r="I574" s="38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ht="18" customHeight="1" x14ac:dyDescent="0.35">
      <c r="A575" s="39"/>
      <c r="B575" s="39"/>
      <c r="C575" s="15"/>
      <c r="D575" s="87"/>
      <c r="E575" s="38"/>
      <c r="F575" s="15"/>
      <c r="G575" s="38"/>
      <c r="H575" s="39"/>
      <c r="I575" s="38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ht="18" customHeight="1" x14ac:dyDescent="0.35">
      <c r="A576" s="39"/>
      <c r="B576" s="39"/>
      <c r="C576" s="15"/>
      <c r="D576" s="87"/>
      <c r="E576" s="38"/>
      <c r="F576" s="15"/>
      <c r="G576" s="38"/>
      <c r="H576" s="39"/>
      <c r="I576" s="38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ht="18" customHeight="1" x14ac:dyDescent="0.35">
      <c r="A577" s="39"/>
      <c r="B577" s="39"/>
      <c r="C577" s="15"/>
      <c r="D577" s="87"/>
      <c r="E577" s="38"/>
      <c r="F577" s="15"/>
      <c r="G577" s="38"/>
      <c r="H577" s="39"/>
      <c r="I577" s="38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ht="18" customHeight="1" x14ac:dyDescent="0.35">
      <c r="A578" s="39"/>
      <c r="B578" s="39"/>
      <c r="C578" s="15"/>
      <c r="D578" s="87"/>
      <c r="E578" s="38"/>
      <c r="F578" s="15"/>
      <c r="G578" s="38"/>
      <c r="H578" s="39"/>
      <c r="I578" s="38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ht="18" customHeight="1" x14ac:dyDescent="0.35">
      <c r="A579" s="39"/>
      <c r="B579" s="39"/>
      <c r="C579" s="15"/>
      <c r="D579" s="87"/>
      <c r="E579" s="38"/>
      <c r="F579" s="15"/>
      <c r="G579" s="38"/>
      <c r="H579" s="39"/>
      <c r="I579" s="38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ht="18" customHeight="1" x14ac:dyDescent="0.35">
      <c r="A580" s="39"/>
      <c r="B580" s="39"/>
      <c r="C580" s="15"/>
      <c r="D580" s="87"/>
      <c r="E580" s="38"/>
      <c r="F580" s="15"/>
      <c r="G580" s="38"/>
      <c r="H580" s="39"/>
      <c r="I580" s="38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ht="18" customHeight="1" x14ac:dyDescent="0.35">
      <c r="A581" s="39"/>
      <c r="B581" s="39"/>
      <c r="C581" s="15"/>
      <c r="D581" s="87"/>
      <c r="E581" s="38"/>
      <c r="F581" s="15"/>
      <c r="G581" s="38"/>
      <c r="H581" s="39"/>
      <c r="I581" s="38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ht="18" customHeight="1" x14ac:dyDescent="0.35">
      <c r="A582" s="39"/>
      <c r="B582" s="39"/>
      <c r="C582" s="15"/>
      <c r="D582" s="87"/>
      <c r="E582" s="38"/>
      <c r="F582" s="15"/>
      <c r="G582" s="38"/>
      <c r="H582" s="39"/>
      <c r="I582" s="38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ht="18" customHeight="1" x14ac:dyDescent="0.35">
      <c r="A583" s="39"/>
      <c r="B583" s="39"/>
      <c r="C583" s="15"/>
      <c r="D583" s="87"/>
      <c r="E583" s="38"/>
      <c r="F583" s="15"/>
      <c r="G583" s="38"/>
      <c r="H583" s="39"/>
      <c r="I583" s="38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ht="18" customHeight="1" x14ac:dyDescent="0.35">
      <c r="A584" s="39"/>
      <c r="B584" s="39"/>
      <c r="C584" s="15"/>
      <c r="D584" s="87"/>
      <c r="E584" s="38"/>
      <c r="F584" s="15"/>
      <c r="G584" s="38"/>
      <c r="H584" s="39"/>
      <c r="I584" s="38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ht="18" customHeight="1" x14ac:dyDescent="0.35">
      <c r="A585" s="39"/>
      <c r="B585" s="39"/>
      <c r="C585" s="15"/>
      <c r="D585" s="87"/>
      <c r="E585" s="38"/>
      <c r="F585" s="15"/>
      <c r="G585" s="38"/>
      <c r="H585" s="39"/>
      <c r="I585" s="38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ht="18" customHeight="1" x14ac:dyDescent="0.35">
      <c r="A586" s="39"/>
      <c r="B586" s="39"/>
      <c r="C586" s="15"/>
      <c r="D586" s="87"/>
      <c r="E586" s="38"/>
      <c r="F586" s="15"/>
      <c r="G586" s="38"/>
      <c r="H586" s="39"/>
      <c r="I586" s="38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ht="18" customHeight="1" x14ac:dyDescent="0.35">
      <c r="A587" s="39"/>
      <c r="B587" s="39"/>
      <c r="C587" s="15"/>
      <c r="D587" s="87"/>
      <c r="E587" s="38"/>
      <c r="F587" s="15"/>
      <c r="G587" s="38"/>
      <c r="H587" s="39"/>
      <c r="I587" s="38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ht="18" customHeight="1" x14ac:dyDescent="0.35">
      <c r="A588" s="39"/>
      <c r="B588" s="39"/>
      <c r="C588" s="15"/>
      <c r="D588" s="87"/>
      <c r="E588" s="38"/>
      <c r="F588" s="15"/>
      <c r="G588" s="38"/>
      <c r="H588" s="39"/>
      <c r="I588" s="38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ht="18" customHeight="1" x14ac:dyDescent="0.35">
      <c r="A589" s="39"/>
      <c r="B589" s="39"/>
      <c r="C589" s="15"/>
      <c r="D589" s="87"/>
      <c r="E589" s="38"/>
      <c r="F589" s="15"/>
      <c r="G589" s="38"/>
      <c r="H589" s="39"/>
      <c r="I589" s="38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ht="18" customHeight="1" x14ac:dyDescent="0.35">
      <c r="A590" s="39"/>
      <c r="B590" s="39"/>
      <c r="C590" s="15"/>
      <c r="D590" s="87"/>
      <c r="E590" s="38"/>
      <c r="F590" s="15"/>
      <c r="G590" s="38"/>
      <c r="H590" s="39"/>
      <c r="I590" s="38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ht="18" customHeight="1" x14ac:dyDescent="0.35">
      <c r="A591" s="39"/>
      <c r="B591" s="39"/>
      <c r="C591" s="15"/>
      <c r="D591" s="87"/>
      <c r="E591" s="38"/>
      <c r="F591" s="15"/>
      <c r="G591" s="38"/>
      <c r="H591" s="39"/>
      <c r="I591" s="38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ht="18" customHeight="1" x14ac:dyDescent="0.35">
      <c r="A592" s="39"/>
      <c r="B592" s="39"/>
      <c r="C592" s="15"/>
      <c r="D592" s="87"/>
      <c r="E592" s="38"/>
      <c r="F592" s="15"/>
      <c r="G592" s="38"/>
      <c r="H592" s="39"/>
      <c r="I592" s="38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ht="18" customHeight="1" x14ac:dyDescent="0.35">
      <c r="A593" s="39"/>
      <c r="B593" s="39"/>
      <c r="C593" s="15"/>
      <c r="D593" s="87"/>
      <c r="E593" s="38"/>
      <c r="F593" s="15"/>
      <c r="G593" s="38"/>
      <c r="H593" s="39"/>
      <c r="I593" s="38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ht="18" customHeight="1" x14ac:dyDescent="0.35">
      <c r="A594" s="39"/>
      <c r="B594" s="39"/>
      <c r="C594" s="15"/>
      <c r="D594" s="87"/>
      <c r="E594" s="38"/>
      <c r="F594" s="15"/>
      <c r="G594" s="38"/>
      <c r="H594" s="39"/>
      <c r="I594" s="38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ht="18" customHeight="1" x14ac:dyDescent="0.35">
      <c r="A595" s="39"/>
      <c r="B595" s="39"/>
      <c r="C595" s="15"/>
      <c r="D595" s="87"/>
      <c r="E595" s="38"/>
      <c r="F595" s="15"/>
      <c r="G595" s="38"/>
      <c r="H595" s="39"/>
      <c r="I595" s="38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ht="18" customHeight="1" x14ac:dyDescent="0.35">
      <c r="A596" s="39"/>
      <c r="B596" s="39"/>
      <c r="C596" s="15"/>
      <c r="D596" s="87"/>
      <c r="E596" s="38"/>
      <c r="F596" s="15"/>
      <c r="G596" s="38"/>
      <c r="H596" s="39"/>
      <c r="I596" s="38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ht="18" customHeight="1" x14ac:dyDescent="0.35">
      <c r="A597" s="39"/>
      <c r="B597" s="39"/>
      <c r="C597" s="15"/>
      <c r="D597" s="87"/>
      <c r="E597" s="38"/>
      <c r="F597" s="15"/>
      <c r="G597" s="38"/>
      <c r="H597" s="39"/>
      <c r="I597" s="38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ht="18" customHeight="1" x14ac:dyDescent="0.35">
      <c r="A598" s="39"/>
      <c r="B598" s="39"/>
      <c r="C598" s="15"/>
      <c r="D598" s="87"/>
      <c r="E598" s="38"/>
      <c r="F598" s="15"/>
      <c r="G598" s="38"/>
      <c r="H598" s="39"/>
      <c r="I598" s="38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ht="18" customHeight="1" x14ac:dyDescent="0.35">
      <c r="A599" s="39"/>
      <c r="B599" s="39"/>
      <c r="C599" s="15"/>
      <c r="D599" s="87"/>
      <c r="E599" s="38"/>
      <c r="F599" s="15"/>
      <c r="G599" s="38"/>
      <c r="H599" s="39"/>
      <c r="I599" s="38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ht="18" customHeight="1" x14ac:dyDescent="0.35">
      <c r="A600" s="39"/>
      <c r="B600" s="39"/>
      <c r="C600" s="15"/>
      <c r="D600" s="87"/>
      <c r="E600" s="38"/>
      <c r="F600" s="15"/>
      <c r="G600" s="38"/>
      <c r="H600" s="39"/>
      <c r="I600" s="38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ht="18" customHeight="1" x14ac:dyDescent="0.35">
      <c r="A601" s="39"/>
      <c r="B601" s="39"/>
      <c r="C601" s="15"/>
      <c r="D601" s="87"/>
      <c r="E601" s="38"/>
      <c r="F601" s="15"/>
      <c r="G601" s="38"/>
      <c r="H601" s="39"/>
      <c r="I601" s="38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ht="18" customHeight="1" x14ac:dyDescent="0.35">
      <c r="A602" s="39"/>
      <c r="B602" s="39"/>
      <c r="C602" s="15"/>
      <c r="D602" s="87"/>
      <c r="E602" s="38"/>
      <c r="F602" s="15"/>
      <c r="G602" s="38"/>
      <c r="H602" s="39"/>
      <c r="I602" s="38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ht="18" customHeight="1" x14ac:dyDescent="0.35">
      <c r="A603" s="39"/>
      <c r="B603" s="39"/>
      <c r="C603" s="15"/>
      <c r="D603" s="87"/>
      <c r="E603" s="38"/>
      <c r="F603" s="15"/>
      <c r="G603" s="38"/>
      <c r="H603" s="39"/>
      <c r="I603" s="38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ht="18" customHeight="1" x14ac:dyDescent="0.35">
      <c r="A604" s="39"/>
      <c r="B604" s="39"/>
      <c r="C604" s="15"/>
      <c r="D604" s="87"/>
      <c r="E604" s="38"/>
      <c r="F604" s="15"/>
      <c r="G604" s="38"/>
      <c r="H604" s="39"/>
      <c r="I604" s="38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ht="18" customHeight="1" x14ac:dyDescent="0.35">
      <c r="A605" s="39"/>
      <c r="B605" s="39"/>
      <c r="C605" s="15"/>
      <c r="D605" s="87"/>
      <c r="E605" s="38"/>
      <c r="F605" s="15"/>
      <c r="G605" s="38"/>
      <c r="H605" s="39"/>
      <c r="I605" s="38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ht="18" customHeight="1" x14ac:dyDescent="0.35">
      <c r="A606" s="39"/>
      <c r="B606" s="39"/>
      <c r="C606" s="15"/>
      <c r="D606" s="87"/>
      <c r="E606" s="38"/>
      <c r="F606" s="15"/>
      <c r="G606" s="38"/>
      <c r="H606" s="39"/>
      <c r="I606" s="38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ht="18" customHeight="1" x14ac:dyDescent="0.35">
      <c r="A607" s="39"/>
      <c r="B607" s="39"/>
      <c r="C607" s="15"/>
      <c r="D607" s="87"/>
      <c r="E607" s="38"/>
      <c r="F607" s="15"/>
      <c r="G607" s="38"/>
      <c r="H607" s="39"/>
      <c r="I607" s="38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ht="18" customHeight="1" x14ac:dyDescent="0.35">
      <c r="A608" s="39"/>
      <c r="B608" s="39"/>
      <c r="C608" s="15"/>
      <c r="D608" s="87"/>
      <c r="E608" s="38"/>
      <c r="F608" s="15"/>
      <c r="G608" s="38"/>
      <c r="H608" s="39"/>
      <c r="I608" s="38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ht="18" customHeight="1" x14ac:dyDescent="0.35">
      <c r="A609" s="39"/>
      <c r="B609" s="39"/>
      <c r="C609" s="15"/>
      <c r="D609" s="87"/>
      <c r="E609" s="38"/>
      <c r="F609" s="15"/>
      <c r="G609" s="38"/>
      <c r="H609" s="39"/>
      <c r="I609" s="38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ht="18" customHeight="1" x14ac:dyDescent="0.35">
      <c r="A610" s="39"/>
      <c r="B610" s="39"/>
      <c r="C610" s="15"/>
      <c r="D610" s="87"/>
      <c r="E610" s="38"/>
      <c r="F610" s="15"/>
      <c r="G610" s="38"/>
      <c r="H610" s="39"/>
      <c r="I610" s="38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ht="18" customHeight="1" x14ac:dyDescent="0.35">
      <c r="A611" s="39"/>
      <c r="B611" s="39"/>
      <c r="C611" s="15"/>
      <c r="D611" s="87"/>
      <c r="E611" s="38"/>
      <c r="F611" s="15"/>
      <c r="G611" s="38"/>
      <c r="H611" s="39"/>
      <c r="I611" s="38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ht="18" customHeight="1" x14ac:dyDescent="0.35">
      <c r="A612" s="39"/>
      <c r="B612" s="39"/>
      <c r="C612" s="15"/>
      <c r="D612" s="87"/>
      <c r="E612" s="38"/>
      <c r="F612" s="15"/>
      <c r="G612" s="38"/>
      <c r="H612" s="39"/>
      <c r="I612" s="38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ht="18" customHeight="1" x14ac:dyDescent="0.35">
      <c r="A613" s="39"/>
      <c r="B613" s="39"/>
      <c r="C613" s="15"/>
      <c r="D613" s="87"/>
      <c r="E613" s="38"/>
      <c r="F613" s="15"/>
      <c r="G613" s="38"/>
      <c r="H613" s="39"/>
      <c r="I613" s="38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ht="18" customHeight="1" x14ac:dyDescent="0.35">
      <c r="A614" s="39"/>
      <c r="B614" s="39"/>
      <c r="C614" s="15"/>
      <c r="D614" s="87"/>
      <c r="E614" s="38"/>
      <c r="F614" s="15"/>
      <c r="G614" s="38"/>
      <c r="H614" s="39"/>
      <c r="I614" s="38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ht="18" customHeight="1" x14ac:dyDescent="0.35">
      <c r="A615" s="39"/>
      <c r="B615" s="39"/>
      <c r="C615" s="15"/>
      <c r="D615" s="87"/>
      <c r="E615" s="38"/>
      <c r="F615" s="15"/>
      <c r="G615" s="38"/>
      <c r="H615" s="39"/>
      <c r="I615" s="38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ht="18" customHeight="1" x14ac:dyDescent="0.35">
      <c r="A616" s="39"/>
      <c r="B616" s="39"/>
      <c r="C616" s="15"/>
      <c r="D616" s="87"/>
      <c r="E616" s="38"/>
      <c r="F616" s="15"/>
      <c r="G616" s="38"/>
      <c r="H616" s="39"/>
      <c r="I616" s="38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ht="18" customHeight="1" x14ac:dyDescent="0.35">
      <c r="A617" s="39"/>
      <c r="B617" s="39"/>
      <c r="C617" s="15"/>
      <c r="D617" s="87"/>
      <c r="E617" s="38"/>
      <c r="F617" s="15"/>
      <c r="G617" s="38"/>
      <c r="H617" s="39"/>
      <c r="I617" s="38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ht="18" customHeight="1" x14ac:dyDescent="0.35">
      <c r="A618" s="39"/>
      <c r="B618" s="39"/>
      <c r="C618" s="15"/>
      <c r="D618" s="87"/>
      <c r="E618" s="38"/>
      <c r="F618" s="15"/>
      <c r="G618" s="38"/>
      <c r="H618" s="39"/>
      <c r="I618" s="38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ht="18" customHeight="1" x14ac:dyDescent="0.35">
      <c r="A619" s="39"/>
      <c r="B619" s="39"/>
      <c r="C619" s="15"/>
      <c r="D619" s="87"/>
      <c r="E619" s="38"/>
      <c r="F619" s="15"/>
      <c r="G619" s="38"/>
      <c r="H619" s="39"/>
      <c r="I619" s="38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ht="18" customHeight="1" x14ac:dyDescent="0.35">
      <c r="A620" s="39"/>
      <c r="B620" s="39"/>
      <c r="C620" s="15"/>
      <c r="D620" s="87"/>
      <c r="E620" s="38"/>
      <c r="F620" s="15"/>
      <c r="G620" s="38"/>
      <c r="H620" s="39"/>
      <c r="I620" s="38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ht="18" customHeight="1" x14ac:dyDescent="0.35">
      <c r="A621" s="39"/>
      <c r="B621" s="39"/>
      <c r="C621" s="15"/>
      <c r="D621" s="87"/>
      <c r="E621" s="38"/>
      <c r="F621" s="15"/>
      <c r="G621" s="38"/>
      <c r="H621" s="39"/>
      <c r="I621" s="38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ht="18" customHeight="1" x14ac:dyDescent="0.35">
      <c r="A622" s="39"/>
      <c r="B622" s="39"/>
      <c r="C622" s="15"/>
      <c r="D622" s="87"/>
      <c r="E622" s="38"/>
      <c r="F622" s="15"/>
      <c r="G622" s="38"/>
      <c r="H622" s="39"/>
      <c r="I622" s="38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ht="18" customHeight="1" x14ac:dyDescent="0.35">
      <c r="A623" s="39"/>
      <c r="B623" s="39"/>
      <c r="C623" s="15"/>
      <c r="D623" s="87"/>
      <c r="E623" s="38"/>
      <c r="F623" s="15"/>
      <c r="G623" s="38"/>
      <c r="H623" s="39"/>
      <c r="I623" s="38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ht="18" customHeight="1" x14ac:dyDescent="0.35">
      <c r="A624" s="39"/>
      <c r="B624" s="39"/>
      <c r="C624" s="15"/>
      <c r="D624" s="87"/>
      <c r="E624" s="38"/>
      <c r="F624" s="15"/>
      <c r="G624" s="38"/>
      <c r="H624" s="39"/>
      <c r="I624" s="38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ht="18" customHeight="1" x14ac:dyDescent="0.35">
      <c r="A625" s="39"/>
      <c r="B625" s="39"/>
      <c r="C625" s="15"/>
      <c r="D625" s="87"/>
      <c r="E625" s="38"/>
      <c r="F625" s="15"/>
      <c r="G625" s="38"/>
      <c r="H625" s="39"/>
      <c r="I625" s="38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ht="18" customHeight="1" x14ac:dyDescent="0.35">
      <c r="A626" s="39"/>
      <c r="B626" s="39"/>
      <c r="C626" s="15"/>
      <c r="D626" s="87"/>
      <c r="E626" s="38"/>
      <c r="F626" s="15"/>
      <c r="G626" s="38"/>
      <c r="H626" s="39"/>
      <c r="I626" s="38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ht="18" customHeight="1" x14ac:dyDescent="0.35">
      <c r="A627" s="39"/>
      <c r="B627" s="39"/>
      <c r="C627" s="15"/>
      <c r="D627" s="87"/>
      <c r="E627" s="38"/>
      <c r="F627" s="15"/>
      <c r="G627" s="38"/>
      <c r="H627" s="39"/>
      <c r="I627" s="38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ht="18" customHeight="1" x14ac:dyDescent="0.35">
      <c r="A628" s="39"/>
      <c r="B628" s="39"/>
      <c r="C628" s="15"/>
      <c r="D628" s="87"/>
      <c r="E628" s="38"/>
      <c r="F628" s="15"/>
      <c r="G628" s="38"/>
      <c r="H628" s="39"/>
      <c r="I628" s="38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ht="18" customHeight="1" x14ac:dyDescent="0.35">
      <c r="A629" s="39"/>
      <c r="B629" s="39"/>
      <c r="C629" s="15"/>
      <c r="D629" s="87"/>
      <c r="E629" s="38"/>
      <c r="F629" s="15"/>
      <c r="G629" s="38"/>
      <c r="H629" s="39"/>
      <c r="I629" s="38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ht="18" customHeight="1" x14ac:dyDescent="0.35">
      <c r="A630" s="39"/>
      <c r="B630" s="39"/>
      <c r="C630" s="15"/>
      <c r="D630" s="87"/>
      <c r="E630" s="38"/>
      <c r="F630" s="15"/>
      <c r="G630" s="38"/>
      <c r="H630" s="39"/>
      <c r="I630" s="38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8" customHeight="1" x14ac:dyDescent="0.35">
      <c r="A631" s="39"/>
      <c r="B631" s="39"/>
      <c r="C631" s="15"/>
      <c r="D631" s="87"/>
      <c r="E631" s="38"/>
      <c r="F631" s="15"/>
      <c r="G631" s="38"/>
      <c r="H631" s="39"/>
      <c r="I631" s="38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8" customHeight="1" x14ac:dyDescent="0.35">
      <c r="A632" s="39"/>
      <c r="B632" s="39"/>
      <c r="C632" s="15"/>
      <c r="D632" s="87"/>
      <c r="E632" s="38"/>
      <c r="F632" s="15"/>
      <c r="G632" s="38"/>
      <c r="H632" s="39"/>
      <c r="I632" s="38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8" customHeight="1" x14ac:dyDescent="0.35">
      <c r="A633" s="39"/>
      <c r="B633" s="39"/>
      <c r="C633" s="15"/>
      <c r="D633" s="87"/>
      <c r="E633" s="38"/>
      <c r="F633" s="15"/>
      <c r="G633" s="38"/>
      <c r="H633" s="39"/>
      <c r="I633" s="38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8" customHeight="1" x14ac:dyDescent="0.35">
      <c r="A634" s="39"/>
      <c r="B634" s="39"/>
      <c r="C634" s="15"/>
      <c r="D634" s="87"/>
      <c r="E634" s="38"/>
      <c r="F634" s="15"/>
      <c r="G634" s="38"/>
      <c r="H634" s="39"/>
      <c r="I634" s="38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8" customHeight="1" x14ac:dyDescent="0.35">
      <c r="A635" s="39"/>
      <c r="B635" s="39"/>
      <c r="C635" s="15"/>
      <c r="D635" s="87"/>
      <c r="E635" s="38"/>
      <c r="F635" s="15"/>
      <c r="G635" s="38"/>
      <c r="H635" s="39"/>
      <c r="I635" s="38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8" customHeight="1" x14ac:dyDescent="0.35">
      <c r="A636" s="39"/>
      <c r="B636" s="39"/>
      <c r="C636" s="15"/>
      <c r="D636" s="87"/>
      <c r="E636" s="38"/>
      <c r="F636" s="15"/>
      <c r="G636" s="38"/>
      <c r="H636" s="39"/>
      <c r="I636" s="38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8" customHeight="1" x14ac:dyDescent="0.35">
      <c r="A637" s="39"/>
      <c r="B637" s="39"/>
      <c r="C637" s="15"/>
      <c r="D637" s="87"/>
      <c r="E637" s="38"/>
      <c r="F637" s="15"/>
      <c r="G637" s="38"/>
      <c r="H637" s="39"/>
      <c r="I637" s="38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8" customHeight="1" x14ac:dyDescent="0.35">
      <c r="A638" s="39"/>
      <c r="B638" s="39"/>
      <c r="C638" s="15"/>
      <c r="D638" s="87"/>
      <c r="E638" s="38"/>
      <c r="F638" s="15"/>
      <c r="G638" s="38"/>
      <c r="H638" s="39"/>
      <c r="I638" s="38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8" customHeight="1" x14ac:dyDescent="0.35">
      <c r="A639" s="39"/>
      <c r="B639" s="39"/>
      <c r="C639" s="15"/>
      <c r="D639" s="87"/>
      <c r="E639" s="38"/>
      <c r="F639" s="15"/>
      <c r="G639" s="38"/>
      <c r="H639" s="39"/>
      <c r="I639" s="38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8" customHeight="1" x14ac:dyDescent="0.35">
      <c r="A640" s="39"/>
      <c r="B640" s="39"/>
      <c r="C640" s="15"/>
      <c r="D640" s="87"/>
      <c r="E640" s="38"/>
      <c r="F640" s="15"/>
      <c r="G640" s="38"/>
      <c r="H640" s="39"/>
      <c r="I640" s="38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8" customHeight="1" x14ac:dyDescent="0.35">
      <c r="A641" s="39"/>
      <c r="B641" s="39"/>
      <c r="C641" s="15"/>
      <c r="D641" s="87"/>
      <c r="E641" s="38"/>
      <c r="F641" s="15"/>
      <c r="G641" s="38"/>
      <c r="H641" s="39"/>
      <c r="I641" s="38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8" customHeight="1" x14ac:dyDescent="0.35">
      <c r="A642" s="39"/>
      <c r="B642" s="39"/>
      <c r="C642" s="15"/>
      <c r="D642" s="87"/>
      <c r="E642" s="38"/>
      <c r="F642" s="15"/>
      <c r="G642" s="38"/>
      <c r="H642" s="39"/>
      <c r="I642" s="38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8" customHeight="1" x14ac:dyDescent="0.35">
      <c r="A643" s="39"/>
      <c r="B643" s="39"/>
      <c r="C643" s="15"/>
      <c r="D643" s="87"/>
      <c r="E643" s="38"/>
      <c r="F643" s="15"/>
      <c r="G643" s="38"/>
      <c r="H643" s="39"/>
      <c r="I643" s="38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8" customHeight="1" x14ac:dyDescent="0.35">
      <c r="A644" s="39"/>
      <c r="B644" s="39"/>
      <c r="C644" s="15"/>
      <c r="D644" s="87"/>
      <c r="E644" s="38"/>
      <c r="F644" s="15"/>
      <c r="G644" s="38"/>
      <c r="H644" s="39"/>
      <c r="I644" s="38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8" customHeight="1" x14ac:dyDescent="0.35">
      <c r="A645" s="39"/>
      <c r="B645" s="39"/>
      <c r="C645" s="15"/>
      <c r="D645" s="87"/>
      <c r="E645" s="38"/>
      <c r="F645" s="15"/>
      <c r="G645" s="38"/>
      <c r="H645" s="39"/>
      <c r="I645" s="38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8" customHeight="1" x14ac:dyDescent="0.35">
      <c r="A646" s="39"/>
      <c r="B646" s="39"/>
      <c r="C646" s="15"/>
      <c r="D646" s="87"/>
      <c r="E646" s="38"/>
      <c r="F646" s="15"/>
      <c r="G646" s="38"/>
      <c r="H646" s="39"/>
      <c r="I646" s="38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8" customHeight="1" x14ac:dyDescent="0.35">
      <c r="A647" s="39"/>
      <c r="B647" s="39"/>
      <c r="C647" s="15"/>
      <c r="D647" s="87"/>
      <c r="E647" s="38"/>
      <c r="F647" s="15"/>
      <c r="G647" s="38"/>
      <c r="H647" s="39"/>
      <c r="I647" s="38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8" customHeight="1" x14ac:dyDescent="0.35">
      <c r="A648" s="39"/>
      <c r="B648" s="39"/>
      <c r="C648" s="15"/>
      <c r="D648" s="87"/>
      <c r="E648" s="38"/>
      <c r="F648" s="15"/>
      <c r="G648" s="38"/>
      <c r="H648" s="39"/>
      <c r="I648" s="38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8" customHeight="1" x14ac:dyDescent="0.35">
      <c r="A649" s="39"/>
      <c r="B649" s="39"/>
      <c r="C649" s="15"/>
      <c r="D649" s="87"/>
      <c r="E649" s="38"/>
      <c r="F649" s="15"/>
      <c r="G649" s="38"/>
      <c r="H649" s="39"/>
      <c r="I649" s="38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8" customHeight="1" x14ac:dyDescent="0.35">
      <c r="A650" s="39"/>
      <c r="B650" s="39"/>
      <c r="C650" s="15"/>
      <c r="D650" s="87"/>
      <c r="E650" s="38"/>
      <c r="F650" s="15"/>
      <c r="G650" s="38"/>
      <c r="H650" s="39"/>
      <c r="I650" s="38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8" customHeight="1" x14ac:dyDescent="0.35">
      <c r="A651" s="39"/>
      <c r="B651" s="39"/>
      <c r="C651" s="15"/>
      <c r="D651" s="87"/>
      <c r="E651" s="38"/>
      <c r="F651" s="15"/>
      <c r="G651" s="38"/>
      <c r="H651" s="39"/>
      <c r="I651" s="38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8" customHeight="1" x14ac:dyDescent="0.35">
      <c r="A652" s="39"/>
      <c r="B652" s="39"/>
      <c r="C652" s="15"/>
      <c r="D652" s="87"/>
      <c r="E652" s="38"/>
      <c r="F652" s="15"/>
      <c r="G652" s="38"/>
      <c r="H652" s="39"/>
      <c r="I652" s="38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8" customHeight="1" x14ac:dyDescent="0.35">
      <c r="A653" s="39"/>
      <c r="B653" s="39"/>
      <c r="C653" s="15"/>
      <c r="D653" s="87"/>
      <c r="E653" s="38"/>
      <c r="F653" s="15"/>
      <c r="G653" s="38"/>
      <c r="H653" s="39"/>
      <c r="I653" s="38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8" customHeight="1" x14ac:dyDescent="0.35">
      <c r="A654" s="39"/>
      <c r="B654" s="39"/>
      <c r="C654" s="15"/>
      <c r="D654" s="87"/>
      <c r="E654" s="38"/>
      <c r="F654" s="15"/>
      <c r="G654" s="38"/>
      <c r="H654" s="39"/>
      <c r="I654" s="38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8" customHeight="1" x14ac:dyDescent="0.35">
      <c r="A655" s="39"/>
      <c r="B655" s="39"/>
      <c r="C655" s="15"/>
      <c r="D655" s="87"/>
      <c r="E655" s="38"/>
      <c r="F655" s="15"/>
      <c r="G655" s="38"/>
      <c r="H655" s="39"/>
      <c r="I655" s="38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8" customHeight="1" x14ac:dyDescent="0.35">
      <c r="A656" s="39"/>
      <c r="B656" s="39"/>
      <c r="C656" s="15"/>
      <c r="D656" s="87"/>
      <c r="E656" s="38"/>
      <c r="F656" s="15"/>
      <c r="G656" s="38"/>
      <c r="H656" s="39"/>
      <c r="I656" s="38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8" customHeight="1" x14ac:dyDescent="0.35">
      <c r="A657" s="39"/>
      <c r="B657" s="39"/>
      <c r="C657" s="15"/>
      <c r="D657" s="87"/>
      <c r="E657" s="38"/>
      <c r="F657" s="15"/>
      <c r="G657" s="38"/>
      <c r="H657" s="39"/>
      <c r="I657" s="38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8" customHeight="1" x14ac:dyDescent="0.35">
      <c r="A658" s="39"/>
      <c r="B658" s="39"/>
      <c r="C658" s="15"/>
      <c r="D658" s="87"/>
      <c r="E658" s="38"/>
      <c r="F658" s="15"/>
      <c r="G658" s="38"/>
      <c r="H658" s="39"/>
      <c r="I658" s="38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8" customHeight="1" x14ac:dyDescent="0.35">
      <c r="A659" s="39"/>
      <c r="B659" s="39"/>
      <c r="C659" s="15"/>
      <c r="D659" s="87"/>
      <c r="E659" s="38"/>
      <c r="F659" s="15"/>
      <c r="G659" s="38"/>
      <c r="H659" s="39"/>
      <c r="I659" s="38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8" customHeight="1" x14ac:dyDescent="0.35">
      <c r="A660" s="39"/>
      <c r="B660" s="39"/>
      <c r="C660" s="15"/>
      <c r="D660" s="87"/>
      <c r="E660" s="38"/>
      <c r="F660" s="15"/>
      <c r="G660" s="38"/>
      <c r="H660" s="39"/>
      <c r="I660" s="38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8" customHeight="1" x14ac:dyDescent="0.35">
      <c r="A661" s="39"/>
      <c r="B661" s="39"/>
      <c r="C661" s="15"/>
      <c r="D661" s="87"/>
      <c r="E661" s="38"/>
      <c r="F661" s="15"/>
      <c r="G661" s="38"/>
      <c r="H661" s="39"/>
      <c r="I661" s="38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8" customHeight="1" x14ac:dyDescent="0.35">
      <c r="A662" s="39"/>
      <c r="B662" s="39"/>
      <c r="C662" s="15"/>
      <c r="D662" s="87"/>
      <c r="E662" s="38"/>
      <c r="F662" s="15"/>
      <c r="G662" s="38"/>
      <c r="H662" s="39"/>
      <c r="I662" s="38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8" customHeight="1" x14ac:dyDescent="0.35">
      <c r="A663" s="39"/>
      <c r="B663" s="39"/>
      <c r="C663" s="15"/>
      <c r="D663" s="87"/>
      <c r="E663" s="38"/>
      <c r="F663" s="15"/>
      <c r="G663" s="38"/>
      <c r="H663" s="39"/>
      <c r="I663" s="38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8" customHeight="1" x14ac:dyDescent="0.35">
      <c r="A664" s="39"/>
      <c r="B664" s="39"/>
      <c r="C664" s="15"/>
      <c r="D664" s="87"/>
      <c r="E664" s="38"/>
      <c r="F664" s="15"/>
      <c r="G664" s="38"/>
      <c r="H664" s="39"/>
      <c r="I664" s="38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8" customHeight="1" x14ac:dyDescent="0.35">
      <c r="A665" s="39"/>
      <c r="B665" s="39"/>
      <c r="C665" s="15"/>
      <c r="D665" s="87"/>
      <c r="E665" s="38"/>
      <c r="F665" s="15"/>
      <c r="G665" s="38"/>
      <c r="H665" s="39"/>
      <c r="I665" s="38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8" customHeight="1" x14ac:dyDescent="0.35">
      <c r="A666" s="39"/>
      <c r="B666" s="39"/>
      <c r="C666" s="15"/>
      <c r="D666" s="87"/>
      <c r="E666" s="38"/>
      <c r="F666" s="15"/>
      <c r="G666" s="38"/>
      <c r="H666" s="39"/>
      <c r="I666" s="38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8" customHeight="1" x14ac:dyDescent="0.35">
      <c r="A667" s="39"/>
      <c r="B667" s="39"/>
      <c r="C667" s="15"/>
      <c r="D667" s="87"/>
      <c r="E667" s="38"/>
      <c r="F667" s="15"/>
      <c r="G667" s="38"/>
      <c r="H667" s="39"/>
      <c r="I667" s="38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8" customHeight="1" x14ac:dyDescent="0.35">
      <c r="A668" s="39"/>
      <c r="B668" s="39"/>
      <c r="C668" s="15"/>
      <c r="D668" s="87"/>
      <c r="E668" s="38"/>
      <c r="F668" s="15"/>
      <c r="G668" s="38"/>
      <c r="H668" s="39"/>
      <c r="I668" s="38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8" customHeight="1" x14ac:dyDescent="0.35">
      <c r="A669" s="39"/>
      <c r="B669" s="39"/>
      <c r="C669" s="15"/>
      <c r="D669" s="87"/>
      <c r="E669" s="38"/>
      <c r="F669" s="15"/>
      <c r="G669" s="38"/>
      <c r="H669" s="39"/>
      <c r="I669" s="38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8" customHeight="1" x14ac:dyDescent="0.35">
      <c r="A670" s="39"/>
      <c r="B670" s="39"/>
      <c r="C670" s="15"/>
      <c r="D670" s="87"/>
      <c r="E670" s="38"/>
      <c r="F670" s="15"/>
      <c r="G670" s="38"/>
      <c r="H670" s="39"/>
      <c r="I670" s="38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8" customHeight="1" x14ac:dyDescent="0.35">
      <c r="A671" s="39"/>
      <c r="B671" s="39"/>
      <c r="C671" s="15"/>
      <c r="D671" s="87"/>
      <c r="E671" s="38"/>
      <c r="F671" s="15"/>
      <c r="G671" s="38"/>
      <c r="H671" s="39"/>
      <c r="I671" s="38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8" customHeight="1" x14ac:dyDescent="0.35">
      <c r="A672" s="39"/>
      <c r="B672" s="39"/>
      <c r="C672" s="15"/>
      <c r="D672" s="87"/>
      <c r="E672" s="38"/>
      <c r="F672" s="15"/>
      <c r="G672" s="38"/>
      <c r="H672" s="39"/>
      <c r="I672" s="38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8" customHeight="1" x14ac:dyDescent="0.35">
      <c r="A673" s="39"/>
      <c r="B673" s="39"/>
      <c r="C673" s="15"/>
      <c r="D673" s="87"/>
      <c r="E673" s="38"/>
      <c r="F673" s="15"/>
      <c r="G673" s="38"/>
      <c r="H673" s="39"/>
      <c r="I673" s="38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8" customHeight="1" x14ac:dyDescent="0.35">
      <c r="A674" s="39"/>
      <c r="B674" s="39"/>
      <c r="C674" s="15"/>
      <c r="D674" s="87"/>
      <c r="E674" s="38"/>
      <c r="F674" s="15"/>
      <c r="G674" s="38"/>
      <c r="H674" s="39"/>
      <c r="I674" s="38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8" customHeight="1" x14ac:dyDescent="0.35">
      <c r="A675" s="39"/>
      <c r="B675" s="39"/>
      <c r="C675" s="15"/>
      <c r="D675" s="87"/>
      <c r="E675" s="38"/>
      <c r="F675" s="15"/>
      <c r="G675" s="38"/>
      <c r="H675" s="39"/>
      <c r="I675" s="38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8" customHeight="1" x14ac:dyDescent="0.35">
      <c r="A676" s="39"/>
      <c r="B676" s="39"/>
      <c r="C676" s="15"/>
      <c r="D676" s="87"/>
      <c r="E676" s="38"/>
      <c r="F676" s="15"/>
      <c r="G676" s="38"/>
      <c r="H676" s="39"/>
      <c r="I676" s="38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8" customHeight="1" x14ac:dyDescent="0.35">
      <c r="A677" s="39"/>
      <c r="B677" s="39"/>
      <c r="C677" s="15"/>
      <c r="D677" s="87"/>
      <c r="E677" s="38"/>
      <c r="F677" s="15"/>
      <c r="G677" s="38"/>
      <c r="H677" s="39"/>
      <c r="I677" s="38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8" customHeight="1" x14ac:dyDescent="0.35">
      <c r="A678" s="39"/>
      <c r="B678" s="39"/>
      <c r="C678" s="15"/>
      <c r="D678" s="87"/>
      <c r="E678" s="38"/>
      <c r="F678" s="15"/>
      <c r="G678" s="38"/>
      <c r="H678" s="39"/>
      <c r="I678" s="38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8" customHeight="1" x14ac:dyDescent="0.35">
      <c r="A679" s="39"/>
      <c r="B679" s="39"/>
      <c r="C679" s="15"/>
      <c r="D679" s="87"/>
      <c r="E679" s="38"/>
      <c r="F679" s="15"/>
      <c r="G679" s="38"/>
      <c r="H679" s="39"/>
      <c r="I679" s="38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8" customHeight="1" x14ac:dyDescent="0.35">
      <c r="A680" s="39"/>
      <c r="B680" s="39"/>
      <c r="C680" s="15"/>
      <c r="D680" s="87"/>
      <c r="E680" s="38"/>
      <c r="F680" s="15"/>
      <c r="G680" s="38"/>
      <c r="H680" s="39"/>
      <c r="I680" s="38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8" customHeight="1" x14ac:dyDescent="0.35">
      <c r="A681" s="39"/>
      <c r="B681" s="39"/>
      <c r="C681" s="15"/>
      <c r="D681" s="87"/>
      <c r="E681" s="38"/>
      <c r="F681" s="15"/>
      <c r="G681" s="38"/>
      <c r="H681" s="39"/>
      <c r="I681" s="38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8" customHeight="1" x14ac:dyDescent="0.35">
      <c r="A682" s="39"/>
      <c r="B682" s="39"/>
      <c r="C682" s="15"/>
      <c r="D682" s="87"/>
      <c r="E682" s="38"/>
      <c r="F682" s="15"/>
      <c r="G682" s="38"/>
      <c r="H682" s="39"/>
      <c r="I682" s="38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8" customHeight="1" x14ac:dyDescent="0.35">
      <c r="A683" s="39"/>
      <c r="B683" s="39"/>
      <c r="C683" s="15"/>
      <c r="D683" s="87"/>
      <c r="E683" s="38"/>
      <c r="F683" s="15"/>
      <c r="G683" s="38"/>
      <c r="H683" s="39"/>
      <c r="I683" s="38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8" customHeight="1" x14ac:dyDescent="0.35">
      <c r="A684" s="39"/>
      <c r="B684" s="39"/>
      <c r="C684" s="15"/>
      <c r="D684" s="87"/>
      <c r="E684" s="38"/>
      <c r="F684" s="15"/>
      <c r="G684" s="38"/>
      <c r="H684" s="39"/>
      <c r="I684" s="38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8" customHeight="1" x14ac:dyDescent="0.35">
      <c r="A685" s="39"/>
      <c r="B685" s="39"/>
      <c r="C685" s="15"/>
      <c r="D685" s="87"/>
      <c r="E685" s="38"/>
      <c r="F685" s="15"/>
      <c r="G685" s="38"/>
      <c r="H685" s="39"/>
      <c r="I685" s="38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8" customHeight="1" x14ac:dyDescent="0.35">
      <c r="A686" s="39"/>
      <c r="B686" s="39"/>
      <c r="C686" s="15"/>
      <c r="D686" s="87"/>
      <c r="E686" s="38"/>
      <c r="F686" s="15"/>
      <c r="G686" s="38"/>
      <c r="H686" s="39"/>
      <c r="I686" s="38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8" customHeight="1" x14ac:dyDescent="0.35">
      <c r="A687" s="39"/>
      <c r="B687" s="39"/>
      <c r="C687" s="15"/>
      <c r="D687" s="87"/>
      <c r="E687" s="38"/>
      <c r="F687" s="15"/>
      <c r="G687" s="38"/>
      <c r="H687" s="39"/>
      <c r="I687" s="38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8" customHeight="1" x14ac:dyDescent="0.35">
      <c r="A688" s="39"/>
      <c r="B688" s="39"/>
      <c r="C688" s="15"/>
      <c r="D688" s="87"/>
      <c r="E688" s="38"/>
      <c r="F688" s="15"/>
      <c r="G688" s="38"/>
      <c r="H688" s="39"/>
      <c r="I688" s="38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8" customHeight="1" x14ac:dyDescent="0.35">
      <c r="A689" s="39"/>
      <c r="B689" s="39"/>
      <c r="C689" s="15"/>
      <c r="D689" s="87"/>
      <c r="E689" s="38"/>
      <c r="F689" s="15"/>
      <c r="G689" s="38"/>
      <c r="H689" s="39"/>
      <c r="I689" s="38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8" customHeight="1" x14ac:dyDescent="0.35">
      <c r="A690" s="39"/>
      <c r="B690" s="39"/>
      <c r="C690" s="15"/>
      <c r="D690" s="87"/>
      <c r="E690" s="38"/>
      <c r="F690" s="15"/>
      <c r="G690" s="38"/>
      <c r="H690" s="39"/>
      <c r="I690" s="38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8" customHeight="1" x14ac:dyDescent="0.35">
      <c r="A691" s="39"/>
      <c r="B691" s="39"/>
      <c r="C691" s="15"/>
      <c r="D691" s="87"/>
      <c r="E691" s="38"/>
      <c r="F691" s="15"/>
      <c r="G691" s="38"/>
      <c r="H691" s="39"/>
      <c r="I691" s="38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8" customHeight="1" x14ac:dyDescent="0.35">
      <c r="A692" s="39"/>
      <c r="B692" s="39"/>
      <c r="C692" s="15"/>
      <c r="D692" s="87"/>
      <c r="E692" s="38"/>
      <c r="F692" s="15"/>
      <c r="G692" s="38"/>
      <c r="H692" s="39"/>
      <c r="I692" s="38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8" customHeight="1" x14ac:dyDescent="0.35">
      <c r="A693" s="39"/>
      <c r="B693" s="39"/>
      <c r="C693" s="15"/>
      <c r="D693" s="87"/>
      <c r="E693" s="38"/>
      <c r="F693" s="15"/>
      <c r="G693" s="38"/>
      <c r="H693" s="39"/>
      <c r="I693" s="38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8" customHeight="1" x14ac:dyDescent="0.35">
      <c r="A694" s="39"/>
      <c r="B694" s="39"/>
      <c r="C694" s="15"/>
      <c r="D694" s="87"/>
      <c r="E694" s="38"/>
      <c r="F694" s="15"/>
      <c r="G694" s="38"/>
      <c r="H694" s="39"/>
      <c r="I694" s="38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8" customHeight="1" x14ac:dyDescent="0.35">
      <c r="A695" s="39"/>
      <c r="B695" s="39"/>
      <c r="C695" s="15"/>
      <c r="D695" s="87"/>
      <c r="E695" s="38"/>
      <c r="F695" s="15"/>
      <c r="G695" s="38"/>
      <c r="H695" s="39"/>
      <c r="I695" s="38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8" customHeight="1" x14ac:dyDescent="0.35">
      <c r="A696" s="39"/>
      <c r="B696" s="39"/>
      <c r="C696" s="15"/>
      <c r="D696" s="87"/>
      <c r="E696" s="38"/>
      <c r="F696" s="15"/>
      <c r="G696" s="38"/>
      <c r="H696" s="39"/>
      <c r="I696" s="38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ht="18" customHeight="1" x14ac:dyDescent="0.35">
      <c r="A697" s="39"/>
      <c r="B697" s="39"/>
      <c r="C697" s="15"/>
      <c r="D697" s="87"/>
      <c r="E697" s="38"/>
      <c r="F697" s="15"/>
      <c r="G697" s="38"/>
      <c r="H697" s="39"/>
      <c r="I697" s="38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ht="18" customHeight="1" x14ac:dyDescent="0.35">
      <c r="A698" s="39"/>
      <c r="B698" s="39"/>
      <c r="C698" s="15"/>
      <c r="D698" s="87"/>
      <c r="E698" s="38"/>
      <c r="F698" s="15"/>
      <c r="G698" s="38"/>
      <c r="H698" s="39"/>
      <c r="I698" s="38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ht="18" customHeight="1" x14ac:dyDescent="0.35">
      <c r="A699" s="39"/>
      <c r="B699" s="39"/>
      <c r="C699" s="15"/>
      <c r="D699" s="87"/>
      <c r="E699" s="38"/>
      <c r="F699" s="15"/>
      <c r="G699" s="38"/>
      <c r="H699" s="39"/>
      <c r="I699" s="38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ht="18" customHeight="1" x14ac:dyDescent="0.35">
      <c r="A700" s="39"/>
      <c r="B700" s="39"/>
      <c r="C700" s="15"/>
      <c r="D700" s="87"/>
      <c r="E700" s="38"/>
      <c r="F700" s="15"/>
      <c r="G700" s="38"/>
      <c r="H700" s="39"/>
      <c r="I700" s="38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ht="18" customHeight="1" x14ac:dyDescent="0.35">
      <c r="A701" s="39"/>
      <c r="B701" s="39"/>
      <c r="C701" s="15"/>
      <c r="D701" s="87"/>
      <c r="E701" s="38"/>
      <c r="F701" s="15"/>
      <c r="G701" s="38"/>
      <c r="H701" s="39"/>
      <c r="I701" s="38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ht="18" customHeight="1" x14ac:dyDescent="0.35">
      <c r="A702" s="39"/>
      <c r="B702" s="39"/>
      <c r="C702" s="15"/>
      <c r="D702" s="87"/>
      <c r="E702" s="38"/>
      <c r="F702" s="15"/>
      <c r="G702" s="38"/>
      <c r="H702" s="39"/>
      <c r="I702" s="38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ht="18" customHeight="1" x14ac:dyDescent="0.35">
      <c r="A703" s="39"/>
      <c r="B703" s="39"/>
      <c r="C703" s="15"/>
      <c r="D703" s="87"/>
      <c r="E703" s="38"/>
      <c r="F703" s="15"/>
      <c r="G703" s="38"/>
      <c r="H703" s="39"/>
      <c r="I703" s="38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ht="18" customHeight="1" x14ac:dyDescent="0.35">
      <c r="A704" s="39"/>
      <c r="B704" s="39"/>
      <c r="C704" s="15"/>
      <c r="D704" s="87"/>
      <c r="E704" s="38"/>
      <c r="F704" s="15"/>
      <c r="G704" s="38"/>
      <c r="H704" s="39"/>
      <c r="I704" s="38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ht="18" customHeight="1" x14ac:dyDescent="0.35">
      <c r="A705" s="39"/>
      <c r="B705" s="39"/>
      <c r="C705" s="15"/>
      <c r="D705" s="87"/>
      <c r="E705" s="38"/>
      <c r="F705" s="15"/>
      <c r="G705" s="38"/>
      <c r="H705" s="39"/>
      <c r="I705" s="38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ht="18" customHeight="1" x14ac:dyDescent="0.35">
      <c r="A706" s="39"/>
      <c r="B706" s="39"/>
      <c r="C706" s="15"/>
      <c r="D706" s="87"/>
      <c r="E706" s="38"/>
      <c r="F706" s="15"/>
      <c r="G706" s="38"/>
      <c r="H706" s="39"/>
      <c r="I706" s="38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ht="18" customHeight="1" x14ac:dyDescent="0.35">
      <c r="A707" s="39"/>
      <c r="B707" s="39"/>
      <c r="C707" s="15"/>
      <c r="D707" s="87"/>
      <c r="E707" s="38"/>
      <c r="F707" s="15"/>
      <c r="G707" s="38"/>
      <c r="H707" s="39"/>
      <c r="I707" s="38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ht="18" customHeight="1" x14ac:dyDescent="0.35">
      <c r="A708" s="39"/>
      <c r="B708" s="39"/>
      <c r="C708" s="15"/>
      <c r="D708" s="87"/>
      <c r="E708" s="38"/>
      <c r="F708" s="15"/>
      <c r="G708" s="38"/>
      <c r="H708" s="39"/>
      <c r="I708" s="38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ht="18" customHeight="1" x14ac:dyDescent="0.35">
      <c r="A709" s="39"/>
      <c r="B709" s="39"/>
      <c r="C709" s="15"/>
      <c r="D709" s="87"/>
      <c r="E709" s="38"/>
      <c r="F709" s="15"/>
      <c r="G709" s="38"/>
      <c r="H709" s="39"/>
      <c r="I709" s="38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ht="18" customHeight="1" x14ac:dyDescent="0.35">
      <c r="A710" s="39"/>
      <c r="B710" s="39"/>
      <c r="C710" s="15"/>
      <c r="D710" s="87"/>
      <c r="E710" s="38"/>
      <c r="F710" s="15"/>
      <c r="G710" s="38"/>
      <c r="H710" s="39"/>
      <c r="I710" s="38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ht="18" customHeight="1" x14ac:dyDescent="0.35">
      <c r="A711" s="39"/>
      <c r="B711" s="39"/>
      <c r="C711" s="15"/>
      <c r="D711" s="87"/>
      <c r="E711" s="38"/>
      <c r="F711" s="15"/>
      <c r="G711" s="38"/>
      <c r="H711" s="39"/>
      <c r="I711" s="38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ht="18" customHeight="1" x14ac:dyDescent="0.35">
      <c r="A712" s="39"/>
      <c r="B712" s="39"/>
      <c r="C712" s="15"/>
      <c r="D712" s="87"/>
      <c r="E712" s="38"/>
      <c r="F712" s="15"/>
      <c r="G712" s="38"/>
      <c r="H712" s="39"/>
      <c r="I712" s="38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ht="18" customHeight="1" x14ac:dyDescent="0.35">
      <c r="A713" s="39"/>
      <c r="B713" s="39"/>
      <c r="C713" s="15"/>
      <c r="D713" s="87"/>
      <c r="E713" s="38"/>
      <c r="F713" s="15"/>
      <c r="G713" s="38"/>
      <c r="H713" s="39"/>
      <c r="I713" s="38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ht="18" customHeight="1" x14ac:dyDescent="0.35">
      <c r="A714" s="39"/>
      <c r="B714" s="39"/>
      <c r="C714" s="15"/>
      <c r="D714" s="87"/>
      <c r="E714" s="38"/>
      <c r="F714" s="15"/>
      <c r="G714" s="38"/>
      <c r="H714" s="39"/>
      <c r="I714" s="38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ht="18" customHeight="1" x14ac:dyDescent="0.35">
      <c r="A715" s="39"/>
      <c r="B715" s="39"/>
      <c r="C715" s="15"/>
      <c r="D715" s="87"/>
      <c r="E715" s="38"/>
      <c r="F715" s="15"/>
      <c r="G715" s="38"/>
      <c r="H715" s="39"/>
      <c r="I715" s="38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ht="18" customHeight="1" x14ac:dyDescent="0.35">
      <c r="A716" s="39"/>
      <c r="B716" s="39"/>
      <c r="C716" s="15"/>
      <c r="D716" s="87"/>
      <c r="E716" s="38"/>
      <c r="F716" s="15"/>
      <c r="G716" s="38"/>
      <c r="H716" s="39"/>
      <c r="I716" s="38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ht="18" customHeight="1" x14ac:dyDescent="0.35">
      <c r="A717" s="39"/>
      <c r="B717" s="39"/>
      <c r="C717" s="15"/>
      <c r="D717" s="87"/>
      <c r="E717" s="38"/>
      <c r="F717" s="15"/>
      <c r="G717" s="38"/>
      <c r="H717" s="39"/>
      <c r="I717" s="38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ht="18" customHeight="1" x14ac:dyDescent="0.35">
      <c r="A718" s="39"/>
      <c r="B718" s="39"/>
      <c r="C718" s="15"/>
      <c r="D718" s="87"/>
      <c r="E718" s="38"/>
      <c r="F718" s="15"/>
      <c r="G718" s="38"/>
      <c r="H718" s="39"/>
      <c r="I718" s="38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ht="18" customHeight="1" x14ac:dyDescent="0.35">
      <c r="A719" s="39"/>
      <c r="B719" s="39"/>
      <c r="C719" s="15"/>
      <c r="D719" s="87"/>
      <c r="E719" s="38"/>
      <c r="F719" s="15"/>
      <c r="G719" s="38"/>
      <c r="H719" s="39"/>
      <c r="I719" s="38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ht="18" customHeight="1" x14ac:dyDescent="0.35">
      <c r="A720" s="39"/>
      <c r="B720" s="39"/>
      <c r="C720" s="15"/>
      <c r="D720" s="87"/>
      <c r="E720" s="38"/>
      <c r="F720" s="15"/>
      <c r="G720" s="38"/>
      <c r="H720" s="39"/>
      <c r="I720" s="38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ht="18" customHeight="1" x14ac:dyDescent="0.35">
      <c r="A721" s="39"/>
      <c r="B721" s="39"/>
      <c r="C721" s="15"/>
      <c r="D721" s="87"/>
      <c r="E721" s="38"/>
      <c r="F721" s="15"/>
      <c r="G721" s="38"/>
      <c r="H721" s="39"/>
      <c r="I721" s="38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ht="18" customHeight="1" x14ac:dyDescent="0.35">
      <c r="A722" s="39"/>
      <c r="B722" s="39"/>
      <c r="C722" s="15"/>
      <c r="D722" s="87"/>
      <c r="E722" s="38"/>
      <c r="F722" s="15"/>
      <c r="G722" s="38"/>
      <c r="H722" s="39"/>
      <c r="I722" s="38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ht="18" customHeight="1" x14ac:dyDescent="0.35">
      <c r="A723" s="39"/>
      <c r="B723" s="39"/>
      <c r="C723" s="15"/>
      <c r="D723" s="87"/>
      <c r="E723" s="38"/>
      <c r="F723" s="15"/>
      <c r="G723" s="38"/>
      <c r="H723" s="39"/>
      <c r="I723" s="38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ht="18" customHeight="1" x14ac:dyDescent="0.35">
      <c r="A724" s="39"/>
      <c r="B724" s="39"/>
      <c r="C724" s="15"/>
      <c r="D724" s="87"/>
      <c r="E724" s="38"/>
      <c r="F724" s="15"/>
      <c r="G724" s="38"/>
      <c r="H724" s="39"/>
      <c r="I724" s="38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ht="18" customHeight="1" x14ac:dyDescent="0.35">
      <c r="A725" s="39"/>
      <c r="B725" s="39"/>
      <c r="C725" s="15"/>
      <c r="D725" s="87"/>
      <c r="E725" s="38"/>
      <c r="F725" s="15"/>
      <c r="G725" s="38"/>
      <c r="H725" s="39"/>
      <c r="I725" s="38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ht="18" customHeight="1" x14ac:dyDescent="0.35">
      <c r="A726" s="39"/>
      <c r="B726" s="39"/>
      <c r="C726" s="15"/>
      <c r="D726" s="87"/>
      <c r="E726" s="38"/>
      <c r="F726" s="15"/>
      <c r="G726" s="38"/>
      <c r="H726" s="39"/>
      <c r="I726" s="38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ht="18" customHeight="1" x14ac:dyDescent="0.35">
      <c r="A727" s="39"/>
      <c r="B727" s="39"/>
      <c r="C727" s="15"/>
      <c r="D727" s="87"/>
      <c r="E727" s="38"/>
      <c r="F727" s="15"/>
      <c r="G727" s="38"/>
      <c r="H727" s="39"/>
      <c r="I727" s="38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ht="18" customHeight="1" x14ac:dyDescent="0.35">
      <c r="A728" s="39"/>
      <c r="B728" s="39"/>
      <c r="C728" s="15"/>
      <c r="D728" s="87"/>
      <c r="E728" s="38"/>
      <c r="F728" s="15"/>
      <c r="G728" s="38"/>
      <c r="H728" s="39"/>
      <c r="I728" s="38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ht="18" customHeight="1" x14ac:dyDescent="0.35">
      <c r="A729" s="39"/>
      <c r="B729" s="39"/>
      <c r="C729" s="15"/>
      <c r="D729" s="87"/>
      <c r="E729" s="38"/>
      <c r="F729" s="15"/>
      <c r="G729" s="38"/>
      <c r="H729" s="39"/>
      <c r="I729" s="38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8" customHeight="1" x14ac:dyDescent="0.35">
      <c r="A730" s="39"/>
      <c r="B730" s="39"/>
      <c r="C730" s="15"/>
      <c r="D730" s="87"/>
      <c r="E730" s="38"/>
      <c r="F730" s="15"/>
      <c r="G730" s="38"/>
      <c r="H730" s="39"/>
      <c r="I730" s="38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8" customHeight="1" x14ac:dyDescent="0.35">
      <c r="A731" s="39"/>
      <c r="B731" s="39"/>
      <c r="C731" s="15"/>
      <c r="D731" s="87"/>
      <c r="E731" s="38"/>
      <c r="F731" s="15"/>
      <c r="G731" s="38"/>
      <c r="H731" s="39"/>
      <c r="I731" s="38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8" customHeight="1" x14ac:dyDescent="0.35">
      <c r="A732" s="39"/>
      <c r="B732" s="39"/>
      <c r="C732" s="15"/>
      <c r="D732" s="87"/>
      <c r="E732" s="38"/>
      <c r="F732" s="15"/>
      <c r="G732" s="38"/>
      <c r="H732" s="39"/>
      <c r="I732" s="38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8" customHeight="1" x14ac:dyDescent="0.35">
      <c r="A733" s="39"/>
      <c r="B733" s="39"/>
      <c r="C733" s="15"/>
      <c r="D733" s="87"/>
      <c r="E733" s="38"/>
      <c r="F733" s="15"/>
      <c r="G733" s="38"/>
      <c r="H733" s="39"/>
      <c r="I733" s="38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8" customHeight="1" x14ac:dyDescent="0.35">
      <c r="A734" s="39"/>
      <c r="B734" s="39"/>
      <c r="C734" s="15"/>
      <c r="D734" s="87"/>
      <c r="E734" s="38"/>
      <c r="F734" s="15"/>
      <c r="G734" s="38"/>
      <c r="H734" s="39"/>
      <c r="I734" s="38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8" customHeight="1" x14ac:dyDescent="0.35">
      <c r="A735" s="39"/>
      <c r="B735" s="39"/>
      <c r="C735" s="15"/>
      <c r="D735" s="87"/>
      <c r="E735" s="38"/>
      <c r="F735" s="15"/>
      <c r="G735" s="38"/>
      <c r="H735" s="39"/>
      <c r="I735" s="38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8" customHeight="1" x14ac:dyDescent="0.35">
      <c r="A736" s="39"/>
      <c r="B736" s="39"/>
      <c r="C736" s="15"/>
      <c r="D736" s="87"/>
      <c r="E736" s="38"/>
      <c r="F736" s="15"/>
      <c r="G736" s="38"/>
      <c r="H736" s="39"/>
      <c r="I736" s="38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8" customHeight="1" x14ac:dyDescent="0.35">
      <c r="A737" s="39"/>
      <c r="B737" s="39"/>
      <c r="C737" s="15"/>
      <c r="D737" s="87"/>
      <c r="E737" s="38"/>
      <c r="F737" s="15"/>
      <c r="G737" s="38"/>
      <c r="H737" s="39"/>
      <c r="I737" s="38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8" customHeight="1" x14ac:dyDescent="0.35">
      <c r="A738" s="39"/>
      <c r="B738" s="39"/>
      <c r="C738" s="15"/>
      <c r="D738" s="87"/>
      <c r="E738" s="38"/>
      <c r="F738" s="15"/>
      <c r="G738" s="38"/>
      <c r="H738" s="39"/>
      <c r="I738" s="38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8" customHeight="1" x14ac:dyDescent="0.35">
      <c r="A739" s="39"/>
      <c r="B739" s="39"/>
      <c r="C739" s="15"/>
      <c r="D739" s="87"/>
      <c r="E739" s="38"/>
      <c r="F739" s="15"/>
      <c r="G739" s="38"/>
      <c r="H739" s="39"/>
      <c r="I739" s="38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8" customHeight="1" x14ac:dyDescent="0.35">
      <c r="A740" s="39"/>
      <c r="B740" s="39"/>
      <c r="C740" s="15"/>
      <c r="D740" s="87"/>
      <c r="E740" s="38"/>
      <c r="F740" s="15"/>
      <c r="G740" s="38"/>
      <c r="H740" s="39"/>
      <c r="I740" s="38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8" customHeight="1" x14ac:dyDescent="0.35">
      <c r="A741" s="39"/>
      <c r="B741" s="39"/>
      <c r="C741" s="15"/>
      <c r="D741" s="87"/>
      <c r="E741" s="38"/>
      <c r="F741" s="15"/>
      <c r="G741" s="38"/>
      <c r="H741" s="39"/>
      <c r="I741" s="38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8" customHeight="1" x14ac:dyDescent="0.35">
      <c r="A742" s="39"/>
      <c r="B742" s="39"/>
      <c r="C742" s="15"/>
      <c r="D742" s="87"/>
      <c r="E742" s="38"/>
      <c r="F742" s="15"/>
      <c r="G742" s="38"/>
      <c r="H742" s="39"/>
      <c r="I742" s="38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8" customHeight="1" x14ac:dyDescent="0.35">
      <c r="A743" s="39"/>
      <c r="B743" s="39"/>
      <c r="C743" s="15"/>
      <c r="D743" s="87"/>
      <c r="E743" s="38"/>
      <c r="F743" s="15"/>
      <c r="G743" s="38"/>
      <c r="H743" s="39"/>
      <c r="I743" s="38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8" customHeight="1" x14ac:dyDescent="0.35">
      <c r="A744" s="39"/>
      <c r="B744" s="39"/>
      <c r="C744" s="15"/>
      <c r="D744" s="87"/>
      <c r="E744" s="38"/>
      <c r="F744" s="15"/>
      <c r="G744" s="38"/>
      <c r="H744" s="39"/>
      <c r="I744" s="38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8" customHeight="1" x14ac:dyDescent="0.35">
      <c r="A745" s="39"/>
      <c r="B745" s="39"/>
      <c r="C745" s="15"/>
      <c r="D745" s="87"/>
      <c r="E745" s="38"/>
      <c r="F745" s="15"/>
      <c r="G745" s="38"/>
      <c r="H745" s="39"/>
      <c r="I745" s="38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8" customHeight="1" x14ac:dyDescent="0.35">
      <c r="A746" s="39"/>
      <c r="B746" s="39"/>
      <c r="C746" s="15"/>
      <c r="D746" s="87"/>
      <c r="E746" s="38"/>
      <c r="F746" s="15"/>
      <c r="G746" s="38"/>
      <c r="H746" s="39"/>
      <c r="I746" s="38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8" customHeight="1" x14ac:dyDescent="0.35">
      <c r="A747" s="39"/>
      <c r="B747" s="39"/>
      <c r="C747" s="15"/>
      <c r="D747" s="87"/>
      <c r="E747" s="38"/>
      <c r="F747" s="15"/>
      <c r="G747" s="38"/>
      <c r="H747" s="39"/>
      <c r="I747" s="38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8" customHeight="1" x14ac:dyDescent="0.35">
      <c r="A748" s="39"/>
      <c r="B748" s="39"/>
      <c r="C748" s="15"/>
      <c r="D748" s="87"/>
      <c r="E748" s="38"/>
      <c r="F748" s="15"/>
      <c r="G748" s="38"/>
      <c r="H748" s="39"/>
      <c r="I748" s="38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ht="18" customHeight="1" x14ac:dyDescent="0.35">
      <c r="A749" s="39"/>
      <c r="B749" s="39"/>
      <c r="C749" s="15"/>
      <c r="D749" s="87"/>
      <c r="E749" s="38"/>
      <c r="F749" s="15"/>
      <c r="G749" s="38"/>
      <c r="H749" s="39"/>
      <c r="I749" s="38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ht="18" customHeight="1" x14ac:dyDescent="0.35">
      <c r="A750" s="39"/>
      <c r="B750" s="39"/>
      <c r="C750" s="15"/>
      <c r="D750" s="87"/>
      <c r="E750" s="38"/>
      <c r="F750" s="15"/>
      <c r="G750" s="38"/>
      <c r="H750" s="39"/>
      <c r="I750" s="38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ht="18" customHeight="1" x14ac:dyDescent="0.35">
      <c r="A751" s="39"/>
      <c r="B751" s="39"/>
      <c r="C751" s="15"/>
      <c r="D751" s="87"/>
      <c r="E751" s="38"/>
      <c r="F751" s="15"/>
      <c r="G751" s="38"/>
      <c r="H751" s="39"/>
      <c r="I751" s="38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ht="18" customHeight="1" x14ac:dyDescent="0.35">
      <c r="A752" s="39"/>
      <c r="B752" s="39"/>
      <c r="C752" s="15"/>
      <c r="D752" s="87"/>
      <c r="E752" s="38"/>
      <c r="F752" s="15"/>
      <c r="G752" s="38"/>
      <c r="H752" s="39"/>
      <c r="I752" s="38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ht="18" customHeight="1" x14ac:dyDescent="0.35">
      <c r="A753" s="39"/>
      <c r="B753" s="39"/>
      <c r="C753" s="15"/>
      <c r="D753" s="87"/>
      <c r="E753" s="38"/>
      <c r="F753" s="15"/>
      <c r="G753" s="38"/>
      <c r="H753" s="39"/>
      <c r="I753" s="38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ht="18" customHeight="1" x14ac:dyDescent="0.35">
      <c r="A754" s="39"/>
      <c r="B754" s="39"/>
      <c r="C754" s="15"/>
      <c r="D754" s="87"/>
      <c r="E754" s="38"/>
      <c r="F754" s="15"/>
      <c r="G754" s="38"/>
      <c r="H754" s="39"/>
      <c r="I754" s="38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8" customHeight="1" x14ac:dyDescent="0.35">
      <c r="A755" s="39"/>
      <c r="B755" s="39"/>
      <c r="C755" s="15"/>
      <c r="D755" s="87"/>
      <c r="E755" s="38"/>
      <c r="F755" s="15"/>
      <c r="G755" s="38"/>
      <c r="H755" s="39"/>
      <c r="I755" s="38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8" customHeight="1" x14ac:dyDescent="0.35">
      <c r="A756" s="39"/>
      <c r="B756" s="39"/>
      <c r="C756" s="15"/>
      <c r="D756" s="87"/>
      <c r="E756" s="38"/>
      <c r="F756" s="15"/>
      <c r="G756" s="38"/>
      <c r="H756" s="39"/>
      <c r="I756" s="38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8" customHeight="1" x14ac:dyDescent="0.35">
      <c r="A757" s="39"/>
      <c r="B757" s="39"/>
      <c r="C757" s="15"/>
      <c r="D757" s="87"/>
      <c r="E757" s="38"/>
      <c r="F757" s="15"/>
      <c r="G757" s="38"/>
      <c r="H757" s="39"/>
      <c r="I757" s="38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8" customHeight="1" x14ac:dyDescent="0.35">
      <c r="A758" s="39"/>
      <c r="B758" s="39"/>
      <c r="C758" s="15"/>
      <c r="D758" s="87"/>
      <c r="E758" s="38"/>
      <c r="F758" s="15"/>
      <c r="G758" s="38"/>
      <c r="H758" s="39"/>
      <c r="I758" s="38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8" customHeight="1" x14ac:dyDescent="0.35">
      <c r="A759" s="39"/>
      <c r="B759" s="39"/>
      <c r="C759" s="15"/>
      <c r="D759" s="87"/>
      <c r="E759" s="38"/>
      <c r="F759" s="15"/>
      <c r="G759" s="38"/>
      <c r="H759" s="39"/>
      <c r="I759" s="38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8" customHeight="1" x14ac:dyDescent="0.35">
      <c r="A760" s="39"/>
      <c r="B760" s="39"/>
      <c r="C760" s="15"/>
      <c r="D760" s="87"/>
      <c r="E760" s="38"/>
      <c r="F760" s="15"/>
      <c r="G760" s="38"/>
      <c r="H760" s="39"/>
      <c r="I760" s="38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8" customHeight="1" x14ac:dyDescent="0.35">
      <c r="A761" s="39"/>
      <c r="B761" s="39"/>
      <c r="C761" s="15"/>
      <c r="D761" s="87"/>
      <c r="E761" s="38"/>
      <c r="F761" s="15"/>
      <c r="G761" s="38"/>
      <c r="H761" s="39"/>
      <c r="I761" s="38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8" customHeight="1" x14ac:dyDescent="0.35">
      <c r="A762" s="39"/>
      <c r="B762" s="39"/>
      <c r="C762" s="15"/>
      <c r="D762" s="87"/>
      <c r="E762" s="38"/>
      <c r="F762" s="15"/>
      <c r="G762" s="38"/>
      <c r="H762" s="39"/>
      <c r="I762" s="38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8" customHeight="1" x14ac:dyDescent="0.35">
      <c r="A763" s="39"/>
      <c r="B763" s="39"/>
      <c r="C763" s="15"/>
      <c r="D763" s="87"/>
      <c r="E763" s="38"/>
      <c r="F763" s="15"/>
      <c r="G763" s="38"/>
      <c r="H763" s="39"/>
      <c r="I763" s="38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8" customHeight="1" x14ac:dyDescent="0.35">
      <c r="A764" s="39"/>
      <c r="B764" s="39"/>
      <c r="C764" s="15"/>
      <c r="D764" s="87"/>
      <c r="E764" s="38"/>
      <c r="F764" s="15"/>
      <c r="G764" s="38"/>
      <c r="H764" s="39"/>
      <c r="I764" s="38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8" customHeight="1" x14ac:dyDescent="0.35">
      <c r="A765" s="39"/>
      <c r="B765" s="39"/>
      <c r="C765" s="15"/>
      <c r="D765" s="87"/>
      <c r="E765" s="38"/>
      <c r="F765" s="15"/>
      <c r="G765" s="38"/>
      <c r="H765" s="39"/>
      <c r="I765" s="38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8" customHeight="1" x14ac:dyDescent="0.35">
      <c r="A766" s="39"/>
      <c r="B766" s="39"/>
      <c r="C766" s="15"/>
      <c r="D766" s="87"/>
      <c r="E766" s="38"/>
      <c r="F766" s="15"/>
      <c r="G766" s="38"/>
      <c r="H766" s="39"/>
      <c r="I766" s="38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8" customHeight="1" x14ac:dyDescent="0.35">
      <c r="A767" s="39"/>
      <c r="B767" s="39"/>
      <c r="C767" s="15"/>
      <c r="D767" s="87"/>
      <c r="E767" s="38"/>
      <c r="F767" s="15"/>
      <c r="G767" s="38"/>
      <c r="H767" s="39"/>
      <c r="I767" s="38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8" customHeight="1" x14ac:dyDescent="0.35">
      <c r="A768" s="39"/>
      <c r="B768" s="39"/>
      <c r="C768" s="15"/>
      <c r="D768" s="87"/>
      <c r="E768" s="38"/>
      <c r="F768" s="15"/>
      <c r="G768" s="38"/>
      <c r="H768" s="39"/>
      <c r="I768" s="38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8" customHeight="1" x14ac:dyDescent="0.35">
      <c r="A769" s="39"/>
      <c r="B769" s="39"/>
      <c r="C769" s="15"/>
      <c r="D769" s="87"/>
      <c r="E769" s="38"/>
      <c r="F769" s="15"/>
      <c r="G769" s="38"/>
      <c r="H769" s="39"/>
      <c r="I769" s="38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8" customHeight="1" x14ac:dyDescent="0.35">
      <c r="A770" s="39"/>
      <c r="B770" s="39"/>
      <c r="C770" s="15"/>
      <c r="D770" s="87"/>
      <c r="E770" s="38"/>
      <c r="F770" s="15"/>
      <c r="G770" s="38"/>
      <c r="H770" s="39"/>
      <c r="I770" s="38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8" customHeight="1" x14ac:dyDescent="0.35">
      <c r="A771" s="39"/>
      <c r="B771" s="39"/>
      <c r="C771" s="15"/>
      <c r="D771" s="87"/>
      <c r="E771" s="38"/>
      <c r="F771" s="15"/>
      <c r="G771" s="38"/>
      <c r="H771" s="39"/>
      <c r="I771" s="38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8" customHeight="1" x14ac:dyDescent="0.35">
      <c r="A772" s="39"/>
      <c r="B772" s="39"/>
      <c r="C772" s="15"/>
      <c r="D772" s="87"/>
      <c r="E772" s="38"/>
      <c r="F772" s="15"/>
      <c r="G772" s="38"/>
      <c r="H772" s="39"/>
      <c r="I772" s="38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8" customHeight="1" x14ac:dyDescent="0.35">
      <c r="A773" s="39"/>
      <c r="B773" s="39"/>
      <c r="C773" s="15"/>
      <c r="D773" s="87"/>
      <c r="E773" s="38"/>
      <c r="F773" s="15"/>
      <c r="G773" s="38"/>
      <c r="H773" s="39"/>
      <c r="I773" s="38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8" customHeight="1" x14ac:dyDescent="0.35">
      <c r="A774" s="39"/>
      <c r="B774" s="39"/>
      <c r="C774" s="15"/>
      <c r="D774" s="87"/>
      <c r="E774" s="38"/>
      <c r="F774" s="15"/>
      <c r="G774" s="38"/>
      <c r="H774" s="39"/>
      <c r="I774" s="38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8" customHeight="1" x14ac:dyDescent="0.35">
      <c r="A775" s="39"/>
      <c r="B775" s="39"/>
      <c r="C775" s="15"/>
      <c r="D775" s="87"/>
      <c r="E775" s="38"/>
      <c r="F775" s="15"/>
      <c r="G775" s="38"/>
      <c r="H775" s="39"/>
      <c r="I775" s="38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8" customHeight="1" x14ac:dyDescent="0.35">
      <c r="A776" s="39"/>
      <c r="B776" s="39"/>
      <c r="C776" s="15"/>
      <c r="D776" s="87"/>
      <c r="E776" s="38"/>
      <c r="F776" s="15"/>
      <c r="G776" s="38"/>
      <c r="H776" s="39"/>
      <c r="I776" s="38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8" customHeight="1" x14ac:dyDescent="0.35">
      <c r="A777" s="39"/>
      <c r="B777" s="39"/>
      <c r="C777" s="15"/>
      <c r="D777" s="87"/>
      <c r="E777" s="38"/>
      <c r="F777" s="15"/>
      <c r="G777" s="38"/>
      <c r="H777" s="39"/>
      <c r="I777" s="38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8" customHeight="1" x14ac:dyDescent="0.35">
      <c r="A778" s="39"/>
      <c r="B778" s="39"/>
      <c r="C778" s="15"/>
      <c r="D778" s="87"/>
      <c r="E778" s="38"/>
      <c r="F778" s="15"/>
      <c r="G778" s="38"/>
      <c r="H778" s="39"/>
      <c r="I778" s="38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8" customHeight="1" x14ac:dyDescent="0.35">
      <c r="A779" s="39"/>
      <c r="B779" s="39"/>
      <c r="C779" s="15"/>
      <c r="D779" s="87"/>
      <c r="E779" s="38"/>
      <c r="F779" s="15"/>
      <c r="G779" s="38"/>
      <c r="H779" s="39"/>
      <c r="I779" s="38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8" customHeight="1" x14ac:dyDescent="0.35">
      <c r="A780" s="39"/>
      <c r="B780" s="39"/>
      <c r="C780" s="15"/>
      <c r="D780" s="87"/>
      <c r="E780" s="38"/>
      <c r="F780" s="15"/>
      <c r="G780" s="38"/>
      <c r="H780" s="39"/>
      <c r="I780" s="38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8" customHeight="1" x14ac:dyDescent="0.35">
      <c r="A781" s="39"/>
      <c r="B781" s="39"/>
      <c r="C781" s="15"/>
      <c r="D781" s="87"/>
      <c r="E781" s="38"/>
      <c r="F781" s="15"/>
      <c r="G781" s="38"/>
      <c r="H781" s="39"/>
      <c r="I781" s="38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8" customHeight="1" x14ac:dyDescent="0.35">
      <c r="A782" s="39"/>
      <c r="B782" s="39"/>
      <c r="C782" s="15"/>
      <c r="D782" s="87"/>
      <c r="E782" s="38"/>
      <c r="F782" s="15"/>
      <c r="G782" s="38"/>
      <c r="H782" s="39"/>
      <c r="I782" s="38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8" customHeight="1" x14ac:dyDescent="0.35">
      <c r="A783" s="39"/>
      <c r="B783" s="39"/>
      <c r="C783" s="15"/>
      <c r="D783" s="87"/>
      <c r="E783" s="38"/>
      <c r="F783" s="15"/>
      <c r="G783" s="38"/>
      <c r="H783" s="39"/>
      <c r="I783" s="38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8" customHeight="1" x14ac:dyDescent="0.35">
      <c r="A784" s="39"/>
      <c r="B784" s="39"/>
      <c r="C784" s="15"/>
      <c r="D784" s="87"/>
      <c r="E784" s="38"/>
      <c r="F784" s="15"/>
      <c r="G784" s="38"/>
      <c r="H784" s="39"/>
      <c r="I784" s="38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8" customHeight="1" x14ac:dyDescent="0.35">
      <c r="A785" s="39"/>
      <c r="B785" s="39"/>
      <c r="C785" s="15"/>
      <c r="D785" s="87"/>
      <c r="E785" s="38"/>
      <c r="F785" s="15"/>
      <c r="G785" s="38"/>
      <c r="H785" s="39"/>
      <c r="I785" s="38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8" customHeight="1" x14ac:dyDescent="0.35">
      <c r="A786" s="39"/>
      <c r="B786" s="39"/>
      <c r="C786" s="15"/>
      <c r="D786" s="87"/>
      <c r="E786" s="38"/>
      <c r="F786" s="15"/>
      <c r="G786" s="38"/>
      <c r="H786" s="39"/>
      <c r="I786" s="38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8" customHeight="1" x14ac:dyDescent="0.35">
      <c r="A787" s="39"/>
      <c r="B787" s="39"/>
      <c r="C787" s="15"/>
      <c r="D787" s="87"/>
      <c r="E787" s="38"/>
      <c r="F787" s="15"/>
      <c r="G787" s="38"/>
      <c r="H787" s="39"/>
      <c r="I787" s="38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8" customHeight="1" x14ac:dyDescent="0.35">
      <c r="A788" s="39"/>
      <c r="B788" s="39"/>
      <c r="C788" s="15"/>
      <c r="D788" s="87"/>
      <c r="E788" s="38"/>
      <c r="F788" s="15"/>
      <c r="G788" s="38"/>
      <c r="H788" s="39"/>
      <c r="I788" s="38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8" customHeight="1" x14ac:dyDescent="0.35">
      <c r="A789" s="39"/>
      <c r="B789" s="39"/>
      <c r="C789" s="15"/>
      <c r="D789" s="87"/>
      <c r="E789" s="38"/>
      <c r="F789" s="15"/>
      <c r="G789" s="38"/>
      <c r="H789" s="39"/>
      <c r="I789" s="38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8" customHeight="1" x14ac:dyDescent="0.35">
      <c r="A790" s="39"/>
      <c r="B790" s="39"/>
      <c r="C790" s="15"/>
      <c r="D790" s="87"/>
      <c r="E790" s="38"/>
      <c r="F790" s="15"/>
      <c r="G790" s="38"/>
      <c r="H790" s="39"/>
      <c r="I790" s="38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8" customHeight="1" x14ac:dyDescent="0.35">
      <c r="A791" s="39"/>
      <c r="B791" s="39"/>
      <c r="C791" s="15"/>
      <c r="D791" s="87"/>
      <c r="E791" s="38"/>
      <c r="F791" s="15"/>
      <c r="G791" s="38"/>
      <c r="H791" s="39"/>
      <c r="I791" s="38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8" customHeight="1" x14ac:dyDescent="0.35">
      <c r="A792" s="39"/>
      <c r="B792" s="39"/>
      <c r="C792" s="15"/>
      <c r="D792" s="87"/>
      <c r="E792" s="38"/>
      <c r="F792" s="15"/>
      <c r="G792" s="38"/>
      <c r="H792" s="39"/>
      <c r="I792" s="38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8" customHeight="1" x14ac:dyDescent="0.35">
      <c r="A793" s="39"/>
      <c r="B793" s="39"/>
      <c r="C793" s="15"/>
      <c r="D793" s="87"/>
      <c r="E793" s="38"/>
      <c r="F793" s="15"/>
      <c r="G793" s="38"/>
      <c r="H793" s="39"/>
      <c r="I793" s="38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8" customHeight="1" x14ac:dyDescent="0.35">
      <c r="A794" s="39"/>
      <c r="B794" s="39"/>
      <c r="C794" s="15"/>
      <c r="D794" s="87"/>
      <c r="E794" s="38"/>
      <c r="F794" s="15"/>
      <c r="G794" s="38"/>
      <c r="H794" s="39"/>
      <c r="I794" s="38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8" customHeight="1" x14ac:dyDescent="0.35">
      <c r="A795" s="39"/>
      <c r="B795" s="39"/>
      <c r="C795" s="15"/>
      <c r="D795" s="87"/>
      <c r="E795" s="38"/>
      <c r="F795" s="15"/>
      <c r="G795" s="38"/>
      <c r="H795" s="39"/>
      <c r="I795" s="38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8" customHeight="1" x14ac:dyDescent="0.35">
      <c r="A796" s="39"/>
      <c r="B796" s="39"/>
      <c r="C796" s="15"/>
      <c r="D796" s="87"/>
      <c r="E796" s="38"/>
      <c r="F796" s="15"/>
      <c r="G796" s="38"/>
      <c r="H796" s="39"/>
      <c r="I796" s="38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8" customHeight="1" x14ac:dyDescent="0.35">
      <c r="A797" s="39"/>
      <c r="B797" s="39"/>
      <c r="C797" s="15"/>
      <c r="D797" s="87"/>
      <c r="E797" s="38"/>
      <c r="F797" s="15"/>
      <c r="G797" s="38"/>
      <c r="H797" s="39"/>
      <c r="I797" s="38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8" customHeight="1" x14ac:dyDescent="0.35">
      <c r="A798" s="39"/>
      <c r="B798" s="39"/>
      <c r="C798" s="15"/>
      <c r="D798" s="87"/>
      <c r="E798" s="38"/>
      <c r="F798" s="15"/>
      <c r="G798" s="38"/>
      <c r="H798" s="39"/>
      <c r="I798" s="38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8" customHeight="1" x14ac:dyDescent="0.35">
      <c r="A799" s="39"/>
      <c r="B799" s="39"/>
      <c r="C799" s="15"/>
      <c r="D799" s="87"/>
      <c r="E799" s="38"/>
      <c r="F799" s="15"/>
      <c r="G799" s="38"/>
      <c r="H799" s="39"/>
      <c r="I799" s="38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8" customHeight="1" x14ac:dyDescent="0.35">
      <c r="A800" s="39"/>
      <c r="B800" s="39"/>
      <c r="C800" s="15"/>
      <c r="D800" s="87"/>
      <c r="E800" s="38"/>
      <c r="F800" s="15"/>
      <c r="G800" s="38"/>
      <c r="H800" s="39"/>
      <c r="I800" s="38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8" customHeight="1" x14ac:dyDescent="0.35">
      <c r="A801" s="39"/>
      <c r="B801" s="39"/>
      <c r="C801" s="15"/>
      <c r="D801" s="87"/>
      <c r="E801" s="38"/>
      <c r="F801" s="15"/>
      <c r="G801" s="38"/>
      <c r="H801" s="39"/>
      <c r="I801" s="38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8" customHeight="1" x14ac:dyDescent="0.35">
      <c r="A802" s="39"/>
      <c r="B802" s="39"/>
      <c r="C802" s="15"/>
      <c r="D802" s="87"/>
      <c r="E802" s="38"/>
      <c r="F802" s="15"/>
      <c r="G802" s="38"/>
      <c r="H802" s="39"/>
      <c r="I802" s="38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8" customHeight="1" x14ac:dyDescent="0.35">
      <c r="A803" s="39"/>
      <c r="B803" s="39"/>
      <c r="C803" s="15"/>
      <c r="D803" s="87"/>
      <c r="E803" s="38"/>
      <c r="F803" s="15"/>
      <c r="G803" s="38"/>
      <c r="H803" s="39"/>
      <c r="I803" s="38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8" customHeight="1" x14ac:dyDescent="0.35">
      <c r="A804" s="39"/>
      <c r="B804" s="39"/>
      <c r="C804" s="15"/>
      <c r="D804" s="87"/>
      <c r="E804" s="38"/>
      <c r="F804" s="15"/>
      <c r="G804" s="38"/>
      <c r="H804" s="39"/>
      <c r="I804" s="38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8" customHeight="1" x14ac:dyDescent="0.35">
      <c r="A805" s="39"/>
      <c r="B805" s="39"/>
      <c r="C805" s="15"/>
      <c r="D805" s="87"/>
      <c r="E805" s="38"/>
      <c r="F805" s="15"/>
      <c r="G805" s="38"/>
      <c r="H805" s="39"/>
      <c r="I805" s="38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8" customHeight="1" x14ac:dyDescent="0.35">
      <c r="A806" s="39"/>
      <c r="B806" s="39"/>
      <c r="C806" s="15"/>
      <c r="D806" s="87"/>
      <c r="E806" s="38"/>
      <c r="F806" s="15"/>
      <c r="G806" s="38"/>
      <c r="H806" s="39"/>
      <c r="I806" s="38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8" customHeight="1" x14ac:dyDescent="0.35">
      <c r="A807" s="39"/>
      <c r="B807" s="39"/>
      <c r="C807" s="15"/>
      <c r="D807" s="87"/>
      <c r="E807" s="38"/>
      <c r="F807" s="15"/>
      <c r="G807" s="38"/>
      <c r="H807" s="39"/>
      <c r="I807" s="38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8" customHeight="1" x14ac:dyDescent="0.35">
      <c r="A808" s="39"/>
      <c r="B808" s="39"/>
      <c r="C808" s="15"/>
      <c r="D808" s="87"/>
      <c r="E808" s="38"/>
      <c r="F808" s="15"/>
      <c r="G808" s="38"/>
      <c r="H808" s="39"/>
      <c r="I808" s="38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8" customHeight="1" x14ac:dyDescent="0.35">
      <c r="A809" s="39"/>
      <c r="B809" s="39"/>
      <c r="C809" s="15"/>
      <c r="D809" s="87"/>
      <c r="E809" s="38"/>
      <c r="F809" s="15"/>
      <c r="G809" s="38"/>
      <c r="H809" s="39"/>
      <c r="I809" s="38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8" customHeight="1" x14ac:dyDescent="0.35">
      <c r="A810" s="39"/>
      <c r="B810" s="39"/>
      <c r="C810" s="15"/>
      <c r="D810" s="87"/>
      <c r="E810" s="38"/>
      <c r="F810" s="15"/>
      <c r="G810" s="38"/>
      <c r="H810" s="39"/>
      <c r="I810" s="38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8" customHeight="1" x14ac:dyDescent="0.35">
      <c r="A811" s="39"/>
      <c r="B811" s="39"/>
      <c r="C811" s="15"/>
      <c r="D811" s="87"/>
      <c r="E811" s="38"/>
      <c r="F811" s="15"/>
      <c r="G811" s="38"/>
      <c r="H811" s="39"/>
      <c r="I811" s="38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8" customHeight="1" x14ac:dyDescent="0.35">
      <c r="A812" s="39"/>
      <c r="B812" s="39"/>
      <c r="C812" s="15"/>
      <c r="D812" s="87"/>
      <c r="E812" s="38"/>
      <c r="F812" s="15"/>
      <c r="G812" s="38"/>
      <c r="H812" s="39"/>
      <c r="I812" s="38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8" customHeight="1" x14ac:dyDescent="0.35">
      <c r="A813" s="39"/>
      <c r="B813" s="39"/>
      <c r="C813" s="15"/>
      <c r="D813" s="87"/>
      <c r="E813" s="38"/>
      <c r="F813" s="15"/>
      <c r="G813" s="38"/>
      <c r="H813" s="39"/>
      <c r="I813" s="38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8" customHeight="1" x14ac:dyDescent="0.35">
      <c r="A814" s="39"/>
      <c r="B814" s="39"/>
      <c r="C814" s="15"/>
      <c r="D814" s="87"/>
      <c r="E814" s="38"/>
      <c r="F814" s="15"/>
      <c r="G814" s="38"/>
      <c r="H814" s="39"/>
      <c r="I814" s="38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8" customHeight="1" x14ac:dyDescent="0.35">
      <c r="A815" s="39"/>
      <c r="B815" s="39"/>
      <c r="C815" s="15"/>
      <c r="D815" s="87"/>
      <c r="E815" s="38"/>
      <c r="F815" s="15"/>
      <c r="G815" s="38"/>
      <c r="H815" s="39"/>
      <c r="I815" s="38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8" customHeight="1" x14ac:dyDescent="0.35">
      <c r="A816" s="39"/>
      <c r="B816" s="39"/>
      <c r="C816" s="15"/>
      <c r="D816" s="87"/>
      <c r="E816" s="38"/>
      <c r="F816" s="15"/>
      <c r="G816" s="38"/>
      <c r="H816" s="39"/>
      <c r="I816" s="38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8" customHeight="1" x14ac:dyDescent="0.35">
      <c r="A817" s="39"/>
      <c r="B817" s="39"/>
      <c r="C817" s="15"/>
      <c r="D817" s="87"/>
      <c r="E817" s="38"/>
      <c r="F817" s="15"/>
      <c r="G817" s="38"/>
      <c r="H817" s="39"/>
      <c r="I817" s="38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8" customHeight="1" x14ac:dyDescent="0.35">
      <c r="A818" s="39"/>
      <c r="B818" s="39"/>
      <c r="C818" s="15"/>
      <c r="D818" s="87"/>
      <c r="E818" s="38"/>
      <c r="F818" s="15"/>
      <c r="G818" s="38"/>
      <c r="H818" s="39"/>
      <c r="I818" s="38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8" customHeight="1" x14ac:dyDescent="0.35">
      <c r="A819" s="39"/>
      <c r="B819" s="39"/>
      <c r="C819" s="15"/>
      <c r="D819" s="87"/>
      <c r="E819" s="38"/>
      <c r="F819" s="15"/>
      <c r="G819" s="38"/>
      <c r="H819" s="39"/>
      <c r="I819" s="38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8" customHeight="1" x14ac:dyDescent="0.35">
      <c r="A820" s="39"/>
      <c r="B820" s="39"/>
      <c r="C820" s="15"/>
      <c r="D820" s="87"/>
      <c r="E820" s="38"/>
      <c r="F820" s="15"/>
      <c r="G820" s="38"/>
      <c r="H820" s="39"/>
      <c r="I820" s="38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8" customHeight="1" x14ac:dyDescent="0.35">
      <c r="A821" s="39"/>
      <c r="B821" s="39"/>
      <c r="C821" s="15"/>
      <c r="D821" s="87"/>
      <c r="E821" s="38"/>
      <c r="F821" s="15"/>
      <c r="G821" s="38"/>
      <c r="H821" s="39"/>
      <c r="I821" s="38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8" customHeight="1" x14ac:dyDescent="0.35">
      <c r="A822" s="39"/>
      <c r="B822" s="39"/>
      <c r="C822" s="15"/>
      <c r="D822" s="87"/>
      <c r="E822" s="38"/>
      <c r="F822" s="15"/>
      <c r="G822" s="38"/>
      <c r="H822" s="39"/>
      <c r="I822" s="38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8" customHeight="1" x14ac:dyDescent="0.35">
      <c r="A823" s="39"/>
      <c r="B823" s="39"/>
      <c r="C823" s="15"/>
      <c r="D823" s="87"/>
      <c r="E823" s="38"/>
      <c r="F823" s="15"/>
      <c r="G823" s="38"/>
      <c r="H823" s="39"/>
      <c r="I823" s="38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8" customHeight="1" x14ac:dyDescent="0.35">
      <c r="A824" s="39"/>
      <c r="B824" s="39"/>
      <c r="C824" s="15"/>
      <c r="D824" s="87"/>
      <c r="E824" s="38"/>
      <c r="F824" s="15"/>
      <c r="G824" s="38"/>
      <c r="H824" s="39"/>
      <c r="I824" s="38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8" customHeight="1" x14ac:dyDescent="0.35">
      <c r="A825" s="39"/>
      <c r="B825" s="39"/>
      <c r="C825" s="15"/>
      <c r="D825" s="87"/>
      <c r="E825" s="38"/>
      <c r="F825" s="15"/>
      <c r="G825" s="38"/>
      <c r="H825" s="39"/>
      <c r="I825" s="38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8" customHeight="1" x14ac:dyDescent="0.35">
      <c r="A826" s="39"/>
      <c r="B826" s="39"/>
      <c r="C826" s="15"/>
      <c r="D826" s="87"/>
      <c r="E826" s="38"/>
      <c r="F826" s="15"/>
      <c r="G826" s="38"/>
      <c r="H826" s="39"/>
      <c r="I826" s="38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8" customHeight="1" x14ac:dyDescent="0.35">
      <c r="A827" s="39"/>
      <c r="B827" s="39"/>
      <c r="C827" s="15"/>
      <c r="D827" s="87"/>
      <c r="E827" s="38"/>
      <c r="F827" s="15"/>
      <c r="G827" s="38"/>
      <c r="H827" s="39"/>
      <c r="I827" s="38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8" customHeight="1" x14ac:dyDescent="0.35">
      <c r="A828" s="39"/>
      <c r="B828" s="39"/>
      <c r="C828" s="15"/>
      <c r="D828" s="87"/>
      <c r="E828" s="38"/>
      <c r="F828" s="15"/>
      <c r="G828" s="38"/>
      <c r="H828" s="39"/>
      <c r="I828" s="38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8" customHeight="1" x14ac:dyDescent="0.35">
      <c r="A829" s="39"/>
      <c r="B829" s="39"/>
      <c r="C829" s="15"/>
      <c r="D829" s="87"/>
      <c r="E829" s="38"/>
      <c r="F829" s="15"/>
      <c r="G829" s="38"/>
      <c r="H829" s="39"/>
      <c r="I829" s="38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8" customHeight="1" x14ac:dyDescent="0.35">
      <c r="A830" s="39"/>
      <c r="B830" s="39"/>
      <c r="C830" s="15"/>
      <c r="D830" s="87"/>
      <c r="E830" s="38"/>
      <c r="F830" s="15"/>
      <c r="G830" s="38"/>
      <c r="H830" s="39"/>
      <c r="I830" s="38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8" customHeight="1" x14ac:dyDescent="0.35">
      <c r="A831" s="39"/>
      <c r="B831" s="39"/>
      <c r="C831" s="15"/>
      <c r="D831" s="87"/>
      <c r="E831" s="38"/>
      <c r="F831" s="15"/>
      <c r="G831" s="38"/>
      <c r="H831" s="39"/>
      <c r="I831" s="38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8" customHeight="1" x14ac:dyDescent="0.35">
      <c r="A832" s="39"/>
      <c r="B832" s="39"/>
      <c r="C832" s="15"/>
      <c r="D832" s="87"/>
      <c r="E832" s="38"/>
      <c r="F832" s="15"/>
      <c r="G832" s="38"/>
      <c r="H832" s="39"/>
      <c r="I832" s="38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8" customHeight="1" x14ac:dyDescent="0.35">
      <c r="A833" s="39"/>
      <c r="B833" s="39"/>
      <c r="C833" s="15"/>
      <c r="D833" s="87"/>
      <c r="E833" s="38"/>
      <c r="F833" s="15"/>
      <c r="G833" s="38"/>
      <c r="H833" s="39"/>
      <c r="I833" s="38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8" customHeight="1" x14ac:dyDescent="0.35">
      <c r="A834" s="39"/>
      <c r="B834" s="39"/>
      <c r="C834" s="15"/>
      <c r="D834" s="87"/>
      <c r="E834" s="38"/>
      <c r="F834" s="15"/>
      <c r="G834" s="38"/>
      <c r="H834" s="39"/>
      <c r="I834" s="38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8" customHeight="1" x14ac:dyDescent="0.35">
      <c r="A835" s="39"/>
      <c r="B835" s="39"/>
      <c r="C835" s="15"/>
      <c r="D835" s="87"/>
      <c r="E835" s="38"/>
      <c r="F835" s="15"/>
      <c r="G835" s="38"/>
      <c r="H835" s="39"/>
      <c r="I835" s="38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8" customHeight="1" x14ac:dyDescent="0.35">
      <c r="A836" s="39"/>
      <c r="B836" s="39"/>
      <c r="C836" s="15"/>
      <c r="D836" s="87"/>
      <c r="E836" s="38"/>
      <c r="F836" s="15"/>
      <c r="G836" s="38"/>
      <c r="H836" s="39"/>
      <c r="I836" s="38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8" customHeight="1" x14ac:dyDescent="0.35">
      <c r="A837" s="39"/>
      <c r="B837" s="39"/>
      <c r="C837" s="15"/>
      <c r="D837" s="87"/>
      <c r="E837" s="38"/>
      <c r="F837" s="15"/>
      <c r="G837" s="38"/>
      <c r="H837" s="39"/>
      <c r="I837" s="38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8" customHeight="1" x14ac:dyDescent="0.35">
      <c r="A838" s="39"/>
      <c r="B838" s="39"/>
      <c r="C838" s="15"/>
      <c r="D838" s="87"/>
      <c r="E838" s="38"/>
      <c r="F838" s="15"/>
      <c r="G838" s="38"/>
      <c r="H838" s="39"/>
      <c r="I838" s="38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8" customHeight="1" x14ac:dyDescent="0.35">
      <c r="A839" s="39"/>
      <c r="B839" s="39"/>
      <c r="C839" s="15"/>
      <c r="D839" s="87"/>
      <c r="E839" s="38"/>
      <c r="F839" s="15"/>
      <c r="G839" s="38"/>
      <c r="H839" s="39"/>
      <c r="I839" s="38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8" customHeight="1" x14ac:dyDescent="0.35">
      <c r="A840" s="39"/>
      <c r="B840" s="39"/>
      <c r="C840" s="15"/>
      <c r="D840" s="87"/>
      <c r="E840" s="38"/>
      <c r="F840" s="15"/>
      <c r="G840" s="38"/>
      <c r="H840" s="39"/>
      <c r="I840" s="38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8" customHeight="1" x14ac:dyDescent="0.35">
      <c r="A841" s="39"/>
      <c r="B841" s="39"/>
      <c r="C841" s="15"/>
      <c r="D841" s="87"/>
      <c r="E841" s="38"/>
      <c r="F841" s="15"/>
      <c r="G841" s="38"/>
      <c r="H841" s="39"/>
      <c r="I841" s="38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8" customHeight="1" x14ac:dyDescent="0.35">
      <c r="A842" s="39"/>
      <c r="B842" s="39"/>
      <c r="C842" s="15"/>
      <c r="D842" s="87"/>
      <c r="E842" s="38"/>
      <c r="F842" s="15"/>
      <c r="G842" s="38"/>
      <c r="H842" s="39"/>
      <c r="I842" s="38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8" customHeight="1" x14ac:dyDescent="0.35">
      <c r="A843" s="39"/>
      <c r="B843" s="39"/>
      <c r="C843" s="15"/>
      <c r="D843" s="87"/>
      <c r="E843" s="38"/>
      <c r="F843" s="15"/>
      <c r="G843" s="38"/>
      <c r="H843" s="39"/>
      <c r="I843" s="38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8" customHeight="1" x14ac:dyDescent="0.35">
      <c r="A844" s="39"/>
      <c r="B844" s="39"/>
      <c r="C844" s="15"/>
      <c r="D844" s="87"/>
      <c r="E844" s="38"/>
      <c r="F844" s="15"/>
      <c r="G844" s="38"/>
      <c r="H844" s="39"/>
      <c r="I844" s="38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8" customHeight="1" x14ac:dyDescent="0.35">
      <c r="A845" s="39"/>
      <c r="B845" s="39"/>
      <c r="C845" s="15"/>
      <c r="D845" s="87"/>
      <c r="E845" s="38"/>
      <c r="F845" s="15"/>
      <c r="G845" s="38"/>
      <c r="H845" s="39"/>
      <c r="I845" s="38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8" customHeight="1" x14ac:dyDescent="0.35">
      <c r="A846" s="39"/>
      <c r="B846" s="39"/>
      <c r="C846" s="15"/>
      <c r="D846" s="87"/>
      <c r="E846" s="38"/>
      <c r="F846" s="15"/>
      <c r="G846" s="38"/>
      <c r="H846" s="39"/>
      <c r="I846" s="38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8" customHeight="1" x14ac:dyDescent="0.35">
      <c r="A847" s="39"/>
      <c r="B847" s="39"/>
      <c r="C847" s="15"/>
      <c r="D847" s="87"/>
      <c r="E847" s="38"/>
      <c r="F847" s="15"/>
      <c r="G847" s="38"/>
      <c r="H847" s="39"/>
      <c r="I847" s="38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8" customHeight="1" x14ac:dyDescent="0.35">
      <c r="A848" s="39"/>
      <c r="B848" s="39"/>
      <c r="C848" s="15"/>
      <c r="D848" s="87"/>
      <c r="E848" s="38"/>
      <c r="F848" s="15"/>
      <c r="G848" s="38"/>
      <c r="H848" s="39"/>
      <c r="I848" s="38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8" customHeight="1" x14ac:dyDescent="0.35">
      <c r="A849" s="39"/>
      <c r="B849" s="39"/>
      <c r="C849" s="15"/>
      <c r="D849" s="87"/>
      <c r="E849" s="38"/>
      <c r="F849" s="15"/>
      <c r="G849" s="38"/>
      <c r="H849" s="39"/>
      <c r="I849" s="38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8" customHeight="1" x14ac:dyDescent="0.35">
      <c r="A850" s="39"/>
      <c r="B850" s="39"/>
      <c r="C850" s="15"/>
      <c r="D850" s="87"/>
      <c r="E850" s="38"/>
      <c r="F850" s="15"/>
      <c r="G850" s="38"/>
      <c r="H850" s="39"/>
      <c r="I850" s="38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8" customHeight="1" x14ac:dyDescent="0.35">
      <c r="A851" s="39"/>
      <c r="B851" s="39"/>
      <c r="C851" s="15"/>
      <c r="D851" s="87"/>
      <c r="E851" s="38"/>
      <c r="F851" s="15"/>
      <c r="G851" s="38"/>
      <c r="H851" s="39"/>
      <c r="I851" s="38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8" customHeight="1" x14ac:dyDescent="0.35">
      <c r="A852" s="39"/>
      <c r="B852" s="39"/>
      <c r="C852" s="15"/>
      <c r="D852" s="87"/>
      <c r="E852" s="38"/>
      <c r="F852" s="15"/>
      <c r="G852" s="38"/>
      <c r="H852" s="39"/>
      <c r="I852" s="38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8" customHeight="1" x14ac:dyDescent="0.35">
      <c r="A853" s="39"/>
      <c r="B853" s="39"/>
      <c r="C853" s="15"/>
      <c r="D853" s="87"/>
      <c r="E853" s="38"/>
      <c r="F853" s="15"/>
      <c r="G853" s="38"/>
      <c r="H853" s="39"/>
      <c r="I853" s="38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8" customHeight="1" x14ac:dyDescent="0.35">
      <c r="A854" s="39"/>
      <c r="B854" s="39"/>
      <c r="C854" s="15"/>
      <c r="D854" s="87"/>
      <c r="E854" s="38"/>
      <c r="F854" s="15"/>
      <c r="G854" s="38"/>
      <c r="H854" s="39"/>
      <c r="I854" s="38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8" customHeight="1" x14ac:dyDescent="0.35">
      <c r="A855" s="39"/>
      <c r="B855" s="39"/>
      <c r="C855" s="15"/>
      <c r="D855" s="87"/>
      <c r="E855" s="38"/>
      <c r="F855" s="15"/>
      <c r="G855" s="38"/>
      <c r="H855" s="39"/>
      <c r="I855" s="38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8" customHeight="1" x14ac:dyDescent="0.35">
      <c r="A856" s="39"/>
      <c r="B856" s="39"/>
      <c r="C856" s="15"/>
      <c r="D856" s="87"/>
      <c r="E856" s="38"/>
      <c r="F856" s="15"/>
      <c r="G856" s="38"/>
      <c r="H856" s="39"/>
      <c r="I856" s="38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8" customHeight="1" x14ac:dyDescent="0.35">
      <c r="A857" s="39"/>
      <c r="B857" s="39"/>
      <c r="C857" s="15"/>
      <c r="D857" s="87"/>
      <c r="E857" s="38"/>
      <c r="F857" s="15"/>
      <c r="G857" s="38"/>
      <c r="H857" s="39"/>
      <c r="I857" s="38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8" customHeight="1" x14ac:dyDescent="0.35">
      <c r="A858" s="39"/>
      <c r="B858" s="39"/>
      <c r="C858" s="15"/>
      <c r="D858" s="87"/>
      <c r="E858" s="38"/>
      <c r="F858" s="15"/>
      <c r="G858" s="38"/>
      <c r="H858" s="39"/>
      <c r="I858" s="38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8" customHeight="1" x14ac:dyDescent="0.35">
      <c r="A859" s="39"/>
      <c r="B859" s="39"/>
      <c r="C859" s="15"/>
      <c r="D859" s="87"/>
      <c r="E859" s="38"/>
      <c r="F859" s="15"/>
      <c r="G859" s="38"/>
      <c r="H859" s="39"/>
      <c r="I859" s="38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8" customHeight="1" x14ac:dyDescent="0.35">
      <c r="A860" s="39"/>
      <c r="B860" s="39"/>
      <c r="C860" s="15"/>
      <c r="D860" s="87"/>
      <c r="E860" s="38"/>
      <c r="F860" s="15"/>
      <c r="G860" s="38"/>
      <c r="H860" s="39"/>
      <c r="I860" s="38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8" customHeight="1" x14ac:dyDescent="0.35">
      <c r="A861" s="39"/>
      <c r="B861" s="39"/>
      <c r="C861" s="15"/>
      <c r="D861" s="87"/>
      <c r="E861" s="38"/>
      <c r="F861" s="15"/>
      <c r="G861" s="38"/>
      <c r="H861" s="39"/>
      <c r="I861" s="38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8" customHeight="1" x14ac:dyDescent="0.35">
      <c r="A862" s="39"/>
      <c r="B862" s="39"/>
      <c r="C862" s="15"/>
      <c r="D862" s="87"/>
      <c r="E862" s="38"/>
      <c r="F862" s="15"/>
      <c r="G862" s="38"/>
      <c r="H862" s="39"/>
      <c r="I862" s="38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8" customHeight="1" x14ac:dyDescent="0.35">
      <c r="A863" s="39"/>
      <c r="B863" s="39"/>
      <c r="C863" s="15"/>
      <c r="D863" s="87"/>
      <c r="E863" s="38"/>
      <c r="F863" s="15"/>
      <c r="G863" s="38"/>
      <c r="H863" s="39"/>
      <c r="I863" s="38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8" customHeight="1" x14ac:dyDescent="0.35">
      <c r="A864" s="39"/>
      <c r="B864" s="39"/>
      <c r="C864" s="15"/>
      <c r="D864" s="87"/>
      <c r="E864" s="38"/>
      <c r="F864" s="15"/>
      <c r="G864" s="38"/>
      <c r="H864" s="39"/>
      <c r="I864" s="38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8" customHeight="1" x14ac:dyDescent="0.35">
      <c r="A865" s="39"/>
      <c r="B865" s="39"/>
      <c r="C865" s="15"/>
      <c r="D865" s="87"/>
      <c r="E865" s="38"/>
      <c r="F865" s="15"/>
      <c r="G865" s="38"/>
      <c r="H865" s="39"/>
      <c r="I865" s="38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8" customHeight="1" x14ac:dyDescent="0.35">
      <c r="A866" s="39"/>
      <c r="B866" s="39"/>
      <c r="C866" s="15"/>
      <c r="D866" s="87"/>
      <c r="E866" s="38"/>
      <c r="F866" s="15"/>
      <c r="G866" s="38"/>
      <c r="H866" s="39"/>
      <c r="I866" s="38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8" customHeight="1" x14ac:dyDescent="0.35">
      <c r="A867" s="39"/>
      <c r="B867" s="39"/>
      <c r="C867" s="15"/>
      <c r="D867" s="87"/>
      <c r="E867" s="38"/>
      <c r="F867" s="15"/>
      <c r="G867" s="38"/>
      <c r="H867" s="39"/>
      <c r="I867" s="38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8" customHeight="1" x14ac:dyDescent="0.35">
      <c r="A868" s="39"/>
      <c r="B868" s="39"/>
      <c r="C868" s="15"/>
      <c r="D868" s="87"/>
      <c r="E868" s="38"/>
      <c r="F868" s="15"/>
      <c r="G868" s="38"/>
      <c r="H868" s="39"/>
      <c r="I868" s="38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8" customHeight="1" x14ac:dyDescent="0.35">
      <c r="A869" s="39"/>
      <c r="B869" s="39"/>
      <c r="C869" s="15"/>
      <c r="D869" s="87"/>
      <c r="E869" s="38"/>
      <c r="F869" s="15"/>
      <c r="G869" s="38"/>
      <c r="H869" s="39"/>
      <c r="I869" s="38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ht="18" customHeight="1" x14ac:dyDescent="0.35">
      <c r="A870" s="39"/>
      <c r="B870" s="39"/>
      <c r="C870" s="15"/>
      <c r="D870" s="87"/>
      <c r="E870" s="38"/>
      <c r="F870" s="15"/>
      <c r="G870" s="38"/>
      <c r="H870" s="39"/>
      <c r="I870" s="38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ht="18" customHeight="1" x14ac:dyDescent="0.35">
      <c r="A871" s="39"/>
      <c r="B871" s="39"/>
      <c r="C871" s="15"/>
      <c r="D871" s="87"/>
      <c r="E871" s="38"/>
      <c r="F871" s="15"/>
      <c r="G871" s="38"/>
      <c r="H871" s="39"/>
      <c r="I871" s="38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ht="18" customHeight="1" x14ac:dyDescent="0.35">
      <c r="A872" s="39"/>
      <c r="B872" s="39"/>
      <c r="C872" s="15"/>
      <c r="D872" s="87"/>
      <c r="E872" s="38"/>
      <c r="F872" s="15"/>
      <c r="G872" s="38"/>
      <c r="H872" s="39"/>
      <c r="I872" s="38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ht="18" customHeight="1" x14ac:dyDescent="0.35">
      <c r="A873" s="39"/>
      <c r="B873" s="39"/>
      <c r="C873" s="15"/>
      <c r="D873" s="87"/>
      <c r="E873" s="38"/>
      <c r="F873" s="15"/>
      <c r="G873" s="38"/>
      <c r="H873" s="39"/>
      <c r="I873" s="38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ht="18" customHeight="1" x14ac:dyDescent="0.35">
      <c r="A874" s="39"/>
      <c r="B874" s="39"/>
      <c r="C874" s="15"/>
      <c r="D874" s="87"/>
      <c r="E874" s="38"/>
      <c r="F874" s="15"/>
      <c r="G874" s="38"/>
      <c r="H874" s="39"/>
      <c r="I874" s="38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ht="18" customHeight="1" x14ac:dyDescent="0.35">
      <c r="A875" s="39"/>
      <c r="B875" s="39"/>
      <c r="C875" s="15"/>
      <c r="D875" s="87"/>
      <c r="E875" s="38"/>
      <c r="F875" s="15"/>
      <c r="G875" s="38"/>
      <c r="H875" s="39"/>
      <c r="I875" s="38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ht="18" customHeight="1" x14ac:dyDescent="0.35">
      <c r="A876" s="39"/>
      <c r="B876" s="39"/>
      <c r="C876" s="15"/>
      <c r="D876" s="87"/>
      <c r="E876" s="38"/>
      <c r="F876" s="15"/>
      <c r="G876" s="38"/>
      <c r="H876" s="39"/>
      <c r="I876" s="38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ht="18" customHeight="1" x14ac:dyDescent="0.35">
      <c r="A877" s="39"/>
      <c r="B877" s="39"/>
      <c r="C877" s="15"/>
      <c r="D877" s="87"/>
      <c r="E877" s="38"/>
      <c r="F877" s="15"/>
      <c r="G877" s="38"/>
      <c r="H877" s="39"/>
      <c r="I877" s="38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ht="18" customHeight="1" x14ac:dyDescent="0.35">
      <c r="A878" s="39"/>
      <c r="B878" s="39"/>
      <c r="C878" s="15"/>
      <c r="D878" s="87"/>
      <c r="E878" s="38"/>
      <c r="F878" s="15"/>
      <c r="G878" s="38"/>
      <c r="H878" s="39"/>
      <c r="I878" s="38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ht="18" customHeight="1" x14ac:dyDescent="0.35">
      <c r="A879" s="39"/>
      <c r="B879" s="39"/>
      <c r="C879" s="15"/>
      <c r="D879" s="87"/>
      <c r="E879" s="38"/>
      <c r="F879" s="15"/>
      <c r="G879" s="38"/>
      <c r="H879" s="39"/>
      <c r="I879" s="38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ht="18" customHeight="1" x14ac:dyDescent="0.35">
      <c r="A880" s="39"/>
      <c r="B880" s="39"/>
      <c r="C880" s="15"/>
      <c r="D880" s="87"/>
      <c r="E880" s="38"/>
      <c r="F880" s="15"/>
      <c r="G880" s="38"/>
      <c r="H880" s="39"/>
      <c r="I880" s="38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ht="18" customHeight="1" x14ac:dyDescent="0.35">
      <c r="A881" s="39"/>
      <c r="B881" s="39"/>
      <c r="C881" s="15"/>
      <c r="D881" s="87"/>
      <c r="E881" s="38"/>
      <c r="F881" s="15"/>
      <c r="G881" s="38"/>
      <c r="H881" s="39"/>
      <c r="I881" s="38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ht="18" customHeight="1" x14ac:dyDescent="0.35">
      <c r="A882" s="39"/>
      <c r="B882" s="39"/>
      <c r="C882" s="15"/>
      <c r="D882" s="87"/>
      <c r="E882" s="38"/>
      <c r="F882" s="15"/>
      <c r="G882" s="38"/>
      <c r="H882" s="39"/>
      <c r="I882" s="38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ht="18" customHeight="1" x14ac:dyDescent="0.35">
      <c r="A883" s="39"/>
      <c r="B883" s="39"/>
      <c r="C883" s="15"/>
      <c r="D883" s="87"/>
      <c r="E883" s="38"/>
      <c r="F883" s="15"/>
      <c r="G883" s="38"/>
      <c r="H883" s="39"/>
      <c r="I883" s="38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ht="18" customHeight="1" x14ac:dyDescent="0.35">
      <c r="A884" s="39"/>
      <c r="B884" s="39"/>
      <c r="C884" s="15"/>
      <c r="D884" s="87"/>
      <c r="E884" s="38"/>
      <c r="F884" s="15"/>
      <c r="G884" s="38"/>
      <c r="H884" s="39"/>
      <c r="I884" s="38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ht="18" customHeight="1" x14ac:dyDescent="0.35">
      <c r="A885" s="39"/>
      <c r="B885" s="39"/>
      <c r="C885" s="15"/>
      <c r="D885" s="87"/>
      <c r="E885" s="38"/>
      <c r="F885" s="15"/>
      <c r="G885" s="38"/>
      <c r="H885" s="39"/>
      <c r="I885" s="38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18" customHeight="1" x14ac:dyDescent="0.35">
      <c r="A886" s="39"/>
      <c r="B886" s="39"/>
      <c r="C886" s="15"/>
      <c r="D886" s="87"/>
      <c r="E886" s="38"/>
      <c r="F886" s="15"/>
      <c r="G886" s="38"/>
      <c r="H886" s="39"/>
      <c r="I886" s="38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ht="18" customHeight="1" x14ac:dyDescent="0.35">
      <c r="A887" s="39"/>
      <c r="B887" s="39"/>
      <c r="C887" s="15"/>
      <c r="D887" s="87"/>
      <c r="E887" s="38"/>
      <c r="F887" s="15"/>
      <c r="G887" s="38"/>
      <c r="H887" s="39"/>
      <c r="I887" s="38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ht="18" customHeight="1" x14ac:dyDescent="0.35">
      <c r="A888" s="39"/>
      <c r="B888" s="39"/>
      <c r="C888" s="15"/>
      <c r="D888" s="87"/>
      <c r="E888" s="38"/>
      <c r="F888" s="15"/>
      <c r="G888" s="38"/>
      <c r="H888" s="39"/>
      <c r="I888" s="38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ht="18" customHeight="1" x14ac:dyDescent="0.35">
      <c r="A889" s="39"/>
      <c r="B889" s="39"/>
      <c r="C889" s="15"/>
      <c r="D889" s="87"/>
      <c r="E889" s="38"/>
      <c r="F889" s="15"/>
      <c r="G889" s="38"/>
      <c r="H889" s="39"/>
      <c r="I889" s="38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ht="18" customHeight="1" x14ac:dyDescent="0.35">
      <c r="A890" s="39"/>
      <c r="B890" s="39"/>
      <c r="C890" s="15"/>
      <c r="D890" s="87"/>
      <c r="E890" s="38"/>
      <c r="F890" s="15"/>
      <c r="G890" s="38"/>
      <c r="H890" s="39"/>
      <c r="I890" s="38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ht="18" customHeight="1" x14ac:dyDescent="0.35">
      <c r="A891" s="39"/>
      <c r="B891" s="39"/>
      <c r="C891" s="15"/>
      <c r="D891" s="87"/>
      <c r="E891" s="38"/>
      <c r="F891" s="15"/>
      <c r="G891" s="38"/>
      <c r="H891" s="39"/>
      <c r="I891" s="38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ht="18" customHeight="1" x14ac:dyDescent="0.35">
      <c r="A892" s="39"/>
      <c r="B892" s="39"/>
      <c r="C892" s="15"/>
      <c r="D892" s="87"/>
      <c r="E892" s="38"/>
      <c r="F892" s="15"/>
      <c r="G892" s="38"/>
      <c r="H892" s="39"/>
      <c r="I892" s="38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ht="18" customHeight="1" x14ac:dyDescent="0.35">
      <c r="A893" s="39"/>
      <c r="B893" s="39"/>
      <c r="C893" s="15"/>
      <c r="D893" s="87"/>
      <c r="E893" s="38"/>
      <c r="F893" s="15"/>
      <c r="G893" s="38"/>
      <c r="H893" s="39"/>
      <c r="I893" s="38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ht="18" customHeight="1" x14ac:dyDescent="0.35">
      <c r="A894" s="39"/>
      <c r="B894" s="39"/>
      <c r="C894" s="15"/>
      <c r="D894" s="87"/>
      <c r="E894" s="38"/>
      <c r="F894" s="15"/>
      <c r="G894" s="38"/>
      <c r="H894" s="39"/>
      <c r="I894" s="38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ht="18" customHeight="1" x14ac:dyDescent="0.35">
      <c r="A895" s="39"/>
      <c r="B895" s="39"/>
      <c r="C895" s="15"/>
      <c r="D895" s="87"/>
      <c r="E895" s="38"/>
      <c r="F895" s="15"/>
      <c r="G895" s="38"/>
      <c r="H895" s="39"/>
      <c r="I895" s="38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ht="18" customHeight="1" x14ac:dyDescent="0.35">
      <c r="A896" s="39"/>
      <c r="B896" s="39"/>
      <c r="C896" s="15"/>
      <c r="D896" s="87"/>
      <c r="E896" s="38"/>
      <c r="F896" s="15"/>
      <c r="G896" s="38"/>
      <c r="H896" s="39"/>
      <c r="I896" s="38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ht="18" customHeight="1" x14ac:dyDescent="0.35">
      <c r="A897" s="39"/>
      <c r="B897" s="39"/>
      <c r="C897" s="15"/>
      <c r="D897" s="87"/>
      <c r="E897" s="38"/>
      <c r="F897" s="15"/>
      <c r="G897" s="38"/>
      <c r="H897" s="39"/>
      <c r="I897" s="38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ht="18" customHeight="1" x14ac:dyDescent="0.35">
      <c r="A898" s="39"/>
      <c r="B898" s="39"/>
      <c r="C898" s="15"/>
      <c r="D898" s="87"/>
      <c r="E898" s="38"/>
      <c r="F898" s="15"/>
      <c r="G898" s="38"/>
      <c r="H898" s="39"/>
      <c r="I898" s="38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ht="18" customHeight="1" x14ac:dyDescent="0.35">
      <c r="A899" s="39"/>
      <c r="B899" s="39"/>
      <c r="C899" s="15"/>
      <c r="D899" s="87"/>
      <c r="E899" s="38"/>
      <c r="F899" s="15"/>
      <c r="G899" s="38"/>
      <c r="H899" s="39"/>
      <c r="I899" s="38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ht="18" customHeight="1" x14ac:dyDescent="0.35">
      <c r="A900" s="39"/>
      <c r="B900" s="39"/>
      <c r="C900" s="15"/>
      <c r="D900" s="87"/>
      <c r="E900" s="38"/>
      <c r="F900" s="15"/>
      <c r="G900" s="38"/>
      <c r="H900" s="39"/>
      <c r="I900" s="38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ht="18" customHeight="1" x14ac:dyDescent="0.35">
      <c r="A901" s="39"/>
      <c r="B901" s="39"/>
      <c r="C901" s="15"/>
      <c r="D901" s="87"/>
      <c r="E901" s="38"/>
      <c r="F901" s="15"/>
      <c r="G901" s="38"/>
      <c r="H901" s="39"/>
      <c r="I901" s="38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ht="18" customHeight="1" x14ac:dyDescent="0.35">
      <c r="A902" s="39"/>
      <c r="B902" s="39"/>
      <c r="C902" s="15"/>
      <c r="D902" s="87"/>
      <c r="E902" s="38"/>
      <c r="F902" s="15"/>
      <c r="G902" s="38"/>
      <c r="H902" s="39"/>
      <c r="I902" s="38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ht="18" customHeight="1" x14ac:dyDescent="0.35">
      <c r="A903" s="39"/>
      <c r="B903" s="39"/>
      <c r="C903" s="15"/>
      <c r="D903" s="87"/>
      <c r="E903" s="38"/>
      <c r="F903" s="15"/>
      <c r="G903" s="38"/>
      <c r="H903" s="39"/>
      <c r="I903" s="38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ht="18" customHeight="1" x14ac:dyDescent="0.35">
      <c r="A904" s="39"/>
      <c r="B904" s="39"/>
      <c r="C904" s="15"/>
      <c r="D904" s="87"/>
      <c r="E904" s="38"/>
      <c r="F904" s="15"/>
      <c r="G904" s="38"/>
      <c r="H904" s="39"/>
      <c r="I904" s="38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ht="18" customHeight="1" x14ac:dyDescent="0.35">
      <c r="A905" s="39"/>
      <c r="B905" s="39"/>
      <c r="C905" s="15"/>
      <c r="D905" s="87"/>
      <c r="E905" s="38"/>
      <c r="F905" s="15"/>
      <c r="G905" s="38"/>
      <c r="H905" s="39"/>
      <c r="I905" s="38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ht="18" customHeight="1" x14ac:dyDescent="0.35">
      <c r="A906" s="39"/>
      <c r="B906" s="39"/>
      <c r="C906" s="15"/>
      <c r="D906" s="87"/>
      <c r="E906" s="38"/>
      <c r="F906" s="15"/>
      <c r="G906" s="38"/>
      <c r="H906" s="39"/>
      <c r="I906" s="38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ht="18" customHeight="1" x14ac:dyDescent="0.35">
      <c r="A907" s="39"/>
      <c r="B907" s="39"/>
      <c r="C907" s="15"/>
      <c r="D907" s="87"/>
      <c r="E907" s="38"/>
      <c r="F907" s="15"/>
      <c r="G907" s="38"/>
      <c r="H907" s="39"/>
      <c r="I907" s="38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ht="18" customHeight="1" x14ac:dyDescent="0.35">
      <c r="A908" s="39"/>
      <c r="B908" s="39"/>
      <c r="C908" s="15"/>
      <c r="D908" s="87"/>
      <c r="E908" s="38"/>
      <c r="F908" s="15"/>
      <c r="G908" s="38"/>
      <c r="H908" s="39"/>
      <c r="I908" s="38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ht="18" customHeight="1" x14ac:dyDescent="0.35">
      <c r="A909" s="39"/>
      <c r="B909" s="39"/>
      <c r="C909" s="15"/>
      <c r="D909" s="87"/>
      <c r="E909" s="38"/>
      <c r="F909" s="15"/>
      <c r="G909" s="38"/>
      <c r="H909" s="39"/>
      <c r="I909" s="38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ht="18" customHeight="1" x14ac:dyDescent="0.35">
      <c r="A910" s="39"/>
      <c r="B910" s="39"/>
      <c r="C910" s="15"/>
      <c r="D910" s="87"/>
      <c r="E910" s="38"/>
      <c r="F910" s="15"/>
      <c r="G910" s="38"/>
      <c r="H910" s="39"/>
      <c r="I910" s="38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ht="18" customHeight="1" x14ac:dyDescent="0.35">
      <c r="A911" s="39"/>
      <c r="B911" s="39"/>
      <c r="C911" s="15"/>
      <c r="D911" s="87"/>
      <c r="E911" s="38"/>
      <c r="F911" s="15"/>
      <c r="G911" s="38"/>
      <c r="H911" s="39"/>
      <c r="I911" s="38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ht="18" customHeight="1" x14ac:dyDescent="0.35">
      <c r="A912" s="39"/>
      <c r="B912" s="39"/>
      <c r="C912" s="15"/>
      <c r="D912" s="87"/>
      <c r="E912" s="38"/>
      <c r="F912" s="15"/>
      <c r="G912" s="38"/>
      <c r="H912" s="39"/>
      <c r="I912" s="38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ht="18" customHeight="1" x14ac:dyDescent="0.35">
      <c r="A913" s="39"/>
      <c r="B913" s="39"/>
      <c r="C913" s="15"/>
      <c r="D913" s="87"/>
      <c r="E913" s="38"/>
      <c r="F913" s="15"/>
      <c r="G913" s="38"/>
      <c r="H913" s="39"/>
      <c r="I913" s="38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ht="18" customHeight="1" x14ac:dyDescent="0.35">
      <c r="A914" s="39"/>
      <c r="B914" s="39"/>
      <c r="C914" s="15"/>
      <c r="D914" s="87"/>
      <c r="E914" s="38"/>
      <c r="F914" s="15"/>
      <c r="G914" s="38"/>
      <c r="H914" s="39"/>
      <c r="I914" s="38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ht="18" customHeight="1" x14ac:dyDescent="0.35">
      <c r="A915" s="39"/>
      <c r="B915" s="39"/>
      <c r="C915" s="15"/>
      <c r="D915" s="87"/>
      <c r="E915" s="38"/>
      <c r="F915" s="15"/>
      <c r="G915" s="38"/>
      <c r="H915" s="39"/>
      <c r="I915" s="38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ht="18" customHeight="1" x14ac:dyDescent="0.35">
      <c r="A916" s="39"/>
      <c r="B916" s="39"/>
      <c r="C916" s="15"/>
      <c r="D916" s="87"/>
      <c r="E916" s="38"/>
      <c r="F916" s="15"/>
      <c r="G916" s="38"/>
      <c r="H916" s="39"/>
      <c r="I916" s="38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ht="18" customHeight="1" x14ac:dyDescent="0.35">
      <c r="A917" s="39"/>
      <c r="B917" s="39"/>
      <c r="C917" s="15"/>
      <c r="D917" s="87"/>
      <c r="E917" s="38"/>
      <c r="F917" s="15"/>
      <c r="G917" s="38"/>
      <c r="H917" s="39"/>
      <c r="I917" s="38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ht="18" customHeight="1" x14ac:dyDescent="0.35">
      <c r="A918" s="39"/>
      <c r="B918" s="39"/>
      <c r="C918" s="15"/>
      <c r="D918" s="87"/>
      <c r="E918" s="38"/>
      <c r="F918" s="15"/>
      <c r="G918" s="38"/>
      <c r="H918" s="39"/>
      <c r="I918" s="38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ht="18" customHeight="1" x14ac:dyDescent="0.35">
      <c r="A919" s="39"/>
      <c r="B919" s="39"/>
      <c r="C919" s="15"/>
      <c r="D919" s="87"/>
      <c r="E919" s="38"/>
      <c r="F919" s="15"/>
      <c r="G919" s="38"/>
      <c r="H919" s="39"/>
      <c r="I919" s="38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ht="18" customHeight="1" x14ac:dyDescent="0.35">
      <c r="A920" s="39"/>
      <c r="B920" s="39"/>
      <c r="C920" s="15"/>
      <c r="D920" s="87"/>
      <c r="E920" s="38"/>
      <c r="F920" s="15"/>
      <c r="G920" s="38"/>
      <c r="H920" s="39"/>
      <c r="I920" s="38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ht="18" customHeight="1" x14ac:dyDescent="0.35">
      <c r="A921" s="39"/>
      <c r="B921" s="39"/>
      <c r="C921" s="15"/>
      <c r="D921" s="87"/>
      <c r="E921" s="38"/>
      <c r="F921" s="15"/>
      <c r="G921" s="38"/>
      <c r="H921" s="39"/>
      <c r="I921" s="38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ht="18" customHeight="1" x14ac:dyDescent="0.35">
      <c r="A922" s="39"/>
      <c r="B922" s="39"/>
      <c r="C922" s="15"/>
      <c r="D922" s="87"/>
      <c r="E922" s="38"/>
      <c r="F922" s="15"/>
      <c r="G922" s="38"/>
      <c r="H922" s="39"/>
      <c r="I922" s="38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ht="18" customHeight="1" x14ac:dyDescent="0.35">
      <c r="A923" s="39"/>
      <c r="B923" s="39"/>
      <c r="C923" s="15"/>
      <c r="D923" s="87"/>
      <c r="E923" s="38"/>
      <c r="F923" s="15"/>
      <c r="G923" s="38"/>
      <c r="H923" s="39"/>
      <c r="I923" s="38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ht="18" customHeight="1" x14ac:dyDescent="0.35">
      <c r="A924" s="39"/>
      <c r="B924" s="39"/>
      <c r="C924" s="15"/>
      <c r="D924" s="87"/>
      <c r="E924" s="38"/>
      <c r="F924" s="15"/>
      <c r="G924" s="38"/>
      <c r="H924" s="39"/>
      <c r="I924" s="38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ht="18" customHeight="1" x14ac:dyDescent="0.35">
      <c r="A925" s="39"/>
      <c r="B925" s="39"/>
      <c r="C925" s="15"/>
      <c r="D925" s="87"/>
      <c r="E925" s="38"/>
      <c r="F925" s="15"/>
      <c r="G925" s="38"/>
      <c r="H925" s="39"/>
      <c r="I925" s="38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ht="18" customHeight="1" x14ac:dyDescent="0.35">
      <c r="A926" s="39"/>
      <c r="B926" s="39"/>
      <c r="C926" s="15"/>
      <c r="D926" s="87"/>
      <c r="E926" s="38"/>
      <c r="F926" s="15"/>
      <c r="G926" s="38"/>
      <c r="H926" s="39"/>
      <c r="I926" s="38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ht="18" customHeight="1" x14ac:dyDescent="0.35">
      <c r="A927" s="39"/>
      <c r="B927" s="39"/>
      <c r="C927" s="15"/>
      <c r="D927" s="87"/>
      <c r="E927" s="38"/>
      <c r="F927" s="15"/>
      <c r="G927" s="38"/>
      <c r="H927" s="39"/>
      <c r="I927" s="38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ht="18" customHeight="1" x14ac:dyDescent="0.35">
      <c r="A928" s="39"/>
      <c r="B928" s="39"/>
      <c r="C928" s="15"/>
      <c r="D928" s="87"/>
      <c r="E928" s="38"/>
      <c r="F928" s="15"/>
      <c r="G928" s="38"/>
      <c r="H928" s="39"/>
      <c r="I928" s="38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ht="18" customHeight="1" x14ac:dyDescent="0.35">
      <c r="A929" s="39"/>
      <c r="B929" s="39"/>
      <c r="C929" s="15"/>
      <c r="D929" s="87"/>
      <c r="E929" s="38"/>
      <c r="F929" s="15"/>
      <c r="G929" s="38"/>
      <c r="H929" s="39"/>
      <c r="I929" s="38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ht="18" customHeight="1" x14ac:dyDescent="0.35">
      <c r="A930" s="39"/>
      <c r="B930" s="39"/>
      <c r="C930" s="15"/>
      <c r="D930" s="87"/>
      <c r="E930" s="38"/>
      <c r="F930" s="15"/>
      <c r="G930" s="38"/>
      <c r="H930" s="39"/>
      <c r="I930" s="38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ht="18" customHeight="1" x14ac:dyDescent="0.35">
      <c r="A931" s="39"/>
      <c r="B931" s="39"/>
      <c r="C931" s="15"/>
      <c r="D931" s="87"/>
      <c r="E931" s="38"/>
      <c r="F931" s="15"/>
      <c r="G931" s="38"/>
      <c r="H931" s="39"/>
      <c r="I931" s="38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ht="18" customHeight="1" x14ac:dyDescent="0.35">
      <c r="A932" s="39"/>
      <c r="B932" s="39"/>
      <c r="C932" s="15"/>
      <c r="D932" s="87"/>
      <c r="E932" s="38"/>
      <c r="F932" s="15"/>
      <c r="G932" s="38"/>
      <c r="H932" s="39"/>
      <c r="I932" s="38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ht="18" customHeight="1" x14ac:dyDescent="0.35">
      <c r="A933" s="39"/>
      <c r="B933" s="39"/>
      <c r="C933" s="15"/>
      <c r="D933" s="87"/>
      <c r="E933" s="38"/>
      <c r="F933" s="15"/>
      <c r="G933" s="38"/>
      <c r="H933" s="39"/>
      <c r="I933" s="38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ht="18" customHeight="1" x14ac:dyDescent="0.35">
      <c r="A934" s="39"/>
      <c r="B934" s="39"/>
      <c r="C934" s="15"/>
      <c r="D934" s="87"/>
      <c r="E934" s="38"/>
      <c r="F934" s="15"/>
      <c r="G934" s="38"/>
      <c r="H934" s="39"/>
      <c r="I934" s="38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ht="18" customHeight="1" x14ac:dyDescent="0.35">
      <c r="A935" s="39"/>
      <c r="B935" s="39"/>
      <c r="C935" s="15"/>
      <c r="D935" s="87"/>
      <c r="E935" s="38"/>
      <c r="F935" s="15"/>
      <c r="G935" s="38"/>
      <c r="H935" s="39"/>
      <c r="I935" s="38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ht="18" customHeight="1" x14ac:dyDescent="0.35">
      <c r="A936" s="39"/>
      <c r="B936" s="39"/>
      <c r="C936" s="15"/>
      <c r="D936" s="87"/>
      <c r="E936" s="38"/>
      <c r="F936" s="15"/>
      <c r="G936" s="38"/>
      <c r="H936" s="39"/>
      <c r="I936" s="38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ht="18" customHeight="1" x14ac:dyDescent="0.35">
      <c r="A937" s="39"/>
      <c r="B937" s="39"/>
      <c r="C937" s="15"/>
      <c r="D937" s="87"/>
      <c r="E937" s="38"/>
      <c r="F937" s="15"/>
      <c r="G937" s="38"/>
      <c r="H937" s="39"/>
      <c r="I937" s="38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ht="18" customHeight="1" x14ac:dyDescent="0.35">
      <c r="A938" s="39"/>
      <c r="B938" s="39"/>
      <c r="C938" s="15"/>
      <c r="D938" s="87"/>
      <c r="E938" s="38"/>
      <c r="F938" s="15"/>
      <c r="G938" s="38"/>
      <c r="H938" s="39"/>
      <c r="I938" s="38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ht="18" customHeight="1" x14ac:dyDescent="0.35">
      <c r="A939" s="39"/>
      <c r="B939" s="39"/>
      <c r="C939" s="15"/>
      <c r="D939" s="87"/>
      <c r="E939" s="38"/>
      <c r="F939" s="15"/>
      <c r="G939" s="38"/>
      <c r="H939" s="39"/>
      <c r="I939" s="38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ht="18" customHeight="1" x14ac:dyDescent="0.35">
      <c r="A940" s="39"/>
      <c r="B940" s="39"/>
      <c r="C940" s="15"/>
      <c r="D940" s="87"/>
      <c r="E940" s="38"/>
      <c r="F940" s="15"/>
      <c r="G940" s="38"/>
      <c r="H940" s="39"/>
      <c r="I940" s="38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ht="18" customHeight="1" x14ac:dyDescent="0.35">
      <c r="A941" s="39"/>
      <c r="B941" s="39"/>
      <c r="C941" s="15"/>
      <c r="D941" s="87"/>
      <c r="E941" s="38"/>
      <c r="F941" s="15"/>
      <c r="G941" s="38"/>
      <c r="H941" s="39"/>
      <c r="I941" s="38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ht="18" customHeight="1" x14ac:dyDescent="0.35">
      <c r="A942" s="39"/>
      <c r="B942" s="39"/>
      <c r="C942" s="15"/>
      <c r="D942" s="87"/>
      <c r="E942" s="38"/>
      <c r="F942" s="15"/>
      <c r="G942" s="38"/>
      <c r="H942" s="39"/>
      <c r="I942" s="38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ht="18" customHeight="1" x14ac:dyDescent="0.35">
      <c r="A943" s="39"/>
      <c r="B943" s="39"/>
      <c r="C943" s="15"/>
      <c r="D943" s="87"/>
      <c r="E943" s="38"/>
      <c r="F943" s="15"/>
      <c r="G943" s="38"/>
      <c r="H943" s="39"/>
      <c r="I943" s="38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ht="18" customHeight="1" x14ac:dyDescent="0.35">
      <c r="A944" s="39"/>
      <c r="B944" s="39"/>
      <c r="C944" s="15"/>
      <c r="D944" s="87"/>
      <c r="E944" s="38"/>
      <c r="F944" s="15"/>
      <c r="G944" s="38"/>
      <c r="H944" s="39"/>
      <c r="I944" s="38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ht="18" customHeight="1" x14ac:dyDescent="0.35">
      <c r="A945" s="39"/>
      <c r="B945" s="39"/>
      <c r="C945" s="15"/>
      <c r="D945" s="87"/>
      <c r="E945" s="38"/>
      <c r="F945" s="15"/>
      <c r="G945" s="38"/>
      <c r="H945" s="39"/>
      <c r="I945" s="38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ht="18" customHeight="1" x14ac:dyDescent="0.35">
      <c r="A946" s="39"/>
      <c r="B946" s="39"/>
      <c r="C946" s="15"/>
      <c r="D946" s="87"/>
      <c r="E946" s="38"/>
      <c r="F946" s="15"/>
      <c r="G946" s="38"/>
      <c r="H946" s="39"/>
      <c r="I946" s="38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ht="18" customHeight="1" x14ac:dyDescent="0.35">
      <c r="A947" s="39"/>
      <c r="B947" s="39"/>
      <c r="C947" s="15"/>
      <c r="D947" s="87"/>
      <c r="E947" s="38"/>
      <c r="F947" s="15"/>
      <c r="G947" s="38"/>
      <c r="H947" s="39"/>
      <c r="I947" s="38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ht="18" customHeight="1" x14ac:dyDescent="0.35">
      <c r="A948" s="39"/>
      <c r="B948" s="39"/>
      <c r="C948" s="15"/>
      <c r="D948" s="87"/>
      <c r="E948" s="38"/>
      <c r="F948" s="15"/>
      <c r="G948" s="38"/>
      <c r="H948" s="39"/>
      <c r="I948" s="38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ht="18" customHeight="1" x14ac:dyDescent="0.35">
      <c r="A949" s="39"/>
      <c r="B949" s="39"/>
      <c r="C949" s="15"/>
      <c r="D949" s="87"/>
      <c r="E949" s="38"/>
      <c r="F949" s="15"/>
      <c r="G949" s="38"/>
      <c r="H949" s="39"/>
      <c r="I949" s="38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ht="18" customHeight="1" x14ac:dyDescent="0.35">
      <c r="A950" s="39"/>
      <c r="B950" s="39"/>
      <c r="C950" s="15"/>
      <c r="D950" s="87"/>
      <c r="E950" s="38"/>
      <c r="F950" s="15"/>
      <c r="G950" s="38"/>
      <c r="H950" s="39"/>
      <c r="I950" s="38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ht="18" customHeight="1" x14ac:dyDescent="0.35">
      <c r="A951" s="39"/>
      <c r="B951" s="39"/>
      <c r="C951" s="15"/>
      <c r="D951" s="87"/>
      <c r="E951" s="38"/>
      <c r="F951" s="15"/>
      <c r="G951" s="38"/>
      <c r="H951" s="39"/>
      <c r="I951" s="38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ht="18" customHeight="1" x14ac:dyDescent="0.35">
      <c r="A952" s="39"/>
      <c r="B952" s="39"/>
      <c r="C952" s="15"/>
      <c r="D952" s="87"/>
      <c r="E952" s="38"/>
      <c r="F952" s="15"/>
      <c r="G952" s="38"/>
      <c r="H952" s="39"/>
      <c r="I952" s="38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ht="18" customHeight="1" x14ac:dyDescent="0.35">
      <c r="A953" s="39"/>
      <c r="B953" s="39"/>
      <c r="C953" s="15"/>
      <c r="D953" s="87"/>
      <c r="E953" s="38"/>
      <c r="F953" s="15"/>
      <c r="G953" s="38"/>
      <c r="H953" s="39"/>
      <c r="I953" s="38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ht="18" customHeight="1" x14ac:dyDescent="0.35">
      <c r="A954" s="39"/>
      <c r="B954" s="39"/>
      <c r="C954" s="15"/>
      <c r="D954" s="87"/>
      <c r="E954" s="38"/>
      <c r="F954" s="15"/>
      <c r="G954" s="38"/>
      <c r="H954" s="39"/>
      <c r="I954" s="38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ht="18" customHeight="1" x14ac:dyDescent="0.35">
      <c r="A955" s="39"/>
      <c r="B955" s="39"/>
      <c r="C955" s="15"/>
      <c r="D955" s="87"/>
      <c r="E955" s="38"/>
      <c r="F955" s="15"/>
      <c r="G955" s="38"/>
      <c r="H955" s="39"/>
      <c r="I955" s="38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ht="18" customHeight="1" x14ac:dyDescent="0.35">
      <c r="A956" s="39"/>
      <c r="B956" s="39"/>
      <c r="C956" s="15"/>
      <c r="D956" s="87"/>
      <c r="E956" s="38"/>
      <c r="F956" s="15"/>
      <c r="G956" s="38"/>
      <c r="H956" s="39"/>
      <c r="I956" s="38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ht="18" customHeight="1" x14ac:dyDescent="0.35">
      <c r="A957" s="39"/>
      <c r="B957" s="39"/>
      <c r="C957" s="15"/>
      <c r="D957" s="87"/>
      <c r="E957" s="38"/>
      <c r="F957" s="15"/>
      <c r="G957" s="38"/>
      <c r="H957" s="39"/>
      <c r="I957" s="38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ht="18" customHeight="1" x14ac:dyDescent="0.35">
      <c r="A958" s="39"/>
      <c r="B958" s="39"/>
      <c r="C958" s="15"/>
      <c r="D958" s="87"/>
      <c r="E958" s="38"/>
      <c r="F958" s="15"/>
      <c r="G958" s="38"/>
      <c r="H958" s="39"/>
      <c r="I958" s="38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ht="18" customHeight="1" x14ac:dyDescent="0.35">
      <c r="A959" s="39"/>
      <c r="B959" s="39"/>
      <c r="C959" s="15"/>
      <c r="D959" s="87"/>
      <c r="E959" s="38"/>
      <c r="F959" s="15"/>
      <c r="G959" s="38"/>
      <c r="H959" s="39"/>
      <c r="I959" s="38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ht="18" customHeight="1" x14ac:dyDescent="0.35">
      <c r="A960" s="39"/>
      <c r="B960" s="39"/>
      <c r="C960" s="15"/>
      <c r="D960" s="87"/>
      <c r="E960" s="38"/>
      <c r="F960" s="15"/>
      <c r="G960" s="38"/>
      <c r="H960" s="39"/>
      <c r="I960" s="38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ht="18" customHeight="1" x14ac:dyDescent="0.35">
      <c r="A961" s="39"/>
      <c r="B961" s="39"/>
      <c r="C961" s="15"/>
      <c r="D961" s="87"/>
      <c r="E961" s="38"/>
      <c r="F961" s="15"/>
      <c r="G961" s="38"/>
      <c r="H961" s="39"/>
      <c r="I961" s="38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ht="18" customHeight="1" x14ac:dyDescent="0.35">
      <c r="A962" s="39"/>
      <c r="B962" s="39"/>
      <c r="C962" s="15"/>
      <c r="D962" s="87"/>
      <c r="E962" s="38"/>
      <c r="F962" s="15"/>
      <c r="G962" s="38"/>
      <c r="H962" s="39"/>
      <c r="I962" s="38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ht="18" customHeight="1" x14ac:dyDescent="0.35">
      <c r="A963" s="39"/>
      <c r="B963" s="39"/>
      <c r="C963" s="15"/>
      <c r="D963" s="87"/>
      <c r="E963" s="38"/>
      <c r="F963" s="15"/>
      <c r="G963" s="38"/>
      <c r="H963" s="39"/>
      <c r="I963" s="38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ht="18" customHeight="1" x14ac:dyDescent="0.35">
      <c r="A964" s="39"/>
      <c r="B964" s="39"/>
      <c r="C964" s="15"/>
      <c r="D964" s="87"/>
      <c r="E964" s="38"/>
      <c r="F964" s="15"/>
      <c r="G964" s="38"/>
      <c r="H964" s="39"/>
      <c r="I964" s="38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ht="18" customHeight="1" x14ac:dyDescent="0.35">
      <c r="A965" s="39"/>
      <c r="B965" s="39"/>
      <c r="C965" s="15"/>
      <c r="D965" s="87"/>
      <c r="E965" s="38"/>
      <c r="F965" s="15"/>
      <c r="G965" s="38"/>
      <c r="H965" s="39"/>
      <c r="I965" s="38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ht="18" customHeight="1" x14ac:dyDescent="0.35">
      <c r="A966" s="39"/>
      <c r="B966" s="39"/>
      <c r="C966" s="15"/>
      <c r="D966" s="87"/>
      <c r="E966" s="38"/>
      <c r="F966" s="15"/>
      <c r="G966" s="38"/>
      <c r="H966" s="39"/>
      <c r="I966" s="38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ht="18" customHeight="1" x14ac:dyDescent="0.35">
      <c r="A967" s="39"/>
      <c r="B967" s="39"/>
      <c r="C967" s="15"/>
      <c r="D967" s="87"/>
      <c r="E967" s="38"/>
      <c r="F967" s="15"/>
      <c r="G967" s="38"/>
      <c r="H967" s="39"/>
      <c r="I967" s="38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ht="18" customHeight="1" x14ac:dyDescent="0.35">
      <c r="A968" s="39"/>
      <c r="B968" s="39"/>
      <c r="C968" s="15"/>
      <c r="D968" s="87"/>
      <c r="E968" s="38"/>
      <c r="F968" s="15"/>
      <c r="G968" s="38"/>
      <c r="H968" s="39"/>
      <c r="I968" s="38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ht="18" customHeight="1" x14ac:dyDescent="0.35">
      <c r="A969" s="39"/>
      <c r="B969" s="39"/>
      <c r="C969" s="15"/>
      <c r="D969" s="87"/>
      <c r="E969" s="38"/>
      <c r="F969" s="15"/>
      <c r="G969" s="38"/>
      <c r="H969" s="39"/>
      <c r="I969" s="38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ht="18" customHeight="1" x14ac:dyDescent="0.35">
      <c r="A970" s="39"/>
      <c r="B970" s="39"/>
      <c r="C970" s="15"/>
      <c r="D970" s="87"/>
      <c r="E970" s="38"/>
      <c r="F970" s="15"/>
      <c r="G970" s="38"/>
      <c r="H970" s="39"/>
      <c r="I970" s="38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ht="18" customHeight="1" x14ac:dyDescent="0.35">
      <c r="A971" s="39"/>
      <c r="B971" s="39"/>
      <c r="C971" s="15"/>
      <c r="D971" s="87"/>
      <c r="E971" s="38"/>
      <c r="F971" s="15"/>
      <c r="G971" s="38"/>
      <c r="H971" s="39"/>
      <c r="I971" s="38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ht="18" customHeight="1" x14ac:dyDescent="0.35">
      <c r="A972" s="39"/>
      <c r="B972" s="39"/>
      <c r="C972" s="15"/>
      <c r="D972" s="87"/>
      <c r="E972" s="38"/>
      <c r="F972" s="15"/>
      <c r="G972" s="38"/>
      <c r="H972" s="39"/>
      <c r="I972" s="38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ht="18" customHeight="1" x14ac:dyDescent="0.35">
      <c r="A973" s="39"/>
      <c r="B973" s="39"/>
      <c r="C973" s="15"/>
      <c r="D973" s="87"/>
      <c r="E973" s="38"/>
      <c r="F973" s="15"/>
      <c r="G973" s="38"/>
      <c r="H973" s="39"/>
      <c r="I973" s="38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ht="18" customHeight="1" x14ac:dyDescent="0.35">
      <c r="A974" s="39"/>
      <c r="B974" s="39"/>
      <c r="C974" s="15"/>
      <c r="D974" s="87"/>
      <c r="E974" s="38"/>
      <c r="F974" s="15"/>
      <c r="G974" s="38"/>
      <c r="H974" s="39"/>
      <c r="I974" s="38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ht="18" customHeight="1" x14ac:dyDescent="0.35">
      <c r="A975" s="39"/>
      <c r="B975" s="39"/>
      <c r="C975" s="15"/>
      <c r="D975" s="87"/>
      <c r="E975" s="38"/>
      <c r="F975" s="15"/>
      <c r="G975" s="38"/>
      <c r="H975" s="39"/>
      <c r="I975" s="38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 ht="18" customHeight="1" x14ac:dyDescent="0.35">
      <c r="A976" s="39"/>
      <c r="B976" s="39"/>
      <c r="C976" s="15"/>
      <c r="D976" s="87"/>
      <c r="E976" s="38"/>
      <c r="F976" s="15"/>
      <c r="G976" s="38"/>
      <c r="H976" s="39"/>
      <c r="I976" s="38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 ht="18" customHeight="1" x14ac:dyDescent="0.35">
      <c r="A977" s="39"/>
      <c r="B977" s="39"/>
      <c r="C977" s="15"/>
      <c r="D977" s="87"/>
      <c r="E977" s="38"/>
      <c r="F977" s="15"/>
      <c r="G977" s="38"/>
      <c r="H977" s="39"/>
      <c r="I977" s="38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 ht="18" customHeight="1" x14ac:dyDescent="0.35">
      <c r="A978" s="39"/>
      <c r="B978" s="39"/>
      <c r="C978" s="15"/>
      <c r="D978" s="87"/>
      <c r="E978" s="38"/>
      <c r="F978" s="15"/>
      <c r="G978" s="38"/>
      <c r="H978" s="39"/>
      <c r="I978" s="38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 ht="18" customHeight="1" x14ac:dyDescent="0.35">
      <c r="A979" s="39"/>
      <c r="B979" s="39"/>
      <c r="C979" s="15"/>
      <c r="D979" s="87"/>
      <c r="E979" s="38"/>
      <c r="F979" s="15"/>
      <c r="G979" s="38"/>
      <c r="H979" s="39"/>
      <c r="I979" s="38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 ht="18" customHeight="1" x14ac:dyDescent="0.35">
      <c r="A980" s="39"/>
      <c r="B980" s="39"/>
      <c r="C980" s="15"/>
      <c r="D980" s="87"/>
      <c r="E980" s="38"/>
      <c r="F980" s="15"/>
      <c r="G980" s="38"/>
      <c r="H980" s="39"/>
      <c r="I980" s="38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 ht="18" customHeight="1" x14ac:dyDescent="0.35">
      <c r="A981" s="39"/>
      <c r="B981" s="39"/>
      <c r="C981" s="15"/>
      <c r="D981" s="87"/>
      <c r="E981" s="38"/>
      <c r="F981" s="15"/>
      <c r="G981" s="38"/>
      <c r="H981" s="39"/>
      <c r="I981" s="38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 ht="18" customHeight="1" x14ac:dyDescent="0.35">
      <c r="A982" s="39"/>
      <c r="B982" s="39"/>
      <c r="C982" s="15"/>
      <c r="D982" s="87"/>
      <c r="E982" s="38"/>
      <c r="F982" s="15"/>
      <c r="G982" s="38"/>
      <c r="H982" s="39"/>
      <c r="I982" s="38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 ht="18" customHeight="1" x14ac:dyDescent="0.35">
      <c r="A983" s="39"/>
      <c r="B983" s="39"/>
      <c r="C983" s="15"/>
      <c r="D983" s="87"/>
      <c r="E983" s="38"/>
      <c r="F983" s="15"/>
      <c r="G983" s="38"/>
      <c r="H983" s="39"/>
      <c r="I983" s="38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 ht="18" customHeight="1" x14ac:dyDescent="0.35">
      <c r="A984" s="39"/>
      <c r="B984" s="39"/>
      <c r="C984" s="15"/>
      <c r="D984" s="87"/>
      <c r="E984" s="38"/>
      <c r="F984" s="15"/>
      <c r="G984" s="38"/>
      <c r="H984" s="39"/>
      <c r="I984" s="38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 ht="18" customHeight="1" x14ac:dyDescent="0.35">
      <c r="A985" s="39"/>
      <c r="B985" s="39"/>
      <c r="C985" s="15"/>
      <c r="D985" s="87"/>
      <c r="E985" s="38"/>
      <c r="F985" s="15"/>
      <c r="G985" s="38"/>
      <c r="H985" s="39"/>
      <c r="I985" s="38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 ht="18" customHeight="1" x14ac:dyDescent="0.35">
      <c r="A986" s="39"/>
      <c r="B986" s="39"/>
      <c r="C986" s="15"/>
      <c r="D986" s="87"/>
      <c r="E986" s="38"/>
      <c r="F986" s="15"/>
      <c r="G986" s="38"/>
      <c r="H986" s="39"/>
      <c r="I986" s="38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 ht="18" customHeight="1" x14ac:dyDescent="0.35">
      <c r="A987" s="39"/>
      <c r="B987" s="39"/>
      <c r="C987" s="15"/>
      <c r="D987" s="87"/>
      <c r="E987" s="38"/>
      <c r="F987" s="15"/>
      <c r="G987" s="38"/>
      <c r="H987" s="39"/>
      <c r="I987" s="38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 ht="18" customHeight="1" x14ac:dyDescent="0.35">
      <c r="A988" s="39"/>
      <c r="B988" s="39"/>
      <c r="C988" s="15"/>
      <c r="D988" s="87"/>
      <c r="E988" s="38"/>
      <c r="F988" s="15"/>
      <c r="G988" s="38"/>
      <c r="H988" s="39"/>
      <c r="I988" s="38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 ht="18" customHeight="1" x14ac:dyDescent="0.35">
      <c r="A989" s="39"/>
      <c r="B989" s="39"/>
      <c r="C989" s="15"/>
      <c r="D989" s="87"/>
      <c r="E989" s="38"/>
      <c r="F989" s="15"/>
      <c r="G989" s="38"/>
      <c r="H989" s="39"/>
      <c r="I989" s="38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 ht="18" customHeight="1" x14ac:dyDescent="0.35">
      <c r="A990" s="39"/>
      <c r="B990" s="39"/>
      <c r="C990" s="15"/>
      <c r="D990" s="87"/>
      <c r="E990" s="38"/>
      <c r="F990" s="15"/>
      <c r="G990" s="38"/>
      <c r="H990" s="39"/>
      <c r="I990" s="38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:27" ht="18" customHeight="1" x14ac:dyDescent="0.35">
      <c r="A991" s="39"/>
      <c r="B991" s="39"/>
      <c r="C991" s="15"/>
      <c r="D991" s="87"/>
      <c r="E991" s="38"/>
      <c r="F991" s="15"/>
      <c r="G991" s="38"/>
      <c r="H991" s="39"/>
      <c r="I991" s="38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:27" ht="18" customHeight="1" x14ac:dyDescent="0.35">
      <c r="A992" s="39"/>
      <c r="B992" s="39"/>
      <c r="C992" s="15"/>
      <c r="D992" s="87"/>
      <c r="E992" s="38"/>
      <c r="F992" s="15"/>
      <c r="G992" s="38"/>
      <c r="H992" s="39"/>
      <c r="I992" s="38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:27" ht="18" customHeight="1" x14ac:dyDescent="0.35">
      <c r="A993" s="39"/>
      <c r="B993" s="39"/>
      <c r="C993" s="15"/>
      <c r="D993" s="87"/>
      <c r="E993" s="38"/>
      <c r="F993" s="15"/>
      <c r="G993" s="38"/>
      <c r="H993" s="39"/>
      <c r="I993" s="38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:27" ht="18" customHeight="1" x14ac:dyDescent="0.35">
      <c r="A994" s="39"/>
      <c r="B994" s="39"/>
      <c r="C994" s="15"/>
      <c r="D994" s="87"/>
      <c r="E994" s="38"/>
      <c r="F994" s="15"/>
      <c r="G994" s="38"/>
      <c r="H994" s="39"/>
      <c r="I994" s="38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:27" ht="18" customHeight="1" x14ac:dyDescent="0.35">
      <c r="A995" s="39"/>
      <c r="B995" s="39"/>
      <c r="C995" s="15"/>
      <c r="D995" s="87"/>
      <c r="E995" s="38"/>
      <c r="F995" s="15"/>
      <c r="G995" s="38"/>
      <c r="H995" s="39"/>
      <c r="I995" s="38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1:27" ht="18" customHeight="1" x14ac:dyDescent="0.35">
      <c r="A996" s="39"/>
      <c r="B996" s="39"/>
      <c r="C996" s="15"/>
      <c r="D996" s="87"/>
      <c r="E996" s="38"/>
      <c r="F996" s="15"/>
      <c r="G996" s="38"/>
      <c r="H996" s="39"/>
      <c r="I996" s="38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1:27" ht="18" customHeight="1" x14ac:dyDescent="0.35">
      <c r="A997" s="39"/>
      <c r="B997" s="39"/>
      <c r="C997" s="15"/>
      <c r="D997" s="87"/>
      <c r="E997" s="38"/>
      <c r="F997" s="15"/>
      <c r="G997" s="38"/>
      <c r="H997" s="39"/>
      <c r="I997" s="38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1:27" ht="18" customHeight="1" x14ac:dyDescent="0.35">
      <c r="A998" s="39"/>
      <c r="B998" s="39"/>
      <c r="C998" s="15"/>
      <c r="D998" s="87"/>
      <c r="E998" s="38"/>
      <c r="F998" s="15"/>
      <c r="G998" s="38"/>
      <c r="H998" s="39"/>
      <c r="I998" s="38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1:27" ht="18" customHeight="1" x14ac:dyDescent="0.35">
      <c r="A999" s="39"/>
      <c r="B999" s="39"/>
      <c r="C999" s="15"/>
      <c r="D999" s="87"/>
      <c r="E999" s="38"/>
      <c r="F999" s="15"/>
      <c r="G999" s="38"/>
      <c r="H999" s="39"/>
      <c r="I999" s="38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spans="1:27" ht="18" customHeight="1" x14ac:dyDescent="0.35">
      <c r="A1000" s="39"/>
      <c r="B1000" s="39"/>
      <c r="C1000" s="15"/>
      <c r="D1000" s="87"/>
      <c r="E1000" s="38"/>
      <c r="F1000" s="15"/>
      <c r="G1000" s="38"/>
      <c r="H1000" s="39"/>
      <c r="I1000" s="38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 spans="1:27" ht="18" customHeight="1" x14ac:dyDescent="0.35">
      <c r="A1001" s="39"/>
      <c r="B1001" s="39"/>
      <c r="C1001" s="15"/>
      <c r="D1001" s="87"/>
      <c r="E1001" s="38"/>
      <c r="F1001" s="15"/>
      <c r="G1001" s="38"/>
      <c r="H1001" s="39"/>
      <c r="I1001" s="38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</sheetData>
  <hyperlinks>
    <hyperlink ref="G24" r:id="rId1" display="https://sarathi.parivahan.gov.in/sarathiservicecov28/applViewStages.do?applNum=1083441220&amp;dateOfBirth=10-01-1988" xr:uid="{00000000-0004-0000-0900-000000000000}"/>
    <hyperlink ref="G35" r:id="rId2" display="https://sarathi.parivahan.gov.in/sarathiservicecov3/applViewStages.do?applNum=3352360720&amp;dateOfBirth=12-09-1979" xr:uid="{00000000-0004-0000-0900-000001000000}"/>
    <hyperlink ref="F38" r:id="rId3" xr:uid="{00000000-0004-0000-0900-000002000000}"/>
    <hyperlink ref="F39" r:id="rId4" xr:uid="{00000000-0004-0000-0900-000003000000}"/>
    <hyperlink ref="G40" r:id="rId5" display="https://sarathi.parivahan.gov.in/sarathiservicecov3/applViewStages.do?applNum=3352316220&amp;dateOfBirth=01-01-1975" xr:uid="{00000000-0004-0000-0900-000004000000}"/>
    <hyperlink ref="G45" r:id="rId6" display="https://sarathi.parivahan.gov.in/sarathiservicecov19/applViewStages.do?applNum=3352289120&amp;dateOfBirth=01-12-1994" xr:uid="{00000000-0004-0000-0900-000005000000}"/>
    <hyperlink ref="F136" r:id="rId7" display="swansinweb@" xr:uid="{00000000-0004-0000-0900-000006000000}"/>
    <hyperlink ref="G121" r:id="rId8" display="https://sarathi.parivahan.gov.in/sarathiservice/applViewStages.do" xr:uid="{00000000-0004-0000-0900-000007000000}"/>
    <hyperlink ref="G150" r:id="rId9" display="https://sarathi.parivahan.gov.in/sarathiservice/applViewStages.do" xr:uid="{969CFFEB-2435-4520-95EE-ED022DAF3239}"/>
    <hyperlink ref="B189" r:id="rId10" display="https://sarathi.parivahan.gov.in/sarathiservice/applViewStages.do" xr:uid="{078C0A5C-95FC-4680-83C7-AE6C4F4CA101}"/>
    <hyperlink ref="B259" r:id="rId11" display="https://sarathi.parivahan.gov.in/sarathiservice/applViewStages.do" xr:uid="{9DCA809E-CC00-4FC7-A8D4-BCE0E659AB67}"/>
    <hyperlink ref="B314" r:id="rId12" display="https://sarathi.parivahan.gov.in/sarathiservice/applViewStages.do" xr:uid="{4B621613-F02D-44EE-8C9E-98601CBDCBFC}"/>
    <hyperlink ref="B380" r:id="rId13" display="https://sarathi.parivahan.gov.in/sarathiservice/applViewStages.do" xr:uid="{82F6CE36-8AE0-404E-8318-06DD9D6190DE}"/>
  </hyperlinks>
  <pageMargins left="0.7" right="0.7" top="0.75" bottom="0.75" header="0" footer="0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rates</vt:lpstr>
      <vt:lpstr>PAN DETAIL</vt:lpstr>
      <vt:lpstr>Passport</vt:lpstr>
      <vt:lpstr>ITR</vt:lpstr>
      <vt:lpstr>DL</vt:lpstr>
      <vt:lpstr>rates!Z_17BB0635_933F_4031_AA1B_02B47946C686_.wvu.Cols</vt:lpstr>
      <vt:lpstr>rates!Z_17BB0635_933F_4031_AA1B_02B47946C686_.wvu.Rows</vt:lpstr>
      <vt:lpstr>rates!Z_1DB3B8BB_FF13_43E4_91E2_4D5FE1537F47_.wvu.Cols</vt:lpstr>
      <vt:lpstr>rates!Z_1DB3B8BB_FF13_43E4_91E2_4D5FE1537F47_.wvu.Rows</vt:lpstr>
      <vt:lpstr>rates!Z_3AED7B35_86CA_4B6C_A2EC_CD4DE422B896_.wvu.Rows</vt:lpstr>
      <vt:lpstr>rates!Z_5436A929_FCD6_4CC8_AC5F_737E2C2C3552_.wvu.Rows</vt:lpstr>
      <vt:lpstr>rates!Z_76DB48ED_F9D5_46EE_8B68_22302006932B_.wvu.Cols</vt:lpstr>
      <vt:lpstr>rates!Z_76DB48ED_F9D5_46EE_8B68_22302006932B_.wvu.Rows</vt:lpstr>
      <vt:lpstr>rates!Z_9FBD6FCD_ABF0_44CA_B044_9B9EEA555F2A_.wvu.Cols</vt:lpstr>
      <vt:lpstr>rates!Z_9FBD6FCD_ABF0_44CA_B044_9B9EEA555F2A_.wvu.Rows</vt:lpstr>
      <vt:lpstr>rates!Z_CFF18104_9957_4B22_A0BF_E0E9089CC41B_.wvu.Rows</vt:lpstr>
      <vt:lpstr>rates!Z_E64C861B_828F_4357_A2C1_687220A83D03_.wvu.Rows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sb</dc:creator>
  <cp:keywords/>
  <dc:description/>
  <cp:lastModifiedBy>Sanjay Kumar</cp:lastModifiedBy>
  <cp:revision/>
  <dcterms:created xsi:type="dcterms:W3CDTF">2013-11-19T12:43:53Z</dcterms:created>
  <dcterms:modified xsi:type="dcterms:W3CDTF">2026-09-28T14:56:04Z</dcterms:modified>
  <cp:category/>
  <cp:contentStatus/>
</cp:coreProperties>
</file>