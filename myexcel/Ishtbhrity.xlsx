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388" documentId="13_ncr:1_{9049D179-D01E-4986-B593-87CDEAD217B4}" xr6:coauthVersionLast="47" xr6:coauthVersionMax="47" xr10:uidLastSave="{027CB4D0-D3DE-4439-A5A6-E97FD127DF51}"/>
  <bookViews>
    <workbookView xWindow="-108" yWindow="-108" windowWidth="23256" windowHeight="12576" activeTab="2" xr2:uid="{00000000-000D-0000-FFFF-FFFF00000000}"/>
  </bookViews>
  <sheets>
    <sheet name="Public" sheetId="3" r:id="rId1"/>
    <sheet name="5001253700" sheetId="1" r:id="rId2"/>
    <sheet name="new" sheetId="2" r:id="rId3"/>
    <sheet name="Sheet1" sheetId="5" r:id="rId4"/>
    <sheet name="SF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3" i="2" l="1"/>
  <c r="BX3" i="2"/>
  <c r="F3" i="7"/>
  <c r="F4" i="7" s="1"/>
  <c r="BW15" i="2"/>
  <c r="BW3" i="2" l="1"/>
  <c r="M757" i="1"/>
  <c r="L757" i="1"/>
  <c r="K757" i="1"/>
  <c r="J757" i="1"/>
  <c r="I757" i="1"/>
  <c r="H757" i="1"/>
  <c r="G757" i="1"/>
  <c r="F757" i="1"/>
  <c r="E757" i="1"/>
  <c r="D757" i="1"/>
  <c r="C757" i="1"/>
  <c r="N756" i="1"/>
  <c r="N755" i="1"/>
  <c r="N754" i="1"/>
  <c r="N753" i="1"/>
  <c r="N752" i="1"/>
  <c r="N751" i="1"/>
  <c r="N750" i="1"/>
  <c r="N749" i="1"/>
  <c r="D749" i="1"/>
  <c r="A748" i="1"/>
  <c r="M746" i="1"/>
  <c r="L746" i="1"/>
  <c r="K746" i="1"/>
  <c r="J746" i="1"/>
  <c r="I746" i="1"/>
  <c r="H746" i="1"/>
  <c r="G746" i="1"/>
  <c r="F746" i="1"/>
  <c r="E746" i="1"/>
  <c r="C746" i="1"/>
  <c r="N745" i="1"/>
  <c r="N744" i="1"/>
  <c r="N743" i="1"/>
  <c r="N742" i="1"/>
  <c r="N741" i="1"/>
  <c r="N740" i="1"/>
  <c r="N739" i="1"/>
  <c r="D738" i="1"/>
  <c r="D746" i="1" s="1"/>
  <c r="BV3" i="2"/>
  <c r="BU15" i="2"/>
  <c r="M735" i="1"/>
  <c r="L735" i="1"/>
  <c r="K735" i="1"/>
  <c r="J735" i="1"/>
  <c r="I735" i="1"/>
  <c r="H735" i="1"/>
  <c r="G735" i="1"/>
  <c r="F735" i="1"/>
  <c r="E735" i="1"/>
  <c r="C735" i="1"/>
  <c r="N734" i="1"/>
  <c r="N733" i="1"/>
  <c r="N732" i="1"/>
  <c r="N731" i="1"/>
  <c r="N730" i="1"/>
  <c r="N729" i="1"/>
  <c r="N728" i="1"/>
  <c r="D727" i="1"/>
  <c r="N727" i="1" s="1"/>
  <c r="BU3" i="2"/>
  <c r="BT3" i="2"/>
  <c r="D41" i="5"/>
  <c r="M724" i="1"/>
  <c r="L724" i="1"/>
  <c r="K724" i="1"/>
  <c r="J724" i="1"/>
  <c r="I724" i="1"/>
  <c r="H724" i="1"/>
  <c r="G724" i="1"/>
  <c r="F724" i="1"/>
  <c r="E724" i="1"/>
  <c r="C724" i="1"/>
  <c r="N723" i="1"/>
  <c r="N722" i="1"/>
  <c r="N721" i="1"/>
  <c r="N720" i="1"/>
  <c r="N719" i="1"/>
  <c r="N718" i="1"/>
  <c r="N717" i="1"/>
  <c r="D716" i="1"/>
  <c r="D724" i="1" s="1"/>
  <c r="M713" i="1"/>
  <c r="L713" i="1"/>
  <c r="K713" i="1"/>
  <c r="J713" i="1"/>
  <c r="I713" i="1"/>
  <c r="H713" i="1"/>
  <c r="G713" i="1"/>
  <c r="F713" i="1"/>
  <c r="E713" i="1"/>
  <c r="C713" i="1"/>
  <c r="N712" i="1"/>
  <c r="N711" i="1"/>
  <c r="N710" i="1"/>
  <c r="N709" i="1"/>
  <c r="N708" i="1"/>
  <c r="N707" i="1"/>
  <c r="N706" i="1"/>
  <c r="D705" i="1"/>
  <c r="N705" i="1" s="1"/>
  <c r="M702" i="1"/>
  <c r="L702" i="1"/>
  <c r="K702" i="1"/>
  <c r="J702" i="1"/>
  <c r="I702" i="1"/>
  <c r="H702" i="1"/>
  <c r="G702" i="1"/>
  <c r="F702" i="1"/>
  <c r="E702" i="1"/>
  <c r="C702" i="1"/>
  <c r="N701" i="1"/>
  <c r="N700" i="1"/>
  <c r="N699" i="1"/>
  <c r="N698" i="1"/>
  <c r="N697" i="1"/>
  <c r="N696" i="1"/>
  <c r="N695" i="1"/>
  <c r="D694" i="1"/>
  <c r="D702" i="1" s="1"/>
  <c r="BS3" i="2"/>
  <c r="BR3" i="2"/>
  <c r="BR15" i="2"/>
  <c r="BQ3" i="2"/>
  <c r="BQ10" i="2"/>
  <c r="N757" i="1" l="1"/>
  <c r="N713" i="1"/>
  <c r="N694" i="1"/>
  <c r="N702" i="1" s="1"/>
  <c r="N738" i="1"/>
  <c r="N746" i="1" s="1"/>
  <c r="D713" i="1"/>
  <c r="N716" i="1"/>
  <c r="N724" i="1" s="1"/>
  <c r="D735" i="1"/>
  <c r="N735" i="1"/>
  <c r="R687" i="1"/>
  <c r="M691" i="1"/>
  <c r="L691" i="1"/>
  <c r="K691" i="1"/>
  <c r="J691" i="1"/>
  <c r="I691" i="1"/>
  <c r="H691" i="1"/>
  <c r="G691" i="1"/>
  <c r="F691" i="1"/>
  <c r="E691" i="1"/>
  <c r="C691" i="1"/>
  <c r="N690" i="1"/>
  <c r="N689" i="1"/>
  <c r="N688" i="1"/>
  <c r="N687" i="1"/>
  <c r="N686" i="1"/>
  <c r="N685" i="1"/>
  <c r="N684" i="1"/>
  <c r="D683" i="1"/>
  <c r="D691" i="1" s="1"/>
  <c r="M680" i="1"/>
  <c r="L680" i="1"/>
  <c r="K680" i="1"/>
  <c r="J680" i="1"/>
  <c r="I680" i="1"/>
  <c r="H680" i="1"/>
  <c r="G680" i="1"/>
  <c r="F680" i="1"/>
  <c r="E680" i="1"/>
  <c r="C680" i="1"/>
  <c r="N679" i="1"/>
  <c r="N678" i="1"/>
  <c r="N677" i="1"/>
  <c r="N676" i="1"/>
  <c r="N675" i="1"/>
  <c r="N674" i="1"/>
  <c r="N673" i="1"/>
  <c r="D672" i="1"/>
  <c r="D680" i="1" s="1"/>
  <c r="BO39" i="2"/>
  <c r="BO35" i="2"/>
  <c r="BO23" i="2"/>
  <c r="N672" i="1" l="1"/>
  <c r="N680" i="1" s="1"/>
  <c r="N683" i="1"/>
  <c r="N691" i="1"/>
  <c r="BO47" i="2"/>
  <c r="BN37" i="2"/>
  <c r="BN15" i="2"/>
  <c r="M669" i="1"/>
  <c r="L669" i="1"/>
  <c r="K669" i="1"/>
  <c r="J669" i="1"/>
  <c r="I669" i="1"/>
  <c r="H669" i="1"/>
  <c r="G669" i="1"/>
  <c r="F669" i="1"/>
  <c r="E669" i="1"/>
  <c r="C669" i="1"/>
  <c r="N668" i="1"/>
  <c r="N667" i="1"/>
  <c r="N666" i="1"/>
  <c r="N665" i="1"/>
  <c r="N664" i="1"/>
  <c r="N663" i="1"/>
  <c r="N662" i="1"/>
  <c r="N661" i="1"/>
  <c r="D661" i="1"/>
  <c r="D669" i="1" s="1"/>
  <c r="M658" i="1"/>
  <c r="L658" i="1"/>
  <c r="K658" i="1"/>
  <c r="J658" i="1"/>
  <c r="I658" i="1"/>
  <c r="H658" i="1"/>
  <c r="G658" i="1"/>
  <c r="F658" i="1"/>
  <c r="E658" i="1"/>
  <c r="C658" i="1"/>
  <c r="N657" i="1"/>
  <c r="N656" i="1"/>
  <c r="N655" i="1"/>
  <c r="N654" i="1"/>
  <c r="N653" i="1"/>
  <c r="N652" i="1"/>
  <c r="N651" i="1"/>
  <c r="D650" i="1"/>
  <c r="D658" i="1" s="1"/>
  <c r="BM10" i="2"/>
  <c r="BL9" i="2"/>
  <c r="N650" i="1" l="1"/>
  <c r="N669" i="1"/>
  <c r="N658" i="1"/>
  <c r="D639" i="1"/>
  <c r="D647" i="1" s="1"/>
  <c r="M647" i="1"/>
  <c r="L647" i="1"/>
  <c r="K647" i="1"/>
  <c r="J647" i="1"/>
  <c r="I647" i="1"/>
  <c r="H647" i="1"/>
  <c r="G647" i="1"/>
  <c r="F647" i="1"/>
  <c r="E647" i="1"/>
  <c r="C647" i="1"/>
  <c r="N646" i="1"/>
  <c r="N645" i="1"/>
  <c r="N644" i="1"/>
  <c r="N643" i="1"/>
  <c r="N642" i="1"/>
  <c r="N641" i="1"/>
  <c r="N640" i="1"/>
  <c r="A153" i="1"/>
  <c r="A163" i="1"/>
  <c r="A173" i="1" s="1"/>
  <c r="A183" i="1" s="1"/>
  <c r="A193" i="1" s="1"/>
  <c r="A203" i="1" s="1"/>
  <c r="A213" i="1" s="1"/>
  <c r="A223" i="1" s="1"/>
  <c r="A233" i="1" s="1"/>
  <c r="A243" i="1" s="1"/>
  <c r="A253" i="1" s="1"/>
  <c r="A263" i="1" s="1"/>
  <c r="A273" i="1" s="1"/>
  <c r="A283" i="1" s="1"/>
  <c r="A293" i="1" s="1"/>
  <c r="A303" i="1" s="1"/>
  <c r="A313" i="1" s="1"/>
  <c r="A323" i="1" s="1"/>
  <c r="A333" i="1" s="1"/>
  <c r="A343" i="1" s="1"/>
  <c r="A353" i="1" s="1"/>
  <c r="A363" i="1" s="1"/>
  <c r="A373" i="1" s="1"/>
  <c r="A383" i="1" s="1"/>
  <c r="A393" i="1" s="1"/>
  <c r="A403" i="1" s="1"/>
  <c r="A413" i="1" s="1"/>
  <c r="A423" i="1" s="1"/>
  <c r="A433" i="1" s="1"/>
  <c r="A443" i="1" s="1"/>
  <c r="A453" i="1" s="1"/>
  <c r="A463" i="1" s="1"/>
  <c r="A473" i="1" s="1"/>
  <c r="A484" i="1" s="1"/>
  <c r="A495" i="1" s="1"/>
  <c r="A506" i="1" s="1"/>
  <c r="A517" i="1" s="1"/>
  <c r="A528" i="1" s="1"/>
  <c r="A539" i="1" s="1"/>
  <c r="A550" i="1" s="1"/>
  <c r="A561" i="1" s="1"/>
  <c r="A572" i="1" s="1"/>
  <c r="A583" i="1" s="1"/>
  <c r="A594" i="1" s="1"/>
  <c r="A605" i="1" s="1"/>
  <c r="A616" i="1" s="1"/>
  <c r="A627" i="1" s="1"/>
  <c r="A638" i="1" s="1"/>
  <c r="A649" i="1" s="1"/>
  <c r="A660" i="1" s="1"/>
  <c r="A671" i="1" s="1"/>
  <c r="A682" i="1" s="1"/>
  <c r="A693" i="1" s="1"/>
  <c r="A704" i="1" s="1"/>
  <c r="A715" i="1" s="1"/>
  <c r="A726" i="1" s="1"/>
  <c r="A737" i="1" s="1"/>
  <c r="M636" i="1"/>
  <c r="L636" i="1"/>
  <c r="K636" i="1"/>
  <c r="J636" i="1"/>
  <c r="I636" i="1"/>
  <c r="H636" i="1"/>
  <c r="G636" i="1"/>
  <c r="F636" i="1"/>
  <c r="E636" i="1"/>
  <c r="D636" i="1"/>
  <c r="C636" i="1"/>
  <c r="N635" i="1"/>
  <c r="N634" i="1"/>
  <c r="N633" i="1"/>
  <c r="N632" i="1"/>
  <c r="N631" i="1"/>
  <c r="N630" i="1"/>
  <c r="N629" i="1"/>
  <c r="N628" i="1"/>
  <c r="BK21" i="2"/>
  <c r="BK47" i="2"/>
  <c r="M625" i="1"/>
  <c r="L625" i="1"/>
  <c r="K625" i="1"/>
  <c r="J625" i="1"/>
  <c r="I625" i="1"/>
  <c r="H625" i="1"/>
  <c r="G625" i="1"/>
  <c r="F625" i="1"/>
  <c r="E625" i="1"/>
  <c r="D625" i="1"/>
  <c r="C625" i="1"/>
  <c r="N624" i="1"/>
  <c r="N623" i="1"/>
  <c r="N622" i="1"/>
  <c r="N621" i="1"/>
  <c r="N620" i="1"/>
  <c r="N619" i="1"/>
  <c r="N618" i="1"/>
  <c r="N617" i="1"/>
  <c r="BJ9" i="2"/>
  <c r="BJ15" i="2"/>
  <c r="M614" i="1"/>
  <c r="L614" i="1"/>
  <c r="K614" i="1"/>
  <c r="J614" i="1"/>
  <c r="I614" i="1"/>
  <c r="H614" i="1"/>
  <c r="G614" i="1"/>
  <c r="F614" i="1"/>
  <c r="E614" i="1"/>
  <c r="D614" i="1"/>
  <c r="C614" i="1"/>
  <c r="N613" i="1"/>
  <c r="N612" i="1"/>
  <c r="N611" i="1"/>
  <c r="N610" i="1"/>
  <c r="N609" i="1"/>
  <c r="N608" i="1"/>
  <c r="N607" i="1"/>
  <c r="N606" i="1"/>
  <c r="M603" i="1"/>
  <c r="L603" i="1"/>
  <c r="K603" i="1"/>
  <c r="J603" i="1"/>
  <c r="I603" i="1"/>
  <c r="H603" i="1"/>
  <c r="G603" i="1"/>
  <c r="F603" i="1"/>
  <c r="E603" i="1"/>
  <c r="D603" i="1"/>
  <c r="C603" i="1"/>
  <c r="N602" i="1"/>
  <c r="N601" i="1"/>
  <c r="N600" i="1"/>
  <c r="N599" i="1"/>
  <c r="N598" i="1"/>
  <c r="N597" i="1"/>
  <c r="N596" i="1"/>
  <c r="N595" i="1"/>
  <c r="N603" i="1" s="1"/>
  <c r="M592" i="1"/>
  <c r="L592" i="1"/>
  <c r="K592" i="1"/>
  <c r="J592" i="1"/>
  <c r="I592" i="1"/>
  <c r="H592" i="1"/>
  <c r="G592" i="1"/>
  <c r="F592" i="1"/>
  <c r="E592" i="1"/>
  <c r="D592" i="1"/>
  <c r="C592" i="1"/>
  <c r="N591" i="1"/>
  <c r="N590" i="1"/>
  <c r="N589" i="1"/>
  <c r="N588" i="1"/>
  <c r="N587" i="1"/>
  <c r="N586" i="1"/>
  <c r="N585" i="1"/>
  <c r="N584" i="1"/>
  <c r="BF53" i="2"/>
  <c r="P95" i="3"/>
  <c r="P94" i="3"/>
  <c r="BF23" i="2"/>
  <c r="BF51" i="2"/>
  <c r="M581" i="1"/>
  <c r="L581" i="1"/>
  <c r="K581" i="1"/>
  <c r="J581" i="1"/>
  <c r="I581" i="1"/>
  <c r="H581" i="1"/>
  <c r="G581" i="1"/>
  <c r="F581" i="1"/>
  <c r="E581" i="1"/>
  <c r="D581" i="1"/>
  <c r="C581" i="1"/>
  <c r="N580" i="1"/>
  <c r="N579" i="1"/>
  <c r="N578" i="1"/>
  <c r="N577" i="1"/>
  <c r="N576" i="1"/>
  <c r="N575" i="1"/>
  <c r="N574" i="1"/>
  <c r="N573" i="1"/>
  <c r="BE40" i="2"/>
  <c r="BF15" i="2"/>
  <c r="M570" i="1"/>
  <c r="L570" i="1"/>
  <c r="K570" i="1"/>
  <c r="J570" i="1"/>
  <c r="I570" i="1"/>
  <c r="H570" i="1"/>
  <c r="G570" i="1"/>
  <c r="F570" i="1"/>
  <c r="E570" i="1"/>
  <c r="D570" i="1"/>
  <c r="C570" i="1"/>
  <c r="N569" i="1"/>
  <c r="N568" i="1"/>
  <c r="N567" i="1"/>
  <c r="N566" i="1"/>
  <c r="N565" i="1"/>
  <c r="N564" i="1"/>
  <c r="N563" i="1"/>
  <c r="N562" i="1"/>
  <c r="N570" i="1" s="1"/>
  <c r="Q90" i="3"/>
  <c r="P90" i="3"/>
  <c r="P91" i="3"/>
  <c r="P92" i="3"/>
  <c r="M559" i="1"/>
  <c r="L559" i="1"/>
  <c r="K559" i="1"/>
  <c r="J559" i="1"/>
  <c r="I559" i="1"/>
  <c r="H559" i="1"/>
  <c r="G559" i="1"/>
  <c r="F559" i="1"/>
  <c r="E559" i="1"/>
  <c r="D559" i="1"/>
  <c r="C559" i="1"/>
  <c r="N558" i="1"/>
  <c r="N557" i="1"/>
  <c r="N556" i="1"/>
  <c r="N555" i="1"/>
  <c r="N554" i="1"/>
  <c r="N553" i="1"/>
  <c r="N552" i="1"/>
  <c r="N551" i="1"/>
  <c r="BD31" i="2"/>
  <c r="BD22" i="2"/>
  <c r="M548" i="1"/>
  <c r="L548" i="1"/>
  <c r="K548" i="1"/>
  <c r="J548" i="1"/>
  <c r="I548" i="1"/>
  <c r="H548" i="1"/>
  <c r="G548" i="1"/>
  <c r="F548" i="1"/>
  <c r="E548" i="1"/>
  <c r="D548" i="1"/>
  <c r="C548" i="1"/>
  <c r="N547" i="1"/>
  <c r="N546" i="1"/>
  <c r="N545" i="1"/>
  <c r="N544" i="1"/>
  <c r="N543" i="1"/>
  <c r="N542" i="1"/>
  <c r="N541" i="1"/>
  <c r="N540" i="1"/>
  <c r="N548" i="1" s="1"/>
  <c r="M537" i="1"/>
  <c r="L537" i="1"/>
  <c r="K537" i="1"/>
  <c r="J537" i="1"/>
  <c r="I537" i="1"/>
  <c r="H537" i="1"/>
  <c r="G537" i="1"/>
  <c r="F537" i="1"/>
  <c r="E537" i="1"/>
  <c r="D537" i="1"/>
  <c r="C537" i="1"/>
  <c r="N536" i="1"/>
  <c r="N535" i="1"/>
  <c r="N534" i="1"/>
  <c r="N533" i="1"/>
  <c r="N532" i="1"/>
  <c r="N531" i="1"/>
  <c r="N530" i="1"/>
  <c r="N529" i="1"/>
  <c r="N537" i="1" s="1"/>
  <c r="BC15" i="2"/>
  <c r="BC30" i="2"/>
  <c r="BB21" i="2"/>
  <c r="M526" i="1"/>
  <c r="L526" i="1"/>
  <c r="K526" i="1"/>
  <c r="J526" i="1"/>
  <c r="I526" i="1"/>
  <c r="H526" i="1"/>
  <c r="G526" i="1"/>
  <c r="F526" i="1"/>
  <c r="E526" i="1"/>
  <c r="D526" i="1"/>
  <c r="C526" i="1"/>
  <c r="N525" i="1"/>
  <c r="N524" i="1"/>
  <c r="N523" i="1"/>
  <c r="N522" i="1"/>
  <c r="N521" i="1"/>
  <c r="N520" i="1"/>
  <c r="N519" i="1"/>
  <c r="N518" i="1"/>
  <c r="BA9" i="2"/>
  <c r="M515" i="1"/>
  <c r="L515" i="1"/>
  <c r="K515" i="1"/>
  <c r="J515" i="1"/>
  <c r="I515" i="1"/>
  <c r="H515" i="1"/>
  <c r="G515" i="1"/>
  <c r="F515" i="1"/>
  <c r="E515" i="1"/>
  <c r="D515" i="1"/>
  <c r="C515" i="1"/>
  <c r="N514" i="1"/>
  <c r="N513" i="1"/>
  <c r="N512" i="1"/>
  <c r="N511" i="1"/>
  <c r="N510" i="1"/>
  <c r="N509" i="1"/>
  <c r="N508" i="1"/>
  <c r="N507" i="1"/>
  <c r="M504" i="1"/>
  <c r="L504" i="1"/>
  <c r="K504" i="1"/>
  <c r="J504" i="1"/>
  <c r="I504" i="1"/>
  <c r="H504" i="1"/>
  <c r="G504" i="1"/>
  <c r="F504" i="1"/>
  <c r="E504" i="1"/>
  <c r="D504" i="1"/>
  <c r="C504" i="1"/>
  <c r="N503" i="1"/>
  <c r="N502" i="1"/>
  <c r="N501" i="1"/>
  <c r="N500" i="1"/>
  <c r="N499" i="1"/>
  <c r="N498" i="1"/>
  <c r="N497" i="1"/>
  <c r="N496" i="1"/>
  <c r="AY40" i="2"/>
  <c r="AY22" i="2"/>
  <c r="N491" i="1"/>
  <c r="N480" i="1"/>
  <c r="D493" i="1"/>
  <c r="M493" i="1"/>
  <c r="L493" i="1"/>
  <c r="K493" i="1"/>
  <c r="J493" i="1"/>
  <c r="I493" i="1"/>
  <c r="H493" i="1"/>
  <c r="G493" i="1"/>
  <c r="F493" i="1"/>
  <c r="E493" i="1"/>
  <c r="C493" i="1"/>
  <c r="N492" i="1"/>
  <c r="N490" i="1"/>
  <c r="N489" i="1"/>
  <c r="N488" i="1"/>
  <c r="N487" i="1"/>
  <c r="N486" i="1"/>
  <c r="N485" i="1"/>
  <c r="AX23" i="2"/>
  <c r="AX9" i="2"/>
  <c r="M482" i="1"/>
  <c r="L482" i="1"/>
  <c r="K482" i="1"/>
  <c r="J482" i="1"/>
  <c r="I482" i="1"/>
  <c r="H482" i="1"/>
  <c r="G482" i="1"/>
  <c r="F482" i="1"/>
  <c r="E482" i="1"/>
  <c r="D482" i="1"/>
  <c r="C482" i="1"/>
  <c r="N481" i="1"/>
  <c r="N479" i="1"/>
  <c r="N478" i="1"/>
  <c r="N477" i="1"/>
  <c r="N476" i="1"/>
  <c r="N475" i="1"/>
  <c r="N474" i="1"/>
  <c r="AW24" i="2"/>
  <c r="AW23" i="2"/>
  <c r="M471" i="1"/>
  <c r="L471" i="1"/>
  <c r="K471" i="1"/>
  <c r="J471" i="1"/>
  <c r="I471" i="1"/>
  <c r="H471" i="1"/>
  <c r="G471" i="1"/>
  <c r="F471" i="1"/>
  <c r="E471" i="1"/>
  <c r="D471" i="1"/>
  <c r="C471" i="1"/>
  <c r="N470" i="1"/>
  <c r="N469" i="1"/>
  <c r="N468" i="1"/>
  <c r="N467" i="1"/>
  <c r="N471" i="1" s="1"/>
  <c r="N466" i="1"/>
  <c r="N465" i="1"/>
  <c r="N464" i="1"/>
  <c r="AV22" i="2"/>
  <c r="AV15" i="2"/>
  <c r="AU9" i="2"/>
  <c r="AU37" i="2"/>
  <c r="M461" i="1"/>
  <c r="L461" i="1"/>
  <c r="K461" i="1"/>
  <c r="J461" i="1"/>
  <c r="I461" i="1"/>
  <c r="H461" i="1"/>
  <c r="G461" i="1"/>
  <c r="F461" i="1"/>
  <c r="E461" i="1"/>
  <c r="D461" i="1"/>
  <c r="C461" i="1"/>
  <c r="N460" i="1"/>
  <c r="N459" i="1"/>
  <c r="N458" i="1"/>
  <c r="N457" i="1"/>
  <c r="N456" i="1"/>
  <c r="N455" i="1"/>
  <c r="N454" i="1"/>
  <c r="AS41" i="2"/>
  <c r="D35" i="5"/>
  <c r="D36" i="5"/>
  <c r="D37" i="5"/>
  <c r="D38" i="5"/>
  <c r="D39" i="5"/>
  <c r="D40" i="5"/>
  <c r="AT29" i="2"/>
  <c r="AT8" i="2"/>
  <c r="AT15" i="2"/>
  <c r="AT23" i="2"/>
  <c r="AT33" i="2"/>
  <c r="M451" i="1"/>
  <c r="L451" i="1"/>
  <c r="K451" i="1"/>
  <c r="J451" i="1"/>
  <c r="I451" i="1"/>
  <c r="H451" i="1"/>
  <c r="G451" i="1"/>
  <c r="F451" i="1"/>
  <c r="E451" i="1"/>
  <c r="C451" i="1"/>
  <c r="N450" i="1"/>
  <c r="N449" i="1"/>
  <c r="N448" i="1"/>
  <c r="N447" i="1"/>
  <c r="N446" i="1"/>
  <c r="N451" i="1" s="1"/>
  <c r="N445" i="1"/>
  <c r="N444" i="1"/>
  <c r="AT3" i="2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M441" i="1"/>
  <c r="L441" i="1"/>
  <c r="K441" i="1"/>
  <c r="J441" i="1"/>
  <c r="I441" i="1"/>
  <c r="H441" i="1"/>
  <c r="G441" i="1"/>
  <c r="F441" i="1"/>
  <c r="E441" i="1"/>
  <c r="C441" i="1"/>
  <c r="N440" i="1"/>
  <c r="N439" i="1"/>
  <c r="N438" i="1"/>
  <c r="N437" i="1"/>
  <c r="N436" i="1"/>
  <c r="N435" i="1"/>
  <c r="D434" i="1"/>
  <c r="N434" i="1" s="1"/>
  <c r="N441" i="1" s="1"/>
  <c r="AR23" i="2"/>
  <c r="D451" i="1"/>
  <c r="I431" i="1"/>
  <c r="M431" i="1"/>
  <c r="L431" i="1"/>
  <c r="K431" i="1"/>
  <c r="J431" i="1"/>
  <c r="H431" i="1"/>
  <c r="G431" i="1"/>
  <c r="F431" i="1"/>
  <c r="E431" i="1"/>
  <c r="C431" i="1"/>
  <c r="N430" i="1"/>
  <c r="N429" i="1"/>
  <c r="N428" i="1"/>
  <c r="N427" i="1"/>
  <c r="N426" i="1"/>
  <c r="N425" i="1"/>
  <c r="D424" i="1"/>
  <c r="D431" i="1" s="1"/>
  <c r="M421" i="1"/>
  <c r="L421" i="1"/>
  <c r="K421" i="1"/>
  <c r="J421" i="1"/>
  <c r="I421" i="1"/>
  <c r="H421" i="1"/>
  <c r="G421" i="1"/>
  <c r="F421" i="1"/>
  <c r="E421" i="1"/>
  <c r="C421" i="1"/>
  <c r="N420" i="1"/>
  <c r="N419" i="1"/>
  <c r="N418" i="1"/>
  <c r="N417" i="1"/>
  <c r="N416" i="1"/>
  <c r="N415" i="1"/>
  <c r="D414" i="1"/>
  <c r="N414" i="1" s="1"/>
  <c r="D421" i="1"/>
  <c r="M411" i="1"/>
  <c r="L411" i="1"/>
  <c r="K411" i="1"/>
  <c r="J411" i="1"/>
  <c r="I411" i="1"/>
  <c r="H411" i="1"/>
  <c r="G411" i="1"/>
  <c r="F411" i="1"/>
  <c r="E411" i="1"/>
  <c r="C411" i="1"/>
  <c r="N410" i="1"/>
  <c r="N409" i="1"/>
  <c r="N408" i="1"/>
  <c r="N407" i="1"/>
  <c r="N406" i="1"/>
  <c r="N405" i="1"/>
  <c r="D404" i="1"/>
  <c r="D411" i="1" s="1"/>
  <c r="M401" i="1"/>
  <c r="L401" i="1"/>
  <c r="K401" i="1"/>
  <c r="J401" i="1"/>
  <c r="I401" i="1"/>
  <c r="H401" i="1"/>
  <c r="G401" i="1"/>
  <c r="F401" i="1"/>
  <c r="E401" i="1"/>
  <c r="C401" i="1"/>
  <c r="N400" i="1"/>
  <c r="N399" i="1"/>
  <c r="N398" i="1"/>
  <c r="N397" i="1"/>
  <c r="N396" i="1"/>
  <c r="N395" i="1"/>
  <c r="D394" i="1"/>
  <c r="N394" i="1" s="1"/>
  <c r="D401" i="1"/>
  <c r="AR40" i="2"/>
  <c r="AR3" i="2"/>
  <c r="AQ15" i="2"/>
  <c r="AP37" i="2"/>
  <c r="AP31" i="2"/>
  <c r="AP29" i="2"/>
  <c r="AP30" i="2"/>
  <c r="AP33" i="2"/>
  <c r="AP9" i="2"/>
  <c r="AP22" i="2"/>
  <c r="P104" i="3"/>
  <c r="G105" i="3"/>
  <c r="H105" i="3"/>
  <c r="I105" i="3"/>
  <c r="J105" i="3"/>
  <c r="K105" i="3"/>
  <c r="F105" i="3"/>
  <c r="P103" i="3"/>
  <c r="P87" i="3"/>
  <c r="P88" i="3"/>
  <c r="M391" i="1"/>
  <c r="L391" i="1"/>
  <c r="K391" i="1"/>
  <c r="J391" i="1"/>
  <c r="I391" i="1"/>
  <c r="H391" i="1"/>
  <c r="G391" i="1"/>
  <c r="F391" i="1"/>
  <c r="E391" i="1"/>
  <c r="C391" i="1"/>
  <c r="N390" i="1"/>
  <c r="N389" i="1"/>
  <c r="N388" i="1"/>
  <c r="N387" i="1"/>
  <c r="N386" i="1"/>
  <c r="N385" i="1"/>
  <c r="D384" i="1"/>
  <c r="D391" i="1" s="1"/>
  <c r="M381" i="1"/>
  <c r="L381" i="1"/>
  <c r="K381" i="1"/>
  <c r="J381" i="1"/>
  <c r="I381" i="1"/>
  <c r="H381" i="1"/>
  <c r="G381" i="1"/>
  <c r="F381" i="1"/>
  <c r="E381" i="1"/>
  <c r="C381" i="1"/>
  <c r="N380" i="1"/>
  <c r="N379" i="1"/>
  <c r="N378" i="1"/>
  <c r="N377" i="1"/>
  <c r="N376" i="1"/>
  <c r="N375" i="1"/>
  <c r="N381" i="1" s="1"/>
  <c r="D374" i="1"/>
  <c r="N374" i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4" i="5"/>
  <c r="AM33" i="2"/>
  <c r="AM1" i="2"/>
  <c r="P85" i="3"/>
  <c r="P84" i="3"/>
  <c r="P105" i="3"/>
  <c r="D381" i="1"/>
  <c r="Q84" i="3"/>
  <c r="AM2" i="2"/>
  <c r="D364" i="1"/>
  <c r="N364" i="1" s="1"/>
  <c r="N371" i="1" s="1"/>
  <c r="D371" i="1"/>
  <c r="M371" i="1"/>
  <c r="L371" i="1"/>
  <c r="K371" i="1"/>
  <c r="J371" i="1"/>
  <c r="I371" i="1"/>
  <c r="H371" i="1"/>
  <c r="G371" i="1"/>
  <c r="F371" i="1"/>
  <c r="E371" i="1"/>
  <c r="C371" i="1"/>
  <c r="N370" i="1"/>
  <c r="N369" i="1"/>
  <c r="N368" i="1"/>
  <c r="N367" i="1"/>
  <c r="N366" i="1"/>
  <c r="N365" i="1"/>
  <c r="N355" i="1"/>
  <c r="N356" i="1"/>
  <c r="N361" i="1" s="1"/>
  <c r="N357" i="1"/>
  <c r="N358" i="1"/>
  <c r="N359" i="1"/>
  <c r="N360" i="1"/>
  <c r="AL9" i="2"/>
  <c r="P78" i="3"/>
  <c r="P79" i="3"/>
  <c r="P80" i="3"/>
  <c r="P81" i="3"/>
  <c r="P82" i="3"/>
  <c r="P77" i="3"/>
  <c r="AK15" i="2"/>
  <c r="AK1" i="2" s="1"/>
  <c r="AL1" i="2"/>
  <c r="D354" i="1"/>
  <c r="D361" i="1"/>
  <c r="M361" i="1"/>
  <c r="L361" i="1"/>
  <c r="K361" i="1"/>
  <c r="J361" i="1"/>
  <c r="I361" i="1"/>
  <c r="H361" i="1"/>
  <c r="G361" i="1"/>
  <c r="F361" i="1"/>
  <c r="E361" i="1"/>
  <c r="C361" i="1"/>
  <c r="P71" i="3"/>
  <c r="P72" i="3"/>
  <c r="P73" i="3"/>
  <c r="P74" i="3"/>
  <c r="P75" i="3"/>
  <c r="I351" i="1"/>
  <c r="M351" i="1"/>
  <c r="L351" i="1"/>
  <c r="K351" i="1"/>
  <c r="J351" i="1"/>
  <c r="H351" i="1"/>
  <c r="G351" i="1"/>
  <c r="F351" i="1"/>
  <c r="E351" i="1"/>
  <c r="C351" i="1"/>
  <c r="N350" i="1"/>
  <c r="N349" i="1"/>
  <c r="N348" i="1"/>
  <c r="N347" i="1"/>
  <c r="N346" i="1"/>
  <c r="N345" i="1"/>
  <c r="D344" i="1"/>
  <c r="N344" i="1" s="1"/>
  <c r="D351" i="1"/>
  <c r="Q71" i="3"/>
  <c r="N354" i="1"/>
  <c r="AJ18" i="2"/>
  <c r="AJ1" i="2" s="1"/>
  <c r="AI27" i="2"/>
  <c r="D334" i="1"/>
  <c r="AI18" i="2"/>
  <c r="P69" i="3"/>
  <c r="P67" i="3"/>
  <c r="M341" i="1"/>
  <c r="L341" i="1"/>
  <c r="K341" i="1"/>
  <c r="J341" i="1"/>
  <c r="I341" i="1"/>
  <c r="H341" i="1"/>
  <c r="G341" i="1"/>
  <c r="F341" i="1"/>
  <c r="E341" i="1"/>
  <c r="D341" i="1"/>
  <c r="C341" i="1"/>
  <c r="N340" i="1"/>
  <c r="N339" i="1"/>
  <c r="N338" i="1"/>
  <c r="N337" i="1"/>
  <c r="N336" i="1"/>
  <c r="N335" i="1"/>
  <c r="N334" i="1"/>
  <c r="M331" i="1"/>
  <c r="L331" i="1"/>
  <c r="K331" i="1"/>
  <c r="J331" i="1"/>
  <c r="I331" i="1"/>
  <c r="H331" i="1"/>
  <c r="G331" i="1"/>
  <c r="F331" i="1"/>
  <c r="E331" i="1"/>
  <c r="D331" i="1"/>
  <c r="C331" i="1"/>
  <c r="N330" i="1"/>
  <c r="N329" i="1"/>
  <c r="N328" i="1"/>
  <c r="N327" i="1"/>
  <c r="N326" i="1"/>
  <c r="N325" i="1"/>
  <c r="N324" i="1"/>
  <c r="AI2" i="2"/>
  <c r="AJ2" i="2" s="1"/>
  <c r="AH1" i="2"/>
  <c r="M321" i="1"/>
  <c r="L321" i="1"/>
  <c r="K321" i="1"/>
  <c r="J321" i="1"/>
  <c r="I321" i="1"/>
  <c r="H321" i="1"/>
  <c r="G321" i="1"/>
  <c r="F321" i="1"/>
  <c r="E321" i="1"/>
  <c r="D321" i="1"/>
  <c r="C321" i="1"/>
  <c r="N320" i="1"/>
  <c r="N319" i="1"/>
  <c r="N318" i="1"/>
  <c r="N317" i="1"/>
  <c r="N316" i="1"/>
  <c r="N315" i="1"/>
  <c r="N314" i="1"/>
  <c r="AG1" i="2"/>
  <c r="M311" i="1"/>
  <c r="L311" i="1"/>
  <c r="K311" i="1"/>
  <c r="J311" i="1"/>
  <c r="I311" i="1"/>
  <c r="H311" i="1"/>
  <c r="G311" i="1"/>
  <c r="F311" i="1"/>
  <c r="E311" i="1"/>
  <c r="D311" i="1"/>
  <c r="C311" i="1"/>
  <c r="N310" i="1"/>
  <c r="N309" i="1"/>
  <c r="N308" i="1"/>
  <c r="N307" i="1"/>
  <c r="N306" i="1"/>
  <c r="N305" i="1"/>
  <c r="N304" i="1"/>
  <c r="AF15" i="2"/>
  <c r="AF1" i="2" s="1"/>
  <c r="M301" i="1"/>
  <c r="L301" i="1"/>
  <c r="K301" i="1"/>
  <c r="J301" i="1"/>
  <c r="I301" i="1"/>
  <c r="H301" i="1"/>
  <c r="G301" i="1"/>
  <c r="F301" i="1"/>
  <c r="E301" i="1"/>
  <c r="D301" i="1"/>
  <c r="C301" i="1"/>
  <c r="N300" i="1"/>
  <c r="N299" i="1"/>
  <c r="N298" i="1"/>
  <c r="N297" i="1"/>
  <c r="N296" i="1"/>
  <c r="N295" i="1"/>
  <c r="N294" i="1"/>
  <c r="AE27" i="2"/>
  <c r="AE1" i="2" s="1"/>
  <c r="N321" i="1"/>
  <c r="M291" i="1"/>
  <c r="L291" i="1"/>
  <c r="K291" i="1"/>
  <c r="J291" i="1"/>
  <c r="I291" i="1"/>
  <c r="H291" i="1"/>
  <c r="G291" i="1"/>
  <c r="F291" i="1"/>
  <c r="E291" i="1"/>
  <c r="D291" i="1"/>
  <c r="C291" i="1"/>
  <c r="N290" i="1"/>
  <c r="N289" i="1"/>
  <c r="N288" i="1"/>
  <c r="N287" i="1"/>
  <c r="N286" i="1"/>
  <c r="N285" i="1"/>
  <c r="N284" i="1"/>
  <c r="U271" i="1"/>
  <c r="T143" i="1"/>
  <c r="P66" i="3"/>
  <c r="P65" i="3"/>
  <c r="P64" i="3"/>
  <c r="Q64" i="3"/>
  <c r="AD15" i="2"/>
  <c r="AD22" i="2"/>
  <c r="J281" i="1"/>
  <c r="AD13" i="2"/>
  <c r="AD14" i="2"/>
  <c r="M281" i="1"/>
  <c r="L281" i="1"/>
  <c r="K281" i="1"/>
  <c r="I281" i="1"/>
  <c r="H281" i="1"/>
  <c r="G281" i="1"/>
  <c r="F281" i="1"/>
  <c r="E281" i="1"/>
  <c r="D281" i="1"/>
  <c r="C281" i="1"/>
  <c r="N280" i="1"/>
  <c r="N279" i="1"/>
  <c r="N278" i="1"/>
  <c r="N277" i="1"/>
  <c r="N276" i="1"/>
  <c r="N275" i="1"/>
  <c r="N274" i="1"/>
  <c r="AC27" i="2"/>
  <c r="AC26" i="2"/>
  <c r="P62" i="3"/>
  <c r="P61" i="3"/>
  <c r="AC10" i="2"/>
  <c r="AC25" i="2"/>
  <c r="R264" i="1"/>
  <c r="M271" i="1"/>
  <c r="L271" i="1"/>
  <c r="K271" i="1"/>
  <c r="I271" i="1"/>
  <c r="H271" i="1"/>
  <c r="G271" i="1"/>
  <c r="F271" i="1"/>
  <c r="E271" i="1"/>
  <c r="D271" i="1"/>
  <c r="C271" i="1"/>
  <c r="N270" i="1"/>
  <c r="N269" i="1"/>
  <c r="N268" i="1"/>
  <c r="N267" i="1"/>
  <c r="N266" i="1"/>
  <c r="N271" i="1" s="1"/>
  <c r="N265" i="1"/>
  <c r="N264" i="1"/>
  <c r="C261" i="1"/>
  <c r="AB18" i="2"/>
  <c r="AB1" i="2"/>
  <c r="M261" i="1"/>
  <c r="L261" i="1"/>
  <c r="K261" i="1"/>
  <c r="I261" i="1"/>
  <c r="H261" i="1"/>
  <c r="G261" i="1"/>
  <c r="F261" i="1"/>
  <c r="E261" i="1"/>
  <c r="D261" i="1"/>
  <c r="N260" i="1"/>
  <c r="N259" i="1"/>
  <c r="N258" i="1"/>
  <c r="N257" i="1"/>
  <c r="N256" i="1"/>
  <c r="N255" i="1"/>
  <c r="N254" i="1"/>
  <c r="P59" i="3"/>
  <c r="P58" i="3"/>
  <c r="U29" i="2"/>
  <c r="Q58" i="3"/>
  <c r="P52" i="3"/>
  <c r="P53" i="3"/>
  <c r="P54" i="3"/>
  <c r="P55" i="3"/>
  <c r="P56" i="3"/>
  <c r="P51" i="3"/>
  <c r="P50" i="3"/>
  <c r="AA11" i="2"/>
  <c r="AA10" i="2"/>
  <c r="AA15" i="2"/>
  <c r="AA22" i="2"/>
  <c r="P47" i="3"/>
  <c r="P48" i="3"/>
  <c r="P46" i="3"/>
  <c r="M251" i="1"/>
  <c r="L251" i="1"/>
  <c r="K251" i="1"/>
  <c r="I251" i="1"/>
  <c r="H251" i="1"/>
  <c r="G251" i="1"/>
  <c r="F251" i="1"/>
  <c r="E251" i="1"/>
  <c r="D251" i="1"/>
  <c r="N250" i="1"/>
  <c r="N249" i="1"/>
  <c r="N248" i="1"/>
  <c r="N247" i="1"/>
  <c r="N246" i="1"/>
  <c r="N245" i="1"/>
  <c r="N244" i="1"/>
  <c r="Z1" i="2"/>
  <c r="Y14" i="2"/>
  <c r="Y1" i="2" s="1"/>
  <c r="Y13" i="2"/>
  <c r="M241" i="1"/>
  <c r="L241" i="1"/>
  <c r="K241" i="1"/>
  <c r="I241" i="1"/>
  <c r="H241" i="1"/>
  <c r="G241" i="1"/>
  <c r="F241" i="1"/>
  <c r="E241" i="1"/>
  <c r="D241" i="1"/>
  <c r="N240" i="1"/>
  <c r="N239" i="1"/>
  <c r="N238" i="1"/>
  <c r="N237" i="1"/>
  <c r="N236" i="1"/>
  <c r="N235" i="1"/>
  <c r="N234" i="1"/>
  <c r="M231" i="1"/>
  <c r="L231" i="1"/>
  <c r="K231" i="1"/>
  <c r="I231" i="1"/>
  <c r="H231" i="1"/>
  <c r="G231" i="1"/>
  <c r="F231" i="1"/>
  <c r="E231" i="1"/>
  <c r="D231" i="1"/>
  <c r="N230" i="1"/>
  <c r="N229" i="1"/>
  <c r="N228" i="1"/>
  <c r="N227" i="1"/>
  <c r="N226" i="1"/>
  <c r="N225" i="1"/>
  <c r="N224" i="1"/>
  <c r="X1" i="2"/>
  <c r="W15" i="2"/>
  <c r="W21" i="2"/>
  <c r="V218" i="1"/>
  <c r="M221" i="1"/>
  <c r="L221" i="1"/>
  <c r="K221" i="1"/>
  <c r="I221" i="1"/>
  <c r="H221" i="1"/>
  <c r="G221" i="1"/>
  <c r="F221" i="1"/>
  <c r="E221" i="1"/>
  <c r="D221" i="1"/>
  <c r="N220" i="1"/>
  <c r="N219" i="1"/>
  <c r="N218" i="1"/>
  <c r="N217" i="1"/>
  <c r="N216" i="1"/>
  <c r="N215" i="1"/>
  <c r="N214" i="1"/>
  <c r="P49" i="3"/>
  <c r="N231" i="1"/>
  <c r="M211" i="1"/>
  <c r="L211" i="1"/>
  <c r="K211" i="1"/>
  <c r="I211" i="1"/>
  <c r="H211" i="1"/>
  <c r="G211" i="1"/>
  <c r="F211" i="1"/>
  <c r="E211" i="1"/>
  <c r="D211" i="1"/>
  <c r="N210" i="1"/>
  <c r="N209" i="1"/>
  <c r="N208" i="1"/>
  <c r="N207" i="1"/>
  <c r="N206" i="1"/>
  <c r="N205" i="1"/>
  <c r="N204" i="1"/>
  <c r="N211" i="1" s="1"/>
  <c r="M201" i="1"/>
  <c r="L201" i="1"/>
  <c r="K201" i="1"/>
  <c r="I201" i="1"/>
  <c r="H201" i="1"/>
  <c r="G201" i="1"/>
  <c r="F201" i="1"/>
  <c r="E201" i="1"/>
  <c r="D201" i="1"/>
  <c r="N200" i="1"/>
  <c r="N199" i="1"/>
  <c r="N198" i="1"/>
  <c r="N197" i="1"/>
  <c r="N196" i="1"/>
  <c r="N195" i="1"/>
  <c r="N194" i="1"/>
  <c r="U1" i="2"/>
  <c r="T1" i="2"/>
  <c r="M191" i="1"/>
  <c r="L191" i="1"/>
  <c r="K191" i="1"/>
  <c r="I191" i="1"/>
  <c r="H191" i="1"/>
  <c r="G191" i="1"/>
  <c r="F191" i="1"/>
  <c r="E191" i="1"/>
  <c r="D191" i="1"/>
  <c r="N190" i="1"/>
  <c r="N189" i="1"/>
  <c r="N188" i="1"/>
  <c r="N187" i="1"/>
  <c r="N186" i="1"/>
  <c r="N185" i="1"/>
  <c r="N184" i="1"/>
  <c r="S1" i="2"/>
  <c r="M181" i="1"/>
  <c r="L181" i="1"/>
  <c r="K181" i="1"/>
  <c r="I181" i="1"/>
  <c r="H181" i="1"/>
  <c r="G181" i="1"/>
  <c r="F181" i="1"/>
  <c r="E181" i="1"/>
  <c r="D181" i="1"/>
  <c r="N180" i="1"/>
  <c r="N179" i="1"/>
  <c r="N178" i="1"/>
  <c r="N177" i="1"/>
  <c r="N176" i="1"/>
  <c r="N175" i="1"/>
  <c r="N174" i="1"/>
  <c r="N181" i="1" s="1"/>
  <c r="M171" i="1"/>
  <c r="L171" i="1"/>
  <c r="K171" i="1"/>
  <c r="I171" i="1"/>
  <c r="H171" i="1"/>
  <c r="G171" i="1"/>
  <c r="F171" i="1"/>
  <c r="E171" i="1"/>
  <c r="D171" i="1"/>
  <c r="N170" i="1"/>
  <c r="N169" i="1"/>
  <c r="N168" i="1"/>
  <c r="N167" i="1"/>
  <c r="N166" i="1"/>
  <c r="N165" i="1"/>
  <c r="N164" i="1"/>
  <c r="N171" i="1" s="1"/>
  <c r="R1" i="2"/>
  <c r="M161" i="1"/>
  <c r="L161" i="1"/>
  <c r="K161" i="1"/>
  <c r="I161" i="1"/>
  <c r="H161" i="1"/>
  <c r="G161" i="1"/>
  <c r="F161" i="1"/>
  <c r="E161" i="1"/>
  <c r="D161" i="1"/>
  <c r="N160" i="1"/>
  <c r="N159" i="1"/>
  <c r="N158" i="1"/>
  <c r="N157" i="1"/>
  <c r="N156" i="1"/>
  <c r="N161" i="1" s="1"/>
  <c r="N155" i="1"/>
  <c r="N154" i="1"/>
  <c r="M151" i="1"/>
  <c r="L151" i="1"/>
  <c r="K151" i="1"/>
  <c r="I151" i="1"/>
  <c r="H151" i="1"/>
  <c r="G151" i="1"/>
  <c r="F151" i="1"/>
  <c r="E151" i="1"/>
  <c r="D151" i="1"/>
  <c r="N150" i="1"/>
  <c r="N149" i="1"/>
  <c r="N148" i="1"/>
  <c r="N147" i="1"/>
  <c r="N146" i="1"/>
  <c r="N145" i="1"/>
  <c r="N144" i="1"/>
  <c r="M141" i="1"/>
  <c r="L141" i="1"/>
  <c r="K141" i="1"/>
  <c r="I141" i="1"/>
  <c r="H141" i="1"/>
  <c r="G141" i="1"/>
  <c r="F141" i="1"/>
  <c r="E141" i="1"/>
  <c r="D141" i="1"/>
  <c r="N140" i="1"/>
  <c r="N139" i="1"/>
  <c r="N138" i="1"/>
  <c r="N137" i="1"/>
  <c r="N136" i="1"/>
  <c r="N135" i="1"/>
  <c r="N134" i="1"/>
  <c r="Q1" i="2"/>
  <c r="P1" i="2"/>
  <c r="M1" i="2"/>
  <c r="N1" i="2"/>
  <c r="O1" i="2"/>
  <c r="R113" i="1"/>
  <c r="M131" i="1"/>
  <c r="L131" i="1"/>
  <c r="K131" i="1"/>
  <c r="I131" i="1"/>
  <c r="H131" i="1"/>
  <c r="G131" i="1"/>
  <c r="F131" i="1"/>
  <c r="E131" i="1"/>
  <c r="D131" i="1"/>
  <c r="N130" i="1"/>
  <c r="N129" i="1"/>
  <c r="N128" i="1"/>
  <c r="N127" i="1"/>
  <c r="N126" i="1"/>
  <c r="N125" i="1"/>
  <c r="N124" i="1"/>
  <c r="N131" i="1" s="1"/>
  <c r="M121" i="1"/>
  <c r="L121" i="1"/>
  <c r="K121" i="1"/>
  <c r="I121" i="1"/>
  <c r="H121" i="1"/>
  <c r="G121" i="1"/>
  <c r="F121" i="1"/>
  <c r="E121" i="1"/>
  <c r="D121" i="1"/>
  <c r="N120" i="1"/>
  <c r="N119" i="1"/>
  <c r="N118" i="1"/>
  <c r="N117" i="1"/>
  <c r="N116" i="1"/>
  <c r="N115" i="1"/>
  <c r="N114" i="1"/>
  <c r="N121" i="1" s="1"/>
  <c r="L1" i="2"/>
  <c r="M111" i="1"/>
  <c r="L111" i="1"/>
  <c r="K111" i="1"/>
  <c r="I111" i="1"/>
  <c r="H111" i="1"/>
  <c r="G111" i="1"/>
  <c r="F111" i="1"/>
  <c r="E111" i="1"/>
  <c r="D111" i="1"/>
  <c r="N110" i="1"/>
  <c r="N109" i="1"/>
  <c r="N108" i="1"/>
  <c r="N107" i="1"/>
  <c r="N106" i="1"/>
  <c r="N105" i="1"/>
  <c r="N104" i="1"/>
  <c r="K21" i="2"/>
  <c r="V1" i="2"/>
  <c r="K15" i="2"/>
  <c r="K10" i="2"/>
  <c r="K2" i="2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M101" i="1"/>
  <c r="L101" i="1"/>
  <c r="K101" i="1"/>
  <c r="I101" i="1"/>
  <c r="H101" i="1"/>
  <c r="G101" i="1"/>
  <c r="F101" i="1"/>
  <c r="E101" i="1"/>
  <c r="D101" i="1"/>
  <c r="N100" i="1"/>
  <c r="N99" i="1"/>
  <c r="N98" i="1"/>
  <c r="N97" i="1"/>
  <c r="N96" i="1"/>
  <c r="N95" i="1"/>
  <c r="N94" i="1"/>
  <c r="J1" i="2"/>
  <c r="M91" i="1"/>
  <c r="L91" i="1"/>
  <c r="K91" i="1"/>
  <c r="I91" i="1"/>
  <c r="H91" i="1"/>
  <c r="G91" i="1"/>
  <c r="F91" i="1"/>
  <c r="E91" i="1"/>
  <c r="D91" i="1"/>
  <c r="N90" i="1"/>
  <c r="N89" i="1"/>
  <c r="N88" i="1"/>
  <c r="N87" i="1"/>
  <c r="N86" i="1"/>
  <c r="N85" i="1"/>
  <c r="N84" i="1"/>
  <c r="I1" i="2"/>
  <c r="H1" i="2"/>
  <c r="M81" i="1"/>
  <c r="L81" i="1"/>
  <c r="K81" i="1"/>
  <c r="I81" i="1"/>
  <c r="H81" i="1"/>
  <c r="G81" i="1"/>
  <c r="F81" i="1"/>
  <c r="E81" i="1"/>
  <c r="D81" i="1"/>
  <c r="N80" i="1"/>
  <c r="N79" i="1"/>
  <c r="N78" i="1"/>
  <c r="N77" i="1"/>
  <c r="N76" i="1"/>
  <c r="N75" i="1"/>
  <c r="N74" i="1"/>
  <c r="M71" i="1"/>
  <c r="L71" i="1"/>
  <c r="K71" i="1"/>
  <c r="I71" i="1"/>
  <c r="H71" i="1"/>
  <c r="G71" i="1"/>
  <c r="F71" i="1"/>
  <c r="E71" i="1"/>
  <c r="D71" i="1"/>
  <c r="N70" i="1"/>
  <c r="N69" i="1"/>
  <c r="N68" i="1"/>
  <c r="N67" i="1"/>
  <c r="N66" i="1"/>
  <c r="N65" i="1"/>
  <c r="N64" i="1"/>
  <c r="N71" i="1" s="1"/>
  <c r="A53" i="1"/>
  <c r="A63" i="1"/>
  <c r="A73" i="1"/>
  <c r="A83" i="1" s="1"/>
  <c r="A93" i="1" s="1"/>
  <c r="A103" i="1" s="1"/>
  <c r="A113" i="1" s="1"/>
  <c r="A123" i="1" s="1"/>
  <c r="A133" i="1" s="1"/>
  <c r="M61" i="1"/>
  <c r="L61" i="1"/>
  <c r="K61" i="1"/>
  <c r="I61" i="1"/>
  <c r="H61" i="1"/>
  <c r="G61" i="1"/>
  <c r="F61" i="1"/>
  <c r="E61" i="1"/>
  <c r="D61" i="1"/>
  <c r="N60" i="1"/>
  <c r="N59" i="1"/>
  <c r="N58" i="1"/>
  <c r="N57" i="1"/>
  <c r="N56" i="1"/>
  <c r="N55" i="1"/>
  <c r="N61" i="1" s="1"/>
  <c r="N54" i="1"/>
  <c r="M51" i="1"/>
  <c r="L51" i="1"/>
  <c r="K51" i="1"/>
  <c r="I51" i="1"/>
  <c r="H51" i="1"/>
  <c r="G51" i="1"/>
  <c r="F51" i="1"/>
  <c r="E51" i="1"/>
  <c r="D51" i="1"/>
  <c r="N50" i="1"/>
  <c r="N49" i="1"/>
  <c r="N48" i="1"/>
  <c r="N47" i="1"/>
  <c r="N46" i="1"/>
  <c r="N45" i="1"/>
  <c r="N44" i="1"/>
  <c r="M41" i="1"/>
  <c r="L41" i="1"/>
  <c r="K41" i="1"/>
  <c r="I41" i="1"/>
  <c r="H41" i="1"/>
  <c r="G41" i="1"/>
  <c r="F41" i="1"/>
  <c r="E41" i="1"/>
  <c r="D41" i="1"/>
  <c r="N40" i="1"/>
  <c r="N39" i="1"/>
  <c r="N38" i="1"/>
  <c r="N37" i="1"/>
  <c r="N36" i="1"/>
  <c r="N35" i="1"/>
  <c r="N34" i="1"/>
  <c r="M31" i="1"/>
  <c r="L31" i="1"/>
  <c r="K31" i="1"/>
  <c r="I31" i="1"/>
  <c r="H31" i="1"/>
  <c r="G31" i="1"/>
  <c r="F31" i="1"/>
  <c r="E31" i="1"/>
  <c r="D31" i="1"/>
  <c r="N30" i="1"/>
  <c r="N29" i="1"/>
  <c r="N28" i="1"/>
  <c r="N27" i="1"/>
  <c r="N26" i="1"/>
  <c r="N25" i="1"/>
  <c r="N31" i="1" s="1"/>
  <c r="N24" i="1"/>
  <c r="D11" i="1"/>
  <c r="E11" i="1"/>
  <c r="F11" i="1"/>
  <c r="G11" i="1"/>
  <c r="H11" i="1"/>
  <c r="I11" i="1"/>
  <c r="J11" i="1"/>
  <c r="K11" i="1"/>
  <c r="L11" i="1"/>
  <c r="M11" i="1"/>
  <c r="C11" i="1"/>
  <c r="O41" i="3"/>
  <c r="N41" i="3"/>
  <c r="M41" i="3"/>
  <c r="K41" i="3"/>
  <c r="J41" i="3"/>
  <c r="I41" i="3"/>
  <c r="H41" i="3"/>
  <c r="G41" i="3"/>
  <c r="F41" i="3"/>
  <c r="P40" i="3"/>
  <c r="P39" i="3"/>
  <c r="P38" i="3"/>
  <c r="P37" i="3"/>
  <c r="P36" i="3"/>
  <c r="P35" i="3"/>
  <c r="P34" i="3"/>
  <c r="P33" i="3"/>
  <c r="P23" i="3"/>
  <c r="P22" i="3"/>
  <c r="P21" i="3"/>
  <c r="P20" i="3"/>
  <c r="P19" i="3"/>
  <c r="P18" i="3"/>
  <c r="P16" i="3"/>
  <c r="P15" i="3"/>
  <c r="P13" i="3"/>
  <c r="P12" i="3"/>
  <c r="O11" i="3"/>
  <c r="N11" i="3"/>
  <c r="M11" i="3"/>
  <c r="K11" i="3"/>
  <c r="J11" i="3"/>
  <c r="I11" i="3"/>
  <c r="H11" i="3"/>
  <c r="G11" i="3"/>
  <c r="F11" i="3"/>
  <c r="P10" i="3"/>
  <c r="P9" i="3"/>
  <c r="P8" i="3"/>
  <c r="P7" i="3"/>
  <c r="P6" i="3"/>
  <c r="P5" i="3"/>
  <c r="P4" i="3"/>
  <c r="R3" i="3"/>
  <c r="P3" i="3"/>
  <c r="P3" i="1"/>
  <c r="P11" i="3"/>
  <c r="Q15" i="3"/>
  <c r="P41" i="3"/>
  <c r="Q12" i="3"/>
  <c r="Q21" i="3"/>
  <c r="Q18" i="3"/>
  <c r="Q3" i="3"/>
  <c r="Q2" i="3"/>
  <c r="M21" i="1"/>
  <c r="L21" i="1"/>
  <c r="K21" i="1"/>
  <c r="E21" i="1"/>
  <c r="I21" i="1"/>
  <c r="F21" i="1"/>
  <c r="G21" i="1"/>
  <c r="H21" i="1"/>
  <c r="D21" i="1"/>
  <c r="N20" i="1"/>
  <c r="N19" i="1"/>
  <c r="N18" i="1"/>
  <c r="N17" i="1"/>
  <c r="N16" i="1"/>
  <c r="N15" i="1"/>
  <c r="N14" i="1"/>
  <c r="N13" i="1"/>
  <c r="N21" i="1" s="1"/>
  <c r="N3" i="1"/>
  <c r="N4" i="1"/>
  <c r="N5" i="1"/>
  <c r="N6" i="1"/>
  <c r="N7" i="1"/>
  <c r="N8" i="1"/>
  <c r="N9" i="1"/>
  <c r="N10" i="1"/>
  <c r="Q77" i="3"/>
  <c r="O3" i="1" l="1"/>
  <c r="O2" i="1" s="1"/>
  <c r="N11" i="1"/>
  <c r="N111" i="1"/>
  <c r="N201" i="1"/>
  <c r="N101" i="1"/>
  <c r="N151" i="1"/>
  <c r="N191" i="1"/>
  <c r="N301" i="1"/>
  <c r="N331" i="1"/>
  <c r="N341" i="1"/>
  <c r="N351" i="1"/>
  <c r="N401" i="1"/>
  <c r="N482" i="1"/>
  <c r="N493" i="1"/>
  <c r="N51" i="1"/>
  <c r="N421" i="1"/>
  <c r="N559" i="1"/>
  <c r="N592" i="1"/>
  <c r="N614" i="1"/>
  <c r="N91" i="1"/>
  <c r="N141" i="1"/>
  <c r="N221" i="1"/>
  <c r="N241" i="1"/>
  <c r="N251" i="1"/>
  <c r="N291" i="1"/>
  <c r="N311" i="1"/>
  <c r="N41" i="1"/>
  <c r="N81" i="1"/>
  <c r="N261" i="1"/>
  <c r="N281" i="1"/>
  <c r="D441" i="1"/>
  <c r="N461" i="1"/>
  <c r="N504" i="1"/>
  <c r="N515" i="1"/>
  <c r="N526" i="1"/>
  <c r="N581" i="1"/>
  <c r="N625" i="1"/>
  <c r="N636" i="1"/>
  <c r="N424" i="1"/>
  <c r="N431" i="1" s="1"/>
  <c r="N639" i="1"/>
  <c r="N647" i="1" s="1"/>
  <c r="N404" i="1"/>
  <c r="N411" i="1" s="1"/>
  <c r="N384" i="1"/>
  <c r="N391" i="1" s="1"/>
  <c r="AA1" i="2"/>
  <c r="W1" i="2"/>
  <c r="AI1" i="2"/>
  <c r="AC1" i="2"/>
  <c r="K1" i="2"/>
  <c r="AD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NISE-COMPUTER</author>
  </authors>
  <commentList>
    <comment ref="J324" authorId="0" shapeId="0" xr:uid="{70B02CAE-705B-4131-BE23-B3FC198B286E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Dol Utsav</t>
        </r>
      </text>
    </comment>
    <comment ref="J334" authorId="0" shapeId="0" xr:uid="{94B2CD82-93BA-4EE4-B4FD-42A36CC5A410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44" authorId="0" shapeId="0" xr:uid="{2EDC5C2D-4562-411A-8846-3FD66843D0FD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54" authorId="0" shapeId="0" xr:uid="{9739F1BE-D85A-4228-8C43-4C323396742B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64" authorId="0" shapeId="0" xr:uid="{B82486A1-0B5F-4BC4-BBBF-99D9BD6ED244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74" authorId="0" shapeId="0" xr:uid="{F60361DA-45C2-4B0B-A4D4-2BD673B48C6F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84" authorId="0" shapeId="0" xr:uid="{AD0E95FF-2A9B-448A-9C1B-78DE743C602C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394" authorId="0" shapeId="0" xr:uid="{FB04C4F8-EFA8-4061-96DB-15848B4B3EA0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04" authorId="0" shapeId="0" xr:uid="{E492D95D-3B1A-4D95-B2A1-1608C2DC7B70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14" authorId="0" shapeId="0" xr:uid="{F731722E-B479-49E0-8FE4-6D1C96DCFF73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24" authorId="0" shapeId="0" xr:uid="{D62B86E4-B2BC-42D5-9E38-A6B6DCB20B96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34" authorId="0" shapeId="0" xr:uid="{94E30886-F608-4511-8BD0-4FED03898CD7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44" authorId="0" shapeId="0" xr:uid="{50DECB9E-F98A-47CD-B24B-DA7A8B791AD3}">
      <text>
        <r>
          <rPr>
            <b/>
            <sz val="9"/>
            <color indexed="81"/>
            <rFont val="Tahoma"/>
            <family val="2"/>
          </rPr>
          <t>NISE-COMP
Nav vash utsav</t>
        </r>
      </text>
    </comment>
    <comment ref="J454" authorId="0" shapeId="0" xr:uid="{D002609D-8E17-4649-AB3D-8A32CA5663D7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464" authorId="0" shapeId="0" xr:uid="{F002A699-6AC2-4622-B96C-1CE60633F814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474" authorId="0" shapeId="0" xr:uid="{BB2133C9-4B69-4D1A-B1CD-DB00460AAB4B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485" authorId="0" shapeId="0" xr:uid="{E1859851-0A35-4C56-AE41-884287C6BE50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496" authorId="0" shapeId="0" xr:uid="{597AA24D-8EFE-4DA4-8111-F06C4BA1D263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07" authorId="0" shapeId="0" xr:uid="{38D45597-945C-453E-B72B-C290339E16DC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18" authorId="0" shapeId="0" xr:uid="{1414B21E-43EF-4BE8-A79E-0D7A243DA3EA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29" authorId="0" shapeId="0" xr:uid="{645FF97D-A781-4198-8183-F265094B8460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40" authorId="0" shapeId="0" xr:uid="{F14F8177-C940-456E-AB85-1DB947B7FDC9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51" authorId="0" shapeId="0" xr:uid="{D868DDB9-332B-4500-8D95-61734F56B89D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62" authorId="0" shapeId="0" xr:uid="{0B2B741C-3B70-4AE8-9D10-01EE5C4CFD29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73" authorId="0" shapeId="0" xr:uid="{A6BC7D81-83F1-47BC-84A0-764B647A275B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84" authorId="0" shapeId="0" xr:uid="{87130081-D6DC-47DF-AFEA-4E404AD0494E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595" authorId="0" shapeId="0" xr:uid="{252C6D0F-D124-407A-A2B5-B3C6439CD5BF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06" authorId="0" shapeId="0" xr:uid="{D848F34E-9044-43D9-BCA3-5291B91081D7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17" authorId="0" shapeId="0" xr:uid="{D214C4C1-C3F5-4426-BC40-83C00FF66339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28" authorId="0" shapeId="0" xr:uid="{9C85AD0B-C130-4D1E-A01B-55F4A7423113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39" authorId="0" shapeId="0" xr:uid="{DA2ACB00-1936-4511-B7B0-CE93ED1B3669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50" authorId="0" shapeId="0" xr:uid="{CE5409C0-487D-494C-8764-38F114BAD4BF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61" authorId="0" shapeId="0" xr:uid="{646F3010-D85E-420B-8BDD-7851B442B1BD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72" authorId="0" shapeId="0" xr:uid="{8CD910A8-B9B7-48A9-A613-509F47A9ABA0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83" authorId="0" shapeId="0" xr:uid="{04A573EF-714A-4CD6-A9C3-709851A24B3B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694" authorId="0" shapeId="0" xr:uid="{BE9CA478-D037-44D9-B821-81E5904B9314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705" authorId="0" shapeId="0" xr:uid="{B09E19BF-DCC9-4347-AE20-4401866ED018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716" authorId="0" shapeId="0" xr:uid="{E452F262-6855-4289-813E-8269963817F0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727" authorId="0" shapeId="0" xr:uid="{46A1CE8B-AFAE-4ACC-8EE9-46D53F917D37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738" authorId="0" shapeId="0" xr:uid="{ABAD0867-3AAA-4EA9-9740-7A23FE78ABA8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  <comment ref="J749" authorId="0" shapeId="0" xr:uid="{A1AC0BCE-BDA0-4CB0-B2FA-3D142E1CE0AD}">
      <text>
        <r>
          <rPr>
            <b/>
            <sz val="9"/>
            <color indexed="81"/>
            <rFont val="Tahoma"/>
            <family val="2"/>
          </rPr>
          <t>NISE-COMP
Dol utsav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NISE-COMPUTER</author>
    <author>NISE COMPORT</author>
  </authors>
  <commentList>
    <comment ref="A10" authorId="0" shapeId="0" xr:uid="{34D9F773-34E9-4156-8A8E-9DD4E700B9A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ankitagarwal2505@okicici</t>
        </r>
      </text>
    </comment>
    <comment ref="AX21" authorId="0" shapeId="0" xr:uid="{290390D3-0771-4A46-88B9-850E3EF14232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Deoghar</t>
        </r>
      </text>
    </comment>
    <comment ref="A22" authorId="0" shapeId="0" xr:uid="{EF17932A-09F5-413F-B7AF-C6B16A3AC76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sunilguptajsr.76@oksbi</t>
        </r>
      </text>
    </comment>
    <comment ref="AX23" authorId="0" shapeId="0" xr:uid="{FD0946A2-9964-40D2-B396-687D5104D1D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deoghar</t>
        </r>
      </text>
    </comment>
    <comment ref="AI27" authorId="0" shapeId="0" xr:uid="{66B452C7-3FCF-4897-B5BB-28790E056F61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cash depo at deo</t>
        </r>
      </text>
    </comment>
    <comment ref="A28" authorId="0" shapeId="0" xr:uid="{8C3CF064-3B0F-4F28-A442-3FD4146E7E33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500581924500
old code</t>
        </r>
      </text>
    </comment>
    <comment ref="AC28" authorId="0" shapeId="0" xr:uid="{2E589A32-E067-4C3C-A4FA-0BA43BEEAA09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New FC</t>
        </r>
      </text>
    </comment>
    <comment ref="AI29" authorId="0" shapeId="0" xr:uid="{8901F85B-9C3E-4A9B-B5BE-BDD4524F07D4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cash depo at deoghar</t>
        </r>
      </text>
    </comment>
    <comment ref="AL29" authorId="0" shapeId="0" xr:uid="{1E883DD1-412E-4020-B745-1C7F9D6B5145}">
      <text>
        <r>
          <rPr>
            <b/>
            <sz val="9"/>
            <color indexed="81"/>
            <rFont val="Tahoma"/>
            <family val="2"/>
          </rPr>
          <t>NISE-COMPUTER:
deposited at kashidih
sl no 1160</t>
        </r>
      </text>
    </comment>
    <comment ref="AE30" authorId="0" shapeId="0" xr:uid="{93DE2583-EAF4-433B-BCFC-C3AD4D4F9FB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GIVEN TO GNP</t>
        </r>
      </text>
    </comment>
    <comment ref="AG32" authorId="0" shapeId="0" xr:uid="{A39028F4-6D45-470B-8E29-6150179AC11C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direct in kashidih mandir</t>
        </r>
      </text>
    </comment>
    <comment ref="A33" authorId="0" shapeId="0" xr:uid="{18108DAF-4F67-4A1F-B409-45933F18FAD9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dubeychandrika103@oksbi</t>
        </r>
      </text>
    </comment>
    <comment ref="A36" authorId="0" shapeId="0" xr:uid="{DF2C76A5-459E-428A-AA45-2AA9225221D3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501617974411
501617884789
501617923840
501617887615</t>
        </r>
      </text>
    </comment>
    <comment ref="A37" authorId="0" shapeId="0" xr:uid="{67BA3C0D-C103-4B25-B96C-10F53EFE0B8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T-03, Indra nagar colony, Tarcompany, near postoffice, jamshedpur-4</t>
        </r>
      </text>
    </comment>
    <comment ref="B37" authorId="1" shapeId="0" xr:uid="{A0FD1156-4B1C-43EC-9A71-09575E344161}">
      <text>
        <r>
          <rPr>
            <b/>
            <sz val="9"/>
            <color indexed="81"/>
            <rFont val="Tahoma"/>
            <family val="2"/>
          </rPr>
          <t>NISE COMPORT:</t>
        </r>
        <r>
          <rPr>
            <sz val="9"/>
            <color indexed="81"/>
            <rFont val="Tahoma"/>
            <family val="2"/>
          </rPr>
          <t xml:space="preserve">
devnathpriti@oksbi</t>
        </r>
      </text>
    </comment>
    <comment ref="G37" authorId="0" shapeId="0" xr:uid="{471BB040-EEFB-46AE-8AB9-E188D2D74CA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due form 2021</t>
        </r>
      </text>
    </comment>
    <comment ref="A40" authorId="0" shapeId="0" xr:uid="{1F3AEE93-8432-4A59-A54E-896EF4E99DAB}">
      <text>
        <r>
          <rPr>
            <b/>
            <sz val="9"/>
            <color indexed="81"/>
            <rFont val="Tahoma"/>
            <family val="2"/>
          </rPr>
          <t>last due from 28-12-2018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NISE-COMPUTER</author>
  </authors>
  <commentList>
    <comment ref="A27" authorId="0" shapeId="0" xr:uid="{1D213F4F-D845-4AB6-AAA4-3695867B612F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500581924500
old code</t>
        </r>
      </text>
    </comment>
    <comment ref="A35" authorId="0" shapeId="0" xr:uid="{0B94ADDE-B8F4-4F2B-A8F2-6F96D92C26A9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501617974411
501617884789
501617923840
501617887615</t>
        </r>
      </text>
    </comment>
    <comment ref="A36" authorId="0" shapeId="0" xr:uid="{21AFEEE5-361A-4D42-A401-9A8DC39B556B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T-03, Indra nagar colony, Tarcompany, near postoffice, jamshedpur-4</t>
        </r>
      </text>
    </comment>
    <comment ref="F36" authorId="0" shapeId="0" xr:uid="{EC613B41-864C-43C9-BC4D-54BC7279F33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due form 2021</t>
        </r>
      </text>
    </comment>
    <comment ref="A40" authorId="0" shapeId="0" xr:uid="{E3F5FE9B-BA59-4203-A1A5-6BC15FB00BB9}">
      <text>
        <r>
          <rPr>
            <b/>
            <sz val="9"/>
            <color indexed="81"/>
            <rFont val="Tahoma"/>
            <family val="2"/>
          </rPr>
          <t>last due from 28-12-2018</t>
        </r>
      </text>
    </comment>
  </commentList>
</comments>
</file>

<file path=xl/sharedStrings.xml><?xml version="1.0" encoding="utf-8"?>
<sst xmlns="http://schemas.openxmlformats.org/spreadsheetml/2006/main" count="1112" uniqueCount="292">
  <si>
    <t>Swastyayni</t>
  </si>
  <si>
    <t>Ishtbhrity</t>
  </si>
  <si>
    <t>Ritwiki</t>
  </si>
  <si>
    <t>Sangaghani</t>
  </si>
  <si>
    <t>Dakshina</t>
  </si>
  <si>
    <t>Pranami</t>
  </si>
  <si>
    <t>Anandbazar</t>
  </si>
  <si>
    <t>Bhoge</t>
  </si>
  <si>
    <t>Total</t>
  </si>
  <si>
    <t>Name</t>
  </si>
  <si>
    <t>Sanjay</t>
  </si>
  <si>
    <t>chand</t>
  </si>
  <si>
    <t>maa</t>
  </si>
  <si>
    <t>gungun</t>
  </si>
  <si>
    <t>shubham</t>
  </si>
  <si>
    <t>business</t>
  </si>
  <si>
    <t>Period</t>
  </si>
  <si>
    <t>Acharyavriti</t>
  </si>
  <si>
    <t>due</t>
  </si>
  <si>
    <t>1-1-17  to   31-1-17</t>
  </si>
  <si>
    <t>Papa</t>
  </si>
  <si>
    <t>chachi</t>
  </si>
  <si>
    <t>self</t>
  </si>
  <si>
    <t>Rishu Raj</t>
  </si>
  <si>
    <t>Malti Devi</t>
  </si>
  <si>
    <t>charge</t>
  </si>
  <si>
    <t>punam soni</t>
  </si>
  <si>
    <t>santosh soni</t>
  </si>
  <si>
    <t>Anpurna Devi</t>
  </si>
  <si>
    <t>Prakash</t>
  </si>
  <si>
    <t>surajmukhi</t>
  </si>
  <si>
    <t>mother</t>
  </si>
  <si>
    <t>Self</t>
  </si>
  <si>
    <t>Bhabhi</t>
  </si>
  <si>
    <t>completed</t>
  </si>
  <si>
    <t>deposited</t>
  </si>
  <si>
    <t>Fcode</t>
  </si>
  <si>
    <t>Vicky</t>
  </si>
  <si>
    <t>Saroj Agarwal</t>
  </si>
  <si>
    <t>Sk Singh</t>
  </si>
  <si>
    <t>Avadhesh</t>
  </si>
  <si>
    <t>500089103700</t>
  </si>
  <si>
    <t>501017533700</t>
  </si>
  <si>
    <t>Nand Kishore Bhagat</t>
  </si>
  <si>
    <t>Radheshyam Agarwal</t>
  </si>
  <si>
    <t>501617214938</t>
  </si>
  <si>
    <t>Reshma Devi</t>
  </si>
  <si>
    <t>Saroj Paul</t>
  </si>
  <si>
    <t>Piru Gorai</t>
  </si>
  <si>
    <t>Pawan Lal</t>
  </si>
  <si>
    <t>Mobile</t>
  </si>
  <si>
    <t>Punam Bhilai</t>
  </si>
  <si>
    <t>Usha Singh</t>
  </si>
  <si>
    <t xml:space="preserve">  </t>
  </si>
  <si>
    <t xml:space="preserve">   </t>
  </si>
  <si>
    <t>Misc</t>
  </si>
  <si>
    <t>8092156768</t>
  </si>
  <si>
    <t>9031738214</t>
  </si>
  <si>
    <t>Mina Devi</t>
  </si>
  <si>
    <t>Sunil Kr Gupta</t>
  </si>
  <si>
    <t>Rajni Gupta</t>
  </si>
  <si>
    <t>M agarwal</t>
  </si>
  <si>
    <t>R k singh</t>
  </si>
  <si>
    <t>501617072068</t>
  </si>
  <si>
    <t>9431340036</t>
  </si>
  <si>
    <t>002955919700</t>
  </si>
  <si>
    <t>501617404812</t>
  </si>
  <si>
    <t>Shyamapada Chel</t>
  </si>
  <si>
    <t>Basudev Kundu</t>
  </si>
  <si>
    <t>usha singh</t>
  </si>
  <si>
    <t>Neelam Singh</t>
  </si>
  <si>
    <t>ganga da</t>
  </si>
  <si>
    <t>Saraswati ganguli</t>
  </si>
  <si>
    <t>Sushanta Ganguli</t>
  </si>
  <si>
    <t>Saraswati Ganguli</t>
  </si>
  <si>
    <t>Hemant Ganguli</t>
  </si>
  <si>
    <t>Nand Kishore bhagat</t>
  </si>
  <si>
    <t>Sumitra Bhagat</t>
  </si>
  <si>
    <t>Narayan chandra bhattacharjee</t>
  </si>
  <si>
    <t>6200568655</t>
  </si>
  <si>
    <t>6206855833</t>
  </si>
  <si>
    <t>500315327400</t>
  </si>
  <si>
    <t>Arindam Chanda</t>
  </si>
  <si>
    <t>Shampa Banerjee</t>
  </si>
  <si>
    <t>Somnath Biswas</t>
  </si>
  <si>
    <t>Putul Biswas</t>
  </si>
  <si>
    <t>Rajni Kant Sinha</t>
  </si>
  <si>
    <t>Chandan Das</t>
  </si>
  <si>
    <t>8789411147</t>
  </si>
  <si>
    <t>501495166600</t>
  </si>
  <si>
    <t>501058888400</t>
  </si>
  <si>
    <t>501258318900</t>
  </si>
  <si>
    <t>501258343000</t>
  </si>
  <si>
    <t>501345847700</t>
  </si>
  <si>
    <t>Sandhya Banerjee</t>
  </si>
  <si>
    <t>Sampa Banerjee</t>
  </si>
  <si>
    <t>501193321600</t>
  </si>
  <si>
    <t>Ashish Kumar</t>
  </si>
  <si>
    <t>Yamini Srivastava</t>
  </si>
  <si>
    <t>Prashant Kumar</t>
  </si>
  <si>
    <t>Sujib da</t>
  </si>
  <si>
    <t>Mansingh soren</t>
  </si>
  <si>
    <t>OM PRAKSH AGARWAL</t>
  </si>
  <si>
    <t>500772188900</t>
  </si>
  <si>
    <t>501617486131</t>
  </si>
  <si>
    <t>501271100400</t>
  </si>
  <si>
    <t>sl.no.</t>
  </si>
  <si>
    <t>Biswajit Paul</t>
  </si>
  <si>
    <t>501617216766</t>
  </si>
  <si>
    <t>501283155700</t>
  </si>
  <si>
    <t>501617911260</t>
  </si>
  <si>
    <t>Vivek Srivastava</t>
  </si>
  <si>
    <t>501617385107</t>
  </si>
  <si>
    <t>500125370000</t>
  </si>
  <si>
    <t>Divisha Srivastava</t>
  </si>
  <si>
    <t>Bhola Nath Samanta</t>
  </si>
  <si>
    <t>501617887751</t>
  </si>
  <si>
    <t>501479621100</t>
  </si>
  <si>
    <t>501617976724</t>
  </si>
  <si>
    <t>Awadhesh Kumar</t>
  </si>
  <si>
    <t>Sunita Kumri</t>
  </si>
  <si>
    <t>Sujib Da</t>
  </si>
  <si>
    <t>Nibha Bharati</t>
  </si>
  <si>
    <t>Neha Bharati</t>
  </si>
  <si>
    <t>Gyanendra Kumar</t>
  </si>
  <si>
    <t>Dhritiman Singh</t>
  </si>
  <si>
    <t>Ram Kripal singh</t>
  </si>
  <si>
    <t>Y</t>
  </si>
  <si>
    <t>Raja Ganguli(Prashant)</t>
  </si>
  <si>
    <t>Ankit Agarwal</t>
  </si>
  <si>
    <t>Kailash Agarwal</t>
  </si>
  <si>
    <t>Sangita Agarwal</t>
  </si>
  <si>
    <t>Kiran Agarwal</t>
  </si>
  <si>
    <t>Business</t>
  </si>
  <si>
    <t>23/3-12/4</t>
  </si>
  <si>
    <t>9507572746</t>
  </si>
  <si>
    <t>y</t>
  </si>
  <si>
    <t>Y-70</t>
  </si>
  <si>
    <t>Chandrika Dubey</t>
  </si>
  <si>
    <t>Sushila Dubey</t>
  </si>
  <si>
    <t>500442339900</t>
  </si>
  <si>
    <t>Dhul@2023</t>
  </si>
  <si>
    <t>Chel@1986</t>
  </si>
  <si>
    <t>Divi@7751</t>
  </si>
  <si>
    <t>Bana@1600</t>
  </si>
  <si>
    <t>Kash@8900</t>
  </si>
  <si>
    <t>Nath@6131</t>
  </si>
  <si>
    <t>Mina@2068</t>
  </si>
  <si>
    <t>Akku@6600</t>
  </si>
  <si>
    <t>Rishu@5700</t>
  </si>
  <si>
    <t>Dhesh@3700</t>
  </si>
  <si>
    <t>Paul@6766</t>
  </si>
  <si>
    <t>Usha@5107</t>
  </si>
  <si>
    <t>Dube@9900</t>
  </si>
  <si>
    <t>501449570800</t>
  </si>
  <si>
    <t>501449568600</t>
  </si>
  <si>
    <t>Fua+ malti</t>
  </si>
  <si>
    <t>Damdam@1260</t>
  </si>
  <si>
    <t>Sonu@4938</t>
  </si>
  <si>
    <t>Gorai@1100</t>
  </si>
  <si>
    <t>Guli@7400</t>
  </si>
  <si>
    <t>Singh Da</t>
  </si>
  <si>
    <t>000124786700</t>
  </si>
  <si>
    <t>Kripal@6700</t>
  </si>
  <si>
    <t>Dayal@7588</t>
  </si>
  <si>
    <t>TOTAL</t>
  </si>
  <si>
    <t>UPDATE</t>
  </si>
  <si>
    <t>7</t>
  </si>
  <si>
    <t>6</t>
  </si>
  <si>
    <t>1</t>
  </si>
  <si>
    <t>3</t>
  </si>
  <si>
    <t>2</t>
  </si>
  <si>
    <t>5</t>
  </si>
  <si>
    <t>Pending</t>
  </si>
  <si>
    <t xml:space="preserve">neha </t>
  </si>
  <si>
    <t>gyanendra</t>
  </si>
  <si>
    <t>501618056230</t>
  </si>
  <si>
    <t>Maity@6230</t>
  </si>
  <si>
    <t>Sinha@1110</t>
  </si>
  <si>
    <t>Jayanti Sengupta</t>
  </si>
  <si>
    <t>Debashish Sengupta</t>
  </si>
  <si>
    <t>500870631000</t>
  </si>
  <si>
    <t>501214867900</t>
  </si>
  <si>
    <t>Alok Mahato</t>
  </si>
  <si>
    <t>Soni@7900</t>
  </si>
  <si>
    <t>70</t>
  </si>
  <si>
    <t>500972199100</t>
  </si>
  <si>
    <t>Ashok Sahu</t>
  </si>
  <si>
    <t>Gupta@1000</t>
  </si>
  <si>
    <t>Ganesh Pandit</t>
  </si>
  <si>
    <t>Manju Mahato</t>
  </si>
  <si>
    <t>501617098886</t>
  </si>
  <si>
    <t>Nand@8900</t>
  </si>
  <si>
    <t>Somnath Maity</t>
  </si>
  <si>
    <t>500787029900</t>
  </si>
  <si>
    <t>Pandit@9900</t>
  </si>
  <si>
    <t>Bindeshwr Singh</t>
  </si>
  <si>
    <t>500956565500</t>
  </si>
  <si>
    <t>Singh@5500</t>
  </si>
  <si>
    <t>03-03-2021</t>
  </si>
  <si>
    <t>Mahato@8886</t>
  </si>
  <si>
    <t>4</t>
  </si>
  <si>
    <t>0</t>
  </si>
  <si>
    <t>Gadai@5016</t>
  </si>
  <si>
    <t>Gadai Da</t>
  </si>
  <si>
    <t>501617584176</t>
  </si>
  <si>
    <t>Date</t>
  </si>
  <si>
    <t>000095683000</t>
  </si>
  <si>
    <t>Pran@3000</t>
  </si>
  <si>
    <t>Pran Gopal Mahato</t>
  </si>
  <si>
    <t>500315324000</t>
  </si>
  <si>
    <t>Sima@4000</t>
  </si>
  <si>
    <t>Sima Mahato/jyotsna</t>
  </si>
  <si>
    <t>500315325800</t>
  </si>
  <si>
    <t>Puja@5800</t>
  </si>
  <si>
    <t>Puja Mahato</t>
  </si>
  <si>
    <t>501618374884</t>
  </si>
  <si>
    <t>Gorai@5016</t>
  </si>
  <si>
    <t>Mallika Gorai</t>
  </si>
  <si>
    <t>501618399774</t>
  </si>
  <si>
    <t>Mahato@2024</t>
  </si>
  <si>
    <t>Jyotsna Mahato</t>
  </si>
  <si>
    <t>005777701200</t>
  </si>
  <si>
    <t>Shaw@1200</t>
  </si>
  <si>
    <t>sila shaw</t>
  </si>
  <si>
    <t>500821093400</t>
  </si>
  <si>
    <t>Nandy@3400</t>
  </si>
  <si>
    <t>Tapan Kr Nandy</t>
  </si>
  <si>
    <t>Rupa Sharma</t>
  </si>
  <si>
    <t>Kashish Sharma</t>
  </si>
  <si>
    <t>Harsh Sharma</t>
  </si>
  <si>
    <t>005735907500</t>
  </si>
  <si>
    <t>SomeR@68</t>
  </si>
  <si>
    <t>Bratish Kumar</t>
  </si>
  <si>
    <t>501618478547</t>
  </si>
  <si>
    <t>004128578600</t>
  </si>
  <si>
    <t>Ajit Ghosh</t>
  </si>
  <si>
    <t>Ghosh@8600</t>
  </si>
  <si>
    <t>7805015160</t>
  </si>
  <si>
    <t>T Mem</t>
  </si>
  <si>
    <t>Pen</t>
  </si>
  <si>
    <t>sumitra gorai</t>
  </si>
  <si>
    <t>deepak gorai</t>
  </si>
  <si>
    <t>sujib kr mandal</t>
  </si>
  <si>
    <t>DEPO</t>
  </si>
  <si>
    <t>UP</t>
  </si>
  <si>
    <t>014180577734</t>
  </si>
  <si>
    <t>500245406800</t>
  </si>
  <si>
    <t>mahato@6800</t>
  </si>
  <si>
    <t>Debu mahato</t>
  </si>
  <si>
    <t>Jamuna@2025</t>
  </si>
  <si>
    <t>Deepali Mahata</t>
  </si>
  <si>
    <t>Mahata@1943</t>
  </si>
  <si>
    <t>501618191943</t>
  </si>
  <si>
    <t>501618463073</t>
  </si>
  <si>
    <t>Jamuna Singh</t>
  </si>
  <si>
    <t>Jayanti Paul</t>
  </si>
  <si>
    <t>501617953762</t>
  </si>
  <si>
    <t>002121958300</t>
  </si>
  <si>
    <t>Sagar@8300</t>
  </si>
  <si>
    <t>Bidyasagar Das</t>
  </si>
  <si>
    <t>Gorai@7734</t>
  </si>
  <si>
    <t>501617177488</t>
  </si>
  <si>
    <t>Riya@7488</t>
  </si>
  <si>
    <t>Pramila Mahato</t>
  </si>
  <si>
    <t>Mahato@7827</t>
  </si>
  <si>
    <t>T-109</t>
  </si>
  <si>
    <t>501618477827</t>
  </si>
  <si>
    <t>501618477830</t>
  </si>
  <si>
    <t>Mahato@7830</t>
  </si>
  <si>
    <t>Pratima Mahato</t>
  </si>
  <si>
    <t>501618535173</t>
  </si>
  <si>
    <t>Mahato@5173</t>
  </si>
  <si>
    <t>Mahendra Mahato</t>
  </si>
  <si>
    <t>pd</t>
  </si>
  <si>
    <t>500947095600</t>
  </si>
  <si>
    <t>Bela prajapati</t>
  </si>
  <si>
    <t>8210160188</t>
  </si>
  <si>
    <t>9031392691</t>
  </si>
  <si>
    <t>005705430400</t>
  </si>
  <si>
    <t>Bhushan Da</t>
  </si>
  <si>
    <t>500675079600</t>
  </si>
  <si>
    <t>Bindu Lama</t>
  </si>
  <si>
    <t>K2-15 CR3</t>
  </si>
  <si>
    <t>date</t>
  </si>
  <si>
    <t>particular</t>
  </si>
  <si>
    <t>amout</t>
  </si>
  <si>
    <t>balance</t>
  </si>
  <si>
    <t>SWASTYAYANI FUND</t>
  </si>
  <si>
    <t>Myself</t>
  </si>
  <si>
    <t>Wife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</si>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</sst>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rgb="FF7030A0"/>
      <name val="Adobe Gothic Std B"/>
      <family val="2"/>
      <charset val="128"/>
    </font>
    <font>
      <b/>
      <sz val="11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9" fontId="9" fillId="0" borderId="0" xfId="0" applyNumberFormat="1" applyFont="1" applyAlignment="1">
      <alignment horizontal="left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1" xfId="0" applyFill="1" applyBorder="1"/>
    <xf numFmtId="0" fontId="0" fillId="4" borderId="1" xfId="0" applyFill="1" applyBorder="1" applyAlignment="1">
      <alignment horizontal="right"/>
    </xf>
    <xf numFmtId="1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5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1"/>
    <xf numFmtId="49" fontId="14" fillId="0" borderId="0" xfId="0" applyNumberFormat="1" applyFont="1" applyAlignment="1">
      <alignment horizontal="left"/>
    </xf>
    <xf numFmtId="0" fontId="0" fillId="9" borderId="0" xfId="0" applyFill="1"/>
    <xf numFmtId="49" fontId="0" fillId="0" borderId="0" xfId="0" applyNumberFormat="1"/>
    <xf numFmtId="49" fontId="12" fillId="0" borderId="0" xfId="1" applyNumberFormat="1" applyAlignment="1">
      <alignment horizontal="left"/>
    </xf>
    <xf numFmtId="0" fontId="15" fillId="0" borderId="0" xfId="0" applyFont="1"/>
    <xf numFmtId="0" fontId="13" fillId="2" borderId="0" xfId="0" applyFont="1" applyFill="1" applyAlignment="1">
      <alignment horizontal="right"/>
    </xf>
    <xf numFmtId="0" fontId="15" fillId="2" borderId="0" xfId="0" applyFont="1" applyFill="1"/>
    <xf numFmtId="0" fontId="0" fillId="10" borderId="0" xfId="0" applyFill="1"/>
    <xf numFmtId="0" fontId="1" fillId="11" borderId="0" xfId="0" applyFont="1" applyFill="1"/>
    <xf numFmtId="49" fontId="1" fillId="11" borderId="0" xfId="0" applyNumberFormat="1" applyFont="1" applyFill="1" applyAlignment="1">
      <alignment horizontal="left"/>
    </xf>
    <xf numFmtId="0" fontId="0" fillId="9" borderId="0" xfId="0" applyFill="1" applyAlignment="1">
      <alignment horizontal="right"/>
    </xf>
    <xf numFmtId="0" fontId="13" fillId="3" borderId="0" xfId="0" applyFont="1" applyFill="1" applyAlignment="1">
      <alignment horizontal="right"/>
    </xf>
    <xf numFmtId="0" fontId="16" fillId="2" borderId="0" xfId="0" applyFont="1" applyFill="1"/>
    <xf numFmtId="9" fontId="0" fillId="0" borderId="0" xfId="0" applyNumberFormat="1"/>
    <xf numFmtId="1" fontId="17" fillId="12" borderId="0" xfId="0" applyNumberFormat="1" applyFont="1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3" fillId="0" borderId="0" xfId="0" applyFont="1" applyAlignment="1">
      <alignment horizontal="center" vertical="center" textRotation="90"/>
    </xf>
    <xf numFmtId="0" fontId="0" fillId="2" borderId="0" xfId="0" applyFill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hato@2024" TargetMode="External"/><Relationship Id="rId13" Type="http://schemas.openxmlformats.org/officeDocument/2006/relationships/hyperlink" Target="mailto:mahato@6800" TargetMode="External"/><Relationship Id="rId18" Type="http://schemas.openxmlformats.org/officeDocument/2006/relationships/hyperlink" Target="mailto:Riya@7488" TargetMode="External"/><Relationship Id="rId3" Type="http://schemas.openxmlformats.org/officeDocument/2006/relationships/hyperlink" Target="mailto:Gadai@5016" TargetMode="External"/><Relationship Id="rId21" Type="http://schemas.openxmlformats.org/officeDocument/2006/relationships/hyperlink" Target="mailto:Mahato@5173" TargetMode="External"/><Relationship Id="rId7" Type="http://schemas.openxmlformats.org/officeDocument/2006/relationships/hyperlink" Target="mailto:Gorai@5016" TargetMode="External"/><Relationship Id="rId12" Type="http://schemas.openxmlformats.org/officeDocument/2006/relationships/hyperlink" Target="mailto:Ghosh@8600" TargetMode="External"/><Relationship Id="rId17" Type="http://schemas.openxmlformats.org/officeDocument/2006/relationships/hyperlink" Target="mailto:Gorai@7734" TargetMode="External"/><Relationship Id="rId2" Type="http://schemas.openxmlformats.org/officeDocument/2006/relationships/hyperlink" Target="mailto:Mahato@8886" TargetMode="External"/><Relationship Id="rId16" Type="http://schemas.openxmlformats.org/officeDocument/2006/relationships/hyperlink" Target="mailto:Sagar@8300" TargetMode="External"/><Relationship Id="rId20" Type="http://schemas.openxmlformats.org/officeDocument/2006/relationships/hyperlink" Target="mailto:Mahato@7830" TargetMode="External"/><Relationship Id="rId1" Type="http://schemas.openxmlformats.org/officeDocument/2006/relationships/hyperlink" Target="mailto:Singh@5500" TargetMode="External"/><Relationship Id="rId6" Type="http://schemas.openxmlformats.org/officeDocument/2006/relationships/hyperlink" Target="mailto:Puja@5800" TargetMode="External"/><Relationship Id="rId11" Type="http://schemas.openxmlformats.org/officeDocument/2006/relationships/hyperlink" Target="mailto:SomeR@68" TargetMode="External"/><Relationship Id="rId24" Type="http://schemas.openxmlformats.org/officeDocument/2006/relationships/comments" Target="../comments2.xml"/><Relationship Id="rId5" Type="http://schemas.openxmlformats.org/officeDocument/2006/relationships/hyperlink" Target="mailto:Sima@4000" TargetMode="External"/><Relationship Id="rId15" Type="http://schemas.openxmlformats.org/officeDocument/2006/relationships/hyperlink" Target="mailto:Mahata@1943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mailto:Nandy@3400" TargetMode="External"/><Relationship Id="rId19" Type="http://schemas.openxmlformats.org/officeDocument/2006/relationships/hyperlink" Target="mailto:Mahato@7827" TargetMode="External"/><Relationship Id="rId4" Type="http://schemas.openxmlformats.org/officeDocument/2006/relationships/hyperlink" Target="mailto:Pran@3000" TargetMode="External"/><Relationship Id="rId9" Type="http://schemas.openxmlformats.org/officeDocument/2006/relationships/hyperlink" Target="mailto:Shaw@1200" TargetMode="External"/><Relationship Id="rId14" Type="http://schemas.openxmlformats.org/officeDocument/2006/relationships/hyperlink" Target="mailto:Jamuna@2025" TargetMode="External"/><Relationship Id="rId22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R108"/>
  <sheetViews>
    <sheetView zoomScale="85" zoomScaleNormal="85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K96" sqref="K96"/>
    </sheetView>
  </sheetViews>
  <sheetFormatPr defaultRowHeight="14.4" outlineLevelRow="1" outlineLevelCol="1" x14ac:dyDescent="0.3"/>
  <cols>
    <col min="1" max="1" width="20" customWidth="1"/>
    <col min="2" max="2" width="20" style="5" customWidth="1"/>
    <col min="3" max="3" width="17.88671875" customWidth="1"/>
    <col min="4" max="4" width="5.33203125" style="5" customWidth="1" outlineLevel="1"/>
    <col min="5" max="5" width="9.109375" customWidth="1" outlineLevel="1"/>
    <col min="6" max="6" width="9.109375" style="5" customWidth="1" outlineLevel="1"/>
    <col min="7" max="7" width="9.109375" customWidth="1" outlineLevel="1"/>
    <col min="8" max="11" width="9.109375" style="5" customWidth="1" outlineLevel="1"/>
    <col min="13" max="15" width="9.109375" customWidth="1" outlineLevel="1"/>
    <col min="16" max="16" width="9.109375" style="5"/>
    <col min="17" max="17" width="9.6640625" style="10" customWidth="1"/>
    <col min="18" max="18" width="9.109375" style="3"/>
  </cols>
  <sheetData>
    <row r="1" spans="1:18" x14ac:dyDescent="0.3">
      <c r="C1" s="4">
        <v>43277</v>
      </c>
    </row>
    <row r="2" spans="1:18" s="1" customFormat="1" ht="10.199999999999999" x14ac:dyDescent="0.2">
      <c r="B2" s="6" t="s">
        <v>106</v>
      </c>
      <c r="C2" s="1" t="s">
        <v>9</v>
      </c>
      <c r="D2" s="6" t="s">
        <v>16</v>
      </c>
      <c r="E2" s="1" t="s">
        <v>0</v>
      </c>
      <c r="F2" s="6" t="s">
        <v>1</v>
      </c>
      <c r="G2" s="1" t="s">
        <v>17</v>
      </c>
      <c r="H2" s="6" t="s">
        <v>4</v>
      </c>
      <c r="I2" s="6" t="s">
        <v>3</v>
      </c>
      <c r="J2" s="6" t="s">
        <v>2</v>
      </c>
      <c r="K2" s="6" t="s">
        <v>5</v>
      </c>
      <c r="M2" s="1" t="s">
        <v>6</v>
      </c>
      <c r="N2" s="1" t="s">
        <v>7</v>
      </c>
      <c r="O2" s="1" t="s">
        <v>25</v>
      </c>
      <c r="P2" s="6" t="s">
        <v>8</v>
      </c>
      <c r="Q2" s="7">
        <f>SUM(Q3:Q23)</f>
        <v>964</v>
      </c>
      <c r="R2" s="2" t="s">
        <v>18</v>
      </c>
    </row>
    <row r="3" spans="1:18" ht="15" customHeight="1" outlineLevel="1" x14ac:dyDescent="0.3">
      <c r="A3" s="83" t="s">
        <v>19</v>
      </c>
      <c r="B3" s="16"/>
      <c r="C3" t="s">
        <v>10</v>
      </c>
      <c r="D3" s="5">
        <v>1</v>
      </c>
      <c r="E3">
        <v>3</v>
      </c>
      <c r="F3" s="5">
        <v>450</v>
      </c>
      <c r="G3">
        <v>30</v>
      </c>
      <c r="H3" s="5">
        <v>3</v>
      </c>
      <c r="I3" s="5">
        <v>1</v>
      </c>
      <c r="J3" s="5">
        <v>5</v>
      </c>
      <c r="K3" s="5">
        <v>48</v>
      </c>
      <c r="N3" s="5"/>
      <c r="P3" s="5">
        <f t="shared" ref="P3:P16" si="0">SUM(E3:O3)*D3</f>
        <v>540</v>
      </c>
      <c r="Q3" s="79">
        <f>SUM(P3:P10)</f>
        <v>922</v>
      </c>
      <c r="R3" s="79">
        <f>922-862</f>
        <v>60</v>
      </c>
    </row>
    <row r="4" spans="1:18" outlineLevel="1" x14ac:dyDescent="0.3">
      <c r="A4" s="83"/>
      <c r="B4" s="16"/>
      <c r="C4" t="s">
        <v>11</v>
      </c>
      <c r="D4" s="5">
        <v>1</v>
      </c>
      <c r="F4" s="5">
        <v>60</v>
      </c>
      <c r="H4" s="5">
        <v>1.25</v>
      </c>
      <c r="I4" s="5">
        <v>0.75</v>
      </c>
      <c r="J4" s="5">
        <v>2</v>
      </c>
      <c r="K4" s="5">
        <v>11</v>
      </c>
      <c r="P4" s="5">
        <f t="shared" si="0"/>
        <v>75</v>
      </c>
      <c r="Q4" s="79"/>
      <c r="R4" s="79"/>
    </row>
    <row r="5" spans="1:18" outlineLevel="1" x14ac:dyDescent="0.3">
      <c r="A5" s="83"/>
      <c r="B5" s="16"/>
      <c r="C5" t="s">
        <v>12</v>
      </c>
      <c r="D5" s="5">
        <v>1</v>
      </c>
      <c r="F5" s="5">
        <v>30</v>
      </c>
      <c r="H5" s="5">
        <v>1.25</v>
      </c>
      <c r="I5" s="5">
        <v>0.75</v>
      </c>
      <c r="J5" s="5">
        <v>3</v>
      </c>
      <c r="K5" s="5">
        <v>6</v>
      </c>
      <c r="P5" s="5">
        <f t="shared" si="0"/>
        <v>41</v>
      </c>
      <c r="Q5" s="79"/>
      <c r="R5" s="79"/>
    </row>
    <row r="6" spans="1:18" outlineLevel="1" x14ac:dyDescent="0.3">
      <c r="A6" s="83"/>
      <c r="B6" s="16"/>
      <c r="C6" t="s">
        <v>20</v>
      </c>
      <c r="D6" s="5">
        <v>1</v>
      </c>
      <c r="F6" s="5">
        <v>30</v>
      </c>
      <c r="H6" s="5">
        <v>1.25</v>
      </c>
      <c r="I6" s="5">
        <v>0.75</v>
      </c>
      <c r="J6" s="5">
        <v>3</v>
      </c>
      <c r="K6" s="5">
        <v>6</v>
      </c>
      <c r="P6" s="5">
        <f t="shared" si="0"/>
        <v>41</v>
      </c>
      <c r="Q6" s="79"/>
      <c r="R6" s="79"/>
    </row>
    <row r="7" spans="1:18" outlineLevel="1" x14ac:dyDescent="0.3">
      <c r="A7" s="83"/>
      <c r="B7" s="16"/>
      <c r="C7" t="s">
        <v>13</v>
      </c>
      <c r="D7" s="5">
        <v>1</v>
      </c>
      <c r="F7" s="5">
        <v>30</v>
      </c>
      <c r="H7" s="5">
        <v>1.25</v>
      </c>
      <c r="I7" s="5">
        <v>0.75</v>
      </c>
      <c r="J7" s="5">
        <v>3</v>
      </c>
      <c r="K7" s="5">
        <v>5</v>
      </c>
      <c r="P7" s="5">
        <f t="shared" si="0"/>
        <v>40</v>
      </c>
      <c r="Q7" s="79"/>
      <c r="R7" s="79"/>
    </row>
    <row r="8" spans="1:18" outlineLevel="1" x14ac:dyDescent="0.3">
      <c r="A8" s="83"/>
      <c r="B8" s="16"/>
      <c r="C8" t="s">
        <v>14</v>
      </c>
      <c r="D8" s="5">
        <v>1</v>
      </c>
      <c r="F8" s="5">
        <v>150</v>
      </c>
      <c r="H8" s="5">
        <v>1.25</v>
      </c>
      <c r="I8" s="5">
        <v>0.75</v>
      </c>
      <c r="J8" s="5">
        <v>3</v>
      </c>
      <c r="P8" s="5">
        <f t="shared" si="0"/>
        <v>155</v>
      </c>
      <c r="Q8" s="79"/>
      <c r="R8" s="79"/>
    </row>
    <row r="9" spans="1:18" outlineLevel="1" x14ac:dyDescent="0.3">
      <c r="A9" s="83"/>
      <c r="B9" s="16"/>
      <c r="C9" t="s">
        <v>15</v>
      </c>
      <c r="D9" s="5">
        <v>1</v>
      </c>
      <c r="F9" s="5">
        <v>30</v>
      </c>
      <c r="P9" s="5">
        <f t="shared" si="0"/>
        <v>30</v>
      </c>
      <c r="Q9" s="79"/>
      <c r="R9" s="79"/>
    </row>
    <row r="10" spans="1:18" outlineLevel="1" x14ac:dyDescent="0.3">
      <c r="A10" s="83"/>
      <c r="B10" s="16"/>
      <c r="C10" t="s">
        <v>23</v>
      </c>
      <c r="D10" s="5">
        <v>1</v>
      </c>
      <c r="P10" s="5">
        <f t="shared" si="0"/>
        <v>0</v>
      </c>
      <c r="Q10" s="79"/>
    </row>
    <row r="11" spans="1:18" outlineLevel="1" x14ac:dyDescent="0.3">
      <c r="A11" s="16"/>
      <c r="B11" s="16"/>
      <c r="E11" s="14">
        <v>3</v>
      </c>
      <c r="F11" s="15">
        <f>SUM(F3:F10)</f>
        <v>780</v>
      </c>
      <c r="G11" s="14">
        <f>SUM(G3:G10)</f>
        <v>30</v>
      </c>
      <c r="H11" s="15">
        <f>SUM(H3:H10)</f>
        <v>9.25</v>
      </c>
      <c r="I11" s="15">
        <f t="shared" ref="I11:P11" si="1">SUM(I3:I10)</f>
        <v>4.75</v>
      </c>
      <c r="J11" s="15">
        <f>SUM(J3:J10)</f>
        <v>19</v>
      </c>
      <c r="K11" s="15">
        <f t="shared" si="1"/>
        <v>76</v>
      </c>
      <c r="M11" s="14">
        <f t="shared" si="1"/>
        <v>0</v>
      </c>
      <c r="N11" s="14">
        <f t="shared" si="1"/>
        <v>0</v>
      </c>
      <c r="O11" s="14">
        <f t="shared" si="1"/>
        <v>0</v>
      </c>
      <c r="P11" s="15">
        <f t="shared" si="1"/>
        <v>922</v>
      </c>
    </row>
    <row r="12" spans="1:18" outlineLevel="1" x14ac:dyDescent="0.3">
      <c r="A12" s="16"/>
      <c r="B12" s="16"/>
      <c r="C12" t="s">
        <v>21</v>
      </c>
      <c r="D12" s="5">
        <v>0</v>
      </c>
      <c r="F12" s="5">
        <v>30</v>
      </c>
      <c r="H12" s="5">
        <v>1.5</v>
      </c>
      <c r="I12" s="5">
        <v>0.5</v>
      </c>
      <c r="J12" s="5">
        <v>2</v>
      </c>
      <c r="K12" s="5">
        <v>6</v>
      </c>
      <c r="P12" s="5">
        <f t="shared" si="0"/>
        <v>0</v>
      </c>
      <c r="Q12" s="10">
        <f>SUM(P12:P14)</f>
        <v>0</v>
      </c>
    </row>
    <row r="13" spans="1:18" outlineLevel="1" x14ac:dyDescent="0.3">
      <c r="A13" s="16"/>
      <c r="B13" s="16"/>
      <c r="D13" s="5">
        <v>0</v>
      </c>
      <c r="F13" s="5">
        <v>30</v>
      </c>
      <c r="H13" s="5">
        <v>1.5</v>
      </c>
      <c r="I13" s="5">
        <v>0.5</v>
      </c>
      <c r="J13" s="5">
        <v>2</v>
      </c>
      <c r="K13" s="5">
        <v>6</v>
      </c>
      <c r="P13" s="5">
        <f t="shared" si="0"/>
        <v>0</v>
      </c>
    </row>
    <row r="14" spans="1:18" outlineLevel="1" x14ac:dyDescent="0.3">
      <c r="A14" s="16"/>
      <c r="B14" s="16"/>
    </row>
    <row r="15" spans="1:18" outlineLevel="1" x14ac:dyDescent="0.3">
      <c r="A15" s="16"/>
      <c r="B15" s="16"/>
      <c r="C15" t="s">
        <v>26</v>
      </c>
      <c r="D15" s="5">
        <v>0</v>
      </c>
      <c r="F15" s="5">
        <v>30</v>
      </c>
      <c r="H15" s="5">
        <v>1</v>
      </c>
      <c r="I15" s="5">
        <v>1</v>
      </c>
      <c r="J15" s="5">
        <v>2</v>
      </c>
      <c r="K15" s="5">
        <v>6</v>
      </c>
      <c r="P15" s="5">
        <f t="shared" si="0"/>
        <v>0</v>
      </c>
      <c r="Q15" s="79">
        <f>SUM(P15:P16)</f>
        <v>0</v>
      </c>
    </row>
    <row r="16" spans="1:18" outlineLevel="1" x14ac:dyDescent="0.3">
      <c r="C16" t="s">
        <v>27</v>
      </c>
      <c r="D16" s="5">
        <v>0</v>
      </c>
      <c r="F16" s="5">
        <v>30</v>
      </c>
      <c r="H16" s="5">
        <v>1</v>
      </c>
      <c r="I16" s="5">
        <v>1</v>
      </c>
      <c r="J16" s="5">
        <v>2</v>
      </c>
      <c r="K16" s="5">
        <v>6</v>
      </c>
      <c r="P16" s="5">
        <f t="shared" si="0"/>
        <v>0</v>
      </c>
      <c r="Q16" s="79"/>
    </row>
    <row r="17" spans="3:17" outlineLevel="1" x14ac:dyDescent="0.3">
      <c r="Q17" s="11"/>
    </row>
    <row r="18" spans="3:17" outlineLevel="1" x14ac:dyDescent="0.3">
      <c r="C18" t="s">
        <v>29</v>
      </c>
      <c r="D18" s="5">
        <v>0</v>
      </c>
      <c r="F18" s="5">
        <v>30</v>
      </c>
      <c r="H18" s="5">
        <v>1</v>
      </c>
      <c r="I18" s="5">
        <v>1</v>
      </c>
      <c r="J18" s="5">
        <v>2</v>
      </c>
      <c r="K18" s="5">
        <v>1</v>
      </c>
      <c r="P18" s="5">
        <f>SUM(E18:O18)*D18</f>
        <v>0</v>
      </c>
      <c r="Q18" s="10">
        <f>SUM(P18:P20)</f>
        <v>0</v>
      </c>
    </row>
    <row r="19" spans="3:17" outlineLevel="1" x14ac:dyDescent="0.3">
      <c r="C19" t="s">
        <v>30</v>
      </c>
      <c r="D19" s="5">
        <v>0</v>
      </c>
      <c r="F19" s="5">
        <v>30</v>
      </c>
      <c r="H19" s="5">
        <v>1</v>
      </c>
      <c r="I19" s="5">
        <v>1</v>
      </c>
      <c r="J19" s="5">
        <v>2</v>
      </c>
      <c r="K19" s="5">
        <v>1</v>
      </c>
      <c r="P19" s="5">
        <f>SUM(E19:O19)*D19</f>
        <v>0</v>
      </c>
    </row>
    <row r="20" spans="3:17" outlineLevel="1" x14ac:dyDescent="0.3">
      <c r="C20" t="s">
        <v>31</v>
      </c>
      <c r="D20" s="5">
        <v>0</v>
      </c>
      <c r="F20" s="5">
        <v>30</v>
      </c>
      <c r="H20" s="5">
        <v>1</v>
      </c>
      <c r="I20" s="5">
        <v>1</v>
      </c>
      <c r="J20" s="5">
        <v>2</v>
      </c>
      <c r="K20" s="5">
        <v>1</v>
      </c>
      <c r="P20" s="5">
        <f>SUM(E20:O20)*D20</f>
        <v>0</v>
      </c>
    </row>
    <row r="21" spans="3:17" outlineLevel="1" x14ac:dyDescent="0.3">
      <c r="C21" t="s">
        <v>24</v>
      </c>
      <c r="D21" s="5">
        <v>0</v>
      </c>
      <c r="F21" s="5">
        <v>30</v>
      </c>
      <c r="H21" s="5">
        <v>1</v>
      </c>
      <c r="I21" s="5">
        <v>1</v>
      </c>
      <c r="J21" s="5">
        <v>2</v>
      </c>
      <c r="K21" s="5">
        <v>6</v>
      </c>
      <c r="P21" s="5">
        <f t="shared" ref="P21:P22" si="2">SUM(E21:O21)*D21</f>
        <v>0</v>
      </c>
      <c r="Q21" s="79">
        <f>SUM(P21:P25)</f>
        <v>42</v>
      </c>
    </row>
    <row r="22" spans="3:17" outlineLevel="1" x14ac:dyDescent="0.3">
      <c r="C22" t="s">
        <v>28</v>
      </c>
      <c r="D22" s="5">
        <v>0</v>
      </c>
      <c r="F22" s="5">
        <v>30</v>
      </c>
      <c r="H22" s="5">
        <v>1</v>
      </c>
      <c r="I22" s="5">
        <v>1</v>
      </c>
      <c r="J22" s="5">
        <v>2</v>
      </c>
      <c r="K22" s="5">
        <v>6</v>
      </c>
      <c r="P22" s="5">
        <f t="shared" si="2"/>
        <v>0</v>
      </c>
      <c r="Q22" s="79"/>
    </row>
    <row r="23" spans="3:17" outlineLevel="1" x14ac:dyDescent="0.3">
      <c r="F23" s="5">
        <v>30</v>
      </c>
      <c r="H23" s="5">
        <v>0.5</v>
      </c>
      <c r="I23" s="5">
        <v>0.5</v>
      </c>
      <c r="K23" s="5">
        <v>11</v>
      </c>
      <c r="P23" s="5">
        <f>SUM(D23:N23)</f>
        <v>42</v>
      </c>
      <c r="Q23" s="79"/>
    </row>
    <row r="24" spans="3:17" outlineLevel="1" x14ac:dyDescent="0.3">
      <c r="Q24" s="79"/>
    </row>
    <row r="25" spans="3:17" outlineLevel="1" x14ac:dyDescent="0.3">
      <c r="Q25" s="79"/>
    </row>
    <row r="26" spans="3:17" outlineLevel="1" x14ac:dyDescent="0.3">
      <c r="G26" s="5"/>
      <c r="M26" s="5"/>
      <c r="N26" s="5"/>
      <c r="O26" s="5"/>
      <c r="Q26" s="79"/>
    </row>
    <row r="33" spans="1:16" x14ac:dyDescent="0.3">
      <c r="C33" t="s">
        <v>10</v>
      </c>
      <c r="D33" s="5">
        <v>1</v>
      </c>
      <c r="E33">
        <v>3</v>
      </c>
      <c r="F33" s="5">
        <v>450</v>
      </c>
      <c r="G33">
        <v>30</v>
      </c>
      <c r="H33" s="5">
        <v>11</v>
      </c>
      <c r="I33" s="5">
        <v>2</v>
      </c>
      <c r="J33" s="5">
        <v>5</v>
      </c>
      <c r="K33" s="5">
        <v>71</v>
      </c>
      <c r="N33" s="5">
        <v>20</v>
      </c>
      <c r="P33" s="5">
        <f t="shared" ref="P33:P40" si="3">SUM(E33:O33)*D33</f>
        <v>592</v>
      </c>
    </row>
    <row r="34" spans="1:16" x14ac:dyDescent="0.3">
      <c r="C34" t="s">
        <v>11</v>
      </c>
      <c r="D34" s="5">
        <v>1</v>
      </c>
      <c r="F34" s="5">
        <v>60</v>
      </c>
      <c r="H34" s="5">
        <v>0.6</v>
      </c>
      <c r="I34" s="5">
        <v>0.4</v>
      </c>
      <c r="J34" s="5">
        <v>2</v>
      </c>
      <c r="K34" s="5">
        <v>11</v>
      </c>
      <c r="P34" s="5">
        <f t="shared" si="3"/>
        <v>74</v>
      </c>
    </row>
    <row r="35" spans="1:16" x14ac:dyDescent="0.3">
      <c r="C35" t="s">
        <v>12</v>
      </c>
      <c r="D35" s="5">
        <v>1</v>
      </c>
      <c r="F35" s="5">
        <v>30</v>
      </c>
      <c r="H35" s="5">
        <v>0.6</v>
      </c>
      <c r="I35" s="5">
        <v>0.4</v>
      </c>
      <c r="J35" s="5">
        <v>3</v>
      </c>
      <c r="K35" s="5">
        <v>6</v>
      </c>
      <c r="P35" s="5">
        <f t="shared" si="3"/>
        <v>40</v>
      </c>
    </row>
    <row r="36" spans="1:16" x14ac:dyDescent="0.3">
      <c r="C36" t="s">
        <v>20</v>
      </c>
      <c r="D36" s="5">
        <v>1</v>
      </c>
      <c r="F36" s="5">
        <v>30</v>
      </c>
      <c r="H36" s="5">
        <v>0.6</v>
      </c>
      <c r="I36" s="5">
        <v>0.4</v>
      </c>
      <c r="J36" s="5">
        <v>3</v>
      </c>
      <c r="K36" s="5">
        <v>6</v>
      </c>
      <c r="P36" s="5">
        <f t="shared" si="3"/>
        <v>40</v>
      </c>
    </row>
    <row r="37" spans="1:16" x14ac:dyDescent="0.3">
      <c r="C37" t="s">
        <v>13</v>
      </c>
      <c r="D37" s="5">
        <v>1</v>
      </c>
      <c r="F37" s="5">
        <v>30</v>
      </c>
      <c r="H37" s="5">
        <v>0.6</v>
      </c>
      <c r="I37" s="5">
        <v>0.4</v>
      </c>
      <c r="J37" s="5">
        <v>3</v>
      </c>
      <c r="K37" s="5">
        <v>3</v>
      </c>
      <c r="P37" s="5">
        <f t="shared" si="3"/>
        <v>37</v>
      </c>
    </row>
    <row r="38" spans="1:16" x14ac:dyDescent="0.3">
      <c r="C38" t="s">
        <v>14</v>
      </c>
      <c r="D38" s="5">
        <v>1</v>
      </c>
      <c r="F38" s="5">
        <v>60</v>
      </c>
      <c r="H38" s="5">
        <v>0.6</v>
      </c>
      <c r="I38" s="5">
        <v>0.4</v>
      </c>
      <c r="J38" s="5">
        <v>3</v>
      </c>
      <c r="K38" s="5">
        <v>505</v>
      </c>
      <c r="P38" s="5">
        <f t="shared" si="3"/>
        <v>569</v>
      </c>
    </row>
    <row r="39" spans="1:16" x14ac:dyDescent="0.3">
      <c r="C39" t="s">
        <v>15</v>
      </c>
      <c r="D39" s="5">
        <v>1</v>
      </c>
      <c r="F39" s="5">
        <v>30</v>
      </c>
      <c r="P39" s="5">
        <f t="shared" si="3"/>
        <v>30</v>
      </c>
    </row>
    <row r="40" spans="1:16" x14ac:dyDescent="0.3">
      <c r="C40" t="s">
        <v>23</v>
      </c>
      <c r="D40" s="5">
        <v>1</v>
      </c>
      <c r="F40" s="5">
        <v>30</v>
      </c>
      <c r="H40" s="5">
        <v>0.6</v>
      </c>
      <c r="I40" s="5">
        <v>0.4</v>
      </c>
      <c r="J40" s="5">
        <v>3</v>
      </c>
      <c r="K40" s="5">
        <v>6</v>
      </c>
      <c r="P40" s="5">
        <f t="shared" si="3"/>
        <v>40</v>
      </c>
    </row>
    <row r="41" spans="1:16" x14ac:dyDescent="0.3">
      <c r="E41" s="14">
        <v>3</v>
      </c>
      <c r="F41" s="15">
        <f>SUM(F33:F40)</f>
        <v>720</v>
      </c>
      <c r="G41" s="14">
        <f>SUM(G33:G40)</f>
        <v>30</v>
      </c>
      <c r="H41" s="15">
        <f>SUM(H33:H40)</f>
        <v>14.599999999999998</v>
      </c>
      <c r="I41" s="15">
        <f t="shared" ref="I41:P41" si="4">SUM(I33:I40)</f>
        <v>4.3999999999999995</v>
      </c>
      <c r="J41" s="15">
        <f>SUM(J33:J40)</f>
        <v>22</v>
      </c>
      <c r="K41" s="15">
        <f t="shared" si="4"/>
        <v>608</v>
      </c>
      <c r="M41" s="14">
        <f t="shared" si="4"/>
        <v>0</v>
      </c>
      <c r="N41" s="14">
        <f t="shared" si="4"/>
        <v>20</v>
      </c>
      <c r="O41" s="14">
        <f t="shared" si="4"/>
        <v>0</v>
      </c>
      <c r="P41" s="15">
        <f t="shared" si="4"/>
        <v>1422</v>
      </c>
    </row>
    <row r="46" spans="1:16" x14ac:dyDescent="0.3">
      <c r="A46" s="41" t="s">
        <v>58</v>
      </c>
      <c r="B46" s="40"/>
      <c r="C46" s="40" t="s">
        <v>62</v>
      </c>
      <c r="D46" s="40">
        <v>1</v>
      </c>
      <c r="E46" s="41"/>
      <c r="F46" s="40">
        <v>30</v>
      </c>
      <c r="G46" s="41">
        <v>0</v>
      </c>
      <c r="H46" s="40">
        <v>0.75</v>
      </c>
      <c r="I46" s="40">
        <v>0.25</v>
      </c>
      <c r="J46" s="40">
        <v>2</v>
      </c>
      <c r="K46" s="40">
        <v>2</v>
      </c>
      <c r="L46" s="41"/>
      <c r="M46" s="41"/>
      <c r="N46" s="41"/>
      <c r="O46" s="41"/>
      <c r="P46" s="40">
        <f>SUM(F46:O46)*D46</f>
        <v>35</v>
      </c>
    </row>
    <row r="47" spans="1:16" x14ac:dyDescent="0.3">
      <c r="A47" s="41" t="s">
        <v>59</v>
      </c>
      <c r="B47" s="40"/>
      <c r="C47" s="40" t="s">
        <v>61</v>
      </c>
      <c r="D47" s="40">
        <v>1</v>
      </c>
      <c r="E47" s="41"/>
      <c r="F47" s="40">
        <v>30</v>
      </c>
      <c r="G47" s="41"/>
      <c r="H47" s="40">
        <v>0.75</v>
      </c>
      <c r="I47" s="40">
        <v>0.25</v>
      </c>
      <c r="J47" s="40">
        <v>2</v>
      </c>
      <c r="K47" s="40">
        <v>2</v>
      </c>
      <c r="L47" s="41"/>
      <c r="M47" s="41"/>
      <c r="N47" s="41"/>
      <c r="O47" s="41"/>
      <c r="P47" s="40">
        <f t="shared" ref="P47:P48" si="5">SUM(F47:O47)*D47</f>
        <v>35</v>
      </c>
    </row>
    <row r="48" spans="1:16" x14ac:dyDescent="0.3">
      <c r="A48" s="41" t="s">
        <v>60</v>
      </c>
      <c r="B48" s="40"/>
      <c r="C48" s="40" t="s">
        <v>61</v>
      </c>
      <c r="D48" s="40">
        <v>1</v>
      </c>
      <c r="E48" s="41"/>
      <c r="F48" s="40">
        <v>30</v>
      </c>
      <c r="G48" s="41"/>
      <c r="H48" s="40">
        <v>0.75</v>
      </c>
      <c r="I48" s="40">
        <v>0.25</v>
      </c>
      <c r="J48" s="40">
        <v>2</v>
      </c>
      <c r="K48" s="40">
        <v>2</v>
      </c>
      <c r="L48" s="41"/>
      <c r="M48" s="41"/>
      <c r="N48" s="41"/>
      <c r="O48" s="41"/>
      <c r="P48" s="40">
        <f t="shared" si="5"/>
        <v>35</v>
      </c>
    </row>
    <row r="49" spans="1:17" x14ac:dyDescent="0.3">
      <c r="P49" s="5">
        <f>SUM(P46:P48)</f>
        <v>105</v>
      </c>
    </row>
    <row r="50" spans="1:17" x14ac:dyDescent="0.3">
      <c r="A50" s="38" t="s">
        <v>69</v>
      </c>
      <c r="B50" s="38"/>
      <c r="C50" s="39" t="s">
        <v>71</v>
      </c>
      <c r="D50" s="38">
        <v>1</v>
      </c>
      <c r="E50" s="39"/>
      <c r="F50" s="38">
        <v>30</v>
      </c>
      <c r="G50" s="39"/>
      <c r="H50" s="38">
        <v>0.75</v>
      </c>
      <c r="I50" s="38">
        <v>0.25</v>
      </c>
      <c r="J50" s="38">
        <v>2</v>
      </c>
      <c r="K50" s="38">
        <v>2</v>
      </c>
      <c r="L50" s="39"/>
      <c r="M50" s="39"/>
      <c r="N50" s="39"/>
      <c r="O50" s="39"/>
      <c r="P50" s="38">
        <f>SUM(F50:K50)*D50</f>
        <v>35</v>
      </c>
    </row>
    <row r="51" spans="1:17" x14ac:dyDescent="0.3">
      <c r="A51" s="38" t="s">
        <v>70</v>
      </c>
      <c r="B51" s="38"/>
      <c r="C51" s="39" t="s">
        <v>71</v>
      </c>
      <c r="D51" s="38">
        <v>1</v>
      </c>
      <c r="E51" s="39"/>
      <c r="F51" s="38">
        <v>30</v>
      </c>
      <c r="G51" s="39"/>
      <c r="H51" s="38">
        <v>0.75</v>
      </c>
      <c r="I51" s="38">
        <v>0.25</v>
      </c>
      <c r="J51" s="38">
        <v>2</v>
      </c>
      <c r="K51" s="38">
        <v>2</v>
      </c>
      <c r="L51" s="39"/>
      <c r="M51" s="39"/>
      <c r="N51" s="39"/>
      <c r="O51" s="39"/>
      <c r="P51" s="38">
        <f>SUM(F51:K51)*D51</f>
        <v>35</v>
      </c>
    </row>
    <row r="52" spans="1:17" x14ac:dyDescent="0.3">
      <c r="P52" s="5">
        <f t="shared" ref="P52:P56" si="6">SUM(F52:K52)*D52</f>
        <v>0</v>
      </c>
    </row>
    <row r="53" spans="1:17" x14ac:dyDescent="0.3">
      <c r="A53" s="42" t="s">
        <v>73</v>
      </c>
      <c r="B53" s="43"/>
      <c r="C53" s="42" t="s">
        <v>71</v>
      </c>
      <c r="D53" s="43">
        <v>1</v>
      </c>
      <c r="E53" s="42"/>
      <c r="F53" s="43">
        <v>30</v>
      </c>
      <c r="G53" s="42"/>
      <c r="H53" s="43">
        <v>0.75</v>
      </c>
      <c r="I53" s="43">
        <v>0.25</v>
      </c>
      <c r="J53" s="43">
        <v>2</v>
      </c>
      <c r="K53" s="43">
        <v>2</v>
      </c>
      <c r="L53" s="42"/>
      <c r="M53" s="42"/>
      <c r="N53" s="42"/>
      <c r="O53" s="42"/>
      <c r="P53" s="43">
        <f t="shared" si="6"/>
        <v>35</v>
      </c>
    </row>
    <row r="54" spans="1:17" x14ac:dyDescent="0.3">
      <c r="A54" s="42" t="s">
        <v>74</v>
      </c>
      <c r="B54" s="43"/>
      <c r="C54" s="42" t="s">
        <v>71</v>
      </c>
      <c r="D54" s="43">
        <v>1</v>
      </c>
      <c r="E54" s="42"/>
      <c r="F54" s="43">
        <v>30</v>
      </c>
      <c r="G54" s="42"/>
      <c r="H54" s="43">
        <v>0.75</v>
      </c>
      <c r="I54" s="43">
        <v>0.25</v>
      </c>
      <c r="J54" s="43">
        <v>2</v>
      </c>
      <c r="K54" s="43">
        <v>2</v>
      </c>
      <c r="L54" s="42"/>
      <c r="M54" s="42"/>
      <c r="N54" s="42"/>
      <c r="O54" s="42"/>
      <c r="P54" s="43">
        <f t="shared" si="6"/>
        <v>35</v>
      </c>
    </row>
    <row r="55" spans="1:17" x14ac:dyDescent="0.3">
      <c r="A55" s="42" t="s">
        <v>128</v>
      </c>
      <c r="B55" s="43"/>
      <c r="C55" s="42" t="s">
        <v>71</v>
      </c>
      <c r="D55" s="43">
        <v>1</v>
      </c>
      <c r="E55" s="42"/>
      <c r="F55" s="43">
        <v>30</v>
      </c>
      <c r="G55" s="42"/>
      <c r="H55" s="43">
        <v>0.75</v>
      </c>
      <c r="I55" s="43">
        <v>0.25</v>
      </c>
      <c r="J55" s="43">
        <v>2</v>
      </c>
      <c r="K55" s="43">
        <v>2</v>
      </c>
      <c r="L55" s="42"/>
      <c r="M55" s="42"/>
      <c r="N55" s="42"/>
      <c r="O55" s="42"/>
      <c r="P55" s="43">
        <f t="shared" si="6"/>
        <v>35</v>
      </c>
    </row>
    <row r="56" spans="1:17" x14ac:dyDescent="0.3">
      <c r="A56" s="42" t="s">
        <v>75</v>
      </c>
      <c r="B56" s="43"/>
      <c r="C56" s="42" t="s">
        <v>71</v>
      </c>
      <c r="D56" s="43">
        <v>1</v>
      </c>
      <c r="E56" s="42"/>
      <c r="F56" s="43">
        <v>30</v>
      </c>
      <c r="G56" s="42"/>
      <c r="H56" s="43">
        <v>0.75</v>
      </c>
      <c r="I56" s="43">
        <v>0.25</v>
      </c>
      <c r="J56" s="43">
        <v>2</v>
      </c>
      <c r="K56" s="43">
        <v>2</v>
      </c>
      <c r="L56" s="42"/>
      <c r="M56" s="42"/>
      <c r="N56" s="42"/>
      <c r="O56" s="42"/>
      <c r="P56" s="43">
        <f t="shared" si="6"/>
        <v>35</v>
      </c>
    </row>
    <row r="58" spans="1:17" x14ac:dyDescent="0.3">
      <c r="A58" s="44" t="s">
        <v>76</v>
      </c>
      <c r="B58" s="81"/>
      <c r="C58" s="82" t="s">
        <v>78</v>
      </c>
      <c r="D58" s="45">
        <v>1</v>
      </c>
      <c r="E58" s="44"/>
      <c r="F58" s="45">
        <v>30</v>
      </c>
      <c r="G58" s="44"/>
      <c r="H58" s="45">
        <v>1.25</v>
      </c>
      <c r="I58" s="45">
        <v>0.75</v>
      </c>
      <c r="J58" s="45">
        <v>3</v>
      </c>
      <c r="K58" s="45">
        <v>7</v>
      </c>
      <c r="L58" s="44"/>
      <c r="M58" s="44"/>
      <c r="N58" s="44"/>
      <c r="O58" s="44"/>
      <c r="P58" s="45">
        <f t="shared" ref="P58" si="7">SUM(F58:K58)*D58</f>
        <v>42</v>
      </c>
      <c r="Q58" s="79">
        <f>SUM(P58:P59)</f>
        <v>84</v>
      </c>
    </row>
    <row r="59" spans="1:17" x14ac:dyDescent="0.3">
      <c r="A59" s="44" t="s">
        <v>77</v>
      </c>
      <c r="B59" s="81"/>
      <c r="C59" s="82"/>
      <c r="D59" s="45">
        <v>1</v>
      </c>
      <c r="E59" s="44"/>
      <c r="F59" s="45">
        <v>30</v>
      </c>
      <c r="G59" s="44"/>
      <c r="H59" s="45">
        <v>1.25</v>
      </c>
      <c r="I59" s="45">
        <v>0.75</v>
      </c>
      <c r="J59" s="45">
        <v>3</v>
      </c>
      <c r="K59" s="45">
        <v>7</v>
      </c>
      <c r="L59" s="44"/>
      <c r="M59" s="44"/>
      <c r="N59" s="44"/>
      <c r="O59" s="44"/>
      <c r="P59" s="45">
        <f t="shared" ref="P59" si="8">SUM(F59:K59)*D59</f>
        <v>42</v>
      </c>
      <c r="Q59" s="79"/>
    </row>
    <row r="61" spans="1:17" x14ac:dyDescent="0.3">
      <c r="A61" s="19" t="s">
        <v>84</v>
      </c>
      <c r="B61" s="17">
        <v>88170225</v>
      </c>
      <c r="C61" s="84" t="s">
        <v>87</v>
      </c>
      <c r="D61" s="17">
        <v>1</v>
      </c>
      <c r="E61" s="19"/>
      <c r="F61" s="17">
        <v>30</v>
      </c>
      <c r="G61" s="19"/>
      <c r="H61" s="17">
        <v>1.25</v>
      </c>
      <c r="I61" s="17">
        <v>0.75</v>
      </c>
      <c r="J61" s="17">
        <v>3</v>
      </c>
      <c r="K61" s="17">
        <v>5</v>
      </c>
      <c r="L61" s="19"/>
      <c r="M61" s="19"/>
      <c r="N61" s="19"/>
      <c r="O61" s="19"/>
      <c r="P61" s="17">
        <f t="shared" ref="P61" si="9">SUM(F61:K61)*D61</f>
        <v>40</v>
      </c>
    </row>
    <row r="62" spans="1:17" x14ac:dyDescent="0.3">
      <c r="A62" s="19" t="s">
        <v>85</v>
      </c>
      <c r="B62" s="17">
        <v>88170254</v>
      </c>
      <c r="C62" s="84"/>
      <c r="D62" s="17">
        <v>1</v>
      </c>
      <c r="E62" s="19"/>
      <c r="F62" s="17">
        <v>30</v>
      </c>
      <c r="G62" s="19"/>
      <c r="H62" s="17">
        <v>1.25</v>
      </c>
      <c r="I62" s="17">
        <v>0.75</v>
      </c>
      <c r="J62" s="17">
        <v>3</v>
      </c>
      <c r="K62" s="17">
        <v>5</v>
      </c>
      <c r="L62" s="19"/>
      <c r="M62" s="19"/>
      <c r="N62" s="19"/>
      <c r="O62" s="19"/>
      <c r="P62" s="17">
        <f t="shared" ref="P62" si="10">SUM(F62:K62)*D62</f>
        <v>40</v>
      </c>
    </row>
    <row r="64" spans="1:17" x14ac:dyDescent="0.3">
      <c r="A64" s="42" t="s">
        <v>97</v>
      </c>
      <c r="B64" s="80"/>
      <c r="C64" s="42" t="s">
        <v>100</v>
      </c>
      <c r="D64" s="43">
        <v>1</v>
      </c>
      <c r="E64" s="42"/>
      <c r="F64" s="43">
        <v>30</v>
      </c>
      <c r="G64" s="42"/>
      <c r="H64" s="43">
        <v>1.25</v>
      </c>
      <c r="I64" s="43">
        <v>0.75</v>
      </c>
      <c r="J64" s="43">
        <v>3</v>
      </c>
      <c r="K64" s="43">
        <v>5</v>
      </c>
      <c r="L64" s="42"/>
      <c r="M64" s="42"/>
      <c r="N64" s="42"/>
      <c r="O64" s="42"/>
      <c r="P64" s="43">
        <f t="shared" ref="P64:P75" si="11">SUM(F64:K64)*D64</f>
        <v>40</v>
      </c>
      <c r="Q64" s="79">
        <f>SUM(P64:P67)</f>
        <v>140</v>
      </c>
    </row>
    <row r="65" spans="1:17" x14ac:dyDescent="0.3">
      <c r="A65" s="42" t="s">
        <v>98</v>
      </c>
      <c r="B65" s="80"/>
      <c r="C65" s="42" t="s">
        <v>100</v>
      </c>
      <c r="D65" s="43">
        <v>1</v>
      </c>
      <c r="E65" s="42"/>
      <c r="F65" s="43">
        <v>30</v>
      </c>
      <c r="G65" s="42"/>
      <c r="H65" s="43">
        <v>1.25</v>
      </c>
      <c r="I65" s="43">
        <v>0.75</v>
      </c>
      <c r="J65" s="43">
        <v>3</v>
      </c>
      <c r="K65" s="43"/>
      <c r="L65" s="42"/>
      <c r="M65" s="42"/>
      <c r="N65" s="42"/>
      <c r="O65" s="42"/>
      <c r="P65" s="43">
        <f t="shared" si="11"/>
        <v>35</v>
      </c>
      <c r="Q65" s="79"/>
    </row>
    <row r="66" spans="1:17" x14ac:dyDescent="0.3">
      <c r="A66" s="42" t="s">
        <v>99</v>
      </c>
      <c r="B66" s="80"/>
      <c r="C66" s="42" t="s">
        <v>100</v>
      </c>
      <c r="D66" s="43">
        <v>1</v>
      </c>
      <c r="E66" s="42"/>
      <c r="F66" s="43">
        <v>30</v>
      </c>
      <c r="G66" s="42"/>
      <c r="H66" s="43">
        <v>1.25</v>
      </c>
      <c r="I66" s="43">
        <v>0.75</v>
      </c>
      <c r="J66" s="43">
        <v>3</v>
      </c>
      <c r="K66" s="43"/>
      <c r="L66" s="42"/>
      <c r="M66" s="42"/>
      <c r="N66" s="42"/>
      <c r="O66" s="42"/>
      <c r="P66" s="43">
        <f t="shared" si="11"/>
        <v>35</v>
      </c>
      <c r="Q66" s="79"/>
    </row>
    <row r="67" spans="1:17" x14ac:dyDescent="0.3">
      <c r="A67" s="42" t="s">
        <v>114</v>
      </c>
      <c r="B67" s="43"/>
      <c r="C67" s="42"/>
      <c r="D67" s="43">
        <v>1</v>
      </c>
      <c r="E67" s="42"/>
      <c r="F67" s="43">
        <v>30</v>
      </c>
      <c r="G67" s="42"/>
      <c r="H67" s="43"/>
      <c r="I67" s="43"/>
      <c r="J67" s="43"/>
      <c r="K67" s="43"/>
      <c r="L67" s="42"/>
      <c r="M67" s="42"/>
      <c r="N67" s="42"/>
      <c r="O67" s="42"/>
      <c r="P67" s="43">
        <f t="shared" si="11"/>
        <v>30</v>
      </c>
    </row>
    <row r="69" spans="1:17" x14ac:dyDescent="0.3">
      <c r="A69" s="41" t="s">
        <v>107</v>
      </c>
      <c r="B69" s="40"/>
      <c r="C69" s="41" t="s">
        <v>115</v>
      </c>
      <c r="D69" s="40">
        <v>1</v>
      </c>
      <c r="E69" s="41"/>
      <c r="F69" s="40">
        <v>30</v>
      </c>
      <c r="G69" s="41"/>
      <c r="H69" s="40">
        <v>0.75</v>
      </c>
      <c r="I69" s="40">
        <v>0.25</v>
      </c>
      <c r="J69" s="40">
        <v>2</v>
      </c>
      <c r="K69" s="40">
        <v>2</v>
      </c>
      <c r="L69" s="41"/>
      <c r="M69" s="41"/>
      <c r="N69" s="41"/>
      <c r="O69" s="41"/>
      <c r="P69" s="40">
        <f t="shared" si="11"/>
        <v>35</v>
      </c>
    </row>
    <row r="71" spans="1:17" x14ac:dyDescent="0.3">
      <c r="A71" s="54" t="s">
        <v>119</v>
      </c>
      <c r="B71" s="55"/>
      <c r="C71" s="54" t="s">
        <v>121</v>
      </c>
      <c r="D71" s="55">
        <v>1</v>
      </c>
      <c r="E71" s="54"/>
      <c r="F71" s="55">
        <v>30</v>
      </c>
      <c r="G71" s="54"/>
      <c r="H71" s="55">
        <v>1.25</v>
      </c>
      <c r="I71" s="55">
        <v>0.75</v>
      </c>
      <c r="J71" s="55">
        <v>3</v>
      </c>
      <c r="K71" s="55">
        <v>5</v>
      </c>
      <c r="L71" s="54"/>
      <c r="M71" s="54"/>
      <c r="N71" s="54"/>
      <c r="O71" s="54"/>
      <c r="P71" s="55">
        <f t="shared" si="11"/>
        <v>40</v>
      </c>
      <c r="Q71" s="79">
        <f>SUM(P71:P75)</f>
        <v>200</v>
      </c>
    </row>
    <row r="72" spans="1:17" x14ac:dyDescent="0.3">
      <c r="A72" s="54" t="s">
        <v>120</v>
      </c>
      <c r="B72" s="55"/>
      <c r="C72" s="54" t="s">
        <v>121</v>
      </c>
      <c r="D72" s="55">
        <v>1</v>
      </c>
      <c r="E72" s="54"/>
      <c r="F72" s="55">
        <v>30</v>
      </c>
      <c r="G72" s="54"/>
      <c r="H72" s="55">
        <v>1.25</v>
      </c>
      <c r="I72" s="55">
        <v>0.75</v>
      </c>
      <c r="J72" s="55">
        <v>3</v>
      </c>
      <c r="K72" s="55">
        <v>5</v>
      </c>
      <c r="L72" s="54"/>
      <c r="M72" s="54"/>
      <c r="N72" s="54"/>
      <c r="O72" s="54"/>
      <c r="P72" s="55">
        <f t="shared" si="11"/>
        <v>40</v>
      </c>
      <c r="Q72" s="79"/>
    </row>
    <row r="73" spans="1:17" x14ac:dyDescent="0.3">
      <c r="A73" s="54" t="s">
        <v>122</v>
      </c>
      <c r="B73" s="55"/>
      <c r="C73" s="54" t="s">
        <v>125</v>
      </c>
      <c r="D73" s="55">
        <v>1</v>
      </c>
      <c r="E73" s="54"/>
      <c r="F73" s="55">
        <v>30</v>
      </c>
      <c r="G73" s="54"/>
      <c r="H73" s="55">
        <v>1.25</v>
      </c>
      <c r="I73" s="55">
        <v>0.75</v>
      </c>
      <c r="J73" s="55">
        <v>3</v>
      </c>
      <c r="K73" s="55">
        <v>5</v>
      </c>
      <c r="L73" s="54"/>
      <c r="M73" s="54"/>
      <c r="N73" s="54"/>
      <c r="O73" s="54"/>
      <c r="P73" s="55">
        <f t="shared" si="11"/>
        <v>40</v>
      </c>
      <c r="Q73" s="79"/>
    </row>
    <row r="74" spans="1:17" x14ac:dyDescent="0.3">
      <c r="A74" s="54" t="s">
        <v>123</v>
      </c>
      <c r="B74" s="55"/>
      <c r="C74" s="54" t="s">
        <v>126</v>
      </c>
      <c r="D74" s="55">
        <v>1</v>
      </c>
      <c r="E74" s="54"/>
      <c r="F74" s="55">
        <v>30</v>
      </c>
      <c r="G74" s="54"/>
      <c r="H74" s="55">
        <v>1.25</v>
      </c>
      <c r="I74" s="55">
        <v>0.75</v>
      </c>
      <c r="J74" s="55">
        <v>3</v>
      </c>
      <c r="K74" s="55">
        <v>5</v>
      </c>
      <c r="L74" s="54"/>
      <c r="M74" s="54"/>
      <c r="N74" s="54"/>
      <c r="O74" s="54"/>
      <c r="P74" s="55">
        <f t="shared" si="11"/>
        <v>40</v>
      </c>
      <c r="Q74" s="79"/>
    </row>
    <row r="75" spans="1:17" x14ac:dyDescent="0.3">
      <c r="A75" s="54" t="s">
        <v>124</v>
      </c>
      <c r="B75" s="55"/>
      <c r="C75" s="54" t="s">
        <v>126</v>
      </c>
      <c r="D75" s="55">
        <v>1</v>
      </c>
      <c r="E75" s="54"/>
      <c r="F75" s="55">
        <v>30</v>
      </c>
      <c r="G75" s="54"/>
      <c r="H75" s="55">
        <v>1.25</v>
      </c>
      <c r="I75" s="55">
        <v>0.75</v>
      </c>
      <c r="J75" s="55">
        <v>3</v>
      </c>
      <c r="K75" s="55">
        <v>5</v>
      </c>
      <c r="L75" s="54"/>
      <c r="M75" s="54"/>
      <c r="N75" s="54"/>
      <c r="O75" s="54"/>
      <c r="P75" s="55">
        <f t="shared" si="11"/>
        <v>40</v>
      </c>
      <c r="Q75" s="79"/>
    </row>
    <row r="77" spans="1:17" x14ac:dyDescent="0.3">
      <c r="A77" s="56" t="s">
        <v>38</v>
      </c>
      <c r="B77" s="57"/>
      <c r="C77" s="56" t="s">
        <v>126</v>
      </c>
      <c r="D77" s="57">
        <v>1</v>
      </c>
      <c r="E77" s="56"/>
      <c r="F77" s="57">
        <v>30</v>
      </c>
      <c r="G77" s="56"/>
      <c r="H77" s="57">
        <v>1.25</v>
      </c>
      <c r="I77" s="57">
        <v>0.75</v>
      </c>
      <c r="J77" s="57">
        <v>3</v>
      </c>
      <c r="K77" s="57">
        <v>5</v>
      </c>
      <c r="L77" s="56"/>
      <c r="M77" s="56">
        <v>11</v>
      </c>
      <c r="N77" s="56"/>
      <c r="O77" s="56"/>
      <c r="P77" s="57">
        <f>SUM(F77:O77)*D77</f>
        <v>51</v>
      </c>
      <c r="Q77" s="79">
        <f>SUM(P77:P82)</f>
        <v>255</v>
      </c>
    </row>
    <row r="78" spans="1:17" x14ac:dyDescent="0.3">
      <c r="A78" s="56" t="s">
        <v>129</v>
      </c>
      <c r="B78" s="57"/>
      <c r="C78" s="56" t="s">
        <v>126</v>
      </c>
      <c r="D78" s="57">
        <v>1</v>
      </c>
      <c r="E78" s="56"/>
      <c r="F78" s="57">
        <v>30</v>
      </c>
      <c r="G78" s="56"/>
      <c r="H78" s="57">
        <v>1.25</v>
      </c>
      <c r="I78" s="57">
        <v>0.75</v>
      </c>
      <c r="J78" s="57">
        <v>3</v>
      </c>
      <c r="K78" s="57">
        <v>2</v>
      </c>
      <c r="L78" s="56"/>
      <c r="M78" s="56"/>
      <c r="N78" s="56"/>
      <c r="O78" s="56"/>
      <c r="P78" s="57">
        <f t="shared" ref="P78:P82" si="12">SUM(F78:O78)*D78</f>
        <v>37</v>
      </c>
      <c r="Q78" s="79"/>
    </row>
    <row r="79" spans="1:17" x14ac:dyDescent="0.3">
      <c r="A79" s="56" t="s">
        <v>130</v>
      </c>
      <c r="B79" s="57"/>
      <c r="C79" s="56" t="s">
        <v>100</v>
      </c>
      <c r="D79" s="57">
        <v>1</v>
      </c>
      <c r="E79" s="56"/>
      <c r="F79" s="57">
        <v>30</v>
      </c>
      <c r="G79" s="56"/>
      <c r="H79" s="57">
        <v>1.25</v>
      </c>
      <c r="I79" s="57">
        <v>0.75</v>
      </c>
      <c r="J79" s="57">
        <v>3</v>
      </c>
      <c r="K79" s="57">
        <v>2</v>
      </c>
      <c r="L79" s="56"/>
      <c r="M79" s="56"/>
      <c r="N79" s="56"/>
      <c r="O79" s="56"/>
      <c r="P79" s="57">
        <f t="shared" si="12"/>
        <v>37</v>
      </c>
      <c r="Q79" s="79"/>
    </row>
    <row r="80" spans="1:17" x14ac:dyDescent="0.3">
      <c r="A80" s="56" t="s">
        <v>131</v>
      </c>
      <c r="B80" s="57"/>
      <c r="C80" s="56" t="s">
        <v>100</v>
      </c>
      <c r="D80" s="57">
        <v>1</v>
      </c>
      <c r="E80" s="56"/>
      <c r="F80" s="57">
        <v>30</v>
      </c>
      <c r="G80" s="56"/>
      <c r="H80" s="57">
        <v>1.25</v>
      </c>
      <c r="I80" s="57">
        <v>0.75</v>
      </c>
      <c r="J80" s="57">
        <v>2</v>
      </c>
      <c r="K80" s="57">
        <v>1</v>
      </c>
      <c r="L80" s="56"/>
      <c r="M80" s="56"/>
      <c r="N80" s="56"/>
      <c r="O80" s="56"/>
      <c r="P80" s="57">
        <f t="shared" si="12"/>
        <v>35</v>
      </c>
      <c r="Q80" s="79"/>
    </row>
    <row r="81" spans="1:17" x14ac:dyDescent="0.3">
      <c r="A81" s="56" t="s">
        <v>132</v>
      </c>
      <c r="B81" s="57"/>
      <c r="C81" s="56" t="s">
        <v>100</v>
      </c>
      <c r="D81" s="57">
        <v>1</v>
      </c>
      <c r="E81" s="56"/>
      <c r="F81" s="57">
        <v>30</v>
      </c>
      <c r="G81" s="56"/>
      <c r="H81" s="57">
        <v>1.25</v>
      </c>
      <c r="I81" s="57">
        <v>0.75</v>
      </c>
      <c r="J81" s="57">
        <v>2</v>
      </c>
      <c r="K81" s="57">
        <v>1</v>
      </c>
      <c r="L81" s="56"/>
      <c r="M81" s="56"/>
      <c r="N81" s="56"/>
      <c r="O81" s="56"/>
      <c r="P81" s="57">
        <f t="shared" si="12"/>
        <v>35</v>
      </c>
      <c r="Q81" s="79"/>
    </row>
    <row r="82" spans="1:17" x14ac:dyDescent="0.3">
      <c r="A82" s="56" t="s">
        <v>133</v>
      </c>
      <c r="B82" s="57"/>
      <c r="C82" s="56"/>
      <c r="D82" s="57">
        <v>1</v>
      </c>
      <c r="E82" s="56"/>
      <c r="F82" s="57">
        <v>60</v>
      </c>
      <c r="G82" s="56"/>
      <c r="H82" s="57"/>
      <c r="I82" s="57"/>
      <c r="J82" s="57"/>
      <c r="K82" s="57"/>
      <c r="L82" s="56"/>
      <c r="M82" s="56"/>
      <c r="N82" s="56"/>
      <c r="O82" s="56"/>
      <c r="P82" s="57">
        <f t="shared" si="12"/>
        <v>60</v>
      </c>
    </row>
    <row r="84" spans="1:17" x14ac:dyDescent="0.3">
      <c r="A84" s="56" t="s">
        <v>138</v>
      </c>
      <c r="C84" t="s">
        <v>121</v>
      </c>
      <c r="D84" s="5">
        <v>6</v>
      </c>
      <c r="F84" s="5">
        <v>60</v>
      </c>
      <c r="H84" s="5">
        <v>0.5</v>
      </c>
      <c r="I84" s="5">
        <v>0.25</v>
      </c>
      <c r="J84" s="5">
        <v>2</v>
      </c>
      <c r="K84" s="5">
        <v>1</v>
      </c>
      <c r="P84" s="5">
        <f>SUM(F84:O84)*D84</f>
        <v>382.5</v>
      </c>
      <c r="Q84" s="79">
        <f>P84+P85</f>
        <v>585</v>
      </c>
    </row>
    <row r="85" spans="1:17" x14ac:dyDescent="0.3">
      <c r="A85" s="56" t="s">
        <v>139</v>
      </c>
      <c r="C85" t="s">
        <v>121</v>
      </c>
      <c r="D85" s="5">
        <v>6</v>
      </c>
      <c r="F85" s="5">
        <v>30</v>
      </c>
      <c r="H85" s="5">
        <v>0.5</v>
      </c>
      <c r="I85" s="5">
        <v>0.25</v>
      </c>
      <c r="J85" s="5">
        <v>2</v>
      </c>
      <c r="K85" s="5">
        <v>1</v>
      </c>
      <c r="P85" s="5">
        <f>SUM(F85:O85)*D85</f>
        <v>202.5</v>
      </c>
      <c r="Q85" s="79"/>
    </row>
    <row r="87" spans="1:17" x14ac:dyDescent="0.3">
      <c r="A87" s="56" t="s">
        <v>179</v>
      </c>
      <c r="C87" t="s">
        <v>183</v>
      </c>
      <c r="D87" s="5">
        <v>4</v>
      </c>
      <c r="F87" s="5">
        <v>30</v>
      </c>
      <c r="H87" s="5">
        <v>0.75</v>
      </c>
      <c r="I87" s="5">
        <v>0.25</v>
      </c>
      <c r="J87" s="5">
        <v>2</v>
      </c>
      <c r="K87" s="5">
        <v>2</v>
      </c>
      <c r="P87" s="5">
        <f t="shared" ref="P87:P92" si="13">SUM(F87:O87)*D87</f>
        <v>140</v>
      </c>
    </row>
    <row r="88" spans="1:17" x14ac:dyDescent="0.3">
      <c r="A88" s="56" t="s">
        <v>180</v>
      </c>
      <c r="C88" t="s">
        <v>183</v>
      </c>
      <c r="D88" s="5">
        <v>4</v>
      </c>
      <c r="F88" s="5">
        <v>30</v>
      </c>
      <c r="H88" s="5">
        <v>0.75</v>
      </c>
      <c r="I88" s="5">
        <v>0.25</v>
      </c>
      <c r="J88" s="5">
        <v>2</v>
      </c>
      <c r="K88" s="5">
        <v>2</v>
      </c>
      <c r="P88" s="5">
        <f t="shared" si="13"/>
        <v>140</v>
      </c>
    </row>
    <row r="90" spans="1:17" x14ac:dyDescent="0.3">
      <c r="A90" s="56" t="s">
        <v>228</v>
      </c>
      <c r="C90" t="s">
        <v>233</v>
      </c>
      <c r="D90" s="5">
        <v>3</v>
      </c>
      <c r="F90" s="5">
        <v>30</v>
      </c>
      <c r="H90" s="5">
        <v>1.25</v>
      </c>
      <c r="I90" s="5">
        <v>0.75</v>
      </c>
      <c r="J90" s="5">
        <v>3</v>
      </c>
      <c r="P90" s="5">
        <f t="shared" si="13"/>
        <v>105</v>
      </c>
      <c r="Q90" s="10">
        <f>315</f>
        <v>315</v>
      </c>
    </row>
    <row r="91" spans="1:17" x14ac:dyDescent="0.3">
      <c r="A91" s="56" t="s">
        <v>229</v>
      </c>
      <c r="C91" t="s">
        <v>233</v>
      </c>
      <c r="D91" s="5">
        <v>3</v>
      </c>
      <c r="F91" s="5">
        <v>30</v>
      </c>
      <c r="H91" s="5">
        <v>1.25</v>
      </c>
      <c r="I91" s="5">
        <v>0.75</v>
      </c>
      <c r="J91" s="5">
        <v>3</v>
      </c>
      <c r="P91" s="5">
        <f t="shared" si="13"/>
        <v>105</v>
      </c>
    </row>
    <row r="92" spans="1:17" x14ac:dyDescent="0.3">
      <c r="A92" s="56" t="s">
        <v>230</v>
      </c>
      <c r="C92" t="s">
        <v>233</v>
      </c>
      <c r="D92" s="5">
        <v>3</v>
      </c>
      <c r="F92" s="5">
        <v>30</v>
      </c>
      <c r="H92" s="5">
        <v>1.25</v>
      </c>
      <c r="I92" s="5">
        <v>0.75</v>
      </c>
      <c r="J92" s="5">
        <v>3</v>
      </c>
      <c r="P92" s="5">
        <f t="shared" si="13"/>
        <v>105</v>
      </c>
    </row>
    <row r="94" spans="1:17" x14ac:dyDescent="0.3">
      <c r="A94" s="56" t="s">
        <v>241</v>
      </c>
      <c r="C94" t="s">
        <v>243</v>
      </c>
      <c r="D94" s="5">
        <v>2</v>
      </c>
      <c r="F94" s="5">
        <v>30</v>
      </c>
      <c r="H94" s="5">
        <v>1.25</v>
      </c>
      <c r="I94" s="5">
        <v>0.75</v>
      </c>
      <c r="J94" s="5">
        <v>3</v>
      </c>
      <c r="K94" s="5">
        <v>5</v>
      </c>
      <c r="P94" s="5">
        <f>SUM(F94:O94)*D94</f>
        <v>80</v>
      </c>
    </row>
    <row r="95" spans="1:17" x14ac:dyDescent="0.3">
      <c r="A95" s="56" t="s">
        <v>242</v>
      </c>
      <c r="C95" t="s">
        <v>243</v>
      </c>
      <c r="D95" s="5">
        <v>2</v>
      </c>
      <c r="F95" s="5">
        <v>30</v>
      </c>
      <c r="H95" s="5">
        <v>1.25</v>
      </c>
      <c r="I95" s="5">
        <v>0.75</v>
      </c>
      <c r="J95" s="5">
        <v>3</v>
      </c>
      <c r="K95" s="5">
        <v>5</v>
      </c>
      <c r="P95" s="5">
        <f>SUM(F95:O95)*D95</f>
        <v>80</v>
      </c>
    </row>
    <row r="103" spans="1:16" x14ac:dyDescent="0.3">
      <c r="D103" s="5">
        <v>35</v>
      </c>
      <c r="F103" s="5">
        <v>30</v>
      </c>
      <c r="H103" s="5">
        <v>0.75</v>
      </c>
      <c r="I103" s="5">
        <v>0.25</v>
      </c>
      <c r="J103" s="5">
        <v>2</v>
      </c>
      <c r="K103" s="5">
        <v>2</v>
      </c>
      <c r="P103" s="5">
        <f>SUM(F103:O103)*D103</f>
        <v>1225</v>
      </c>
    </row>
    <row r="104" spans="1:16" x14ac:dyDescent="0.3">
      <c r="P104" s="5">
        <f t="shared" ref="P104:P105" si="14">SUM(F104:O104)*D104</f>
        <v>0</v>
      </c>
    </row>
    <row r="105" spans="1:16" x14ac:dyDescent="0.3">
      <c r="D105" s="5">
        <v>1</v>
      </c>
      <c r="F105" s="5">
        <f>F103*$D103</f>
        <v>1050</v>
      </c>
      <c r="G105" s="5">
        <f t="shared" ref="G105:K105" si="15">G103*$D103</f>
        <v>0</v>
      </c>
      <c r="H105" s="5">
        <f t="shared" si="15"/>
        <v>26.25</v>
      </c>
      <c r="I105" s="5">
        <f t="shared" si="15"/>
        <v>8.75</v>
      </c>
      <c r="J105" s="5">
        <f t="shared" si="15"/>
        <v>70</v>
      </c>
      <c r="K105" s="5">
        <f t="shared" si="15"/>
        <v>70</v>
      </c>
      <c r="L105">
        <v>35</v>
      </c>
      <c r="P105" s="5">
        <f t="shared" si="14"/>
        <v>1260</v>
      </c>
    </row>
    <row r="107" spans="1:16" x14ac:dyDescent="0.3">
      <c r="A107" t="s">
        <v>94</v>
      </c>
    </row>
    <row r="108" spans="1:16" x14ac:dyDescent="0.3">
      <c r="A108" t="s">
        <v>95</v>
      </c>
    </row>
  </sheetData>
  <mergeCells count="14">
    <mergeCell ref="Q84:Q85"/>
    <mergeCell ref="A3:A10"/>
    <mergeCell ref="Q3:Q10"/>
    <mergeCell ref="Q77:Q81"/>
    <mergeCell ref="Q71:Q75"/>
    <mergeCell ref="Q64:Q66"/>
    <mergeCell ref="C61:C62"/>
    <mergeCell ref="Q58:Q59"/>
    <mergeCell ref="R3:R9"/>
    <mergeCell ref="Q15:Q16"/>
    <mergeCell ref="Q21:Q26"/>
    <mergeCell ref="B64:B66"/>
    <mergeCell ref="B58:B59"/>
    <mergeCell ref="C58:C59"/>
  </mergeCells>
  <pageMargins left="0.7" right="0.7" top="0.75" bottom="0.75" header="0.3" footer="0.3"/>
  <pageSetup scale="7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V757"/>
  <sheetViews>
    <sheetView zoomScaleNormal="100" workbookViewId="0">
      <pane ySplit="2" topLeftCell="A739" activePane="bottomLeft" state="frozen"/>
      <selection pane="bottomLeft" activeCell="J750" sqref="J750"/>
    </sheetView>
  </sheetViews>
  <sheetFormatPr defaultRowHeight="14.4" outlineLevelRow="1" outlineLevelCol="1" x14ac:dyDescent="0.3"/>
  <cols>
    <col min="1" max="1" width="17.88671875" customWidth="1"/>
    <col min="2" max="2" width="5.33203125" style="5" customWidth="1" outlineLevel="1"/>
    <col min="3" max="4" width="8.88671875" style="5" outlineLevel="1"/>
    <col min="5" max="6" width="9.109375" style="5" outlineLevel="1"/>
    <col min="7" max="7" width="8.88671875" style="5" outlineLevel="1"/>
    <col min="8" max="8" width="9.109375" style="5" outlineLevel="1"/>
    <col min="9" max="9" width="8.88671875" style="5" outlineLevel="1"/>
    <col min="11" max="13" width="8.88671875" outlineLevel="1"/>
    <col min="14" max="14" width="9.109375" style="12"/>
    <col min="15" max="15" width="9.6640625" style="10" customWidth="1"/>
    <col min="16" max="16" width="9.109375" style="3"/>
  </cols>
  <sheetData>
    <row r="1" spans="1:16" x14ac:dyDescent="0.3">
      <c r="A1" s="4">
        <v>43277</v>
      </c>
    </row>
    <row r="2" spans="1:16" s="1" customFormat="1" ht="18" customHeight="1" x14ac:dyDescent="0.2">
      <c r="A2" s="1" t="s">
        <v>9</v>
      </c>
      <c r="B2" s="6" t="s">
        <v>16</v>
      </c>
      <c r="C2" s="6" t="s">
        <v>0</v>
      </c>
      <c r="D2" s="6" t="s">
        <v>1</v>
      </c>
      <c r="E2" s="6" t="s">
        <v>17</v>
      </c>
      <c r="F2" s="6" t="s">
        <v>4</v>
      </c>
      <c r="G2" s="6" t="s">
        <v>3</v>
      </c>
      <c r="H2" s="6" t="s">
        <v>2</v>
      </c>
      <c r="I2" s="6" t="s">
        <v>5</v>
      </c>
      <c r="J2" s="1" t="s">
        <v>55</v>
      </c>
      <c r="K2" s="1" t="s">
        <v>6</v>
      </c>
      <c r="L2" s="1" t="s">
        <v>7</v>
      </c>
      <c r="M2" s="1" t="s">
        <v>25</v>
      </c>
      <c r="N2" s="20" t="s">
        <v>8</v>
      </c>
      <c r="O2" s="7">
        <f>SUM(O3:O10)</f>
        <v>922</v>
      </c>
      <c r="P2" s="2" t="s">
        <v>18</v>
      </c>
    </row>
    <row r="3" spans="1:16" ht="15" customHeight="1" outlineLevel="1" x14ac:dyDescent="0.3">
      <c r="A3" t="s">
        <v>10</v>
      </c>
      <c r="B3" s="5">
        <v>1</v>
      </c>
      <c r="C3" s="5">
        <v>3</v>
      </c>
      <c r="D3" s="5">
        <v>450</v>
      </c>
      <c r="E3" s="5">
        <v>30</v>
      </c>
      <c r="F3" s="5">
        <v>3</v>
      </c>
      <c r="G3" s="5">
        <v>1</v>
      </c>
      <c r="H3" s="5">
        <v>5</v>
      </c>
      <c r="I3" s="5">
        <v>48</v>
      </c>
      <c r="L3" s="5"/>
      <c r="N3" s="12">
        <f t="shared" ref="N3:N10" si="0">SUM(C3:M3)*B3</f>
        <v>540</v>
      </c>
      <c r="O3" s="79">
        <f>SUM(N3:N10)</f>
        <v>922</v>
      </c>
      <c r="P3" s="79">
        <f>922-862</f>
        <v>60</v>
      </c>
    </row>
    <row r="4" spans="1:16" outlineLevel="1" x14ac:dyDescent="0.3">
      <c r="A4" t="s">
        <v>11</v>
      </c>
      <c r="B4" s="5">
        <v>1</v>
      </c>
      <c r="D4" s="5">
        <v>60</v>
      </c>
      <c r="F4" s="5">
        <v>1.25</v>
      </c>
      <c r="G4" s="5">
        <v>0.75</v>
      </c>
      <c r="H4" s="5">
        <v>2</v>
      </c>
      <c r="I4" s="5">
        <v>11</v>
      </c>
      <c r="N4" s="12">
        <f t="shared" si="0"/>
        <v>75</v>
      </c>
      <c r="O4" s="79"/>
      <c r="P4" s="79"/>
    </row>
    <row r="5" spans="1:16" outlineLevel="1" x14ac:dyDescent="0.3">
      <c r="A5" t="s">
        <v>12</v>
      </c>
      <c r="B5" s="5">
        <v>1</v>
      </c>
      <c r="D5" s="5">
        <v>30</v>
      </c>
      <c r="F5" s="5">
        <v>1.25</v>
      </c>
      <c r="G5" s="5">
        <v>0.75</v>
      </c>
      <c r="H5" s="5">
        <v>3</v>
      </c>
      <c r="I5" s="5">
        <v>6</v>
      </c>
      <c r="N5" s="12">
        <f t="shared" si="0"/>
        <v>41</v>
      </c>
      <c r="O5" s="79"/>
      <c r="P5" s="79"/>
    </row>
    <row r="6" spans="1:16" outlineLevel="1" x14ac:dyDescent="0.3">
      <c r="A6" t="s">
        <v>20</v>
      </c>
      <c r="B6" s="5">
        <v>1</v>
      </c>
      <c r="D6" s="5">
        <v>30</v>
      </c>
      <c r="F6" s="5">
        <v>1.25</v>
      </c>
      <c r="G6" s="5">
        <v>0.75</v>
      </c>
      <c r="H6" s="5">
        <v>3</v>
      </c>
      <c r="I6" s="5">
        <v>6</v>
      </c>
      <c r="N6" s="12">
        <f t="shared" si="0"/>
        <v>41</v>
      </c>
      <c r="O6" s="79"/>
      <c r="P6" s="79"/>
    </row>
    <row r="7" spans="1:16" outlineLevel="1" x14ac:dyDescent="0.3">
      <c r="A7" t="s">
        <v>13</v>
      </c>
      <c r="B7" s="5">
        <v>1</v>
      </c>
      <c r="D7" s="5">
        <v>30</v>
      </c>
      <c r="F7" s="5">
        <v>1.25</v>
      </c>
      <c r="G7" s="5">
        <v>0.75</v>
      </c>
      <c r="H7" s="5">
        <v>3</v>
      </c>
      <c r="I7" s="5">
        <v>5</v>
      </c>
      <c r="N7" s="12">
        <f t="shared" si="0"/>
        <v>40</v>
      </c>
      <c r="O7" s="79"/>
      <c r="P7" s="79"/>
    </row>
    <row r="8" spans="1:16" outlineLevel="1" x14ac:dyDescent="0.3">
      <c r="A8" t="s">
        <v>14</v>
      </c>
      <c r="B8" s="5">
        <v>1</v>
      </c>
      <c r="D8" s="5">
        <v>150</v>
      </c>
      <c r="F8" s="5">
        <v>1.25</v>
      </c>
      <c r="G8" s="5">
        <v>0.75</v>
      </c>
      <c r="H8" s="5">
        <v>3</v>
      </c>
      <c r="N8" s="12">
        <f t="shared" si="0"/>
        <v>155</v>
      </c>
      <c r="O8" s="79"/>
      <c r="P8" s="79"/>
    </row>
    <row r="9" spans="1:16" outlineLevel="1" x14ac:dyDescent="0.3">
      <c r="A9" t="s">
        <v>15</v>
      </c>
      <c r="B9" s="5">
        <v>1</v>
      </c>
      <c r="D9" s="5">
        <v>30</v>
      </c>
      <c r="N9" s="12">
        <f t="shared" si="0"/>
        <v>30</v>
      </c>
      <c r="O9" s="79"/>
      <c r="P9" s="79"/>
    </row>
    <row r="10" spans="1:16" outlineLevel="1" x14ac:dyDescent="0.3">
      <c r="A10" t="s">
        <v>23</v>
      </c>
      <c r="B10" s="5">
        <v>1</v>
      </c>
      <c r="N10" s="12">
        <f t="shared" si="0"/>
        <v>0</v>
      </c>
      <c r="O10" s="79"/>
    </row>
    <row r="11" spans="1:16" outlineLevel="1" x14ac:dyDescent="0.3">
      <c r="A11" s="21"/>
      <c r="B11" s="22"/>
      <c r="C11" s="23">
        <f>SUM(C3:C10)</f>
        <v>3</v>
      </c>
      <c r="D11" s="23">
        <f t="shared" ref="D11:N11" si="1">SUM(D3:D10)</f>
        <v>780</v>
      </c>
      <c r="E11" s="23">
        <f t="shared" si="1"/>
        <v>30</v>
      </c>
      <c r="F11" s="23">
        <f t="shared" si="1"/>
        <v>9.25</v>
      </c>
      <c r="G11" s="23">
        <f t="shared" si="1"/>
        <v>4.75</v>
      </c>
      <c r="H11" s="23">
        <f t="shared" si="1"/>
        <v>19</v>
      </c>
      <c r="I11" s="23">
        <f t="shared" si="1"/>
        <v>76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922</v>
      </c>
    </row>
    <row r="12" spans="1:16" ht="23.4" x14ac:dyDescent="0.45">
      <c r="A12" s="85">
        <v>44018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16" x14ac:dyDescent="0.3">
      <c r="A13" t="s">
        <v>10</v>
      </c>
      <c r="B13" s="5">
        <v>1</v>
      </c>
      <c r="C13" s="5">
        <v>3</v>
      </c>
      <c r="D13" s="5">
        <v>450</v>
      </c>
      <c r="E13" s="5">
        <v>30</v>
      </c>
      <c r="F13" s="5">
        <v>3</v>
      </c>
      <c r="G13" s="5">
        <v>1</v>
      </c>
      <c r="H13" s="5">
        <v>5</v>
      </c>
      <c r="I13" s="5">
        <v>71</v>
      </c>
      <c r="L13" s="5">
        <v>24</v>
      </c>
      <c r="N13" s="12">
        <f t="shared" ref="N13:N20" si="2">SUM(C13:M13)*B13</f>
        <v>587</v>
      </c>
    </row>
    <row r="14" spans="1:16" x14ac:dyDescent="0.3">
      <c r="A14" t="s">
        <v>11</v>
      </c>
      <c r="B14" s="5">
        <v>1</v>
      </c>
      <c r="D14" s="5">
        <v>60</v>
      </c>
      <c r="F14" s="5">
        <v>1.25</v>
      </c>
      <c r="G14" s="5">
        <v>0.75</v>
      </c>
      <c r="H14" s="5">
        <v>3</v>
      </c>
      <c r="I14" s="5">
        <v>11</v>
      </c>
      <c r="N14" s="12">
        <f t="shared" si="2"/>
        <v>76</v>
      </c>
    </row>
    <row r="15" spans="1:16" x14ac:dyDescent="0.3">
      <c r="A15" t="s">
        <v>12</v>
      </c>
      <c r="B15" s="5">
        <v>1</v>
      </c>
      <c r="D15" s="5">
        <v>30</v>
      </c>
      <c r="F15" s="5">
        <v>1.25</v>
      </c>
      <c r="G15" s="5">
        <v>0.75</v>
      </c>
      <c r="H15" s="5">
        <v>3</v>
      </c>
      <c r="I15" s="5">
        <v>5</v>
      </c>
      <c r="N15" s="12">
        <f t="shared" si="2"/>
        <v>40</v>
      </c>
    </row>
    <row r="16" spans="1:16" x14ac:dyDescent="0.3">
      <c r="A16" t="s">
        <v>20</v>
      </c>
      <c r="B16" s="5">
        <v>1</v>
      </c>
      <c r="D16" s="5">
        <v>30</v>
      </c>
      <c r="F16" s="5">
        <v>1.25</v>
      </c>
      <c r="G16" s="5">
        <v>0.75</v>
      </c>
      <c r="H16" s="5">
        <v>3</v>
      </c>
      <c r="I16" s="5">
        <v>6</v>
      </c>
      <c r="N16" s="12">
        <f t="shared" si="2"/>
        <v>41</v>
      </c>
    </row>
    <row r="17" spans="1:14" x14ac:dyDescent="0.3">
      <c r="A17" t="s">
        <v>13</v>
      </c>
      <c r="B17" s="5">
        <v>1</v>
      </c>
      <c r="D17" s="5">
        <v>30</v>
      </c>
      <c r="F17" s="5">
        <v>1.25</v>
      </c>
      <c r="G17" s="5">
        <v>0.75</v>
      </c>
      <c r="H17" s="5">
        <v>3</v>
      </c>
      <c r="I17" s="5">
        <v>3</v>
      </c>
      <c r="N17" s="12">
        <f t="shared" si="2"/>
        <v>38</v>
      </c>
    </row>
    <row r="18" spans="1:14" x14ac:dyDescent="0.3">
      <c r="A18" t="s">
        <v>14</v>
      </c>
      <c r="B18" s="5">
        <v>1</v>
      </c>
      <c r="D18" s="5">
        <v>60</v>
      </c>
      <c r="F18" s="5">
        <v>1.25</v>
      </c>
      <c r="G18" s="5">
        <v>0.75</v>
      </c>
      <c r="H18" s="5">
        <v>3</v>
      </c>
      <c r="I18" s="5">
        <v>505</v>
      </c>
      <c r="N18" s="12">
        <f t="shared" si="2"/>
        <v>570</v>
      </c>
    </row>
    <row r="19" spans="1:14" x14ac:dyDescent="0.3">
      <c r="A19" t="s">
        <v>15</v>
      </c>
      <c r="B19" s="5">
        <v>1</v>
      </c>
      <c r="D19" s="5">
        <v>30</v>
      </c>
      <c r="N19" s="12">
        <f t="shared" si="2"/>
        <v>30</v>
      </c>
    </row>
    <row r="20" spans="1:14" x14ac:dyDescent="0.3">
      <c r="A20" t="s">
        <v>23</v>
      </c>
      <c r="B20" s="5">
        <v>1</v>
      </c>
      <c r="D20" s="5">
        <v>30</v>
      </c>
      <c r="F20" s="5">
        <v>0.6</v>
      </c>
      <c r="G20" s="5">
        <v>0.4</v>
      </c>
      <c r="H20" s="5">
        <v>3</v>
      </c>
      <c r="I20" s="5">
        <v>6</v>
      </c>
      <c r="N20" s="12">
        <f t="shared" si="2"/>
        <v>40</v>
      </c>
    </row>
    <row r="21" spans="1:14" x14ac:dyDescent="0.3">
      <c r="A21" s="24"/>
      <c r="B21" s="25"/>
      <c r="C21" s="27">
        <v>3</v>
      </c>
      <c r="D21" s="27">
        <f>SUM(D13:D20)</f>
        <v>720</v>
      </c>
      <c r="E21" s="27">
        <f>SUM(E13:E20)</f>
        <v>30</v>
      </c>
      <c r="F21" s="27">
        <f>SUM(F13:F20)</f>
        <v>9.85</v>
      </c>
      <c r="G21" s="27">
        <f t="shared" ref="G21:N21" si="3">SUM(G13:G20)</f>
        <v>5.15</v>
      </c>
      <c r="H21" s="27">
        <f>SUM(H13:H20)</f>
        <v>23</v>
      </c>
      <c r="I21" s="27">
        <f t="shared" si="3"/>
        <v>607</v>
      </c>
      <c r="J21" s="24"/>
      <c r="K21" s="26">
        <f t="shared" si="3"/>
        <v>0</v>
      </c>
      <c r="L21" s="26">
        <f t="shared" si="3"/>
        <v>24</v>
      </c>
      <c r="M21" s="26">
        <f t="shared" si="3"/>
        <v>0</v>
      </c>
      <c r="N21" s="28">
        <f t="shared" si="3"/>
        <v>1422</v>
      </c>
    </row>
    <row r="23" spans="1:14" ht="23.4" x14ac:dyDescent="0.45">
      <c r="A23" s="85">
        <v>44048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</row>
    <row r="24" spans="1:14" x14ac:dyDescent="0.3">
      <c r="A24" t="s">
        <v>10</v>
      </c>
      <c r="B24" s="5">
        <v>1</v>
      </c>
      <c r="C24" s="5">
        <v>3</v>
      </c>
      <c r="D24" s="5">
        <v>450</v>
      </c>
      <c r="E24" s="5">
        <v>30</v>
      </c>
      <c r="F24" s="5">
        <v>3</v>
      </c>
      <c r="G24" s="5">
        <v>1</v>
      </c>
      <c r="H24" s="5">
        <v>5</v>
      </c>
      <c r="I24" s="5">
        <v>51</v>
      </c>
      <c r="L24" s="5">
        <v>26</v>
      </c>
      <c r="N24" s="12">
        <f t="shared" ref="N24:N30" si="4">SUM(C24:M24)*B24</f>
        <v>569</v>
      </c>
    </row>
    <row r="25" spans="1:14" x14ac:dyDescent="0.3">
      <c r="A25" t="s">
        <v>11</v>
      </c>
      <c r="B25" s="5">
        <v>1</v>
      </c>
      <c r="D25" s="5">
        <v>60</v>
      </c>
      <c r="F25" s="5">
        <v>1.25</v>
      </c>
      <c r="G25" s="5">
        <v>0.75</v>
      </c>
      <c r="H25" s="5">
        <v>3</v>
      </c>
      <c r="I25" s="5">
        <v>11</v>
      </c>
      <c r="N25" s="12">
        <f t="shared" si="4"/>
        <v>76</v>
      </c>
    </row>
    <row r="26" spans="1:14" x14ac:dyDescent="0.3">
      <c r="A26" t="s">
        <v>12</v>
      </c>
      <c r="B26" s="5">
        <v>1</v>
      </c>
      <c r="D26" s="5">
        <v>30</v>
      </c>
      <c r="F26" s="5">
        <v>1.25</v>
      </c>
      <c r="G26" s="5">
        <v>0.75</v>
      </c>
      <c r="H26" s="5">
        <v>3</v>
      </c>
      <c r="I26" s="5">
        <v>5</v>
      </c>
      <c r="N26" s="12">
        <f t="shared" si="4"/>
        <v>40</v>
      </c>
    </row>
    <row r="27" spans="1:14" x14ac:dyDescent="0.3">
      <c r="A27" t="s">
        <v>20</v>
      </c>
      <c r="B27" s="5">
        <v>1</v>
      </c>
      <c r="D27" s="5">
        <v>30</v>
      </c>
      <c r="F27" s="5">
        <v>1.25</v>
      </c>
      <c r="G27" s="5">
        <v>0.75</v>
      </c>
      <c r="H27" s="5">
        <v>3</v>
      </c>
      <c r="I27" s="5">
        <v>5</v>
      </c>
      <c r="N27" s="12">
        <f t="shared" si="4"/>
        <v>40</v>
      </c>
    </row>
    <row r="28" spans="1:14" x14ac:dyDescent="0.3">
      <c r="A28" t="s">
        <v>13</v>
      </c>
      <c r="B28" s="5">
        <v>1</v>
      </c>
      <c r="D28" s="5">
        <v>30</v>
      </c>
      <c r="F28" s="5">
        <v>1.25</v>
      </c>
      <c r="G28" s="5">
        <v>0.75</v>
      </c>
      <c r="H28" s="5">
        <v>2</v>
      </c>
      <c r="I28" s="5">
        <v>3</v>
      </c>
      <c r="N28" s="12">
        <f t="shared" si="4"/>
        <v>37</v>
      </c>
    </row>
    <row r="29" spans="1:14" x14ac:dyDescent="0.3">
      <c r="A29" t="s">
        <v>14</v>
      </c>
      <c r="B29" s="5">
        <v>1</v>
      </c>
      <c r="D29" s="5">
        <v>60</v>
      </c>
      <c r="F29" s="5">
        <v>1.25</v>
      </c>
      <c r="G29" s="5">
        <v>0.75</v>
      </c>
      <c r="H29" s="5">
        <v>3</v>
      </c>
      <c r="I29" s="5">
        <v>5</v>
      </c>
      <c r="N29" s="12">
        <f t="shared" si="4"/>
        <v>70</v>
      </c>
    </row>
    <row r="30" spans="1:14" x14ac:dyDescent="0.3">
      <c r="A30" t="s">
        <v>15</v>
      </c>
      <c r="B30" s="5">
        <v>1</v>
      </c>
      <c r="D30" s="5">
        <v>30</v>
      </c>
      <c r="N30" s="12">
        <f t="shared" si="4"/>
        <v>30</v>
      </c>
    </row>
    <row r="31" spans="1:14" x14ac:dyDescent="0.3">
      <c r="A31" s="24"/>
      <c r="B31" s="25"/>
      <c r="C31" s="27">
        <v>3</v>
      </c>
      <c r="D31" s="27">
        <f t="shared" ref="D31:I31" si="5">SUM(D24:D30)</f>
        <v>690</v>
      </c>
      <c r="E31" s="27">
        <f t="shared" si="5"/>
        <v>30</v>
      </c>
      <c r="F31" s="27">
        <f t="shared" si="5"/>
        <v>9.25</v>
      </c>
      <c r="G31" s="27">
        <f t="shared" si="5"/>
        <v>4.75</v>
      </c>
      <c r="H31" s="27">
        <f t="shared" si="5"/>
        <v>19</v>
      </c>
      <c r="I31" s="27">
        <f t="shared" si="5"/>
        <v>80</v>
      </c>
      <c r="J31" s="24"/>
      <c r="K31" s="26">
        <f>SUM(K24:K30)</f>
        <v>0</v>
      </c>
      <c r="L31" s="26">
        <f>SUM(L24:L30)</f>
        <v>26</v>
      </c>
      <c r="M31" s="26">
        <f>SUM(M24:M30)</f>
        <v>0</v>
      </c>
      <c r="N31" s="28">
        <f>SUM(N24:N30)</f>
        <v>862</v>
      </c>
    </row>
    <row r="33" spans="1:14" ht="23.4" x14ac:dyDescent="0.45">
      <c r="A33" s="85">
        <v>44078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</row>
    <row r="34" spans="1:14" x14ac:dyDescent="0.3">
      <c r="A34" t="s">
        <v>10</v>
      </c>
      <c r="B34" s="5">
        <v>1</v>
      </c>
      <c r="C34" s="5">
        <v>3</v>
      </c>
      <c r="D34" s="5">
        <v>450</v>
      </c>
      <c r="E34" s="5">
        <v>30</v>
      </c>
      <c r="F34" s="5">
        <v>3</v>
      </c>
      <c r="G34" s="5">
        <v>1</v>
      </c>
      <c r="H34" s="5">
        <v>5</v>
      </c>
      <c r="I34" s="5">
        <v>46</v>
      </c>
      <c r="L34" s="5">
        <v>25</v>
      </c>
      <c r="N34" s="12">
        <f t="shared" ref="N34:N40" si="6">SUM(C34:M34)*B34</f>
        <v>563</v>
      </c>
    </row>
    <row r="35" spans="1:14" x14ac:dyDescent="0.3">
      <c r="A35" t="s">
        <v>11</v>
      </c>
      <c r="B35" s="5">
        <v>1</v>
      </c>
      <c r="D35" s="5">
        <v>60</v>
      </c>
      <c r="F35" s="5">
        <v>1.25</v>
      </c>
      <c r="G35" s="5">
        <v>0.75</v>
      </c>
      <c r="H35" s="5">
        <v>3</v>
      </c>
      <c r="I35" s="5">
        <v>11</v>
      </c>
      <c r="N35" s="12">
        <f t="shared" si="6"/>
        <v>76</v>
      </c>
    </row>
    <row r="36" spans="1:14" x14ac:dyDescent="0.3">
      <c r="A36" t="s">
        <v>12</v>
      </c>
      <c r="B36" s="5">
        <v>1</v>
      </c>
      <c r="D36" s="5">
        <v>30</v>
      </c>
      <c r="F36" s="5">
        <v>1.25</v>
      </c>
      <c r="G36" s="5">
        <v>0.75</v>
      </c>
      <c r="H36" s="5">
        <v>3</v>
      </c>
      <c r="I36" s="5">
        <v>5</v>
      </c>
      <c r="N36" s="12">
        <f t="shared" si="6"/>
        <v>40</v>
      </c>
    </row>
    <row r="37" spans="1:14" x14ac:dyDescent="0.3">
      <c r="A37" t="s">
        <v>20</v>
      </c>
      <c r="B37" s="5">
        <v>1</v>
      </c>
      <c r="D37" s="5">
        <v>30</v>
      </c>
      <c r="F37" s="5">
        <v>1.25</v>
      </c>
      <c r="G37" s="5">
        <v>0.75</v>
      </c>
      <c r="H37" s="5">
        <v>3</v>
      </c>
      <c r="I37" s="5">
        <v>5</v>
      </c>
      <c r="N37" s="12">
        <f t="shared" si="6"/>
        <v>40</v>
      </c>
    </row>
    <row r="38" spans="1:14" x14ac:dyDescent="0.3">
      <c r="A38" t="s">
        <v>13</v>
      </c>
      <c r="B38" s="5">
        <v>1</v>
      </c>
      <c r="D38" s="5">
        <v>30</v>
      </c>
      <c r="F38" s="5">
        <v>1.25</v>
      </c>
      <c r="G38" s="5">
        <v>0.75</v>
      </c>
      <c r="H38" s="5">
        <v>2</v>
      </c>
      <c r="I38" s="5">
        <v>3</v>
      </c>
      <c r="N38" s="12">
        <f t="shared" si="6"/>
        <v>37</v>
      </c>
    </row>
    <row r="39" spans="1:14" x14ac:dyDescent="0.3">
      <c r="A39" t="s">
        <v>14</v>
      </c>
      <c r="B39" s="5">
        <v>1</v>
      </c>
      <c r="D39" s="5">
        <v>150</v>
      </c>
      <c r="F39" s="5">
        <v>1.25</v>
      </c>
      <c r="G39" s="5">
        <v>0.75</v>
      </c>
      <c r="H39" s="5">
        <v>3</v>
      </c>
      <c r="I39" s="5">
        <v>11</v>
      </c>
      <c r="N39" s="12">
        <f t="shared" si="6"/>
        <v>166</v>
      </c>
    </row>
    <row r="40" spans="1:14" x14ac:dyDescent="0.3">
      <c r="A40" t="s">
        <v>15</v>
      </c>
      <c r="B40" s="5">
        <v>1</v>
      </c>
      <c r="D40" s="5">
        <v>30</v>
      </c>
      <c r="N40" s="12">
        <f t="shared" si="6"/>
        <v>30</v>
      </c>
    </row>
    <row r="41" spans="1:14" x14ac:dyDescent="0.3">
      <c r="A41" s="24"/>
      <c r="B41" s="25"/>
      <c r="C41" s="27">
        <v>3</v>
      </c>
      <c r="D41" s="27">
        <f t="shared" ref="D41:I41" si="7">SUM(D34:D40)</f>
        <v>780</v>
      </c>
      <c r="E41" s="27">
        <f t="shared" si="7"/>
        <v>30</v>
      </c>
      <c r="F41" s="27">
        <f t="shared" si="7"/>
        <v>9.25</v>
      </c>
      <c r="G41" s="27">
        <f t="shared" si="7"/>
        <v>4.75</v>
      </c>
      <c r="H41" s="27">
        <f t="shared" si="7"/>
        <v>19</v>
      </c>
      <c r="I41" s="27">
        <f t="shared" si="7"/>
        <v>81</v>
      </c>
      <c r="J41" s="24"/>
      <c r="K41" s="26">
        <f>SUM(K34:K40)</f>
        <v>0</v>
      </c>
      <c r="L41" s="26">
        <f>SUM(L34:L40)</f>
        <v>25</v>
      </c>
      <c r="M41" s="26">
        <f>SUM(M34:M40)</f>
        <v>0</v>
      </c>
      <c r="N41" s="28">
        <f>SUM(N34:N40)</f>
        <v>952</v>
      </c>
    </row>
    <row r="43" spans="1:14" ht="23.4" x14ac:dyDescent="0.45">
      <c r="A43" s="85">
        <v>44108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</row>
    <row r="44" spans="1:14" x14ac:dyDescent="0.3">
      <c r="A44" t="s">
        <v>10</v>
      </c>
      <c r="B44" s="5">
        <v>1</v>
      </c>
      <c r="C44" s="5">
        <v>3</v>
      </c>
      <c r="D44" s="5">
        <v>450</v>
      </c>
      <c r="E44" s="5">
        <v>30</v>
      </c>
      <c r="F44" s="5">
        <v>3</v>
      </c>
      <c r="G44" s="5">
        <v>1</v>
      </c>
      <c r="H44" s="5">
        <v>5</v>
      </c>
      <c r="I44" s="5">
        <v>51</v>
      </c>
      <c r="L44" s="5">
        <v>25</v>
      </c>
      <c r="N44" s="12">
        <f t="shared" ref="N44:N50" si="8">SUM(C44:M44)*B44</f>
        <v>568</v>
      </c>
    </row>
    <row r="45" spans="1:14" x14ac:dyDescent="0.3">
      <c r="A45" t="s">
        <v>11</v>
      </c>
      <c r="B45" s="5">
        <v>1</v>
      </c>
      <c r="D45" s="5">
        <v>60</v>
      </c>
      <c r="F45" s="5">
        <v>1.25</v>
      </c>
      <c r="G45" s="5">
        <v>0.75</v>
      </c>
      <c r="H45" s="5">
        <v>3</v>
      </c>
      <c r="I45" s="5">
        <v>11</v>
      </c>
      <c r="N45" s="12">
        <f t="shared" si="8"/>
        <v>76</v>
      </c>
    </row>
    <row r="46" spans="1:14" x14ac:dyDescent="0.3">
      <c r="A46" t="s">
        <v>12</v>
      </c>
      <c r="B46" s="5">
        <v>1</v>
      </c>
      <c r="D46" s="5">
        <v>30</v>
      </c>
      <c r="F46" s="5">
        <v>1.25</v>
      </c>
      <c r="G46" s="5">
        <v>0.75</v>
      </c>
      <c r="H46" s="5">
        <v>3</v>
      </c>
      <c r="I46" s="5">
        <v>5</v>
      </c>
      <c r="N46" s="12">
        <f t="shared" si="8"/>
        <v>40</v>
      </c>
    </row>
    <row r="47" spans="1:14" x14ac:dyDescent="0.3">
      <c r="A47" t="s">
        <v>20</v>
      </c>
      <c r="B47" s="5">
        <v>1</v>
      </c>
      <c r="D47" s="5">
        <v>30</v>
      </c>
      <c r="F47" s="5">
        <v>1.25</v>
      </c>
      <c r="G47" s="5">
        <v>0.75</v>
      </c>
      <c r="H47" s="5">
        <v>3</v>
      </c>
      <c r="I47" s="5">
        <v>5</v>
      </c>
      <c r="N47" s="12">
        <f t="shared" si="8"/>
        <v>40</v>
      </c>
    </row>
    <row r="48" spans="1:14" x14ac:dyDescent="0.3">
      <c r="A48" t="s">
        <v>13</v>
      </c>
      <c r="B48" s="5">
        <v>1</v>
      </c>
      <c r="D48" s="5">
        <v>30</v>
      </c>
      <c r="F48" s="5">
        <v>1.25</v>
      </c>
      <c r="G48" s="5">
        <v>0.75</v>
      </c>
      <c r="H48" s="5">
        <v>2</v>
      </c>
      <c r="I48" s="5">
        <v>5</v>
      </c>
      <c r="N48" s="12">
        <f t="shared" si="8"/>
        <v>39</v>
      </c>
    </row>
    <row r="49" spans="1:14" x14ac:dyDescent="0.3">
      <c r="A49" t="s">
        <v>14</v>
      </c>
      <c r="B49" s="5">
        <v>1</v>
      </c>
      <c r="D49" s="5">
        <v>150</v>
      </c>
      <c r="F49" s="5">
        <v>1.25</v>
      </c>
      <c r="G49" s="5">
        <v>0.75</v>
      </c>
      <c r="H49" s="5">
        <v>3</v>
      </c>
      <c r="I49" s="5">
        <v>12</v>
      </c>
      <c r="N49" s="12">
        <f t="shared" si="8"/>
        <v>167</v>
      </c>
    </row>
    <row r="50" spans="1:14" x14ac:dyDescent="0.3">
      <c r="A50" t="s">
        <v>15</v>
      </c>
      <c r="B50" s="5">
        <v>1</v>
      </c>
      <c r="D50" s="5">
        <v>30</v>
      </c>
      <c r="N50" s="12">
        <f t="shared" si="8"/>
        <v>30</v>
      </c>
    </row>
    <row r="51" spans="1:14" x14ac:dyDescent="0.3">
      <c r="A51" s="24"/>
      <c r="B51" s="25"/>
      <c r="C51" s="27">
        <v>3</v>
      </c>
      <c r="D51" s="27">
        <f t="shared" ref="D51:I51" si="9">SUM(D44:D50)</f>
        <v>780</v>
      </c>
      <c r="E51" s="27">
        <f t="shared" si="9"/>
        <v>30</v>
      </c>
      <c r="F51" s="27">
        <f t="shared" si="9"/>
        <v>9.25</v>
      </c>
      <c r="G51" s="27">
        <f t="shared" si="9"/>
        <v>4.75</v>
      </c>
      <c r="H51" s="27">
        <f t="shared" si="9"/>
        <v>19</v>
      </c>
      <c r="I51" s="27">
        <f t="shared" si="9"/>
        <v>89</v>
      </c>
      <c r="J51" s="24"/>
      <c r="K51" s="26">
        <f>SUM(K44:K50)</f>
        <v>0</v>
      </c>
      <c r="L51" s="26">
        <f>SUM(L44:L50)</f>
        <v>25</v>
      </c>
      <c r="M51" s="26">
        <f>SUM(M44:M50)</f>
        <v>0</v>
      </c>
      <c r="N51" s="28">
        <f>SUM(N44:N50)</f>
        <v>960</v>
      </c>
    </row>
    <row r="53" spans="1:14" ht="23.4" x14ac:dyDescent="0.45">
      <c r="A53" s="85">
        <f>A43+30</f>
        <v>44138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</row>
    <row r="54" spans="1:14" x14ac:dyDescent="0.3">
      <c r="A54" t="s">
        <v>10</v>
      </c>
      <c r="B54" s="5">
        <v>1</v>
      </c>
      <c r="C54" s="5">
        <v>3</v>
      </c>
      <c r="D54" s="5">
        <v>450</v>
      </c>
      <c r="E54" s="5">
        <v>30</v>
      </c>
      <c r="F54" s="5">
        <v>3</v>
      </c>
      <c r="G54" s="5">
        <v>1</v>
      </c>
      <c r="H54" s="5">
        <v>5</v>
      </c>
      <c r="I54" s="5">
        <v>46</v>
      </c>
      <c r="L54" s="5">
        <v>25</v>
      </c>
      <c r="N54" s="12">
        <f t="shared" ref="N54:N60" si="10">SUM(C54:M54)*B54</f>
        <v>563</v>
      </c>
    </row>
    <row r="55" spans="1:14" x14ac:dyDescent="0.3">
      <c r="A55" t="s">
        <v>11</v>
      </c>
      <c r="B55" s="5">
        <v>1</v>
      </c>
      <c r="D55" s="5">
        <v>60</v>
      </c>
      <c r="F55" s="5">
        <v>1.25</v>
      </c>
      <c r="G55" s="5">
        <v>0.75</v>
      </c>
      <c r="H55" s="5">
        <v>3</v>
      </c>
      <c r="I55" s="5">
        <v>11</v>
      </c>
      <c r="N55" s="12">
        <f t="shared" si="10"/>
        <v>76</v>
      </c>
    </row>
    <row r="56" spans="1:14" x14ac:dyDescent="0.3">
      <c r="A56" t="s">
        <v>12</v>
      </c>
      <c r="B56" s="5">
        <v>1</v>
      </c>
      <c r="D56" s="5">
        <v>30</v>
      </c>
      <c r="F56" s="5">
        <v>1.25</v>
      </c>
      <c r="G56" s="5">
        <v>0.75</v>
      </c>
      <c r="H56" s="5">
        <v>3</v>
      </c>
      <c r="I56" s="5">
        <v>5</v>
      </c>
      <c r="N56" s="12">
        <f t="shared" si="10"/>
        <v>40</v>
      </c>
    </row>
    <row r="57" spans="1:14" x14ac:dyDescent="0.3">
      <c r="A57" t="s">
        <v>20</v>
      </c>
      <c r="B57" s="5">
        <v>1</v>
      </c>
      <c r="D57" s="5">
        <v>30</v>
      </c>
      <c r="F57" s="5">
        <v>1.25</v>
      </c>
      <c r="G57" s="5">
        <v>0.75</v>
      </c>
      <c r="H57" s="5">
        <v>3</v>
      </c>
      <c r="I57" s="5">
        <v>5</v>
      </c>
      <c r="N57" s="12">
        <f t="shared" si="10"/>
        <v>40</v>
      </c>
    </row>
    <row r="58" spans="1:14" x14ac:dyDescent="0.3">
      <c r="A58" t="s">
        <v>13</v>
      </c>
      <c r="B58" s="5">
        <v>1</v>
      </c>
      <c r="D58" s="5">
        <v>30</v>
      </c>
      <c r="F58" s="5">
        <v>1.25</v>
      </c>
      <c r="G58" s="5">
        <v>0.75</v>
      </c>
      <c r="H58" s="5">
        <v>2</v>
      </c>
      <c r="I58" s="5">
        <v>5</v>
      </c>
      <c r="N58" s="12">
        <f t="shared" si="10"/>
        <v>39</v>
      </c>
    </row>
    <row r="59" spans="1:14" x14ac:dyDescent="0.3">
      <c r="A59" t="s">
        <v>14</v>
      </c>
      <c r="B59" s="5">
        <v>1</v>
      </c>
      <c r="D59" s="5">
        <v>150</v>
      </c>
      <c r="F59" s="5">
        <v>1.25</v>
      </c>
      <c r="G59" s="5">
        <v>0.75</v>
      </c>
      <c r="H59" s="5">
        <v>3</v>
      </c>
      <c r="I59" s="5">
        <v>4</v>
      </c>
      <c r="N59" s="12">
        <f t="shared" si="10"/>
        <v>159</v>
      </c>
    </row>
    <row r="60" spans="1:14" x14ac:dyDescent="0.3">
      <c r="A60" t="s">
        <v>15</v>
      </c>
      <c r="B60" s="5">
        <v>1</v>
      </c>
      <c r="D60" s="5">
        <v>30</v>
      </c>
      <c r="N60" s="12">
        <f t="shared" si="10"/>
        <v>30</v>
      </c>
    </row>
    <row r="61" spans="1:14" x14ac:dyDescent="0.3">
      <c r="A61" s="24"/>
      <c r="B61" s="25"/>
      <c r="C61" s="27">
        <v>3</v>
      </c>
      <c r="D61" s="27">
        <f t="shared" ref="D61" si="11">SUM(D54:D60)</f>
        <v>780</v>
      </c>
      <c r="E61" s="27">
        <f t="shared" ref="E61" si="12">SUM(E54:E60)</f>
        <v>30</v>
      </c>
      <c r="F61" s="27">
        <f t="shared" ref="F61" si="13">SUM(F54:F60)</f>
        <v>9.25</v>
      </c>
      <c r="G61" s="27">
        <f t="shared" ref="G61" si="14">SUM(G54:G60)</f>
        <v>4.75</v>
      </c>
      <c r="H61" s="27">
        <f t="shared" ref="H61" si="15">SUM(H54:H60)</f>
        <v>19</v>
      </c>
      <c r="I61" s="27">
        <f t="shared" ref="I61" si="16">SUM(I54:I60)</f>
        <v>76</v>
      </c>
      <c r="J61" s="24"/>
      <c r="K61" s="26">
        <f>SUM(K54:K60)</f>
        <v>0</v>
      </c>
      <c r="L61" s="26">
        <f>SUM(L54:L60)</f>
        <v>25</v>
      </c>
      <c r="M61" s="26">
        <f>SUM(M54:M60)</f>
        <v>0</v>
      </c>
      <c r="N61" s="28">
        <f>SUM(N54:N60)</f>
        <v>947</v>
      </c>
    </row>
    <row r="63" spans="1:14" ht="23.4" x14ac:dyDescent="0.45">
      <c r="A63" s="85">
        <f>A53+30</f>
        <v>44168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</row>
    <row r="64" spans="1:14" x14ac:dyDescent="0.3">
      <c r="A64" t="s">
        <v>10</v>
      </c>
      <c r="B64" s="5">
        <v>1</v>
      </c>
      <c r="C64" s="5">
        <v>3</v>
      </c>
      <c r="D64" s="5">
        <v>450</v>
      </c>
      <c r="E64" s="5">
        <v>30</v>
      </c>
      <c r="F64" s="5">
        <v>3</v>
      </c>
      <c r="G64" s="5">
        <v>1</v>
      </c>
      <c r="H64" s="5">
        <v>5</v>
      </c>
      <c r="I64" s="5">
        <v>46</v>
      </c>
      <c r="L64" s="5">
        <v>25</v>
      </c>
      <c r="N64" s="12">
        <f t="shared" ref="N64:N70" si="17">SUM(C64:M64)*B64</f>
        <v>563</v>
      </c>
    </row>
    <row r="65" spans="1:14" x14ac:dyDescent="0.3">
      <c r="A65" t="s">
        <v>11</v>
      </c>
      <c r="B65" s="5">
        <v>1</v>
      </c>
      <c r="D65" s="5">
        <v>60</v>
      </c>
      <c r="F65" s="5">
        <v>1.25</v>
      </c>
      <c r="G65" s="5">
        <v>0.75</v>
      </c>
      <c r="H65" s="5">
        <v>3</v>
      </c>
      <c r="I65" s="5">
        <v>11</v>
      </c>
      <c r="N65" s="12">
        <f t="shared" si="17"/>
        <v>76</v>
      </c>
    </row>
    <row r="66" spans="1:14" x14ac:dyDescent="0.3">
      <c r="A66" t="s">
        <v>12</v>
      </c>
      <c r="B66" s="5">
        <v>1</v>
      </c>
      <c r="D66" s="5">
        <v>30</v>
      </c>
      <c r="F66" s="5">
        <v>1.25</v>
      </c>
      <c r="G66" s="5">
        <v>0.75</v>
      </c>
      <c r="H66" s="5">
        <v>3</v>
      </c>
      <c r="I66" s="5">
        <v>5</v>
      </c>
      <c r="N66" s="12">
        <f t="shared" si="17"/>
        <v>40</v>
      </c>
    </row>
    <row r="67" spans="1:14" x14ac:dyDescent="0.3">
      <c r="A67" t="s">
        <v>20</v>
      </c>
      <c r="B67" s="5">
        <v>1</v>
      </c>
      <c r="D67" s="5">
        <v>30</v>
      </c>
      <c r="F67" s="5">
        <v>1.25</v>
      </c>
      <c r="G67" s="5">
        <v>0.75</v>
      </c>
      <c r="H67" s="5">
        <v>3</v>
      </c>
      <c r="I67" s="5">
        <v>5</v>
      </c>
      <c r="N67" s="12">
        <f t="shared" si="17"/>
        <v>40</v>
      </c>
    </row>
    <row r="68" spans="1:14" x14ac:dyDescent="0.3">
      <c r="A68" t="s">
        <v>13</v>
      </c>
      <c r="B68" s="5">
        <v>1</v>
      </c>
      <c r="D68" s="5">
        <v>30</v>
      </c>
      <c r="F68" s="5">
        <v>1.25</v>
      </c>
      <c r="G68" s="5">
        <v>0.75</v>
      </c>
      <c r="H68" s="5">
        <v>2</v>
      </c>
      <c r="I68" s="5">
        <v>5</v>
      </c>
      <c r="N68" s="12">
        <f t="shared" si="17"/>
        <v>39</v>
      </c>
    </row>
    <row r="69" spans="1:14" x14ac:dyDescent="0.3">
      <c r="A69" t="s">
        <v>14</v>
      </c>
      <c r="B69" s="5">
        <v>1</v>
      </c>
      <c r="D69" s="5">
        <v>150</v>
      </c>
      <c r="F69" s="5">
        <v>1.25</v>
      </c>
      <c r="G69" s="5">
        <v>0.75</v>
      </c>
      <c r="H69" s="5">
        <v>3</v>
      </c>
      <c r="I69" s="5">
        <v>12</v>
      </c>
      <c r="N69" s="12">
        <f t="shared" si="17"/>
        <v>167</v>
      </c>
    </row>
    <row r="70" spans="1:14" x14ac:dyDescent="0.3">
      <c r="A70" t="s">
        <v>15</v>
      </c>
      <c r="B70" s="5">
        <v>1</v>
      </c>
      <c r="D70" s="5">
        <v>30</v>
      </c>
      <c r="N70" s="12">
        <f t="shared" si="17"/>
        <v>30</v>
      </c>
    </row>
    <row r="71" spans="1:14" x14ac:dyDescent="0.3">
      <c r="A71" s="24"/>
      <c r="B71" s="25"/>
      <c r="C71" s="27">
        <v>3</v>
      </c>
      <c r="D71" s="27">
        <f t="shared" ref="D71:I71" si="18">SUM(D64:D70)</f>
        <v>780</v>
      </c>
      <c r="E71" s="27">
        <f t="shared" si="18"/>
        <v>30</v>
      </c>
      <c r="F71" s="27">
        <f t="shared" si="18"/>
        <v>9.25</v>
      </c>
      <c r="G71" s="27">
        <f t="shared" si="18"/>
        <v>4.75</v>
      </c>
      <c r="H71" s="27">
        <f t="shared" si="18"/>
        <v>19</v>
      </c>
      <c r="I71" s="27">
        <f t="shared" si="18"/>
        <v>84</v>
      </c>
      <c r="J71" s="24"/>
      <c r="K71" s="26">
        <f>SUM(K64:K70)</f>
        <v>0</v>
      </c>
      <c r="L71" s="26">
        <f>SUM(L64:L70)</f>
        <v>25</v>
      </c>
      <c r="M71" s="26">
        <f>SUM(M64:M70)</f>
        <v>0</v>
      </c>
      <c r="N71" s="28">
        <f>SUM(N64:N70)</f>
        <v>955</v>
      </c>
    </row>
    <row r="73" spans="1:14" ht="23.4" x14ac:dyDescent="0.45">
      <c r="A73" s="85">
        <f>A63+30</f>
        <v>44198</v>
      </c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</row>
    <row r="74" spans="1:14" x14ac:dyDescent="0.3">
      <c r="A74" t="s">
        <v>10</v>
      </c>
      <c r="B74" s="5">
        <v>1</v>
      </c>
      <c r="C74" s="5">
        <v>3</v>
      </c>
      <c r="D74" s="5">
        <v>450</v>
      </c>
      <c r="E74" s="5">
        <v>30</v>
      </c>
      <c r="F74" s="5">
        <v>3</v>
      </c>
      <c r="G74" s="5">
        <v>1</v>
      </c>
      <c r="H74" s="5">
        <v>5</v>
      </c>
      <c r="I74" s="5">
        <v>41</v>
      </c>
      <c r="L74" s="5"/>
      <c r="N74" s="12">
        <f t="shared" ref="N74:N80" si="19">SUM(C74:M74)*B74</f>
        <v>533</v>
      </c>
    </row>
    <row r="75" spans="1:14" x14ac:dyDescent="0.3">
      <c r="A75" t="s">
        <v>11</v>
      </c>
      <c r="B75" s="5">
        <v>1</v>
      </c>
      <c r="D75" s="5">
        <v>60</v>
      </c>
      <c r="F75" s="5">
        <v>1.25</v>
      </c>
      <c r="G75" s="5">
        <v>0.75</v>
      </c>
      <c r="H75" s="5">
        <v>3</v>
      </c>
      <c r="I75" s="5">
        <v>11</v>
      </c>
      <c r="N75" s="12">
        <f t="shared" si="19"/>
        <v>76</v>
      </c>
    </row>
    <row r="76" spans="1:14" x14ac:dyDescent="0.3">
      <c r="A76" t="s">
        <v>12</v>
      </c>
      <c r="B76" s="5">
        <v>1</v>
      </c>
      <c r="D76" s="5">
        <v>30</v>
      </c>
      <c r="F76" s="5">
        <v>1.25</v>
      </c>
      <c r="G76" s="5">
        <v>0.75</v>
      </c>
      <c r="H76" s="5">
        <v>3</v>
      </c>
      <c r="I76" s="5">
        <v>5</v>
      </c>
      <c r="N76" s="12">
        <f t="shared" si="19"/>
        <v>40</v>
      </c>
    </row>
    <row r="77" spans="1:14" x14ac:dyDescent="0.3">
      <c r="A77" t="s">
        <v>20</v>
      </c>
      <c r="B77" s="5">
        <v>1</v>
      </c>
      <c r="D77" s="5">
        <v>30</v>
      </c>
      <c r="F77" s="5">
        <v>1.25</v>
      </c>
      <c r="G77" s="5">
        <v>0.75</v>
      </c>
      <c r="H77" s="5">
        <v>3</v>
      </c>
      <c r="I77" s="5">
        <v>5</v>
      </c>
      <c r="N77" s="12">
        <f t="shared" si="19"/>
        <v>40</v>
      </c>
    </row>
    <row r="78" spans="1:14" x14ac:dyDescent="0.3">
      <c r="A78" t="s">
        <v>13</v>
      </c>
      <c r="B78" s="5">
        <v>1</v>
      </c>
      <c r="D78" s="5">
        <v>30</v>
      </c>
      <c r="F78" s="5">
        <v>1.25</v>
      </c>
      <c r="G78" s="5">
        <v>0.75</v>
      </c>
      <c r="H78" s="5">
        <v>3</v>
      </c>
      <c r="I78" s="5">
        <v>5</v>
      </c>
      <c r="N78" s="12">
        <f t="shared" si="19"/>
        <v>40</v>
      </c>
    </row>
    <row r="79" spans="1:14" x14ac:dyDescent="0.3">
      <c r="A79" t="s">
        <v>14</v>
      </c>
      <c r="B79" s="5">
        <v>1</v>
      </c>
      <c r="D79" s="5">
        <v>150</v>
      </c>
      <c r="F79" s="5">
        <v>1.25</v>
      </c>
      <c r="G79" s="5">
        <v>0.75</v>
      </c>
      <c r="H79" s="5">
        <v>3</v>
      </c>
      <c r="I79" s="5">
        <v>11</v>
      </c>
      <c r="N79" s="12">
        <f t="shared" si="19"/>
        <v>166</v>
      </c>
    </row>
    <row r="80" spans="1:14" x14ac:dyDescent="0.3">
      <c r="A80" t="s">
        <v>15</v>
      </c>
      <c r="B80" s="5">
        <v>1</v>
      </c>
      <c r="D80" s="5">
        <v>30</v>
      </c>
      <c r="N80" s="12">
        <f t="shared" si="19"/>
        <v>30</v>
      </c>
    </row>
    <row r="81" spans="1:14" x14ac:dyDescent="0.3">
      <c r="A81" s="24"/>
      <c r="B81" s="25"/>
      <c r="C81" s="27">
        <v>3</v>
      </c>
      <c r="D81" s="27">
        <f t="shared" ref="D81:I81" si="20">SUM(D74:D80)</f>
        <v>780</v>
      </c>
      <c r="E81" s="27">
        <f t="shared" si="20"/>
        <v>30</v>
      </c>
      <c r="F81" s="27">
        <f t="shared" si="20"/>
        <v>9.25</v>
      </c>
      <c r="G81" s="27">
        <f t="shared" si="20"/>
        <v>4.75</v>
      </c>
      <c r="H81" s="27">
        <f t="shared" si="20"/>
        <v>20</v>
      </c>
      <c r="I81" s="27">
        <f t="shared" si="20"/>
        <v>78</v>
      </c>
      <c r="J81" s="24"/>
      <c r="K81" s="26">
        <f>SUM(K74:K80)</f>
        <v>0</v>
      </c>
      <c r="L81" s="26">
        <f>SUM(L74:L80)</f>
        <v>0</v>
      </c>
      <c r="M81" s="26">
        <f>SUM(M74:M80)</f>
        <v>0</v>
      </c>
      <c r="N81" s="28">
        <f>SUM(N74:N80)</f>
        <v>925</v>
      </c>
    </row>
    <row r="83" spans="1:14" ht="23.4" x14ac:dyDescent="0.45">
      <c r="A83" s="85">
        <f>A73+30</f>
        <v>44228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</row>
    <row r="84" spans="1:14" x14ac:dyDescent="0.3">
      <c r="A84" t="s">
        <v>10</v>
      </c>
      <c r="B84" s="5">
        <v>1</v>
      </c>
      <c r="C84" s="5">
        <v>3</v>
      </c>
      <c r="D84" s="5">
        <v>450</v>
      </c>
      <c r="E84" s="5">
        <v>30</v>
      </c>
      <c r="F84" s="5">
        <v>3</v>
      </c>
      <c r="G84" s="5">
        <v>1</v>
      </c>
      <c r="H84" s="5">
        <v>5</v>
      </c>
      <c r="I84" s="5">
        <v>41</v>
      </c>
      <c r="L84" s="5"/>
      <c r="N84" s="12">
        <f t="shared" ref="N84:N90" si="21">SUM(C84:M84)*B84</f>
        <v>533</v>
      </c>
    </row>
    <row r="85" spans="1:14" x14ac:dyDescent="0.3">
      <c r="A85" t="s">
        <v>11</v>
      </c>
      <c r="B85" s="5">
        <v>1</v>
      </c>
      <c r="D85" s="5">
        <v>60</v>
      </c>
      <c r="F85" s="5">
        <v>1.25</v>
      </c>
      <c r="G85" s="5">
        <v>0.75</v>
      </c>
      <c r="H85" s="5">
        <v>3</v>
      </c>
      <c r="I85" s="5">
        <v>11</v>
      </c>
      <c r="N85" s="12">
        <f t="shared" si="21"/>
        <v>76</v>
      </c>
    </row>
    <row r="86" spans="1:14" x14ac:dyDescent="0.3">
      <c r="A86" t="s">
        <v>12</v>
      </c>
      <c r="B86" s="5">
        <v>1</v>
      </c>
      <c r="D86" s="5">
        <v>30</v>
      </c>
      <c r="F86" s="5">
        <v>1.25</v>
      </c>
      <c r="G86" s="5">
        <v>0.75</v>
      </c>
      <c r="H86" s="5">
        <v>3</v>
      </c>
      <c r="I86" s="5">
        <v>5</v>
      </c>
      <c r="N86" s="12">
        <f t="shared" si="21"/>
        <v>40</v>
      </c>
    </row>
    <row r="87" spans="1:14" x14ac:dyDescent="0.3">
      <c r="A87" t="s">
        <v>20</v>
      </c>
      <c r="B87" s="5">
        <v>1</v>
      </c>
      <c r="D87" s="5">
        <v>30</v>
      </c>
      <c r="F87" s="5">
        <v>1.25</v>
      </c>
      <c r="G87" s="5">
        <v>0.75</v>
      </c>
      <c r="H87" s="5">
        <v>3</v>
      </c>
      <c r="I87" s="5">
        <v>5</v>
      </c>
      <c r="N87" s="12">
        <f t="shared" si="21"/>
        <v>40</v>
      </c>
    </row>
    <row r="88" spans="1:14" x14ac:dyDescent="0.3">
      <c r="A88" t="s">
        <v>13</v>
      </c>
      <c r="B88" s="5">
        <v>1</v>
      </c>
      <c r="D88" s="5">
        <v>30</v>
      </c>
      <c r="F88" s="5">
        <v>1.25</v>
      </c>
      <c r="G88" s="5">
        <v>0.75</v>
      </c>
      <c r="H88" s="5">
        <v>3</v>
      </c>
      <c r="I88" s="5">
        <v>5</v>
      </c>
      <c r="N88" s="12">
        <f t="shared" si="21"/>
        <v>40</v>
      </c>
    </row>
    <row r="89" spans="1:14" x14ac:dyDescent="0.3">
      <c r="A89" t="s">
        <v>14</v>
      </c>
      <c r="B89" s="5">
        <v>1</v>
      </c>
      <c r="D89" s="5">
        <v>150</v>
      </c>
      <c r="F89" s="5">
        <v>1.25</v>
      </c>
      <c r="G89" s="5">
        <v>0.75</v>
      </c>
      <c r="H89" s="5">
        <v>3</v>
      </c>
      <c r="I89" s="5">
        <v>11</v>
      </c>
      <c r="N89" s="12">
        <f t="shared" si="21"/>
        <v>166</v>
      </c>
    </row>
    <row r="90" spans="1:14" x14ac:dyDescent="0.3">
      <c r="A90" t="s">
        <v>15</v>
      </c>
      <c r="B90" s="5">
        <v>1</v>
      </c>
      <c r="D90" s="5">
        <v>30</v>
      </c>
      <c r="N90" s="12">
        <f t="shared" si="21"/>
        <v>30</v>
      </c>
    </row>
    <row r="91" spans="1:14" x14ac:dyDescent="0.3">
      <c r="A91" s="24"/>
      <c r="B91" s="25"/>
      <c r="C91" s="27">
        <v>3</v>
      </c>
      <c r="D91" s="27">
        <f t="shared" ref="D91:I91" si="22">SUM(D84:D90)</f>
        <v>780</v>
      </c>
      <c r="E91" s="27">
        <f t="shared" si="22"/>
        <v>30</v>
      </c>
      <c r="F91" s="27">
        <f t="shared" si="22"/>
        <v>9.25</v>
      </c>
      <c r="G91" s="27">
        <f t="shared" si="22"/>
        <v>4.75</v>
      </c>
      <c r="H91" s="27">
        <f t="shared" si="22"/>
        <v>20</v>
      </c>
      <c r="I91" s="27">
        <f t="shared" si="22"/>
        <v>78</v>
      </c>
      <c r="J91" s="24"/>
      <c r="K91" s="26">
        <f>SUM(K84:K90)</f>
        <v>0</v>
      </c>
      <c r="L91" s="26">
        <f>SUM(L84:L90)</f>
        <v>0</v>
      </c>
      <c r="M91" s="26">
        <f>SUM(M84:M90)</f>
        <v>0</v>
      </c>
      <c r="N91" s="28">
        <f>SUM(N84:N90)</f>
        <v>925</v>
      </c>
    </row>
    <row r="93" spans="1:14" ht="23.4" x14ac:dyDescent="0.45">
      <c r="A93" s="85">
        <f>A83+30</f>
        <v>44258</v>
      </c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</row>
    <row r="94" spans="1:14" x14ac:dyDescent="0.3">
      <c r="A94" t="s">
        <v>10</v>
      </c>
      <c r="B94" s="5">
        <v>1</v>
      </c>
      <c r="C94" s="5">
        <v>3</v>
      </c>
      <c r="D94" s="5">
        <v>450</v>
      </c>
      <c r="E94" s="5">
        <v>30</v>
      </c>
      <c r="F94" s="5">
        <v>3</v>
      </c>
      <c r="G94" s="5">
        <v>1</v>
      </c>
      <c r="H94" s="5">
        <v>5</v>
      </c>
      <c r="I94" s="5">
        <v>46</v>
      </c>
      <c r="L94" s="5"/>
      <c r="N94" s="12">
        <f t="shared" ref="N94:N100" si="23">SUM(C94:M94)*B94</f>
        <v>538</v>
      </c>
    </row>
    <row r="95" spans="1:14" x14ac:dyDescent="0.3">
      <c r="A95" t="s">
        <v>11</v>
      </c>
      <c r="B95" s="5">
        <v>1</v>
      </c>
      <c r="D95" s="5">
        <v>60</v>
      </c>
      <c r="F95" s="5">
        <v>1.25</v>
      </c>
      <c r="G95" s="5">
        <v>0.75</v>
      </c>
      <c r="H95" s="5">
        <v>3</v>
      </c>
      <c r="I95" s="5">
        <v>11</v>
      </c>
      <c r="N95" s="12">
        <f t="shared" si="23"/>
        <v>76</v>
      </c>
    </row>
    <row r="96" spans="1:14" x14ac:dyDescent="0.3">
      <c r="A96" t="s">
        <v>12</v>
      </c>
      <c r="B96" s="5">
        <v>1</v>
      </c>
      <c r="D96" s="5">
        <v>30</v>
      </c>
      <c r="F96" s="5">
        <v>1.25</v>
      </c>
      <c r="G96" s="5">
        <v>0.75</v>
      </c>
      <c r="H96" s="5">
        <v>3</v>
      </c>
      <c r="I96" s="5">
        <v>5</v>
      </c>
      <c r="N96" s="12">
        <f t="shared" si="23"/>
        <v>40</v>
      </c>
    </row>
    <row r="97" spans="1:14" x14ac:dyDescent="0.3">
      <c r="A97" t="s">
        <v>20</v>
      </c>
      <c r="B97" s="5">
        <v>1</v>
      </c>
      <c r="D97" s="5">
        <v>30</v>
      </c>
      <c r="F97" s="5">
        <v>1.25</v>
      </c>
      <c r="G97" s="5">
        <v>0.75</v>
      </c>
      <c r="H97" s="5">
        <v>3</v>
      </c>
      <c r="I97" s="5">
        <v>5</v>
      </c>
      <c r="N97" s="12">
        <f t="shared" si="23"/>
        <v>40</v>
      </c>
    </row>
    <row r="98" spans="1:14" x14ac:dyDescent="0.3">
      <c r="A98" t="s">
        <v>13</v>
      </c>
      <c r="B98" s="5">
        <v>1</v>
      </c>
      <c r="D98" s="5">
        <v>30</v>
      </c>
      <c r="F98" s="5">
        <v>1.25</v>
      </c>
      <c r="G98" s="5">
        <v>0.75</v>
      </c>
      <c r="H98" s="5">
        <v>3</v>
      </c>
      <c r="I98" s="5">
        <v>5</v>
      </c>
      <c r="N98" s="12">
        <f t="shared" si="23"/>
        <v>40</v>
      </c>
    </row>
    <row r="99" spans="1:14" x14ac:dyDescent="0.3">
      <c r="A99" t="s">
        <v>14</v>
      </c>
      <c r="B99" s="5">
        <v>1</v>
      </c>
      <c r="D99" s="5">
        <v>150</v>
      </c>
      <c r="F99" s="5">
        <v>1.25</v>
      </c>
      <c r="G99" s="5">
        <v>0.75</v>
      </c>
      <c r="H99" s="5">
        <v>3</v>
      </c>
      <c r="I99" s="5">
        <v>11</v>
      </c>
      <c r="N99" s="12">
        <f t="shared" si="23"/>
        <v>166</v>
      </c>
    </row>
    <row r="100" spans="1:14" x14ac:dyDescent="0.3">
      <c r="A100" t="s">
        <v>15</v>
      </c>
      <c r="B100" s="5">
        <v>1</v>
      </c>
      <c r="D100" s="5">
        <v>30</v>
      </c>
      <c r="N100" s="12">
        <f t="shared" si="23"/>
        <v>30</v>
      </c>
    </row>
    <row r="101" spans="1:14" x14ac:dyDescent="0.3">
      <c r="A101" s="24"/>
      <c r="B101" s="25"/>
      <c r="C101" s="27">
        <v>3</v>
      </c>
      <c r="D101" s="27">
        <f t="shared" ref="D101:I101" si="24">SUM(D94:D100)</f>
        <v>780</v>
      </c>
      <c r="E101" s="27">
        <f t="shared" si="24"/>
        <v>30</v>
      </c>
      <c r="F101" s="27">
        <f t="shared" si="24"/>
        <v>9.25</v>
      </c>
      <c r="G101" s="27">
        <f t="shared" si="24"/>
        <v>4.75</v>
      </c>
      <c r="H101" s="27">
        <f t="shared" si="24"/>
        <v>20</v>
      </c>
      <c r="I101" s="27">
        <f t="shared" si="24"/>
        <v>83</v>
      </c>
      <c r="J101" s="24"/>
      <c r="K101" s="26">
        <f>SUM(K94:K100)</f>
        <v>0</v>
      </c>
      <c r="L101" s="26">
        <f>SUM(L94:L100)</f>
        <v>0</v>
      </c>
      <c r="M101" s="26">
        <f>SUM(M94:M100)</f>
        <v>0</v>
      </c>
      <c r="N101" s="28">
        <f>SUM(N94:N100)</f>
        <v>930</v>
      </c>
    </row>
    <row r="103" spans="1:14" ht="23.4" x14ac:dyDescent="0.45">
      <c r="A103" s="85">
        <f>A93+30</f>
        <v>44288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</row>
    <row r="104" spans="1:14" x14ac:dyDescent="0.3">
      <c r="A104" t="s">
        <v>10</v>
      </c>
      <c r="B104" s="5">
        <v>1</v>
      </c>
      <c r="C104" s="5">
        <v>3</v>
      </c>
      <c r="D104" s="5">
        <v>450</v>
      </c>
      <c r="E104" s="5">
        <v>30</v>
      </c>
      <c r="F104" s="5">
        <v>3</v>
      </c>
      <c r="G104" s="5">
        <v>1</v>
      </c>
      <c r="H104" s="5">
        <v>5</v>
      </c>
      <c r="I104" s="5">
        <v>51</v>
      </c>
      <c r="L104" s="5"/>
      <c r="N104" s="12">
        <f t="shared" ref="N104:N110" si="25">SUM(C104:M104)*B104</f>
        <v>543</v>
      </c>
    </row>
    <row r="105" spans="1:14" x14ac:dyDescent="0.3">
      <c r="A105" t="s">
        <v>11</v>
      </c>
      <c r="B105" s="5">
        <v>1</v>
      </c>
      <c r="D105" s="5">
        <v>60</v>
      </c>
      <c r="F105" s="5">
        <v>1.25</v>
      </c>
      <c r="G105" s="5">
        <v>0.75</v>
      </c>
      <c r="H105" s="5">
        <v>3</v>
      </c>
      <c r="I105" s="5">
        <v>11</v>
      </c>
      <c r="N105" s="12">
        <f t="shared" si="25"/>
        <v>76</v>
      </c>
    </row>
    <row r="106" spans="1:14" x14ac:dyDescent="0.3">
      <c r="A106" t="s">
        <v>12</v>
      </c>
      <c r="B106" s="5">
        <v>1</v>
      </c>
      <c r="D106" s="5">
        <v>30</v>
      </c>
      <c r="F106" s="5">
        <v>1.25</v>
      </c>
      <c r="G106" s="5">
        <v>0.75</v>
      </c>
      <c r="H106" s="5">
        <v>3</v>
      </c>
      <c r="I106" s="5">
        <v>5</v>
      </c>
      <c r="J106" t="s">
        <v>53</v>
      </c>
      <c r="N106" s="12">
        <f t="shared" si="25"/>
        <v>40</v>
      </c>
    </row>
    <row r="107" spans="1:14" x14ac:dyDescent="0.3">
      <c r="A107" t="s">
        <v>20</v>
      </c>
      <c r="B107" s="5">
        <v>1</v>
      </c>
      <c r="D107" s="5">
        <v>30</v>
      </c>
      <c r="F107" s="5">
        <v>1.25</v>
      </c>
      <c r="G107" s="5">
        <v>0.75</v>
      </c>
      <c r="H107" s="5">
        <v>3</v>
      </c>
      <c r="I107" s="5">
        <v>5</v>
      </c>
      <c r="N107" s="12">
        <f t="shared" si="25"/>
        <v>40</v>
      </c>
    </row>
    <row r="108" spans="1:14" x14ac:dyDescent="0.3">
      <c r="A108" t="s">
        <v>13</v>
      </c>
      <c r="B108" s="5">
        <v>1</v>
      </c>
      <c r="D108" s="5">
        <v>30</v>
      </c>
      <c r="F108" s="5">
        <v>1.25</v>
      </c>
      <c r="G108" s="5">
        <v>0.75</v>
      </c>
      <c r="H108" s="5">
        <v>3</v>
      </c>
      <c r="I108" s="5">
        <v>5</v>
      </c>
      <c r="N108" s="12">
        <f t="shared" si="25"/>
        <v>40</v>
      </c>
    </row>
    <row r="109" spans="1:14" x14ac:dyDescent="0.3">
      <c r="A109" t="s">
        <v>14</v>
      </c>
      <c r="B109" s="5">
        <v>1</v>
      </c>
      <c r="D109" s="5">
        <v>150</v>
      </c>
      <c r="F109" s="5">
        <v>1.25</v>
      </c>
      <c r="G109" s="5">
        <v>0.75</v>
      </c>
      <c r="H109" s="5">
        <v>3</v>
      </c>
      <c r="I109" s="5">
        <v>6</v>
      </c>
      <c r="N109" s="12">
        <f t="shared" si="25"/>
        <v>161</v>
      </c>
    </row>
    <row r="110" spans="1:14" x14ac:dyDescent="0.3">
      <c r="A110" t="s">
        <v>15</v>
      </c>
      <c r="B110" s="5">
        <v>1</v>
      </c>
      <c r="D110" s="5">
        <v>30</v>
      </c>
      <c r="N110" s="12">
        <f t="shared" si="25"/>
        <v>30</v>
      </c>
    </row>
    <row r="111" spans="1:14" x14ac:dyDescent="0.3">
      <c r="A111" s="24"/>
      <c r="B111" s="25"/>
      <c r="C111" s="27">
        <v>3</v>
      </c>
      <c r="D111" s="27">
        <f t="shared" ref="D111:I111" si="26">SUM(D104:D110)</f>
        <v>780</v>
      </c>
      <c r="E111" s="27">
        <f t="shared" si="26"/>
        <v>30</v>
      </c>
      <c r="F111" s="27">
        <f t="shared" si="26"/>
        <v>9.25</v>
      </c>
      <c r="G111" s="27">
        <f t="shared" si="26"/>
        <v>4.75</v>
      </c>
      <c r="H111" s="27">
        <f t="shared" si="26"/>
        <v>20</v>
      </c>
      <c r="I111" s="27">
        <f t="shared" si="26"/>
        <v>83</v>
      </c>
      <c r="J111" s="24"/>
      <c r="K111" s="26">
        <f>SUM(K104:K110)</f>
        <v>0</v>
      </c>
      <c r="L111" s="26">
        <f>SUM(L104:L110)</f>
        <v>0</v>
      </c>
      <c r="M111" s="26">
        <f>SUM(M104:M110)</f>
        <v>0</v>
      </c>
      <c r="N111" s="28">
        <f>SUM(N104:N110)</f>
        <v>930</v>
      </c>
    </row>
    <row r="113" spans="1:18" ht="23.4" x14ac:dyDescent="0.45">
      <c r="A113" s="85">
        <f>A103+30</f>
        <v>44318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R113">
        <f>930+930+170+1425+340</f>
        <v>3795</v>
      </c>
    </row>
    <row r="114" spans="1:18" x14ac:dyDescent="0.3">
      <c r="A114" t="s">
        <v>10</v>
      </c>
      <c r="B114" s="5">
        <v>1</v>
      </c>
      <c r="C114" s="5">
        <v>3</v>
      </c>
      <c r="D114" s="5">
        <v>450</v>
      </c>
      <c r="E114" s="5">
        <v>30</v>
      </c>
      <c r="F114" s="5">
        <v>3</v>
      </c>
      <c r="G114" s="5">
        <v>1</v>
      </c>
      <c r="H114" s="5">
        <v>5</v>
      </c>
      <c r="I114" s="5">
        <v>51</v>
      </c>
      <c r="L114" s="5"/>
      <c r="N114" s="12">
        <f t="shared" ref="N114:N120" si="27">SUM(C114:M114)*B114</f>
        <v>543</v>
      </c>
    </row>
    <row r="115" spans="1:18" x14ac:dyDescent="0.3">
      <c r="A115" t="s">
        <v>11</v>
      </c>
      <c r="B115" s="5">
        <v>1</v>
      </c>
      <c r="D115" s="5">
        <v>60</v>
      </c>
      <c r="F115" s="5">
        <v>1.25</v>
      </c>
      <c r="G115" s="5">
        <v>0.75</v>
      </c>
      <c r="H115" s="5">
        <v>3</v>
      </c>
      <c r="I115" s="5">
        <v>11</v>
      </c>
      <c r="N115" s="12">
        <f t="shared" si="27"/>
        <v>76</v>
      </c>
    </row>
    <row r="116" spans="1:18" x14ac:dyDescent="0.3">
      <c r="A116" t="s">
        <v>12</v>
      </c>
      <c r="B116" s="5">
        <v>1</v>
      </c>
      <c r="D116" s="5">
        <v>30</v>
      </c>
      <c r="F116" s="5">
        <v>1.25</v>
      </c>
      <c r="G116" s="5">
        <v>0.75</v>
      </c>
      <c r="H116" s="5">
        <v>3</v>
      </c>
      <c r="I116" s="5">
        <v>5</v>
      </c>
      <c r="J116" t="s">
        <v>53</v>
      </c>
      <c r="N116" s="12">
        <f t="shared" si="27"/>
        <v>40</v>
      </c>
    </row>
    <row r="117" spans="1:18" x14ac:dyDescent="0.3">
      <c r="A117" t="s">
        <v>20</v>
      </c>
      <c r="B117" s="5">
        <v>1</v>
      </c>
      <c r="D117" s="5">
        <v>30</v>
      </c>
      <c r="F117" s="5">
        <v>1.25</v>
      </c>
      <c r="G117" s="5">
        <v>0.75</v>
      </c>
      <c r="H117" s="5">
        <v>3</v>
      </c>
      <c r="I117" s="5">
        <v>5</v>
      </c>
      <c r="N117" s="12">
        <f t="shared" si="27"/>
        <v>40</v>
      </c>
    </row>
    <row r="118" spans="1:18" x14ac:dyDescent="0.3">
      <c r="A118" t="s">
        <v>13</v>
      </c>
      <c r="B118" s="5">
        <v>1</v>
      </c>
      <c r="D118" s="5">
        <v>30</v>
      </c>
      <c r="F118" s="5">
        <v>1.25</v>
      </c>
      <c r="G118" s="5">
        <v>0.75</v>
      </c>
      <c r="H118" s="5">
        <v>3</v>
      </c>
      <c r="I118" s="5">
        <v>5</v>
      </c>
      <c r="N118" s="12">
        <f t="shared" si="27"/>
        <v>40</v>
      </c>
    </row>
    <row r="119" spans="1:18" x14ac:dyDescent="0.3">
      <c r="A119" t="s">
        <v>14</v>
      </c>
      <c r="B119" s="5">
        <v>1</v>
      </c>
      <c r="D119" s="5">
        <v>150</v>
      </c>
      <c r="F119" s="5">
        <v>1.25</v>
      </c>
      <c r="G119" s="5">
        <v>0.75</v>
      </c>
      <c r="H119" s="5">
        <v>3</v>
      </c>
      <c r="I119" s="5">
        <v>6</v>
      </c>
      <c r="N119" s="12">
        <f t="shared" si="27"/>
        <v>161</v>
      </c>
    </row>
    <row r="120" spans="1:18" x14ac:dyDescent="0.3">
      <c r="A120" t="s">
        <v>15</v>
      </c>
      <c r="B120" s="5">
        <v>1</v>
      </c>
      <c r="D120" s="5">
        <v>30</v>
      </c>
      <c r="N120" s="12">
        <f t="shared" si="27"/>
        <v>30</v>
      </c>
    </row>
    <row r="121" spans="1:18" x14ac:dyDescent="0.3">
      <c r="A121" s="24"/>
      <c r="B121" s="25"/>
      <c r="C121" s="27">
        <v>3</v>
      </c>
      <c r="D121" s="27">
        <f t="shared" ref="D121:I121" si="28">SUM(D114:D120)</f>
        <v>780</v>
      </c>
      <c r="E121" s="27">
        <f t="shared" si="28"/>
        <v>30</v>
      </c>
      <c r="F121" s="27">
        <f t="shared" si="28"/>
        <v>9.25</v>
      </c>
      <c r="G121" s="27">
        <f t="shared" si="28"/>
        <v>4.75</v>
      </c>
      <c r="H121" s="27">
        <f t="shared" si="28"/>
        <v>20</v>
      </c>
      <c r="I121" s="27">
        <f t="shared" si="28"/>
        <v>83</v>
      </c>
      <c r="J121" s="24"/>
      <c r="K121" s="26">
        <f>SUM(K114:K120)</f>
        <v>0</v>
      </c>
      <c r="L121" s="26">
        <f>SUM(L114:L120)</f>
        <v>0</v>
      </c>
      <c r="M121" s="26">
        <f>SUM(M114:M120)</f>
        <v>0</v>
      </c>
      <c r="N121" s="28">
        <f>SUM(N114:N120)</f>
        <v>930</v>
      </c>
    </row>
    <row r="123" spans="1:18" ht="23.4" x14ac:dyDescent="0.45">
      <c r="A123" s="85">
        <f>A113+30</f>
        <v>44348</v>
      </c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 spans="1:18" x14ac:dyDescent="0.3">
      <c r="A124" t="s">
        <v>10</v>
      </c>
      <c r="B124" s="5">
        <v>1</v>
      </c>
      <c r="C124" s="5">
        <v>3</v>
      </c>
      <c r="D124" s="5">
        <v>450</v>
      </c>
      <c r="E124" s="5">
        <v>30</v>
      </c>
      <c r="F124" s="5">
        <v>3</v>
      </c>
      <c r="G124" s="5">
        <v>1</v>
      </c>
      <c r="H124" s="5">
        <v>5</v>
      </c>
      <c r="I124" s="5">
        <v>51</v>
      </c>
      <c r="L124" s="5"/>
      <c r="N124" s="12">
        <f t="shared" ref="N124:N130" si="29">SUM(C124:M124)*B124</f>
        <v>543</v>
      </c>
    </row>
    <row r="125" spans="1:18" x14ac:dyDescent="0.3">
      <c r="A125" t="s">
        <v>11</v>
      </c>
      <c r="B125" s="5">
        <v>1</v>
      </c>
      <c r="D125" s="5">
        <v>60</v>
      </c>
      <c r="F125" s="5">
        <v>1.25</v>
      </c>
      <c r="G125" s="5">
        <v>0.75</v>
      </c>
      <c r="H125" s="5">
        <v>3</v>
      </c>
      <c r="I125" s="5">
        <v>11</v>
      </c>
      <c r="N125" s="12">
        <f t="shared" si="29"/>
        <v>76</v>
      </c>
    </row>
    <row r="126" spans="1:18" x14ac:dyDescent="0.3">
      <c r="A126" t="s">
        <v>12</v>
      </c>
      <c r="B126" s="5">
        <v>1</v>
      </c>
      <c r="D126" s="5">
        <v>30</v>
      </c>
      <c r="F126" s="5">
        <v>1.25</v>
      </c>
      <c r="G126" s="5">
        <v>0.75</v>
      </c>
      <c r="H126" s="5">
        <v>3</v>
      </c>
      <c r="I126" s="5">
        <v>5</v>
      </c>
      <c r="J126" t="s">
        <v>53</v>
      </c>
      <c r="N126" s="12">
        <f t="shared" si="29"/>
        <v>40</v>
      </c>
    </row>
    <row r="127" spans="1:18" x14ac:dyDescent="0.3">
      <c r="A127" t="s">
        <v>20</v>
      </c>
      <c r="B127" s="5">
        <v>1</v>
      </c>
      <c r="D127" s="5">
        <v>30</v>
      </c>
      <c r="F127" s="5">
        <v>1.25</v>
      </c>
      <c r="G127" s="5">
        <v>0.75</v>
      </c>
      <c r="H127" s="5">
        <v>3</v>
      </c>
      <c r="I127" s="5">
        <v>5</v>
      </c>
      <c r="N127" s="12">
        <f t="shared" si="29"/>
        <v>40</v>
      </c>
    </row>
    <row r="128" spans="1:18" x14ac:dyDescent="0.3">
      <c r="A128" t="s">
        <v>13</v>
      </c>
      <c r="B128" s="5">
        <v>1</v>
      </c>
      <c r="D128" s="5">
        <v>30</v>
      </c>
      <c r="F128" s="5">
        <v>1.25</v>
      </c>
      <c r="G128" s="5">
        <v>0.75</v>
      </c>
      <c r="H128" s="5">
        <v>3</v>
      </c>
      <c r="I128" s="5">
        <v>5</v>
      </c>
      <c r="N128" s="12">
        <f t="shared" si="29"/>
        <v>40</v>
      </c>
    </row>
    <row r="129" spans="1:20" x14ac:dyDescent="0.3">
      <c r="A129" t="s">
        <v>14</v>
      </c>
      <c r="B129" s="5">
        <v>1</v>
      </c>
      <c r="D129" s="5">
        <v>150</v>
      </c>
      <c r="F129" s="5">
        <v>1.25</v>
      </c>
      <c r="G129" s="5">
        <v>0.75</v>
      </c>
      <c r="H129" s="5">
        <v>3</v>
      </c>
      <c r="I129" s="5">
        <v>501</v>
      </c>
      <c r="N129" s="12">
        <f t="shared" si="29"/>
        <v>656</v>
      </c>
    </row>
    <row r="130" spans="1:20" x14ac:dyDescent="0.3">
      <c r="A130" t="s">
        <v>15</v>
      </c>
      <c r="B130" s="5">
        <v>1</v>
      </c>
      <c r="D130" s="5">
        <v>30</v>
      </c>
      <c r="N130" s="12">
        <f t="shared" si="29"/>
        <v>30</v>
      </c>
    </row>
    <row r="131" spans="1:20" x14ac:dyDescent="0.3">
      <c r="A131" s="24"/>
      <c r="B131" s="25"/>
      <c r="C131" s="27">
        <v>3</v>
      </c>
      <c r="D131" s="27">
        <f t="shared" ref="D131:I131" si="30">SUM(D124:D130)</f>
        <v>780</v>
      </c>
      <c r="E131" s="27">
        <f t="shared" si="30"/>
        <v>30</v>
      </c>
      <c r="F131" s="27">
        <f t="shared" si="30"/>
        <v>9.25</v>
      </c>
      <c r="G131" s="27">
        <f t="shared" si="30"/>
        <v>4.75</v>
      </c>
      <c r="H131" s="27">
        <f t="shared" si="30"/>
        <v>20</v>
      </c>
      <c r="I131" s="27">
        <f t="shared" si="30"/>
        <v>578</v>
      </c>
      <c r="J131" s="24"/>
      <c r="K131" s="26">
        <f>SUM(K124:K130)</f>
        <v>0</v>
      </c>
      <c r="L131" s="26">
        <f>SUM(L124:L130)</f>
        <v>0</v>
      </c>
      <c r="M131" s="26">
        <f>SUM(M124:M130)</f>
        <v>0</v>
      </c>
      <c r="N131" s="28">
        <f>SUM(N124:N130)</f>
        <v>1425</v>
      </c>
    </row>
    <row r="133" spans="1:20" ht="23.4" x14ac:dyDescent="0.45">
      <c r="A133" s="85">
        <f>A123+30</f>
        <v>44378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</row>
    <row r="134" spans="1:20" x14ac:dyDescent="0.3">
      <c r="A134" t="s">
        <v>10</v>
      </c>
      <c r="B134" s="5">
        <v>1</v>
      </c>
      <c r="C134" s="5">
        <v>3</v>
      </c>
      <c r="D134" s="5">
        <v>450</v>
      </c>
      <c r="E134" s="5">
        <v>30</v>
      </c>
      <c r="F134" s="5">
        <v>3</v>
      </c>
      <c r="G134" s="5">
        <v>1</v>
      </c>
      <c r="H134" s="5">
        <v>5</v>
      </c>
      <c r="I134" s="5">
        <v>51</v>
      </c>
      <c r="L134" s="5"/>
      <c r="N134" s="12">
        <f t="shared" ref="N134:N140" si="31">SUM(C134:M134)*B134</f>
        <v>543</v>
      </c>
    </row>
    <row r="135" spans="1:20" x14ac:dyDescent="0.3">
      <c r="A135" t="s">
        <v>11</v>
      </c>
      <c r="B135" s="5">
        <v>1</v>
      </c>
      <c r="D135" s="5">
        <v>60</v>
      </c>
      <c r="F135" s="5">
        <v>1.25</v>
      </c>
      <c r="G135" s="5">
        <v>0.75</v>
      </c>
      <c r="H135" s="5">
        <v>3</v>
      </c>
      <c r="I135" s="5">
        <v>11</v>
      </c>
      <c r="N135" s="12">
        <f t="shared" si="31"/>
        <v>76</v>
      </c>
    </row>
    <row r="136" spans="1:20" x14ac:dyDescent="0.3">
      <c r="A136" t="s">
        <v>12</v>
      </c>
      <c r="B136" s="5">
        <v>1</v>
      </c>
      <c r="D136" s="5">
        <v>30</v>
      </c>
      <c r="F136" s="5">
        <v>1.25</v>
      </c>
      <c r="G136" s="5">
        <v>0.75</v>
      </c>
      <c r="H136" s="5">
        <v>3</v>
      </c>
      <c r="I136" s="5">
        <v>5</v>
      </c>
      <c r="J136" t="s">
        <v>53</v>
      </c>
      <c r="N136" s="12">
        <f t="shared" si="31"/>
        <v>40</v>
      </c>
    </row>
    <row r="137" spans="1:20" x14ac:dyDescent="0.3">
      <c r="A137" t="s">
        <v>20</v>
      </c>
      <c r="B137" s="5">
        <v>1</v>
      </c>
      <c r="D137" s="5">
        <v>30</v>
      </c>
      <c r="F137" s="5">
        <v>1.25</v>
      </c>
      <c r="G137" s="5">
        <v>0.75</v>
      </c>
      <c r="H137" s="5">
        <v>3</v>
      </c>
      <c r="I137" s="5">
        <v>5</v>
      </c>
      <c r="N137" s="12">
        <f t="shared" si="31"/>
        <v>40</v>
      </c>
    </row>
    <row r="138" spans="1:20" x14ac:dyDescent="0.3">
      <c r="A138" t="s">
        <v>13</v>
      </c>
      <c r="B138" s="5">
        <v>1</v>
      </c>
      <c r="D138" s="5">
        <v>30</v>
      </c>
      <c r="F138" s="5">
        <v>1.25</v>
      </c>
      <c r="G138" s="5">
        <v>0.75</v>
      </c>
      <c r="H138" s="5">
        <v>3</v>
      </c>
      <c r="I138" s="5">
        <v>5</v>
      </c>
      <c r="N138" s="12">
        <f t="shared" si="31"/>
        <v>40</v>
      </c>
    </row>
    <row r="139" spans="1:20" x14ac:dyDescent="0.3">
      <c r="A139" t="s">
        <v>14</v>
      </c>
      <c r="B139" s="5">
        <v>1</v>
      </c>
      <c r="D139" s="5">
        <v>150</v>
      </c>
      <c r="F139" s="5">
        <v>1.25</v>
      </c>
      <c r="G139" s="5">
        <v>0.75</v>
      </c>
      <c r="H139" s="5">
        <v>3</v>
      </c>
      <c r="I139" s="5">
        <v>6</v>
      </c>
      <c r="N139" s="12">
        <f t="shared" si="31"/>
        <v>161</v>
      </c>
    </row>
    <row r="140" spans="1:20" x14ac:dyDescent="0.3">
      <c r="A140" t="s">
        <v>15</v>
      </c>
      <c r="B140" s="5">
        <v>1</v>
      </c>
      <c r="D140" s="5">
        <v>30</v>
      </c>
      <c r="N140" s="12">
        <f t="shared" si="31"/>
        <v>30</v>
      </c>
    </row>
    <row r="141" spans="1:20" x14ac:dyDescent="0.3">
      <c r="A141" s="24"/>
      <c r="B141" s="25"/>
      <c r="C141" s="27">
        <v>3</v>
      </c>
      <c r="D141" s="27">
        <f t="shared" ref="D141:I141" si="32">SUM(D134:D140)</f>
        <v>780</v>
      </c>
      <c r="E141" s="27">
        <f t="shared" si="32"/>
        <v>30</v>
      </c>
      <c r="F141" s="27">
        <f t="shared" si="32"/>
        <v>9.25</v>
      </c>
      <c r="G141" s="27">
        <f t="shared" si="32"/>
        <v>4.75</v>
      </c>
      <c r="H141" s="27">
        <f t="shared" si="32"/>
        <v>20</v>
      </c>
      <c r="I141" s="27">
        <f t="shared" si="32"/>
        <v>83</v>
      </c>
      <c r="J141" s="24"/>
      <c r="K141" s="26">
        <f>SUM(K134:K140)</f>
        <v>0</v>
      </c>
      <c r="L141" s="26">
        <f>SUM(L134:L140)</f>
        <v>0</v>
      </c>
      <c r="M141" s="26">
        <f>SUM(M134:M140)</f>
        <v>0</v>
      </c>
      <c r="N141" s="28">
        <f>SUM(N134:N140)</f>
        <v>930</v>
      </c>
    </row>
    <row r="143" spans="1:20" ht="23.4" x14ac:dyDescent="0.45">
      <c r="A143" s="85">
        <v>44438</v>
      </c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T143">
        <f>935+745+180+170+350+67-12</f>
        <v>2435</v>
      </c>
    </row>
    <row r="144" spans="1:20" x14ac:dyDescent="0.3">
      <c r="A144" t="s">
        <v>10</v>
      </c>
      <c r="B144" s="5">
        <v>1</v>
      </c>
      <c r="C144" s="5">
        <v>3</v>
      </c>
      <c r="D144" s="5">
        <v>450</v>
      </c>
      <c r="E144" s="5">
        <v>30</v>
      </c>
      <c r="F144" s="5">
        <v>3</v>
      </c>
      <c r="G144" s="5">
        <v>1</v>
      </c>
      <c r="H144" s="5">
        <v>5</v>
      </c>
      <c r="I144" s="5">
        <v>51</v>
      </c>
      <c r="L144" s="5"/>
      <c r="N144" s="12">
        <f t="shared" ref="N144:N150" si="33">SUM(C144:M144)*B144</f>
        <v>543</v>
      </c>
    </row>
    <row r="145" spans="1:14" x14ac:dyDescent="0.3">
      <c r="A145" t="s">
        <v>11</v>
      </c>
      <c r="B145" s="5">
        <v>1</v>
      </c>
      <c r="D145" s="5">
        <v>60</v>
      </c>
      <c r="F145" s="5">
        <v>1.25</v>
      </c>
      <c r="G145" s="5">
        <v>0.75</v>
      </c>
      <c r="H145" s="5">
        <v>3</v>
      </c>
      <c r="I145" s="5">
        <v>11</v>
      </c>
      <c r="N145" s="12">
        <f t="shared" si="33"/>
        <v>76</v>
      </c>
    </row>
    <row r="146" spans="1:14" x14ac:dyDescent="0.3">
      <c r="A146" t="s">
        <v>12</v>
      </c>
      <c r="B146" s="5">
        <v>1</v>
      </c>
      <c r="D146" s="5">
        <v>30</v>
      </c>
      <c r="F146" s="5">
        <v>1.25</v>
      </c>
      <c r="G146" s="5">
        <v>0.75</v>
      </c>
      <c r="H146" s="5">
        <v>3</v>
      </c>
      <c r="I146" s="5">
        <v>5</v>
      </c>
      <c r="J146" t="s">
        <v>53</v>
      </c>
      <c r="N146" s="12">
        <f t="shared" si="33"/>
        <v>40</v>
      </c>
    </row>
    <row r="147" spans="1:14" x14ac:dyDescent="0.3">
      <c r="A147" t="s">
        <v>20</v>
      </c>
      <c r="B147" s="5">
        <v>1</v>
      </c>
      <c r="D147" s="5">
        <v>30</v>
      </c>
      <c r="F147" s="5">
        <v>1.25</v>
      </c>
      <c r="G147" s="5">
        <v>0.75</v>
      </c>
      <c r="H147" s="5">
        <v>3</v>
      </c>
      <c r="I147" s="5">
        <v>5</v>
      </c>
      <c r="N147" s="12">
        <f t="shared" si="33"/>
        <v>40</v>
      </c>
    </row>
    <row r="148" spans="1:14" x14ac:dyDescent="0.3">
      <c r="A148" t="s">
        <v>13</v>
      </c>
      <c r="B148" s="5">
        <v>1</v>
      </c>
      <c r="D148" s="5">
        <v>30</v>
      </c>
      <c r="F148" s="5">
        <v>1.25</v>
      </c>
      <c r="G148" s="5">
        <v>0.75</v>
      </c>
      <c r="H148" s="5">
        <v>3</v>
      </c>
      <c r="I148" s="5">
        <v>5</v>
      </c>
      <c r="N148" s="12">
        <f t="shared" si="33"/>
        <v>40</v>
      </c>
    </row>
    <row r="149" spans="1:14" x14ac:dyDescent="0.3">
      <c r="A149" t="s">
        <v>14</v>
      </c>
      <c r="B149" s="5">
        <v>1</v>
      </c>
      <c r="D149" s="5">
        <v>150</v>
      </c>
      <c r="F149" s="5">
        <v>1.25</v>
      </c>
      <c r="G149" s="5">
        <v>0.75</v>
      </c>
      <c r="H149" s="5">
        <v>3</v>
      </c>
      <c r="I149" s="5">
        <v>11</v>
      </c>
      <c r="J149" s="5">
        <v>1500</v>
      </c>
      <c r="N149" s="12">
        <f t="shared" si="33"/>
        <v>1666</v>
      </c>
    </row>
    <row r="150" spans="1:14" x14ac:dyDescent="0.3">
      <c r="A150" t="s">
        <v>15</v>
      </c>
      <c r="B150" s="5">
        <v>1</v>
      </c>
      <c r="D150" s="5">
        <v>30</v>
      </c>
      <c r="N150" s="12">
        <f t="shared" si="33"/>
        <v>30</v>
      </c>
    </row>
    <row r="151" spans="1:14" x14ac:dyDescent="0.3">
      <c r="A151" s="24"/>
      <c r="B151" s="25"/>
      <c r="C151" s="27">
        <v>3</v>
      </c>
      <c r="D151" s="27">
        <f t="shared" ref="D151:I151" si="34">SUM(D144:D150)</f>
        <v>780</v>
      </c>
      <c r="E151" s="27">
        <f t="shared" si="34"/>
        <v>30</v>
      </c>
      <c r="F151" s="27">
        <f t="shared" si="34"/>
        <v>9.25</v>
      </c>
      <c r="G151" s="27">
        <f t="shared" si="34"/>
        <v>4.75</v>
      </c>
      <c r="H151" s="27">
        <f t="shared" si="34"/>
        <v>20</v>
      </c>
      <c r="I151" s="27">
        <f t="shared" si="34"/>
        <v>88</v>
      </c>
      <c r="J151" s="24"/>
      <c r="K151" s="26">
        <f>SUM(K144:K150)</f>
        <v>0</v>
      </c>
      <c r="L151" s="26">
        <f>SUM(L144:L150)</f>
        <v>0</v>
      </c>
      <c r="M151" s="26">
        <f>SUM(M144:M150)</f>
        <v>0</v>
      </c>
      <c r="N151" s="28">
        <f>SUM(N144:N150)</f>
        <v>2435</v>
      </c>
    </row>
    <row r="153" spans="1:14" ht="23.4" x14ac:dyDescent="0.45">
      <c r="A153" s="85">
        <f>A143+30</f>
        <v>44468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</row>
    <row r="154" spans="1:14" x14ac:dyDescent="0.3">
      <c r="A154" t="s">
        <v>10</v>
      </c>
      <c r="B154" s="5">
        <v>1</v>
      </c>
      <c r="C154" s="5">
        <v>3</v>
      </c>
      <c r="D154" s="5">
        <v>450</v>
      </c>
      <c r="E154" s="5">
        <v>30</v>
      </c>
      <c r="F154" s="5">
        <v>3</v>
      </c>
      <c r="G154" s="5">
        <v>1</v>
      </c>
      <c r="H154" s="5">
        <v>5</v>
      </c>
      <c r="I154" s="5">
        <v>51</v>
      </c>
      <c r="L154" s="5"/>
      <c r="N154" s="12">
        <f t="shared" ref="N154:N160" si="35">SUM(C154:M154)*B154</f>
        <v>543</v>
      </c>
    </row>
    <row r="155" spans="1:14" x14ac:dyDescent="0.3">
      <c r="A155" t="s">
        <v>11</v>
      </c>
      <c r="B155" s="5">
        <v>1</v>
      </c>
      <c r="D155" s="5">
        <v>60</v>
      </c>
      <c r="F155" s="5">
        <v>1.25</v>
      </c>
      <c r="G155" s="5">
        <v>0.75</v>
      </c>
      <c r="H155" s="5">
        <v>3</v>
      </c>
      <c r="I155" s="5">
        <v>11</v>
      </c>
      <c r="N155" s="12">
        <f t="shared" si="35"/>
        <v>76</v>
      </c>
    </row>
    <row r="156" spans="1:14" x14ac:dyDescent="0.3">
      <c r="A156" t="s">
        <v>12</v>
      </c>
      <c r="B156" s="5">
        <v>1</v>
      </c>
      <c r="D156" s="5">
        <v>30</v>
      </c>
      <c r="F156" s="5">
        <v>1.25</v>
      </c>
      <c r="G156" s="5">
        <v>0.75</v>
      </c>
      <c r="H156" s="5">
        <v>3</v>
      </c>
      <c r="I156" s="5">
        <v>5</v>
      </c>
      <c r="J156" t="s">
        <v>53</v>
      </c>
      <c r="N156" s="12">
        <f t="shared" si="35"/>
        <v>40</v>
      </c>
    </row>
    <row r="157" spans="1:14" x14ac:dyDescent="0.3">
      <c r="A157" t="s">
        <v>20</v>
      </c>
      <c r="B157" s="5">
        <v>1</v>
      </c>
      <c r="D157" s="5">
        <v>30</v>
      </c>
      <c r="F157" s="5">
        <v>1.25</v>
      </c>
      <c r="G157" s="5">
        <v>0.75</v>
      </c>
      <c r="H157" s="5">
        <v>3</v>
      </c>
      <c r="I157" s="5">
        <v>5</v>
      </c>
      <c r="N157" s="12">
        <f t="shared" si="35"/>
        <v>40</v>
      </c>
    </row>
    <row r="158" spans="1:14" x14ac:dyDescent="0.3">
      <c r="A158" t="s">
        <v>13</v>
      </c>
      <c r="B158" s="5">
        <v>1</v>
      </c>
      <c r="D158" s="5">
        <v>30</v>
      </c>
      <c r="F158" s="5">
        <v>1.25</v>
      </c>
      <c r="G158" s="5">
        <v>0.75</v>
      </c>
      <c r="H158" s="5">
        <v>3</v>
      </c>
      <c r="I158" s="5">
        <v>5</v>
      </c>
      <c r="N158" s="12">
        <f t="shared" si="35"/>
        <v>40</v>
      </c>
    </row>
    <row r="159" spans="1:14" x14ac:dyDescent="0.3">
      <c r="A159" t="s">
        <v>14</v>
      </c>
      <c r="B159" s="5">
        <v>1</v>
      </c>
      <c r="D159" s="5">
        <v>150</v>
      </c>
      <c r="F159" s="5">
        <v>1.25</v>
      </c>
      <c r="G159" s="5">
        <v>0.75</v>
      </c>
      <c r="H159" s="5">
        <v>3</v>
      </c>
      <c r="I159" s="5">
        <v>11</v>
      </c>
      <c r="J159" s="5"/>
      <c r="N159" s="12">
        <f t="shared" si="35"/>
        <v>166</v>
      </c>
    </row>
    <row r="160" spans="1:14" x14ac:dyDescent="0.3">
      <c r="A160" t="s">
        <v>15</v>
      </c>
      <c r="B160" s="5">
        <v>1</v>
      </c>
      <c r="D160" s="5">
        <v>30</v>
      </c>
      <c r="N160" s="12">
        <f t="shared" si="35"/>
        <v>30</v>
      </c>
    </row>
    <row r="161" spans="1:14" x14ac:dyDescent="0.3">
      <c r="A161" s="24"/>
      <c r="B161" s="25"/>
      <c r="C161" s="27">
        <v>3</v>
      </c>
      <c r="D161" s="27">
        <f t="shared" ref="D161:I161" si="36">SUM(D154:D160)</f>
        <v>780</v>
      </c>
      <c r="E161" s="27">
        <f t="shared" si="36"/>
        <v>30</v>
      </c>
      <c r="F161" s="27">
        <f t="shared" si="36"/>
        <v>9.25</v>
      </c>
      <c r="G161" s="27">
        <f t="shared" si="36"/>
        <v>4.75</v>
      </c>
      <c r="H161" s="27">
        <f t="shared" si="36"/>
        <v>20</v>
      </c>
      <c r="I161" s="27">
        <f t="shared" si="36"/>
        <v>88</v>
      </c>
      <c r="J161" s="24"/>
      <c r="K161" s="26">
        <f>SUM(K154:K160)</f>
        <v>0</v>
      </c>
      <c r="L161" s="26">
        <f>SUM(L154:L160)</f>
        <v>0</v>
      </c>
      <c r="M161" s="26">
        <f>SUM(M154:M160)</f>
        <v>0</v>
      </c>
      <c r="N161" s="28">
        <f>SUM(N154:N160)</f>
        <v>935</v>
      </c>
    </row>
    <row r="163" spans="1:14" ht="23.4" x14ac:dyDescent="0.45">
      <c r="A163" s="85">
        <f>A153+30</f>
        <v>44498</v>
      </c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</row>
    <row r="164" spans="1:14" x14ac:dyDescent="0.3">
      <c r="A164" t="s">
        <v>10</v>
      </c>
      <c r="B164" s="5">
        <v>1</v>
      </c>
      <c r="C164" s="5">
        <v>3</v>
      </c>
      <c r="D164" s="5">
        <v>450</v>
      </c>
      <c r="E164" s="5">
        <v>30</v>
      </c>
      <c r="F164" s="5">
        <v>3</v>
      </c>
      <c r="G164" s="5">
        <v>1</v>
      </c>
      <c r="H164" s="5">
        <v>5</v>
      </c>
      <c r="I164" s="5">
        <v>51</v>
      </c>
      <c r="L164" s="5"/>
      <c r="N164" s="12">
        <f t="shared" ref="N164:N170" si="37">SUM(C164:M164)*B164</f>
        <v>543</v>
      </c>
    </row>
    <row r="165" spans="1:14" x14ac:dyDescent="0.3">
      <c r="A165" t="s">
        <v>11</v>
      </c>
      <c r="B165" s="5">
        <v>1</v>
      </c>
      <c r="D165" s="5">
        <v>60</v>
      </c>
      <c r="F165" s="5">
        <v>1.25</v>
      </c>
      <c r="G165" s="5">
        <v>0.75</v>
      </c>
      <c r="H165" s="5">
        <v>3</v>
      </c>
      <c r="I165" s="5">
        <v>11</v>
      </c>
      <c r="N165" s="12">
        <f t="shared" si="37"/>
        <v>76</v>
      </c>
    </row>
    <row r="166" spans="1:14" x14ac:dyDescent="0.3">
      <c r="A166" t="s">
        <v>12</v>
      </c>
      <c r="B166" s="5">
        <v>1</v>
      </c>
      <c r="D166" s="5">
        <v>30</v>
      </c>
      <c r="F166" s="5">
        <v>1.25</v>
      </c>
      <c r="G166" s="5">
        <v>0.75</v>
      </c>
      <c r="H166" s="5">
        <v>3</v>
      </c>
      <c r="I166" s="5">
        <v>5</v>
      </c>
      <c r="J166" t="s">
        <v>53</v>
      </c>
      <c r="N166" s="12">
        <f t="shared" si="37"/>
        <v>40</v>
      </c>
    </row>
    <row r="167" spans="1:14" x14ac:dyDescent="0.3">
      <c r="A167" t="s">
        <v>20</v>
      </c>
      <c r="B167" s="5">
        <v>1</v>
      </c>
      <c r="D167" s="5">
        <v>30</v>
      </c>
      <c r="F167" s="5">
        <v>1.25</v>
      </c>
      <c r="G167" s="5">
        <v>0.75</v>
      </c>
      <c r="H167" s="5">
        <v>3</v>
      </c>
      <c r="I167" s="5">
        <v>5</v>
      </c>
      <c r="N167" s="12">
        <f t="shared" si="37"/>
        <v>40</v>
      </c>
    </row>
    <row r="168" spans="1:14" x14ac:dyDescent="0.3">
      <c r="A168" t="s">
        <v>13</v>
      </c>
      <c r="B168" s="5">
        <v>1</v>
      </c>
      <c r="D168" s="5">
        <v>30</v>
      </c>
      <c r="F168" s="5">
        <v>1.25</v>
      </c>
      <c r="G168" s="5">
        <v>0.75</v>
      </c>
      <c r="H168" s="5">
        <v>3</v>
      </c>
      <c r="I168" s="5">
        <v>5</v>
      </c>
      <c r="N168" s="12">
        <f t="shared" si="37"/>
        <v>40</v>
      </c>
    </row>
    <row r="169" spans="1:14" x14ac:dyDescent="0.3">
      <c r="A169" t="s">
        <v>14</v>
      </c>
      <c r="B169" s="5">
        <v>1</v>
      </c>
      <c r="D169" s="5">
        <v>150</v>
      </c>
      <c r="F169" s="5">
        <v>1.25</v>
      </c>
      <c r="G169" s="5">
        <v>0.75</v>
      </c>
      <c r="H169" s="5">
        <v>3</v>
      </c>
      <c r="I169" s="5">
        <v>11</v>
      </c>
      <c r="J169" s="5"/>
      <c r="N169" s="12">
        <f t="shared" si="37"/>
        <v>166</v>
      </c>
    </row>
    <row r="170" spans="1:14" x14ac:dyDescent="0.3">
      <c r="A170" t="s">
        <v>15</v>
      </c>
      <c r="B170" s="5">
        <v>1</v>
      </c>
      <c r="D170" s="5">
        <v>30</v>
      </c>
      <c r="N170" s="12">
        <f t="shared" si="37"/>
        <v>30</v>
      </c>
    </row>
    <row r="171" spans="1:14" x14ac:dyDescent="0.3">
      <c r="A171" s="24"/>
      <c r="B171" s="25"/>
      <c r="C171" s="27">
        <v>3</v>
      </c>
      <c r="D171" s="27">
        <f t="shared" ref="D171:I171" si="38">SUM(D164:D170)</f>
        <v>780</v>
      </c>
      <c r="E171" s="27">
        <f t="shared" si="38"/>
        <v>30</v>
      </c>
      <c r="F171" s="27">
        <f t="shared" si="38"/>
        <v>9.25</v>
      </c>
      <c r="G171" s="27">
        <f t="shared" si="38"/>
        <v>4.75</v>
      </c>
      <c r="H171" s="27">
        <f t="shared" si="38"/>
        <v>20</v>
      </c>
      <c r="I171" s="27">
        <f t="shared" si="38"/>
        <v>88</v>
      </c>
      <c r="J171" s="24"/>
      <c r="K171" s="26">
        <f>SUM(K164:K170)</f>
        <v>0</v>
      </c>
      <c r="L171" s="26">
        <f>SUM(L164:L170)</f>
        <v>0</v>
      </c>
      <c r="M171" s="26">
        <f>SUM(M164:M170)</f>
        <v>0</v>
      </c>
      <c r="N171" s="28">
        <f>SUM(N164:N170)</f>
        <v>935</v>
      </c>
    </row>
    <row r="173" spans="1:14" ht="23.4" x14ac:dyDescent="0.45">
      <c r="A173" s="85">
        <f>A163+30</f>
        <v>44528</v>
      </c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</row>
    <row r="174" spans="1:14" x14ac:dyDescent="0.3">
      <c r="A174" t="s">
        <v>10</v>
      </c>
      <c r="B174" s="5">
        <v>1</v>
      </c>
      <c r="C174" s="5">
        <v>3</v>
      </c>
      <c r="D174" s="5">
        <v>450</v>
      </c>
      <c r="E174" s="5">
        <v>30</v>
      </c>
      <c r="F174" s="5">
        <v>3</v>
      </c>
      <c r="G174" s="5">
        <v>1</v>
      </c>
      <c r="H174" s="5">
        <v>5</v>
      </c>
      <c r="I174" s="5">
        <v>51</v>
      </c>
      <c r="L174" s="5"/>
      <c r="N174" s="12">
        <f t="shared" ref="N174:N180" si="39">SUM(C174:M174)*B174</f>
        <v>543</v>
      </c>
    </row>
    <row r="175" spans="1:14" x14ac:dyDescent="0.3">
      <c r="A175" t="s">
        <v>11</v>
      </c>
      <c r="B175" s="5">
        <v>1</v>
      </c>
      <c r="D175" s="5">
        <v>60</v>
      </c>
      <c r="F175" s="5">
        <v>1.25</v>
      </c>
      <c r="G175" s="5">
        <v>0.75</v>
      </c>
      <c r="H175" s="5">
        <v>3</v>
      </c>
      <c r="I175" s="5">
        <v>11</v>
      </c>
      <c r="N175" s="12">
        <f t="shared" si="39"/>
        <v>76</v>
      </c>
    </row>
    <row r="176" spans="1:14" x14ac:dyDescent="0.3">
      <c r="A176" t="s">
        <v>12</v>
      </c>
      <c r="B176" s="5">
        <v>1</v>
      </c>
      <c r="D176" s="5">
        <v>30</v>
      </c>
      <c r="F176" s="5">
        <v>1.25</v>
      </c>
      <c r="G176" s="5">
        <v>0.75</v>
      </c>
      <c r="H176" s="5">
        <v>3</v>
      </c>
      <c r="I176" s="5">
        <v>5</v>
      </c>
      <c r="J176" t="s">
        <v>53</v>
      </c>
      <c r="N176" s="12">
        <f t="shared" si="39"/>
        <v>40</v>
      </c>
    </row>
    <row r="177" spans="1:14" x14ac:dyDescent="0.3">
      <c r="A177" t="s">
        <v>20</v>
      </c>
      <c r="B177" s="5">
        <v>1</v>
      </c>
      <c r="D177" s="5">
        <v>30</v>
      </c>
      <c r="F177" s="5">
        <v>1.25</v>
      </c>
      <c r="G177" s="5">
        <v>0.75</v>
      </c>
      <c r="H177" s="5">
        <v>3</v>
      </c>
      <c r="I177" s="5">
        <v>5</v>
      </c>
      <c r="N177" s="12">
        <f t="shared" si="39"/>
        <v>40</v>
      </c>
    </row>
    <row r="178" spans="1:14" x14ac:dyDescent="0.3">
      <c r="A178" t="s">
        <v>13</v>
      </c>
      <c r="B178" s="5">
        <v>1</v>
      </c>
      <c r="D178" s="5">
        <v>30</v>
      </c>
      <c r="F178" s="5">
        <v>1.25</v>
      </c>
      <c r="G178" s="5">
        <v>0.75</v>
      </c>
      <c r="H178" s="5">
        <v>3</v>
      </c>
      <c r="I178" s="5">
        <v>5</v>
      </c>
      <c r="N178" s="12">
        <f t="shared" si="39"/>
        <v>40</v>
      </c>
    </row>
    <row r="179" spans="1:14" x14ac:dyDescent="0.3">
      <c r="A179" t="s">
        <v>14</v>
      </c>
      <c r="B179" s="5">
        <v>1</v>
      </c>
      <c r="D179" s="5">
        <v>150</v>
      </c>
      <c r="F179" s="5">
        <v>1.25</v>
      </c>
      <c r="G179" s="5">
        <v>0.75</v>
      </c>
      <c r="H179" s="5">
        <v>3</v>
      </c>
      <c r="I179" s="5">
        <v>11</v>
      </c>
      <c r="J179" s="5"/>
      <c r="N179" s="12">
        <f t="shared" si="39"/>
        <v>166</v>
      </c>
    </row>
    <row r="180" spans="1:14" x14ac:dyDescent="0.3">
      <c r="A180" t="s">
        <v>15</v>
      </c>
      <c r="B180" s="5">
        <v>1</v>
      </c>
      <c r="D180" s="5">
        <v>30</v>
      </c>
      <c r="N180" s="12">
        <f t="shared" si="39"/>
        <v>30</v>
      </c>
    </row>
    <row r="181" spans="1:14" x14ac:dyDescent="0.3">
      <c r="A181" s="24"/>
      <c r="B181" s="25"/>
      <c r="C181" s="27">
        <v>3</v>
      </c>
      <c r="D181" s="27">
        <f t="shared" ref="D181:I181" si="40">SUM(D174:D180)</f>
        <v>780</v>
      </c>
      <c r="E181" s="27">
        <f t="shared" si="40"/>
        <v>30</v>
      </c>
      <c r="F181" s="27">
        <f t="shared" si="40"/>
        <v>9.25</v>
      </c>
      <c r="G181" s="27">
        <f t="shared" si="40"/>
        <v>4.75</v>
      </c>
      <c r="H181" s="27">
        <f t="shared" si="40"/>
        <v>20</v>
      </c>
      <c r="I181" s="27">
        <f t="shared" si="40"/>
        <v>88</v>
      </c>
      <c r="J181" s="24"/>
      <c r="K181" s="26">
        <f>SUM(K174:K180)</f>
        <v>0</v>
      </c>
      <c r="L181" s="26">
        <f>SUM(L174:L180)</f>
        <v>0</v>
      </c>
      <c r="M181" s="26">
        <f>SUM(M174:M180)</f>
        <v>0</v>
      </c>
      <c r="N181" s="28">
        <f>SUM(N174:N180)</f>
        <v>935</v>
      </c>
    </row>
    <row r="183" spans="1:14" ht="23.4" x14ac:dyDescent="0.45">
      <c r="A183" s="85">
        <f>A173+30</f>
        <v>44558</v>
      </c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 spans="1:14" x14ac:dyDescent="0.3">
      <c r="A184" t="s">
        <v>10</v>
      </c>
      <c r="B184" s="5">
        <v>1</v>
      </c>
      <c r="C184" s="5">
        <v>3</v>
      </c>
      <c r="D184" s="5">
        <v>450</v>
      </c>
      <c r="E184" s="5">
        <v>30</v>
      </c>
      <c r="F184" s="5">
        <v>3</v>
      </c>
      <c r="G184" s="5">
        <v>1</v>
      </c>
      <c r="H184" s="5">
        <v>5</v>
      </c>
      <c r="I184" s="5">
        <v>51</v>
      </c>
      <c r="J184" s="5"/>
      <c r="L184" s="5"/>
      <c r="N184" s="12">
        <f t="shared" ref="N184:N190" si="41">SUM(C184:M184)*B184</f>
        <v>543</v>
      </c>
    </row>
    <row r="185" spans="1:14" x14ac:dyDescent="0.3">
      <c r="A185" t="s">
        <v>11</v>
      </c>
      <c r="B185" s="5">
        <v>1</v>
      </c>
      <c r="D185" s="5">
        <v>60</v>
      </c>
      <c r="F185" s="5">
        <v>1.25</v>
      </c>
      <c r="G185" s="5">
        <v>0.75</v>
      </c>
      <c r="H185" s="5">
        <v>3</v>
      </c>
      <c r="I185" s="5">
        <v>11</v>
      </c>
      <c r="N185" s="12">
        <f t="shared" si="41"/>
        <v>76</v>
      </c>
    </row>
    <row r="186" spans="1:14" x14ac:dyDescent="0.3">
      <c r="A186" t="s">
        <v>12</v>
      </c>
      <c r="B186" s="5">
        <v>1</v>
      </c>
      <c r="D186" s="5">
        <v>30</v>
      </c>
      <c r="F186" s="5">
        <v>1.25</v>
      </c>
      <c r="G186" s="5">
        <v>0.75</v>
      </c>
      <c r="H186" s="5">
        <v>3</v>
      </c>
      <c r="I186" s="5">
        <v>5</v>
      </c>
      <c r="J186" t="s">
        <v>53</v>
      </c>
      <c r="N186" s="12">
        <f t="shared" si="41"/>
        <v>40</v>
      </c>
    </row>
    <row r="187" spans="1:14" x14ac:dyDescent="0.3">
      <c r="A187" t="s">
        <v>20</v>
      </c>
      <c r="B187" s="5">
        <v>1</v>
      </c>
      <c r="D187" s="5">
        <v>30</v>
      </c>
      <c r="F187" s="5">
        <v>1.25</v>
      </c>
      <c r="G187" s="5">
        <v>0.75</v>
      </c>
      <c r="H187" s="5">
        <v>3</v>
      </c>
      <c r="I187" s="5">
        <v>5</v>
      </c>
      <c r="N187" s="12">
        <f t="shared" si="41"/>
        <v>40</v>
      </c>
    </row>
    <row r="188" spans="1:14" x14ac:dyDescent="0.3">
      <c r="A188" t="s">
        <v>13</v>
      </c>
      <c r="B188" s="5">
        <v>1</v>
      </c>
      <c r="D188" s="5">
        <v>30</v>
      </c>
      <c r="F188" s="5">
        <v>1.25</v>
      </c>
      <c r="G188" s="5">
        <v>0.75</v>
      </c>
      <c r="H188" s="5">
        <v>3</v>
      </c>
      <c r="I188" s="5">
        <v>5</v>
      </c>
      <c r="N188" s="12">
        <f t="shared" si="41"/>
        <v>40</v>
      </c>
    </row>
    <row r="189" spans="1:14" x14ac:dyDescent="0.3">
      <c r="A189" t="s">
        <v>14</v>
      </c>
      <c r="B189" s="5">
        <v>1</v>
      </c>
      <c r="D189" s="5">
        <v>150</v>
      </c>
      <c r="F189" s="5">
        <v>1.25</v>
      </c>
      <c r="G189" s="5">
        <v>0.75</v>
      </c>
      <c r="H189" s="5">
        <v>3</v>
      </c>
      <c r="I189" s="5">
        <v>511</v>
      </c>
      <c r="J189" s="5"/>
      <c r="N189" s="12">
        <f t="shared" si="41"/>
        <v>666</v>
      </c>
    </row>
    <row r="190" spans="1:14" x14ac:dyDescent="0.3">
      <c r="A190" t="s">
        <v>15</v>
      </c>
      <c r="B190" s="5">
        <v>1</v>
      </c>
      <c r="D190" s="5">
        <v>30</v>
      </c>
      <c r="N190" s="12">
        <f t="shared" si="41"/>
        <v>30</v>
      </c>
    </row>
    <row r="191" spans="1:14" x14ac:dyDescent="0.3">
      <c r="A191" s="24"/>
      <c r="B191" s="25"/>
      <c r="C191" s="27">
        <v>3</v>
      </c>
      <c r="D191" s="27">
        <f t="shared" ref="D191:I191" si="42">SUM(D184:D190)</f>
        <v>780</v>
      </c>
      <c r="E191" s="27">
        <f t="shared" si="42"/>
        <v>30</v>
      </c>
      <c r="F191" s="27">
        <f t="shared" si="42"/>
        <v>9.25</v>
      </c>
      <c r="G191" s="27">
        <f t="shared" si="42"/>
        <v>4.75</v>
      </c>
      <c r="H191" s="27">
        <f t="shared" si="42"/>
        <v>20</v>
      </c>
      <c r="I191" s="27">
        <f t="shared" si="42"/>
        <v>588</v>
      </c>
      <c r="J191" s="24"/>
      <c r="K191" s="26">
        <f>SUM(K184:K190)</f>
        <v>0</v>
      </c>
      <c r="L191" s="26">
        <f>SUM(L184:L190)</f>
        <v>0</v>
      </c>
      <c r="M191" s="26">
        <f>SUM(M184:M190)</f>
        <v>0</v>
      </c>
      <c r="N191" s="28">
        <f>SUM(N184:N190)</f>
        <v>1435</v>
      </c>
    </row>
    <row r="193" spans="1:14" ht="23.4" x14ac:dyDescent="0.45">
      <c r="A193" s="85">
        <f>A183+30</f>
        <v>44588</v>
      </c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</row>
    <row r="194" spans="1:14" x14ac:dyDescent="0.3">
      <c r="A194" t="s">
        <v>10</v>
      </c>
      <c r="B194" s="5">
        <v>1</v>
      </c>
      <c r="C194" s="5">
        <v>3</v>
      </c>
      <c r="D194" s="5">
        <v>450</v>
      </c>
      <c r="E194" s="5">
        <v>30</v>
      </c>
      <c r="F194" s="5">
        <v>3</v>
      </c>
      <c r="G194" s="5">
        <v>1</v>
      </c>
      <c r="H194" s="5">
        <v>5</v>
      </c>
      <c r="I194" s="5">
        <v>53</v>
      </c>
      <c r="J194" s="5"/>
      <c r="L194" s="5"/>
      <c r="N194" s="12">
        <f t="shared" ref="N194:N200" si="43">SUM(C194:M194)*B194</f>
        <v>545</v>
      </c>
    </row>
    <row r="195" spans="1:14" x14ac:dyDescent="0.3">
      <c r="A195" t="s">
        <v>11</v>
      </c>
      <c r="B195" s="5">
        <v>1</v>
      </c>
      <c r="D195" s="5">
        <v>60</v>
      </c>
      <c r="F195" s="5">
        <v>1.25</v>
      </c>
      <c r="G195" s="5">
        <v>0.75</v>
      </c>
      <c r="H195" s="5">
        <v>3</v>
      </c>
      <c r="I195" s="5">
        <v>11</v>
      </c>
      <c r="N195" s="12">
        <f t="shared" si="43"/>
        <v>76</v>
      </c>
    </row>
    <row r="196" spans="1:14" x14ac:dyDescent="0.3">
      <c r="A196" t="s">
        <v>12</v>
      </c>
      <c r="B196" s="5">
        <v>1</v>
      </c>
      <c r="D196" s="5">
        <v>30</v>
      </c>
      <c r="F196" s="5">
        <v>1.25</v>
      </c>
      <c r="G196" s="5">
        <v>0.75</v>
      </c>
      <c r="H196" s="5">
        <v>3</v>
      </c>
      <c r="I196" s="5">
        <v>5</v>
      </c>
      <c r="J196" t="s">
        <v>53</v>
      </c>
      <c r="N196" s="12">
        <f t="shared" si="43"/>
        <v>40</v>
      </c>
    </row>
    <row r="197" spans="1:14" x14ac:dyDescent="0.3">
      <c r="A197" t="s">
        <v>20</v>
      </c>
      <c r="B197" s="5">
        <v>1</v>
      </c>
      <c r="D197" s="5">
        <v>30</v>
      </c>
      <c r="F197" s="5">
        <v>1.25</v>
      </c>
      <c r="G197" s="5">
        <v>0.75</v>
      </c>
      <c r="H197" s="5">
        <v>3</v>
      </c>
      <c r="I197" s="5">
        <v>5</v>
      </c>
      <c r="N197" s="12">
        <f t="shared" si="43"/>
        <v>40</v>
      </c>
    </row>
    <row r="198" spans="1:14" x14ac:dyDescent="0.3">
      <c r="A198" t="s">
        <v>13</v>
      </c>
      <c r="B198" s="5">
        <v>1</v>
      </c>
      <c r="D198" s="5">
        <v>30</v>
      </c>
      <c r="F198" s="5">
        <v>1.25</v>
      </c>
      <c r="G198" s="5">
        <v>0.75</v>
      </c>
      <c r="H198" s="5">
        <v>3</v>
      </c>
      <c r="I198" s="5">
        <v>5</v>
      </c>
      <c r="N198" s="12">
        <f t="shared" si="43"/>
        <v>40</v>
      </c>
    </row>
    <row r="199" spans="1:14" x14ac:dyDescent="0.3">
      <c r="A199" t="s">
        <v>14</v>
      </c>
      <c r="B199" s="5">
        <v>1</v>
      </c>
      <c r="D199" s="5">
        <v>150</v>
      </c>
      <c r="F199" s="5">
        <v>1.25</v>
      </c>
      <c r="G199" s="5">
        <v>0.75</v>
      </c>
      <c r="H199" s="5">
        <v>3</v>
      </c>
      <c r="I199" s="5">
        <v>11</v>
      </c>
      <c r="J199" s="5"/>
      <c r="N199" s="12">
        <f t="shared" si="43"/>
        <v>166</v>
      </c>
    </row>
    <row r="200" spans="1:14" x14ac:dyDescent="0.3">
      <c r="A200" t="s">
        <v>15</v>
      </c>
      <c r="B200" s="5">
        <v>1</v>
      </c>
      <c r="D200" s="5">
        <v>30</v>
      </c>
      <c r="N200" s="12">
        <f t="shared" si="43"/>
        <v>30</v>
      </c>
    </row>
    <row r="201" spans="1:14" x14ac:dyDescent="0.3">
      <c r="A201" s="24"/>
      <c r="B201" s="25"/>
      <c r="C201" s="27">
        <v>3</v>
      </c>
      <c r="D201" s="27">
        <f t="shared" ref="D201:I201" si="44">SUM(D194:D200)</f>
        <v>780</v>
      </c>
      <c r="E201" s="27">
        <f t="shared" si="44"/>
        <v>30</v>
      </c>
      <c r="F201" s="27">
        <f t="shared" si="44"/>
        <v>9.25</v>
      </c>
      <c r="G201" s="27">
        <f t="shared" si="44"/>
        <v>4.75</v>
      </c>
      <c r="H201" s="27">
        <f t="shared" si="44"/>
        <v>20</v>
      </c>
      <c r="I201" s="27">
        <f t="shared" si="44"/>
        <v>90</v>
      </c>
      <c r="J201" s="24"/>
      <c r="K201" s="26">
        <f>SUM(K194:K200)</f>
        <v>0</v>
      </c>
      <c r="L201" s="26">
        <f>SUM(L194:L200)</f>
        <v>0</v>
      </c>
      <c r="M201" s="26">
        <f>SUM(M194:M200)</f>
        <v>0</v>
      </c>
      <c r="N201" s="28">
        <f>SUM(N194:N200)</f>
        <v>937</v>
      </c>
    </row>
    <row r="203" spans="1:14" ht="23.4" x14ac:dyDescent="0.45">
      <c r="A203" s="85">
        <f>A193+30</f>
        <v>44618</v>
      </c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</row>
    <row r="204" spans="1:14" x14ac:dyDescent="0.3">
      <c r="A204" t="s">
        <v>10</v>
      </c>
      <c r="B204" s="5">
        <v>1</v>
      </c>
      <c r="C204" s="5">
        <v>3</v>
      </c>
      <c r="D204" s="5">
        <v>450</v>
      </c>
      <c r="E204" s="5">
        <v>30</v>
      </c>
      <c r="F204" s="5">
        <v>3</v>
      </c>
      <c r="G204" s="5">
        <v>1</v>
      </c>
      <c r="H204" s="5">
        <v>5</v>
      </c>
      <c r="I204" s="5">
        <v>53</v>
      </c>
      <c r="J204" s="5"/>
      <c r="L204" s="5"/>
      <c r="N204" s="12">
        <f t="shared" ref="N204:N210" si="45">SUM(C204:M204)*B204</f>
        <v>545</v>
      </c>
    </row>
    <row r="205" spans="1:14" x14ac:dyDescent="0.3">
      <c r="A205" t="s">
        <v>11</v>
      </c>
      <c r="B205" s="5">
        <v>1</v>
      </c>
      <c r="D205" s="5">
        <v>60</v>
      </c>
      <c r="F205" s="5">
        <v>1.25</v>
      </c>
      <c r="G205" s="5">
        <v>0.75</v>
      </c>
      <c r="H205" s="5">
        <v>3</v>
      </c>
      <c r="I205" s="5">
        <v>11</v>
      </c>
      <c r="N205" s="12">
        <f t="shared" si="45"/>
        <v>76</v>
      </c>
    </row>
    <row r="206" spans="1:14" x14ac:dyDescent="0.3">
      <c r="A206" t="s">
        <v>12</v>
      </c>
      <c r="B206" s="5">
        <v>1</v>
      </c>
      <c r="D206" s="5">
        <v>30</v>
      </c>
      <c r="F206" s="5">
        <v>1.25</v>
      </c>
      <c r="G206" s="5">
        <v>0.75</v>
      </c>
      <c r="H206" s="5">
        <v>3</v>
      </c>
      <c r="I206" s="5">
        <v>5</v>
      </c>
      <c r="J206" t="s">
        <v>53</v>
      </c>
      <c r="N206" s="12">
        <f t="shared" si="45"/>
        <v>40</v>
      </c>
    </row>
    <row r="207" spans="1:14" x14ac:dyDescent="0.3">
      <c r="A207" t="s">
        <v>20</v>
      </c>
      <c r="B207" s="5">
        <v>1</v>
      </c>
      <c r="D207" s="5">
        <v>30</v>
      </c>
      <c r="F207" s="5">
        <v>1.25</v>
      </c>
      <c r="G207" s="5">
        <v>0.75</v>
      </c>
      <c r="H207" s="5">
        <v>3</v>
      </c>
      <c r="I207" s="5">
        <v>5</v>
      </c>
      <c r="N207" s="12">
        <f t="shared" si="45"/>
        <v>40</v>
      </c>
    </row>
    <row r="208" spans="1:14" x14ac:dyDescent="0.3">
      <c r="A208" t="s">
        <v>13</v>
      </c>
      <c r="B208" s="5">
        <v>1</v>
      </c>
      <c r="D208" s="5">
        <v>30</v>
      </c>
      <c r="F208" s="5">
        <v>1.25</v>
      </c>
      <c r="G208" s="5">
        <v>0.75</v>
      </c>
      <c r="H208" s="5">
        <v>3</v>
      </c>
      <c r="I208" s="5">
        <v>5</v>
      </c>
      <c r="N208" s="12">
        <f t="shared" si="45"/>
        <v>40</v>
      </c>
    </row>
    <row r="209" spans="1:22" x14ac:dyDescent="0.3">
      <c r="A209" t="s">
        <v>14</v>
      </c>
      <c r="B209" s="5">
        <v>1</v>
      </c>
      <c r="D209" s="5">
        <v>150</v>
      </c>
      <c r="F209" s="5">
        <v>1.25</v>
      </c>
      <c r="G209" s="5">
        <v>0.75</v>
      </c>
      <c r="H209" s="5">
        <v>3</v>
      </c>
      <c r="I209" s="5">
        <v>11</v>
      </c>
      <c r="J209" s="5"/>
      <c r="N209" s="12">
        <f t="shared" si="45"/>
        <v>166</v>
      </c>
    </row>
    <row r="210" spans="1:22" x14ac:dyDescent="0.3">
      <c r="A210" t="s">
        <v>15</v>
      </c>
      <c r="B210" s="5">
        <v>1</v>
      </c>
      <c r="D210" s="5">
        <v>30</v>
      </c>
      <c r="N210" s="12">
        <f t="shared" si="45"/>
        <v>30</v>
      </c>
    </row>
    <row r="211" spans="1:22" x14ac:dyDescent="0.3">
      <c r="A211" s="24"/>
      <c r="B211" s="25"/>
      <c r="C211" s="27">
        <v>3</v>
      </c>
      <c r="D211" s="27">
        <f t="shared" ref="D211:I211" si="46">SUM(D204:D210)</f>
        <v>780</v>
      </c>
      <c r="E211" s="27">
        <f t="shared" si="46"/>
        <v>30</v>
      </c>
      <c r="F211" s="27">
        <f t="shared" si="46"/>
        <v>9.25</v>
      </c>
      <c r="G211" s="27">
        <f t="shared" si="46"/>
        <v>4.75</v>
      </c>
      <c r="H211" s="27">
        <f t="shared" si="46"/>
        <v>20</v>
      </c>
      <c r="I211" s="27">
        <f t="shared" si="46"/>
        <v>90</v>
      </c>
      <c r="J211" s="24"/>
      <c r="K211" s="26">
        <f>SUM(K204:K210)</f>
        <v>0</v>
      </c>
      <c r="L211" s="26">
        <f>SUM(L204:L210)</f>
        <v>0</v>
      </c>
      <c r="M211" s="26">
        <f>SUM(M204:M210)</f>
        <v>0</v>
      </c>
      <c r="N211" s="28">
        <f>SUM(N204:N210)</f>
        <v>937</v>
      </c>
    </row>
    <row r="213" spans="1:22" ht="23.4" x14ac:dyDescent="0.45">
      <c r="A213" s="85">
        <f>A203+30</f>
        <v>44648</v>
      </c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</row>
    <row r="214" spans="1:22" x14ac:dyDescent="0.3">
      <c r="A214" t="s">
        <v>10</v>
      </c>
      <c r="B214" s="5">
        <v>1</v>
      </c>
      <c r="C214" s="5">
        <v>3</v>
      </c>
      <c r="D214" s="5">
        <v>450</v>
      </c>
      <c r="E214" s="5">
        <v>30</v>
      </c>
      <c r="F214" s="5">
        <v>3</v>
      </c>
      <c r="G214" s="5">
        <v>1</v>
      </c>
      <c r="H214" s="5">
        <v>5</v>
      </c>
      <c r="I214" s="5">
        <v>53</v>
      </c>
      <c r="J214" s="5"/>
      <c r="L214" s="5"/>
      <c r="N214" s="12">
        <f t="shared" ref="N214:N220" si="47">SUM(C214:M214)*B214</f>
        <v>545</v>
      </c>
    </row>
    <row r="215" spans="1:22" x14ac:dyDescent="0.3">
      <c r="A215" t="s">
        <v>11</v>
      </c>
      <c r="B215" s="5">
        <v>1</v>
      </c>
      <c r="D215" s="5">
        <v>60</v>
      </c>
      <c r="F215" s="5">
        <v>1.25</v>
      </c>
      <c r="G215" s="5">
        <v>0.75</v>
      </c>
      <c r="H215" s="5">
        <v>3</v>
      </c>
      <c r="I215" s="5">
        <v>11</v>
      </c>
      <c r="N215" s="12">
        <f t="shared" si="47"/>
        <v>76</v>
      </c>
    </row>
    <row r="216" spans="1:22" x14ac:dyDescent="0.3">
      <c r="A216" t="s">
        <v>12</v>
      </c>
      <c r="B216" s="5">
        <v>1</v>
      </c>
      <c r="D216" s="5">
        <v>30</v>
      </c>
      <c r="F216" s="5">
        <v>1.25</v>
      </c>
      <c r="G216" s="5">
        <v>0.75</v>
      </c>
      <c r="H216" s="5">
        <v>3</v>
      </c>
      <c r="I216" s="5">
        <v>5</v>
      </c>
      <c r="J216" t="s">
        <v>53</v>
      </c>
      <c r="N216" s="12">
        <f t="shared" si="47"/>
        <v>40</v>
      </c>
    </row>
    <row r="217" spans="1:22" x14ac:dyDescent="0.3">
      <c r="A217" t="s">
        <v>20</v>
      </c>
      <c r="B217" s="5">
        <v>1</v>
      </c>
      <c r="D217" s="5">
        <v>30</v>
      </c>
      <c r="F217" s="5">
        <v>1.25</v>
      </c>
      <c r="G217" s="5">
        <v>0.75</v>
      </c>
      <c r="H217" s="5">
        <v>3</v>
      </c>
      <c r="I217" s="5">
        <v>5</v>
      </c>
      <c r="N217" s="12">
        <f t="shared" si="47"/>
        <v>40</v>
      </c>
    </row>
    <row r="218" spans="1:22" x14ac:dyDescent="0.3">
      <c r="A218" t="s">
        <v>13</v>
      </c>
      <c r="B218" s="5">
        <v>1</v>
      </c>
      <c r="D218" s="5">
        <v>30</v>
      </c>
      <c r="F218" s="5">
        <v>1.25</v>
      </c>
      <c r="G218" s="5">
        <v>0.75</v>
      </c>
      <c r="H218" s="5">
        <v>3</v>
      </c>
      <c r="I218" s="5">
        <v>5</v>
      </c>
      <c r="N218" s="12">
        <f t="shared" si="47"/>
        <v>40</v>
      </c>
      <c r="V218">
        <f>new!V21</f>
        <v>0</v>
      </c>
    </row>
    <row r="219" spans="1:22" x14ac:dyDescent="0.3">
      <c r="A219" t="s">
        <v>14</v>
      </c>
      <c r="B219" s="5">
        <v>1</v>
      </c>
      <c r="D219" s="5">
        <v>150</v>
      </c>
      <c r="F219" s="5">
        <v>1.25</v>
      </c>
      <c r="G219" s="5">
        <v>0.75</v>
      </c>
      <c r="H219" s="5">
        <v>3</v>
      </c>
      <c r="I219" s="5">
        <v>11</v>
      </c>
      <c r="J219" s="5"/>
      <c r="N219" s="12">
        <f t="shared" si="47"/>
        <v>166</v>
      </c>
    </row>
    <row r="220" spans="1:22" x14ac:dyDescent="0.3">
      <c r="A220" t="s">
        <v>15</v>
      </c>
      <c r="B220" s="5">
        <v>1</v>
      </c>
      <c r="D220" s="5">
        <v>30</v>
      </c>
      <c r="N220" s="12">
        <f t="shared" si="47"/>
        <v>30</v>
      </c>
    </row>
    <row r="221" spans="1:22" x14ac:dyDescent="0.3">
      <c r="A221" s="24"/>
      <c r="B221" s="25"/>
      <c r="C221" s="27">
        <v>3</v>
      </c>
      <c r="D221" s="27">
        <f t="shared" ref="D221:I221" si="48">SUM(D214:D220)</f>
        <v>780</v>
      </c>
      <c r="E221" s="27">
        <f t="shared" si="48"/>
        <v>30</v>
      </c>
      <c r="F221" s="27">
        <f t="shared" si="48"/>
        <v>9.25</v>
      </c>
      <c r="G221" s="27">
        <f t="shared" si="48"/>
        <v>4.75</v>
      </c>
      <c r="H221" s="27">
        <f t="shared" si="48"/>
        <v>20</v>
      </c>
      <c r="I221" s="27">
        <f t="shared" si="48"/>
        <v>90</v>
      </c>
      <c r="J221" s="24"/>
      <c r="K221" s="26">
        <f>SUM(K214:K220)</f>
        <v>0</v>
      </c>
      <c r="L221" s="26">
        <f>SUM(L214:L220)</f>
        <v>0</v>
      </c>
      <c r="M221" s="26">
        <f>SUM(M214:M220)</f>
        <v>0</v>
      </c>
      <c r="N221" s="28">
        <f>SUM(N214:N220)</f>
        <v>937</v>
      </c>
    </row>
    <row r="223" spans="1:22" ht="23.4" x14ac:dyDescent="0.45">
      <c r="A223" s="85">
        <f>A213+30</f>
        <v>44678</v>
      </c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 spans="1:22" x14ac:dyDescent="0.3">
      <c r="A224" t="s">
        <v>10</v>
      </c>
      <c r="B224" s="5">
        <v>1</v>
      </c>
      <c r="C224" s="5">
        <v>3</v>
      </c>
      <c r="D224" s="5">
        <v>450</v>
      </c>
      <c r="E224" s="5">
        <v>30</v>
      </c>
      <c r="F224" s="5">
        <v>3</v>
      </c>
      <c r="G224" s="5">
        <v>1</v>
      </c>
      <c r="H224" s="5">
        <v>5</v>
      </c>
      <c r="I224" s="5">
        <v>153</v>
      </c>
      <c r="J224" s="5"/>
      <c r="L224" s="5"/>
      <c r="N224" s="12">
        <f t="shared" ref="N224:N230" si="49">SUM(C224:M224)*B224</f>
        <v>645</v>
      </c>
    </row>
    <row r="225" spans="1:14" x14ac:dyDescent="0.3">
      <c r="A225" t="s">
        <v>11</v>
      </c>
      <c r="B225" s="5">
        <v>1</v>
      </c>
      <c r="D225" s="5">
        <v>60</v>
      </c>
      <c r="F225" s="5">
        <v>1.25</v>
      </c>
      <c r="G225" s="5">
        <v>0.75</v>
      </c>
      <c r="H225" s="5">
        <v>3</v>
      </c>
      <c r="I225" s="5">
        <v>11</v>
      </c>
      <c r="N225" s="12">
        <f t="shared" si="49"/>
        <v>76</v>
      </c>
    </row>
    <row r="226" spans="1:14" x14ac:dyDescent="0.3">
      <c r="A226" t="s">
        <v>12</v>
      </c>
      <c r="B226" s="5">
        <v>1</v>
      </c>
      <c r="D226" s="5">
        <v>30</v>
      </c>
      <c r="F226" s="5">
        <v>1.25</v>
      </c>
      <c r="G226" s="5">
        <v>0.75</v>
      </c>
      <c r="H226" s="5">
        <v>3</v>
      </c>
      <c r="I226" s="5">
        <v>5</v>
      </c>
      <c r="J226" t="s">
        <v>53</v>
      </c>
      <c r="N226" s="12">
        <f t="shared" si="49"/>
        <v>40</v>
      </c>
    </row>
    <row r="227" spans="1:14" x14ac:dyDescent="0.3">
      <c r="A227" t="s">
        <v>20</v>
      </c>
      <c r="B227" s="5">
        <v>1</v>
      </c>
      <c r="D227" s="5">
        <v>30</v>
      </c>
      <c r="F227" s="5">
        <v>1.25</v>
      </c>
      <c r="G227" s="5">
        <v>0.75</v>
      </c>
      <c r="H227" s="5">
        <v>3</v>
      </c>
      <c r="I227" s="5">
        <v>5</v>
      </c>
      <c r="N227" s="12">
        <f t="shared" si="49"/>
        <v>40</v>
      </c>
    </row>
    <row r="228" spans="1:14" x14ac:dyDescent="0.3">
      <c r="A228" t="s">
        <v>13</v>
      </c>
      <c r="B228" s="5">
        <v>1</v>
      </c>
      <c r="D228" s="5">
        <v>30</v>
      </c>
      <c r="F228" s="5">
        <v>1.25</v>
      </c>
      <c r="G228" s="5">
        <v>0.75</v>
      </c>
      <c r="H228" s="5">
        <v>3</v>
      </c>
      <c r="I228" s="5">
        <v>5</v>
      </c>
      <c r="N228" s="12">
        <f t="shared" si="49"/>
        <v>40</v>
      </c>
    </row>
    <row r="229" spans="1:14" x14ac:dyDescent="0.3">
      <c r="A229" t="s">
        <v>14</v>
      </c>
      <c r="B229" s="5">
        <v>1</v>
      </c>
      <c r="D229" s="5">
        <v>150</v>
      </c>
      <c r="F229" s="5">
        <v>1.25</v>
      </c>
      <c r="G229" s="5">
        <v>0.75</v>
      </c>
      <c r="H229" s="5">
        <v>3</v>
      </c>
      <c r="I229" s="5">
        <v>11</v>
      </c>
      <c r="J229" s="5"/>
      <c r="N229" s="12">
        <f t="shared" si="49"/>
        <v>166</v>
      </c>
    </row>
    <row r="230" spans="1:14" x14ac:dyDescent="0.3">
      <c r="A230" t="s">
        <v>15</v>
      </c>
      <c r="B230" s="5">
        <v>1</v>
      </c>
      <c r="D230" s="5">
        <v>30</v>
      </c>
      <c r="N230" s="12">
        <f t="shared" si="49"/>
        <v>30</v>
      </c>
    </row>
    <row r="231" spans="1:14" x14ac:dyDescent="0.3">
      <c r="A231" s="24"/>
      <c r="B231" s="25"/>
      <c r="C231" s="27">
        <v>3</v>
      </c>
      <c r="D231" s="27">
        <f t="shared" ref="D231:I231" si="50">SUM(D224:D230)</f>
        <v>780</v>
      </c>
      <c r="E231" s="27">
        <f t="shared" si="50"/>
        <v>30</v>
      </c>
      <c r="F231" s="27">
        <f t="shared" si="50"/>
        <v>9.25</v>
      </c>
      <c r="G231" s="27">
        <f t="shared" si="50"/>
        <v>4.75</v>
      </c>
      <c r="H231" s="27">
        <f t="shared" si="50"/>
        <v>20</v>
      </c>
      <c r="I231" s="27">
        <f t="shared" si="50"/>
        <v>190</v>
      </c>
      <c r="J231" s="24"/>
      <c r="K231" s="26">
        <f>SUM(K224:K230)</f>
        <v>0</v>
      </c>
      <c r="L231" s="26">
        <f>SUM(L224:L230)</f>
        <v>0</v>
      </c>
      <c r="M231" s="26">
        <f>SUM(M224:M230)</f>
        <v>0</v>
      </c>
      <c r="N231" s="28">
        <f>SUM(N224:N230)</f>
        <v>1037</v>
      </c>
    </row>
    <row r="233" spans="1:14" ht="23.4" x14ac:dyDescent="0.45">
      <c r="A233" s="85">
        <f>A223+30</f>
        <v>44708</v>
      </c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 spans="1:14" x14ac:dyDescent="0.3">
      <c r="A234" t="s">
        <v>10</v>
      </c>
      <c r="B234" s="5">
        <v>1</v>
      </c>
      <c r="C234" s="5">
        <v>3</v>
      </c>
      <c r="D234" s="5">
        <v>450</v>
      </c>
      <c r="E234" s="5">
        <v>30</v>
      </c>
      <c r="F234" s="5">
        <v>3</v>
      </c>
      <c r="G234" s="5">
        <v>1</v>
      </c>
      <c r="H234" s="5">
        <v>5</v>
      </c>
      <c r="I234" s="5">
        <v>53</v>
      </c>
      <c r="J234" s="5"/>
      <c r="L234" s="5"/>
      <c r="N234" s="12">
        <f t="shared" ref="N234:N240" si="51">SUM(C234:M234)*B234</f>
        <v>545</v>
      </c>
    </row>
    <row r="235" spans="1:14" x14ac:dyDescent="0.3">
      <c r="A235" t="s">
        <v>11</v>
      </c>
      <c r="B235" s="5">
        <v>1</v>
      </c>
      <c r="D235" s="5">
        <v>60</v>
      </c>
      <c r="F235" s="5">
        <v>1.25</v>
      </c>
      <c r="G235" s="5">
        <v>0.75</v>
      </c>
      <c r="H235" s="5">
        <v>3</v>
      </c>
      <c r="I235" s="5">
        <v>11</v>
      </c>
      <c r="N235" s="12">
        <f t="shared" si="51"/>
        <v>76</v>
      </c>
    </row>
    <row r="236" spans="1:14" x14ac:dyDescent="0.3">
      <c r="A236" t="s">
        <v>12</v>
      </c>
      <c r="B236" s="5">
        <v>1</v>
      </c>
      <c r="D236" s="5">
        <v>30</v>
      </c>
      <c r="F236" s="5">
        <v>1.25</v>
      </c>
      <c r="G236" s="5">
        <v>0.75</v>
      </c>
      <c r="H236" s="5">
        <v>3</v>
      </c>
      <c r="I236" s="5">
        <v>5</v>
      </c>
      <c r="J236" t="s">
        <v>53</v>
      </c>
      <c r="N236" s="12">
        <f t="shared" si="51"/>
        <v>40</v>
      </c>
    </row>
    <row r="237" spans="1:14" x14ac:dyDescent="0.3">
      <c r="A237" t="s">
        <v>20</v>
      </c>
      <c r="B237" s="5">
        <v>1</v>
      </c>
      <c r="D237" s="5">
        <v>30</v>
      </c>
      <c r="F237" s="5">
        <v>1.25</v>
      </c>
      <c r="G237" s="5">
        <v>0.75</v>
      </c>
      <c r="H237" s="5">
        <v>3</v>
      </c>
      <c r="I237" s="5">
        <v>5</v>
      </c>
      <c r="N237" s="12">
        <f t="shared" si="51"/>
        <v>40</v>
      </c>
    </row>
    <row r="238" spans="1:14" x14ac:dyDescent="0.3">
      <c r="A238" t="s">
        <v>13</v>
      </c>
      <c r="B238" s="5">
        <v>1</v>
      </c>
      <c r="D238" s="5">
        <v>30</v>
      </c>
      <c r="F238" s="5">
        <v>1.25</v>
      </c>
      <c r="G238" s="5">
        <v>0.75</v>
      </c>
      <c r="H238" s="5">
        <v>3</v>
      </c>
      <c r="I238" s="5">
        <v>5</v>
      </c>
      <c r="N238" s="12">
        <f t="shared" si="51"/>
        <v>40</v>
      </c>
    </row>
    <row r="239" spans="1:14" x14ac:dyDescent="0.3">
      <c r="A239" t="s">
        <v>14</v>
      </c>
      <c r="B239" s="5">
        <v>1</v>
      </c>
      <c r="D239" s="5">
        <v>150</v>
      </c>
      <c r="F239" s="5">
        <v>1.25</v>
      </c>
      <c r="G239" s="5">
        <v>0.75</v>
      </c>
      <c r="H239" s="5">
        <v>3</v>
      </c>
      <c r="I239" s="5">
        <v>11</v>
      </c>
      <c r="J239" s="5"/>
      <c r="N239" s="12">
        <f t="shared" si="51"/>
        <v>166</v>
      </c>
    </row>
    <row r="240" spans="1:14" x14ac:dyDescent="0.3">
      <c r="A240" t="s">
        <v>15</v>
      </c>
      <c r="B240" s="5">
        <v>1</v>
      </c>
      <c r="D240" s="5">
        <v>30</v>
      </c>
      <c r="N240" s="12">
        <f t="shared" si="51"/>
        <v>30</v>
      </c>
    </row>
    <row r="241" spans="1:14" x14ac:dyDescent="0.3">
      <c r="A241" s="24"/>
      <c r="B241" s="25"/>
      <c r="C241" s="27">
        <v>3</v>
      </c>
      <c r="D241" s="27">
        <f t="shared" ref="D241:I241" si="52">SUM(D234:D240)</f>
        <v>780</v>
      </c>
      <c r="E241" s="27">
        <f t="shared" si="52"/>
        <v>30</v>
      </c>
      <c r="F241" s="27">
        <f t="shared" si="52"/>
        <v>9.25</v>
      </c>
      <c r="G241" s="27">
        <f t="shared" si="52"/>
        <v>4.75</v>
      </c>
      <c r="H241" s="27">
        <f t="shared" si="52"/>
        <v>20</v>
      </c>
      <c r="I241" s="27">
        <f t="shared" si="52"/>
        <v>90</v>
      </c>
      <c r="J241" s="24"/>
      <c r="K241" s="26">
        <f>SUM(K234:K240)</f>
        <v>0</v>
      </c>
      <c r="L241" s="26">
        <f>SUM(L234:L240)</f>
        <v>0</v>
      </c>
      <c r="M241" s="26">
        <f>SUM(M234:M240)</f>
        <v>0</v>
      </c>
      <c r="N241" s="28">
        <f>SUM(N234:N240)</f>
        <v>937</v>
      </c>
    </row>
    <row r="243" spans="1:14" ht="23.4" x14ac:dyDescent="0.45">
      <c r="A243" s="85">
        <f>A233+30</f>
        <v>44738</v>
      </c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 spans="1:14" x14ac:dyDescent="0.3">
      <c r="A244" t="s">
        <v>10</v>
      </c>
      <c r="B244" s="5">
        <v>1</v>
      </c>
      <c r="C244" s="5">
        <v>3</v>
      </c>
      <c r="D244" s="5">
        <v>450</v>
      </c>
      <c r="E244" s="5">
        <v>30</v>
      </c>
      <c r="F244" s="5">
        <v>3</v>
      </c>
      <c r="G244" s="5">
        <v>1</v>
      </c>
      <c r="H244" s="5">
        <v>5</v>
      </c>
      <c r="I244" s="5">
        <v>56</v>
      </c>
      <c r="J244" s="5"/>
      <c r="L244" s="5"/>
      <c r="N244" s="12">
        <f t="shared" ref="N244:N250" si="53">SUM(C244:M244)*B244</f>
        <v>548</v>
      </c>
    </row>
    <row r="245" spans="1:14" x14ac:dyDescent="0.3">
      <c r="A245" t="s">
        <v>11</v>
      </c>
      <c r="B245" s="5">
        <v>1</v>
      </c>
      <c r="D245" s="5">
        <v>60</v>
      </c>
      <c r="F245" s="5">
        <v>1.25</v>
      </c>
      <c r="G245" s="5">
        <v>0.75</v>
      </c>
      <c r="H245" s="5">
        <v>3</v>
      </c>
      <c r="I245" s="5">
        <v>11</v>
      </c>
      <c r="N245" s="12">
        <f t="shared" si="53"/>
        <v>76</v>
      </c>
    </row>
    <row r="246" spans="1:14" x14ac:dyDescent="0.3">
      <c r="A246" t="s">
        <v>12</v>
      </c>
      <c r="B246" s="5">
        <v>1</v>
      </c>
      <c r="D246" s="5">
        <v>30</v>
      </c>
      <c r="F246" s="5">
        <v>1.25</v>
      </c>
      <c r="G246" s="5">
        <v>0.75</v>
      </c>
      <c r="H246" s="5">
        <v>3</v>
      </c>
      <c r="I246" s="5">
        <v>5</v>
      </c>
      <c r="J246" t="s">
        <v>53</v>
      </c>
      <c r="N246" s="12">
        <f t="shared" si="53"/>
        <v>40</v>
      </c>
    </row>
    <row r="247" spans="1:14" x14ac:dyDescent="0.3">
      <c r="A247" t="s">
        <v>20</v>
      </c>
      <c r="B247" s="5">
        <v>1</v>
      </c>
      <c r="D247" s="5">
        <v>30</v>
      </c>
      <c r="F247" s="5">
        <v>1.25</v>
      </c>
      <c r="G247" s="5">
        <v>0.75</v>
      </c>
      <c r="H247" s="5">
        <v>3</v>
      </c>
      <c r="I247" s="5">
        <v>5</v>
      </c>
      <c r="N247" s="12">
        <f t="shared" si="53"/>
        <v>40</v>
      </c>
    </row>
    <row r="248" spans="1:14" x14ac:dyDescent="0.3">
      <c r="A248" t="s">
        <v>13</v>
      </c>
      <c r="B248" s="5">
        <v>1</v>
      </c>
      <c r="D248" s="5">
        <v>30</v>
      </c>
      <c r="F248" s="5">
        <v>1.25</v>
      </c>
      <c r="G248" s="5">
        <v>0.75</v>
      </c>
      <c r="H248" s="5">
        <v>3</v>
      </c>
      <c r="I248" s="5">
        <v>5</v>
      </c>
      <c r="N248" s="12">
        <f t="shared" si="53"/>
        <v>40</v>
      </c>
    </row>
    <row r="249" spans="1:14" x14ac:dyDescent="0.3">
      <c r="A249" t="s">
        <v>14</v>
      </c>
      <c r="B249" s="5">
        <v>1</v>
      </c>
      <c r="D249" s="5">
        <v>150</v>
      </c>
      <c r="F249" s="5">
        <v>1.25</v>
      </c>
      <c r="G249" s="5">
        <v>0.75</v>
      </c>
      <c r="H249" s="5">
        <v>3</v>
      </c>
      <c r="I249" s="5">
        <v>11</v>
      </c>
      <c r="J249" s="5"/>
      <c r="N249" s="12">
        <f t="shared" si="53"/>
        <v>166</v>
      </c>
    </row>
    <row r="250" spans="1:14" x14ac:dyDescent="0.3">
      <c r="A250" t="s">
        <v>15</v>
      </c>
      <c r="B250" s="5">
        <v>1</v>
      </c>
      <c r="D250" s="5">
        <v>30</v>
      </c>
      <c r="N250" s="12">
        <f t="shared" si="53"/>
        <v>30</v>
      </c>
    </row>
    <row r="251" spans="1:14" x14ac:dyDescent="0.3">
      <c r="A251" s="24"/>
      <c r="B251" s="25"/>
      <c r="C251" s="27">
        <v>3</v>
      </c>
      <c r="D251" s="27">
        <f t="shared" ref="D251:I251" si="54">SUM(D244:D250)</f>
        <v>780</v>
      </c>
      <c r="E251" s="27">
        <f t="shared" si="54"/>
        <v>30</v>
      </c>
      <c r="F251" s="27">
        <f t="shared" si="54"/>
        <v>9.25</v>
      </c>
      <c r="G251" s="27">
        <f t="shared" si="54"/>
        <v>4.75</v>
      </c>
      <c r="H251" s="27">
        <f t="shared" si="54"/>
        <v>20</v>
      </c>
      <c r="I251" s="27">
        <f t="shared" si="54"/>
        <v>93</v>
      </c>
      <c r="J251" s="24"/>
      <c r="K251" s="26">
        <f>SUM(K244:K250)</f>
        <v>0</v>
      </c>
      <c r="L251" s="26">
        <f>SUM(L244:L250)</f>
        <v>0</v>
      </c>
      <c r="M251" s="26">
        <f>SUM(M244:M250)</f>
        <v>0</v>
      </c>
      <c r="N251" s="28">
        <f>SUM(N244:N250)</f>
        <v>940</v>
      </c>
    </row>
    <row r="253" spans="1:14" ht="23.4" x14ac:dyDescent="0.45">
      <c r="A253" s="85">
        <f>A243+30</f>
        <v>44768</v>
      </c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 spans="1:14" x14ac:dyDescent="0.3">
      <c r="A254" t="s">
        <v>10</v>
      </c>
      <c r="B254" s="5">
        <v>1</v>
      </c>
      <c r="C254" s="5">
        <v>3</v>
      </c>
      <c r="D254" s="5">
        <v>450</v>
      </c>
      <c r="E254" s="5">
        <v>30</v>
      </c>
      <c r="F254" s="5">
        <v>3</v>
      </c>
      <c r="G254" s="5">
        <v>1</v>
      </c>
      <c r="H254" s="5">
        <v>5</v>
      </c>
      <c r="I254" s="5">
        <v>58</v>
      </c>
      <c r="J254" s="5"/>
      <c r="L254" s="5"/>
      <c r="N254" s="12">
        <f t="shared" ref="N254:N260" si="55">SUM(C254:M254)*B254</f>
        <v>550</v>
      </c>
    </row>
    <row r="255" spans="1:14" x14ac:dyDescent="0.3">
      <c r="A255" t="s">
        <v>11</v>
      </c>
      <c r="B255" s="5">
        <v>1</v>
      </c>
      <c r="C255" s="5">
        <v>3</v>
      </c>
      <c r="D255" s="5">
        <v>60</v>
      </c>
      <c r="F255" s="5">
        <v>1.25</v>
      </c>
      <c r="G255" s="5">
        <v>0.75</v>
      </c>
      <c r="H255" s="5">
        <v>3</v>
      </c>
      <c r="I255" s="5">
        <v>11</v>
      </c>
      <c r="N255" s="12">
        <f t="shared" si="55"/>
        <v>79</v>
      </c>
    </row>
    <row r="256" spans="1:14" x14ac:dyDescent="0.3">
      <c r="A256" t="s">
        <v>12</v>
      </c>
      <c r="B256" s="5">
        <v>1</v>
      </c>
      <c r="D256" s="5">
        <v>30</v>
      </c>
      <c r="F256" s="5">
        <v>1.25</v>
      </c>
      <c r="G256" s="5">
        <v>0.75</v>
      </c>
      <c r="H256" s="5">
        <v>3</v>
      </c>
      <c r="I256" s="5">
        <v>5</v>
      </c>
      <c r="J256" t="s">
        <v>53</v>
      </c>
      <c r="N256" s="12">
        <f t="shared" si="55"/>
        <v>40</v>
      </c>
    </row>
    <row r="257" spans="1:21" x14ac:dyDescent="0.3">
      <c r="A257" t="s">
        <v>20</v>
      </c>
      <c r="B257" s="5">
        <v>1</v>
      </c>
      <c r="D257" s="5">
        <v>30</v>
      </c>
      <c r="F257" s="5">
        <v>1.25</v>
      </c>
      <c r="G257" s="5">
        <v>0.75</v>
      </c>
      <c r="H257" s="5">
        <v>3</v>
      </c>
      <c r="I257" s="5">
        <v>5</v>
      </c>
      <c r="N257" s="12">
        <f t="shared" si="55"/>
        <v>40</v>
      </c>
    </row>
    <row r="258" spans="1:21" x14ac:dyDescent="0.3">
      <c r="A258" t="s">
        <v>13</v>
      </c>
      <c r="B258" s="5">
        <v>1</v>
      </c>
      <c r="D258" s="5">
        <v>30</v>
      </c>
      <c r="F258" s="5">
        <v>1.25</v>
      </c>
      <c r="G258" s="5">
        <v>0.75</v>
      </c>
      <c r="H258" s="5">
        <v>3</v>
      </c>
      <c r="I258" s="5">
        <v>5</v>
      </c>
      <c r="N258" s="12">
        <f t="shared" si="55"/>
        <v>40</v>
      </c>
    </row>
    <row r="259" spans="1:21" x14ac:dyDescent="0.3">
      <c r="A259" t="s">
        <v>14</v>
      </c>
      <c r="B259" s="5">
        <v>1</v>
      </c>
      <c r="D259" s="5">
        <v>150</v>
      </c>
      <c r="F259" s="5">
        <v>1.25</v>
      </c>
      <c r="G259" s="5">
        <v>0.75</v>
      </c>
      <c r="H259" s="5">
        <v>3</v>
      </c>
      <c r="I259" s="5">
        <v>11</v>
      </c>
      <c r="J259" s="5"/>
      <c r="N259" s="12">
        <f t="shared" si="55"/>
        <v>166</v>
      </c>
    </row>
    <row r="260" spans="1:21" x14ac:dyDescent="0.3">
      <c r="A260" t="s">
        <v>15</v>
      </c>
      <c r="B260" s="5">
        <v>1</v>
      </c>
      <c r="D260" s="5">
        <v>30</v>
      </c>
      <c r="N260" s="12">
        <f t="shared" si="55"/>
        <v>30</v>
      </c>
    </row>
    <row r="261" spans="1:21" x14ac:dyDescent="0.3">
      <c r="A261" s="24"/>
      <c r="B261" s="25"/>
      <c r="C261" s="27">
        <f t="shared" ref="C261:I261" si="56">SUM(C254:C260)</f>
        <v>6</v>
      </c>
      <c r="D261" s="27">
        <f t="shared" si="56"/>
        <v>780</v>
      </c>
      <c r="E261" s="27">
        <f t="shared" si="56"/>
        <v>30</v>
      </c>
      <c r="F261" s="27">
        <f t="shared" si="56"/>
        <v>9.25</v>
      </c>
      <c r="G261" s="27">
        <f t="shared" si="56"/>
        <v>4.75</v>
      </c>
      <c r="H261" s="27">
        <f t="shared" si="56"/>
        <v>20</v>
      </c>
      <c r="I261" s="27">
        <f t="shared" si="56"/>
        <v>95</v>
      </c>
      <c r="J261" s="24"/>
      <c r="K261" s="26">
        <f>SUM(K254:K260)</f>
        <v>0</v>
      </c>
      <c r="L261" s="26">
        <f>SUM(L254:L260)</f>
        <v>0</v>
      </c>
      <c r="M261" s="26">
        <f>SUM(M254:M260)</f>
        <v>0</v>
      </c>
      <c r="N261" s="28">
        <f>SUM(N254:N260)</f>
        <v>945</v>
      </c>
    </row>
    <row r="263" spans="1:21" ht="23.4" x14ac:dyDescent="0.45">
      <c r="A263" s="85">
        <f>A253+30</f>
        <v>44798</v>
      </c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</row>
    <row r="264" spans="1:21" x14ac:dyDescent="0.3">
      <c r="A264" t="s">
        <v>10</v>
      </c>
      <c r="B264" s="5">
        <v>1</v>
      </c>
      <c r="C264" s="5">
        <v>3</v>
      </c>
      <c r="D264" s="5">
        <v>450</v>
      </c>
      <c r="E264" s="5">
        <v>30</v>
      </c>
      <c r="F264" s="5">
        <v>3</v>
      </c>
      <c r="G264" s="5">
        <v>1</v>
      </c>
      <c r="H264" s="5">
        <v>5</v>
      </c>
      <c r="I264" s="5">
        <v>61</v>
      </c>
      <c r="J264" s="5"/>
      <c r="L264" s="5"/>
      <c r="N264" s="12">
        <f t="shared" ref="N264:N270" si="57">SUM(C264:M264)*B264</f>
        <v>553</v>
      </c>
      <c r="R264">
        <f>6+780+30+9.25+4.75+20+290</f>
        <v>1140</v>
      </c>
    </row>
    <row r="265" spans="1:21" x14ac:dyDescent="0.3">
      <c r="A265" t="s">
        <v>11</v>
      </c>
      <c r="B265" s="5">
        <v>1</v>
      </c>
      <c r="C265" s="5">
        <v>3</v>
      </c>
      <c r="D265" s="5">
        <v>60</v>
      </c>
      <c r="F265" s="5">
        <v>1.25</v>
      </c>
      <c r="G265" s="5">
        <v>0.75</v>
      </c>
      <c r="H265" s="5">
        <v>3</v>
      </c>
      <c r="I265" s="5">
        <v>11</v>
      </c>
      <c r="N265" s="12">
        <f t="shared" si="57"/>
        <v>79</v>
      </c>
    </row>
    <row r="266" spans="1:21" x14ac:dyDescent="0.3">
      <c r="A266" t="s">
        <v>12</v>
      </c>
      <c r="B266" s="5">
        <v>1</v>
      </c>
      <c r="D266" s="5">
        <v>30</v>
      </c>
      <c r="F266" s="5">
        <v>1.25</v>
      </c>
      <c r="G266" s="5">
        <v>0.75</v>
      </c>
      <c r="H266" s="5">
        <v>3</v>
      </c>
      <c r="I266" s="5">
        <v>5</v>
      </c>
      <c r="J266" t="s">
        <v>53</v>
      </c>
      <c r="N266" s="12">
        <f t="shared" si="57"/>
        <v>40</v>
      </c>
    </row>
    <row r="267" spans="1:21" x14ac:dyDescent="0.3">
      <c r="A267" t="s">
        <v>20</v>
      </c>
      <c r="B267" s="5">
        <v>1</v>
      </c>
      <c r="D267" s="5">
        <v>30</v>
      </c>
      <c r="F267" s="5">
        <v>1.25</v>
      </c>
      <c r="G267" s="5">
        <v>0.75</v>
      </c>
      <c r="H267" s="5">
        <v>3</v>
      </c>
      <c r="I267" s="5">
        <v>51</v>
      </c>
      <c r="N267" s="12">
        <f t="shared" si="57"/>
        <v>86</v>
      </c>
    </row>
    <row r="268" spans="1:21" x14ac:dyDescent="0.3">
      <c r="A268" t="s">
        <v>13</v>
      </c>
      <c r="B268" s="5">
        <v>1</v>
      </c>
      <c r="D268" s="5">
        <v>30</v>
      </c>
      <c r="F268" s="5">
        <v>1.25</v>
      </c>
      <c r="G268" s="5">
        <v>0.75</v>
      </c>
      <c r="H268" s="5">
        <v>3</v>
      </c>
      <c r="I268" s="5">
        <v>51</v>
      </c>
      <c r="N268" s="12">
        <f t="shared" si="57"/>
        <v>86</v>
      </c>
    </row>
    <row r="269" spans="1:21" x14ac:dyDescent="0.3">
      <c r="A269" t="s">
        <v>14</v>
      </c>
      <c r="B269" s="5">
        <v>1</v>
      </c>
      <c r="D269" s="5">
        <v>150</v>
      </c>
      <c r="F269" s="5">
        <v>1.25</v>
      </c>
      <c r="G269" s="5">
        <v>0.75</v>
      </c>
      <c r="H269" s="5">
        <v>3</v>
      </c>
      <c r="I269" s="5">
        <v>111</v>
      </c>
      <c r="J269" s="5"/>
      <c r="N269" s="12">
        <f t="shared" si="57"/>
        <v>266</v>
      </c>
    </row>
    <row r="270" spans="1:21" x14ac:dyDescent="0.3">
      <c r="A270" t="s">
        <v>15</v>
      </c>
      <c r="B270" s="5">
        <v>1</v>
      </c>
      <c r="D270" s="5">
        <v>30</v>
      </c>
      <c r="N270" s="12">
        <f t="shared" si="57"/>
        <v>30</v>
      </c>
    </row>
    <row r="271" spans="1:21" x14ac:dyDescent="0.3">
      <c r="A271" s="24"/>
      <c r="B271" s="25"/>
      <c r="C271" s="27">
        <f t="shared" ref="C271:I271" si="58">SUM(C264:C270)</f>
        <v>6</v>
      </c>
      <c r="D271" s="27">
        <f t="shared" si="58"/>
        <v>780</v>
      </c>
      <c r="E271" s="27">
        <f t="shared" si="58"/>
        <v>30</v>
      </c>
      <c r="F271" s="27">
        <f t="shared" si="58"/>
        <v>9.25</v>
      </c>
      <c r="G271" s="27">
        <f t="shared" si="58"/>
        <v>4.75</v>
      </c>
      <c r="H271" s="27">
        <f t="shared" si="58"/>
        <v>20</v>
      </c>
      <c r="I271" s="27">
        <f t="shared" si="58"/>
        <v>290</v>
      </c>
      <c r="J271" s="24"/>
      <c r="K271" s="26">
        <f>SUM(K264:K270)</f>
        <v>0</v>
      </c>
      <c r="L271" s="26">
        <f>SUM(L264:L270)</f>
        <v>0</v>
      </c>
      <c r="M271" s="26">
        <f>SUM(M264:M270)</f>
        <v>0</v>
      </c>
      <c r="N271" s="28">
        <f>SUM(N264:N270)</f>
        <v>1140</v>
      </c>
      <c r="U271">
        <f>2550/255</f>
        <v>10</v>
      </c>
    </row>
    <row r="273" spans="1:16" ht="23.4" x14ac:dyDescent="0.45">
      <c r="A273" s="85">
        <f>A263+30</f>
        <v>44828</v>
      </c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</row>
    <row r="274" spans="1:16" x14ac:dyDescent="0.3">
      <c r="A274" t="s">
        <v>10</v>
      </c>
      <c r="B274" s="5">
        <v>1</v>
      </c>
      <c r="C274" s="5">
        <v>3</v>
      </c>
      <c r="D274" s="5">
        <v>600</v>
      </c>
      <c r="E274" s="5">
        <v>30</v>
      </c>
      <c r="F274" s="5">
        <v>3</v>
      </c>
      <c r="G274" s="5">
        <v>1</v>
      </c>
      <c r="H274" s="5">
        <v>5</v>
      </c>
      <c r="I274" s="5">
        <v>58</v>
      </c>
      <c r="J274" s="5"/>
      <c r="L274" s="5"/>
      <c r="N274" s="12">
        <f t="shared" ref="N274:N280" si="59">SUM(C274:M274)*B274</f>
        <v>700</v>
      </c>
    </row>
    <row r="275" spans="1:16" x14ac:dyDescent="0.3">
      <c r="A275" t="s">
        <v>11</v>
      </c>
      <c r="B275" s="5">
        <v>1</v>
      </c>
      <c r="C275" s="5">
        <v>3</v>
      </c>
      <c r="D275" s="5">
        <v>60</v>
      </c>
      <c r="F275" s="5">
        <v>1.25</v>
      </c>
      <c r="G275" s="5">
        <v>0.75</v>
      </c>
      <c r="H275" s="5">
        <v>3</v>
      </c>
      <c r="I275" s="5">
        <v>511</v>
      </c>
      <c r="J275" s="5"/>
      <c r="N275" s="12">
        <f t="shared" si="59"/>
        <v>579</v>
      </c>
    </row>
    <row r="276" spans="1:16" x14ac:dyDescent="0.3">
      <c r="A276" t="s">
        <v>12</v>
      </c>
      <c r="B276" s="5">
        <v>1</v>
      </c>
      <c r="D276" s="5">
        <v>30</v>
      </c>
      <c r="F276" s="5">
        <v>1.25</v>
      </c>
      <c r="G276" s="5">
        <v>0.75</v>
      </c>
      <c r="H276" s="5">
        <v>3</v>
      </c>
      <c r="I276" s="5">
        <v>5</v>
      </c>
      <c r="J276" t="s">
        <v>53</v>
      </c>
      <c r="N276" s="12">
        <f t="shared" si="59"/>
        <v>40</v>
      </c>
    </row>
    <row r="277" spans="1:16" x14ac:dyDescent="0.3">
      <c r="A277" t="s">
        <v>20</v>
      </c>
      <c r="B277" s="5">
        <v>1</v>
      </c>
      <c r="D277" s="5">
        <v>30</v>
      </c>
      <c r="F277" s="5">
        <v>1.25</v>
      </c>
      <c r="G277" s="5">
        <v>0.75</v>
      </c>
      <c r="H277" s="5">
        <v>3</v>
      </c>
      <c r="I277" s="5">
        <v>5</v>
      </c>
      <c r="N277" s="12">
        <f t="shared" si="59"/>
        <v>40</v>
      </c>
    </row>
    <row r="278" spans="1:16" x14ac:dyDescent="0.3">
      <c r="A278" t="s">
        <v>13</v>
      </c>
      <c r="B278" s="5">
        <v>1</v>
      </c>
      <c r="D278" s="5">
        <v>30</v>
      </c>
      <c r="F278" s="5">
        <v>1.25</v>
      </c>
      <c r="G278" s="5">
        <v>0.75</v>
      </c>
      <c r="H278" s="5">
        <v>3</v>
      </c>
      <c r="I278" s="5">
        <v>5</v>
      </c>
      <c r="N278" s="12">
        <f t="shared" si="59"/>
        <v>40</v>
      </c>
    </row>
    <row r="279" spans="1:16" x14ac:dyDescent="0.3">
      <c r="A279" t="s">
        <v>14</v>
      </c>
      <c r="B279" s="5">
        <v>1</v>
      </c>
      <c r="D279" s="5">
        <v>150</v>
      </c>
      <c r="F279" s="5">
        <v>1.25</v>
      </c>
      <c r="G279" s="5">
        <v>0.75</v>
      </c>
      <c r="H279" s="5">
        <v>3</v>
      </c>
      <c r="I279" s="5">
        <v>11</v>
      </c>
      <c r="J279" s="5"/>
      <c r="N279" s="12">
        <f t="shared" si="59"/>
        <v>166</v>
      </c>
    </row>
    <row r="280" spans="1:16" x14ac:dyDescent="0.3">
      <c r="A280" t="s">
        <v>15</v>
      </c>
      <c r="B280" s="5">
        <v>1</v>
      </c>
      <c r="D280" s="5">
        <v>30</v>
      </c>
      <c r="N280" s="12">
        <f t="shared" si="59"/>
        <v>30</v>
      </c>
    </row>
    <row r="281" spans="1:16" x14ac:dyDescent="0.3">
      <c r="A281" s="24"/>
      <c r="B281" s="25"/>
      <c r="C281" s="27">
        <f t="shared" ref="C281:J281" si="60">SUM(C274:C280)</f>
        <v>6</v>
      </c>
      <c r="D281" s="27">
        <f t="shared" si="60"/>
        <v>930</v>
      </c>
      <c r="E281" s="27">
        <f t="shared" si="60"/>
        <v>30</v>
      </c>
      <c r="F281" s="27">
        <f t="shared" si="60"/>
        <v>9.25</v>
      </c>
      <c r="G281" s="27">
        <f t="shared" si="60"/>
        <v>4.75</v>
      </c>
      <c r="H281" s="27">
        <f t="shared" si="60"/>
        <v>20</v>
      </c>
      <c r="I281" s="27">
        <f t="shared" si="60"/>
        <v>595</v>
      </c>
      <c r="J281" s="27">
        <f t="shared" si="60"/>
        <v>0</v>
      </c>
      <c r="K281" s="26">
        <f>SUM(K274:K280)</f>
        <v>0</v>
      </c>
      <c r="L281" s="26">
        <f>SUM(L274:L280)</f>
        <v>0</v>
      </c>
      <c r="M281" s="26">
        <f>SUM(M274:M280)</f>
        <v>0</v>
      </c>
      <c r="N281" s="28">
        <f>SUM(N274:N280)</f>
        <v>1595</v>
      </c>
    </row>
    <row r="283" spans="1:16" ht="23.4" x14ac:dyDescent="0.45">
      <c r="A283" s="85">
        <f>A273+30</f>
        <v>44858</v>
      </c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/>
      <c r="P283"/>
    </row>
    <row r="284" spans="1:16" x14ac:dyDescent="0.3">
      <c r="A284" t="s">
        <v>10</v>
      </c>
      <c r="B284" s="5">
        <v>1</v>
      </c>
      <c r="C284" s="5">
        <v>3</v>
      </c>
      <c r="D284" s="5">
        <v>600</v>
      </c>
      <c r="E284" s="5">
        <v>60</v>
      </c>
      <c r="F284" s="5">
        <v>3</v>
      </c>
      <c r="G284" s="5">
        <v>1</v>
      </c>
      <c r="H284" s="5">
        <v>5</v>
      </c>
      <c r="I284" s="5">
        <v>82</v>
      </c>
      <c r="J284" s="5"/>
      <c r="L284" s="5">
        <v>51</v>
      </c>
      <c r="N284" s="12">
        <f t="shared" ref="N284:N290" si="61">SUM(C284:M284)*B284</f>
        <v>805</v>
      </c>
      <c r="O284"/>
      <c r="P284"/>
    </row>
    <row r="285" spans="1:16" x14ac:dyDescent="0.3">
      <c r="A285" t="s">
        <v>11</v>
      </c>
      <c r="B285" s="5">
        <v>1</v>
      </c>
      <c r="C285" s="5">
        <v>3</v>
      </c>
      <c r="D285" s="5">
        <v>150</v>
      </c>
      <c r="F285" s="5">
        <v>2</v>
      </c>
      <c r="G285" s="5">
        <v>1</v>
      </c>
      <c r="H285" s="5">
        <v>3</v>
      </c>
      <c r="I285" s="5">
        <v>11</v>
      </c>
      <c r="J285" s="5"/>
      <c r="N285" s="12">
        <f t="shared" si="61"/>
        <v>170</v>
      </c>
      <c r="O285"/>
      <c r="P285"/>
    </row>
    <row r="286" spans="1:16" x14ac:dyDescent="0.3">
      <c r="A286" t="s">
        <v>12</v>
      </c>
      <c r="B286" s="5">
        <v>1</v>
      </c>
      <c r="D286" s="5">
        <v>30</v>
      </c>
      <c r="F286" s="5">
        <v>1.25</v>
      </c>
      <c r="G286" s="5">
        <v>0.75</v>
      </c>
      <c r="H286" s="5">
        <v>3</v>
      </c>
      <c r="I286" s="5">
        <v>5</v>
      </c>
      <c r="J286" t="s">
        <v>53</v>
      </c>
      <c r="N286" s="12">
        <f t="shared" si="61"/>
        <v>40</v>
      </c>
      <c r="O286"/>
      <c r="P286"/>
    </row>
    <row r="287" spans="1:16" x14ac:dyDescent="0.3">
      <c r="A287" t="s">
        <v>20</v>
      </c>
      <c r="B287" s="5">
        <v>1</v>
      </c>
      <c r="D287" s="5">
        <v>30</v>
      </c>
      <c r="F287" s="5">
        <v>1.25</v>
      </c>
      <c r="G287" s="5">
        <v>0.75</v>
      </c>
      <c r="H287" s="5">
        <v>3</v>
      </c>
      <c r="I287" s="5">
        <v>5</v>
      </c>
      <c r="N287" s="12">
        <f t="shared" si="61"/>
        <v>40</v>
      </c>
      <c r="O287"/>
      <c r="P287"/>
    </row>
    <row r="288" spans="1:16" x14ac:dyDescent="0.3">
      <c r="A288" t="s">
        <v>13</v>
      </c>
      <c r="B288" s="5">
        <v>1</v>
      </c>
      <c r="D288" s="5">
        <v>60</v>
      </c>
      <c r="F288" s="5">
        <v>1.25</v>
      </c>
      <c r="G288" s="5">
        <v>0.75</v>
      </c>
      <c r="H288" s="5">
        <v>3</v>
      </c>
      <c r="I288" s="5">
        <v>5</v>
      </c>
      <c r="N288" s="12">
        <f t="shared" si="61"/>
        <v>70</v>
      </c>
      <c r="O288"/>
      <c r="P288"/>
    </row>
    <row r="289" spans="1:16" x14ac:dyDescent="0.3">
      <c r="A289" t="s">
        <v>14</v>
      </c>
      <c r="B289" s="5">
        <v>1</v>
      </c>
      <c r="D289" s="5">
        <v>300</v>
      </c>
      <c r="F289" s="5">
        <v>1.25</v>
      </c>
      <c r="G289" s="5">
        <v>0.75</v>
      </c>
      <c r="H289" s="5">
        <v>3</v>
      </c>
      <c r="I289" s="5">
        <v>15</v>
      </c>
      <c r="J289" s="5"/>
      <c r="N289" s="12">
        <f t="shared" si="61"/>
        <v>320</v>
      </c>
      <c r="O289"/>
      <c r="P289"/>
    </row>
    <row r="290" spans="1:16" x14ac:dyDescent="0.3">
      <c r="A290" t="s">
        <v>15</v>
      </c>
      <c r="B290" s="5">
        <v>1</v>
      </c>
      <c r="D290" s="5">
        <v>60</v>
      </c>
      <c r="N290" s="12">
        <f t="shared" si="61"/>
        <v>60</v>
      </c>
      <c r="O290"/>
      <c r="P290"/>
    </row>
    <row r="291" spans="1:16" x14ac:dyDescent="0.3">
      <c r="A291" s="24"/>
      <c r="B291" s="25"/>
      <c r="C291" s="27">
        <f t="shared" ref="C291:J291" si="62">SUM(C284:C290)</f>
        <v>6</v>
      </c>
      <c r="D291" s="27">
        <f t="shared" si="62"/>
        <v>1230</v>
      </c>
      <c r="E291" s="27">
        <f t="shared" si="62"/>
        <v>60</v>
      </c>
      <c r="F291" s="27">
        <f t="shared" si="62"/>
        <v>10</v>
      </c>
      <c r="G291" s="27">
        <f t="shared" si="62"/>
        <v>5</v>
      </c>
      <c r="H291" s="27">
        <f t="shared" si="62"/>
        <v>20</v>
      </c>
      <c r="I291" s="27">
        <f t="shared" si="62"/>
        <v>123</v>
      </c>
      <c r="J291" s="27">
        <f t="shared" si="62"/>
        <v>0</v>
      </c>
      <c r="K291" s="26">
        <f>SUM(K284:K290)</f>
        <v>0</v>
      </c>
      <c r="L291" s="26">
        <f>SUM(L284:L290)</f>
        <v>51</v>
      </c>
      <c r="M291" s="26">
        <f>SUM(M284:M290)</f>
        <v>0</v>
      </c>
      <c r="N291" s="28">
        <f>SUM(N284:N290)</f>
        <v>1505</v>
      </c>
      <c r="O291"/>
      <c r="P291"/>
    </row>
    <row r="292" spans="1:16" x14ac:dyDescent="0.3">
      <c r="A292" s="3"/>
      <c r="B292"/>
      <c r="D292"/>
      <c r="F292"/>
      <c r="G292"/>
      <c r="H292"/>
      <c r="I292"/>
      <c r="N292"/>
      <c r="O292"/>
      <c r="P292"/>
    </row>
    <row r="293" spans="1:16" ht="23.4" x14ac:dyDescent="0.45">
      <c r="A293" s="85">
        <f>A283+30</f>
        <v>44888</v>
      </c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/>
      <c r="P293"/>
    </row>
    <row r="294" spans="1:16" x14ac:dyDescent="0.3">
      <c r="A294" t="s">
        <v>10</v>
      </c>
      <c r="B294" s="5">
        <v>1</v>
      </c>
      <c r="C294" s="5">
        <v>3</v>
      </c>
      <c r="D294" s="5">
        <v>600</v>
      </c>
      <c r="E294" s="5">
        <v>60</v>
      </c>
      <c r="F294" s="5">
        <v>3</v>
      </c>
      <c r="G294" s="5">
        <v>2</v>
      </c>
      <c r="H294" s="5">
        <v>5</v>
      </c>
      <c r="I294" s="5">
        <v>81</v>
      </c>
      <c r="J294" s="5"/>
      <c r="L294" s="5">
        <v>51</v>
      </c>
      <c r="N294" s="12">
        <f t="shared" ref="N294:N300" si="63">SUM(C294:M294)*B294</f>
        <v>805</v>
      </c>
      <c r="O294"/>
      <c r="P294"/>
    </row>
    <row r="295" spans="1:16" x14ac:dyDescent="0.3">
      <c r="A295" t="s">
        <v>11</v>
      </c>
      <c r="B295" s="5">
        <v>1</v>
      </c>
      <c r="C295" s="5">
        <v>3</v>
      </c>
      <c r="D295" s="5">
        <v>150</v>
      </c>
      <c r="F295" s="5">
        <v>2</v>
      </c>
      <c r="G295" s="5">
        <v>1</v>
      </c>
      <c r="H295" s="5">
        <v>3</v>
      </c>
      <c r="I295" s="5">
        <v>11</v>
      </c>
      <c r="J295" s="5"/>
      <c r="N295" s="12">
        <f t="shared" si="63"/>
        <v>170</v>
      </c>
      <c r="O295"/>
      <c r="P295"/>
    </row>
    <row r="296" spans="1:16" x14ac:dyDescent="0.3">
      <c r="A296" t="s">
        <v>12</v>
      </c>
      <c r="B296" s="5">
        <v>1</v>
      </c>
      <c r="D296" s="5">
        <v>30</v>
      </c>
      <c r="F296" s="5">
        <v>1.25</v>
      </c>
      <c r="G296" s="5">
        <v>0.75</v>
      </c>
      <c r="H296" s="5">
        <v>3</v>
      </c>
      <c r="I296" s="5">
        <v>5</v>
      </c>
      <c r="J296" t="s">
        <v>53</v>
      </c>
      <c r="N296" s="12">
        <f t="shared" si="63"/>
        <v>40</v>
      </c>
    </row>
    <row r="297" spans="1:16" x14ac:dyDescent="0.3">
      <c r="A297" t="s">
        <v>20</v>
      </c>
      <c r="B297" s="5">
        <v>1</v>
      </c>
      <c r="D297" s="5">
        <v>30</v>
      </c>
      <c r="F297" s="5">
        <v>1.25</v>
      </c>
      <c r="G297" s="5">
        <v>0.75</v>
      </c>
      <c r="H297" s="5">
        <v>3</v>
      </c>
      <c r="I297" s="5">
        <v>5</v>
      </c>
      <c r="N297" s="12">
        <f t="shared" si="63"/>
        <v>40</v>
      </c>
    </row>
    <row r="298" spans="1:16" x14ac:dyDescent="0.3">
      <c r="A298" t="s">
        <v>13</v>
      </c>
      <c r="B298" s="5">
        <v>1</v>
      </c>
      <c r="D298" s="5">
        <v>60</v>
      </c>
      <c r="F298" s="5">
        <v>1.25</v>
      </c>
      <c r="G298" s="5">
        <v>0.75</v>
      </c>
      <c r="H298" s="5">
        <v>3</v>
      </c>
      <c r="I298" s="5">
        <v>5</v>
      </c>
      <c r="N298" s="12">
        <f t="shared" si="63"/>
        <v>70</v>
      </c>
    </row>
    <row r="299" spans="1:16" x14ac:dyDescent="0.3">
      <c r="A299" t="s">
        <v>14</v>
      </c>
      <c r="B299" s="5">
        <v>1</v>
      </c>
      <c r="D299" s="5">
        <v>300</v>
      </c>
      <c r="F299" s="5">
        <v>1.25</v>
      </c>
      <c r="G299" s="5">
        <v>0.75</v>
      </c>
      <c r="H299" s="5">
        <v>3</v>
      </c>
      <c r="I299" s="5">
        <v>15</v>
      </c>
      <c r="J299" s="5"/>
      <c r="N299" s="12">
        <f t="shared" si="63"/>
        <v>320</v>
      </c>
    </row>
    <row r="300" spans="1:16" x14ac:dyDescent="0.3">
      <c r="A300" t="s">
        <v>15</v>
      </c>
      <c r="B300" s="5">
        <v>1</v>
      </c>
      <c r="D300" s="5">
        <v>60</v>
      </c>
      <c r="N300" s="12">
        <f t="shared" si="63"/>
        <v>60</v>
      </c>
    </row>
    <row r="301" spans="1:16" x14ac:dyDescent="0.3">
      <c r="A301" s="24"/>
      <c r="B301" s="25"/>
      <c r="C301" s="27">
        <f t="shared" ref="C301:J301" si="64">SUM(C294:C300)</f>
        <v>6</v>
      </c>
      <c r="D301" s="27">
        <f t="shared" si="64"/>
        <v>1230</v>
      </c>
      <c r="E301" s="27">
        <f t="shared" si="64"/>
        <v>60</v>
      </c>
      <c r="F301" s="27">
        <f t="shared" si="64"/>
        <v>10</v>
      </c>
      <c r="G301" s="27">
        <f t="shared" si="64"/>
        <v>6</v>
      </c>
      <c r="H301" s="27">
        <f t="shared" si="64"/>
        <v>20</v>
      </c>
      <c r="I301" s="27">
        <f t="shared" si="64"/>
        <v>122</v>
      </c>
      <c r="J301" s="27">
        <f t="shared" si="64"/>
        <v>0</v>
      </c>
      <c r="K301" s="26">
        <f>SUM(K294:K300)</f>
        <v>0</v>
      </c>
      <c r="L301" s="26">
        <f>SUM(L294:L300)</f>
        <v>51</v>
      </c>
      <c r="M301" s="26">
        <f>SUM(M294:M300)</f>
        <v>0</v>
      </c>
      <c r="N301" s="28">
        <f>SUM(N294:N300)</f>
        <v>1505</v>
      </c>
    </row>
    <row r="303" spans="1:16" ht="23.4" x14ac:dyDescent="0.45">
      <c r="A303" s="85">
        <f>A293+30</f>
        <v>44918</v>
      </c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</row>
    <row r="304" spans="1:16" x14ac:dyDescent="0.3">
      <c r="A304" t="s">
        <v>10</v>
      </c>
      <c r="B304" s="5">
        <v>1</v>
      </c>
      <c r="C304" s="5">
        <v>3</v>
      </c>
      <c r="D304" s="5">
        <v>600</v>
      </c>
      <c r="E304" s="5">
        <v>60</v>
      </c>
      <c r="F304" s="5">
        <v>3</v>
      </c>
      <c r="G304" s="5">
        <v>2</v>
      </c>
      <c r="H304" s="5">
        <v>5</v>
      </c>
      <c r="I304" s="5">
        <v>51</v>
      </c>
      <c r="J304" s="5"/>
      <c r="L304" s="5"/>
      <c r="N304" s="12">
        <f t="shared" ref="N304:N310" si="65">SUM(C304:M304)*B304</f>
        <v>724</v>
      </c>
    </row>
    <row r="305" spans="1:14" x14ac:dyDescent="0.3">
      <c r="A305" t="s">
        <v>11</v>
      </c>
      <c r="B305" s="5">
        <v>1</v>
      </c>
      <c r="C305" s="5">
        <v>3</v>
      </c>
      <c r="D305" s="5">
        <v>150</v>
      </c>
      <c r="F305" s="5">
        <v>2</v>
      </c>
      <c r="G305" s="5">
        <v>1</v>
      </c>
      <c r="H305" s="5">
        <v>3</v>
      </c>
      <c r="I305" s="5">
        <v>11</v>
      </c>
      <c r="J305" s="5"/>
      <c r="N305" s="12">
        <f t="shared" si="65"/>
        <v>170</v>
      </c>
    </row>
    <row r="306" spans="1:14" x14ac:dyDescent="0.3">
      <c r="A306" t="s">
        <v>12</v>
      </c>
      <c r="B306" s="5">
        <v>1</v>
      </c>
      <c r="D306" s="5">
        <v>30</v>
      </c>
      <c r="F306" s="5">
        <v>1.25</v>
      </c>
      <c r="G306" s="5">
        <v>0.75</v>
      </c>
      <c r="H306" s="5">
        <v>3</v>
      </c>
      <c r="I306" s="5">
        <v>5</v>
      </c>
      <c r="J306" t="s">
        <v>53</v>
      </c>
      <c r="N306" s="12">
        <f t="shared" si="65"/>
        <v>40</v>
      </c>
    </row>
    <row r="307" spans="1:14" x14ac:dyDescent="0.3">
      <c r="A307" t="s">
        <v>20</v>
      </c>
      <c r="B307" s="5">
        <v>1</v>
      </c>
      <c r="D307" s="5">
        <v>30</v>
      </c>
      <c r="F307" s="5">
        <v>1.25</v>
      </c>
      <c r="G307" s="5">
        <v>0.75</v>
      </c>
      <c r="H307" s="5">
        <v>3</v>
      </c>
      <c r="I307" s="5">
        <v>5</v>
      </c>
      <c r="N307" s="12">
        <f t="shared" si="65"/>
        <v>40</v>
      </c>
    </row>
    <row r="308" spans="1:14" x14ac:dyDescent="0.3">
      <c r="A308" t="s">
        <v>13</v>
      </c>
      <c r="B308" s="5">
        <v>1</v>
      </c>
      <c r="D308" s="5">
        <v>60</v>
      </c>
      <c r="F308" s="5">
        <v>1.25</v>
      </c>
      <c r="G308" s="5">
        <v>0.75</v>
      </c>
      <c r="H308" s="5">
        <v>3</v>
      </c>
      <c r="I308" s="5">
        <v>5</v>
      </c>
      <c r="N308" s="12">
        <f t="shared" si="65"/>
        <v>70</v>
      </c>
    </row>
    <row r="309" spans="1:14" x14ac:dyDescent="0.3">
      <c r="A309" t="s">
        <v>14</v>
      </c>
      <c r="B309" s="5">
        <v>1</v>
      </c>
      <c r="D309" s="5">
        <v>300</v>
      </c>
      <c r="F309" s="5">
        <v>1.25</v>
      </c>
      <c r="G309" s="5">
        <v>0.75</v>
      </c>
      <c r="H309" s="5">
        <v>3</v>
      </c>
      <c r="I309" s="5">
        <v>15</v>
      </c>
      <c r="J309" s="5"/>
      <c r="N309" s="12">
        <f t="shared" si="65"/>
        <v>320</v>
      </c>
    </row>
    <row r="310" spans="1:14" x14ac:dyDescent="0.3">
      <c r="A310" t="s">
        <v>15</v>
      </c>
      <c r="B310" s="5">
        <v>1</v>
      </c>
      <c r="D310" s="5">
        <v>60</v>
      </c>
      <c r="N310" s="12">
        <f t="shared" si="65"/>
        <v>60</v>
      </c>
    </row>
    <row r="311" spans="1:14" x14ac:dyDescent="0.3">
      <c r="A311" s="24"/>
      <c r="B311" s="25"/>
      <c r="C311" s="27">
        <f t="shared" ref="C311:J311" si="66">SUM(C304:C310)</f>
        <v>6</v>
      </c>
      <c r="D311" s="27">
        <f t="shared" si="66"/>
        <v>1230</v>
      </c>
      <c r="E311" s="27">
        <f t="shared" si="66"/>
        <v>60</v>
      </c>
      <c r="F311" s="27">
        <f t="shared" si="66"/>
        <v>10</v>
      </c>
      <c r="G311" s="27">
        <f t="shared" si="66"/>
        <v>6</v>
      </c>
      <c r="H311" s="27">
        <f t="shared" si="66"/>
        <v>20</v>
      </c>
      <c r="I311" s="27">
        <f t="shared" si="66"/>
        <v>92</v>
      </c>
      <c r="J311" s="27">
        <f t="shared" si="66"/>
        <v>0</v>
      </c>
      <c r="K311" s="26">
        <f>SUM(K304:K310)</f>
        <v>0</v>
      </c>
      <c r="L311" s="26">
        <f>SUM(L304:L310)</f>
        <v>0</v>
      </c>
      <c r="M311" s="26">
        <f>SUM(M304:M310)</f>
        <v>0</v>
      </c>
      <c r="N311" s="28">
        <f>SUM(N304:N310)</f>
        <v>1424</v>
      </c>
    </row>
    <row r="313" spans="1:14" ht="23.4" x14ac:dyDescent="0.45">
      <c r="A313" s="85">
        <f>A303+30</f>
        <v>44948</v>
      </c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</row>
    <row r="314" spans="1:14" x14ac:dyDescent="0.3">
      <c r="A314" t="s">
        <v>10</v>
      </c>
      <c r="B314" s="5">
        <v>1</v>
      </c>
      <c r="C314" s="5">
        <v>3</v>
      </c>
      <c r="D314" s="5">
        <v>600</v>
      </c>
      <c r="E314" s="5">
        <v>60</v>
      </c>
      <c r="F314" s="5">
        <v>3</v>
      </c>
      <c r="G314" s="5">
        <v>2</v>
      </c>
      <c r="H314" s="5">
        <v>5</v>
      </c>
      <c r="I314" s="5">
        <v>51</v>
      </c>
      <c r="J314" s="5"/>
      <c r="L314" s="5"/>
      <c r="N314" s="12">
        <f t="shared" ref="N314:N320" si="67">SUM(C314:M314)*B314</f>
        <v>724</v>
      </c>
    </row>
    <row r="315" spans="1:14" x14ac:dyDescent="0.3">
      <c r="A315" t="s">
        <v>11</v>
      </c>
      <c r="B315" s="5">
        <v>1</v>
      </c>
      <c r="C315" s="5">
        <v>3</v>
      </c>
      <c r="D315" s="5">
        <v>150</v>
      </c>
      <c r="F315" s="5">
        <v>2</v>
      </c>
      <c r="G315" s="5">
        <v>1</v>
      </c>
      <c r="H315" s="5">
        <v>3</v>
      </c>
      <c r="I315" s="5">
        <v>11</v>
      </c>
      <c r="J315" s="5"/>
      <c r="N315" s="12">
        <f t="shared" si="67"/>
        <v>170</v>
      </c>
    </row>
    <row r="316" spans="1:14" x14ac:dyDescent="0.3">
      <c r="A316" t="s">
        <v>12</v>
      </c>
      <c r="B316" s="5">
        <v>1</v>
      </c>
      <c r="D316" s="5">
        <v>30</v>
      </c>
      <c r="F316" s="5">
        <v>1.25</v>
      </c>
      <c r="G316" s="5">
        <v>0.75</v>
      </c>
      <c r="H316" s="5">
        <v>3</v>
      </c>
      <c r="I316" s="5">
        <v>5</v>
      </c>
      <c r="J316" t="s">
        <v>53</v>
      </c>
      <c r="N316" s="12">
        <f t="shared" si="67"/>
        <v>40</v>
      </c>
    </row>
    <row r="317" spans="1:14" x14ac:dyDescent="0.3">
      <c r="A317" t="s">
        <v>20</v>
      </c>
      <c r="B317" s="5">
        <v>1</v>
      </c>
      <c r="D317" s="5">
        <v>30</v>
      </c>
      <c r="F317" s="5">
        <v>1.25</v>
      </c>
      <c r="G317" s="5">
        <v>0.75</v>
      </c>
      <c r="H317" s="5">
        <v>3</v>
      </c>
      <c r="I317" s="5">
        <v>5</v>
      </c>
      <c r="N317" s="12">
        <f t="shared" si="67"/>
        <v>40</v>
      </c>
    </row>
    <row r="318" spans="1:14" x14ac:dyDescent="0.3">
      <c r="A318" t="s">
        <v>13</v>
      </c>
      <c r="B318" s="5">
        <v>1</v>
      </c>
      <c r="D318" s="5">
        <v>60</v>
      </c>
      <c r="F318" s="5">
        <v>1.25</v>
      </c>
      <c r="G318" s="5">
        <v>0.75</v>
      </c>
      <c r="H318" s="5">
        <v>3</v>
      </c>
      <c r="I318" s="5">
        <v>5</v>
      </c>
      <c r="N318" s="12">
        <f t="shared" si="67"/>
        <v>70</v>
      </c>
    </row>
    <row r="319" spans="1:14" x14ac:dyDescent="0.3">
      <c r="A319" t="s">
        <v>14</v>
      </c>
      <c r="B319" s="5">
        <v>1</v>
      </c>
      <c r="D319" s="5">
        <v>300</v>
      </c>
      <c r="F319" s="5">
        <v>1.25</v>
      </c>
      <c r="G319" s="5">
        <v>0.75</v>
      </c>
      <c r="H319" s="5">
        <v>3</v>
      </c>
      <c r="I319" s="5">
        <v>15</v>
      </c>
      <c r="J319" s="5"/>
      <c r="N319" s="12">
        <f t="shared" si="67"/>
        <v>320</v>
      </c>
    </row>
    <row r="320" spans="1:14" x14ac:dyDescent="0.3">
      <c r="A320" t="s">
        <v>15</v>
      </c>
      <c r="B320" s="5">
        <v>1</v>
      </c>
      <c r="D320" s="5">
        <v>60</v>
      </c>
      <c r="N320" s="12">
        <f t="shared" si="67"/>
        <v>60</v>
      </c>
    </row>
    <row r="321" spans="1:14" x14ac:dyDescent="0.3">
      <c r="A321" s="24"/>
      <c r="B321" s="25"/>
      <c r="C321" s="27">
        <f t="shared" ref="C321:J321" si="68">SUM(C314:C320)</f>
        <v>6</v>
      </c>
      <c r="D321" s="27">
        <f t="shared" si="68"/>
        <v>1230</v>
      </c>
      <c r="E321" s="27">
        <f t="shared" si="68"/>
        <v>60</v>
      </c>
      <c r="F321" s="27">
        <f t="shared" si="68"/>
        <v>10</v>
      </c>
      <c r="G321" s="27">
        <f t="shared" si="68"/>
        <v>6</v>
      </c>
      <c r="H321" s="27">
        <f t="shared" si="68"/>
        <v>20</v>
      </c>
      <c r="I321" s="27">
        <f t="shared" si="68"/>
        <v>92</v>
      </c>
      <c r="J321" s="27">
        <f t="shared" si="68"/>
        <v>0</v>
      </c>
      <c r="K321" s="26">
        <f>SUM(K314:K320)</f>
        <v>0</v>
      </c>
      <c r="L321" s="26">
        <f>SUM(L314:L320)</f>
        <v>0</v>
      </c>
      <c r="M321" s="26">
        <f>SUM(M314:M320)</f>
        <v>0</v>
      </c>
      <c r="N321" s="28">
        <f>SUM(N314:N320)</f>
        <v>1424</v>
      </c>
    </row>
    <row r="323" spans="1:14" ht="23.4" x14ac:dyDescent="0.45">
      <c r="A323" s="85">
        <f>A313+30</f>
        <v>44978</v>
      </c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</row>
    <row r="324" spans="1:14" x14ac:dyDescent="0.3">
      <c r="A324" t="s">
        <v>10</v>
      </c>
      <c r="B324" s="5">
        <v>1</v>
      </c>
      <c r="C324" s="5">
        <v>3</v>
      </c>
      <c r="D324" s="5">
        <v>600</v>
      </c>
      <c r="E324" s="5">
        <v>60</v>
      </c>
      <c r="F324" s="5">
        <v>3</v>
      </c>
      <c r="G324" s="5">
        <v>2</v>
      </c>
      <c r="H324" s="5">
        <v>5</v>
      </c>
      <c r="I324" s="5">
        <v>51</v>
      </c>
      <c r="J324" s="5">
        <v>101</v>
      </c>
      <c r="L324" s="5"/>
      <c r="N324" s="12">
        <f t="shared" ref="N324:N330" si="69">SUM(C324:M324)*B324</f>
        <v>825</v>
      </c>
    </row>
    <row r="325" spans="1:14" x14ac:dyDescent="0.3">
      <c r="A325" t="s">
        <v>11</v>
      </c>
      <c r="B325" s="5">
        <v>1</v>
      </c>
      <c r="C325" s="5">
        <v>3</v>
      </c>
      <c r="D325" s="5">
        <v>150</v>
      </c>
      <c r="F325" s="5">
        <v>2</v>
      </c>
      <c r="G325" s="5">
        <v>1</v>
      </c>
      <c r="H325" s="5">
        <v>3</v>
      </c>
      <c r="I325" s="5">
        <v>11</v>
      </c>
      <c r="J325" s="5"/>
      <c r="N325" s="12">
        <f t="shared" si="69"/>
        <v>170</v>
      </c>
    </row>
    <row r="326" spans="1:14" x14ac:dyDescent="0.3">
      <c r="A326" t="s">
        <v>12</v>
      </c>
      <c r="B326" s="5">
        <v>1</v>
      </c>
      <c r="D326" s="5">
        <v>30</v>
      </c>
      <c r="F326" s="5">
        <v>1.25</v>
      </c>
      <c r="G326" s="5">
        <v>0.75</v>
      </c>
      <c r="H326" s="5">
        <v>3</v>
      </c>
      <c r="I326" s="5">
        <v>5</v>
      </c>
      <c r="J326" t="s">
        <v>53</v>
      </c>
      <c r="N326" s="12">
        <f t="shared" si="69"/>
        <v>40</v>
      </c>
    </row>
    <row r="327" spans="1:14" x14ac:dyDescent="0.3">
      <c r="A327" t="s">
        <v>20</v>
      </c>
      <c r="B327" s="5">
        <v>1</v>
      </c>
      <c r="D327" s="5">
        <v>30</v>
      </c>
      <c r="F327" s="5">
        <v>1.25</v>
      </c>
      <c r="G327" s="5">
        <v>0.75</v>
      </c>
      <c r="H327" s="5">
        <v>3</v>
      </c>
      <c r="I327" s="5">
        <v>5</v>
      </c>
      <c r="N327" s="12">
        <f t="shared" si="69"/>
        <v>40</v>
      </c>
    </row>
    <row r="328" spans="1:14" x14ac:dyDescent="0.3">
      <c r="A328" t="s">
        <v>13</v>
      </c>
      <c r="B328" s="5">
        <v>1</v>
      </c>
      <c r="D328" s="5">
        <v>60</v>
      </c>
      <c r="F328" s="5">
        <v>1.25</v>
      </c>
      <c r="G328" s="5">
        <v>0.75</v>
      </c>
      <c r="H328" s="5">
        <v>3</v>
      </c>
      <c r="I328" s="5">
        <v>5</v>
      </c>
      <c r="N328" s="12">
        <f t="shared" si="69"/>
        <v>70</v>
      </c>
    </row>
    <row r="329" spans="1:14" x14ac:dyDescent="0.3">
      <c r="A329" t="s">
        <v>14</v>
      </c>
      <c r="B329" s="5">
        <v>1</v>
      </c>
      <c r="D329" s="5">
        <v>300</v>
      </c>
      <c r="F329" s="5">
        <v>1.25</v>
      </c>
      <c r="G329" s="5">
        <v>0.75</v>
      </c>
      <c r="H329" s="5">
        <v>3</v>
      </c>
      <c r="I329" s="5">
        <v>3</v>
      </c>
      <c r="J329" s="5"/>
      <c r="N329" s="12">
        <f t="shared" si="69"/>
        <v>308</v>
      </c>
    </row>
    <row r="330" spans="1:14" x14ac:dyDescent="0.3">
      <c r="A330" t="s">
        <v>15</v>
      </c>
      <c r="B330" s="5">
        <v>1</v>
      </c>
      <c r="D330" s="5">
        <v>60</v>
      </c>
      <c r="N330" s="12">
        <f t="shared" si="69"/>
        <v>60</v>
      </c>
    </row>
    <row r="331" spans="1:14" x14ac:dyDescent="0.3">
      <c r="A331" s="24"/>
      <c r="B331" s="25"/>
      <c r="C331" s="27">
        <f t="shared" ref="C331:J331" si="70">SUM(C324:C330)</f>
        <v>6</v>
      </c>
      <c r="D331" s="27">
        <f t="shared" si="70"/>
        <v>1230</v>
      </c>
      <c r="E331" s="27">
        <f t="shared" si="70"/>
        <v>60</v>
      </c>
      <c r="F331" s="27">
        <f t="shared" si="70"/>
        <v>10</v>
      </c>
      <c r="G331" s="27">
        <f t="shared" si="70"/>
        <v>6</v>
      </c>
      <c r="H331" s="27">
        <f t="shared" si="70"/>
        <v>20</v>
      </c>
      <c r="I331" s="27">
        <f t="shared" si="70"/>
        <v>80</v>
      </c>
      <c r="J331" s="27">
        <f t="shared" si="70"/>
        <v>101</v>
      </c>
      <c r="K331" s="26">
        <f>SUM(K324:K330)</f>
        <v>0</v>
      </c>
      <c r="L331" s="26">
        <f>SUM(L324:L330)</f>
        <v>0</v>
      </c>
      <c r="M331" s="26">
        <f>SUM(M324:M330)</f>
        <v>0</v>
      </c>
      <c r="N331" s="28">
        <f>SUM(N324:N330)</f>
        <v>1513</v>
      </c>
    </row>
    <row r="333" spans="1:14" ht="23.4" x14ac:dyDescent="0.45">
      <c r="A333" s="85">
        <f>A323+30</f>
        <v>45008</v>
      </c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</row>
    <row r="334" spans="1:14" x14ac:dyDescent="0.3">
      <c r="A334" t="s">
        <v>10</v>
      </c>
      <c r="B334" s="5">
        <v>1</v>
      </c>
      <c r="C334" s="5">
        <v>3</v>
      </c>
      <c r="D334" s="5">
        <f>22*30</f>
        <v>660</v>
      </c>
      <c r="E334" s="5">
        <v>60</v>
      </c>
      <c r="F334" s="5">
        <v>3</v>
      </c>
      <c r="G334" s="5">
        <v>2</v>
      </c>
      <c r="H334" s="5">
        <v>5</v>
      </c>
      <c r="I334" s="5">
        <v>51</v>
      </c>
      <c r="J334" s="5">
        <v>121</v>
      </c>
      <c r="L334" s="5"/>
      <c r="N334" s="12">
        <f t="shared" ref="N334:N340" si="71">SUM(C334:M334)*B334</f>
        <v>905</v>
      </c>
    </row>
    <row r="335" spans="1:14" x14ac:dyDescent="0.3">
      <c r="A335" t="s">
        <v>11</v>
      </c>
      <c r="B335" s="5">
        <v>1</v>
      </c>
      <c r="C335" s="5">
        <v>3</v>
      </c>
      <c r="D335" s="5">
        <v>150</v>
      </c>
      <c r="F335" s="5">
        <v>2</v>
      </c>
      <c r="G335" s="5">
        <v>1</v>
      </c>
      <c r="H335" s="5">
        <v>3</v>
      </c>
      <c r="I335" s="5">
        <v>11</v>
      </c>
      <c r="J335" s="5"/>
      <c r="N335" s="12">
        <f t="shared" si="71"/>
        <v>170</v>
      </c>
    </row>
    <row r="336" spans="1:14" x14ac:dyDescent="0.3">
      <c r="A336" t="s">
        <v>12</v>
      </c>
      <c r="B336" s="5">
        <v>1</v>
      </c>
      <c r="D336" s="5">
        <v>30</v>
      </c>
      <c r="F336" s="5">
        <v>1.25</v>
      </c>
      <c r="G336" s="5">
        <v>0.75</v>
      </c>
      <c r="H336" s="5">
        <v>3</v>
      </c>
      <c r="I336" s="5">
        <v>5</v>
      </c>
      <c r="J336" t="s">
        <v>53</v>
      </c>
      <c r="N336" s="12">
        <f t="shared" si="71"/>
        <v>40</v>
      </c>
    </row>
    <row r="337" spans="1:14" x14ac:dyDescent="0.3">
      <c r="A337" t="s">
        <v>20</v>
      </c>
      <c r="B337" s="5">
        <v>1</v>
      </c>
      <c r="D337" s="5">
        <v>30</v>
      </c>
      <c r="F337" s="5">
        <v>1.25</v>
      </c>
      <c r="G337" s="5">
        <v>0.75</v>
      </c>
      <c r="H337" s="5">
        <v>3</v>
      </c>
      <c r="I337" s="5">
        <v>5</v>
      </c>
      <c r="N337" s="12">
        <f t="shared" si="71"/>
        <v>40</v>
      </c>
    </row>
    <row r="338" spans="1:14" x14ac:dyDescent="0.3">
      <c r="A338" t="s">
        <v>13</v>
      </c>
      <c r="B338" s="5">
        <v>1</v>
      </c>
      <c r="D338" s="5">
        <v>60</v>
      </c>
      <c r="F338" s="5">
        <v>1.25</v>
      </c>
      <c r="G338" s="5">
        <v>0.75</v>
      </c>
      <c r="H338" s="5">
        <v>3</v>
      </c>
      <c r="I338" s="5">
        <v>5</v>
      </c>
      <c r="N338" s="12">
        <f t="shared" si="71"/>
        <v>70</v>
      </c>
    </row>
    <row r="339" spans="1:14" x14ac:dyDescent="0.3">
      <c r="A339" t="s">
        <v>14</v>
      </c>
      <c r="B339" s="5">
        <v>1</v>
      </c>
      <c r="D339" s="5">
        <v>300</v>
      </c>
      <c r="F339" s="5">
        <v>1.25</v>
      </c>
      <c r="G339" s="5">
        <v>0.75</v>
      </c>
      <c r="H339" s="5">
        <v>3</v>
      </c>
      <c r="I339" s="5">
        <v>11</v>
      </c>
      <c r="J339" s="5"/>
      <c r="N339" s="12">
        <f t="shared" si="71"/>
        <v>316</v>
      </c>
    </row>
    <row r="340" spans="1:14" x14ac:dyDescent="0.3">
      <c r="A340" t="s">
        <v>15</v>
      </c>
      <c r="B340" s="5">
        <v>1</v>
      </c>
      <c r="D340" s="5">
        <v>60</v>
      </c>
      <c r="N340" s="12">
        <f t="shared" si="71"/>
        <v>60</v>
      </c>
    </row>
    <row r="341" spans="1:14" x14ac:dyDescent="0.3">
      <c r="A341" s="24"/>
      <c r="B341" s="25"/>
      <c r="C341" s="27">
        <f t="shared" ref="C341:J341" si="72">SUM(C334:C340)</f>
        <v>6</v>
      </c>
      <c r="D341" s="27">
        <f t="shared" si="72"/>
        <v>1290</v>
      </c>
      <c r="E341" s="27">
        <f t="shared" si="72"/>
        <v>60</v>
      </c>
      <c r="F341" s="27">
        <f t="shared" si="72"/>
        <v>10</v>
      </c>
      <c r="G341" s="27">
        <f t="shared" si="72"/>
        <v>6</v>
      </c>
      <c r="H341" s="27">
        <f t="shared" si="72"/>
        <v>20</v>
      </c>
      <c r="I341" s="27">
        <f t="shared" si="72"/>
        <v>88</v>
      </c>
      <c r="J341" s="27">
        <f t="shared" si="72"/>
        <v>121</v>
      </c>
      <c r="K341" s="26">
        <f>SUM(K334:K340)</f>
        <v>0</v>
      </c>
      <c r="L341" s="26">
        <f>SUM(L334:L340)</f>
        <v>0</v>
      </c>
      <c r="M341" s="26">
        <f>SUM(M334:M340)</f>
        <v>0</v>
      </c>
      <c r="N341" s="28">
        <f>SUM(N334:N340)</f>
        <v>1601</v>
      </c>
    </row>
    <row r="343" spans="1:14" ht="23.4" x14ac:dyDescent="0.45">
      <c r="A343" s="85">
        <f>A333+30</f>
        <v>45038</v>
      </c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</row>
    <row r="344" spans="1:14" x14ac:dyDescent="0.3">
      <c r="A344" t="s">
        <v>10</v>
      </c>
      <c r="B344" s="5">
        <v>1</v>
      </c>
      <c r="C344" s="5">
        <v>3</v>
      </c>
      <c r="D344" s="5">
        <f>22*30</f>
        <v>660</v>
      </c>
      <c r="E344" s="5">
        <v>60</v>
      </c>
      <c r="F344" s="5">
        <v>3</v>
      </c>
      <c r="G344" s="5">
        <v>2</v>
      </c>
      <c r="H344" s="5">
        <v>5</v>
      </c>
      <c r="I344" s="5">
        <v>79</v>
      </c>
      <c r="J344" s="5"/>
      <c r="L344" s="5"/>
      <c r="N344" s="12">
        <f t="shared" ref="N344:N350" si="73">SUM(C344:M344)*B344</f>
        <v>812</v>
      </c>
    </row>
    <row r="345" spans="1:14" x14ac:dyDescent="0.3">
      <c r="A345" t="s">
        <v>11</v>
      </c>
      <c r="B345" s="5">
        <v>1</v>
      </c>
      <c r="C345" s="5">
        <v>3</v>
      </c>
      <c r="D345" s="5">
        <v>150</v>
      </c>
      <c r="F345" s="5">
        <v>2</v>
      </c>
      <c r="G345" s="5">
        <v>1</v>
      </c>
      <c r="H345" s="5">
        <v>3</v>
      </c>
      <c r="I345" s="5">
        <v>11</v>
      </c>
      <c r="J345" s="5"/>
      <c r="N345" s="12">
        <f t="shared" si="73"/>
        <v>170</v>
      </c>
    </row>
    <row r="346" spans="1:14" x14ac:dyDescent="0.3">
      <c r="A346" t="s">
        <v>12</v>
      </c>
      <c r="B346" s="5">
        <v>1</v>
      </c>
      <c r="D346" s="5">
        <v>30</v>
      </c>
      <c r="F346" s="5">
        <v>1.25</v>
      </c>
      <c r="G346" s="5">
        <v>0.75</v>
      </c>
      <c r="H346" s="5">
        <v>3</v>
      </c>
      <c r="I346" s="5">
        <v>5</v>
      </c>
      <c r="J346" t="s">
        <v>53</v>
      </c>
      <c r="N346" s="12">
        <f t="shared" si="73"/>
        <v>40</v>
      </c>
    </row>
    <row r="347" spans="1:14" x14ac:dyDescent="0.3">
      <c r="A347" t="s">
        <v>20</v>
      </c>
      <c r="B347" s="5">
        <v>1</v>
      </c>
      <c r="D347" s="5">
        <v>30</v>
      </c>
      <c r="F347" s="5">
        <v>1.25</v>
      </c>
      <c r="G347" s="5">
        <v>0.75</v>
      </c>
      <c r="H347" s="5">
        <v>3</v>
      </c>
      <c r="I347" s="5">
        <v>5</v>
      </c>
      <c r="N347" s="12">
        <f t="shared" si="73"/>
        <v>40</v>
      </c>
    </row>
    <row r="348" spans="1:14" x14ac:dyDescent="0.3">
      <c r="A348" t="s">
        <v>13</v>
      </c>
      <c r="B348" s="5">
        <v>1</v>
      </c>
      <c r="D348" s="5">
        <v>60</v>
      </c>
      <c r="F348" s="5">
        <v>1.25</v>
      </c>
      <c r="G348" s="5">
        <v>0.75</v>
      </c>
      <c r="H348" s="5">
        <v>3</v>
      </c>
      <c r="I348" s="5">
        <v>5</v>
      </c>
      <c r="N348" s="12">
        <f t="shared" si="73"/>
        <v>70</v>
      </c>
    </row>
    <row r="349" spans="1:14" x14ac:dyDescent="0.3">
      <c r="A349" t="s">
        <v>14</v>
      </c>
      <c r="B349" s="5">
        <v>1</v>
      </c>
      <c r="D349" s="5">
        <v>300</v>
      </c>
      <c r="F349" s="5">
        <v>1.25</v>
      </c>
      <c r="G349" s="5">
        <v>0.75</v>
      </c>
      <c r="H349" s="5">
        <v>3</v>
      </c>
      <c r="I349" s="5">
        <v>11</v>
      </c>
      <c r="J349" s="5"/>
      <c r="N349" s="12">
        <f t="shared" si="73"/>
        <v>316</v>
      </c>
    </row>
    <row r="350" spans="1:14" x14ac:dyDescent="0.3">
      <c r="A350" t="s">
        <v>15</v>
      </c>
      <c r="B350" s="5">
        <v>1</v>
      </c>
      <c r="D350" s="5">
        <v>60</v>
      </c>
      <c r="N350" s="12">
        <f t="shared" si="73"/>
        <v>60</v>
      </c>
    </row>
    <row r="351" spans="1:14" x14ac:dyDescent="0.3">
      <c r="A351" s="24"/>
      <c r="B351" s="25"/>
      <c r="C351" s="27">
        <f t="shared" ref="C351:J351" si="74">SUM(C344:C350)</f>
        <v>6</v>
      </c>
      <c r="D351" s="27">
        <f t="shared" si="74"/>
        <v>1290</v>
      </c>
      <c r="E351" s="27">
        <f t="shared" si="74"/>
        <v>60</v>
      </c>
      <c r="F351" s="27">
        <f t="shared" si="74"/>
        <v>10</v>
      </c>
      <c r="G351" s="27">
        <f t="shared" si="74"/>
        <v>6</v>
      </c>
      <c r="H351" s="27">
        <f t="shared" si="74"/>
        <v>20</v>
      </c>
      <c r="I351" s="27">
        <f t="shared" si="74"/>
        <v>116</v>
      </c>
      <c r="J351" s="27">
        <f t="shared" si="74"/>
        <v>0</v>
      </c>
      <c r="K351" s="26">
        <f>SUM(K344:K350)</f>
        <v>0</v>
      </c>
      <c r="L351" s="26">
        <f>SUM(L344:L350)</f>
        <v>0</v>
      </c>
      <c r="M351" s="26">
        <f>SUM(M344:M350)</f>
        <v>0</v>
      </c>
      <c r="N351" s="28">
        <f>SUM(N344:N350)</f>
        <v>1508</v>
      </c>
    </row>
    <row r="353" spans="1:14" ht="23.4" x14ac:dyDescent="0.45">
      <c r="A353" s="85">
        <f>A343+30</f>
        <v>45068</v>
      </c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</row>
    <row r="354" spans="1:14" x14ac:dyDescent="0.3">
      <c r="A354" t="s">
        <v>10</v>
      </c>
      <c r="B354" s="5">
        <v>1</v>
      </c>
      <c r="C354" s="5">
        <v>3</v>
      </c>
      <c r="D354" s="5">
        <f>22*30</f>
        <v>660</v>
      </c>
      <c r="E354" s="5">
        <v>60</v>
      </c>
      <c r="F354" s="5">
        <v>3</v>
      </c>
      <c r="G354" s="5">
        <v>2</v>
      </c>
      <c r="H354" s="5">
        <v>5</v>
      </c>
      <c r="I354" s="5">
        <v>100</v>
      </c>
      <c r="J354" s="5"/>
      <c r="L354" s="5">
        <v>51</v>
      </c>
      <c r="N354" s="12">
        <f t="shared" ref="N354:N360" si="75">SUM(C354:M354)*B354</f>
        <v>884</v>
      </c>
    </row>
    <row r="355" spans="1:14" x14ac:dyDescent="0.3">
      <c r="A355" t="s">
        <v>11</v>
      </c>
      <c r="B355" s="5">
        <v>1</v>
      </c>
      <c r="C355" s="5">
        <v>3</v>
      </c>
      <c r="D355" s="5">
        <v>150</v>
      </c>
      <c r="F355" s="5">
        <v>2</v>
      </c>
      <c r="G355" s="5">
        <v>1</v>
      </c>
      <c r="H355" s="5">
        <v>3</v>
      </c>
      <c r="I355" s="5">
        <v>11</v>
      </c>
      <c r="J355" s="5"/>
      <c r="N355" s="12">
        <f t="shared" si="75"/>
        <v>170</v>
      </c>
    </row>
    <row r="356" spans="1:14" x14ac:dyDescent="0.3">
      <c r="A356" t="s">
        <v>14</v>
      </c>
      <c r="B356" s="5">
        <v>1</v>
      </c>
      <c r="D356" s="5">
        <v>300</v>
      </c>
      <c r="F356" s="5">
        <v>1.25</v>
      </c>
      <c r="G356" s="5">
        <v>0.75</v>
      </c>
      <c r="H356" s="5">
        <v>3</v>
      </c>
      <c r="I356" s="5">
        <v>11</v>
      </c>
      <c r="J356" s="5"/>
      <c r="N356" s="12">
        <f t="shared" si="75"/>
        <v>316</v>
      </c>
    </row>
    <row r="357" spans="1:14" x14ac:dyDescent="0.3">
      <c r="A357" t="s">
        <v>13</v>
      </c>
      <c r="B357" s="5">
        <v>1</v>
      </c>
      <c r="D357" s="5">
        <v>60</v>
      </c>
      <c r="F357" s="5">
        <v>1.25</v>
      </c>
      <c r="G357" s="5">
        <v>0.75</v>
      </c>
      <c r="H357" s="5">
        <v>3</v>
      </c>
      <c r="I357" s="5">
        <v>5</v>
      </c>
      <c r="N357" s="12">
        <f t="shared" si="75"/>
        <v>70</v>
      </c>
    </row>
    <row r="358" spans="1:14" x14ac:dyDescent="0.3">
      <c r="A358" t="s">
        <v>12</v>
      </c>
      <c r="B358" s="5">
        <v>1</v>
      </c>
      <c r="D358" s="5">
        <v>30</v>
      </c>
      <c r="F358" s="5">
        <v>1.25</v>
      </c>
      <c r="G358" s="5">
        <v>0.75</v>
      </c>
      <c r="H358" s="5">
        <v>3</v>
      </c>
      <c r="I358" s="5">
        <v>5</v>
      </c>
      <c r="J358" t="s">
        <v>53</v>
      </c>
      <c r="N358" s="12">
        <f t="shared" si="75"/>
        <v>40</v>
      </c>
    </row>
    <row r="359" spans="1:14" x14ac:dyDescent="0.3">
      <c r="A359" t="s">
        <v>20</v>
      </c>
      <c r="B359" s="5">
        <v>1</v>
      </c>
      <c r="D359" s="5">
        <v>30</v>
      </c>
      <c r="F359" s="5">
        <v>1.25</v>
      </c>
      <c r="G359" s="5">
        <v>0.75</v>
      </c>
      <c r="H359" s="5">
        <v>3</v>
      </c>
      <c r="I359" s="5">
        <v>5</v>
      </c>
      <c r="N359" s="12">
        <f t="shared" si="75"/>
        <v>40</v>
      </c>
    </row>
    <row r="360" spans="1:14" x14ac:dyDescent="0.3">
      <c r="A360" t="s">
        <v>15</v>
      </c>
      <c r="B360" s="5">
        <v>1</v>
      </c>
      <c r="D360" s="5">
        <v>60</v>
      </c>
      <c r="N360" s="12">
        <f t="shared" si="75"/>
        <v>60</v>
      </c>
    </row>
    <row r="361" spans="1:14" x14ac:dyDescent="0.3">
      <c r="A361" s="24"/>
      <c r="B361" s="25"/>
      <c r="C361" s="27">
        <f t="shared" ref="C361:N361" si="76">SUM(C354:C360)</f>
        <v>6</v>
      </c>
      <c r="D361" s="27">
        <f t="shared" si="76"/>
        <v>1290</v>
      </c>
      <c r="E361" s="27">
        <f t="shared" si="76"/>
        <v>60</v>
      </c>
      <c r="F361" s="27">
        <f t="shared" si="76"/>
        <v>10</v>
      </c>
      <c r="G361" s="27">
        <f t="shared" si="76"/>
        <v>6</v>
      </c>
      <c r="H361" s="27">
        <f t="shared" si="76"/>
        <v>20</v>
      </c>
      <c r="I361" s="27">
        <f t="shared" si="76"/>
        <v>137</v>
      </c>
      <c r="J361" s="27">
        <f t="shared" si="76"/>
        <v>0</v>
      </c>
      <c r="K361" s="26">
        <f t="shared" si="76"/>
        <v>0</v>
      </c>
      <c r="L361" s="26">
        <f t="shared" si="76"/>
        <v>51</v>
      </c>
      <c r="M361" s="26">
        <f t="shared" si="76"/>
        <v>0</v>
      </c>
      <c r="N361" s="28">
        <f t="shared" si="76"/>
        <v>1580</v>
      </c>
    </row>
    <row r="363" spans="1:14" ht="23.4" x14ac:dyDescent="0.45">
      <c r="A363" s="85">
        <f>A353+30</f>
        <v>45098</v>
      </c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</row>
    <row r="364" spans="1:14" x14ac:dyDescent="0.3">
      <c r="A364" t="s">
        <v>10</v>
      </c>
      <c r="B364" s="5">
        <v>1</v>
      </c>
      <c r="C364" s="5">
        <v>3</v>
      </c>
      <c r="D364" s="5">
        <f>25*30</f>
        <v>750</v>
      </c>
      <c r="E364" s="5">
        <v>60</v>
      </c>
      <c r="F364" s="5">
        <v>3</v>
      </c>
      <c r="G364" s="5">
        <v>2</v>
      </c>
      <c r="H364" s="5">
        <v>5</v>
      </c>
      <c r="I364" s="5">
        <v>81</v>
      </c>
      <c r="J364" s="5"/>
      <c r="L364" s="5"/>
      <c r="N364" s="12">
        <f t="shared" ref="N364:N370" si="77">SUM(C364:M364)*B364</f>
        <v>904</v>
      </c>
    </row>
    <row r="365" spans="1:14" x14ac:dyDescent="0.3">
      <c r="A365" t="s">
        <v>11</v>
      </c>
      <c r="B365" s="5">
        <v>1</v>
      </c>
      <c r="C365" s="5">
        <v>3</v>
      </c>
      <c r="D365" s="5">
        <v>150</v>
      </c>
      <c r="F365" s="5">
        <v>2</v>
      </c>
      <c r="G365" s="5">
        <v>1</v>
      </c>
      <c r="H365" s="5">
        <v>3</v>
      </c>
      <c r="I365" s="5">
        <v>11</v>
      </c>
      <c r="J365" s="5"/>
      <c r="N365" s="12">
        <f t="shared" si="77"/>
        <v>170</v>
      </c>
    </row>
    <row r="366" spans="1:14" x14ac:dyDescent="0.3">
      <c r="A366" t="s">
        <v>14</v>
      </c>
      <c r="B366" s="5">
        <v>1</v>
      </c>
      <c r="D366" s="5">
        <v>300</v>
      </c>
      <c r="F366" s="5">
        <v>1.25</v>
      </c>
      <c r="G366" s="5">
        <v>0.75</v>
      </c>
      <c r="H366" s="5">
        <v>3</v>
      </c>
      <c r="I366" s="5">
        <v>11</v>
      </c>
      <c r="J366" s="5"/>
      <c r="N366" s="12">
        <f t="shared" si="77"/>
        <v>316</v>
      </c>
    </row>
    <row r="367" spans="1:14" x14ac:dyDescent="0.3">
      <c r="A367" t="s">
        <v>13</v>
      </c>
      <c r="B367" s="5">
        <v>1</v>
      </c>
      <c r="D367" s="5">
        <v>60</v>
      </c>
      <c r="F367" s="5">
        <v>1.25</v>
      </c>
      <c r="G367" s="5">
        <v>0.75</v>
      </c>
      <c r="H367" s="5">
        <v>3</v>
      </c>
      <c r="I367" s="5">
        <v>5</v>
      </c>
      <c r="N367" s="12">
        <f t="shared" si="77"/>
        <v>70</v>
      </c>
    </row>
    <row r="368" spans="1:14" x14ac:dyDescent="0.3">
      <c r="A368" t="s">
        <v>12</v>
      </c>
      <c r="B368" s="5">
        <v>1</v>
      </c>
      <c r="D368" s="5">
        <v>30</v>
      </c>
      <c r="F368" s="5">
        <v>1.25</v>
      </c>
      <c r="G368" s="5">
        <v>0.75</v>
      </c>
      <c r="H368" s="5">
        <v>3</v>
      </c>
      <c r="I368" s="5">
        <v>5</v>
      </c>
      <c r="J368" t="s">
        <v>53</v>
      </c>
      <c r="N368" s="12">
        <f t="shared" si="77"/>
        <v>40</v>
      </c>
    </row>
    <row r="369" spans="1:14" x14ac:dyDescent="0.3">
      <c r="A369" t="s">
        <v>20</v>
      </c>
      <c r="B369" s="5">
        <v>1</v>
      </c>
      <c r="D369" s="5">
        <v>30</v>
      </c>
      <c r="F369" s="5">
        <v>1.25</v>
      </c>
      <c r="G369" s="5">
        <v>0.75</v>
      </c>
      <c r="H369" s="5">
        <v>3</v>
      </c>
      <c r="I369" s="5">
        <v>5</v>
      </c>
      <c r="N369" s="12">
        <f t="shared" si="77"/>
        <v>40</v>
      </c>
    </row>
    <row r="370" spans="1:14" x14ac:dyDescent="0.3">
      <c r="A370" t="s">
        <v>15</v>
      </c>
      <c r="B370" s="5">
        <v>1</v>
      </c>
      <c r="D370" s="5">
        <v>60</v>
      </c>
      <c r="N370" s="12">
        <f t="shared" si="77"/>
        <v>60</v>
      </c>
    </row>
    <row r="371" spans="1:14" x14ac:dyDescent="0.3">
      <c r="A371" s="24"/>
      <c r="B371" s="25"/>
      <c r="C371" s="27">
        <f t="shared" ref="C371:N371" si="78">SUM(C364:C370)</f>
        <v>6</v>
      </c>
      <c r="D371" s="27">
        <f t="shared" si="78"/>
        <v>1380</v>
      </c>
      <c r="E371" s="27">
        <f t="shared" si="78"/>
        <v>60</v>
      </c>
      <c r="F371" s="27">
        <f t="shared" si="78"/>
        <v>10</v>
      </c>
      <c r="G371" s="27">
        <f t="shared" si="78"/>
        <v>6</v>
      </c>
      <c r="H371" s="27">
        <f t="shared" si="78"/>
        <v>20</v>
      </c>
      <c r="I371" s="27">
        <f t="shared" si="78"/>
        <v>118</v>
      </c>
      <c r="J371" s="27">
        <f t="shared" si="78"/>
        <v>0</v>
      </c>
      <c r="K371" s="26">
        <f t="shared" si="78"/>
        <v>0</v>
      </c>
      <c r="L371" s="26">
        <f t="shared" si="78"/>
        <v>0</v>
      </c>
      <c r="M371" s="26">
        <f t="shared" si="78"/>
        <v>0</v>
      </c>
      <c r="N371" s="28">
        <f t="shared" si="78"/>
        <v>1600</v>
      </c>
    </row>
    <row r="373" spans="1:14" ht="23.4" x14ac:dyDescent="0.45">
      <c r="A373" s="85">
        <f>A363+30</f>
        <v>45128</v>
      </c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</row>
    <row r="374" spans="1:14" x14ac:dyDescent="0.3">
      <c r="A374" t="s">
        <v>10</v>
      </c>
      <c r="B374" s="5">
        <v>1</v>
      </c>
      <c r="C374" s="5">
        <v>3</v>
      </c>
      <c r="D374" s="5">
        <f>25*30</f>
        <v>750</v>
      </c>
      <c r="E374" s="5">
        <v>60</v>
      </c>
      <c r="F374" s="5">
        <v>3</v>
      </c>
      <c r="G374" s="5">
        <v>2</v>
      </c>
      <c r="H374" s="5">
        <v>5</v>
      </c>
      <c r="I374" s="5">
        <v>81</v>
      </c>
      <c r="J374" s="5"/>
      <c r="L374" s="5"/>
      <c r="N374" s="12">
        <f t="shared" ref="N374:N380" si="79">SUM(C374:M374)*B374</f>
        <v>904</v>
      </c>
    </row>
    <row r="375" spans="1:14" x14ac:dyDescent="0.3">
      <c r="A375" t="s">
        <v>11</v>
      </c>
      <c r="B375" s="5">
        <v>1</v>
      </c>
      <c r="C375" s="5">
        <v>3</v>
      </c>
      <c r="D375" s="5">
        <v>150</v>
      </c>
      <c r="F375" s="5">
        <v>2</v>
      </c>
      <c r="G375" s="5">
        <v>1</v>
      </c>
      <c r="H375" s="5">
        <v>3</v>
      </c>
      <c r="I375" s="5">
        <v>11</v>
      </c>
      <c r="J375" s="5"/>
      <c r="N375" s="12">
        <f t="shared" si="79"/>
        <v>170</v>
      </c>
    </row>
    <row r="376" spans="1:14" x14ac:dyDescent="0.3">
      <c r="A376" t="s">
        <v>14</v>
      </c>
      <c r="B376" s="5">
        <v>1</v>
      </c>
      <c r="D376" s="5">
        <v>300</v>
      </c>
      <c r="F376" s="5">
        <v>1.25</v>
      </c>
      <c r="G376" s="5">
        <v>0.75</v>
      </c>
      <c r="H376" s="5">
        <v>3</v>
      </c>
      <c r="I376" s="5">
        <v>11</v>
      </c>
      <c r="J376" s="5"/>
      <c r="N376" s="12">
        <f t="shared" si="79"/>
        <v>316</v>
      </c>
    </row>
    <row r="377" spans="1:14" x14ac:dyDescent="0.3">
      <c r="A377" t="s">
        <v>13</v>
      </c>
      <c r="B377" s="5">
        <v>1</v>
      </c>
      <c r="D377" s="5">
        <v>60</v>
      </c>
      <c r="F377" s="5">
        <v>1.25</v>
      </c>
      <c r="G377" s="5">
        <v>0.75</v>
      </c>
      <c r="H377" s="5">
        <v>3</v>
      </c>
      <c r="I377" s="5">
        <v>5</v>
      </c>
      <c r="N377" s="12">
        <f t="shared" si="79"/>
        <v>70</v>
      </c>
    </row>
    <row r="378" spans="1:14" x14ac:dyDescent="0.3">
      <c r="A378" t="s">
        <v>12</v>
      </c>
      <c r="B378" s="5">
        <v>1</v>
      </c>
      <c r="D378" s="5">
        <v>30</v>
      </c>
      <c r="F378" s="5">
        <v>1.25</v>
      </c>
      <c r="G378" s="5">
        <v>0.75</v>
      </c>
      <c r="H378" s="5">
        <v>3</v>
      </c>
      <c r="I378" s="5">
        <v>5</v>
      </c>
      <c r="J378" t="s">
        <v>53</v>
      </c>
      <c r="N378" s="12">
        <f t="shared" si="79"/>
        <v>40</v>
      </c>
    </row>
    <row r="379" spans="1:14" x14ac:dyDescent="0.3">
      <c r="A379" t="s">
        <v>20</v>
      </c>
      <c r="B379" s="5">
        <v>1</v>
      </c>
      <c r="D379" s="5">
        <v>30</v>
      </c>
      <c r="F379" s="5">
        <v>1.25</v>
      </c>
      <c r="G379" s="5">
        <v>0.75</v>
      </c>
      <c r="H379" s="5">
        <v>3</v>
      </c>
      <c r="I379" s="5">
        <v>5</v>
      </c>
      <c r="N379" s="12">
        <f t="shared" si="79"/>
        <v>40</v>
      </c>
    </row>
    <row r="380" spans="1:14" x14ac:dyDescent="0.3">
      <c r="A380" t="s">
        <v>15</v>
      </c>
      <c r="B380" s="5">
        <v>1</v>
      </c>
      <c r="D380" s="5">
        <v>60</v>
      </c>
      <c r="N380" s="12">
        <f t="shared" si="79"/>
        <v>60</v>
      </c>
    </row>
    <row r="381" spans="1:14" x14ac:dyDescent="0.3">
      <c r="A381" s="24"/>
      <c r="B381" s="25"/>
      <c r="C381" s="27">
        <f t="shared" ref="C381:N381" si="80">SUM(C374:C380)</f>
        <v>6</v>
      </c>
      <c r="D381" s="27">
        <f t="shared" si="80"/>
        <v>1380</v>
      </c>
      <c r="E381" s="27">
        <f t="shared" si="80"/>
        <v>60</v>
      </c>
      <c r="F381" s="27">
        <f t="shared" si="80"/>
        <v>10</v>
      </c>
      <c r="G381" s="27">
        <f t="shared" si="80"/>
        <v>6</v>
      </c>
      <c r="H381" s="27">
        <f t="shared" si="80"/>
        <v>20</v>
      </c>
      <c r="I381" s="27">
        <f t="shared" si="80"/>
        <v>118</v>
      </c>
      <c r="J381" s="27">
        <f t="shared" si="80"/>
        <v>0</v>
      </c>
      <c r="K381" s="26">
        <f t="shared" si="80"/>
        <v>0</v>
      </c>
      <c r="L381" s="26">
        <f t="shared" si="80"/>
        <v>0</v>
      </c>
      <c r="M381" s="26">
        <f t="shared" si="80"/>
        <v>0</v>
      </c>
      <c r="N381" s="28">
        <f t="shared" si="80"/>
        <v>1600</v>
      </c>
    </row>
    <row r="383" spans="1:14" ht="23.4" x14ac:dyDescent="0.45">
      <c r="A383" s="85">
        <f>A373+30</f>
        <v>45158</v>
      </c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</row>
    <row r="384" spans="1:14" x14ac:dyDescent="0.3">
      <c r="A384" t="s">
        <v>10</v>
      </c>
      <c r="B384" s="5">
        <v>1</v>
      </c>
      <c r="C384" s="5">
        <v>3</v>
      </c>
      <c r="D384" s="5">
        <f>25*30</f>
        <v>750</v>
      </c>
      <c r="E384" s="5">
        <v>60</v>
      </c>
      <c r="F384" s="5">
        <v>3</v>
      </c>
      <c r="G384" s="5">
        <v>2</v>
      </c>
      <c r="H384" s="5">
        <v>5</v>
      </c>
      <c r="I384" s="5">
        <v>81</v>
      </c>
      <c r="J384" s="5">
        <v>500</v>
      </c>
      <c r="L384" s="5"/>
      <c r="N384" s="12">
        <f t="shared" ref="N384:N390" si="81">SUM(C384:M384)*B384</f>
        <v>1404</v>
      </c>
    </row>
    <row r="385" spans="1:14" x14ac:dyDescent="0.3">
      <c r="A385" t="s">
        <v>11</v>
      </c>
      <c r="B385" s="5">
        <v>1</v>
      </c>
      <c r="C385" s="5">
        <v>3</v>
      </c>
      <c r="D385" s="5">
        <v>150</v>
      </c>
      <c r="F385" s="5">
        <v>2</v>
      </c>
      <c r="G385" s="5">
        <v>1</v>
      </c>
      <c r="H385" s="5">
        <v>3</v>
      </c>
      <c r="I385" s="5">
        <v>11</v>
      </c>
      <c r="J385" s="5"/>
      <c r="N385" s="12">
        <f t="shared" si="81"/>
        <v>170</v>
      </c>
    </row>
    <row r="386" spans="1:14" x14ac:dyDescent="0.3">
      <c r="A386" t="s">
        <v>14</v>
      </c>
      <c r="B386" s="5">
        <v>1</v>
      </c>
      <c r="D386" s="5">
        <v>300</v>
      </c>
      <c r="F386" s="5">
        <v>1.25</v>
      </c>
      <c r="G386" s="5">
        <v>0.75</v>
      </c>
      <c r="H386" s="5">
        <v>3</v>
      </c>
      <c r="I386" s="5">
        <v>11</v>
      </c>
      <c r="J386" s="5"/>
      <c r="N386" s="12">
        <f t="shared" si="81"/>
        <v>316</v>
      </c>
    </row>
    <row r="387" spans="1:14" x14ac:dyDescent="0.3">
      <c r="A387" t="s">
        <v>13</v>
      </c>
      <c r="B387" s="5">
        <v>1</v>
      </c>
      <c r="D387" s="5">
        <v>60</v>
      </c>
      <c r="F387" s="5">
        <v>1.25</v>
      </c>
      <c r="G387" s="5">
        <v>0.75</v>
      </c>
      <c r="H387" s="5">
        <v>3</v>
      </c>
      <c r="I387" s="5">
        <v>5</v>
      </c>
      <c r="N387" s="12">
        <f t="shared" si="81"/>
        <v>70</v>
      </c>
    </row>
    <row r="388" spans="1:14" x14ac:dyDescent="0.3">
      <c r="A388" t="s">
        <v>12</v>
      </c>
      <c r="B388" s="5">
        <v>1</v>
      </c>
      <c r="D388" s="5">
        <v>30</v>
      </c>
      <c r="F388" s="5">
        <v>1.25</v>
      </c>
      <c r="G388" s="5">
        <v>0.75</v>
      </c>
      <c r="H388" s="5">
        <v>3</v>
      </c>
      <c r="I388" s="5">
        <v>5</v>
      </c>
      <c r="J388" t="s">
        <v>53</v>
      </c>
      <c r="N388" s="12">
        <f t="shared" si="81"/>
        <v>40</v>
      </c>
    </row>
    <row r="389" spans="1:14" x14ac:dyDescent="0.3">
      <c r="A389" t="s">
        <v>20</v>
      </c>
      <c r="B389" s="5">
        <v>1</v>
      </c>
      <c r="D389" s="5">
        <v>30</v>
      </c>
      <c r="F389" s="5">
        <v>1.25</v>
      </c>
      <c r="G389" s="5">
        <v>0.75</v>
      </c>
      <c r="H389" s="5">
        <v>3</v>
      </c>
      <c r="I389" s="5">
        <v>5</v>
      </c>
      <c r="N389" s="12">
        <f t="shared" si="81"/>
        <v>40</v>
      </c>
    </row>
    <row r="390" spans="1:14" x14ac:dyDescent="0.3">
      <c r="A390" t="s">
        <v>15</v>
      </c>
      <c r="B390" s="5">
        <v>1</v>
      </c>
      <c r="D390" s="5">
        <v>60</v>
      </c>
      <c r="N390" s="12">
        <f t="shared" si="81"/>
        <v>60</v>
      </c>
    </row>
    <row r="391" spans="1:14" x14ac:dyDescent="0.3">
      <c r="A391" s="24"/>
      <c r="B391" s="25"/>
      <c r="C391" s="27">
        <f t="shared" ref="C391:N391" si="82">SUM(C384:C390)</f>
        <v>6</v>
      </c>
      <c r="D391" s="27">
        <f t="shared" si="82"/>
        <v>1380</v>
      </c>
      <c r="E391" s="27">
        <f t="shared" si="82"/>
        <v>60</v>
      </c>
      <c r="F391" s="27">
        <f t="shared" si="82"/>
        <v>10</v>
      </c>
      <c r="G391" s="27">
        <f t="shared" si="82"/>
        <v>6</v>
      </c>
      <c r="H391" s="27">
        <f t="shared" si="82"/>
        <v>20</v>
      </c>
      <c r="I391" s="27">
        <f t="shared" si="82"/>
        <v>118</v>
      </c>
      <c r="J391" s="27">
        <f t="shared" si="82"/>
        <v>500</v>
      </c>
      <c r="K391" s="26">
        <f t="shared" si="82"/>
        <v>0</v>
      </c>
      <c r="L391" s="26">
        <f t="shared" si="82"/>
        <v>0</v>
      </c>
      <c r="M391" s="26">
        <f t="shared" si="82"/>
        <v>0</v>
      </c>
      <c r="N391" s="28">
        <f t="shared" si="82"/>
        <v>2100</v>
      </c>
    </row>
    <row r="393" spans="1:14" ht="23.4" x14ac:dyDescent="0.45">
      <c r="A393" s="85">
        <f>A383+30</f>
        <v>45188</v>
      </c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</row>
    <row r="394" spans="1:14" x14ac:dyDescent="0.3">
      <c r="A394" t="s">
        <v>10</v>
      </c>
      <c r="B394" s="5">
        <v>1</v>
      </c>
      <c r="C394" s="5">
        <v>3</v>
      </c>
      <c r="D394" s="5">
        <f>25*30</f>
        <v>750</v>
      </c>
      <c r="E394" s="5">
        <v>60</v>
      </c>
      <c r="F394" s="5">
        <v>3</v>
      </c>
      <c r="G394" s="5">
        <v>2</v>
      </c>
      <c r="H394" s="5">
        <v>5</v>
      </c>
      <c r="I394" s="5">
        <v>81</v>
      </c>
      <c r="J394" s="5"/>
      <c r="L394" s="5"/>
      <c r="N394" s="12">
        <f t="shared" ref="N394:N400" si="83">SUM(C394:M394)*B394</f>
        <v>904</v>
      </c>
    </row>
    <row r="395" spans="1:14" x14ac:dyDescent="0.3">
      <c r="A395" t="s">
        <v>11</v>
      </c>
      <c r="B395" s="5">
        <v>1</v>
      </c>
      <c r="C395" s="5">
        <v>3</v>
      </c>
      <c r="D395" s="5">
        <v>150</v>
      </c>
      <c r="F395" s="5">
        <v>2</v>
      </c>
      <c r="G395" s="5">
        <v>1</v>
      </c>
      <c r="H395" s="5">
        <v>3</v>
      </c>
      <c r="I395" s="5">
        <v>11</v>
      </c>
      <c r="J395" s="5"/>
      <c r="N395" s="12">
        <f t="shared" si="83"/>
        <v>170</v>
      </c>
    </row>
    <row r="396" spans="1:14" x14ac:dyDescent="0.3">
      <c r="A396" t="s">
        <v>14</v>
      </c>
      <c r="B396" s="5">
        <v>1</v>
      </c>
      <c r="D396" s="5">
        <v>300</v>
      </c>
      <c r="F396" s="5">
        <v>1.25</v>
      </c>
      <c r="G396" s="5">
        <v>0.75</v>
      </c>
      <c r="H396" s="5">
        <v>3</v>
      </c>
      <c r="I396" s="5">
        <v>11</v>
      </c>
      <c r="J396" s="5"/>
      <c r="N396" s="12">
        <f t="shared" si="83"/>
        <v>316</v>
      </c>
    </row>
    <row r="397" spans="1:14" x14ac:dyDescent="0.3">
      <c r="A397" t="s">
        <v>13</v>
      </c>
      <c r="B397" s="5">
        <v>1</v>
      </c>
      <c r="D397" s="5">
        <v>60</v>
      </c>
      <c r="F397" s="5">
        <v>1.25</v>
      </c>
      <c r="G397" s="5">
        <v>0.75</v>
      </c>
      <c r="H397" s="5">
        <v>3</v>
      </c>
      <c r="I397" s="5">
        <v>5</v>
      </c>
      <c r="N397" s="12">
        <f t="shared" si="83"/>
        <v>70</v>
      </c>
    </row>
    <row r="398" spans="1:14" x14ac:dyDescent="0.3">
      <c r="A398" t="s">
        <v>12</v>
      </c>
      <c r="B398" s="5">
        <v>1</v>
      </c>
      <c r="D398" s="5">
        <v>30</v>
      </c>
      <c r="F398" s="5">
        <v>1.25</v>
      </c>
      <c r="G398" s="5">
        <v>0.75</v>
      </c>
      <c r="H398" s="5">
        <v>3</v>
      </c>
      <c r="I398" s="5">
        <v>5</v>
      </c>
      <c r="J398" t="s">
        <v>53</v>
      </c>
      <c r="N398" s="12">
        <f t="shared" si="83"/>
        <v>40</v>
      </c>
    </row>
    <row r="399" spans="1:14" x14ac:dyDescent="0.3">
      <c r="A399" t="s">
        <v>20</v>
      </c>
      <c r="B399" s="5">
        <v>1</v>
      </c>
      <c r="D399" s="5">
        <v>30</v>
      </c>
      <c r="F399" s="5">
        <v>1.25</v>
      </c>
      <c r="G399" s="5">
        <v>0.75</v>
      </c>
      <c r="H399" s="5">
        <v>3</v>
      </c>
      <c r="I399" s="5">
        <v>5</v>
      </c>
      <c r="N399" s="12">
        <f t="shared" si="83"/>
        <v>40</v>
      </c>
    </row>
    <row r="400" spans="1:14" x14ac:dyDescent="0.3">
      <c r="A400" t="s">
        <v>15</v>
      </c>
      <c r="B400" s="5">
        <v>1</v>
      </c>
      <c r="D400" s="5">
        <v>60</v>
      </c>
      <c r="N400" s="12">
        <f t="shared" si="83"/>
        <v>60</v>
      </c>
    </row>
    <row r="401" spans="1:14" x14ac:dyDescent="0.3">
      <c r="A401" s="24"/>
      <c r="B401" s="25"/>
      <c r="C401" s="27">
        <f t="shared" ref="C401:N401" si="84">SUM(C394:C400)</f>
        <v>6</v>
      </c>
      <c r="D401" s="27">
        <f t="shared" si="84"/>
        <v>1380</v>
      </c>
      <c r="E401" s="27">
        <f t="shared" si="84"/>
        <v>60</v>
      </c>
      <c r="F401" s="27">
        <f t="shared" si="84"/>
        <v>10</v>
      </c>
      <c r="G401" s="27">
        <f t="shared" si="84"/>
        <v>6</v>
      </c>
      <c r="H401" s="27">
        <f t="shared" si="84"/>
        <v>20</v>
      </c>
      <c r="I401" s="27">
        <f t="shared" si="84"/>
        <v>118</v>
      </c>
      <c r="J401" s="27">
        <f t="shared" si="84"/>
        <v>0</v>
      </c>
      <c r="K401" s="26">
        <f t="shared" si="84"/>
        <v>0</v>
      </c>
      <c r="L401" s="26">
        <f t="shared" si="84"/>
        <v>0</v>
      </c>
      <c r="M401" s="26">
        <f t="shared" si="84"/>
        <v>0</v>
      </c>
      <c r="N401" s="28">
        <f t="shared" si="84"/>
        <v>1600</v>
      </c>
    </row>
    <row r="403" spans="1:14" ht="23.4" x14ac:dyDescent="0.45">
      <c r="A403" s="85">
        <f>A393+30</f>
        <v>45218</v>
      </c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</row>
    <row r="404" spans="1:14" x14ac:dyDescent="0.3">
      <c r="A404" t="s">
        <v>10</v>
      </c>
      <c r="B404" s="5">
        <v>1</v>
      </c>
      <c r="C404" s="5">
        <v>3</v>
      </c>
      <c r="D404" s="5">
        <f>25*30</f>
        <v>750</v>
      </c>
      <c r="E404" s="5">
        <v>60</v>
      </c>
      <c r="F404" s="5">
        <v>3</v>
      </c>
      <c r="G404" s="5">
        <v>2</v>
      </c>
      <c r="H404" s="5">
        <v>5</v>
      </c>
      <c r="I404" s="5">
        <v>81</v>
      </c>
      <c r="J404" s="5"/>
      <c r="L404" s="5"/>
      <c r="N404" s="12">
        <f t="shared" ref="N404:N410" si="85">SUM(C404:M404)*B404</f>
        <v>904</v>
      </c>
    </row>
    <row r="405" spans="1:14" x14ac:dyDescent="0.3">
      <c r="A405" t="s">
        <v>11</v>
      </c>
      <c r="B405" s="5">
        <v>1</v>
      </c>
      <c r="C405" s="5">
        <v>3</v>
      </c>
      <c r="D405" s="5">
        <v>150</v>
      </c>
      <c r="F405" s="5">
        <v>2</v>
      </c>
      <c r="G405" s="5">
        <v>1</v>
      </c>
      <c r="H405" s="5">
        <v>3</v>
      </c>
      <c r="I405" s="5">
        <v>11</v>
      </c>
      <c r="J405" s="5"/>
      <c r="N405" s="12">
        <f t="shared" si="85"/>
        <v>170</v>
      </c>
    </row>
    <row r="406" spans="1:14" x14ac:dyDescent="0.3">
      <c r="A406" t="s">
        <v>14</v>
      </c>
      <c r="B406" s="5">
        <v>1</v>
      </c>
      <c r="D406" s="5">
        <v>300</v>
      </c>
      <c r="F406" s="5">
        <v>1.25</v>
      </c>
      <c r="G406" s="5">
        <v>0.75</v>
      </c>
      <c r="H406" s="5">
        <v>3</v>
      </c>
      <c r="I406" s="5">
        <v>11</v>
      </c>
      <c r="J406" s="5"/>
      <c r="N406" s="12">
        <f t="shared" si="85"/>
        <v>316</v>
      </c>
    </row>
    <row r="407" spans="1:14" x14ac:dyDescent="0.3">
      <c r="A407" t="s">
        <v>13</v>
      </c>
      <c r="B407" s="5">
        <v>1</v>
      </c>
      <c r="D407" s="5">
        <v>60</v>
      </c>
      <c r="F407" s="5">
        <v>1.25</v>
      </c>
      <c r="G407" s="5">
        <v>0.75</v>
      </c>
      <c r="H407" s="5">
        <v>3</v>
      </c>
      <c r="I407" s="5">
        <v>5</v>
      </c>
      <c r="N407" s="12">
        <f t="shared" si="85"/>
        <v>70</v>
      </c>
    </row>
    <row r="408" spans="1:14" x14ac:dyDescent="0.3">
      <c r="A408" t="s">
        <v>12</v>
      </c>
      <c r="B408" s="5">
        <v>1</v>
      </c>
      <c r="D408" s="5">
        <v>30</v>
      </c>
      <c r="F408" s="5">
        <v>1.25</v>
      </c>
      <c r="G408" s="5">
        <v>0.75</v>
      </c>
      <c r="H408" s="5">
        <v>3</v>
      </c>
      <c r="I408" s="5">
        <v>5</v>
      </c>
      <c r="J408" t="s">
        <v>53</v>
      </c>
      <c r="N408" s="12">
        <f t="shared" si="85"/>
        <v>40</v>
      </c>
    </row>
    <row r="409" spans="1:14" x14ac:dyDescent="0.3">
      <c r="A409" t="s">
        <v>20</v>
      </c>
      <c r="B409" s="5">
        <v>1</v>
      </c>
      <c r="D409" s="5">
        <v>30</v>
      </c>
      <c r="F409" s="5">
        <v>1.25</v>
      </c>
      <c r="G409" s="5">
        <v>0.75</v>
      </c>
      <c r="H409" s="5">
        <v>3</v>
      </c>
      <c r="I409" s="5">
        <v>5</v>
      </c>
      <c r="N409" s="12">
        <f t="shared" si="85"/>
        <v>40</v>
      </c>
    </row>
    <row r="410" spans="1:14" x14ac:dyDescent="0.3">
      <c r="A410" t="s">
        <v>15</v>
      </c>
      <c r="B410" s="5">
        <v>1</v>
      </c>
      <c r="D410" s="5">
        <v>60</v>
      </c>
      <c r="N410" s="12">
        <f t="shared" si="85"/>
        <v>60</v>
      </c>
    </row>
    <row r="411" spans="1:14" x14ac:dyDescent="0.3">
      <c r="A411" s="24"/>
      <c r="B411" s="25"/>
      <c r="C411" s="27">
        <f t="shared" ref="C411:N411" si="86">SUM(C404:C410)</f>
        <v>6</v>
      </c>
      <c r="D411" s="27">
        <f t="shared" si="86"/>
        <v>1380</v>
      </c>
      <c r="E411" s="27">
        <f t="shared" si="86"/>
        <v>60</v>
      </c>
      <c r="F411" s="27">
        <f t="shared" si="86"/>
        <v>10</v>
      </c>
      <c r="G411" s="27">
        <f t="shared" si="86"/>
        <v>6</v>
      </c>
      <c r="H411" s="27">
        <f t="shared" si="86"/>
        <v>20</v>
      </c>
      <c r="I411" s="27">
        <f t="shared" si="86"/>
        <v>118</v>
      </c>
      <c r="J411" s="27">
        <f t="shared" si="86"/>
        <v>0</v>
      </c>
      <c r="K411" s="26">
        <f t="shared" si="86"/>
        <v>0</v>
      </c>
      <c r="L411" s="26">
        <f t="shared" si="86"/>
        <v>0</v>
      </c>
      <c r="M411" s="26">
        <f t="shared" si="86"/>
        <v>0</v>
      </c>
      <c r="N411" s="28">
        <f t="shared" si="86"/>
        <v>1600</v>
      </c>
    </row>
    <row r="413" spans="1:14" ht="23.4" x14ac:dyDescent="0.45">
      <c r="A413" s="85">
        <f>A403+30</f>
        <v>45248</v>
      </c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</row>
    <row r="414" spans="1:14" x14ac:dyDescent="0.3">
      <c r="A414" t="s">
        <v>10</v>
      </c>
      <c r="B414" s="5">
        <v>1</v>
      </c>
      <c r="C414" s="5">
        <v>3</v>
      </c>
      <c r="D414" s="5">
        <f>25*30</f>
        <v>750</v>
      </c>
      <c r="E414" s="5">
        <v>60</v>
      </c>
      <c r="F414" s="5">
        <v>3</v>
      </c>
      <c r="G414" s="5">
        <v>2</v>
      </c>
      <c r="H414" s="5">
        <v>5</v>
      </c>
      <c r="I414" s="5">
        <v>81</v>
      </c>
      <c r="J414" s="5"/>
      <c r="L414" s="5"/>
      <c r="N414" s="12">
        <f t="shared" ref="N414:N420" si="87">SUM(C414:M414)*B414</f>
        <v>904</v>
      </c>
    </row>
    <row r="415" spans="1:14" x14ac:dyDescent="0.3">
      <c r="A415" t="s">
        <v>11</v>
      </c>
      <c r="B415" s="5">
        <v>1</v>
      </c>
      <c r="C415" s="5">
        <v>3</v>
      </c>
      <c r="D415" s="5">
        <v>150</v>
      </c>
      <c r="F415" s="5">
        <v>2</v>
      </c>
      <c r="G415" s="5">
        <v>1</v>
      </c>
      <c r="H415" s="5">
        <v>3</v>
      </c>
      <c r="I415" s="5">
        <v>11</v>
      </c>
      <c r="J415" s="5"/>
      <c r="N415" s="12">
        <f t="shared" si="87"/>
        <v>170</v>
      </c>
    </row>
    <row r="416" spans="1:14" x14ac:dyDescent="0.3">
      <c r="A416" t="s">
        <v>14</v>
      </c>
      <c r="B416" s="5">
        <v>1</v>
      </c>
      <c r="D416" s="5">
        <v>300</v>
      </c>
      <c r="F416" s="5">
        <v>1.25</v>
      </c>
      <c r="G416" s="5">
        <v>0.75</v>
      </c>
      <c r="H416" s="5">
        <v>3</v>
      </c>
      <c r="I416" s="5">
        <v>11</v>
      </c>
      <c r="J416" s="5"/>
      <c r="N416" s="12">
        <f t="shared" si="87"/>
        <v>316</v>
      </c>
    </row>
    <row r="417" spans="1:14" x14ac:dyDescent="0.3">
      <c r="A417" t="s">
        <v>13</v>
      </c>
      <c r="B417" s="5">
        <v>1</v>
      </c>
      <c r="D417" s="5">
        <v>60</v>
      </c>
      <c r="F417" s="5">
        <v>1.25</v>
      </c>
      <c r="G417" s="5">
        <v>0.75</v>
      </c>
      <c r="H417" s="5">
        <v>3</v>
      </c>
      <c r="I417" s="5">
        <v>5</v>
      </c>
      <c r="N417" s="12">
        <f t="shared" si="87"/>
        <v>70</v>
      </c>
    </row>
    <row r="418" spans="1:14" x14ac:dyDescent="0.3">
      <c r="A418" t="s">
        <v>12</v>
      </c>
      <c r="B418" s="5">
        <v>1</v>
      </c>
      <c r="D418" s="5">
        <v>30</v>
      </c>
      <c r="F418" s="5">
        <v>1.25</v>
      </c>
      <c r="G418" s="5">
        <v>0.75</v>
      </c>
      <c r="H418" s="5">
        <v>3</v>
      </c>
      <c r="I418" s="5">
        <v>5</v>
      </c>
      <c r="J418" t="s">
        <v>53</v>
      </c>
      <c r="N418" s="12">
        <f t="shared" si="87"/>
        <v>40</v>
      </c>
    </row>
    <row r="419" spans="1:14" x14ac:dyDescent="0.3">
      <c r="A419" t="s">
        <v>20</v>
      </c>
      <c r="B419" s="5">
        <v>1</v>
      </c>
      <c r="D419" s="5">
        <v>30</v>
      </c>
      <c r="F419" s="5">
        <v>1.25</v>
      </c>
      <c r="G419" s="5">
        <v>0.75</v>
      </c>
      <c r="H419" s="5">
        <v>3</v>
      </c>
      <c r="I419" s="5">
        <v>5</v>
      </c>
      <c r="N419" s="12">
        <f t="shared" si="87"/>
        <v>40</v>
      </c>
    </row>
    <row r="420" spans="1:14" x14ac:dyDescent="0.3">
      <c r="A420" t="s">
        <v>15</v>
      </c>
      <c r="B420" s="5">
        <v>1</v>
      </c>
      <c r="D420" s="5">
        <v>60</v>
      </c>
      <c r="N420" s="12">
        <f t="shared" si="87"/>
        <v>60</v>
      </c>
    </row>
    <row r="421" spans="1:14" x14ac:dyDescent="0.3">
      <c r="A421" s="24"/>
      <c r="B421" s="25"/>
      <c r="C421" s="27">
        <f t="shared" ref="C421:N421" si="88">SUM(C414:C420)</f>
        <v>6</v>
      </c>
      <c r="D421" s="27">
        <f t="shared" si="88"/>
        <v>1380</v>
      </c>
      <c r="E421" s="27">
        <f t="shared" si="88"/>
        <v>60</v>
      </c>
      <c r="F421" s="27">
        <f t="shared" si="88"/>
        <v>10</v>
      </c>
      <c r="G421" s="27">
        <f t="shared" si="88"/>
        <v>6</v>
      </c>
      <c r="H421" s="27">
        <f t="shared" si="88"/>
        <v>20</v>
      </c>
      <c r="I421" s="27">
        <f t="shared" si="88"/>
        <v>118</v>
      </c>
      <c r="J421" s="27">
        <f t="shared" si="88"/>
        <v>0</v>
      </c>
      <c r="K421" s="26">
        <f t="shared" si="88"/>
        <v>0</v>
      </c>
      <c r="L421" s="26">
        <f t="shared" si="88"/>
        <v>0</v>
      </c>
      <c r="M421" s="26">
        <f t="shared" si="88"/>
        <v>0</v>
      </c>
      <c r="N421" s="28">
        <f t="shared" si="88"/>
        <v>1600</v>
      </c>
    </row>
    <row r="423" spans="1:14" ht="23.4" x14ac:dyDescent="0.45">
      <c r="A423" s="85">
        <f>A413+30</f>
        <v>45278</v>
      </c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</row>
    <row r="424" spans="1:14" x14ac:dyDescent="0.3">
      <c r="A424" t="s">
        <v>10</v>
      </c>
      <c r="B424" s="5">
        <v>1</v>
      </c>
      <c r="C424" s="5">
        <v>3</v>
      </c>
      <c r="D424" s="5">
        <f>25*30</f>
        <v>750</v>
      </c>
      <c r="E424" s="5">
        <v>60</v>
      </c>
      <c r="F424" s="5">
        <v>3</v>
      </c>
      <c r="G424" s="5">
        <v>2</v>
      </c>
      <c r="H424" s="5">
        <v>5</v>
      </c>
      <c r="I424" s="5">
        <v>101</v>
      </c>
      <c r="J424" s="5">
        <v>201</v>
      </c>
      <c r="L424" s="5"/>
      <c r="N424" s="12">
        <f t="shared" ref="N424:N430" si="89">SUM(C424:M424)*B424</f>
        <v>1125</v>
      </c>
    </row>
    <row r="425" spans="1:14" x14ac:dyDescent="0.3">
      <c r="A425" t="s">
        <v>11</v>
      </c>
      <c r="B425" s="5">
        <v>1</v>
      </c>
      <c r="C425" s="5">
        <v>3</v>
      </c>
      <c r="D425" s="5">
        <v>150</v>
      </c>
      <c r="F425" s="5">
        <v>2</v>
      </c>
      <c r="G425" s="5">
        <v>1</v>
      </c>
      <c r="H425" s="5">
        <v>3</v>
      </c>
      <c r="I425" s="5">
        <v>11</v>
      </c>
      <c r="J425" s="5"/>
      <c r="N425" s="12">
        <f t="shared" si="89"/>
        <v>170</v>
      </c>
    </row>
    <row r="426" spans="1:14" x14ac:dyDescent="0.3">
      <c r="A426" t="s">
        <v>14</v>
      </c>
      <c r="B426" s="5">
        <v>1</v>
      </c>
      <c r="D426" s="5">
        <v>300</v>
      </c>
      <c r="F426" s="5">
        <v>1.25</v>
      </c>
      <c r="G426" s="5">
        <v>0.75</v>
      </c>
      <c r="H426" s="5">
        <v>3</v>
      </c>
      <c r="I426" s="5">
        <v>11</v>
      </c>
      <c r="J426" s="5"/>
      <c r="N426" s="12">
        <f t="shared" si="89"/>
        <v>316</v>
      </c>
    </row>
    <row r="427" spans="1:14" x14ac:dyDescent="0.3">
      <c r="A427" t="s">
        <v>13</v>
      </c>
      <c r="B427" s="5">
        <v>1</v>
      </c>
      <c r="D427" s="5">
        <v>60</v>
      </c>
      <c r="F427" s="5">
        <v>1.25</v>
      </c>
      <c r="G427" s="5">
        <v>0.75</v>
      </c>
      <c r="H427" s="5">
        <v>3</v>
      </c>
      <c r="I427" s="5">
        <v>30</v>
      </c>
      <c r="N427" s="12">
        <f t="shared" si="89"/>
        <v>95</v>
      </c>
    </row>
    <row r="428" spans="1:14" x14ac:dyDescent="0.3">
      <c r="A428" t="s">
        <v>12</v>
      </c>
      <c r="B428" s="5">
        <v>1</v>
      </c>
      <c r="D428" s="5">
        <v>30</v>
      </c>
      <c r="F428" s="5">
        <v>1.25</v>
      </c>
      <c r="G428" s="5">
        <v>0.75</v>
      </c>
      <c r="H428" s="5">
        <v>3</v>
      </c>
      <c r="I428" s="5">
        <v>5</v>
      </c>
      <c r="J428" t="s">
        <v>53</v>
      </c>
      <c r="N428" s="12">
        <f t="shared" si="89"/>
        <v>40</v>
      </c>
    </row>
    <row r="429" spans="1:14" x14ac:dyDescent="0.3">
      <c r="A429" t="s">
        <v>20</v>
      </c>
      <c r="B429" s="5">
        <v>1</v>
      </c>
      <c r="D429" s="5">
        <v>30</v>
      </c>
      <c r="F429" s="5">
        <v>1.25</v>
      </c>
      <c r="G429" s="5">
        <v>0.75</v>
      </c>
      <c r="H429" s="5">
        <v>3</v>
      </c>
      <c r="I429" s="5">
        <v>5</v>
      </c>
      <c r="N429" s="12">
        <f t="shared" si="89"/>
        <v>40</v>
      </c>
    </row>
    <row r="430" spans="1:14" x14ac:dyDescent="0.3">
      <c r="A430" t="s">
        <v>15</v>
      </c>
      <c r="B430" s="5">
        <v>1</v>
      </c>
      <c r="D430" s="5">
        <v>60</v>
      </c>
      <c r="I430" s="5">
        <v>10</v>
      </c>
      <c r="N430" s="12">
        <f t="shared" si="89"/>
        <v>70</v>
      </c>
    </row>
    <row r="431" spans="1:14" x14ac:dyDescent="0.3">
      <c r="A431" s="24"/>
      <c r="B431" s="25"/>
      <c r="C431" s="27">
        <f t="shared" ref="C431:N431" si="90">SUM(C424:C430)</f>
        <v>6</v>
      </c>
      <c r="D431" s="27">
        <f t="shared" si="90"/>
        <v>1380</v>
      </c>
      <c r="E431" s="27">
        <f t="shared" si="90"/>
        <v>60</v>
      </c>
      <c r="F431" s="27">
        <f t="shared" si="90"/>
        <v>10</v>
      </c>
      <c r="G431" s="27">
        <f t="shared" si="90"/>
        <v>6</v>
      </c>
      <c r="H431" s="27">
        <f t="shared" si="90"/>
        <v>20</v>
      </c>
      <c r="I431" s="27">
        <f t="shared" si="90"/>
        <v>173</v>
      </c>
      <c r="J431" s="27">
        <f t="shared" si="90"/>
        <v>201</v>
      </c>
      <c r="K431" s="26">
        <f t="shared" si="90"/>
        <v>0</v>
      </c>
      <c r="L431" s="26">
        <f t="shared" si="90"/>
        <v>0</v>
      </c>
      <c r="M431" s="26">
        <f t="shared" si="90"/>
        <v>0</v>
      </c>
      <c r="N431" s="28">
        <f t="shared" si="90"/>
        <v>1856</v>
      </c>
    </row>
    <row r="433" spans="1:14" ht="23.4" x14ac:dyDescent="0.45">
      <c r="A433" s="85">
        <f>A423+30</f>
        <v>45308</v>
      </c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</row>
    <row r="434" spans="1:14" x14ac:dyDescent="0.3">
      <c r="A434" t="s">
        <v>10</v>
      </c>
      <c r="B434" s="5">
        <v>1</v>
      </c>
      <c r="C434" s="5">
        <v>3</v>
      </c>
      <c r="D434" s="5">
        <f>25*30</f>
        <v>750</v>
      </c>
      <c r="E434" s="5">
        <v>60</v>
      </c>
      <c r="F434" s="5">
        <v>3</v>
      </c>
      <c r="G434" s="5">
        <v>2</v>
      </c>
      <c r="H434" s="5">
        <v>5</v>
      </c>
      <c r="I434" s="5">
        <v>101</v>
      </c>
      <c r="J434" s="5"/>
      <c r="L434" s="5"/>
      <c r="N434" s="12">
        <f t="shared" ref="N434:N440" si="91">SUM(C434:M434)*B434</f>
        <v>924</v>
      </c>
    </row>
    <row r="435" spans="1:14" x14ac:dyDescent="0.3">
      <c r="A435" t="s">
        <v>11</v>
      </c>
      <c r="B435" s="5">
        <v>1</v>
      </c>
      <c r="C435" s="5">
        <v>3</v>
      </c>
      <c r="D435" s="5">
        <v>150</v>
      </c>
      <c r="F435" s="5">
        <v>2</v>
      </c>
      <c r="G435" s="5">
        <v>1</v>
      </c>
      <c r="H435" s="5">
        <v>3</v>
      </c>
      <c r="I435" s="5">
        <v>11</v>
      </c>
      <c r="J435" s="5"/>
      <c r="N435" s="12">
        <f t="shared" si="91"/>
        <v>170</v>
      </c>
    </row>
    <row r="436" spans="1:14" x14ac:dyDescent="0.3">
      <c r="A436" t="s">
        <v>14</v>
      </c>
      <c r="B436" s="5">
        <v>1</v>
      </c>
      <c r="D436" s="5">
        <v>300</v>
      </c>
      <c r="F436" s="5">
        <v>1.25</v>
      </c>
      <c r="G436" s="5">
        <v>0.75</v>
      </c>
      <c r="H436" s="5">
        <v>3</v>
      </c>
      <c r="I436" s="5">
        <v>10</v>
      </c>
      <c r="J436" s="5"/>
      <c r="N436" s="12">
        <f t="shared" si="91"/>
        <v>315</v>
      </c>
    </row>
    <row r="437" spans="1:14" x14ac:dyDescent="0.3">
      <c r="A437" t="s">
        <v>13</v>
      </c>
      <c r="B437" s="5">
        <v>1</v>
      </c>
      <c r="D437" s="5">
        <v>60</v>
      </c>
      <c r="F437" s="5">
        <v>1.25</v>
      </c>
      <c r="G437" s="5">
        <v>0.75</v>
      </c>
      <c r="H437" s="5">
        <v>3</v>
      </c>
      <c r="I437" s="5">
        <v>10</v>
      </c>
      <c r="N437" s="12">
        <f t="shared" si="91"/>
        <v>75</v>
      </c>
    </row>
    <row r="438" spans="1:14" x14ac:dyDescent="0.3">
      <c r="A438" t="s">
        <v>12</v>
      </c>
      <c r="B438" s="5">
        <v>1</v>
      </c>
      <c r="D438" s="5">
        <v>30</v>
      </c>
      <c r="F438" s="5">
        <v>1.25</v>
      </c>
      <c r="G438" s="5">
        <v>0.75</v>
      </c>
      <c r="H438" s="5">
        <v>3</v>
      </c>
      <c r="I438" s="5">
        <v>5</v>
      </c>
      <c r="J438" t="s">
        <v>53</v>
      </c>
      <c r="N438" s="12">
        <f t="shared" si="91"/>
        <v>40</v>
      </c>
    </row>
    <row r="439" spans="1:14" x14ac:dyDescent="0.3">
      <c r="A439" t="s">
        <v>20</v>
      </c>
      <c r="B439" s="5">
        <v>1</v>
      </c>
      <c r="D439" s="5">
        <v>30</v>
      </c>
      <c r="F439" s="5">
        <v>1.25</v>
      </c>
      <c r="G439" s="5">
        <v>0.75</v>
      </c>
      <c r="H439" s="5">
        <v>3</v>
      </c>
      <c r="I439" s="5">
        <v>5</v>
      </c>
      <c r="N439" s="12">
        <f t="shared" si="91"/>
        <v>40</v>
      </c>
    </row>
    <row r="440" spans="1:14" x14ac:dyDescent="0.3">
      <c r="A440" t="s">
        <v>15</v>
      </c>
      <c r="B440" s="5">
        <v>1</v>
      </c>
      <c r="D440" s="5">
        <v>60</v>
      </c>
      <c r="N440" s="12">
        <f t="shared" si="91"/>
        <v>60</v>
      </c>
    </row>
    <row r="441" spans="1:14" x14ac:dyDescent="0.3">
      <c r="A441" s="24"/>
      <c r="B441" s="25"/>
      <c r="C441" s="27">
        <f t="shared" ref="C441:N441" si="92">SUM(C434:C440)</f>
        <v>6</v>
      </c>
      <c r="D441" s="27">
        <f t="shared" si="92"/>
        <v>1380</v>
      </c>
      <c r="E441" s="27">
        <f t="shared" si="92"/>
        <v>60</v>
      </c>
      <c r="F441" s="27">
        <f t="shared" si="92"/>
        <v>10</v>
      </c>
      <c r="G441" s="27">
        <f t="shared" si="92"/>
        <v>6</v>
      </c>
      <c r="H441" s="27">
        <f t="shared" si="92"/>
        <v>20</v>
      </c>
      <c r="I441" s="27">
        <f t="shared" si="92"/>
        <v>142</v>
      </c>
      <c r="J441" s="27">
        <f t="shared" si="92"/>
        <v>0</v>
      </c>
      <c r="K441" s="26">
        <f t="shared" si="92"/>
        <v>0</v>
      </c>
      <c r="L441" s="26">
        <f t="shared" si="92"/>
        <v>0</v>
      </c>
      <c r="M441" s="26">
        <f t="shared" si="92"/>
        <v>0</v>
      </c>
      <c r="N441" s="28">
        <f t="shared" si="92"/>
        <v>1624</v>
      </c>
    </row>
    <row r="443" spans="1:14" ht="23.4" x14ac:dyDescent="0.45">
      <c r="A443" s="85">
        <f>A433+30</f>
        <v>45338</v>
      </c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</row>
    <row r="444" spans="1:14" x14ac:dyDescent="0.3">
      <c r="A444" t="s">
        <v>10</v>
      </c>
      <c r="B444" s="5">
        <v>1</v>
      </c>
      <c r="C444" s="5">
        <v>3</v>
      </c>
      <c r="D444" s="5">
        <v>900</v>
      </c>
      <c r="E444" s="5">
        <v>60</v>
      </c>
      <c r="F444" s="5">
        <v>3</v>
      </c>
      <c r="G444" s="5">
        <v>2</v>
      </c>
      <c r="H444" s="5">
        <v>5</v>
      </c>
      <c r="I444" s="5">
        <v>107</v>
      </c>
      <c r="J444" s="5"/>
      <c r="L444" s="5"/>
      <c r="N444" s="12">
        <f t="shared" ref="N444:N450" si="93">SUM(C444:M444)*B444</f>
        <v>1080</v>
      </c>
    </row>
    <row r="445" spans="1:14" x14ac:dyDescent="0.3">
      <c r="A445" t="s">
        <v>11</v>
      </c>
      <c r="B445" s="5">
        <v>1</v>
      </c>
      <c r="C445" s="5">
        <v>3</v>
      </c>
      <c r="D445" s="5">
        <v>150</v>
      </c>
      <c r="F445" s="5">
        <v>1.25</v>
      </c>
      <c r="G445" s="5">
        <v>0.75</v>
      </c>
      <c r="H445" s="5">
        <v>3</v>
      </c>
      <c r="I445" s="5">
        <v>11</v>
      </c>
      <c r="J445" s="5"/>
      <c r="N445" s="12">
        <f t="shared" si="93"/>
        <v>169</v>
      </c>
    </row>
    <row r="446" spans="1:14" x14ac:dyDescent="0.3">
      <c r="A446" t="s">
        <v>14</v>
      </c>
      <c r="B446" s="5">
        <v>1</v>
      </c>
      <c r="D446" s="5">
        <v>300</v>
      </c>
      <c r="F446" s="5">
        <v>1.25</v>
      </c>
      <c r="G446" s="5">
        <v>0.75</v>
      </c>
      <c r="H446" s="5">
        <v>3</v>
      </c>
      <c r="I446" s="5">
        <v>11</v>
      </c>
      <c r="J446" s="5"/>
      <c r="N446" s="12">
        <f t="shared" si="93"/>
        <v>316</v>
      </c>
    </row>
    <row r="447" spans="1:14" x14ac:dyDescent="0.3">
      <c r="A447" t="s">
        <v>13</v>
      </c>
      <c r="B447" s="5">
        <v>1</v>
      </c>
      <c r="D447" s="5">
        <v>60</v>
      </c>
      <c r="F447" s="5">
        <v>1.25</v>
      </c>
      <c r="G447" s="5">
        <v>0.75</v>
      </c>
      <c r="H447" s="5">
        <v>3</v>
      </c>
      <c r="I447" s="5">
        <v>5</v>
      </c>
      <c r="N447" s="12">
        <f t="shared" si="93"/>
        <v>70</v>
      </c>
    </row>
    <row r="448" spans="1:14" x14ac:dyDescent="0.3">
      <c r="A448" t="s">
        <v>12</v>
      </c>
      <c r="B448" s="5">
        <v>1</v>
      </c>
      <c r="D448" s="5">
        <v>30</v>
      </c>
      <c r="F448" s="5">
        <v>1.25</v>
      </c>
      <c r="G448" s="5">
        <v>0.75</v>
      </c>
      <c r="H448" s="5">
        <v>3</v>
      </c>
      <c r="I448" s="5">
        <v>5</v>
      </c>
      <c r="J448" t="s">
        <v>53</v>
      </c>
      <c r="N448" s="12">
        <f t="shared" si="93"/>
        <v>40</v>
      </c>
    </row>
    <row r="449" spans="1:14" x14ac:dyDescent="0.3">
      <c r="A449" t="s">
        <v>20</v>
      </c>
      <c r="B449" s="5">
        <v>1</v>
      </c>
      <c r="D449" s="5">
        <v>30</v>
      </c>
      <c r="F449" s="5">
        <v>1.25</v>
      </c>
      <c r="G449" s="5">
        <v>0.75</v>
      </c>
      <c r="H449" s="5">
        <v>3</v>
      </c>
      <c r="I449" s="5">
        <v>5</v>
      </c>
      <c r="N449" s="12">
        <f t="shared" si="93"/>
        <v>40</v>
      </c>
    </row>
    <row r="450" spans="1:14" x14ac:dyDescent="0.3">
      <c r="A450" t="s">
        <v>15</v>
      </c>
      <c r="B450" s="5">
        <v>1</v>
      </c>
      <c r="D450" s="5">
        <v>60</v>
      </c>
      <c r="N450" s="12">
        <f t="shared" si="93"/>
        <v>60</v>
      </c>
    </row>
    <row r="451" spans="1:14" x14ac:dyDescent="0.3">
      <c r="A451" s="24"/>
      <c r="B451" s="25"/>
      <c r="C451" s="27">
        <f t="shared" ref="C451:N451" si="94">SUM(C444:C450)</f>
        <v>6</v>
      </c>
      <c r="D451" s="27">
        <f t="shared" si="94"/>
        <v>1530</v>
      </c>
      <c r="E451" s="27">
        <f t="shared" si="94"/>
        <v>60</v>
      </c>
      <c r="F451" s="27">
        <f t="shared" si="94"/>
        <v>9.25</v>
      </c>
      <c r="G451" s="27">
        <f t="shared" si="94"/>
        <v>5.75</v>
      </c>
      <c r="H451" s="27">
        <f t="shared" si="94"/>
        <v>20</v>
      </c>
      <c r="I451" s="27">
        <f t="shared" si="94"/>
        <v>144</v>
      </c>
      <c r="J451" s="27">
        <f t="shared" si="94"/>
        <v>0</v>
      </c>
      <c r="K451" s="26">
        <f t="shared" si="94"/>
        <v>0</v>
      </c>
      <c r="L451" s="26">
        <f t="shared" si="94"/>
        <v>0</v>
      </c>
      <c r="M451" s="26">
        <f t="shared" si="94"/>
        <v>0</v>
      </c>
      <c r="N451" s="28">
        <f t="shared" si="94"/>
        <v>1775</v>
      </c>
    </row>
    <row r="453" spans="1:14" ht="23.4" x14ac:dyDescent="0.45">
      <c r="A453" s="85">
        <f>A443+30</f>
        <v>45368</v>
      </c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</row>
    <row r="454" spans="1:14" x14ac:dyDescent="0.3">
      <c r="A454" t="s">
        <v>10</v>
      </c>
      <c r="B454" s="5">
        <v>1</v>
      </c>
      <c r="C454" s="5">
        <v>3</v>
      </c>
      <c r="D454" s="5">
        <v>900</v>
      </c>
      <c r="E454" s="5">
        <v>60</v>
      </c>
      <c r="F454" s="5">
        <v>3</v>
      </c>
      <c r="G454" s="5">
        <v>2</v>
      </c>
      <c r="H454" s="5">
        <v>5</v>
      </c>
      <c r="I454" s="5">
        <v>132</v>
      </c>
      <c r="J454" s="5"/>
      <c r="L454" s="5"/>
      <c r="N454" s="12">
        <f t="shared" ref="N454:N460" si="95">SUM(C454:M454)*B454</f>
        <v>1105</v>
      </c>
    </row>
    <row r="455" spans="1:14" x14ac:dyDescent="0.3">
      <c r="A455" t="s">
        <v>11</v>
      </c>
      <c r="B455" s="5">
        <v>1</v>
      </c>
      <c r="C455" s="5">
        <v>3</v>
      </c>
      <c r="D455" s="5">
        <v>150</v>
      </c>
      <c r="F455" s="5">
        <v>1.25</v>
      </c>
      <c r="G455" s="5">
        <v>0.75</v>
      </c>
      <c r="H455" s="5">
        <v>3</v>
      </c>
      <c r="I455" s="5">
        <v>11</v>
      </c>
      <c r="J455" s="5"/>
      <c r="N455" s="12">
        <f t="shared" si="95"/>
        <v>169</v>
      </c>
    </row>
    <row r="456" spans="1:14" x14ac:dyDescent="0.3">
      <c r="A456" t="s">
        <v>14</v>
      </c>
      <c r="B456" s="5">
        <v>1</v>
      </c>
      <c r="D456" s="5">
        <v>300</v>
      </c>
      <c r="F456" s="5">
        <v>1.25</v>
      </c>
      <c r="G456" s="5">
        <v>0.75</v>
      </c>
      <c r="H456" s="5">
        <v>3</v>
      </c>
      <c r="I456" s="5">
        <v>11</v>
      </c>
      <c r="J456" s="5"/>
      <c r="N456" s="12">
        <f t="shared" si="95"/>
        <v>316</v>
      </c>
    </row>
    <row r="457" spans="1:14" x14ac:dyDescent="0.3">
      <c r="A457" t="s">
        <v>13</v>
      </c>
      <c r="B457" s="5">
        <v>1</v>
      </c>
      <c r="D457" s="5">
        <v>60</v>
      </c>
      <c r="F457" s="5">
        <v>1.25</v>
      </c>
      <c r="G457" s="5">
        <v>0.75</v>
      </c>
      <c r="H457" s="5">
        <v>3</v>
      </c>
      <c r="I457" s="5">
        <v>5</v>
      </c>
      <c r="N457" s="12">
        <f t="shared" si="95"/>
        <v>70</v>
      </c>
    </row>
    <row r="458" spans="1:14" x14ac:dyDescent="0.3">
      <c r="A458" t="s">
        <v>12</v>
      </c>
      <c r="B458" s="5">
        <v>1</v>
      </c>
      <c r="D458" s="5">
        <v>30</v>
      </c>
      <c r="F458" s="5">
        <v>1.25</v>
      </c>
      <c r="G458" s="5">
        <v>0.75</v>
      </c>
      <c r="H458" s="5">
        <v>3</v>
      </c>
      <c r="I458" s="5">
        <v>5</v>
      </c>
      <c r="J458" t="s">
        <v>53</v>
      </c>
      <c r="N458" s="12">
        <f t="shared" si="95"/>
        <v>40</v>
      </c>
    </row>
    <row r="459" spans="1:14" x14ac:dyDescent="0.3">
      <c r="A459" t="s">
        <v>20</v>
      </c>
      <c r="B459" s="5">
        <v>1</v>
      </c>
      <c r="D459" s="5">
        <v>30</v>
      </c>
      <c r="F459" s="5">
        <v>1.25</v>
      </c>
      <c r="G459" s="5">
        <v>0.75</v>
      </c>
      <c r="H459" s="5">
        <v>3</v>
      </c>
      <c r="I459" s="5">
        <v>5</v>
      </c>
      <c r="N459" s="12">
        <f t="shared" si="95"/>
        <v>40</v>
      </c>
    </row>
    <row r="460" spans="1:14" x14ac:dyDescent="0.3">
      <c r="A460" t="s">
        <v>15</v>
      </c>
      <c r="B460" s="5">
        <v>1</v>
      </c>
      <c r="D460" s="5">
        <v>60</v>
      </c>
      <c r="N460" s="12">
        <f t="shared" si="95"/>
        <v>60</v>
      </c>
    </row>
    <row r="461" spans="1:14" x14ac:dyDescent="0.3">
      <c r="A461" s="24"/>
      <c r="B461" s="25"/>
      <c r="C461" s="27">
        <f t="shared" ref="C461:N461" si="96">SUM(C454:C460)</f>
        <v>6</v>
      </c>
      <c r="D461" s="27">
        <f t="shared" si="96"/>
        <v>1530</v>
      </c>
      <c r="E461" s="27">
        <f t="shared" si="96"/>
        <v>60</v>
      </c>
      <c r="F461" s="27">
        <f t="shared" si="96"/>
        <v>9.25</v>
      </c>
      <c r="G461" s="27">
        <f t="shared" si="96"/>
        <v>5.75</v>
      </c>
      <c r="H461" s="27">
        <f t="shared" si="96"/>
        <v>20</v>
      </c>
      <c r="I461" s="27">
        <f t="shared" si="96"/>
        <v>169</v>
      </c>
      <c r="J461" s="27">
        <f t="shared" si="96"/>
        <v>0</v>
      </c>
      <c r="K461" s="26">
        <f t="shared" si="96"/>
        <v>0</v>
      </c>
      <c r="L461" s="26">
        <f t="shared" si="96"/>
        <v>0</v>
      </c>
      <c r="M461" s="26">
        <f t="shared" si="96"/>
        <v>0</v>
      </c>
      <c r="N461" s="28">
        <f t="shared" si="96"/>
        <v>1800</v>
      </c>
    </row>
    <row r="463" spans="1:14" ht="23.4" x14ac:dyDescent="0.45">
      <c r="A463" s="85">
        <f>A453+30</f>
        <v>45398</v>
      </c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</row>
    <row r="464" spans="1:14" x14ac:dyDescent="0.3">
      <c r="A464" t="s">
        <v>10</v>
      </c>
      <c r="B464" s="5">
        <v>1</v>
      </c>
      <c r="C464" s="5">
        <v>3</v>
      </c>
      <c r="D464" s="5">
        <v>900</v>
      </c>
      <c r="E464" s="5">
        <v>60</v>
      </c>
      <c r="F464" s="5">
        <v>3</v>
      </c>
      <c r="G464" s="5">
        <v>2</v>
      </c>
      <c r="H464" s="5">
        <v>5</v>
      </c>
      <c r="I464" s="5">
        <v>105</v>
      </c>
      <c r="J464" s="5"/>
      <c r="L464" s="5"/>
      <c r="N464" s="12">
        <f t="shared" ref="N464:N470" si="97">SUM(C464:M464)*B464</f>
        <v>1078</v>
      </c>
    </row>
    <row r="465" spans="1:14" x14ac:dyDescent="0.3">
      <c r="A465" t="s">
        <v>11</v>
      </c>
      <c r="B465" s="5">
        <v>1</v>
      </c>
      <c r="C465" s="5">
        <v>3</v>
      </c>
      <c r="D465" s="5">
        <v>150</v>
      </c>
      <c r="F465" s="5">
        <v>2</v>
      </c>
      <c r="G465" s="5">
        <v>1</v>
      </c>
      <c r="H465" s="5">
        <v>3</v>
      </c>
      <c r="I465" s="5">
        <v>11</v>
      </c>
      <c r="J465" s="5"/>
      <c r="N465" s="12">
        <f t="shared" si="97"/>
        <v>170</v>
      </c>
    </row>
    <row r="466" spans="1:14" x14ac:dyDescent="0.3">
      <c r="A466" t="s">
        <v>14</v>
      </c>
      <c r="B466" s="5">
        <v>1</v>
      </c>
      <c r="D466" s="5">
        <v>300</v>
      </c>
      <c r="F466" s="5">
        <v>1.25</v>
      </c>
      <c r="G466" s="5">
        <v>0.75</v>
      </c>
      <c r="H466" s="5">
        <v>3</v>
      </c>
      <c r="I466" s="5">
        <v>11</v>
      </c>
      <c r="J466" s="5"/>
      <c r="N466" s="12">
        <f t="shared" si="97"/>
        <v>316</v>
      </c>
    </row>
    <row r="467" spans="1:14" x14ac:dyDescent="0.3">
      <c r="A467" t="s">
        <v>13</v>
      </c>
      <c r="B467" s="5">
        <v>1</v>
      </c>
      <c r="D467" s="5">
        <v>60</v>
      </c>
      <c r="F467" s="5">
        <v>1.25</v>
      </c>
      <c r="G467" s="5">
        <v>0.75</v>
      </c>
      <c r="H467" s="5">
        <v>3</v>
      </c>
      <c r="I467" s="5">
        <v>5</v>
      </c>
      <c r="N467" s="12">
        <f t="shared" si="97"/>
        <v>70</v>
      </c>
    </row>
    <row r="468" spans="1:14" x14ac:dyDescent="0.3">
      <c r="A468" t="s">
        <v>12</v>
      </c>
      <c r="B468" s="5">
        <v>1</v>
      </c>
      <c r="D468" s="5">
        <v>30</v>
      </c>
      <c r="F468" s="5">
        <v>1.25</v>
      </c>
      <c r="G468" s="5">
        <v>0.75</v>
      </c>
      <c r="H468" s="5">
        <v>3</v>
      </c>
      <c r="I468" s="5">
        <v>5</v>
      </c>
      <c r="J468" t="s">
        <v>53</v>
      </c>
      <c r="N468" s="12">
        <f t="shared" si="97"/>
        <v>40</v>
      </c>
    </row>
    <row r="469" spans="1:14" x14ac:dyDescent="0.3">
      <c r="A469" t="s">
        <v>20</v>
      </c>
      <c r="B469" s="5">
        <v>1</v>
      </c>
      <c r="D469" s="5">
        <v>30</v>
      </c>
      <c r="F469" s="5">
        <v>1.25</v>
      </c>
      <c r="G469" s="5">
        <v>0.75</v>
      </c>
      <c r="H469" s="5">
        <v>3</v>
      </c>
      <c r="I469" s="5">
        <v>5</v>
      </c>
      <c r="N469" s="12">
        <f t="shared" si="97"/>
        <v>40</v>
      </c>
    </row>
    <row r="470" spans="1:14" x14ac:dyDescent="0.3">
      <c r="A470" t="s">
        <v>15</v>
      </c>
      <c r="B470" s="5">
        <v>1</v>
      </c>
      <c r="D470" s="5">
        <v>60</v>
      </c>
      <c r="N470" s="12">
        <f t="shared" si="97"/>
        <v>60</v>
      </c>
    </row>
    <row r="471" spans="1:14" x14ac:dyDescent="0.3">
      <c r="A471" s="24"/>
      <c r="B471" s="25"/>
      <c r="C471" s="27">
        <f t="shared" ref="C471:N471" si="98">SUM(C464:C470)</f>
        <v>6</v>
      </c>
      <c r="D471" s="27">
        <f t="shared" si="98"/>
        <v>1530</v>
      </c>
      <c r="E471" s="27">
        <f t="shared" si="98"/>
        <v>60</v>
      </c>
      <c r="F471" s="27">
        <f t="shared" si="98"/>
        <v>10</v>
      </c>
      <c r="G471" s="27">
        <f t="shared" si="98"/>
        <v>6</v>
      </c>
      <c r="H471" s="27">
        <f t="shared" si="98"/>
        <v>20</v>
      </c>
      <c r="I471" s="27">
        <f t="shared" si="98"/>
        <v>142</v>
      </c>
      <c r="J471" s="27">
        <f t="shared" si="98"/>
        <v>0</v>
      </c>
      <c r="K471" s="26">
        <f t="shared" si="98"/>
        <v>0</v>
      </c>
      <c r="L471" s="26">
        <f t="shared" si="98"/>
        <v>0</v>
      </c>
      <c r="M471" s="26">
        <f t="shared" si="98"/>
        <v>0</v>
      </c>
      <c r="N471" s="28">
        <f t="shared" si="98"/>
        <v>1774</v>
      </c>
    </row>
    <row r="473" spans="1:14" ht="23.4" x14ac:dyDescent="0.45">
      <c r="A473" s="85">
        <f>A463+30</f>
        <v>45428</v>
      </c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</row>
    <row r="474" spans="1:14" x14ac:dyDescent="0.3">
      <c r="A474" t="s">
        <v>10</v>
      </c>
      <c r="B474" s="5">
        <v>1</v>
      </c>
      <c r="C474" s="5">
        <v>3</v>
      </c>
      <c r="D474" s="5">
        <v>900</v>
      </c>
      <c r="E474" s="5">
        <v>60</v>
      </c>
      <c r="F474" s="5">
        <v>3</v>
      </c>
      <c r="G474" s="5">
        <v>2</v>
      </c>
      <c r="H474" s="5">
        <v>5</v>
      </c>
      <c r="I474" s="5">
        <v>75</v>
      </c>
      <c r="J474" s="5"/>
      <c r="L474" s="5"/>
      <c r="N474" s="12">
        <f t="shared" ref="N474:N481" si="99">SUM(C474:M474)*B474</f>
        <v>1048</v>
      </c>
    </row>
    <row r="475" spans="1:14" x14ac:dyDescent="0.3">
      <c r="A475" t="s">
        <v>11</v>
      </c>
      <c r="B475" s="5">
        <v>1</v>
      </c>
      <c r="C475" s="5">
        <v>3</v>
      </c>
      <c r="D475" s="5">
        <v>150</v>
      </c>
      <c r="F475" s="5">
        <v>1.25</v>
      </c>
      <c r="G475" s="5">
        <v>0.75</v>
      </c>
      <c r="H475" s="5">
        <v>3</v>
      </c>
      <c r="I475" s="5">
        <v>11</v>
      </c>
      <c r="J475" s="5"/>
      <c r="N475" s="12">
        <f t="shared" si="99"/>
        <v>169</v>
      </c>
    </row>
    <row r="476" spans="1:14" x14ac:dyDescent="0.3">
      <c r="A476" t="s">
        <v>14</v>
      </c>
      <c r="B476" s="5">
        <v>1</v>
      </c>
      <c r="D476" s="5">
        <v>300</v>
      </c>
      <c r="F476" s="5">
        <v>1.25</v>
      </c>
      <c r="G476" s="5">
        <v>0.75</v>
      </c>
      <c r="H476" s="5">
        <v>3</v>
      </c>
      <c r="I476" s="5">
        <v>11</v>
      </c>
      <c r="J476" s="5"/>
      <c r="N476" s="12">
        <f t="shared" si="99"/>
        <v>316</v>
      </c>
    </row>
    <row r="477" spans="1:14" x14ac:dyDescent="0.3">
      <c r="A477" t="s">
        <v>13</v>
      </c>
      <c r="B477" s="5">
        <v>1</v>
      </c>
      <c r="D477" s="5">
        <v>60</v>
      </c>
      <c r="F477" s="5">
        <v>1.25</v>
      </c>
      <c r="G477" s="5">
        <v>0.75</v>
      </c>
      <c r="H477" s="5">
        <v>3</v>
      </c>
      <c r="I477" s="5">
        <v>5</v>
      </c>
      <c r="N477" s="12">
        <f t="shared" si="99"/>
        <v>70</v>
      </c>
    </row>
    <row r="478" spans="1:14" x14ac:dyDescent="0.3">
      <c r="A478" t="s">
        <v>12</v>
      </c>
      <c r="B478" s="5">
        <v>1</v>
      </c>
      <c r="D478" s="5">
        <v>30</v>
      </c>
      <c r="F478" s="5">
        <v>1.25</v>
      </c>
      <c r="G478" s="5">
        <v>0.75</v>
      </c>
      <c r="H478" s="5">
        <v>3</v>
      </c>
      <c r="I478" s="5">
        <v>5</v>
      </c>
      <c r="J478" t="s">
        <v>53</v>
      </c>
      <c r="N478" s="12">
        <f t="shared" si="99"/>
        <v>40</v>
      </c>
    </row>
    <row r="479" spans="1:14" x14ac:dyDescent="0.3">
      <c r="A479" t="s">
        <v>20</v>
      </c>
      <c r="B479" s="5">
        <v>1</v>
      </c>
      <c r="D479" s="5">
        <v>30</v>
      </c>
      <c r="F479" s="5">
        <v>1.25</v>
      </c>
      <c r="G479" s="5">
        <v>0.75</v>
      </c>
      <c r="H479" s="5">
        <v>3</v>
      </c>
      <c r="I479" s="5">
        <v>5</v>
      </c>
      <c r="N479" s="12">
        <f t="shared" si="99"/>
        <v>40</v>
      </c>
    </row>
    <row r="480" spans="1:14" x14ac:dyDescent="0.3">
      <c r="A480" t="s">
        <v>23</v>
      </c>
      <c r="B480" s="5">
        <v>1</v>
      </c>
      <c r="D480" s="5">
        <v>30</v>
      </c>
      <c r="F480" s="5">
        <v>1.25</v>
      </c>
      <c r="G480" s="5">
        <v>0.75</v>
      </c>
      <c r="H480" s="5">
        <v>3</v>
      </c>
      <c r="N480" s="12">
        <f t="shared" si="99"/>
        <v>35</v>
      </c>
    </row>
    <row r="481" spans="1:14" x14ac:dyDescent="0.3">
      <c r="A481" t="s">
        <v>15</v>
      </c>
      <c r="B481" s="5">
        <v>1</v>
      </c>
      <c r="D481" s="5">
        <v>60</v>
      </c>
      <c r="N481" s="12">
        <f t="shared" si="99"/>
        <v>60</v>
      </c>
    </row>
    <row r="482" spans="1:14" x14ac:dyDescent="0.3">
      <c r="A482" s="24"/>
      <c r="B482" s="25"/>
      <c r="C482" s="27">
        <f t="shared" ref="C482:N482" si="100">SUM(C474:C481)</f>
        <v>6</v>
      </c>
      <c r="D482" s="27">
        <f t="shared" si="100"/>
        <v>1560</v>
      </c>
      <c r="E482" s="27">
        <f t="shared" si="100"/>
        <v>60</v>
      </c>
      <c r="F482" s="27">
        <f t="shared" si="100"/>
        <v>10.5</v>
      </c>
      <c r="G482" s="27">
        <f t="shared" si="100"/>
        <v>6.5</v>
      </c>
      <c r="H482" s="27">
        <f t="shared" si="100"/>
        <v>23</v>
      </c>
      <c r="I482" s="27">
        <f t="shared" si="100"/>
        <v>112</v>
      </c>
      <c r="J482" s="27">
        <f t="shared" si="100"/>
        <v>0</v>
      </c>
      <c r="K482" s="26">
        <f t="shared" si="100"/>
        <v>0</v>
      </c>
      <c r="L482" s="26">
        <f t="shared" si="100"/>
        <v>0</v>
      </c>
      <c r="M482" s="26">
        <f t="shared" si="100"/>
        <v>0</v>
      </c>
      <c r="N482" s="28">
        <f t="shared" si="100"/>
        <v>1778</v>
      </c>
    </row>
    <row r="484" spans="1:14" ht="23.4" x14ac:dyDescent="0.45">
      <c r="A484" s="85">
        <f>A473+30</f>
        <v>45458</v>
      </c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</row>
    <row r="485" spans="1:14" x14ac:dyDescent="0.3">
      <c r="A485" t="s">
        <v>10</v>
      </c>
      <c r="B485" s="5">
        <v>1</v>
      </c>
      <c r="C485" s="5">
        <v>3</v>
      </c>
      <c r="D485" s="5">
        <v>900</v>
      </c>
      <c r="E485" s="5">
        <v>60</v>
      </c>
      <c r="F485" s="5">
        <v>3</v>
      </c>
      <c r="G485" s="5">
        <v>2</v>
      </c>
      <c r="H485" s="5">
        <v>5</v>
      </c>
      <c r="I485" s="5">
        <v>96</v>
      </c>
      <c r="J485" s="5"/>
      <c r="L485" s="5"/>
      <c r="N485" s="12">
        <f t="shared" ref="N485:N491" si="101">SUM(C485:M485)*B485</f>
        <v>1069</v>
      </c>
    </row>
    <row r="486" spans="1:14" x14ac:dyDescent="0.3">
      <c r="A486" t="s">
        <v>11</v>
      </c>
      <c r="B486" s="5">
        <v>1</v>
      </c>
      <c r="C486" s="5">
        <v>3</v>
      </c>
      <c r="D486" s="5">
        <v>150</v>
      </c>
      <c r="F486" s="5">
        <v>2</v>
      </c>
      <c r="G486" s="5">
        <v>1</v>
      </c>
      <c r="H486" s="5">
        <v>3</v>
      </c>
      <c r="I486" s="5">
        <v>11</v>
      </c>
      <c r="J486" s="5"/>
      <c r="N486" s="12">
        <f t="shared" si="101"/>
        <v>170</v>
      </c>
    </row>
    <row r="487" spans="1:14" x14ac:dyDescent="0.3">
      <c r="A487" t="s">
        <v>14</v>
      </c>
      <c r="B487" s="5">
        <v>1</v>
      </c>
      <c r="D487" s="5">
        <v>300</v>
      </c>
      <c r="F487" s="5">
        <v>1.25</v>
      </c>
      <c r="G487" s="5">
        <v>0.75</v>
      </c>
      <c r="H487" s="5">
        <v>3</v>
      </c>
      <c r="I487" s="5">
        <v>11</v>
      </c>
      <c r="J487" s="5"/>
      <c r="N487" s="12">
        <f t="shared" si="101"/>
        <v>316</v>
      </c>
    </row>
    <row r="488" spans="1:14" x14ac:dyDescent="0.3">
      <c r="A488" t="s">
        <v>13</v>
      </c>
      <c r="B488" s="5">
        <v>1</v>
      </c>
      <c r="D488" s="5">
        <v>60</v>
      </c>
      <c r="F488" s="5">
        <v>1.25</v>
      </c>
      <c r="G488" s="5">
        <v>0.75</v>
      </c>
      <c r="H488" s="5">
        <v>3</v>
      </c>
      <c r="I488" s="5">
        <v>5</v>
      </c>
      <c r="N488" s="12">
        <f t="shared" si="101"/>
        <v>70</v>
      </c>
    </row>
    <row r="489" spans="1:14" x14ac:dyDescent="0.3">
      <c r="A489" t="s">
        <v>12</v>
      </c>
      <c r="B489" s="5">
        <v>1</v>
      </c>
      <c r="D489" s="5">
        <v>30</v>
      </c>
      <c r="F489" s="5">
        <v>1.25</v>
      </c>
      <c r="G489" s="5">
        <v>0.75</v>
      </c>
      <c r="H489" s="5">
        <v>3</v>
      </c>
      <c r="I489" s="5">
        <v>5</v>
      </c>
      <c r="J489" t="s">
        <v>53</v>
      </c>
      <c r="N489" s="12">
        <f t="shared" si="101"/>
        <v>40</v>
      </c>
    </row>
    <row r="490" spans="1:14" x14ac:dyDescent="0.3">
      <c r="A490" t="s">
        <v>20</v>
      </c>
      <c r="B490" s="5">
        <v>1</v>
      </c>
      <c r="D490" s="5">
        <v>30</v>
      </c>
      <c r="F490" s="5">
        <v>1.25</v>
      </c>
      <c r="G490" s="5">
        <v>0.75</v>
      </c>
      <c r="H490" s="5">
        <v>3</v>
      </c>
      <c r="I490" s="5">
        <v>5</v>
      </c>
      <c r="N490" s="12">
        <f t="shared" si="101"/>
        <v>40</v>
      </c>
    </row>
    <row r="491" spans="1:14" x14ac:dyDescent="0.3">
      <c r="A491" t="s">
        <v>23</v>
      </c>
      <c r="B491" s="5">
        <v>1</v>
      </c>
      <c r="D491" s="5">
        <v>30</v>
      </c>
      <c r="F491" s="5">
        <v>1.25</v>
      </c>
      <c r="G491" s="5">
        <v>0.75</v>
      </c>
      <c r="H491" s="5">
        <v>3</v>
      </c>
      <c r="N491" s="12">
        <f t="shared" si="101"/>
        <v>35</v>
      </c>
    </row>
    <row r="492" spans="1:14" x14ac:dyDescent="0.3">
      <c r="A492" t="s">
        <v>15</v>
      </c>
      <c r="B492" s="5">
        <v>1</v>
      </c>
      <c r="D492" s="5">
        <v>60</v>
      </c>
      <c r="N492" s="12">
        <f>SUM(C492:M492)*B492</f>
        <v>60</v>
      </c>
    </row>
    <row r="493" spans="1:14" x14ac:dyDescent="0.3">
      <c r="A493" s="24"/>
      <c r="B493" s="25"/>
      <c r="C493" s="27">
        <f t="shared" ref="C493:N493" si="102">SUM(C485:C492)</f>
        <v>6</v>
      </c>
      <c r="D493" s="27">
        <f t="shared" si="102"/>
        <v>1560</v>
      </c>
      <c r="E493" s="27">
        <f t="shared" si="102"/>
        <v>60</v>
      </c>
      <c r="F493" s="27">
        <f t="shared" si="102"/>
        <v>11.25</v>
      </c>
      <c r="G493" s="27">
        <f t="shared" si="102"/>
        <v>6.75</v>
      </c>
      <c r="H493" s="27">
        <f t="shared" si="102"/>
        <v>23</v>
      </c>
      <c r="I493" s="27">
        <f t="shared" si="102"/>
        <v>133</v>
      </c>
      <c r="J493" s="27">
        <f t="shared" si="102"/>
        <v>0</v>
      </c>
      <c r="K493" s="26">
        <f t="shared" si="102"/>
        <v>0</v>
      </c>
      <c r="L493" s="26">
        <f t="shared" si="102"/>
        <v>0</v>
      </c>
      <c r="M493" s="26">
        <f t="shared" si="102"/>
        <v>0</v>
      </c>
      <c r="N493" s="28">
        <f t="shared" si="102"/>
        <v>1800</v>
      </c>
    </row>
    <row r="495" spans="1:14" ht="23.4" x14ac:dyDescent="0.45">
      <c r="A495" s="85">
        <f>A484+30</f>
        <v>45488</v>
      </c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</row>
    <row r="496" spans="1:14" x14ac:dyDescent="0.3">
      <c r="A496" t="s">
        <v>10</v>
      </c>
      <c r="B496" s="5">
        <v>1</v>
      </c>
      <c r="C496" s="5">
        <v>3</v>
      </c>
      <c r="D496" s="5">
        <v>900</v>
      </c>
      <c r="E496" s="5">
        <v>60</v>
      </c>
      <c r="F496" s="5">
        <v>3</v>
      </c>
      <c r="G496" s="5">
        <v>2</v>
      </c>
      <c r="H496" s="5">
        <v>5</v>
      </c>
      <c r="I496" s="5">
        <v>96</v>
      </c>
      <c r="J496" s="5"/>
      <c r="L496" s="5"/>
      <c r="N496" s="12">
        <f t="shared" ref="N496:N502" si="103">SUM(C496:M496)*B496</f>
        <v>1069</v>
      </c>
    </row>
    <row r="497" spans="1:14" x14ac:dyDescent="0.3">
      <c r="A497" t="s">
        <v>11</v>
      </c>
      <c r="B497" s="5">
        <v>1</v>
      </c>
      <c r="C497" s="5">
        <v>3</v>
      </c>
      <c r="D497" s="5">
        <v>150</v>
      </c>
      <c r="F497" s="5">
        <v>2</v>
      </c>
      <c r="G497" s="5">
        <v>1</v>
      </c>
      <c r="H497" s="5">
        <v>3</v>
      </c>
      <c r="I497" s="5">
        <v>61</v>
      </c>
      <c r="J497" s="5"/>
      <c r="N497" s="12">
        <f t="shared" si="103"/>
        <v>220</v>
      </c>
    </row>
    <row r="498" spans="1:14" x14ac:dyDescent="0.3">
      <c r="A498" t="s">
        <v>14</v>
      </c>
      <c r="B498" s="5">
        <v>1</v>
      </c>
      <c r="D498" s="5">
        <v>300</v>
      </c>
      <c r="F498" s="5">
        <v>1.25</v>
      </c>
      <c r="G498" s="5">
        <v>0.75</v>
      </c>
      <c r="H498" s="5">
        <v>3</v>
      </c>
      <c r="I498" s="5">
        <v>11</v>
      </c>
      <c r="J498" s="5"/>
      <c r="N498" s="12">
        <f t="shared" si="103"/>
        <v>316</v>
      </c>
    </row>
    <row r="499" spans="1:14" x14ac:dyDescent="0.3">
      <c r="A499" t="s">
        <v>13</v>
      </c>
      <c r="B499" s="5">
        <v>1</v>
      </c>
      <c r="D499" s="5">
        <v>60</v>
      </c>
      <c r="F499" s="5">
        <v>1.25</v>
      </c>
      <c r="G499" s="5">
        <v>0.75</v>
      </c>
      <c r="H499" s="5">
        <v>3</v>
      </c>
      <c r="I499" s="5">
        <v>10</v>
      </c>
      <c r="N499" s="12">
        <f t="shared" si="103"/>
        <v>75</v>
      </c>
    </row>
    <row r="500" spans="1:14" x14ac:dyDescent="0.3">
      <c r="A500" t="s">
        <v>12</v>
      </c>
      <c r="B500" s="5">
        <v>1</v>
      </c>
      <c r="D500" s="5">
        <v>30</v>
      </c>
      <c r="F500" s="5">
        <v>1.25</v>
      </c>
      <c r="G500" s="5">
        <v>0.75</v>
      </c>
      <c r="H500" s="5">
        <v>3</v>
      </c>
      <c r="I500" s="5">
        <v>5</v>
      </c>
      <c r="J500" t="s">
        <v>53</v>
      </c>
      <c r="N500" s="12">
        <f t="shared" si="103"/>
        <v>40</v>
      </c>
    </row>
    <row r="501" spans="1:14" x14ac:dyDescent="0.3">
      <c r="A501" t="s">
        <v>20</v>
      </c>
      <c r="B501" s="5">
        <v>1</v>
      </c>
      <c r="D501" s="5">
        <v>30</v>
      </c>
      <c r="F501" s="5">
        <v>1.25</v>
      </c>
      <c r="G501" s="5">
        <v>0.75</v>
      </c>
      <c r="H501" s="5">
        <v>3</v>
      </c>
      <c r="I501" s="5">
        <v>5</v>
      </c>
      <c r="N501" s="12">
        <f t="shared" si="103"/>
        <v>40</v>
      </c>
    </row>
    <row r="502" spans="1:14" x14ac:dyDescent="0.3">
      <c r="A502" t="s">
        <v>23</v>
      </c>
      <c r="B502" s="5">
        <v>1</v>
      </c>
      <c r="D502" s="5">
        <v>30</v>
      </c>
      <c r="F502" s="5">
        <v>1.25</v>
      </c>
      <c r="G502" s="5">
        <v>0.75</v>
      </c>
      <c r="H502" s="5">
        <v>3</v>
      </c>
      <c r="N502" s="12">
        <f t="shared" si="103"/>
        <v>35</v>
      </c>
    </row>
    <row r="503" spans="1:14" x14ac:dyDescent="0.3">
      <c r="A503" t="s">
        <v>15</v>
      </c>
      <c r="B503" s="5">
        <v>1</v>
      </c>
      <c r="D503" s="5">
        <v>60</v>
      </c>
      <c r="N503" s="12">
        <f>SUM(C503:M503)*B503</f>
        <v>60</v>
      </c>
    </row>
    <row r="504" spans="1:14" x14ac:dyDescent="0.3">
      <c r="A504" s="24"/>
      <c r="B504" s="25"/>
      <c r="C504" s="27">
        <f t="shared" ref="C504:N504" si="104">SUM(C496:C503)</f>
        <v>6</v>
      </c>
      <c r="D504" s="27">
        <f t="shared" si="104"/>
        <v>1560</v>
      </c>
      <c r="E504" s="27">
        <f t="shared" si="104"/>
        <v>60</v>
      </c>
      <c r="F504" s="27">
        <f t="shared" si="104"/>
        <v>11.25</v>
      </c>
      <c r="G504" s="27">
        <f t="shared" si="104"/>
        <v>6.75</v>
      </c>
      <c r="H504" s="27">
        <f t="shared" si="104"/>
        <v>23</v>
      </c>
      <c r="I504" s="27">
        <f t="shared" si="104"/>
        <v>188</v>
      </c>
      <c r="J504" s="27">
        <f t="shared" si="104"/>
        <v>0</v>
      </c>
      <c r="K504" s="26">
        <f t="shared" si="104"/>
        <v>0</v>
      </c>
      <c r="L504" s="26">
        <f t="shared" si="104"/>
        <v>0</v>
      </c>
      <c r="M504" s="26">
        <f t="shared" si="104"/>
        <v>0</v>
      </c>
      <c r="N504" s="28">
        <f t="shared" si="104"/>
        <v>1855</v>
      </c>
    </row>
    <row r="506" spans="1:14" ht="23.4" x14ac:dyDescent="0.45">
      <c r="A506" s="85">
        <f>A495+30</f>
        <v>45518</v>
      </c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</row>
    <row r="507" spans="1:14" x14ac:dyDescent="0.3">
      <c r="A507" t="s">
        <v>10</v>
      </c>
      <c r="B507" s="5">
        <v>1</v>
      </c>
      <c r="C507" s="5">
        <v>3</v>
      </c>
      <c r="D507" s="5">
        <v>900</v>
      </c>
      <c r="E507" s="5">
        <v>60</v>
      </c>
      <c r="F507" s="5">
        <v>3</v>
      </c>
      <c r="G507" s="5">
        <v>2</v>
      </c>
      <c r="H507" s="5">
        <v>5</v>
      </c>
      <c r="I507" s="5">
        <v>81</v>
      </c>
      <c r="J507" s="5"/>
      <c r="L507" s="5"/>
      <c r="N507" s="12">
        <f t="shared" ref="N507:N513" si="105">SUM(C507:M507)*B507</f>
        <v>1054</v>
      </c>
    </row>
    <row r="508" spans="1:14" x14ac:dyDescent="0.3">
      <c r="A508" t="s">
        <v>11</v>
      </c>
      <c r="B508" s="5">
        <v>1</v>
      </c>
      <c r="C508" s="5">
        <v>3</v>
      </c>
      <c r="D508" s="5">
        <v>150</v>
      </c>
      <c r="F508" s="5">
        <v>2</v>
      </c>
      <c r="G508" s="5">
        <v>1</v>
      </c>
      <c r="H508" s="5">
        <v>3</v>
      </c>
      <c r="I508" s="5">
        <v>11</v>
      </c>
      <c r="J508" s="5"/>
      <c r="N508" s="12">
        <f t="shared" si="105"/>
        <v>170</v>
      </c>
    </row>
    <row r="509" spans="1:14" x14ac:dyDescent="0.3">
      <c r="A509" t="s">
        <v>14</v>
      </c>
      <c r="B509" s="5">
        <v>1</v>
      </c>
      <c r="D509" s="5">
        <v>300</v>
      </c>
      <c r="F509" s="5">
        <v>1.25</v>
      </c>
      <c r="G509" s="5">
        <v>0.75</v>
      </c>
      <c r="H509" s="5">
        <v>3</v>
      </c>
      <c r="I509" s="5">
        <v>11</v>
      </c>
      <c r="J509" s="5"/>
      <c r="N509" s="12">
        <f t="shared" si="105"/>
        <v>316</v>
      </c>
    </row>
    <row r="510" spans="1:14" x14ac:dyDescent="0.3">
      <c r="A510" t="s">
        <v>13</v>
      </c>
      <c r="B510" s="5">
        <v>1</v>
      </c>
      <c r="D510" s="5">
        <v>60</v>
      </c>
      <c r="F510" s="5">
        <v>1.25</v>
      </c>
      <c r="G510" s="5">
        <v>0.75</v>
      </c>
      <c r="H510" s="5">
        <v>3</v>
      </c>
      <c r="N510" s="12">
        <f t="shared" si="105"/>
        <v>65</v>
      </c>
    </row>
    <row r="511" spans="1:14" x14ac:dyDescent="0.3">
      <c r="A511" t="s">
        <v>12</v>
      </c>
      <c r="B511" s="5">
        <v>1</v>
      </c>
      <c r="D511" s="5">
        <v>30</v>
      </c>
      <c r="F511" s="5">
        <v>1.25</v>
      </c>
      <c r="G511" s="5">
        <v>0.75</v>
      </c>
      <c r="H511" s="5">
        <v>3</v>
      </c>
      <c r="I511" s="5">
        <v>5</v>
      </c>
      <c r="J511" t="s">
        <v>53</v>
      </c>
      <c r="N511" s="12">
        <f t="shared" si="105"/>
        <v>40</v>
      </c>
    </row>
    <row r="512" spans="1:14" x14ac:dyDescent="0.3">
      <c r="A512" t="s">
        <v>20</v>
      </c>
      <c r="B512" s="5">
        <v>1</v>
      </c>
      <c r="D512" s="5">
        <v>30</v>
      </c>
      <c r="F512" s="5">
        <v>1.25</v>
      </c>
      <c r="G512" s="5">
        <v>0.75</v>
      </c>
      <c r="H512" s="5">
        <v>3</v>
      </c>
      <c r="I512" s="5">
        <v>5</v>
      </c>
      <c r="N512" s="12">
        <f t="shared" si="105"/>
        <v>40</v>
      </c>
    </row>
    <row r="513" spans="1:14" x14ac:dyDescent="0.3">
      <c r="A513" t="s">
        <v>23</v>
      </c>
      <c r="B513" s="5">
        <v>1</v>
      </c>
      <c r="D513" s="5">
        <v>30</v>
      </c>
      <c r="F513" s="5">
        <v>1.25</v>
      </c>
      <c r="G513" s="5">
        <v>0.75</v>
      </c>
      <c r="H513" s="5">
        <v>3</v>
      </c>
      <c r="N513" s="12">
        <f t="shared" si="105"/>
        <v>35</v>
      </c>
    </row>
    <row r="514" spans="1:14" x14ac:dyDescent="0.3">
      <c r="A514" t="s">
        <v>15</v>
      </c>
      <c r="B514" s="5">
        <v>1</v>
      </c>
      <c r="D514" s="5">
        <v>60</v>
      </c>
      <c r="N514" s="12">
        <f>SUM(C514:M514)*B514</f>
        <v>60</v>
      </c>
    </row>
    <row r="515" spans="1:14" x14ac:dyDescent="0.3">
      <c r="A515" s="24"/>
      <c r="B515" s="25"/>
      <c r="C515" s="27">
        <f t="shared" ref="C515:N515" si="106">SUM(C507:C514)</f>
        <v>6</v>
      </c>
      <c r="D515" s="27">
        <f t="shared" si="106"/>
        <v>1560</v>
      </c>
      <c r="E515" s="27">
        <f t="shared" si="106"/>
        <v>60</v>
      </c>
      <c r="F515" s="27">
        <f t="shared" si="106"/>
        <v>11.25</v>
      </c>
      <c r="G515" s="27">
        <f t="shared" si="106"/>
        <v>6.75</v>
      </c>
      <c r="H515" s="27">
        <f t="shared" si="106"/>
        <v>23</v>
      </c>
      <c r="I515" s="27">
        <f t="shared" si="106"/>
        <v>113</v>
      </c>
      <c r="J515" s="27">
        <f t="shared" si="106"/>
        <v>0</v>
      </c>
      <c r="K515" s="26">
        <f t="shared" si="106"/>
        <v>0</v>
      </c>
      <c r="L515" s="26">
        <f t="shared" si="106"/>
        <v>0</v>
      </c>
      <c r="M515" s="26">
        <f t="shared" si="106"/>
        <v>0</v>
      </c>
      <c r="N515" s="28">
        <f t="shared" si="106"/>
        <v>1780</v>
      </c>
    </row>
    <row r="517" spans="1:14" ht="23.4" x14ac:dyDescent="0.45">
      <c r="A517" s="85">
        <f>A506+30</f>
        <v>45548</v>
      </c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</row>
    <row r="518" spans="1:14" x14ac:dyDescent="0.3">
      <c r="A518" t="s">
        <v>10</v>
      </c>
      <c r="B518" s="5">
        <v>1</v>
      </c>
      <c r="C518" s="5">
        <v>3</v>
      </c>
      <c r="D518" s="5">
        <v>900</v>
      </c>
      <c r="E518" s="5">
        <v>60</v>
      </c>
      <c r="F518" s="5">
        <v>3</v>
      </c>
      <c r="G518" s="5">
        <v>2</v>
      </c>
      <c r="H518" s="5">
        <v>5</v>
      </c>
      <c r="J518" s="5"/>
      <c r="L518" s="5"/>
      <c r="N518" s="12">
        <f t="shared" ref="N518:N524" si="107">SUM(C518:M518)*B518</f>
        <v>973</v>
      </c>
    </row>
    <row r="519" spans="1:14" x14ac:dyDescent="0.3">
      <c r="A519" t="s">
        <v>11</v>
      </c>
      <c r="B519" s="5">
        <v>1</v>
      </c>
      <c r="C519" s="5">
        <v>3</v>
      </c>
      <c r="D519" s="5">
        <v>150</v>
      </c>
      <c r="F519" s="5">
        <v>2</v>
      </c>
      <c r="G519" s="5">
        <v>1</v>
      </c>
      <c r="H519" s="5">
        <v>3</v>
      </c>
      <c r="I519" s="5">
        <v>11</v>
      </c>
      <c r="J519" s="5"/>
      <c r="N519" s="12">
        <f t="shared" si="107"/>
        <v>170</v>
      </c>
    </row>
    <row r="520" spans="1:14" x14ac:dyDescent="0.3">
      <c r="A520" t="s">
        <v>14</v>
      </c>
      <c r="B520" s="5">
        <v>1</v>
      </c>
      <c r="D520" s="5">
        <v>300</v>
      </c>
      <c r="F520" s="5">
        <v>1.25</v>
      </c>
      <c r="G520" s="5">
        <v>0.75</v>
      </c>
      <c r="H520" s="5">
        <v>3</v>
      </c>
      <c r="I520" s="5">
        <v>11</v>
      </c>
      <c r="J520" s="5"/>
      <c r="N520" s="12">
        <f t="shared" si="107"/>
        <v>316</v>
      </c>
    </row>
    <row r="521" spans="1:14" x14ac:dyDescent="0.3">
      <c r="A521" t="s">
        <v>13</v>
      </c>
      <c r="B521" s="5">
        <v>1</v>
      </c>
      <c r="D521" s="5">
        <v>60</v>
      </c>
      <c r="F521" s="5">
        <v>1.25</v>
      </c>
      <c r="G521" s="5">
        <v>0.75</v>
      </c>
      <c r="H521" s="5">
        <v>3</v>
      </c>
      <c r="N521" s="12">
        <f t="shared" si="107"/>
        <v>65</v>
      </c>
    </row>
    <row r="522" spans="1:14" x14ac:dyDescent="0.3">
      <c r="A522" t="s">
        <v>12</v>
      </c>
      <c r="B522" s="5">
        <v>1</v>
      </c>
      <c r="D522" s="5">
        <v>30</v>
      </c>
      <c r="F522" s="5">
        <v>1.25</v>
      </c>
      <c r="G522" s="5">
        <v>0.75</v>
      </c>
      <c r="H522" s="5">
        <v>3</v>
      </c>
      <c r="I522" s="5">
        <v>5</v>
      </c>
      <c r="J522" t="s">
        <v>53</v>
      </c>
      <c r="N522" s="12">
        <f t="shared" si="107"/>
        <v>40</v>
      </c>
    </row>
    <row r="523" spans="1:14" x14ac:dyDescent="0.3">
      <c r="A523" t="s">
        <v>20</v>
      </c>
      <c r="B523" s="5">
        <v>1</v>
      </c>
      <c r="D523" s="5">
        <v>30</v>
      </c>
      <c r="F523" s="5">
        <v>1.25</v>
      </c>
      <c r="G523" s="5">
        <v>0.75</v>
      </c>
      <c r="H523" s="5">
        <v>3</v>
      </c>
      <c r="I523" s="5">
        <v>5</v>
      </c>
      <c r="N523" s="12">
        <f t="shared" si="107"/>
        <v>40</v>
      </c>
    </row>
    <row r="524" spans="1:14" x14ac:dyDescent="0.3">
      <c r="A524" t="s">
        <v>23</v>
      </c>
      <c r="B524" s="5">
        <v>1</v>
      </c>
      <c r="D524" s="5">
        <v>30</v>
      </c>
      <c r="F524" s="5">
        <v>1.25</v>
      </c>
      <c r="G524" s="5">
        <v>0.75</v>
      </c>
      <c r="H524" s="5">
        <v>3</v>
      </c>
      <c r="N524" s="12">
        <f t="shared" si="107"/>
        <v>35</v>
      </c>
    </row>
    <row r="525" spans="1:14" x14ac:dyDescent="0.3">
      <c r="A525" t="s">
        <v>15</v>
      </c>
      <c r="B525" s="5">
        <v>1</v>
      </c>
      <c r="D525" s="5">
        <v>60</v>
      </c>
      <c r="N525" s="12">
        <f>SUM(C525:M525)*B525</f>
        <v>60</v>
      </c>
    </row>
    <row r="526" spans="1:14" x14ac:dyDescent="0.3">
      <c r="A526" s="24"/>
      <c r="B526" s="25"/>
      <c r="C526" s="27">
        <f t="shared" ref="C526:N526" si="108">SUM(C518:C525)</f>
        <v>6</v>
      </c>
      <c r="D526" s="27">
        <f t="shared" si="108"/>
        <v>1560</v>
      </c>
      <c r="E526" s="27">
        <f t="shared" si="108"/>
        <v>60</v>
      </c>
      <c r="F526" s="27">
        <f t="shared" si="108"/>
        <v>11.25</v>
      </c>
      <c r="G526" s="27">
        <f t="shared" si="108"/>
        <v>6.75</v>
      </c>
      <c r="H526" s="27">
        <f t="shared" si="108"/>
        <v>23</v>
      </c>
      <c r="I526" s="27">
        <f t="shared" si="108"/>
        <v>32</v>
      </c>
      <c r="J526" s="27">
        <f t="shared" si="108"/>
        <v>0</v>
      </c>
      <c r="K526" s="26">
        <f t="shared" si="108"/>
        <v>0</v>
      </c>
      <c r="L526" s="26">
        <f t="shared" si="108"/>
        <v>0</v>
      </c>
      <c r="M526" s="26">
        <f t="shared" si="108"/>
        <v>0</v>
      </c>
      <c r="N526" s="28">
        <f t="shared" si="108"/>
        <v>1699</v>
      </c>
    </row>
    <row r="528" spans="1:14" ht="23.4" x14ac:dyDescent="0.45">
      <c r="A528" s="85">
        <f>A517+30</f>
        <v>45578</v>
      </c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</row>
    <row r="529" spans="1:14" x14ac:dyDescent="0.3">
      <c r="A529" t="s">
        <v>10</v>
      </c>
      <c r="B529" s="5">
        <v>1</v>
      </c>
      <c r="C529" s="5">
        <v>3</v>
      </c>
      <c r="D529" s="5">
        <v>900</v>
      </c>
      <c r="E529" s="5">
        <v>60</v>
      </c>
      <c r="F529" s="5">
        <v>3</v>
      </c>
      <c r="G529" s="5">
        <v>2</v>
      </c>
      <c r="H529" s="5">
        <v>5</v>
      </c>
      <c r="J529" s="5"/>
      <c r="L529" s="5"/>
      <c r="N529" s="12">
        <f t="shared" ref="N529:N535" si="109">SUM(C529:M529)*B529</f>
        <v>973</v>
      </c>
    </row>
    <row r="530" spans="1:14" x14ac:dyDescent="0.3">
      <c r="A530" t="s">
        <v>11</v>
      </c>
      <c r="B530" s="5">
        <v>1</v>
      </c>
      <c r="C530" s="5">
        <v>3</v>
      </c>
      <c r="D530" s="5">
        <v>150</v>
      </c>
      <c r="F530" s="5">
        <v>2</v>
      </c>
      <c r="G530" s="5">
        <v>1</v>
      </c>
      <c r="H530" s="5">
        <v>3</v>
      </c>
      <c r="I530" s="5">
        <v>11</v>
      </c>
      <c r="J530" s="5"/>
      <c r="N530" s="12">
        <f t="shared" si="109"/>
        <v>170</v>
      </c>
    </row>
    <row r="531" spans="1:14" x14ac:dyDescent="0.3">
      <c r="A531" t="s">
        <v>14</v>
      </c>
      <c r="B531" s="5">
        <v>1</v>
      </c>
      <c r="D531" s="5">
        <v>300</v>
      </c>
      <c r="F531" s="5">
        <v>1.25</v>
      </c>
      <c r="G531" s="5">
        <v>0.75</v>
      </c>
      <c r="H531" s="5">
        <v>3</v>
      </c>
      <c r="I531" s="5">
        <v>11</v>
      </c>
      <c r="J531" s="5"/>
      <c r="N531" s="12">
        <f t="shared" si="109"/>
        <v>316</v>
      </c>
    </row>
    <row r="532" spans="1:14" x14ac:dyDescent="0.3">
      <c r="A532" t="s">
        <v>13</v>
      </c>
      <c r="B532" s="5">
        <v>1</v>
      </c>
      <c r="D532" s="5">
        <v>60</v>
      </c>
      <c r="F532" s="5">
        <v>1.25</v>
      </c>
      <c r="G532" s="5">
        <v>0.75</v>
      </c>
      <c r="H532" s="5">
        <v>3</v>
      </c>
      <c r="N532" s="12">
        <f t="shared" si="109"/>
        <v>65</v>
      </c>
    </row>
    <row r="533" spans="1:14" x14ac:dyDescent="0.3">
      <c r="A533" t="s">
        <v>12</v>
      </c>
      <c r="B533" s="5">
        <v>1</v>
      </c>
      <c r="D533" s="5">
        <v>30</v>
      </c>
      <c r="F533" s="5">
        <v>1.25</v>
      </c>
      <c r="G533" s="5">
        <v>0.75</v>
      </c>
      <c r="H533" s="5">
        <v>3</v>
      </c>
      <c r="I533" s="5">
        <v>5</v>
      </c>
      <c r="J533" t="s">
        <v>53</v>
      </c>
      <c r="N533" s="12">
        <f t="shared" si="109"/>
        <v>40</v>
      </c>
    </row>
    <row r="534" spans="1:14" x14ac:dyDescent="0.3">
      <c r="A534" t="s">
        <v>20</v>
      </c>
      <c r="B534" s="5">
        <v>1</v>
      </c>
      <c r="D534" s="5">
        <v>30</v>
      </c>
      <c r="F534" s="5">
        <v>1.25</v>
      </c>
      <c r="G534" s="5">
        <v>0.75</v>
      </c>
      <c r="H534" s="5">
        <v>3</v>
      </c>
      <c r="I534" s="5">
        <v>5</v>
      </c>
      <c r="N534" s="12">
        <f t="shared" si="109"/>
        <v>40</v>
      </c>
    </row>
    <row r="535" spans="1:14" x14ac:dyDescent="0.3">
      <c r="A535" t="s">
        <v>23</v>
      </c>
      <c r="B535" s="5">
        <v>1</v>
      </c>
      <c r="D535" s="5">
        <v>30</v>
      </c>
      <c r="F535" s="5">
        <v>1.25</v>
      </c>
      <c r="G535" s="5">
        <v>0.75</v>
      </c>
      <c r="H535" s="5">
        <v>3</v>
      </c>
      <c r="N535" s="12">
        <f t="shared" si="109"/>
        <v>35</v>
      </c>
    </row>
    <row r="536" spans="1:14" x14ac:dyDescent="0.3">
      <c r="A536" t="s">
        <v>15</v>
      </c>
      <c r="B536" s="5">
        <v>1</v>
      </c>
      <c r="D536" s="5">
        <v>60</v>
      </c>
      <c r="N536" s="12">
        <f>SUM(C536:M536)*B536</f>
        <v>60</v>
      </c>
    </row>
    <row r="537" spans="1:14" x14ac:dyDescent="0.3">
      <c r="A537" s="24"/>
      <c r="B537" s="25"/>
      <c r="C537" s="27">
        <f t="shared" ref="C537:N537" si="110">SUM(C529:C536)</f>
        <v>6</v>
      </c>
      <c r="D537" s="27">
        <f t="shared" si="110"/>
        <v>1560</v>
      </c>
      <c r="E537" s="27">
        <f t="shared" si="110"/>
        <v>60</v>
      </c>
      <c r="F537" s="27">
        <f t="shared" si="110"/>
        <v>11.25</v>
      </c>
      <c r="G537" s="27">
        <f t="shared" si="110"/>
        <v>6.75</v>
      </c>
      <c r="H537" s="27">
        <f t="shared" si="110"/>
        <v>23</v>
      </c>
      <c r="I537" s="27">
        <f t="shared" si="110"/>
        <v>32</v>
      </c>
      <c r="J537" s="27">
        <f t="shared" si="110"/>
        <v>0</v>
      </c>
      <c r="K537" s="26">
        <f t="shared" si="110"/>
        <v>0</v>
      </c>
      <c r="L537" s="26">
        <f t="shared" si="110"/>
        <v>0</v>
      </c>
      <c r="M537" s="26">
        <f t="shared" si="110"/>
        <v>0</v>
      </c>
      <c r="N537" s="28">
        <f t="shared" si="110"/>
        <v>1699</v>
      </c>
    </row>
    <row r="539" spans="1:14" ht="23.4" x14ac:dyDescent="0.45">
      <c r="A539" s="85">
        <f>A528+30</f>
        <v>45608</v>
      </c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</row>
    <row r="540" spans="1:14" x14ac:dyDescent="0.3">
      <c r="A540" t="s">
        <v>10</v>
      </c>
      <c r="B540" s="5">
        <v>1</v>
      </c>
      <c r="C540" s="5">
        <v>3</v>
      </c>
      <c r="D540" s="5">
        <v>900</v>
      </c>
      <c r="E540" s="5">
        <v>60</v>
      </c>
      <c r="F540" s="5">
        <v>3</v>
      </c>
      <c r="G540" s="5">
        <v>2</v>
      </c>
      <c r="H540" s="5">
        <v>5</v>
      </c>
      <c r="I540" s="5">
        <v>51</v>
      </c>
      <c r="J540" s="5"/>
      <c r="L540" s="5"/>
      <c r="N540" s="12">
        <f t="shared" ref="N540:N546" si="111">SUM(C540:M540)*B540</f>
        <v>1024</v>
      </c>
    </row>
    <row r="541" spans="1:14" x14ac:dyDescent="0.3">
      <c r="A541" t="s">
        <v>11</v>
      </c>
      <c r="B541" s="5">
        <v>1</v>
      </c>
      <c r="C541" s="5">
        <v>3</v>
      </c>
      <c r="D541" s="5">
        <v>150</v>
      </c>
      <c r="F541" s="5">
        <v>2</v>
      </c>
      <c r="G541" s="5">
        <v>1</v>
      </c>
      <c r="H541" s="5">
        <v>3</v>
      </c>
      <c r="I541" s="5">
        <v>11</v>
      </c>
      <c r="J541" s="5"/>
      <c r="N541" s="12">
        <f t="shared" si="111"/>
        <v>170</v>
      </c>
    </row>
    <row r="542" spans="1:14" x14ac:dyDescent="0.3">
      <c r="A542" t="s">
        <v>14</v>
      </c>
      <c r="B542" s="5">
        <v>1</v>
      </c>
      <c r="D542" s="5">
        <v>300</v>
      </c>
      <c r="F542" s="5">
        <v>1.25</v>
      </c>
      <c r="G542" s="5">
        <v>0.75</v>
      </c>
      <c r="H542" s="5">
        <v>3</v>
      </c>
      <c r="I542" s="5">
        <v>11</v>
      </c>
      <c r="J542" s="5"/>
      <c r="N542" s="12">
        <f t="shared" si="111"/>
        <v>316</v>
      </c>
    </row>
    <row r="543" spans="1:14" x14ac:dyDescent="0.3">
      <c r="A543" t="s">
        <v>13</v>
      </c>
      <c r="B543" s="5">
        <v>1</v>
      </c>
      <c r="D543" s="5">
        <v>60</v>
      </c>
      <c r="F543" s="5">
        <v>1.25</v>
      </c>
      <c r="G543" s="5">
        <v>0.75</v>
      </c>
      <c r="H543" s="5">
        <v>3</v>
      </c>
      <c r="N543" s="12">
        <f t="shared" si="111"/>
        <v>65</v>
      </c>
    </row>
    <row r="544" spans="1:14" x14ac:dyDescent="0.3">
      <c r="A544" t="s">
        <v>12</v>
      </c>
      <c r="B544" s="5">
        <v>1</v>
      </c>
      <c r="D544" s="5">
        <v>30</v>
      </c>
      <c r="F544" s="5">
        <v>1.25</v>
      </c>
      <c r="G544" s="5">
        <v>0.75</v>
      </c>
      <c r="H544" s="5">
        <v>3</v>
      </c>
      <c r="I544" s="5">
        <v>5</v>
      </c>
      <c r="J544" t="s">
        <v>53</v>
      </c>
      <c r="N544" s="12">
        <f t="shared" si="111"/>
        <v>40</v>
      </c>
    </row>
    <row r="545" spans="1:14" x14ac:dyDescent="0.3">
      <c r="A545" t="s">
        <v>20</v>
      </c>
      <c r="B545" s="5">
        <v>1</v>
      </c>
      <c r="D545" s="5">
        <v>30</v>
      </c>
      <c r="F545" s="5">
        <v>1.25</v>
      </c>
      <c r="G545" s="5">
        <v>0.75</v>
      </c>
      <c r="H545" s="5">
        <v>3</v>
      </c>
      <c r="I545" s="5">
        <v>5</v>
      </c>
      <c r="N545" s="12">
        <f t="shared" si="111"/>
        <v>40</v>
      </c>
    </row>
    <row r="546" spans="1:14" x14ac:dyDescent="0.3">
      <c r="A546" t="s">
        <v>23</v>
      </c>
      <c r="B546" s="5">
        <v>1</v>
      </c>
      <c r="D546" s="5">
        <v>30</v>
      </c>
      <c r="F546" s="5">
        <v>1.25</v>
      </c>
      <c r="G546" s="5">
        <v>0.75</v>
      </c>
      <c r="H546" s="5">
        <v>3</v>
      </c>
      <c r="N546" s="12">
        <f t="shared" si="111"/>
        <v>35</v>
      </c>
    </row>
    <row r="547" spans="1:14" x14ac:dyDescent="0.3">
      <c r="A547" t="s">
        <v>15</v>
      </c>
      <c r="B547" s="5">
        <v>1</v>
      </c>
      <c r="D547" s="5">
        <v>60</v>
      </c>
      <c r="N547" s="12">
        <f>SUM(C547:M547)*B547</f>
        <v>60</v>
      </c>
    </row>
    <row r="548" spans="1:14" x14ac:dyDescent="0.3">
      <c r="A548" s="24"/>
      <c r="B548" s="25"/>
      <c r="C548" s="27">
        <f t="shared" ref="C548:N548" si="112">SUM(C540:C547)</f>
        <v>6</v>
      </c>
      <c r="D548" s="27">
        <f t="shared" si="112"/>
        <v>1560</v>
      </c>
      <c r="E548" s="27">
        <f t="shared" si="112"/>
        <v>60</v>
      </c>
      <c r="F548" s="27">
        <f t="shared" si="112"/>
        <v>11.25</v>
      </c>
      <c r="G548" s="27">
        <f t="shared" si="112"/>
        <v>6.75</v>
      </c>
      <c r="H548" s="27">
        <f t="shared" si="112"/>
        <v>23</v>
      </c>
      <c r="I548" s="27">
        <f t="shared" si="112"/>
        <v>83</v>
      </c>
      <c r="J548" s="27">
        <f t="shared" si="112"/>
        <v>0</v>
      </c>
      <c r="K548" s="26">
        <f t="shared" si="112"/>
        <v>0</v>
      </c>
      <c r="L548" s="26">
        <f t="shared" si="112"/>
        <v>0</v>
      </c>
      <c r="M548" s="26">
        <f t="shared" si="112"/>
        <v>0</v>
      </c>
      <c r="N548" s="28">
        <f t="shared" si="112"/>
        <v>1750</v>
      </c>
    </row>
    <row r="550" spans="1:14" ht="23.4" x14ac:dyDescent="0.45">
      <c r="A550" s="85">
        <f>A539+30</f>
        <v>45638</v>
      </c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</row>
    <row r="551" spans="1:14" x14ac:dyDescent="0.3">
      <c r="A551" t="s">
        <v>10</v>
      </c>
      <c r="B551" s="5">
        <v>1</v>
      </c>
      <c r="C551" s="5">
        <v>3</v>
      </c>
      <c r="D551" s="5">
        <v>900</v>
      </c>
      <c r="E551" s="5">
        <v>60</v>
      </c>
      <c r="F551" s="5">
        <v>3</v>
      </c>
      <c r="G551" s="5">
        <v>2</v>
      </c>
      <c r="H551" s="5">
        <v>5</v>
      </c>
      <c r="I551" s="5">
        <v>81</v>
      </c>
      <c r="J551" s="5"/>
      <c r="K551" s="5">
        <v>27</v>
      </c>
      <c r="L551" s="5"/>
      <c r="N551" s="12">
        <f t="shared" ref="N551:N557" si="113">SUM(C551:M551)*B551</f>
        <v>1081</v>
      </c>
    </row>
    <row r="552" spans="1:14" x14ac:dyDescent="0.3">
      <c r="A552" t="s">
        <v>11</v>
      </c>
      <c r="B552" s="5">
        <v>1</v>
      </c>
      <c r="C552" s="5">
        <v>3</v>
      </c>
      <c r="D552" s="5">
        <v>150</v>
      </c>
      <c r="E552" s="5">
        <v>30</v>
      </c>
      <c r="F552" s="5">
        <v>2</v>
      </c>
      <c r="G552" s="5">
        <v>1</v>
      </c>
      <c r="H552" s="5">
        <v>3</v>
      </c>
      <c r="I552" s="5">
        <v>11</v>
      </c>
      <c r="J552" s="5"/>
      <c r="N552" s="12">
        <f t="shared" si="113"/>
        <v>200</v>
      </c>
    </row>
    <row r="553" spans="1:14" x14ac:dyDescent="0.3">
      <c r="A553" t="s">
        <v>14</v>
      </c>
      <c r="B553" s="5">
        <v>1</v>
      </c>
      <c r="D553" s="5">
        <v>300</v>
      </c>
      <c r="F553" s="5">
        <v>1.25</v>
      </c>
      <c r="G553" s="5">
        <v>0.75</v>
      </c>
      <c r="H553" s="5">
        <v>3</v>
      </c>
      <c r="I553" s="5">
        <v>20</v>
      </c>
      <c r="J553" s="5"/>
      <c r="N553" s="12">
        <f t="shared" si="113"/>
        <v>325</v>
      </c>
    </row>
    <row r="554" spans="1:14" x14ac:dyDescent="0.3">
      <c r="A554" t="s">
        <v>13</v>
      </c>
      <c r="B554" s="5">
        <v>1</v>
      </c>
      <c r="D554" s="5">
        <v>60</v>
      </c>
      <c r="F554" s="5">
        <v>1.25</v>
      </c>
      <c r="G554" s="5">
        <v>0.75</v>
      </c>
      <c r="H554" s="5">
        <v>3</v>
      </c>
      <c r="I554" s="5">
        <v>5</v>
      </c>
      <c r="N554" s="12">
        <f t="shared" si="113"/>
        <v>70</v>
      </c>
    </row>
    <row r="555" spans="1:14" x14ac:dyDescent="0.3">
      <c r="A555" t="s">
        <v>12</v>
      </c>
      <c r="B555" s="5">
        <v>1</v>
      </c>
      <c r="D555" s="5">
        <v>30</v>
      </c>
      <c r="F555" s="5">
        <v>1.25</v>
      </c>
      <c r="G555" s="5">
        <v>0.75</v>
      </c>
      <c r="H555" s="5">
        <v>3</v>
      </c>
      <c r="I555" s="5">
        <v>5</v>
      </c>
      <c r="J555" t="s">
        <v>53</v>
      </c>
      <c r="N555" s="12">
        <f t="shared" si="113"/>
        <v>40</v>
      </c>
    </row>
    <row r="556" spans="1:14" x14ac:dyDescent="0.3">
      <c r="A556" t="s">
        <v>20</v>
      </c>
      <c r="B556" s="5">
        <v>1</v>
      </c>
      <c r="D556" s="5">
        <v>30</v>
      </c>
      <c r="F556" s="5">
        <v>1.25</v>
      </c>
      <c r="G556" s="5">
        <v>0.75</v>
      </c>
      <c r="H556" s="5">
        <v>3</v>
      </c>
      <c r="I556" s="5">
        <v>5</v>
      </c>
      <c r="N556" s="12">
        <f t="shared" si="113"/>
        <v>40</v>
      </c>
    </row>
    <row r="557" spans="1:14" x14ac:dyDescent="0.3">
      <c r="A557" t="s">
        <v>23</v>
      </c>
      <c r="B557" s="5">
        <v>1</v>
      </c>
      <c r="D557" s="5">
        <v>30</v>
      </c>
      <c r="F557" s="5">
        <v>1.25</v>
      </c>
      <c r="G557" s="5">
        <v>0.75</v>
      </c>
      <c r="H557" s="5">
        <v>3</v>
      </c>
      <c r="N557" s="12">
        <f t="shared" si="113"/>
        <v>35</v>
      </c>
    </row>
    <row r="558" spans="1:14" x14ac:dyDescent="0.3">
      <c r="A558" t="s">
        <v>15</v>
      </c>
      <c r="B558" s="5">
        <v>1</v>
      </c>
      <c r="D558" s="5">
        <v>60</v>
      </c>
      <c r="N558" s="12">
        <f>SUM(C558:M558)*B558</f>
        <v>60</v>
      </c>
    </row>
    <row r="559" spans="1:14" x14ac:dyDescent="0.3">
      <c r="A559" s="24"/>
      <c r="B559" s="25"/>
      <c r="C559" s="27">
        <f t="shared" ref="C559:N559" si="114">SUM(C551:C558)</f>
        <v>6</v>
      </c>
      <c r="D559" s="27">
        <f t="shared" si="114"/>
        <v>1560</v>
      </c>
      <c r="E559" s="27">
        <f t="shared" si="114"/>
        <v>90</v>
      </c>
      <c r="F559" s="27">
        <f t="shared" si="114"/>
        <v>11.25</v>
      </c>
      <c r="G559" s="27">
        <f t="shared" si="114"/>
        <v>6.75</v>
      </c>
      <c r="H559" s="27">
        <f t="shared" si="114"/>
        <v>23</v>
      </c>
      <c r="I559" s="27">
        <f t="shared" si="114"/>
        <v>127</v>
      </c>
      <c r="J559" s="27">
        <f t="shared" si="114"/>
        <v>0</v>
      </c>
      <c r="K559" s="26">
        <f t="shared" si="114"/>
        <v>27</v>
      </c>
      <c r="L559" s="26">
        <f t="shared" si="114"/>
        <v>0</v>
      </c>
      <c r="M559" s="26">
        <f t="shared" si="114"/>
        <v>0</v>
      </c>
      <c r="N559" s="28">
        <f t="shared" si="114"/>
        <v>1851</v>
      </c>
    </row>
    <row r="561" spans="1:14" ht="23.4" x14ac:dyDescent="0.45">
      <c r="A561" s="85">
        <f>A550+30</f>
        <v>45668</v>
      </c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</row>
    <row r="562" spans="1:14" x14ac:dyDescent="0.3">
      <c r="A562" t="s">
        <v>10</v>
      </c>
      <c r="B562" s="5">
        <v>1</v>
      </c>
      <c r="C562" s="5">
        <v>3</v>
      </c>
      <c r="D562" s="5">
        <v>900</v>
      </c>
      <c r="E562" s="5">
        <v>60</v>
      </c>
      <c r="F562" s="5">
        <v>3</v>
      </c>
      <c r="G562" s="5">
        <v>2</v>
      </c>
      <c r="H562" s="5">
        <v>5</v>
      </c>
      <c r="I562" s="5">
        <v>81</v>
      </c>
      <c r="J562" s="5"/>
      <c r="K562" s="5">
        <v>27</v>
      </c>
      <c r="L562" s="5"/>
      <c r="N562" s="12">
        <f t="shared" ref="N562:N568" si="115">SUM(C562:M562)*B562</f>
        <v>1081</v>
      </c>
    </row>
    <row r="563" spans="1:14" x14ac:dyDescent="0.3">
      <c r="A563" t="s">
        <v>11</v>
      </c>
      <c r="B563" s="5">
        <v>1</v>
      </c>
      <c r="C563" s="5">
        <v>3</v>
      </c>
      <c r="D563" s="5">
        <v>150</v>
      </c>
      <c r="E563" s="5">
        <v>30</v>
      </c>
      <c r="F563" s="5">
        <v>2</v>
      </c>
      <c r="G563" s="5">
        <v>1</v>
      </c>
      <c r="H563" s="5">
        <v>3</v>
      </c>
      <c r="I563" s="5">
        <v>11</v>
      </c>
      <c r="J563" s="5"/>
      <c r="N563" s="12">
        <f t="shared" si="115"/>
        <v>200</v>
      </c>
    </row>
    <row r="564" spans="1:14" x14ac:dyDescent="0.3">
      <c r="A564" t="s">
        <v>14</v>
      </c>
      <c r="B564" s="5">
        <v>1</v>
      </c>
      <c r="D564" s="5">
        <v>300</v>
      </c>
      <c r="F564" s="5">
        <v>1.25</v>
      </c>
      <c r="G564" s="5">
        <v>0.75</v>
      </c>
      <c r="H564" s="5">
        <v>3</v>
      </c>
      <c r="I564" s="5">
        <v>70</v>
      </c>
      <c r="J564" s="5"/>
      <c r="N564" s="12">
        <f t="shared" si="115"/>
        <v>375</v>
      </c>
    </row>
    <row r="565" spans="1:14" x14ac:dyDescent="0.3">
      <c r="A565" t="s">
        <v>13</v>
      </c>
      <c r="B565" s="5">
        <v>1</v>
      </c>
      <c r="D565" s="5">
        <v>60</v>
      </c>
      <c r="F565" s="5">
        <v>1.25</v>
      </c>
      <c r="G565" s="5">
        <v>0.75</v>
      </c>
      <c r="H565" s="5">
        <v>3</v>
      </c>
      <c r="I565" s="5">
        <v>5</v>
      </c>
      <c r="N565" s="12">
        <f t="shared" si="115"/>
        <v>70</v>
      </c>
    </row>
    <row r="566" spans="1:14" x14ac:dyDescent="0.3">
      <c r="A566" t="s">
        <v>12</v>
      </c>
      <c r="B566" s="5">
        <v>1</v>
      </c>
      <c r="D566" s="5">
        <v>30</v>
      </c>
      <c r="F566" s="5">
        <v>1.25</v>
      </c>
      <c r="G566" s="5">
        <v>0.75</v>
      </c>
      <c r="H566" s="5">
        <v>3</v>
      </c>
      <c r="I566" s="5">
        <v>5</v>
      </c>
      <c r="J566" t="s">
        <v>53</v>
      </c>
      <c r="N566" s="12">
        <f t="shared" si="115"/>
        <v>40</v>
      </c>
    </row>
    <row r="567" spans="1:14" x14ac:dyDescent="0.3">
      <c r="A567" t="s">
        <v>20</v>
      </c>
      <c r="B567" s="5">
        <v>1</v>
      </c>
      <c r="D567" s="5">
        <v>30</v>
      </c>
      <c r="F567" s="5">
        <v>1.25</v>
      </c>
      <c r="G567" s="5">
        <v>0.75</v>
      </c>
      <c r="H567" s="5">
        <v>3</v>
      </c>
      <c r="I567" s="5">
        <v>5</v>
      </c>
      <c r="N567" s="12">
        <f t="shared" si="115"/>
        <v>40</v>
      </c>
    </row>
    <row r="568" spans="1:14" x14ac:dyDescent="0.3">
      <c r="A568" t="s">
        <v>23</v>
      </c>
      <c r="B568" s="5">
        <v>1</v>
      </c>
      <c r="D568" s="5">
        <v>30</v>
      </c>
      <c r="F568" s="5">
        <v>1.25</v>
      </c>
      <c r="G568" s="5">
        <v>0.75</v>
      </c>
      <c r="H568" s="5">
        <v>3</v>
      </c>
      <c r="N568" s="12">
        <f t="shared" si="115"/>
        <v>35</v>
      </c>
    </row>
    <row r="569" spans="1:14" x14ac:dyDescent="0.3">
      <c r="A569" t="s">
        <v>15</v>
      </c>
      <c r="B569" s="5">
        <v>1</v>
      </c>
      <c r="D569" s="5">
        <v>60</v>
      </c>
      <c r="N569" s="12">
        <f>SUM(C569:M569)*B569</f>
        <v>60</v>
      </c>
    </row>
    <row r="570" spans="1:14" x14ac:dyDescent="0.3">
      <c r="A570" s="24"/>
      <c r="B570" s="25"/>
      <c r="C570" s="27">
        <f t="shared" ref="C570:N570" si="116">SUM(C562:C569)</f>
        <v>6</v>
      </c>
      <c r="D570" s="27">
        <f t="shared" si="116"/>
        <v>1560</v>
      </c>
      <c r="E570" s="27">
        <f t="shared" si="116"/>
        <v>90</v>
      </c>
      <c r="F570" s="27">
        <f t="shared" si="116"/>
        <v>11.25</v>
      </c>
      <c r="G570" s="27">
        <f t="shared" si="116"/>
        <v>6.75</v>
      </c>
      <c r="H570" s="27">
        <f t="shared" si="116"/>
        <v>23</v>
      </c>
      <c r="I570" s="27">
        <f t="shared" si="116"/>
        <v>177</v>
      </c>
      <c r="J570" s="27">
        <f t="shared" si="116"/>
        <v>0</v>
      </c>
      <c r="K570" s="26">
        <f t="shared" si="116"/>
        <v>27</v>
      </c>
      <c r="L570" s="26">
        <f t="shared" si="116"/>
        <v>0</v>
      </c>
      <c r="M570" s="26">
        <f t="shared" si="116"/>
        <v>0</v>
      </c>
      <c r="N570" s="28">
        <f t="shared" si="116"/>
        <v>1901</v>
      </c>
    </row>
    <row r="572" spans="1:14" ht="23.4" x14ac:dyDescent="0.45">
      <c r="A572" s="85">
        <f>A561+30</f>
        <v>45698</v>
      </c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</row>
    <row r="573" spans="1:14" x14ac:dyDescent="0.3">
      <c r="A573" t="s">
        <v>10</v>
      </c>
      <c r="B573" s="5">
        <v>1</v>
      </c>
      <c r="C573" s="5">
        <v>3</v>
      </c>
      <c r="D573" s="5">
        <v>930</v>
      </c>
      <c r="E573" s="5">
        <v>60</v>
      </c>
      <c r="F573" s="5">
        <v>3</v>
      </c>
      <c r="G573" s="5">
        <v>2</v>
      </c>
      <c r="H573" s="5">
        <v>5</v>
      </c>
      <c r="I573" s="5">
        <v>81</v>
      </c>
      <c r="J573" s="5"/>
      <c r="K573" s="5"/>
      <c r="L573" s="5"/>
      <c r="N573" s="12">
        <f t="shared" ref="N573:N579" si="117">SUM(C573:M573)*B573</f>
        <v>1084</v>
      </c>
    </row>
    <row r="574" spans="1:14" x14ac:dyDescent="0.3">
      <c r="A574" t="s">
        <v>11</v>
      </c>
      <c r="B574" s="5">
        <v>1</v>
      </c>
      <c r="C574" s="5">
        <v>3</v>
      </c>
      <c r="D574" s="5">
        <v>150</v>
      </c>
      <c r="E574" s="5">
        <v>30</v>
      </c>
      <c r="F574" s="5">
        <v>2</v>
      </c>
      <c r="G574" s="5">
        <v>1</v>
      </c>
      <c r="H574" s="5">
        <v>3</v>
      </c>
      <c r="I574" s="5">
        <v>11</v>
      </c>
      <c r="J574" s="5"/>
      <c r="N574" s="12">
        <f t="shared" si="117"/>
        <v>200</v>
      </c>
    </row>
    <row r="575" spans="1:14" x14ac:dyDescent="0.3">
      <c r="A575" t="s">
        <v>14</v>
      </c>
      <c r="B575" s="5">
        <v>1</v>
      </c>
      <c r="D575" s="5">
        <v>300</v>
      </c>
      <c r="F575" s="5">
        <v>1.25</v>
      </c>
      <c r="G575" s="5">
        <v>0.75</v>
      </c>
      <c r="H575" s="5">
        <v>3</v>
      </c>
      <c r="I575" s="5">
        <v>20</v>
      </c>
      <c r="J575" s="5"/>
      <c r="N575" s="12">
        <f t="shared" si="117"/>
        <v>325</v>
      </c>
    </row>
    <row r="576" spans="1:14" x14ac:dyDescent="0.3">
      <c r="A576" t="s">
        <v>13</v>
      </c>
      <c r="B576" s="5">
        <v>1</v>
      </c>
      <c r="D576" s="5">
        <v>60</v>
      </c>
      <c r="F576" s="5">
        <v>1.25</v>
      </c>
      <c r="G576" s="5">
        <v>0.75</v>
      </c>
      <c r="H576" s="5">
        <v>3</v>
      </c>
      <c r="I576" s="5">
        <v>5</v>
      </c>
      <c r="N576" s="12">
        <f t="shared" si="117"/>
        <v>70</v>
      </c>
    </row>
    <row r="577" spans="1:14" x14ac:dyDescent="0.3">
      <c r="A577" t="s">
        <v>12</v>
      </c>
      <c r="B577" s="5">
        <v>1</v>
      </c>
      <c r="D577" s="5">
        <v>30</v>
      </c>
      <c r="F577" s="5">
        <v>1.25</v>
      </c>
      <c r="G577" s="5">
        <v>0.75</v>
      </c>
      <c r="H577" s="5">
        <v>3</v>
      </c>
      <c r="I577" s="5">
        <v>5</v>
      </c>
      <c r="J577" t="s">
        <v>53</v>
      </c>
      <c r="N577" s="12">
        <f t="shared" si="117"/>
        <v>40</v>
      </c>
    </row>
    <row r="578" spans="1:14" x14ac:dyDescent="0.3">
      <c r="A578" t="s">
        <v>20</v>
      </c>
      <c r="B578" s="5">
        <v>1</v>
      </c>
      <c r="D578" s="5">
        <v>30</v>
      </c>
      <c r="F578" s="5">
        <v>1.25</v>
      </c>
      <c r="G578" s="5">
        <v>0.75</v>
      </c>
      <c r="H578" s="5">
        <v>3</v>
      </c>
      <c r="I578" s="5">
        <v>5</v>
      </c>
      <c r="N578" s="12">
        <f t="shared" si="117"/>
        <v>40</v>
      </c>
    </row>
    <row r="579" spans="1:14" x14ac:dyDescent="0.3">
      <c r="A579" t="s">
        <v>23</v>
      </c>
      <c r="B579" s="5">
        <v>1</v>
      </c>
      <c r="D579" s="5">
        <v>30</v>
      </c>
      <c r="F579" s="5">
        <v>1.25</v>
      </c>
      <c r="G579" s="5">
        <v>0.75</v>
      </c>
      <c r="H579" s="5">
        <v>3</v>
      </c>
      <c r="N579" s="12">
        <f t="shared" si="117"/>
        <v>35</v>
      </c>
    </row>
    <row r="580" spans="1:14" x14ac:dyDescent="0.3">
      <c r="A580" t="s">
        <v>15</v>
      </c>
      <c r="B580" s="5">
        <v>1</v>
      </c>
      <c r="D580" s="5">
        <v>60</v>
      </c>
      <c r="N580" s="12">
        <f>SUM(C580:M580)*B580</f>
        <v>60</v>
      </c>
    </row>
    <row r="581" spans="1:14" x14ac:dyDescent="0.3">
      <c r="A581" s="24"/>
      <c r="B581" s="25"/>
      <c r="C581" s="27">
        <f t="shared" ref="C581:N581" si="118">SUM(C573:C580)</f>
        <v>6</v>
      </c>
      <c r="D581" s="27">
        <f t="shared" si="118"/>
        <v>1590</v>
      </c>
      <c r="E581" s="27">
        <f t="shared" si="118"/>
        <v>90</v>
      </c>
      <c r="F581" s="27">
        <f t="shared" si="118"/>
        <v>11.25</v>
      </c>
      <c r="G581" s="27">
        <f t="shared" si="118"/>
        <v>6.75</v>
      </c>
      <c r="H581" s="27">
        <f t="shared" si="118"/>
        <v>23</v>
      </c>
      <c r="I581" s="27">
        <f t="shared" si="118"/>
        <v>127</v>
      </c>
      <c r="J581" s="27">
        <f t="shared" si="118"/>
        <v>0</v>
      </c>
      <c r="K581" s="26">
        <f t="shared" si="118"/>
        <v>0</v>
      </c>
      <c r="L581" s="26">
        <f t="shared" si="118"/>
        <v>0</v>
      </c>
      <c r="M581" s="26">
        <f t="shared" si="118"/>
        <v>0</v>
      </c>
      <c r="N581" s="28">
        <f t="shared" si="118"/>
        <v>1854</v>
      </c>
    </row>
    <row r="583" spans="1:14" ht="23.4" x14ac:dyDescent="0.45">
      <c r="A583" s="85">
        <f>A572+30</f>
        <v>45728</v>
      </c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</row>
    <row r="584" spans="1:14" x14ac:dyDescent="0.3">
      <c r="A584" t="s">
        <v>10</v>
      </c>
      <c r="B584" s="5">
        <v>1</v>
      </c>
      <c r="C584" s="5">
        <v>3</v>
      </c>
      <c r="D584" s="5">
        <v>930</v>
      </c>
      <c r="E584" s="5">
        <v>60</v>
      </c>
      <c r="F584" s="5">
        <v>3</v>
      </c>
      <c r="G584" s="5">
        <v>2</v>
      </c>
      <c r="H584" s="5">
        <v>5</v>
      </c>
      <c r="I584" s="5">
        <v>81</v>
      </c>
      <c r="J584" s="5"/>
      <c r="K584" s="5"/>
      <c r="L584" s="5"/>
      <c r="N584" s="12">
        <f t="shared" ref="N584:N590" si="119">SUM(C584:M584)*B584</f>
        <v>1084</v>
      </c>
    </row>
    <row r="585" spans="1:14" x14ac:dyDescent="0.3">
      <c r="A585" t="s">
        <v>11</v>
      </c>
      <c r="B585" s="5">
        <v>1</v>
      </c>
      <c r="C585" s="5">
        <v>3</v>
      </c>
      <c r="D585" s="5">
        <v>150</v>
      </c>
      <c r="E585" s="5">
        <v>30</v>
      </c>
      <c r="F585" s="5">
        <v>2</v>
      </c>
      <c r="G585" s="5">
        <v>1</v>
      </c>
      <c r="H585" s="5">
        <v>3</v>
      </c>
      <c r="I585" s="5">
        <v>11</v>
      </c>
      <c r="J585" s="5"/>
      <c r="N585" s="12">
        <f t="shared" si="119"/>
        <v>200</v>
      </c>
    </row>
    <row r="586" spans="1:14" x14ac:dyDescent="0.3">
      <c r="A586" t="s">
        <v>14</v>
      </c>
      <c r="B586" s="5">
        <v>1</v>
      </c>
      <c r="D586" s="5">
        <v>300</v>
      </c>
      <c r="F586" s="5">
        <v>1.25</v>
      </c>
      <c r="G586" s="5">
        <v>0.75</v>
      </c>
      <c r="H586" s="5">
        <v>3</v>
      </c>
      <c r="I586" s="5">
        <v>20</v>
      </c>
      <c r="J586" s="5"/>
      <c r="N586" s="12">
        <f t="shared" si="119"/>
        <v>325</v>
      </c>
    </row>
    <row r="587" spans="1:14" x14ac:dyDescent="0.3">
      <c r="A587" t="s">
        <v>13</v>
      </c>
      <c r="B587" s="5">
        <v>1</v>
      </c>
      <c r="D587" s="5">
        <v>60</v>
      </c>
      <c r="F587" s="5">
        <v>1.25</v>
      </c>
      <c r="G587" s="5">
        <v>0.75</v>
      </c>
      <c r="H587" s="5">
        <v>3</v>
      </c>
      <c r="I587" s="5">
        <v>5</v>
      </c>
      <c r="N587" s="12">
        <f t="shared" si="119"/>
        <v>70</v>
      </c>
    </row>
    <row r="588" spans="1:14" x14ac:dyDescent="0.3">
      <c r="A588" t="s">
        <v>12</v>
      </c>
      <c r="B588" s="5">
        <v>1</v>
      </c>
      <c r="D588" s="5">
        <v>30</v>
      </c>
      <c r="F588" s="5">
        <v>1.25</v>
      </c>
      <c r="G588" s="5">
        <v>0.75</v>
      </c>
      <c r="H588" s="5">
        <v>3</v>
      </c>
      <c r="I588" s="5">
        <v>5</v>
      </c>
      <c r="J588" t="s">
        <v>53</v>
      </c>
      <c r="N588" s="12">
        <f t="shared" si="119"/>
        <v>40</v>
      </c>
    </row>
    <row r="589" spans="1:14" x14ac:dyDescent="0.3">
      <c r="A589" t="s">
        <v>20</v>
      </c>
      <c r="B589" s="5">
        <v>1</v>
      </c>
      <c r="D589" s="5">
        <v>30</v>
      </c>
      <c r="F589" s="5">
        <v>1.25</v>
      </c>
      <c r="G589" s="5">
        <v>0.75</v>
      </c>
      <c r="H589" s="5">
        <v>3</v>
      </c>
      <c r="I589" s="5">
        <v>5</v>
      </c>
      <c r="N589" s="12">
        <f t="shared" si="119"/>
        <v>40</v>
      </c>
    </row>
    <row r="590" spans="1:14" x14ac:dyDescent="0.3">
      <c r="A590" t="s">
        <v>23</v>
      </c>
      <c r="B590" s="5">
        <v>1</v>
      </c>
      <c r="D590" s="5">
        <v>30</v>
      </c>
      <c r="F590" s="5">
        <v>1.25</v>
      </c>
      <c r="G590" s="5">
        <v>0.75</v>
      </c>
      <c r="H590" s="5">
        <v>3</v>
      </c>
      <c r="N590" s="12">
        <f t="shared" si="119"/>
        <v>35</v>
      </c>
    </row>
    <row r="591" spans="1:14" x14ac:dyDescent="0.3">
      <c r="A591" t="s">
        <v>15</v>
      </c>
      <c r="B591" s="5">
        <v>1</v>
      </c>
      <c r="D591" s="5">
        <v>60</v>
      </c>
      <c r="N591" s="12">
        <f>SUM(C591:M591)*B591</f>
        <v>60</v>
      </c>
    </row>
    <row r="592" spans="1:14" x14ac:dyDescent="0.3">
      <c r="A592" s="24"/>
      <c r="B592" s="25"/>
      <c r="C592" s="27">
        <f t="shared" ref="C592:N592" si="120">SUM(C584:C591)</f>
        <v>6</v>
      </c>
      <c r="D592" s="27">
        <f t="shared" si="120"/>
        <v>1590</v>
      </c>
      <c r="E592" s="27">
        <f t="shared" si="120"/>
        <v>90</v>
      </c>
      <c r="F592" s="27">
        <f t="shared" si="120"/>
        <v>11.25</v>
      </c>
      <c r="G592" s="27">
        <f t="shared" si="120"/>
        <v>6.75</v>
      </c>
      <c r="H592" s="27">
        <f t="shared" si="120"/>
        <v>23</v>
      </c>
      <c r="I592" s="27">
        <f t="shared" si="120"/>
        <v>127</v>
      </c>
      <c r="J592" s="27">
        <f t="shared" si="120"/>
        <v>0</v>
      </c>
      <c r="K592" s="26">
        <f t="shared" si="120"/>
        <v>0</v>
      </c>
      <c r="L592" s="26">
        <f t="shared" si="120"/>
        <v>0</v>
      </c>
      <c r="M592" s="26">
        <f t="shared" si="120"/>
        <v>0</v>
      </c>
      <c r="N592" s="28">
        <f t="shared" si="120"/>
        <v>1854</v>
      </c>
    </row>
    <row r="594" spans="1:14" ht="23.4" x14ac:dyDescent="0.45">
      <c r="A594" s="85">
        <f>A583+30</f>
        <v>45758</v>
      </c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</row>
    <row r="595" spans="1:14" x14ac:dyDescent="0.3">
      <c r="A595" t="s">
        <v>10</v>
      </c>
      <c r="B595" s="5">
        <v>1</v>
      </c>
      <c r="C595" s="5">
        <v>3</v>
      </c>
      <c r="D595" s="5">
        <v>930</v>
      </c>
      <c r="E595" s="5">
        <v>60</v>
      </c>
      <c r="F595" s="5">
        <v>3</v>
      </c>
      <c r="G595" s="5">
        <v>2</v>
      </c>
      <c r="H595" s="5">
        <v>5</v>
      </c>
      <c r="I595" s="5">
        <v>81</v>
      </c>
      <c r="J595" s="5"/>
      <c r="K595" s="5"/>
      <c r="L595" s="5"/>
      <c r="N595" s="12">
        <f t="shared" ref="N595:N601" si="121">SUM(C595:M595)*B595</f>
        <v>1084</v>
      </c>
    </row>
    <row r="596" spans="1:14" x14ac:dyDescent="0.3">
      <c r="A596" t="s">
        <v>11</v>
      </c>
      <c r="B596" s="5">
        <v>1</v>
      </c>
      <c r="C596" s="5">
        <v>3</v>
      </c>
      <c r="D596" s="5">
        <v>150</v>
      </c>
      <c r="E596" s="5">
        <v>30</v>
      </c>
      <c r="F596" s="5">
        <v>2</v>
      </c>
      <c r="G596" s="5">
        <v>1</v>
      </c>
      <c r="H596" s="5">
        <v>3</v>
      </c>
      <c r="I596" s="5">
        <v>11</v>
      </c>
      <c r="J596" s="5"/>
      <c r="N596" s="12">
        <f t="shared" si="121"/>
        <v>200</v>
      </c>
    </row>
    <row r="597" spans="1:14" x14ac:dyDescent="0.3">
      <c r="A597" t="s">
        <v>14</v>
      </c>
      <c r="B597" s="5">
        <v>1</v>
      </c>
      <c r="D597" s="5">
        <v>300</v>
      </c>
      <c r="F597" s="5">
        <v>1.25</v>
      </c>
      <c r="G597" s="5">
        <v>0.75</v>
      </c>
      <c r="H597" s="5">
        <v>3</v>
      </c>
      <c r="I597" s="5">
        <v>20</v>
      </c>
      <c r="J597" s="5"/>
      <c r="N597" s="12">
        <f t="shared" si="121"/>
        <v>325</v>
      </c>
    </row>
    <row r="598" spans="1:14" x14ac:dyDescent="0.3">
      <c r="A598" t="s">
        <v>13</v>
      </c>
      <c r="B598" s="5">
        <v>1</v>
      </c>
      <c r="D598" s="5">
        <v>60</v>
      </c>
      <c r="F598" s="5">
        <v>1.25</v>
      </c>
      <c r="G598" s="5">
        <v>0.75</v>
      </c>
      <c r="H598" s="5">
        <v>3</v>
      </c>
      <c r="I598" s="5">
        <v>5</v>
      </c>
      <c r="N598" s="12">
        <f t="shared" si="121"/>
        <v>70</v>
      </c>
    </row>
    <row r="599" spans="1:14" x14ac:dyDescent="0.3">
      <c r="A599" t="s">
        <v>12</v>
      </c>
      <c r="B599" s="5">
        <v>1</v>
      </c>
      <c r="D599" s="5">
        <v>30</v>
      </c>
      <c r="F599" s="5">
        <v>1.25</v>
      </c>
      <c r="G599" s="5">
        <v>0.75</v>
      </c>
      <c r="H599" s="5">
        <v>3</v>
      </c>
      <c r="I599" s="5">
        <v>5</v>
      </c>
      <c r="J599" t="s">
        <v>53</v>
      </c>
      <c r="N599" s="12">
        <f t="shared" si="121"/>
        <v>40</v>
      </c>
    </row>
    <row r="600" spans="1:14" x14ac:dyDescent="0.3">
      <c r="A600" t="s">
        <v>20</v>
      </c>
      <c r="B600" s="5">
        <v>1</v>
      </c>
      <c r="D600" s="5">
        <v>30</v>
      </c>
      <c r="F600" s="5">
        <v>1.25</v>
      </c>
      <c r="G600" s="5">
        <v>0.75</v>
      </c>
      <c r="H600" s="5">
        <v>3</v>
      </c>
      <c r="I600" s="5">
        <v>5</v>
      </c>
      <c r="N600" s="12">
        <f t="shared" si="121"/>
        <v>40</v>
      </c>
    </row>
    <row r="601" spans="1:14" x14ac:dyDescent="0.3">
      <c r="A601" t="s">
        <v>23</v>
      </c>
      <c r="B601" s="5">
        <v>1</v>
      </c>
      <c r="D601" s="5">
        <v>30</v>
      </c>
      <c r="F601" s="5">
        <v>1.25</v>
      </c>
      <c r="G601" s="5">
        <v>0.75</v>
      </c>
      <c r="H601" s="5">
        <v>3</v>
      </c>
      <c r="N601" s="12">
        <f t="shared" si="121"/>
        <v>35</v>
      </c>
    </row>
    <row r="602" spans="1:14" x14ac:dyDescent="0.3">
      <c r="A602" t="s">
        <v>15</v>
      </c>
      <c r="B602" s="5">
        <v>1</v>
      </c>
      <c r="D602" s="5">
        <v>60</v>
      </c>
      <c r="N602" s="12">
        <f>SUM(C602:M602)*B602</f>
        <v>60</v>
      </c>
    </row>
    <row r="603" spans="1:14" x14ac:dyDescent="0.3">
      <c r="A603" s="24"/>
      <c r="B603" s="25"/>
      <c r="C603" s="27">
        <f t="shared" ref="C603:N603" si="122">SUM(C595:C602)</f>
        <v>6</v>
      </c>
      <c r="D603" s="27">
        <f t="shared" si="122"/>
        <v>1590</v>
      </c>
      <c r="E603" s="27">
        <f t="shared" si="122"/>
        <v>90</v>
      </c>
      <c r="F603" s="27">
        <f t="shared" si="122"/>
        <v>11.25</v>
      </c>
      <c r="G603" s="27">
        <f t="shared" si="122"/>
        <v>6.75</v>
      </c>
      <c r="H603" s="27">
        <f t="shared" si="122"/>
        <v>23</v>
      </c>
      <c r="I603" s="27">
        <f t="shared" si="122"/>
        <v>127</v>
      </c>
      <c r="J603" s="27">
        <f t="shared" si="122"/>
        <v>0</v>
      </c>
      <c r="K603" s="26">
        <f t="shared" si="122"/>
        <v>0</v>
      </c>
      <c r="L603" s="26">
        <f t="shared" si="122"/>
        <v>0</v>
      </c>
      <c r="M603" s="26">
        <f t="shared" si="122"/>
        <v>0</v>
      </c>
      <c r="N603" s="28">
        <f t="shared" si="122"/>
        <v>1854</v>
      </c>
    </row>
    <row r="605" spans="1:14" ht="23.4" x14ac:dyDescent="0.45">
      <c r="A605" s="85">
        <f>A594+30</f>
        <v>45788</v>
      </c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</row>
    <row r="606" spans="1:14" x14ac:dyDescent="0.3">
      <c r="A606" t="s">
        <v>10</v>
      </c>
      <c r="B606" s="5">
        <v>1</v>
      </c>
      <c r="C606" s="5">
        <v>3</v>
      </c>
      <c r="D606" s="5">
        <v>930</v>
      </c>
      <c r="E606" s="5">
        <v>60</v>
      </c>
      <c r="F606" s="5">
        <v>3</v>
      </c>
      <c r="G606" s="5">
        <v>2</v>
      </c>
      <c r="H606" s="5">
        <v>5</v>
      </c>
      <c r="I606" s="5">
        <v>81</v>
      </c>
      <c r="J606" s="5"/>
      <c r="K606" s="5"/>
      <c r="L606" s="5"/>
      <c r="N606" s="12">
        <f t="shared" ref="N606:N612" si="123">SUM(C606:M606)*B606</f>
        <v>1084</v>
      </c>
    </row>
    <row r="607" spans="1:14" x14ac:dyDescent="0.3">
      <c r="A607" t="s">
        <v>11</v>
      </c>
      <c r="B607" s="5">
        <v>1</v>
      </c>
      <c r="C607" s="5">
        <v>3</v>
      </c>
      <c r="D607" s="5">
        <v>150</v>
      </c>
      <c r="E607" s="5">
        <v>30</v>
      </c>
      <c r="F607" s="5">
        <v>2</v>
      </c>
      <c r="G607" s="5">
        <v>1</v>
      </c>
      <c r="H607" s="5">
        <v>3</v>
      </c>
      <c r="I607" s="5">
        <v>11</v>
      </c>
      <c r="J607" s="5"/>
      <c r="N607" s="12">
        <f t="shared" si="123"/>
        <v>200</v>
      </c>
    </row>
    <row r="608" spans="1:14" x14ac:dyDescent="0.3">
      <c r="A608" t="s">
        <v>14</v>
      </c>
      <c r="B608" s="5">
        <v>1</v>
      </c>
      <c r="D608" s="5">
        <v>300</v>
      </c>
      <c r="F608" s="5">
        <v>1.25</v>
      </c>
      <c r="G608" s="5">
        <v>0.75</v>
      </c>
      <c r="H608" s="5">
        <v>3</v>
      </c>
      <c r="I608" s="5">
        <v>20</v>
      </c>
      <c r="J608" s="5"/>
      <c r="N608" s="12">
        <f t="shared" si="123"/>
        <v>325</v>
      </c>
    </row>
    <row r="609" spans="1:14" x14ac:dyDescent="0.3">
      <c r="A609" t="s">
        <v>13</v>
      </c>
      <c r="B609" s="5">
        <v>1</v>
      </c>
      <c r="D609" s="5">
        <v>60</v>
      </c>
      <c r="F609" s="5">
        <v>1.25</v>
      </c>
      <c r="G609" s="5">
        <v>0.75</v>
      </c>
      <c r="H609" s="5">
        <v>3</v>
      </c>
      <c r="I609" s="5">
        <v>5</v>
      </c>
      <c r="N609" s="12">
        <f t="shared" si="123"/>
        <v>70</v>
      </c>
    </row>
    <row r="610" spans="1:14" x14ac:dyDescent="0.3">
      <c r="A610" t="s">
        <v>12</v>
      </c>
      <c r="B610" s="5">
        <v>1</v>
      </c>
      <c r="D610" s="5">
        <v>30</v>
      </c>
      <c r="F610" s="5">
        <v>1.25</v>
      </c>
      <c r="G610" s="5">
        <v>0.75</v>
      </c>
      <c r="H610" s="5">
        <v>3</v>
      </c>
      <c r="I610" s="5">
        <v>5</v>
      </c>
      <c r="J610" t="s">
        <v>53</v>
      </c>
      <c r="N610" s="12">
        <f t="shared" si="123"/>
        <v>40</v>
      </c>
    </row>
    <row r="611" spans="1:14" x14ac:dyDescent="0.3">
      <c r="A611" t="s">
        <v>20</v>
      </c>
      <c r="B611" s="5">
        <v>1</v>
      </c>
      <c r="D611" s="5">
        <v>30</v>
      </c>
      <c r="F611" s="5">
        <v>1.25</v>
      </c>
      <c r="G611" s="5">
        <v>0.75</v>
      </c>
      <c r="H611" s="5">
        <v>3</v>
      </c>
      <c r="I611" s="5">
        <v>5</v>
      </c>
      <c r="N611" s="12">
        <f t="shared" si="123"/>
        <v>40</v>
      </c>
    </row>
    <row r="612" spans="1:14" x14ac:dyDescent="0.3">
      <c r="A612" t="s">
        <v>23</v>
      </c>
      <c r="B612" s="5">
        <v>1</v>
      </c>
      <c r="D612" s="5">
        <v>30</v>
      </c>
      <c r="F612" s="5">
        <v>1.25</v>
      </c>
      <c r="G612" s="5">
        <v>0.75</v>
      </c>
      <c r="H612" s="5">
        <v>3</v>
      </c>
      <c r="N612" s="12">
        <f t="shared" si="123"/>
        <v>35</v>
      </c>
    </row>
    <row r="613" spans="1:14" x14ac:dyDescent="0.3">
      <c r="A613" t="s">
        <v>15</v>
      </c>
      <c r="B613" s="5">
        <v>1</v>
      </c>
      <c r="D613" s="5">
        <v>60</v>
      </c>
      <c r="N613" s="12">
        <f>SUM(C613:M613)*B613</f>
        <v>60</v>
      </c>
    </row>
    <row r="614" spans="1:14" x14ac:dyDescent="0.3">
      <c r="A614" s="24"/>
      <c r="B614" s="25"/>
      <c r="C614" s="27">
        <f t="shared" ref="C614:N614" si="124">SUM(C606:C613)</f>
        <v>6</v>
      </c>
      <c r="D614" s="27">
        <f t="shared" si="124"/>
        <v>1590</v>
      </c>
      <c r="E614" s="27">
        <f t="shared" si="124"/>
        <v>90</v>
      </c>
      <c r="F614" s="27">
        <f t="shared" si="124"/>
        <v>11.25</v>
      </c>
      <c r="G614" s="27">
        <f t="shared" si="124"/>
        <v>6.75</v>
      </c>
      <c r="H614" s="27">
        <f t="shared" si="124"/>
        <v>23</v>
      </c>
      <c r="I614" s="27">
        <f t="shared" si="124"/>
        <v>127</v>
      </c>
      <c r="J614" s="27">
        <f t="shared" si="124"/>
        <v>0</v>
      </c>
      <c r="K614" s="26">
        <f t="shared" si="124"/>
        <v>0</v>
      </c>
      <c r="L614" s="26">
        <f t="shared" si="124"/>
        <v>0</v>
      </c>
      <c r="M614" s="26">
        <f t="shared" si="124"/>
        <v>0</v>
      </c>
      <c r="N614" s="28">
        <f t="shared" si="124"/>
        <v>1854</v>
      </c>
    </row>
    <row r="616" spans="1:14" ht="23.4" x14ac:dyDescent="0.45">
      <c r="A616" s="85">
        <f>A605+30</f>
        <v>45818</v>
      </c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</row>
    <row r="617" spans="1:14" x14ac:dyDescent="0.3">
      <c r="A617" t="s">
        <v>10</v>
      </c>
      <c r="B617" s="5">
        <v>1</v>
      </c>
      <c r="C617" s="5">
        <v>3</v>
      </c>
      <c r="D617" s="5">
        <v>930</v>
      </c>
      <c r="E617" s="5">
        <v>60</v>
      </c>
      <c r="F617" s="5">
        <v>3</v>
      </c>
      <c r="G617" s="5">
        <v>2</v>
      </c>
      <c r="H617" s="5">
        <v>5</v>
      </c>
      <c r="I617" s="5">
        <v>121</v>
      </c>
      <c r="J617" s="5"/>
      <c r="K617" s="5">
        <v>21</v>
      </c>
      <c r="L617" s="5"/>
      <c r="N617" s="12">
        <f t="shared" ref="N617:N623" si="125">SUM(C617:M617)*B617</f>
        <v>1145</v>
      </c>
    </row>
    <row r="618" spans="1:14" x14ac:dyDescent="0.3">
      <c r="A618" t="s">
        <v>11</v>
      </c>
      <c r="B618" s="5">
        <v>1</v>
      </c>
      <c r="C618" s="5">
        <v>3</v>
      </c>
      <c r="D618" s="5">
        <v>150</v>
      </c>
      <c r="E618" s="5">
        <v>30</v>
      </c>
      <c r="F618" s="5">
        <v>2</v>
      </c>
      <c r="G618" s="5">
        <v>1</v>
      </c>
      <c r="H618" s="5">
        <v>3</v>
      </c>
      <c r="I618" s="5">
        <v>11</v>
      </c>
      <c r="J618" s="5"/>
      <c r="N618" s="12">
        <f t="shared" si="125"/>
        <v>200</v>
      </c>
    </row>
    <row r="619" spans="1:14" x14ac:dyDescent="0.3">
      <c r="A619" t="s">
        <v>14</v>
      </c>
      <c r="B619" s="5">
        <v>1</v>
      </c>
      <c r="D619" s="5">
        <v>300</v>
      </c>
      <c r="F619" s="5">
        <v>1.25</v>
      </c>
      <c r="G619" s="5">
        <v>0.75</v>
      </c>
      <c r="H619" s="5">
        <v>3</v>
      </c>
      <c r="I619" s="5">
        <v>20</v>
      </c>
      <c r="J619" s="5"/>
      <c r="N619" s="12">
        <f t="shared" si="125"/>
        <v>325</v>
      </c>
    </row>
    <row r="620" spans="1:14" x14ac:dyDescent="0.3">
      <c r="A620" t="s">
        <v>13</v>
      </c>
      <c r="B620" s="5">
        <v>1</v>
      </c>
      <c r="D620" s="5">
        <v>60</v>
      </c>
      <c r="F620" s="5">
        <v>1.25</v>
      </c>
      <c r="G620" s="5">
        <v>0.75</v>
      </c>
      <c r="H620" s="5">
        <v>3</v>
      </c>
      <c r="I620" s="5">
        <v>5</v>
      </c>
      <c r="N620" s="12">
        <f t="shared" si="125"/>
        <v>70</v>
      </c>
    </row>
    <row r="621" spans="1:14" x14ac:dyDescent="0.3">
      <c r="A621" t="s">
        <v>12</v>
      </c>
      <c r="B621" s="5">
        <v>1</v>
      </c>
      <c r="D621" s="5">
        <v>30</v>
      </c>
      <c r="F621" s="5">
        <v>1.25</v>
      </c>
      <c r="G621" s="5">
        <v>0.75</v>
      </c>
      <c r="H621" s="5">
        <v>3</v>
      </c>
      <c r="I621" s="5">
        <v>5</v>
      </c>
      <c r="J621" t="s">
        <v>53</v>
      </c>
      <c r="N621" s="12">
        <f t="shared" si="125"/>
        <v>40</v>
      </c>
    </row>
    <row r="622" spans="1:14" x14ac:dyDescent="0.3">
      <c r="A622" t="s">
        <v>20</v>
      </c>
      <c r="B622" s="5">
        <v>1</v>
      </c>
      <c r="D622" s="5">
        <v>30</v>
      </c>
      <c r="F622" s="5">
        <v>1.25</v>
      </c>
      <c r="G622" s="5">
        <v>0.75</v>
      </c>
      <c r="H622" s="5">
        <v>3</v>
      </c>
      <c r="I622" s="5">
        <v>5</v>
      </c>
      <c r="N622" s="12">
        <f t="shared" si="125"/>
        <v>40</v>
      </c>
    </row>
    <row r="623" spans="1:14" x14ac:dyDescent="0.3">
      <c r="A623" t="s">
        <v>23</v>
      </c>
      <c r="B623" s="5">
        <v>1</v>
      </c>
      <c r="D623" s="5">
        <v>30</v>
      </c>
      <c r="F623" s="5">
        <v>1.25</v>
      </c>
      <c r="G623" s="5">
        <v>0.75</v>
      </c>
      <c r="H623" s="5">
        <v>3</v>
      </c>
      <c r="N623" s="12">
        <f t="shared" si="125"/>
        <v>35</v>
      </c>
    </row>
    <row r="624" spans="1:14" x14ac:dyDescent="0.3">
      <c r="A624" t="s">
        <v>15</v>
      </c>
      <c r="B624" s="5">
        <v>1</v>
      </c>
      <c r="D624" s="5">
        <v>60</v>
      </c>
      <c r="N624" s="12">
        <f>SUM(C624:M624)*B624</f>
        <v>60</v>
      </c>
    </row>
    <row r="625" spans="1:14" x14ac:dyDescent="0.3">
      <c r="A625" s="24"/>
      <c r="B625" s="25"/>
      <c r="C625" s="27">
        <f t="shared" ref="C625:N625" si="126">SUM(C617:C624)</f>
        <v>6</v>
      </c>
      <c r="D625" s="27">
        <f t="shared" si="126"/>
        <v>1590</v>
      </c>
      <c r="E625" s="27">
        <f t="shared" si="126"/>
        <v>90</v>
      </c>
      <c r="F625" s="27">
        <f t="shared" si="126"/>
        <v>11.25</v>
      </c>
      <c r="G625" s="27">
        <f t="shared" si="126"/>
        <v>6.75</v>
      </c>
      <c r="H625" s="27">
        <f t="shared" si="126"/>
        <v>23</v>
      </c>
      <c r="I625" s="27">
        <f t="shared" si="126"/>
        <v>167</v>
      </c>
      <c r="J625" s="27">
        <f t="shared" si="126"/>
        <v>0</v>
      </c>
      <c r="K625" s="26">
        <f t="shared" si="126"/>
        <v>21</v>
      </c>
      <c r="L625" s="26">
        <f t="shared" si="126"/>
        <v>0</v>
      </c>
      <c r="M625" s="26">
        <f t="shared" si="126"/>
        <v>0</v>
      </c>
      <c r="N625" s="28">
        <f t="shared" si="126"/>
        <v>1915</v>
      </c>
    </row>
    <row r="627" spans="1:14" ht="23.4" x14ac:dyDescent="0.45">
      <c r="A627" s="85">
        <f>A616+30</f>
        <v>45848</v>
      </c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</row>
    <row r="628" spans="1:14" x14ac:dyDescent="0.3">
      <c r="A628" t="s">
        <v>10</v>
      </c>
      <c r="B628" s="5">
        <v>1</v>
      </c>
      <c r="C628" s="5">
        <v>3</v>
      </c>
      <c r="D628" s="5">
        <v>930</v>
      </c>
      <c r="E628" s="5">
        <v>60</v>
      </c>
      <c r="F628" s="5">
        <v>3</v>
      </c>
      <c r="G628" s="5">
        <v>2</v>
      </c>
      <c r="H628" s="5">
        <v>5</v>
      </c>
      <c r="I628" s="5">
        <v>101</v>
      </c>
      <c r="J628" s="5"/>
      <c r="K628" s="5">
        <v>50</v>
      </c>
      <c r="L628" s="5"/>
      <c r="N628" s="12">
        <f t="shared" ref="N628:N634" si="127">SUM(C628:M628)*B628</f>
        <v>1154</v>
      </c>
    </row>
    <row r="629" spans="1:14" x14ac:dyDescent="0.3">
      <c r="A629" t="s">
        <v>11</v>
      </c>
      <c r="B629" s="5">
        <v>1</v>
      </c>
      <c r="C629" s="5">
        <v>3</v>
      </c>
      <c r="D629" s="5">
        <v>150</v>
      </c>
      <c r="E629" s="5">
        <v>30</v>
      </c>
      <c r="F629" s="5">
        <v>2</v>
      </c>
      <c r="G629" s="5">
        <v>1</v>
      </c>
      <c r="H629" s="5">
        <v>3</v>
      </c>
      <c r="I629" s="5">
        <v>11</v>
      </c>
      <c r="J629" s="5"/>
      <c r="N629" s="12">
        <f t="shared" si="127"/>
        <v>200</v>
      </c>
    </row>
    <row r="630" spans="1:14" x14ac:dyDescent="0.3">
      <c r="A630" t="s">
        <v>14</v>
      </c>
      <c r="B630" s="5">
        <v>1</v>
      </c>
      <c r="D630" s="5">
        <v>300</v>
      </c>
      <c r="F630" s="5">
        <v>1.25</v>
      </c>
      <c r="G630" s="5">
        <v>0.75</v>
      </c>
      <c r="H630" s="5">
        <v>3</v>
      </c>
      <c r="I630" s="5">
        <v>11</v>
      </c>
      <c r="J630" s="5"/>
      <c r="N630" s="12">
        <f t="shared" si="127"/>
        <v>316</v>
      </c>
    </row>
    <row r="631" spans="1:14" x14ac:dyDescent="0.3">
      <c r="A631" t="s">
        <v>13</v>
      </c>
      <c r="B631" s="5">
        <v>1</v>
      </c>
      <c r="D631" s="5">
        <v>60</v>
      </c>
      <c r="F631" s="5">
        <v>1.25</v>
      </c>
      <c r="G631" s="5">
        <v>0.75</v>
      </c>
      <c r="H631" s="5">
        <v>3</v>
      </c>
      <c r="I631" s="5">
        <v>11</v>
      </c>
      <c r="N631" s="12">
        <f t="shared" si="127"/>
        <v>76</v>
      </c>
    </row>
    <row r="632" spans="1:14" x14ac:dyDescent="0.3">
      <c r="A632" t="s">
        <v>12</v>
      </c>
      <c r="B632" s="5">
        <v>1</v>
      </c>
      <c r="D632" s="5">
        <v>30</v>
      </c>
      <c r="F632" s="5">
        <v>1.25</v>
      </c>
      <c r="G632" s="5">
        <v>0.75</v>
      </c>
      <c r="H632" s="5">
        <v>3</v>
      </c>
      <c r="I632" s="5">
        <v>5</v>
      </c>
      <c r="J632" t="s">
        <v>53</v>
      </c>
      <c r="N632" s="12">
        <f t="shared" si="127"/>
        <v>40</v>
      </c>
    </row>
    <row r="633" spans="1:14" x14ac:dyDescent="0.3">
      <c r="A633" t="s">
        <v>20</v>
      </c>
      <c r="B633" s="5">
        <v>1</v>
      </c>
      <c r="D633" s="5">
        <v>30</v>
      </c>
      <c r="F633" s="5">
        <v>1.25</v>
      </c>
      <c r="G633" s="5">
        <v>0.75</v>
      </c>
      <c r="H633" s="5">
        <v>3</v>
      </c>
      <c r="I633" s="5">
        <v>5</v>
      </c>
      <c r="N633" s="12">
        <f t="shared" si="127"/>
        <v>40</v>
      </c>
    </row>
    <row r="634" spans="1:14" x14ac:dyDescent="0.3">
      <c r="A634" t="s">
        <v>23</v>
      </c>
      <c r="B634" s="5">
        <v>1</v>
      </c>
      <c r="D634" s="5">
        <v>30</v>
      </c>
      <c r="F634" s="5">
        <v>1.25</v>
      </c>
      <c r="G634" s="5">
        <v>0.75</v>
      </c>
      <c r="H634" s="5">
        <v>3</v>
      </c>
      <c r="N634" s="12">
        <f t="shared" si="127"/>
        <v>35</v>
      </c>
    </row>
    <row r="635" spans="1:14" x14ac:dyDescent="0.3">
      <c r="A635" t="s">
        <v>15</v>
      </c>
      <c r="B635" s="5">
        <v>1</v>
      </c>
      <c r="D635" s="5">
        <v>60</v>
      </c>
      <c r="N635" s="12">
        <f>SUM(C635:M635)*B635</f>
        <v>60</v>
      </c>
    </row>
    <row r="636" spans="1:14" x14ac:dyDescent="0.3">
      <c r="A636" s="24"/>
      <c r="B636" s="25"/>
      <c r="C636" s="27">
        <f t="shared" ref="C636:N636" si="128">SUM(C628:C635)</f>
        <v>6</v>
      </c>
      <c r="D636" s="27">
        <f t="shared" si="128"/>
        <v>1590</v>
      </c>
      <c r="E636" s="27">
        <f t="shared" si="128"/>
        <v>90</v>
      </c>
      <c r="F636" s="27">
        <f t="shared" si="128"/>
        <v>11.25</v>
      </c>
      <c r="G636" s="27">
        <f t="shared" si="128"/>
        <v>6.75</v>
      </c>
      <c r="H636" s="27">
        <f t="shared" si="128"/>
        <v>23</v>
      </c>
      <c r="I636" s="27">
        <f t="shared" si="128"/>
        <v>144</v>
      </c>
      <c r="J636" s="27">
        <f t="shared" si="128"/>
        <v>0</v>
      </c>
      <c r="K636" s="26">
        <f t="shared" si="128"/>
        <v>50</v>
      </c>
      <c r="L636" s="26">
        <f t="shared" si="128"/>
        <v>0</v>
      </c>
      <c r="M636" s="26">
        <f t="shared" si="128"/>
        <v>0</v>
      </c>
      <c r="N636" s="28">
        <f t="shared" si="128"/>
        <v>1921</v>
      </c>
    </row>
    <row r="638" spans="1:14" ht="23.4" x14ac:dyDescent="0.45">
      <c r="A638" s="85">
        <f>A627+30</f>
        <v>45878</v>
      </c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</row>
    <row r="639" spans="1:14" x14ac:dyDescent="0.3">
      <c r="A639" t="s">
        <v>10</v>
      </c>
      <c r="B639" s="5">
        <v>1</v>
      </c>
      <c r="C639" s="5">
        <v>3</v>
      </c>
      <c r="D639" s="5">
        <f>35*30</f>
        <v>1050</v>
      </c>
      <c r="E639" s="5">
        <v>120</v>
      </c>
      <c r="F639" s="5">
        <v>3</v>
      </c>
      <c r="G639" s="5">
        <v>2</v>
      </c>
      <c r="H639" s="5">
        <v>5</v>
      </c>
      <c r="I639" s="5">
        <v>101</v>
      </c>
      <c r="J639" s="5"/>
      <c r="K639" s="5"/>
      <c r="L639" s="5"/>
      <c r="N639" s="12">
        <f t="shared" ref="N639:N645" si="129">SUM(C639:M639)*B639</f>
        <v>1284</v>
      </c>
    </row>
    <row r="640" spans="1:14" x14ac:dyDescent="0.3">
      <c r="A640" t="s">
        <v>11</v>
      </c>
      <c r="B640" s="5">
        <v>1</v>
      </c>
      <c r="C640" s="5">
        <v>3</v>
      </c>
      <c r="D640" s="5">
        <v>150</v>
      </c>
      <c r="E640" s="5">
        <v>30</v>
      </c>
      <c r="F640" s="5">
        <v>2</v>
      </c>
      <c r="G640" s="5">
        <v>1</v>
      </c>
      <c r="H640" s="5">
        <v>3</v>
      </c>
      <c r="I640" s="5">
        <v>11</v>
      </c>
      <c r="J640" s="5"/>
      <c r="N640" s="12">
        <f t="shared" si="129"/>
        <v>200</v>
      </c>
    </row>
    <row r="641" spans="1:14" x14ac:dyDescent="0.3">
      <c r="A641" t="s">
        <v>14</v>
      </c>
      <c r="B641" s="5">
        <v>1</v>
      </c>
      <c r="D641" s="5">
        <v>300</v>
      </c>
      <c r="F641" s="5">
        <v>1.25</v>
      </c>
      <c r="G641" s="5">
        <v>0.75</v>
      </c>
      <c r="H641" s="5">
        <v>3</v>
      </c>
      <c r="I641" s="5">
        <v>11</v>
      </c>
      <c r="J641" s="5"/>
      <c r="N641" s="12">
        <f t="shared" si="129"/>
        <v>316</v>
      </c>
    </row>
    <row r="642" spans="1:14" x14ac:dyDescent="0.3">
      <c r="A642" t="s">
        <v>13</v>
      </c>
      <c r="B642" s="5">
        <v>1</v>
      </c>
      <c r="D642" s="5">
        <v>60</v>
      </c>
      <c r="F642" s="5">
        <v>1.25</v>
      </c>
      <c r="G642" s="5">
        <v>0.75</v>
      </c>
      <c r="H642" s="5">
        <v>3</v>
      </c>
      <c r="I642" s="5">
        <v>51</v>
      </c>
      <c r="N642" s="12">
        <f t="shared" si="129"/>
        <v>116</v>
      </c>
    </row>
    <row r="643" spans="1:14" x14ac:dyDescent="0.3">
      <c r="A643" t="s">
        <v>12</v>
      </c>
      <c r="B643" s="5">
        <v>1</v>
      </c>
      <c r="D643" s="5">
        <v>30</v>
      </c>
      <c r="F643" s="5">
        <v>1.25</v>
      </c>
      <c r="G643" s="5">
        <v>0.75</v>
      </c>
      <c r="H643" s="5">
        <v>3</v>
      </c>
      <c r="I643" s="5">
        <v>5</v>
      </c>
      <c r="J643" t="s">
        <v>53</v>
      </c>
      <c r="N643" s="12">
        <f t="shared" si="129"/>
        <v>40</v>
      </c>
    </row>
    <row r="644" spans="1:14" x14ac:dyDescent="0.3">
      <c r="A644" t="s">
        <v>20</v>
      </c>
      <c r="B644" s="5">
        <v>1</v>
      </c>
      <c r="D644" s="5">
        <v>30</v>
      </c>
      <c r="F644" s="5">
        <v>1.25</v>
      </c>
      <c r="G644" s="5">
        <v>0.75</v>
      </c>
      <c r="H644" s="5">
        <v>3</v>
      </c>
      <c r="I644" s="5">
        <v>5</v>
      </c>
      <c r="N644" s="12">
        <f t="shared" si="129"/>
        <v>40</v>
      </c>
    </row>
    <row r="645" spans="1:14" x14ac:dyDescent="0.3">
      <c r="A645" t="s">
        <v>23</v>
      </c>
      <c r="B645" s="5">
        <v>1</v>
      </c>
      <c r="D645" s="5">
        <v>30</v>
      </c>
      <c r="F645" s="5">
        <v>1.25</v>
      </c>
      <c r="G645" s="5">
        <v>0.75</v>
      </c>
      <c r="H645" s="5">
        <v>3</v>
      </c>
      <c r="N645" s="12">
        <f t="shared" si="129"/>
        <v>35</v>
      </c>
    </row>
    <row r="646" spans="1:14" x14ac:dyDescent="0.3">
      <c r="A646" t="s">
        <v>15</v>
      </c>
      <c r="B646" s="5">
        <v>1</v>
      </c>
      <c r="D646" s="5">
        <v>150</v>
      </c>
      <c r="N646" s="12">
        <f>SUM(C646:M646)*B646</f>
        <v>150</v>
      </c>
    </row>
    <row r="647" spans="1:14" x14ac:dyDescent="0.3">
      <c r="A647" s="24"/>
      <c r="B647" s="25"/>
      <c r="C647" s="27">
        <f t="shared" ref="C647:N647" si="130">SUM(C639:C646)</f>
        <v>6</v>
      </c>
      <c r="D647" s="27">
        <f t="shared" si="130"/>
        <v>1800</v>
      </c>
      <c r="E647" s="27">
        <f t="shared" si="130"/>
        <v>150</v>
      </c>
      <c r="F647" s="27">
        <f t="shared" si="130"/>
        <v>11.25</v>
      </c>
      <c r="G647" s="27">
        <f t="shared" si="130"/>
        <v>6.75</v>
      </c>
      <c r="H647" s="27">
        <f t="shared" si="130"/>
        <v>23</v>
      </c>
      <c r="I647" s="27">
        <f t="shared" si="130"/>
        <v>184</v>
      </c>
      <c r="J647" s="27">
        <f t="shared" si="130"/>
        <v>0</v>
      </c>
      <c r="K647" s="26">
        <f t="shared" si="130"/>
        <v>0</v>
      </c>
      <c r="L647" s="26">
        <f t="shared" si="130"/>
        <v>0</v>
      </c>
      <c r="M647" s="26">
        <f t="shared" si="130"/>
        <v>0</v>
      </c>
      <c r="N647" s="28">
        <f t="shared" si="130"/>
        <v>2181</v>
      </c>
    </row>
    <row r="649" spans="1:14" ht="23.4" x14ac:dyDescent="0.45">
      <c r="A649" s="85">
        <f>A638+30</f>
        <v>45908</v>
      </c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</row>
    <row r="650" spans="1:14" x14ac:dyDescent="0.3">
      <c r="A650" t="s">
        <v>10</v>
      </c>
      <c r="B650" s="5">
        <v>1</v>
      </c>
      <c r="C650" s="5">
        <v>3</v>
      </c>
      <c r="D650" s="5">
        <f>35*30</f>
        <v>1050</v>
      </c>
      <c r="E650" s="5">
        <v>120</v>
      </c>
      <c r="F650" s="5">
        <v>3</v>
      </c>
      <c r="G650" s="5">
        <v>2</v>
      </c>
      <c r="H650" s="5">
        <v>5</v>
      </c>
      <c r="I650" s="5">
        <v>101</v>
      </c>
      <c r="J650" s="5"/>
      <c r="K650" s="5"/>
      <c r="L650" s="5"/>
      <c r="N650" s="12">
        <f t="shared" ref="N650:N656" si="131">SUM(C650:M650)*B650</f>
        <v>1284</v>
      </c>
    </row>
    <row r="651" spans="1:14" x14ac:dyDescent="0.3">
      <c r="A651" t="s">
        <v>11</v>
      </c>
      <c r="B651" s="5">
        <v>1</v>
      </c>
      <c r="C651" s="5">
        <v>3</v>
      </c>
      <c r="D651" s="5">
        <v>150</v>
      </c>
      <c r="E651" s="5">
        <v>30</v>
      </c>
      <c r="F651" s="5">
        <v>2</v>
      </c>
      <c r="G651" s="5">
        <v>1</v>
      </c>
      <c r="H651" s="5">
        <v>3</v>
      </c>
      <c r="I651" s="5">
        <v>11</v>
      </c>
      <c r="J651" s="5"/>
      <c r="N651" s="12">
        <f t="shared" si="131"/>
        <v>200</v>
      </c>
    </row>
    <row r="652" spans="1:14" x14ac:dyDescent="0.3">
      <c r="A652" t="s">
        <v>14</v>
      </c>
      <c r="B652" s="5">
        <v>1</v>
      </c>
      <c r="D652" s="5">
        <v>300</v>
      </c>
      <c r="F652" s="5">
        <v>1.25</v>
      </c>
      <c r="G652" s="5">
        <v>0.75</v>
      </c>
      <c r="H652" s="5">
        <v>3</v>
      </c>
      <c r="I652" s="5">
        <v>11</v>
      </c>
      <c r="J652" s="5"/>
      <c r="N652" s="12">
        <f t="shared" si="131"/>
        <v>316</v>
      </c>
    </row>
    <row r="653" spans="1:14" x14ac:dyDescent="0.3">
      <c r="A653" t="s">
        <v>13</v>
      </c>
      <c r="B653" s="5">
        <v>1</v>
      </c>
      <c r="D653" s="5">
        <v>60</v>
      </c>
      <c r="F653" s="5">
        <v>1.25</v>
      </c>
      <c r="G653" s="5">
        <v>0.75</v>
      </c>
      <c r="H653" s="5">
        <v>3</v>
      </c>
      <c r="I653" s="5">
        <v>10</v>
      </c>
      <c r="N653" s="12">
        <f t="shared" si="131"/>
        <v>75</v>
      </c>
    </row>
    <row r="654" spans="1:14" x14ac:dyDescent="0.3">
      <c r="A654" t="s">
        <v>12</v>
      </c>
      <c r="B654" s="5">
        <v>1</v>
      </c>
      <c r="D654" s="5">
        <v>30</v>
      </c>
      <c r="F654" s="5">
        <v>1.25</v>
      </c>
      <c r="G654" s="5">
        <v>0.75</v>
      </c>
      <c r="H654" s="5">
        <v>3</v>
      </c>
      <c r="I654" s="5">
        <v>5</v>
      </c>
      <c r="J654" t="s">
        <v>53</v>
      </c>
      <c r="N654" s="12">
        <f t="shared" si="131"/>
        <v>40</v>
      </c>
    </row>
    <row r="655" spans="1:14" x14ac:dyDescent="0.3">
      <c r="A655" t="s">
        <v>20</v>
      </c>
      <c r="B655" s="5">
        <v>1</v>
      </c>
      <c r="D655" s="5">
        <v>30</v>
      </c>
      <c r="F655" s="5">
        <v>1.25</v>
      </c>
      <c r="G655" s="5">
        <v>0.75</v>
      </c>
      <c r="H655" s="5">
        <v>3</v>
      </c>
      <c r="I655" s="5">
        <v>5</v>
      </c>
      <c r="N655" s="12">
        <f t="shared" si="131"/>
        <v>40</v>
      </c>
    </row>
    <row r="656" spans="1:14" x14ac:dyDescent="0.3">
      <c r="A656" t="s">
        <v>23</v>
      </c>
      <c r="B656" s="5">
        <v>1</v>
      </c>
      <c r="D656" s="5">
        <v>30</v>
      </c>
      <c r="F656" s="5">
        <v>1.25</v>
      </c>
      <c r="G656" s="5">
        <v>0.75</v>
      </c>
      <c r="H656" s="5">
        <v>3</v>
      </c>
      <c r="N656" s="12">
        <f t="shared" si="131"/>
        <v>35</v>
      </c>
    </row>
    <row r="657" spans="1:14" x14ac:dyDescent="0.3">
      <c r="A657" t="s">
        <v>15</v>
      </c>
      <c r="B657" s="5">
        <v>1</v>
      </c>
      <c r="D657" s="5">
        <v>150</v>
      </c>
      <c r="N657" s="12">
        <f>SUM(C657:M657)*B657</f>
        <v>150</v>
      </c>
    </row>
    <row r="658" spans="1:14" x14ac:dyDescent="0.3">
      <c r="A658" s="24"/>
      <c r="B658" s="25"/>
      <c r="C658" s="27">
        <f t="shared" ref="C658:N658" si="132">SUM(C650:C657)</f>
        <v>6</v>
      </c>
      <c r="D658" s="27">
        <f t="shared" si="132"/>
        <v>1800</v>
      </c>
      <c r="E658" s="27">
        <f t="shared" si="132"/>
        <v>150</v>
      </c>
      <c r="F658" s="27">
        <f t="shared" si="132"/>
        <v>11.25</v>
      </c>
      <c r="G658" s="27">
        <f t="shared" si="132"/>
        <v>6.75</v>
      </c>
      <c r="H658" s="27">
        <f t="shared" si="132"/>
        <v>23</v>
      </c>
      <c r="I658" s="27">
        <f t="shared" si="132"/>
        <v>143</v>
      </c>
      <c r="J658" s="27">
        <f t="shared" si="132"/>
        <v>0</v>
      </c>
      <c r="K658" s="26">
        <f t="shared" si="132"/>
        <v>0</v>
      </c>
      <c r="L658" s="26">
        <f t="shared" si="132"/>
        <v>0</v>
      </c>
      <c r="M658" s="26">
        <f t="shared" si="132"/>
        <v>0</v>
      </c>
      <c r="N658" s="28">
        <f t="shared" si="132"/>
        <v>2140</v>
      </c>
    </row>
    <row r="660" spans="1:14" ht="23.4" x14ac:dyDescent="0.45">
      <c r="A660" s="85">
        <f>A649+30</f>
        <v>45938</v>
      </c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</row>
    <row r="661" spans="1:14" x14ac:dyDescent="0.3">
      <c r="A661" t="s">
        <v>10</v>
      </c>
      <c r="B661" s="5">
        <v>1</v>
      </c>
      <c r="C661" s="5">
        <v>3</v>
      </c>
      <c r="D661" s="5">
        <f>35*30</f>
        <v>1050</v>
      </c>
      <c r="E661" s="5">
        <v>120</v>
      </c>
      <c r="F661" s="5">
        <v>3</v>
      </c>
      <c r="G661" s="5">
        <v>2</v>
      </c>
      <c r="H661" s="5">
        <v>5</v>
      </c>
      <c r="I661" s="5">
        <v>101</v>
      </c>
      <c r="J661" s="5"/>
      <c r="K661" s="5"/>
      <c r="L661" s="5"/>
      <c r="N661" s="12">
        <f t="shared" ref="N661:N667" si="133">SUM(C661:M661)*B661</f>
        <v>1284</v>
      </c>
    </row>
    <row r="662" spans="1:14" x14ac:dyDescent="0.3">
      <c r="A662" t="s">
        <v>11</v>
      </c>
      <c r="B662" s="5">
        <v>1</v>
      </c>
      <c r="C662" s="5">
        <v>3</v>
      </c>
      <c r="D662" s="5">
        <v>300</v>
      </c>
      <c r="E662" s="5">
        <v>30</v>
      </c>
      <c r="F662" s="5">
        <v>2</v>
      </c>
      <c r="G662" s="5">
        <v>1</v>
      </c>
      <c r="H662" s="5">
        <v>3</v>
      </c>
      <c r="I662" s="5">
        <v>11</v>
      </c>
      <c r="J662" s="5"/>
      <c r="N662" s="12">
        <f t="shared" si="133"/>
        <v>350</v>
      </c>
    </row>
    <row r="663" spans="1:14" x14ac:dyDescent="0.3">
      <c r="A663" t="s">
        <v>14</v>
      </c>
      <c r="B663" s="5">
        <v>1</v>
      </c>
      <c r="D663" s="5">
        <v>300</v>
      </c>
      <c r="F663" s="5">
        <v>2</v>
      </c>
      <c r="G663" s="5">
        <v>1</v>
      </c>
      <c r="H663" s="5">
        <v>3</v>
      </c>
      <c r="I663" s="5">
        <v>20</v>
      </c>
      <c r="J663" s="5"/>
      <c r="N663" s="12">
        <f t="shared" si="133"/>
        <v>326</v>
      </c>
    </row>
    <row r="664" spans="1:14" x14ac:dyDescent="0.3">
      <c r="A664" t="s">
        <v>13</v>
      </c>
      <c r="B664" s="5">
        <v>1</v>
      </c>
      <c r="D664" s="5">
        <v>60</v>
      </c>
      <c r="F664" s="5">
        <v>2</v>
      </c>
      <c r="G664" s="5">
        <v>1</v>
      </c>
      <c r="H664" s="5">
        <v>3</v>
      </c>
      <c r="I664" s="5">
        <v>20</v>
      </c>
      <c r="N664" s="12">
        <f t="shared" si="133"/>
        <v>86</v>
      </c>
    </row>
    <row r="665" spans="1:14" x14ac:dyDescent="0.3">
      <c r="A665" t="s">
        <v>12</v>
      </c>
      <c r="B665" s="5">
        <v>1</v>
      </c>
      <c r="D665" s="5">
        <v>30</v>
      </c>
      <c r="F665" s="5">
        <v>2</v>
      </c>
      <c r="G665" s="5">
        <v>1</v>
      </c>
      <c r="H665" s="5">
        <v>3</v>
      </c>
      <c r="I665" s="5">
        <v>5</v>
      </c>
      <c r="J665" t="s">
        <v>53</v>
      </c>
      <c r="N665" s="12">
        <f t="shared" si="133"/>
        <v>41</v>
      </c>
    </row>
    <row r="666" spans="1:14" x14ac:dyDescent="0.3">
      <c r="A666" t="s">
        <v>20</v>
      </c>
      <c r="B666" s="5">
        <v>1</v>
      </c>
      <c r="D666" s="5">
        <v>30</v>
      </c>
      <c r="F666" s="5">
        <v>1.25</v>
      </c>
      <c r="G666" s="5">
        <v>0.75</v>
      </c>
      <c r="H666" s="5">
        <v>3</v>
      </c>
      <c r="I666" s="5">
        <v>5</v>
      </c>
      <c r="N666" s="12">
        <f t="shared" si="133"/>
        <v>40</v>
      </c>
    </row>
    <row r="667" spans="1:14" x14ac:dyDescent="0.3">
      <c r="A667" t="s">
        <v>23</v>
      </c>
      <c r="B667" s="5">
        <v>1</v>
      </c>
      <c r="D667" s="5">
        <v>30</v>
      </c>
      <c r="F667" s="5">
        <v>1.25</v>
      </c>
      <c r="G667" s="5">
        <v>0.75</v>
      </c>
      <c r="H667" s="5">
        <v>3</v>
      </c>
      <c r="N667" s="12">
        <f t="shared" si="133"/>
        <v>35</v>
      </c>
    </row>
    <row r="668" spans="1:14" x14ac:dyDescent="0.3">
      <c r="A668" t="s">
        <v>15</v>
      </c>
      <c r="B668" s="5">
        <v>1</v>
      </c>
      <c r="D668" s="5">
        <v>150</v>
      </c>
      <c r="N668" s="12">
        <f>SUM(C668:M668)*B668</f>
        <v>150</v>
      </c>
    </row>
    <row r="669" spans="1:14" x14ac:dyDescent="0.3">
      <c r="A669" s="24"/>
      <c r="B669" s="25"/>
      <c r="C669" s="27">
        <f t="shared" ref="C669:N669" si="134">SUM(C661:C668)</f>
        <v>6</v>
      </c>
      <c r="D669" s="27">
        <f t="shared" si="134"/>
        <v>1950</v>
      </c>
      <c r="E669" s="27">
        <f t="shared" si="134"/>
        <v>150</v>
      </c>
      <c r="F669" s="27">
        <f t="shared" si="134"/>
        <v>13.5</v>
      </c>
      <c r="G669" s="27">
        <f t="shared" si="134"/>
        <v>7.5</v>
      </c>
      <c r="H669" s="27">
        <f t="shared" si="134"/>
        <v>23</v>
      </c>
      <c r="I669" s="27">
        <f t="shared" si="134"/>
        <v>162</v>
      </c>
      <c r="J669" s="27">
        <f t="shared" si="134"/>
        <v>0</v>
      </c>
      <c r="K669" s="26">
        <f t="shared" si="134"/>
        <v>0</v>
      </c>
      <c r="L669" s="26">
        <f t="shared" si="134"/>
        <v>0</v>
      </c>
      <c r="M669" s="26">
        <f t="shared" si="134"/>
        <v>0</v>
      </c>
      <c r="N669" s="28">
        <f t="shared" si="134"/>
        <v>2312</v>
      </c>
    </row>
    <row r="671" spans="1:14" ht="23.4" x14ac:dyDescent="0.45">
      <c r="A671" s="85">
        <f>A660+30</f>
        <v>45968</v>
      </c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</row>
    <row r="672" spans="1:14" x14ac:dyDescent="0.3">
      <c r="A672" t="s">
        <v>10</v>
      </c>
      <c r="B672" s="5">
        <v>1</v>
      </c>
      <c r="C672" s="5">
        <v>3</v>
      </c>
      <c r="D672" s="5">
        <f>35*30</f>
        <v>1050</v>
      </c>
      <c r="E672" s="5">
        <v>120</v>
      </c>
      <c r="F672" s="5">
        <v>3</v>
      </c>
      <c r="G672" s="5">
        <v>2</v>
      </c>
      <c r="H672" s="5">
        <v>5</v>
      </c>
      <c r="I672" s="5">
        <v>101</v>
      </c>
      <c r="J672" s="5"/>
      <c r="K672" s="5"/>
      <c r="L672" s="5"/>
      <c r="N672" s="12">
        <f t="shared" ref="N672:N678" si="135">SUM(C672:M672)*B672</f>
        <v>1284</v>
      </c>
    </row>
    <row r="673" spans="1:18" x14ac:dyDescent="0.3">
      <c r="A673" t="s">
        <v>11</v>
      </c>
      <c r="B673" s="5">
        <v>1</v>
      </c>
      <c r="C673" s="5">
        <v>3</v>
      </c>
      <c r="D673" s="5">
        <v>300</v>
      </c>
      <c r="E673" s="5">
        <v>30</v>
      </c>
      <c r="F673" s="5">
        <v>2</v>
      </c>
      <c r="G673" s="5">
        <v>1</v>
      </c>
      <c r="H673" s="5">
        <v>3</v>
      </c>
      <c r="I673" s="5">
        <v>11</v>
      </c>
      <c r="J673" s="5"/>
      <c r="N673" s="12">
        <f t="shared" si="135"/>
        <v>350</v>
      </c>
    </row>
    <row r="674" spans="1:18" x14ac:dyDescent="0.3">
      <c r="A674" t="s">
        <v>14</v>
      </c>
      <c r="B674" s="5">
        <v>1</v>
      </c>
      <c r="D674" s="5">
        <v>300</v>
      </c>
      <c r="F674" s="5">
        <v>2</v>
      </c>
      <c r="G674" s="5">
        <v>1</v>
      </c>
      <c r="H674" s="5">
        <v>3</v>
      </c>
      <c r="I674" s="5">
        <v>20</v>
      </c>
      <c r="J674" s="5"/>
      <c r="N674" s="12">
        <f t="shared" si="135"/>
        <v>326</v>
      </c>
    </row>
    <row r="675" spans="1:18" x14ac:dyDescent="0.3">
      <c r="A675" t="s">
        <v>13</v>
      </c>
      <c r="B675" s="5">
        <v>1</v>
      </c>
      <c r="D675" s="5">
        <v>60</v>
      </c>
      <c r="F675" s="5">
        <v>2</v>
      </c>
      <c r="G675" s="5">
        <v>1</v>
      </c>
      <c r="H675" s="5">
        <v>3</v>
      </c>
      <c r="I675" s="5">
        <v>20</v>
      </c>
      <c r="N675" s="12">
        <f t="shared" si="135"/>
        <v>86</v>
      </c>
    </row>
    <row r="676" spans="1:18" x14ac:dyDescent="0.3">
      <c r="A676" t="s">
        <v>12</v>
      </c>
      <c r="B676" s="5">
        <v>1</v>
      </c>
      <c r="D676" s="5">
        <v>30</v>
      </c>
      <c r="F676" s="5">
        <v>2</v>
      </c>
      <c r="G676" s="5">
        <v>1</v>
      </c>
      <c r="H676" s="5">
        <v>3</v>
      </c>
      <c r="I676" s="5">
        <v>5</v>
      </c>
      <c r="J676" t="s">
        <v>53</v>
      </c>
      <c r="N676" s="12">
        <f t="shared" si="135"/>
        <v>41</v>
      </c>
    </row>
    <row r="677" spans="1:18" x14ac:dyDescent="0.3">
      <c r="A677" t="s">
        <v>20</v>
      </c>
      <c r="B677" s="5">
        <v>1</v>
      </c>
      <c r="D677" s="5">
        <v>30</v>
      </c>
      <c r="F677" s="5">
        <v>1.25</v>
      </c>
      <c r="G677" s="5">
        <v>0.75</v>
      </c>
      <c r="H677" s="5">
        <v>3</v>
      </c>
      <c r="I677" s="5">
        <v>5</v>
      </c>
      <c r="N677" s="12">
        <f t="shared" si="135"/>
        <v>40</v>
      </c>
    </row>
    <row r="678" spans="1:18" x14ac:dyDescent="0.3">
      <c r="A678" t="s">
        <v>23</v>
      </c>
      <c r="B678" s="5">
        <v>1</v>
      </c>
      <c r="D678" s="5">
        <v>30</v>
      </c>
      <c r="F678" s="5">
        <v>1.25</v>
      </c>
      <c r="G678" s="5">
        <v>0.75</v>
      </c>
      <c r="H678" s="5">
        <v>3</v>
      </c>
      <c r="N678" s="12">
        <f t="shared" si="135"/>
        <v>35</v>
      </c>
    </row>
    <row r="679" spans="1:18" x14ac:dyDescent="0.3">
      <c r="A679" t="s">
        <v>15</v>
      </c>
      <c r="B679" s="5">
        <v>1</v>
      </c>
      <c r="D679" s="5">
        <v>150</v>
      </c>
      <c r="N679" s="12">
        <f>SUM(C679:M679)*B679</f>
        <v>150</v>
      </c>
    </row>
    <row r="680" spans="1:18" x14ac:dyDescent="0.3">
      <c r="A680" s="24"/>
      <c r="B680" s="25"/>
      <c r="C680" s="27">
        <f t="shared" ref="C680:N680" si="136">SUM(C672:C679)</f>
        <v>6</v>
      </c>
      <c r="D680" s="27">
        <f t="shared" si="136"/>
        <v>1950</v>
      </c>
      <c r="E680" s="27">
        <f t="shared" si="136"/>
        <v>150</v>
      </c>
      <c r="F680" s="27">
        <f t="shared" si="136"/>
        <v>13.5</v>
      </c>
      <c r="G680" s="27">
        <f t="shared" si="136"/>
        <v>7.5</v>
      </c>
      <c r="H680" s="27">
        <f t="shared" si="136"/>
        <v>23</v>
      </c>
      <c r="I680" s="27">
        <f t="shared" si="136"/>
        <v>162</v>
      </c>
      <c r="J680" s="27">
        <f t="shared" si="136"/>
        <v>0</v>
      </c>
      <c r="K680" s="26">
        <f t="shared" si="136"/>
        <v>0</v>
      </c>
      <c r="L680" s="26">
        <f t="shared" si="136"/>
        <v>0</v>
      </c>
      <c r="M680" s="26">
        <f t="shared" si="136"/>
        <v>0</v>
      </c>
      <c r="N680" s="28">
        <f t="shared" si="136"/>
        <v>2312</v>
      </c>
    </row>
    <row r="682" spans="1:18" ht="23.4" x14ac:dyDescent="0.45">
      <c r="A682" s="85">
        <f>A671+30</f>
        <v>45998</v>
      </c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</row>
    <row r="683" spans="1:18" x14ac:dyDescent="0.3">
      <c r="A683" t="s">
        <v>10</v>
      </c>
      <c r="B683" s="5">
        <v>1</v>
      </c>
      <c r="C683" s="5">
        <v>3</v>
      </c>
      <c r="D683" s="5">
        <f>35*30</f>
        <v>1050</v>
      </c>
      <c r="E683" s="5">
        <v>120</v>
      </c>
      <c r="F683" s="5">
        <v>3</v>
      </c>
      <c r="G683" s="5">
        <v>2</v>
      </c>
      <c r="H683" s="5">
        <v>5</v>
      </c>
      <c r="I683" s="5">
        <v>101</v>
      </c>
      <c r="J683" s="5"/>
      <c r="K683" s="5"/>
      <c r="L683" s="5"/>
      <c r="N683" s="12">
        <f t="shared" ref="N683:N689" si="137">SUM(C683:M683)*B683</f>
        <v>1284</v>
      </c>
    </row>
    <row r="684" spans="1:18" x14ac:dyDescent="0.3">
      <c r="A684" t="s">
        <v>11</v>
      </c>
      <c r="B684" s="5">
        <v>1</v>
      </c>
      <c r="C684" s="5">
        <v>3</v>
      </c>
      <c r="D684" s="5">
        <v>300</v>
      </c>
      <c r="E684" s="5">
        <v>30</v>
      </c>
      <c r="F684" s="5">
        <v>2</v>
      </c>
      <c r="G684" s="5">
        <v>1</v>
      </c>
      <c r="H684" s="5">
        <v>3</v>
      </c>
      <c r="I684" s="5">
        <v>11</v>
      </c>
      <c r="J684" s="5"/>
      <c r="N684" s="12">
        <f t="shared" si="137"/>
        <v>350</v>
      </c>
    </row>
    <row r="685" spans="1:18" x14ac:dyDescent="0.3">
      <c r="A685" t="s">
        <v>14</v>
      </c>
      <c r="B685" s="5">
        <v>1</v>
      </c>
      <c r="D685" s="5">
        <v>300</v>
      </c>
      <c r="F685" s="5">
        <v>2</v>
      </c>
      <c r="G685" s="5">
        <v>1</v>
      </c>
      <c r="H685" s="5">
        <v>3</v>
      </c>
      <c r="I685" s="5">
        <v>10</v>
      </c>
      <c r="J685" s="5"/>
      <c r="N685" s="12">
        <f t="shared" si="137"/>
        <v>316</v>
      </c>
    </row>
    <row r="686" spans="1:18" x14ac:dyDescent="0.3">
      <c r="A686" t="s">
        <v>13</v>
      </c>
      <c r="B686" s="5">
        <v>1</v>
      </c>
      <c r="D686" s="5">
        <v>60</v>
      </c>
      <c r="F686" s="5">
        <v>2</v>
      </c>
      <c r="G686" s="5">
        <v>1</v>
      </c>
      <c r="H686" s="5">
        <v>3</v>
      </c>
      <c r="I686" s="5">
        <v>10</v>
      </c>
      <c r="N686" s="12">
        <f t="shared" si="137"/>
        <v>76</v>
      </c>
    </row>
    <row r="687" spans="1:18" x14ac:dyDescent="0.3">
      <c r="A687" t="s">
        <v>12</v>
      </c>
      <c r="B687" s="5">
        <v>1</v>
      </c>
      <c r="D687" s="5">
        <v>30</v>
      </c>
      <c r="F687" s="5">
        <v>2</v>
      </c>
      <c r="G687" s="5">
        <v>1</v>
      </c>
      <c r="H687" s="5">
        <v>3</v>
      </c>
      <c r="I687" s="5">
        <v>4</v>
      </c>
      <c r="J687" t="s">
        <v>53</v>
      </c>
      <c r="N687" s="12">
        <f t="shared" si="137"/>
        <v>40</v>
      </c>
      <c r="R687">
        <f>290*2</f>
        <v>580</v>
      </c>
    </row>
    <row r="688" spans="1:18" x14ac:dyDescent="0.3">
      <c r="A688" t="s">
        <v>20</v>
      </c>
      <c r="B688" s="5">
        <v>1</v>
      </c>
      <c r="D688" s="5">
        <v>30</v>
      </c>
      <c r="F688" s="5">
        <v>2</v>
      </c>
      <c r="G688" s="5">
        <v>1</v>
      </c>
      <c r="H688" s="5">
        <v>3</v>
      </c>
      <c r="I688" s="5">
        <v>4</v>
      </c>
      <c r="N688" s="12">
        <f t="shared" si="137"/>
        <v>40</v>
      </c>
    </row>
    <row r="689" spans="1:14" x14ac:dyDescent="0.3">
      <c r="A689" t="s">
        <v>23</v>
      </c>
      <c r="B689" s="5">
        <v>1</v>
      </c>
      <c r="D689" s="5">
        <v>30</v>
      </c>
      <c r="F689" s="5">
        <v>1.25</v>
      </c>
      <c r="G689" s="5">
        <v>0.75</v>
      </c>
      <c r="H689" s="5">
        <v>3</v>
      </c>
      <c r="N689" s="12">
        <f t="shared" si="137"/>
        <v>35</v>
      </c>
    </row>
    <row r="690" spans="1:14" x14ac:dyDescent="0.3">
      <c r="A690" t="s">
        <v>15</v>
      </c>
      <c r="B690" s="5">
        <v>1</v>
      </c>
      <c r="D690" s="5">
        <v>150</v>
      </c>
      <c r="N690" s="12">
        <f>SUM(C690:M690)*B690</f>
        <v>150</v>
      </c>
    </row>
    <row r="691" spans="1:14" x14ac:dyDescent="0.3">
      <c r="A691" s="24"/>
      <c r="B691" s="25"/>
      <c r="C691" s="27">
        <f t="shared" ref="C691:N691" si="138">SUM(C683:C690)</f>
        <v>6</v>
      </c>
      <c r="D691" s="27">
        <f t="shared" si="138"/>
        <v>1950</v>
      </c>
      <c r="E691" s="27">
        <f t="shared" si="138"/>
        <v>150</v>
      </c>
      <c r="F691" s="27">
        <f t="shared" si="138"/>
        <v>14.25</v>
      </c>
      <c r="G691" s="27">
        <f t="shared" si="138"/>
        <v>7.75</v>
      </c>
      <c r="H691" s="27">
        <f t="shared" si="138"/>
        <v>23</v>
      </c>
      <c r="I691" s="27">
        <f t="shared" si="138"/>
        <v>140</v>
      </c>
      <c r="J691" s="27">
        <f t="shared" si="138"/>
        <v>0</v>
      </c>
      <c r="K691" s="26">
        <f t="shared" si="138"/>
        <v>0</v>
      </c>
      <c r="L691" s="26">
        <f t="shared" si="138"/>
        <v>0</v>
      </c>
      <c r="M691" s="26">
        <f t="shared" si="138"/>
        <v>0</v>
      </c>
      <c r="N691" s="28">
        <f t="shared" si="138"/>
        <v>2291</v>
      </c>
    </row>
    <row r="693" spans="1:14" ht="23.4" x14ac:dyDescent="0.45">
      <c r="A693" s="85">
        <f>A682+30</f>
        <v>46028</v>
      </c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</row>
    <row r="694" spans="1:14" x14ac:dyDescent="0.3">
      <c r="A694" t="s">
        <v>10</v>
      </c>
      <c r="B694" s="5">
        <v>1</v>
      </c>
      <c r="C694" s="5">
        <v>3</v>
      </c>
      <c r="D694" s="5">
        <f>35*30</f>
        <v>1050</v>
      </c>
      <c r="E694" s="5">
        <v>120</v>
      </c>
      <c r="F694" s="5">
        <v>3</v>
      </c>
      <c r="G694" s="5">
        <v>2</v>
      </c>
      <c r="H694" s="5">
        <v>5</v>
      </c>
      <c r="I694" s="5">
        <v>101</v>
      </c>
      <c r="J694" s="5"/>
      <c r="K694" s="5"/>
      <c r="L694" s="5"/>
      <c r="N694" s="12">
        <f t="shared" ref="N694:N700" si="139">SUM(C694:M694)*B694</f>
        <v>1284</v>
      </c>
    </row>
    <row r="695" spans="1:14" x14ac:dyDescent="0.3">
      <c r="A695" t="s">
        <v>11</v>
      </c>
      <c r="B695" s="5">
        <v>1</v>
      </c>
      <c r="C695" s="5">
        <v>3</v>
      </c>
      <c r="D695" s="5">
        <v>300</v>
      </c>
      <c r="E695" s="5">
        <v>30</v>
      </c>
      <c r="F695" s="5">
        <v>2</v>
      </c>
      <c r="G695" s="5">
        <v>1</v>
      </c>
      <c r="H695" s="5">
        <v>3</v>
      </c>
      <c r="I695" s="5">
        <v>11</v>
      </c>
      <c r="J695" s="5"/>
      <c r="N695" s="12">
        <f t="shared" si="139"/>
        <v>350</v>
      </c>
    </row>
    <row r="696" spans="1:14" x14ac:dyDescent="0.3">
      <c r="A696" t="s">
        <v>14</v>
      </c>
      <c r="B696" s="5">
        <v>1</v>
      </c>
      <c r="D696" s="5">
        <v>300</v>
      </c>
      <c r="F696" s="5">
        <v>2</v>
      </c>
      <c r="G696" s="5">
        <v>1</v>
      </c>
      <c r="H696" s="5">
        <v>3</v>
      </c>
      <c r="I696" s="5">
        <v>10</v>
      </c>
      <c r="J696" s="5"/>
      <c r="N696" s="12">
        <f t="shared" si="139"/>
        <v>316</v>
      </c>
    </row>
    <row r="697" spans="1:14" x14ac:dyDescent="0.3">
      <c r="A697" t="s">
        <v>13</v>
      </c>
      <c r="B697" s="5">
        <v>1</v>
      </c>
      <c r="D697" s="5">
        <v>60</v>
      </c>
      <c r="F697" s="5">
        <v>2</v>
      </c>
      <c r="G697" s="5">
        <v>1</v>
      </c>
      <c r="H697" s="5">
        <v>3</v>
      </c>
      <c r="I697" s="5">
        <v>10</v>
      </c>
      <c r="N697" s="12">
        <f t="shared" si="139"/>
        <v>76</v>
      </c>
    </row>
    <row r="698" spans="1:14" x14ac:dyDescent="0.3">
      <c r="A698" t="s">
        <v>12</v>
      </c>
      <c r="B698" s="5">
        <v>1</v>
      </c>
      <c r="D698" s="5">
        <v>30</v>
      </c>
      <c r="F698" s="5">
        <v>2</v>
      </c>
      <c r="G698" s="5">
        <v>1</v>
      </c>
      <c r="H698" s="5">
        <v>3</v>
      </c>
      <c r="I698" s="5">
        <v>4</v>
      </c>
      <c r="J698" t="s">
        <v>53</v>
      </c>
      <c r="N698" s="12">
        <f t="shared" si="139"/>
        <v>40</v>
      </c>
    </row>
    <row r="699" spans="1:14" x14ac:dyDescent="0.3">
      <c r="A699" t="s">
        <v>20</v>
      </c>
      <c r="B699" s="5">
        <v>1</v>
      </c>
      <c r="D699" s="5">
        <v>30</v>
      </c>
      <c r="F699" s="5">
        <v>2</v>
      </c>
      <c r="G699" s="5">
        <v>1</v>
      </c>
      <c r="H699" s="5">
        <v>3</v>
      </c>
      <c r="I699" s="5">
        <v>4</v>
      </c>
      <c r="N699" s="12">
        <f t="shared" si="139"/>
        <v>40</v>
      </c>
    </row>
    <row r="700" spans="1:14" x14ac:dyDescent="0.3">
      <c r="A700" t="s">
        <v>23</v>
      </c>
      <c r="B700" s="5">
        <v>1</v>
      </c>
      <c r="D700" s="5">
        <v>30</v>
      </c>
      <c r="F700" s="5">
        <v>1.25</v>
      </c>
      <c r="G700" s="5">
        <v>0.75</v>
      </c>
      <c r="H700" s="5">
        <v>3</v>
      </c>
      <c r="N700" s="12">
        <f t="shared" si="139"/>
        <v>35</v>
      </c>
    </row>
    <row r="701" spans="1:14" x14ac:dyDescent="0.3">
      <c r="A701" t="s">
        <v>15</v>
      </c>
      <c r="B701" s="5">
        <v>1</v>
      </c>
      <c r="D701" s="5">
        <v>150</v>
      </c>
      <c r="N701" s="12">
        <f>SUM(C701:M701)*B701</f>
        <v>150</v>
      </c>
    </row>
    <row r="702" spans="1:14" x14ac:dyDescent="0.3">
      <c r="A702" s="24"/>
      <c r="B702" s="25"/>
      <c r="C702" s="27">
        <f t="shared" ref="C702:N702" si="140">SUM(C694:C701)</f>
        <v>6</v>
      </c>
      <c r="D702" s="27">
        <f t="shared" si="140"/>
        <v>1950</v>
      </c>
      <c r="E702" s="27">
        <f t="shared" si="140"/>
        <v>150</v>
      </c>
      <c r="F702" s="27">
        <f t="shared" si="140"/>
        <v>14.25</v>
      </c>
      <c r="G702" s="27">
        <f t="shared" si="140"/>
        <v>7.75</v>
      </c>
      <c r="H702" s="27">
        <f t="shared" si="140"/>
        <v>23</v>
      </c>
      <c r="I702" s="27">
        <f t="shared" si="140"/>
        <v>140</v>
      </c>
      <c r="J702" s="27">
        <f t="shared" si="140"/>
        <v>0</v>
      </c>
      <c r="K702" s="26">
        <f t="shared" si="140"/>
        <v>0</v>
      </c>
      <c r="L702" s="26">
        <f t="shared" si="140"/>
        <v>0</v>
      </c>
      <c r="M702" s="26">
        <f t="shared" si="140"/>
        <v>0</v>
      </c>
      <c r="N702" s="28">
        <f t="shared" si="140"/>
        <v>2291</v>
      </c>
    </row>
    <row r="704" spans="1:14" ht="23.4" x14ac:dyDescent="0.45">
      <c r="A704" s="85">
        <f>A693+30</f>
        <v>46058</v>
      </c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</row>
    <row r="705" spans="1:14" x14ac:dyDescent="0.3">
      <c r="A705" t="s">
        <v>10</v>
      </c>
      <c r="B705" s="5">
        <v>1</v>
      </c>
      <c r="C705" s="5">
        <v>3</v>
      </c>
      <c r="D705" s="5">
        <f>35*30</f>
        <v>1050</v>
      </c>
      <c r="E705" s="5">
        <v>120</v>
      </c>
      <c r="F705" s="5">
        <v>3</v>
      </c>
      <c r="G705" s="5">
        <v>2</v>
      </c>
      <c r="H705" s="5">
        <v>5</v>
      </c>
      <c r="I705" s="5">
        <v>101</v>
      </c>
      <c r="J705" s="5"/>
      <c r="K705" s="5"/>
      <c r="L705" s="5"/>
      <c r="N705" s="12">
        <f t="shared" ref="N705:N711" si="141">SUM(C705:M705)*B705</f>
        <v>1284</v>
      </c>
    </row>
    <row r="706" spans="1:14" x14ac:dyDescent="0.3">
      <c r="A706" t="s">
        <v>11</v>
      </c>
      <c r="B706" s="5">
        <v>1</v>
      </c>
      <c r="C706" s="5">
        <v>3</v>
      </c>
      <c r="D706" s="5">
        <v>300</v>
      </c>
      <c r="E706" s="5">
        <v>30</v>
      </c>
      <c r="F706" s="5">
        <v>2</v>
      </c>
      <c r="G706" s="5">
        <v>1</v>
      </c>
      <c r="H706" s="5">
        <v>3</v>
      </c>
      <c r="I706" s="5">
        <v>11</v>
      </c>
      <c r="J706" s="5"/>
      <c r="N706" s="12">
        <f t="shared" si="141"/>
        <v>350</v>
      </c>
    </row>
    <row r="707" spans="1:14" x14ac:dyDescent="0.3">
      <c r="A707" t="s">
        <v>14</v>
      </c>
      <c r="B707" s="5">
        <v>1</v>
      </c>
      <c r="D707" s="5">
        <v>300</v>
      </c>
      <c r="F707" s="5">
        <v>2</v>
      </c>
      <c r="G707" s="5">
        <v>1</v>
      </c>
      <c r="H707" s="5">
        <v>3</v>
      </c>
      <c r="I707" s="5">
        <v>10</v>
      </c>
      <c r="J707" s="5"/>
      <c r="N707" s="12">
        <f t="shared" si="141"/>
        <v>316</v>
      </c>
    </row>
    <row r="708" spans="1:14" x14ac:dyDescent="0.3">
      <c r="A708" t="s">
        <v>13</v>
      </c>
      <c r="B708" s="5">
        <v>1</v>
      </c>
      <c r="D708" s="5">
        <v>60</v>
      </c>
      <c r="F708" s="5">
        <v>2</v>
      </c>
      <c r="G708" s="5">
        <v>1</v>
      </c>
      <c r="H708" s="5">
        <v>3</v>
      </c>
      <c r="I708" s="5">
        <v>10</v>
      </c>
      <c r="N708" s="12">
        <f t="shared" si="141"/>
        <v>76</v>
      </c>
    </row>
    <row r="709" spans="1:14" x14ac:dyDescent="0.3">
      <c r="A709" t="s">
        <v>12</v>
      </c>
      <c r="B709" s="5">
        <v>1</v>
      </c>
      <c r="D709" s="5">
        <v>30</v>
      </c>
      <c r="F709" s="5">
        <v>2</v>
      </c>
      <c r="G709" s="5">
        <v>1</v>
      </c>
      <c r="H709" s="5">
        <v>3</v>
      </c>
      <c r="I709" s="5">
        <v>4</v>
      </c>
      <c r="J709" t="s">
        <v>53</v>
      </c>
      <c r="N709" s="12">
        <f t="shared" si="141"/>
        <v>40</v>
      </c>
    </row>
    <row r="710" spans="1:14" x14ac:dyDescent="0.3">
      <c r="A710" t="s">
        <v>20</v>
      </c>
      <c r="B710" s="5">
        <v>1</v>
      </c>
      <c r="D710" s="5">
        <v>30</v>
      </c>
      <c r="F710" s="5">
        <v>2</v>
      </c>
      <c r="G710" s="5">
        <v>1</v>
      </c>
      <c r="H710" s="5">
        <v>3</v>
      </c>
      <c r="I710" s="5">
        <v>4</v>
      </c>
      <c r="N710" s="12">
        <f t="shared" si="141"/>
        <v>40</v>
      </c>
    </row>
    <row r="711" spans="1:14" x14ac:dyDescent="0.3">
      <c r="A711" t="s">
        <v>23</v>
      </c>
      <c r="B711" s="5">
        <v>1</v>
      </c>
      <c r="D711" s="5">
        <v>30</v>
      </c>
      <c r="F711" s="5">
        <v>1.25</v>
      </c>
      <c r="G711" s="5">
        <v>0.75</v>
      </c>
      <c r="H711" s="5">
        <v>3</v>
      </c>
      <c r="N711" s="12">
        <f t="shared" si="141"/>
        <v>35</v>
      </c>
    </row>
    <row r="712" spans="1:14" x14ac:dyDescent="0.3">
      <c r="A712" t="s">
        <v>15</v>
      </c>
      <c r="B712" s="5">
        <v>1</v>
      </c>
      <c r="D712" s="5">
        <v>150</v>
      </c>
      <c r="N712" s="12">
        <f>SUM(C712:M712)*B712</f>
        <v>150</v>
      </c>
    </row>
    <row r="713" spans="1:14" x14ac:dyDescent="0.3">
      <c r="A713" s="24"/>
      <c r="B713" s="25"/>
      <c r="C713" s="27">
        <f t="shared" ref="C713:N713" si="142">SUM(C705:C712)</f>
        <v>6</v>
      </c>
      <c r="D713" s="27">
        <f t="shared" si="142"/>
        <v>1950</v>
      </c>
      <c r="E713" s="27">
        <f t="shared" si="142"/>
        <v>150</v>
      </c>
      <c r="F713" s="27">
        <f t="shared" si="142"/>
        <v>14.25</v>
      </c>
      <c r="G713" s="27">
        <f t="shared" si="142"/>
        <v>7.75</v>
      </c>
      <c r="H713" s="27">
        <f t="shared" si="142"/>
        <v>23</v>
      </c>
      <c r="I713" s="27">
        <f t="shared" si="142"/>
        <v>140</v>
      </c>
      <c r="J713" s="27">
        <f t="shared" si="142"/>
        <v>0</v>
      </c>
      <c r="K713" s="26">
        <f t="shared" si="142"/>
        <v>0</v>
      </c>
      <c r="L713" s="26">
        <f t="shared" si="142"/>
        <v>0</v>
      </c>
      <c r="M713" s="26">
        <f t="shared" si="142"/>
        <v>0</v>
      </c>
      <c r="N713" s="28">
        <f t="shared" si="142"/>
        <v>2291</v>
      </c>
    </row>
    <row r="715" spans="1:14" ht="23.4" x14ac:dyDescent="0.45">
      <c r="A715" s="85">
        <f>A704+30</f>
        <v>46088</v>
      </c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</row>
    <row r="716" spans="1:14" x14ac:dyDescent="0.3">
      <c r="A716" t="s">
        <v>10</v>
      </c>
      <c r="B716" s="5">
        <v>1</v>
      </c>
      <c r="C716" s="5">
        <v>3</v>
      </c>
      <c r="D716" s="5">
        <f>35*30</f>
        <v>1050</v>
      </c>
      <c r="E716" s="5">
        <v>120</v>
      </c>
      <c r="F716" s="5">
        <v>3</v>
      </c>
      <c r="G716" s="5">
        <v>2</v>
      </c>
      <c r="H716" s="5">
        <v>5</v>
      </c>
      <c r="I716" s="5">
        <v>71</v>
      </c>
      <c r="J716" s="5"/>
      <c r="K716" s="5"/>
      <c r="L716" s="5">
        <v>40</v>
      </c>
      <c r="N716" s="12">
        <f t="shared" ref="N716:N722" si="143">SUM(C716:M716)*B716</f>
        <v>1294</v>
      </c>
    </row>
    <row r="717" spans="1:14" x14ac:dyDescent="0.3">
      <c r="A717" t="s">
        <v>11</v>
      </c>
      <c r="B717" s="5">
        <v>1</v>
      </c>
      <c r="C717" s="5">
        <v>3</v>
      </c>
      <c r="D717" s="5">
        <v>300</v>
      </c>
      <c r="E717" s="5">
        <v>60</v>
      </c>
      <c r="F717" s="5">
        <v>2</v>
      </c>
      <c r="G717" s="5">
        <v>1</v>
      </c>
      <c r="H717" s="5">
        <v>3</v>
      </c>
      <c r="I717" s="5">
        <v>11</v>
      </c>
      <c r="J717" s="5"/>
      <c r="L717" s="5"/>
      <c r="N717" s="12">
        <f t="shared" si="143"/>
        <v>380</v>
      </c>
    </row>
    <row r="718" spans="1:14" x14ac:dyDescent="0.3">
      <c r="A718" t="s">
        <v>14</v>
      </c>
      <c r="B718" s="5">
        <v>1</v>
      </c>
      <c r="D718" s="5">
        <v>300</v>
      </c>
      <c r="F718" s="5">
        <v>2</v>
      </c>
      <c r="G718" s="5">
        <v>1</v>
      </c>
      <c r="H718" s="5">
        <v>3</v>
      </c>
      <c r="I718" s="5">
        <v>20</v>
      </c>
      <c r="J718" s="5"/>
      <c r="N718" s="12">
        <f t="shared" si="143"/>
        <v>326</v>
      </c>
    </row>
    <row r="719" spans="1:14" x14ac:dyDescent="0.3">
      <c r="A719" t="s">
        <v>13</v>
      </c>
      <c r="B719" s="5">
        <v>1</v>
      </c>
      <c r="D719" s="5">
        <v>60</v>
      </c>
      <c r="F719" s="5">
        <v>2</v>
      </c>
      <c r="G719" s="5">
        <v>1</v>
      </c>
      <c r="H719" s="5">
        <v>3</v>
      </c>
      <c r="I719" s="5">
        <v>10</v>
      </c>
      <c r="N719" s="12">
        <f t="shared" si="143"/>
        <v>76</v>
      </c>
    </row>
    <row r="720" spans="1:14" x14ac:dyDescent="0.3">
      <c r="A720" t="s">
        <v>12</v>
      </c>
      <c r="B720" s="5">
        <v>1</v>
      </c>
      <c r="D720" s="5">
        <v>30</v>
      </c>
      <c r="F720" s="5">
        <v>2</v>
      </c>
      <c r="G720" s="5">
        <v>1</v>
      </c>
      <c r="H720" s="5">
        <v>3</v>
      </c>
      <c r="I720" s="5">
        <v>4</v>
      </c>
      <c r="J720" t="s">
        <v>53</v>
      </c>
      <c r="N720" s="12">
        <f t="shared" si="143"/>
        <v>40</v>
      </c>
    </row>
    <row r="721" spans="1:14" x14ac:dyDescent="0.3">
      <c r="A721" t="s">
        <v>20</v>
      </c>
      <c r="B721" s="5">
        <v>1</v>
      </c>
      <c r="D721" s="5">
        <v>30</v>
      </c>
      <c r="F721" s="5">
        <v>2</v>
      </c>
      <c r="G721" s="5">
        <v>1</v>
      </c>
      <c r="H721" s="5">
        <v>3</v>
      </c>
      <c r="I721" s="5">
        <v>4</v>
      </c>
      <c r="N721" s="12">
        <f t="shared" si="143"/>
        <v>40</v>
      </c>
    </row>
    <row r="722" spans="1:14" x14ac:dyDescent="0.3">
      <c r="A722" t="s">
        <v>23</v>
      </c>
      <c r="B722" s="5">
        <v>1</v>
      </c>
      <c r="D722" s="5">
        <v>30</v>
      </c>
      <c r="F722" s="5">
        <v>1.25</v>
      </c>
      <c r="G722" s="5">
        <v>0.75</v>
      </c>
      <c r="H722" s="5">
        <v>3</v>
      </c>
      <c r="N722" s="12">
        <f t="shared" si="143"/>
        <v>35</v>
      </c>
    </row>
    <row r="723" spans="1:14" x14ac:dyDescent="0.3">
      <c r="A723" t="s">
        <v>15</v>
      </c>
      <c r="B723" s="5">
        <v>1</v>
      </c>
      <c r="D723" s="5">
        <v>150</v>
      </c>
      <c r="N723" s="12">
        <f>SUM(C723:M723)*B723</f>
        <v>150</v>
      </c>
    </row>
    <row r="724" spans="1:14" x14ac:dyDescent="0.3">
      <c r="A724" s="24"/>
      <c r="B724" s="25"/>
      <c r="C724" s="27">
        <f t="shared" ref="C724:N724" si="144">SUM(C716:C723)</f>
        <v>6</v>
      </c>
      <c r="D724" s="27">
        <f t="shared" si="144"/>
        <v>1950</v>
      </c>
      <c r="E724" s="27">
        <f t="shared" si="144"/>
        <v>180</v>
      </c>
      <c r="F724" s="27">
        <f t="shared" si="144"/>
        <v>14.25</v>
      </c>
      <c r="G724" s="27">
        <f t="shared" si="144"/>
        <v>7.75</v>
      </c>
      <c r="H724" s="27">
        <f t="shared" si="144"/>
        <v>23</v>
      </c>
      <c r="I724" s="27">
        <f t="shared" si="144"/>
        <v>120</v>
      </c>
      <c r="J724" s="27">
        <f t="shared" si="144"/>
        <v>0</v>
      </c>
      <c r="K724" s="26">
        <f t="shared" si="144"/>
        <v>0</v>
      </c>
      <c r="L724" s="26">
        <f t="shared" si="144"/>
        <v>40</v>
      </c>
      <c r="M724" s="26">
        <f t="shared" si="144"/>
        <v>0</v>
      </c>
      <c r="N724" s="28">
        <f t="shared" si="144"/>
        <v>2341</v>
      </c>
    </row>
    <row r="726" spans="1:14" ht="23.4" x14ac:dyDescent="0.45">
      <c r="A726" s="85">
        <f>A715+30</f>
        <v>46118</v>
      </c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</row>
    <row r="727" spans="1:14" x14ac:dyDescent="0.3">
      <c r="A727" t="s">
        <v>10</v>
      </c>
      <c r="B727" s="5">
        <v>1</v>
      </c>
      <c r="C727" s="5">
        <v>3</v>
      </c>
      <c r="D727" s="5">
        <f>35*30</f>
        <v>1050</v>
      </c>
      <c r="E727" s="5">
        <v>120</v>
      </c>
      <c r="F727" s="5">
        <v>3</v>
      </c>
      <c r="G727" s="5">
        <v>2</v>
      </c>
      <c r="H727" s="5">
        <v>5</v>
      </c>
      <c r="I727" s="5">
        <v>71</v>
      </c>
      <c r="J727" s="5"/>
      <c r="K727" s="5"/>
      <c r="L727" s="5">
        <v>40</v>
      </c>
      <c r="N727" s="12">
        <f t="shared" ref="N727:N733" si="145">SUM(C727:M727)*B727</f>
        <v>1294</v>
      </c>
    </row>
    <row r="728" spans="1:14" x14ac:dyDescent="0.3">
      <c r="A728" t="s">
        <v>11</v>
      </c>
      <c r="B728" s="5">
        <v>1</v>
      </c>
      <c r="C728" s="5">
        <v>3</v>
      </c>
      <c r="D728" s="5">
        <v>300</v>
      </c>
      <c r="E728" s="5">
        <v>60</v>
      </c>
      <c r="F728" s="5">
        <v>2</v>
      </c>
      <c r="G728" s="5">
        <v>1</v>
      </c>
      <c r="H728" s="5">
        <v>3</v>
      </c>
      <c r="I728" s="5">
        <v>11</v>
      </c>
      <c r="J728" s="5"/>
      <c r="N728" s="12">
        <f t="shared" si="145"/>
        <v>380</v>
      </c>
    </row>
    <row r="729" spans="1:14" x14ac:dyDescent="0.3">
      <c r="A729" t="s">
        <v>14</v>
      </c>
      <c r="B729" s="5">
        <v>1</v>
      </c>
      <c r="D729" s="5">
        <v>300</v>
      </c>
      <c r="F729" s="5">
        <v>2</v>
      </c>
      <c r="G729" s="5">
        <v>1</v>
      </c>
      <c r="H729" s="5">
        <v>3</v>
      </c>
      <c r="I729" s="5">
        <v>20</v>
      </c>
      <c r="J729" s="5"/>
      <c r="N729" s="12">
        <f t="shared" si="145"/>
        <v>326</v>
      </c>
    </row>
    <row r="730" spans="1:14" x14ac:dyDescent="0.3">
      <c r="A730" t="s">
        <v>13</v>
      </c>
      <c r="B730" s="5">
        <v>1</v>
      </c>
      <c r="D730" s="5">
        <v>60</v>
      </c>
      <c r="F730" s="5">
        <v>2</v>
      </c>
      <c r="G730" s="5">
        <v>1</v>
      </c>
      <c r="H730" s="5">
        <v>3</v>
      </c>
      <c r="I730" s="5">
        <v>10</v>
      </c>
      <c r="N730" s="12">
        <f t="shared" si="145"/>
        <v>76</v>
      </c>
    </row>
    <row r="731" spans="1:14" x14ac:dyDescent="0.3">
      <c r="A731" t="s">
        <v>12</v>
      </c>
      <c r="B731" s="5">
        <v>1</v>
      </c>
      <c r="D731" s="5">
        <v>30</v>
      </c>
      <c r="F731" s="5">
        <v>2</v>
      </c>
      <c r="G731" s="5">
        <v>1</v>
      </c>
      <c r="H731" s="5">
        <v>3</v>
      </c>
      <c r="I731" s="5">
        <v>4</v>
      </c>
      <c r="J731" t="s">
        <v>53</v>
      </c>
      <c r="N731" s="12">
        <f t="shared" si="145"/>
        <v>40</v>
      </c>
    </row>
    <row r="732" spans="1:14" x14ac:dyDescent="0.3">
      <c r="A732" t="s">
        <v>20</v>
      </c>
      <c r="B732" s="5">
        <v>1</v>
      </c>
      <c r="D732" s="5">
        <v>30</v>
      </c>
      <c r="F732" s="5">
        <v>2</v>
      </c>
      <c r="G732" s="5">
        <v>1</v>
      </c>
      <c r="H732" s="5">
        <v>3</v>
      </c>
      <c r="I732" s="5">
        <v>4</v>
      </c>
      <c r="N732" s="12">
        <f t="shared" si="145"/>
        <v>40</v>
      </c>
    </row>
    <row r="733" spans="1:14" x14ac:dyDescent="0.3">
      <c r="A733" t="s">
        <v>23</v>
      </c>
      <c r="B733" s="5">
        <v>1</v>
      </c>
      <c r="D733" s="5">
        <v>30</v>
      </c>
      <c r="F733" s="5">
        <v>1.25</v>
      </c>
      <c r="G733" s="5">
        <v>0.75</v>
      </c>
      <c r="H733" s="5">
        <v>3</v>
      </c>
      <c r="N733" s="12">
        <f t="shared" si="145"/>
        <v>35</v>
      </c>
    </row>
    <row r="734" spans="1:14" x14ac:dyDescent="0.3">
      <c r="A734" t="s">
        <v>15</v>
      </c>
      <c r="B734" s="5">
        <v>1</v>
      </c>
      <c r="D734" s="5">
        <v>150</v>
      </c>
      <c r="N734" s="12">
        <f>SUM(C734:M734)*B734</f>
        <v>150</v>
      </c>
    </row>
    <row r="735" spans="1:14" x14ac:dyDescent="0.3">
      <c r="A735" s="24"/>
      <c r="B735" s="25"/>
      <c r="C735" s="27">
        <f t="shared" ref="C735:N735" si="146">SUM(C727:C734)</f>
        <v>6</v>
      </c>
      <c r="D735" s="27">
        <f t="shared" si="146"/>
        <v>1950</v>
      </c>
      <c r="E735" s="27">
        <f t="shared" si="146"/>
        <v>180</v>
      </c>
      <c r="F735" s="27">
        <f t="shared" si="146"/>
        <v>14.25</v>
      </c>
      <c r="G735" s="27">
        <f t="shared" si="146"/>
        <v>7.75</v>
      </c>
      <c r="H735" s="27">
        <f t="shared" si="146"/>
        <v>23</v>
      </c>
      <c r="I735" s="27">
        <f t="shared" si="146"/>
        <v>120</v>
      </c>
      <c r="J735" s="27">
        <f t="shared" si="146"/>
        <v>0</v>
      </c>
      <c r="K735" s="26">
        <f t="shared" si="146"/>
        <v>0</v>
      </c>
      <c r="L735" s="26">
        <f t="shared" si="146"/>
        <v>40</v>
      </c>
      <c r="M735" s="26">
        <f t="shared" si="146"/>
        <v>0</v>
      </c>
      <c r="N735" s="28">
        <f t="shared" si="146"/>
        <v>2341</v>
      </c>
    </row>
    <row r="737" spans="1:14" ht="23.4" x14ac:dyDescent="0.45">
      <c r="A737" s="85">
        <f>A726+30</f>
        <v>46148</v>
      </c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</row>
    <row r="738" spans="1:14" x14ac:dyDescent="0.3">
      <c r="A738" t="s">
        <v>10</v>
      </c>
      <c r="B738" s="5">
        <v>1</v>
      </c>
      <c r="C738" s="5">
        <v>3</v>
      </c>
      <c r="D738" s="5">
        <f>35*30</f>
        <v>1050</v>
      </c>
      <c r="E738" s="5">
        <v>120</v>
      </c>
      <c r="F738" s="5">
        <v>3</v>
      </c>
      <c r="G738" s="5">
        <v>2</v>
      </c>
      <c r="H738" s="5">
        <v>5</v>
      </c>
      <c r="I738" s="5">
        <v>71</v>
      </c>
      <c r="J738" s="5"/>
      <c r="K738" s="5"/>
      <c r="L738" s="5">
        <v>40</v>
      </c>
      <c r="N738" s="12">
        <f t="shared" ref="N738:N744" si="147">SUM(C738:M738)*B738</f>
        <v>1294</v>
      </c>
    </row>
    <row r="739" spans="1:14" x14ac:dyDescent="0.3">
      <c r="A739" t="s">
        <v>11</v>
      </c>
      <c r="B739" s="5">
        <v>1</v>
      </c>
      <c r="C739" s="5">
        <v>3</v>
      </c>
      <c r="D739" s="5">
        <v>300</v>
      </c>
      <c r="E739" s="5">
        <v>60</v>
      </c>
      <c r="F739" s="5">
        <v>2</v>
      </c>
      <c r="G739" s="5">
        <v>1</v>
      </c>
      <c r="H739" s="5">
        <v>3</v>
      </c>
      <c r="I739" s="5">
        <v>11</v>
      </c>
      <c r="J739" s="5"/>
      <c r="N739" s="12">
        <f t="shared" si="147"/>
        <v>380</v>
      </c>
    </row>
    <row r="740" spans="1:14" x14ac:dyDescent="0.3">
      <c r="A740" t="s">
        <v>14</v>
      </c>
      <c r="B740" s="5">
        <v>1</v>
      </c>
      <c r="D740" s="5">
        <v>300</v>
      </c>
      <c r="F740" s="5">
        <v>2</v>
      </c>
      <c r="G740" s="5">
        <v>1</v>
      </c>
      <c r="H740" s="5">
        <v>3</v>
      </c>
      <c r="I740" s="5">
        <v>20</v>
      </c>
      <c r="J740" s="5"/>
      <c r="N740" s="12">
        <f t="shared" si="147"/>
        <v>326</v>
      </c>
    </row>
    <row r="741" spans="1:14" x14ac:dyDescent="0.3">
      <c r="A741" t="s">
        <v>13</v>
      </c>
      <c r="B741" s="5">
        <v>1</v>
      </c>
      <c r="D741" s="5">
        <v>60</v>
      </c>
      <c r="F741" s="5">
        <v>2</v>
      </c>
      <c r="G741" s="5">
        <v>1</v>
      </c>
      <c r="H741" s="5">
        <v>3</v>
      </c>
      <c r="I741" s="5">
        <v>10</v>
      </c>
      <c r="N741" s="12">
        <f t="shared" si="147"/>
        <v>76</v>
      </c>
    </row>
    <row r="742" spans="1:14" x14ac:dyDescent="0.3">
      <c r="A742" t="s">
        <v>12</v>
      </c>
      <c r="B742" s="5">
        <v>1</v>
      </c>
      <c r="D742" s="5">
        <v>30</v>
      </c>
      <c r="F742" s="5">
        <v>2</v>
      </c>
      <c r="G742" s="5">
        <v>1</v>
      </c>
      <c r="H742" s="5">
        <v>3</v>
      </c>
      <c r="I742" s="5">
        <v>4</v>
      </c>
      <c r="J742" t="s">
        <v>53</v>
      </c>
      <c r="N742" s="12">
        <f t="shared" si="147"/>
        <v>40</v>
      </c>
    </row>
    <row r="743" spans="1:14" x14ac:dyDescent="0.3">
      <c r="A743" t="s">
        <v>20</v>
      </c>
      <c r="B743" s="5">
        <v>1</v>
      </c>
      <c r="D743" s="5">
        <v>30</v>
      </c>
      <c r="F743" s="5">
        <v>2</v>
      </c>
      <c r="G743" s="5">
        <v>1</v>
      </c>
      <c r="H743" s="5">
        <v>3</v>
      </c>
      <c r="I743" s="5">
        <v>4</v>
      </c>
      <c r="N743" s="12">
        <f t="shared" si="147"/>
        <v>40</v>
      </c>
    </row>
    <row r="744" spans="1:14" x14ac:dyDescent="0.3">
      <c r="A744" t="s">
        <v>23</v>
      </c>
      <c r="B744" s="5">
        <v>1</v>
      </c>
      <c r="D744" s="5">
        <v>30</v>
      </c>
      <c r="F744" s="5">
        <v>1.25</v>
      </c>
      <c r="G744" s="5">
        <v>0.75</v>
      </c>
      <c r="H744" s="5">
        <v>3</v>
      </c>
      <c r="N744" s="12">
        <f t="shared" si="147"/>
        <v>35</v>
      </c>
    </row>
    <row r="745" spans="1:14" x14ac:dyDescent="0.3">
      <c r="A745" t="s">
        <v>15</v>
      </c>
      <c r="B745" s="5">
        <v>1</v>
      </c>
      <c r="D745" s="5">
        <v>150</v>
      </c>
      <c r="N745" s="12">
        <f>SUM(C745:M745)*B745</f>
        <v>150</v>
      </c>
    </row>
    <row r="746" spans="1:14" x14ac:dyDescent="0.3">
      <c r="A746" s="24"/>
      <c r="B746" s="25"/>
      <c r="C746" s="27">
        <f t="shared" ref="C746:N746" si="148">SUM(C738:C745)</f>
        <v>6</v>
      </c>
      <c r="D746" s="27">
        <f t="shared" si="148"/>
        <v>1950</v>
      </c>
      <c r="E746" s="27">
        <f t="shared" si="148"/>
        <v>180</v>
      </c>
      <c r="F746" s="27">
        <f t="shared" si="148"/>
        <v>14.25</v>
      </c>
      <c r="G746" s="27">
        <f t="shared" si="148"/>
        <v>7.75</v>
      </c>
      <c r="H746" s="27">
        <f t="shared" si="148"/>
        <v>23</v>
      </c>
      <c r="I746" s="27">
        <f t="shared" si="148"/>
        <v>120</v>
      </c>
      <c r="J746" s="27">
        <f t="shared" si="148"/>
        <v>0</v>
      </c>
      <c r="K746" s="26">
        <f t="shared" si="148"/>
        <v>0</v>
      </c>
      <c r="L746" s="26">
        <f t="shared" si="148"/>
        <v>40</v>
      </c>
      <c r="M746" s="26">
        <f t="shared" si="148"/>
        <v>0</v>
      </c>
      <c r="N746" s="28">
        <f t="shared" si="148"/>
        <v>2341</v>
      </c>
    </row>
    <row r="748" spans="1:14" ht="23.4" x14ac:dyDescent="0.45">
      <c r="A748" s="85">
        <f>A737+30</f>
        <v>46178</v>
      </c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</row>
    <row r="749" spans="1:14" x14ac:dyDescent="0.3">
      <c r="A749" t="s">
        <v>10</v>
      </c>
      <c r="B749" s="5">
        <v>1</v>
      </c>
      <c r="C749" s="5">
        <v>3</v>
      </c>
      <c r="D749" s="5">
        <f>35*30</f>
        <v>1050</v>
      </c>
      <c r="E749" s="5">
        <v>120</v>
      </c>
      <c r="F749" s="5">
        <v>3</v>
      </c>
      <c r="G749" s="5">
        <v>2</v>
      </c>
      <c r="H749" s="5">
        <v>5</v>
      </c>
      <c r="I749" s="5">
        <v>591</v>
      </c>
      <c r="J749" s="5">
        <v>2663</v>
      </c>
      <c r="K749" s="5"/>
      <c r="L749" s="5">
        <v>40</v>
      </c>
      <c r="N749" s="12">
        <f t="shared" ref="N749:N755" si="149">SUM(C749:M749)*B749</f>
        <v>4477</v>
      </c>
    </row>
    <row r="750" spans="1:14" x14ac:dyDescent="0.3">
      <c r="A750" t="s">
        <v>11</v>
      </c>
      <c r="B750" s="5">
        <v>1</v>
      </c>
      <c r="C750" s="5">
        <v>3</v>
      </c>
      <c r="D750" s="5">
        <v>300</v>
      </c>
      <c r="E750" s="5">
        <v>60</v>
      </c>
      <c r="F750" s="5">
        <v>2</v>
      </c>
      <c r="G750" s="5">
        <v>1</v>
      </c>
      <c r="H750" s="5">
        <v>3</v>
      </c>
      <c r="I750" s="5">
        <v>20</v>
      </c>
      <c r="J750" s="5"/>
      <c r="N750" s="12">
        <f t="shared" si="149"/>
        <v>389</v>
      </c>
    </row>
    <row r="751" spans="1:14" x14ac:dyDescent="0.3">
      <c r="A751" t="s">
        <v>14</v>
      </c>
      <c r="B751" s="5">
        <v>1</v>
      </c>
      <c r="D751" s="5">
        <v>300</v>
      </c>
      <c r="F751" s="5">
        <v>2</v>
      </c>
      <c r="G751" s="5">
        <v>1</v>
      </c>
      <c r="H751" s="5">
        <v>3</v>
      </c>
      <c r="I751" s="5">
        <v>20</v>
      </c>
      <c r="J751" s="5"/>
      <c r="N751" s="12">
        <f t="shared" si="149"/>
        <v>326</v>
      </c>
    </row>
    <row r="752" spans="1:14" x14ac:dyDescent="0.3">
      <c r="A752" t="s">
        <v>13</v>
      </c>
      <c r="B752" s="5">
        <v>1</v>
      </c>
      <c r="D752" s="5">
        <v>150</v>
      </c>
      <c r="F752" s="5">
        <v>2</v>
      </c>
      <c r="G752" s="5">
        <v>1</v>
      </c>
      <c r="H752" s="5">
        <v>3</v>
      </c>
      <c r="I752" s="5">
        <v>10</v>
      </c>
      <c r="N752" s="12">
        <f t="shared" si="149"/>
        <v>166</v>
      </c>
    </row>
    <row r="753" spans="1:14" x14ac:dyDescent="0.3">
      <c r="A753" t="s">
        <v>12</v>
      </c>
      <c r="B753" s="5">
        <v>1</v>
      </c>
      <c r="D753" s="5">
        <v>30</v>
      </c>
      <c r="F753" s="5">
        <v>2</v>
      </c>
      <c r="G753" s="5">
        <v>1</v>
      </c>
      <c r="H753" s="5">
        <v>3</v>
      </c>
      <c r="I753" s="5">
        <v>4</v>
      </c>
      <c r="J753" t="s">
        <v>53</v>
      </c>
      <c r="N753" s="12">
        <f t="shared" si="149"/>
        <v>40</v>
      </c>
    </row>
    <row r="754" spans="1:14" x14ac:dyDescent="0.3">
      <c r="A754" t="s">
        <v>20</v>
      </c>
      <c r="B754" s="5">
        <v>1</v>
      </c>
      <c r="D754" s="5">
        <v>30</v>
      </c>
      <c r="F754" s="5">
        <v>2</v>
      </c>
      <c r="G754" s="5">
        <v>1</v>
      </c>
      <c r="H754" s="5">
        <v>3</v>
      </c>
      <c r="I754" s="5">
        <v>4</v>
      </c>
      <c r="N754" s="12">
        <f t="shared" si="149"/>
        <v>40</v>
      </c>
    </row>
    <row r="755" spans="1:14" x14ac:dyDescent="0.3">
      <c r="A755" t="s">
        <v>23</v>
      </c>
      <c r="B755" s="5">
        <v>1</v>
      </c>
      <c r="D755" s="5">
        <v>30</v>
      </c>
      <c r="F755" s="5">
        <v>1.25</v>
      </c>
      <c r="G755" s="5">
        <v>0.75</v>
      </c>
      <c r="H755" s="5">
        <v>3</v>
      </c>
      <c r="N755" s="12">
        <f t="shared" si="149"/>
        <v>35</v>
      </c>
    </row>
    <row r="756" spans="1:14" x14ac:dyDescent="0.3">
      <c r="A756" t="s">
        <v>15</v>
      </c>
      <c r="B756" s="5">
        <v>1</v>
      </c>
      <c r="D756" s="5">
        <v>150</v>
      </c>
      <c r="N756" s="12">
        <f>SUM(C756:M756)*B756</f>
        <v>150</v>
      </c>
    </row>
    <row r="757" spans="1:14" x14ac:dyDescent="0.3">
      <c r="A757" s="24"/>
      <c r="B757" s="25"/>
      <c r="C757" s="27">
        <f t="shared" ref="C757:N757" si="150">SUM(C749:C756)</f>
        <v>6</v>
      </c>
      <c r="D757" s="27">
        <f t="shared" si="150"/>
        <v>2040</v>
      </c>
      <c r="E757" s="27">
        <f t="shared" si="150"/>
        <v>180</v>
      </c>
      <c r="F757" s="27">
        <f t="shared" si="150"/>
        <v>14.25</v>
      </c>
      <c r="G757" s="27">
        <f t="shared" si="150"/>
        <v>7.75</v>
      </c>
      <c r="H757" s="27">
        <f t="shared" si="150"/>
        <v>23</v>
      </c>
      <c r="I757" s="27">
        <f t="shared" si="150"/>
        <v>649</v>
      </c>
      <c r="J757" s="27">
        <f t="shared" si="150"/>
        <v>2663</v>
      </c>
      <c r="K757" s="26">
        <f t="shared" si="150"/>
        <v>0</v>
      </c>
      <c r="L757" s="26">
        <f t="shared" si="150"/>
        <v>40</v>
      </c>
      <c r="M757" s="26">
        <f t="shared" si="150"/>
        <v>0</v>
      </c>
      <c r="N757" s="28">
        <f t="shared" si="150"/>
        <v>5623</v>
      </c>
    </row>
  </sheetData>
  <mergeCells count="74">
    <mergeCell ref="A223:N223"/>
    <mergeCell ref="A726:N726"/>
    <mergeCell ref="A693:N693"/>
    <mergeCell ref="A704:N704"/>
    <mergeCell ref="A715:N715"/>
    <mergeCell ref="A233:N233"/>
    <mergeCell ref="A323:N323"/>
    <mergeCell ref="A243:N243"/>
    <mergeCell ref="A373:N373"/>
    <mergeCell ref="A433:N433"/>
    <mergeCell ref="A393:N393"/>
    <mergeCell ref="A403:N403"/>
    <mergeCell ref="A413:N413"/>
    <mergeCell ref="A423:N423"/>
    <mergeCell ref="A263:N263"/>
    <mergeCell ref="A363:N363"/>
    <mergeCell ref="A203:N203"/>
    <mergeCell ref="A213:N213"/>
    <mergeCell ref="A63:N63"/>
    <mergeCell ref="A123:N123"/>
    <mergeCell ref="A113:N113"/>
    <mergeCell ref="A153:N153"/>
    <mergeCell ref="A133:N133"/>
    <mergeCell ref="A143:N143"/>
    <mergeCell ref="A103:N103"/>
    <mergeCell ref="A93:N93"/>
    <mergeCell ref="A83:N83"/>
    <mergeCell ref="A73:N73"/>
    <mergeCell ref="A183:N183"/>
    <mergeCell ref="A163:N163"/>
    <mergeCell ref="A173:N173"/>
    <mergeCell ref="A193:N193"/>
    <mergeCell ref="P3:P9"/>
    <mergeCell ref="O3:O10"/>
    <mergeCell ref="A53:N53"/>
    <mergeCell ref="A12:N12"/>
    <mergeCell ref="A23:N23"/>
    <mergeCell ref="A33:N33"/>
    <mergeCell ref="A43:N43"/>
    <mergeCell ref="A253:N253"/>
    <mergeCell ref="A283:N283"/>
    <mergeCell ref="A273:N273"/>
    <mergeCell ref="A343:N343"/>
    <mergeCell ref="A293:N293"/>
    <mergeCell ref="A353:N353"/>
    <mergeCell ref="A303:N303"/>
    <mergeCell ref="A313:N313"/>
    <mergeCell ref="A333:N333"/>
    <mergeCell ref="A583:N583"/>
    <mergeCell ref="A572:N572"/>
    <mergeCell ref="A484:N484"/>
    <mergeCell ref="A473:N473"/>
    <mergeCell ref="A495:N495"/>
    <mergeCell ref="A517:N517"/>
    <mergeCell ref="A506:N506"/>
    <mergeCell ref="A561:N561"/>
    <mergeCell ref="A539:N539"/>
    <mergeCell ref="A550:N550"/>
    <mergeCell ref="A453:N453"/>
    <mergeCell ref="A443:N443"/>
    <mergeCell ref="A383:N383"/>
    <mergeCell ref="A463:N463"/>
    <mergeCell ref="A528:N528"/>
    <mergeCell ref="A616:N616"/>
    <mergeCell ref="A649:N649"/>
    <mergeCell ref="A660:N660"/>
    <mergeCell ref="A605:N605"/>
    <mergeCell ref="A594:N594"/>
    <mergeCell ref="A737:N737"/>
    <mergeCell ref="A748:N748"/>
    <mergeCell ref="A671:N671"/>
    <mergeCell ref="A682:N682"/>
    <mergeCell ref="A627:N627"/>
    <mergeCell ref="A638:N638"/>
  </mergeCells>
  <pageMargins left="0.7" right="0.7" top="0.75" bottom="0.75" header="0.3" footer="0.3"/>
  <pageSetup scale="46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64"/>
  <sheetViews>
    <sheetView tabSelected="1" topLeftCell="A33" zoomScaleNormal="100" workbookViewId="0">
      <pane xSplit="7" topLeftCell="BS1" activePane="topRight" state="frozen"/>
      <selection activeCell="A52" sqref="A52"/>
      <selection pane="topRight" activeCell="BW35" sqref="BW35:BY35"/>
    </sheetView>
  </sheetViews>
  <sheetFormatPr defaultRowHeight="14.4" x14ac:dyDescent="0.3"/>
  <cols>
    <col min="1" max="2" width="17.88671875" style="31" customWidth="1"/>
    <col min="3" max="3" width="12.33203125" style="8" customWidth="1"/>
    <col min="4" max="5" width="8.109375" style="5" customWidth="1"/>
    <col min="6" max="6" width="7" style="5" customWidth="1"/>
    <col min="7" max="7" width="21.33203125" customWidth="1"/>
    <col min="8" max="9" width="11" style="5" hidden="1" customWidth="1"/>
    <col min="10" max="12" width="11" style="12" hidden="1" customWidth="1"/>
    <col min="13" max="13" width="11" hidden="1" customWidth="1"/>
    <col min="14" max="15" width="11" style="12" hidden="1" customWidth="1"/>
    <col min="16" max="16" width="11" hidden="1" customWidth="1"/>
    <col min="17" max="18" width="11" style="12" hidden="1" customWidth="1"/>
    <col min="19" max="21" width="11.33203125" style="12" hidden="1" customWidth="1"/>
    <col min="22" max="22" width="11.88671875" style="12" hidden="1" customWidth="1"/>
    <col min="23" max="23" width="12.6640625" hidden="1" customWidth="1"/>
    <col min="24" max="24" width="11.5546875" hidden="1" customWidth="1"/>
    <col min="25" max="26" width="10.88671875" hidden="1" customWidth="1"/>
    <col min="27" max="27" width="11.6640625" hidden="1" customWidth="1"/>
    <col min="28" max="28" width="11" hidden="1" customWidth="1"/>
    <col min="29" max="29" width="14.6640625" hidden="1" customWidth="1"/>
    <col min="30" max="30" width="12.33203125" style="5" hidden="1" customWidth="1"/>
    <col min="31" max="32" width="10.44140625" hidden="1" customWidth="1"/>
    <col min="33" max="33" width="12.33203125" style="5" hidden="1" customWidth="1"/>
    <col min="34" max="34" width="13.44140625" hidden="1" customWidth="1"/>
    <col min="35" max="35" width="12.88671875" hidden="1" customWidth="1"/>
    <col min="36" max="36" width="13.44140625" hidden="1" customWidth="1"/>
    <col min="37" max="37" width="11.5546875" hidden="1" customWidth="1"/>
    <col min="38" max="38" width="12.33203125" hidden="1" customWidth="1"/>
    <col min="39" max="39" width="11" style="12" hidden="1" customWidth="1"/>
    <col min="40" max="40" width="11.109375" hidden="1" customWidth="1"/>
    <col min="41" max="41" width="10.44140625" hidden="1" customWidth="1"/>
    <col min="42" max="42" width="10.44140625" customWidth="1"/>
    <col min="43" max="43" width="11.5546875" customWidth="1"/>
    <col min="44" max="44" width="13.44140625" customWidth="1"/>
    <col min="45" max="45" width="10.44140625" bestFit="1" customWidth="1"/>
    <col min="46" max="46" width="11.44140625" customWidth="1"/>
    <col min="47" max="47" width="11.88671875" customWidth="1"/>
    <col min="48" max="48" width="10.44140625" customWidth="1"/>
    <col min="49" max="49" width="11.44140625" customWidth="1"/>
    <col min="50" max="50" width="11.33203125" customWidth="1"/>
    <col min="51" max="51" width="12.33203125" customWidth="1"/>
    <col min="52" max="52" width="12.88671875" customWidth="1"/>
    <col min="53" max="53" width="11.109375" customWidth="1"/>
    <col min="54" max="55" width="12.5546875" customWidth="1"/>
    <col min="56" max="56" width="12.33203125" customWidth="1"/>
    <col min="57" max="57" width="13.6640625" customWidth="1"/>
    <col min="58" max="58" width="11" customWidth="1"/>
    <col min="59" max="59" width="13.44140625" style="12" customWidth="1"/>
    <col min="60" max="60" width="14.44140625" customWidth="1"/>
    <col min="61" max="61" width="12.33203125" customWidth="1"/>
    <col min="62" max="62" width="10.88671875" customWidth="1"/>
    <col min="63" max="63" width="11.5546875" customWidth="1"/>
    <col min="64" max="64" width="10.88671875" customWidth="1"/>
    <col min="65" max="65" width="11.109375" customWidth="1"/>
    <col min="66" max="66" width="10.6640625" customWidth="1"/>
    <col min="67" max="67" width="12" customWidth="1"/>
    <col min="68" max="68" width="12.77734375" customWidth="1"/>
    <col min="69" max="69" width="10.77734375" customWidth="1"/>
    <col min="70" max="70" width="11" customWidth="1"/>
    <col min="71" max="71" width="10.77734375" customWidth="1"/>
    <col min="72" max="72" width="10.109375" customWidth="1"/>
    <col min="73" max="74" width="10.5546875" customWidth="1"/>
    <col min="75" max="75" width="12.33203125" customWidth="1"/>
    <col min="76" max="77" width="12.21875" customWidth="1"/>
  </cols>
  <sheetData>
    <row r="1" spans="1:77" ht="19.5" customHeight="1" x14ac:dyDescent="0.35">
      <c r="G1" s="19"/>
      <c r="H1" s="30">
        <f>SUM(H5:H26)</f>
        <v>3034</v>
      </c>
      <c r="I1" s="30">
        <f>SUM(I5:I26)</f>
        <v>2269</v>
      </c>
      <c r="J1" s="30">
        <f>SUM(J5:J26)</f>
        <v>1604</v>
      </c>
      <c r="K1" s="30">
        <f>SUM(K5:K26)</f>
        <v>3119</v>
      </c>
      <c r="L1" s="30">
        <f>SUM(L5:L26)</f>
        <v>2146</v>
      </c>
      <c r="M1" s="30">
        <f t="shared" ref="M1:AB1" si="0">SUM(M5:M26)</f>
        <v>1100</v>
      </c>
      <c r="N1" s="30">
        <f t="shared" si="0"/>
        <v>1100</v>
      </c>
      <c r="O1" s="30">
        <f t="shared" si="0"/>
        <v>1595</v>
      </c>
      <c r="P1" s="30">
        <f t="shared" si="0"/>
        <v>1100</v>
      </c>
      <c r="Q1" s="30">
        <f t="shared" si="0"/>
        <v>2610</v>
      </c>
      <c r="R1" s="30">
        <f t="shared" si="0"/>
        <v>1110</v>
      </c>
      <c r="S1" s="30">
        <f t="shared" si="0"/>
        <v>935</v>
      </c>
      <c r="T1" s="30">
        <f t="shared" si="0"/>
        <v>1285</v>
      </c>
      <c r="U1" s="30">
        <f t="shared" si="0"/>
        <v>3277</v>
      </c>
      <c r="V1" s="30">
        <f t="shared" si="0"/>
        <v>4775</v>
      </c>
      <c r="W1" s="30">
        <f t="shared" si="0"/>
        <v>3210</v>
      </c>
      <c r="X1" s="30">
        <f t="shared" si="0"/>
        <v>1377</v>
      </c>
      <c r="Y1" s="30">
        <f t="shared" si="0"/>
        <v>2645</v>
      </c>
      <c r="Z1" s="30">
        <f t="shared" si="0"/>
        <v>1382</v>
      </c>
      <c r="AA1" s="30">
        <f t="shared" si="0"/>
        <v>5451</v>
      </c>
      <c r="AB1" s="30">
        <f t="shared" si="0"/>
        <v>3354</v>
      </c>
      <c r="AC1" s="30">
        <f>SUM(AC5:AC27)</f>
        <v>4642</v>
      </c>
      <c r="AD1" s="30">
        <f>SUM(AD5:AD33)</f>
        <v>3600</v>
      </c>
      <c r="AE1" s="30">
        <f>SUM(AE5:AE30)</f>
        <v>3776</v>
      </c>
      <c r="AF1" s="30">
        <f>SUM(AF5:AF33)</f>
        <v>3558</v>
      </c>
      <c r="AG1" s="30">
        <f t="shared" ref="AG1:AL1" si="1">SUM(AG5:AG32)</f>
        <v>3325</v>
      </c>
      <c r="AH1" s="30">
        <f t="shared" si="1"/>
        <v>2927</v>
      </c>
      <c r="AI1" s="30">
        <f t="shared" si="1"/>
        <v>4431</v>
      </c>
      <c r="AJ1" s="30">
        <f t="shared" si="1"/>
        <v>3580</v>
      </c>
      <c r="AK1" s="30">
        <f t="shared" si="1"/>
        <v>3180</v>
      </c>
      <c r="AL1" s="30">
        <f t="shared" si="1"/>
        <v>3513</v>
      </c>
      <c r="AM1" s="30">
        <f>SUM(AM5:AM37)</f>
        <v>3905</v>
      </c>
      <c r="AN1" s="30"/>
    </row>
    <row r="2" spans="1:77" x14ac:dyDescent="0.3">
      <c r="C2" s="31"/>
      <c r="D2" s="60"/>
      <c r="E2" s="60"/>
      <c r="F2" s="60"/>
      <c r="G2" s="29" t="s">
        <v>34</v>
      </c>
      <c r="H2" s="35">
        <v>44168</v>
      </c>
      <c r="I2" s="36">
        <v>44198</v>
      </c>
      <c r="J2" s="35">
        <v>44228</v>
      </c>
      <c r="K2" s="35">
        <f>J2+30</f>
        <v>44258</v>
      </c>
      <c r="L2" s="35">
        <f>K2+30</f>
        <v>44288</v>
      </c>
      <c r="M2" s="35">
        <f>L2+30</f>
        <v>44318</v>
      </c>
      <c r="N2" s="35">
        <f t="shared" ref="N2:AG2" si="2">M2+30</f>
        <v>44348</v>
      </c>
      <c r="O2" s="35">
        <f t="shared" si="2"/>
        <v>44378</v>
      </c>
      <c r="P2" s="35">
        <f t="shared" si="2"/>
        <v>44408</v>
      </c>
      <c r="Q2" s="35">
        <f t="shared" si="2"/>
        <v>44438</v>
      </c>
      <c r="R2" s="35">
        <f t="shared" si="2"/>
        <v>44468</v>
      </c>
      <c r="S2" s="35">
        <f t="shared" si="2"/>
        <v>44498</v>
      </c>
      <c r="T2" s="35">
        <f t="shared" si="2"/>
        <v>44528</v>
      </c>
      <c r="U2" s="35">
        <f t="shared" si="2"/>
        <v>44558</v>
      </c>
      <c r="V2" s="35">
        <f t="shared" si="2"/>
        <v>44588</v>
      </c>
      <c r="W2" s="35">
        <f t="shared" si="2"/>
        <v>44618</v>
      </c>
      <c r="X2" s="35">
        <f t="shared" si="2"/>
        <v>44648</v>
      </c>
      <c r="Y2" s="35">
        <f t="shared" si="2"/>
        <v>44678</v>
      </c>
      <c r="Z2" s="35">
        <f t="shared" si="2"/>
        <v>44708</v>
      </c>
      <c r="AA2" s="35">
        <f t="shared" si="2"/>
        <v>44738</v>
      </c>
      <c r="AB2" s="35">
        <f t="shared" si="2"/>
        <v>44768</v>
      </c>
      <c r="AC2" s="35">
        <f t="shared" si="2"/>
        <v>44798</v>
      </c>
      <c r="AD2" s="35">
        <f t="shared" si="2"/>
        <v>44828</v>
      </c>
      <c r="AE2" s="35">
        <f t="shared" si="2"/>
        <v>44858</v>
      </c>
      <c r="AF2" s="35">
        <f t="shared" si="2"/>
        <v>44888</v>
      </c>
      <c r="AG2" s="35">
        <f t="shared" si="2"/>
        <v>44918</v>
      </c>
      <c r="AH2" s="4">
        <v>44948</v>
      </c>
      <c r="AI2" s="4">
        <f>30+AH2</f>
        <v>44978</v>
      </c>
      <c r="AJ2" s="4">
        <f>30+AI2</f>
        <v>45008</v>
      </c>
      <c r="AK2" s="4">
        <v>45039</v>
      </c>
      <c r="AL2" s="4">
        <v>45068</v>
      </c>
      <c r="AM2" s="13">
        <f>AL2+30</f>
        <v>45098</v>
      </c>
    </row>
    <row r="3" spans="1:77" x14ac:dyDescent="0.3">
      <c r="C3" s="31"/>
      <c r="D3" s="60"/>
      <c r="E3" s="60"/>
      <c r="F3" s="60"/>
      <c r="G3" s="29" t="s">
        <v>35</v>
      </c>
      <c r="H3" s="32"/>
      <c r="I3" s="36">
        <v>44200</v>
      </c>
      <c r="J3" s="33"/>
      <c r="K3" s="33"/>
      <c r="L3" s="33"/>
      <c r="M3" s="21"/>
      <c r="N3" s="33"/>
      <c r="O3" s="33"/>
      <c r="P3" s="21"/>
      <c r="Q3" s="33"/>
      <c r="R3" s="33"/>
      <c r="S3" s="33"/>
      <c r="T3" s="33"/>
      <c r="U3" s="33"/>
      <c r="V3" s="33"/>
      <c r="W3" s="13">
        <v>44620</v>
      </c>
      <c r="X3" s="13">
        <v>44652</v>
      </c>
      <c r="Y3" s="13">
        <v>44683</v>
      </c>
      <c r="Z3" s="13">
        <v>44715</v>
      </c>
      <c r="AA3" s="4">
        <v>44739</v>
      </c>
      <c r="AB3" s="4">
        <v>44769</v>
      </c>
      <c r="AC3" s="4">
        <v>44798</v>
      </c>
      <c r="AD3" s="4">
        <v>44830</v>
      </c>
      <c r="AE3" s="4">
        <v>44859</v>
      </c>
      <c r="AF3" s="4">
        <v>44889</v>
      </c>
      <c r="AG3" s="50">
        <v>44921</v>
      </c>
      <c r="AH3" s="4">
        <v>44950</v>
      </c>
      <c r="AI3" s="4">
        <v>44980</v>
      </c>
      <c r="AJ3" t="s">
        <v>134</v>
      </c>
      <c r="AK3" s="4">
        <v>45041</v>
      </c>
      <c r="AL3" s="4">
        <v>45068</v>
      </c>
      <c r="AN3" s="4">
        <v>45128</v>
      </c>
      <c r="AO3" s="4">
        <v>45159</v>
      </c>
      <c r="AP3" s="4">
        <v>45188</v>
      </c>
      <c r="AQ3" s="4">
        <v>45218</v>
      </c>
      <c r="AR3" s="4">
        <f>AQ3+30</f>
        <v>45248</v>
      </c>
      <c r="AS3" s="4">
        <v>45278</v>
      </c>
      <c r="AT3" s="4">
        <f>AS3+30</f>
        <v>45308</v>
      </c>
      <c r="AU3" s="4">
        <f>AT3+30</f>
        <v>45338</v>
      </c>
      <c r="AV3" s="4">
        <f t="shared" ref="AV3:BF3" si="3">AU3+30</f>
        <v>45368</v>
      </c>
      <c r="AW3" s="4">
        <f t="shared" si="3"/>
        <v>45398</v>
      </c>
      <c r="AX3" s="4">
        <f t="shared" si="3"/>
        <v>45428</v>
      </c>
      <c r="AY3" s="4">
        <f t="shared" si="3"/>
        <v>45458</v>
      </c>
      <c r="AZ3" s="4">
        <f t="shared" si="3"/>
        <v>45488</v>
      </c>
      <c r="BA3" s="4">
        <f t="shared" si="3"/>
        <v>45518</v>
      </c>
      <c r="BB3" s="4">
        <f t="shared" si="3"/>
        <v>45548</v>
      </c>
      <c r="BC3" s="4">
        <f t="shared" si="3"/>
        <v>45578</v>
      </c>
      <c r="BD3" s="4">
        <f t="shared" si="3"/>
        <v>45608</v>
      </c>
      <c r="BE3" s="4">
        <f t="shared" si="3"/>
        <v>45638</v>
      </c>
      <c r="BF3" s="4">
        <f t="shared" si="3"/>
        <v>45668</v>
      </c>
      <c r="BG3" s="4">
        <f t="shared" ref="BG3" si="4">BF3+30</f>
        <v>45698</v>
      </c>
      <c r="BH3" s="4">
        <f t="shared" ref="BH3:BY3" si="5">BG3+30</f>
        <v>45728</v>
      </c>
      <c r="BI3" s="4">
        <f t="shared" si="5"/>
        <v>45758</v>
      </c>
      <c r="BJ3" s="4">
        <f t="shared" si="5"/>
        <v>45788</v>
      </c>
      <c r="BK3" s="4">
        <f t="shared" si="5"/>
        <v>45818</v>
      </c>
      <c r="BL3" s="4">
        <f t="shared" si="5"/>
        <v>45848</v>
      </c>
      <c r="BM3" s="4">
        <f t="shared" si="5"/>
        <v>45878</v>
      </c>
      <c r="BN3" s="4">
        <f t="shared" si="5"/>
        <v>45908</v>
      </c>
      <c r="BO3" s="4">
        <f t="shared" si="5"/>
        <v>45938</v>
      </c>
      <c r="BP3" s="4">
        <f t="shared" si="5"/>
        <v>45968</v>
      </c>
      <c r="BQ3" s="4">
        <f t="shared" si="5"/>
        <v>45998</v>
      </c>
      <c r="BR3" s="4">
        <f t="shared" si="5"/>
        <v>46028</v>
      </c>
      <c r="BS3" s="4">
        <f t="shared" si="5"/>
        <v>46058</v>
      </c>
      <c r="BT3" s="4">
        <f t="shared" si="5"/>
        <v>46088</v>
      </c>
      <c r="BU3" s="4">
        <f t="shared" si="5"/>
        <v>46118</v>
      </c>
      <c r="BV3" s="4">
        <f t="shared" si="5"/>
        <v>46148</v>
      </c>
      <c r="BW3" s="4">
        <f t="shared" si="5"/>
        <v>46178</v>
      </c>
      <c r="BX3" s="4">
        <f t="shared" si="5"/>
        <v>46208</v>
      </c>
      <c r="BY3" s="4">
        <f t="shared" si="5"/>
        <v>46238</v>
      </c>
    </row>
    <row r="4" spans="1:77" ht="15.6" x14ac:dyDescent="0.3">
      <c r="A4" s="34" t="s">
        <v>36</v>
      </c>
      <c r="B4" s="34"/>
      <c r="C4" s="34" t="s">
        <v>50</v>
      </c>
      <c r="D4" s="61" t="s">
        <v>239</v>
      </c>
      <c r="E4" s="61" t="s">
        <v>245</v>
      </c>
      <c r="F4" s="61" t="s">
        <v>240</v>
      </c>
      <c r="G4" s="29" t="s">
        <v>9</v>
      </c>
      <c r="H4" s="32"/>
      <c r="I4" s="22"/>
      <c r="J4" s="33"/>
      <c r="K4" s="33"/>
      <c r="L4" s="33"/>
      <c r="M4" s="21"/>
      <c r="N4" s="33"/>
      <c r="O4" s="33"/>
      <c r="P4" s="21"/>
      <c r="Q4" s="33"/>
      <c r="R4" s="33"/>
      <c r="S4" s="33"/>
      <c r="T4" s="33"/>
      <c r="U4" s="33"/>
      <c r="V4" s="33"/>
      <c r="AD4"/>
    </row>
    <row r="5" spans="1:77" x14ac:dyDescent="0.3">
      <c r="A5" s="31" t="s">
        <v>113</v>
      </c>
      <c r="B5" t="s">
        <v>164</v>
      </c>
      <c r="C5" s="31"/>
      <c r="D5" s="60" t="s">
        <v>167</v>
      </c>
      <c r="E5" s="60" t="s">
        <v>167</v>
      </c>
      <c r="F5" s="60" t="s">
        <v>202</v>
      </c>
      <c r="G5" s="72" t="s">
        <v>32</v>
      </c>
      <c r="H5" s="33">
        <v>955</v>
      </c>
      <c r="I5" s="22">
        <v>925</v>
      </c>
      <c r="J5" s="33">
        <v>925</v>
      </c>
      <c r="K5" s="33">
        <v>930</v>
      </c>
      <c r="L5" s="33">
        <v>930</v>
      </c>
      <c r="M5" s="48">
        <v>930</v>
      </c>
      <c r="N5" s="46">
        <v>930</v>
      </c>
      <c r="O5" s="46">
        <v>1425</v>
      </c>
      <c r="P5" s="48">
        <v>930</v>
      </c>
      <c r="Q5" s="46">
        <v>2435</v>
      </c>
      <c r="R5" s="46">
        <v>935</v>
      </c>
      <c r="S5" s="46">
        <v>935</v>
      </c>
      <c r="T5" s="46">
        <v>935</v>
      </c>
      <c r="U5" s="46">
        <v>1435</v>
      </c>
      <c r="V5" s="46">
        <v>937</v>
      </c>
      <c r="W5" s="46">
        <v>937</v>
      </c>
      <c r="X5" s="46">
        <v>937</v>
      </c>
      <c r="Y5" s="46">
        <v>1037</v>
      </c>
      <c r="Z5" s="46">
        <v>937</v>
      </c>
      <c r="AA5" s="46">
        <v>940</v>
      </c>
      <c r="AB5" s="46">
        <v>945</v>
      </c>
      <c r="AC5" s="46">
        <v>1140</v>
      </c>
      <c r="AD5" s="46">
        <v>1595</v>
      </c>
      <c r="AE5" s="46">
        <v>1505</v>
      </c>
      <c r="AF5" s="46">
        <v>1505</v>
      </c>
      <c r="AG5" s="46">
        <v>1424</v>
      </c>
      <c r="AH5" s="47">
        <v>1424</v>
      </c>
      <c r="AI5" s="47">
        <v>1513</v>
      </c>
      <c r="AJ5" s="47">
        <v>1601</v>
      </c>
      <c r="AK5" s="47">
        <v>1508</v>
      </c>
      <c r="AL5" s="33">
        <v>1580</v>
      </c>
      <c r="AM5" s="59">
        <v>1600</v>
      </c>
      <c r="AN5" s="59">
        <v>1600</v>
      </c>
      <c r="AO5" s="59">
        <v>1619</v>
      </c>
      <c r="AP5" s="59">
        <v>1619</v>
      </c>
      <c r="AQ5" s="59">
        <v>1619</v>
      </c>
      <c r="AR5" s="59">
        <v>1600</v>
      </c>
      <c r="AS5" s="59">
        <v>1850</v>
      </c>
      <c r="AT5" s="59">
        <v>1624</v>
      </c>
      <c r="AU5" s="59">
        <v>1775</v>
      </c>
      <c r="AV5" s="59">
        <v>1800</v>
      </c>
      <c r="AW5" s="59">
        <v>1774</v>
      </c>
      <c r="AX5" s="59">
        <v>1778</v>
      </c>
      <c r="AY5" s="59">
        <v>1800</v>
      </c>
      <c r="AZ5" s="59">
        <v>1851</v>
      </c>
      <c r="BA5" s="59">
        <v>1751</v>
      </c>
      <c r="BB5" s="59">
        <v>1751</v>
      </c>
      <c r="BC5" s="59">
        <v>1844</v>
      </c>
      <c r="BD5" s="59">
        <v>1820</v>
      </c>
      <c r="BE5" s="59">
        <v>1851</v>
      </c>
      <c r="BF5" s="59">
        <v>1899</v>
      </c>
      <c r="BG5" s="59">
        <v>1864</v>
      </c>
      <c r="BH5" s="59">
        <v>1862</v>
      </c>
      <c r="BI5" s="59">
        <v>1864</v>
      </c>
      <c r="BK5" s="59">
        <v>1920</v>
      </c>
      <c r="BL5" s="59">
        <v>1921</v>
      </c>
      <c r="BM5" s="59">
        <v>2181</v>
      </c>
      <c r="BN5" s="59">
        <v>2140</v>
      </c>
      <c r="BO5" s="59">
        <v>2319</v>
      </c>
      <c r="BP5" s="59">
        <v>3105</v>
      </c>
      <c r="BQ5" s="59">
        <v>2361</v>
      </c>
      <c r="BR5" s="59">
        <v>2361</v>
      </c>
      <c r="BS5" s="59">
        <v>2300</v>
      </c>
      <c r="BT5" s="59">
        <v>2341</v>
      </c>
      <c r="BU5" s="59">
        <v>2341</v>
      </c>
      <c r="BV5" s="59">
        <v>2341</v>
      </c>
      <c r="BW5" s="59">
        <v>2932</v>
      </c>
      <c r="BX5" s="59">
        <v>2932</v>
      </c>
    </row>
    <row r="6" spans="1:77" x14ac:dyDescent="0.3">
      <c r="A6" s="31" t="s">
        <v>154</v>
      </c>
      <c r="C6" s="31" t="s">
        <v>199</v>
      </c>
      <c r="D6" s="60"/>
      <c r="E6" s="60"/>
      <c r="F6" s="60"/>
      <c r="G6" t="s">
        <v>156</v>
      </c>
      <c r="H6" s="33">
        <v>700</v>
      </c>
      <c r="I6" s="22">
        <v>0</v>
      </c>
      <c r="J6" s="33">
        <v>0</v>
      </c>
      <c r="K6" s="33">
        <v>0</v>
      </c>
      <c r="L6" s="33">
        <v>0</v>
      </c>
      <c r="M6" s="21"/>
      <c r="N6" s="33"/>
      <c r="O6" s="33"/>
      <c r="P6" s="21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>
        <v>0</v>
      </c>
      <c r="AD6" s="33"/>
      <c r="AE6" s="33"/>
      <c r="AF6" s="33"/>
      <c r="AG6" s="33"/>
      <c r="AH6" s="47"/>
      <c r="AI6" s="47"/>
      <c r="AJ6" s="33"/>
      <c r="AK6" s="33"/>
      <c r="AL6" s="33"/>
      <c r="AM6" s="33"/>
      <c r="AN6" s="59"/>
      <c r="AO6" s="59"/>
      <c r="AP6" s="59"/>
      <c r="AQ6" s="59"/>
      <c r="AW6">
        <v>0</v>
      </c>
    </row>
    <row r="7" spans="1:77" x14ac:dyDescent="0.3">
      <c r="A7" s="31" t="s">
        <v>155</v>
      </c>
      <c r="C7" s="31"/>
      <c r="D7" s="60"/>
      <c r="E7" s="60"/>
      <c r="F7" s="60"/>
      <c r="G7" t="s">
        <v>33</v>
      </c>
      <c r="H7" s="33">
        <v>520</v>
      </c>
      <c r="I7" s="22">
        <v>0</v>
      </c>
      <c r="J7" s="33"/>
      <c r="K7" s="33">
        <v>0</v>
      </c>
      <c r="L7" s="33">
        <v>0</v>
      </c>
      <c r="M7" s="21"/>
      <c r="N7" s="33"/>
      <c r="O7" s="33"/>
      <c r="P7" s="21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>
        <v>0</v>
      </c>
      <c r="AD7" s="33"/>
      <c r="AE7" s="33"/>
      <c r="AF7" s="33"/>
      <c r="AG7" s="33"/>
      <c r="AH7" s="47"/>
      <c r="AI7" s="47"/>
      <c r="AJ7" s="33"/>
      <c r="AK7" s="33"/>
      <c r="AL7" s="33"/>
      <c r="AM7" s="33"/>
      <c r="AN7" s="59"/>
      <c r="AO7" s="59"/>
      <c r="AP7" s="59"/>
      <c r="AQ7" s="59"/>
      <c r="AW7">
        <v>0</v>
      </c>
    </row>
    <row r="8" spans="1:77" x14ac:dyDescent="0.3">
      <c r="A8" s="64" t="s">
        <v>41</v>
      </c>
      <c r="B8" t="s">
        <v>150</v>
      </c>
      <c r="C8" s="31" t="s">
        <v>88</v>
      </c>
      <c r="D8" s="60" t="s">
        <v>172</v>
      </c>
      <c r="E8" s="60"/>
      <c r="F8" s="60"/>
      <c r="G8" s="72" t="s">
        <v>40</v>
      </c>
      <c r="H8" s="33">
        <v>200</v>
      </c>
      <c r="I8" s="22">
        <v>200</v>
      </c>
      <c r="J8" s="33">
        <v>200</v>
      </c>
      <c r="K8" s="33">
        <v>200</v>
      </c>
      <c r="L8" s="33">
        <v>200</v>
      </c>
      <c r="M8" s="21"/>
      <c r="N8" s="33"/>
      <c r="O8" s="33"/>
      <c r="P8" s="21"/>
      <c r="Q8" s="33"/>
      <c r="R8" s="33"/>
      <c r="S8" s="33"/>
      <c r="T8" s="33"/>
      <c r="U8" s="46">
        <v>1600</v>
      </c>
      <c r="V8" s="46">
        <v>200</v>
      </c>
      <c r="W8" s="46">
        <v>200</v>
      </c>
      <c r="X8" s="46">
        <v>200</v>
      </c>
      <c r="Y8" s="46">
        <v>200</v>
      </c>
      <c r="Z8" s="46">
        <v>200</v>
      </c>
      <c r="AA8" s="46">
        <v>200</v>
      </c>
      <c r="AB8" s="46">
        <v>200</v>
      </c>
      <c r="AC8" s="47">
        <v>200</v>
      </c>
      <c r="AD8" s="47">
        <v>200</v>
      </c>
      <c r="AE8" s="47">
        <v>200</v>
      </c>
      <c r="AF8" s="47">
        <v>200</v>
      </c>
      <c r="AG8" s="47">
        <v>200</v>
      </c>
      <c r="AH8" s="47">
        <v>200</v>
      </c>
      <c r="AI8" s="47">
        <v>200</v>
      </c>
      <c r="AJ8" s="47">
        <v>200</v>
      </c>
      <c r="AK8" s="33">
        <v>200</v>
      </c>
      <c r="AL8" s="33">
        <v>200</v>
      </c>
      <c r="AM8" s="59">
        <v>200</v>
      </c>
      <c r="AN8" s="59">
        <v>200</v>
      </c>
      <c r="AO8" s="59"/>
      <c r="AP8" s="59"/>
      <c r="AQ8" s="59">
        <v>600</v>
      </c>
      <c r="AR8" s="39"/>
      <c r="AS8" s="39"/>
      <c r="AT8" s="59">
        <f>200*3</f>
        <v>600</v>
      </c>
      <c r="AU8" s="19"/>
      <c r="AV8" s="19"/>
      <c r="AW8" s="19">
        <v>0</v>
      </c>
      <c r="AX8" s="19"/>
      <c r="AY8" s="19"/>
      <c r="AZ8" s="19"/>
      <c r="BA8" s="19"/>
      <c r="BB8" s="59">
        <v>1600</v>
      </c>
      <c r="BC8" s="19">
        <v>0</v>
      </c>
      <c r="BD8" s="19"/>
      <c r="BE8" s="59">
        <v>600</v>
      </c>
      <c r="BF8" s="19"/>
      <c r="BG8" s="18"/>
      <c r="BH8" s="19"/>
      <c r="BI8" s="19"/>
      <c r="BJ8" s="69">
        <v>1000</v>
      </c>
      <c r="BK8">
        <v>200</v>
      </c>
      <c r="BL8" s="59">
        <v>200</v>
      </c>
      <c r="BN8" s="59">
        <v>400</v>
      </c>
      <c r="BO8" s="59">
        <v>200</v>
      </c>
      <c r="BP8" s="59">
        <v>0</v>
      </c>
      <c r="BQ8" s="59">
        <v>400</v>
      </c>
      <c r="BS8" s="59">
        <v>200</v>
      </c>
      <c r="BT8" s="59">
        <v>200</v>
      </c>
      <c r="BU8" s="59">
        <v>200</v>
      </c>
      <c r="BV8" s="59">
        <v>200</v>
      </c>
      <c r="BW8" s="59">
        <v>200</v>
      </c>
    </row>
    <row r="9" spans="1:77" x14ac:dyDescent="0.3">
      <c r="A9" s="31" t="s">
        <v>90</v>
      </c>
      <c r="B9" t="s">
        <v>141</v>
      </c>
      <c r="C9" s="31" t="s">
        <v>238</v>
      </c>
      <c r="D9" s="60" t="s">
        <v>172</v>
      </c>
      <c r="E9" s="60"/>
      <c r="F9" s="60"/>
      <c r="G9" t="s">
        <v>37</v>
      </c>
      <c r="H9" s="33"/>
      <c r="I9" s="22">
        <v>210</v>
      </c>
      <c r="J9" s="33">
        <v>105</v>
      </c>
      <c r="K9" s="33">
        <v>165</v>
      </c>
      <c r="L9" s="33">
        <v>165</v>
      </c>
      <c r="M9" s="21">
        <v>170</v>
      </c>
      <c r="N9" s="33">
        <v>170</v>
      </c>
      <c r="O9" s="33">
        <v>170</v>
      </c>
      <c r="P9" s="21">
        <v>170</v>
      </c>
      <c r="Q9" s="33">
        <v>175</v>
      </c>
      <c r="R9" s="37">
        <v>175</v>
      </c>
      <c r="S9" s="33"/>
      <c r="T9" s="33">
        <v>350</v>
      </c>
      <c r="U9" s="37">
        <v>175</v>
      </c>
      <c r="V9" s="33">
        <v>175</v>
      </c>
      <c r="W9" s="33">
        <v>175</v>
      </c>
      <c r="X9" s="33">
        <v>170</v>
      </c>
      <c r="Y9" s="33">
        <v>175</v>
      </c>
      <c r="Z9" s="33">
        <v>175</v>
      </c>
      <c r="AA9" s="33"/>
      <c r="AB9" s="33">
        <v>350</v>
      </c>
      <c r="AC9" s="51">
        <v>175</v>
      </c>
      <c r="AD9" s="33"/>
      <c r="AE9" s="47">
        <v>350</v>
      </c>
      <c r="AF9" s="47">
        <v>175</v>
      </c>
      <c r="AG9" s="47">
        <v>175</v>
      </c>
      <c r="AH9" s="47">
        <v>175</v>
      </c>
      <c r="AI9" s="47">
        <v>175</v>
      </c>
      <c r="AJ9" s="33"/>
      <c r="AK9" s="33"/>
      <c r="AL9" s="33">
        <f>175*3</f>
        <v>525</v>
      </c>
      <c r="AM9" s="59">
        <v>175</v>
      </c>
      <c r="AN9" s="59">
        <v>175</v>
      </c>
      <c r="AO9" s="59"/>
      <c r="AP9" s="59">
        <f>175+175</f>
        <v>350</v>
      </c>
      <c r="AQ9" s="59">
        <v>175</v>
      </c>
      <c r="AR9" s="19"/>
      <c r="AS9" s="19"/>
      <c r="AT9" s="19"/>
      <c r="AU9" s="69">
        <f>4*(175+60)</f>
        <v>940</v>
      </c>
      <c r="AV9" s="19"/>
      <c r="AW9" s="19">
        <v>0</v>
      </c>
      <c r="AX9" s="69">
        <f>225*3</f>
        <v>675</v>
      </c>
      <c r="AY9" s="19"/>
      <c r="AZ9" s="19"/>
      <c r="BA9" s="69">
        <f>250*3</f>
        <v>750</v>
      </c>
      <c r="BC9" s="19"/>
      <c r="BD9" s="19"/>
      <c r="BE9" s="19"/>
      <c r="BF9" s="19"/>
      <c r="BG9" s="18"/>
      <c r="BH9" s="19"/>
      <c r="BI9" s="19"/>
      <c r="BJ9" s="69">
        <f>235*8</f>
        <v>1880</v>
      </c>
      <c r="BK9" s="19"/>
      <c r="BL9" s="69">
        <f>235*2</f>
        <v>470</v>
      </c>
      <c r="BM9" s="59">
        <v>235</v>
      </c>
      <c r="BN9" s="59">
        <v>235</v>
      </c>
      <c r="BO9" s="59">
        <v>235</v>
      </c>
      <c r="BP9" s="59">
        <v>235</v>
      </c>
      <c r="BQ9" s="59">
        <v>235</v>
      </c>
      <c r="BR9" s="59">
        <v>235</v>
      </c>
      <c r="BS9" s="19"/>
      <c r="BT9" s="19"/>
      <c r="BU9" s="69">
        <v>705</v>
      </c>
    </row>
    <row r="10" spans="1:77" ht="15.6" x14ac:dyDescent="0.3">
      <c r="A10" s="64" t="s">
        <v>89</v>
      </c>
      <c r="B10" t="s">
        <v>148</v>
      </c>
      <c r="C10" s="31" t="s">
        <v>277</v>
      </c>
      <c r="D10" s="60" t="s">
        <v>172</v>
      </c>
      <c r="E10" s="60" t="s">
        <v>172</v>
      </c>
      <c r="F10" s="60"/>
      <c r="G10" s="72" t="s">
        <v>38</v>
      </c>
      <c r="H10" s="33">
        <v>255</v>
      </c>
      <c r="I10" s="22">
        <v>255</v>
      </c>
      <c r="J10" s="33">
        <v>0</v>
      </c>
      <c r="K10" s="33">
        <f>255*2</f>
        <v>510</v>
      </c>
      <c r="L10" s="33">
        <v>255</v>
      </c>
      <c r="M10" s="21"/>
      <c r="N10" s="33"/>
      <c r="O10" s="33"/>
      <c r="P10" s="21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49">
        <f>255*11</f>
        <v>2805</v>
      </c>
      <c r="AB10" s="49">
        <v>255</v>
      </c>
      <c r="AC10" s="47">
        <f>255+22</f>
        <v>277</v>
      </c>
      <c r="AD10" s="46">
        <v>255</v>
      </c>
      <c r="AE10" s="46">
        <v>255</v>
      </c>
      <c r="AF10" s="46">
        <v>255</v>
      </c>
      <c r="AG10" s="46">
        <v>255</v>
      </c>
      <c r="AH10" s="46">
        <v>255</v>
      </c>
      <c r="AI10" s="46">
        <v>255</v>
      </c>
      <c r="AJ10" s="47">
        <v>255</v>
      </c>
      <c r="AK10" s="47">
        <v>255</v>
      </c>
      <c r="AL10" s="33">
        <v>255</v>
      </c>
      <c r="AM10" s="59">
        <v>255</v>
      </c>
      <c r="AN10" s="59">
        <v>255</v>
      </c>
      <c r="AO10" s="59">
        <v>255</v>
      </c>
      <c r="AP10" s="59">
        <v>255</v>
      </c>
      <c r="AQ10" s="59">
        <v>255</v>
      </c>
      <c r="AR10" s="59">
        <v>255</v>
      </c>
      <c r="AS10" s="59">
        <v>255</v>
      </c>
      <c r="AT10" s="59">
        <v>255</v>
      </c>
      <c r="AU10" s="59">
        <v>255</v>
      </c>
      <c r="AV10" s="68">
        <v>255</v>
      </c>
      <c r="AW10" s="59">
        <v>255</v>
      </c>
      <c r="AX10" s="59">
        <v>255</v>
      </c>
      <c r="AY10" s="59">
        <v>255</v>
      </c>
      <c r="AZ10" s="59">
        <v>255</v>
      </c>
      <c r="BA10" s="59">
        <v>255</v>
      </c>
      <c r="BB10" s="59">
        <v>255</v>
      </c>
      <c r="BC10" s="59">
        <v>255</v>
      </c>
      <c r="BD10" s="59">
        <v>255</v>
      </c>
      <c r="BE10" s="59">
        <v>255</v>
      </c>
      <c r="BF10" s="59">
        <v>255</v>
      </c>
      <c r="BG10" s="59">
        <v>255</v>
      </c>
      <c r="BH10" s="59">
        <v>255</v>
      </c>
      <c r="BI10" s="59">
        <v>255</v>
      </c>
      <c r="BJ10" s="59">
        <v>255</v>
      </c>
      <c r="BK10" s="59">
        <v>255</v>
      </c>
      <c r="BL10" s="59">
        <v>255</v>
      </c>
      <c r="BM10" s="59">
        <f>255+74</f>
        <v>329</v>
      </c>
      <c r="BN10" s="59">
        <v>255</v>
      </c>
      <c r="BO10" s="59">
        <v>255</v>
      </c>
      <c r="BP10" s="59"/>
      <c r="BQ10" s="59">
        <f>255*2</f>
        <v>510</v>
      </c>
      <c r="BR10" s="59">
        <v>255</v>
      </c>
      <c r="BS10" s="59">
        <v>255</v>
      </c>
      <c r="BT10" s="59">
        <v>255</v>
      </c>
      <c r="BU10" s="59">
        <v>255</v>
      </c>
      <c r="BV10" s="59">
        <v>255</v>
      </c>
      <c r="BW10" s="59">
        <v>255</v>
      </c>
      <c r="BX10" s="59">
        <v>255</v>
      </c>
      <c r="BY10" s="59">
        <v>255</v>
      </c>
    </row>
    <row r="11" spans="1:77" ht="15.6" x14ac:dyDescent="0.3">
      <c r="A11" s="64" t="s">
        <v>45</v>
      </c>
      <c r="B11" t="s">
        <v>158</v>
      </c>
      <c r="C11" s="31" t="s">
        <v>278</v>
      </c>
      <c r="D11" s="60" t="s">
        <v>169</v>
      </c>
      <c r="E11" s="60" t="s">
        <v>169</v>
      </c>
      <c r="F11" s="60"/>
      <c r="G11" s="72" t="s">
        <v>44</v>
      </c>
      <c r="H11" s="33">
        <v>35</v>
      </c>
      <c r="I11" s="22">
        <v>35</v>
      </c>
      <c r="J11" s="33">
        <v>0</v>
      </c>
      <c r="K11" s="33">
        <v>70</v>
      </c>
      <c r="L11" s="33">
        <v>35</v>
      </c>
      <c r="M11" s="21"/>
      <c r="N11" s="33"/>
      <c r="O11" s="33"/>
      <c r="P11" s="21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47">
        <f>35*11</f>
        <v>385</v>
      </c>
      <c r="AB11" s="49">
        <v>35</v>
      </c>
      <c r="AC11" s="47">
        <v>35</v>
      </c>
      <c r="AD11" s="46">
        <v>35</v>
      </c>
      <c r="AE11" s="46">
        <v>35</v>
      </c>
      <c r="AF11" s="46">
        <v>35</v>
      </c>
      <c r="AG11" s="46">
        <v>35</v>
      </c>
      <c r="AH11" s="46">
        <v>35</v>
      </c>
      <c r="AI11" s="46">
        <v>35</v>
      </c>
      <c r="AJ11" s="47">
        <v>35</v>
      </c>
      <c r="AK11" s="33">
        <v>35</v>
      </c>
      <c r="AL11" s="33">
        <v>35</v>
      </c>
      <c r="AM11" s="59">
        <v>35</v>
      </c>
      <c r="AN11" s="59">
        <v>35</v>
      </c>
      <c r="AO11" s="59">
        <v>35</v>
      </c>
      <c r="AP11" s="59">
        <v>35</v>
      </c>
      <c r="AQ11" s="59">
        <v>35</v>
      </c>
      <c r="AR11" s="59">
        <v>35</v>
      </c>
      <c r="AS11" s="59">
        <v>35</v>
      </c>
      <c r="AT11" s="59">
        <v>35</v>
      </c>
      <c r="AU11" s="59">
        <v>35</v>
      </c>
      <c r="AV11" s="68">
        <v>55</v>
      </c>
      <c r="AW11" s="59">
        <v>55</v>
      </c>
      <c r="AX11" s="59">
        <v>35</v>
      </c>
      <c r="AY11" s="59">
        <v>35</v>
      </c>
      <c r="AZ11" s="59">
        <v>35</v>
      </c>
      <c r="BA11" s="59">
        <v>35</v>
      </c>
      <c r="BB11" s="59">
        <v>35</v>
      </c>
      <c r="BC11" s="59">
        <v>35</v>
      </c>
      <c r="BD11" s="59">
        <v>35</v>
      </c>
      <c r="BE11" s="59">
        <v>35</v>
      </c>
      <c r="BF11" s="59">
        <v>35</v>
      </c>
      <c r="BG11" s="59">
        <v>35</v>
      </c>
      <c r="BH11" s="59">
        <v>35</v>
      </c>
      <c r="BI11" s="59">
        <v>35</v>
      </c>
      <c r="BJ11" s="59">
        <v>35</v>
      </c>
      <c r="BK11" s="59">
        <v>35</v>
      </c>
      <c r="BL11" s="59">
        <v>35</v>
      </c>
      <c r="BM11" s="59">
        <v>35</v>
      </c>
      <c r="BN11" s="59">
        <v>35</v>
      </c>
      <c r="BO11" s="59">
        <v>35</v>
      </c>
      <c r="BP11" s="59">
        <v>0</v>
      </c>
      <c r="BQ11" s="59">
        <v>70</v>
      </c>
      <c r="BR11" s="59">
        <v>35</v>
      </c>
      <c r="BS11" s="59">
        <v>35</v>
      </c>
      <c r="BT11" s="59">
        <v>35</v>
      </c>
      <c r="BU11" s="59">
        <v>35</v>
      </c>
      <c r="BV11" s="59">
        <v>35</v>
      </c>
      <c r="BW11" s="59">
        <v>35</v>
      </c>
      <c r="BX11" s="59">
        <v>35</v>
      </c>
      <c r="BY11" s="59">
        <v>35</v>
      </c>
    </row>
    <row r="12" spans="1:77" x14ac:dyDescent="0.3">
      <c r="A12" s="31" t="s">
        <v>42</v>
      </c>
      <c r="C12" s="31"/>
      <c r="D12" s="60"/>
      <c r="E12" s="60"/>
      <c r="F12" s="60"/>
      <c r="G12" t="s">
        <v>39</v>
      </c>
      <c r="H12" s="33">
        <v>70</v>
      </c>
      <c r="I12" s="22">
        <v>35</v>
      </c>
      <c r="J12" s="33">
        <v>35</v>
      </c>
      <c r="K12" s="33">
        <v>35</v>
      </c>
      <c r="L12" s="33">
        <v>0</v>
      </c>
      <c r="M12" s="21"/>
      <c r="N12" s="33"/>
      <c r="O12" s="33"/>
      <c r="P12" s="21"/>
      <c r="Q12" s="33"/>
      <c r="R12" s="33"/>
      <c r="S12" s="33"/>
      <c r="T12" s="33"/>
      <c r="U12" s="33">
        <v>67</v>
      </c>
      <c r="V12" s="33"/>
      <c r="W12" s="33"/>
      <c r="X12" s="33"/>
      <c r="Y12" s="33"/>
      <c r="Z12" s="33"/>
      <c r="AA12" s="33"/>
      <c r="AB12" s="33"/>
      <c r="AC12" s="33">
        <v>0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59"/>
      <c r="AO12" s="59"/>
      <c r="AP12" s="59"/>
      <c r="AQ12" s="59"/>
      <c r="AW12">
        <v>0</v>
      </c>
      <c r="BE12">
        <v>0</v>
      </c>
      <c r="BH12">
        <v>0</v>
      </c>
    </row>
    <row r="13" spans="1:77" ht="15.6" x14ac:dyDescent="0.3">
      <c r="A13" s="64" t="s">
        <v>65</v>
      </c>
      <c r="B13" t="s">
        <v>142</v>
      </c>
      <c r="C13" s="31" t="s">
        <v>135</v>
      </c>
      <c r="D13" s="60" t="s">
        <v>201</v>
      </c>
      <c r="E13" s="60" t="s">
        <v>201</v>
      </c>
      <c r="F13" s="60"/>
      <c r="G13" s="72" t="s">
        <v>67</v>
      </c>
      <c r="H13" s="33">
        <v>191</v>
      </c>
      <c r="I13" s="22">
        <v>201</v>
      </c>
      <c r="J13" s="33">
        <v>191</v>
      </c>
      <c r="K13" s="33">
        <v>233</v>
      </c>
      <c r="L13" s="33">
        <v>201</v>
      </c>
      <c r="M13" s="21"/>
      <c r="N13" s="33"/>
      <c r="O13" s="33"/>
      <c r="P13" s="21"/>
      <c r="Q13" s="33"/>
      <c r="R13" s="33"/>
      <c r="S13" s="33"/>
      <c r="T13" s="33"/>
      <c r="U13" s="33"/>
      <c r="V13" s="33">
        <v>2159</v>
      </c>
      <c r="W13" s="33">
        <v>222</v>
      </c>
      <c r="X13" s="33"/>
      <c r="Y13" s="33">
        <f>277+180</f>
        <v>457</v>
      </c>
      <c r="Z13" s="33"/>
      <c r="AA13" s="46">
        <v>257</v>
      </c>
      <c r="AB13" s="46">
        <v>222</v>
      </c>
      <c r="AC13" s="33">
        <v>0</v>
      </c>
      <c r="AD13" s="46">
        <f>244+224</f>
        <v>468</v>
      </c>
      <c r="AE13" s="46">
        <v>320</v>
      </c>
      <c r="AF13" s="46">
        <v>225</v>
      </c>
      <c r="AG13" s="46">
        <v>341</v>
      </c>
      <c r="AH13" s="46">
        <v>201</v>
      </c>
      <c r="AI13" s="46">
        <v>213</v>
      </c>
      <c r="AJ13" s="46">
        <v>244</v>
      </c>
      <c r="AK13" s="46">
        <v>201</v>
      </c>
      <c r="AL13" s="46">
        <v>203</v>
      </c>
      <c r="AM13" s="59">
        <v>180</v>
      </c>
      <c r="AN13" s="59">
        <v>203</v>
      </c>
      <c r="AO13" s="59">
        <v>315</v>
      </c>
      <c r="AP13" s="59">
        <v>212</v>
      </c>
      <c r="AQ13" s="59" t="s">
        <v>22</v>
      </c>
      <c r="AR13" s="59" t="s">
        <v>22</v>
      </c>
      <c r="AS13" s="59" t="s">
        <v>22</v>
      </c>
      <c r="AT13" s="59" t="s">
        <v>22</v>
      </c>
      <c r="AU13" s="59" t="s">
        <v>22</v>
      </c>
      <c r="AV13" s="68">
        <v>201</v>
      </c>
      <c r="AW13">
        <v>0</v>
      </c>
      <c r="AX13" s="59" t="s">
        <v>22</v>
      </c>
      <c r="AY13" s="59" t="s">
        <v>22</v>
      </c>
      <c r="AZ13" s="59" t="s">
        <v>22</v>
      </c>
      <c r="BA13" s="59" t="s">
        <v>22</v>
      </c>
      <c r="BB13" s="59" t="s">
        <v>22</v>
      </c>
      <c r="BE13">
        <v>0</v>
      </c>
      <c r="BH13">
        <v>0</v>
      </c>
      <c r="BN13" s="39"/>
      <c r="BO13" s="39"/>
      <c r="BP13" s="39"/>
      <c r="BQ13" s="39"/>
      <c r="BR13" s="39"/>
      <c r="BS13" s="39"/>
      <c r="BT13" s="39"/>
    </row>
    <row r="14" spans="1:77" hidden="1" x14ac:dyDescent="0.3">
      <c r="A14" s="31" t="s">
        <v>66</v>
      </c>
      <c r="C14" s="31"/>
      <c r="D14" s="60"/>
      <c r="E14" s="60"/>
      <c r="F14" s="60"/>
      <c r="G14" t="s">
        <v>68</v>
      </c>
      <c r="H14" s="33">
        <v>108</v>
      </c>
      <c r="I14" s="22">
        <v>108</v>
      </c>
      <c r="J14" s="33">
        <v>108</v>
      </c>
      <c r="K14" s="33">
        <v>108</v>
      </c>
      <c r="L14" s="33">
        <v>120</v>
      </c>
      <c r="M14" s="21"/>
      <c r="N14" s="33"/>
      <c r="O14" s="33"/>
      <c r="P14" s="21"/>
      <c r="Q14" s="33"/>
      <c r="R14" s="33"/>
      <c r="S14" s="33"/>
      <c r="T14" s="33"/>
      <c r="U14" s="33"/>
      <c r="V14" s="33">
        <v>1304</v>
      </c>
      <c r="W14" s="46">
        <v>108</v>
      </c>
      <c r="X14" s="33"/>
      <c r="Y14" s="46">
        <f>108+108</f>
        <v>216</v>
      </c>
      <c r="Z14" s="33"/>
      <c r="AA14" s="46">
        <v>108</v>
      </c>
      <c r="AB14" s="46">
        <v>108</v>
      </c>
      <c r="AC14" s="33">
        <v>0</v>
      </c>
      <c r="AD14" s="46">
        <f>108+108</f>
        <v>216</v>
      </c>
      <c r="AE14" s="46">
        <v>108</v>
      </c>
      <c r="AF14" s="46">
        <v>108</v>
      </c>
      <c r="AG14" s="46">
        <v>108</v>
      </c>
      <c r="AH14" s="33">
        <v>0</v>
      </c>
      <c r="AI14" s="33">
        <v>0</v>
      </c>
      <c r="AJ14" s="33"/>
      <c r="AK14" s="33"/>
      <c r="AL14" s="33"/>
      <c r="AM14" s="33"/>
      <c r="AN14" s="59"/>
      <c r="AO14" s="59"/>
      <c r="AP14" s="59"/>
      <c r="AQ14" s="59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>
        <v>0</v>
      </c>
      <c r="BF14" s="65"/>
      <c r="BG14" s="74"/>
      <c r="BH14" s="65"/>
    </row>
    <row r="15" spans="1:77" x14ac:dyDescent="0.3">
      <c r="A15" s="64" t="s">
        <v>91</v>
      </c>
      <c r="B15" t="s">
        <v>192</v>
      </c>
      <c r="C15" s="31" t="s">
        <v>56</v>
      </c>
      <c r="D15" s="60" t="s">
        <v>171</v>
      </c>
      <c r="E15" s="60" t="s">
        <v>171</v>
      </c>
      <c r="F15" s="60"/>
      <c r="G15" s="72" t="s">
        <v>43</v>
      </c>
      <c r="H15" s="22"/>
      <c r="I15" s="22">
        <v>0</v>
      </c>
      <c r="J15" s="33">
        <v>0</v>
      </c>
      <c r="K15" s="33">
        <f>84*5</f>
        <v>420</v>
      </c>
      <c r="L15" s="33">
        <v>0</v>
      </c>
      <c r="M15" s="21"/>
      <c r="N15" s="33"/>
      <c r="O15" s="33"/>
      <c r="P15" s="21"/>
      <c r="Q15" s="33"/>
      <c r="R15" s="33"/>
      <c r="S15" s="33"/>
      <c r="T15" s="33"/>
      <c r="U15" s="33"/>
      <c r="V15" s="33"/>
      <c r="W15" s="46">
        <f>84*12</f>
        <v>1008</v>
      </c>
      <c r="X15" s="33"/>
      <c r="Y15" s="33"/>
      <c r="Z15" s="33"/>
      <c r="AA15" s="46">
        <f>84*4</f>
        <v>336</v>
      </c>
      <c r="AB15" s="47">
        <v>84</v>
      </c>
      <c r="AC15" s="33">
        <v>0</v>
      </c>
      <c r="AD15" s="46">
        <f>84*2+5</f>
        <v>173</v>
      </c>
      <c r="AE15" s="33"/>
      <c r="AF15" s="46">
        <f>84*2</f>
        <v>168</v>
      </c>
      <c r="AG15" s="22"/>
      <c r="AH15" s="22"/>
      <c r="AI15" s="46">
        <v>168</v>
      </c>
      <c r="AJ15" s="33" t="s">
        <v>127</v>
      </c>
      <c r="AK15" s="47">
        <f>84*3</f>
        <v>252</v>
      </c>
      <c r="AL15" s="33"/>
      <c r="AM15" s="33"/>
      <c r="AN15" s="59"/>
      <c r="AO15" s="59"/>
      <c r="AP15" s="59"/>
      <c r="AQ15" s="59">
        <f>84*6</f>
        <v>504</v>
      </c>
      <c r="AT15" s="59">
        <f>84*3</f>
        <v>252</v>
      </c>
      <c r="AV15" s="59">
        <f>84*2</f>
        <v>168</v>
      </c>
      <c r="AW15">
        <v>0</v>
      </c>
      <c r="AX15" s="59">
        <v>169</v>
      </c>
      <c r="AY15" s="71"/>
      <c r="AZ15" s="71"/>
      <c r="BA15" s="71"/>
      <c r="BB15" s="71"/>
      <c r="BC15" s="59">
        <f>84*5</f>
        <v>420</v>
      </c>
      <c r="BD15" s="39"/>
      <c r="BE15" s="39">
        <v>0</v>
      </c>
      <c r="BF15" s="59">
        <f>84*3</f>
        <v>252</v>
      </c>
      <c r="BG15" s="18"/>
      <c r="BH15" s="19">
        <v>0</v>
      </c>
      <c r="BI15" s="19"/>
      <c r="BJ15" s="69">
        <f>84*4</f>
        <v>336</v>
      </c>
      <c r="BK15" s="59">
        <v>84</v>
      </c>
      <c r="BN15" s="59">
        <f>84*3</f>
        <v>252</v>
      </c>
      <c r="BO15" s="39"/>
      <c r="BP15" s="39">
        <v>0</v>
      </c>
      <c r="BQ15" s="39"/>
      <c r="BR15" s="75">
        <f>84*4</f>
        <v>336</v>
      </c>
      <c r="BS15" s="39"/>
      <c r="BT15" s="39"/>
      <c r="BU15" s="75">
        <f>81*3</f>
        <v>243</v>
      </c>
      <c r="BV15" s="19"/>
      <c r="BW15" s="59">
        <f>84*2</f>
        <v>168</v>
      </c>
      <c r="BY15" s="59">
        <v>336</v>
      </c>
    </row>
    <row r="16" spans="1:77" hidden="1" x14ac:dyDescent="0.3">
      <c r="A16" s="31" t="s">
        <v>92</v>
      </c>
      <c r="C16" s="31"/>
      <c r="D16" s="60"/>
      <c r="E16" s="60"/>
      <c r="F16" s="60"/>
      <c r="G16" t="s">
        <v>46</v>
      </c>
      <c r="H16" s="22"/>
      <c r="I16" s="22">
        <v>140</v>
      </c>
      <c r="J16" s="33">
        <v>0</v>
      </c>
      <c r="K16" s="33"/>
      <c r="L16" s="33">
        <v>120</v>
      </c>
      <c r="M16" s="21"/>
      <c r="N16" s="33"/>
      <c r="O16" s="33"/>
      <c r="P16" s="21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>
        <v>0</v>
      </c>
      <c r="AD16" s="33"/>
      <c r="AE16" s="47">
        <v>40</v>
      </c>
      <c r="AF16" s="33"/>
      <c r="AG16" s="33">
        <v>0</v>
      </c>
      <c r="AH16" s="33"/>
      <c r="AI16" s="33"/>
      <c r="AJ16" s="33"/>
      <c r="AK16" s="33"/>
      <c r="AL16" s="33"/>
      <c r="AM16" s="33"/>
      <c r="AN16" s="59"/>
      <c r="AO16" s="59"/>
      <c r="AP16" s="59"/>
      <c r="AQ16" s="59">
        <v>0</v>
      </c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>
        <v>0</v>
      </c>
      <c r="BF16" s="65"/>
      <c r="BG16" s="74"/>
      <c r="BH16" s="65"/>
    </row>
    <row r="17" spans="1:77" hidden="1" x14ac:dyDescent="0.3">
      <c r="A17" s="31" t="s">
        <v>93</v>
      </c>
      <c r="C17" s="31"/>
      <c r="D17" s="60"/>
      <c r="E17" s="60"/>
      <c r="F17" s="60"/>
      <c r="G17" t="s">
        <v>47</v>
      </c>
      <c r="H17" s="22"/>
      <c r="I17" s="22">
        <v>160</v>
      </c>
      <c r="J17" s="33">
        <v>0</v>
      </c>
      <c r="K17" s="33"/>
      <c r="L17" s="33">
        <v>120</v>
      </c>
      <c r="M17" s="21"/>
      <c r="N17" s="33"/>
      <c r="O17" s="33"/>
      <c r="P17" s="21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>
        <v>0</v>
      </c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59"/>
      <c r="AO17" s="59"/>
      <c r="AP17" s="59"/>
      <c r="AQ17" s="59">
        <v>0</v>
      </c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>
        <v>0</v>
      </c>
      <c r="BF17" s="65"/>
      <c r="BG17" s="74"/>
      <c r="BH17" s="65"/>
    </row>
    <row r="18" spans="1:77" x14ac:dyDescent="0.3">
      <c r="A18" s="64" t="s">
        <v>117</v>
      </c>
      <c r="B18" t="s">
        <v>159</v>
      </c>
      <c r="C18" s="31" t="s">
        <v>79</v>
      </c>
      <c r="D18" s="60" t="s">
        <v>172</v>
      </c>
      <c r="E18" s="60"/>
      <c r="F18" s="60"/>
      <c r="G18" t="s">
        <v>48</v>
      </c>
      <c r="H18" s="22"/>
      <c r="I18" s="22"/>
      <c r="J18" s="33"/>
      <c r="K18" s="33"/>
      <c r="L18" s="33">
        <v>0</v>
      </c>
      <c r="M18" s="21"/>
      <c r="N18" s="33"/>
      <c r="O18" s="33"/>
      <c r="P18" s="21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46">
        <f>105*8</f>
        <v>840</v>
      </c>
      <c r="AC18" s="33">
        <v>0</v>
      </c>
      <c r="AD18" s="33"/>
      <c r="AE18" s="33"/>
      <c r="AF18" s="33"/>
      <c r="AG18" s="33"/>
      <c r="AH18" s="33"/>
      <c r="AI18" s="46">
        <f>105*10</f>
        <v>1050</v>
      </c>
      <c r="AJ18" s="46">
        <f>105*4</f>
        <v>420</v>
      </c>
      <c r="AK18" s="33"/>
      <c r="AL18" s="33"/>
      <c r="AM18" s="33"/>
      <c r="AN18" s="59">
        <v>525</v>
      </c>
      <c r="AO18" s="59"/>
      <c r="AP18" s="59"/>
      <c r="AQ18" s="59">
        <v>0</v>
      </c>
      <c r="AW18">
        <v>0</v>
      </c>
      <c r="BC18">
        <v>0</v>
      </c>
      <c r="BE18">
        <v>0</v>
      </c>
      <c r="BH18">
        <v>0</v>
      </c>
    </row>
    <row r="19" spans="1:77" hidden="1" x14ac:dyDescent="0.3">
      <c r="C19" s="31"/>
      <c r="D19" s="60"/>
      <c r="E19" s="60"/>
      <c r="F19" s="60"/>
      <c r="G19" t="s">
        <v>49</v>
      </c>
      <c r="H19" s="22"/>
      <c r="I19" s="22"/>
      <c r="J19" s="33"/>
      <c r="K19" s="33"/>
      <c r="L19" s="33">
        <v>0</v>
      </c>
      <c r="M19" s="21"/>
      <c r="N19" s="33"/>
      <c r="O19" s="33"/>
      <c r="P19" s="21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>
        <v>0</v>
      </c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59"/>
      <c r="AO19" s="59"/>
      <c r="AP19" s="59"/>
      <c r="AQ19" s="59">
        <v>0</v>
      </c>
      <c r="AW19">
        <v>0</v>
      </c>
      <c r="BC19">
        <v>0</v>
      </c>
      <c r="BE19">
        <v>0</v>
      </c>
    </row>
    <row r="20" spans="1:77" hidden="1" x14ac:dyDescent="0.3">
      <c r="A20" s="31" t="s">
        <v>182</v>
      </c>
      <c r="B20" t="s">
        <v>184</v>
      </c>
      <c r="C20" s="31"/>
      <c r="D20" s="60"/>
      <c r="E20" s="60"/>
      <c r="F20" s="60"/>
      <c r="G20" t="s">
        <v>51</v>
      </c>
      <c r="H20" s="22"/>
      <c r="I20" s="22"/>
      <c r="J20" s="33">
        <v>40</v>
      </c>
      <c r="K20" s="33"/>
      <c r="L20" s="33">
        <v>0</v>
      </c>
      <c r="M20" s="21"/>
      <c r="N20" s="33"/>
      <c r="O20" s="33"/>
      <c r="P20" s="21" t="s">
        <v>54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>
        <v>0</v>
      </c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59"/>
      <c r="AO20" s="59"/>
      <c r="AP20" s="59">
        <v>1260</v>
      </c>
      <c r="AQ20" s="59">
        <v>0</v>
      </c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>
        <v>0</v>
      </c>
      <c r="BF20" s="65"/>
      <c r="BG20" s="74"/>
      <c r="BH20" s="65"/>
    </row>
    <row r="21" spans="1:77" ht="15.6" x14ac:dyDescent="0.3">
      <c r="A21" s="64" t="s">
        <v>112</v>
      </c>
      <c r="B21" t="s">
        <v>152</v>
      </c>
      <c r="C21" s="31" t="s">
        <v>57</v>
      </c>
      <c r="D21" s="60" t="s">
        <v>170</v>
      </c>
      <c r="E21" s="60" t="s">
        <v>171</v>
      </c>
      <c r="F21" s="60"/>
      <c r="G21" s="72" t="s">
        <v>52</v>
      </c>
      <c r="H21" s="22"/>
      <c r="I21" s="22"/>
      <c r="J21" s="33"/>
      <c r="K21" s="33">
        <f>64*7</f>
        <v>448</v>
      </c>
      <c r="L21" s="33">
        <v>0</v>
      </c>
      <c r="M21" s="21"/>
      <c r="N21" s="33"/>
      <c r="O21" s="33"/>
      <c r="P21" s="21"/>
      <c r="Q21" s="33"/>
      <c r="R21" s="33"/>
      <c r="S21" s="33"/>
      <c r="T21" s="33"/>
      <c r="U21" s="33"/>
      <c r="V21" s="33"/>
      <c r="W21" s="33">
        <f>80*7</f>
        <v>560</v>
      </c>
      <c r="X21" s="33">
        <v>70</v>
      </c>
      <c r="Y21" s="46">
        <v>70</v>
      </c>
      <c r="Z21" s="46">
        <v>70</v>
      </c>
      <c r="AA21" s="46">
        <v>70</v>
      </c>
      <c r="AB21" s="46">
        <v>70</v>
      </c>
      <c r="AC21" s="46">
        <v>70</v>
      </c>
      <c r="AD21" s="33">
        <v>0</v>
      </c>
      <c r="AE21" s="33"/>
      <c r="AF21" s="46">
        <v>210</v>
      </c>
      <c r="AG21" s="46">
        <v>70</v>
      </c>
      <c r="AH21" s="33"/>
      <c r="AI21" s="33"/>
      <c r="AJ21" s="47">
        <v>210</v>
      </c>
      <c r="AK21" s="33"/>
      <c r="AL21" s="33"/>
      <c r="AM21" s="59">
        <v>210</v>
      </c>
      <c r="AN21" s="59">
        <v>70</v>
      </c>
      <c r="AO21" s="59">
        <v>70</v>
      </c>
      <c r="AP21" s="59">
        <v>70</v>
      </c>
      <c r="AQ21" s="59">
        <v>70</v>
      </c>
      <c r="AR21" s="59">
        <v>70</v>
      </c>
      <c r="AS21" s="69"/>
      <c r="AT21" s="69">
        <v>140</v>
      </c>
      <c r="AU21" s="19"/>
      <c r="AV21" s="19"/>
      <c r="AW21" s="19">
        <v>0</v>
      </c>
      <c r="AX21" s="59">
        <v>280</v>
      </c>
      <c r="AY21" s="59">
        <v>70</v>
      </c>
      <c r="AZ21" s="19"/>
      <c r="BA21" s="19"/>
      <c r="BB21" s="19">
        <f>210+35</f>
        <v>245</v>
      </c>
      <c r="BC21" s="59">
        <v>105</v>
      </c>
      <c r="BD21" t="s">
        <v>32</v>
      </c>
      <c r="BE21" s="59">
        <v>105</v>
      </c>
      <c r="BF21" s="59">
        <v>105</v>
      </c>
      <c r="BG21" s="18"/>
      <c r="BH21" s="69">
        <v>0</v>
      </c>
      <c r="BI21" s="69">
        <v>315</v>
      </c>
      <c r="BJ21">
        <v>0</v>
      </c>
      <c r="BK21" s="59">
        <f>105*2</f>
        <v>210</v>
      </c>
      <c r="BL21" s="68">
        <v>105</v>
      </c>
    </row>
    <row r="22" spans="1:77" ht="15.6" x14ac:dyDescent="0.3">
      <c r="A22" s="64" t="s">
        <v>63</v>
      </c>
      <c r="B22" t="s">
        <v>147</v>
      </c>
      <c r="C22" s="31" t="s">
        <v>64</v>
      </c>
      <c r="D22" s="60" t="s">
        <v>170</v>
      </c>
      <c r="E22" s="60" t="s">
        <v>170</v>
      </c>
      <c r="F22" s="60"/>
      <c r="G22" s="72" t="s">
        <v>59</v>
      </c>
      <c r="H22" s="22"/>
      <c r="I22" s="22"/>
      <c r="J22" s="33"/>
      <c r="K22" s="33"/>
      <c r="L22" s="33"/>
      <c r="M22" s="21"/>
      <c r="N22" s="33"/>
      <c r="O22" s="33"/>
      <c r="P22" s="21"/>
      <c r="Q22" s="33"/>
      <c r="R22" s="33"/>
      <c r="S22" s="33"/>
      <c r="T22" s="33"/>
      <c r="U22" s="33"/>
      <c r="V22" s="33"/>
      <c r="W22" s="33"/>
      <c r="X22" s="33"/>
      <c r="Y22" s="46">
        <v>420</v>
      </c>
      <c r="Z22" s="33"/>
      <c r="AA22" s="46">
        <f>105*2</f>
        <v>210</v>
      </c>
      <c r="AB22" s="46">
        <v>105</v>
      </c>
      <c r="AC22" s="46">
        <v>105</v>
      </c>
      <c r="AD22" s="46">
        <f>105+51</f>
        <v>156</v>
      </c>
      <c r="AE22" s="46">
        <v>156</v>
      </c>
      <c r="AF22" s="46">
        <v>105</v>
      </c>
      <c r="AG22" s="46">
        <v>105</v>
      </c>
      <c r="AH22" s="46">
        <v>105</v>
      </c>
      <c r="AI22" s="46">
        <v>105</v>
      </c>
      <c r="AJ22" s="47">
        <v>105</v>
      </c>
      <c r="AK22" s="47">
        <v>105</v>
      </c>
      <c r="AL22" s="33">
        <v>105</v>
      </c>
      <c r="AM22" s="59">
        <v>105</v>
      </c>
      <c r="AN22" s="59">
        <v>105</v>
      </c>
      <c r="AO22" s="59"/>
      <c r="AP22" s="59">
        <f>105+105</f>
        <v>210</v>
      </c>
      <c r="AQ22" s="59">
        <v>0</v>
      </c>
      <c r="AR22" s="59">
        <v>210</v>
      </c>
      <c r="AV22" s="68">
        <f>105*4</f>
        <v>420</v>
      </c>
      <c r="AW22" s="19">
        <v>0</v>
      </c>
      <c r="AX22" s="19"/>
      <c r="AY22" s="59">
        <f>105*3</f>
        <v>315</v>
      </c>
      <c r="AZ22" s="19"/>
      <c r="BA22" s="19"/>
      <c r="BB22" s="19"/>
      <c r="BC22" s="19">
        <v>0</v>
      </c>
      <c r="BD22" s="69">
        <f>105*5</f>
        <v>525</v>
      </c>
      <c r="BE22" s="19">
        <v>0</v>
      </c>
      <c r="BF22" s="19"/>
      <c r="BG22" s="19"/>
      <c r="BH22" s="19">
        <v>0</v>
      </c>
      <c r="BI22" s="69">
        <v>525</v>
      </c>
      <c r="BJ22" s="69">
        <v>105</v>
      </c>
      <c r="BK22" s="76"/>
      <c r="BL22" s="69">
        <v>210</v>
      </c>
      <c r="BM22" s="69">
        <v>105</v>
      </c>
      <c r="BN22" s="19"/>
      <c r="BO22" s="19"/>
      <c r="BP22" s="19"/>
      <c r="BQ22" s="69">
        <v>420</v>
      </c>
      <c r="BR22" s="19"/>
      <c r="BS22" s="19"/>
      <c r="BT22" s="69">
        <v>315</v>
      </c>
      <c r="BU22" s="19"/>
      <c r="BV22" s="19"/>
      <c r="BW22" s="19">
        <v>315</v>
      </c>
    </row>
    <row r="23" spans="1:77" x14ac:dyDescent="0.3">
      <c r="A23" s="64" t="s">
        <v>109</v>
      </c>
      <c r="B23" t="s">
        <v>149</v>
      </c>
      <c r="D23" s="5">
        <v>1</v>
      </c>
      <c r="E23" s="5">
        <v>1</v>
      </c>
      <c r="G23" s="72" t="s">
        <v>24</v>
      </c>
      <c r="R23" s="33"/>
      <c r="S23" s="33"/>
      <c r="T23" s="33"/>
      <c r="U23" s="33"/>
      <c r="V23" s="33"/>
      <c r="W23" s="33"/>
      <c r="X23" s="33"/>
      <c r="Y23" s="33">
        <v>70</v>
      </c>
      <c r="Z23" s="33"/>
      <c r="AA23" s="33"/>
      <c r="AB23" s="33"/>
      <c r="AC23" s="33">
        <v>0</v>
      </c>
      <c r="AD23" s="47">
        <v>110</v>
      </c>
      <c r="AE23" s="33"/>
      <c r="AF23" s="46">
        <v>80</v>
      </c>
      <c r="AG23" s="46">
        <v>35</v>
      </c>
      <c r="AH23" s="47">
        <v>35</v>
      </c>
      <c r="AI23" s="47">
        <v>35</v>
      </c>
      <c r="AJ23" s="47">
        <v>40</v>
      </c>
      <c r="AK23" s="33"/>
      <c r="AL23" s="58">
        <v>70</v>
      </c>
      <c r="AM23" s="33">
        <v>50</v>
      </c>
      <c r="AN23" s="59"/>
      <c r="AO23" s="59"/>
      <c r="AP23" s="59"/>
      <c r="AQ23" s="59">
        <v>0</v>
      </c>
      <c r="AR23" s="59">
        <f>35*4</f>
        <v>140</v>
      </c>
      <c r="AS23" s="39"/>
      <c r="AT23" s="75">
        <f>35*2</f>
        <v>70</v>
      </c>
      <c r="AU23" s="39"/>
      <c r="AV23" s="39"/>
      <c r="AW23" s="75">
        <f>110+35</f>
        <v>145</v>
      </c>
      <c r="AX23" s="59">
        <f>35*3</f>
        <v>105</v>
      </c>
      <c r="BC23" s="59">
        <v>35</v>
      </c>
      <c r="BE23">
        <v>0</v>
      </c>
      <c r="BF23" s="59">
        <f>35*6</f>
        <v>210</v>
      </c>
      <c r="BH23">
        <v>0</v>
      </c>
      <c r="BI23" s="59">
        <v>70</v>
      </c>
      <c r="BL23" s="59">
        <v>30</v>
      </c>
      <c r="BO23" s="59">
        <f>35*3</f>
        <v>105</v>
      </c>
      <c r="BP23">
        <v>0</v>
      </c>
      <c r="BU23">
        <v>35</v>
      </c>
      <c r="BV23">
        <v>70</v>
      </c>
    </row>
    <row r="24" spans="1:77" x14ac:dyDescent="0.3">
      <c r="A24" s="64" t="s">
        <v>81</v>
      </c>
      <c r="B24" t="s">
        <v>160</v>
      </c>
      <c r="C24" s="8">
        <v>8210431967</v>
      </c>
      <c r="D24" s="5">
        <v>4</v>
      </c>
      <c r="E24" s="5">
        <v>4</v>
      </c>
      <c r="G24" s="72" t="s">
        <v>72</v>
      </c>
      <c r="R24" s="33"/>
      <c r="S24" s="33"/>
      <c r="T24" s="33"/>
      <c r="U24" s="33"/>
      <c r="V24" s="33"/>
      <c r="W24" s="33"/>
      <c r="X24" s="33"/>
      <c r="Y24" s="33"/>
      <c r="Z24" s="33"/>
      <c r="AA24" s="46">
        <v>140</v>
      </c>
      <c r="AB24" s="46">
        <v>140</v>
      </c>
      <c r="AC24" s="46">
        <v>140</v>
      </c>
      <c r="AD24" s="46">
        <v>140</v>
      </c>
      <c r="AE24" s="47">
        <v>140</v>
      </c>
      <c r="AF24" s="46">
        <v>140</v>
      </c>
      <c r="AG24" s="46">
        <v>140</v>
      </c>
      <c r="AH24" s="46">
        <v>140</v>
      </c>
      <c r="AI24" s="46">
        <v>140</v>
      </c>
      <c r="AJ24" s="46">
        <v>140</v>
      </c>
      <c r="AK24" s="46">
        <v>140</v>
      </c>
      <c r="AL24" s="46">
        <v>140</v>
      </c>
      <c r="AM24" s="33"/>
      <c r="AN24" s="59">
        <v>140</v>
      </c>
      <c r="AO24" s="59"/>
      <c r="AP24" s="59"/>
      <c r="AQ24" s="59">
        <v>420</v>
      </c>
      <c r="AR24" s="59">
        <v>140</v>
      </c>
      <c r="AU24" s="59">
        <v>420</v>
      </c>
      <c r="AW24" s="59">
        <f>140*2</f>
        <v>280</v>
      </c>
      <c r="AX24" s="59">
        <v>140</v>
      </c>
      <c r="BC24">
        <v>0</v>
      </c>
      <c r="BE24">
        <v>0</v>
      </c>
      <c r="BH24">
        <v>0</v>
      </c>
    </row>
    <row r="25" spans="1:77" x14ac:dyDescent="0.3">
      <c r="A25" s="64" t="s">
        <v>96</v>
      </c>
      <c r="B25" t="s">
        <v>144</v>
      </c>
      <c r="C25" s="8">
        <v>9102552233</v>
      </c>
      <c r="D25" s="5">
        <v>3</v>
      </c>
      <c r="E25" s="5">
        <v>3</v>
      </c>
      <c r="G25" s="72" t="s">
        <v>83</v>
      </c>
      <c r="T25" s="33"/>
      <c r="U25" s="33"/>
      <c r="V25" s="33"/>
      <c r="W25" s="33"/>
      <c r="X25" s="33"/>
      <c r="Y25" s="33"/>
      <c r="Z25" s="33"/>
      <c r="AA25" s="33"/>
      <c r="AB25" s="33"/>
      <c r="AC25" s="46">
        <f>1300+560</f>
        <v>1860</v>
      </c>
      <c r="AD25" s="46">
        <v>70</v>
      </c>
      <c r="AE25" s="46">
        <v>70</v>
      </c>
      <c r="AF25" s="46">
        <v>70</v>
      </c>
      <c r="AG25" s="33">
        <v>0</v>
      </c>
      <c r="AH25" s="33"/>
      <c r="AI25" s="33"/>
      <c r="AJ25" s="33"/>
      <c r="AK25" s="33"/>
      <c r="AL25" s="33">
        <v>70</v>
      </c>
      <c r="AM25" s="59">
        <v>70</v>
      </c>
      <c r="AN25" s="59">
        <v>70</v>
      </c>
      <c r="AO25" s="59">
        <v>70</v>
      </c>
      <c r="AP25" s="59" t="s">
        <v>185</v>
      </c>
      <c r="AQ25" s="59">
        <v>70</v>
      </c>
      <c r="AR25" s="59">
        <v>70</v>
      </c>
      <c r="AS25" s="59">
        <v>70</v>
      </c>
      <c r="AT25" s="59">
        <v>70</v>
      </c>
      <c r="AU25" s="59">
        <v>70</v>
      </c>
      <c r="AV25" s="59">
        <v>70</v>
      </c>
      <c r="AW25" s="59">
        <v>70</v>
      </c>
      <c r="AX25" s="59">
        <v>70</v>
      </c>
      <c r="AY25" s="59">
        <v>70</v>
      </c>
      <c r="AZ25" s="59">
        <v>70</v>
      </c>
      <c r="BA25" s="59">
        <v>70</v>
      </c>
      <c r="BB25" s="59">
        <v>70</v>
      </c>
      <c r="BC25" s="59">
        <v>70</v>
      </c>
      <c r="BD25" s="59">
        <v>70</v>
      </c>
      <c r="BE25" s="59">
        <v>70</v>
      </c>
      <c r="BF25" s="59">
        <v>70</v>
      </c>
      <c r="BG25" s="59">
        <v>70</v>
      </c>
      <c r="BH25" s="59">
        <v>70</v>
      </c>
      <c r="BI25" s="59">
        <v>70</v>
      </c>
      <c r="BJ25" s="59">
        <v>70</v>
      </c>
      <c r="BO25" s="59">
        <v>350</v>
      </c>
      <c r="BP25">
        <v>0</v>
      </c>
      <c r="BQ25" s="59">
        <v>70</v>
      </c>
      <c r="BR25" s="59">
        <v>140</v>
      </c>
      <c r="BS25" s="59">
        <v>70</v>
      </c>
      <c r="BT25" s="59"/>
      <c r="BU25" s="59"/>
      <c r="BV25" s="59">
        <v>210</v>
      </c>
    </row>
    <row r="26" spans="1:77" x14ac:dyDescent="0.3">
      <c r="A26" s="64" t="s">
        <v>104</v>
      </c>
      <c r="B26" t="s">
        <v>146</v>
      </c>
      <c r="C26" s="8">
        <v>6201399787</v>
      </c>
      <c r="D26" s="5">
        <v>2</v>
      </c>
      <c r="E26" s="5">
        <v>2</v>
      </c>
      <c r="G26" s="72" t="s">
        <v>84</v>
      </c>
      <c r="T26" s="33"/>
      <c r="U26" s="33"/>
      <c r="V26" s="33"/>
      <c r="W26" s="33"/>
      <c r="X26" s="33"/>
      <c r="Y26" s="33"/>
      <c r="Z26" s="33"/>
      <c r="AA26" s="33"/>
      <c r="AB26" s="33"/>
      <c r="AC26" s="46">
        <f>80*2</f>
        <v>160</v>
      </c>
      <c r="AD26" s="46">
        <v>80</v>
      </c>
      <c r="AE26" s="46">
        <v>80</v>
      </c>
      <c r="AF26" s="33"/>
      <c r="AG26" s="46">
        <v>160</v>
      </c>
      <c r="AH26" s="46">
        <v>80</v>
      </c>
      <c r="AI26" s="46">
        <v>80</v>
      </c>
      <c r="AJ26" s="47">
        <v>80</v>
      </c>
      <c r="AK26" s="47">
        <v>80</v>
      </c>
      <c r="AL26" s="33">
        <v>80</v>
      </c>
      <c r="AM26" s="59">
        <v>80</v>
      </c>
      <c r="AN26" s="59">
        <v>80</v>
      </c>
      <c r="AO26" s="59"/>
      <c r="AP26" s="59">
        <v>80</v>
      </c>
      <c r="AQ26" s="59">
        <v>160</v>
      </c>
      <c r="AS26" s="59">
        <v>160</v>
      </c>
      <c r="AT26" s="59">
        <v>80</v>
      </c>
      <c r="AW26" s="59">
        <v>80</v>
      </c>
      <c r="AY26" s="59">
        <v>80</v>
      </c>
      <c r="AZ26">
        <v>80</v>
      </c>
      <c r="BA26" s="19"/>
      <c r="BB26" s="59">
        <v>160</v>
      </c>
      <c r="BE26">
        <v>0</v>
      </c>
      <c r="BF26" s="59">
        <v>80</v>
      </c>
      <c r="BG26" s="59">
        <v>80</v>
      </c>
      <c r="BH26">
        <v>0</v>
      </c>
      <c r="BI26" s="59">
        <v>160</v>
      </c>
      <c r="BJ26" s="59">
        <v>80</v>
      </c>
      <c r="BK26" s="59">
        <v>80</v>
      </c>
      <c r="BL26" s="59">
        <v>80</v>
      </c>
      <c r="BM26" s="59">
        <v>80</v>
      </c>
      <c r="BN26" s="59">
        <v>80</v>
      </c>
      <c r="BO26" s="59">
        <v>80</v>
      </c>
      <c r="BP26" s="59">
        <v>80</v>
      </c>
      <c r="BQ26" s="59">
        <v>80</v>
      </c>
      <c r="BR26" s="19"/>
      <c r="BS26" s="19"/>
      <c r="BT26" s="19"/>
      <c r="BU26" s="19"/>
      <c r="BV26" s="69">
        <v>320</v>
      </c>
    </row>
    <row r="27" spans="1:77" x14ac:dyDescent="0.3">
      <c r="A27" s="64" t="s">
        <v>105</v>
      </c>
      <c r="B27" t="s">
        <v>178</v>
      </c>
      <c r="C27" s="8">
        <v>8797471110</v>
      </c>
      <c r="D27" s="5">
        <v>1</v>
      </c>
      <c r="E27" s="5">
        <v>1</v>
      </c>
      <c r="G27" s="72" t="s">
        <v>86</v>
      </c>
      <c r="AB27" s="33"/>
      <c r="AC27" s="46">
        <f>40*12</f>
        <v>480</v>
      </c>
      <c r="AD27" s="33"/>
      <c r="AE27" s="46">
        <f>40*2+20</f>
        <v>100</v>
      </c>
      <c r="AF27" s="46">
        <v>40</v>
      </c>
      <c r="AG27" s="33"/>
      <c r="AH27" s="33"/>
      <c r="AI27" s="46">
        <f>40*3</f>
        <v>120</v>
      </c>
      <c r="AJ27" s="33">
        <v>40</v>
      </c>
      <c r="AK27" s="33"/>
      <c r="AL27" s="33">
        <v>40</v>
      </c>
      <c r="AM27" s="59">
        <v>80</v>
      </c>
      <c r="AN27" s="59"/>
      <c r="AO27" s="59"/>
      <c r="AP27" s="59"/>
      <c r="AQ27" s="59"/>
      <c r="AW27" s="59">
        <v>0</v>
      </c>
      <c r="BE27">
        <v>0</v>
      </c>
      <c r="BH27">
        <v>0</v>
      </c>
    </row>
    <row r="28" spans="1:77" hidden="1" x14ac:dyDescent="0.3">
      <c r="A28" s="64" t="s">
        <v>116</v>
      </c>
      <c r="B28" t="s">
        <v>143</v>
      </c>
      <c r="C28" s="8">
        <v>9523678106</v>
      </c>
      <c r="G28" s="72" t="s">
        <v>97</v>
      </c>
      <c r="AC28">
        <v>501617887751</v>
      </c>
      <c r="AD28" s="46">
        <v>102</v>
      </c>
      <c r="AE28" s="46">
        <v>102</v>
      </c>
      <c r="AF28" s="46">
        <v>102</v>
      </c>
      <c r="AG28" s="46">
        <v>102</v>
      </c>
      <c r="AH28" s="46">
        <v>102</v>
      </c>
      <c r="AI28" s="46">
        <v>132</v>
      </c>
      <c r="AJ28" s="33"/>
      <c r="AK28" s="47">
        <v>264</v>
      </c>
      <c r="AL28" s="33">
        <v>140</v>
      </c>
      <c r="AM28" s="59">
        <v>140</v>
      </c>
      <c r="AN28" s="59">
        <v>140</v>
      </c>
      <c r="AO28" s="59">
        <v>135</v>
      </c>
      <c r="AP28" s="59">
        <v>135</v>
      </c>
      <c r="AQ28" s="59">
        <v>135</v>
      </c>
      <c r="AR28" s="59">
        <v>135</v>
      </c>
      <c r="AS28" s="59">
        <v>135</v>
      </c>
      <c r="AT28" s="59">
        <v>135</v>
      </c>
      <c r="AW28" s="59">
        <v>0</v>
      </c>
    </row>
    <row r="29" spans="1:77" ht="15.6" x14ac:dyDescent="0.3">
      <c r="A29" s="64" t="s">
        <v>110</v>
      </c>
      <c r="B29" t="s">
        <v>157</v>
      </c>
      <c r="C29" s="8">
        <v>8235430589</v>
      </c>
      <c r="D29" s="5">
        <v>1</v>
      </c>
      <c r="E29" s="5">
        <v>1</v>
      </c>
      <c r="G29" t="s">
        <v>82</v>
      </c>
      <c r="U29" s="12">
        <f>202+540+360-1591</f>
        <v>-489</v>
      </c>
      <c r="AE29" s="52">
        <v>175</v>
      </c>
      <c r="AF29" s="47">
        <v>35</v>
      </c>
      <c r="AG29" s="47">
        <v>35</v>
      </c>
      <c r="AH29" s="47">
        <v>35</v>
      </c>
      <c r="AI29" s="47">
        <v>35</v>
      </c>
      <c r="AJ29" s="47">
        <v>35</v>
      </c>
      <c r="AK29" s="33"/>
      <c r="AL29" s="33" t="s">
        <v>136</v>
      </c>
      <c r="AM29" s="59">
        <v>35</v>
      </c>
      <c r="AN29" s="59"/>
      <c r="AO29" s="59"/>
      <c r="AP29" s="59">
        <f>35*3</f>
        <v>105</v>
      </c>
      <c r="AQ29" s="59">
        <v>35</v>
      </c>
      <c r="AT29" s="59">
        <f>35*3</f>
        <v>105</v>
      </c>
      <c r="AV29" s="68">
        <v>70</v>
      </c>
      <c r="AW29" s="59">
        <v>0</v>
      </c>
      <c r="BE29">
        <v>0</v>
      </c>
      <c r="BH29">
        <v>0</v>
      </c>
    </row>
    <row r="30" spans="1:77" x14ac:dyDescent="0.3">
      <c r="A30" s="64" t="s">
        <v>103</v>
      </c>
      <c r="B30" t="s">
        <v>145</v>
      </c>
      <c r="D30" s="5">
        <v>2</v>
      </c>
      <c r="E30" s="5">
        <v>2</v>
      </c>
      <c r="G30" s="72" t="s">
        <v>102</v>
      </c>
      <c r="AE30">
        <v>140</v>
      </c>
      <c r="AF30" s="53">
        <v>70</v>
      </c>
      <c r="AG30" s="46">
        <v>70</v>
      </c>
      <c r="AH30" s="46">
        <v>70</v>
      </c>
      <c r="AI30" s="46">
        <v>70</v>
      </c>
      <c r="AJ30" s="33" t="s">
        <v>127</v>
      </c>
      <c r="AK30" s="46">
        <v>140</v>
      </c>
      <c r="AL30" s="46">
        <v>70</v>
      </c>
      <c r="AM30" s="59">
        <v>70</v>
      </c>
      <c r="AN30" s="59">
        <v>70</v>
      </c>
      <c r="AO30" s="59"/>
      <c r="AP30" s="59">
        <f>70*2</f>
        <v>140</v>
      </c>
      <c r="AQ30" s="59">
        <v>70</v>
      </c>
      <c r="AR30" s="59">
        <v>70</v>
      </c>
      <c r="AV30" s="59">
        <v>210</v>
      </c>
      <c r="AW30" s="59">
        <v>140</v>
      </c>
      <c r="AX30" s="59">
        <v>70</v>
      </c>
      <c r="AY30" s="19"/>
      <c r="AZ30" s="69">
        <v>140</v>
      </c>
      <c r="BA30" s="71"/>
      <c r="BB30" s="71"/>
      <c r="BC30" s="59">
        <f>70*3</f>
        <v>210</v>
      </c>
      <c r="BD30" s="19"/>
      <c r="BE30" s="59">
        <v>140</v>
      </c>
      <c r="BF30" s="59">
        <v>70</v>
      </c>
      <c r="BG30" s="59">
        <v>70</v>
      </c>
      <c r="BH30" s="59">
        <v>70</v>
      </c>
      <c r="BI30" s="59">
        <v>70</v>
      </c>
      <c r="BJ30" s="59">
        <v>70</v>
      </c>
      <c r="BK30" s="59">
        <v>70</v>
      </c>
      <c r="BL30" s="59">
        <v>70</v>
      </c>
      <c r="BM30" s="59">
        <v>70</v>
      </c>
      <c r="BN30" s="59">
        <v>70</v>
      </c>
      <c r="BO30" s="59">
        <v>70</v>
      </c>
      <c r="BP30" s="59">
        <v>0</v>
      </c>
      <c r="BQ30" s="59">
        <v>140</v>
      </c>
      <c r="BR30" s="59">
        <v>70</v>
      </c>
      <c r="BS30" s="39"/>
      <c r="BT30" s="75">
        <v>140</v>
      </c>
      <c r="BU30" s="59">
        <v>70</v>
      </c>
      <c r="BV30" s="59">
        <v>70</v>
      </c>
      <c r="BW30" s="59">
        <v>70</v>
      </c>
      <c r="BY30" s="59">
        <v>140</v>
      </c>
    </row>
    <row r="31" spans="1:77" x14ac:dyDescent="0.3">
      <c r="A31" s="64" t="s">
        <v>108</v>
      </c>
      <c r="B31" t="s">
        <v>151</v>
      </c>
      <c r="C31" s="8">
        <v>7209763483</v>
      </c>
      <c r="D31" s="5">
        <v>1</v>
      </c>
      <c r="E31" s="5">
        <v>1</v>
      </c>
      <c r="G31" t="s">
        <v>107</v>
      </c>
      <c r="AF31" s="52">
        <v>35</v>
      </c>
      <c r="AG31" s="33">
        <v>0</v>
      </c>
      <c r="AH31" s="33"/>
      <c r="AI31" s="47">
        <v>105</v>
      </c>
      <c r="AJ31" s="47">
        <v>35</v>
      </c>
      <c r="AK31" s="33"/>
      <c r="AL31" s="33"/>
      <c r="AM31" s="59">
        <v>35</v>
      </c>
      <c r="AN31" s="59"/>
      <c r="AO31" s="59"/>
      <c r="AP31" s="59">
        <f>35*3</f>
        <v>105</v>
      </c>
      <c r="AQ31" s="59">
        <v>0</v>
      </c>
      <c r="AR31" s="59">
        <v>70</v>
      </c>
      <c r="AS31" s="19"/>
      <c r="AT31" s="19"/>
      <c r="AU31" s="19"/>
      <c r="AV31" s="19"/>
      <c r="AW31" s="69">
        <v>0</v>
      </c>
      <c r="AX31" s="19"/>
      <c r="AY31" s="19"/>
      <c r="AZ31" s="19"/>
      <c r="BA31" s="19"/>
      <c r="BB31" s="19"/>
      <c r="BC31" s="19"/>
      <c r="BD31" s="59">
        <f>35*12</f>
        <v>420</v>
      </c>
      <c r="BX31" s="59">
        <v>700</v>
      </c>
    </row>
    <row r="32" spans="1:77" x14ac:dyDescent="0.3">
      <c r="A32" s="31" t="s">
        <v>118</v>
      </c>
      <c r="D32" s="5">
        <v>2</v>
      </c>
      <c r="E32" s="5">
        <v>2</v>
      </c>
      <c r="G32" t="s">
        <v>111</v>
      </c>
      <c r="AG32" s="46">
        <v>70</v>
      </c>
      <c r="AH32" s="46">
        <v>70</v>
      </c>
      <c r="AI32" s="33"/>
      <c r="AJ32" s="47">
        <v>140</v>
      </c>
      <c r="AK32" s="33"/>
      <c r="AL32" s="33"/>
      <c r="AM32" s="33"/>
      <c r="AN32" s="59"/>
      <c r="AO32" s="59"/>
      <c r="AP32" s="59"/>
      <c r="AQ32" s="59"/>
      <c r="AW32" s="59">
        <v>0</v>
      </c>
    </row>
    <row r="33" spans="1:77" ht="15.6" x14ac:dyDescent="0.3">
      <c r="A33" s="31" t="s">
        <v>140</v>
      </c>
      <c r="B33" t="s">
        <v>153</v>
      </c>
      <c r="D33" s="5">
        <v>2</v>
      </c>
      <c r="E33" s="5">
        <v>2</v>
      </c>
      <c r="G33" s="72" t="s">
        <v>138</v>
      </c>
      <c r="AI33" s="33"/>
      <c r="AJ33" s="33"/>
      <c r="AK33" s="33"/>
      <c r="AL33" s="33"/>
      <c r="AM33" s="59">
        <f>97.5*6</f>
        <v>585</v>
      </c>
      <c r="AN33" s="59">
        <v>100</v>
      </c>
      <c r="AO33" s="59"/>
      <c r="AP33" s="59">
        <f>96*2</f>
        <v>192</v>
      </c>
      <c r="AQ33" s="59" t="s">
        <v>22</v>
      </c>
      <c r="AR33" s="59" t="s">
        <v>22</v>
      </c>
      <c r="AT33" s="59">
        <f>100*2</f>
        <v>200</v>
      </c>
      <c r="AU33" s="59">
        <v>100</v>
      </c>
      <c r="AV33" s="68">
        <v>100</v>
      </c>
      <c r="AW33" s="68">
        <v>100</v>
      </c>
      <c r="AX33" s="68">
        <v>100</v>
      </c>
      <c r="AY33" s="68">
        <v>100</v>
      </c>
      <c r="AZ33" s="68">
        <v>100</v>
      </c>
      <c r="BA33" s="19"/>
      <c r="BB33" s="70">
        <v>100</v>
      </c>
      <c r="BC33" s="68">
        <v>100</v>
      </c>
      <c r="BD33" s="68">
        <v>100</v>
      </c>
      <c r="BE33" s="68">
        <v>100</v>
      </c>
      <c r="BF33" s="68">
        <v>100</v>
      </c>
      <c r="BG33" s="68">
        <v>100</v>
      </c>
      <c r="BH33" s="59">
        <v>100</v>
      </c>
      <c r="BI33" s="59">
        <v>100</v>
      </c>
      <c r="BJ33" s="68">
        <v>100</v>
      </c>
      <c r="BK33" s="68">
        <v>100</v>
      </c>
      <c r="BL33" s="68">
        <v>100</v>
      </c>
      <c r="BM33" s="68">
        <v>100</v>
      </c>
      <c r="BN33" s="68">
        <v>100</v>
      </c>
      <c r="BP33" s="68">
        <v>100</v>
      </c>
      <c r="BQ33" s="68">
        <v>100</v>
      </c>
      <c r="BR33" s="68">
        <v>100</v>
      </c>
      <c r="BS33" s="68">
        <v>100</v>
      </c>
      <c r="BT33" s="68">
        <v>100</v>
      </c>
      <c r="BU33" s="68">
        <v>100</v>
      </c>
      <c r="BV33" s="68">
        <v>100</v>
      </c>
      <c r="BW33" s="68">
        <v>100</v>
      </c>
      <c r="BX33" s="68">
        <v>100</v>
      </c>
      <c r="BY33" s="68">
        <v>100</v>
      </c>
    </row>
    <row r="34" spans="1:77" x14ac:dyDescent="0.3">
      <c r="A34" s="31">
        <v>43957</v>
      </c>
      <c r="C34" s="8">
        <v>8340117058</v>
      </c>
      <c r="G34" t="s">
        <v>101</v>
      </c>
      <c r="AI34" s="33"/>
      <c r="AJ34" s="33"/>
      <c r="AK34" s="33"/>
      <c r="AL34" s="33" t="s">
        <v>137</v>
      </c>
      <c r="AM34" s="33"/>
      <c r="AN34" s="59"/>
      <c r="AO34" s="59"/>
      <c r="AP34" s="59"/>
      <c r="AQ34" s="59"/>
      <c r="AW34" s="59">
        <v>0</v>
      </c>
    </row>
    <row r="35" spans="1:77" x14ac:dyDescent="0.3">
      <c r="A35" s="31" t="s">
        <v>162</v>
      </c>
      <c r="B35" t="s">
        <v>163</v>
      </c>
      <c r="C35" s="8">
        <v>8340307188</v>
      </c>
      <c r="G35" t="s">
        <v>161</v>
      </c>
      <c r="AI35" s="33"/>
      <c r="AJ35" s="33"/>
      <c r="AK35" s="33"/>
      <c r="AL35" s="33"/>
      <c r="AM35" s="33"/>
      <c r="AN35" s="59">
        <v>908</v>
      </c>
      <c r="AO35" s="59">
        <v>908</v>
      </c>
      <c r="AP35" s="59">
        <v>908</v>
      </c>
      <c r="AQ35" s="59">
        <v>908</v>
      </c>
      <c r="AR35" s="59">
        <v>908</v>
      </c>
      <c r="AS35" s="59">
        <v>908</v>
      </c>
      <c r="AT35" s="59">
        <v>908</v>
      </c>
      <c r="AU35" s="59">
        <v>908</v>
      </c>
      <c r="AV35" s="59">
        <v>908</v>
      </c>
      <c r="AW35" s="59">
        <v>908</v>
      </c>
      <c r="AX35" s="59">
        <v>908</v>
      </c>
      <c r="AY35" s="59">
        <v>908</v>
      </c>
      <c r="AZ35" s="59">
        <v>908</v>
      </c>
      <c r="BA35" s="59">
        <v>997</v>
      </c>
      <c r="BB35" s="59">
        <v>908</v>
      </c>
      <c r="BC35" s="59">
        <v>912</v>
      </c>
      <c r="BD35" s="59">
        <v>912</v>
      </c>
      <c r="BF35" s="59">
        <v>852</v>
      </c>
      <c r="BG35" s="59">
        <v>852</v>
      </c>
      <c r="BH35" s="59">
        <v>852</v>
      </c>
      <c r="BI35" s="59">
        <v>852</v>
      </c>
      <c r="BJ35" s="59">
        <v>852</v>
      </c>
      <c r="BK35" s="59">
        <v>852</v>
      </c>
      <c r="BL35" s="59">
        <v>852</v>
      </c>
      <c r="BM35" s="59">
        <v>852</v>
      </c>
      <c r="BN35" s="59">
        <v>852</v>
      </c>
      <c r="BO35" s="59">
        <f>852+20</f>
        <v>872</v>
      </c>
      <c r="BP35" s="59">
        <v>852</v>
      </c>
      <c r="BQ35" s="59">
        <v>852</v>
      </c>
      <c r="BR35" s="59">
        <v>712</v>
      </c>
      <c r="BS35" s="59">
        <v>712</v>
      </c>
      <c r="BT35" s="59">
        <v>749</v>
      </c>
      <c r="BU35" s="59">
        <v>749</v>
      </c>
      <c r="BV35" s="59">
        <v>749</v>
      </c>
      <c r="BW35" s="59">
        <v>800</v>
      </c>
      <c r="BX35" s="59">
        <v>800</v>
      </c>
      <c r="BY35" s="59">
        <v>800</v>
      </c>
    </row>
    <row r="36" spans="1:77" ht="15.6" x14ac:dyDescent="0.3">
      <c r="A36" s="64" t="s">
        <v>176</v>
      </c>
      <c r="B36" t="s">
        <v>177</v>
      </c>
      <c r="D36" s="5">
        <v>2</v>
      </c>
      <c r="E36" s="5">
        <v>1</v>
      </c>
      <c r="G36" s="72" t="s">
        <v>193</v>
      </c>
      <c r="AI36" s="33"/>
      <c r="AJ36" s="33"/>
      <c r="AK36" s="33"/>
      <c r="AL36" s="33"/>
      <c r="AM36" s="33"/>
      <c r="AN36" s="59"/>
      <c r="AO36" s="59"/>
      <c r="AP36" s="59">
        <v>70</v>
      </c>
      <c r="AQ36" s="59">
        <v>70</v>
      </c>
      <c r="AR36" s="59">
        <v>70</v>
      </c>
      <c r="AS36" t="s">
        <v>22</v>
      </c>
      <c r="AU36" s="59" t="s">
        <v>22</v>
      </c>
      <c r="AV36" s="68">
        <v>145</v>
      </c>
      <c r="AW36" s="59">
        <v>0</v>
      </c>
      <c r="AX36" s="59">
        <v>175</v>
      </c>
      <c r="AY36" s="68">
        <v>175</v>
      </c>
      <c r="AZ36" t="s">
        <v>22</v>
      </c>
      <c r="BA36" t="s">
        <v>22</v>
      </c>
      <c r="BB36" t="s">
        <v>22</v>
      </c>
      <c r="BC36" t="s">
        <v>22</v>
      </c>
      <c r="BD36" s="68">
        <v>205</v>
      </c>
      <c r="BE36" s="68">
        <v>205</v>
      </c>
      <c r="BF36" s="68"/>
      <c r="BG36" s="68"/>
      <c r="BK36" s="68">
        <v>280</v>
      </c>
      <c r="BL36" s="68">
        <v>280</v>
      </c>
      <c r="BM36" s="68">
        <v>280</v>
      </c>
      <c r="BN36" s="68">
        <v>280</v>
      </c>
      <c r="BO36" s="68">
        <v>280</v>
      </c>
      <c r="BP36" s="68">
        <v>0</v>
      </c>
    </row>
    <row r="37" spans="1:77" x14ac:dyDescent="0.3">
      <c r="A37" s="64" t="s">
        <v>181</v>
      </c>
      <c r="B37" t="s">
        <v>188</v>
      </c>
      <c r="C37" s="8">
        <v>9608087215</v>
      </c>
      <c r="D37" s="5">
        <v>3</v>
      </c>
      <c r="E37" s="5">
        <v>2</v>
      </c>
      <c r="G37" t="s">
        <v>179</v>
      </c>
      <c r="AI37" s="33"/>
      <c r="AJ37" s="33"/>
      <c r="AK37" s="33"/>
      <c r="AL37" s="33"/>
      <c r="AM37" s="33"/>
      <c r="AN37" s="59"/>
      <c r="AO37" s="59"/>
      <c r="AP37" s="59">
        <f>70*(4+3)</f>
        <v>490</v>
      </c>
      <c r="AQ37" s="59">
        <v>210</v>
      </c>
      <c r="AU37" s="59">
        <f>210+70</f>
        <v>280</v>
      </c>
      <c r="AW37" s="59">
        <v>0</v>
      </c>
      <c r="BG37" s="59">
        <v>105</v>
      </c>
      <c r="BH37" s="59">
        <v>105</v>
      </c>
      <c r="BI37" s="59">
        <v>105</v>
      </c>
      <c r="BN37" s="59">
        <f>105*5</f>
        <v>525</v>
      </c>
      <c r="BO37" s="59">
        <v>105</v>
      </c>
      <c r="BP37">
        <v>0</v>
      </c>
    </row>
    <row r="38" spans="1:77" x14ac:dyDescent="0.3">
      <c r="A38" s="31" t="s">
        <v>194</v>
      </c>
      <c r="B38" t="s">
        <v>195</v>
      </c>
      <c r="G38" s="73" t="s">
        <v>189</v>
      </c>
      <c r="AW38" s="59">
        <v>0</v>
      </c>
    </row>
    <row r="39" spans="1:77" x14ac:dyDescent="0.3">
      <c r="A39" s="64" t="s">
        <v>191</v>
      </c>
      <c r="B39" s="63" t="s">
        <v>200</v>
      </c>
      <c r="C39" s="8">
        <v>6371482910</v>
      </c>
      <c r="D39" s="5">
        <v>4</v>
      </c>
      <c r="E39" s="5">
        <v>4</v>
      </c>
      <c r="G39" s="72" t="s">
        <v>190</v>
      </c>
      <c r="AQ39" s="59">
        <v>247</v>
      </c>
      <c r="AR39" s="59">
        <v>247</v>
      </c>
      <c r="AS39" s="59">
        <v>247</v>
      </c>
      <c r="AT39" s="59">
        <v>247</v>
      </c>
      <c r="AU39" s="59">
        <v>247</v>
      </c>
      <c r="AV39" s="59">
        <v>247</v>
      </c>
      <c r="AW39" s="59">
        <v>244</v>
      </c>
      <c r="AX39" s="59">
        <v>244</v>
      </c>
      <c r="AY39" s="59">
        <v>244</v>
      </c>
      <c r="AZ39" s="59">
        <v>244</v>
      </c>
      <c r="BA39" s="59">
        <v>244</v>
      </c>
      <c r="BB39" s="59">
        <v>244</v>
      </c>
      <c r="BC39" s="59">
        <v>250</v>
      </c>
      <c r="BD39" s="59">
        <v>244</v>
      </c>
      <c r="BE39" s="59">
        <v>244</v>
      </c>
      <c r="BF39" s="59">
        <v>244</v>
      </c>
      <c r="BG39" s="59">
        <v>244</v>
      </c>
      <c r="BH39" s="59">
        <v>244</v>
      </c>
      <c r="BI39" s="59">
        <v>244</v>
      </c>
      <c r="BJ39" s="59">
        <v>244</v>
      </c>
      <c r="BK39" s="59">
        <v>244</v>
      </c>
      <c r="BL39" s="59">
        <v>244</v>
      </c>
      <c r="BM39" s="59">
        <v>244</v>
      </c>
      <c r="BN39" s="59">
        <v>244</v>
      </c>
      <c r="BO39" s="59">
        <f>244+5</f>
        <v>249</v>
      </c>
      <c r="BP39" s="59">
        <v>0</v>
      </c>
      <c r="BQ39" s="59">
        <v>244</v>
      </c>
      <c r="BR39" s="59">
        <v>244</v>
      </c>
      <c r="BS39" s="59">
        <v>245</v>
      </c>
      <c r="BT39" s="59">
        <v>245</v>
      </c>
      <c r="BU39" s="59">
        <v>245</v>
      </c>
      <c r="BV39" s="59">
        <v>245</v>
      </c>
      <c r="BW39" s="59">
        <v>245</v>
      </c>
      <c r="BX39" s="59">
        <v>245</v>
      </c>
      <c r="BY39" s="59">
        <v>245</v>
      </c>
    </row>
    <row r="40" spans="1:77" x14ac:dyDescent="0.3">
      <c r="A40" s="31" t="s">
        <v>197</v>
      </c>
      <c r="B40" s="63" t="s">
        <v>198</v>
      </c>
      <c r="C40" s="8">
        <v>9263834690</v>
      </c>
      <c r="D40" s="5">
        <v>3</v>
      </c>
      <c r="E40" s="5">
        <v>1</v>
      </c>
      <c r="G40" s="72" t="s">
        <v>196</v>
      </c>
      <c r="AR40" s="59">
        <f>108*60</f>
        <v>6480</v>
      </c>
      <c r="AS40" s="19"/>
      <c r="AT40" s="19"/>
      <c r="AU40" s="19"/>
      <c r="AV40" s="19"/>
      <c r="AW40" s="69">
        <v>0</v>
      </c>
      <c r="AX40" s="19"/>
      <c r="AY40" s="59">
        <f>108*7+1360+44</f>
        <v>2160</v>
      </c>
      <c r="AZ40" s="39"/>
      <c r="BA40" s="39"/>
      <c r="BB40" s="39"/>
      <c r="BC40" s="39"/>
      <c r="BD40" s="39"/>
      <c r="BE40" s="59">
        <f>108*6</f>
        <v>648</v>
      </c>
    </row>
    <row r="41" spans="1:77" x14ac:dyDescent="0.3">
      <c r="A41" s="31" t="s">
        <v>205</v>
      </c>
      <c r="B41" s="67" t="s">
        <v>203</v>
      </c>
      <c r="C41" s="8">
        <v>7546990527</v>
      </c>
      <c r="D41" s="5">
        <v>1</v>
      </c>
      <c r="E41" s="5">
        <v>1</v>
      </c>
      <c r="G41" t="s">
        <v>204</v>
      </c>
      <c r="AS41" s="59">
        <f>95*6</f>
        <v>570</v>
      </c>
      <c r="AU41" s="59">
        <v>95</v>
      </c>
      <c r="AW41" s="59">
        <v>100</v>
      </c>
    </row>
    <row r="42" spans="1:77" x14ac:dyDescent="0.3">
      <c r="A42" s="31" t="s">
        <v>207</v>
      </c>
      <c r="B42" s="67" t="s">
        <v>208</v>
      </c>
      <c r="G42" t="s">
        <v>209</v>
      </c>
      <c r="AX42" s="59">
        <v>767</v>
      </c>
    </row>
    <row r="43" spans="1:77" x14ac:dyDescent="0.3">
      <c r="A43" s="31" t="s">
        <v>210</v>
      </c>
      <c r="B43" s="67" t="s">
        <v>211</v>
      </c>
      <c r="D43" s="5">
        <v>3</v>
      </c>
      <c r="E43" s="5">
        <v>3</v>
      </c>
      <c r="G43" s="72" t="s">
        <v>212</v>
      </c>
      <c r="AX43" s="59">
        <v>40</v>
      </c>
    </row>
    <row r="44" spans="1:77" x14ac:dyDescent="0.3">
      <c r="A44" s="31" t="s">
        <v>213</v>
      </c>
      <c r="B44" s="67" t="s">
        <v>214</v>
      </c>
      <c r="D44" s="5">
        <v>5</v>
      </c>
      <c r="E44" s="5">
        <v>4</v>
      </c>
      <c r="G44" s="72" t="s">
        <v>215</v>
      </c>
      <c r="AX44" s="59">
        <v>120</v>
      </c>
      <c r="AY44" s="59">
        <v>121</v>
      </c>
      <c r="BA44">
        <v>130</v>
      </c>
      <c r="BC44" s="59">
        <v>130</v>
      </c>
      <c r="BE44" s="59">
        <v>130</v>
      </c>
      <c r="BF44" t="s">
        <v>244</v>
      </c>
    </row>
    <row r="45" spans="1:77" x14ac:dyDescent="0.3">
      <c r="A45" s="31" t="s">
        <v>216</v>
      </c>
      <c r="B45" s="67" t="s">
        <v>217</v>
      </c>
      <c r="D45" s="5">
        <v>2</v>
      </c>
      <c r="E45" s="5">
        <v>2</v>
      </c>
      <c r="G45" s="72" t="s">
        <v>218</v>
      </c>
      <c r="AY45" s="59">
        <v>68</v>
      </c>
      <c r="BA45" t="s">
        <v>22</v>
      </c>
      <c r="BB45" s="59">
        <v>70</v>
      </c>
    </row>
    <row r="46" spans="1:77" x14ac:dyDescent="0.3">
      <c r="A46" s="31" t="s">
        <v>219</v>
      </c>
      <c r="B46" s="67" t="s">
        <v>220</v>
      </c>
      <c r="D46" s="5">
        <v>1</v>
      </c>
      <c r="E46" s="5">
        <v>1</v>
      </c>
      <c r="G46" s="72" t="s">
        <v>221</v>
      </c>
      <c r="AZ46" s="59">
        <v>70</v>
      </c>
      <c r="BA46" t="s">
        <v>22</v>
      </c>
      <c r="BB46" t="s">
        <v>22</v>
      </c>
      <c r="BC46" t="s">
        <v>22</v>
      </c>
      <c r="BE46" s="59">
        <v>35</v>
      </c>
      <c r="BF46" s="59">
        <v>35</v>
      </c>
      <c r="BG46" s="59">
        <v>35</v>
      </c>
      <c r="BJ46" s="59">
        <v>35</v>
      </c>
      <c r="BK46" s="59">
        <v>35</v>
      </c>
      <c r="BL46" s="59">
        <v>35</v>
      </c>
      <c r="BR46" s="59">
        <v>35</v>
      </c>
      <c r="BS46" s="59">
        <v>35</v>
      </c>
      <c r="BT46" s="59">
        <v>35</v>
      </c>
      <c r="BU46" s="59">
        <v>35</v>
      </c>
      <c r="BV46" s="59">
        <v>35</v>
      </c>
      <c r="BW46" s="59">
        <v>35</v>
      </c>
      <c r="BX46" s="59">
        <v>35</v>
      </c>
      <c r="BY46" s="59">
        <v>35</v>
      </c>
    </row>
    <row r="47" spans="1:77" ht="15.6" x14ac:dyDescent="0.3">
      <c r="A47" s="31" t="s">
        <v>222</v>
      </c>
      <c r="B47" s="67" t="s">
        <v>223</v>
      </c>
      <c r="D47" s="5">
        <v>3</v>
      </c>
      <c r="E47" s="5">
        <v>3</v>
      </c>
      <c r="G47" s="72" t="s">
        <v>224</v>
      </c>
      <c r="BA47" s="68">
        <v>1010</v>
      </c>
      <c r="BB47" s="59">
        <v>1010</v>
      </c>
      <c r="BC47" s="59">
        <v>1010</v>
      </c>
      <c r="BD47" s="59">
        <v>1011</v>
      </c>
      <c r="BE47" s="59">
        <v>1011</v>
      </c>
      <c r="BF47" s="59">
        <v>1010</v>
      </c>
      <c r="BG47" s="59">
        <v>102</v>
      </c>
      <c r="BH47" s="59">
        <v>102</v>
      </c>
      <c r="BI47" s="59">
        <v>102</v>
      </c>
      <c r="BJ47" s="59">
        <v>102</v>
      </c>
      <c r="BK47" s="59">
        <f>102+127</f>
        <v>229</v>
      </c>
      <c r="BL47" s="59">
        <v>167</v>
      </c>
      <c r="BO47" s="59">
        <f>267+710</f>
        <v>977</v>
      </c>
      <c r="BP47" t="s">
        <v>274</v>
      </c>
      <c r="BQ47" t="s">
        <v>274</v>
      </c>
      <c r="BR47" t="s">
        <v>274</v>
      </c>
      <c r="BS47" t="s">
        <v>274</v>
      </c>
      <c r="BT47" t="s">
        <v>274</v>
      </c>
      <c r="BU47" t="s">
        <v>274</v>
      </c>
      <c r="BV47" t="s">
        <v>274</v>
      </c>
    </row>
    <row r="48" spans="1:77" ht="15.6" x14ac:dyDescent="0.3">
      <c r="A48" s="31" t="s">
        <v>225</v>
      </c>
      <c r="B48" s="67" t="s">
        <v>226</v>
      </c>
      <c r="D48" s="5">
        <v>3</v>
      </c>
      <c r="E48" s="5">
        <v>3</v>
      </c>
      <c r="G48" s="72" t="s">
        <v>227</v>
      </c>
      <c r="BE48" s="68" t="s">
        <v>22</v>
      </c>
      <c r="BF48" s="59">
        <v>634</v>
      </c>
      <c r="BG48" s="68">
        <v>634</v>
      </c>
      <c r="BH48" s="59">
        <v>634</v>
      </c>
      <c r="BI48" s="59">
        <v>634</v>
      </c>
      <c r="BK48" s="59">
        <v>680</v>
      </c>
      <c r="BL48" s="59">
        <v>680</v>
      </c>
      <c r="BM48" s="59">
        <v>680</v>
      </c>
      <c r="BN48" s="59">
        <v>680</v>
      </c>
      <c r="BO48" s="39"/>
      <c r="BP48" s="39"/>
      <c r="BQ48" s="39"/>
      <c r="BR48" s="39"/>
      <c r="BS48" s="39"/>
    </row>
    <row r="49" spans="1:62" x14ac:dyDescent="0.3">
      <c r="A49" s="31" t="s">
        <v>234</v>
      </c>
      <c r="C49" s="8">
        <v>9508764846</v>
      </c>
      <c r="D49" s="5">
        <v>3</v>
      </c>
      <c r="E49" s="5">
        <v>3</v>
      </c>
      <c r="G49" s="72" t="s">
        <v>228</v>
      </c>
      <c r="AM49" s="12">
        <v>21</v>
      </c>
      <c r="BE49" s="59">
        <v>315</v>
      </c>
    </row>
    <row r="50" spans="1:62" x14ac:dyDescent="0.3">
      <c r="A50" s="31" t="s">
        <v>231</v>
      </c>
      <c r="B50" s="67" t="s">
        <v>232</v>
      </c>
    </row>
    <row r="51" spans="1:62" ht="15.6" x14ac:dyDescent="0.3">
      <c r="A51" s="31" t="s">
        <v>235</v>
      </c>
      <c r="B51" s="67" t="s">
        <v>237</v>
      </c>
      <c r="C51" s="8">
        <v>6206270025</v>
      </c>
      <c r="D51" s="5">
        <v>3</v>
      </c>
      <c r="E51" s="5">
        <v>3</v>
      </c>
      <c r="G51" s="72" t="s">
        <v>236</v>
      </c>
      <c r="BE51" s="59">
        <v>182</v>
      </c>
      <c r="BF51" s="68">
        <f>140*3</f>
        <v>420</v>
      </c>
      <c r="BG51" s="68">
        <v>140</v>
      </c>
    </row>
    <row r="52" spans="1:62" x14ac:dyDescent="0.3">
      <c r="A52" s="31" t="s">
        <v>262</v>
      </c>
      <c r="B52" s="67" t="s">
        <v>263</v>
      </c>
      <c r="AW52" s="59">
        <v>0</v>
      </c>
    </row>
    <row r="53" spans="1:62" ht="15.6" x14ac:dyDescent="0.3">
      <c r="A53" s="31" t="s">
        <v>246</v>
      </c>
      <c r="B53" s="67" t="s">
        <v>261</v>
      </c>
      <c r="C53" s="8">
        <v>9534083949</v>
      </c>
      <c r="D53" s="5">
        <v>2</v>
      </c>
      <c r="E53" s="5">
        <v>2</v>
      </c>
      <c r="G53" s="31" t="s">
        <v>241</v>
      </c>
      <c r="BF53" s="68">
        <f>80*2</f>
        <v>160</v>
      </c>
    </row>
    <row r="54" spans="1:62" x14ac:dyDescent="0.3">
      <c r="A54" s="31" t="s">
        <v>258</v>
      </c>
      <c r="B54" s="67" t="s">
        <v>259</v>
      </c>
      <c r="G54" t="s">
        <v>260</v>
      </c>
    </row>
    <row r="55" spans="1:62" x14ac:dyDescent="0.3">
      <c r="A55" s="31" t="s">
        <v>271</v>
      </c>
      <c r="B55" s="67" t="s">
        <v>272</v>
      </c>
      <c r="C55" s="8">
        <v>7870805116</v>
      </c>
      <c r="G55" t="s">
        <v>273</v>
      </c>
      <c r="BJ55" s="59">
        <v>100</v>
      </c>
    </row>
    <row r="56" spans="1:62" x14ac:dyDescent="0.3">
      <c r="A56" s="31" t="s">
        <v>257</v>
      </c>
      <c r="C56" s="8">
        <v>7004042355</v>
      </c>
      <c r="G56" t="s">
        <v>256</v>
      </c>
      <c r="BF56" s="59">
        <v>40</v>
      </c>
    </row>
    <row r="57" spans="1:62" x14ac:dyDescent="0.3">
      <c r="A57" s="31" t="s">
        <v>186</v>
      </c>
      <c r="G57" t="s">
        <v>187</v>
      </c>
    </row>
    <row r="58" spans="1:62" x14ac:dyDescent="0.3">
      <c r="A58" s="31" t="s">
        <v>247</v>
      </c>
      <c r="B58" s="67" t="s">
        <v>248</v>
      </c>
      <c r="C58" s="8">
        <v>6207969845</v>
      </c>
      <c r="G58" t="s">
        <v>249</v>
      </c>
    </row>
    <row r="59" spans="1:62" x14ac:dyDescent="0.3">
      <c r="A59" s="31" t="s">
        <v>253</v>
      </c>
      <c r="B59" s="67" t="s">
        <v>252</v>
      </c>
      <c r="G59" s="31" t="s">
        <v>251</v>
      </c>
    </row>
    <row r="60" spans="1:62" x14ac:dyDescent="0.3">
      <c r="A60" s="31" t="s">
        <v>254</v>
      </c>
      <c r="B60" s="67" t="s">
        <v>250</v>
      </c>
      <c r="G60" t="s">
        <v>255</v>
      </c>
    </row>
    <row r="61" spans="1:62" x14ac:dyDescent="0.3">
      <c r="A61" s="31" t="s">
        <v>267</v>
      </c>
      <c r="B61" s="67" t="s">
        <v>265</v>
      </c>
      <c r="C61" s="8">
        <v>7004800990</v>
      </c>
      <c r="D61" s="5" t="s">
        <v>266</v>
      </c>
      <c r="G61" t="s">
        <v>264</v>
      </c>
    </row>
    <row r="62" spans="1:62" x14ac:dyDescent="0.3">
      <c r="A62" s="31" t="s">
        <v>268</v>
      </c>
      <c r="B62" s="67" t="s">
        <v>269</v>
      </c>
      <c r="C62" s="8">
        <v>9576622851</v>
      </c>
      <c r="D62" s="5" t="s">
        <v>266</v>
      </c>
      <c r="G62" t="s">
        <v>270</v>
      </c>
    </row>
    <row r="63" spans="1:62" x14ac:dyDescent="0.3">
      <c r="A63" s="31" t="s">
        <v>279</v>
      </c>
      <c r="B63" s="67"/>
      <c r="G63" t="s">
        <v>280</v>
      </c>
    </row>
    <row r="64" spans="1:62" x14ac:dyDescent="0.3">
      <c r="A64" s="31" t="s">
        <v>281</v>
      </c>
      <c r="C64" s="8">
        <v>8709503200</v>
      </c>
      <c r="D64" s="5" t="s">
        <v>283</v>
      </c>
      <c r="G64" t="s">
        <v>282</v>
      </c>
    </row>
  </sheetData>
  <conditionalFormatting sqref="H5:H22">
    <cfRule type="cellIs" dxfId="16" priority="27" operator="equal">
      <formula>0</formula>
    </cfRule>
  </conditionalFormatting>
  <conditionalFormatting sqref="H3:R22 AG5:AL5 AG6:AM7 AG8:AL11 AG12:AM12 AG13:AL13 AG14:AM20 AG21:AL22 AG23:AM24 AG25:AL31">
    <cfRule type="cellIs" dxfId="15" priority="26" operator="equal">
      <formula>0</formula>
    </cfRule>
  </conditionalFormatting>
  <conditionalFormatting sqref="R23">
    <cfRule type="cellIs" dxfId="14" priority="18" operator="equal">
      <formula>0</formula>
    </cfRule>
  </conditionalFormatting>
  <conditionalFormatting sqref="R24:Z24">
    <cfRule type="cellIs" dxfId="13" priority="19" operator="equal">
      <formula>0</formula>
    </cfRule>
  </conditionalFormatting>
  <conditionalFormatting sqref="S3:S23">
    <cfRule type="cellIs" dxfId="12" priority="25" operator="equal">
      <formula>0</formula>
    </cfRule>
  </conditionalFormatting>
  <conditionalFormatting sqref="T3:V22">
    <cfRule type="cellIs" dxfId="11" priority="23" operator="equal">
      <formula>0</formula>
    </cfRule>
  </conditionalFormatting>
  <conditionalFormatting sqref="T22:Z23">
    <cfRule type="cellIs" dxfId="10" priority="24" operator="equal">
      <formula>0</formula>
    </cfRule>
  </conditionalFormatting>
  <conditionalFormatting sqref="T25:AB26">
    <cfRule type="cellIs" dxfId="9" priority="15" operator="equal">
      <formula>0</formula>
    </cfRule>
  </conditionalFormatting>
  <conditionalFormatting sqref="W5:Z22">
    <cfRule type="cellIs" dxfId="8" priority="20" operator="equal">
      <formula>0</formula>
    </cfRule>
  </conditionalFormatting>
  <conditionalFormatting sqref="W3:AC3 AC5:AC27">
    <cfRule type="cellIs" dxfId="7" priority="13" operator="equal">
      <formula>0</formula>
    </cfRule>
  </conditionalFormatting>
  <conditionalFormatting sqref="AA5:AB24">
    <cfRule type="cellIs" dxfId="6" priority="16" operator="equal">
      <formula>0</formula>
    </cfRule>
  </conditionalFormatting>
  <conditionalFormatting sqref="AB27">
    <cfRule type="cellIs" dxfId="5" priority="14" operator="equal">
      <formula>0</formula>
    </cfRule>
  </conditionalFormatting>
  <conditionalFormatting sqref="AD5:AD28">
    <cfRule type="cellIs" dxfId="4" priority="12" operator="equal">
      <formula>0</formula>
    </cfRule>
  </conditionalFormatting>
  <conditionalFormatting sqref="AE5:AE29">
    <cfRule type="cellIs" dxfId="3" priority="11" operator="equal">
      <formula>0</formula>
    </cfRule>
  </conditionalFormatting>
  <conditionalFormatting sqref="AF5:AF31">
    <cfRule type="cellIs" dxfId="2" priority="10" operator="equal">
      <formula>0</formula>
    </cfRule>
  </conditionalFormatting>
  <conditionalFormatting sqref="AG32:AM32">
    <cfRule type="cellIs" dxfId="1" priority="4" operator="equal">
      <formula>0</formula>
    </cfRule>
  </conditionalFormatting>
  <conditionalFormatting sqref="AI33:AL33 AI34:AM37">
    <cfRule type="cellIs" dxfId="0" priority="1" operator="equal">
      <formula>0</formula>
    </cfRule>
  </conditionalFormatting>
  <hyperlinks>
    <hyperlink ref="B40" r:id="rId1" xr:uid="{10CAA6CB-F3FE-46D7-B2AD-6C8BE85C4016}"/>
    <hyperlink ref="B39" r:id="rId2" xr:uid="{0E8AAA47-081E-46C0-B00F-0C08EF51F1F1}"/>
    <hyperlink ref="B41" r:id="rId3" xr:uid="{C903F992-74DA-4670-B7BE-BFD353DE468B}"/>
    <hyperlink ref="B42" r:id="rId4" xr:uid="{DEC95B59-5D72-48D1-999B-7D009C1E5796}"/>
    <hyperlink ref="B43" r:id="rId5" xr:uid="{01579331-BDBD-4196-A8A2-B650D6030DA9}"/>
    <hyperlink ref="B44" r:id="rId6" xr:uid="{23EE9F47-E2AF-4705-BB1A-A6D3A2F9D7B8}"/>
    <hyperlink ref="B45" r:id="rId7" xr:uid="{14AD4A17-0AF6-463B-97F7-2C93177AF4C0}"/>
    <hyperlink ref="B46" r:id="rId8" xr:uid="{0B3663FD-948D-4E10-A533-A54597FE4FAD}"/>
    <hyperlink ref="B47" r:id="rId9" xr:uid="{E88D2544-F1BD-43A0-A101-FEB7D51B7CF5}"/>
    <hyperlink ref="B48" r:id="rId10" xr:uid="{BD5FE87F-3FF5-47AC-8D20-964B8D9277A0}"/>
    <hyperlink ref="B50" r:id="rId11" xr:uid="{5CA5C8F3-4D22-45E4-916B-ECCAEDF418CA}"/>
    <hyperlink ref="B51" r:id="rId12" xr:uid="{505A7F32-9C96-410E-8692-C6A2387E8578}"/>
    <hyperlink ref="B58" r:id="rId13" xr:uid="{FF90C8A0-504B-42AD-B604-696BD6132846}"/>
    <hyperlink ref="B60" r:id="rId14" xr:uid="{16CE3C03-B407-44AB-9960-DC0F678C7A5E}"/>
    <hyperlink ref="B59" r:id="rId15" xr:uid="{37151967-FE1A-4B67-A754-BE2C8E673158}"/>
    <hyperlink ref="B54" r:id="rId16" xr:uid="{91437C66-EFFF-45B2-842E-3BC9909CAFAE}"/>
    <hyperlink ref="B53" r:id="rId17" xr:uid="{077F29AE-2ECA-4801-B849-4AD774C75783}"/>
    <hyperlink ref="B52" r:id="rId18" xr:uid="{55FFD337-41B7-484C-9532-DF9816ABA811}"/>
    <hyperlink ref="B61" r:id="rId19" xr:uid="{152C9309-9902-4E48-8A0D-21E975D1D438}"/>
    <hyperlink ref="B62" r:id="rId20" xr:uid="{2E37A05B-4224-4BE9-B2DF-0A208E3A5258}"/>
    <hyperlink ref="B55" r:id="rId21" xr:uid="{97538285-A1FD-4ABF-B4C5-0309AB6E1850}"/>
  </hyperlinks>
  <pageMargins left="0.7" right="0.7" top="0.75" bottom="0.75" header="0.3" footer="0.3"/>
  <pageSetup paperSize="9" orientation="portrait" verticalDpi="300" r:id="rId22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E806-B7FB-43C2-847D-79CB79BED1EC}">
  <dimension ref="A1:N41"/>
  <sheetViews>
    <sheetView topLeftCell="A22" workbookViewId="0">
      <selection activeCell="E43" sqref="E43"/>
    </sheetView>
  </sheetViews>
  <sheetFormatPr defaultRowHeight="14.4" x14ac:dyDescent="0.3"/>
  <cols>
    <col min="1" max="1" width="20" customWidth="1"/>
    <col min="2" max="3" width="5.33203125" style="5" customWidth="1"/>
    <col min="4" max="4" width="5.5546875" style="5" customWidth="1"/>
    <col min="5" max="5" width="18.109375" customWidth="1"/>
    <col min="6" max="6" width="25.5546875" customWidth="1"/>
    <col min="9" max="9" width="8.109375" customWidth="1"/>
    <col min="10" max="10" width="9.109375" hidden="1" customWidth="1"/>
    <col min="11" max="11" width="15.44140625" customWidth="1"/>
    <col min="12" max="12" width="17.88671875" style="66" customWidth="1"/>
    <col min="13" max="13" width="36.5546875" customWidth="1"/>
    <col min="14" max="14" width="17.109375" style="66" customWidth="1"/>
    <col min="18" max="18" width="14.44140625" customWidth="1"/>
    <col min="19" max="19" width="15.109375" customWidth="1"/>
  </cols>
  <sheetData>
    <row r="1" spans="1:9" x14ac:dyDescent="0.3">
      <c r="A1" s="31"/>
      <c r="B1" s="60"/>
      <c r="C1" s="60"/>
      <c r="E1" s="31"/>
      <c r="F1" s="29" t="s">
        <v>34</v>
      </c>
    </row>
    <row r="2" spans="1:9" x14ac:dyDescent="0.3">
      <c r="A2" s="31"/>
      <c r="B2" s="60"/>
      <c r="C2" s="60"/>
      <c r="E2" s="31"/>
      <c r="F2" s="29" t="s">
        <v>35</v>
      </c>
    </row>
    <row r="3" spans="1:9" ht="15.6" x14ac:dyDescent="0.3">
      <c r="A3" s="34" t="s">
        <v>36</v>
      </c>
      <c r="B3" s="61" t="s">
        <v>165</v>
      </c>
      <c r="C3" s="61" t="s">
        <v>166</v>
      </c>
      <c r="D3" s="62" t="s">
        <v>173</v>
      </c>
      <c r="E3" s="34" t="s">
        <v>50</v>
      </c>
      <c r="F3" s="29" t="s">
        <v>9</v>
      </c>
    </row>
    <row r="4" spans="1:9" x14ac:dyDescent="0.3">
      <c r="A4" s="31" t="s">
        <v>113</v>
      </c>
      <c r="B4" s="60" t="s">
        <v>167</v>
      </c>
      <c r="C4" s="60" t="s">
        <v>168</v>
      </c>
      <c r="D4" s="60">
        <f>B4-C4</f>
        <v>1</v>
      </c>
      <c r="E4" s="31"/>
      <c r="F4" t="s">
        <v>32</v>
      </c>
    </row>
    <row r="5" spans="1:9" x14ac:dyDescent="0.3">
      <c r="A5" s="31" t="s">
        <v>154</v>
      </c>
      <c r="B5" s="60"/>
      <c r="C5" s="60"/>
      <c r="D5" s="60">
        <f t="shared" ref="D5:D41" si="0">B5-C5</f>
        <v>0</v>
      </c>
      <c r="E5" s="31"/>
      <c r="F5" t="s">
        <v>156</v>
      </c>
    </row>
    <row r="6" spans="1:9" x14ac:dyDescent="0.3">
      <c r="A6" s="31" t="s">
        <v>155</v>
      </c>
      <c r="B6" s="60"/>
      <c r="C6" s="60"/>
      <c r="D6" s="60">
        <f t="shared" si="0"/>
        <v>0</v>
      </c>
      <c r="E6" s="31"/>
      <c r="F6" t="s">
        <v>33</v>
      </c>
    </row>
    <row r="7" spans="1:9" x14ac:dyDescent="0.3">
      <c r="A7" s="31" t="s">
        <v>41</v>
      </c>
      <c r="B7" s="60" t="s">
        <v>172</v>
      </c>
      <c r="C7" s="60" t="s">
        <v>172</v>
      </c>
      <c r="D7" s="60">
        <f t="shared" si="0"/>
        <v>0</v>
      </c>
      <c r="E7" s="31" t="s">
        <v>88</v>
      </c>
      <c r="F7" t="s">
        <v>40</v>
      </c>
      <c r="H7" t="s">
        <v>174</v>
      </c>
      <c r="I7" t="s">
        <v>175</v>
      </c>
    </row>
    <row r="8" spans="1:9" x14ac:dyDescent="0.3">
      <c r="A8" s="31" t="s">
        <v>90</v>
      </c>
      <c r="B8" s="60" t="s">
        <v>170</v>
      </c>
      <c r="C8" s="60" t="s">
        <v>170</v>
      </c>
      <c r="D8" s="60">
        <f t="shared" si="0"/>
        <v>0</v>
      </c>
      <c r="E8" s="31"/>
      <c r="F8" t="s">
        <v>37</v>
      </c>
    </row>
    <row r="9" spans="1:9" x14ac:dyDescent="0.3">
      <c r="A9" s="31" t="s">
        <v>89</v>
      </c>
      <c r="B9" s="60" t="s">
        <v>172</v>
      </c>
      <c r="C9" s="60" t="s">
        <v>172</v>
      </c>
      <c r="D9" s="60">
        <f t="shared" si="0"/>
        <v>0</v>
      </c>
      <c r="E9" s="31" t="s">
        <v>80</v>
      </c>
      <c r="F9" t="s">
        <v>38</v>
      </c>
    </row>
    <row r="10" spans="1:9" x14ac:dyDescent="0.3">
      <c r="A10" s="31" t="s">
        <v>45</v>
      </c>
      <c r="B10" s="60" t="s">
        <v>169</v>
      </c>
      <c r="C10" s="60" t="s">
        <v>169</v>
      </c>
      <c r="D10" s="60">
        <f t="shared" si="0"/>
        <v>0</v>
      </c>
      <c r="E10" s="31"/>
      <c r="F10" t="s">
        <v>44</v>
      </c>
    </row>
    <row r="11" spans="1:9" x14ac:dyDescent="0.3">
      <c r="A11" s="31" t="s">
        <v>42</v>
      </c>
      <c r="B11" s="60"/>
      <c r="C11" s="60"/>
      <c r="D11" s="60">
        <f t="shared" si="0"/>
        <v>0</v>
      </c>
      <c r="E11" s="31"/>
      <c r="F11" t="s">
        <v>39</v>
      </c>
    </row>
    <row r="12" spans="1:9" x14ac:dyDescent="0.3">
      <c r="A12" s="31" t="s">
        <v>65</v>
      </c>
      <c r="B12" s="60" t="s">
        <v>172</v>
      </c>
      <c r="C12" s="60" t="s">
        <v>172</v>
      </c>
      <c r="D12" s="60">
        <f t="shared" si="0"/>
        <v>0</v>
      </c>
      <c r="E12" s="31" t="s">
        <v>135</v>
      </c>
      <c r="F12" t="s">
        <v>67</v>
      </c>
    </row>
    <row r="13" spans="1:9" x14ac:dyDescent="0.3">
      <c r="A13" s="31" t="s">
        <v>66</v>
      </c>
      <c r="B13" s="60"/>
      <c r="C13" s="60"/>
      <c r="D13" s="60">
        <f t="shared" si="0"/>
        <v>0</v>
      </c>
      <c r="E13" s="31"/>
      <c r="F13" t="s">
        <v>68</v>
      </c>
    </row>
    <row r="14" spans="1:9" x14ac:dyDescent="0.3">
      <c r="A14" s="31" t="s">
        <v>91</v>
      </c>
      <c r="B14" s="60" t="s">
        <v>171</v>
      </c>
      <c r="C14" s="60" t="s">
        <v>171</v>
      </c>
      <c r="D14" s="60">
        <f t="shared" si="0"/>
        <v>0</v>
      </c>
      <c r="E14" s="31" t="s">
        <v>56</v>
      </c>
      <c r="F14" t="s">
        <v>43</v>
      </c>
    </row>
    <row r="15" spans="1:9" x14ac:dyDescent="0.3">
      <c r="A15" s="31" t="s">
        <v>92</v>
      </c>
      <c r="B15" s="60"/>
      <c r="C15" s="60"/>
      <c r="D15" s="60">
        <f t="shared" si="0"/>
        <v>0</v>
      </c>
      <c r="E15" s="31"/>
      <c r="F15" t="s">
        <v>46</v>
      </c>
    </row>
    <row r="16" spans="1:9" x14ac:dyDescent="0.3">
      <c r="A16" s="31" t="s">
        <v>93</v>
      </c>
      <c r="B16" s="60"/>
      <c r="C16" s="60"/>
      <c r="D16" s="60">
        <f t="shared" si="0"/>
        <v>0</v>
      </c>
      <c r="E16" s="31"/>
      <c r="F16" t="s">
        <v>47</v>
      </c>
    </row>
    <row r="17" spans="1:6" x14ac:dyDescent="0.3">
      <c r="A17" s="31" t="s">
        <v>117</v>
      </c>
      <c r="B17" s="60" t="s">
        <v>170</v>
      </c>
      <c r="C17" s="60" t="s">
        <v>170</v>
      </c>
      <c r="D17" s="60">
        <f t="shared" si="0"/>
        <v>0</v>
      </c>
      <c r="E17" s="31" t="s">
        <v>79</v>
      </c>
      <c r="F17" t="s">
        <v>48</v>
      </c>
    </row>
    <row r="18" spans="1:6" x14ac:dyDescent="0.3">
      <c r="A18" s="31"/>
      <c r="B18" s="60"/>
      <c r="C18" s="60"/>
      <c r="D18" s="60">
        <f t="shared" si="0"/>
        <v>0</v>
      </c>
      <c r="E18" s="31"/>
      <c r="F18" t="s">
        <v>49</v>
      </c>
    </row>
    <row r="19" spans="1:6" x14ac:dyDescent="0.3">
      <c r="A19" s="31"/>
      <c r="B19" s="60"/>
      <c r="C19" s="60"/>
      <c r="D19" s="60">
        <f t="shared" si="0"/>
        <v>0</v>
      </c>
      <c r="E19" s="31"/>
      <c r="F19" t="s">
        <v>51</v>
      </c>
    </row>
    <row r="20" spans="1:6" x14ac:dyDescent="0.3">
      <c r="A20" s="31" t="s">
        <v>112</v>
      </c>
      <c r="B20" s="60" t="s">
        <v>171</v>
      </c>
      <c r="C20" s="60" t="s">
        <v>171</v>
      </c>
      <c r="D20" s="60">
        <f t="shared" si="0"/>
        <v>0</v>
      </c>
      <c r="E20" s="31" t="s">
        <v>57</v>
      </c>
      <c r="F20" t="s">
        <v>52</v>
      </c>
    </row>
    <row r="21" spans="1:6" x14ac:dyDescent="0.3">
      <c r="A21" s="31" t="s">
        <v>63</v>
      </c>
      <c r="B21" s="60" t="s">
        <v>170</v>
      </c>
      <c r="C21" s="60" t="s">
        <v>170</v>
      </c>
      <c r="D21" s="60">
        <f t="shared" si="0"/>
        <v>0</v>
      </c>
      <c r="E21" s="31" t="s">
        <v>64</v>
      </c>
      <c r="F21" t="s">
        <v>59</v>
      </c>
    </row>
    <row r="22" spans="1:6" x14ac:dyDescent="0.3">
      <c r="A22" s="31" t="s">
        <v>109</v>
      </c>
      <c r="B22" s="60" t="s">
        <v>169</v>
      </c>
      <c r="C22" s="60" t="s">
        <v>169</v>
      </c>
      <c r="D22" s="60">
        <f t="shared" si="0"/>
        <v>0</v>
      </c>
      <c r="E22" s="8"/>
      <c r="F22" t="s">
        <v>24</v>
      </c>
    </row>
    <row r="23" spans="1:6" x14ac:dyDescent="0.3">
      <c r="A23" s="31" t="s">
        <v>81</v>
      </c>
      <c r="B23" s="60" t="s">
        <v>201</v>
      </c>
      <c r="C23" s="60" t="s">
        <v>201</v>
      </c>
      <c r="D23" s="60">
        <f t="shared" si="0"/>
        <v>0</v>
      </c>
      <c r="E23" s="8">
        <v>8210431967</v>
      </c>
      <c r="F23" t="s">
        <v>72</v>
      </c>
    </row>
    <row r="24" spans="1:6" x14ac:dyDescent="0.3">
      <c r="A24" s="31" t="s">
        <v>96</v>
      </c>
      <c r="B24" s="60" t="s">
        <v>170</v>
      </c>
      <c r="C24" s="60" t="s">
        <v>170</v>
      </c>
      <c r="D24" s="60">
        <f t="shared" si="0"/>
        <v>0</v>
      </c>
      <c r="E24" s="8">
        <v>9102552233</v>
      </c>
      <c r="F24" t="s">
        <v>83</v>
      </c>
    </row>
    <row r="25" spans="1:6" x14ac:dyDescent="0.3">
      <c r="A25" s="31" t="s">
        <v>104</v>
      </c>
      <c r="B25" s="60" t="s">
        <v>171</v>
      </c>
      <c r="C25" s="60" t="s">
        <v>170</v>
      </c>
      <c r="D25" s="60">
        <f t="shared" si="0"/>
        <v>-1</v>
      </c>
      <c r="E25" s="8">
        <v>6201399787</v>
      </c>
      <c r="F25" t="s">
        <v>84</v>
      </c>
    </row>
    <row r="26" spans="1:6" x14ac:dyDescent="0.3">
      <c r="A26" s="31" t="s">
        <v>105</v>
      </c>
      <c r="B26" s="60" t="s">
        <v>169</v>
      </c>
      <c r="C26" s="60" t="s">
        <v>169</v>
      </c>
      <c r="D26" s="60">
        <f t="shared" si="0"/>
        <v>0</v>
      </c>
      <c r="E26" s="8">
        <v>8797471110</v>
      </c>
      <c r="F26" t="s">
        <v>86</v>
      </c>
    </row>
    <row r="27" spans="1:6" x14ac:dyDescent="0.3">
      <c r="A27" s="31" t="s">
        <v>116</v>
      </c>
      <c r="B27" s="60" t="s">
        <v>170</v>
      </c>
      <c r="C27" s="60" t="s">
        <v>170</v>
      </c>
      <c r="D27" s="60">
        <f t="shared" si="0"/>
        <v>0</v>
      </c>
      <c r="E27" s="8">
        <v>9523678106</v>
      </c>
      <c r="F27" t="s">
        <v>97</v>
      </c>
    </row>
    <row r="28" spans="1:6" x14ac:dyDescent="0.3">
      <c r="A28" s="31" t="s">
        <v>110</v>
      </c>
      <c r="B28" s="60" t="s">
        <v>169</v>
      </c>
      <c r="C28" s="60" t="s">
        <v>202</v>
      </c>
      <c r="D28" s="60">
        <f t="shared" si="0"/>
        <v>1</v>
      </c>
      <c r="E28" s="8">
        <v>8235430589</v>
      </c>
      <c r="F28" t="s">
        <v>82</v>
      </c>
    </row>
    <row r="29" spans="1:6" x14ac:dyDescent="0.3">
      <c r="A29" s="31" t="s">
        <v>103</v>
      </c>
      <c r="B29" s="60" t="s">
        <v>171</v>
      </c>
      <c r="C29" s="60" t="s">
        <v>171</v>
      </c>
      <c r="D29" s="60">
        <f t="shared" si="0"/>
        <v>0</v>
      </c>
      <c r="F29" t="s">
        <v>102</v>
      </c>
    </row>
    <row r="30" spans="1:6" x14ac:dyDescent="0.3">
      <c r="A30" s="31" t="s">
        <v>108</v>
      </c>
      <c r="B30" s="60" t="s">
        <v>171</v>
      </c>
      <c r="C30" s="60" t="s">
        <v>169</v>
      </c>
      <c r="D30" s="60">
        <f t="shared" si="0"/>
        <v>1</v>
      </c>
      <c r="E30" s="8">
        <v>7209763483</v>
      </c>
      <c r="F30" t="s">
        <v>107</v>
      </c>
    </row>
    <row r="31" spans="1:6" x14ac:dyDescent="0.3">
      <c r="A31" s="31" t="s">
        <v>118</v>
      </c>
      <c r="B31" s="60" t="s">
        <v>171</v>
      </c>
      <c r="C31" s="60" t="s">
        <v>171</v>
      </c>
      <c r="D31" s="60">
        <f t="shared" si="0"/>
        <v>0</v>
      </c>
      <c r="F31" t="s">
        <v>111</v>
      </c>
    </row>
    <row r="32" spans="1:6" x14ac:dyDescent="0.3">
      <c r="A32" s="31" t="s">
        <v>140</v>
      </c>
      <c r="B32" s="60" t="s">
        <v>171</v>
      </c>
      <c r="C32" s="60" t="s">
        <v>171</v>
      </c>
      <c r="D32" s="60">
        <f t="shared" si="0"/>
        <v>0</v>
      </c>
      <c r="F32" t="s">
        <v>138</v>
      </c>
    </row>
    <row r="33" spans="1:6" x14ac:dyDescent="0.3">
      <c r="A33" s="31">
        <v>43957</v>
      </c>
      <c r="B33" s="60"/>
      <c r="C33" s="60"/>
      <c r="D33" s="60">
        <f t="shared" si="0"/>
        <v>0</v>
      </c>
      <c r="E33" s="8">
        <v>8340117058</v>
      </c>
      <c r="F33" t="s">
        <v>101</v>
      </c>
    </row>
    <row r="34" spans="1:6" x14ac:dyDescent="0.3">
      <c r="A34" s="31" t="s">
        <v>162</v>
      </c>
      <c r="B34" s="60"/>
      <c r="C34" s="60"/>
      <c r="D34" s="60">
        <f t="shared" si="0"/>
        <v>0</v>
      </c>
      <c r="F34" t="s">
        <v>161</v>
      </c>
    </row>
    <row r="35" spans="1:6" x14ac:dyDescent="0.3">
      <c r="A35" s="64" t="s">
        <v>176</v>
      </c>
      <c r="B35" s="5">
        <v>1</v>
      </c>
      <c r="C35" s="5">
        <v>1</v>
      </c>
      <c r="D35" s="60">
        <f t="shared" si="0"/>
        <v>0</v>
      </c>
      <c r="F35" t="s">
        <v>193</v>
      </c>
    </row>
    <row r="36" spans="1:6" x14ac:dyDescent="0.3">
      <c r="A36" s="64" t="s">
        <v>181</v>
      </c>
      <c r="B36" s="5">
        <v>2</v>
      </c>
      <c r="C36" s="5">
        <v>2</v>
      </c>
      <c r="D36" s="60">
        <f t="shared" si="0"/>
        <v>0</v>
      </c>
      <c r="E36">
        <v>9608087215</v>
      </c>
      <c r="F36" t="s">
        <v>179</v>
      </c>
    </row>
    <row r="37" spans="1:6" x14ac:dyDescent="0.3">
      <c r="A37" s="31" t="s">
        <v>186</v>
      </c>
      <c r="D37" s="60">
        <f t="shared" si="0"/>
        <v>0</v>
      </c>
      <c r="F37" t="s">
        <v>187</v>
      </c>
    </row>
    <row r="38" spans="1:6" x14ac:dyDescent="0.3">
      <c r="A38" s="31" t="s">
        <v>194</v>
      </c>
      <c r="B38" s="5">
        <v>3</v>
      </c>
      <c r="C38" s="5">
        <v>3</v>
      </c>
      <c r="D38" s="60">
        <f t="shared" si="0"/>
        <v>0</v>
      </c>
      <c r="F38" s="31" t="s">
        <v>189</v>
      </c>
    </row>
    <row r="39" spans="1:6" x14ac:dyDescent="0.3">
      <c r="A39" s="64" t="s">
        <v>191</v>
      </c>
      <c r="B39" s="5">
        <v>4</v>
      </c>
      <c r="C39" s="5">
        <v>1</v>
      </c>
      <c r="D39" s="60">
        <f t="shared" si="0"/>
        <v>3</v>
      </c>
      <c r="E39">
        <v>6371482910</v>
      </c>
      <c r="F39" t="s">
        <v>190</v>
      </c>
    </row>
    <row r="40" spans="1:6" x14ac:dyDescent="0.3">
      <c r="A40" s="31" t="s">
        <v>197</v>
      </c>
      <c r="B40" s="5">
        <v>3</v>
      </c>
      <c r="D40" s="60">
        <f t="shared" si="0"/>
        <v>3</v>
      </c>
      <c r="E40">
        <v>9263834690</v>
      </c>
      <c r="F40" t="s">
        <v>196</v>
      </c>
    </row>
    <row r="41" spans="1:6" x14ac:dyDescent="0.3">
      <c r="A41" s="31" t="s">
        <v>275</v>
      </c>
      <c r="B41" s="5">
        <v>1</v>
      </c>
      <c r="C41" s="5">
        <v>1</v>
      </c>
      <c r="D41" s="5">
        <f t="shared" si="0"/>
        <v>0</v>
      </c>
      <c r="E41">
        <v>8271031712</v>
      </c>
      <c r="F41" t="s">
        <v>276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4B07-6E85-4227-9E58-54ED3F71CD8E}">
  <dimension ref="A1:M4"/>
  <sheetViews>
    <sheetView workbookViewId="0">
      <selection activeCell="K4" sqref="K4"/>
    </sheetView>
  </sheetViews>
  <sheetFormatPr defaultRowHeight="14.4" x14ac:dyDescent="0.3"/>
  <cols>
    <col min="1" max="1" width="11.6640625" customWidth="1"/>
    <col min="6" max="6" width="11.88671875" customWidth="1"/>
    <col min="7" max="7" width="15.6640625" customWidth="1"/>
    <col min="11" max="11" width="10.109375" customWidth="1"/>
  </cols>
  <sheetData>
    <row r="1" spans="1:13" x14ac:dyDescent="0.3">
      <c r="A1" s="87" t="s">
        <v>288</v>
      </c>
      <c r="B1" s="87"/>
      <c r="C1" s="87"/>
      <c r="D1" s="87"/>
      <c r="E1" s="87"/>
      <c r="F1" s="87"/>
    </row>
    <row r="2" spans="1:13" x14ac:dyDescent="0.3">
      <c r="A2" s="15"/>
      <c r="B2" s="15"/>
      <c r="C2" s="15"/>
      <c r="D2" s="15"/>
      <c r="E2" s="15"/>
      <c r="F2" s="15"/>
    </row>
    <row r="3" spans="1:13" x14ac:dyDescent="0.3">
      <c r="A3" s="8" t="s">
        <v>284</v>
      </c>
      <c r="B3" s="8" t="s">
        <v>285</v>
      </c>
      <c r="C3" s="12" t="s">
        <v>286</v>
      </c>
      <c r="D3" s="12" t="s">
        <v>287</v>
      </c>
      <c r="E3" s="77">
        <v>0.08</v>
      </c>
      <c r="F3">
        <f ca="1">_xlfn.DAYS(TODAY(),A4)</f>
        <v>664</v>
      </c>
      <c r="J3" t="s">
        <v>206</v>
      </c>
      <c r="K3" t="s">
        <v>289</v>
      </c>
      <c r="L3" t="s">
        <v>290</v>
      </c>
      <c r="M3" t="s">
        <v>291</v>
      </c>
    </row>
    <row r="4" spans="1:13" ht="15" customHeight="1" x14ac:dyDescent="0.3">
      <c r="A4" s="9">
        <v>45575</v>
      </c>
      <c r="B4" s="8"/>
      <c r="C4" s="12"/>
      <c r="D4" s="12">
        <v>11000</v>
      </c>
      <c r="F4" s="78">
        <f ca="1">D4*(1+E3/365)^F3</f>
        <v>12723.027909008637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</vt:lpstr>
      <vt:lpstr>5001253700</vt:lpstr>
      <vt:lpstr>new</vt:lpstr>
      <vt:lpstr>Sheet1</vt:lpstr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COMPORT</dc:creator>
  <cp:lastModifiedBy>Sanjay Kumar</cp:lastModifiedBy>
  <cp:lastPrinted>2022-12-21T14:09:49Z</cp:lastPrinted>
  <dcterms:created xsi:type="dcterms:W3CDTF">2016-11-01T04:43:07Z</dcterms:created>
  <dcterms:modified xsi:type="dcterms:W3CDTF">2026-08-05T08:37:22Z</dcterms:modified>
</cp:coreProperties>
</file>