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5032" documentId="13_ncr:1_{47816FD0-601C-4310-B18F-1B87C4077925}" xr6:coauthVersionLast="47" xr6:coauthVersionMax="47" xr10:uidLastSave="{A7AD8DE7-AF3F-4CD6-ADDA-3071879DB405}"/>
  <bookViews>
    <workbookView minimized="1" xWindow="6108" yWindow="1740" windowWidth="17280" windowHeight="8964" activeTab="3" xr2:uid="{00000000-000D-0000-FFFF-FFFF00000000}"/>
  </bookViews>
  <sheets>
    <sheet name="Ayushman" sheetId="8" r:id="rId1"/>
    <sheet name="Life certifiacate" sheetId="9" r:id="rId2"/>
    <sheet name="caste" sheetId="1" r:id="rId3"/>
    <sheet name="income" sheetId="2" r:id="rId4"/>
    <sheet name="local" sheetId="3" r:id="rId5"/>
    <sheet name="birth" sheetId="4" r:id="rId6"/>
    <sheet name="death" sheetId="5" r:id="rId7"/>
    <sheet name="EWC" sheetId="6" r:id="rId8"/>
    <sheet name="service register" sheetId="7" r:id="rId9"/>
  </sheets>
  <externalReferences>
    <externalReference r:id="rId10"/>
  </externalReferences>
  <definedNames>
    <definedName name="_xlnm._FilterDatabase" localSheetId="2" hidden="1">caste!$A$1:$I$190</definedName>
    <definedName name="_xlnm._FilterDatabase" localSheetId="6" hidden="1">death!$A$1:$K$73</definedName>
    <definedName name="_xlnm._FilterDatabase" localSheetId="7" hidden="1">EWC!$A$1:$I$59</definedName>
    <definedName name="_xlnm._FilterDatabase" localSheetId="3" hidden="1">income!$A$1:$J$1149</definedName>
    <definedName name="_xlnm._FilterDatabase" localSheetId="4" hidden="1">local!$A$1:$K$287</definedName>
    <definedName name="Z_2A2E44CE_7ABE_4A6F_A32C_C7CC4EA86B70_.wvu.FilterData" localSheetId="2" hidden="1">caste!$A$1:$I$190</definedName>
    <definedName name="Z_2A2E44CE_7ABE_4A6F_A32C_C7CC4EA86B70_.wvu.FilterData" localSheetId="6" hidden="1">death!$A$1:$K$73</definedName>
    <definedName name="Z_2A2E44CE_7ABE_4A6F_A32C_C7CC4EA86B70_.wvu.FilterData" localSheetId="7" hidden="1">EWC!$A$1:$I$59</definedName>
    <definedName name="Z_2A2E44CE_7ABE_4A6F_A32C_C7CC4EA86B70_.wvu.FilterData" localSheetId="3" hidden="1">income!$A$1:$J$727</definedName>
    <definedName name="Z_2A2E44CE_7ABE_4A6F_A32C_C7CC4EA86B70_.wvu.FilterData" localSheetId="4" hidden="1">local!$A$1:$K$287</definedName>
    <definedName name="Z_C5940691_FD20_41D8_B708_F6F6E60B4EBD_.wvu.FilterData" localSheetId="2" hidden="1">caste!$A$1:$I$190</definedName>
    <definedName name="Z_C5940691_FD20_41D8_B708_F6F6E60B4EBD_.wvu.FilterData" localSheetId="6" hidden="1">death!$A$1:$K$73</definedName>
    <definedName name="Z_C5940691_FD20_41D8_B708_F6F6E60B4EBD_.wvu.FilterData" localSheetId="7" hidden="1">EWC!$A$1:$I$59</definedName>
    <definedName name="Z_C5940691_FD20_41D8_B708_F6F6E60B4EBD_.wvu.FilterData" localSheetId="3" hidden="1">income!$A$1:$J$727</definedName>
    <definedName name="Z_C5940691_FD20_41D8_B708_F6F6E60B4EBD_.wvu.FilterData" localSheetId="4" hidden="1">local!$A$1:$K$287</definedName>
    <definedName name="Z_DBCA2985_35F2_4396_AB82_C941F4730697_.wvu.FilterData" localSheetId="2" hidden="1">caste!$A$1:$I$190</definedName>
    <definedName name="Z_DBCA2985_35F2_4396_AB82_C941F4730697_.wvu.FilterData" localSheetId="6" hidden="1">death!$A$1:$K$73</definedName>
    <definedName name="Z_DBCA2985_35F2_4396_AB82_C941F4730697_.wvu.FilterData" localSheetId="7" hidden="1">EWC!$A$1:$I$59</definedName>
    <definedName name="Z_DBCA2985_35F2_4396_AB82_C941F4730697_.wvu.FilterData" localSheetId="3" hidden="1">income!$A$1:$J$727</definedName>
    <definedName name="Z_DBCA2985_35F2_4396_AB82_C941F4730697_.wvu.FilterData" localSheetId="4" hidden="1">local!$A$1:$K$287</definedName>
    <definedName name="Z_E409D896_73B5_4FCE_A06F_92D6136D2182_.wvu.FilterData" localSheetId="2" hidden="1">caste!$A$1:$I$190</definedName>
    <definedName name="Z_E409D896_73B5_4FCE_A06F_92D6136D2182_.wvu.FilterData" localSheetId="6" hidden="1">death!$A$1:$K$73</definedName>
    <definedName name="Z_E409D896_73B5_4FCE_A06F_92D6136D2182_.wvu.FilterData" localSheetId="7" hidden="1">EWC!$A$1:$I$59</definedName>
    <definedName name="Z_E409D896_73B5_4FCE_A06F_92D6136D2182_.wvu.FilterData" localSheetId="3" hidden="1">income!$A$1:$J$727</definedName>
    <definedName name="Z_E409D896_73B5_4FCE_A06F_92D6136D2182_.wvu.FilterData" localSheetId="4" hidden="1">local!$A$1:$K$287</definedName>
  </definedNames>
  <calcPr calcId="181029"/>
  <customWorkbookViews>
    <customWorkbookView name="Sanjana - Personal View" guid="{DBCA2985-35F2-4396-AB82-C941F4730697}" maximized="1" windowWidth="0" windowHeight="0" activeSheetId="0"/>
    <customWorkbookView name="CSC-KGN - Personal View" guid="{C5940691-FD20-41D8-B708-F6F6E60B4EBD}" maximized="1" windowWidth="0" windowHeight="0" activeSheetId="0"/>
    <customWorkbookView name="Sanjay Kumar - Personal View" guid="{E409D896-73B5-4FCE-A06F-92D6136D2182}" maximized="1" windowWidth="0" windowHeight="0" activeSheetId="0"/>
    <customWorkbookView name="Shubham Raj - Personal View" guid="{2A2E44CE-7ABE-4A6F-A32C-C7CC4EA86B70}" maximized="1" windowWidth="0" windowHeight="0" activeSheetId="0"/>
  </customWorkbookViews>
</workbook>
</file>

<file path=xl/calcChain.xml><?xml version="1.0" encoding="utf-8"?>
<calcChain xmlns="http://schemas.openxmlformats.org/spreadsheetml/2006/main">
  <c r="L817" i="8" l="1"/>
  <c r="G17" i="7"/>
  <c r="M843" i="8"/>
  <c r="M839" i="8"/>
  <c r="M841" i="8" s="1"/>
  <c r="H375" i="8"/>
  <c r="H374" i="8"/>
  <c r="H373" i="8"/>
  <c r="H371" i="8"/>
  <c r="H372" i="8"/>
  <c r="H364" i="8"/>
  <c r="H365" i="8"/>
  <c r="H366" i="8"/>
  <c r="H367" i="8"/>
  <c r="H368" i="8"/>
  <c r="H369" i="8"/>
  <c r="H370" i="8"/>
  <c r="H363" i="8"/>
  <c r="H362" i="8"/>
  <c r="H361" i="8"/>
  <c r="H359" i="8"/>
  <c r="H360" i="8"/>
  <c r="H358" i="8"/>
  <c r="H357" i="8"/>
  <c r="H348" i="8"/>
  <c r="H349" i="8"/>
  <c r="H350" i="8"/>
  <c r="H351" i="8"/>
  <c r="H352" i="8"/>
  <c r="H353" i="8"/>
  <c r="H354" i="8"/>
  <c r="H355" i="8"/>
  <c r="H356" i="8"/>
  <c r="H347" i="8"/>
  <c r="H346" i="8"/>
  <c r="H345" i="8"/>
  <c r="H344" i="8"/>
  <c r="H340" i="8"/>
  <c r="H341" i="8"/>
  <c r="H342" i="8"/>
  <c r="H343" i="8"/>
  <c r="H339" i="8"/>
  <c r="H334" i="8"/>
  <c r="H335" i="8"/>
  <c r="H336" i="8"/>
  <c r="H337" i="8"/>
  <c r="H338" i="8"/>
  <c r="H326" i="8"/>
  <c r="H329" i="8"/>
  <c r="H330" i="8"/>
  <c r="H331" i="8"/>
  <c r="H332" i="8"/>
  <c r="H333" i="8"/>
  <c r="H328" i="8"/>
  <c r="H327" i="8"/>
  <c r="H325" i="8"/>
  <c r="H324" i="8"/>
  <c r="H318" i="8"/>
  <c r="H319" i="8"/>
  <c r="H320" i="8"/>
  <c r="H321" i="8"/>
  <c r="H322" i="8"/>
  <c r="H323" i="8"/>
  <c r="H304" i="8"/>
  <c r="H305" i="8"/>
  <c r="H306" i="8"/>
  <c r="H604" i="8"/>
  <c r="H308" i="8"/>
  <c r="H309" i="8"/>
  <c r="H310" i="8"/>
  <c r="H311" i="8"/>
  <c r="H312" i="8"/>
  <c r="H313" i="8"/>
  <c r="H314" i="8"/>
  <c r="H315" i="8"/>
  <c r="H316" i="8"/>
  <c r="H317" i="8"/>
  <c r="H303" i="8"/>
  <c r="H302" i="8"/>
  <c r="H301" i="8"/>
  <c r="H300" i="8"/>
  <c r="H299" i="8"/>
  <c r="H298" i="8"/>
  <c r="R1582" i="2"/>
  <c r="S1581" i="2"/>
  <c r="S1580" i="2"/>
  <c r="S1582" i="2" s="1"/>
  <c r="T1582" i="2" s="1"/>
  <c r="H297" i="8"/>
  <c r="H296" i="8"/>
  <c r="H295" i="8"/>
  <c r="H294" i="8"/>
  <c r="H293" i="8"/>
  <c r="H292" i="8"/>
  <c r="H291" i="8"/>
  <c r="H290" i="8"/>
  <c r="H289" i="8"/>
  <c r="H288" i="8"/>
  <c r="H287" i="8"/>
  <c r="H286" i="8"/>
  <c r="H282" i="8"/>
  <c r="H283" i="8"/>
  <c r="H284" i="8"/>
  <c r="H285" i="8"/>
  <c r="H281" i="8"/>
  <c r="H280" i="8"/>
  <c r="H279" i="8"/>
  <c r="H278" i="8"/>
  <c r="H277" i="8"/>
  <c r="H276" i="8"/>
  <c r="H275" i="8"/>
  <c r="H274" i="8"/>
  <c r="H273" i="8"/>
  <c r="H263" i="8"/>
  <c r="H264" i="8"/>
  <c r="H265" i="8"/>
  <c r="H266" i="8"/>
  <c r="H267" i="8"/>
  <c r="H268" i="8"/>
  <c r="H269" i="8"/>
  <c r="H270" i="8"/>
  <c r="H271" i="8"/>
  <c r="H272" i="8"/>
  <c r="H261" i="8"/>
  <c r="H262" i="8"/>
  <c r="H260" i="8"/>
  <c r="H259" i="8"/>
  <c r="H258" i="8"/>
  <c r="H254" i="8"/>
  <c r="H255" i="8"/>
  <c r="H256" i="8"/>
  <c r="H257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M237" i="8"/>
  <c r="M236" i="8"/>
  <c r="H232" i="8"/>
  <c r="H230" i="8"/>
  <c r="H231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14" i="8"/>
  <c r="H213" i="8"/>
  <c r="H212" i="8"/>
  <c r="H209" i="8"/>
  <c r="H210" i="8"/>
  <c r="H211" i="8"/>
  <c r="H208" i="8"/>
  <c r="H207" i="8"/>
  <c r="G118" i="8"/>
  <c r="H118" i="8" s="1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89" i="8"/>
  <c r="H190" i="8"/>
  <c r="H191" i="8"/>
  <c r="H188" i="8"/>
  <c r="H187" i="8"/>
  <c r="H186" i="8"/>
  <c r="H181" i="8"/>
  <c r="H182" i="8"/>
  <c r="H183" i="8"/>
  <c r="H184" i="8"/>
  <c r="H185" i="8"/>
  <c r="G179" i="8"/>
  <c r="H179" i="8" s="1"/>
  <c r="G180" i="8"/>
  <c r="H180" i="8" s="1"/>
  <c r="G177" i="8"/>
  <c r="H177" i="8" s="1"/>
  <c r="G176" i="8"/>
  <c r="H176" i="8" s="1"/>
  <c r="G178" i="8"/>
  <c r="H178" i="8" s="1"/>
  <c r="H173" i="8"/>
  <c r="H174" i="8"/>
  <c r="H175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49" i="8"/>
  <c r="H150" i="8"/>
  <c r="H151" i="8"/>
  <c r="H148" i="8"/>
  <c r="H147" i="8"/>
  <c r="H146" i="8"/>
  <c r="H145" i="8"/>
  <c r="H144" i="8"/>
  <c r="H143" i="8"/>
  <c r="H142" i="8"/>
  <c r="H141" i="8"/>
  <c r="H140" i="8"/>
  <c r="H139" i="8"/>
  <c r="G136" i="8"/>
  <c r="H136" i="8" s="1"/>
  <c r="G135" i="8"/>
  <c r="H135" i="8" s="1"/>
  <c r="H138" i="8"/>
  <c r="H137" i="8"/>
  <c r="H134" i="8"/>
  <c r="H133" i="8"/>
  <c r="H132" i="8"/>
  <c r="G129" i="8"/>
  <c r="H129" i="8" s="1"/>
  <c r="H131" i="8"/>
  <c r="H130" i="8"/>
  <c r="H128" i="8"/>
  <c r="H127" i="8"/>
  <c r="H123" i="8"/>
  <c r="H124" i="8"/>
  <c r="H125" i="8"/>
  <c r="H126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9" i="8"/>
  <c r="H120" i="8"/>
  <c r="H121" i="8"/>
  <c r="H122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P8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66" i="8"/>
  <c r="H67" i="8"/>
  <c r="H68" i="8"/>
  <c r="H69" i="8"/>
  <c r="H70" i="8"/>
  <c r="H71" i="8"/>
  <c r="H72" i="8"/>
  <c r="H73" i="8"/>
  <c r="H74" i="8"/>
  <c r="H65" i="8"/>
  <c r="H64" i="8"/>
  <c r="L1464" i="2"/>
  <c r="H63" i="8"/>
  <c r="H62" i="8"/>
  <c r="H61" i="8"/>
  <c r="H60" i="8"/>
  <c r="H59" i="8"/>
  <c r="H58" i="8"/>
  <c r="H45" i="8"/>
  <c r="H44" i="8"/>
  <c r="H57" i="8"/>
  <c r="H56" i="8"/>
  <c r="H55" i="8"/>
  <c r="H54" i="8"/>
  <c r="H53" i="8"/>
  <c r="H52" i="8"/>
  <c r="H47" i="8"/>
  <c r="H48" i="8"/>
  <c r="H49" i="8"/>
  <c r="H50" i="8"/>
  <c r="H51" i="8"/>
  <c r="H46" i="8"/>
  <c r="H39" i="8"/>
  <c r="H40" i="8"/>
  <c r="H41" i="8"/>
  <c r="H42" i="8"/>
  <c r="H43" i="8"/>
  <c r="H38" i="8"/>
  <c r="M973" i="3"/>
  <c r="O1135" i="2"/>
  <c r="O1149" i="2"/>
  <c r="O1148" i="2"/>
  <c r="M15" i="6"/>
  <c r="M14" i="6"/>
  <c r="M16" i="6"/>
  <c r="J1" i="6"/>
  <c r="M48" i="5"/>
  <c r="I1" i="5"/>
  <c r="J1" i="4"/>
  <c r="M220" i="3"/>
  <c r="M142" i="3"/>
  <c r="K116" i="3"/>
  <c r="O10" i="3"/>
  <c r="J1" i="3"/>
  <c r="L540" i="2"/>
  <c r="M362" i="2"/>
  <c r="K257" i="2"/>
  <c r="L57" i="2"/>
  <c r="M24" i="2"/>
  <c r="O23" i="2"/>
  <c r="K1" i="2"/>
  <c r="M237" i="1"/>
  <c r="J42" i="1"/>
  <c r="J1" i="1"/>
  <c r="S1583" i="2" l="1"/>
  <c r="M239" i="8"/>
  <c r="M844" i="8"/>
</calcChain>
</file>

<file path=xl/sharedStrings.xml><?xml version="1.0" encoding="utf-8"?>
<sst xmlns="http://schemas.openxmlformats.org/spreadsheetml/2006/main" count="22987" uniqueCount="12224">
  <si>
    <t>Sl.</t>
  </si>
  <si>
    <t>rcpt</t>
  </si>
  <si>
    <t>DOS</t>
  </si>
  <si>
    <t>Name</t>
  </si>
  <si>
    <t>Ref. No.</t>
  </si>
  <si>
    <t>Area</t>
  </si>
  <si>
    <t>result</t>
  </si>
  <si>
    <t>Krishna Rajak</t>
  </si>
  <si>
    <t>CC001</t>
  </si>
  <si>
    <t>JHCC/2017/955803</t>
  </si>
  <si>
    <t>Unnati</t>
  </si>
  <si>
    <t>CC002</t>
  </si>
  <si>
    <t>JHCC/2017/1064542</t>
  </si>
  <si>
    <t>Harsh Kumar</t>
  </si>
  <si>
    <t>CC003</t>
  </si>
  <si>
    <t>JHCC/2017/1092452</t>
  </si>
  <si>
    <t>CC004</t>
  </si>
  <si>
    <t>JHCC/2017/1093648</t>
  </si>
  <si>
    <t>Susmita Sahu</t>
  </si>
  <si>
    <t>CC005</t>
  </si>
  <si>
    <t>Sundaram Kumar</t>
  </si>
  <si>
    <t>CC006</t>
  </si>
  <si>
    <t>JHCC/2017/1164516</t>
  </si>
  <si>
    <t>Satyam Kumar</t>
  </si>
  <si>
    <t>CC007</t>
  </si>
  <si>
    <t>JHCC/2017/1164538</t>
  </si>
  <si>
    <t>Shiwam Kumar</t>
  </si>
  <si>
    <t>CC008</t>
  </si>
  <si>
    <t>JHCC/2017/1164554</t>
  </si>
  <si>
    <t>Mohammad Hafiz Fazal</t>
  </si>
  <si>
    <t>CC009</t>
  </si>
  <si>
    <t>JHCC/2017/1405688</t>
  </si>
  <si>
    <t>gen</t>
  </si>
  <si>
    <t>Surajit Gorai</t>
  </si>
  <si>
    <t>CC010</t>
  </si>
  <si>
    <t>JHCC/2017/1405727</t>
  </si>
  <si>
    <t>pending</t>
  </si>
  <si>
    <t>CC011</t>
  </si>
  <si>
    <t>JHCC/2017/1420491</t>
  </si>
  <si>
    <t>delivered</t>
  </si>
  <si>
    <t>CC012</t>
  </si>
  <si>
    <t>JHCC/2017/1420795</t>
  </si>
  <si>
    <t>CC013</t>
  </si>
  <si>
    <t>JHCC/2017/1420824</t>
  </si>
  <si>
    <t>Rohit Maan kalindi</t>
  </si>
  <si>
    <t>CC014</t>
  </si>
  <si>
    <t>JHCC/2017/1455386</t>
  </si>
  <si>
    <t>Ayasha Hembrom</t>
  </si>
  <si>
    <t>CC015</t>
  </si>
  <si>
    <t>JHCC/2017/1551189</t>
  </si>
  <si>
    <t>Sanjay Kumar</t>
  </si>
  <si>
    <t>CC016</t>
  </si>
  <si>
    <t>JHCC/2017/1627529</t>
  </si>
  <si>
    <t>CC017</t>
  </si>
  <si>
    <t>JHCC/2018/09163</t>
  </si>
  <si>
    <t>CC018</t>
  </si>
  <si>
    <t>JHCC/2018/42324</t>
  </si>
  <si>
    <t>Bablu Pramanik</t>
  </si>
  <si>
    <t>CC019</t>
  </si>
  <si>
    <t>JHCC/2018/49253</t>
  </si>
  <si>
    <t>dload</t>
  </si>
  <si>
    <t>Rintu Gorai</t>
  </si>
  <si>
    <t>CC020</t>
  </si>
  <si>
    <t>JHCC/2018/49284</t>
  </si>
  <si>
    <t>Karan Kumar Prasad</t>
  </si>
  <si>
    <t>CC021</t>
  </si>
  <si>
    <t>JHCC/2018/74455</t>
  </si>
  <si>
    <t>Nidhi Mandal</t>
  </si>
  <si>
    <t>CC022</t>
  </si>
  <si>
    <t>JHCC/2018/76870</t>
  </si>
  <si>
    <t>Suryendu Bikash Gorai</t>
  </si>
  <si>
    <t>CC023</t>
  </si>
  <si>
    <t>JHCC/2018/153780</t>
  </si>
  <si>
    <t>up</t>
  </si>
  <si>
    <t>Rubi Mahato</t>
  </si>
  <si>
    <t>CC024</t>
  </si>
  <si>
    <t>JHCC/2018/153836</t>
  </si>
  <si>
    <t>printed</t>
  </si>
  <si>
    <t>Roshni Kumari</t>
  </si>
  <si>
    <t>CC025</t>
  </si>
  <si>
    <t>JHCC/2018/223908</t>
  </si>
  <si>
    <t>Gobardhan Mahato</t>
  </si>
  <si>
    <t>CC026</t>
  </si>
  <si>
    <t>JHCC/2018/224716</t>
  </si>
  <si>
    <t>Arindam Das</t>
  </si>
  <si>
    <t>CC027</t>
  </si>
  <si>
    <t>JHCC/2018/266045</t>
  </si>
  <si>
    <t>obj</t>
  </si>
  <si>
    <t>Caste proof, Residential proof of guardian</t>
  </si>
  <si>
    <t>182-183</t>
  </si>
  <si>
    <t>Monu Gorai</t>
  </si>
  <si>
    <t>JHCC/2018/341473</t>
  </si>
  <si>
    <t>reject</t>
  </si>
  <si>
    <t>Gopi Lohar</t>
  </si>
  <si>
    <t>JHCC/2018/369324</t>
  </si>
  <si>
    <t>194a</t>
  </si>
  <si>
    <t>Chandan Karmakar</t>
  </si>
  <si>
    <t>JHCC/2018/369375</t>
  </si>
  <si>
    <t>Krishna Gorai</t>
  </si>
  <si>
    <t>JHCC/2018/440019</t>
  </si>
  <si>
    <t>rejected</t>
  </si>
  <si>
    <t>dc</t>
  </si>
  <si>
    <t>Roshni KUmari</t>
  </si>
  <si>
    <t>JHCC/2018/478708</t>
  </si>
  <si>
    <t>Trishna Gorai</t>
  </si>
  <si>
    <t>JHCC/2018/478915</t>
  </si>
  <si>
    <t>SHRISTY GORAI</t>
  </si>
  <si>
    <t>JHCC/2018/478979</t>
  </si>
  <si>
    <t>Pravat Mahato</t>
  </si>
  <si>
    <t>JHCC/2018/528032</t>
  </si>
  <si>
    <t>Shubham Raj</t>
  </si>
  <si>
    <t>JHCC/2018/553114</t>
  </si>
  <si>
    <t>SUBHAM KUMAR</t>
  </si>
  <si>
    <t>JHCC/2018/631977</t>
  </si>
  <si>
    <t>PRINTED</t>
  </si>
  <si>
    <t>Madhuri Kalpana Kujur</t>
  </si>
  <si>
    <t>JHCC/2018/665802</t>
  </si>
  <si>
    <t>Sishubala Mahato</t>
  </si>
  <si>
    <t>JHCC/2018/696882</t>
  </si>
  <si>
    <t>mukhia</t>
  </si>
  <si>
    <t>Lakshmi Baskey</t>
  </si>
  <si>
    <t>JHCC/2018/705074</t>
  </si>
  <si>
    <t>Surendra Singh</t>
  </si>
  <si>
    <t>Shiva Karmakar</t>
  </si>
  <si>
    <t>JHCC/2018/720185</t>
  </si>
  <si>
    <t>tk</t>
  </si>
  <si>
    <t>JHCC/2018/723727</t>
  </si>
  <si>
    <t>Binay Singh</t>
  </si>
  <si>
    <t>JHCC/2018/746765</t>
  </si>
  <si>
    <t>Amita Manki</t>
  </si>
  <si>
    <t>JHCC/2018/746902</t>
  </si>
  <si>
    <t>Manoj Mahato</t>
  </si>
  <si>
    <t>JHCC/2018/770829</t>
  </si>
  <si>
    <t>Ritu Rani Mahato</t>
  </si>
  <si>
    <t>JHCC/2018/770905</t>
  </si>
  <si>
    <t>Amisha Verma</t>
  </si>
  <si>
    <t>JHCC/2018/771027</t>
  </si>
  <si>
    <t>7209156989</t>
  </si>
  <si>
    <t>Mohammad Numal Ali</t>
  </si>
  <si>
    <t>JHCC/2018/793290</t>
  </si>
  <si>
    <t>wrong feeded</t>
  </si>
  <si>
    <t>Mohammad Numan Ali</t>
  </si>
  <si>
    <t>JHCC/2018/793747</t>
  </si>
  <si>
    <t>TK</t>
  </si>
  <si>
    <t>JHCC/2018/826407</t>
  </si>
  <si>
    <t>JHCC/2018/874937</t>
  </si>
  <si>
    <t>Niraj Kumar</t>
  </si>
  <si>
    <t>JHCC/2018/895033</t>
  </si>
  <si>
    <t>Kamal Mahato</t>
  </si>
  <si>
    <t>JHCC/2018/895083</t>
  </si>
  <si>
    <t>tl</t>
  </si>
  <si>
    <t>Binit jaiswal</t>
  </si>
  <si>
    <t>JHCC/2018/904901</t>
  </si>
  <si>
    <t>Ravi Hembrom</t>
  </si>
  <si>
    <t>JHCC/2018/909078</t>
  </si>
  <si>
    <t>OBC</t>
  </si>
  <si>
    <t>Amar Nath</t>
  </si>
  <si>
    <t>JHCC/2018/929602</t>
  </si>
  <si>
    <t>co</t>
  </si>
  <si>
    <t>JHCC/2018/931193</t>
  </si>
  <si>
    <t>JHCC/2018/933840</t>
  </si>
  <si>
    <t>SDO</t>
  </si>
  <si>
    <t>JHCC/2018/932874</t>
  </si>
  <si>
    <t>Sanjana Shree</t>
  </si>
  <si>
    <t>JHCC/2018/553143</t>
  </si>
  <si>
    <t>CO</t>
  </si>
  <si>
    <t>Dheeraj Kumar</t>
  </si>
  <si>
    <t>JHCC/2018/971965</t>
  </si>
  <si>
    <t>REJECT</t>
  </si>
  <si>
    <t>Tausif Alam</t>
  </si>
  <si>
    <t>JHCC/2018/1023261</t>
  </si>
  <si>
    <t>Firoz Alam</t>
  </si>
  <si>
    <t>JHCC/2018/1033616</t>
  </si>
  <si>
    <t>Pummy Mukhi</t>
  </si>
  <si>
    <t>JHCC/2018/1039663</t>
  </si>
  <si>
    <t>Priya kalindi</t>
  </si>
  <si>
    <t>JHCC/2018/1039815</t>
  </si>
  <si>
    <t>JHCC/2018/1046151</t>
  </si>
  <si>
    <t>downloaded</t>
  </si>
  <si>
    <t>Shashi Kumar</t>
  </si>
  <si>
    <t>JHCC/2018/1048341</t>
  </si>
  <si>
    <t>JHCC/2018/1051946</t>
  </si>
  <si>
    <t>Shaurya Mukhi</t>
  </si>
  <si>
    <t>JHCC/2018/1061471</t>
  </si>
  <si>
    <t>PRINTD</t>
  </si>
  <si>
    <t>Santosh kumar Rajak</t>
  </si>
  <si>
    <t>JHCC/2018/1140450</t>
  </si>
  <si>
    <t> JHCC/2018/1140411</t>
  </si>
  <si>
    <t>Aryan Kumar</t>
  </si>
  <si>
    <t>JHCC/2018/1141235</t>
  </si>
  <si>
    <t>JHCC/2018/1181488</t>
  </si>
  <si>
    <t>DELIVERED</t>
  </si>
  <si>
    <t>Kaushal Kumar Sharma</t>
  </si>
  <si>
    <t>JHCC/2018/1148824</t>
  </si>
  <si>
    <t>Sarwan Kumar</t>
  </si>
  <si>
    <t>JHCC/2018/1148816</t>
  </si>
  <si>
    <t>Riya Mahato</t>
  </si>
  <si>
    <t>CC053</t>
  </si>
  <si>
    <t>JHCC/2018/1205015</t>
  </si>
  <si>
    <t>Sumitra Besra</t>
  </si>
  <si>
    <t>CC054</t>
  </si>
  <si>
    <t>JHCC/2018/1198916</t>
  </si>
  <si>
    <t>waiting</t>
  </si>
  <si>
    <t>Dhruv mahato</t>
  </si>
  <si>
    <t>CC055</t>
  </si>
  <si>
    <t>JHCC/2018/1199025</t>
  </si>
  <si>
    <t>Rekha Sharma</t>
  </si>
  <si>
    <t>CC056</t>
  </si>
  <si>
    <t>JHCC/2018/1250923</t>
  </si>
  <si>
    <t>alok</t>
  </si>
  <si>
    <t>Akash Prasad Sah</t>
  </si>
  <si>
    <t>CC057</t>
  </si>
  <si>
    <t>JHCC/2018/1262571</t>
  </si>
  <si>
    <t>Adharva Kumar</t>
  </si>
  <si>
    <t>CC058</t>
  </si>
  <si>
    <t>JHCC/2018/1346720</t>
  </si>
  <si>
    <t>Aavya Kumari</t>
  </si>
  <si>
    <t>CC059</t>
  </si>
  <si>
    <t>JHCC/2018/1415473</t>
  </si>
  <si>
    <t>DC</t>
  </si>
  <si>
    <t>Niyati Kumari</t>
  </si>
  <si>
    <t>CC060</t>
  </si>
  <si>
    <t> JHCC/2018/1421775</t>
  </si>
  <si>
    <t>CC061</t>
  </si>
  <si>
    <t>JHCC/2018/1422712</t>
  </si>
  <si>
    <t>Rakesh Kumar Sah</t>
  </si>
  <si>
    <t>CC062</t>
  </si>
  <si>
    <t> JHCC/2018/1449834</t>
  </si>
  <si>
    <t>Jagadish Hajara</t>
  </si>
  <si>
    <t>CC063</t>
  </si>
  <si>
    <t> JHCC/2018/1469321</t>
  </si>
  <si>
    <t>Anil Kumar Rajak</t>
  </si>
  <si>
    <t>CC064</t>
  </si>
  <si>
    <t>JHCC/2018/1569471</t>
  </si>
  <si>
    <t>Ajay Mahato</t>
  </si>
  <si>
    <t>CC065</t>
  </si>
  <si>
    <t>JHCC/2018/1591950</t>
  </si>
  <si>
    <t>??</t>
  </si>
  <si>
    <t>Anubhav Mahato</t>
  </si>
  <si>
    <t>CC066</t>
  </si>
  <si>
    <t>JHCC/2018/1674917</t>
  </si>
  <si>
    <t>s</t>
  </si>
  <si>
    <t>Astik Mahato</t>
  </si>
  <si>
    <t>CC067</t>
  </si>
  <si>
    <t>JHCC/2018/1674950</t>
  </si>
  <si>
    <t>Bijay Baske</t>
  </si>
  <si>
    <t>CC068</t>
  </si>
  <si>
    <t>JHCC/2018/1675028</t>
  </si>
  <si>
    <t>Anmol Pramanik</t>
  </si>
  <si>
    <t>CC069</t>
  </si>
  <si>
    <t>JHCC/2018/1706957</t>
  </si>
  <si>
    <t>Printed</t>
  </si>
  <si>
    <t>Akhay Pramanik</t>
  </si>
  <si>
    <t>JHCC/2018/1706966</t>
  </si>
  <si>
    <t>JHCC/2019/82358</t>
  </si>
  <si>
    <t>OBC-TK</t>
  </si>
  <si>
    <t>Rajendra Prasad Mahato</t>
  </si>
  <si>
    <t> JHCC/2019/112542</t>
  </si>
  <si>
    <t> JHCC/2019/115202</t>
  </si>
  <si>
    <t>JHCC/2019/99102</t>
  </si>
  <si>
    <t>Alisha Baskey</t>
  </si>
  <si>
    <t>JHCC/2019/135816</t>
  </si>
  <si>
    <t>Pinku Mukhi</t>
  </si>
  <si>
    <t>JHCC/2019/135874</t>
  </si>
  <si>
    <t>caste proof</t>
  </si>
  <si>
    <t>sdo</t>
  </si>
  <si>
    <t>Ashish Mahato</t>
  </si>
  <si>
    <t>JHCC/2019/201109</t>
  </si>
  <si>
    <t>Saved</t>
  </si>
  <si>
    <t>Debashish Mahato</t>
  </si>
  <si>
    <t>JHCC/2019/201162</t>
  </si>
  <si>
    <t>Annu Kumari</t>
  </si>
  <si>
    <t>JHCC/2019/233226</t>
  </si>
  <si>
    <t>Mannu Kumari</t>
  </si>
  <si>
    <t>JHCC/2019/233271</t>
  </si>
  <si>
    <t>Radha Kumari</t>
  </si>
  <si>
    <t>JHCC/2019/263886</t>
  </si>
  <si>
    <t>Waiting</t>
  </si>
  <si>
    <t>Residence proof since 1978</t>
  </si>
  <si>
    <t>Shubham Sahu</t>
  </si>
  <si>
    <t>JHCC/2019/323332</t>
  </si>
  <si>
    <t>Dhiraj Kumar Kamet</t>
  </si>
  <si>
    <t> JHCC/2019/339633</t>
  </si>
  <si>
    <t>Laxmi Mahato</t>
  </si>
  <si>
    <t>CC086</t>
  </si>
  <si>
    <t>JHCC/2019/356874</t>
  </si>
  <si>
    <t>Ankit Kumar</t>
  </si>
  <si>
    <t>CC087</t>
  </si>
  <si>
    <t>JHCC/2019/365043</t>
  </si>
  <si>
    <t>CC088</t>
  </si>
  <si>
    <t>JHCC/2019/380234</t>
  </si>
  <si>
    <t>Sourabh Sahu</t>
  </si>
  <si>
    <t>CC089</t>
  </si>
  <si>
    <t>JHCC/2019/380262</t>
  </si>
  <si>
    <t>CC090</t>
  </si>
  <si>
    <t>JHCC/2019/393388</t>
  </si>
  <si>
    <t>Riya Singh</t>
  </si>
  <si>
    <t>CC091</t>
  </si>
  <si>
    <t>JHCST/2019/00548</t>
  </si>
  <si>
    <t>Ashwani Sahis</t>
  </si>
  <si>
    <t>CC092</t>
  </si>
  <si>
    <t>JHCSC/2019/00682</t>
  </si>
  <si>
    <t>CC093</t>
  </si>
  <si>
    <t>JHCOB/2019/00658</t>
  </si>
  <si>
    <t>CC094</t>
  </si>
  <si>
    <t>JHCBC/2019/02728</t>
  </si>
  <si>
    <t>पत्रांक 1754 दिनांक 25/02/2019 से सम्बंधित जाति का दस्तावेज़, 1978 या उससे पहले का (BC1/BC2/OBC/ EBC के लिए) निबंधन कागजात/भू-अभिलेख संलग्न करें</t>
  </si>
  <si>
    <t>9204311494</t>
  </si>
  <si>
    <t>Smriti Saxena</t>
  </si>
  <si>
    <t>CC095</t>
  </si>
  <si>
    <t>JHCBC/2019/03302</t>
  </si>
  <si>
    <t>Manoj Singh Sardar</t>
  </si>
  <si>
    <t>CC096</t>
  </si>
  <si>
    <t>JHCST/2019/02719</t>
  </si>
  <si>
    <t>Nimai Soren</t>
  </si>
  <si>
    <t>CC097</t>
  </si>
  <si>
    <t>JHCST/2019/04802</t>
  </si>
  <si>
    <t>reupdate</t>
  </si>
  <si>
    <t>kariya Soren</t>
  </si>
  <si>
    <t>CC098</t>
  </si>
  <si>
    <t>JHCST/2019/04810</t>
  </si>
  <si>
    <t>central</t>
  </si>
  <si>
    <t>Ajay Munda</t>
  </si>
  <si>
    <t>CC099</t>
  </si>
  <si>
    <t xml:space="preserve"> </t>
  </si>
  <si>
    <t>ST</t>
  </si>
  <si>
    <t>Seema Munda</t>
  </si>
  <si>
    <t>CC100</t>
  </si>
  <si>
    <t>JHCST/2019/27725</t>
  </si>
  <si>
    <t>Sanjay Munda</t>
  </si>
  <si>
    <t>CC101</t>
  </si>
  <si>
    <t>JHCST/2019/27738</t>
  </si>
  <si>
    <t>CC102</t>
  </si>
  <si>
    <t>JHCST/2019/23882</t>
  </si>
  <si>
    <t>SC</t>
  </si>
  <si>
    <t>Rakesh Rajak</t>
  </si>
  <si>
    <t>CC103</t>
  </si>
  <si>
    <t>JHCSC/2019/15277</t>
  </si>
  <si>
    <t>bc1</t>
  </si>
  <si>
    <t>Tarannum Nisha</t>
  </si>
  <si>
    <t>CC104</t>
  </si>
  <si>
    <t>JHNBC/2019/37133</t>
  </si>
  <si>
    <t>Shalu Mahato-due100</t>
  </si>
  <si>
    <t>CC105</t>
  </si>
  <si>
    <t>JHCBC/2019/132065</t>
  </si>
  <si>
    <t>Initiated</t>
  </si>
  <si>
    <t>Prity Mahato-due 100</t>
  </si>
  <si>
    <t>JHCBC/2019/132082</t>
  </si>
  <si>
    <t>reuploaed</t>
  </si>
  <si>
    <t>Raju Mahato</t>
  </si>
  <si>
    <t>JHCBC/2019/141527</t>
  </si>
  <si>
    <t>st</t>
  </si>
  <si>
    <t>Joba Tudu</t>
  </si>
  <si>
    <t>JHCST/2019/139902</t>
  </si>
  <si>
    <t>Prachi Singh</t>
  </si>
  <si>
    <t>JHBCIR/2019/00095</t>
  </si>
  <si>
    <t>Pending for Affidabit</t>
  </si>
  <si>
    <t>Aploded</t>
  </si>
  <si>
    <t>Naveen Kumar Hansda</t>
  </si>
  <si>
    <t>JHCST/2019/157029</t>
  </si>
  <si>
    <t>Sanjay Hansda</t>
  </si>
  <si>
    <t>JHCST/2019/157043</t>
  </si>
  <si>
    <t> JHCST/2019/159143</t>
  </si>
  <si>
    <t> JHCST/2019/161765</t>
  </si>
  <si>
    <t> JHCST/2019/161759</t>
  </si>
  <si>
    <t>BC1</t>
  </si>
  <si>
    <t>Krishna Mahato</t>
  </si>
  <si>
    <t>JHCBC/2019/247425</t>
  </si>
  <si>
    <t>Birbal Mahtao</t>
  </si>
  <si>
    <t>JHCBC/2019/247434</t>
  </si>
  <si>
    <t>Raghunath Mahato</t>
  </si>
  <si>
    <t>JHCBC/2019/247444</t>
  </si>
  <si>
    <t>Surbhi</t>
  </si>
  <si>
    <t>JHCBC/2019/248604</t>
  </si>
  <si>
    <t>JHCBC/2020/01196</t>
  </si>
  <si>
    <t>Ishwar Soren</t>
  </si>
  <si>
    <t>JHCST/2020/36307</t>
  </si>
  <si>
    <t>JHCBC/2020/48534</t>
  </si>
  <si>
    <t>BC2</t>
  </si>
  <si>
    <t>Sawan Kumar</t>
  </si>
  <si>
    <t>JHCBC/2020/57673</t>
  </si>
  <si>
    <t>Srishti Kumari</t>
  </si>
  <si>
    <t>JHCBC/2020/57704</t>
  </si>
  <si>
    <t>obc</t>
  </si>
  <si>
    <t>JHOBCH/2020/05716</t>
  </si>
  <si>
    <t>mani</t>
  </si>
  <si>
    <t>Kaushik Kundu</t>
  </si>
  <si>
    <t>JHCBC/2020/67904</t>
  </si>
  <si>
    <t>Anju Singh</t>
  </si>
  <si>
    <t>JHCST/2020/70931</t>
  </si>
  <si>
    <t>Sangeeta Mahato</t>
  </si>
  <si>
    <t>JHNBC/2020/27464</t>
  </si>
  <si>
    <t>Pooja Mahato</t>
  </si>
  <si>
    <t>JHCBC/2020/93596</t>
  </si>
  <si>
    <t>Jitendra nath Mahato</t>
  </si>
  <si>
    <t>JHCBC/2020/93633</t>
  </si>
  <si>
    <t>Sadhna Mahato</t>
  </si>
  <si>
    <t>CC130</t>
  </si>
  <si>
    <t>JHCBC/2020/93647</t>
  </si>
  <si>
    <t>local resident</t>
  </si>
  <si>
    <t>JHCBC/2020/97665</t>
  </si>
  <si>
    <t>6202825053</t>
  </si>
  <si>
    <t>Rupban Mahato</t>
  </si>
  <si>
    <t>JHCBC/2020/103779</t>
  </si>
  <si>
    <t>Chittaranjan Mahato</t>
  </si>
  <si>
    <t>JHCBC/2020/103851</t>
  </si>
  <si>
    <t>Abhilash Mahato</t>
  </si>
  <si>
    <t>JHCBC/2020/103859</t>
  </si>
  <si>
    <t>JHCBC/2020/114994</t>
  </si>
  <si>
    <t>03-10-200</t>
  </si>
  <si>
    <t>JHCBC/2020/180138</t>
  </si>
  <si>
    <t>Sital Baskey</t>
  </si>
  <si>
    <t>JHCST/2020/146248</t>
  </si>
  <si>
    <t>Aparajita Gaurav</t>
  </si>
  <si>
    <t>JHCBC/2020/189004</t>
  </si>
  <si>
    <t>Vishal Gourav</t>
  </si>
  <si>
    <t>JHCBC/2020/189040</t>
  </si>
  <si>
    <t>JHCOB/2020/24020</t>
  </si>
  <si>
    <t>beko</t>
  </si>
  <si>
    <t>Shabnam Mahato</t>
  </si>
  <si>
    <t>JHCBC/2020/174426</t>
  </si>
  <si>
    <t>Sanjit Lohar</t>
  </si>
  <si>
    <t>JHCBC/2020/175447</t>
  </si>
  <si>
    <t>8757877790</t>
  </si>
  <si>
    <t>JHCBC/2020/221186</t>
  </si>
  <si>
    <t>JHCBC/2020/221686</t>
  </si>
  <si>
    <t>Prakash Singh</t>
  </si>
  <si>
    <t>JHCST/2020/168391</t>
  </si>
  <si>
    <t>Sandip Kumar Mahato</t>
  </si>
  <si>
    <t>JHCBC/2020/174586</t>
  </si>
  <si>
    <t>Chand Gorai</t>
  </si>
  <si>
    <t>JHCBC/2020/237908</t>
  </si>
  <si>
    <t>8210343102</t>
  </si>
  <si>
    <t>JHCBC/2020/247347</t>
  </si>
  <si>
    <t>7857990257</t>
  </si>
  <si>
    <t>JHCBC/2020/247360</t>
  </si>
  <si>
    <t>Tarun Kumar Mahato</t>
  </si>
  <si>
    <t>JHCBC/2020/250760</t>
  </si>
  <si>
    <t>Mangal Gope</t>
  </si>
  <si>
    <t>JHCBC/2020/256407</t>
  </si>
  <si>
    <t>khatian 1st pg missing</t>
  </si>
  <si>
    <t>JHCBC/2020/265488</t>
  </si>
  <si>
    <t>jati uillekh nahi hai</t>
  </si>
  <si>
    <t>JHCST/2021/01696</t>
  </si>
  <si>
    <t>Santosh Baskey</t>
  </si>
  <si>
    <t>JHCST/2021/02048</t>
  </si>
  <si>
    <t>JHCST/2021/12530</t>
  </si>
  <si>
    <t>Laxmi Singh</t>
  </si>
  <si>
    <t>JHCST/2021/19279</t>
  </si>
  <si>
    <t>barabanki</t>
  </si>
  <si>
    <t>Ganesh Chandra mahato</t>
  </si>
  <si>
    <t>JHCBC/2021/74610</t>
  </si>
  <si>
    <t>Bharati Mahato</t>
  </si>
  <si>
    <t>Harihar Mahato</t>
  </si>
  <si>
    <t>JHCBC/2021/102579</t>
  </si>
  <si>
    <t>Karan Baskey</t>
  </si>
  <si>
    <t>JHCST/2021/93440</t>
  </si>
  <si>
    <t>JHCST/2021/93447</t>
  </si>
  <si>
    <t>Sunita Baskey</t>
  </si>
  <si>
    <t>JHCST/2021/93454</t>
  </si>
  <si>
    <t>Ram Baskey</t>
  </si>
  <si>
    <t>JHCST/2021/93466</t>
  </si>
  <si>
    <t>Tulsi Baskey</t>
  </si>
  <si>
    <t>JHCST/2021/93479</t>
  </si>
  <si>
    <t>BC</t>
  </si>
  <si>
    <t>JHCBC/2021/135598</t>
  </si>
  <si>
    <t>Monika Hansda</t>
  </si>
  <si>
    <t>JHCST/2021/124753</t>
  </si>
  <si>
    <t>Khushi Murmu</t>
  </si>
  <si>
    <t>JHCST/2021/124781</t>
  </si>
  <si>
    <t>sukumar</t>
  </si>
  <si>
    <t>Sulekha Nayak</t>
  </si>
  <si>
    <t>JHCSC/2021/59772</t>
  </si>
  <si>
    <t>Rohit Nayak</t>
  </si>
  <si>
    <t>JHCSC/2021/59773</t>
  </si>
  <si>
    <t>Sangita Mahato</t>
  </si>
  <si>
    <t>JHCBC/2021/194176</t>
  </si>
  <si>
    <t>Aarushi Kumari</t>
  </si>
  <si>
    <t>JHCSC/2021/60235</t>
  </si>
  <si>
    <t>vanshawali</t>
  </si>
  <si>
    <t>Aashmita Kumari</t>
  </si>
  <si>
    <t>JHCSC/2021/60238</t>
  </si>
  <si>
    <t>Patima Mahato</t>
  </si>
  <si>
    <t>JHCBC/2021/197220</t>
  </si>
  <si>
    <t>pending for sapath</t>
  </si>
  <si>
    <t>Ashim Kumar Mahato</t>
  </si>
  <si>
    <t>JHCBC/2021/197391</t>
  </si>
  <si>
    <t>03-08-221</t>
  </si>
  <si>
    <t>Anjali Gorai</t>
  </si>
  <si>
    <t>JHCBC/2021/200923</t>
  </si>
  <si>
    <t>Yadav Chandra Mahato</t>
  </si>
  <si>
    <t>JHCBC/2021/201579</t>
  </si>
  <si>
    <t>aadhaar not cler</t>
  </si>
  <si>
    <t>JHCOB/2021/26097</t>
  </si>
  <si>
    <t>7761801831</t>
  </si>
  <si>
    <t>Reshmi Kumai</t>
  </si>
  <si>
    <t>JHCST/2021/164621</t>
  </si>
  <si>
    <t>JHCOB/2021/26302</t>
  </si>
  <si>
    <t>Milind Murmu</t>
  </si>
  <si>
    <t>JHSTH/2021/20099</t>
  </si>
  <si>
    <t>Shobha Singh Sardar</t>
  </si>
  <si>
    <t>JHCST/2021/173399</t>
  </si>
  <si>
    <t>JHCST/2021/175316</t>
  </si>
  <si>
    <t>Kriti Mahato</t>
  </si>
  <si>
    <t>JHCBC/2021/261443</t>
  </si>
  <si>
    <t>Suraj Mahato</t>
  </si>
  <si>
    <t>JHCBC/2021/262327</t>
  </si>
  <si>
    <t>saved</t>
  </si>
  <si>
    <t>Rohit Mahato</t>
  </si>
  <si>
    <t>JHCBC/2021/285973</t>
  </si>
  <si>
    <t>first page of khataan mission</t>
  </si>
  <si>
    <t>Nilima Tudu</t>
  </si>
  <si>
    <t>JHCST/2021/252515</t>
  </si>
  <si>
    <t>Sumit Das</t>
  </si>
  <si>
    <t xml:space="preserve">  </t>
  </si>
  <si>
    <t>JHCBC/2021/338811</t>
  </si>
  <si>
    <t>luabasa</t>
  </si>
  <si>
    <t>second page of khatina mention jati</t>
  </si>
  <si>
    <t>Pallavi Mahato</t>
  </si>
  <si>
    <t>JHCBC/2021/338894</t>
  </si>
  <si>
    <t>Nandan Kumar</t>
  </si>
  <si>
    <t>JHCBC/2021/369443</t>
  </si>
  <si>
    <t>Sagar Singh Munda</t>
  </si>
  <si>
    <t>JHCSCT/2021/293059</t>
  </si>
  <si>
    <t>JHCSC/2021/120411</t>
  </si>
  <si>
    <t>JHCSC/2021/120418</t>
  </si>
  <si>
    <t>Anjana Mahato</t>
  </si>
  <si>
    <t>JHCBC/2021/359671</t>
  </si>
  <si>
    <t>Delivered</t>
  </si>
  <si>
    <t>Biky Lohar</t>
  </si>
  <si>
    <t>JHCBC/2021/452449</t>
  </si>
  <si>
    <t>father id proof prapatra 1b and 2</t>
  </si>
  <si>
    <t>JHCBC/2021/466298</t>
  </si>
  <si>
    <t>Sweta Kumari</t>
  </si>
  <si>
    <t>JHCBC/2021/477788</t>
  </si>
  <si>
    <t>rejected (dalil spast nahi hai0</t>
  </si>
  <si>
    <t>Kuni Baskey</t>
  </si>
  <si>
    <t>JHCST/2021/364690</t>
  </si>
  <si>
    <t>Rejected</t>
  </si>
  <si>
    <t>Dinesh Singh</t>
  </si>
  <si>
    <t>JHCST/2021/387393</t>
  </si>
  <si>
    <t>????</t>
  </si>
  <si>
    <t>Anita Mahato</t>
  </si>
  <si>
    <t>JHCOB/2022/00060</t>
  </si>
  <si>
    <t xml:space="preserve">rejected </t>
  </si>
  <si>
    <t>8789635225</t>
  </si>
  <si>
    <t>Priya Kumari</t>
  </si>
  <si>
    <t>JHCBC/2022/16024</t>
  </si>
  <si>
    <t>7488471979</t>
  </si>
  <si>
    <t>Nitin Kumar</t>
  </si>
  <si>
    <t>JHCBC/2022/16021</t>
  </si>
  <si>
    <t>8092814233</t>
  </si>
  <si>
    <t>Pieu Mallick</t>
  </si>
  <si>
    <t>JHCBC/2022/18028</t>
  </si>
  <si>
    <t>Pinku Mallick</t>
  </si>
  <si>
    <t>JHCBC/2022/23432</t>
  </si>
  <si>
    <t>JHCBC/2022/46877</t>
  </si>
  <si>
    <t>bc2</t>
  </si>
  <si>
    <t>9304067276</t>
  </si>
  <si>
    <t>Probir Kumar Das</t>
  </si>
  <si>
    <t>JHCBC/2022/52251</t>
  </si>
  <si>
    <t>Akash Das</t>
  </si>
  <si>
    <t>JHCBC/2022/52616</t>
  </si>
  <si>
    <t>Rana Das</t>
  </si>
  <si>
    <t>JHCBC/2022/52631</t>
  </si>
  <si>
    <t>sidam Dutta</t>
  </si>
  <si>
    <t>JHCBC/2022/56988</t>
  </si>
  <si>
    <t>Sukhendu Dutta</t>
  </si>
  <si>
    <t>JHCBC/2022/57068</t>
  </si>
  <si>
    <t>Jiten Ho</t>
  </si>
  <si>
    <t>JHCST/2022/60388</t>
  </si>
  <si>
    <t>Chandani Ho</t>
  </si>
  <si>
    <t>JHCST/2022/63287</t>
  </si>
  <si>
    <t>father id with prapatra</t>
  </si>
  <si>
    <t>24-0-2022</t>
  </si>
  <si>
    <t>JHCST/2022/75645</t>
  </si>
  <si>
    <t>Somnath Yadav</t>
  </si>
  <si>
    <t>JHCBC/2022/104578</t>
  </si>
  <si>
    <t>JHCBC/2022/104751</t>
  </si>
  <si>
    <t>JHCOB/2022/12901</t>
  </si>
  <si>
    <t>Deepali Mahato</t>
  </si>
  <si>
    <t>JHCBC/2022/132544</t>
  </si>
  <si>
    <t>Pushpa Mahato</t>
  </si>
  <si>
    <t>JHCBC/2022/132608</t>
  </si>
  <si>
    <t>Mobile No</t>
  </si>
  <si>
    <t>Token No.</t>
  </si>
  <si>
    <t>Status</t>
  </si>
  <si>
    <t>Vimala Devi</t>
  </si>
  <si>
    <t>ic001</t>
  </si>
  <si>
    <t>JHIC/2017/325639</t>
  </si>
  <si>
    <t>Surendra Kumar Singh</t>
  </si>
  <si>
    <t>IC002</t>
  </si>
  <si>
    <t>JHIC/2017/325677</t>
  </si>
  <si>
    <t>Anil Kumar Pandey</t>
  </si>
  <si>
    <t>IC003</t>
  </si>
  <si>
    <t>JHIC/2017/393838</t>
  </si>
  <si>
    <t>IC004</t>
  </si>
  <si>
    <t>Sonaram Hembram</t>
  </si>
  <si>
    <t>IC005</t>
  </si>
  <si>
    <t>Gour Hari Kha</t>
  </si>
  <si>
    <t>IC006</t>
  </si>
  <si>
    <t>JHIC/2017/481231</t>
  </si>
  <si>
    <t>Ratan Mahato</t>
  </si>
  <si>
    <t>IC007</t>
  </si>
  <si>
    <t>Suryendu Bikas Gorai</t>
  </si>
  <si>
    <t>IC008</t>
  </si>
  <si>
    <t>JHIC/2017/598231</t>
  </si>
  <si>
    <t>IC009</t>
  </si>
  <si>
    <t>Abhimanyu Kr Sharma</t>
  </si>
  <si>
    <t>IC010</t>
  </si>
  <si>
    <t>IC011</t>
  </si>
  <si>
    <t>IC012</t>
  </si>
  <si>
    <t>JHIC/2017/705040</t>
  </si>
  <si>
    <t>Deepu Gorai</t>
  </si>
  <si>
    <t>IC013</t>
  </si>
  <si>
    <t>JHIC/2017/749955</t>
  </si>
  <si>
    <t>Md Zeeshan Ahmad</t>
  </si>
  <si>
    <t>IC014</t>
  </si>
  <si>
    <t>JHIC/2017/704981</t>
  </si>
  <si>
    <t>Ghasiram Mardi</t>
  </si>
  <si>
    <t>IC015</t>
  </si>
  <si>
    <t>JHIC/2017/836855</t>
  </si>
  <si>
    <t>Sibtain Khan</t>
  </si>
  <si>
    <t>IC016</t>
  </si>
  <si>
    <t>JHIC/2017/837661</t>
  </si>
  <si>
    <t>IC017</t>
  </si>
  <si>
    <t>JHIC/2017/838702</t>
  </si>
  <si>
    <t>ROP</t>
  </si>
  <si>
    <t>Ruqaiyaa Khanum</t>
  </si>
  <si>
    <t>IC018</t>
  </si>
  <si>
    <t>JHIC/2017/864851</t>
  </si>
  <si>
    <t>Nikhat Fatma</t>
  </si>
  <si>
    <t>IC019</t>
  </si>
  <si>
    <t>JHIC/2017/864921</t>
  </si>
  <si>
    <t>IC020</t>
  </si>
  <si>
    <t>JHIC/2017/705094</t>
  </si>
  <si>
    <t>Ravi Shankar Pandey</t>
  </si>
  <si>
    <t>IC021</t>
  </si>
  <si>
    <t>JHIC/2017/945115</t>
  </si>
  <si>
    <t>Manoj Kumar Singh</t>
  </si>
  <si>
    <t>IC022</t>
  </si>
  <si>
    <t>JHIC/2017/995113</t>
  </si>
  <si>
    <t>Kanchan Mahata</t>
  </si>
  <si>
    <t>IC023</t>
  </si>
  <si>
    <t>JHIC/2017/1029212</t>
  </si>
  <si>
    <t>Nazia Tabassum</t>
  </si>
  <si>
    <t>IC024</t>
  </si>
  <si>
    <t>JHIC/2017/1056200</t>
  </si>
  <si>
    <t>9204484672</t>
  </si>
  <si>
    <t>Bir Bahadur Prasad</t>
  </si>
  <si>
    <t>IC025</t>
  </si>
  <si>
    <t>JHIC/2017/1073199</t>
  </si>
  <si>
    <t>K Prabhakar Reddy</t>
  </si>
  <si>
    <t>IC026</t>
  </si>
  <si>
    <t>JHIC/2017/1074598</t>
  </si>
  <si>
    <t>Rahul Kalindi</t>
  </si>
  <si>
    <t>IC027</t>
  </si>
  <si>
    <t>JHIC/2017/1080735</t>
  </si>
  <si>
    <t>Sunil Chndra Dutta</t>
  </si>
  <si>
    <t>IC028</t>
  </si>
  <si>
    <t>JHIC/2017/1081944</t>
  </si>
  <si>
    <t>9308587351</t>
  </si>
  <si>
    <t>Sanjay Kumar Yadav</t>
  </si>
  <si>
    <t>IC029</t>
  </si>
  <si>
    <t>JHIC/2017/1109025</t>
  </si>
  <si>
    <t>8603324455</t>
  </si>
  <si>
    <t>Shatrughan Sharma</t>
  </si>
  <si>
    <t>IC030</t>
  </si>
  <si>
    <t>JHIC/2017/1117832</t>
  </si>
  <si>
    <t>Dilip Nayak</t>
  </si>
  <si>
    <t>IC031</t>
  </si>
  <si>
    <t>JHIC/2017/1120980</t>
  </si>
  <si>
    <t>9031930908</t>
  </si>
  <si>
    <t>Ayush Nayak</t>
  </si>
  <si>
    <t>IC032</t>
  </si>
  <si>
    <t>JHIC/2017/1124829</t>
  </si>
  <si>
    <t>7250996657</t>
  </si>
  <si>
    <t>Pooja Kumari</t>
  </si>
  <si>
    <t>IC033</t>
  </si>
  <si>
    <t>JHIC/2017/1136530</t>
  </si>
  <si>
    <t>Mansi Priya</t>
  </si>
  <si>
    <t>IC034</t>
  </si>
  <si>
    <t>JHIC/2017/1136573</t>
  </si>
  <si>
    <t>Sahindar Kour</t>
  </si>
  <si>
    <t>IC035</t>
  </si>
  <si>
    <t>JHIC/2017/1151171</t>
  </si>
  <si>
    <t>9031860898</t>
  </si>
  <si>
    <t>Mahesh Prasad Yadav</t>
  </si>
  <si>
    <t>JHIC/2017/1138736</t>
  </si>
  <si>
    <t>Sanjay Kumar Singh</t>
  </si>
  <si>
    <t>IC37</t>
  </si>
  <si>
    <t>JHIC/2017/1165430</t>
  </si>
  <si>
    <t>deivered</t>
  </si>
  <si>
    <t>9264248772</t>
  </si>
  <si>
    <t>Sabiha Parween</t>
  </si>
  <si>
    <t>IC038</t>
  </si>
  <si>
    <t>JHIC/2018/02650</t>
  </si>
  <si>
    <t>Binoti Gorai</t>
  </si>
  <si>
    <t>IC039</t>
  </si>
  <si>
    <t>JHIC/2018/05554</t>
  </si>
  <si>
    <t>Rajkumar Gorai</t>
  </si>
  <si>
    <t>IC040</t>
  </si>
  <si>
    <t>JHIC/2018/05648</t>
  </si>
  <si>
    <t>Saiyad Sakib</t>
  </si>
  <si>
    <t>IC041</t>
  </si>
  <si>
    <t>JHIC/2018/15482</t>
  </si>
  <si>
    <t>MD ASHARAF KHAN</t>
  </si>
  <si>
    <t>IC042</t>
  </si>
  <si>
    <t>JHIC/2018/17988</t>
  </si>
  <si>
    <t>Birendra Roy</t>
  </si>
  <si>
    <t>ic043</t>
  </si>
  <si>
    <t>JHIC/2018/44960</t>
  </si>
  <si>
    <t>RAJU  KARMAKAR</t>
  </si>
  <si>
    <t>IC044</t>
  </si>
  <si>
    <t>JHIC/2018/46768</t>
  </si>
  <si>
    <t>7209763632</t>
  </si>
  <si>
    <t>Imtiaz Ali</t>
  </si>
  <si>
    <t>IC045</t>
  </si>
  <si>
    <t>JHIC/2018/55434</t>
  </si>
  <si>
    <t>Shazia Yasmin</t>
  </si>
  <si>
    <t>IC046</t>
  </si>
  <si>
    <t>JHIC/2018/55883</t>
  </si>
  <si>
    <t>8797202896</t>
  </si>
  <si>
    <t>Tulsi Nag</t>
  </si>
  <si>
    <t>IC047</t>
  </si>
  <si>
    <t>JHIC/2018/62253</t>
  </si>
  <si>
    <t>Saroj Agarwal</t>
  </si>
  <si>
    <t>IC048</t>
  </si>
  <si>
    <t>JHIC/2018/60823</t>
  </si>
  <si>
    <t>Rabindranath Rajak</t>
  </si>
  <si>
    <t>IC049</t>
  </si>
  <si>
    <t>JHIC/2018/64518</t>
  </si>
  <si>
    <t>Ajit Kumar Rajak</t>
  </si>
  <si>
    <t>IC050</t>
  </si>
  <si>
    <t>JHIC/2018/64496</t>
  </si>
  <si>
    <t>Rajesh Gorai</t>
  </si>
  <si>
    <t>IC051</t>
  </si>
  <si>
    <t>JHIC/2018/64540</t>
  </si>
  <si>
    <t>9279217946</t>
  </si>
  <si>
    <t>Dipak Maity</t>
  </si>
  <si>
    <t>IC052</t>
  </si>
  <si>
    <t>JHIC/2018/68113</t>
  </si>
  <si>
    <t>9304926453</t>
  </si>
  <si>
    <t>PREM RAJAK</t>
  </si>
  <si>
    <t>ic053</t>
  </si>
  <si>
    <t>JHIC/2018/68058</t>
  </si>
  <si>
    <t>9263998050</t>
  </si>
  <si>
    <t>IC054</t>
  </si>
  <si>
    <t>JHIC/2018/68129</t>
  </si>
  <si>
    <t>9430727288</t>
  </si>
  <si>
    <t>IC055</t>
  </si>
  <si>
    <t>JHIC/2018/68580</t>
  </si>
  <si>
    <t>8603848547</t>
  </si>
  <si>
    <t>Riyaz Khan</t>
  </si>
  <si>
    <t>IC056</t>
  </si>
  <si>
    <t>JHIC/2018/68604</t>
  </si>
  <si>
    <t>Bipin Bihari Prasad</t>
  </si>
  <si>
    <t>IC057</t>
  </si>
  <si>
    <t>JHIC/2018/71174</t>
  </si>
  <si>
    <t>Md Asharaf Khan</t>
  </si>
  <si>
    <t>IC058</t>
  </si>
  <si>
    <t>JHIC/2018/85621</t>
  </si>
  <si>
    <t>9771410924</t>
  </si>
  <si>
    <t>Pramod Kumar</t>
  </si>
  <si>
    <t>IC059</t>
  </si>
  <si>
    <t>JHIC/2018/91720</t>
  </si>
  <si>
    <t>9972703123</t>
  </si>
  <si>
    <t>Rajesh Kumar Prasad</t>
  </si>
  <si>
    <t>IC060</t>
  </si>
  <si>
    <t>JHIC/2018/91744</t>
  </si>
  <si>
    <t>9204484653</t>
  </si>
  <si>
    <t>Gopal Prasad</t>
  </si>
  <si>
    <t>IC061</t>
  </si>
  <si>
    <t>JHIC/2018/91847</t>
  </si>
  <si>
    <t>8789973245</t>
  </si>
  <si>
    <t>Akbal Kour</t>
  </si>
  <si>
    <t>IC062</t>
  </si>
  <si>
    <t>JHIC/2018/92018</t>
  </si>
  <si>
    <t>IC063</t>
  </si>
  <si>
    <t>JHIC/2018/96893</t>
  </si>
  <si>
    <t>bariasrm</t>
  </si>
  <si>
    <t>Nitya Nand Gorai</t>
  </si>
  <si>
    <t>IC064</t>
  </si>
  <si>
    <t>JHIC/2018/103474</t>
  </si>
  <si>
    <t>IC065</t>
  </si>
  <si>
    <t>JHIC/2018/118459</t>
  </si>
  <si>
    <t>Ambuj Das</t>
  </si>
  <si>
    <t>IC066</t>
  </si>
  <si>
    <t>JHIC/2018/127277</t>
  </si>
  <si>
    <t>Ishrat Perween</t>
  </si>
  <si>
    <t>IC067</t>
  </si>
  <si>
    <t>JHIC/2018/127349</t>
  </si>
  <si>
    <t>Ravi Kumar Shrivastava</t>
  </si>
  <si>
    <t>IC068</t>
  </si>
  <si>
    <t>JHIC/2018/127413</t>
  </si>
  <si>
    <t>SHAZIA YASMIN</t>
  </si>
  <si>
    <t>IC069</t>
  </si>
  <si>
    <t>JHIC/2018/127429</t>
  </si>
  <si>
    <t>Ravi Kant Thakur</t>
  </si>
  <si>
    <t>IC070</t>
  </si>
  <si>
    <t>JHIC/2018/143271</t>
  </si>
  <si>
    <t>Ram Prasad Sharma</t>
  </si>
  <si>
    <t>IC071</t>
  </si>
  <si>
    <t>JHIC/2018/143392</t>
  </si>
  <si>
    <t>Satyajit Banerjee</t>
  </si>
  <si>
    <t>IC072</t>
  </si>
  <si>
    <t>JHIC/2018/153308</t>
  </si>
  <si>
    <t>Jagannath Barik</t>
  </si>
  <si>
    <t>IC073</t>
  </si>
  <si>
    <t>JHIC/2018/160002</t>
  </si>
  <si>
    <t>Uttam Gorai</t>
  </si>
  <si>
    <t>Ic074</t>
  </si>
  <si>
    <t>JHIC/2018/160014</t>
  </si>
  <si>
    <t>IC075</t>
  </si>
  <si>
    <t>JHIC/2018/167633</t>
  </si>
  <si>
    <t>Santosh Kumar Jaiswal</t>
  </si>
  <si>
    <t>IC076</t>
  </si>
  <si>
    <t>JHIC/2018/172658</t>
  </si>
  <si>
    <t>Mantu Gupta</t>
  </si>
  <si>
    <t>IC077</t>
  </si>
  <si>
    <t>JHIC/2018/181068</t>
  </si>
  <si>
    <t>Anand Kumar Paswan</t>
  </si>
  <si>
    <t>Ic078</t>
  </si>
  <si>
    <t>JHIC/2018/181161</t>
  </si>
  <si>
    <t>Umesh Sharma</t>
  </si>
  <si>
    <t>IC079</t>
  </si>
  <si>
    <t>JHIC/2018/182336</t>
  </si>
  <si>
    <t>Kaushal Kumar</t>
  </si>
  <si>
    <t>IC080</t>
  </si>
  <si>
    <t>JHIC/2018/190972</t>
  </si>
  <si>
    <t>JHIC/2018/206050</t>
  </si>
  <si>
    <t>Laxmi Gorai</t>
  </si>
  <si>
    <t>JHIC/2018/216229</t>
  </si>
  <si>
    <t>JHIC/2018/249938</t>
  </si>
  <si>
    <t>7209604163</t>
  </si>
  <si>
    <t>Md Nasruddin Ansari</t>
  </si>
  <si>
    <t>JHIC/2018/256935</t>
  </si>
  <si>
    <t>9304916210</t>
  </si>
  <si>
    <t>Md Irshad Ansari</t>
  </si>
  <si>
    <t>JHIC/2018/258411</t>
  </si>
  <si>
    <t>9204221701</t>
  </si>
  <si>
    <t>Nilkanto Mukherkjee</t>
  </si>
  <si>
    <t>JHIC/2018/289006</t>
  </si>
  <si>
    <t>9334390633</t>
  </si>
  <si>
    <t>Bashishth  Narayan Jha</t>
  </si>
  <si>
    <t>JHIC/2018/323712</t>
  </si>
  <si>
    <t>834901351820</t>
  </si>
  <si>
    <t>Seema Sharma</t>
  </si>
  <si>
    <t>JHIC/2018/336604</t>
  </si>
  <si>
    <t>boi</t>
  </si>
  <si>
    <t>Ajay Sahani</t>
  </si>
  <si>
    <t>JHIC/2018/365075</t>
  </si>
  <si>
    <t>Madan Kumar Prasad</t>
  </si>
  <si>
    <t>JHIC/2018/394310</t>
  </si>
  <si>
    <t>Md. Nayeem</t>
  </si>
  <si>
    <t>JHIC/2018/394518</t>
  </si>
  <si>
    <t>9308169985</t>
  </si>
  <si>
    <t>S. Ravi</t>
  </si>
  <si>
    <t>JHIC/2018/414071</t>
  </si>
  <si>
    <t>sethi bhaiya</t>
  </si>
  <si>
    <t>Uttam Kumar Sharma</t>
  </si>
  <si>
    <t>JHIC/2018/426406</t>
  </si>
  <si>
    <t>9279580589</t>
  </si>
  <si>
    <t>JHIC/2018/430130</t>
  </si>
  <si>
    <t>Mohammad Aman Ali</t>
  </si>
  <si>
    <t>JHIC/2018/450194</t>
  </si>
  <si>
    <t>8092720946</t>
  </si>
  <si>
    <t>Rohit Raj Sah</t>
  </si>
  <si>
    <t>JHIC/2018/471147</t>
  </si>
  <si>
    <t>JHIC/2018/494685</t>
  </si>
  <si>
    <t>JHRC/2018/750942</t>
  </si>
  <si>
    <t>7209311225</t>
  </si>
  <si>
    <t>Prem Nath Pandit</t>
  </si>
  <si>
    <t>JHIC/2018/506129</t>
  </si>
  <si>
    <t>naresh Lohra</t>
  </si>
  <si>
    <t>JHIC/2018/546335</t>
  </si>
  <si>
    <t>tretretretertert</t>
  </si>
  <si>
    <t>9931116641</t>
  </si>
  <si>
    <t>Brijesh Mani Tripathy</t>
  </si>
  <si>
    <t>JHIC/2018/589408</t>
  </si>
  <si>
    <t>new affidavit</t>
  </si>
  <si>
    <t>Shaika Siddique</t>
  </si>
  <si>
    <t>JHIC/2018/593452</t>
  </si>
  <si>
    <t>Fozia mehrosh Siddique</t>
  </si>
  <si>
    <t>JHIC/2018/593519</t>
  </si>
  <si>
    <t>JHIC/2018/593555</t>
  </si>
  <si>
    <t>7209879496</t>
  </si>
  <si>
    <t>Chitto Maan Kalindi</t>
  </si>
  <si>
    <t>JHIC/2018/598143</t>
  </si>
  <si>
    <t>7070538813</t>
  </si>
  <si>
    <t>Shivaji Munda</t>
  </si>
  <si>
    <t>JHIC/2018/598235</t>
  </si>
  <si>
    <t>Narendra Kumar Jha</t>
  </si>
  <si>
    <t>JHIC/2018/602502</t>
  </si>
  <si>
    <t>7209767494</t>
  </si>
  <si>
    <t>JHIC/2018/603920</t>
  </si>
  <si>
    <t>6203580895</t>
  </si>
  <si>
    <t>Najrana Begum</t>
  </si>
  <si>
    <t>JHIC/2018/648748</t>
  </si>
  <si>
    <t>Lalti Samad</t>
  </si>
  <si>
    <t>JHIC/2018/674304</t>
  </si>
  <si>
    <t>Anita Devi</t>
  </si>
  <si>
    <t>JHIC/2018/674054</t>
  </si>
  <si>
    <t>8986729702</t>
  </si>
  <si>
    <t>S. Satyawati Devi</t>
  </si>
  <si>
    <t>JHIC/2018/674253</t>
  </si>
  <si>
    <t>Sunil Kumar Prasad</t>
  </si>
  <si>
    <t>JHIC/2018/674219</t>
  </si>
  <si>
    <t>9608521844</t>
  </si>
  <si>
    <t>Sikandar Ray</t>
  </si>
  <si>
    <t>JHIC/2018/678328</t>
  </si>
  <si>
    <t>983555</t>
  </si>
  <si>
    <t>JHIC/2018/682870</t>
  </si>
  <si>
    <t>9708675599</t>
  </si>
  <si>
    <t>Shadab Ahmad</t>
  </si>
  <si>
    <t>JHIC/2018/695065</t>
  </si>
  <si>
    <t>7209948485</t>
  </si>
  <si>
    <t>JHIC/2018/695092</t>
  </si>
  <si>
    <t>7250117912</t>
  </si>
  <si>
    <t>JHIC/2018/713140</t>
  </si>
  <si>
    <t>JHIC/2018/723853</t>
  </si>
  <si>
    <t>self</t>
  </si>
  <si>
    <t>JHIC/2018/742686</t>
  </si>
  <si>
    <t>Mangal mahato</t>
  </si>
  <si>
    <t>JHIC/2018/742847</t>
  </si>
  <si>
    <t>7070907522</t>
  </si>
  <si>
    <t>Laxmi Patar</t>
  </si>
  <si>
    <t>JHIC/2018/790405</t>
  </si>
  <si>
    <t>7488476946</t>
  </si>
  <si>
    <t>JHIC/2018/826128</t>
  </si>
  <si>
    <t>8271405298</t>
  </si>
  <si>
    <t>Md Mumtaz Ansari</t>
  </si>
  <si>
    <t>JHIC/2018/834905</t>
  </si>
  <si>
    <t>7479654142</t>
  </si>
  <si>
    <t>Govhardhan Mahato</t>
  </si>
  <si>
    <t>JHIC/2018/847889</t>
  </si>
  <si>
    <t>7632985242</t>
  </si>
  <si>
    <t>Kavita Chatterjee</t>
  </si>
  <si>
    <t>JHIC/2018/848007</t>
  </si>
  <si>
    <t>Taiyeb Faraz</t>
  </si>
  <si>
    <t>JHIC/2018/910385</t>
  </si>
  <si>
    <t>7903565263</t>
  </si>
  <si>
    <t>Ishrat  Parween</t>
  </si>
  <si>
    <t>JHIC/2018/941095</t>
  </si>
  <si>
    <t>Bablu karmakar</t>
  </si>
  <si>
    <t>JHIC/2018/836334</t>
  </si>
  <si>
    <t>9608810854</t>
  </si>
  <si>
    <t>Yahya Khan</t>
  </si>
  <si>
    <t>JHIC/2018/986153</t>
  </si>
  <si>
    <t>9308829666</t>
  </si>
  <si>
    <t> JHIC/2018/1004070</t>
  </si>
  <si>
    <t>Dipak Goai</t>
  </si>
  <si>
    <t>JHIC/2018/1010189</t>
  </si>
  <si>
    <t>8092701841</t>
  </si>
  <si>
    <t>Talha Shahnawaz</t>
  </si>
  <si>
    <t>JHIC/2018/1011213</t>
  </si>
  <si>
    <t>7209512860</t>
  </si>
  <si>
    <t>Sarfaraz Akhtar</t>
  </si>
  <si>
    <t>JHIC/2018/1011459</t>
  </si>
  <si>
    <t>8092633002</t>
  </si>
  <si>
    <t>Ranjit Sahu</t>
  </si>
  <si>
    <t>JHIC/2018/1033242</t>
  </si>
  <si>
    <t>7541920867</t>
  </si>
  <si>
    <t>Ujjal Kumar Gorai</t>
  </si>
  <si>
    <t>JHIC/2018/1033493</t>
  </si>
  <si>
    <t>9798744486</t>
  </si>
  <si>
    <t>Moidur Rahman</t>
  </si>
  <si>
    <t>JHIC/2018/1089870</t>
  </si>
  <si>
    <t>8092277299</t>
  </si>
  <si>
    <t>Sunil Kumar Sharma</t>
  </si>
  <si>
    <t>JHIC/2018/1089884</t>
  </si>
  <si>
    <t>8603248895</t>
  </si>
  <si>
    <t>Sanjida Khatoon</t>
  </si>
  <si>
    <t>JHIC/2018/1089901</t>
  </si>
  <si>
    <t>9234805864</t>
  </si>
  <si>
    <t>Asha Devi</t>
  </si>
  <si>
    <t>JHIC/2018/1110985</t>
  </si>
  <si>
    <t>7461910428</t>
  </si>
  <si>
    <t>Mithu Karmakar</t>
  </si>
  <si>
    <t>JHIC/2018/1153934</t>
  </si>
  <si>
    <t>Anil Kumar Sinha</t>
  </si>
  <si>
    <t>JHIC/2018/1166333</t>
  </si>
  <si>
    <t>Shanti Devi</t>
  </si>
  <si>
    <t>RC156</t>
  </si>
  <si>
    <t>JHIC/2018/1181882</t>
  </si>
  <si>
    <t>Roshan Kumar Yadav</t>
  </si>
  <si>
    <t>JHIC/2018/1202902</t>
  </si>
  <si>
    <t>9835356289</t>
  </si>
  <si>
    <t>Bimal Ray Karmakar</t>
  </si>
  <si>
    <t>JHIC/2018/1218530</t>
  </si>
  <si>
    <t>tj</t>
  </si>
  <si>
    <t>JHIC/2018/1218635</t>
  </si>
  <si>
    <t>9546763517</t>
  </si>
  <si>
    <t>Satyendra Kumar</t>
  </si>
  <si>
    <t>JHIC/2018/1218646</t>
  </si>
  <si>
    <t>8092390376</t>
  </si>
  <si>
    <t>Jhantu Das</t>
  </si>
  <si>
    <t>JHIC/2018/1218655</t>
  </si>
  <si>
    <t>Binit Jaiswal</t>
  </si>
  <si>
    <t>JHIC/2018/1225035</t>
  </si>
  <si>
    <t>8986771865</t>
  </si>
  <si>
    <t>Ratan Baskey</t>
  </si>
  <si>
    <t>JHIC/2018/1225199</t>
  </si>
  <si>
    <t>Gori Devi</t>
  </si>
  <si>
    <t>JHIC/2018/1225208</t>
  </si>
  <si>
    <t>INITIATED</t>
  </si>
  <si>
    <t>8092323535</t>
  </si>
  <si>
    <t>Bijay Baskey</t>
  </si>
  <si>
    <t> JHIC/2018/1225235</t>
  </si>
  <si>
    <t>9905113987</t>
  </si>
  <si>
    <t>Manoj Kumar Pandit</t>
  </si>
  <si>
    <t>JHIC/2018/1225253</t>
  </si>
  <si>
    <t>Kanhaiya Kumar</t>
  </si>
  <si>
    <t>JHIC/2019/00082</t>
  </si>
  <si>
    <t>JHIC/2019/00088</t>
  </si>
  <si>
    <t>Rahul Dubey</t>
  </si>
  <si>
    <t>JHIC/2019/00092</t>
  </si>
  <si>
    <t>Raj Kumar Singh</t>
  </si>
  <si>
    <t>JHIC/2019/00096</t>
  </si>
  <si>
    <t>Vikash Kumar Bhagat</t>
  </si>
  <si>
    <t>JHIC/2019/00098</t>
  </si>
  <si>
    <t>Dharmendra Kumar Gupta</t>
  </si>
  <si>
    <t>JHIC/2019/00112</t>
  </si>
  <si>
    <t>7209360650</t>
  </si>
  <si>
    <t>JHIC/2019/55704</t>
  </si>
  <si>
    <t>7050943450</t>
  </si>
  <si>
    <t>Sahender Kumar Yadav</t>
  </si>
  <si>
    <t>JHIC/2019/64393</t>
  </si>
  <si>
    <t>Mohammad Kamaluddin</t>
  </si>
  <si>
    <t> JHIC/2019/64410</t>
  </si>
  <si>
    <t>Shek Mo Sabibur Rahaman</t>
  </si>
  <si>
    <t>JHIC/2019/64470</t>
  </si>
  <si>
    <t>Mohammad Moinuddin</t>
  </si>
  <si>
    <t>JHIC/2019/64478</t>
  </si>
  <si>
    <t>JHIC/2019/91194</t>
  </si>
  <si>
    <t>Sahander Kumar Yadav</t>
  </si>
  <si>
    <t>JHIC/2019/91199</t>
  </si>
  <si>
    <t>JHIC/2019/91208</t>
  </si>
  <si>
    <t>JHIC/2019/91239</t>
  </si>
  <si>
    <t>Laxman Kumar</t>
  </si>
  <si>
    <t>JHIC/2019/91253</t>
  </si>
  <si>
    <t>Mohammad Asif Ali</t>
  </si>
  <si>
    <t>JHIC/2019/91277</t>
  </si>
  <si>
    <t>Tarak Nath Gorai</t>
  </si>
  <si>
    <t> JHIC/2019/91302</t>
  </si>
  <si>
    <t>Samir Gorai</t>
  </si>
  <si>
    <t>JHIC/2019/91315</t>
  </si>
  <si>
    <t>8987692221</t>
  </si>
  <si>
    <t>Sanjay Mahato</t>
  </si>
  <si>
    <t>JHIC/2019/100139</t>
  </si>
  <si>
    <t>9525218309</t>
  </si>
  <si>
    <t>Ravi Kumar Prasad</t>
  </si>
  <si>
    <t>JHIC/2019/100223</t>
  </si>
  <si>
    <t>Noor Jahan Khatoon</t>
  </si>
  <si>
    <t>JHIC/2019/110941</t>
  </si>
  <si>
    <t>Goutam Gorai</t>
  </si>
  <si>
    <t>JHIC/2019/110951</t>
  </si>
  <si>
    <t>JHIC/2019/110959</t>
  </si>
  <si>
    <t>JHIC/2019/110972</t>
  </si>
  <si>
    <t>DUP</t>
  </si>
  <si>
    <t>JHIC/2019/147964</t>
  </si>
  <si>
    <t>IC181</t>
  </si>
  <si>
    <t>JHIC/2019/128176</t>
  </si>
  <si>
    <t>9234249934</t>
  </si>
  <si>
    <t>Sunita Gorai</t>
  </si>
  <si>
    <t>JHIC/2019/128057</t>
  </si>
  <si>
    <t>7209638077</t>
  </si>
  <si>
    <t>Laxman sharma</t>
  </si>
  <si>
    <t>IC180</t>
  </si>
  <si>
    <t>JHIC/2019/128189</t>
  </si>
  <si>
    <t>IC179</t>
  </si>
  <si>
    <t>JHIC/2019/128194</t>
  </si>
  <si>
    <t>7717777141</t>
  </si>
  <si>
    <t>Md Mushtaque</t>
  </si>
  <si>
    <t>IC183</t>
  </si>
  <si>
    <t>JHIC/2019/144848</t>
  </si>
  <si>
    <t>Sumit Chandra Deo</t>
  </si>
  <si>
    <t>JHIC/2019/148034</t>
  </si>
  <si>
    <t>Manoj Kumar Prasad</t>
  </si>
  <si>
    <t>JHIC/2019/148050</t>
  </si>
  <si>
    <t>9334618282</t>
  </si>
  <si>
    <t>Bani Fatma</t>
  </si>
  <si>
    <t>JHIC/2019/159521</t>
  </si>
  <si>
    <t>Rajneesh Jha</t>
  </si>
  <si>
    <t>JHIC/2019/159535</t>
  </si>
  <si>
    <t>Chandni Hembram</t>
  </si>
  <si>
    <t>JHIC/2019/164442</t>
  </si>
  <si>
    <t>6206403037</t>
  </si>
  <si>
    <t> JHIC/2019/178507</t>
  </si>
  <si>
    <t>9572682021</t>
  </si>
  <si>
    <t>Anchala Devi</t>
  </si>
  <si>
    <t>JHIC/2019/178649</t>
  </si>
  <si>
    <t>Santosh Kumar</t>
  </si>
  <si>
    <t> JHIC/2019/178665</t>
  </si>
  <si>
    <t>9097191424</t>
  </si>
  <si>
    <t>Vijay Kumar Singh</t>
  </si>
  <si>
    <t>JHIC/2019/178673</t>
  </si>
  <si>
    <t>PSS</t>
  </si>
  <si>
    <t>Shankar Swansi</t>
  </si>
  <si>
    <t>JHIC/2019/178680</t>
  </si>
  <si>
    <t>Bharat Kumar</t>
  </si>
  <si>
    <t> JHIC/2019/178691</t>
  </si>
  <si>
    <t>JHIC/2019/188900</t>
  </si>
  <si>
    <t>JHIC/2019/189543</t>
  </si>
  <si>
    <t>JHIC/2019/191121</t>
  </si>
  <si>
    <t>7992279452</t>
  </si>
  <si>
    <t>JHIC/2019/199069</t>
  </si>
  <si>
    <t>sardar</t>
  </si>
  <si>
    <t>Dhrub Oraon</t>
  </si>
  <si>
    <t>JHIC/2019/212837</t>
  </si>
  <si>
    <t>9065236989</t>
  </si>
  <si>
    <t>JHIC/2019/212948</t>
  </si>
  <si>
    <t>Sujit Kumar Chel</t>
  </si>
  <si>
    <t>JHIC/2019/213055</t>
  </si>
  <si>
    <t>9031733929</t>
  </si>
  <si>
    <t>JHIC/2019/216552</t>
  </si>
  <si>
    <t>7209930001</t>
  </si>
  <si>
    <t>Jayant Lal Das</t>
  </si>
  <si>
    <t>JHIC/2019/229456</t>
  </si>
  <si>
    <t>Priti Das</t>
  </si>
  <si>
    <t>JHIC/2019/229460</t>
  </si>
  <si>
    <t>9263228432</t>
  </si>
  <si>
    <t>Rohit Kumar</t>
  </si>
  <si>
    <t>JHIC/2019/235429</t>
  </si>
  <si>
    <t>Re-applied</t>
  </si>
  <si>
    <t>JHIC/2019/237045</t>
  </si>
  <si>
    <t>9431525611</t>
  </si>
  <si>
    <t>Roshani Kumari</t>
  </si>
  <si>
    <t>JHIC/2019/240433</t>
  </si>
  <si>
    <t>Nisha Singh</t>
  </si>
  <si>
    <t>JHIC/2019/241821</t>
  </si>
  <si>
    <t>9110947409</t>
  </si>
  <si>
    <t>Pawan Kumar</t>
  </si>
  <si>
    <t>JHIC/2019/298910</t>
  </si>
  <si>
    <t>Manoj Kumar</t>
  </si>
  <si>
    <t>JHIC/2019/298949</t>
  </si>
  <si>
    <t>7366984320</t>
  </si>
  <si>
    <t>Nehal Ahmad</t>
  </si>
  <si>
    <t>JHIC/2019/309091</t>
  </si>
  <si>
    <t xml:space="preserve">                                             </t>
  </si>
  <si>
    <t>829841113</t>
  </si>
  <si>
    <t>Budheswar Mahato</t>
  </si>
  <si>
    <t>JHIC/2019/309131</t>
  </si>
  <si>
    <t>8797471110</t>
  </si>
  <si>
    <t>Ram Bilash Singh</t>
  </si>
  <si>
    <t>JHIC/2019/315647</t>
  </si>
  <si>
    <t>9835143179</t>
  </si>
  <si>
    <t>Anurag Kumar Pandey</t>
  </si>
  <si>
    <t>JHIC/2019/315676</t>
  </si>
  <si>
    <t>JHIC/2019/327751</t>
  </si>
  <si>
    <t>9304296769</t>
  </si>
  <si>
    <t>Amit Kumar</t>
  </si>
  <si>
    <t>JHIC/2019/327697</t>
  </si>
  <si>
    <t>7209835960</t>
  </si>
  <si>
    <t>Sonia Mahato</t>
  </si>
  <si>
    <t>JHIC/2019/339916</t>
  </si>
  <si>
    <t>8340688603</t>
  </si>
  <si>
    <t>Surjeet Gorai</t>
  </si>
  <si>
    <t>JHIC/2019/343863</t>
  </si>
  <si>
    <t>9031059999</t>
  </si>
  <si>
    <t>Sanyukta Singh</t>
  </si>
  <si>
    <t>JHIC/2019/343922</t>
  </si>
  <si>
    <t>9334053289</t>
  </si>
  <si>
    <t>JHIC/2019/372476</t>
  </si>
  <si>
    <t>9279317125</t>
  </si>
  <si>
    <t>MD RIZWAN</t>
  </si>
  <si>
    <t>JHIC/2019/374231</t>
  </si>
  <si>
    <t>JHIC/2019/382451</t>
  </si>
  <si>
    <t>Upendra Kumar Singh</t>
  </si>
  <si>
    <t> JHIC/2019/394570</t>
  </si>
  <si>
    <t>9771843988</t>
  </si>
  <si>
    <t>Sunil Kumar Singh</t>
  </si>
  <si>
    <t>JHIC/2019/396439</t>
  </si>
  <si>
    <t>7209485067</t>
  </si>
  <si>
    <t>Md. Shamshad Khan</t>
  </si>
  <si>
    <t>6299266678</t>
  </si>
  <si>
    <t>JHIC/2019/403044</t>
  </si>
  <si>
    <t>Md Tanweer Ansari</t>
  </si>
  <si>
    <t>JHIC/2019/402121</t>
  </si>
  <si>
    <t>6201643988</t>
  </si>
  <si>
    <t>Sudesh Kumar Singh</t>
  </si>
  <si>
    <t>JHIC/2019/416830</t>
  </si>
  <si>
    <t>9097585066</t>
  </si>
  <si>
    <t>Md Zainul Zahiddin</t>
  </si>
  <si>
    <t>JHIC/2019/417531</t>
  </si>
  <si>
    <t>7209602238</t>
  </si>
  <si>
    <t>Biru Ravidas</t>
  </si>
  <si>
    <t>JHIC/2019/417554</t>
  </si>
  <si>
    <t>9835992025</t>
  </si>
  <si>
    <t>Biplab Chandra</t>
  </si>
  <si>
    <t>JHIC/2019/420249</t>
  </si>
  <si>
    <t xml:space="preserve">                                                                                                     </t>
  </si>
  <si>
    <t>BIRSANGR</t>
  </si>
  <si>
    <t>JHIC/2019/428111</t>
  </si>
  <si>
    <t>JHIC/2019/428128</t>
  </si>
  <si>
    <t>7903121089</t>
  </si>
  <si>
    <t>Gayatri Kumari</t>
  </si>
  <si>
    <t>JHIC/2019/452770</t>
  </si>
  <si>
    <t>Sabita Kumari</t>
  </si>
  <si>
    <t>JHIC/2019/452823</t>
  </si>
  <si>
    <t>8797066927</t>
  </si>
  <si>
    <t>Kusum Pandey</t>
  </si>
  <si>
    <t>JHIC/2019/453953</t>
  </si>
  <si>
    <t>Deepa Pillay</t>
  </si>
  <si>
    <t>JHIC/2019/454001</t>
  </si>
  <si>
    <t>8797275426</t>
  </si>
  <si>
    <t>Narendra NATH Pathak</t>
  </si>
  <si>
    <t>T COLONY</t>
  </si>
  <si>
    <t>JHIC/2019/466580</t>
  </si>
  <si>
    <t>8092278258</t>
  </si>
  <si>
    <t>Radhe Sandil</t>
  </si>
  <si>
    <t>BAGUNNGR</t>
  </si>
  <si>
    <t>JHIC/2019/466619</t>
  </si>
  <si>
    <t>Aruna Kiran</t>
  </si>
  <si>
    <t>JHIC/2019/469338</t>
  </si>
  <si>
    <t>9431329957</t>
  </si>
  <si>
    <t>RAMADHIN</t>
  </si>
  <si>
    <t>JHIC/2019/469375</t>
  </si>
  <si>
    <t>JHIC/2019/469418</t>
  </si>
  <si>
    <t>telco</t>
  </si>
  <si>
    <t>JHIC/2019/499663</t>
  </si>
  <si>
    <t>tatkal</t>
  </si>
  <si>
    <t>9534211113</t>
  </si>
  <si>
    <t>Mahjabeen Nisha</t>
  </si>
  <si>
    <t>JHIC/2019/500194</t>
  </si>
  <si>
    <t>9204449892</t>
  </si>
  <si>
    <t>Rekha Singh</t>
  </si>
  <si>
    <t>Telco</t>
  </si>
  <si>
    <t>JHIC/2019/504513</t>
  </si>
  <si>
    <t>Rajesh Kumar Pandey</t>
  </si>
  <si>
    <t>JHIC/2019/504560</t>
  </si>
  <si>
    <t>6200344158</t>
  </si>
  <si>
    <t>Anita Pandey</t>
  </si>
  <si>
    <t>JHIC/2019/504594</t>
  </si>
  <si>
    <t>9065820997</t>
  </si>
  <si>
    <t>Balbinder Kaur</t>
  </si>
  <si>
    <t>KGN</t>
  </si>
  <si>
    <t>JHIC/2019/507294</t>
  </si>
  <si>
    <t>7070955899</t>
  </si>
  <si>
    <t>Jay Prakash Pandey</t>
  </si>
  <si>
    <t>JOJOBERA</t>
  </si>
  <si>
    <t>JHIC/2019/509275</t>
  </si>
  <si>
    <t>Indu Devi</t>
  </si>
  <si>
    <t>JHIC/2019/509656</t>
  </si>
  <si>
    <t>8235183855</t>
  </si>
  <si>
    <t>Arpita Gorai</t>
  </si>
  <si>
    <t>JHIC/2019/513856</t>
  </si>
  <si>
    <t>8797464037</t>
  </si>
  <si>
    <t>RITA MISHRA</t>
  </si>
  <si>
    <t>JHIC/2019/513961</t>
  </si>
  <si>
    <t>8210507080</t>
  </si>
  <si>
    <t>Nandlal Mishra</t>
  </si>
  <si>
    <t>gbe</t>
  </si>
  <si>
    <t>JHIC/2019/514119</t>
  </si>
  <si>
    <t>9204695909</t>
  </si>
  <si>
    <t>Manish Kumar Thakur</t>
  </si>
  <si>
    <t>JHIC/2019/514149</t>
  </si>
  <si>
    <t>7204909850</t>
  </si>
  <si>
    <t>JHIC/2019/514204</t>
  </si>
  <si>
    <t>MD SABBIAR</t>
  </si>
  <si>
    <t>JHIC/2019/514390</t>
  </si>
  <si>
    <t>Devraj Nayak</t>
  </si>
  <si>
    <t>bhalubasa</t>
  </si>
  <si>
    <t>JHIC/2019/517310</t>
  </si>
  <si>
    <t>IC258</t>
  </si>
  <si>
    <t>GBW</t>
  </si>
  <si>
    <t>JHIC/2019/517917</t>
  </si>
  <si>
    <t>7870968831</t>
  </si>
  <si>
    <t>manifit</t>
  </si>
  <si>
    <t>JHIC/2019/520467</t>
  </si>
  <si>
    <t>9304595732</t>
  </si>
  <si>
    <t>kartikngr</t>
  </si>
  <si>
    <t>JHIC/2019/520500</t>
  </si>
  <si>
    <t>9204748254</t>
  </si>
  <si>
    <t>Nand Kishore Sharma</t>
  </si>
  <si>
    <t>colony</t>
  </si>
  <si>
    <t>JHIC/2019/520522</t>
  </si>
  <si>
    <t>8340192528</t>
  </si>
  <si>
    <t>Sashi Kant Kumar</t>
  </si>
  <si>
    <t>JHIC/2019/520539</t>
  </si>
  <si>
    <t>62034914921</t>
  </si>
  <si>
    <t>kgn</t>
  </si>
  <si>
    <t>JHIC/2019/520662</t>
  </si>
  <si>
    <t>Navin Kumar</t>
  </si>
  <si>
    <t>tuiladungri</t>
  </si>
  <si>
    <t>JHIC/2019/520736</t>
  </si>
  <si>
    <t>7209533542</t>
  </si>
  <si>
    <t>Madhuri Srivastava</t>
  </si>
  <si>
    <t>JHIC/2019/520755</t>
  </si>
  <si>
    <t>Prem Rajak</t>
  </si>
  <si>
    <t>burmamines</t>
  </si>
  <si>
    <t>JHIC/2019/520783</t>
  </si>
  <si>
    <t>Shanti Sharma</t>
  </si>
  <si>
    <t>vidyapati</t>
  </si>
  <si>
    <t>JHIC/2019/521779</t>
  </si>
  <si>
    <t>Dhiraj Sharma</t>
  </si>
  <si>
    <t>JHIC/2019/522017</t>
  </si>
  <si>
    <t>8797765494</t>
  </si>
  <si>
    <t>Jayshankar Gounder</t>
  </si>
  <si>
    <t>Bnagar</t>
  </si>
  <si>
    <t>JHIC/2019/522084</t>
  </si>
  <si>
    <t>8789062702</t>
  </si>
  <si>
    <t>Suraj Mukhi</t>
  </si>
  <si>
    <t>carriage col</t>
  </si>
  <si>
    <t>JHIC/2019/522242</t>
  </si>
  <si>
    <t>9973374883</t>
  </si>
  <si>
    <t>Mona Devi</t>
  </si>
  <si>
    <t>radhikangr</t>
  </si>
  <si>
    <t>JHIC/2019/527391</t>
  </si>
  <si>
    <t>7631030141</t>
  </si>
  <si>
    <t>Rita Dutta</t>
  </si>
  <si>
    <t>Baridih</t>
  </si>
  <si>
    <t>JHIC/2019/527431</t>
  </si>
  <si>
    <t>9431569365</t>
  </si>
  <si>
    <t>Malabika Bhadra</t>
  </si>
  <si>
    <t>JHIC/2019/529862</t>
  </si>
  <si>
    <t xml:space="preserve">Re-Apply </t>
  </si>
  <si>
    <t>9234630961</t>
  </si>
  <si>
    <t>S Balaji</t>
  </si>
  <si>
    <t>JHIC/2019/529896</t>
  </si>
  <si>
    <t>8709442510</t>
  </si>
  <si>
    <t>Sunny Chouhan</t>
  </si>
  <si>
    <t>JHIC/2019/531726</t>
  </si>
  <si>
    <t>6200204994</t>
  </si>
  <si>
    <t>Mita Mukherjee</t>
  </si>
  <si>
    <t>JHIC/2019/531964</t>
  </si>
  <si>
    <t>8797034396</t>
  </si>
  <si>
    <t>Jaidev Ghosh</t>
  </si>
  <si>
    <t>JHIC/2019/532042</t>
  </si>
  <si>
    <t>8797673970</t>
  </si>
  <si>
    <t>Shaikh Sirajuddin</t>
  </si>
  <si>
    <t>baringr</t>
  </si>
  <si>
    <t>JHIC/2019/532078</t>
  </si>
  <si>
    <t>7367025252</t>
  </si>
  <si>
    <t>Kalawati Ahir</t>
  </si>
  <si>
    <t>JHIC/2019/532118</t>
  </si>
  <si>
    <t>Suman Kumari verma</t>
  </si>
  <si>
    <t>ghorbandha</t>
  </si>
  <si>
    <t>JHIC/2019/532169</t>
  </si>
  <si>
    <t>9931195590</t>
  </si>
  <si>
    <t>Abhay Kumar Sahu</t>
  </si>
  <si>
    <t>JHIC/2019/532228</t>
  </si>
  <si>
    <t>6202252457</t>
  </si>
  <si>
    <t>Bablu Dev</t>
  </si>
  <si>
    <t>parsudih</t>
  </si>
  <si>
    <t>JHIC/2019/534461</t>
  </si>
  <si>
    <t>Md Shamshad Khan</t>
  </si>
  <si>
    <t>barinagar</t>
  </si>
  <si>
    <t>JHIC/2019/538293</t>
  </si>
  <si>
    <t>9835141681</t>
  </si>
  <si>
    <t>Maheshwer Modak</t>
  </si>
  <si>
    <t>golmuri-11</t>
  </si>
  <si>
    <t>JHIC/2019/538426</t>
  </si>
  <si>
    <t>JHIC/2019/539796</t>
  </si>
  <si>
    <t>Vijay Kumar Prasad</t>
  </si>
  <si>
    <t>gwalabasti</t>
  </si>
  <si>
    <t>JHIC/2019/539998</t>
  </si>
  <si>
    <t>9204512784</t>
  </si>
  <si>
    <t>Pradeep Kumar Yogeshwar</t>
  </si>
  <si>
    <t>JHIC/2019/545584</t>
  </si>
  <si>
    <t>8092288087</t>
  </si>
  <si>
    <t>Sujata Mishra</t>
  </si>
  <si>
    <t>IC304</t>
  </si>
  <si>
    <t>JHIC/2019/548653</t>
  </si>
  <si>
    <t>8092379670</t>
  </si>
  <si>
    <t>Suraj Gorai</t>
  </si>
  <si>
    <t>IC303</t>
  </si>
  <si>
    <t>luabasas</t>
  </si>
  <si>
    <t>JHIC/2019/548652</t>
  </si>
  <si>
    <t>9852377718</t>
  </si>
  <si>
    <t>Ashok Kumar Poddar</t>
  </si>
  <si>
    <t>IC302</t>
  </si>
  <si>
    <t>Gwala Basti</t>
  </si>
  <si>
    <t>JHIC/2019/548648</t>
  </si>
  <si>
    <t>9279292782</t>
  </si>
  <si>
    <t>Aradhana Rani</t>
  </si>
  <si>
    <t>JHIC/2019/545064</t>
  </si>
  <si>
    <t>TATKAL</t>
  </si>
  <si>
    <t>Rajesh Prasad</t>
  </si>
  <si>
    <t>JHIC/2019/545082</t>
  </si>
  <si>
    <t>8709909223</t>
  </si>
  <si>
    <t>Jharna Paramanik</t>
  </si>
  <si>
    <t>IC306</t>
  </si>
  <si>
    <t>birsanagar</t>
  </si>
  <si>
    <t>JHIC/2019/549484</t>
  </si>
  <si>
    <t>Ashish Paramanik</t>
  </si>
  <si>
    <t>IC307</t>
  </si>
  <si>
    <t>sonari</t>
  </si>
  <si>
    <t>JHIC/2019/549562</t>
  </si>
  <si>
    <t>Under Process</t>
  </si>
  <si>
    <t>9934509260</t>
  </si>
  <si>
    <t>Sunita Devi</t>
  </si>
  <si>
    <t>Birsanagar</t>
  </si>
  <si>
    <t>JHIC/2019/551541</t>
  </si>
  <si>
    <t>9234723668</t>
  </si>
  <si>
    <t>Manoj Kumar Yogeshwar</t>
  </si>
  <si>
    <t>JHIC/2019/553014</t>
  </si>
  <si>
    <t>9031153741</t>
  </si>
  <si>
    <t>Suraj Kumar Prasad</t>
  </si>
  <si>
    <t>JHIC/2019/555731</t>
  </si>
  <si>
    <t>8092728469</t>
  </si>
  <si>
    <t>Digij Majhi</t>
  </si>
  <si>
    <t>Sajamda</t>
  </si>
  <si>
    <t>JHIC/2019/558704</t>
  </si>
  <si>
    <t>9852198851</t>
  </si>
  <si>
    <t>Kanchan Choudhary</t>
  </si>
  <si>
    <t>IC311</t>
  </si>
  <si>
    <t>JHIC/2019/558735</t>
  </si>
  <si>
    <t>7903857726</t>
  </si>
  <si>
    <t>Himanshu Kumar Singh</t>
  </si>
  <si>
    <t>IC312</t>
  </si>
  <si>
    <t>JHIC/2019/562475</t>
  </si>
  <si>
    <t>9576689004</t>
  </si>
  <si>
    <t>Anjum Khatoon</t>
  </si>
  <si>
    <t>sakchi</t>
  </si>
  <si>
    <t>JHIC/2019/569074</t>
  </si>
  <si>
    <t>Hardeep Singh</t>
  </si>
  <si>
    <t>IC314</t>
  </si>
  <si>
    <t>JHIC/2019/582069</t>
  </si>
  <si>
    <t>IC315</t>
  </si>
  <si>
    <t>JHIC/2019/577642</t>
  </si>
  <si>
    <t>itr required</t>
  </si>
  <si>
    <t>9279257804</t>
  </si>
  <si>
    <t>Indrajit Paul</t>
  </si>
  <si>
    <t>JHIC/2019/582022</t>
  </si>
  <si>
    <t>8797938677</t>
  </si>
  <si>
    <t>Asha Devi Shukla</t>
  </si>
  <si>
    <t>IC317</t>
  </si>
  <si>
    <t>JHIC/2019/582165</t>
  </si>
  <si>
    <t>7870888611</t>
  </si>
  <si>
    <t>Jitendra Kumar Sharma</t>
  </si>
  <si>
    <t>IC318</t>
  </si>
  <si>
    <t>Sitaramdera</t>
  </si>
  <si>
    <t>JHIC/2019/582239</t>
  </si>
  <si>
    <t>9431354442</t>
  </si>
  <si>
    <t>Kalindi Mishra</t>
  </si>
  <si>
    <t>JHIC/2019/582289</t>
  </si>
  <si>
    <t>Vinay Kumar Shukla</t>
  </si>
  <si>
    <t>Manifit</t>
  </si>
  <si>
    <t>JHIC/2019/582391</t>
  </si>
  <si>
    <t>9955133523</t>
  </si>
  <si>
    <t>Bhupat Shukla</t>
  </si>
  <si>
    <t>JHIC/2019/582440</t>
  </si>
  <si>
    <t>JHIC/2019/590937</t>
  </si>
  <si>
    <t>JHIC/2019/591244</t>
  </si>
  <si>
    <t>6206420493</t>
  </si>
  <si>
    <t>Gracy John Dcruze</t>
  </si>
  <si>
    <t>JHIC/2019/605555</t>
  </si>
  <si>
    <t xml:space="preserve"> 7541920867</t>
  </si>
  <si>
    <t>JHIC/2019/605667</t>
  </si>
  <si>
    <t>7903357232</t>
  </si>
  <si>
    <t>Madhumala Mitra</t>
  </si>
  <si>
    <t>IC326</t>
  </si>
  <si>
    <t>JHIC/2019/624310</t>
  </si>
  <si>
    <t>Anjay Singh</t>
  </si>
  <si>
    <t>JHIC/2019/641379</t>
  </si>
  <si>
    <t>9204033234</t>
  </si>
  <si>
    <t>Nidhi Bandra</t>
  </si>
  <si>
    <t>JHIC/2019/653412</t>
  </si>
  <si>
    <t>8294210446</t>
  </si>
  <si>
    <t>Ramesh Kumar</t>
  </si>
  <si>
    <t>JHIC/2019/666474</t>
  </si>
  <si>
    <t>7061518886</t>
  </si>
  <si>
    <t>Satima Devi</t>
  </si>
  <si>
    <t>IC331</t>
  </si>
  <si>
    <t>Agrico</t>
  </si>
  <si>
    <t>JHIC/2019/688180</t>
  </si>
  <si>
    <t>8877697042</t>
  </si>
  <si>
    <t>Bipin Thakur</t>
  </si>
  <si>
    <t>JHIC/2019/687997</t>
  </si>
  <si>
    <t>9801514090</t>
  </si>
  <si>
    <t>Surbhi Mahapatra</t>
  </si>
  <si>
    <t>IC330</t>
  </si>
  <si>
    <t>Kharangajhar</t>
  </si>
  <si>
    <t>JHIC/2019/688112</t>
  </si>
  <si>
    <t>IC332</t>
  </si>
  <si>
    <t>JHIC/2019/701549</t>
  </si>
  <si>
    <t>Ekram Haque</t>
  </si>
  <si>
    <t>Barinagar</t>
  </si>
  <si>
    <t>JHIC/2019/701515</t>
  </si>
  <si>
    <t>9031719998</t>
  </si>
  <si>
    <t>Kartik Chandra Gorai</t>
  </si>
  <si>
    <t xml:space="preserve">                                                                                 </t>
  </si>
  <si>
    <t>mgm</t>
  </si>
  <si>
    <t>JHIC/2019/701598</t>
  </si>
  <si>
    <t>9334096823</t>
  </si>
  <si>
    <t>JHIC/2019/701107</t>
  </si>
  <si>
    <t>8797039321</t>
  </si>
  <si>
    <t>Anis Ahmad</t>
  </si>
  <si>
    <t>IC336</t>
  </si>
  <si>
    <t>JHIC/2019/704899</t>
  </si>
  <si>
    <t>9835590794</t>
  </si>
  <si>
    <t>Rakesh Sharma</t>
  </si>
  <si>
    <t>IC337</t>
  </si>
  <si>
    <t>JHIC/2019/723503</t>
  </si>
  <si>
    <t>sevak</t>
  </si>
  <si>
    <t>Rajesh Pramanik</t>
  </si>
  <si>
    <t>JHIC/2019/744208</t>
  </si>
  <si>
    <t>Satrughan Sharma</t>
  </si>
  <si>
    <t>birsangr</t>
  </si>
  <si>
    <t>JHIC/2019/744277</t>
  </si>
  <si>
    <t>7070948657</t>
  </si>
  <si>
    <t>Pradeep Kumar Mahato</t>
  </si>
  <si>
    <t>hathibinda</t>
  </si>
  <si>
    <t>JHIC/2019/744359</t>
  </si>
  <si>
    <t>JHIC/2019/791677</t>
  </si>
  <si>
    <t>8340297301</t>
  </si>
  <si>
    <t>Navlesh Kumar</t>
  </si>
  <si>
    <t>Bhuiyadih</t>
  </si>
  <si>
    <t>JHIC/2019/794327</t>
  </si>
  <si>
    <t>8603207217</t>
  </si>
  <si>
    <t>Uttam Pramanik</t>
  </si>
  <si>
    <t>JHIC/2019/792159</t>
  </si>
  <si>
    <t>7008582435</t>
  </si>
  <si>
    <t>Montu Bera</t>
  </si>
  <si>
    <t>JHIC/2019/794410</t>
  </si>
  <si>
    <t>JHIC/2019/794621</t>
  </si>
  <si>
    <t>7488622147</t>
  </si>
  <si>
    <t>Sandeep Kumar Sen-due50</t>
  </si>
  <si>
    <t>JHIC/2019/801816</t>
  </si>
  <si>
    <t>Deepak Kumar</t>
  </si>
  <si>
    <t>ramadhin bag</t>
  </si>
  <si>
    <t>JHIC/2019/801919</t>
  </si>
  <si>
    <t>due</t>
  </si>
  <si>
    <t>Ravi Gorai</t>
  </si>
  <si>
    <t>gbw</t>
  </si>
  <si>
    <t>JHIC/2019/801972</t>
  </si>
  <si>
    <t>Md Sabbir Ahmad</t>
  </si>
  <si>
    <t>JHIC/2019/826358</t>
  </si>
  <si>
    <t>Prity Mahato</t>
  </si>
  <si>
    <t>trf colony</t>
  </si>
  <si>
    <t>JHIC/2019/826439</t>
  </si>
  <si>
    <t>paid</t>
  </si>
  <si>
    <t>Shalu Mahato</t>
  </si>
  <si>
    <t>JHIC/2019/826464</t>
  </si>
  <si>
    <t>Afsar Jawel Advo</t>
  </si>
  <si>
    <t>Md Danish Moin</t>
  </si>
  <si>
    <t>JHIC/2019/852624</t>
  </si>
  <si>
    <t>JHIC/2019/858130</t>
  </si>
  <si>
    <t>thakur bhaiya</t>
  </si>
  <si>
    <t>Aftab Alam</t>
  </si>
  <si>
    <t>mango</t>
  </si>
  <si>
    <t>JHIC/2019/852765</t>
  </si>
  <si>
    <t>Kala Kant Sinha</t>
  </si>
  <si>
    <t>JHIC/2019/852875</t>
  </si>
  <si>
    <t>Tatkal</t>
  </si>
  <si>
    <t>Wasim Haidar</t>
  </si>
  <si>
    <t>IC358</t>
  </si>
  <si>
    <t>JHIC/2019/857908</t>
  </si>
  <si>
    <t>Shahruk Tausif</t>
  </si>
  <si>
    <t>IC359</t>
  </si>
  <si>
    <t>JHIC/2019/852394</t>
  </si>
  <si>
    <t>IC360</t>
  </si>
  <si>
    <t>JHIC/2019/852192</t>
  </si>
  <si>
    <t>9835477685</t>
  </si>
  <si>
    <t>Md Shabbir Ahmad</t>
  </si>
  <si>
    <t>JHIC/2019/858026</t>
  </si>
  <si>
    <t>Jayanto Das</t>
  </si>
  <si>
    <t>JHIC/2019/858402</t>
  </si>
  <si>
    <t>Sunil Kumar Lohar</t>
  </si>
  <si>
    <t>prakasngr</t>
  </si>
  <si>
    <t>JHIC/2019/858439</t>
  </si>
  <si>
    <t>8797589475</t>
  </si>
  <si>
    <t>Yusuf Khan</t>
  </si>
  <si>
    <t>IC364</t>
  </si>
  <si>
    <t>JHIC/2019/861542</t>
  </si>
  <si>
    <t>7903625415</t>
  </si>
  <si>
    <t>Khushboo Kumari</t>
  </si>
  <si>
    <t>IC365</t>
  </si>
  <si>
    <t>JHIC/2019/861622</t>
  </si>
  <si>
    <t>Afifah Sarfaraz</t>
  </si>
  <si>
    <t>IC366</t>
  </si>
  <si>
    <t>JHIC/2019/868759</t>
  </si>
  <si>
    <t>8092241701</t>
  </si>
  <si>
    <t>IC367</t>
  </si>
  <si>
    <t>JHIC/2019/874927</t>
  </si>
  <si>
    <t>9031723901</t>
  </si>
  <si>
    <t>IC368</t>
  </si>
  <si>
    <t>JHIC/2019/875187</t>
  </si>
  <si>
    <t>9128670606</t>
  </si>
  <si>
    <t>Puja Kumari</t>
  </si>
  <si>
    <t>IC369</t>
  </si>
  <si>
    <t>JHIC/2019/898109</t>
  </si>
  <si>
    <t>8789165151</t>
  </si>
  <si>
    <t>Debashish Kumar Mahakud</t>
  </si>
  <si>
    <t>IC370</t>
  </si>
  <si>
    <t>agrico</t>
  </si>
  <si>
    <t>JHIC/2019/898093</t>
  </si>
  <si>
    <t>7870146928</t>
  </si>
  <si>
    <t>Ravi Kumar</t>
  </si>
  <si>
    <t>IC371</t>
  </si>
  <si>
    <t>gadra</t>
  </si>
  <si>
    <t>JHIC/2019/889316</t>
  </si>
  <si>
    <t>Raushan Kumar yadav</t>
  </si>
  <si>
    <t>birsanasgar</t>
  </si>
  <si>
    <t>JHIC/2019/923617</t>
  </si>
  <si>
    <t>MUKHIYA</t>
  </si>
  <si>
    <t>JHIC/2019/923664</t>
  </si>
  <si>
    <t>Sushil Kuamr Sharma</t>
  </si>
  <si>
    <t>birsangar</t>
  </si>
  <si>
    <t>JHIC/2019/923708</t>
  </si>
  <si>
    <t>Devendra Pratap Singh</t>
  </si>
  <si>
    <t>govindpur</t>
  </si>
  <si>
    <t>JHIC/2019/938689</t>
  </si>
  <si>
    <t>KRISHNA THAKUR</t>
  </si>
  <si>
    <t>BARINGAR</t>
  </si>
  <si>
    <t>JHIC/2019/943707</t>
  </si>
  <si>
    <t>SHABBAZUL GOUSE</t>
  </si>
  <si>
    <t>JHIC/2019/943730</t>
  </si>
  <si>
    <t>9204150780</t>
  </si>
  <si>
    <t>Shemoli Dan</t>
  </si>
  <si>
    <t>JHIC/2019/963953</t>
  </si>
  <si>
    <t>Md. Faizan Khan</t>
  </si>
  <si>
    <t>IC379</t>
  </si>
  <si>
    <t> JHIC/2019/972593</t>
  </si>
  <si>
    <t>7209411109</t>
  </si>
  <si>
    <t>IC380</t>
  </si>
  <si>
    <t>JHIC/2019/972639</t>
  </si>
  <si>
    <t>JHIC/2019/972901</t>
  </si>
  <si>
    <t>9279392189</t>
  </si>
  <si>
    <t>Jiten Nayak</t>
  </si>
  <si>
    <t>JHIC/2019/988467</t>
  </si>
  <si>
    <t>8002668157</t>
  </si>
  <si>
    <t>Dilip Rai</t>
  </si>
  <si>
    <t>JHIC/2019/991632</t>
  </si>
  <si>
    <t>8235235876</t>
  </si>
  <si>
    <t>Alok Nath Laha</t>
  </si>
  <si>
    <t>potka</t>
  </si>
  <si>
    <t>JHIC/2019/1006289</t>
  </si>
  <si>
    <t>Abhishek Kumar Singh</t>
  </si>
  <si>
    <t>IC383</t>
  </si>
  <si>
    <t>JHIC/2019/1007380</t>
  </si>
  <si>
    <t>Aff From Parent</t>
  </si>
  <si>
    <t>6287749810</t>
  </si>
  <si>
    <t>Minu Devi</t>
  </si>
  <si>
    <t>IC384</t>
  </si>
  <si>
    <t>JHIC/2019/1009831</t>
  </si>
  <si>
    <t>9534278140</t>
  </si>
  <si>
    <t>IC385</t>
  </si>
  <si>
    <t>JHIC/2019/1012621</t>
  </si>
  <si>
    <t>7464033836</t>
  </si>
  <si>
    <t>Koushik Maity</t>
  </si>
  <si>
    <t>IC386</t>
  </si>
  <si>
    <t>JHIC/2019/1021289</t>
  </si>
  <si>
    <t>Sharbani Das</t>
  </si>
  <si>
    <t>JHIC/2019/1025038</t>
  </si>
  <si>
    <t>Vinod Kumar</t>
  </si>
  <si>
    <t>JHIC/2019/1024997</t>
  </si>
  <si>
    <t>Dhiren Mahato</t>
  </si>
  <si>
    <t>JHIC/2019/1024969</t>
  </si>
  <si>
    <t>Deepak Gon</t>
  </si>
  <si>
    <t>JHIC/2019/1024910</t>
  </si>
  <si>
    <t>Munna Kumar</t>
  </si>
  <si>
    <t>JHIC/2019/1024299</t>
  </si>
  <si>
    <t>JHIC/2019/1036900</t>
  </si>
  <si>
    <t>JHIC/2019/1036914</t>
  </si>
  <si>
    <t>JHIC/2019/1036933</t>
  </si>
  <si>
    <t>JHIC/2019/1036952</t>
  </si>
  <si>
    <t>JHIC/2019/1048323</t>
  </si>
  <si>
    <t>Jay Shankar Pathak</t>
  </si>
  <si>
    <t>JHIC/2019/1056383</t>
  </si>
  <si>
    <t>8579839679</t>
  </si>
  <si>
    <t>Ram Janam Singh</t>
  </si>
  <si>
    <t>IC398</t>
  </si>
  <si>
    <t>JHIC/2019/1056718</t>
  </si>
  <si>
    <t>8002484625</t>
  </si>
  <si>
    <t>IC399</t>
  </si>
  <si>
    <t>JHIC/2019/1061703</t>
  </si>
  <si>
    <t>JHIC/2019/1061772</t>
  </si>
  <si>
    <t>JHIC/2019/1061799</t>
  </si>
  <si>
    <t>adv</t>
  </si>
  <si>
    <t>Mohammad Shams Tabrez</t>
  </si>
  <si>
    <t>JHIC/2019/1059062</t>
  </si>
  <si>
    <t>7366979820</t>
  </si>
  <si>
    <t>IC402</t>
  </si>
  <si>
    <t>JHIC/2019/1066660</t>
  </si>
  <si>
    <t>Mohammad Shams Tabrez ansari</t>
  </si>
  <si>
    <t>JHIC/2019/1066683</t>
  </si>
  <si>
    <t>Ujjwal Singha</t>
  </si>
  <si>
    <t>JHIC/2020/11397</t>
  </si>
  <si>
    <t>Rika Kumari</t>
  </si>
  <si>
    <t>JHIC/2020/11408</t>
  </si>
  <si>
    <t>Gautam Swarnkar</t>
  </si>
  <si>
    <t> JHIC/2020/12630</t>
  </si>
  <si>
    <t>Rachana Agrawal</t>
  </si>
  <si>
    <t>JHIC/2020/12642</t>
  </si>
  <si>
    <t>Babulal Mahato</t>
  </si>
  <si>
    <t>JHIC/2020/12785</t>
  </si>
  <si>
    <t>JHIC/2020/18458</t>
  </si>
  <si>
    <t>JHIC/2020/18476</t>
  </si>
  <si>
    <t>JHIC/2020/18529</t>
  </si>
  <si>
    <t>8797264873</t>
  </si>
  <si>
    <t>Goutam Chandra</t>
  </si>
  <si>
    <t>JHIC/2020/25426</t>
  </si>
  <si>
    <t>JHIC/2020/25437</t>
  </si>
  <si>
    <t>Ahsanullah Ansai</t>
  </si>
  <si>
    <t>JHIC/2020/25447</t>
  </si>
  <si>
    <t>9939118302</t>
  </si>
  <si>
    <t>Mohammad Asif Raza</t>
  </si>
  <si>
    <t>JHIC/2020/25460</t>
  </si>
  <si>
    <t>Anand Gope</t>
  </si>
  <si>
    <t>JHIC/2020/25467</t>
  </si>
  <si>
    <t>Santosh Kumar Singh</t>
  </si>
  <si>
    <t>JHIC/2020/25484</t>
  </si>
  <si>
    <t>Rajib Bandhopadhyay</t>
  </si>
  <si>
    <t>JHIC/2020/25496</t>
  </si>
  <si>
    <t>90311627257</t>
  </si>
  <si>
    <t>JHIC/2020/28775</t>
  </si>
  <si>
    <t>Uday Pratap Pathak</t>
  </si>
  <si>
    <t>JHIC/2020/28793</t>
  </si>
  <si>
    <t>Oshim Roy</t>
  </si>
  <si>
    <t>JHIC/2020/31349</t>
  </si>
  <si>
    <t>Farida Khaton</t>
  </si>
  <si>
    <t>JHIC/2020/31337</t>
  </si>
  <si>
    <t>9334883776</t>
  </si>
  <si>
    <t>Sher Afzal Khan</t>
  </si>
  <si>
    <t>JHIC/2020/34151</t>
  </si>
  <si>
    <t>Jitendra Prasad</t>
  </si>
  <si>
    <t>JHIC/2020/35114</t>
  </si>
  <si>
    <t>Laxmi Hansda</t>
  </si>
  <si>
    <t>JHIC/2020/36566</t>
  </si>
  <si>
    <t>9431566942/9204627227</t>
  </si>
  <si>
    <t>Usha Kumari</t>
  </si>
  <si>
    <t>JHIC/2020/43483</t>
  </si>
  <si>
    <t>9204726965</t>
  </si>
  <si>
    <t>Avinash Kumar Tripathy</t>
  </si>
  <si>
    <t>JHIC/2020/43906</t>
  </si>
  <si>
    <t>IC427</t>
  </si>
  <si>
    <t>JHIC/2020/51432</t>
  </si>
  <si>
    <t>IC428</t>
  </si>
  <si>
    <t>JHIC/2020/51409</t>
  </si>
  <si>
    <t>S Ravi</t>
  </si>
  <si>
    <t>JHIC/2020/65269</t>
  </si>
  <si>
    <t>Shankar Swanshi</t>
  </si>
  <si>
    <t>8002467144</t>
  </si>
  <si>
    <t>Sanjay Dutta</t>
  </si>
  <si>
    <t>IC431</t>
  </si>
  <si>
    <t>JHIC/2020/71871</t>
  </si>
  <si>
    <t>Bumeshwar Singh</t>
  </si>
  <si>
    <t>JHIC/2020/72406</t>
  </si>
  <si>
    <t>8340418620</t>
  </si>
  <si>
    <t>Kalpana Mahato</t>
  </si>
  <si>
    <t>JHIC/2020/72466</t>
  </si>
  <si>
    <t>8825195700</t>
  </si>
  <si>
    <t>Rajia Khatoon</t>
  </si>
  <si>
    <t>JHIC/2020/76114</t>
  </si>
  <si>
    <t>9934326632</t>
  </si>
  <si>
    <t>Ajit Kumar Yadav</t>
  </si>
  <si>
    <t>JHIC/2020/76168</t>
  </si>
  <si>
    <t>Chandrawati Devi</t>
  </si>
  <si>
    <t>JHIC/2020/79858</t>
  </si>
  <si>
    <t>9523678078</t>
  </si>
  <si>
    <t>JHIC/2020/83005</t>
  </si>
  <si>
    <t>7033299165</t>
  </si>
  <si>
    <t>Neha Kumari</t>
  </si>
  <si>
    <t>JHIC/2020/106609</t>
  </si>
  <si>
    <t>9431372824</t>
  </si>
  <si>
    <t>Avinash Kumar Choudhary</t>
  </si>
  <si>
    <t>JHIC/2020/115316</t>
  </si>
  <si>
    <t>8235020679</t>
  </si>
  <si>
    <t>Ajit Sharma</t>
  </si>
  <si>
    <t>JHIC/2020/116566</t>
  </si>
  <si>
    <t>7761821357</t>
  </si>
  <si>
    <t>Smriti Deb</t>
  </si>
  <si>
    <t>JHIC/2020/128890</t>
  </si>
  <si>
    <t>9234719769</t>
  </si>
  <si>
    <t>Swapna Majumdar</t>
  </si>
  <si>
    <t>JHIC/2020/137450</t>
  </si>
  <si>
    <t>7857949031</t>
  </si>
  <si>
    <t>Shrinivas Mahato</t>
  </si>
  <si>
    <t>JHIC/2020/144837</t>
  </si>
  <si>
    <t>8986760779</t>
  </si>
  <si>
    <t>Ashok Ghosh</t>
  </si>
  <si>
    <t>JHIC/2020/146231</t>
  </si>
  <si>
    <t>9279234168</t>
  </si>
  <si>
    <t>Nand Kumar Singh</t>
  </si>
  <si>
    <t>JHIC/2020/147470</t>
  </si>
  <si>
    <t>9931115143</t>
  </si>
  <si>
    <t>Shahin Tarannum</t>
  </si>
  <si>
    <t>JHIC/2020/147498</t>
  </si>
  <si>
    <t>Bimla Devi</t>
  </si>
  <si>
    <t>ramadhin</t>
  </si>
  <si>
    <t>JHIC/2020/148464</t>
  </si>
  <si>
    <t>Chhotelal</t>
  </si>
  <si>
    <t>JHIC/2020/148469</t>
  </si>
  <si>
    <t>hurlung</t>
  </si>
  <si>
    <t>JHIC/2020/155130</t>
  </si>
  <si>
    <t>9204211833</t>
  </si>
  <si>
    <t>JHIC/2020/155157</t>
  </si>
  <si>
    <t>9304675025</t>
  </si>
  <si>
    <t>ghorwest</t>
  </si>
  <si>
    <t> JHIC/2020/157796</t>
  </si>
  <si>
    <t>khata</t>
  </si>
  <si>
    <t>7294147152</t>
  </si>
  <si>
    <t>Kalyani Mishra</t>
  </si>
  <si>
    <t>JHIC/2020/158000</t>
  </si>
  <si>
    <t>Sunny Samad</t>
  </si>
  <si>
    <t>JHIC/2020/159108</t>
  </si>
  <si>
    <t>Dhananjay karmakar</t>
  </si>
  <si>
    <t>JHIC/2020/159128</t>
  </si>
  <si>
    <t>Bijay Mahato</t>
  </si>
  <si>
    <t>JHIC/2020/159139</t>
  </si>
  <si>
    <t>Sudharshan Mahato</t>
  </si>
  <si>
    <t>JHIC/2020/159358</t>
  </si>
  <si>
    <t>Suklal Hansda</t>
  </si>
  <si>
    <t>JHIC/2020/159375</t>
  </si>
  <si>
    <t>Vikash Kumar</t>
  </si>
  <si>
    <t>JHIC/2020/159383</t>
  </si>
  <si>
    <t>JHIC/2020/159394</t>
  </si>
  <si>
    <t>Amar Lohar</t>
  </si>
  <si>
    <t>Garurbasa</t>
  </si>
  <si>
    <t>JHIC/2020/159426</t>
  </si>
  <si>
    <t>Sheru Mahato</t>
  </si>
  <si>
    <t>JHIC/2020/159459</t>
  </si>
  <si>
    <t>Jayant Sahu</t>
  </si>
  <si>
    <t>JHIC/2020/159479</t>
  </si>
  <si>
    <t>ghorabanda</t>
  </si>
  <si>
    <t>JHIC/2020/161310</t>
  </si>
  <si>
    <t>Mansa Ram Mahato</t>
  </si>
  <si>
    <t>JHIC/2020/164309</t>
  </si>
  <si>
    <t>suraj Mardi</t>
  </si>
  <si>
    <t>JHIC/2020/164237</t>
  </si>
  <si>
    <t>mahesh kumar sharma</t>
  </si>
  <si>
    <t>JHIC/2020/164246</t>
  </si>
  <si>
    <t>saroj kumar mahato</t>
  </si>
  <si>
    <t>dhanchatani</t>
  </si>
  <si>
    <t>JHIC/2020/164264</t>
  </si>
  <si>
    <t>Ganesh Chandra Mahato</t>
  </si>
  <si>
    <t>JHIC/2020/164266</t>
  </si>
  <si>
    <t>7992440215</t>
  </si>
  <si>
    <t>Barun Kumar Singh</t>
  </si>
  <si>
    <t>JHIC/2020/165385</t>
  </si>
  <si>
    <t>9576340318</t>
  </si>
  <si>
    <t>Abida Sultana</t>
  </si>
  <si>
    <t>JHIC/2020/166570</t>
  </si>
  <si>
    <t>6202580820</t>
  </si>
  <si>
    <t>santosh Kumar</t>
  </si>
  <si>
    <t>JHIC/2020/175245</t>
  </si>
  <si>
    <t>JHIC/2020/175268</t>
  </si>
  <si>
    <t>7091500838</t>
  </si>
  <si>
    <t>Amal dey</t>
  </si>
  <si>
    <t>ghora east</t>
  </si>
  <si>
    <t>JHIC/2020/175701</t>
  </si>
  <si>
    <t>9771231269</t>
  </si>
  <si>
    <t>Bipin Kumar Das</t>
  </si>
  <si>
    <t>JHIC/2020/177374</t>
  </si>
  <si>
    <t>9582937574</t>
  </si>
  <si>
    <t>Mahendra Prasad Shukla</t>
  </si>
  <si>
    <t>JHIC/2020/179393</t>
  </si>
  <si>
    <t>Parshuram Karmakar</t>
  </si>
  <si>
    <t>JHIC/2020/181219</t>
  </si>
  <si>
    <t>Krishna Girai</t>
  </si>
  <si>
    <t>JHIC/2020/181227</t>
  </si>
  <si>
    <t>JHIC/2020/182289</t>
  </si>
  <si>
    <t>JHIC/2020/192157</t>
  </si>
  <si>
    <t>Md Safique</t>
  </si>
  <si>
    <t>JHIC/2020/199930</t>
  </si>
  <si>
    <t>9931781344</t>
  </si>
  <si>
    <t>Md Alauddin</t>
  </si>
  <si>
    <t>baringar</t>
  </si>
  <si>
    <t>JHIC/2020/199948</t>
  </si>
  <si>
    <t>9835118177</t>
  </si>
  <si>
    <t>Murlidhar Pandey</t>
  </si>
  <si>
    <t>hudco</t>
  </si>
  <si>
    <t>JHIC/2020/202340</t>
  </si>
  <si>
    <t>8797152389</t>
  </si>
  <si>
    <t>Rita Das</t>
  </si>
  <si>
    <t>JHIC/2020/208767</t>
  </si>
  <si>
    <t>Tanuija Sharma</t>
  </si>
  <si>
    <t>zone 1b</t>
  </si>
  <si>
    <t>JHIC/2020/216075</t>
  </si>
  <si>
    <t>Chhota Tudu</t>
  </si>
  <si>
    <t>JHIC/2020/216550</t>
  </si>
  <si>
    <t>chhotgovind</t>
  </si>
  <si>
    <t>JHIC/2020/233501</t>
  </si>
  <si>
    <t>9135848015</t>
  </si>
  <si>
    <t>jadugora</t>
  </si>
  <si>
    <t>JHIC/2020/244147</t>
  </si>
  <si>
    <t>9931822577</t>
  </si>
  <si>
    <t>Rakesh Kumar Sharma</t>
  </si>
  <si>
    <t>JHIC/2020/294577</t>
  </si>
  <si>
    <t>JHIC/2020/297248</t>
  </si>
  <si>
    <t>Mohammad Nayeem</t>
  </si>
  <si>
    <t>JHIC/2020/300338</t>
  </si>
  <si>
    <t>JHIC/2020/312669</t>
  </si>
  <si>
    <t>JHIC/2020/313169</t>
  </si>
  <si>
    <t>Avinash Tripathy</t>
  </si>
  <si>
    <t>JHIC/2020/313235</t>
  </si>
  <si>
    <t>JHIC/2020/318277</t>
  </si>
  <si>
    <t>Devi Bala</t>
  </si>
  <si>
    <t>JHIC/2020/318331</t>
  </si>
  <si>
    <t>8210435337</t>
  </si>
  <si>
    <t>zone 5</t>
  </si>
  <si>
    <t>JHIC/2020/321868</t>
  </si>
  <si>
    <t>7209878164</t>
  </si>
  <si>
    <t>IC499</t>
  </si>
  <si>
    <t>JHIC/2020/324933</t>
  </si>
  <si>
    <t>7209483044</t>
  </si>
  <si>
    <t>Shabnam sultana</t>
  </si>
  <si>
    <t>JHIC/2020/328093</t>
  </si>
  <si>
    <t>9199171899</t>
  </si>
  <si>
    <t>Faiza Kashish</t>
  </si>
  <si>
    <t>JHIC/2020/331248</t>
  </si>
  <si>
    <t>9031718756</t>
  </si>
  <si>
    <t>Ramji Prasad</t>
  </si>
  <si>
    <t>zone 9</t>
  </si>
  <si>
    <t>JHIC/2020/331281</t>
  </si>
  <si>
    <t>Aman Kumar</t>
  </si>
  <si>
    <t>JHIC/2020/339025</t>
  </si>
  <si>
    <t>9234266562</t>
  </si>
  <si>
    <t>Swapan Kumar Nandi</t>
  </si>
  <si>
    <t>JHIC/2020/339039</t>
  </si>
  <si>
    <t>80DUE</t>
  </si>
  <si>
    <t>8873176695</t>
  </si>
  <si>
    <t>Jamshed Ali Ansari</t>
  </si>
  <si>
    <t>JHIC/2020/341693</t>
  </si>
  <si>
    <t>Santosh Pandey</t>
  </si>
  <si>
    <t>JHIC/2020/343416</t>
  </si>
  <si>
    <t>JHIC/2020/347024</t>
  </si>
  <si>
    <t>Gour Chanbdra Bhakat</t>
  </si>
  <si>
    <t>JHIC/2020/362249</t>
  </si>
  <si>
    <t>Sandip kumar mahato</t>
  </si>
  <si>
    <t>JHIC/2020/346911</t>
  </si>
  <si>
    <t>9905713604</t>
  </si>
  <si>
    <t>Rishabh Agarwal</t>
  </si>
  <si>
    <t>JHIC/2020/356870</t>
  </si>
  <si>
    <t>JHIC/2020/374757</t>
  </si>
  <si>
    <t>7255809188</t>
  </si>
  <si>
    <t>Siltu Dutta</t>
  </si>
  <si>
    <t>IC-800</t>
  </si>
  <si>
    <t>JHIC/2020/366067</t>
  </si>
  <si>
    <t>7488137995</t>
  </si>
  <si>
    <t>Ranjan Kumar</t>
  </si>
  <si>
    <t>shivnagar</t>
  </si>
  <si>
    <t>JHIC/2020/379256</t>
  </si>
  <si>
    <t>9234330378</t>
  </si>
  <si>
    <t>Diposh Kumar Roy</t>
  </si>
  <si>
    <t>JHIC/2020/383992</t>
  </si>
  <si>
    <t>Tanweer Ejaz Khan</t>
  </si>
  <si>
    <t>JHIC/2020/384683</t>
  </si>
  <si>
    <t>8987449198</t>
  </si>
  <si>
    <t>Ruchit Sharma</t>
  </si>
  <si>
    <t>JHIC/2020/390635</t>
  </si>
  <si>
    <t>8102533622</t>
  </si>
  <si>
    <t>Ayush Kumar</t>
  </si>
  <si>
    <t>JHIC/2020/390655</t>
  </si>
  <si>
    <t>9507692003</t>
  </si>
  <si>
    <t>Shaban Hussain</t>
  </si>
  <si>
    <t>bari</t>
  </si>
  <si>
    <t>JHIC/2020/397667</t>
  </si>
  <si>
    <t>Saniya Sultana</t>
  </si>
  <si>
    <t>JHIC/2020/397709</t>
  </si>
  <si>
    <t>Rajan Kumar</t>
  </si>
  <si>
    <t>JHIC/2020/403984</t>
  </si>
  <si>
    <t>Suresh Gorai</t>
  </si>
  <si>
    <t>zone1b</t>
  </si>
  <si>
    <t>JHIC/2020/409608</t>
  </si>
  <si>
    <t>Mahboob Ahmad</t>
  </si>
  <si>
    <t>JHIC/2020/409635</t>
  </si>
  <si>
    <t>8092288803</t>
  </si>
  <si>
    <t>Charanjeet Kaur</t>
  </si>
  <si>
    <t>Golmuri</t>
  </si>
  <si>
    <t>JHIC/2020/415945</t>
  </si>
  <si>
    <t>JHIC/2020/418711</t>
  </si>
  <si>
    <t>Ajay Kumar Sukhla</t>
  </si>
  <si>
    <t>Jogindar Kumar Yadav</t>
  </si>
  <si>
    <t>JHIC/2020/441088</t>
  </si>
  <si>
    <t>8092270809</t>
  </si>
  <si>
    <t>Visohari Lohar</t>
  </si>
  <si>
    <t>JHIC/2020/441146</t>
  </si>
  <si>
    <t>JHIC/2020/445353</t>
  </si>
  <si>
    <t>8092459770</t>
  </si>
  <si>
    <t>P Bharat Kumar</t>
  </si>
  <si>
    <t>JHIC/2020/444356</t>
  </si>
  <si>
    <t>6205773361</t>
  </si>
  <si>
    <t>Moula Baks</t>
  </si>
  <si>
    <t>JHIC/2020/446146</t>
  </si>
  <si>
    <t>9234612204</t>
  </si>
  <si>
    <t>Kumari Pratyusha</t>
  </si>
  <si>
    <t>JHIC/2020/450413</t>
  </si>
  <si>
    <t>6204380628</t>
  </si>
  <si>
    <t>Ram jatan Sharma</t>
  </si>
  <si>
    <t>JHIC/2020/450472</t>
  </si>
  <si>
    <t>9709106172</t>
  </si>
  <si>
    <t>Md Faizan Khan</t>
  </si>
  <si>
    <t>JHIC/2020/461958</t>
  </si>
  <si>
    <t>Md Aadil</t>
  </si>
  <si>
    <t>JHIC/2020/462066</t>
  </si>
  <si>
    <t>87</t>
  </si>
  <si>
    <t>Debarati Pal</t>
  </si>
  <si>
    <t>JHIC/2020/464684</t>
  </si>
  <si>
    <t>JHIC/2020/465835</t>
  </si>
  <si>
    <t>7970545337</t>
  </si>
  <si>
    <t>JHIC/2020/466305</t>
  </si>
  <si>
    <t>8809903595</t>
  </si>
  <si>
    <t>Prakash Mahato</t>
  </si>
  <si>
    <t>JHIC/2020/466357</t>
  </si>
  <si>
    <t>Pooja Devi</t>
  </si>
  <si>
    <t>JHIC/2020/470322</t>
  </si>
  <si>
    <t>Sandeep Kumar Sen</t>
  </si>
  <si>
    <t>JHIC/2020/476983</t>
  </si>
  <si>
    <t>pathak bhaiya</t>
  </si>
  <si>
    <t>Nazia Perween</t>
  </si>
  <si>
    <t>JHIC/2020/486680</t>
  </si>
  <si>
    <t>Adiba Gouse</t>
  </si>
  <si>
    <t>JHIC/2020/486736</t>
  </si>
  <si>
    <t>Shahbazul Gouse</t>
  </si>
  <si>
    <t>JHIC/2020/486772</t>
  </si>
  <si>
    <t>Bushra Tasneem</t>
  </si>
  <si>
    <t>JHIC/2020/487003</t>
  </si>
  <si>
    <t>JHIC/2020/510579</t>
  </si>
  <si>
    <t>8294079939</t>
  </si>
  <si>
    <t>Seema Mishra</t>
  </si>
  <si>
    <t>JHIC/2020/500547</t>
  </si>
  <si>
    <t>Rimjhim Kumari</t>
  </si>
  <si>
    <t>JHIC/2020/501401</t>
  </si>
  <si>
    <t>7061527861</t>
  </si>
  <si>
    <t>Anchan Gupta</t>
  </si>
  <si>
    <t>rahargora</t>
  </si>
  <si>
    <t>JHIC/2020/510598</t>
  </si>
  <si>
    <t>Dulal Giri</t>
  </si>
  <si>
    <t>JHIC/2020/510611</t>
  </si>
  <si>
    <t>n/a</t>
  </si>
  <si>
    <t>Jiten Kumar Sah</t>
  </si>
  <si>
    <t>jyoti nagar</t>
  </si>
  <si>
    <t>JHIC/2020/510623</t>
  </si>
  <si>
    <t>Pravin Kumar</t>
  </si>
  <si>
    <t>JHIC/2020/510639</t>
  </si>
  <si>
    <t>9234469231</t>
  </si>
  <si>
    <t>open</t>
  </si>
  <si>
    <t>JHIC/2020/518994</t>
  </si>
  <si>
    <t>JHIC/2020/518987</t>
  </si>
  <si>
    <t>JHIC/2020/519007</t>
  </si>
  <si>
    <t>6206295363</t>
  </si>
  <si>
    <t>Anju Devi</t>
  </si>
  <si>
    <t>JHIC/2020/519045</t>
  </si>
  <si>
    <t>JHIC/2020/522563</t>
  </si>
  <si>
    <t>8797946237</t>
  </si>
  <si>
    <t>Suraj Kumar</t>
  </si>
  <si>
    <t>JHIC/2020/523608</t>
  </si>
  <si>
    <t>JHIC/2020/523738</t>
  </si>
  <si>
    <t>JHIC/2020/523743</t>
  </si>
  <si>
    <t>JHIC/2020/523746</t>
  </si>
  <si>
    <t>JHIC/2020/528347</t>
  </si>
  <si>
    <t>9934842435</t>
  </si>
  <si>
    <t>Shivam Kumar</t>
  </si>
  <si>
    <t>JHIC/2020/531095</t>
  </si>
  <si>
    <t>east</t>
  </si>
  <si>
    <t>JHIC/2020/531407</t>
  </si>
  <si>
    <t>JHIC/2020/531415</t>
  </si>
  <si>
    <t>JHIC/2020/531520</t>
  </si>
  <si>
    <t>Pragya Singh</t>
  </si>
  <si>
    <t>ge</t>
  </si>
  <si>
    <t>JHIC/2020/537992</t>
  </si>
  <si>
    <t>9142126272</t>
  </si>
  <si>
    <t>Irteza Karim Ansari</t>
  </si>
  <si>
    <t>musabani</t>
  </si>
  <si>
    <t>JHIC/2020/538016</t>
  </si>
  <si>
    <t>8210119488</t>
  </si>
  <si>
    <t>purbi</t>
  </si>
  <si>
    <t>gw</t>
  </si>
  <si>
    <t>JHIC/2020/539547</t>
  </si>
  <si>
    <t>JHIC/2020/542696</t>
  </si>
  <si>
    <t>6200713901</t>
  </si>
  <si>
    <t>JHIC/2020/542804</t>
  </si>
  <si>
    <t>8092825132</t>
  </si>
  <si>
    <t>Abhishek Kumar Thakur</t>
  </si>
  <si>
    <t>west</t>
  </si>
  <si>
    <t>JHIC/2020/546960</t>
  </si>
  <si>
    <t>9304245863</t>
  </si>
  <si>
    <t>Md Shamsher</t>
  </si>
  <si>
    <t>north</t>
  </si>
  <si>
    <t>JHIC/2020/555083</t>
  </si>
  <si>
    <t>JHIC/2020/556323</t>
  </si>
  <si>
    <t>8340436207</t>
  </si>
  <si>
    <t>Santosh Thakur</t>
  </si>
  <si>
    <t>jojobera</t>
  </si>
  <si>
    <t>JHIC/2020/563111</t>
  </si>
  <si>
    <t>JHIC/2020/568003</t>
  </si>
  <si>
    <t>7209523975</t>
  </si>
  <si>
    <t>T Adarsh</t>
  </si>
  <si>
    <t>JHIC/2020/570588</t>
  </si>
  <si>
    <t>7209679199</t>
  </si>
  <si>
    <t>Debabrata Chakraborty</t>
  </si>
  <si>
    <t>JHIC/2020/574283</t>
  </si>
  <si>
    <t>6204158116</t>
  </si>
  <si>
    <t>Pritam Paul</t>
  </si>
  <si>
    <t>JHIC/2020/576887</t>
  </si>
  <si>
    <t>9234590356</t>
  </si>
  <si>
    <t>Dwarika Prasad Gupta</t>
  </si>
  <si>
    <t>JHIC/2020/576933</t>
  </si>
  <si>
    <t>7739044155</t>
  </si>
  <si>
    <t>Nitish Kumar</t>
  </si>
  <si>
    <t>JHIC/2020/578381</t>
  </si>
  <si>
    <t>8797312103</t>
  </si>
  <si>
    <t xml:space="preserve">Raj Kumar  </t>
  </si>
  <si>
    <t>zone 11</t>
  </si>
  <si>
    <t>JHIC/2020/581435</t>
  </si>
  <si>
    <t>Sangeeta Devi</t>
  </si>
  <si>
    <t>zone11</t>
  </si>
  <si>
    <t>JHIC/2020/581479</t>
  </si>
  <si>
    <t>9920552906</t>
  </si>
  <si>
    <t>Archana Singh</t>
  </si>
  <si>
    <t>JHIC/2020/581503</t>
  </si>
  <si>
    <t>JHIC/2020/583486</t>
  </si>
  <si>
    <t>6202115726</t>
  </si>
  <si>
    <t>JHIC/2020/590601</t>
  </si>
  <si>
    <t>7488427353</t>
  </si>
  <si>
    <t>Harendra Kumar</t>
  </si>
  <si>
    <t>Luwabasa</t>
  </si>
  <si>
    <t>JHIC/2020/605615</t>
  </si>
  <si>
    <t>Basanti Devi</t>
  </si>
  <si>
    <t>JHIC/2020/605675</t>
  </si>
  <si>
    <t>D Sharda</t>
  </si>
  <si>
    <t>JHIC/2020/605796</t>
  </si>
  <si>
    <t>8809903596</t>
  </si>
  <si>
    <t>Luabasa</t>
  </si>
  <si>
    <t>JHIC/2020/605900</t>
  </si>
  <si>
    <t>9334618285</t>
  </si>
  <si>
    <t>JHIC/2020/607446</t>
  </si>
  <si>
    <t>8409520053</t>
  </si>
  <si>
    <t>B kamleshwar Rao</t>
  </si>
  <si>
    <t>nildih</t>
  </si>
  <si>
    <t>JHIC/2021/06640</t>
  </si>
  <si>
    <t>7909000641</t>
  </si>
  <si>
    <t>Rahul Kumar</t>
  </si>
  <si>
    <t>JHIC/2021/06801</t>
  </si>
  <si>
    <t>Ruma Banerjee</t>
  </si>
  <si>
    <t>JHIC/2021/06929</t>
  </si>
  <si>
    <t>9234850177</t>
  </si>
  <si>
    <t>Nutan Kumari</t>
  </si>
  <si>
    <t>JHIC/2021/07055</t>
  </si>
  <si>
    <t>7352929995</t>
  </si>
  <si>
    <t>Beauty Kumari</t>
  </si>
  <si>
    <t>Hurlung</t>
  </si>
  <si>
    <t>JHIC/2021/07551</t>
  </si>
  <si>
    <t>8002680977</t>
  </si>
  <si>
    <t>Prabin Singh</t>
  </si>
  <si>
    <t>JHIC/2021/06524</t>
  </si>
  <si>
    <t>ward 11 13</t>
  </si>
  <si>
    <t>8249110218</t>
  </si>
  <si>
    <t>Sabitri Devi</t>
  </si>
  <si>
    <t>JHIC/2021/06353</t>
  </si>
  <si>
    <t>9931502165</t>
  </si>
  <si>
    <t>K Suresh Rao</t>
  </si>
  <si>
    <t>JHIC/2021/15736</t>
  </si>
  <si>
    <t>9199242002</t>
  </si>
  <si>
    <t>Priyanka Kumari</t>
  </si>
  <si>
    <t>JHIC/2021/16482</t>
  </si>
  <si>
    <t>JHIC/2021/19913</t>
  </si>
  <si>
    <t>Mohammad Affan</t>
  </si>
  <si>
    <t>JHIC/2021/28107</t>
  </si>
  <si>
    <t>Mohammad Farhan</t>
  </si>
  <si>
    <t>JHIC/2021/28963</t>
  </si>
  <si>
    <t>Suresh Kumar Mahato</t>
  </si>
  <si>
    <t>JHIC/2021/59842</t>
  </si>
  <si>
    <t>Soni Kumari</t>
  </si>
  <si>
    <t>JHIC/2021/74954</t>
  </si>
  <si>
    <t>9162187354</t>
  </si>
  <si>
    <t>SAKEENA AFREEN</t>
  </si>
  <si>
    <t>JHIC/2021/92383</t>
  </si>
  <si>
    <t>8210234439</t>
  </si>
  <si>
    <t>Rashmi Sharma</t>
  </si>
  <si>
    <t>JHIC/2021/104550</t>
  </si>
  <si>
    <t>JHIC/2021/104966</t>
  </si>
  <si>
    <t>JHIC/2021/116411</t>
  </si>
  <si>
    <t>JHIC/2021/125687</t>
  </si>
  <si>
    <t>JHIC/2021/126024</t>
  </si>
  <si>
    <t>9431566942 8789440758</t>
  </si>
  <si>
    <t>JHIC/2021/145173</t>
  </si>
  <si>
    <t>JHIC/2021/145497</t>
  </si>
  <si>
    <t>Md Atif Ali</t>
  </si>
  <si>
    <t>JHIC/2021/155156</t>
  </si>
  <si>
    <t>JHIC/2021/155316</t>
  </si>
  <si>
    <t>JHIC/2021/170479</t>
  </si>
  <si>
    <t>JHIC/2021/170565</t>
  </si>
  <si>
    <t>JHIC/2021/161814</t>
  </si>
  <si>
    <t>8210225607</t>
  </si>
  <si>
    <t>Sanjay Kumar Barik</t>
  </si>
  <si>
    <t>JHIC/2021/169391</t>
  </si>
  <si>
    <t>7004856703</t>
  </si>
  <si>
    <t>Manasi Barik</t>
  </si>
  <si>
    <t>JHIC/2021/169568</t>
  </si>
  <si>
    <t>7209697936</t>
  </si>
  <si>
    <t>Poonam Kumari</t>
  </si>
  <si>
    <t>JHIC/2021/176636</t>
  </si>
  <si>
    <t>7717747068</t>
  </si>
  <si>
    <t>M Rajesh Kumar</t>
  </si>
  <si>
    <t>JHIC/2021/181936</t>
  </si>
  <si>
    <t>JHIC/2021/182494</t>
  </si>
  <si>
    <t>9534056160</t>
  </si>
  <si>
    <t>JHIC/2021/184727</t>
  </si>
  <si>
    <t>9204243159</t>
  </si>
  <si>
    <t>Talari Anita</t>
  </si>
  <si>
    <t>JHIC/2021/202336</t>
  </si>
  <si>
    <t>Dilip Lohar</t>
  </si>
  <si>
    <t>JHIC/2021/203451</t>
  </si>
  <si>
    <t>Avinash Kumar</t>
  </si>
  <si>
    <t>JHIC/2021/203519</t>
  </si>
  <si>
    <t>Ashutosh Pramanik</t>
  </si>
  <si>
    <t>JHIC/2021/203983</t>
  </si>
  <si>
    <t>badabanki</t>
  </si>
  <si>
    <t>JHIC/2021/203678</t>
  </si>
  <si>
    <t>JHIC/2021/229346</t>
  </si>
  <si>
    <t>8757449006</t>
  </si>
  <si>
    <t>Yashraj Tiwary</t>
  </si>
  <si>
    <t>JHIC/2021/230842</t>
  </si>
  <si>
    <t>Gadra</t>
  </si>
  <si>
    <t>JHIC/2021/236546</t>
  </si>
  <si>
    <t>JHIC/2021/236667</t>
  </si>
  <si>
    <t>JHIC/2021/236778</t>
  </si>
  <si>
    <t>8935993957</t>
  </si>
  <si>
    <t>Prem Lata</t>
  </si>
  <si>
    <t>JHIC/2021/237709</t>
  </si>
  <si>
    <t>7209287182</t>
  </si>
  <si>
    <t>Sunny Kumar Singh</t>
  </si>
  <si>
    <t>JHIC/2021/241065</t>
  </si>
  <si>
    <t>7061848015</t>
  </si>
  <si>
    <t>Rakesh Tudu</t>
  </si>
  <si>
    <t>pokta</t>
  </si>
  <si>
    <t>JHIC/2021/240766</t>
  </si>
  <si>
    <t>JHIC/2021/240379</t>
  </si>
  <si>
    <t>9142076678</t>
  </si>
  <si>
    <t>Tara Singh</t>
  </si>
  <si>
    <t>manpia</t>
  </si>
  <si>
    <t>JHIC/2021/249540</t>
  </si>
  <si>
    <t>7978921660</t>
  </si>
  <si>
    <t>Ranjeet Singh</t>
  </si>
  <si>
    <t>JHIC/2021/249214</t>
  </si>
  <si>
    <t>JHIC/2021/249750</t>
  </si>
  <si>
    <t>no salary slip</t>
  </si>
  <si>
    <t>SB</t>
  </si>
  <si>
    <t>Nikhat Perween</t>
  </si>
  <si>
    <t>JHIC/2021/253071</t>
  </si>
  <si>
    <t>Nasir Bakhsh</t>
  </si>
  <si>
    <t>JHIC/2021/253278</t>
  </si>
  <si>
    <t>Rahmat Ali</t>
  </si>
  <si>
    <t>JHIC/2021/253534</t>
  </si>
  <si>
    <t>Shah Nawaz Alam</t>
  </si>
  <si>
    <t>JHIC/2021/253707</t>
  </si>
  <si>
    <t>suk</t>
  </si>
  <si>
    <t>JHIC/2021/253978</t>
  </si>
  <si>
    <t>Munna Gupa</t>
  </si>
  <si>
    <t>MANIFIT</t>
  </si>
  <si>
    <t>JHIC/2021/254162</t>
  </si>
  <si>
    <t>Rajesh Sen</t>
  </si>
  <si>
    <t>JHIC/2021/254293</t>
  </si>
  <si>
    <t>Ajit Kumar Bhagat</t>
  </si>
  <si>
    <t>JHIC/2021/254436</t>
  </si>
  <si>
    <t>JHIC/2021/254542</t>
  </si>
  <si>
    <t>JHIC/2021/254770</t>
  </si>
  <si>
    <t>JHIC/2021/254928</t>
  </si>
  <si>
    <t>JHIC/2021/255065</t>
  </si>
  <si>
    <t>Santosh Munda</t>
  </si>
  <si>
    <t>JHIC/2021/263166</t>
  </si>
  <si>
    <t>Ritika Mahato</t>
  </si>
  <si>
    <t>pipla-barabk</t>
  </si>
  <si>
    <t>JHIC/2021/264066</t>
  </si>
  <si>
    <t>8294448943</t>
  </si>
  <si>
    <t>Lalita Devi</t>
  </si>
  <si>
    <t>JHIC/2021/265060</t>
  </si>
  <si>
    <t>8709607375</t>
  </si>
  <si>
    <t>Shyam Kumar tiwary</t>
  </si>
  <si>
    <t>JHIC/2021/266439</t>
  </si>
  <si>
    <t>6203456892</t>
  </si>
  <si>
    <t>Shourav Kumar</t>
  </si>
  <si>
    <t>JHIC/2021/266494</t>
  </si>
  <si>
    <t>7079706474</t>
  </si>
  <si>
    <t>Luyabasa</t>
  </si>
  <si>
    <t>JHIC/2021/273830</t>
  </si>
  <si>
    <t>9263300206</t>
  </si>
  <si>
    <t>Awdarsh Kumar Singh</t>
  </si>
  <si>
    <t>JHIC/2021/278094</t>
  </si>
  <si>
    <t>7903047628</t>
  </si>
  <si>
    <t>truck Park</t>
  </si>
  <si>
    <t>JHIC/2021/277926</t>
  </si>
  <si>
    <t>7209433027</t>
  </si>
  <si>
    <t>V Shankar Rao</t>
  </si>
  <si>
    <t>JHIC/2021/285745</t>
  </si>
  <si>
    <t>8825214668</t>
  </si>
  <si>
    <t xml:space="preserve">Rinky Machhuwa </t>
  </si>
  <si>
    <t>JHIC/2021/297297</t>
  </si>
  <si>
    <t>7903697661</t>
  </si>
  <si>
    <t>Sagar Tantubai</t>
  </si>
  <si>
    <t>Ghorabandha</t>
  </si>
  <si>
    <t>JHIC/2021/303730</t>
  </si>
  <si>
    <t>Alok</t>
  </si>
  <si>
    <t>Amarnath  Vishwakarma</t>
  </si>
  <si>
    <t>JHIC/2021/304603</t>
  </si>
  <si>
    <t>Sujaat Ali</t>
  </si>
  <si>
    <t>JHIC/2021/306764</t>
  </si>
  <si>
    <t>50D</t>
  </si>
  <si>
    <t>Devshree Raul</t>
  </si>
  <si>
    <t>JHIC/2021/306808</t>
  </si>
  <si>
    <t>Deepu  Gorai</t>
  </si>
  <si>
    <t>JHIC/2021/307903</t>
  </si>
  <si>
    <t>Sudha Sharma</t>
  </si>
  <si>
    <t>JHIC/2021/318857</t>
  </si>
  <si>
    <t>9031331561</t>
  </si>
  <si>
    <t>Ranendro Dev</t>
  </si>
  <si>
    <t>JHIC/2021/324513</t>
  </si>
  <si>
    <t>9304778305</t>
  </si>
  <si>
    <t>Chandan Kumar</t>
  </si>
  <si>
    <t>JHIC/2021/328309</t>
  </si>
  <si>
    <t>8210844873</t>
  </si>
  <si>
    <t>Ankit Kumar Sinha</t>
  </si>
  <si>
    <t>JHIC/2021/330837</t>
  </si>
  <si>
    <t>6202147708</t>
  </si>
  <si>
    <t>Gagan Chandra Bera</t>
  </si>
  <si>
    <t>JHIC/2021/335256</t>
  </si>
  <si>
    <t>Sunil Prajapati</t>
  </si>
  <si>
    <t>JHIC/2021/335299</t>
  </si>
  <si>
    <t>7209226277</t>
  </si>
  <si>
    <t>Vipin Prasad</t>
  </si>
  <si>
    <t>JHIC/2021/342439</t>
  </si>
  <si>
    <t>JHIC/2021/343767</t>
  </si>
  <si>
    <t>JHIC/2021/343888</t>
  </si>
  <si>
    <t>JHIC/2021/345394</t>
  </si>
  <si>
    <t>send</t>
  </si>
  <si>
    <t>Vikram Kumar</t>
  </si>
  <si>
    <t>JHIC/2021/349054</t>
  </si>
  <si>
    <t>JHIC/2021/351420</t>
  </si>
  <si>
    <t>6203650711</t>
  </si>
  <si>
    <t>Khushi Mahato</t>
  </si>
  <si>
    <t>JHIC/2021/361226</t>
  </si>
  <si>
    <t>8409742409</t>
  </si>
  <si>
    <t>Shashi Bhushan Pathak</t>
  </si>
  <si>
    <t>JHIC/2021/361270</t>
  </si>
  <si>
    <t>Sunita Tiwari</t>
  </si>
  <si>
    <t>JHIC/2021/361313</t>
  </si>
  <si>
    <t>Indranagar</t>
  </si>
  <si>
    <t>JHIC/2021/361362</t>
  </si>
  <si>
    <t>7295941214</t>
  </si>
  <si>
    <t>Bhushan Kumar Mukhiya</t>
  </si>
  <si>
    <t>JHIC/2021/361478</t>
  </si>
  <si>
    <t>Reena Devi</t>
  </si>
  <si>
    <t>Rahargora</t>
  </si>
  <si>
    <t>JHIC/2021/361546</t>
  </si>
  <si>
    <t>7254987960</t>
  </si>
  <si>
    <t>Renu Devi</t>
  </si>
  <si>
    <t>JHIC/2021/361594</t>
  </si>
  <si>
    <t>9304508491</t>
  </si>
  <si>
    <t>Rina Devi</t>
  </si>
  <si>
    <t>JHIC/2021/380376</t>
  </si>
  <si>
    <t>7903124157</t>
  </si>
  <si>
    <t>JHIC/2021/383205</t>
  </si>
  <si>
    <t>7488946484</t>
  </si>
  <si>
    <t>Kusum Rani Mahato</t>
  </si>
  <si>
    <t>JHIC/2021/384396</t>
  </si>
  <si>
    <t>Suprasad Mahato</t>
  </si>
  <si>
    <t>JHIC/2021/384438</t>
  </si>
  <si>
    <t>JHIC/2021/384484</t>
  </si>
  <si>
    <t>8210119868</t>
  </si>
  <si>
    <t>Jaya Patel</t>
  </si>
  <si>
    <t>Bistupur</t>
  </si>
  <si>
    <t>JHIC/2021/384507</t>
  </si>
  <si>
    <t>uppramukh</t>
  </si>
  <si>
    <t>9835552756</t>
  </si>
  <si>
    <t>Deo Krishna Choudhary</t>
  </si>
  <si>
    <t>JHIC/2021/396350</t>
  </si>
  <si>
    <t>JHIC/2021/396328</t>
  </si>
  <si>
    <t>8292297187</t>
  </si>
  <si>
    <t>Md Tarique Alam</t>
  </si>
  <si>
    <t>JHIC/2021/407794</t>
  </si>
  <si>
    <t>D</t>
  </si>
  <si>
    <t>Rakhi Kumari</t>
  </si>
  <si>
    <t>Govindpur</t>
  </si>
  <si>
    <t>JHIC/2021/418263</t>
  </si>
  <si>
    <t>7004010034</t>
  </si>
  <si>
    <t>Pavan Kumar Singh</t>
  </si>
  <si>
    <t>JHIC/2021/419058</t>
  </si>
  <si>
    <t>9572440187</t>
  </si>
  <si>
    <t>Bijendra Kumar Upadhyay</t>
  </si>
  <si>
    <t>JHIC/2021/425326</t>
  </si>
  <si>
    <t>8709506312</t>
  </si>
  <si>
    <t>Suraj Kumar Singh</t>
  </si>
  <si>
    <t>JHIC/2021/429102</t>
  </si>
  <si>
    <t>7250541558</t>
  </si>
  <si>
    <t>Praween Kumar Jha</t>
  </si>
  <si>
    <t>loco colony</t>
  </si>
  <si>
    <t>JHIC/2021/429131</t>
  </si>
  <si>
    <t>7209786317</t>
  </si>
  <si>
    <t>Sandhya Mahato</t>
  </si>
  <si>
    <t>JHIC/2021/439532</t>
  </si>
  <si>
    <t>9135493811</t>
  </si>
  <si>
    <t>Rinku Mahato</t>
  </si>
  <si>
    <t>JHIC/2021/439639</t>
  </si>
  <si>
    <t>9693262217</t>
  </si>
  <si>
    <t>Rupesh Kumar</t>
  </si>
  <si>
    <t>Colony</t>
  </si>
  <si>
    <t>JHIC/2021/440609</t>
  </si>
  <si>
    <t>JHIC/2021/440864</t>
  </si>
  <si>
    <t>8789176968</t>
  </si>
  <si>
    <t>Shubham Kumar Singh</t>
  </si>
  <si>
    <t>JHIC/2021/442761</t>
  </si>
  <si>
    <t>8210134521</t>
  </si>
  <si>
    <t>Purnima Mukhi</t>
  </si>
  <si>
    <t>JHIC/2021/444022</t>
  </si>
  <si>
    <t>8797240188</t>
  </si>
  <si>
    <t>Saurabh Kumar</t>
  </si>
  <si>
    <t>JHIC/2021/444031</t>
  </si>
  <si>
    <t>itr</t>
  </si>
  <si>
    <t>JHIC/2021/446402</t>
  </si>
  <si>
    <t>9060888390</t>
  </si>
  <si>
    <t>Jitesh Kumar Bhagat</t>
  </si>
  <si>
    <t>JHIC/2021/446421</t>
  </si>
  <si>
    <t>6203320498</t>
  </si>
  <si>
    <t>JHIC/2021/446428</t>
  </si>
  <si>
    <t>7978152037</t>
  </si>
  <si>
    <t>Ahmad Ali</t>
  </si>
  <si>
    <t>JHIC/2021/446528</t>
  </si>
  <si>
    <t>7061248700</t>
  </si>
  <si>
    <t>Abhishek Kumar</t>
  </si>
  <si>
    <t>JHIC/2021/450031</t>
  </si>
  <si>
    <t>9279058485</t>
  </si>
  <si>
    <t>Tithi Nandi</t>
  </si>
  <si>
    <t>JHIC/2021/452280</t>
  </si>
  <si>
    <t>Simranjeet  Kaur</t>
  </si>
  <si>
    <t>JHIC/2021/453941</t>
  </si>
  <si>
    <t>7209637291</t>
  </si>
  <si>
    <t>Bhaskar Ghosh</t>
  </si>
  <si>
    <t>JHIC/2021/460058</t>
  </si>
  <si>
    <t>7909044681</t>
  </si>
  <si>
    <t>Akansha Kumari</t>
  </si>
  <si>
    <t>JHIC/2021/460091</t>
  </si>
  <si>
    <t>6203023049</t>
  </si>
  <si>
    <t>Vikash Kumar Singh</t>
  </si>
  <si>
    <t>Ghoraba</t>
  </si>
  <si>
    <t>JHIC/2021/462383</t>
  </si>
  <si>
    <t>JHIC/2021/458630</t>
  </si>
  <si>
    <t>JHIC/2021/463333</t>
  </si>
  <si>
    <t>JHIC/2021/464057</t>
  </si>
  <si>
    <t>6206906459</t>
  </si>
  <si>
    <t>Rishabh Dogra</t>
  </si>
  <si>
    <t>JHIC/2021/468980</t>
  </si>
  <si>
    <t>Pawan Kumar Singh</t>
  </si>
  <si>
    <t>JHIC/2021/471453</t>
  </si>
  <si>
    <t>JHIC/2021/475776</t>
  </si>
  <si>
    <t>8002760652</t>
  </si>
  <si>
    <t>Annapurna Singh</t>
  </si>
  <si>
    <t>JHIC/2021/475794</t>
  </si>
  <si>
    <t>9470923844</t>
  </si>
  <si>
    <t>Ghanshyam  Prasad</t>
  </si>
  <si>
    <t>JHIC/2021/481640</t>
  </si>
  <si>
    <t>Sukumar</t>
  </si>
  <si>
    <t>8709838859</t>
  </si>
  <si>
    <t>Sumitra Mukhi</t>
  </si>
  <si>
    <t>JHIC/2021/482416</t>
  </si>
  <si>
    <t>Manish Kumar Poddar</t>
  </si>
  <si>
    <t>JHIC/2021/486224</t>
  </si>
  <si>
    <t>9304540858</t>
  </si>
  <si>
    <t>Rakhi Pandey</t>
  </si>
  <si>
    <t>JHIC/2021/489704</t>
  </si>
  <si>
    <t>Kajal Kumari</t>
  </si>
  <si>
    <t>JHIC/2021/492616</t>
  </si>
  <si>
    <t>JHIC/2021/498918</t>
  </si>
  <si>
    <t>7209923486</t>
  </si>
  <si>
    <t>Dilip Pal</t>
  </si>
  <si>
    <t>naya basti</t>
  </si>
  <si>
    <t>JHIC/2021/499660</t>
  </si>
  <si>
    <t>6207762632</t>
  </si>
  <si>
    <t>Dhananjay gorai</t>
  </si>
  <si>
    <t>JHIC/2021/502118</t>
  </si>
  <si>
    <t>9431755597</t>
  </si>
  <si>
    <t>Priya Singh</t>
  </si>
  <si>
    <t>Telco 18</t>
  </si>
  <si>
    <t>JHIC/2021/502684</t>
  </si>
  <si>
    <t>JHIC/2021/505535</t>
  </si>
  <si>
    <t>Ashish Das</t>
  </si>
  <si>
    <t>JHIC/2021/506612</t>
  </si>
  <si>
    <t>9766116446</t>
  </si>
  <si>
    <t>Surendar thakur</t>
  </si>
  <si>
    <t>kadma</t>
  </si>
  <si>
    <t>JHIC/2021/512498</t>
  </si>
  <si>
    <t>9852312784</t>
  </si>
  <si>
    <t>JHIC/2021/517337</t>
  </si>
  <si>
    <t xml:space="preserve">    </t>
  </si>
  <si>
    <t>Abhinav Kumar Sah</t>
  </si>
  <si>
    <t>JHIC/2021/526124</t>
  </si>
  <si>
    <t>7369960439</t>
  </si>
  <si>
    <t>Inzamamul Haque</t>
  </si>
  <si>
    <t>jugsalai</t>
  </si>
  <si>
    <t>JHIC/2021/527666</t>
  </si>
  <si>
    <t>reapply</t>
  </si>
  <si>
    <t>Luwabaa</t>
  </si>
  <si>
    <t>JHIC/2021/528332</t>
  </si>
  <si>
    <t>JHIC/2021/534011</t>
  </si>
  <si>
    <t>JHIC/2021/534038</t>
  </si>
  <si>
    <t>Purbi</t>
  </si>
  <si>
    <t>JHIC/2021/533967</t>
  </si>
  <si>
    <t>8603192185</t>
  </si>
  <si>
    <t>Suman Kumri Verma</t>
  </si>
  <si>
    <t>JHIC/2021/537724</t>
  </si>
  <si>
    <t>8084025896</t>
  </si>
  <si>
    <t>Ayushi Kumari</t>
  </si>
  <si>
    <t>JHIC/2021/537749</t>
  </si>
  <si>
    <t>8789932160</t>
  </si>
  <si>
    <t>Abdul Gaffar</t>
  </si>
  <si>
    <t>JHIC/2021/539924</t>
  </si>
  <si>
    <t>8294724803</t>
  </si>
  <si>
    <t>Ritu Kumari</t>
  </si>
  <si>
    <t>JHIC/2021/542021</t>
  </si>
  <si>
    <t>JHIC/2021/549443</t>
  </si>
  <si>
    <t>savecdl</t>
  </si>
  <si>
    <t>6202624174</t>
  </si>
  <si>
    <t>Jay malhotra</t>
  </si>
  <si>
    <t>sarjamda</t>
  </si>
  <si>
    <t>JHIC/2021/549694</t>
  </si>
  <si>
    <t>8116701628</t>
  </si>
  <si>
    <t>Chhote Lal Prasad</t>
  </si>
  <si>
    <t>Ramadin baga</t>
  </si>
  <si>
    <t>JHIC/2021/559075</t>
  </si>
  <si>
    <t>luwabasa</t>
  </si>
  <si>
    <t>JHIC/2021/559023</t>
  </si>
  <si>
    <t>Riu Rani Mahato</t>
  </si>
  <si>
    <t>JHIC/2021/559054</t>
  </si>
  <si>
    <t>9771243020</t>
  </si>
  <si>
    <t>JHIC/2021/559106</t>
  </si>
  <si>
    <t>8051069019</t>
  </si>
  <si>
    <t>Subir Kumar Das</t>
  </si>
  <si>
    <t>JHIC/2021/566835</t>
  </si>
  <si>
    <t>8789882083</t>
  </si>
  <si>
    <t>Md Akhlakh Mansuri</t>
  </si>
  <si>
    <t>JHIC/2021/567529</t>
  </si>
  <si>
    <t>7903870592</t>
  </si>
  <si>
    <t>Sanjeb Choudhary</t>
  </si>
  <si>
    <t>gobind</t>
  </si>
  <si>
    <t>JHIC/2021/578517</t>
  </si>
  <si>
    <t>6203567643</t>
  </si>
  <si>
    <t>Aditi Kumari</t>
  </si>
  <si>
    <t>JHIC/2021/581413</t>
  </si>
  <si>
    <t>7858820414</t>
  </si>
  <si>
    <t>JHIC/2021/582516</t>
  </si>
  <si>
    <t>Arti Munda</t>
  </si>
  <si>
    <t>JHIC/2021/582604</t>
  </si>
  <si>
    <t>sent on wht</t>
  </si>
  <si>
    <t>6201319163</t>
  </si>
  <si>
    <t>Pratima Mahato</t>
  </si>
  <si>
    <t>bhagabandha</t>
  </si>
  <si>
    <t>JHIC/2021/590659</t>
  </si>
  <si>
    <t>Siddharth Kumar</t>
  </si>
  <si>
    <t>JHIC/2021/582826</t>
  </si>
  <si>
    <t>not record found</t>
  </si>
  <si>
    <t>aditi sharma+</t>
  </si>
  <si>
    <t>JHIC/2021/591233</t>
  </si>
  <si>
    <t>9771606502</t>
  </si>
  <si>
    <t>keshikudar</t>
  </si>
  <si>
    <t>JHIC/2021/591950</t>
  </si>
  <si>
    <t>JHIC/2021/597701</t>
  </si>
  <si>
    <t>Suma Devi</t>
  </si>
  <si>
    <t>JHIC/2021/597745</t>
  </si>
  <si>
    <t>JHIC/2021/597836</t>
  </si>
  <si>
    <t>9931637396</t>
  </si>
  <si>
    <t>Mala Devi</t>
  </si>
  <si>
    <t>JHIC/2021/615030</t>
  </si>
  <si>
    <t>9955956408</t>
  </si>
  <si>
    <t>Nidhu Devi</t>
  </si>
  <si>
    <t>JHIC/2021/615110</t>
  </si>
  <si>
    <t>779706474</t>
  </si>
  <si>
    <t>Sunita baskey</t>
  </si>
  <si>
    <t>JHIC/2021/628363</t>
  </si>
  <si>
    <t>JHIC/2021/628401</t>
  </si>
  <si>
    <t>init</t>
  </si>
  <si>
    <t>Reshmi Kumari</t>
  </si>
  <si>
    <t>ranchi</t>
  </si>
  <si>
    <t>JHIC/2021/628490</t>
  </si>
  <si>
    <t>9801051498</t>
  </si>
  <si>
    <t>Mithlesh Sharma</t>
  </si>
  <si>
    <t>birsa</t>
  </si>
  <si>
    <t>JHIC/2021/628654</t>
  </si>
  <si>
    <t>9508410844</t>
  </si>
  <si>
    <t>Anjali singh</t>
  </si>
  <si>
    <t>JHIC/2021/649049</t>
  </si>
  <si>
    <t>Gayatri Singh</t>
  </si>
  <si>
    <t>JHIC/2021/649091</t>
  </si>
  <si>
    <t>8825321124</t>
  </si>
  <si>
    <t>Sulochana Karmakar</t>
  </si>
  <si>
    <t>JHIC/2021/649211</t>
  </si>
  <si>
    <t>8825335425</t>
  </si>
  <si>
    <t>RahulBarua</t>
  </si>
  <si>
    <t>birsang</t>
  </si>
  <si>
    <t>JHIC/2021/658781</t>
  </si>
  <si>
    <t>Anita Gorai</t>
  </si>
  <si>
    <t>JHIC/2021/676607</t>
  </si>
  <si>
    <t>Reject</t>
  </si>
  <si>
    <t>Malabika bhadra</t>
  </si>
  <si>
    <t>JHIC/2021/676719</t>
  </si>
  <si>
    <t>7979069837</t>
  </si>
  <si>
    <t>JHIC/2021/694314</t>
  </si>
  <si>
    <t>save</t>
  </si>
  <si>
    <t>JHIC/2021/694550</t>
  </si>
  <si>
    <t>Sanjev Kumar Choudhary</t>
  </si>
  <si>
    <t>JHIC/2021/700770</t>
  </si>
  <si>
    <t>Kalyani Mahato</t>
  </si>
  <si>
    <t>JHIC/2021/708360</t>
  </si>
  <si>
    <t>8340612383</t>
  </si>
  <si>
    <t>Rajendra Sharma</t>
  </si>
  <si>
    <t>JHIC/2021/708543</t>
  </si>
  <si>
    <t>8797320801</t>
  </si>
  <si>
    <t>Jitendra kr Gachhayap</t>
  </si>
  <si>
    <t>JHIC/2021/708845</t>
  </si>
  <si>
    <t>Anima Gorai</t>
  </si>
  <si>
    <t>Birsa</t>
  </si>
  <si>
    <t>JHIC/2021/709749</t>
  </si>
  <si>
    <t>Kalpana Das</t>
  </si>
  <si>
    <t>JHIC/2021/727335</t>
  </si>
  <si>
    <t>Savitri Kumari</t>
  </si>
  <si>
    <t>JHIC/2021/732659</t>
  </si>
  <si>
    <t>JHIC/2021/733452</t>
  </si>
  <si>
    <t>7979784700</t>
  </si>
  <si>
    <t>Kanchan Kumar Das</t>
  </si>
  <si>
    <t>asanbani</t>
  </si>
  <si>
    <t>JHIC/2021/744532</t>
  </si>
  <si>
    <t>9508495838</t>
  </si>
  <si>
    <t>Sumit Kumar</t>
  </si>
  <si>
    <t>JHIC/2021/744570</t>
  </si>
  <si>
    <t>JHIC/2021/744632</t>
  </si>
  <si>
    <t>send on wht</t>
  </si>
  <si>
    <t>atif</t>
  </si>
  <si>
    <t>Airum Nishu</t>
  </si>
  <si>
    <t>JHIC/2021/764754</t>
  </si>
  <si>
    <t>6299667415</t>
  </si>
  <si>
    <t>Priya Mandal</t>
  </si>
  <si>
    <t>JHIC/2021/763854</t>
  </si>
  <si>
    <t>9204696356</t>
  </si>
  <si>
    <t>Amal Kumar Das</t>
  </si>
  <si>
    <t>JHIC/2021/764865</t>
  </si>
  <si>
    <t>JHIC/2021/763714</t>
  </si>
  <si>
    <t>7781960856</t>
  </si>
  <si>
    <t>Asim Pal</t>
  </si>
  <si>
    <t>JHIC/2021/769164</t>
  </si>
  <si>
    <t>9334711414</t>
  </si>
  <si>
    <t>JHIC/2021/769429</t>
  </si>
  <si>
    <t>6207836483</t>
  </si>
  <si>
    <t>Rajni</t>
  </si>
  <si>
    <t>JHIC/2021/769526</t>
  </si>
  <si>
    <t>9334882577</t>
  </si>
  <si>
    <t>JHIC/2021/773697</t>
  </si>
  <si>
    <t>50 due</t>
  </si>
  <si>
    <t>9234720322</t>
  </si>
  <si>
    <t>Nikhil Kumar Singh</t>
  </si>
  <si>
    <t>JHIC/2021/773736</t>
  </si>
  <si>
    <t>9504504612</t>
  </si>
  <si>
    <t>JHIC/2021/823072</t>
  </si>
  <si>
    <t>8674946079</t>
  </si>
  <si>
    <t>Deepak nayak</t>
  </si>
  <si>
    <t>JHIC/2021/850255</t>
  </si>
  <si>
    <t>9955965053</t>
  </si>
  <si>
    <t>Avadhesh Thakur</t>
  </si>
  <si>
    <t>JHIC/2021/854883</t>
  </si>
  <si>
    <t>7979049359</t>
  </si>
  <si>
    <t>Rishav Rai</t>
  </si>
  <si>
    <t>JHIC/2021/855192</t>
  </si>
  <si>
    <t>md Irfan</t>
  </si>
  <si>
    <t>JHIC/2021/860826</t>
  </si>
  <si>
    <t>7209441354</t>
  </si>
  <si>
    <t>Mohammed Affan</t>
  </si>
  <si>
    <t>JHIC/2021/860975</t>
  </si>
  <si>
    <t>9204201489</t>
  </si>
  <si>
    <t>Puja Rani Mahato</t>
  </si>
  <si>
    <t>JHIC/2021/912592</t>
  </si>
  <si>
    <t>Barun Kumar SIngh</t>
  </si>
  <si>
    <t>JHIC/2021/926147</t>
  </si>
  <si>
    <t>9608557261</t>
  </si>
  <si>
    <t>Madan Mardi</t>
  </si>
  <si>
    <t>JHIC/2021/925855</t>
  </si>
  <si>
    <t>Santosh Kumar Pandey</t>
  </si>
  <si>
    <t>JHIC/2021/933315</t>
  </si>
  <si>
    <t>9835334111</t>
  </si>
  <si>
    <t>Shaik Farid</t>
  </si>
  <si>
    <t>JHIC/2021/958522</t>
  </si>
  <si>
    <t>7979741275</t>
  </si>
  <si>
    <t>Govind Kumar Misha</t>
  </si>
  <si>
    <t>JHIC/2021/961623</t>
  </si>
  <si>
    <t>8340387617</t>
  </si>
  <si>
    <t>Raman Kumar</t>
  </si>
  <si>
    <t>JHIC/2021/961802</t>
  </si>
  <si>
    <t>JHIC/2021/987022</t>
  </si>
  <si>
    <t>8210206241</t>
  </si>
  <si>
    <t>JHIC/2021/987099</t>
  </si>
  <si>
    <t>9570689053</t>
  </si>
  <si>
    <t>Arun Kumar Nirala</t>
  </si>
  <si>
    <t>JHIC/2021/987194</t>
  </si>
  <si>
    <t>9234741030</t>
  </si>
  <si>
    <t>Pratap Bhanu</t>
  </si>
  <si>
    <t>JHIC/2021/989730</t>
  </si>
  <si>
    <t>8092848229</t>
  </si>
  <si>
    <t>Zafar Alam</t>
  </si>
  <si>
    <t>JHIC/2021/995205</t>
  </si>
  <si>
    <t>9304286546</t>
  </si>
  <si>
    <t>JHIC/2021/996168</t>
  </si>
  <si>
    <t>JHIC/2021/1006469</t>
  </si>
  <si>
    <t>Ankita Bharti</t>
  </si>
  <si>
    <t>JHIC/2021/1015569</t>
  </si>
  <si>
    <t>7979809639</t>
  </si>
  <si>
    <t>Farida Khatoon</t>
  </si>
  <si>
    <t>golmuri</t>
  </si>
  <si>
    <t>JHIC/2021/1024249</t>
  </si>
  <si>
    <t>8863097495</t>
  </si>
  <si>
    <t>JHIC/2021/1035133</t>
  </si>
  <si>
    <t>7367815284</t>
  </si>
  <si>
    <t>JHIC/2021/1035240</t>
  </si>
  <si>
    <t>8861857960</t>
  </si>
  <si>
    <t>JHIC/2021/1041462</t>
  </si>
  <si>
    <t>9835113022</t>
  </si>
  <si>
    <t>K Tejeshwani</t>
  </si>
  <si>
    <t>JHIC/2021/1041821</t>
  </si>
  <si>
    <t>6207044747</t>
  </si>
  <si>
    <t>Arun Mahato</t>
  </si>
  <si>
    <t>JHIC/2021/1042636</t>
  </si>
  <si>
    <t>9905241547</t>
  </si>
  <si>
    <t>nutandih</t>
  </si>
  <si>
    <t>JHIC/2021/1047059</t>
  </si>
  <si>
    <t>8252637723</t>
  </si>
  <si>
    <t>Usma Munda</t>
  </si>
  <si>
    <t>JHIC/2021/1047114</t>
  </si>
  <si>
    <t>Birendra Kumar Jha</t>
  </si>
  <si>
    <t>JHIC/2021/1064110</t>
  </si>
  <si>
    <t>9334616844</t>
  </si>
  <si>
    <t>Sujit Kumar Srivastava</t>
  </si>
  <si>
    <t>JHIC/2021/1067196</t>
  </si>
  <si>
    <t>9381581410</t>
  </si>
  <si>
    <t>Md Nawaid Iqbal</t>
  </si>
  <si>
    <t>JHIC/2021/1076644</t>
  </si>
  <si>
    <t>8207356721</t>
  </si>
  <si>
    <t>Md Tauqeer Iqbal</t>
  </si>
  <si>
    <t>JHIC/2021/1077641</t>
  </si>
  <si>
    <t>9955906594</t>
  </si>
  <si>
    <t>Prashant bhakat</t>
  </si>
  <si>
    <t>JHIC/2021/1077749</t>
  </si>
  <si>
    <t>7004243009</t>
  </si>
  <si>
    <t>Rupali Hembram</t>
  </si>
  <si>
    <t>JHIC/2021/1088411</t>
  </si>
  <si>
    <t>9142241756</t>
  </si>
  <si>
    <t>Ashok Das</t>
  </si>
  <si>
    <t>JHIC/2021/1088599</t>
  </si>
  <si>
    <t>6000713901</t>
  </si>
  <si>
    <t>JHIC/2021/1117515</t>
  </si>
  <si>
    <t>JHIC/2021/1096155</t>
  </si>
  <si>
    <t>Abdul Mustafa</t>
  </si>
  <si>
    <t>JHIC/2021/1117284</t>
  </si>
  <si>
    <t>7903762558</t>
  </si>
  <si>
    <t>Sarita Kumari</t>
  </si>
  <si>
    <t>JHIC/2021/1117361</t>
  </si>
  <si>
    <t>8092498387</t>
  </si>
  <si>
    <t>Renu Singh</t>
  </si>
  <si>
    <t>JHIC/2021/1122148</t>
  </si>
  <si>
    <t>JHIC/2021/1129051</t>
  </si>
  <si>
    <t>JHIC/2021/1129976</t>
  </si>
  <si>
    <t>9142510639</t>
  </si>
  <si>
    <t>JHIC/2021/1147133</t>
  </si>
  <si>
    <t>7488487469</t>
  </si>
  <si>
    <t>Anku Kumar Sharma</t>
  </si>
  <si>
    <t>JHIC/2021/1147185</t>
  </si>
  <si>
    <t>Ankit Kumar Sharma</t>
  </si>
  <si>
    <t>JHIC/2021/1147222</t>
  </si>
  <si>
    <t>JHIC/2021/1171774</t>
  </si>
  <si>
    <t>Gopeshwar Mahato</t>
  </si>
  <si>
    <t>JHIC/2021/1178890</t>
  </si>
  <si>
    <t>ALOK</t>
  </si>
  <si>
    <t>Prashanta bhakat</t>
  </si>
  <si>
    <t>JHIC/2021/1189574</t>
  </si>
  <si>
    <t>9955574670</t>
  </si>
  <si>
    <t>Pratap Karmakar</t>
  </si>
  <si>
    <t>LUYAWASA</t>
  </si>
  <si>
    <t>JHIC/2021/1191767</t>
  </si>
  <si>
    <t>8873613640</t>
  </si>
  <si>
    <t>Devansh Kaushik</t>
  </si>
  <si>
    <t>JHIC/2021/1193875</t>
  </si>
  <si>
    <t>Manik Sandel</t>
  </si>
  <si>
    <t>JHIC/2021/1203282</t>
  </si>
  <si>
    <t>Mousumi Mahato</t>
  </si>
  <si>
    <t>JHIC/2021/1203332</t>
  </si>
  <si>
    <t>8858797757</t>
  </si>
  <si>
    <t>Vijay Prasad</t>
  </si>
  <si>
    <t>tarcompany</t>
  </si>
  <si>
    <t>JHIC/2021/1229254</t>
  </si>
  <si>
    <t>9798324329</t>
  </si>
  <si>
    <t>K Shekhar</t>
  </si>
  <si>
    <t>NORTH</t>
  </si>
  <si>
    <t>JHIC/2021/1239861</t>
  </si>
  <si>
    <t>9304107021</t>
  </si>
  <si>
    <t>Somi Gope</t>
  </si>
  <si>
    <t>govinpur</t>
  </si>
  <si>
    <t>JHIC/2021/1239978</t>
  </si>
  <si>
    <t>8603203049</t>
  </si>
  <si>
    <t>Ramnath Prasad</t>
  </si>
  <si>
    <t>JHIC/2021/1263676</t>
  </si>
  <si>
    <t>9471728599</t>
  </si>
  <si>
    <t>Shishir Chouduri</t>
  </si>
  <si>
    <t>JHIC/2021/1263672</t>
  </si>
  <si>
    <t>Bablu Munda</t>
  </si>
  <si>
    <t>JHIC/2021/1263674</t>
  </si>
  <si>
    <t>Rakhi Mahato</t>
  </si>
  <si>
    <t>JHIC/2021/1268281</t>
  </si>
  <si>
    <t>7903108899</t>
  </si>
  <si>
    <t>JHIC/2021/1268338</t>
  </si>
  <si>
    <t>JHIC/2021/1279815</t>
  </si>
  <si>
    <t>JHIC/2021/1285239</t>
  </si>
  <si>
    <t>8969499388</t>
  </si>
  <si>
    <t>Nikita Mahato</t>
  </si>
  <si>
    <t>Luwabsa</t>
  </si>
  <si>
    <t>JHIC/2021/1288716</t>
  </si>
  <si>
    <t>7250111700</t>
  </si>
  <si>
    <t>Ravinder Singh</t>
  </si>
  <si>
    <t>JHIC/2021/1288757</t>
  </si>
  <si>
    <t>8084017957</t>
  </si>
  <si>
    <t>Shiv Kishore Singh</t>
  </si>
  <si>
    <t>JHIC/2021/1299848</t>
  </si>
  <si>
    <t>7367801019</t>
  </si>
  <si>
    <t>Nazrana Khatoon</t>
  </si>
  <si>
    <t>JHIC/2021/1305820</t>
  </si>
  <si>
    <t>9771913912</t>
  </si>
  <si>
    <t>Shoaib Ahmad Khan</t>
  </si>
  <si>
    <t>JHIC/2021/1305904</t>
  </si>
  <si>
    <t>JHIC/2021/1345064</t>
  </si>
  <si>
    <t>9835134920</t>
  </si>
  <si>
    <t>JHIC/2021/1345089</t>
  </si>
  <si>
    <t>JHIC/2021/1356273</t>
  </si>
  <si>
    <t>6202295596</t>
  </si>
  <si>
    <t>Rohit Kumar Mishra</t>
  </si>
  <si>
    <t>JHIC/2021/1356358</t>
  </si>
  <si>
    <t>Prakash Kumar</t>
  </si>
  <si>
    <t>JHIC/2021/1349344</t>
  </si>
  <si>
    <t>9801335683</t>
  </si>
  <si>
    <t>Yasmin Khatoon</t>
  </si>
  <si>
    <t>JHIC/2021/1366149</t>
  </si>
  <si>
    <t>8877133160</t>
  </si>
  <si>
    <t>Vishal Das</t>
  </si>
  <si>
    <t>JHIC/2021/1380964</t>
  </si>
  <si>
    <t>JHIC/2021/1391894</t>
  </si>
  <si>
    <t>Mohamad Shams Tabrez Ansari</t>
  </si>
  <si>
    <t>JHIC/2021/1397008</t>
  </si>
  <si>
    <t>9102605853</t>
  </si>
  <si>
    <t>Punam Kumari Pandey</t>
  </si>
  <si>
    <t>JHIC/2021/1407419</t>
  </si>
  <si>
    <t>9204024742</t>
  </si>
  <si>
    <t>Chandan Kumar Thakur</t>
  </si>
  <si>
    <t>JHIC/2021/1419800</t>
  </si>
  <si>
    <t>Shagufta Perween</t>
  </si>
  <si>
    <t>JHIC/2021/1419818</t>
  </si>
  <si>
    <t>JHIC/2021/1421554</t>
  </si>
  <si>
    <t>JHIC/2021/1424341</t>
  </si>
  <si>
    <t>6204075271</t>
  </si>
  <si>
    <t>Mona Singh Sardar</t>
  </si>
  <si>
    <t>JHIC/2021/1439992</t>
  </si>
  <si>
    <t>JHIC/2021/1447384</t>
  </si>
  <si>
    <t>8709902698</t>
  </si>
  <si>
    <t>Rounit Singh</t>
  </si>
  <si>
    <t>JHIC/2021/1447837</t>
  </si>
  <si>
    <t>8674876145</t>
  </si>
  <si>
    <t>kalawati Ahir</t>
  </si>
  <si>
    <t>JHIC/2021/1454332</t>
  </si>
  <si>
    <t>Priyanka kumari seth</t>
  </si>
  <si>
    <t>JHIC/2021/1454350</t>
  </si>
  <si>
    <t>8092223582</t>
  </si>
  <si>
    <t>Lakhan Tudu</t>
  </si>
  <si>
    <t>JHIC/2021/1460514</t>
  </si>
  <si>
    <t>JHIC/2021/1460500</t>
  </si>
  <si>
    <t>9525172923</t>
  </si>
  <si>
    <t>JHIC/2021/1462868</t>
  </si>
  <si>
    <t>6206434146</t>
  </si>
  <si>
    <t>Subhradra mahato</t>
  </si>
  <si>
    <t>JHIC/2021/1467865</t>
  </si>
  <si>
    <t>Ajay Kumar Shukla</t>
  </si>
  <si>
    <t>ward 7</t>
  </si>
  <si>
    <t>JHIC/2021/1471574</t>
  </si>
  <si>
    <t>8292841113</t>
  </si>
  <si>
    <t>JHIC/2021/1471449</t>
  </si>
  <si>
    <t>Bijay hansada</t>
  </si>
  <si>
    <t>JHIC/2021/1475732</t>
  </si>
  <si>
    <t>8409719077</t>
  </si>
  <si>
    <t>Hiralal Ray Pandit</t>
  </si>
  <si>
    <t>Zone1b</t>
  </si>
  <si>
    <t>JHIC/2021/1477548</t>
  </si>
  <si>
    <t>9123298179</t>
  </si>
  <si>
    <t>Birendra  Kumar</t>
  </si>
  <si>
    <t>JHIC/2021/1477570</t>
  </si>
  <si>
    <t>Urmila Devi</t>
  </si>
  <si>
    <t>JHIC/2021/1477589</t>
  </si>
  <si>
    <t>8092751918</t>
  </si>
  <si>
    <t>JHIC/2021/1477606</t>
  </si>
  <si>
    <t>7061825685</t>
  </si>
  <si>
    <t>JHIC/2021/1480448</t>
  </si>
  <si>
    <t>JHIC/2021/1484582</t>
  </si>
  <si>
    <t>Krishna Kumar Singh</t>
  </si>
  <si>
    <t>JHIC/2021/1487554</t>
  </si>
  <si>
    <t>7209176393</t>
  </si>
  <si>
    <t>Shraboni Bose</t>
  </si>
  <si>
    <t>JHIC/2021/1490811</t>
  </si>
  <si>
    <t>8789802479</t>
  </si>
  <si>
    <t>Sukarna Sigha Roy</t>
  </si>
  <si>
    <t>JHIC/2021/1490821</t>
  </si>
  <si>
    <t>9234378420</t>
  </si>
  <si>
    <t>Barun Bagti</t>
  </si>
  <si>
    <t>ward15</t>
  </si>
  <si>
    <t>JHIC/2021/1493047</t>
  </si>
  <si>
    <t>JHIC/2021/1493094</t>
  </si>
  <si>
    <t>7004038521</t>
  </si>
  <si>
    <t>JHIC/2021/1480898</t>
  </si>
  <si>
    <t>8002292012</t>
  </si>
  <si>
    <t>Montu Bagti</t>
  </si>
  <si>
    <t>ward9</t>
  </si>
  <si>
    <t>Ulidih</t>
  </si>
  <si>
    <t>JHIC/2022/00219</t>
  </si>
  <si>
    <t>7488015600</t>
  </si>
  <si>
    <t>Malti Bagti</t>
  </si>
  <si>
    <t>ward 15</t>
  </si>
  <si>
    <t>JHIC/2022/00890</t>
  </si>
  <si>
    <t>62016987319</t>
  </si>
  <si>
    <t>Satish Kumar Shahi</t>
  </si>
  <si>
    <t>west ch</t>
  </si>
  <si>
    <t>vivek nagar</t>
  </si>
  <si>
    <t>JHIC/2022/00898</t>
  </si>
  <si>
    <t>7070952492</t>
  </si>
  <si>
    <t>Syed Nizamuddin</t>
  </si>
  <si>
    <t>JHIC/2022/08431</t>
  </si>
  <si>
    <t>8092272290</t>
  </si>
  <si>
    <t>Nitu Singh</t>
  </si>
  <si>
    <t>haludbani</t>
  </si>
  <si>
    <t>JHIC/2022/08409</t>
  </si>
  <si>
    <t>6204598858</t>
  </si>
  <si>
    <t>Syed Jawed Akhtar</t>
  </si>
  <si>
    <t>JHIC/2022/08390</t>
  </si>
  <si>
    <t>7762939600</t>
  </si>
  <si>
    <t>Priyam mani</t>
  </si>
  <si>
    <t>JHIC/2022/13134</t>
  </si>
  <si>
    <t>8210141723</t>
  </si>
  <si>
    <t>Puja Rao</t>
  </si>
  <si>
    <t>zone5</t>
  </si>
  <si>
    <t>JHIC/2022/13210</t>
  </si>
  <si>
    <t>7762822960</t>
  </si>
  <si>
    <t>Roshan Nag</t>
  </si>
  <si>
    <t>JHIC/2022/17211</t>
  </si>
  <si>
    <t>8797329796</t>
  </si>
  <si>
    <t>Ravinder Kaur</t>
  </si>
  <si>
    <t>Sonari</t>
  </si>
  <si>
    <t>JHIC/2022/17273</t>
  </si>
  <si>
    <t>halka error</t>
  </si>
  <si>
    <t>9835323039</t>
  </si>
  <si>
    <t>Mina Banerjee</t>
  </si>
  <si>
    <t>JHIC/2022/17239</t>
  </si>
  <si>
    <t>9631013843</t>
  </si>
  <si>
    <t>Jagjit kaur</t>
  </si>
  <si>
    <t>JHIC/2022/16939</t>
  </si>
  <si>
    <t>Invalide aff</t>
  </si>
  <si>
    <t>6207878953</t>
  </si>
  <si>
    <t>Manish Kumar</t>
  </si>
  <si>
    <t>JHIC/2022/17321</t>
  </si>
  <si>
    <t>834036674</t>
  </si>
  <si>
    <t>Bintu Kumari</t>
  </si>
  <si>
    <t>JHIC/2022/17292</t>
  </si>
  <si>
    <t>8709728027</t>
  </si>
  <si>
    <t>Jacky Joseph</t>
  </si>
  <si>
    <t>JHIC/2022/17366</t>
  </si>
  <si>
    <t>Arati Bera</t>
  </si>
  <si>
    <t>zone 1</t>
  </si>
  <si>
    <t>JHIC/2022/25114</t>
  </si>
  <si>
    <t>8210289985</t>
  </si>
  <si>
    <t>Sunita Jarika</t>
  </si>
  <si>
    <t>JHIC/2022/26675</t>
  </si>
  <si>
    <t>JHIC/2022/29670</t>
  </si>
  <si>
    <t>8210618629</t>
  </si>
  <si>
    <t>Aneesha Singh</t>
  </si>
  <si>
    <t>ward13</t>
  </si>
  <si>
    <t>JHIC/2022/29811</t>
  </si>
  <si>
    <t>JHIC/2022/35530</t>
  </si>
  <si>
    <t>9031726632</t>
  </si>
  <si>
    <t>Amarjeet Singh</t>
  </si>
  <si>
    <t>prakash</t>
  </si>
  <si>
    <t>JHIC/2022/36098</t>
  </si>
  <si>
    <t>Nilima Clarance</t>
  </si>
  <si>
    <t>JHIC/2022/41801</t>
  </si>
  <si>
    <t>7362040290</t>
  </si>
  <si>
    <t>Vikash Kuamr Singh</t>
  </si>
  <si>
    <t>JHIC/2022/42854</t>
  </si>
  <si>
    <t>Namita Guha</t>
  </si>
  <si>
    <t>JHIC/2022/42872</t>
  </si>
  <si>
    <t>Chandan Kumar Singh</t>
  </si>
  <si>
    <t>JHIC/2022/45945</t>
  </si>
  <si>
    <t>6206930560</t>
  </si>
  <si>
    <t>Sangeeta Jia</t>
  </si>
  <si>
    <t>ward12</t>
  </si>
  <si>
    <t>namda</t>
  </si>
  <si>
    <t>JHIC/2022/44041</t>
  </si>
  <si>
    <t>9955576434</t>
  </si>
  <si>
    <t>Ganesh Vishwakarma</t>
  </si>
  <si>
    <t>jemco</t>
  </si>
  <si>
    <t>JHIC/2022/49641</t>
  </si>
  <si>
    <t>Aayush Kumar Singh</t>
  </si>
  <si>
    <t>JHIC/2022/72540</t>
  </si>
  <si>
    <t>9931547596</t>
  </si>
  <si>
    <t>Sahil Hussain</t>
  </si>
  <si>
    <t>JHIC/2022/72608</t>
  </si>
  <si>
    <t>8709740474</t>
  </si>
  <si>
    <t>Shreyash Mishra</t>
  </si>
  <si>
    <t>baridih</t>
  </si>
  <si>
    <t>JHIC/2022/93368</t>
  </si>
  <si>
    <t>Rimi Mishra</t>
  </si>
  <si>
    <t>JHIC/2022/93411</t>
  </si>
  <si>
    <t>Indrajeet Sharma</t>
  </si>
  <si>
    <t>JHIC/2022/97969</t>
  </si>
  <si>
    <t>9528335667</t>
  </si>
  <si>
    <t>JHIC/2022/101772</t>
  </si>
  <si>
    <t>9939758017</t>
  </si>
  <si>
    <t>Abhishek Kr Pandey</t>
  </si>
  <si>
    <t>deoghar</t>
  </si>
  <si>
    <t>JHIC/2022/101780</t>
  </si>
  <si>
    <t>affdavit</t>
  </si>
  <si>
    <t>JHIC/2022/112716</t>
  </si>
  <si>
    <t>JHIC/2022/112546</t>
  </si>
  <si>
    <t>7004519122</t>
  </si>
  <si>
    <t>Kumari Manisha</t>
  </si>
  <si>
    <t>JHIC/2022/114796</t>
  </si>
  <si>
    <t>JHIC/2022/130857</t>
  </si>
  <si>
    <t>8084139543</t>
  </si>
  <si>
    <t>JHIC/2022/131673</t>
  </si>
  <si>
    <t>JHIC/2022/138513</t>
  </si>
  <si>
    <t>JHIC/2022/138475</t>
  </si>
  <si>
    <t>8789571074</t>
  </si>
  <si>
    <t>JHIC/2022/156596</t>
  </si>
  <si>
    <t>6200557696</t>
  </si>
  <si>
    <t>Abdul Hamid</t>
  </si>
  <si>
    <t>JHIC/2022/158976</t>
  </si>
  <si>
    <t>8651423567</t>
  </si>
  <si>
    <t>Vidyawati Devi</t>
  </si>
  <si>
    <t>bokaro</t>
  </si>
  <si>
    <t>JHIC/2022/159620</t>
  </si>
  <si>
    <t>Ehtesham Siddique</t>
  </si>
  <si>
    <t>JHIC/2022/175008</t>
  </si>
  <si>
    <t>JHIC/2022/180033</t>
  </si>
  <si>
    <t>JHIC/2022/181717</t>
  </si>
  <si>
    <t>Priyamabada Devi</t>
  </si>
  <si>
    <t>JHIC/2022/189376</t>
  </si>
  <si>
    <t>9693988873</t>
  </si>
  <si>
    <t>Bharti Rajak</t>
  </si>
  <si>
    <t>JHIC/2022/195484</t>
  </si>
  <si>
    <t>8757096258</t>
  </si>
  <si>
    <t>Subham Bhadra</t>
  </si>
  <si>
    <t>JHIC/2022/195478</t>
  </si>
  <si>
    <t>JHIC/2022/196262</t>
  </si>
  <si>
    <t>JHIC/2022/197150</t>
  </si>
  <si>
    <t>JHIC/2022/199600</t>
  </si>
  <si>
    <t>Ajay kumar shukla</t>
  </si>
  <si>
    <t>w15</t>
  </si>
  <si>
    <t>JHIC/2022/203262</t>
  </si>
  <si>
    <t>Pooja mahato</t>
  </si>
  <si>
    <t>JHIC/2022/206872</t>
  </si>
  <si>
    <t>8002583297</t>
  </si>
  <si>
    <t>JHIC/2022/206885</t>
  </si>
  <si>
    <t>9653015710</t>
  </si>
  <si>
    <t>JHIC/2022/206912</t>
  </si>
  <si>
    <t>20/03/2022</t>
  </si>
  <si>
    <t>9504330107</t>
  </si>
  <si>
    <t>JHIC/2022/221261</t>
  </si>
  <si>
    <t>21-03-2022</t>
  </si>
  <si>
    <t>manpita</t>
  </si>
  <si>
    <t>JHIC/2022/223627</t>
  </si>
  <si>
    <t>rcptno.</t>
  </si>
  <si>
    <t>MOBILE</t>
  </si>
  <si>
    <t>das</t>
  </si>
  <si>
    <t>Issud dt</t>
  </si>
  <si>
    <t>JHRC/2017/648499</t>
  </si>
  <si>
    <t>kiosk</t>
  </si>
  <si>
    <t>27-5-17</t>
  </si>
  <si>
    <t>Tamojit Dutta</t>
  </si>
  <si>
    <t>RC002</t>
  </si>
  <si>
    <t>JHRC/2017/714587</t>
  </si>
  <si>
    <t>RC003</t>
  </si>
  <si>
    <t>JHRC/2017/1024456</t>
  </si>
  <si>
    <t>Preeti Kumari</t>
  </si>
  <si>
    <t>RC004</t>
  </si>
  <si>
    <t>JHRC/2017/1024810</t>
  </si>
  <si>
    <t>Prince Kumar</t>
  </si>
  <si>
    <t>RC005</t>
  </si>
  <si>
    <t>JHRC/2017/1135682</t>
  </si>
  <si>
    <t>29-7-2017</t>
  </si>
  <si>
    <t>VIJAY</t>
  </si>
  <si>
    <t>Tamojoy Dutta</t>
  </si>
  <si>
    <t>RC006</t>
  </si>
  <si>
    <t>JHRC/2017/1140251</t>
  </si>
  <si>
    <t>Navinetra</t>
  </si>
  <si>
    <t>RC007</t>
  </si>
  <si>
    <t>JHRC/2017/1039574</t>
  </si>
  <si>
    <t>Neha Bharti</t>
  </si>
  <si>
    <t>RC008</t>
  </si>
  <si>
    <t>JHRC/2017/1147752</t>
  </si>
  <si>
    <t>Shikha Pandey</t>
  </si>
  <si>
    <t>RC009</t>
  </si>
  <si>
    <t>jhrc_2017_1147800</t>
  </si>
  <si>
    <t>Aman Jha</t>
  </si>
  <si>
    <t>RC010</t>
  </si>
  <si>
    <t>Md israr</t>
  </si>
  <si>
    <t>RC011</t>
  </si>
  <si>
    <t>JHRC/2017/1215463</t>
  </si>
  <si>
    <t>RC012</t>
  </si>
  <si>
    <t>JHRC/2017/1215902</t>
  </si>
  <si>
    <t>RC013</t>
  </si>
  <si>
    <t>JHRC/2017/1224961</t>
  </si>
  <si>
    <t>Tanushree Dutta</t>
  </si>
  <si>
    <t>RC014</t>
  </si>
  <si>
    <t>JHRC/2017/1225168</t>
  </si>
  <si>
    <t>SiWam Kumar</t>
  </si>
  <si>
    <t>RC015</t>
  </si>
  <si>
    <t>JHRC/2017/1239876</t>
  </si>
  <si>
    <t>RC016</t>
  </si>
  <si>
    <t>JHRC/2017/1237874</t>
  </si>
  <si>
    <t>Sundaram Kumari</t>
  </si>
  <si>
    <t>RC017</t>
  </si>
  <si>
    <t>JHRC/2017/1239910</t>
  </si>
  <si>
    <t>Fozia Mehrosh Siddique</t>
  </si>
  <si>
    <t>RC018</t>
  </si>
  <si>
    <t>JHRC/2017/1310088</t>
  </si>
  <si>
    <t>RC019</t>
  </si>
  <si>
    <t>JHRC/2017/1310156</t>
  </si>
  <si>
    <t>RC020</t>
  </si>
  <si>
    <t>JHRC/2017/1310217</t>
  </si>
  <si>
    <t>Md Hafiz Fazal</t>
  </si>
  <si>
    <t>RC021</t>
  </si>
  <si>
    <t>JHRC/2017/1310294</t>
  </si>
  <si>
    <t>Sahil Kumar</t>
  </si>
  <si>
    <t>RC022</t>
  </si>
  <si>
    <t>JHRC/2017/1334602</t>
  </si>
  <si>
    <t>Nalini Sinha</t>
  </si>
  <si>
    <t>RC023</t>
  </si>
  <si>
    <t>JHRC/2017/1334661</t>
  </si>
  <si>
    <t>Hassan Raza Khan</t>
  </si>
  <si>
    <t>RC024</t>
  </si>
  <si>
    <t>JHRC/2017/1364112</t>
  </si>
  <si>
    <t>Vikash Kumar Verma</t>
  </si>
  <si>
    <t>RC025</t>
  </si>
  <si>
    <t>JHRC/2017/1364154</t>
  </si>
  <si>
    <t xml:space="preserve">Vikash Kumar </t>
  </si>
  <si>
    <t>RC026</t>
  </si>
  <si>
    <t>JHRC/2017/1390111</t>
  </si>
  <si>
    <t>Damini Kumari</t>
  </si>
  <si>
    <t>RC027</t>
  </si>
  <si>
    <t>JHRC/2017/1404367</t>
  </si>
  <si>
    <t>Neelam Singh</t>
  </si>
  <si>
    <t>RC028</t>
  </si>
  <si>
    <t>JHRC/2017/1390433</t>
  </si>
  <si>
    <t>Mohammad Sagir</t>
  </si>
  <si>
    <t>RC029</t>
  </si>
  <si>
    <t>JHRC/2017/1390401</t>
  </si>
  <si>
    <t>Gagandeep Singh</t>
  </si>
  <si>
    <t>RC030</t>
  </si>
  <si>
    <t>JHRC/2017/1416318</t>
  </si>
  <si>
    <t>Deepa Kumari</t>
  </si>
  <si>
    <t>RC031</t>
  </si>
  <si>
    <t>JHRC/2017/1416330</t>
  </si>
  <si>
    <t>JHRC/2017/1427760</t>
  </si>
  <si>
    <t>RC032</t>
  </si>
  <si>
    <t>JHRC/2017/1427801</t>
  </si>
  <si>
    <t>RC033</t>
  </si>
  <si>
    <t>JHRC/2017/1450249</t>
  </si>
  <si>
    <t>RC034</t>
  </si>
  <si>
    <t>JHRC/2017/1450275</t>
  </si>
  <si>
    <t>RC035</t>
  </si>
  <si>
    <t>JHRC/2017/1468012</t>
  </si>
  <si>
    <t>dn</t>
  </si>
  <si>
    <t>RC036</t>
  </si>
  <si>
    <t>JHRC/2017/1511686</t>
  </si>
  <si>
    <t>9955319274</t>
  </si>
  <si>
    <t>Bibhu Ranjan Kaunri</t>
  </si>
  <si>
    <t>RC037</t>
  </si>
  <si>
    <t>JHRC/2017/1601009</t>
  </si>
  <si>
    <t>Nazia Tarassum</t>
  </si>
  <si>
    <t>RC038</t>
  </si>
  <si>
    <t>JHRC/2017/1601033</t>
  </si>
  <si>
    <t>7321066018</t>
  </si>
  <si>
    <t>Rick Deb Ghosh</t>
  </si>
  <si>
    <t>RC039</t>
  </si>
  <si>
    <t>JHRC/2017/1626624</t>
  </si>
  <si>
    <t>9973683660</t>
  </si>
  <si>
    <t>Rishab Ghosh</t>
  </si>
  <si>
    <t>RC040</t>
  </si>
  <si>
    <t>JHRC/2017/1678869</t>
  </si>
  <si>
    <t>9939286117</t>
  </si>
  <si>
    <t>RC042</t>
  </si>
  <si>
    <t>JHRC/2017/1698999</t>
  </si>
  <si>
    <t>JHRC/2017/1715382</t>
  </si>
  <si>
    <t>9771321707</t>
  </si>
  <si>
    <t>Nidhi Kashyap</t>
  </si>
  <si>
    <t>JHRC/2017/1721972</t>
  </si>
  <si>
    <t>Sujata Pradhan</t>
  </si>
  <si>
    <t>RC043</t>
  </si>
  <si>
    <t>JHRC/2017/1731399</t>
  </si>
  <si>
    <t>7979852192</t>
  </si>
  <si>
    <t>RC044</t>
  </si>
  <si>
    <t>JHRC/2017/1782412</t>
  </si>
  <si>
    <t>31/12/2017</t>
  </si>
  <si>
    <t>8804966854</t>
  </si>
  <si>
    <t>K VEER SUMAN RAO</t>
  </si>
  <si>
    <t>RC045</t>
  </si>
  <si>
    <t>JHRC/2018/00293</t>
  </si>
  <si>
    <t>9031051601</t>
  </si>
  <si>
    <t>NISHANT SINGH</t>
  </si>
  <si>
    <t>RC046</t>
  </si>
  <si>
    <t>JHRC/2018/00307</t>
  </si>
  <si>
    <t>SIKHA SINGH</t>
  </si>
  <si>
    <t>RC047</t>
  </si>
  <si>
    <t>JHRC/2018/00318</t>
  </si>
  <si>
    <t>RC048</t>
  </si>
  <si>
    <t>JHRC/2018/49830</t>
  </si>
  <si>
    <t>9835302032</t>
  </si>
  <si>
    <t>Poulomi Biswas</t>
  </si>
  <si>
    <t>RC049</t>
  </si>
  <si>
    <t>JHRC/2018/46552</t>
  </si>
  <si>
    <t>9835121075</t>
  </si>
  <si>
    <t>Rounak Chakraborty</t>
  </si>
  <si>
    <t>RC050</t>
  </si>
  <si>
    <t>JHRC/2018/49845</t>
  </si>
  <si>
    <t>9031906277</t>
  </si>
  <si>
    <t>Anirban Bhattacharjee</t>
  </si>
  <si>
    <t>RC051</t>
  </si>
  <si>
    <t>JHRC/2018/52608</t>
  </si>
  <si>
    <t>RC052</t>
  </si>
  <si>
    <t>JHRC/2018/69672</t>
  </si>
  <si>
    <t>9304661509</t>
  </si>
  <si>
    <t>Amit Paul</t>
  </si>
  <si>
    <t>RC053</t>
  </si>
  <si>
    <t>JHRC/2018/75495</t>
  </si>
  <si>
    <t>Raman Kumar Singh</t>
  </si>
  <si>
    <t>RC054</t>
  </si>
  <si>
    <t>JHRC/2018/138330</t>
  </si>
  <si>
    <t>RC055</t>
  </si>
  <si>
    <t>JHRC/2018/144747</t>
  </si>
  <si>
    <t>9430303832</t>
  </si>
  <si>
    <t>Vartika</t>
  </si>
  <si>
    <t>RC056</t>
  </si>
  <si>
    <t>JHRC/2018/144793</t>
  </si>
  <si>
    <t>8210108300</t>
  </si>
  <si>
    <t>Arjun Thapa</t>
  </si>
  <si>
    <t>RC057</t>
  </si>
  <si>
    <t>JHRC/2018/180902</t>
  </si>
  <si>
    <t>RC058</t>
  </si>
  <si>
    <t>JHRC/2018/211626</t>
  </si>
  <si>
    <t>8797795591</t>
  </si>
  <si>
    <t>Puja Singh</t>
  </si>
  <si>
    <t>RC059</t>
  </si>
  <si>
    <t>JHRC/2018/227525</t>
  </si>
  <si>
    <t>Sunny Singh</t>
  </si>
  <si>
    <t>RC060</t>
  </si>
  <si>
    <t>JHRC/2018/227533</t>
  </si>
  <si>
    <t>Krishna</t>
  </si>
  <si>
    <t>RC061</t>
  </si>
  <si>
    <t>JHRC/2018/227543</t>
  </si>
  <si>
    <t>9162327479</t>
  </si>
  <si>
    <t>RC062</t>
  </si>
  <si>
    <t>JHRC/2018/239043</t>
  </si>
  <si>
    <t>9431753211</t>
  </si>
  <si>
    <t>Archana Kumar</t>
  </si>
  <si>
    <t>RC063</t>
  </si>
  <si>
    <t>JHRC/2018/249543</t>
  </si>
  <si>
    <t>8797471134</t>
  </si>
  <si>
    <t>Shreya Chatterjee</t>
  </si>
  <si>
    <t>RC064</t>
  </si>
  <si>
    <t xml:space="preserve"> JHRC/2018/261764</t>
  </si>
  <si>
    <t>BIRTH PROOF</t>
  </si>
  <si>
    <t>Mohit Mishra</t>
  </si>
  <si>
    <t>RC065</t>
  </si>
  <si>
    <t>JHRC/2018/270645</t>
  </si>
  <si>
    <t>Ram Chander Chorasiya</t>
  </si>
  <si>
    <t>RC066</t>
  </si>
  <si>
    <t>JHRC/2018/270669</t>
  </si>
  <si>
    <t>Rishiket Kumar</t>
  </si>
  <si>
    <t>RC067</t>
  </si>
  <si>
    <t>JHRC/2018/302219</t>
  </si>
  <si>
    <t>Md Rizwan</t>
  </si>
  <si>
    <t>RC068</t>
  </si>
  <si>
    <t>JHRC/2018/316801</t>
  </si>
  <si>
    <t>7320084774</t>
  </si>
  <si>
    <t>Md Sahil</t>
  </si>
  <si>
    <t>JHRC/2018/317002</t>
  </si>
  <si>
    <t>JHRC/2018/326477</t>
  </si>
  <si>
    <t>JHRC/2018/345714</t>
  </si>
  <si>
    <t>9031351323</t>
  </si>
  <si>
    <t>Smita Dey</t>
  </si>
  <si>
    <t>JHRC/2018/345758</t>
  </si>
  <si>
    <t>9031003321</t>
  </si>
  <si>
    <t>Shambhavi Mishra</t>
  </si>
  <si>
    <t>JHRC/2018/380972</t>
  </si>
  <si>
    <t>8434669854</t>
  </si>
  <si>
    <t>Amresh Kumar Singh</t>
  </si>
  <si>
    <t>JHRC/2018/380981</t>
  </si>
  <si>
    <t>7654268720</t>
  </si>
  <si>
    <t>Sahil Mahetab</t>
  </si>
  <si>
    <t>JHRC/2018/395913</t>
  </si>
  <si>
    <t>Devdut Ghosh</t>
  </si>
  <si>
    <t>JHRC/2018/392623</t>
  </si>
  <si>
    <t>Mohammad Mumtaz Ansari</t>
  </si>
  <si>
    <t>JHRC/2018/408873</t>
  </si>
  <si>
    <t>JHRC/2018/455436</t>
  </si>
  <si>
    <t>9234697621</t>
  </si>
  <si>
    <t>Osama Parwez</t>
  </si>
  <si>
    <t>JHRC/2018/467440</t>
  </si>
  <si>
    <t>7903868519</t>
  </si>
  <si>
    <t>Shrest Kumar</t>
  </si>
  <si>
    <t>JHRC/2018/467479</t>
  </si>
  <si>
    <t>Adeel Shadab</t>
  </si>
  <si>
    <t>JHRC/2018/475668</t>
  </si>
  <si>
    <t>Aiman Shadab</t>
  </si>
  <si>
    <t>JHRC/2018/475686</t>
  </si>
  <si>
    <t>to print</t>
  </si>
  <si>
    <t>8434220071</t>
  </si>
  <si>
    <t>Gourav Mishra</t>
  </si>
  <si>
    <t>JHRC/2018/487598</t>
  </si>
  <si>
    <t>7488423168</t>
  </si>
  <si>
    <t>Hritika Sinha</t>
  </si>
  <si>
    <t>JHRC/2018/508443</t>
  </si>
  <si>
    <t>8797107528</t>
  </si>
  <si>
    <t>Shaikh Riyaz</t>
  </si>
  <si>
    <t>JHRC/2018/511020</t>
  </si>
  <si>
    <t>8789146614</t>
  </si>
  <si>
    <t>Md. Shoaib Khan</t>
  </si>
  <si>
    <t>JHRC/2018/530474</t>
  </si>
  <si>
    <t>Naman Kumar Jha</t>
  </si>
  <si>
    <t>JHRC/2018/547072</t>
  </si>
  <si>
    <t>DLOAD</t>
  </si>
  <si>
    <t>SHIVANDU KUMAR</t>
  </si>
  <si>
    <t>JHRC/2018/547132</t>
  </si>
  <si>
    <t>7209700517</t>
  </si>
  <si>
    <t>JHRC/2018/572231</t>
  </si>
  <si>
    <t>JHRC/2018/573782</t>
  </si>
  <si>
    <t>HOLD</t>
  </si>
  <si>
    <t>8092755360</t>
  </si>
  <si>
    <t>PAWAN KUMAR</t>
  </si>
  <si>
    <t>JHRC/2018/583024</t>
  </si>
  <si>
    <t>Taiyab Faraz</t>
  </si>
  <si>
    <t>JHRC/2018/600025</t>
  </si>
  <si>
    <t>8210356757</t>
  </si>
  <si>
    <t>JHRC/2018/605744</t>
  </si>
  <si>
    <t>7718034981</t>
  </si>
  <si>
    <t>Vivek Kumar Sharma</t>
  </si>
  <si>
    <t>JHRC/2018/624378</t>
  </si>
  <si>
    <t>UP</t>
  </si>
  <si>
    <t>6203019896</t>
  </si>
  <si>
    <t>JHRC/2018/623254</t>
  </si>
  <si>
    <t>7209486846</t>
  </si>
  <si>
    <t>Shubham Kumar</t>
  </si>
  <si>
    <t>JHRC/2018/625359</t>
  </si>
  <si>
    <t>JHRC/2018/625913</t>
  </si>
  <si>
    <t>9523472991</t>
  </si>
  <si>
    <t>Rounak Biswas</t>
  </si>
  <si>
    <t>JHRC/2018/641524</t>
  </si>
  <si>
    <t>JHRC/2018/639428</t>
  </si>
  <si>
    <t>7209580361</t>
  </si>
  <si>
    <t>Triloky Nath Sharma</t>
  </si>
  <si>
    <t>JHRC/2018/639020</t>
  </si>
  <si>
    <t>Sourav Tripathy</t>
  </si>
  <si>
    <t>JHRC/2018/652056</t>
  </si>
  <si>
    <t>9304026781</t>
  </si>
  <si>
    <t>Nikita Dutta</t>
  </si>
  <si>
    <t>JHRC/2018/656433</t>
  </si>
  <si>
    <t>8789604019</t>
  </si>
  <si>
    <t>Dhirity Sharma</t>
  </si>
  <si>
    <t>JHRC/2018/667310</t>
  </si>
  <si>
    <t>JRRC/2018/674487</t>
  </si>
  <si>
    <t>9661507412</t>
  </si>
  <si>
    <t>JHRC/2018/674364</t>
  </si>
  <si>
    <t>9931500514</t>
  </si>
  <si>
    <t>Ankit Verma</t>
  </si>
  <si>
    <t>JHRC/2018/676602</t>
  </si>
  <si>
    <t>withhold</t>
  </si>
  <si>
    <t>JHRC/2018/700338</t>
  </si>
  <si>
    <t>7782018815</t>
  </si>
  <si>
    <t>Khushbu Kumari</t>
  </si>
  <si>
    <t>JHRC/2018/701017</t>
  </si>
  <si>
    <t>8969271317</t>
  </si>
  <si>
    <t>Nishu Kumari</t>
  </si>
  <si>
    <t>JHRC/2018/703106</t>
  </si>
  <si>
    <t>8051123425</t>
  </si>
  <si>
    <t>Chandan Mandal</t>
  </si>
  <si>
    <t>JHRC/2018/722025</t>
  </si>
  <si>
    <t>Deliverd</t>
  </si>
  <si>
    <t>Areetra Sur</t>
  </si>
  <si>
    <t>JHRC/2018/727255</t>
  </si>
  <si>
    <t>9234947265</t>
  </si>
  <si>
    <t>Sanober naz</t>
  </si>
  <si>
    <t>JHRC/2018/733831</t>
  </si>
  <si>
    <t>9122488986</t>
  </si>
  <si>
    <t>Khalida Zeya</t>
  </si>
  <si>
    <t>JHRC/2018/734095</t>
  </si>
  <si>
    <t>748835258</t>
  </si>
  <si>
    <t>JHRC/2018/736779</t>
  </si>
  <si>
    <t>6200166041</t>
  </si>
  <si>
    <t>Nidhi Singh</t>
  </si>
  <si>
    <t>JHRC/2018/736921</t>
  </si>
  <si>
    <t>Ruchi Kumari Singh</t>
  </si>
  <si>
    <t>JHRC/2018/736836</t>
  </si>
  <si>
    <t>waiting for ori birth</t>
  </si>
  <si>
    <t>JHRC/2018/757406</t>
  </si>
  <si>
    <t>9507010354</t>
  </si>
  <si>
    <t>Sanish Raj</t>
  </si>
  <si>
    <t>JHRC/2018/781959</t>
  </si>
  <si>
    <t>reapplied</t>
  </si>
  <si>
    <t>8084815353</t>
  </si>
  <si>
    <t>JHRC/2018/782055</t>
  </si>
  <si>
    <t>JHRC/2018/792510</t>
  </si>
  <si>
    <t>manas Kumar Singh</t>
  </si>
  <si>
    <t>JHRC/2018/793008</t>
  </si>
  <si>
    <t>Richa Kumarii</t>
  </si>
  <si>
    <t>JHRC/2018/793047</t>
  </si>
  <si>
    <t>7488385258</t>
  </si>
  <si>
    <t>JHRC/2018/803372</t>
  </si>
  <si>
    <t>8709613164</t>
  </si>
  <si>
    <t>Rohit Kumar Tiwary</t>
  </si>
  <si>
    <t>JHRC/2018/803480</t>
  </si>
  <si>
    <t>9204582608</t>
  </si>
  <si>
    <t>Sakshi Kumari</t>
  </si>
  <si>
    <t>JHRC/2018/804874</t>
  </si>
  <si>
    <t>7209778573</t>
  </si>
  <si>
    <t>Sana Aaliya</t>
  </si>
  <si>
    <t>JHRC/2018/820068</t>
  </si>
  <si>
    <t>7209529602</t>
  </si>
  <si>
    <t>Tannu Kumari</t>
  </si>
  <si>
    <t>JHRC/2018/850613</t>
  </si>
  <si>
    <t>9144883397</t>
  </si>
  <si>
    <t>Rohit Kumar Sahu</t>
  </si>
  <si>
    <t>JHRC/2018/850631</t>
  </si>
  <si>
    <t>8126387264</t>
  </si>
  <si>
    <t>JHRC/2018/85497</t>
  </si>
  <si>
    <t>9870116243</t>
  </si>
  <si>
    <t>JHRC/2018/854991</t>
  </si>
  <si>
    <t>8709708630</t>
  </si>
  <si>
    <t>Md. Zeeshan Ahmad</t>
  </si>
  <si>
    <t>JHRC/2018/869793</t>
  </si>
  <si>
    <t>Md Asif Jamal</t>
  </si>
  <si>
    <t>JHRC/2018/882237</t>
  </si>
  <si>
    <t>Ankit Kumar Bari</t>
  </si>
  <si>
    <t>JHRC/2018/882301</t>
  </si>
  <si>
    <t>Md irshad Alam</t>
  </si>
  <si>
    <t>JHRC/2018/938535</t>
  </si>
  <si>
    <t>Ishrat parween</t>
  </si>
  <si>
    <t>JHRC/2018/941322</t>
  </si>
  <si>
    <t>TO PRINT</t>
  </si>
  <si>
    <t>9308309394</t>
  </si>
  <si>
    <t>Srabani Swain</t>
  </si>
  <si>
    <t>JHRC/2018/950439</t>
  </si>
  <si>
    <t>JHRC/2018/951349</t>
  </si>
  <si>
    <t>JHRC/2018/959349</t>
  </si>
  <si>
    <t>7209588569</t>
  </si>
  <si>
    <t>JHRC/2018/964495</t>
  </si>
  <si>
    <t>8797296520</t>
  </si>
  <si>
    <t>Shreyashree sahu</t>
  </si>
  <si>
    <t>JHRC/2018/964472</t>
  </si>
  <si>
    <t>JHRC/2018/968392</t>
  </si>
  <si>
    <t>SUBRATO SAHU</t>
  </si>
  <si>
    <t>JHRC/2018/966303</t>
  </si>
  <si>
    <t>9234755812</t>
  </si>
  <si>
    <t>Gourav Kumar</t>
  </si>
  <si>
    <t>JHRC/2018/973272</t>
  </si>
  <si>
    <t>JHRC/2018/1025239</t>
  </si>
  <si>
    <t>7209132377</t>
  </si>
  <si>
    <t>Mohammad Mosharraf Hussain</t>
  </si>
  <si>
    <t>RC145</t>
  </si>
  <si>
    <t>JHRC/2018/1065186</t>
  </si>
  <si>
    <t>JHRC/2018/1083600</t>
  </si>
  <si>
    <t>8092229854</t>
  </si>
  <si>
    <t>Manish Kumar Singh</t>
  </si>
  <si>
    <t>JHRC/2018/1107225</t>
  </si>
  <si>
    <t>JHRC/2018/1145629</t>
  </si>
  <si>
    <t>9931567811</t>
  </si>
  <si>
    <t>R Rithika</t>
  </si>
  <si>
    <t>JHRC/2018/1167318</t>
  </si>
  <si>
    <t>7209162377</t>
  </si>
  <si>
    <t>Mosharraf Hussain</t>
  </si>
  <si>
    <t>JHRC/2018/1181850</t>
  </si>
  <si>
    <t>JHRC/2018/1246663</t>
  </si>
  <si>
    <t>8093861049</t>
  </si>
  <si>
    <t>JHRC/2018/1253851</t>
  </si>
  <si>
    <t>Bhawna Kumari</t>
  </si>
  <si>
    <t>JHRC/2018/1302367</t>
  </si>
  <si>
    <t>w/t</t>
  </si>
  <si>
    <t>7033534402</t>
  </si>
  <si>
    <t>JHRC/2018/1363515</t>
  </si>
  <si>
    <t>JHRC/2018/1363539</t>
  </si>
  <si>
    <t>9431567038</t>
  </si>
  <si>
    <t>Neelanjan Mallick</t>
  </si>
  <si>
    <t>JHRC/2018/1363913</t>
  </si>
  <si>
    <t>7209595440</t>
  </si>
  <si>
    <t>Rohit Choudhary</t>
  </si>
  <si>
    <t>JHRC/2018/1414760</t>
  </si>
  <si>
    <t>JHRC/2018/1420102</t>
  </si>
  <si>
    <t>JHRC/2019/06985</t>
  </si>
  <si>
    <t>6201459247</t>
  </si>
  <si>
    <t>Abhinav Mukherjee</t>
  </si>
  <si>
    <t>JHRC/2019/63115</t>
  </si>
  <si>
    <t>9973515721</t>
  </si>
  <si>
    <t>Sarbani Chowdhury</t>
  </si>
  <si>
    <t>JHRC/2019/74285</t>
  </si>
  <si>
    <t>9431761593</t>
  </si>
  <si>
    <t>Ruchila Kumari</t>
  </si>
  <si>
    <t>JHRC/2019/74405</t>
  </si>
  <si>
    <t>Richa Kumari</t>
  </si>
  <si>
    <t>JHRC/2019/95067</t>
  </si>
  <si>
    <t>JHRC/2019/95113</t>
  </si>
  <si>
    <t>JHRC/2019/98260</t>
  </si>
  <si>
    <t>9006550346</t>
  </si>
  <si>
    <t>JHRC/2019/106008</t>
  </si>
  <si>
    <t>8298008633</t>
  </si>
  <si>
    <t>Nikoo Mukhi</t>
  </si>
  <si>
    <t>JHRC/2019/179201</t>
  </si>
  <si>
    <t>affidavite</t>
  </si>
  <si>
    <t>8092474857</t>
  </si>
  <si>
    <t>Akash Kumar Machhua</t>
  </si>
  <si>
    <t>JHRC/2019/128848</t>
  </si>
  <si>
    <t>not show</t>
  </si>
  <si>
    <t>8709896763</t>
  </si>
  <si>
    <t>JHRC/2019/128879</t>
  </si>
  <si>
    <t>9955961905</t>
  </si>
  <si>
    <t>JHRC/2019/174231</t>
  </si>
  <si>
    <t>8789488967</t>
  </si>
  <si>
    <t>JHRC/2019/174283</t>
  </si>
  <si>
    <t>9470374070</t>
  </si>
  <si>
    <t>Aditya Kumar</t>
  </si>
  <si>
    <t>JHRC/2019/174492</t>
  </si>
  <si>
    <t>9031700754</t>
  </si>
  <si>
    <t>Dibya Kumari</t>
  </si>
  <si>
    <t>JHRC/2019/174541</t>
  </si>
  <si>
    <t>JHRC/2019/174560</t>
  </si>
  <si>
    <t>9507189083</t>
  </si>
  <si>
    <t>Santosh Kumar Shaw</t>
  </si>
  <si>
    <t>JHRC/2019/186158</t>
  </si>
  <si>
    <t>rk</t>
  </si>
  <si>
    <t>6203371652</t>
  </si>
  <si>
    <t>Md Kaif Ali</t>
  </si>
  <si>
    <t>JHRC/2019/192378</t>
  </si>
  <si>
    <t>6200740866</t>
  </si>
  <si>
    <t>Nisha Kumari</t>
  </si>
  <si>
    <t>JHRC/2019/311139</t>
  </si>
  <si>
    <t>8210479908</t>
  </si>
  <si>
    <t>JHRC/2019/320539</t>
  </si>
  <si>
    <t>JHRC/2019/369982</t>
  </si>
  <si>
    <t>drafted</t>
  </si>
  <si>
    <t>6203293374</t>
  </si>
  <si>
    <t>Jyotsna Kumari</t>
  </si>
  <si>
    <t>JHRC/2019/370079</t>
  </si>
  <si>
    <t>down</t>
  </si>
  <si>
    <t>JHRC/2019/370398</t>
  </si>
  <si>
    <t>JHRC/2019/371163</t>
  </si>
  <si>
    <t>9006144360</t>
  </si>
  <si>
    <t>Ravneet Singh</t>
  </si>
  <si>
    <t>JHRC/2019/375078</t>
  </si>
  <si>
    <t>Satpreet Kaur</t>
  </si>
  <si>
    <t>JHRC/2019/375133</t>
  </si>
  <si>
    <t>8084014972</t>
  </si>
  <si>
    <t>JHRC/2019/376084</t>
  </si>
  <si>
    <t>Mohammad Saif</t>
  </si>
  <si>
    <t>JHRC/2019/376464</t>
  </si>
  <si>
    <t>9262582732</t>
  </si>
  <si>
    <t>Pinky Kumari</t>
  </si>
  <si>
    <t>JHRC/2019/378139</t>
  </si>
  <si>
    <t>Bishaka Barua</t>
  </si>
  <si>
    <t>JHRC/2019/378148</t>
  </si>
  <si>
    <t>JHRC/2019/382263</t>
  </si>
  <si>
    <t>7033091455</t>
  </si>
  <si>
    <t>JHRC/2019/392862</t>
  </si>
  <si>
    <t>JHRC/2019/425167</t>
  </si>
  <si>
    <t>7301623420</t>
  </si>
  <si>
    <t>G. Abhitosh Pandit</t>
  </si>
  <si>
    <t>JHRC/2019/436525</t>
  </si>
  <si>
    <t>8603828533</t>
  </si>
  <si>
    <t>Rajesh Tiwary</t>
  </si>
  <si>
    <t>JHRC/2019/451971</t>
  </si>
  <si>
    <t>reuploaded</t>
  </si>
  <si>
    <t>JHRC/2019/458161</t>
  </si>
  <si>
    <t>JHRC/2019/458235</t>
  </si>
  <si>
    <t>JHRC/2019/458329</t>
  </si>
  <si>
    <t>9204702568</t>
  </si>
  <si>
    <t>Prisita Ghosal</t>
  </si>
  <si>
    <t>JHRC/2019/458375</t>
  </si>
  <si>
    <t>JHRC/2019/458445</t>
  </si>
  <si>
    <t>JHRC/2019/458460</t>
  </si>
  <si>
    <t>Sayan Bhadra</t>
  </si>
  <si>
    <t>JHRC/2019/463151</t>
  </si>
  <si>
    <t>9608960554</t>
  </si>
  <si>
    <t>JHRC/2019/479160</t>
  </si>
  <si>
    <t>7667169315</t>
  </si>
  <si>
    <t>Vishal Pandey</t>
  </si>
  <si>
    <t>JHRC/2019/479235</t>
  </si>
  <si>
    <t>9234829272</t>
  </si>
  <si>
    <t>Nitish Kumar Shahi</t>
  </si>
  <si>
    <t>JHRC/2019/479373</t>
  </si>
  <si>
    <t>9263780311</t>
  </si>
  <si>
    <t>JHRC/2019/479458</t>
  </si>
  <si>
    <t>7762095815</t>
  </si>
  <si>
    <t>Shalini Kumari</t>
  </si>
  <si>
    <t>Re-apply</t>
  </si>
  <si>
    <t>JHRC/2019/481111</t>
  </si>
  <si>
    <t>JHRC/2019/489390</t>
  </si>
  <si>
    <t>7260988623</t>
  </si>
  <si>
    <t>JHRC/2019/512678</t>
  </si>
  <si>
    <t>JHRC/2019/512703</t>
  </si>
  <si>
    <t>8986633907</t>
  </si>
  <si>
    <t>Tanya Prasad</t>
  </si>
  <si>
    <t>JHRC/2019/525588</t>
  </si>
  <si>
    <t>8877650674</t>
  </si>
  <si>
    <t>Suraj Jha</t>
  </si>
  <si>
    <t>JHRC/2019/536425</t>
  </si>
  <si>
    <t>8340643635</t>
  </si>
  <si>
    <t>SK SUFYAN HUSSAIN</t>
  </si>
  <si>
    <t>JHRC/2019/538485</t>
  </si>
  <si>
    <t>JHRC/2019/538867</t>
  </si>
  <si>
    <t>9234661291</t>
  </si>
  <si>
    <t>Pooja Kumar Gupta</t>
  </si>
  <si>
    <t>JHRC/2019/543311</t>
  </si>
  <si>
    <t>9431180482</t>
  </si>
  <si>
    <t>JHRC/2019/545902</t>
  </si>
  <si>
    <t>8294583978</t>
  </si>
  <si>
    <t>Kariya Soren</t>
  </si>
  <si>
    <t>JHRC/2019/545985</t>
  </si>
  <si>
    <t>7482099193</t>
  </si>
  <si>
    <t>JHRC/2019/546200</t>
  </si>
  <si>
    <t>JHRC/2019/556169</t>
  </si>
  <si>
    <t>JHRC/2019/556209</t>
  </si>
  <si>
    <t>JHRC/2019/556259</t>
  </si>
  <si>
    <t>9199562454</t>
  </si>
  <si>
    <t>Anushka Mitra</t>
  </si>
  <si>
    <t>JHRC/2019/559514</t>
  </si>
  <si>
    <t>JHRC/2019/563080</t>
  </si>
  <si>
    <t>7488433193</t>
  </si>
  <si>
    <t>Himanshu Kumar</t>
  </si>
  <si>
    <t>JHRC/2019/564927</t>
  </si>
  <si>
    <t>JHRC/2019/570171</t>
  </si>
  <si>
    <t>9110112066</t>
  </si>
  <si>
    <t>JHRC/2019/570949</t>
  </si>
  <si>
    <t>JHRC/2019/570198</t>
  </si>
  <si>
    <t>7717777151</t>
  </si>
  <si>
    <t>JHRC/2019/579680</t>
  </si>
  <si>
    <t>Naurin Tahir</t>
  </si>
  <si>
    <t>JHRC/2019/579725</t>
  </si>
  <si>
    <t>8092756057</t>
  </si>
  <si>
    <t>Kumar</t>
  </si>
  <si>
    <t>JHRC/2019/601346</t>
  </si>
  <si>
    <t>Reject dob</t>
  </si>
  <si>
    <t>9234740819</t>
  </si>
  <si>
    <t>JHRC/2019/607296</t>
  </si>
  <si>
    <t>Waiting for Pledge</t>
  </si>
  <si>
    <t>Pledge Letter</t>
  </si>
  <si>
    <t>9801304345</t>
  </si>
  <si>
    <t>JHRC/2019/610666</t>
  </si>
  <si>
    <t>Md Farhan</t>
  </si>
  <si>
    <t>JHRC/2019/610754</t>
  </si>
  <si>
    <t>6201661069</t>
  </si>
  <si>
    <t>Harsh Mishra</t>
  </si>
  <si>
    <t>RC233</t>
  </si>
  <si>
    <t>JHRC/2019/619392</t>
  </si>
  <si>
    <t>7209804647</t>
  </si>
  <si>
    <t>Hari Priya Das</t>
  </si>
  <si>
    <t>RC234</t>
  </si>
  <si>
    <t>JHRC/2019/619174</t>
  </si>
  <si>
    <t>9504275854</t>
  </si>
  <si>
    <t>RC236</t>
  </si>
  <si>
    <t>JHRC/2019/619764</t>
  </si>
  <si>
    <t>RC235</t>
  </si>
  <si>
    <t>JHRC/2019/622104</t>
  </si>
  <si>
    <t>9835451139</t>
  </si>
  <si>
    <t>Satyam Kumar Mishra</t>
  </si>
  <si>
    <t>JHRC/2019/630314</t>
  </si>
  <si>
    <t>JHRC/2019/630349</t>
  </si>
  <si>
    <t>7870004321</t>
  </si>
  <si>
    <t>Dipti Thakur</t>
  </si>
  <si>
    <t>JHRC/2019/636408</t>
  </si>
  <si>
    <t>9570206257</t>
  </si>
  <si>
    <t>Mosarrat Jahan</t>
  </si>
  <si>
    <t>JHRC/2019/636463</t>
  </si>
  <si>
    <t>JHRC/2019/636505</t>
  </si>
  <si>
    <t>9576198177</t>
  </si>
  <si>
    <t>Harshita Rajpal</t>
  </si>
  <si>
    <t>JHRC/2019/637715</t>
  </si>
  <si>
    <t>8092683138</t>
  </si>
  <si>
    <t>ROUNAK KUMAR</t>
  </si>
  <si>
    <t>JHRC/2019/637962</t>
  </si>
  <si>
    <t>7763940991</t>
  </si>
  <si>
    <t>Lovely Kumari</t>
  </si>
  <si>
    <t>JHRC/2019/638082</t>
  </si>
  <si>
    <t>Ranjana Mahato</t>
  </si>
  <si>
    <t>JHRC/2019/641650</t>
  </si>
  <si>
    <t>9334953029</t>
  </si>
  <si>
    <t>Ujjwal Tiu</t>
  </si>
  <si>
    <t>JHRC/2019/641702</t>
  </si>
  <si>
    <t>Rishabh Verma</t>
  </si>
  <si>
    <t>JHRC/2019/641723</t>
  </si>
  <si>
    <t>JHRC/2019/641736</t>
  </si>
  <si>
    <t>objection</t>
  </si>
  <si>
    <t>9031393410</t>
  </si>
  <si>
    <t>Md Sarfaraz Ansari</t>
  </si>
  <si>
    <t>JHRC/2019/643874</t>
  </si>
  <si>
    <t>9939264522</t>
  </si>
  <si>
    <t>Sibanshu Majumdar</t>
  </si>
  <si>
    <t>RC249</t>
  </si>
  <si>
    <t>JHRC/2019/674233</t>
  </si>
  <si>
    <t>9123206121</t>
  </si>
  <si>
    <t>Sohini Dutta</t>
  </si>
  <si>
    <t>RC250</t>
  </si>
  <si>
    <t>JHRC/2019/676650</t>
  </si>
  <si>
    <t>8235353735</t>
  </si>
  <si>
    <t>RC251</t>
  </si>
  <si>
    <t>JHRC/2019/679346</t>
  </si>
  <si>
    <t>RC252</t>
  </si>
  <si>
    <t>JHRC/2019/679369</t>
  </si>
  <si>
    <t>JHRC/2019/701303</t>
  </si>
  <si>
    <t>8235118136</t>
  </si>
  <si>
    <t>Surbhi Kumari</t>
  </si>
  <si>
    <t>JHRC/2019/715245</t>
  </si>
  <si>
    <t>RC255</t>
  </si>
  <si>
    <t>JHRC/2019/726042</t>
  </si>
  <si>
    <t>9431568268</t>
  </si>
  <si>
    <t>Swati Dutta</t>
  </si>
  <si>
    <t>JHRC/2019/786166</t>
  </si>
  <si>
    <t>6200230184</t>
  </si>
  <si>
    <t>Pawan Kumar Sharma</t>
  </si>
  <si>
    <t>JHRC/2019/794176</t>
  </si>
  <si>
    <t>8789502816</t>
  </si>
  <si>
    <t>PRASHANTO PATRO</t>
  </si>
  <si>
    <t>JHRC/2019/794257</t>
  </si>
  <si>
    <t>7903512488</t>
  </si>
  <si>
    <t>ROHIT KUMAR</t>
  </si>
  <si>
    <t>JHRC/2019/794417</t>
  </si>
  <si>
    <t>JHRC/2019/814168</t>
  </si>
  <si>
    <t>9304923052</t>
  </si>
  <si>
    <t>Neelam Kumari gupta</t>
  </si>
  <si>
    <t>JHRC/2019/850028</t>
  </si>
  <si>
    <t>JHRC/2019/850122</t>
  </si>
  <si>
    <t>6207574522</t>
  </si>
  <si>
    <t>Komal Kumari</t>
  </si>
  <si>
    <t>JHRC/2019/850200</t>
  </si>
  <si>
    <t>Khushboo Kumari Gupta</t>
  </si>
  <si>
    <t>RC265</t>
  </si>
  <si>
    <t>JHRC/2019/856301</t>
  </si>
  <si>
    <t>org of birth and matric</t>
  </si>
  <si>
    <t>RC266</t>
  </si>
  <si>
    <t>JHRC/2019/871261</t>
  </si>
  <si>
    <t>7808526951</t>
  </si>
  <si>
    <t>Vishal</t>
  </si>
  <si>
    <t>RC267</t>
  </si>
  <si>
    <t>JHRC/2019/871521</t>
  </si>
  <si>
    <t>8969354270</t>
  </si>
  <si>
    <t>JHRC/2019/872826</t>
  </si>
  <si>
    <t>8541937114</t>
  </si>
  <si>
    <t>Ravi Prasad</t>
  </si>
  <si>
    <t>7323064866</t>
  </si>
  <si>
    <t>Ishita Dutta</t>
  </si>
  <si>
    <t>RC270</t>
  </si>
  <si>
    <t>JHRC/2019/898759</t>
  </si>
  <si>
    <t>8797632284</t>
  </si>
  <si>
    <t>Sourav Ranjan</t>
  </si>
  <si>
    <t>JHRC/2019/906529</t>
  </si>
  <si>
    <t>9934868386</t>
  </si>
  <si>
    <t>Manoranjan</t>
  </si>
  <si>
    <t>JHRC/2019/906535</t>
  </si>
  <si>
    <t>9835159082</t>
  </si>
  <si>
    <t>Aniket Kumar</t>
  </si>
  <si>
    <t>JHRC/2019/931592</t>
  </si>
  <si>
    <t>JHRC/2019/933829</t>
  </si>
  <si>
    <t>7209959321</t>
  </si>
  <si>
    <t>Sanket Suman</t>
  </si>
  <si>
    <t>JHRC/2019/946382</t>
  </si>
  <si>
    <t>original birth certi rqrt</t>
  </si>
  <si>
    <t>9234551803</t>
  </si>
  <si>
    <t>Aditya Datta</t>
  </si>
  <si>
    <t>JHRC/2019/949589</t>
  </si>
  <si>
    <t>9110156822</t>
  </si>
  <si>
    <t>Dharmraj Giri</t>
  </si>
  <si>
    <t>RC278</t>
  </si>
  <si>
    <t>JHRC/2019/975797</t>
  </si>
  <si>
    <t>8340492206</t>
  </si>
  <si>
    <t>Abhinav Kumar Singh</t>
  </si>
  <si>
    <t>RC279</t>
  </si>
  <si>
    <t>JHRC/2019/975831</t>
  </si>
  <si>
    <t>Kausar Khan</t>
  </si>
  <si>
    <t>RC280</t>
  </si>
  <si>
    <t>JHLRCO/2019/88112</t>
  </si>
  <si>
    <t>8506805001</t>
  </si>
  <si>
    <t>Arnab Kumar Bera</t>
  </si>
  <si>
    <t>JHLRCO/2019/87981</t>
  </si>
  <si>
    <t>6201732823</t>
  </si>
  <si>
    <t>Sunny Mazumdar</t>
  </si>
  <si>
    <t>JHLRCO/2019/88007</t>
  </si>
  <si>
    <t>9319109480</t>
  </si>
  <si>
    <t>Abhinab Kundu</t>
  </si>
  <si>
    <t>JHLRCO/2019/88181</t>
  </si>
  <si>
    <t>Amritesh Gupta</t>
  </si>
  <si>
    <t>JHLRCO/2019/89118</t>
  </si>
  <si>
    <t>7979776033</t>
  </si>
  <si>
    <t>Raman Singh</t>
  </si>
  <si>
    <t>JHLRCO/2019/89093</t>
  </si>
  <si>
    <t>7209312115</t>
  </si>
  <si>
    <t>Dilip Gope</t>
  </si>
  <si>
    <t>JHLRCO/2019/89600</t>
  </si>
  <si>
    <t>9570143741</t>
  </si>
  <si>
    <t>Richa Sinha</t>
  </si>
  <si>
    <t>JHRC/2019/983232</t>
  </si>
  <si>
    <t>7209496539</t>
  </si>
  <si>
    <t>Rahul Ranjan</t>
  </si>
  <si>
    <t>JHRC/2019/983246</t>
  </si>
  <si>
    <t>7352019227</t>
  </si>
  <si>
    <t>Ritik Ranjan</t>
  </si>
  <si>
    <t>JHRC/2019/983255</t>
  </si>
  <si>
    <t>9234413453</t>
  </si>
  <si>
    <t>Sumona Bhattacharjee</t>
  </si>
  <si>
    <t>JHLRCO/2019/91915</t>
  </si>
  <si>
    <t>8809592710</t>
  </si>
  <si>
    <t>Vishal Kumar Singh</t>
  </si>
  <si>
    <t>JHLRCO/2019/91907</t>
  </si>
  <si>
    <t>9031001982</t>
  </si>
  <si>
    <t>Shazid Akhtar</t>
  </si>
  <si>
    <t>JHLRCO/2019/91919</t>
  </si>
  <si>
    <t>7979041437</t>
  </si>
  <si>
    <t>Sk Irfan Hussain</t>
  </si>
  <si>
    <t>JHLRCO/2019/91921</t>
  </si>
  <si>
    <t>Nidhi Kumari</t>
  </si>
  <si>
    <t>JHLRCO/2019/92832</t>
  </si>
  <si>
    <t>JHRC/2019/985850</t>
  </si>
  <si>
    <t>8092786643</t>
  </si>
  <si>
    <t>RC296</t>
  </si>
  <si>
    <t>JHRC/2019/988460</t>
  </si>
  <si>
    <t>Rishi Raj</t>
  </si>
  <si>
    <t>RC297</t>
  </si>
  <si>
    <t>JHRC/2019/988470</t>
  </si>
  <si>
    <t>8789477875</t>
  </si>
  <si>
    <t>Md Nayeem</t>
  </si>
  <si>
    <t>JHLRCO/2019/95465</t>
  </si>
  <si>
    <t>8789669004</t>
  </si>
  <si>
    <t>Md Kasim</t>
  </si>
  <si>
    <t>RC299</t>
  </si>
  <si>
    <t>JHLRCO/2019/95474</t>
  </si>
  <si>
    <t>RC300</t>
  </si>
  <si>
    <t>JHLRCO/2019/95694</t>
  </si>
  <si>
    <t>Harsha Nanda</t>
  </si>
  <si>
    <t>JHLRCO/2019/99214</t>
  </si>
  <si>
    <t>tarcomp</t>
  </si>
  <si>
    <t>JHRC/2019/996216</t>
  </si>
  <si>
    <t>7004266022</t>
  </si>
  <si>
    <t>Aniket Anand</t>
  </si>
  <si>
    <t>JHRC/2019/997583</t>
  </si>
  <si>
    <t>Ashwani Anand</t>
  </si>
  <si>
    <t>JHRC/2019/997632</t>
  </si>
  <si>
    <t>8092706049</t>
  </si>
  <si>
    <t>JHRC/2019/997671</t>
  </si>
  <si>
    <t>Men??</t>
  </si>
  <si>
    <t>8092389419</t>
  </si>
  <si>
    <t>Arvind Kumar</t>
  </si>
  <si>
    <t>JHLRCO/2019/104671</t>
  </si>
  <si>
    <t>RC307</t>
  </si>
  <si>
    <t>JHRC/2019/1004022</t>
  </si>
  <si>
    <t>30 yrs residence proof</t>
  </si>
  <si>
    <t>8340132453</t>
  </si>
  <si>
    <t>Sagrika Mukherjee</t>
  </si>
  <si>
    <t>JHRC/2019/1004058</t>
  </si>
  <si>
    <t>JHRC/2019/1006020</t>
  </si>
  <si>
    <t>Naveen Kr Hansda</t>
  </si>
  <si>
    <t>JHRC/2019/1006041</t>
  </si>
  <si>
    <t>9279068201</t>
  </si>
  <si>
    <t>Anjali Kumari</t>
  </si>
  <si>
    <t>JHRC/2019/1006837</t>
  </si>
  <si>
    <t>JHRC/2019/1008199</t>
  </si>
  <si>
    <t>JHRC/2019/1008749</t>
  </si>
  <si>
    <t>sukram</t>
  </si>
  <si>
    <t>JHLRCO/2019/115955</t>
  </si>
  <si>
    <t>JHLRCO/2019/115951</t>
  </si>
  <si>
    <t>JHLRCO/2019/115952</t>
  </si>
  <si>
    <t>JHRC/2020/01810</t>
  </si>
  <si>
    <t>Aman Kumar Singh</t>
  </si>
  <si>
    <t>JHRC/2020/03867</t>
  </si>
  <si>
    <t>birth original</t>
  </si>
  <si>
    <t>8789955685</t>
  </si>
  <si>
    <t>Zaki Hussain</t>
  </si>
  <si>
    <t>JHRC/2020/07328</t>
  </si>
  <si>
    <t>8102615331</t>
  </si>
  <si>
    <t>Md Ramiz Iqbal</t>
  </si>
  <si>
    <t>JHRC/2020/09609</t>
  </si>
  <si>
    <t>Md Shams Tabrez Ansari</t>
  </si>
  <si>
    <t>JHRC/2020/09652</t>
  </si>
  <si>
    <t>Rahul ranjan</t>
  </si>
  <si>
    <t>JHRC/2020/11277</t>
  </si>
  <si>
    <t>JHRC/2020/11322</t>
  </si>
  <si>
    <t>JHRC/2020/11351</t>
  </si>
  <si>
    <t>JHRC/2020/11368</t>
  </si>
  <si>
    <t>9693523493</t>
  </si>
  <si>
    <t>JHRC/2020/17269</t>
  </si>
  <si>
    <t>REJECTED</t>
  </si>
  <si>
    <t>JHRC/2020/22019</t>
  </si>
  <si>
    <t>JHRC/2020/29579</t>
  </si>
  <si>
    <t>9234603276</t>
  </si>
  <si>
    <t>Yash</t>
  </si>
  <si>
    <t>JHRC/2020/29591</t>
  </si>
  <si>
    <t>8797591784</t>
  </si>
  <si>
    <t>JHRC/2020/30508</t>
  </si>
  <si>
    <t>ekhlak</t>
  </si>
  <si>
    <t>Sofiya Naaz</t>
  </si>
  <si>
    <t>JHRC/2020/33381</t>
  </si>
  <si>
    <t>ini</t>
  </si>
  <si>
    <t>Tarun Tripathy</t>
  </si>
  <si>
    <t>JHRC/2020/38101</t>
  </si>
  <si>
    <t>JHRC/2020/42247</t>
  </si>
  <si>
    <t>RC333</t>
  </si>
  <si>
    <t>JHRC/2020/45663</t>
  </si>
  <si>
    <t>9572214698</t>
  </si>
  <si>
    <t>Priyanka</t>
  </si>
  <si>
    <t>JHRC/2020/51666</t>
  </si>
  <si>
    <t>9279043868</t>
  </si>
  <si>
    <t>Nikhil Binay</t>
  </si>
  <si>
    <t>JHRC/2020/67133</t>
  </si>
  <si>
    <t>JHRC/2020/68280</t>
  </si>
  <si>
    <t>JHLRCO/2020/57201</t>
  </si>
  <si>
    <t>JHLRCO/2020/57210</t>
  </si>
  <si>
    <t>JHLRCO/2020/65834</t>
  </si>
  <si>
    <t>JHLRCO/2020/68173</t>
  </si>
  <si>
    <t>Jasbir Singh</t>
  </si>
  <si>
    <t>JHLRCO/2020/70753</t>
  </si>
  <si>
    <t>8797632286</t>
  </si>
  <si>
    <t>Gourav Ranjan</t>
  </si>
  <si>
    <t>H3</t>
  </si>
  <si>
    <t>JHRC/2020/109023</t>
  </si>
  <si>
    <t>Raushani Kumari</t>
  </si>
  <si>
    <t>JHLRCO/2020/81973</t>
  </si>
  <si>
    <t>8969464103</t>
  </si>
  <si>
    <t>Jaspreet Kaur</t>
  </si>
  <si>
    <t>JHRC/2020/112712</t>
  </si>
  <si>
    <t>JHRC/2020/113156</t>
  </si>
  <si>
    <t>9931321832</t>
  </si>
  <si>
    <t>JHRC/2020/115666</t>
  </si>
  <si>
    <t>9431568139</t>
  </si>
  <si>
    <t>Ayan Kumar Sinha</t>
  </si>
  <si>
    <t>JHLRCO/2020/89187</t>
  </si>
  <si>
    <t>Amita Sharma</t>
  </si>
  <si>
    <t>JHRC/2020/129197</t>
  </si>
  <si>
    <t>8757605605</t>
  </si>
  <si>
    <t>Aniket Pandey</t>
  </si>
  <si>
    <t>JHLRCO/2020/99534</t>
  </si>
  <si>
    <t>RC350</t>
  </si>
  <si>
    <t>JHLRCO/2020/99537</t>
  </si>
  <si>
    <t>8002744183</t>
  </si>
  <si>
    <t>JHLRCO/2020/99540</t>
  </si>
  <si>
    <t>RC351</t>
  </si>
  <si>
    <t>JHLRCO/2020/106648</t>
  </si>
  <si>
    <t>JHLRCO/2020/106915</t>
  </si>
  <si>
    <t>7209563356</t>
  </si>
  <si>
    <t>Ashutosh Kumar</t>
  </si>
  <si>
    <t>JHLRCO/2020/106947</t>
  </si>
  <si>
    <t>Alok kumar</t>
  </si>
  <si>
    <t>JHLRCO/2020/107073</t>
  </si>
  <si>
    <t>karandih</t>
  </si>
  <si>
    <t>JHLRCO/2020/107720</t>
  </si>
  <si>
    <t>8521835899</t>
  </si>
  <si>
    <t>JHLRCO/2020/112923</t>
  </si>
  <si>
    <t>JHRC/2020/158994</t>
  </si>
  <si>
    <t>7294165665</t>
  </si>
  <si>
    <t>Rishabh Raj Ojha</t>
  </si>
  <si>
    <t>JHRC/2020/159874</t>
  </si>
  <si>
    <t>sdo(documetary unsatisfactory)</t>
  </si>
  <si>
    <t>JHLRCO/2020/119255</t>
  </si>
  <si>
    <t>JHLRCO/2020/119492</t>
  </si>
  <si>
    <t>JHLRCO/2020/119543</t>
  </si>
  <si>
    <t>JHLRCO/2020/119583</t>
  </si>
  <si>
    <t>9234662033</t>
  </si>
  <si>
    <t>Vivek sharma</t>
  </si>
  <si>
    <t>JHRC/2020/163668</t>
  </si>
  <si>
    <t>8092876766</t>
  </si>
  <si>
    <t>Md Sufiyan Danish</t>
  </si>
  <si>
    <t>JHLRCO/2020/134897</t>
  </si>
  <si>
    <t>9431345614</t>
  </si>
  <si>
    <t>Jaspreet singh</t>
  </si>
  <si>
    <t>prakashnag</t>
  </si>
  <si>
    <t>JHLRCO/2020/134197</t>
  </si>
  <si>
    <t>JHLRCO/2020/134664</t>
  </si>
  <si>
    <t>Ravikant Ranjan</t>
  </si>
  <si>
    <t>GARURBA</t>
  </si>
  <si>
    <t>JHLRCO/2020/136541</t>
  </si>
  <si>
    <t>Sanchita Kumari</t>
  </si>
  <si>
    <t>JHRC/2020/180118</t>
  </si>
  <si>
    <t>Jyoti Prakash</t>
  </si>
  <si>
    <t>JHRC/2020/180127</t>
  </si>
  <si>
    <t>Saroj Tudu</t>
  </si>
  <si>
    <t>JHLRCO/2020/138552</t>
  </si>
  <si>
    <t>RC372</t>
  </si>
  <si>
    <t>Ghorabandha East</t>
  </si>
  <si>
    <t>JHLRCO/2020/146749</t>
  </si>
  <si>
    <t>Aditi Sharma</t>
  </si>
  <si>
    <t>JHRC/2020/211053</t>
  </si>
  <si>
    <t>JHLRCO/2020/176310</t>
  </si>
  <si>
    <t>JHRC/2020/225963</t>
  </si>
  <si>
    <t xml:space="preserve">Prishita Ghosal </t>
  </si>
  <si>
    <t>RC376</t>
  </si>
  <si>
    <t>JHRC/2020/227401</t>
  </si>
  <si>
    <t>Mohammad Sadab Ali</t>
  </si>
  <si>
    <t>JHRC/2020/230935</t>
  </si>
  <si>
    <t>9625015209</t>
  </si>
  <si>
    <t>Ayesha Firdous</t>
  </si>
  <si>
    <t>JHRC/2020/232609</t>
  </si>
  <si>
    <t>RC379</t>
  </si>
  <si>
    <t>JHRC/2020/233679</t>
  </si>
  <si>
    <t>shubham bhattacharjee</t>
  </si>
  <si>
    <t>G east</t>
  </si>
  <si>
    <t>JHLRCO/2020/195339</t>
  </si>
  <si>
    <t>JHLRCO/2020/197923</t>
  </si>
  <si>
    <t>8092293097</t>
  </si>
  <si>
    <t>Priyanshi</t>
  </si>
  <si>
    <t>JHLRCO/2020/208316</t>
  </si>
  <si>
    <t>Himanshu</t>
  </si>
  <si>
    <t>JHLRCO/2020/208337</t>
  </si>
  <si>
    <t>Ruchit Kumar</t>
  </si>
  <si>
    <t>JHRC/2020/257493</t>
  </si>
  <si>
    <t>Roshan Kumar</t>
  </si>
  <si>
    <t>JHRC/2020/257771</t>
  </si>
  <si>
    <t>JHRC/2020/257791</t>
  </si>
  <si>
    <t>9234131348</t>
  </si>
  <si>
    <t>Reet Singh</t>
  </si>
  <si>
    <t>JHLRCO/2020/212099</t>
  </si>
  <si>
    <t>9113314112</t>
  </si>
  <si>
    <t>Murari Ojha</t>
  </si>
  <si>
    <t>JHRC/2020/258858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</si>
  <si>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</si>
  <si>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mahato ji</t>
  </si>
  <si>
    <t>Purnima Gorai</t>
  </si>
  <si>
    <t>EAST</t>
  </si>
  <si>
    <t>JHLRCO/2020/219710</t>
  </si>
  <si>
    <t>Akash Kumar</t>
  </si>
  <si>
    <t>JHLRCO/2020/222552</t>
  </si>
  <si>
    <t>8294549701</t>
  </si>
  <si>
    <t>JHLRCO/2020/239124</t>
  </si>
  <si>
    <t>JHLRCO/2020/239146</t>
  </si>
  <si>
    <t>Mohammad shehar yaar tausif</t>
  </si>
  <si>
    <t>JHRC/2020/284527</t>
  </si>
  <si>
    <t>9234551805</t>
  </si>
  <si>
    <t>bistupur</t>
  </si>
  <si>
    <t>JHRC/2020/291166</t>
  </si>
  <si>
    <t>8797877239</t>
  </si>
  <si>
    <t>JHLRCO/2020/25310</t>
  </si>
  <si>
    <t>JHLRCO/2020/253849</t>
  </si>
  <si>
    <t>8789678947</t>
  </si>
  <si>
    <t>JHLRCO/2020/264330</t>
  </si>
  <si>
    <t>JHLRCO/2020/265041</t>
  </si>
  <si>
    <t>9431568354</t>
  </si>
  <si>
    <t>JHRC/2020/305789</t>
  </si>
  <si>
    <t>ci</t>
  </si>
  <si>
    <t>B Jaya</t>
  </si>
  <si>
    <t>JHLRCO/2020/265612</t>
  </si>
  <si>
    <t>8789949531</t>
  </si>
  <si>
    <t>Rohit Barua</t>
  </si>
  <si>
    <t>JHRC/2020/307126</t>
  </si>
  <si>
    <t>8092230133</t>
  </si>
  <si>
    <t>Ragini Kumari</t>
  </si>
  <si>
    <t>JHLRCO/2020/272651</t>
  </si>
  <si>
    <t>Arjun Kumar</t>
  </si>
  <si>
    <t>JHLRCO/2020/272669</t>
  </si>
  <si>
    <t>Karan Kumar</t>
  </si>
  <si>
    <t>JHLRCO/2020/272709</t>
  </si>
  <si>
    <t>JHLRCO/2020/272726</t>
  </si>
  <si>
    <t>9431513497</t>
  </si>
  <si>
    <t>Mintu Sharma</t>
  </si>
  <si>
    <t>JHLRCO/2020/276877</t>
  </si>
  <si>
    <t>6204422954</t>
  </si>
  <si>
    <t>JHLRCO/2020/277110</t>
  </si>
  <si>
    <t>Aditya Narayan Jha</t>
  </si>
  <si>
    <t>chho govind</t>
  </si>
  <si>
    <t>JHLRCO/2020/282436</t>
  </si>
  <si>
    <t>8651143303</t>
  </si>
  <si>
    <t>S Kalyan Rao</t>
  </si>
  <si>
    <t>JHRC/2020/319588</t>
  </si>
  <si>
    <t>Aman Kumar yadav</t>
  </si>
  <si>
    <t>JHLRCO/2020/281762</t>
  </si>
  <si>
    <t>JHLRCO/2020/283996</t>
  </si>
  <si>
    <t>JHLRCO/2020/284759</t>
  </si>
  <si>
    <t>GW</t>
  </si>
  <si>
    <t>JHLRCO/2020/287762</t>
  </si>
  <si>
    <t>9279386332</t>
  </si>
  <si>
    <t>JHLRCO/2020/288033</t>
  </si>
  <si>
    <t>JHLRCO/2020/290350</t>
  </si>
  <si>
    <t>JHLRCO/2020/290372</t>
  </si>
  <si>
    <t>JHLRCO/2020/291097</t>
  </si>
  <si>
    <t>SAVED</t>
  </si>
  <si>
    <t>JHLRCO/2020/292220</t>
  </si>
  <si>
    <t>hold</t>
  </si>
  <si>
    <t>JHLRCO/2020/295501</t>
  </si>
  <si>
    <t>7632053401</t>
  </si>
  <si>
    <t>Navin Kumar Sharma</t>
  </si>
  <si>
    <t>JHRC/2020/333039</t>
  </si>
  <si>
    <t>Md Shamher</t>
  </si>
  <si>
    <t>RC416</t>
  </si>
  <si>
    <t>JHLRCO/2020/301293</t>
  </si>
  <si>
    <t>JHLRCO/2020/305492</t>
  </si>
  <si>
    <t>JHLRCO/2020/305501</t>
  </si>
  <si>
    <t>JHLRCO/2020/305532</t>
  </si>
  <si>
    <t>Priya Laxmi</t>
  </si>
  <si>
    <t>JHLRCO/2020/310981</t>
  </si>
  <si>
    <t>JHLRCO/2020/313133</t>
  </si>
  <si>
    <t>JHLRCO/2020/313936</t>
  </si>
  <si>
    <t>9923522427</t>
  </si>
  <si>
    <t>WEST</t>
  </si>
  <si>
    <t>JHLRCO/2021/01718</t>
  </si>
  <si>
    <t>JHLRCO/2021/02058</t>
  </si>
  <si>
    <t>9304738393</t>
  </si>
  <si>
    <t>Aisha Mishra</t>
  </si>
  <si>
    <t>JHLRCO/2021/19379</t>
  </si>
  <si>
    <t>7482803720</t>
  </si>
  <si>
    <t>Rakesh Kumar</t>
  </si>
  <si>
    <t>JHLRCO/2021/38506</t>
  </si>
  <si>
    <t>birth certificate not attached</t>
  </si>
  <si>
    <t>JHLRCO/2021/55532</t>
  </si>
  <si>
    <t>7484910558</t>
  </si>
  <si>
    <t>Sutulika</t>
  </si>
  <si>
    <t>JHLRCO/2021/60648</t>
  </si>
  <si>
    <t>9470386114</t>
  </si>
  <si>
    <t>gwalabasti-14</t>
  </si>
  <si>
    <t>JHLRCO/2021/60727</t>
  </si>
  <si>
    <t>6207509356</t>
  </si>
  <si>
    <t xml:space="preserve">Gourav </t>
  </si>
  <si>
    <t>JHLRCO/2021/61480</t>
  </si>
  <si>
    <t>emailed</t>
  </si>
  <si>
    <t>JHLRCO/2021/64241</t>
  </si>
  <si>
    <t>JHLRCO/2021/69129</t>
  </si>
  <si>
    <t>9122770427</t>
  </si>
  <si>
    <t>Anwesha Maji</t>
  </si>
  <si>
    <t>JHLRCO/2021/74831</t>
  </si>
  <si>
    <t>6290907725</t>
  </si>
  <si>
    <t>Anita Saingha Ray</t>
  </si>
  <si>
    <t>JHRC/2021/60867</t>
  </si>
  <si>
    <t>7488851864</t>
  </si>
  <si>
    <t>Anukul Tuti</t>
  </si>
  <si>
    <t>RC433</t>
  </si>
  <si>
    <t>JHLRCO/2021/100559</t>
  </si>
  <si>
    <t>afsar</t>
  </si>
  <si>
    <t>Balraj Singh</t>
  </si>
  <si>
    <t>RC434</t>
  </si>
  <si>
    <t>JHRC/2021/77813</t>
  </si>
  <si>
    <t>RC435</t>
  </si>
  <si>
    <t>JHLRCO/2021/121849</t>
  </si>
  <si>
    <t>No Record Found RE applied</t>
  </si>
  <si>
    <t>RC436</t>
  </si>
  <si>
    <t>JHLRCO/2021/133945</t>
  </si>
  <si>
    <t>pinted</t>
  </si>
  <si>
    <t>452281947564</t>
  </si>
  <si>
    <t>Mousumi Khamrai</t>
  </si>
  <si>
    <t>RC437</t>
  </si>
  <si>
    <t>JHLRCO/2021/141041</t>
  </si>
  <si>
    <t>JHRC/2021/117705</t>
  </si>
  <si>
    <t>RC438</t>
  </si>
  <si>
    <t>JHLRCO/2021/141573</t>
  </si>
  <si>
    <t>rejeted</t>
  </si>
  <si>
    <t>9608115812</t>
  </si>
  <si>
    <t>SANJIT LOHAR</t>
  </si>
  <si>
    <t>RC439</t>
  </si>
  <si>
    <t>JHLRCO/2021/148932</t>
  </si>
  <si>
    <t>8102850576</t>
  </si>
  <si>
    <t>Shama Parveen</t>
  </si>
  <si>
    <t>RC440</t>
  </si>
  <si>
    <t>JHLRCO/2021/148956</t>
  </si>
  <si>
    <t>8825225429</t>
  </si>
  <si>
    <t>Ravi Pandey</t>
  </si>
  <si>
    <t>RC441</t>
  </si>
  <si>
    <t>JHLRCO/2021/153199</t>
  </si>
  <si>
    <t>6299816631</t>
  </si>
  <si>
    <t>RC442</t>
  </si>
  <si>
    <t>JHLRCO/2021/153228</t>
  </si>
  <si>
    <t>RC443</t>
  </si>
  <si>
    <t>JHLRCO/2021/156537</t>
  </si>
  <si>
    <t>9771243240</t>
  </si>
  <si>
    <t>Samresh Kumar Singh</t>
  </si>
  <si>
    <t>RC444</t>
  </si>
  <si>
    <t>JHRC/2021/139225</t>
  </si>
  <si>
    <t>RC445</t>
  </si>
  <si>
    <t>JHLRCO/2021/164562</t>
  </si>
  <si>
    <t>RC446</t>
  </si>
  <si>
    <t>JHLRCO/2021/164706</t>
  </si>
  <si>
    <t>6205702066</t>
  </si>
  <si>
    <t>Simranjeet Kaur</t>
  </si>
  <si>
    <t>RC447</t>
  </si>
  <si>
    <t>JHLRCO/2021/165901</t>
  </si>
  <si>
    <t>JHLRCO/2021/175172</t>
  </si>
  <si>
    <t>ADD DIFF IN AADHAAR</t>
  </si>
  <si>
    <t>RC449</t>
  </si>
  <si>
    <t>JHLRCO/2021/179232</t>
  </si>
  <si>
    <t>7903517966</t>
  </si>
  <si>
    <t>RC450</t>
  </si>
  <si>
    <t>JHLRCO/2021/180294</t>
  </si>
  <si>
    <t>6200177054</t>
  </si>
  <si>
    <t>Suman Lohra</t>
  </si>
  <si>
    <t>RC451</t>
  </si>
  <si>
    <t>JHLRCO/2021/181569</t>
  </si>
  <si>
    <t>RC452</t>
  </si>
  <si>
    <t>JHLRCO/2021/181610</t>
  </si>
  <si>
    <t>RC453</t>
  </si>
  <si>
    <t>JHLRCO/2021/184482</t>
  </si>
  <si>
    <t>7761073473</t>
  </si>
  <si>
    <t>Zoyena Parwez</t>
  </si>
  <si>
    <t>RC454</t>
  </si>
  <si>
    <t>JHLRCO/2021/191636</t>
  </si>
  <si>
    <t>RC455</t>
  </si>
  <si>
    <t>JHRC/2021/190557</t>
  </si>
  <si>
    <t>6206346067</t>
  </si>
  <si>
    <t>Sujata Jha</t>
  </si>
  <si>
    <t>RC456</t>
  </si>
  <si>
    <t>telco colony</t>
  </si>
  <si>
    <t>JHRC/2021/195372</t>
  </si>
  <si>
    <t>7717747591</t>
  </si>
  <si>
    <t>Mayank Pranjal</t>
  </si>
  <si>
    <t>RC457</t>
  </si>
  <si>
    <t>JHLRCO/2021/207305</t>
  </si>
  <si>
    <t>RC458</t>
  </si>
  <si>
    <t>JHLRCO/2021/207710</t>
  </si>
  <si>
    <t>825256500</t>
  </si>
  <si>
    <t>Arun Kumar</t>
  </si>
  <si>
    <t>RC459</t>
  </si>
  <si>
    <t>refugee colony</t>
  </si>
  <si>
    <t>JHLRCO/2021/212015</t>
  </si>
  <si>
    <t>8092569851</t>
  </si>
  <si>
    <t>Saniya Dasgupta</t>
  </si>
  <si>
    <t>RC460</t>
  </si>
  <si>
    <t>1b</t>
  </si>
  <si>
    <t>JHLRCO/2021/212025</t>
  </si>
  <si>
    <t>Mansu Ram Mahato</t>
  </si>
  <si>
    <t>RC461</t>
  </si>
  <si>
    <t>JHLRCO/2021/216038</t>
  </si>
  <si>
    <t>RC462</t>
  </si>
  <si>
    <t>JHLRCO/2021/229816</t>
  </si>
  <si>
    <t>Raj Laxmi Kumari</t>
  </si>
  <si>
    <t>RC463</t>
  </si>
  <si>
    <t>zone1</t>
  </si>
  <si>
    <t>JHLRCO/2021/230009</t>
  </si>
  <si>
    <t>JHLRCO/2021/232255</t>
  </si>
  <si>
    <t>vanshwali not clr</t>
  </si>
  <si>
    <t>7079762320</t>
  </si>
  <si>
    <t>Arjun Kumar Singh</t>
  </si>
  <si>
    <t>premnagar</t>
  </si>
  <si>
    <t xml:space="preserve"> JHLRCO/2021/236441</t>
  </si>
  <si>
    <t>prince</t>
  </si>
  <si>
    <t xml:space="preserve"> JHLRCO/2021/236456</t>
  </si>
  <si>
    <t>Jay Malhotra</t>
  </si>
  <si>
    <t>sopodera</t>
  </si>
  <si>
    <t>JHLRCO/2021/238940</t>
  </si>
  <si>
    <t>9430180836</t>
  </si>
  <si>
    <t>Ahana Sengupta</t>
  </si>
  <si>
    <t>JHLRCO/2021/239886</t>
  </si>
  <si>
    <t>7367087900</t>
  </si>
  <si>
    <t>JHRC/2021/235243</t>
  </si>
  <si>
    <t>7079404818</t>
  </si>
  <si>
    <t>Vishwajeet Kumra singh</t>
  </si>
  <si>
    <t>JHRC/2021/235251</t>
  </si>
  <si>
    <t>JHRC/2021/237501</t>
  </si>
  <si>
    <t>8525956082</t>
  </si>
  <si>
    <t>Edupilli Soumya</t>
  </si>
  <si>
    <t>JHLRCO/2021/245502</t>
  </si>
  <si>
    <t>8987537430</t>
  </si>
  <si>
    <t>JHLRCO/2021/245517</t>
  </si>
  <si>
    <t>8969272502</t>
  </si>
  <si>
    <t>Saurav Sahu</t>
  </si>
  <si>
    <t>JHLRCO/2021/245528</t>
  </si>
  <si>
    <t>9097776018</t>
  </si>
  <si>
    <t>Ankit Kumar Singh</t>
  </si>
  <si>
    <t>JHLRCO/2021/245537</t>
  </si>
  <si>
    <t>7903437201</t>
  </si>
  <si>
    <t>Sonal Kumari</t>
  </si>
  <si>
    <t>JHLRCO/2021/245617</t>
  </si>
  <si>
    <t>Suryanshu Tanti</t>
  </si>
  <si>
    <t>JHLRCO/2021/245652</t>
  </si>
  <si>
    <t>send to wht</t>
  </si>
  <si>
    <t>8235127511</t>
  </si>
  <si>
    <t>Ritik Kumar Singh</t>
  </si>
  <si>
    <t>JHLRCO/2021/246201</t>
  </si>
  <si>
    <t>8789587330</t>
  </si>
  <si>
    <t>JHLRCO/2021/246203</t>
  </si>
  <si>
    <t>9507191078</t>
  </si>
  <si>
    <t>JHLRCO/2021/246208</t>
  </si>
  <si>
    <t>8102137893</t>
  </si>
  <si>
    <t>JHLRCO/2021/246269</t>
  </si>
  <si>
    <t>called</t>
  </si>
  <si>
    <t>7209244744</t>
  </si>
  <si>
    <t>Akriti Prasad</t>
  </si>
  <si>
    <t>JHLRCO/2021/246271</t>
  </si>
  <si>
    <t>9334230780</t>
  </si>
  <si>
    <t>Ankur Kumar Tiwary</t>
  </si>
  <si>
    <t>JHLRCO/2021/246282</t>
  </si>
  <si>
    <t>7903560846</t>
  </si>
  <si>
    <t>S. Kapil Pillay</t>
  </si>
  <si>
    <t>JHLRCO/2021/247501</t>
  </si>
  <si>
    <t>8603847325</t>
  </si>
  <si>
    <t>Kumar Pooja</t>
  </si>
  <si>
    <t>JHLRCO/2021/247322</t>
  </si>
  <si>
    <t>8092504720</t>
  </si>
  <si>
    <t>Joydev Barik</t>
  </si>
  <si>
    <t>JHLRCO/2021/247300</t>
  </si>
  <si>
    <t>JHLRCO/2021/248046</t>
  </si>
  <si>
    <t>Puja Rana</t>
  </si>
  <si>
    <t>JHLRCO/2021/248087</t>
  </si>
  <si>
    <t>Preety Karwa</t>
  </si>
  <si>
    <t>JHLRCO/2021/248109</t>
  </si>
  <si>
    <t>Anish Verma</t>
  </si>
  <si>
    <t>JHLRCO/2021/248182</t>
  </si>
  <si>
    <t>7480015311</t>
  </si>
  <si>
    <t>Priyanshu Tiwari</t>
  </si>
  <si>
    <t>JHLRCO/2021/248297</t>
  </si>
  <si>
    <t>8804703666</t>
  </si>
  <si>
    <t>JHLRCO/2021/248315</t>
  </si>
  <si>
    <t>9801274350</t>
  </si>
  <si>
    <t>JHLRCO/2021/249191</t>
  </si>
  <si>
    <t>9234581787</t>
  </si>
  <si>
    <t>Nidhi Tiwary</t>
  </si>
  <si>
    <t>RC493</t>
  </si>
  <si>
    <t>JHLRCO/2021/249205</t>
  </si>
  <si>
    <t>nr</t>
  </si>
  <si>
    <t>ramadhin bgn</t>
  </si>
  <si>
    <t>JHLRCO/2021/249225</t>
  </si>
  <si>
    <t>not available</t>
  </si>
  <si>
    <t>JHLRCO/2021/249239</t>
  </si>
  <si>
    <t>8102362172</t>
  </si>
  <si>
    <t>Shaheen Parween</t>
  </si>
  <si>
    <t>JHLRCO/2021/249250</t>
  </si>
  <si>
    <t>7033522272</t>
  </si>
  <si>
    <t>JHLRCO/2021/249266</t>
  </si>
  <si>
    <t>9123485471</t>
  </si>
  <si>
    <t>Tejash Sharma</t>
  </si>
  <si>
    <t>JHLRCO/2021/249293</t>
  </si>
  <si>
    <t>9508685040</t>
  </si>
  <si>
    <t>Harshit</t>
  </si>
  <si>
    <t>JHLRCO/2021/249300</t>
  </si>
  <si>
    <t>birth certificate not clear</t>
  </si>
  <si>
    <t>9470994731</t>
  </si>
  <si>
    <t>Tarkeshwary Gorai</t>
  </si>
  <si>
    <t>JHLRCO/2021/249315</t>
  </si>
  <si>
    <t>JHLRCO/2021/249330</t>
  </si>
  <si>
    <t>re upload</t>
  </si>
  <si>
    <t>9508862713</t>
  </si>
  <si>
    <t>JHLRCO/2021/249363</t>
  </si>
  <si>
    <t>9905164452</t>
  </si>
  <si>
    <t>Sonali mahato</t>
  </si>
  <si>
    <t>JHLRCO/2021/249378</t>
  </si>
  <si>
    <t>9234702987</t>
  </si>
  <si>
    <t>JHLRCO/2021/249388</t>
  </si>
  <si>
    <t>matric admit card</t>
  </si>
  <si>
    <t>9204280126</t>
  </si>
  <si>
    <t>JHLRCO/2021/249399</t>
  </si>
  <si>
    <t>Gaitri Kumari</t>
  </si>
  <si>
    <t>JHLRCO/2021/249412</t>
  </si>
  <si>
    <t>sonal singh</t>
  </si>
  <si>
    <t>JHLRCO/2021/249416</t>
  </si>
  <si>
    <t>Dolly Gope</t>
  </si>
  <si>
    <t>JHLRCO/2021/249426</t>
  </si>
  <si>
    <t>Aparajita Gourav</t>
  </si>
  <si>
    <t>JHLRCO/2021/249428</t>
  </si>
  <si>
    <t>JHLRCO/2021/249433</t>
  </si>
  <si>
    <t>8969154650</t>
  </si>
  <si>
    <t>JHLRCO/2021/251420</t>
  </si>
  <si>
    <t>dob not clear</t>
  </si>
  <si>
    <t>Shaswat Mishra</t>
  </si>
  <si>
    <t>JHLRCO/2021/252566</t>
  </si>
  <si>
    <t>REJCTED</t>
  </si>
  <si>
    <t>Bikash Sahu</t>
  </si>
  <si>
    <t>JHLRCO/2021/251448</t>
  </si>
  <si>
    <t>Shazmeen Khatoon</t>
  </si>
  <si>
    <t>JHLRCO/2021/251458</t>
  </si>
  <si>
    <t>7857097388</t>
  </si>
  <si>
    <t>Rinky Ghosh</t>
  </si>
  <si>
    <t>JHLRCO/2021/251476</t>
  </si>
  <si>
    <t>Anand Tuti</t>
  </si>
  <si>
    <t>JHLRCO/2021/251480</t>
  </si>
  <si>
    <t>birth certificate is D</t>
  </si>
  <si>
    <t>8409949983</t>
  </si>
  <si>
    <t>Ashish Raj Singh</t>
  </si>
  <si>
    <t>JHLRCO/2021/251482</t>
  </si>
  <si>
    <t>not to print</t>
  </si>
  <si>
    <t>9835340719</t>
  </si>
  <si>
    <t>Neesha</t>
  </si>
  <si>
    <t>JHLRCO/2021/251485</t>
  </si>
  <si>
    <t>8210096185</t>
  </si>
  <si>
    <t>Anu Mishra</t>
  </si>
  <si>
    <t>JHLRCO/2021/251495</t>
  </si>
  <si>
    <t>JHLRCO/2021/251527</t>
  </si>
  <si>
    <t>9204360957</t>
  </si>
  <si>
    <t>Aman Verma</t>
  </si>
  <si>
    <t>JHLRCO/2021/251529</t>
  </si>
  <si>
    <t>9263613711</t>
  </si>
  <si>
    <t>Sahil prasad</t>
  </si>
  <si>
    <t>JHLRCO/2021/251530</t>
  </si>
  <si>
    <t>birth is d</t>
  </si>
  <si>
    <t>JHLRCO/2021/251532</t>
  </si>
  <si>
    <t>9693700957</t>
  </si>
  <si>
    <t>JHLRCO/2021/251534</t>
  </si>
  <si>
    <t>6299762664</t>
  </si>
  <si>
    <t>JHLRCO/2021/251535</t>
  </si>
  <si>
    <t>birth certificte D</t>
  </si>
  <si>
    <t>8294173109</t>
  </si>
  <si>
    <t>Sharmishtha  Mahato</t>
  </si>
  <si>
    <t>bagbera</t>
  </si>
  <si>
    <t>JHLRCO/2021/251537</t>
  </si>
  <si>
    <t>Anish Kumar Singh</t>
  </si>
  <si>
    <t>JHLRCO/2021/251539</t>
  </si>
  <si>
    <t>Harsh Singh</t>
  </si>
  <si>
    <t>JHLRCO/2021/251540</t>
  </si>
  <si>
    <t>sent to wht</t>
  </si>
  <si>
    <t>Ritesh Sinha</t>
  </si>
  <si>
    <t>JHLRCO/2021/251541</t>
  </si>
  <si>
    <t>missing 10th</t>
  </si>
  <si>
    <t>Rohit Kumar prasad</t>
  </si>
  <si>
    <t>JHLRCO/2021/251543</t>
  </si>
  <si>
    <t>Pratham Maniar</t>
  </si>
  <si>
    <t>JHLRCO/2021/251544</t>
  </si>
  <si>
    <t>10 marksheet mision</t>
  </si>
  <si>
    <t>Abhay Kumar Prajapati</t>
  </si>
  <si>
    <t>JHLRCO/2021/251545</t>
  </si>
  <si>
    <t>birth cert is D</t>
  </si>
  <si>
    <t>JHLRCO/2021/251546</t>
  </si>
  <si>
    <t>bhandhbhanga</t>
  </si>
  <si>
    <t>JHLRCO/2021/252631</t>
  </si>
  <si>
    <t>9608519621</t>
  </si>
  <si>
    <t>Ravi Kant Singh</t>
  </si>
  <si>
    <t>RC544</t>
  </si>
  <si>
    <t>JHLRCO/2021/252546</t>
  </si>
  <si>
    <t>8877156946</t>
  </si>
  <si>
    <t>Smriti Kumari</t>
  </si>
  <si>
    <t>RC545</t>
  </si>
  <si>
    <t>JHLRCO/2021/252603</t>
  </si>
  <si>
    <t>JHLRCO/2021/253078</t>
  </si>
  <si>
    <t>9204852777</t>
  </si>
  <si>
    <t>Kasturi Sharma</t>
  </si>
  <si>
    <t>JHLRCO/2021/253236</t>
  </si>
  <si>
    <t>JHLRCO/2021/253459</t>
  </si>
  <si>
    <t>Abhishek Kumra</t>
  </si>
  <si>
    <t>barigora</t>
  </si>
  <si>
    <t>JHLRCO/2021/253497</t>
  </si>
  <si>
    <t>9279251735</t>
  </si>
  <si>
    <t>Sahil Singh</t>
  </si>
  <si>
    <t>JHLRCO/2021/253805</t>
  </si>
  <si>
    <t>8789894443</t>
  </si>
  <si>
    <t>Shivam Kumar Singh</t>
  </si>
  <si>
    <t>JHLRCO/2021/253781</t>
  </si>
  <si>
    <t>8546497161</t>
  </si>
  <si>
    <t>Shailesh Kumar Pathak</t>
  </si>
  <si>
    <t>JHLRCO/2021/253818</t>
  </si>
  <si>
    <t>9304730054</t>
  </si>
  <si>
    <t>Sonam Kumari</t>
  </si>
  <si>
    <t>JHLRCO/2021/253825</t>
  </si>
  <si>
    <t>6202909827</t>
  </si>
  <si>
    <t>Priyanshu Mishra</t>
  </si>
  <si>
    <t>JHLRCO/2021/253833</t>
  </si>
  <si>
    <t>9835349146</t>
  </si>
  <si>
    <t>Archita Sharma</t>
  </si>
  <si>
    <t>JHLRCO/2021/253854</t>
  </si>
  <si>
    <t>9934587029</t>
  </si>
  <si>
    <t>Asmit Sharma</t>
  </si>
  <si>
    <t>JHLRCO/2021/253866</t>
  </si>
  <si>
    <t>9199853347</t>
  </si>
  <si>
    <t>Harsh Vardhan Singh</t>
  </si>
  <si>
    <t>JHLRCO/2021/253871</t>
  </si>
  <si>
    <t>8709737481</t>
  </si>
  <si>
    <t>Subhash Shit</t>
  </si>
  <si>
    <t>JHLRCO/2021/253878</t>
  </si>
  <si>
    <t>736797918</t>
  </si>
  <si>
    <t>Kriti Ambasta</t>
  </si>
  <si>
    <t>JHLRCO/2021/253885</t>
  </si>
  <si>
    <t>9279214470</t>
  </si>
  <si>
    <t>Kunal Rath</t>
  </si>
  <si>
    <t>JHLRCO/2021/256026</t>
  </si>
  <si>
    <t>7484098304</t>
  </si>
  <si>
    <t>Tamanna Singh</t>
  </si>
  <si>
    <t>JHLRCO/2021/256097</t>
  </si>
  <si>
    <t>985279551</t>
  </si>
  <si>
    <t>Harshit Swaroop</t>
  </si>
  <si>
    <t>JHLRCO/2021/256129</t>
  </si>
  <si>
    <t>9905099141</t>
  </si>
  <si>
    <t>Shomya</t>
  </si>
  <si>
    <t>JHLRCO/2021/256161</t>
  </si>
  <si>
    <t>8757790336</t>
  </si>
  <si>
    <t>Khushi Kumari</t>
  </si>
  <si>
    <t>JHLRCO/2021/256189</t>
  </si>
  <si>
    <t>8603865392</t>
  </si>
  <si>
    <t>Shomya Singh</t>
  </si>
  <si>
    <t>JHLRCO/2021/256232</t>
  </si>
  <si>
    <t>JHLRCO/2021/256294</t>
  </si>
  <si>
    <t>Birth Certificate not clear</t>
  </si>
  <si>
    <t>8340454733</t>
  </si>
  <si>
    <t>Dhruv Sharma</t>
  </si>
  <si>
    <t>JHLRCO/2021/256325</t>
  </si>
  <si>
    <t>Tanay Mandal</t>
  </si>
  <si>
    <t>JHLRCO/2021/256417</t>
  </si>
  <si>
    <t>Sonu Kumar</t>
  </si>
  <si>
    <t>JHLRCO/2021/256483</t>
  </si>
  <si>
    <t>D birth</t>
  </si>
  <si>
    <t>Azad Ravidas</t>
  </si>
  <si>
    <t>seraikela</t>
  </si>
  <si>
    <t>JHLRCO/2021/256551</t>
  </si>
  <si>
    <t>Ronit Kumar</t>
  </si>
  <si>
    <t>JHLRCO/2021/256577</t>
  </si>
  <si>
    <t>JHLRCO/2021/256596</t>
  </si>
  <si>
    <t>8092812787</t>
  </si>
  <si>
    <t>Suraj Upadhyay</t>
  </si>
  <si>
    <t>JHLRCO/2021/256698</t>
  </si>
  <si>
    <t>XII marks given</t>
  </si>
  <si>
    <t>9065682747</t>
  </si>
  <si>
    <t>Harman Singh Chaney</t>
  </si>
  <si>
    <t>JHLRCO/2021/256711</t>
  </si>
  <si>
    <t>8789280183</t>
  </si>
  <si>
    <t>Komal Upadhyay</t>
  </si>
  <si>
    <t>JHLRCO/2021/262246</t>
  </si>
  <si>
    <t>8709878295</t>
  </si>
  <si>
    <t>Sweety Kumari</t>
  </si>
  <si>
    <t>JHLRCO/2021/256737</t>
  </si>
  <si>
    <t>8797068896</t>
  </si>
  <si>
    <t>Soumen Chaudhary</t>
  </si>
  <si>
    <t>JHLRCO/2021/257425</t>
  </si>
  <si>
    <t>Suraj Dey</t>
  </si>
  <si>
    <t>JHLRCO/2021/257493</t>
  </si>
  <si>
    <t>JHLRCO/2021/257628</t>
  </si>
  <si>
    <t>9771579821</t>
  </si>
  <si>
    <t>JHLRCO/2021/258302</t>
  </si>
  <si>
    <t>birth is D</t>
  </si>
  <si>
    <t>8877175008</t>
  </si>
  <si>
    <t>Ayushi Sha</t>
  </si>
  <si>
    <t>JHLRCO/2021/259172</t>
  </si>
  <si>
    <t>Harsh Choudhary</t>
  </si>
  <si>
    <t>JHLRCO/2021/259520</t>
  </si>
  <si>
    <t>9113454571</t>
  </si>
  <si>
    <t>Ashish Kumar Singh</t>
  </si>
  <si>
    <t>JHLRCO/2021/259574</t>
  </si>
  <si>
    <t>7091525398</t>
  </si>
  <si>
    <t>JHLRCO/2021/259624</t>
  </si>
  <si>
    <t>8210608658</t>
  </si>
  <si>
    <t>Santoshi Patnaik</t>
  </si>
  <si>
    <t>JHLRCO/2021/259755</t>
  </si>
  <si>
    <t>9471592581</t>
  </si>
  <si>
    <t>Ayaan Iqbal</t>
  </si>
  <si>
    <t>JHLRCO/2021/259791</t>
  </si>
  <si>
    <t>6205908849</t>
  </si>
  <si>
    <t>Sudhanshu Kumar</t>
  </si>
  <si>
    <t>JHLRCO/2021/259809</t>
  </si>
  <si>
    <t>birth not matched</t>
  </si>
  <si>
    <t>7461074949</t>
  </si>
  <si>
    <t>Shazmin Farah</t>
  </si>
  <si>
    <t>JHLRCO/2021/260858</t>
  </si>
  <si>
    <t>duplicate D</t>
  </si>
  <si>
    <t>Shreya Vashist</t>
  </si>
  <si>
    <t>JHLRCO/2021/262011</t>
  </si>
  <si>
    <t>Anshu Kumari</t>
  </si>
  <si>
    <t>JHLRCO/2021/262803</t>
  </si>
  <si>
    <t>Anish Ranjan</t>
  </si>
  <si>
    <t>JHLRCO/2021/262815</t>
  </si>
  <si>
    <t>Sunny Kumr</t>
  </si>
  <si>
    <t>JHLRCO/2021/262841</t>
  </si>
  <si>
    <t>JHLRCO/2021/262852</t>
  </si>
  <si>
    <t>birth issue</t>
  </si>
  <si>
    <t>Riya Kumari</t>
  </si>
  <si>
    <t>JHLRCO/2021/262867</t>
  </si>
  <si>
    <t>920945954</t>
  </si>
  <si>
    <t>Rafat Shahab</t>
  </si>
  <si>
    <t>JHLRCO/2021/264384</t>
  </si>
  <si>
    <t>JHLRCO/2021/264456</t>
  </si>
  <si>
    <t>9709558127</t>
  </si>
  <si>
    <t>Jyoti Kumari</t>
  </si>
  <si>
    <t>JHLRCO/2021/265350</t>
  </si>
  <si>
    <t>9304643054</t>
  </si>
  <si>
    <t>JHLRCO/2021/265380</t>
  </si>
  <si>
    <t>Manisha Gowra</t>
  </si>
  <si>
    <t>JHLRCO/2021/265421</t>
  </si>
  <si>
    <t>6207930320</t>
  </si>
  <si>
    <t>Joy Shalu</t>
  </si>
  <si>
    <t>JHLRCO/2021/265622</t>
  </si>
  <si>
    <t>8252271715</t>
  </si>
  <si>
    <t>Bulbul Kumari</t>
  </si>
  <si>
    <t>JHLRCO/2021/265679</t>
  </si>
  <si>
    <t>Snehlata Kumari</t>
  </si>
  <si>
    <t>JHLRCO/2021/265728</t>
  </si>
  <si>
    <t>8809979559</t>
  </si>
  <si>
    <t>Aditi</t>
  </si>
  <si>
    <t>JHLRCO/2021/265854</t>
  </si>
  <si>
    <t>8877173318</t>
  </si>
  <si>
    <t>Amisha Kumari</t>
  </si>
  <si>
    <t>JHLRCO/2021/265878</t>
  </si>
  <si>
    <t>Aditi sharma_ramesh</t>
  </si>
  <si>
    <t>JHRC/2021/256416</t>
  </si>
  <si>
    <t>8757447380</t>
  </si>
  <si>
    <t>Nihal Shrivastav</t>
  </si>
  <si>
    <t>JHLRCO/2021/265952</t>
  </si>
  <si>
    <t>8789854509</t>
  </si>
  <si>
    <t>Yash Kumar</t>
  </si>
  <si>
    <t>JHLRCO/2021/266742</t>
  </si>
  <si>
    <t>9798633482</t>
  </si>
  <si>
    <t>Rohit Pal</t>
  </si>
  <si>
    <t>JHLRCO/2021/266772</t>
  </si>
  <si>
    <t>9234663421</t>
  </si>
  <si>
    <t>Divyanshi Srivastava</t>
  </si>
  <si>
    <t>JHLRCO/2021/266814</t>
  </si>
  <si>
    <t>6200058674</t>
  </si>
  <si>
    <t>Anand Kumar</t>
  </si>
  <si>
    <t>JHLRCO/2021/266930</t>
  </si>
  <si>
    <t>req. matric pass cert instead of admit card</t>
  </si>
  <si>
    <t>9263721914</t>
  </si>
  <si>
    <t>Kumar Sameer Anand</t>
  </si>
  <si>
    <t>JHLRCO/2021/266988</t>
  </si>
  <si>
    <t>Deep Chand Maity</t>
  </si>
  <si>
    <t>JHLRCO/2021/267013</t>
  </si>
  <si>
    <t>9334895011</t>
  </si>
  <si>
    <t>Ankit Ranjan Mishra</t>
  </si>
  <si>
    <t>RC616</t>
  </si>
  <si>
    <t xml:space="preserve"> JHLRCO/2021/267055</t>
  </si>
  <si>
    <t>9304750532</t>
  </si>
  <si>
    <t>RC617</t>
  </si>
  <si>
    <t>JHLRCO/2021/267076</t>
  </si>
  <si>
    <t>7091495488</t>
  </si>
  <si>
    <t>Mohammad Farooque Ahmad</t>
  </si>
  <si>
    <t>RC618</t>
  </si>
  <si>
    <t>JHLRCO/2021/267152</t>
  </si>
  <si>
    <t>6205224059</t>
  </si>
  <si>
    <t>Ankit Narayan Singh</t>
  </si>
  <si>
    <t>RC619</t>
  </si>
  <si>
    <t>JHLRCO/2021/267172</t>
  </si>
  <si>
    <t>birth certificate given of hospital</t>
  </si>
  <si>
    <t>9771913859</t>
  </si>
  <si>
    <t>Felix Purty</t>
  </si>
  <si>
    <t>RC620</t>
  </si>
  <si>
    <t>JHLRCO/2021/267196</t>
  </si>
  <si>
    <t>9931494852</t>
  </si>
  <si>
    <t>Subhamay Chandra</t>
  </si>
  <si>
    <t>RC621</t>
  </si>
  <si>
    <t>JHLRCO/2021/267228</t>
  </si>
  <si>
    <t>9835071733</t>
  </si>
  <si>
    <t>Roshan Kumar Singh</t>
  </si>
  <si>
    <t>RC622</t>
  </si>
  <si>
    <t>JHLRCO/2021/267244</t>
  </si>
  <si>
    <t>9430721023</t>
  </si>
  <si>
    <t>Lupika Gupta</t>
  </si>
  <si>
    <t>RC623</t>
  </si>
  <si>
    <t>JHLRCO/2021/267266</t>
  </si>
  <si>
    <t>7717782262</t>
  </si>
  <si>
    <t>Yash Srivastava</t>
  </si>
  <si>
    <t>RC624</t>
  </si>
  <si>
    <t xml:space="preserve"> JHLRCO/2021/267294</t>
  </si>
  <si>
    <t>Shruti Roy</t>
  </si>
  <si>
    <t>JHLRCO/2021/269613</t>
  </si>
  <si>
    <t>dELIVERED</t>
  </si>
  <si>
    <t>Simran bahaur</t>
  </si>
  <si>
    <t>JHLRCO/2021/269639</t>
  </si>
  <si>
    <t>9939221082</t>
  </si>
  <si>
    <t>Snigdha Singh</t>
  </si>
  <si>
    <t>JHLRCO/2021/270507</t>
  </si>
  <si>
    <t>9798177765</t>
  </si>
  <si>
    <t>Shilpa Kumari</t>
  </si>
  <si>
    <t>JHLRCO/2021/269668</t>
  </si>
  <si>
    <t>7320084002</t>
  </si>
  <si>
    <t>JHLRCO/2021/269755</t>
  </si>
  <si>
    <t>8210168214</t>
  </si>
  <si>
    <t>Rajeev Kumar</t>
  </si>
  <si>
    <t>JHLRCO/2021/269787</t>
  </si>
  <si>
    <t>6209369566</t>
  </si>
  <si>
    <t>Akshat</t>
  </si>
  <si>
    <t>JHLRCO/2021/269823</t>
  </si>
  <si>
    <t>wrong address</t>
  </si>
  <si>
    <t>9934173317</t>
  </si>
  <si>
    <t>Sammi Kumari</t>
  </si>
  <si>
    <t>JHLRCO/2021/269856</t>
  </si>
  <si>
    <t>9122429354</t>
  </si>
  <si>
    <t>Sana Firdous</t>
  </si>
  <si>
    <t>JHLRCO/2021/269885</t>
  </si>
  <si>
    <t>9973661357</t>
  </si>
  <si>
    <t>Prity Kumari</t>
  </si>
  <si>
    <t>JHLRCO/2021/269957</t>
  </si>
  <si>
    <t>JHLRCO/2021/269984</t>
  </si>
  <si>
    <t>9798489461</t>
  </si>
  <si>
    <t>Riya Srivastava</t>
  </si>
  <si>
    <t>JHLRCO/2021/270319</t>
  </si>
  <si>
    <t>Shreya Srivastava</t>
  </si>
  <si>
    <t>JHLRCO/2021/271280</t>
  </si>
  <si>
    <t>6201244918</t>
  </si>
  <si>
    <t>Archana Kumari</t>
  </si>
  <si>
    <t>JHLRCO/2021/270397</t>
  </si>
  <si>
    <t>7979873625</t>
  </si>
  <si>
    <t>Aman Kumar Srivastava</t>
  </si>
  <si>
    <t>JHLRCO/2021/270522</t>
  </si>
  <si>
    <t>9934143317</t>
  </si>
  <si>
    <t>Shivani Gupa</t>
  </si>
  <si>
    <t>JHLRCO/2021/270528</t>
  </si>
  <si>
    <t>9835142060</t>
  </si>
  <si>
    <t>JHLRCO/2021/270547</t>
  </si>
  <si>
    <t>7482097296</t>
  </si>
  <si>
    <t>Navshikha</t>
  </si>
  <si>
    <t>JHRC/2021/260223</t>
  </si>
  <si>
    <t>7488846852</t>
  </si>
  <si>
    <t>Shreyanshu Sekhar Sen</t>
  </si>
  <si>
    <t>JHLRCO/2021/272988</t>
  </si>
  <si>
    <t>8797352979</t>
  </si>
  <si>
    <t>Priya Adhikari</t>
  </si>
  <si>
    <t>JHLRCO/2021/273012</t>
  </si>
  <si>
    <t>Shambhu Ghosh</t>
  </si>
  <si>
    <t>JHLRCO/2021/273207</t>
  </si>
  <si>
    <t>Lalan Tudu</t>
  </si>
  <si>
    <t>JHLRCO/2021/273313</t>
  </si>
  <si>
    <t>9471575512</t>
  </si>
  <si>
    <t>Mohammad Arsh</t>
  </si>
  <si>
    <t>JHLRCO/2021/274542</t>
  </si>
  <si>
    <t xml:space="preserve">wrong entry </t>
  </si>
  <si>
    <t>9835965281</t>
  </si>
  <si>
    <t>Aditi nag</t>
  </si>
  <si>
    <t>JHLRCO/2021/274624</t>
  </si>
  <si>
    <t>8210581828</t>
  </si>
  <si>
    <t>Pradeep Gorai</t>
  </si>
  <si>
    <t>RC647</t>
  </si>
  <si>
    <t>JHLRCO/2021/274770</t>
  </si>
  <si>
    <t>7762844885</t>
  </si>
  <si>
    <t>D SHREYA</t>
  </si>
  <si>
    <t>JHLRCO/2021/275036</t>
  </si>
  <si>
    <t>8092878107</t>
  </si>
  <si>
    <t>Anamika Singh</t>
  </si>
  <si>
    <t>JHLRCO/2021/275088</t>
  </si>
  <si>
    <t>9097021528</t>
  </si>
  <si>
    <t>Nikhil kumar soni</t>
  </si>
  <si>
    <t>JHLRCO/2021/275114</t>
  </si>
  <si>
    <t>9430110829</t>
  </si>
  <si>
    <t>Shreya Singh</t>
  </si>
  <si>
    <t>JHLRCO/2021/275167</t>
  </si>
  <si>
    <t>7209614741</t>
  </si>
  <si>
    <t>JHLRCO/2021/276116</t>
  </si>
  <si>
    <t>9234866692</t>
  </si>
  <si>
    <t>Siddharth Sharma</t>
  </si>
  <si>
    <t>JHLRCO/2021/276512</t>
  </si>
  <si>
    <t>apply in halka 1</t>
  </si>
  <si>
    <t>9576100469</t>
  </si>
  <si>
    <t>Anushka Singh</t>
  </si>
  <si>
    <t>JHLRCO/2021/276914</t>
  </si>
  <si>
    <t>9234637266</t>
  </si>
  <si>
    <t>Raj Nandini</t>
  </si>
  <si>
    <t>JHLRCO/2021/276941</t>
  </si>
  <si>
    <t>Soma Jana</t>
  </si>
  <si>
    <t>JHLRCO/2021/276955</t>
  </si>
  <si>
    <t>Yash Pathak</t>
  </si>
  <si>
    <t>JHLRCO/2021/276968</t>
  </si>
  <si>
    <t>8603196802</t>
  </si>
  <si>
    <t>A Sai Pawan Srinivas</t>
  </si>
  <si>
    <t>JHLRCO/2021/276991</t>
  </si>
  <si>
    <t>rejected due to inproper document</t>
  </si>
  <si>
    <t>JHLRCO/2021/278298</t>
  </si>
  <si>
    <t>Vijaya Gorai</t>
  </si>
  <si>
    <t>JHLRCO/2021/279651</t>
  </si>
  <si>
    <t>Prem Sharma</t>
  </si>
  <si>
    <t>JHLRCO/2021/279697</t>
  </si>
  <si>
    <t>Aaryan Rajbinit kunwar</t>
  </si>
  <si>
    <t>JHLRCO/2021/279809</t>
  </si>
  <si>
    <t>Arijit Ghosh</t>
  </si>
  <si>
    <t>JHLRCO/2021/279840</t>
  </si>
  <si>
    <t>Pinki Gorai</t>
  </si>
  <si>
    <t>JHLRCO/2021/279873</t>
  </si>
  <si>
    <t>9508275328</t>
  </si>
  <si>
    <t>Sweta Sinha</t>
  </si>
  <si>
    <t>JHLRCO/2021/280435</t>
  </si>
  <si>
    <t>9931568405</t>
  </si>
  <si>
    <t>Rohan Kumar</t>
  </si>
  <si>
    <t>RC666</t>
  </si>
  <si>
    <t>JHLRCO/2021/282479</t>
  </si>
  <si>
    <t>7004248631</t>
  </si>
  <si>
    <t>Omkar Mahanta</t>
  </si>
  <si>
    <t>RC667</t>
  </si>
  <si>
    <t>JHLRCO/2021/282536</t>
  </si>
  <si>
    <t>required 1 to 10 certificae</t>
  </si>
  <si>
    <t>RC668</t>
  </si>
  <si>
    <t>JHLRCO/2021/282584</t>
  </si>
  <si>
    <t>9304294981</t>
  </si>
  <si>
    <t>RC669</t>
  </si>
  <si>
    <t>JHLRCO/2021/282626</t>
  </si>
  <si>
    <t>dob not match</t>
  </si>
  <si>
    <t>8987594580</t>
  </si>
  <si>
    <t>Megha Singh</t>
  </si>
  <si>
    <t>JHLRCO/2021/282869</t>
  </si>
  <si>
    <t>7488141172</t>
  </si>
  <si>
    <t>Shakti Nainam Kumar</t>
  </si>
  <si>
    <t>RC671</t>
  </si>
  <si>
    <t>JHLRCO/2021/283388</t>
  </si>
  <si>
    <t>9142816299</t>
  </si>
  <si>
    <t>Veeturi Harsh Bhagan</t>
  </si>
  <si>
    <t>RC672</t>
  </si>
  <si>
    <t xml:space="preserve"> JHLRCO/2021/283540</t>
  </si>
  <si>
    <t>7903690449</t>
  </si>
  <si>
    <t>JHLRCO/2021/283657</t>
  </si>
  <si>
    <t>Harshit Polmersetty</t>
  </si>
  <si>
    <t>kitadih</t>
  </si>
  <si>
    <t>JHLRCO/2021/284110</t>
  </si>
  <si>
    <t>10th marksheet issue</t>
  </si>
  <si>
    <t>Gungun Chakraborty</t>
  </si>
  <si>
    <t>JHLRCO/2021/285090</t>
  </si>
  <si>
    <t>7763887012</t>
  </si>
  <si>
    <t>JHLRCO/2021/288968</t>
  </si>
  <si>
    <t>8789815825</t>
  </si>
  <si>
    <t>eat</t>
  </si>
  <si>
    <t>JHLRCO/2021/285408</t>
  </si>
  <si>
    <t>9304480185</t>
  </si>
  <si>
    <t>Ritu Mukhi</t>
  </si>
  <si>
    <t>RC678</t>
  </si>
  <si>
    <t>harharguttu</t>
  </si>
  <si>
    <t>JHLRCO/2021/287414</t>
  </si>
  <si>
    <t>8709630587</t>
  </si>
  <si>
    <t>Jyotika Sona</t>
  </si>
  <si>
    <t>RC679</t>
  </si>
  <si>
    <t>Prakash Nagar</t>
  </si>
  <si>
    <t>JHLRCO/2021/287918</t>
  </si>
  <si>
    <t>6203922025</t>
  </si>
  <si>
    <t>RC680</t>
  </si>
  <si>
    <t>Birsanagr</t>
  </si>
  <si>
    <t xml:space="preserve">JHLRCO/2021/288065 </t>
  </si>
  <si>
    <t>Mohammed Arsh</t>
  </si>
  <si>
    <t>JHLRCO/2021/289198</t>
  </si>
  <si>
    <t>chandil</t>
  </si>
  <si>
    <t>JHLRCO/2021/294761</t>
  </si>
  <si>
    <t>Shruti Chandra</t>
  </si>
  <si>
    <t>JHLRCO/2021/298085</t>
  </si>
  <si>
    <t>7482024444</t>
  </si>
  <si>
    <t>Sahid Khan</t>
  </si>
  <si>
    <t>RC684</t>
  </si>
  <si>
    <t>JHLRCO/2021/302923</t>
  </si>
  <si>
    <t>JHLRCO/2021/303205</t>
  </si>
  <si>
    <t>8210045356</t>
  </si>
  <si>
    <t>Georgedeep Senapati</t>
  </si>
  <si>
    <t>JHLRCO/2021/303323</t>
  </si>
  <si>
    <t>JHLRCO/2021/317674</t>
  </si>
  <si>
    <t>9470340364</t>
  </si>
  <si>
    <t>Meghna Singh</t>
  </si>
  <si>
    <t>JHLRCO/2021/317710</t>
  </si>
  <si>
    <t>6206852720</t>
  </si>
  <si>
    <t>Muskan Kumari</t>
  </si>
  <si>
    <t>JHLRCO/2021/335903</t>
  </si>
  <si>
    <t>7979049259</t>
  </si>
  <si>
    <t>JHLRCO/2021/348340</t>
  </si>
  <si>
    <t>reapplied with new birth cert</t>
  </si>
  <si>
    <t>9304756178</t>
  </si>
  <si>
    <t>Kritika Putlam</t>
  </si>
  <si>
    <t>RC692</t>
  </si>
  <si>
    <t>JHLRCO/2021/370769</t>
  </si>
  <si>
    <t>9934622679</t>
  </si>
  <si>
    <t>Ashutosh Dubey</t>
  </si>
  <si>
    <t>RC693</t>
  </si>
  <si>
    <t>JHLRCO/2021/370813</t>
  </si>
  <si>
    <t>7277741919</t>
  </si>
  <si>
    <t>Satyam Kumar Singh</t>
  </si>
  <si>
    <t>RC694</t>
  </si>
  <si>
    <t>JHLRCO/2021/370854</t>
  </si>
  <si>
    <t>7488268125</t>
  </si>
  <si>
    <t>Raj Nandani Mukhi</t>
  </si>
  <si>
    <t>RC695</t>
  </si>
  <si>
    <t>JHLRCO/2021/376028</t>
  </si>
  <si>
    <t>JHRC/2021/337636</t>
  </si>
  <si>
    <t>`</t>
  </si>
  <si>
    <t>8252709039</t>
  </si>
  <si>
    <t>R Venkatesh</t>
  </si>
  <si>
    <t>JHLRCO/2021/376914</t>
  </si>
  <si>
    <t>7980219664</t>
  </si>
  <si>
    <t>Mousumi Dutta</t>
  </si>
  <si>
    <t>golpahari</t>
  </si>
  <si>
    <t>JHLRCO/2021/390025</t>
  </si>
  <si>
    <t>JHLRCO/2021/390051</t>
  </si>
  <si>
    <t>JHLRCO/2021/391607</t>
  </si>
  <si>
    <t>8709892580</t>
  </si>
  <si>
    <t>JHLRCO/2021/393942</t>
  </si>
  <si>
    <t>9304882414</t>
  </si>
  <si>
    <t>Aman Kumar Patro</t>
  </si>
  <si>
    <t>JHLRCO/2021/396551</t>
  </si>
  <si>
    <t>vanshawali required</t>
  </si>
  <si>
    <t>9835075602</t>
  </si>
  <si>
    <t>Homa naznin</t>
  </si>
  <si>
    <t>JHLRCO/2021/403343</t>
  </si>
  <si>
    <t>JHLRCO/2021/406180</t>
  </si>
  <si>
    <t>8789603832</t>
  </si>
  <si>
    <t>Deepti Singh</t>
  </si>
  <si>
    <t>RC704</t>
  </si>
  <si>
    <t>JHLRCO/2021/418396</t>
  </si>
  <si>
    <t>RC705</t>
  </si>
  <si>
    <t>JHLRCO/2021/418422</t>
  </si>
  <si>
    <t>JHLRCO/2021/425962</t>
  </si>
  <si>
    <t>Md Asif Ali</t>
  </si>
  <si>
    <t>JHLRCO/2021/430309</t>
  </si>
  <si>
    <t>JHLRCO/2021/435056</t>
  </si>
  <si>
    <t>7541896990</t>
  </si>
  <si>
    <t>Samriddhi Dubey</t>
  </si>
  <si>
    <t>JHLRCO/2021/437002</t>
  </si>
  <si>
    <t>9123173841</t>
  </si>
  <si>
    <t>Raspal Sidhu</t>
  </si>
  <si>
    <t>JHLRCO/2021/444713</t>
  </si>
  <si>
    <t>9955372881</t>
  </si>
  <si>
    <t>Shubham Bhadra</t>
  </si>
  <si>
    <t>RC711</t>
  </si>
  <si>
    <t>JHLRCO/2021/444728</t>
  </si>
  <si>
    <t>JHLRCO/2021/450246</t>
  </si>
  <si>
    <t>9771219893</t>
  </si>
  <si>
    <t>JHLRCO/2021/462089</t>
  </si>
  <si>
    <t>JHLRCO/2021/474178</t>
  </si>
  <si>
    <t>JHLRCO/2021/487743</t>
  </si>
  <si>
    <t>6207158601</t>
  </si>
  <si>
    <t>Sheetal Mukhi</t>
  </si>
  <si>
    <t>JHLRCO/2021/488910</t>
  </si>
  <si>
    <t>7209994300</t>
  </si>
  <si>
    <t>Kumar Shubham</t>
  </si>
  <si>
    <t>JHLRCO/2021/491738</t>
  </si>
  <si>
    <t>JHLRCO/2021/514371</t>
  </si>
  <si>
    <t>7858052407</t>
  </si>
  <si>
    <t>Kushal Giri</t>
  </si>
  <si>
    <t>JHLRCO/2021/514413</t>
  </si>
  <si>
    <t>JHLRCO/2021/514446</t>
  </si>
  <si>
    <t>7050378791</t>
  </si>
  <si>
    <t>Sajan Verma</t>
  </si>
  <si>
    <t>JHLRCO/2021/514460</t>
  </si>
  <si>
    <t>6206903818</t>
  </si>
  <si>
    <t>Rajdeep Singh</t>
  </si>
  <si>
    <t>JHLRCO/2021/520383</t>
  </si>
  <si>
    <t>RC723</t>
  </si>
  <si>
    <t>Chhota</t>
  </si>
  <si>
    <t>JHRC/2021/443801</t>
  </si>
  <si>
    <t>8670694337</t>
  </si>
  <si>
    <t>Kaushik Das</t>
  </si>
  <si>
    <t>RC724</t>
  </si>
  <si>
    <t>JHLRCO/2021/541203</t>
  </si>
  <si>
    <t>79797866528</t>
  </si>
  <si>
    <t>RC725</t>
  </si>
  <si>
    <t>Barigora</t>
  </si>
  <si>
    <t>JHLRCO/2021/541233</t>
  </si>
  <si>
    <t>7970979595</t>
  </si>
  <si>
    <t>Md Mosaib  Zaman</t>
  </si>
  <si>
    <t>RC752</t>
  </si>
  <si>
    <t>JHLRCO/2021/554018</t>
  </si>
  <si>
    <t>7004661604</t>
  </si>
  <si>
    <t>JHLRCO/2021/579686</t>
  </si>
  <si>
    <t>7301067290</t>
  </si>
  <si>
    <t>Amna Bibi</t>
  </si>
  <si>
    <t>JHLRCO/2021/583809</t>
  </si>
  <si>
    <t>9308625915</t>
  </si>
  <si>
    <t>RC728</t>
  </si>
  <si>
    <t>JHLRCO/2021/585902</t>
  </si>
  <si>
    <t>Rohit Kumar mishra</t>
  </si>
  <si>
    <t>JHLRCO/2021/588148</t>
  </si>
  <si>
    <t>7762938839</t>
  </si>
  <si>
    <t>JHLRCO/2021/590184</t>
  </si>
  <si>
    <t>8252606838</t>
  </si>
  <si>
    <t>Raunak Naaz</t>
  </si>
  <si>
    <t>JHLRCO/2021/602001</t>
  </si>
  <si>
    <t>Nandani Singh</t>
  </si>
  <si>
    <t>JHRC/2021/491297</t>
  </si>
  <si>
    <t>H No 150, Sabri Chok, Barinagar, Telco</t>
  </si>
  <si>
    <t>8789916019</t>
  </si>
  <si>
    <t>JHLRCO/2021/613113</t>
  </si>
  <si>
    <t>8210007972</t>
  </si>
  <si>
    <t>Khushi Singh</t>
  </si>
  <si>
    <t>laxmi nagar</t>
  </si>
  <si>
    <t>JHLRCO/2021/623402</t>
  </si>
  <si>
    <t>7979887667</t>
  </si>
  <si>
    <t>Astha</t>
  </si>
  <si>
    <t>RC734</t>
  </si>
  <si>
    <t>East</t>
  </si>
  <si>
    <t>JHLRCO/2021/633264</t>
  </si>
  <si>
    <t>7739334335</t>
  </si>
  <si>
    <t>JHLRCO/2021/647032</t>
  </si>
  <si>
    <t>JHLRCO/2021/657929</t>
  </si>
  <si>
    <t>7033298240</t>
  </si>
  <si>
    <t>Spandan Dutta</t>
  </si>
  <si>
    <t>JHLRCO/2021/657939</t>
  </si>
  <si>
    <t>7061162900</t>
  </si>
  <si>
    <t>JHLRCO/2021/662318</t>
  </si>
  <si>
    <t>8102554200</t>
  </si>
  <si>
    <t>Shervin Asher Joseph</t>
  </si>
  <si>
    <t>zone2</t>
  </si>
  <si>
    <t>JHLRCO/2021/664064</t>
  </si>
  <si>
    <t>9534095344</t>
  </si>
  <si>
    <t>Shoibashis Saha</t>
  </si>
  <si>
    <t>JHLRCO/2021/664072</t>
  </si>
  <si>
    <t>Rishav Raj</t>
  </si>
  <si>
    <t>JHLRCO/2021/675614</t>
  </si>
  <si>
    <t>9835933076</t>
  </si>
  <si>
    <t>Md Tabish Hayat</t>
  </si>
  <si>
    <t>JHLRCO/2021/677512</t>
  </si>
  <si>
    <t>JHLRCO/2021/677560</t>
  </si>
  <si>
    <t>9931746828</t>
  </si>
  <si>
    <t>Angoori Naaz</t>
  </si>
  <si>
    <t>JHLRCO/2021/680802</t>
  </si>
  <si>
    <t>JHLRCO/2021/680809</t>
  </si>
  <si>
    <t>JHLRCO/2021/686019</t>
  </si>
  <si>
    <t>8797467889</t>
  </si>
  <si>
    <t>S Kameshwaram</t>
  </si>
  <si>
    <t>JHLRCO/2022/00716</t>
  </si>
  <si>
    <t>6201698769</t>
  </si>
  <si>
    <t>JHLRCO/2022/00730</t>
  </si>
  <si>
    <t>7761815658</t>
  </si>
  <si>
    <t>Md Shahnawaz Hussain</t>
  </si>
  <si>
    <t>JHLRCO/2022/03577</t>
  </si>
  <si>
    <t>birth out of jh</t>
  </si>
  <si>
    <t>JHLRCO/2022/03600</t>
  </si>
  <si>
    <t>6206550719</t>
  </si>
  <si>
    <t>Amir Hamza</t>
  </si>
  <si>
    <t>JHLRCO/2022/09338</t>
  </si>
  <si>
    <t>8092814255</t>
  </si>
  <si>
    <t>JHLRCO/2022/11799</t>
  </si>
  <si>
    <t>JHLRCO/2022/17218</t>
  </si>
  <si>
    <t>need to show original birth</t>
  </si>
  <si>
    <t>JHLRCO/2022/22359</t>
  </si>
  <si>
    <t>JHLRCO/2022/22367</t>
  </si>
  <si>
    <t>JHLRCO/2022/22373</t>
  </si>
  <si>
    <t>chakulaia</t>
  </si>
  <si>
    <t>JHLRCO/2022/25157</t>
  </si>
  <si>
    <t>JHLRCO/2022/25210</t>
  </si>
  <si>
    <t>9905555736</t>
  </si>
  <si>
    <t>JHLRCO/2022/31444</t>
  </si>
  <si>
    <t>7360940943</t>
  </si>
  <si>
    <t>Arti Patro</t>
  </si>
  <si>
    <t>JHLRCO/2022/32693</t>
  </si>
  <si>
    <t>8002873701</t>
  </si>
  <si>
    <t>JHLRCO/2022/39572</t>
  </si>
  <si>
    <t>7367973061</t>
  </si>
  <si>
    <t>Champa Hembram</t>
  </si>
  <si>
    <t>JHLRCO/2022/47251</t>
  </si>
  <si>
    <t>7979800421</t>
  </si>
  <si>
    <t>Subham Kumar Vishawkarma</t>
  </si>
  <si>
    <t>JHLRCO/2022/48276</t>
  </si>
  <si>
    <t>Divya Kumari</t>
  </si>
  <si>
    <t>JHLRCO/2022/48383</t>
  </si>
  <si>
    <t>9031978307</t>
  </si>
  <si>
    <t>Akriti Kumari</t>
  </si>
  <si>
    <t>colonry</t>
  </si>
  <si>
    <t>JHLRCO/2022/55654</t>
  </si>
  <si>
    <t>8340230632</t>
  </si>
  <si>
    <t>Mahrush Rezwan</t>
  </si>
  <si>
    <t>JHLRCO/2022/57587</t>
  </si>
  <si>
    <t>9304172388</t>
  </si>
  <si>
    <t>Swati Kumari</t>
  </si>
  <si>
    <t>JHRC/2022/61506</t>
  </si>
  <si>
    <t>JHLRCO/2022/70174</t>
  </si>
  <si>
    <t>wrong halka</t>
  </si>
  <si>
    <t>JHLRCO/2022/70216</t>
  </si>
  <si>
    <t>9334841373</t>
  </si>
  <si>
    <t>Sourav Chaudhury</t>
  </si>
  <si>
    <t>JHLRCO/2022/75069</t>
  </si>
  <si>
    <t>JHLRCO/2022/77434</t>
  </si>
  <si>
    <t>JHLRCO/2022/77454</t>
  </si>
  <si>
    <t>JHLRCO/2022/77459</t>
  </si>
  <si>
    <t>9123175328</t>
  </si>
  <si>
    <t>Basundhaa Kumari</t>
  </si>
  <si>
    <t>JHLRCO/2022/78319</t>
  </si>
  <si>
    <t>JHLRCO/2022/78413</t>
  </si>
  <si>
    <t>8709982749</t>
  </si>
  <si>
    <t>Reshav Kumar</t>
  </si>
  <si>
    <t>JHLRCO/2022/108235</t>
  </si>
  <si>
    <t>JHLRCO/2022/108334</t>
  </si>
  <si>
    <t>9835309181</t>
  </si>
  <si>
    <t>Vivek Kumar Singh</t>
  </si>
  <si>
    <t>JHLRCO/2022/112329</t>
  </si>
  <si>
    <t>khairbani</t>
  </si>
  <si>
    <t>JHLRCO/2022/113190</t>
  </si>
  <si>
    <t>applicant edu proof</t>
  </si>
  <si>
    <t>9653015713</t>
  </si>
  <si>
    <t>6206630943</t>
  </si>
  <si>
    <t>Satyam kumar</t>
  </si>
  <si>
    <t>zone9</t>
  </si>
  <si>
    <t>JHLRCO/2022/115094</t>
  </si>
  <si>
    <t>Ashish Kumar Upadhyay</t>
  </si>
  <si>
    <t>JHLRCO/2021/248278</t>
  </si>
  <si>
    <t>7004865958</t>
  </si>
  <si>
    <t>JHLRCO/2022/122828</t>
  </si>
  <si>
    <t>JHLRCO/2022/134954</t>
  </si>
  <si>
    <t>8340776942</t>
  </si>
  <si>
    <t>JHLRCO/2022/136434</t>
  </si>
  <si>
    <t>8210406021</t>
  </si>
  <si>
    <t>Sudhanshu Narayan Pandey</t>
  </si>
  <si>
    <t>JHLRCO/2022/140336</t>
  </si>
  <si>
    <t>8252196153</t>
  </si>
  <si>
    <t>JHLRCO/2022/140362</t>
  </si>
  <si>
    <t>9508456826</t>
  </si>
  <si>
    <t>Sadar Khatoon</t>
  </si>
  <si>
    <t>JHLRCO/2022/140393</t>
  </si>
  <si>
    <t>9113363016</t>
  </si>
  <si>
    <t>JHLRCO/2022/154402</t>
  </si>
  <si>
    <t>Laxm Sundi</t>
  </si>
  <si>
    <t>JHLRCO/2022/154512</t>
  </si>
  <si>
    <t>8092334316</t>
  </si>
  <si>
    <t>Bishal Kumar</t>
  </si>
  <si>
    <t>JHLRCO/2022/162158</t>
  </si>
  <si>
    <t>9304822269</t>
  </si>
  <si>
    <t>Nitish chandra mahto</t>
  </si>
  <si>
    <t>JHLRCO/2022/163072</t>
  </si>
  <si>
    <t>8340348725</t>
  </si>
  <si>
    <t>Shashi Kant Mahato</t>
  </si>
  <si>
    <t>JHLRCO/2022/163172</t>
  </si>
  <si>
    <t>Suranjeet Kumar Singh</t>
  </si>
  <si>
    <t>COLONY</t>
  </si>
  <si>
    <t>JHLRCO/2022/166745</t>
  </si>
  <si>
    <t>Subham Karmakar</t>
  </si>
  <si>
    <t>JHLRCO/2022/175205</t>
  </si>
  <si>
    <t>Lakshmi Sidhu</t>
  </si>
  <si>
    <t>JHLRCO/2022/175291</t>
  </si>
  <si>
    <t>JHLRCO/2022/176390</t>
  </si>
  <si>
    <t>JHLRCO/2022/192676</t>
  </si>
  <si>
    <t>6206854752</t>
  </si>
  <si>
    <t>Deepali</t>
  </si>
  <si>
    <t>itagarh</t>
  </si>
  <si>
    <t>JHLRCO/2022/192772</t>
  </si>
  <si>
    <t>Faizyab Hussain</t>
  </si>
  <si>
    <t>JHLRCO/2022/198232</t>
  </si>
  <si>
    <t>7004452025</t>
  </si>
  <si>
    <t>Shriya Dogra</t>
  </si>
  <si>
    <t>JHLRCO/2022/198248</t>
  </si>
  <si>
    <t>9693911058</t>
  </si>
  <si>
    <t>Rahul Kumar Sah</t>
  </si>
  <si>
    <t>chhotagovind</t>
  </si>
  <si>
    <t>JHLRCO/2022/198266</t>
  </si>
  <si>
    <t>6203190392</t>
  </si>
  <si>
    <t>Chandan Singh</t>
  </si>
  <si>
    <t>Hitku</t>
  </si>
  <si>
    <t>JHLRCO/2022/199135</t>
  </si>
  <si>
    <t>9916625095</t>
  </si>
  <si>
    <t>Adarsh Ranjan</t>
  </si>
  <si>
    <t>JHLRCO/2022/200479</t>
  </si>
  <si>
    <t>9798446239</t>
  </si>
  <si>
    <t>Minu Lohar</t>
  </si>
  <si>
    <t>JHLRCO/2022/200549</t>
  </si>
  <si>
    <t>Isha Singh</t>
  </si>
  <si>
    <t>adityapur</t>
  </si>
  <si>
    <t>JHLRCO/2022/200704</t>
  </si>
  <si>
    <t>7507362978</t>
  </si>
  <si>
    <t>Akash nanda</t>
  </si>
  <si>
    <t>JHLRCO/2022/200849</t>
  </si>
  <si>
    <t>8292019856</t>
  </si>
  <si>
    <t>Arbaz Ahmad</t>
  </si>
  <si>
    <t>JHLRCO/2022/201842</t>
  </si>
  <si>
    <t>8608519621</t>
  </si>
  <si>
    <t>Mobile</t>
  </si>
  <si>
    <t>Shreyansh Chakraborty</t>
  </si>
  <si>
    <t>JHBC/2017/64587</t>
  </si>
  <si>
    <t>25/02/2018</t>
  </si>
  <si>
    <t>JHBC/2018/16544</t>
  </si>
  <si>
    <t>kavita Kumari</t>
  </si>
  <si>
    <t>JHBC/2018/16750</t>
  </si>
  <si>
    <t>Aniruddh Raj</t>
  </si>
  <si>
    <t>JHBC/2018/28521</t>
  </si>
  <si>
    <t>JHBC/2018/30152</t>
  </si>
  <si>
    <t>JHBC/2018/46787</t>
  </si>
  <si>
    <t>JHBC/2018/55858</t>
  </si>
  <si>
    <t>JHBC/2018/59365</t>
  </si>
  <si>
    <t>Tamanna Kumari</t>
  </si>
  <si>
    <t>JHBC/2018/65386</t>
  </si>
  <si>
    <t>Vighnesh Kumar</t>
  </si>
  <si>
    <t>JHBC/2018/65398</t>
  </si>
  <si>
    <t>Girisha Mahato</t>
  </si>
  <si>
    <t>JHBC/2018/68743</t>
  </si>
  <si>
    <t>Md Asif jamal</t>
  </si>
  <si>
    <t>JHBC/2018/72450</t>
  </si>
  <si>
    <t>JHBC/2018/75843</t>
  </si>
  <si>
    <t>Mohammad Zaid Ansari</t>
  </si>
  <si>
    <t>JHBC/2019/45810</t>
  </si>
  <si>
    <t>Muhammad Akmal</t>
  </si>
  <si>
    <t>JHBC/2019/45808</t>
  </si>
  <si>
    <t>JHBC/2019/62041</t>
  </si>
  <si>
    <t>JHBC/2020/01485</t>
  </si>
  <si>
    <t>Phulmani Hansda</t>
  </si>
  <si>
    <t>JHBC/2020/19698</t>
  </si>
  <si>
    <t>Purnima Tudu</t>
  </si>
  <si>
    <t>JHBC/2020/19706</t>
  </si>
  <si>
    <t>Mahwish Anjum</t>
  </si>
  <si>
    <t>JHBC/2020/23231</t>
  </si>
  <si>
    <t>ghagidhi</t>
  </si>
  <si>
    <t>Rani Biruli</t>
  </si>
  <si>
    <t>JHBC/2020/28151</t>
  </si>
  <si>
    <t>Khushi Lohar</t>
  </si>
  <si>
    <t>JHBC/2020/28150</t>
  </si>
  <si>
    <t>Roshan Biruli</t>
  </si>
  <si>
    <t>JHBC/2020/28152</t>
  </si>
  <si>
    <t>Shristi Lohar</t>
  </si>
  <si>
    <t>JHBC/2020/28154</t>
  </si>
  <si>
    <t>Tanweer Hussain</t>
  </si>
  <si>
    <t>JHBC/2020/30009</t>
  </si>
  <si>
    <t>Sanobar Saba</t>
  </si>
  <si>
    <t>JHBC/2020/30127</t>
  </si>
  <si>
    <t>att primry edu proof</t>
  </si>
  <si>
    <t>NazIr Hussain</t>
  </si>
  <si>
    <t>JHBC/2020/30128</t>
  </si>
  <si>
    <t>SANJANA SHREE</t>
  </si>
  <si>
    <t>JHBC/2020/32282</t>
  </si>
  <si>
    <t>ABIDA SULTANA</t>
  </si>
  <si>
    <t>JHBC/2020/33419</t>
  </si>
  <si>
    <t>Krishna Das</t>
  </si>
  <si>
    <t>JHBC/2020/35353</t>
  </si>
  <si>
    <t>Sanni Das</t>
  </si>
  <si>
    <t>JHBC/2020_35353</t>
  </si>
  <si>
    <t>Mohammad Shadab Ali</t>
  </si>
  <si>
    <t>JHBC/2020/40048</t>
  </si>
  <si>
    <t>Razia Parween</t>
  </si>
  <si>
    <t>JHBC/2020/40052</t>
  </si>
  <si>
    <t>18-08-202</t>
  </si>
  <si>
    <t>Afzal Akhter</t>
  </si>
  <si>
    <t>JHBC/2020/38283</t>
  </si>
  <si>
    <t>JHBC/2020/40029</t>
  </si>
  <si>
    <t>Bekam Birua</t>
  </si>
  <si>
    <t>JHBC/2020/40454</t>
  </si>
  <si>
    <t>ghaghidih</t>
  </si>
  <si>
    <t>Bira Jonko</t>
  </si>
  <si>
    <t>JHBC/2020/40458</t>
  </si>
  <si>
    <t>primary education</t>
  </si>
  <si>
    <t>Sunny Kumar Rahelu</t>
  </si>
  <si>
    <t>JHBC/2020/41684</t>
  </si>
  <si>
    <t>DOD</t>
  </si>
  <si>
    <t>DC001</t>
  </si>
  <si>
    <t>JHDC/2018/04555</t>
  </si>
  <si>
    <t>Basudeo Prasad</t>
  </si>
  <si>
    <t>DC002</t>
  </si>
  <si>
    <t>JHDC/2018/12603</t>
  </si>
  <si>
    <t>Geeta Pathak</t>
  </si>
  <si>
    <t>JHDC/2018/16196</t>
  </si>
  <si>
    <t>Chinta Devi</t>
  </si>
  <si>
    <t>JHDC/2018/16754</t>
  </si>
  <si>
    <t>Akhtary Begum</t>
  </si>
  <si>
    <t>JHDC/2018/17762</t>
  </si>
  <si>
    <t>Lal babu Gosai</t>
  </si>
  <si>
    <t>JHDC/2018/19080</t>
  </si>
  <si>
    <t>Dijopado Gorai</t>
  </si>
  <si>
    <t>JHDC/2018/20199</t>
  </si>
  <si>
    <t>Bharti Roy karmakar</t>
  </si>
  <si>
    <t>JHDC/2018/22053</t>
  </si>
  <si>
    <t>Devesh Kumar Dey</t>
  </si>
  <si>
    <t>JHDC/2018/23969</t>
  </si>
  <si>
    <t>Santosh Singh</t>
  </si>
  <si>
    <t>JHDC/2018/25748</t>
  </si>
  <si>
    <t>Rajapati Devi</t>
  </si>
  <si>
    <t>JHDC/2018/31343</t>
  </si>
  <si>
    <t>Mithila Devi</t>
  </si>
  <si>
    <t>JHDC/2018/31948</t>
  </si>
  <si>
    <t>Harpreet kaur</t>
  </si>
  <si>
    <t>JHDC/2018/31966</t>
  </si>
  <si>
    <t>Mohammad Abdullah</t>
  </si>
  <si>
    <t>JHDC/2018/32104</t>
  </si>
  <si>
    <t>Sonamati Devi</t>
  </si>
  <si>
    <t>JHDC/2018/34496</t>
  </si>
  <si>
    <t>Ummatul Rasul</t>
  </si>
  <si>
    <t>JHDC/2018/38352</t>
  </si>
  <si>
    <t>Rama Sen Gupta</t>
  </si>
  <si>
    <t>JHDC/2018/38455</t>
  </si>
  <si>
    <t>ratan agrawal</t>
  </si>
  <si>
    <t>Gita Devi</t>
  </si>
  <si>
    <t>JHDC/2018/39726</t>
  </si>
  <si>
    <t>Ranjit Kaur</t>
  </si>
  <si>
    <t>DC019</t>
  </si>
  <si>
    <t>JHDC/2018/40976</t>
  </si>
  <si>
    <t>Pragati Tripathy</t>
  </si>
  <si>
    <t>DC020</t>
  </si>
  <si>
    <t>JHDC/2018/44010</t>
  </si>
  <si>
    <t>Nawab Ali Akhtar</t>
  </si>
  <si>
    <t>DC021</t>
  </si>
  <si>
    <t>JHDC/2018/44104</t>
  </si>
  <si>
    <t>Vijay Soren</t>
  </si>
  <si>
    <t>DC022</t>
  </si>
  <si>
    <t> JHDC/2018/44770</t>
  </si>
  <si>
    <t>Rabindra Nath Tiwary</t>
  </si>
  <si>
    <t>DC023</t>
  </si>
  <si>
    <t>JHDC/2018/46396</t>
  </si>
  <si>
    <t>Mehrun Nisha</t>
  </si>
  <si>
    <t>DC024</t>
  </si>
  <si>
    <t>JHDC/2018/50903</t>
  </si>
  <si>
    <t>Anil Gorai</t>
  </si>
  <si>
    <t>DC025</t>
  </si>
  <si>
    <t>JHDC/2018/51127</t>
  </si>
  <si>
    <t>Sheo Kumar Lall</t>
  </si>
  <si>
    <t>DC026</t>
  </si>
  <si>
    <t>JHDC/2019/33521</t>
  </si>
  <si>
    <t>Kedar Prasad Lall</t>
  </si>
  <si>
    <t>DC027</t>
  </si>
  <si>
    <t>JHDC/2019/33522</t>
  </si>
  <si>
    <t>DC028</t>
  </si>
  <si>
    <t>JHDC/2019/33742</t>
  </si>
  <si>
    <t>Mahendra Singh</t>
  </si>
  <si>
    <t>DC029</t>
  </si>
  <si>
    <t>JHDC/2019/36135</t>
  </si>
  <si>
    <t>Pelasur Adinarayan Prabhakar</t>
  </si>
  <si>
    <t>DC030</t>
  </si>
  <si>
    <t>east ghora</t>
  </si>
  <si>
    <t>JHDC/2020/00735</t>
  </si>
  <si>
    <t>RAM ASHISH SINGH</t>
  </si>
  <si>
    <t>DC031</t>
  </si>
  <si>
    <t>JHDC/2020/00737</t>
  </si>
  <si>
    <t>bdo</t>
  </si>
  <si>
    <t>Dharam Singh</t>
  </si>
  <si>
    <t>DC032</t>
  </si>
  <si>
    <t>west ghora</t>
  </si>
  <si>
    <t>JHDC/2020/00741</t>
  </si>
  <si>
    <t>Subhash Goyal</t>
  </si>
  <si>
    <t>DC033</t>
  </si>
  <si>
    <t>JHDC/2020/03195</t>
  </si>
  <si>
    <t>Md Fakruddin</t>
  </si>
  <si>
    <t>DC034</t>
  </si>
  <si>
    <t>north ghora</t>
  </si>
  <si>
    <t>JHDC/2020/04609</t>
  </si>
  <si>
    <t>By sachiv</t>
  </si>
  <si>
    <t>Madan Pandey</t>
  </si>
  <si>
    <t>DC035</t>
  </si>
  <si>
    <t>JHDC/2020/06825</t>
  </si>
  <si>
    <t>Riekdeo Prasad</t>
  </si>
  <si>
    <t>JHDC/2020/07023</t>
  </si>
  <si>
    <t>Nesha Begum</t>
  </si>
  <si>
    <t>Manjit Kaur</t>
  </si>
  <si>
    <t>JHDC/2020/07498</t>
  </si>
  <si>
    <t>JHDC/2020/08040</t>
  </si>
  <si>
    <t>200 Paid 09/03</t>
  </si>
  <si>
    <t>Nisha Begum</t>
  </si>
  <si>
    <t>JHDC/2020/08851</t>
  </si>
  <si>
    <t>deilvered</t>
  </si>
  <si>
    <t>JHDC/2020/08854</t>
  </si>
  <si>
    <t>JHDC/2020/09111</t>
  </si>
  <si>
    <t>Ram Bhachan Das</t>
  </si>
  <si>
    <t>JHDC/2020/09113</t>
  </si>
  <si>
    <t>Md Yunus</t>
  </si>
  <si>
    <t>JHDC/2020/10929</t>
  </si>
  <si>
    <t>Mono Bhumij</t>
  </si>
  <si>
    <t>JHDC/2020/11866</t>
  </si>
  <si>
    <t>Jano Purty</t>
  </si>
  <si>
    <t>JHDC/2020/11867</t>
  </si>
  <si>
    <t>Md Afzal</t>
  </si>
  <si>
    <t>JHDC/2020/12721</t>
  </si>
  <si>
    <t>Sahdev Lohar</t>
  </si>
  <si>
    <t>JHDC/2020/13172</t>
  </si>
  <si>
    <t>Shankar Gorai</t>
  </si>
  <si>
    <t>JHDC/2020/14033</t>
  </si>
  <si>
    <t>munna</t>
  </si>
  <si>
    <t>Rahat Perween</t>
  </si>
  <si>
    <t>JHDC/2020/14340</t>
  </si>
  <si>
    <t>JHDC/2020/14369</t>
  </si>
  <si>
    <t>Basanti Chakraborty</t>
  </si>
  <si>
    <t>Radhikanagar</t>
  </si>
  <si>
    <t>JHDC/2020/14710</t>
  </si>
  <si>
    <t>Prativa Rani Raha</t>
  </si>
  <si>
    <t>JHDC/2020/14968</t>
  </si>
  <si>
    <t>Anup Kumar Sinha</t>
  </si>
  <si>
    <t>JHDC/2020/15763</t>
  </si>
  <si>
    <t>Shashi Kumari</t>
  </si>
  <si>
    <t>chota govind</t>
  </si>
  <si>
    <t>JHDC/2020/15911</t>
  </si>
  <si>
    <t>V Saraswati nathan</t>
  </si>
  <si>
    <t>JHDC/2020/16818</t>
  </si>
  <si>
    <t>Prem Singh</t>
  </si>
  <si>
    <t>JHDC/2020/17175</t>
  </si>
  <si>
    <t>Sudha Mahato</t>
  </si>
  <si>
    <t>JHDC/2020/18006</t>
  </si>
  <si>
    <t>Ram Purty</t>
  </si>
  <si>
    <t>JHDC/2020/18023</t>
  </si>
  <si>
    <t>Dilip Bhumij</t>
  </si>
  <si>
    <t>JHDC/2020/18026</t>
  </si>
  <si>
    <t>Simhadri</t>
  </si>
  <si>
    <t>vivek vihar</t>
  </si>
  <si>
    <t>JHDC/2020/19853</t>
  </si>
  <si>
    <t>Mushtaque Alam</t>
  </si>
  <si>
    <t>JHDC/2020/19870</t>
  </si>
  <si>
    <t>Mohammad Kaleem Akhtar</t>
  </si>
  <si>
    <t>JHDC/2020/21688</t>
  </si>
  <si>
    <t>Rehana Khatoon</t>
  </si>
  <si>
    <t>JHDC/2020/22022</t>
  </si>
  <si>
    <t>Majnu sardar</t>
  </si>
  <si>
    <t>JHDC/2020/22019</t>
  </si>
  <si>
    <t>JHDC/2020/22696</t>
  </si>
  <si>
    <t>Md Azad Ali</t>
  </si>
  <si>
    <t>JHDC/2020/23215</t>
  </si>
  <si>
    <t>Yusuf Sharif</t>
  </si>
  <si>
    <t>JHDC/2020/23579</t>
  </si>
  <si>
    <t>Johara Khatun</t>
  </si>
  <si>
    <t>JHDC/2020/23613</t>
  </si>
  <si>
    <t>error in dod</t>
  </si>
  <si>
    <t>Saira Begum</t>
  </si>
  <si>
    <t>JHDC/2020/23682</t>
  </si>
  <si>
    <t>Raghunandan Sharma</t>
  </si>
  <si>
    <t>kartik</t>
  </si>
  <si>
    <t>JHDC/2020/23742</t>
  </si>
  <si>
    <t>Sunil Kumar Giri</t>
  </si>
  <si>
    <t>Talemun Nisha</t>
  </si>
  <si>
    <t>direct</t>
  </si>
  <si>
    <t>9234622737</t>
  </si>
  <si>
    <t>JHEWS/2019/00148</t>
  </si>
  <si>
    <t>JHEWS/2019/00381</t>
  </si>
  <si>
    <t>JHEWS/2019/00418</t>
  </si>
  <si>
    <t>7488160466</t>
  </si>
  <si>
    <t>JHEWS/2019/00661</t>
  </si>
  <si>
    <t>JHEWS/2019/00791</t>
  </si>
  <si>
    <t>JHEWS/2019/00792</t>
  </si>
  <si>
    <t>JHEWS/2019/01236</t>
  </si>
  <si>
    <t>JHEWS/2019/01279</t>
  </si>
  <si>
    <t>JHEWS/2019/02509</t>
  </si>
  <si>
    <t>6201160267</t>
  </si>
  <si>
    <t>JHEWS/2019/03211</t>
  </si>
  <si>
    <t>JHEWS/2019/10645</t>
  </si>
  <si>
    <t>JHEWS/2020/00128</t>
  </si>
  <si>
    <t>JHEWS/2020/02166</t>
  </si>
  <si>
    <t>Manas Kumar Singh</t>
  </si>
  <si>
    <t>JHEWS/2020/03090</t>
  </si>
  <si>
    <t>8178221097</t>
  </si>
  <si>
    <t>JHEWS/2020/05763</t>
  </si>
  <si>
    <t>JHEWS/2020/06257</t>
  </si>
  <si>
    <t>JHEWS/2020/06265</t>
  </si>
  <si>
    <t>JHEWS/2020/06701</t>
  </si>
  <si>
    <t>JHEWS/2020/06829</t>
  </si>
  <si>
    <t>JHEWS/2020/07942</t>
  </si>
  <si>
    <t>JHEWS/2020/07944</t>
  </si>
  <si>
    <t>JHEWS/2020/08640</t>
  </si>
  <si>
    <t>JHEWS/2020/08642</t>
  </si>
  <si>
    <t>JHEWS/2020/08723</t>
  </si>
  <si>
    <t>JHEWS/2020/08843</t>
  </si>
  <si>
    <t>Abhishek Prasad</t>
  </si>
  <si>
    <t>JHEWS/2020/08877</t>
  </si>
  <si>
    <t> JHEWS/2020/08910</t>
  </si>
  <si>
    <t>JHEWS/2020/09069</t>
  </si>
  <si>
    <t>JHEWS/2020/09126</t>
  </si>
  <si>
    <t>JHEWS/2020/09545</t>
  </si>
  <si>
    <t>Dipos Kumar Roy</t>
  </si>
  <si>
    <t>JHEWS/2020/09750</t>
  </si>
  <si>
    <t>Debrati Pal</t>
  </si>
  <si>
    <t>JHEWS/2020/10752</t>
  </si>
  <si>
    <t>Alok Kumar</t>
  </si>
  <si>
    <t>JHEWS/2020/11823</t>
  </si>
  <si>
    <t>JHEWS/2020/12184</t>
  </si>
  <si>
    <t>JHEWS/2020/12504</t>
  </si>
  <si>
    <t>JHEWS/2020/12601</t>
  </si>
  <si>
    <t>T Adarsha</t>
  </si>
  <si>
    <t>JHEWS/2020/12937</t>
  </si>
  <si>
    <t>JHEWS/2020/13043</t>
  </si>
  <si>
    <t>JHEWS/2020/13044</t>
  </si>
  <si>
    <t>8210337157</t>
  </si>
  <si>
    <t>SHASHWAT MISHRA</t>
  </si>
  <si>
    <t>JHEWS/2021/00383</t>
  </si>
  <si>
    <t>JHEWS/2021/02636</t>
  </si>
  <si>
    <t>EW040</t>
  </si>
  <si>
    <t>JHEWS/2021/04498</t>
  </si>
  <si>
    <t>9508834072</t>
  </si>
  <si>
    <t>Shashi Bhushan Pathak</t>
  </si>
  <si>
    <t>EW041</t>
  </si>
  <si>
    <t>JHEWS/2021/07181</t>
  </si>
  <si>
    <t>8757448006</t>
  </si>
  <si>
    <t>EW042</t>
  </si>
  <si>
    <t>JHEWS/2021/08306</t>
  </si>
  <si>
    <t>JHEWS/2021/08839</t>
  </si>
  <si>
    <t>JHEWS/2021/09665</t>
  </si>
  <si>
    <t>Shashwat Mishra</t>
  </si>
  <si>
    <t>EW045</t>
  </si>
  <si>
    <t>JHEWS/2021/09701</t>
  </si>
  <si>
    <t>EW046</t>
  </si>
  <si>
    <t>JHEWS/2021/09734</t>
  </si>
  <si>
    <t>JHEWSH/2021/01543</t>
  </si>
  <si>
    <t>EW047</t>
  </si>
  <si>
    <t>JHEWS/2021/10717</t>
  </si>
  <si>
    <t>8092876763</t>
  </si>
  <si>
    <t>EW048</t>
  </si>
  <si>
    <t>JHEWS/2021/11153</t>
  </si>
  <si>
    <t>Aditi Singh</t>
  </si>
  <si>
    <t>EW049</t>
  </si>
  <si>
    <t>JHEWS/2021/11932</t>
  </si>
  <si>
    <t>EW050</t>
  </si>
  <si>
    <t>JHEWS/2021/11984</t>
  </si>
  <si>
    <t>EW051</t>
  </si>
  <si>
    <t>JHEWS/2021/12184</t>
  </si>
  <si>
    <t>9608244726</t>
  </si>
  <si>
    <t>EW052</t>
  </si>
  <si>
    <t>JHEWS/2021/12292</t>
  </si>
  <si>
    <t>EW053</t>
  </si>
  <si>
    <t>EW054</t>
  </si>
  <si>
    <t>JHEWS/2021/13275</t>
  </si>
  <si>
    <t>8877224772</t>
  </si>
  <si>
    <t>Gopi kumar mishra</t>
  </si>
  <si>
    <t>JHEWS/2021/13593</t>
  </si>
  <si>
    <t>8789773883</t>
  </si>
  <si>
    <t>Goutam Kumar Mishra</t>
  </si>
  <si>
    <t>JHEWS/2021/13595</t>
  </si>
  <si>
    <t>JHEWS/2021/13735</t>
  </si>
  <si>
    <t>8252546500</t>
  </si>
  <si>
    <t>EW058</t>
  </si>
  <si>
    <t>JHEWS/2021/14337</t>
  </si>
  <si>
    <t>P</t>
  </si>
  <si>
    <t>EW059</t>
  </si>
  <si>
    <t>JHEWS/2021/14567</t>
  </si>
  <si>
    <t>EW060</t>
  </si>
  <si>
    <t>JHEWS/2021/14959</t>
  </si>
  <si>
    <t>JHEWS/2021/14960</t>
  </si>
  <si>
    <t>Rahul Barua</t>
  </si>
  <si>
    <t>JHEWS/2021/15330</t>
  </si>
  <si>
    <t>LRC expired</t>
  </si>
  <si>
    <t>JHEWS/2021/15454</t>
  </si>
  <si>
    <t>JHEWS/2021/15519</t>
  </si>
  <si>
    <t>9110057519</t>
  </si>
  <si>
    <t>Ishika Dey</t>
  </si>
  <si>
    <t>JHEWSH/2021/02227</t>
  </si>
  <si>
    <t>7004910010</t>
  </si>
  <si>
    <t>JHEWS/2021/15957</t>
  </si>
  <si>
    <t>JHEWSH/2021/02364</t>
  </si>
  <si>
    <t>Rahul Gachhayat</t>
  </si>
  <si>
    <t>JHEWS/2021/17110</t>
  </si>
  <si>
    <t>EW066</t>
  </si>
  <si>
    <t>JHEWS/2021/17520</t>
  </si>
  <si>
    <t>JHEWS/2021/19077</t>
  </si>
  <si>
    <t>JHEWS/2021/19757</t>
  </si>
  <si>
    <t>JHEWS/2021/20095</t>
  </si>
  <si>
    <t>EW070</t>
  </si>
  <si>
    <t>JHEWS/2021/20280</t>
  </si>
  <si>
    <t>K. Tejeswani</t>
  </si>
  <si>
    <t>JHEWS/2021/21830</t>
  </si>
  <si>
    <t>JHEWS/2021/22916</t>
  </si>
  <si>
    <t>7631189963</t>
  </si>
  <si>
    <t>EW073</t>
  </si>
  <si>
    <t>JHEWS/2021/23615</t>
  </si>
  <si>
    <t>JHEWS/2022/01563</t>
  </si>
  <si>
    <t>JHEWS/2022/02506</t>
  </si>
  <si>
    <t>JHEWS/2022/02509</t>
  </si>
  <si>
    <t>8434705387</t>
  </si>
  <si>
    <t>Priyam Mani</t>
  </si>
  <si>
    <t>JHEWS/2022/05203</t>
  </si>
  <si>
    <t>JHEWS/2022/07857</t>
  </si>
  <si>
    <t>ward 11</t>
  </si>
  <si>
    <t>JHEWS/2022/08252</t>
  </si>
  <si>
    <t>CASTE RELATED DOCUMENT</t>
  </si>
  <si>
    <t>JHEWS/2022/08652</t>
  </si>
  <si>
    <t>JHEWS/2022/10003</t>
  </si>
  <si>
    <t>JHEWS/2022/10200</t>
  </si>
  <si>
    <t>Sukarna Singha Roy</t>
  </si>
  <si>
    <t>JHEWS/2022/11695</t>
  </si>
  <si>
    <t>JHEWS/2022/13595</t>
  </si>
  <si>
    <t>JHEWS/2022/15143</t>
  </si>
  <si>
    <t>JHEWS/2022/16863</t>
  </si>
  <si>
    <t>JHEWS/2022/16931</t>
  </si>
  <si>
    <t>Rishv Rai</t>
  </si>
  <si>
    <t>JHEWS/2022/17527</t>
  </si>
  <si>
    <t>Bhagirathi</t>
  </si>
  <si>
    <t>Aarti Mardi</t>
  </si>
  <si>
    <t>JHCST/2022/126013</t>
  </si>
  <si>
    <t>Sourav mazumdar</t>
  </si>
  <si>
    <t>7979928624</t>
  </si>
  <si>
    <t>JHLRCO/2022/202774</t>
  </si>
  <si>
    <t>8799146769</t>
  </si>
  <si>
    <t>W15</t>
  </si>
  <si>
    <t>Ajay Kumar</t>
  </si>
  <si>
    <t>JHLRCO/2022/202823</t>
  </si>
  <si>
    <t>Piyush Tiwari</t>
  </si>
  <si>
    <t>JHLRCO/2022/203340</t>
  </si>
  <si>
    <t>7296080586</t>
  </si>
  <si>
    <t>Priti Kumari</t>
  </si>
  <si>
    <t>JHLRCO/2022/203364</t>
  </si>
  <si>
    <t>JHCBC/2022/118549</t>
  </si>
  <si>
    <t>JHCBC/2022/118481</t>
  </si>
  <si>
    <t>JHCBC/2022/118600</t>
  </si>
  <si>
    <t>JHLRCO/2022/204345</t>
  </si>
  <si>
    <t>JHLRCO/2022/204365</t>
  </si>
  <si>
    <t>Abhishek</t>
  </si>
  <si>
    <t>6202755206</t>
  </si>
  <si>
    <t>JHLRCO/2022/206122</t>
  </si>
  <si>
    <t>w18</t>
  </si>
  <si>
    <t>9337403736</t>
  </si>
  <si>
    <t>Aman Sharma</t>
  </si>
  <si>
    <t>ramadhin bagan</t>
  </si>
  <si>
    <t>JHLRCO/2022/206143</t>
  </si>
  <si>
    <t>Gurubari Bhumij</t>
  </si>
  <si>
    <t>munda</t>
  </si>
  <si>
    <t>JHLRCO/2022/210499</t>
  </si>
  <si>
    <t>JHCST/2022/134049</t>
  </si>
  <si>
    <t>Ranjeet Bhagat</t>
  </si>
  <si>
    <t>Sangita Deogam</t>
  </si>
  <si>
    <t>apply kra kijiye</t>
  </si>
  <si>
    <t>JHCST/2022/135684</t>
  </si>
  <si>
    <t>7761075066</t>
  </si>
  <si>
    <t>JHIC/2022/235894</t>
  </si>
  <si>
    <t>JHIC/2022/235922</t>
  </si>
  <si>
    <t>Md Irfan</t>
  </si>
  <si>
    <t>8603497183</t>
  </si>
  <si>
    <t>Savitri Singh bhumij</t>
  </si>
  <si>
    <t>JHLRCO/2022/215953</t>
  </si>
  <si>
    <t>JHCST/2022/136056</t>
  </si>
  <si>
    <t>Sabitri Singh Bhumij</t>
  </si>
  <si>
    <t>JHIC/2022/236887</t>
  </si>
  <si>
    <t>w12</t>
  </si>
  <si>
    <t>Rahat Rahman</t>
  </si>
  <si>
    <t>8002790274</t>
  </si>
  <si>
    <t>JHIC/2022/236920</t>
  </si>
  <si>
    <t>Savitri singh Bhumij</t>
  </si>
  <si>
    <t>JHIC/2022/236948</t>
  </si>
  <si>
    <t>Ayaan Ahmad</t>
  </si>
  <si>
    <t>dhatkidih</t>
  </si>
  <si>
    <t>JHSCST/2022/04410</t>
  </si>
  <si>
    <t>Asha Murmu</t>
  </si>
  <si>
    <t>Susmita Besra</t>
  </si>
  <si>
    <t>JHSCST/2022/04119</t>
  </si>
  <si>
    <t>Bishal besra</t>
  </si>
  <si>
    <t>JHSCST/2022/04485</t>
  </si>
  <si>
    <t>JHSCBC/2022/02738</t>
  </si>
  <si>
    <t>Shivam Mahato</t>
  </si>
  <si>
    <t>Shivam mahato</t>
  </si>
  <si>
    <t>JHEWS/2022/19982</t>
  </si>
  <si>
    <t>Jug w-5</t>
  </si>
  <si>
    <t>Suranjet  Kumar singh</t>
  </si>
  <si>
    <t>9113703448</t>
  </si>
  <si>
    <t>JHEWS/2022/19983</t>
  </si>
  <si>
    <t xml:space="preserve"> JHSCBC/2022/03222</t>
  </si>
  <si>
    <t>Khusi Mahato</t>
  </si>
  <si>
    <t>Bristi Mahato</t>
  </si>
  <si>
    <t>JHSCBC/2022/03242</t>
  </si>
  <si>
    <t>Manish Mahato</t>
  </si>
  <si>
    <t>UPG PS GADATOLA</t>
  </si>
  <si>
    <t>JHSCBC/2022/03261</t>
  </si>
  <si>
    <t>Shiva Mahato</t>
  </si>
  <si>
    <t>Sanjana Mahato</t>
  </si>
  <si>
    <t>JHSCBC/2022/03274</t>
  </si>
  <si>
    <t>JHSCBC/2022/03277</t>
  </si>
  <si>
    <t>JHSCBC/2022/03287</t>
  </si>
  <si>
    <t>CHIRUGORA</t>
  </si>
  <si>
    <t>Gulsan Dhibar</t>
  </si>
  <si>
    <t>Rakhi Dhibar</t>
  </si>
  <si>
    <t>Depali Dhibar</t>
  </si>
  <si>
    <t>Puja Dhibar</t>
  </si>
  <si>
    <t>Maglu Dhibar</t>
  </si>
  <si>
    <t>Somnath Dhibar</t>
  </si>
  <si>
    <t>saraswati dhibar</t>
  </si>
  <si>
    <t>Samir Dhibar</t>
  </si>
  <si>
    <t>Anjana Dhibar</t>
  </si>
  <si>
    <t>Gurubari Dhibar</t>
  </si>
  <si>
    <t>Ram Padarth Prasad</t>
  </si>
  <si>
    <t>JHIC/2022/241296</t>
  </si>
  <si>
    <t>govinpdur</t>
  </si>
  <si>
    <t>9334619844</t>
  </si>
  <si>
    <t>Santu Mahapatra</t>
  </si>
  <si>
    <t>6206212188</t>
  </si>
  <si>
    <t>JHIC/2022/241704</t>
  </si>
  <si>
    <t>JHIC/2022/243015</t>
  </si>
  <si>
    <t>Madhvi Jha</t>
  </si>
  <si>
    <t>JHLRCO/2022/222900</t>
  </si>
  <si>
    <t>9031395170</t>
  </si>
  <si>
    <t>JHIC/2022/243438</t>
  </si>
  <si>
    <t>7894146705</t>
  </si>
  <si>
    <t>Robins Kumar</t>
  </si>
  <si>
    <t>JHLRCO/2022/223184</t>
  </si>
  <si>
    <t>JHSCST/2022/07538</t>
  </si>
  <si>
    <t>Laxmi mardi</t>
  </si>
  <si>
    <t>ghorabandha</t>
  </si>
  <si>
    <t>JHSCST/2022/07585</t>
  </si>
  <si>
    <t>Raimani baskey</t>
  </si>
  <si>
    <t>Garatola</t>
  </si>
  <si>
    <t>JHSCBC/2022/04576</t>
  </si>
  <si>
    <t>JHSCBC/2022/04597</t>
  </si>
  <si>
    <t>JHSCBC/2022/04607</t>
  </si>
  <si>
    <t>JHSCBC/2022/04628</t>
  </si>
  <si>
    <t>JHSCBC/2022/04646</t>
  </si>
  <si>
    <t>JHSCBC/2022/04648</t>
  </si>
  <si>
    <t>JHSCBC/2022/04787</t>
  </si>
  <si>
    <t>JHSCST/2022/08361</t>
  </si>
  <si>
    <t>JHSCST/2022/08395</t>
  </si>
  <si>
    <t>JHSCST/2022/08415</t>
  </si>
  <si>
    <t>Ohm Aryan</t>
  </si>
  <si>
    <t>JHEWS/2022/20281</t>
  </si>
  <si>
    <t>8862861038</t>
  </si>
  <si>
    <t>Sangeeta Devgam</t>
  </si>
  <si>
    <t>Rejcted</t>
  </si>
  <si>
    <t>JHIC/2022/246526</t>
  </si>
  <si>
    <t>Pramila Soren</t>
  </si>
  <si>
    <t>JHSCST/2022/08984</t>
  </si>
  <si>
    <t>JHSCST/2022/09001</t>
  </si>
  <si>
    <t>Sagar murmu</t>
  </si>
  <si>
    <t>Sunita Murmu</t>
  </si>
  <si>
    <t>JHSCST/2022/09016</t>
  </si>
  <si>
    <t>Prem Hembram</t>
  </si>
  <si>
    <t>JHSCST/2022/09029</t>
  </si>
  <si>
    <t>Rima Murmu</t>
  </si>
  <si>
    <t>JHSCST/2022/09044</t>
  </si>
  <si>
    <t>Arun Hembram</t>
  </si>
  <si>
    <t>JHSCST/2022/09060</t>
  </si>
  <si>
    <t>Vishal Hembram</t>
  </si>
  <si>
    <t>JHSCST/2022/09084</t>
  </si>
  <si>
    <t>Joba Murmu</t>
  </si>
  <si>
    <t>JHSCST/2022/09111</t>
  </si>
  <si>
    <t>Subhash Soren</t>
  </si>
  <si>
    <t>JHSCST/2022/09132</t>
  </si>
  <si>
    <t>Gunaram Kisku</t>
  </si>
  <si>
    <t>JHSCST/2022/09146</t>
  </si>
  <si>
    <t>Pinki Murmu</t>
  </si>
  <si>
    <t>JHSCST/2022/09154</t>
  </si>
  <si>
    <t>Prem Murmu</t>
  </si>
  <si>
    <t>JHSCST/2022/09192</t>
  </si>
  <si>
    <t>Tijonti Murmu</t>
  </si>
  <si>
    <t>JHSCST/2022/09203</t>
  </si>
  <si>
    <t>Sunita Hembram</t>
  </si>
  <si>
    <t>JHSCST/2022/09226</t>
  </si>
  <si>
    <t>Ajay Tudu</t>
  </si>
  <si>
    <t>JHSCST/2022/09239</t>
  </si>
  <si>
    <t>Kartik Soren</t>
  </si>
  <si>
    <t>JHSCST/2022/09254</t>
  </si>
  <si>
    <t>Jasai Hembram</t>
  </si>
  <si>
    <t>JHSCST/2022/09275</t>
  </si>
  <si>
    <t>Rohit Hembram</t>
  </si>
  <si>
    <t>JHSCST/2022/09285</t>
  </si>
  <si>
    <t>Dulari Soren</t>
  </si>
  <si>
    <t>JHSCST/2022/09291</t>
  </si>
  <si>
    <t>Kalicharan Mardi</t>
  </si>
  <si>
    <t>JHSCST/2022/09302</t>
  </si>
  <si>
    <t>Nandini Mardi</t>
  </si>
  <si>
    <t>JHSCST/2022/09311</t>
  </si>
  <si>
    <t>Babnidih</t>
  </si>
  <si>
    <t>nf</t>
  </si>
  <si>
    <t>try to w7</t>
  </si>
  <si>
    <t>JHIC/2022/247336</t>
  </si>
  <si>
    <t>JHEWS/2022/20436</t>
  </si>
  <si>
    <t>JHCST/2022/145025</t>
  </si>
  <si>
    <t>Laxmi Sundi</t>
  </si>
  <si>
    <t>ckp</t>
  </si>
  <si>
    <t>Sirjon Soren</t>
  </si>
  <si>
    <t>JHSCST/2022/09747</t>
  </si>
  <si>
    <t>Punam Murmu</t>
  </si>
  <si>
    <t>JHSCST/2022/09727</t>
  </si>
  <si>
    <t>Salma Besra</t>
  </si>
  <si>
    <t>JHSCST/2022/09718</t>
  </si>
  <si>
    <t>Suita Hembram</t>
  </si>
  <si>
    <t>JHSCST/2022/09696</t>
  </si>
  <si>
    <t>Vikram Mardi</t>
  </si>
  <si>
    <t>JHSCST/2022/09685</t>
  </si>
  <si>
    <t>Indu Mardi</t>
  </si>
  <si>
    <t>JHSCST/2022/09679</t>
  </si>
  <si>
    <t>Mira Hembram</t>
  </si>
  <si>
    <t>JHSCST/2022/09764</t>
  </si>
  <si>
    <t>JHSCST/2022/10057</t>
  </si>
  <si>
    <t>Priya Hembram</t>
  </si>
  <si>
    <t>JHSCBC/2022/05815</t>
  </si>
  <si>
    <t>Mahesh Das</t>
  </si>
  <si>
    <t>Champa Murmu</t>
  </si>
  <si>
    <t>JHSCST/2022/10104</t>
  </si>
  <si>
    <t>Abhishak Hembram</t>
  </si>
  <si>
    <t>JHSCST/2022/10078</t>
  </si>
  <si>
    <t>Supriya Das</t>
  </si>
  <si>
    <t>JHSCBC/2022/05831</t>
  </si>
  <si>
    <t>Kiran Das</t>
  </si>
  <si>
    <t>JHSCBC/2022/05870</t>
  </si>
  <si>
    <t>Ruma Das</t>
  </si>
  <si>
    <t>JHSCBC/2022/05906</t>
  </si>
  <si>
    <t>Madhumati Bhagat</t>
  </si>
  <si>
    <t>CC228</t>
  </si>
  <si>
    <t>Rahul Bhagat</t>
  </si>
  <si>
    <t>CC229</t>
  </si>
  <si>
    <t>JHCBC/2022/155711</t>
  </si>
  <si>
    <t>JHCBC/2022/155722</t>
  </si>
  <si>
    <t>Rhitom Dey</t>
  </si>
  <si>
    <t>9471378180</t>
  </si>
  <si>
    <t>JHLRCO/2022/229626</t>
  </si>
  <si>
    <t>JHIC/2022/251065</t>
  </si>
  <si>
    <t>Radha Swamy</t>
  </si>
  <si>
    <t>8789700341</t>
  </si>
  <si>
    <t>JHEWS/2022/20618</t>
  </si>
  <si>
    <t>JHEWS/2022/20619</t>
  </si>
  <si>
    <t>JHCBC/2022/157954</t>
  </si>
  <si>
    <t>JHEWS/2022/20675</t>
  </si>
  <si>
    <t>JHLRCO/2022/231560</t>
  </si>
  <si>
    <t>SANCHITA KUMARI</t>
  </si>
  <si>
    <t>JHLRCO/2022/231793</t>
  </si>
  <si>
    <t>Sumit Mouar</t>
  </si>
  <si>
    <t>JHLRCO/2022/231898</t>
  </si>
  <si>
    <t>7903450445</t>
  </si>
  <si>
    <t>Shahnawaz Ahmed</t>
  </si>
  <si>
    <t>JHCBC/2022/157974</t>
  </si>
  <si>
    <t>JHCBC/2022/158823</t>
  </si>
  <si>
    <t>JHRC/2022/191418</t>
  </si>
  <si>
    <t>Nitish Chadra Mahato</t>
  </si>
  <si>
    <t>JHCBC/2022/158974</t>
  </si>
  <si>
    <t>JHCBC/2022/158982</t>
  </si>
  <si>
    <t>Shashi kant mahato</t>
  </si>
  <si>
    <t>JHSCBC/2022/07887</t>
  </si>
  <si>
    <t>KHAIRBANI</t>
  </si>
  <si>
    <t>Anuradha Mahato</t>
  </si>
  <si>
    <t>rakhi mahtao</t>
  </si>
  <si>
    <t>JHSCBC/2022/07888</t>
  </si>
  <si>
    <t>Akash Mahato</t>
  </si>
  <si>
    <t>JHSCBC/2022/07890</t>
  </si>
  <si>
    <t>RAJ LAXMI MURMU</t>
  </si>
  <si>
    <t>JHSCST/2022/14071</t>
  </si>
  <si>
    <t>jamuna Hembram</t>
  </si>
  <si>
    <t>JHSCST/2022/14074</t>
  </si>
  <si>
    <t>Ganga Hembram</t>
  </si>
  <si>
    <t>JHSCST/2022/14078</t>
  </si>
  <si>
    <t>Chhita Mardi</t>
  </si>
  <si>
    <t>JHSCST/2022/14080</t>
  </si>
  <si>
    <t>MANISH MURMU</t>
  </si>
  <si>
    <t>JHSCST/2022/14083</t>
  </si>
  <si>
    <t>MOHAN MARDI</t>
  </si>
  <si>
    <t>JHSCST/2022/14085</t>
  </si>
  <si>
    <t>RUIMUNI HEMBRAM</t>
  </si>
  <si>
    <t>JHSCST/2022/14087</t>
  </si>
  <si>
    <t>SAKRO MURMU</t>
  </si>
  <si>
    <t>JHSCST/2022/14089</t>
  </si>
  <si>
    <t>RATNI HEMBRAM</t>
  </si>
  <si>
    <t>JHSCST/2022/14091</t>
  </si>
  <si>
    <t>JHCBC/2022/159411</t>
  </si>
  <si>
    <t>8210698924</t>
  </si>
  <si>
    <t>JHLRCO/2022/233892</t>
  </si>
  <si>
    <t>JHIC/2022/254543</t>
  </si>
  <si>
    <t>JHSCBC/2022/08408</t>
  </si>
  <si>
    <t>msluabasa</t>
  </si>
  <si>
    <t>Gunadhar mahato</t>
  </si>
  <si>
    <t>JHSCBC/2022/08411</t>
  </si>
  <si>
    <t>Rashi Gope</t>
  </si>
  <si>
    <t>JHSCBC/2022/08416</t>
  </si>
  <si>
    <t>NAKUL GOPE</t>
  </si>
  <si>
    <t>JHSCBC/2022/08421</t>
  </si>
  <si>
    <t>DIPIKA GOPE</t>
  </si>
  <si>
    <t>JHSCBC/2022/08426</t>
  </si>
  <si>
    <t>SHIKHA GOPE</t>
  </si>
  <si>
    <t>JHSCBC/2022/08429</t>
  </si>
  <si>
    <t>Somnath Patra</t>
  </si>
  <si>
    <t>LAXMI SINGH</t>
  </si>
  <si>
    <t>JHSCST/2022/15755</t>
  </si>
  <si>
    <t>ANKITA MAHATO</t>
  </si>
  <si>
    <t>JHSCBC/2022/08559</t>
  </si>
  <si>
    <t>Dipankar Mahato</t>
  </si>
  <si>
    <t>JHSCBC/2022/08562</t>
  </si>
  <si>
    <t>LAXMI KARMAKAR</t>
  </si>
  <si>
    <t>JHSCBC/2022/08573</t>
  </si>
  <si>
    <t>ANITA GOPE</t>
  </si>
  <si>
    <t>JHSCBC/2022/08577</t>
  </si>
  <si>
    <t>NUPUR GOPE</t>
  </si>
  <si>
    <t>JHSCBC/2022/08584</t>
  </si>
  <si>
    <t>POOJA MAHATO</t>
  </si>
  <si>
    <t>JHSCBC/2022/08611</t>
  </si>
  <si>
    <t>SUMIT LOHAR</t>
  </si>
  <si>
    <t>JHIC/2022/258316</t>
  </si>
  <si>
    <t>Nikita Gope</t>
  </si>
  <si>
    <t>Alok Karmakar</t>
  </si>
  <si>
    <t>JHCBC/2022/164152</t>
  </si>
  <si>
    <t>Ashish Kumar</t>
  </si>
  <si>
    <t>9523678106</t>
  </si>
  <si>
    <t>JHIC/2022/264285</t>
  </si>
  <si>
    <t>Ravi kant Tiwari</t>
  </si>
  <si>
    <t>JHLRCO/2022/245377</t>
  </si>
  <si>
    <t>JHLRCO/2022/248719</t>
  </si>
  <si>
    <t>zone3</t>
  </si>
  <si>
    <t>6207307057</t>
  </si>
  <si>
    <t>Pratiksha Mishra</t>
  </si>
  <si>
    <t>w7</t>
  </si>
  <si>
    <t>JHIC/2022/271596</t>
  </si>
  <si>
    <t>JHEWS/2022/21595</t>
  </si>
  <si>
    <t>JHEWS/2022/21583</t>
  </si>
  <si>
    <t>JHIC/2022/272393</t>
  </si>
  <si>
    <t>JHIC/2022/271214</t>
  </si>
  <si>
    <t>JHCOB/2022/18995</t>
  </si>
  <si>
    <t>Rahul Kumar Mishra</t>
  </si>
  <si>
    <t>Shipra</t>
  </si>
  <si>
    <t>JHIC/2022/274918</t>
  </si>
  <si>
    <t>JHIC/2022/274943</t>
  </si>
  <si>
    <t>7870993325</t>
  </si>
  <si>
    <t>Prahlad karmakar</t>
  </si>
  <si>
    <t>JHIC/2022/211856</t>
  </si>
  <si>
    <t>JHRC/2022/210406</t>
  </si>
  <si>
    <t>Kartikey Gupta</t>
  </si>
  <si>
    <t>9934538514</t>
  </si>
  <si>
    <t>JHLRCO/2022/260191</t>
  </si>
  <si>
    <t>Reject wrong aff</t>
  </si>
  <si>
    <t>rejeted not in halka 7</t>
  </si>
  <si>
    <t>Ravi Raj Bhatt</t>
  </si>
  <si>
    <t>8827606510</t>
  </si>
  <si>
    <t>JHLRCO/2022/262488</t>
  </si>
  <si>
    <t>JHIC/2022/287373</t>
  </si>
  <si>
    <t>Shayak Ghosh</t>
  </si>
  <si>
    <t>9430735308</t>
  </si>
  <si>
    <t>JHLRCO/2022/264920</t>
  </si>
  <si>
    <t>JHLRCO/2022/270776</t>
  </si>
  <si>
    <t>JHCST/2022/182992</t>
  </si>
  <si>
    <t>jjjjjjjj</t>
  </si>
  <si>
    <t>Singo Murmu</t>
  </si>
  <si>
    <t>wrong aff</t>
  </si>
  <si>
    <t>916203945117</t>
  </si>
  <si>
    <t>917542895414</t>
  </si>
  <si>
    <t>Randhir Kr Thakur</t>
  </si>
  <si>
    <t>919507188757</t>
  </si>
  <si>
    <t>91882766510</t>
  </si>
  <si>
    <t>JHIC/2022/301314</t>
  </si>
  <si>
    <t>SAURAV ROY</t>
  </si>
  <si>
    <t>JHLRCO/2022/114385</t>
  </si>
  <si>
    <t>JHEWS/2022/22984</t>
  </si>
  <si>
    <t>zone</t>
  </si>
  <si>
    <t>6203945117</t>
  </si>
  <si>
    <t>Rahul Kumar mishra</t>
  </si>
  <si>
    <t>9234968397</t>
  </si>
  <si>
    <t>JHLRCO/2022/280876</t>
  </si>
  <si>
    <t>8252679991</t>
  </si>
  <si>
    <t>Hameed Khan</t>
  </si>
  <si>
    <t>JHLRCO/2022/282110</t>
  </si>
  <si>
    <t>JHLRCO/2022/282353</t>
  </si>
  <si>
    <t>Jagjeet Singh</t>
  </si>
  <si>
    <t>Jemco</t>
  </si>
  <si>
    <t>9905614857</t>
  </si>
  <si>
    <t>7277136937</t>
  </si>
  <si>
    <t>rejected due to wrong mouza</t>
  </si>
  <si>
    <t>JHRC/2022/229338</t>
  </si>
  <si>
    <t>Sanjana shree</t>
  </si>
  <si>
    <t>JHLRCO/2022/285916</t>
  </si>
  <si>
    <t>Nandita Bharti</t>
  </si>
  <si>
    <t>JHLRCO/2022/285927</t>
  </si>
  <si>
    <t>gadra middle</t>
  </si>
  <si>
    <t>Madhu Kumari</t>
  </si>
  <si>
    <t>7292826848</t>
  </si>
  <si>
    <t>9117809614</t>
  </si>
  <si>
    <t>JHLRCO/2022/286567</t>
  </si>
  <si>
    <t>JHLRCO/2022/286498</t>
  </si>
  <si>
    <t>gadra m</t>
  </si>
  <si>
    <t>Rakhi Singh</t>
  </si>
  <si>
    <t>JHLRCO/2022/286647</t>
  </si>
  <si>
    <t>premngr</t>
  </si>
  <si>
    <t>JHIC/2022/312884</t>
  </si>
  <si>
    <t>JHIC/2022/313744</t>
  </si>
  <si>
    <t>JHIC/2022/313687</t>
  </si>
  <si>
    <t>Subrata Ghosh</t>
  </si>
  <si>
    <t>8987533826</t>
  </si>
  <si>
    <t>JHLRCO/2022/287566</t>
  </si>
  <si>
    <t>JHIC/2022/317063</t>
  </si>
  <si>
    <t>south Middle</t>
  </si>
  <si>
    <t>7209769708</t>
  </si>
  <si>
    <t>Vishal Kumar</t>
  </si>
  <si>
    <t>7542895414</t>
  </si>
  <si>
    <t>JHEWS/2022/23721</t>
  </si>
  <si>
    <t>JHCST/2022/201803</t>
  </si>
  <si>
    <t>Muskan Tudu</t>
  </si>
  <si>
    <t>JHCBC/2022/146188</t>
  </si>
  <si>
    <t>JHIC/2022/319526</t>
  </si>
  <si>
    <t>w16</t>
  </si>
  <si>
    <t>Meera Devi</t>
  </si>
  <si>
    <t>kisan ray</t>
  </si>
  <si>
    <t>Vidya Rani Kujur</t>
  </si>
  <si>
    <t>JHLRCO/2022/291638</t>
  </si>
  <si>
    <t>9304421229</t>
  </si>
  <si>
    <t>certified copy of BC</t>
  </si>
  <si>
    <t>JHIC/2022/308088</t>
  </si>
  <si>
    <t>JHIC/2022/320993</t>
  </si>
  <si>
    <t>east ghaghidih</t>
  </si>
  <si>
    <t>Saved and send on whtapp</t>
  </si>
  <si>
    <t>Raman Kumar Mishra</t>
  </si>
  <si>
    <t>JHIC/2022/322697</t>
  </si>
  <si>
    <t>md shadab ali</t>
  </si>
  <si>
    <t>9835926031</t>
  </si>
  <si>
    <t>JHLRCO/2022/294170</t>
  </si>
  <si>
    <t>6299601171</t>
  </si>
  <si>
    <t>Nishant Kumar Pandey</t>
  </si>
  <si>
    <t>7209824307</t>
  </si>
  <si>
    <t>JHLRCO/2022/294528</t>
  </si>
  <si>
    <t>JHIC/2022/323249</t>
  </si>
  <si>
    <t>Aman Kumar Mishra</t>
  </si>
  <si>
    <t>7488718359</t>
  </si>
  <si>
    <t>chota east</t>
  </si>
  <si>
    <t>JHEWS/2022/24138</t>
  </si>
  <si>
    <t>Deepk Gagrai</t>
  </si>
  <si>
    <t>JHLRCO/2022/295513</t>
  </si>
  <si>
    <t>Sneha Kumari</t>
  </si>
  <si>
    <t>9234860472</t>
  </si>
  <si>
    <t>JHEWS/2022/24196</t>
  </si>
  <si>
    <t>ch est</t>
  </si>
  <si>
    <t>7037621455</t>
  </si>
  <si>
    <t>JHLRCO/2022/296594</t>
  </si>
  <si>
    <t>Rashmi Kumari</t>
  </si>
  <si>
    <t>JHLRCO/2022/296610</t>
  </si>
  <si>
    <t>6287163745</t>
  </si>
  <si>
    <t>JHIC/2022/326012</t>
  </si>
  <si>
    <t>8797741034</t>
  </si>
  <si>
    <t>baridi-w15</t>
  </si>
  <si>
    <t>JHEWS/2022/24245</t>
  </si>
  <si>
    <t>JHEWS/2022/24247</t>
  </si>
  <si>
    <t>9905408913</t>
  </si>
  <si>
    <t>JHIC/2022/327206</t>
  </si>
  <si>
    <t>7209518338</t>
  </si>
  <si>
    <t>JHCOB/2022/23020</t>
  </si>
  <si>
    <t>JHLRCO/2022/295733</t>
  </si>
  <si>
    <t>Aashish Pathak</t>
  </si>
  <si>
    <t>7858816423</t>
  </si>
  <si>
    <t>JHLRCO/2022/298579</t>
  </si>
  <si>
    <t>8709369800</t>
  </si>
  <si>
    <t>Aayush Pathak</t>
  </si>
  <si>
    <t>JHLRCO/2022/298598</t>
  </si>
  <si>
    <t>pending for burju tudu id</t>
  </si>
  <si>
    <t>9110991471</t>
  </si>
  <si>
    <t>JHLRCO/2022/298994</t>
  </si>
  <si>
    <t>ZONE1B</t>
  </si>
  <si>
    <t>JHEWS/2022/24396</t>
  </si>
  <si>
    <t>7209393027</t>
  </si>
  <si>
    <t>Supriyo Mazumdar</t>
  </si>
  <si>
    <t>Alok Kumar Pandey</t>
  </si>
  <si>
    <t>8521895601</t>
  </si>
  <si>
    <t>JHIC/2022/332334</t>
  </si>
  <si>
    <t>chhta e</t>
  </si>
  <si>
    <t>JHLRCO/2022/301630</t>
  </si>
  <si>
    <t>JHEWS/2022/24555</t>
  </si>
  <si>
    <t>JHLRCO/2022/302617</t>
  </si>
  <si>
    <t>hazaribag</t>
  </si>
  <si>
    <t>9263991174</t>
  </si>
  <si>
    <t>7070136436</t>
  </si>
  <si>
    <t>JHEWS/2022/24601</t>
  </si>
  <si>
    <t>Uma Devi</t>
  </si>
  <si>
    <t>JHIC/2022/335280</t>
  </si>
  <si>
    <t>Rita Tiwary</t>
  </si>
  <si>
    <t>Sadhudera</t>
  </si>
  <si>
    <t>JHIC/2022/336646</t>
  </si>
  <si>
    <t>JHEWS/2021/12910</t>
  </si>
  <si>
    <t>Hridhi Biswas</t>
  </si>
  <si>
    <t>RC841</t>
  </si>
  <si>
    <t>7091492132</t>
  </si>
  <si>
    <t>JHLRCO/2022/307166</t>
  </si>
  <si>
    <t>JHIC/2022/339752</t>
  </si>
  <si>
    <t>JHIC/2022/341728</t>
  </si>
  <si>
    <t>6202584496</t>
  </si>
  <si>
    <t>JHIC/2022/342655</t>
  </si>
  <si>
    <t>Lal Mohan Prasad</t>
  </si>
  <si>
    <t>JHLRCO/2022/309663</t>
  </si>
  <si>
    <t>8797353977</t>
  </si>
  <si>
    <t>8580110237</t>
  </si>
  <si>
    <t>Arpita Choudhary</t>
  </si>
  <si>
    <t>RC843</t>
  </si>
  <si>
    <t>JHLRCO/2022/311366</t>
  </si>
  <si>
    <t>attach id proof of burju tudu</t>
  </si>
  <si>
    <t>attach certified copy of birth certificate (certified by issuing authority)</t>
  </si>
  <si>
    <t>Father Name / पिता का नाम : LATE BIRJU THAKUR</t>
  </si>
  <si>
    <t>JHIC/2022/335327</t>
  </si>
  <si>
    <t>Zone nO 9</t>
  </si>
  <si>
    <t>JHIC/2022/351117</t>
  </si>
  <si>
    <t>Munai Ghosh</t>
  </si>
  <si>
    <t>JHLRCO/2022/318231</t>
  </si>
  <si>
    <t>JHIC/2022/355202</t>
  </si>
  <si>
    <t>Anita Kumari</t>
  </si>
  <si>
    <t>Priya Mahato</t>
  </si>
  <si>
    <t>JHIC/2022/318521</t>
  </si>
  <si>
    <t>JHIC/2022/358567</t>
  </si>
  <si>
    <t>JHIC/2022/359569</t>
  </si>
  <si>
    <t>nildih-18</t>
  </si>
  <si>
    <t>Babita Kumari</t>
  </si>
  <si>
    <t>Sarita Singh</t>
  </si>
  <si>
    <t>JHIC/2022/359573</t>
  </si>
  <si>
    <t>JHEWS/2022/26055</t>
  </si>
  <si>
    <t>Mohammad Tabish</t>
  </si>
  <si>
    <t>7209500514</t>
  </si>
  <si>
    <t>RD845</t>
  </si>
  <si>
    <t>JHLRCO/2022/324434</t>
  </si>
  <si>
    <t>Vanshavali should be verified by gram pradhan. All documents need physical verification come to the CO office with all original documents</t>
  </si>
  <si>
    <t>No Document other then aadhaar</t>
  </si>
  <si>
    <t>JHCBC/2022/216933</t>
  </si>
  <si>
    <t>JHIC/2022/347281</t>
  </si>
  <si>
    <t>Samit Halder</t>
  </si>
  <si>
    <t>Binod Kumar</t>
  </si>
  <si>
    <t>JHIC/2022/368081</t>
  </si>
  <si>
    <t>Nikhil Kumar</t>
  </si>
  <si>
    <t>Tanya Kumari</t>
  </si>
  <si>
    <t>JHCBC/2022/219898</t>
  </si>
  <si>
    <t>JHCBC/2022/219905</t>
  </si>
  <si>
    <t>JHLRCO/2022/331581</t>
  </si>
  <si>
    <t>NANDINI ROY</t>
  </si>
  <si>
    <t>RC847</t>
  </si>
  <si>
    <t>8709361791</t>
  </si>
  <si>
    <t>JHLRCO/2022/332115</t>
  </si>
  <si>
    <t>JHIC/2022/363885</t>
  </si>
  <si>
    <t>Sh Yashwanth Varma</t>
  </si>
  <si>
    <t>9576110306</t>
  </si>
  <si>
    <t>JHLRCO/2022/334127</t>
  </si>
  <si>
    <t>JHIC/2022/379834</t>
  </si>
  <si>
    <t>JHIC/2022/380021</t>
  </si>
  <si>
    <t>JHIC/2022/381661</t>
  </si>
  <si>
    <t>Ashok Pramanik</t>
  </si>
  <si>
    <t>Aditya Kumar Singh</t>
  </si>
  <si>
    <t>7050545368</t>
  </si>
  <si>
    <t>JHLRCO/2022/338761</t>
  </si>
  <si>
    <t>JHLRCO/2022/284967</t>
  </si>
  <si>
    <t>RC850</t>
  </si>
  <si>
    <t>9204655677</t>
  </si>
  <si>
    <t>JHLRCO/2022/341514</t>
  </si>
  <si>
    <t>Sudhanshu Kumar Jha</t>
  </si>
  <si>
    <t>6205264325</t>
  </si>
  <si>
    <t>RC851</t>
  </si>
  <si>
    <t>JHLRCO/2022/341539</t>
  </si>
  <si>
    <t>8409708058</t>
  </si>
  <si>
    <t>JHEWS/2022/26803</t>
  </si>
  <si>
    <t>JHEWS/2022/26804</t>
  </si>
  <si>
    <t>EW109</t>
  </si>
  <si>
    <t>JHIC/2022/397833</t>
  </si>
  <si>
    <t>Ayesha Siddiqua</t>
  </si>
  <si>
    <t>mother name differ</t>
  </si>
  <si>
    <t>Samir Lohar</t>
  </si>
  <si>
    <t>JHLRCO/2022/351573</t>
  </si>
  <si>
    <t>garurbasa</t>
  </si>
  <si>
    <t>9572786546</t>
  </si>
  <si>
    <t>JHCBC/2022/234247</t>
  </si>
  <si>
    <t>JHIC/2022/399338</t>
  </si>
  <si>
    <t>JHCBC/2022/234630</t>
  </si>
  <si>
    <t>JHCBC/2022/234648</t>
  </si>
  <si>
    <t>7260867766</t>
  </si>
  <si>
    <t>JHLRCO/2022/354591</t>
  </si>
  <si>
    <t>JHLRCO/2022/356398</t>
  </si>
  <si>
    <t>Santoshi patnaik</t>
  </si>
  <si>
    <t>RC855</t>
  </si>
  <si>
    <t>6287753020</t>
  </si>
  <si>
    <t>JHLRCO/2022/357958</t>
  </si>
  <si>
    <t>Alok karmakar</t>
  </si>
  <si>
    <t>JHIC/2022/409433</t>
  </si>
  <si>
    <t>JHIC/2022/411833</t>
  </si>
  <si>
    <t>chotavind</t>
  </si>
  <si>
    <t>Anupama bari</t>
  </si>
  <si>
    <t>JHLRCO/2022/364464</t>
  </si>
  <si>
    <t>8539903429</t>
  </si>
  <si>
    <t>JHIC/2022/411868</t>
  </si>
  <si>
    <t>Mamta Dhan</t>
  </si>
  <si>
    <t>9153275351</t>
  </si>
  <si>
    <t>JHLRCO/2022/369556</t>
  </si>
  <si>
    <t>zone6</t>
  </si>
  <si>
    <t>6207810429</t>
  </si>
  <si>
    <t>EW110</t>
  </si>
  <si>
    <t>EW111</t>
  </si>
  <si>
    <t>EW112</t>
  </si>
  <si>
    <t>JHEWS/2022/27772</t>
  </si>
  <si>
    <t>JHEWS/2022/27775</t>
  </si>
  <si>
    <t>JHIC/2022/429682</t>
  </si>
  <si>
    <t>Kunal Das</t>
  </si>
  <si>
    <t>gadra mdl</t>
  </si>
  <si>
    <t>JHIC/2022/429750</t>
  </si>
  <si>
    <t>JHIC/2022/435824</t>
  </si>
  <si>
    <t>Niranjan Gorai</t>
  </si>
  <si>
    <t>9508091089</t>
  </si>
  <si>
    <t>JHEWS/2022/27906</t>
  </si>
  <si>
    <t>JHIC/2022/436756</t>
  </si>
  <si>
    <t>EW113</t>
  </si>
  <si>
    <t>EW114</t>
  </si>
  <si>
    <t>EW115</t>
  </si>
  <si>
    <t>EW116</t>
  </si>
  <si>
    <t>JHEWS/2022/27968</t>
  </si>
  <si>
    <t>Nidhi</t>
  </si>
  <si>
    <t>7488379639</t>
  </si>
  <si>
    <t>JHLRCO/2022/380704</t>
  </si>
  <si>
    <t>Abhishek Kumar Sahu</t>
  </si>
  <si>
    <t>RC859</t>
  </si>
  <si>
    <t>8210298385</t>
  </si>
  <si>
    <t>JHLRCO/2022/385767</t>
  </si>
  <si>
    <t>9931115958</t>
  </si>
  <si>
    <t>Ayush Kumar Mishra</t>
  </si>
  <si>
    <t>RC860</t>
  </si>
  <si>
    <t>JHLRCO/2022/389005</t>
  </si>
  <si>
    <t>JHEWS/2022/28319</t>
  </si>
  <si>
    <t>east chh</t>
  </si>
  <si>
    <t>birth?</t>
  </si>
  <si>
    <t>JHIC/2022/470776</t>
  </si>
  <si>
    <t>Rabti Paul</t>
  </si>
  <si>
    <t>JHIC/2022/470843</t>
  </si>
  <si>
    <t>Rohan Gachhayat</t>
  </si>
  <si>
    <t>JHLRCO/2022/405267</t>
  </si>
  <si>
    <t>Animisha Kumari</t>
  </si>
  <si>
    <t>8092713108</t>
  </si>
  <si>
    <t>JHEWSH/2022/03776</t>
  </si>
  <si>
    <t>prakashngar</t>
  </si>
  <si>
    <t>Rounit Tiwary</t>
  </si>
  <si>
    <t>JHLRCO/2022/405275</t>
  </si>
  <si>
    <t>Kumar Ayushmaan</t>
  </si>
  <si>
    <t>RC865</t>
  </si>
  <si>
    <t>RC866</t>
  </si>
  <si>
    <t>7488241476</t>
  </si>
  <si>
    <t>JHLRCO/2022/416136</t>
  </si>
  <si>
    <t>galudi</t>
  </si>
  <si>
    <t>JHLRCO/2022/416183</t>
  </si>
  <si>
    <t>8539905171</t>
  </si>
  <si>
    <t>JHIC/2022/486914</t>
  </si>
  <si>
    <t>inVALID INCOME</t>
  </si>
  <si>
    <t>JHEWS/2022/28861</t>
  </si>
  <si>
    <t>JHIC/2022/495925</t>
  </si>
  <si>
    <t>Rahila Khanam</t>
  </si>
  <si>
    <t>JHLRCO/2022/425061</t>
  </si>
  <si>
    <t>Sneha Ghosh</t>
  </si>
  <si>
    <t>JHLRCO/2022/425170</t>
  </si>
  <si>
    <t>9608521433</t>
  </si>
  <si>
    <t>JHLRCO/2022/406024</t>
  </si>
  <si>
    <t>JHLRCO/2022/408978</t>
  </si>
  <si>
    <t>JHCSC/2022/92497</t>
  </si>
  <si>
    <t>Shilpa Rajak</t>
  </si>
  <si>
    <t>JHLRCO/2022/426269</t>
  </si>
  <si>
    <t>Shruti Singh</t>
  </si>
  <si>
    <t>9142823992</t>
  </si>
  <si>
    <t>JHLRCO/2022/426289</t>
  </si>
  <si>
    <t>JHIC/2022/503045</t>
  </si>
  <si>
    <t>Renu singh</t>
  </si>
  <si>
    <t>JHLRCO/2022/426868</t>
  </si>
  <si>
    <t>gadra n-e</t>
  </si>
  <si>
    <t>Rinky Kumari Bhagat</t>
  </si>
  <si>
    <t>JHCBC/2022/281875</t>
  </si>
  <si>
    <t>8092769387</t>
  </si>
  <si>
    <t>8797937058</t>
  </si>
  <si>
    <t>Karishma Kumari</t>
  </si>
  <si>
    <t>JHLRCO/2022/428001</t>
  </si>
  <si>
    <t>JHIC/2022/518708</t>
  </si>
  <si>
    <t>JHLRCO/2022/440574</t>
  </si>
  <si>
    <t>rgora</t>
  </si>
  <si>
    <t>JHIC/2022/495993</t>
  </si>
  <si>
    <t>Rinky kumari bhagat</t>
  </si>
  <si>
    <t>applied from husband address</t>
  </si>
  <si>
    <t>rej</t>
  </si>
  <si>
    <t>JHIC/2022/541495</t>
  </si>
  <si>
    <t>Dilip Kumar Dan</t>
  </si>
  <si>
    <t>JHRC/2022/339403</t>
  </si>
  <si>
    <t> JHIC/2022/541681</t>
  </si>
  <si>
    <t>rahr</t>
  </si>
  <si>
    <t>JHRC/2022/339512</t>
  </si>
  <si>
    <t>Suranjeet kr singh</t>
  </si>
  <si>
    <t>JHLRCO/2022/448935</t>
  </si>
  <si>
    <t>Ghanshyam Tiwary</t>
  </si>
  <si>
    <t>JHLRCO/2022/449221</t>
  </si>
  <si>
    <t>9065675300</t>
  </si>
  <si>
    <t>7209399198</t>
  </si>
  <si>
    <t>Shweta Kumari</t>
  </si>
  <si>
    <t>JHLRCO/2022/449267</t>
  </si>
  <si>
    <t>Nikhil Raj</t>
  </si>
  <si>
    <t>RC878</t>
  </si>
  <si>
    <t>RC877</t>
  </si>
  <si>
    <t>8092151611</t>
  </si>
  <si>
    <t>JHLRCO/2022/449381</t>
  </si>
  <si>
    <t>Shidhant Kumar</t>
  </si>
  <si>
    <t>JHLRCO/2022/449396</t>
  </si>
  <si>
    <t>6205072992</t>
  </si>
  <si>
    <t>pushpa kumari</t>
  </si>
  <si>
    <t>JHLRCO/2022/450402</t>
  </si>
  <si>
    <t>JHCBC/2022/297478</t>
  </si>
  <si>
    <t>Bhumika Mahato</t>
  </si>
  <si>
    <t>JHLRCO/2022/454720</t>
  </si>
  <si>
    <t>7209868969</t>
  </si>
  <si>
    <t>Alisha Anthony</t>
  </si>
  <si>
    <t>gadhra mdl</t>
  </si>
  <si>
    <t>JHEWS/2022/29702</t>
  </si>
  <si>
    <t>Mahima Kumari</t>
  </si>
  <si>
    <t>JHIC/2022/552636</t>
  </si>
  <si>
    <t>Prabha Sharma</t>
  </si>
  <si>
    <t>JHIC/2022/552738</t>
  </si>
  <si>
    <t>Bharti Kumari</t>
  </si>
  <si>
    <t>Sneha Jha</t>
  </si>
  <si>
    <t>7903302412</t>
  </si>
  <si>
    <t>JHLRCO/2022/460671</t>
  </si>
  <si>
    <t>JHLRCO/2022/460793</t>
  </si>
  <si>
    <t>JHIC/2022/560426</t>
  </si>
  <si>
    <t>Jamshedpur Ali Ansari</t>
  </si>
  <si>
    <t>JHLRCO/2022/469117</t>
  </si>
  <si>
    <t>Ronak Bhattacharjee</t>
  </si>
  <si>
    <t>JHRC/2022/356225</t>
  </si>
  <si>
    <t>reject guardian id</t>
  </si>
  <si>
    <t>Arisha Rehman</t>
  </si>
  <si>
    <t>JHIC/2022/581369</t>
  </si>
  <si>
    <t>JHIC/2022/581399</t>
  </si>
  <si>
    <t>JHIC/2022/581994</t>
  </si>
  <si>
    <t>JHIC/2022/582206</t>
  </si>
  <si>
    <t>Annapurna Singh Munda</t>
  </si>
  <si>
    <t>Send whtsapp</t>
  </si>
  <si>
    <t>JHIC/2022/586363</t>
  </si>
  <si>
    <t>Maira Hasan</t>
  </si>
  <si>
    <t>Md Shad Ali</t>
  </si>
  <si>
    <t>9162416872</t>
  </si>
  <si>
    <t>9835746313</t>
  </si>
  <si>
    <t>JHLRCO/2022/480449</t>
  </si>
  <si>
    <t>JHLRCO/2022/480463</t>
  </si>
  <si>
    <t>JHIC/2022/593498</t>
  </si>
  <si>
    <t>JHLRCO/2022/484497</t>
  </si>
  <si>
    <t>JHIC/2022/593944</t>
  </si>
  <si>
    <t>Devendra Kumar Sharma</t>
  </si>
  <si>
    <t>9771631353</t>
  </si>
  <si>
    <t>as per kc report, due to applicant name is error in apply or document</t>
  </si>
  <si>
    <t>as per kc report, due to IT returns copy is not attached</t>
  </si>
  <si>
    <t>IT returns copy is not attached</t>
  </si>
  <si>
    <t>Guardian name missing</t>
  </si>
  <si>
    <t>JHIC/2022/598925</t>
  </si>
  <si>
    <t>Devanand Bandra</t>
  </si>
  <si>
    <t>Zone 1B</t>
  </si>
  <si>
    <t>Sampato Devi</t>
  </si>
  <si>
    <t>Bamangora</t>
  </si>
  <si>
    <t>Wanshawali father side</t>
  </si>
  <si>
    <t>pendit</t>
  </si>
  <si>
    <t>N/A</t>
  </si>
  <si>
    <t>JHSCBC/2022/03234</t>
  </si>
  <si>
    <t>candi+pare aadhaar missing</t>
  </si>
  <si>
    <t>father pan card</t>
  </si>
  <si>
    <t>khatian from father side</t>
  </si>
  <si>
    <t>attach first page of khatian</t>
  </si>
  <si>
    <t>attach vansawali</t>
  </si>
  <si>
    <t>khatian</t>
  </si>
  <si>
    <t>khatian not related to jamshedpur</t>
  </si>
  <si>
    <t>not related to jamshepdur anchal</t>
  </si>
  <si>
    <t>wrong vansawali</t>
  </si>
  <si>
    <t>applicant aadhar nmbr</t>
  </si>
  <si>
    <t>first page khatian mission</t>
  </si>
  <si>
    <t>Reject Ho-santhali issue</t>
  </si>
  <si>
    <t>rejected caste issue</t>
  </si>
  <si>
    <t>vaishnav bania issue</t>
  </si>
  <si>
    <t>JHIC/2022/600991</t>
  </si>
  <si>
    <t>JHIC/2022/601062</t>
  </si>
  <si>
    <t>Rejectd</t>
  </si>
  <si>
    <t>Subiram Sandil</t>
  </si>
  <si>
    <t>9471587916</t>
  </si>
  <si>
    <t>JHLRCO/2022/492181</t>
  </si>
  <si>
    <t>as per kc report, attach certified copy of birth certificate (certified by issuing authority)</t>
  </si>
  <si>
    <t>as per kc report, Guidian identity proof not attached</t>
  </si>
  <si>
    <t>as per kc report, Father's name mismatch</t>
  </si>
  <si>
    <t>as per kc report, Kandika not fulfill</t>
  </si>
  <si>
    <t xml:space="preserve">detail not mathed </t>
  </si>
  <si>
    <t>JHIC/2022/600957</t>
  </si>
  <si>
    <t>JHIC/2022/610396</t>
  </si>
  <si>
    <t>Deliveed</t>
  </si>
  <si>
    <t>Meena Ravidas</t>
  </si>
  <si>
    <t>JHIC/2022/612542</t>
  </si>
  <si>
    <t>Banmali Singh</t>
  </si>
  <si>
    <t>alok reapplied</t>
  </si>
  <si>
    <t>JHIC/2022/612578</t>
  </si>
  <si>
    <t>JHLRCO/2022/496758</t>
  </si>
  <si>
    <t>8292381941</t>
  </si>
  <si>
    <t>Mimansa Thakur</t>
  </si>
  <si>
    <t>JHIC/2022/612714</t>
  </si>
  <si>
    <t>Mohammad Azim</t>
  </si>
  <si>
    <t>ghatshila anchal</t>
  </si>
  <si>
    <t>kandika not fulfilled</t>
  </si>
  <si>
    <t>need to reapply</t>
  </si>
  <si>
    <t>JHIC/2022/615331</t>
  </si>
  <si>
    <t>Nishant Kr Pandey</t>
  </si>
  <si>
    <t>JHIC/2022/619723</t>
  </si>
  <si>
    <t>ward 12</t>
  </si>
  <si>
    <t>cabletown</t>
  </si>
  <si>
    <t>Kunnu Kumar</t>
  </si>
  <si>
    <t>Anup</t>
  </si>
  <si>
    <t>Premlata Sahay</t>
  </si>
  <si>
    <t>moharda</t>
  </si>
  <si>
    <t>ward16</t>
  </si>
  <si>
    <t>Mohan Tanti</t>
  </si>
  <si>
    <t>JHIC/2022/620852</t>
  </si>
  <si>
    <t>JHIC/2022/620833</t>
  </si>
  <si>
    <t>JHIC/2022/619606</t>
  </si>
  <si>
    <t>JHLRCO/2022/502556</t>
  </si>
  <si>
    <t>Manoj Kumar Mahato</t>
  </si>
  <si>
    <t>7488194234</t>
  </si>
  <si>
    <t>khochabazar</t>
  </si>
  <si>
    <t>Amit Gounder</t>
  </si>
  <si>
    <t>6205413406</t>
  </si>
  <si>
    <t>JHLRCO/2022/503906</t>
  </si>
  <si>
    <t>Bishnu Gorai</t>
  </si>
  <si>
    <t>9065798132</t>
  </si>
  <si>
    <t>JHRC/2022/383031</t>
  </si>
  <si>
    <t>JHRC/2022/383083</t>
  </si>
  <si>
    <t>JHCBC/2022/336597</t>
  </si>
  <si>
    <t>Manoj Kumar mahato</t>
  </si>
  <si>
    <t>JHCBC/2022/336613</t>
  </si>
  <si>
    <t>Rameshwar Mahato</t>
  </si>
  <si>
    <t>P S Khairbani</t>
  </si>
  <si>
    <t>Seema Murmu</t>
  </si>
  <si>
    <t>Anjali Hembram</t>
  </si>
  <si>
    <t>Sanjana Hembram</t>
  </si>
  <si>
    <t>Sumitra Murmu</t>
  </si>
  <si>
    <t>Sanjana Soren</t>
  </si>
  <si>
    <t>Radhika Hembram</t>
  </si>
  <si>
    <t>Priya Deogam</t>
  </si>
  <si>
    <t>Rajesh Hembram</t>
  </si>
  <si>
    <t>Suraj Hembram</t>
  </si>
  <si>
    <t>JHIC/2022/628426</t>
  </si>
  <si>
    <t>7488270961</t>
  </si>
  <si>
    <t>JHIC/2022/631087</t>
  </si>
  <si>
    <t>Naghma Perween</t>
  </si>
  <si>
    <t>Sharia nasrah</t>
  </si>
  <si>
    <t>JHLRCO/2022/509738</t>
  </si>
  <si>
    <t>JHLRCO/2022/509764</t>
  </si>
  <si>
    <t>Mallika Gorai</t>
  </si>
  <si>
    <t>7295023154</t>
  </si>
  <si>
    <t>JHIC/2022/637051</t>
  </si>
  <si>
    <t>JHIC/2022/631151</t>
  </si>
  <si>
    <t>rejected guardian id not attachedn</t>
  </si>
  <si>
    <t>JHLRCO/2022/522464</t>
  </si>
  <si>
    <t>Shreyana Sen</t>
  </si>
  <si>
    <t>Md Irshad</t>
  </si>
  <si>
    <t>JHLRCO/2022/522551</t>
  </si>
  <si>
    <t>JHIC/2022/648364</t>
  </si>
  <si>
    <t>Ashit Raj</t>
  </si>
  <si>
    <t>JHRC/2022/397952</t>
  </si>
  <si>
    <t>7033537313</t>
  </si>
  <si>
    <t>JHIC/2022/650580</t>
  </si>
  <si>
    <t>JHLRCO/2022/524290</t>
  </si>
  <si>
    <t>zone no 1b</t>
  </si>
  <si>
    <t>7070153692</t>
  </si>
  <si>
    <t>Suman Jha</t>
  </si>
  <si>
    <t>8653015713</t>
  </si>
  <si>
    <t>cert not signed</t>
  </si>
  <si>
    <t>wrong cert attached</t>
  </si>
  <si>
    <t>JHLRCO/2022/532061</t>
  </si>
  <si>
    <t>Rishika Kumari</t>
  </si>
  <si>
    <t>Namda basti</t>
  </si>
  <si>
    <t>6200119070</t>
  </si>
  <si>
    <t>whatsapp sent</t>
  </si>
  <si>
    <t>JHRC/2022/405351</t>
  </si>
  <si>
    <t>Manmeet Bharti</t>
  </si>
  <si>
    <t>JHIC/2022/664574</t>
  </si>
  <si>
    <t>Shaquib Hussain</t>
  </si>
  <si>
    <t>7209443019</t>
  </si>
  <si>
    <t>Deepankar Mahato</t>
  </si>
  <si>
    <t>JHIC/2022/667023</t>
  </si>
  <si>
    <t>9931096336</t>
  </si>
  <si>
    <t>JHLRCO/2022/536886</t>
  </si>
  <si>
    <t>JHLRCO/2022/536965</t>
  </si>
  <si>
    <t>JHLRCO/2022/537009</t>
  </si>
  <si>
    <t>9102987983</t>
  </si>
  <si>
    <t>JHRC/2022/409485</t>
  </si>
  <si>
    <t>JHIC/2022/673768</t>
  </si>
  <si>
    <t>Sharmistha Mahato</t>
  </si>
  <si>
    <t>bgbera colony</t>
  </si>
  <si>
    <t>JHLRCO/2022/542162</t>
  </si>
  <si>
    <t>pkrngr</t>
  </si>
  <si>
    <t>JHEWS/2022/32206</t>
  </si>
  <si>
    <t>JHEWS/2022/31766</t>
  </si>
  <si>
    <t>JHIC/2022/677629</t>
  </si>
  <si>
    <t>JHIC/2022/677661</t>
  </si>
  <si>
    <t>Bhendi Mahato</t>
  </si>
  <si>
    <t>JHIC/2022/677703</t>
  </si>
  <si>
    <t>Dorthi Raj</t>
  </si>
  <si>
    <t>9142442985</t>
  </si>
  <si>
    <t>7857846742</t>
  </si>
  <si>
    <t>JHLRCO/2022/552672</t>
  </si>
  <si>
    <t>JHLRCO/2022/552700</t>
  </si>
  <si>
    <t>JHLRCO/2022/552743</t>
  </si>
  <si>
    <t>rejected due t affidavit</t>
  </si>
  <si>
    <t>Upload medical paper and ration card.</t>
  </si>
  <si>
    <t>JHLRCO/2022/553257</t>
  </si>
  <si>
    <t>8294632135</t>
  </si>
  <si>
    <t>JHRC/2022/418676</t>
  </si>
  <si>
    <t>JHIC/2022/689077</t>
  </si>
  <si>
    <t>JHRC/2022/419577</t>
  </si>
  <si>
    <t>Khatiyan sanglagna nahi hai</t>
  </si>
  <si>
    <t>Guidian identity proof not attached</t>
  </si>
  <si>
    <t>JHLRCO/2022/558796</t>
  </si>
  <si>
    <t>Ankir Dhar Choudhury</t>
  </si>
  <si>
    <t>9031904807</t>
  </si>
  <si>
    <t>JHIC/2022/701111</t>
  </si>
  <si>
    <t>Atif</t>
  </si>
  <si>
    <t>North</t>
  </si>
  <si>
    <t>JHIC/2022/701147</t>
  </si>
  <si>
    <t>JHIC/2022/703941</t>
  </si>
  <si>
    <t>ward 14</t>
  </si>
  <si>
    <t>JHIC/2022/704012</t>
  </si>
  <si>
    <t>Shariba Tasneem</t>
  </si>
  <si>
    <t>JHIC/2022/706040</t>
  </si>
  <si>
    <t>Md Tasleem</t>
  </si>
  <si>
    <t>JHIC/2022/706081</t>
  </si>
  <si>
    <t>Santosh Lohar</t>
  </si>
  <si>
    <t>JHIC/2022/706174</t>
  </si>
  <si>
    <t>JHIC/2022/706504</t>
  </si>
  <si>
    <t>Malti Hansda</t>
  </si>
  <si>
    <t>Hensalamda</t>
  </si>
  <si>
    <t>JHIC/2022/706560</t>
  </si>
  <si>
    <t>Form fill-up karke .. khatiyan ki copy attached kijiye</t>
  </si>
  <si>
    <t>JHRC/2022/426457</t>
  </si>
  <si>
    <t>JHIC/2022/724264</t>
  </si>
  <si>
    <t>east cho</t>
  </si>
  <si>
    <t>JHEWS/2022/33125</t>
  </si>
  <si>
    <t>Neha Kumari Yadav</t>
  </si>
  <si>
    <t>JHIC/2022/736685</t>
  </si>
  <si>
    <t>Mamta Devi</t>
  </si>
  <si>
    <t>Chaina Dutta</t>
  </si>
  <si>
    <t>JHIC/2022/736730</t>
  </si>
  <si>
    <t>JHRC/2022/441611</t>
  </si>
  <si>
    <t>Manisha Anthony</t>
  </si>
  <si>
    <t>7481040176</t>
  </si>
  <si>
    <t>Jachy Joseph</t>
  </si>
  <si>
    <t>JHRC/2022/442436</t>
  </si>
  <si>
    <t>khochabazr</t>
  </si>
  <si>
    <t>JHIC/2022/738789</t>
  </si>
  <si>
    <t>JHIC/2022/738860</t>
  </si>
  <si>
    <t>JHIC/2022/739129</t>
  </si>
  <si>
    <t>JHIC/2022/739212</t>
  </si>
  <si>
    <t>laltand</t>
  </si>
  <si>
    <t>JHCBC/2022/402970</t>
  </si>
  <si>
    <t>Bc1</t>
  </si>
  <si>
    <t>JHCBC/2022/402980</t>
  </si>
  <si>
    <t>M S Dhachatani</t>
  </si>
  <si>
    <t>Somwari Singh</t>
  </si>
  <si>
    <t>Sukurmani Ho</t>
  </si>
  <si>
    <t>Sudip Mahato</t>
  </si>
  <si>
    <t>Guruwari Ho</t>
  </si>
  <si>
    <t>JHSCST/2022/279763</t>
  </si>
  <si>
    <t>JHSCST/2022/279811</t>
  </si>
  <si>
    <t>JHSCST/2022/279847</t>
  </si>
  <si>
    <t>JHSCBC/2022/345495</t>
  </si>
  <si>
    <t>JHRC/2022/445351</t>
  </si>
  <si>
    <t>JHLRCO/2022/593602</t>
  </si>
  <si>
    <t>Mohan Das</t>
  </si>
  <si>
    <t>8002675657</t>
  </si>
  <si>
    <t>JHIC/2022/747659</t>
  </si>
  <si>
    <t>Sufiyan Danish</t>
  </si>
  <si>
    <t>JHIC/2022/749193</t>
  </si>
  <si>
    <t>K Rajesh Kumar</t>
  </si>
  <si>
    <t>JHIC/2022/753883</t>
  </si>
  <si>
    <t>JHIC/2022/753902</t>
  </si>
  <si>
    <t>Amit Raj</t>
  </si>
  <si>
    <t>JHIC/2022/753939</t>
  </si>
  <si>
    <t>JHLRCO/2022/597585</t>
  </si>
  <si>
    <t>Purnima</t>
  </si>
  <si>
    <t>JHCBC/2022/411351</t>
  </si>
  <si>
    <t>JHLRCO/2022/603774</t>
  </si>
  <si>
    <t>JHRC/2022/453576</t>
  </si>
  <si>
    <t>7633972616</t>
  </si>
  <si>
    <t>residenial not attached</t>
  </si>
  <si>
    <t>JHRC/2022/456683</t>
  </si>
  <si>
    <t>Aliya Suryya</t>
  </si>
  <si>
    <t>9504155280</t>
  </si>
  <si>
    <t>JHEWS/2022/33749</t>
  </si>
  <si>
    <t>JHEWSH/2022/05291</t>
  </si>
  <si>
    <t>6206911689</t>
  </si>
  <si>
    <t>original 10th marksheet</t>
  </si>
  <si>
    <t>Chandni HO</t>
  </si>
  <si>
    <t>JHIC/2022/780804</t>
  </si>
  <si>
    <t>JHCBC/2021/336496</t>
  </si>
  <si>
    <t>JHCST/2022/419537</t>
  </si>
  <si>
    <t>Shabnam Sultana</t>
  </si>
  <si>
    <t>JHIC/2022/792546</t>
  </si>
  <si>
    <t>JHLRCO/2022/622133</t>
  </si>
  <si>
    <t>zoen1b</t>
  </si>
  <si>
    <t>Manisha Srivastava</t>
  </si>
  <si>
    <t>Abdur Rahim</t>
  </si>
  <si>
    <t>JHIC/2022/799447</t>
  </si>
  <si>
    <t>Siddhartha Sharma</t>
  </si>
  <si>
    <t>JHLRCO/2022/625574</t>
  </si>
  <si>
    <t>Maheshwar Mahato</t>
  </si>
  <si>
    <t>JHCBC/2022/433569</t>
  </si>
  <si>
    <t>Lalmuni Devi</t>
  </si>
  <si>
    <t>JHIC/2022/803172</t>
  </si>
  <si>
    <t>JHIC/2022/803848</t>
  </si>
  <si>
    <t>JHLRCO/2022/630354</t>
  </si>
  <si>
    <t>Ananta Ghosh</t>
  </si>
  <si>
    <t>6200648891</t>
  </si>
  <si>
    <t>JHLRCO/2022/626497</t>
  </si>
  <si>
    <t>Shivani Gope</t>
  </si>
  <si>
    <t>JHIC/2022/814239</t>
  </si>
  <si>
    <t>JHLRCO/2022/634486</t>
  </si>
  <si>
    <t>JHIC/2022/814466</t>
  </si>
  <si>
    <t>zone 4</t>
  </si>
  <si>
    <t>JHIC/2022/823014</t>
  </si>
  <si>
    <t>govin</t>
  </si>
  <si>
    <t>JHIC/2022/823039</t>
  </si>
  <si>
    <t>JHEWS/2022/34288</t>
  </si>
  <si>
    <t>gadra nm</t>
  </si>
  <si>
    <t>JHEWS/2022/34292</t>
  </si>
  <si>
    <t>Soni Lal Saw</t>
  </si>
  <si>
    <t>JHIC/2022/827830</t>
  </si>
  <si>
    <t>Jiendra Prasad</t>
  </si>
  <si>
    <t>JHIC/2022/832452</t>
  </si>
  <si>
    <t>JHIC/2022/838347</t>
  </si>
  <si>
    <t>Geeta Ojha</t>
  </si>
  <si>
    <t>कृपया आवेदन करने का कारण दें एवं उससे सम्बंधित दस्तावेज अपलोड करें</t>
  </si>
  <si>
    <t>JHLRCO/2022/648900</t>
  </si>
  <si>
    <t>Reapplied</t>
  </si>
  <si>
    <t>ReApplied</t>
  </si>
  <si>
    <t>JHIC/2022/849001</t>
  </si>
  <si>
    <t>JHIC/2022/850094</t>
  </si>
  <si>
    <t>JHIC/2022/850114</t>
  </si>
  <si>
    <t>JHCBC/2022/455288</t>
  </si>
  <si>
    <t>JHCBC/2022/455307</t>
  </si>
  <si>
    <t>Tarapado Mahato</t>
  </si>
  <si>
    <t>Paritosh Mahato</t>
  </si>
  <si>
    <t>JHLRCO/2022/655279</t>
  </si>
  <si>
    <t>JHLRCO/2022/655158</t>
  </si>
  <si>
    <t>6200669366</t>
  </si>
  <si>
    <t>JHIC/2022/851559</t>
  </si>
  <si>
    <t>JHIC/2022/851658</t>
  </si>
  <si>
    <t>JHIC/2022/852899</t>
  </si>
  <si>
    <t>neha Kumari</t>
  </si>
  <si>
    <t>JHIC/2022/853764</t>
  </si>
  <si>
    <t>Md azim</t>
  </si>
  <si>
    <t>JHIC/2022/852905</t>
  </si>
  <si>
    <t>JHEWS/2022/34548</t>
  </si>
  <si>
    <t>ward 2</t>
  </si>
  <si>
    <t>JHIC/2022/861292</t>
  </si>
  <si>
    <t>Smriti Dev</t>
  </si>
  <si>
    <t>JHLRCO/2022/661897</t>
  </si>
  <si>
    <t>jacky Joseph</t>
  </si>
  <si>
    <t>JHIC/2022/867111</t>
  </si>
  <si>
    <t>Parbati Soren</t>
  </si>
  <si>
    <t>Rachna Singh</t>
  </si>
  <si>
    <t>JHIC/2022/867187</t>
  </si>
  <si>
    <t>Rajalaxmi Mishra</t>
  </si>
  <si>
    <t>JHIC/2022/867212</t>
  </si>
  <si>
    <t>Karan Sharma</t>
  </si>
  <si>
    <t>Khara</t>
  </si>
  <si>
    <t>JHIC/2022/869746</t>
  </si>
  <si>
    <t>JHLRCO/2022/665002</t>
  </si>
  <si>
    <t>JHLRCO/2022/670103</t>
  </si>
  <si>
    <t>ghatshila</t>
  </si>
  <si>
    <t>JHIC/2022/881422</t>
  </si>
  <si>
    <t>JHIC/2022/883670</t>
  </si>
  <si>
    <t>Amit Kumra Jha</t>
  </si>
  <si>
    <t>JHIC/2022/883680</t>
  </si>
  <si>
    <t>JHRC/2022/499687</t>
  </si>
  <si>
    <t>Ranjan Kumar Mishra</t>
  </si>
  <si>
    <t>7992210954</t>
  </si>
  <si>
    <t>JHIC/2022/886735</t>
  </si>
  <si>
    <t>JHIC/2022/886630</t>
  </si>
  <si>
    <t>JHIC/2022/886852</t>
  </si>
  <si>
    <t>JHIC/2022/886894</t>
  </si>
  <si>
    <t>JHRC/2022/499898</t>
  </si>
  <si>
    <t>6290383913</t>
  </si>
  <si>
    <t>Niloy Biswas</t>
  </si>
  <si>
    <t>6202200570</t>
  </si>
  <si>
    <t>Bhola Bhandari</t>
  </si>
  <si>
    <t>JHRC/2022/499912</t>
  </si>
  <si>
    <t>860325205</t>
  </si>
  <si>
    <t>Vivek kumar tiwary</t>
  </si>
  <si>
    <t>JHLRCO/2022/673708</t>
  </si>
  <si>
    <t>JHLRCO/2022/676039</t>
  </si>
  <si>
    <t>8521632319</t>
  </si>
  <si>
    <t>Richa Verma</t>
  </si>
  <si>
    <t>JHLRCO/2022/676056</t>
  </si>
  <si>
    <t>JHLRCO/2022/678156</t>
  </si>
  <si>
    <t>7543080215</t>
  </si>
  <si>
    <t>whtsapp</t>
  </si>
  <si>
    <t>prakashngr</t>
  </si>
  <si>
    <t>JHIC/2022/902649</t>
  </si>
  <si>
    <t>JHIC/2022/903132</t>
  </si>
  <si>
    <t>JHIC/2022/903151</t>
  </si>
  <si>
    <t>Sanjay Gorai</t>
  </si>
  <si>
    <t>7366982903</t>
  </si>
  <si>
    <t>JHRC/2022/506459</t>
  </si>
  <si>
    <t>Pieu Malick</t>
  </si>
  <si>
    <t>JHIC/2022/906347</t>
  </si>
  <si>
    <t>JHIC/2022/906374</t>
  </si>
  <si>
    <t>Vikrama Ram</t>
  </si>
  <si>
    <t>JHIC/2022/906405</t>
  </si>
  <si>
    <t>Ankit Dhar Choudhury</t>
  </si>
  <si>
    <t>no due</t>
  </si>
  <si>
    <t>Narayan Singh Munda</t>
  </si>
  <si>
    <t>JHIC/2022/924153</t>
  </si>
  <si>
    <t>JHIC/2022/924414</t>
  </si>
  <si>
    <t>attach latest rc</t>
  </si>
  <si>
    <t>attach valide income cert</t>
  </si>
  <si>
    <t>Banita Nayak</t>
  </si>
  <si>
    <t>Bibhuti Bhusan Nayak</t>
  </si>
  <si>
    <t>Mantu Shaw</t>
  </si>
  <si>
    <t>JHIC/2022/928619</t>
  </si>
  <si>
    <t>JHIC/2022/928689</t>
  </si>
  <si>
    <t>JHIC/2022/928701</t>
  </si>
  <si>
    <t>JHIC/2022/933031</t>
  </si>
  <si>
    <t>JHIC/2022/933074</t>
  </si>
  <si>
    <t>JHIC/2022/933252</t>
  </si>
  <si>
    <t>JHLRCO/2022/696459</t>
  </si>
  <si>
    <t>Dhiraj kumar kamet</t>
  </si>
  <si>
    <t>6201252292</t>
  </si>
  <si>
    <t>JHIC/2022/939289</t>
  </si>
  <si>
    <t>Rohit Tiwary</t>
  </si>
  <si>
    <t>Anima Ganguli</t>
  </si>
  <si>
    <t>JHIC/2022/947937</t>
  </si>
  <si>
    <t>Saurav Kumar</t>
  </si>
  <si>
    <t>JHIC/2022/950501</t>
  </si>
  <si>
    <t>JHIC/2022/959131</t>
  </si>
  <si>
    <t>JHIC/2022/957785</t>
  </si>
  <si>
    <t>JHEWS/2022/36689</t>
  </si>
  <si>
    <t>7209409122</t>
  </si>
  <si>
    <t>JHEWS/2022/36620</t>
  </si>
  <si>
    <t>26--11-2022</t>
  </si>
  <si>
    <t>Amit Prasad</t>
  </si>
  <si>
    <t>Aneef Akhter</t>
  </si>
  <si>
    <t>6287830641</t>
  </si>
  <si>
    <t>JHRC/2022/525779</t>
  </si>
  <si>
    <t>JHRC/2022/525818</t>
  </si>
  <si>
    <t>Sanchita kumari</t>
  </si>
  <si>
    <t>Goutam kr mishra</t>
  </si>
  <si>
    <t>JHRC/2022/525889</t>
  </si>
  <si>
    <t>jp</t>
  </si>
  <si>
    <t>JHRC/2022/525909</t>
  </si>
  <si>
    <t>JHIC/2022/963905</t>
  </si>
  <si>
    <t>Shiv Nath Munda</t>
  </si>
  <si>
    <t>Rohit Tiwari</t>
  </si>
  <si>
    <t>6203373637</t>
  </si>
  <si>
    <t>JHEWS/2022/36793</t>
  </si>
  <si>
    <t>JHLRCO/2022/715014</t>
  </si>
  <si>
    <t>JHIC/2022/972796</t>
  </si>
  <si>
    <t>Dina Nath Tiwary</t>
  </si>
  <si>
    <t>Anjali Singh</t>
  </si>
  <si>
    <t>8210087447</t>
  </si>
  <si>
    <t>JHLRCO/2022/717128</t>
  </si>
  <si>
    <t>Gopi Kumar Mishra</t>
  </si>
  <si>
    <t>JHLRCO/2022/717172</t>
  </si>
  <si>
    <t>JHRC/2022/531171</t>
  </si>
  <si>
    <t>Rishu Raj</t>
  </si>
  <si>
    <t>JHEWSH/2022/05936</t>
  </si>
  <si>
    <t>SEND</t>
  </si>
  <si>
    <t>JHLRCO/2022/720918</t>
  </si>
  <si>
    <t>Arunima Roy</t>
  </si>
  <si>
    <t>7091596095</t>
  </si>
  <si>
    <t>JHLRCO/2022/720930</t>
  </si>
  <si>
    <t>8092265970</t>
  </si>
  <si>
    <t>JHIC/2022/983643</t>
  </si>
  <si>
    <t>Subrarta Chowdhury</t>
  </si>
  <si>
    <t>9835487909</t>
  </si>
  <si>
    <t>Veenita Singh</t>
  </si>
  <si>
    <t>JHLRCO/2022/721082</t>
  </si>
  <si>
    <t xml:space="preserve">delivered </t>
  </si>
  <si>
    <t>JHLRCO/2022/723891</t>
  </si>
  <si>
    <t>Sakshi Kumari Giri</t>
  </si>
  <si>
    <t>7903948022</t>
  </si>
  <si>
    <t>JHLRCO/2022/723906</t>
  </si>
  <si>
    <t>6203590858</t>
  </si>
  <si>
    <t>Aditya Pratap Singh</t>
  </si>
  <si>
    <t>8252678690</t>
  </si>
  <si>
    <t>6201724631</t>
  </si>
  <si>
    <t>Sweta Singh</t>
  </si>
  <si>
    <t>7488261673</t>
  </si>
  <si>
    <t>Rajeswani Tomar</t>
  </si>
  <si>
    <t>Sarwan Kumar Singh</t>
  </si>
  <si>
    <t>Ritika Rani</t>
  </si>
  <si>
    <t>JHLRCO/2022/724590</t>
  </si>
  <si>
    <t>JHLRCO/2022/724603</t>
  </si>
  <si>
    <t>JHLRCO/2022/724619</t>
  </si>
  <si>
    <t>JHLRCO/2022/724629</t>
  </si>
  <si>
    <t>JHLRCO/2022/724960</t>
  </si>
  <si>
    <t>JHLRCO/2022/724978</t>
  </si>
  <si>
    <t>Mayank Raj</t>
  </si>
  <si>
    <t>West Bengal DOB</t>
  </si>
  <si>
    <t>JHLRCO/2022/725738</t>
  </si>
  <si>
    <t>forged BC</t>
  </si>
  <si>
    <t xml:space="preserve">ok </t>
  </si>
  <si>
    <t>Avedika married hai and husband side ka documents attached nahi hai</t>
  </si>
  <si>
    <t>JHLRCO/2022/724986</t>
  </si>
  <si>
    <t>Rahul Rai</t>
  </si>
  <si>
    <t>JHLRCO/2022/725990</t>
  </si>
  <si>
    <t>JHLRCO/2022/725998</t>
  </si>
  <si>
    <t>Attached khatiyan me mauja ankit nahi hai</t>
  </si>
  <si>
    <t>Attached Bonafide Certificate From 1 to 10</t>
  </si>
  <si>
    <t>Shivam Kumar jha</t>
  </si>
  <si>
    <t>JHLRCO/2022/728241</t>
  </si>
  <si>
    <t>Reshmi Pandey</t>
  </si>
  <si>
    <t>JHLRCO/2022/728250</t>
  </si>
  <si>
    <t>JHLRCO/2022/728738</t>
  </si>
  <si>
    <t>Sonu Saw</t>
  </si>
  <si>
    <t>JHIC/2022/999422</t>
  </si>
  <si>
    <t>Md Sagir Khan</t>
  </si>
  <si>
    <t>JHIC/2022/999569</t>
  </si>
  <si>
    <t>Imtiyaz Ahmad</t>
  </si>
  <si>
    <t>Mushtaque Ahmad Shamsi</t>
  </si>
  <si>
    <t>Yashmin Khatoon</t>
  </si>
  <si>
    <t>Reyaz Ahmad Siddique</t>
  </si>
  <si>
    <t>JHIC/2022/999684</t>
  </si>
  <si>
    <t>Reshm Ara</t>
  </si>
  <si>
    <t>JHIC/2022/999703</t>
  </si>
  <si>
    <t>8986624162</t>
  </si>
  <si>
    <t>JHLRCO/2022/730721</t>
  </si>
  <si>
    <t>Anushka upadhyay</t>
  </si>
  <si>
    <t>Bagbera</t>
  </si>
  <si>
    <t>JHLRCO/2022/730999</t>
  </si>
  <si>
    <t>Pampi Kumari</t>
  </si>
  <si>
    <t>JHIC/2022/1003176</t>
  </si>
  <si>
    <t>sethi</t>
  </si>
  <si>
    <t>JHIC/2022/1003202</t>
  </si>
  <si>
    <t>Mehwish</t>
  </si>
  <si>
    <t>JHIC/2022/999663</t>
  </si>
  <si>
    <t>Aatish Verma</t>
  </si>
  <si>
    <t>JHLRCO/2022/731684</t>
  </si>
  <si>
    <t>JHIC/2022/999531</t>
  </si>
  <si>
    <t>JHLRCO/2022/733189</t>
  </si>
  <si>
    <t>Lalan Kumar Sah</t>
  </si>
  <si>
    <t>JHLRCO/2022/733237</t>
  </si>
  <si>
    <t>Rahul Prajapati</t>
  </si>
  <si>
    <t>JHLRCO/2022/733262</t>
  </si>
  <si>
    <t>Sonu Gope</t>
  </si>
  <si>
    <t>JHIC/2022/1008423</t>
  </si>
  <si>
    <t>JHLRCO/2022/733249</t>
  </si>
  <si>
    <t>Diya Kumari</t>
  </si>
  <si>
    <t>JHLRCO/2022/734212</t>
  </si>
  <si>
    <t>Megha Raj</t>
  </si>
  <si>
    <t>JHLRCO/2022/735921</t>
  </si>
  <si>
    <t>JHEWS/2022/37541</t>
  </si>
  <si>
    <t>Ajit Kumar</t>
  </si>
  <si>
    <t>6203498366</t>
  </si>
  <si>
    <t>Subhojit Chatterjee</t>
  </si>
  <si>
    <t>JHLRCO/2022/737238</t>
  </si>
  <si>
    <t>JHLRCO/2022/737893</t>
  </si>
  <si>
    <t>Asmi Rathore Singh</t>
  </si>
  <si>
    <t>JHLRCO/2022/738277</t>
  </si>
  <si>
    <t>Jatin Pandey</t>
  </si>
  <si>
    <t>sanlagn khatiyan me mouza ankit nahi hai</t>
  </si>
  <si>
    <t>JHCBC/2022/516053</t>
  </si>
  <si>
    <t>Rupam Mahato</t>
  </si>
  <si>
    <t>JHIC/2022/1024371</t>
  </si>
  <si>
    <t>Nitai Torai</t>
  </si>
  <si>
    <t>W16</t>
  </si>
  <si>
    <t>can be rejected</t>
  </si>
  <si>
    <t>Simranjeet kaur</t>
  </si>
  <si>
    <t>JHIC/2022/1024991</t>
  </si>
  <si>
    <t>JHIC/2022/1028435</t>
  </si>
  <si>
    <t>Shubham Kr Singh</t>
  </si>
  <si>
    <t>JHIC/2022/1028516</t>
  </si>
  <si>
    <t>JHEWS/2022/37839</t>
  </si>
  <si>
    <t>whtapp</t>
  </si>
  <si>
    <t>JHLRCO/2022/744285</t>
  </si>
  <si>
    <t>Md Sarfaraz Hussain</t>
  </si>
  <si>
    <t>9835991889</t>
  </si>
  <si>
    <t>JHEWS/2022/38006</t>
  </si>
  <si>
    <t>JHEWS/2022/38043</t>
  </si>
  <si>
    <t>JHIC/2022/1044772</t>
  </si>
  <si>
    <t>Md Suhail</t>
  </si>
  <si>
    <t>JHIC/2022/1045644</t>
  </si>
  <si>
    <t>JHIC/2022/1045672</t>
  </si>
  <si>
    <t>Rejected due to improper id</t>
  </si>
  <si>
    <t>JHEWS/2022/38045</t>
  </si>
  <si>
    <t>JHIC/2022/1052286</t>
  </si>
  <si>
    <t>JHIC/2022/1054398</t>
  </si>
  <si>
    <t>JHIC/2022/1054478</t>
  </si>
  <si>
    <t>Angoori Naz</t>
  </si>
  <si>
    <t>JHIC/2022/1054541</t>
  </si>
  <si>
    <t>JHIC/2022/1054596</t>
  </si>
  <si>
    <t>JHLRCO/2022/756820</t>
  </si>
  <si>
    <t>Anurag Sharan</t>
  </si>
  <si>
    <t>vijaya garden</t>
  </si>
  <si>
    <t>Sunil kumar Prasad</t>
  </si>
  <si>
    <t>JHLRCO/2022/759350</t>
  </si>
  <si>
    <t>JHCST/2022/499325</t>
  </si>
  <si>
    <t>Tib Kumari</t>
  </si>
  <si>
    <t>JHIC/2022/1059610</t>
  </si>
  <si>
    <t>100 Due</t>
  </si>
  <si>
    <t>whtaspp</t>
  </si>
  <si>
    <t>JHLRCO/2022/765424</t>
  </si>
  <si>
    <t>JHIC/2022/1073011</t>
  </si>
  <si>
    <t>JHIC/2022/1073040</t>
  </si>
  <si>
    <t>Awedak awaden ke anusar sapat Patra galat hone se asukrit Kiya ja sakta hai.</t>
  </si>
  <si>
    <t>Varsha Gupta</t>
  </si>
  <si>
    <t>JHRC/2022/561557</t>
  </si>
  <si>
    <t>West</t>
  </si>
  <si>
    <t>Telco colony</t>
  </si>
  <si>
    <t>JHEWS/2022/38623</t>
  </si>
  <si>
    <t>Mohammad Shehar Yaar Tausif</t>
  </si>
  <si>
    <t>JHIC/2022/1077615</t>
  </si>
  <si>
    <t>JHIC/2022/1078205</t>
  </si>
  <si>
    <t>Jay Shankar K</t>
  </si>
  <si>
    <t>JHIC/2022/1078221</t>
  </si>
  <si>
    <t>Shalu Singh</t>
  </si>
  <si>
    <t>Sathi Singh</t>
  </si>
  <si>
    <t>JHLRCO/2022/769796</t>
  </si>
  <si>
    <t>seraikella</t>
  </si>
  <si>
    <t>Bulti Gorai</t>
  </si>
  <si>
    <t>JHLRCO/2022/769939</t>
  </si>
  <si>
    <t>JHIC/2023/18963</t>
  </si>
  <si>
    <t>BC invalid</t>
  </si>
  <si>
    <t>Renu SIngh</t>
  </si>
  <si>
    <t>address proof not attached</t>
  </si>
  <si>
    <t>JHIC/2023/24785</t>
  </si>
  <si>
    <t>JHIC/2023/25742</t>
  </si>
  <si>
    <t>JHIC/2023/25881</t>
  </si>
  <si>
    <t>JHLRCO/2023/14108</t>
  </si>
  <si>
    <t>Phulmati Bandia</t>
  </si>
  <si>
    <t>kalimati</t>
  </si>
  <si>
    <t>JHCST/2023/07210</t>
  </si>
  <si>
    <t>JHLRCO/2023/16190</t>
  </si>
  <si>
    <t>Shriya sri pandit</t>
  </si>
  <si>
    <t>JHIC/2023/31145</t>
  </si>
  <si>
    <t>JHIC/2023/31190</t>
  </si>
  <si>
    <t>Naresh Kumar Rajak</t>
  </si>
  <si>
    <t>Farheen Ghazali</t>
  </si>
  <si>
    <t>nweb.hub@gmail.com</t>
  </si>
  <si>
    <t>outside</t>
  </si>
  <si>
    <t>JHRC/2023/11306</t>
  </si>
  <si>
    <t>GOVHARHNA Mahato</t>
  </si>
  <si>
    <t>Pranay Kumar Mahato</t>
  </si>
  <si>
    <t>JHIC/2023/39097</t>
  </si>
  <si>
    <t>JHLRCO/2023/21561</t>
  </si>
  <si>
    <t>JHCBC/2023/16049</t>
  </si>
  <si>
    <t>Pranay Kumar mahato</t>
  </si>
  <si>
    <t>ghatsila</t>
  </si>
  <si>
    <t>JHIC/2023/41317</t>
  </si>
  <si>
    <t>JHIC/2023/41334</t>
  </si>
  <si>
    <t>JHRC/2023/14797</t>
  </si>
  <si>
    <t>JHCBC/2023/16395</t>
  </si>
  <si>
    <t>Rakesh Lohar</t>
  </si>
  <si>
    <t>JHIC/2023/43875</t>
  </si>
  <si>
    <t>JHLRCO/2023/27989</t>
  </si>
  <si>
    <t>Ayan Kar</t>
  </si>
  <si>
    <t xml:space="preserve">halka 3 not belong to </t>
  </si>
  <si>
    <t>JHLRCO/2023/30778</t>
  </si>
  <si>
    <t>Md Hashir Akhtar</t>
  </si>
  <si>
    <t>JHLRCO/2023/30939</t>
  </si>
  <si>
    <t>Goutam kumar Mishra</t>
  </si>
  <si>
    <t>JHIC/2023/59252</t>
  </si>
  <si>
    <t>Chandani Devi</t>
  </si>
  <si>
    <t>aff by faher with id</t>
  </si>
  <si>
    <t>JHIC/2023/59300</t>
  </si>
  <si>
    <t>JHIC/2023/63274</t>
  </si>
  <si>
    <t>Nandlal Gorai</t>
  </si>
  <si>
    <t>JHLRCO/2023/35676</t>
  </si>
  <si>
    <t>Mohammed Nayeem</t>
  </si>
  <si>
    <t>JHRC/2023/23912</t>
  </si>
  <si>
    <t>Sukhbir Singh Dhanjal</t>
  </si>
  <si>
    <t>JHRC/2023/24009</t>
  </si>
  <si>
    <t>JHIC/2023/66656</t>
  </si>
  <si>
    <t>Devendra Thakur</t>
  </si>
  <si>
    <t>JHIC/2022/1079460</t>
  </si>
  <si>
    <t>JHIC/2022/1079415</t>
  </si>
  <si>
    <t>REJECTED DUE TO MISSING LAND RELATED DOC.</t>
  </si>
  <si>
    <t>JHIC/2023/72418</t>
  </si>
  <si>
    <t>w17</t>
  </si>
  <si>
    <t>JHIC/2023/72458</t>
  </si>
  <si>
    <t>Keshab Kumar</t>
  </si>
  <si>
    <t>JHRC/2023/26381</t>
  </si>
  <si>
    <t>Gyan Sagar Prasad</t>
  </si>
  <si>
    <t>JHIC/2023/75178</t>
  </si>
  <si>
    <t>JHIC/2023/75223</t>
  </si>
  <si>
    <t>JHEWS/2023/03675</t>
  </si>
  <si>
    <t>Sidra Ekram</t>
  </si>
  <si>
    <t>JHLRCO/2023/46218</t>
  </si>
  <si>
    <t>JHIC/2023/72437</t>
  </si>
  <si>
    <t>JHSTH/2023/02797</t>
  </si>
  <si>
    <t>JHRC/2023/31004</t>
  </si>
  <si>
    <t>Palak Bharti</t>
  </si>
  <si>
    <t>JHRC/2023/31039</t>
  </si>
  <si>
    <t>JHIC/2023/84820</t>
  </si>
  <si>
    <t>Kripa Devi</t>
  </si>
  <si>
    <t>JHIC/2023/84872</t>
  </si>
  <si>
    <t>Income certificate and EWS related affidavit not attached</t>
  </si>
  <si>
    <t>whatsapp</t>
  </si>
  <si>
    <t>JHEWS/2023/04080</t>
  </si>
  <si>
    <t>JHIC/2023/84848</t>
  </si>
  <si>
    <t>50due</t>
  </si>
  <si>
    <t>JHIC/2023/93021</t>
  </si>
  <si>
    <t>JHLRCO/2023/33065</t>
  </si>
  <si>
    <t>JHIC/2023/98657</t>
  </si>
  <si>
    <t>JHIC/2023/98691</t>
  </si>
  <si>
    <t>JHIC/2023/98746</t>
  </si>
  <si>
    <t>sangeeta mahato</t>
  </si>
  <si>
    <t>JHLRCO/2023/60466</t>
  </si>
  <si>
    <t>WRONG DOB/BIHAR 10TH</t>
  </si>
  <si>
    <t>JHCBC/2023/40610</t>
  </si>
  <si>
    <t>Kishor Mahato</t>
  </si>
  <si>
    <t>JHCOB/2023/09485</t>
  </si>
  <si>
    <t>JHEWS/2023/05114</t>
  </si>
  <si>
    <t>Kriti Pandey</t>
  </si>
  <si>
    <t>9608255547</t>
  </si>
  <si>
    <t>chhotagovindpur</t>
  </si>
  <si>
    <t>JHCST/2023/33220</t>
  </si>
  <si>
    <t>Koyeli Soren</t>
  </si>
  <si>
    <t>JHRC/2023/38734</t>
  </si>
  <si>
    <t>JHIC/2023/107435</t>
  </si>
  <si>
    <t>JHSTH/2023/03988</t>
  </si>
  <si>
    <t>Mamta Singh</t>
  </si>
  <si>
    <t>JHIC/2023/111054</t>
  </si>
  <si>
    <t>JHIC/2023/112373</t>
  </si>
  <si>
    <t>Rahul kr mishra</t>
  </si>
  <si>
    <t xml:space="preserve">whtaspp </t>
  </si>
  <si>
    <t>JHLRCO/2023/72584</t>
  </si>
  <si>
    <t>JHRC/2023/47445</t>
  </si>
  <si>
    <t>Akshita Kumari</t>
  </si>
  <si>
    <t>Akash Kumar Singh</t>
  </si>
  <si>
    <t>JHRC/2023/48150</t>
  </si>
  <si>
    <t>JHLRCO/2023/76848</t>
  </si>
  <si>
    <t>Shalu singh</t>
  </si>
  <si>
    <t>sathi singh</t>
  </si>
  <si>
    <t>JHCST/2023/41827</t>
  </si>
  <si>
    <t>Ch Dhananjay Shankar Rao</t>
  </si>
  <si>
    <t>Anamika Mazumdar</t>
  </si>
  <si>
    <t>JHLRCO/2023/79554</t>
  </si>
  <si>
    <t>JHLRCO/2023/79572</t>
  </si>
  <si>
    <t>JHLRCO/2023/80564</t>
  </si>
  <si>
    <t>JHIC/2023/132303</t>
  </si>
  <si>
    <t>Kshama Kumari</t>
  </si>
  <si>
    <t>Shreya Kumari</t>
  </si>
  <si>
    <t>JHRC/2023/52281</t>
  </si>
  <si>
    <t>JHRC/2023/52290</t>
  </si>
  <si>
    <t>JHIC/2023/136653</t>
  </si>
  <si>
    <t>JHIC/2023/136677</t>
  </si>
  <si>
    <t>JHLRCO/2023/83977</t>
  </si>
  <si>
    <t>Sejal Singh</t>
  </si>
  <si>
    <t>Sonu Kumar Singh</t>
  </si>
  <si>
    <t>JHIC/2023/147372</t>
  </si>
  <si>
    <t>Piyush Kumar</t>
  </si>
  <si>
    <t>JHIC/2023/147408</t>
  </si>
  <si>
    <t>satyapit vansawali?</t>
  </si>
  <si>
    <t>JHLRCO/2023/93655</t>
  </si>
  <si>
    <t>Ananya Sarkar</t>
  </si>
  <si>
    <t>JHLRCO/2023/97829</t>
  </si>
  <si>
    <t>JHIC/2023/157109</t>
  </si>
  <si>
    <t>JHIC/2023/169663</t>
  </si>
  <si>
    <t>Rathi Kant Das</t>
  </si>
  <si>
    <t>21-02-223</t>
  </si>
  <si>
    <t>Vivek Kumar</t>
  </si>
  <si>
    <t>JHRC/2023/66983</t>
  </si>
  <si>
    <t>Pawan kumar Mahato</t>
  </si>
  <si>
    <t>JHIC/2023/185397</t>
  </si>
  <si>
    <t>JHIC/2023/186965</t>
  </si>
  <si>
    <t>JHIC/2023/189877</t>
  </si>
  <si>
    <t>JHIC/2023/190160</t>
  </si>
  <si>
    <t>JHLRCO/2023/115480</t>
  </si>
  <si>
    <t>JHCST/2023/65142</t>
  </si>
  <si>
    <t>JHIC/2023/201056</t>
  </si>
  <si>
    <t>JHIC/2023/221117</t>
  </si>
  <si>
    <t>Ragini Goswami</t>
  </si>
  <si>
    <t>Zarqua Tarannum</t>
  </si>
  <si>
    <t>01-032023</t>
  </si>
  <si>
    <t>7991170521</t>
  </si>
  <si>
    <t>JHIC/2023/262065</t>
  </si>
  <si>
    <t>Bashirul Mustafa</t>
  </si>
  <si>
    <t>JHIC/2023/263553</t>
  </si>
  <si>
    <t>Kanhai Kumar Mishra</t>
  </si>
  <si>
    <t>JHIC/2023/263754</t>
  </si>
  <si>
    <t>JHCOB/2023/17840</t>
  </si>
  <si>
    <t>JHRC/2023/83272</t>
  </si>
  <si>
    <t>JHCBC/2023/87169</t>
  </si>
  <si>
    <t>b1</t>
  </si>
  <si>
    <t>JHEWS/2023/10769</t>
  </si>
  <si>
    <t>Rakesh Mahato</t>
  </si>
  <si>
    <t>Rupesh Mahato</t>
  </si>
  <si>
    <t>JHIC/2023/271773</t>
  </si>
  <si>
    <t>JHLRCO/2023/140486</t>
  </si>
  <si>
    <t>JHLRCO/2023/140522</t>
  </si>
  <si>
    <t>JHCBC/2023/87712</t>
  </si>
  <si>
    <t>JHCOB/2023/19994</t>
  </si>
  <si>
    <t>JHCBC/2023/88534</t>
  </si>
  <si>
    <t>JHIC/2023/271576</t>
  </si>
  <si>
    <t>can be rejected due to wrongbrith</t>
  </si>
  <si>
    <t>vansawali missing</t>
  </si>
  <si>
    <t>JHEWS/2023/10042</t>
  </si>
  <si>
    <t>JHEWS/2023/01461</t>
  </si>
  <si>
    <t>JHEWS/2023/10041</t>
  </si>
  <si>
    <t>JHCOB/2023/20443</t>
  </si>
  <si>
    <t>JHIC/2023/307717</t>
  </si>
  <si>
    <t>Syed Nazmus Saquib</t>
  </si>
  <si>
    <t>JHIC/2023/307812</t>
  </si>
  <si>
    <t>JHIC/2023/341524</t>
  </si>
  <si>
    <t>JHIC/2023/341613</t>
  </si>
  <si>
    <t>Anurag Panigrahi</t>
  </si>
  <si>
    <t>JHIC/2023/367907</t>
  </si>
  <si>
    <t>JHIC/2023/373802</t>
  </si>
  <si>
    <t>JHIC/2023/389716</t>
  </si>
  <si>
    <t>JHLRCO/2023/178682</t>
  </si>
  <si>
    <t>Joh Jeral Joseph</t>
  </si>
  <si>
    <t>barid W 12</t>
  </si>
  <si>
    <t>JHEWS/2023/12502</t>
  </si>
  <si>
    <t>may be rejected criteria?</t>
  </si>
  <si>
    <t>JHIC/2023/433460</t>
  </si>
  <si>
    <t>JHIC/2023/433877</t>
  </si>
  <si>
    <t>Chaitaki pradhan</t>
  </si>
  <si>
    <t>Ekansh Prasad</t>
  </si>
  <si>
    <t>chhota govind</t>
  </si>
  <si>
    <t>JHLRCO/2023/190064</t>
  </si>
  <si>
    <t>JHIC/2023/473676</t>
  </si>
  <si>
    <t>Aman das</t>
  </si>
  <si>
    <t>Lalita Mall</t>
  </si>
  <si>
    <t>JHIC/2023/475289</t>
  </si>
  <si>
    <t>Chandra Prabha Tiwary</t>
  </si>
  <si>
    <t>baridh</t>
  </si>
  <si>
    <t>JHLRCO/2023/200069</t>
  </si>
  <si>
    <t>JHEWS/2023/13398</t>
  </si>
  <si>
    <t>8409926686</t>
  </si>
  <si>
    <t>JHEWS/2023/13471</t>
  </si>
  <si>
    <t>chhot govindpur</t>
  </si>
  <si>
    <t>Vishal kumar</t>
  </si>
  <si>
    <t>JHIC/2023/509584</t>
  </si>
  <si>
    <t>JHLRCO/2023/190018</t>
  </si>
  <si>
    <t>JHIC/2023/509683</t>
  </si>
  <si>
    <t>JHLRCO/2023/211288</t>
  </si>
  <si>
    <t>Aabhas Kumar</t>
  </si>
  <si>
    <t>JHLRCO/2023/214722</t>
  </si>
  <si>
    <t>JHIC/2023/524190</t>
  </si>
  <si>
    <t>Youbin Hembram</t>
  </si>
  <si>
    <t>JHIC/2023/524344</t>
  </si>
  <si>
    <t>Abhishek Kumar Sharma</t>
  </si>
  <si>
    <t>JHLRCO/2023/216377</t>
  </si>
  <si>
    <t>JHLRCO/2023/220044</t>
  </si>
  <si>
    <t>Sneha Sinha</t>
  </si>
  <si>
    <t>Atharv Sinha</t>
  </si>
  <si>
    <t>JHRC/2023/122126</t>
  </si>
  <si>
    <t>JHIC/2023/546094</t>
  </si>
  <si>
    <t>ch dhananjay shankar rao</t>
  </si>
  <si>
    <t>whatsa pp sent 29-03-2023</t>
  </si>
  <si>
    <t>JHOBCH/2023/22115</t>
  </si>
  <si>
    <t>JHLRCO/2023/231693</t>
  </si>
  <si>
    <t>JHEWSH/2023/03755</t>
  </si>
  <si>
    <t>7004512902</t>
  </si>
  <si>
    <t>J Shankar K</t>
  </si>
  <si>
    <t>JHEWS/2023/16101</t>
  </si>
  <si>
    <t>JHEWS/2023/16110</t>
  </si>
  <si>
    <t>JHEWSH/2023/03758</t>
  </si>
  <si>
    <t>Bittu Kumar</t>
  </si>
  <si>
    <t>JHLRCO/2023/240744</t>
  </si>
  <si>
    <t>Aditya Raj</t>
  </si>
  <si>
    <t>JHLRCO/2023/240823</t>
  </si>
  <si>
    <t>JHIC/2023/584770</t>
  </si>
  <si>
    <t>Shivam Srivastav</t>
  </si>
  <si>
    <t>JHIC/2023/584953</t>
  </si>
  <si>
    <t>JHLRCO/2023/244746</t>
  </si>
  <si>
    <t>Simran Saini</t>
  </si>
  <si>
    <t>Harmeet Singh</t>
  </si>
  <si>
    <t>JHLRCO/2023/244767</t>
  </si>
  <si>
    <t>JHCST/2023/122051</t>
  </si>
  <si>
    <t>JHLRCO/2023/247973</t>
  </si>
  <si>
    <t>Chandana Singh</t>
  </si>
  <si>
    <t>JHCST/2023/123646</t>
  </si>
  <si>
    <t>JHIC/2023/585091</t>
  </si>
  <si>
    <t>JHRC/2023/137993</t>
  </si>
  <si>
    <t>Sagar Kumar</t>
  </si>
  <si>
    <t>ramadhinbagan</t>
  </si>
  <si>
    <t>9142797447</t>
  </si>
  <si>
    <t>JHEWS/2023/17245</t>
  </si>
  <si>
    <t>7981404296</t>
  </si>
  <si>
    <t>JHEWS/2023/17336</t>
  </si>
  <si>
    <t>Chandrakala Devi</t>
  </si>
  <si>
    <t>JHIC/2023/606410</t>
  </si>
  <si>
    <t>JHIC/2023/612531</t>
  </si>
  <si>
    <t>JHCST/2023/128975</t>
  </si>
  <si>
    <t>Raju Soren</t>
  </si>
  <si>
    <t>Sarswati Kumari</t>
  </si>
  <si>
    <t>JHIC/2023/628518</t>
  </si>
  <si>
    <t>Pending</t>
  </si>
  <si>
    <t>JHCST/2023/134022</t>
  </si>
  <si>
    <t>JHLRCO/2023/274467</t>
  </si>
  <si>
    <t>Bawana Venkat Murli</t>
  </si>
  <si>
    <t>JHEWS/2023/19819</t>
  </si>
  <si>
    <t>9304538696</t>
  </si>
  <si>
    <t>Shivam Srivastava</t>
  </si>
  <si>
    <t>JHCST/2023/135371</t>
  </si>
  <si>
    <t>JHIC/2023/645813</t>
  </si>
  <si>
    <t>John Jeral Josheph</t>
  </si>
  <si>
    <t>W12</t>
  </si>
  <si>
    <t>bagunnagar</t>
  </si>
  <si>
    <t>JHIC/2023/648679</t>
  </si>
  <si>
    <t>50 Due</t>
  </si>
  <si>
    <t>Nikky Kumari</t>
  </si>
  <si>
    <t>kamal</t>
  </si>
  <si>
    <t>Karuna Mahato</t>
  </si>
  <si>
    <t>JHIC/2023/654125</t>
  </si>
  <si>
    <t>8340731235</t>
  </si>
  <si>
    <t>JHEWS/2023/20744</t>
  </si>
  <si>
    <t>JHEWS/2023/20745</t>
  </si>
  <si>
    <t>Karam Kaur</t>
  </si>
  <si>
    <t>JHIC/2023/657456</t>
  </si>
  <si>
    <t>JHLRCO/2023/287600</t>
  </si>
  <si>
    <t>JHIC/2023/664630</t>
  </si>
  <si>
    <t>Bhawna</t>
  </si>
  <si>
    <t>JHLRCO/2023/290093</t>
  </si>
  <si>
    <t>JHIC/2023/668503</t>
  </si>
  <si>
    <t>Premchand Sharma</t>
  </si>
  <si>
    <t>karmachari</t>
  </si>
  <si>
    <t>8434685947</t>
  </si>
  <si>
    <t>8789093936</t>
  </si>
  <si>
    <t>JHEWS/2023/21944</t>
  </si>
  <si>
    <t>JHEWS/2023/21993</t>
  </si>
  <si>
    <t>28-042023</t>
  </si>
  <si>
    <t>JHIC/2023/676558</t>
  </si>
  <si>
    <t>JHEWS/2023/22382</t>
  </si>
  <si>
    <t>JHEWS/2023/22597</t>
  </si>
  <si>
    <t>JHIC/2023/681376</t>
  </si>
  <si>
    <t>JHIC/2023/676632</t>
  </si>
  <si>
    <t>JHLRCO/2023/299299</t>
  </si>
  <si>
    <t>B Gunal</t>
  </si>
  <si>
    <t>JHEWS/2023/22952</t>
  </si>
  <si>
    <t>JHIC/2023/686778</t>
  </si>
  <si>
    <t>Ranjit Ray</t>
  </si>
  <si>
    <t>JHIC/2023/688750</t>
  </si>
  <si>
    <t>Name not clear in DOB</t>
  </si>
  <si>
    <t>Jyotirmay Sur</t>
  </si>
  <si>
    <t>JHIC/2023/689209</t>
  </si>
  <si>
    <t>9031392582</t>
  </si>
  <si>
    <t>JHEWSH/2023/05693</t>
  </si>
  <si>
    <t>JHCOB/2023/36287</t>
  </si>
  <si>
    <t>Ayush Kumar Ray</t>
  </si>
  <si>
    <t>JHIC/2023/694944</t>
  </si>
  <si>
    <t>JHEWS/2023/23821</t>
  </si>
  <si>
    <t>JHIC/2023/698370</t>
  </si>
  <si>
    <t>JHIC/2023/698985</t>
  </si>
  <si>
    <t>Bipin kumar</t>
  </si>
  <si>
    <t>JHIC/2023/701972</t>
  </si>
  <si>
    <t>Basanti singh bhumij</t>
  </si>
  <si>
    <t>K Sonu</t>
  </si>
  <si>
    <t>JHLRCO/2023/314140</t>
  </si>
  <si>
    <t>Priyanshu Tripathi</t>
  </si>
  <si>
    <t>JHLRCO/2023/317433</t>
  </si>
  <si>
    <t> JHIC/2023/706021</t>
  </si>
  <si>
    <t>Simmi Kaur</t>
  </si>
  <si>
    <t>JHIC/2023/706475</t>
  </si>
  <si>
    <t>Mango-10</t>
  </si>
  <si>
    <t>Shobha Dubey</t>
  </si>
  <si>
    <t>JHIC/2023/706491</t>
  </si>
  <si>
    <t>Kausik Singh</t>
  </si>
  <si>
    <t>Shrishti Mishra</t>
  </si>
  <si>
    <t>JHIC/2023/708388</t>
  </si>
  <si>
    <t>JHLRCO/2023/319445</t>
  </si>
  <si>
    <t>JHLRCO/2023/321023</t>
  </si>
  <si>
    <t>Kishan Tiwary</t>
  </si>
  <si>
    <t>JHIC/2023/710401</t>
  </si>
  <si>
    <t>JHRC/2023/178566</t>
  </si>
  <si>
    <t>Surendra Kumar</t>
  </si>
  <si>
    <t>Ward 7</t>
  </si>
  <si>
    <t>JHIC/2023/719101</t>
  </si>
  <si>
    <t>Arindam Mama</t>
  </si>
  <si>
    <t>JHRC/2023/179863</t>
  </si>
  <si>
    <t>Ajay Kumar Tiwary</t>
  </si>
  <si>
    <t>Dilip Kumar</t>
  </si>
  <si>
    <t>Govindpur South</t>
  </si>
  <si>
    <t>JHLRCO/2023/330052</t>
  </si>
  <si>
    <t>JHOBCH/2023/32068</t>
  </si>
  <si>
    <t>Tapan Giri</t>
  </si>
  <si>
    <t>JHIC/2023/727053</t>
  </si>
  <si>
    <t>Surajneet Kumar Singh</t>
  </si>
  <si>
    <t>JHIC/2023/727075</t>
  </si>
  <si>
    <t>JHLRCO/2023/336586</t>
  </si>
  <si>
    <t>JHEWS/2023/25582</t>
  </si>
  <si>
    <t xml:space="preserve">Shubham kumar </t>
  </si>
  <si>
    <t>Gagandeep singh</t>
  </si>
  <si>
    <t>JHLRCO/2023/336884</t>
  </si>
  <si>
    <t>JHLRCO/2023/336890</t>
  </si>
  <si>
    <t>Nitish sharma</t>
  </si>
  <si>
    <t>JHEWS/2023/25785</t>
  </si>
  <si>
    <t>8789960820</t>
  </si>
  <si>
    <t>JHIC/2023/732743</t>
  </si>
  <si>
    <t>Sourav Kumar mahato</t>
  </si>
  <si>
    <t>JHEWSH/2023/05692</t>
  </si>
  <si>
    <t>JHEWSH/2023/06452</t>
  </si>
  <si>
    <t>Kumar Prince</t>
  </si>
  <si>
    <t>78085 09369</t>
  </si>
  <si>
    <t>Safina Afreen</t>
  </si>
  <si>
    <t>JHRC/2023/187982</t>
  </si>
  <si>
    <t>JHRC/2023/190266</t>
  </si>
  <si>
    <t>JHLRCO/2023/349073</t>
  </si>
  <si>
    <t>Monu Kumar Singh</t>
  </si>
  <si>
    <t>Amrit Kumar Pathak</t>
  </si>
  <si>
    <t>S kameshwram</t>
  </si>
  <si>
    <t>JHIC/2023/741170</t>
  </si>
  <si>
    <t>JHIC/2023/741173</t>
  </si>
  <si>
    <t>JHLRCO/2023/350344</t>
  </si>
  <si>
    <t>Md Serajuddin</t>
  </si>
  <si>
    <t>JHLRCO/2023/351595</t>
  </si>
  <si>
    <t>Ankit verma</t>
  </si>
  <si>
    <t>JHEWSH/2023/06591</t>
  </si>
  <si>
    <t>JHRC/2023/193259</t>
  </si>
  <si>
    <t>JHIC/2023/746818</t>
  </si>
  <si>
    <t>JHEWS/2023/26625</t>
  </si>
  <si>
    <t>9934566197</t>
  </si>
  <si>
    <t>JHIC/2023/747020</t>
  </si>
  <si>
    <t>JHCOB/2023/41794</t>
  </si>
  <si>
    <t>Manisha Giri</t>
  </si>
  <si>
    <t>JHIC/2023/749458</t>
  </si>
  <si>
    <t>JHCOB/2023/42053</t>
  </si>
  <si>
    <t>Sanjit Kumar Mahato</t>
  </si>
  <si>
    <t>??????</t>
  </si>
  <si>
    <t>W-01-06-2023</t>
  </si>
  <si>
    <t>JHEWS/2023/27265</t>
  </si>
  <si>
    <t>JHLRCO/2023/368882</t>
  </si>
  <si>
    <t>JHIC/2023/762559</t>
  </si>
  <si>
    <t>JHIC/2023/765721</t>
  </si>
  <si>
    <t>JHLRCO/2023/372286</t>
  </si>
  <si>
    <t>Sidhant Kashyap</t>
  </si>
  <si>
    <t>Vedant Kashyap</t>
  </si>
  <si>
    <t>JHLRCO/2023/372303</t>
  </si>
  <si>
    <t>JHEWS/2023/27701</t>
  </si>
  <si>
    <t>JHLRCO/2023/374831</t>
  </si>
  <si>
    <t>Harsh Raj</t>
  </si>
  <si>
    <t>Saheb Singh Sandhu</t>
  </si>
  <si>
    <t>JHRC/2023/206779</t>
  </si>
  <si>
    <t>Arvinder Singh Sokhi</t>
  </si>
  <si>
    <t>JHLRCO/2023/380107</t>
  </si>
  <si>
    <t>JHRC/2023/208934</t>
  </si>
  <si>
    <t>Dipak Singh</t>
  </si>
  <si>
    <t>JHRC/2023/208954</t>
  </si>
  <si>
    <t>JHRC/2023/208965</t>
  </si>
  <si>
    <t>JHIC/2023/779483</t>
  </si>
  <si>
    <t>Tapas kar</t>
  </si>
  <si>
    <t>Abha Upadhyay</t>
  </si>
  <si>
    <t>JHIC/2023/779515</t>
  </si>
  <si>
    <t>JHEWS/2023/28335</t>
  </si>
  <si>
    <t>JHLRCO/2023/386067</t>
  </si>
  <si>
    <t>Rishita Kar</t>
  </si>
  <si>
    <t>chhota</t>
  </si>
  <si>
    <t>Lakshmi Kumari</t>
  </si>
  <si>
    <t>Bibha Kumari</t>
  </si>
  <si>
    <t>JHLRCO/2023/386627</t>
  </si>
  <si>
    <t>JHIC/2023/783716</t>
  </si>
  <si>
    <t>JHIC/2023/786033</t>
  </si>
  <si>
    <t>Rohit Kumar Singh</t>
  </si>
  <si>
    <t>JHLRCO/2023/394822</t>
  </si>
  <si>
    <t>JHLRCO/2023/386660</t>
  </si>
  <si>
    <t>JHLRCO/2023/349082</t>
  </si>
  <si>
    <t>birth pending</t>
  </si>
  <si>
    <t>JHIC/2023/794383</t>
  </si>
  <si>
    <t>Akhilesh Kumar Jha</t>
  </si>
  <si>
    <t>JHIC/2023/794416</t>
  </si>
  <si>
    <t>JHEWS/2023/29207</t>
  </si>
  <si>
    <t>JHLRCO/2023/402885</t>
  </si>
  <si>
    <t>Hadi Khan</t>
  </si>
  <si>
    <t>Annu Pathak</t>
  </si>
  <si>
    <t>JHLRCO/2023/402927</t>
  </si>
  <si>
    <t>JHEWS/2023/29577</t>
  </si>
  <si>
    <t>Kriti Das</t>
  </si>
  <si>
    <t>JHEWS/2023/29581</t>
  </si>
  <si>
    <t>JHEWS/2023/29588</t>
  </si>
  <si>
    <t>Alka Kumari</t>
  </si>
  <si>
    <t>Jhonson Anthony</t>
  </si>
  <si>
    <t>JHLRCO/2023/406054</t>
  </si>
  <si>
    <t>Rajshree Biswas</t>
  </si>
  <si>
    <t>JHLRCO/2023/406074</t>
  </si>
  <si>
    <t>Laxmi Kumari</t>
  </si>
  <si>
    <t>JHIC/2023/810574</t>
  </si>
  <si>
    <t>JHIC/2023/810639</t>
  </si>
  <si>
    <t>Mangla Devi</t>
  </si>
  <si>
    <t>JHIC/2023/810679</t>
  </si>
  <si>
    <t>JHRC/2023/225833</t>
  </si>
  <si>
    <t>Peri Shiva kartik</t>
  </si>
  <si>
    <t>JHLRCO/2023/414063</t>
  </si>
  <si>
    <t>JHLRCO/2023/417905</t>
  </si>
  <si>
    <t>Aasiya Hejab</t>
  </si>
  <si>
    <t>Prashant Thapa</t>
  </si>
  <si>
    <t>JHLRCO/2023/417911</t>
  </si>
  <si>
    <t>Income Related Affidavit</t>
  </si>
  <si>
    <t>JHIC/2023/823648</t>
  </si>
  <si>
    <t>Yuvraj Kumar Singh</t>
  </si>
  <si>
    <t>Nigar Alsania</t>
  </si>
  <si>
    <t>JHLRCO/2023/424613</t>
  </si>
  <si>
    <t>JHIC/2023/826139</t>
  </si>
  <si>
    <t>Baidyanath Patra</t>
  </si>
  <si>
    <t>Sundara Patra</t>
  </si>
  <si>
    <t>JHIC/2023/826175</t>
  </si>
  <si>
    <t>Anil Kumar pandey</t>
  </si>
  <si>
    <t>JHLRCO/2023/429031</t>
  </si>
  <si>
    <t>JHIC/2023/828513</t>
  </si>
  <si>
    <t>JHIC/2023/828536</t>
  </si>
  <si>
    <t>JHIC/2023/828561</t>
  </si>
  <si>
    <t>Jasraj Singh</t>
  </si>
  <si>
    <t>JHLRCO/2023/429196</t>
  </si>
  <si>
    <t>Chandi Nayak</t>
  </si>
  <si>
    <t>JHLRCO/2023/430574</t>
  </si>
  <si>
    <t>bahragora</t>
  </si>
  <si>
    <t>JHRC/2023/234755</t>
  </si>
  <si>
    <t>Shyam Kumar</t>
  </si>
  <si>
    <t>JHLRCO/2023/433199</t>
  </si>
  <si>
    <t>JHIC/2023/832953</t>
  </si>
  <si>
    <t>JHEWS/2023/28337</t>
  </si>
  <si>
    <t>Sejal Tiwary</t>
  </si>
  <si>
    <t>JHLRCO/2023/437784</t>
  </si>
  <si>
    <t>JHIC/2023/844059</t>
  </si>
  <si>
    <t>Sagar Choudhary</t>
  </si>
  <si>
    <t>JHRC/2023/241802</t>
  </si>
  <si>
    <t>sent on wP 29-06-2023</t>
  </si>
  <si>
    <t>JHIC/2023/850894</t>
  </si>
  <si>
    <t>bagbera west</t>
  </si>
  <si>
    <t>Kumar Aditya</t>
  </si>
  <si>
    <t>JHRC/2023/245858</t>
  </si>
  <si>
    <t>JHLRCO/2023/455466</t>
  </si>
  <si>
    <t>Ravi Kumar Sinha</t>
  </si>
  <si>
    <t>Attach the birth certificate after getting it verified from Ghorabandha.</t>
  </si>
  <si>
    <t>Original singh</t>
  </si>
  <si>
    <t>Name not pplied</t>
  </si>
  <si>
    <t>Ashok Kumar Thapa</t>
  </si>
  <si>
    <t>JHRC/2023/251538</t>
  </si>
  <si>
    <t>can be rejected informed as sign is not visible</t>
  </si>
  <si>
    <t>JHLRCO/2023/464138</t>
  </si>
  <si>
    <t>deponnent sign is not valid ajay</t>
  </si>
  <si>
    <t>JHLRCO/2023/468027</t>
  </si>
  <si>
    <t>Sunil Kumar</t>
  </si>
  <si>
    <t>Bagber</t>
  </si>
  <si>
    <t>JHLRCO/2023/468427</t>
  </si>
  <si>
    <t>Sandeep Singh Jhangol</t>
  </si>
  <si>
    <t>JHLRCO/2023/468455</t>
  </si>
  <si>
    <t>Sudipta Chakraborty</t>
  </si>
  <si>
    <t>JHLRCO/2023/468475</t>
  </si>
  <si>
    <t>JHRC/2023/255412</t>
  </si>
  <si>
    <t>Pinshu Kumari</t>
  </si>
  <si>
    <t>JHLRCO/2023/472579</t>
  </si>
  <si>
    <t>Soma Dey</t>
  </si>
  <si>
    <t>JHLRCO/2023/473787</t>
  </si>
  <si>
    <t>reJECTED</t>
  </si>
  <si>
    <t>Madhumita Sarkar</t>
  </si>
  <si>
    <t>JHLRCO/2023/476575</t>
  </si>
  <si>
    <t>JHLRCO/2023/476607</t>
  </si>
  <si>
    <t>Rajeev Kumar Singh</t>
  </si>
  <si>
    <t>JHLRCO/2023/476637</t>
  </si>
  <si>
    <t>JHRC/2023/257334</t>
  </si>
  <si>
    <t>Kusum Kumari</t>
  </si>
  <si>
    <t>govi</t>
  </si>
  <si>
    <t>Vishal Prasad</t>
  </si>
  <si>
    <t>JHEWS/2023/34117</t>
  </si>
  <si>
    <t>8210594655</t>
  </si>
  <si>
    <t>Gwalabasti</t>
  </si>
  <si>
    <t>JHRC/2023/258871</t>
  </si>
  <si>
    <t>JHRC/2023/259035</t>
  </si>
  <si>
    <t>Kaushik Paul</t>
  </si>
  <si>
    <t>JHLRCO/2023/483822</t>
  </si>
  <si>
    <t>Rashmi Sahu</t>
  </si>
  <si>
    <t>JHRC/2023/260763</t>
  </si>
  <si>
    <t>Shubham kumar singh</t>
  </si>
  <si>
    <t>8789942576</t>
  </si>
  <si>
    <t>JHEWS/2023/34357</t>
  </si>
  <si>
    <t>Shobha Kumari</t>
  </si>
  <si>
    <t>zone 8</t>
  </si>
  <si>
    <t>JHRC/2023/261302</t>
  </si>
  <si>
    <t>8797579335</t>
  </si>
  <si>
    <t>JHEWS/2023/34392</t>
  </si>
  <si>
    <t>9102787663</t>
  </si>
  <si>
    <t>JHEWS/2023/34394</t>
  </si>
  <si>
    <t>8651252554</t>
  </si>
  <si>
    <t>JHEWS/2023/34395</t>
  </si>
  <si>
    <t>JHIC/2023/861162</t>
  </si>
  <si>
    <t>verified birth</t>
  </si>
  <si>
    <t>marksheet not of jh</t>
  </si>
  <si>
    <t>Akarsh Saxena</t>
  </si>
  <si>
    <t>Manitosh Mahato</t>
  </si>
  <si>
    <t>kalimati east</t>
  </si>
  <si>
    <t>JHLRCO/2023/492740</t>
  </si>
  <si>
    <t>JHIC/2023/893496</t>
  </si>
  <si>
    <t>JHRC/2023/264861</t>
  </si>
  <si>
    <t>JHIC/2023/893639</t>
  </si>
  <si>
    <t>Urvashi Mehta</t>
  </si>
  <si>
    <t>zone 7</t>
  </si>
  <si>
    <t>JHIC/2023/897077</t>
  </si>
  <si>
    <t>JHLRCO/2023/496137</t>
  </si>
  <si>
    <t>Amit Kumar Singh</t>
  </si>
  <si>
    <t>zone 6</t>
  </si>
  <si>
    <t>JHRC/2023/266559</t>
  </si>
  <si>
    <t>Adarsh</t>
  </si>
  <si>
    <t>JHEWS/2023/34975</t>
  </si>
  <si>
    <t>9934186445</t>
  </si>
  <si>
    <t>JHIC/2023/893613</t>
  </si>
  <si>
    <t>JHLRCO/2023/500086</t>
  </si>
  <si>
    <t>JHLRCO/2023/500115</t>
  </si>
  <si>
    <t>JHCBC/2023/301837</t>
  </si>
  <si>
    <t>Karishma Mahato</t>
  </si>
  <si>
    <t>chakulia</t>
  </si>
  <si>
    <t>JHIC/2023/901548</t>
  </si>
  <si>
    <t>JHEWS/2023/35305</t>
  </si>
  <si>
    <t>JHLRCO/2023/503186</t>
  </si>
  <si>
    <t>Shyam Nandan Mishra</t>
  </si>
  <si>
    <t>JHIC/2023/904728</t>
  </si>
  <si>
    <t>JHLRCO/2023/504840</t>
  </si>
  <si>
    <t>Kuldeep Kumar</t>
  </si>
  <si>
    <t>JHRC/2023/274193</t>
  </si>
  <si>
    <t>JHRC/2023/274255</t>
  </si>
  <si>
    <t>Shreya Sen</t>
  </si>
  <si>
    <t>Ram Naresh Tripathi</t>
  </si>
  <si>
    <t>JHIC/2023/914992</t>
  </si>
  <si>
    <t>Minta Devi</t>
  </si>
  <si>
    <t>JHIC/2023/915035</t>
  </si>
  <si>
    <t>Ram Paradarth Prasad</t>
  </si>
  <si>
    <t>JHLRCO/2023/513847</t>
  </si>
  <si>
    <t>Shahid Ali</t>
  </si>
  <si>
    <t>JHLRCO/2023/514011</t>
  </si>
  <si>
    <t>pending for more than 30 year land record</t>
  </si>
  <si>
    <t>JHIC/2023/918992</t>
  </si>
  <si>
    <t>Mona sharma</t>
  </si>
  <si>
    <t>JHLRCO/2023/516718</t>
  </si>
  <si>
    <t>JHIC/2023/915070</t>
  </si>
  <si>
    <t>WHT-19-07-2023</t>
  </si>
  <si>
    <t>Krishna Sahu</t>
  </si>
  <si>
    <t>JHIC/2023/922038</t>
  </si>
  <si>
    <t>JHIC/2023/922065</t>
  </si>
  <si>
    <t>JHIC/2023/923940</t>
  </si>
  <si>
    <t>JHLRCO/2023/522945</t>
  </si>
  <si>
    <t>Ria Kumari</t>
  </si>
  <si>
    <t>Anand Vivek</t>
  </si>
  <si>
    <t>JHLRCO/2023/524699</t>
  </si>
  <si>
    <t>Madhubala Pandey</t>
  </si>
  <si>
    <t>JHLRCO/2023/524733</t>
  </si>
  <si>
    <t>JHLRCO/2023/529537</t>
  </si>
  <si>
    <t>Ranjay Rajbhar</t>
  </si>
  <si>
    <t>JHLRCO/2023/529576</t>
  </si>
  <si>
    <t>JHIC/2023/935304</t>
  </si>
  <si>
    <t>Amit Machhua</t>
  </si>
  <si>
    <t>JHIC/2023/937118</t>
  </si>
  <si>
    <t>mailed on 24-7-2023</t>
  </si>
  <si>
    <t>rejection</t>
  </si>
  <si>
    <t>JHRC/2023/285566</t>
  </si>
  <si>
    <t>JHLRCO/2023/534608</t>
  </si>
  <si>
    <t>Amit Patra</t>
  </si>
  <si>
    <t>Sushma Kumari</t>
  </si>
  <si>
    <t>JHLRCO/2023/534967</t>
  </si>
  <si>
    <t>JHLRCO/2023/535013</t>
  </si>
  <si>
    <t>Samir Mukherjee</t>
  </si>
  <si>
    <t>Anjani Devi</t>
  </si>
  <si>
    <t>JHIC/2023/942466</t>
  </si>
  <si>
    <t>JHIC/2023/949249</t>
  </si>
  <si>
    <t>JHEWS/2023/37062</t>
  </si>
  <si>
    <t>JHLRCO/2023/544658</t>
  </si>
  <si>
    <t>Milan Sahu</t>
  </si>
  <si>
    <t>Sagar Sharma</t>
  </si>
  <si>
    <t>JHLRCO/2023/545954</t>
  </si>
  <si>
    <t>JHRC/2023/292575</t>
  </si>
  <si>
    <t>JHIC/2023/953940</t>
  </si>
  <si>
    <t>whtsaap 29-07-23</t>
  </si>
  <si>
    <t>29-07-2023 W</t>
  </si>
  <si>
    <t>BC issue</t>
  </si>
  <si>
    <t>can be rejected dob mismatch</t>
  </si>
  <si>
    <t>Ashmita Kumari</t>
  </si>
  <si>
    <t>JHLRCO/2023/550107</t>
  </si>
  <si>
    <t>JHRC/2023/294441</t>
  </si>
  <si>
    <t>Sanjay kumar verma</t>
  </si>
  <si>
    <t>JHCST/2023/270834</t>
  </si>
  <si>
    <t>Ritesh Munda</t>
  </si>
  <si>
    <t>Obaid Alam</t>
  </si>
  <si>
    <t>9122087243</t>
  </si>
  <si>
    <t>JHEWS/2023/37307</t>
  </si>
  <si>
    <t>JHEWS/2023/37309</t>
  </si>
  <si>
    <t>Priyanka Verma</t>
  </si>
  <si>
    <t>Suchi Singh</t>
  </si>
  <si>
    <t>JHLRCO/2023/550977</t>
  </si>
  <si>
    <t>JHLRCO/2023/556277</t>
  </si>
  <si>
    <t>Pranav Raj</t>
  </si>
  <si>
    <t>Bishwadeep Kumar</t>
  </si>
  <si>
    <t>kaushik Paul</t>
  </si>
  <si>
    <t>JHIC/2023/962381</t>
  </si>
  <si>
    <t>Bratish Kumar</t>
  </si>
  <si>
    <t>W</t>
  </si>
  <si>
    <t>JHLRCO/2023/550958</t>
  </si>
  <si>
    <t>JHIC/2023/966018</t>
  </si>
  <si>
    <t>Vishwakarma Kumar</t>
  </si>
  <si>
    <t>JHLRCO/2023/560185</t>
  </si>
  <si>
    <t>JHEWS/2023/37710</t>
  </si>
  <si>
    <t>JHIC/2023/968050</t>
  </si>
  <si>
    <t>Rani karmakar</t>
  </si>
  <si>
    <t>JHLRCO/2023/562008</t>
  </si>
  <si>
    <t>JHEWS/2023/37806</t>
  </si>
  <si>
    <t>JHIC/2023/977434</t>
  </si>
  <si>
    <t>Pratyush Priye</t>
  </si>
  <si>
    <t>W18</t>
  </si>
  <si>
    <t>JHIC/2023/977451</t>
  </si>
  <si>
    <t>Shazia Khatoon</t>
  </si>
  <si>
    <t>JHIC/2023/977458</t>
  </si>
  <si>
    <t>Prem lata</t>
  </si>
  <si>
    <t>JHLRCO/2023/570023</t>
  </si>
  <si>
    <t>Tarun Kanti Sahu</t>
  </si>
  <si>
    <t>Verified BC</t>
  </si>
  <si>
    <t>8235432063</t>
  </si>
  <si>
    <t>JHEWS/2023/38358</t>
  </si>
  <si>
    <t>Pradeep Kumar</t>
  </si>
  <si>
    <t>JHLRCO/2023/581147</t>
  </si>
  <si>
    <t>JHIC/2023/994499</t>
  </si>
  <si>
    <t>JHIC/2023/994516</t>
  </si>
  <si>
    <t>W-16-08-2023</t>
  </si>
  <si>
    <t>JHIC/2023/997374</t>
  </si>
  <si>
    <t>JHIC/2023/1000862</t>
  </si>
  <si>
    <t xml:space="preserve">Md </t>
  </si>
  <si>
    <t>9572793144</t>
  </si>
  <si>
    <t>JHIC/2023/1003251</t>
  </si>
  <si>
    <t>JHIC/2023/1003289</t>
  </si>
  <si>
    <t>JHLRCO/2023/590783</t>
  </si>
  <si>
    <t>JHIC/2023/1003446</t>
  </si>
  <si>
    <t>Rajendra Prasad Verma</t>
  </si>
  <si>
    <t>JHEWS/2023/39006</t>
  </si>
  <si>
    <t>JHCBC/2023/360748</t>
  </si>
  <si>
    <t>Simran Gope</t>
  </si>
  <si>
    <t>Birju Gope</t>
  </si>
  <si>
    <t>JHCBC/2023/360807</t>
  </si>
  <si>
    <t>Suhani Gope</t>
  </si>
  <si>
    <t>JHCBC/2023/360828</t>
  </si>
  <si>
    <t>Ashitangshu Bhattacharjee</t>
  </si>
  <si>
    <t>JHIC/2023/1018615</t>
  </si>
  <si>
    <t>JHIC/2023/1018654</t>
  </si>
  <si>
    <t>attatchment incomplete</t>
  </si>
  <si>
    <t>pledege &amp; Self declaration</t>
  </si>
  <si>
    <t>Amit Kumar Das</t>
  </si>
  <si>
    <t>JHLRCO/2023/606927</t>
  </si>
  <si>
    <t>JHLRCO/2023/606961</t>
  </si>
  <si>
    <t>JHLRCO/2023/606996</t>
  </si>
  <si>
    <t>JHIC/2023/1023569</t>
  </si>
  <si>
    <t>reApplied</t>
  </si>
  <si>
    <t>Ayesha Zabeen</t>
  </si>
  <si>
    <t>JHIC/2023/1023583</t>
  </si>
  <si>
    <t>Arati Biswas</t>
  </si>
  <si>
    <t>JHIC/2023/1023784</t>
  </si>
  <si>
    <t>JHIC/2023/1025178</t>
  </si>
  <si>
    <t>JHIC/2023/1029805</t>
  </si>
  <si>
    <t>JHIC/2023/1030035</t>
  </si>
  <si>
    <t>JHLRCO/2023/622724</t>
  </si>
  <si>
    <t>Anubhav Kumar Verma</t>
  </si>
  <si>
    <t>JHIC/2023/1043328</t>
  </si>
  <si>
    <t>Ranjeet kumar Mahato</t>
  </si>
  <si>
    <t>JHIC/2023/1045490</t>
  </si>
  <si>
    <t>Priya Kumari Soni</t>
  </si>
  <si>
    <t>JHLRCO/2023/626488</t>
  </si>
  <si>
    <t>Mohammad Mozammil Raza</t>
  </si>
  <si>
    <t>JHIC/2023/1046427</t>
  </si>
  <si>
    <t>Mohammad Aslam</t>
  </si>
  <si>
    <t>JHEWS/2023/40526</t>
  </si>
  <si>
    <t>9990759762</t>
  </si>
  <si>
    <t>JHIC/2023/1049630</t>
  </si>
  <si>
    <t>wht</t>
  </si>
  <si>
    <t>Ojayfa Tanbir</t>
  </si>
  <si>
    <t>Ayush Mahato</t>
  </si>
  <si>
    <t>JHLRCO/2023/632213</t>
  </si>
  <si>
    <t>JHCBC/2023/386804</t>
  </si>
  <si>
    <t>JHIC/2023/1052290</t>
  </si>
  <si>
    <t>Ajay Kumar Singh</t>
  </si>
  <si>
    <t>JHLRCO/2023/633412</t>
  </si>
  <si>
    <t>JHIC/2023/1056167</t>
  </si>
  <si>
    <t>JHIC/2023/1056199</t>
  </si>
  <si>
    <t>JHLRCO/2023/636621</t>
  </si>
  <si>
    <t xml:space="preserve">Status </t>
  </si>
  <si>
    <t>JHLRCO/2023/642134</t>
  </si>
  <si>
    <t>JHRC/2023/345303</t>
  </si>
  <si>
    <t>Priya Bhatta</t>
  </si>
  <si>
    <t>JHIC/2023/1070270</t>
  </si>
  <si>
    <t>Srijan Bhattacharya</t>
  </si>
  <si>
    <t>w3</t>
  </si>
  <si>
    <t>JHLRCO/2023/649315</t>
  </si>
  <si>
    <t>Aditya Lara</t>
  </si>
  <si>
    <t>JHLRCO/2023/649830</t>
  </si>
  <si>
    <t>Shivnarayan Prem</t>
  </si>
  <si>
    <t>JHLRCO/2023/649853</t>
  </si>
  <si>
    <t>PENDING</t>
  </si>
  <si>
    <t>JHEWS/2023/41330</t>
  </si>
  <si>
    <t>Aman Pandey</t>
  </si>
  <si>
    <t>9122499248</t>
  </si>
  <si>
    <t>JHIC/2023/1075524</t>
  </si>
  <si>
    <t>Vijay kumar gupta</t>
  </si>
  <si>
    <t>JHIC/2023/1078608</t>
  </si>
  <si>
    <t>Imrana Perween</t>
  </si>
  <si>
    <t>Bheemarasetty Suryanarayan</t>
  </si>
  <si>
    <t>JHIC/2023/1078618</t>
  </si>
  <si>
    <t>JHIC/2023/1080885</t>
  </si>
  <si>
    <t>CI</t>
  </si>
  <si>
    <t>income expired</t>
  </si>
  <si>
    <t>Md badiuzzaman</t>
  </si>
  <si>
    <t>JHIC/2023/1082922</t>
  </si>
  <si>
    <t>JHIC/2023/1083096</t>
  </si>
  <si>
    <t>Kabindra kr sen</t>
  </si>
  <si>
    <t>JHIC/2023/1083154</t>
  </si>
  <si>
    <t>Goutam kumar mishra</t>
  </si>
  <si>
    <t>Abir Das</t>
  </si>
  <si>
    <t>JHLRCO/2023/658637</t>
  </si>
  <si>
    <t>Goutam Sen</t>
  </si>
  <si>
    <t>JHIC/2023/1084444</t>
  </si>
  <si>
    <t>JHIC/2023/1084463</t>
  </si>
  <si>
    <t>Parth Pratim Biswas</t>
  </si>
  <si>
    <t>Saurabh Chandra</t>
  </si>
  <si>
    <t>JHIC/2023/1084472</t>
  </si>
  <si>
    <t>JHRC/2023/353346</t>
  </si>
  <si>
    <t>Nilima Kumari</t>
  </si>
  <si>
    <t>rejected due to address</t>
  </si>
  <si>
    <t>Ashish Jhingan</t>
  </si>
  <si>
    <t>JHLRCO/2023/660663</t>
  </si>
  <si>
    <t>JHEWS/2023/41699</t>
  </si>
  <si>
    <t>JHRC/2023/355099</t>
  </si>
  <si>
    <t>JHEWS/2023/41708</t>
  </si>
  <si>
    <t>Bonafide attatc nahi hai</t>
  </si>
  <si>
    <t>JHIC/2023/1094058</t>
  </si>
  <si>
    <t>Sk Habib</t>
  </si>
  <si>
    <t>Magendra Mahato</t>
  </si>
  <si>
    <t>JHIC/2023/1096387</t>
  </si>
  <si>
    <t>JHIC/2023/1096271</t>
  </si>
  <si>
    <t>Dibakar Mahato</t>
  </si>
  <si>
    <t>JHIC/2023/1098324</t>
  </si>
  <si>
    <t>JHLRCO/2023/671432</t>
  </si>
  <si>
    <t>JHEWS/2023/42018</t>
  </si>
  <si>
    <t>7070138436</t>
  </si>
  <si>
    <t>Shikha Solanki</t>
  </si>
  <si>
    <t>JHIC/2023/1112521</t>
  </si>
  <si>
    <t>JHIC/2023/1107819</t>
  </si>
  <si>
    <t>JHIC/2023/1112721</t>
  </si>
  <si>
    <t>JHLRCO/2023/683518</t>
  </si>
  <si>
    <t>JHLRCO/2023/683583</t>
  </si>
  <si>
    <t>Mousumi Paul</t>
  </si>
  <si>
    <t>JHCBC/2023/420015</t>
  </si>
  <si>
    <t>JHIC/2023/1113756</t>
  </si>
  <si>
    <t>Aastha Kumari</t>
  </si>
  <si>
    <t>Preeti Sahu</t>
  </si>
  <si>
    <t>JHLRCO/2023/687015</t>
  </si>
  <si>
    <t>JHLRCO/2023/687031</t>
  </si>
  <si>
    <t>JHCST/2023/338157</t>
  </si>
  <si>
    <t>Parmeshwar Munda</t>
  </si>
  <si>
    <t>JHIC/2023/1117014</t>
  </si>
  <si>
    <t>Ruchi Kumari</t>
  </si>
  <si>
    <t>JHLRCO/2023/691074</t>
  </si>
  <si>
    <t>JHLRCO/2023/691106</t>
  </si>
  <si>
    <t>JHLRCO/2023/695616</t>
  </si>
  <si>
    <t>JHLRCO/2023/697859</t>
  </si>
  <si>
    <t>Israt Jahan</t>
  </si>
  <si>
    <t>Agrata</t>
  </si>
  <si>
    <t>JHLRCO/2023/697893</t>
  </si>
  <si>
    <t>JHIC/2023/1131695</t>
  </si>
  <si>
    <t>Shakti Modak</t>
  </si>
  <si>
    <t>Siddhartha Srakar</t>
  </si>
  <si>
    <t>JHIC/2023/1133397</t>
  </si>
  <si>
    <t>Zulekha Khatoon</t>
  </si>
  <si>
    <t>JHIC/2023/1133410</t>
  </si>
  <si>
    <t>Suryanshu Nayak</t>
  </si>
  <si>
    <t>JHIC/2023/1134342</t>
  </si>
  <si>
    <t>JHIC/2023/1134363</t>
  </si>
  <si>
    <t>JHIC/2023/1136559</t>
  </si>
  <si>
    <t>Lal Muni Devi</t>
  </si>
  <si>
    <t>JHIC/2023/1143012</t>
  </si>
  <si>
    <t>JHIC/2023/1143152</t>
  </si>
  <si>
    <t>JHIC/2023/1147989</t>
  </si>
  <si>
    <t>JHIC/2023/1148001</t>
  </si>
  <si>
    <t>Aastha Singh</t>
  </si>
  <si>
    <t>JHLRCO/2023/715214</t>
  </si>
  <si>
    <t>JHIC/2023/1150559</t>
  </si>
  <si>
    <t>JHLRCO/2023/721553</t>
  </si>
  <si>
    <t>Utkarsh Kumar</t>
  </si>
  <si>
    <t>JHIC/2023/1156944</t>
  </si>
  <si>
    <t>Farhat Saba</t>
  </si>
  <si>
    <t>Shahzad Ahmad Khan</t>
  </si>
  <si>
    <t>Raj Kumar Prasad</t>
  </si>
  <si>
    <t>JHLRCO/2023/727134</t>
  </si>
  <si>
    <t>JHLRCO/2023/727154</t>
  </si>
  <si>
    <t>Aditya Anand</t>
  </si>
  <si>
    <t>JHRC/2023/385289</t>
  </si>
  <si>
    <t>JHEWS/2023/43210</t>
  </si>
  <si>
    <t>Anima Singh Dhabal</t>
  </si>
  <si>
    <t>JHLRCO/2023/729649</t>
  </si>
  <si>
    <t>Prabhawati</t>
  </si>
  <si>
    <t>JHIC/2023/1166985</t>
  </si>
  <si>
    <t>Debjani Pramanik</t>
  </si>
  <si>
    <t>JHLRCO/2023/730985</t>
  </si>
  <si>
    <t>printer</t>
  </si>
  <si>
    <t>JHIC/2023/1165447</t>
  </si>
  <si>
    <t>JHIC/2023/1169383</t>
  </si>
  <si>
    <t>Ravinder Kumar</t>
  </si>
  <si>
    <t>JHIC/2023/1172050</t>
  </si>
  <si>
    <t>JHIC/2023/1173156</t>
  </si>
  <si>
    <t>Chhaya Rani Mahato</t>
  </si>
  <si>
    <t>JHRC/2023/388901</t>
  </si>
  <si>
    <t>Vikash Gope</t>
  </si>
  <si>
    <t>JHIC/2023/1174065</t>
  </si>
  <si>
    <t>JHCST/2023/329585</t>
  </si>
  <si>
    <t>Zone no 4</t>
  </si>
  <si>
    <t>JHRC/2023/390246</t>
  </si>
  <si>
    <t>JHIC/2023/1177396</t>
  </si>
  <si>
    <t>Awatar Singh</t>
  </si>
  <si>
    <t>prakash ngr</t>
  </si>
  <si>
    <t>Balbinder Prasad Verma</t>
  </si>
  <si>
    <t>JHIC/2023/1178661</t>
  </si>
  <si>
    <t>JHRC/2023/389083</t>
  </si>
  <si>
    <t>Shivani Verma</t>
  </si>
  <si>
    <t>JHIC/2023/1183407</t>
  </si>
  <si>
    <t>JHIC/2023/1186368</t>
  </si>
  <si>
    <t>JHIC/2023/1186399</t>
  </si>
  <si>
    <t>JHLRCO/2023/745870</t>
  </si>
  <si>
    <t>JHIC/2023/1191350</t>
  </si>
  <si>
    <t>Sahil Kumar Srivastava</t>
  </si>
  <si>
    <t>chota west</t>
  </si>
  <si>
    <t>JHRC/2023/395361</t>
  </si>
  <si>
    <t>JHIC/2023/1202038</t>
  </si>
  <si>
    <t>JHRC/2023/399444</t>
  </si>
  <si>
    <t>JHIC/2023/1206306</t>
  </si>
  <si>
    <t>Neha Singh</t>
  </si>
  <si>
    <t>JHLRCO/2023/761624</t>
  </si>
  <si>
    <t>Priyanka Dutta</t>
  </si>
  <si>
    <t>JHRC/2023/402793</t>
  </si>
  <si>
    <t>JHIC/2023/1214193</t>
  </si>
  <si>
    <t>Utpal Dutta</t>
  </si>
  <si>
    <t>JHRC/2023/405117</t>
  </si>
  <si>
    <t>Surbhi Giri</t>
  </si>
  <si>
    <t>Farhana Shabnam</t>
  </si>
  <si>
    <t>JHIC/2023/1218759</t>
  </si>
  <si>
    <t>rejected dob</t>
  </si>
  <si>
    <t>bihar 10th</t>
  </si>
  <si>
    <t>JHRC/2023/406894</t>
  </si>
  <si>
    <t>JHLRCO/2023/770854</t>
  </si>
  <si>
    <t>JHEWS/2023/44635</t>
  </si>
  <si>
    <t>Priyanka dutta</t>
  </si>
  <si>
    <t>9031904558</t>
  </si>
  <si>
    <t>JHIC/2023/1225597</t>
  </si>
  <si>
    <t>Shishir Kumar Jha</t>
  </si>
  <si>
    <t>JHEWSH/2023/11196</t>
  </si>
  <si>
    <t>6203700706</t>
  </si>
  <si>
    <t>Rithik Kumar Pandey</t>
  </si>
  <si>
    <t>JHIC/2023/1231188</t>
  </si>
  <si>
    <t>JHRC/2023/414491</t>
  </si>
  <si>
    <t>BARIDIH</t>
  </si>
  <si>
    <t>JHIC/2023/1238228</t>
  </si>
  <si>
    <t>rejected due to fake BC</t>
  </si>
  <si>
    <t>JHLRCO/2023/789780</t>
  </si>
  <si>
    <t>Ajay prasad verma</t>
  </si>
  <si>
    <t>Mahesh Munda</t>
  </si>
  <si>
    <t>JHLRCO/2023/800390</t>
  </si>
  <si>
    <t>JHLRCO/2023/800407</t>
  </si>
  <si>
    <t>Shilpi Chatterjee</t>
  </si>
  <si>
    <t>JHIC/2023/1261505</t>
  </si>
  <si>
    <t>JHIC/2023/1261518</t>
  </si>
  <si>
    <t>Md Razi Akhtar</t>
  </si>
  <si>
    <t>JHLRCO/2023/802182</t>
  </si>
  <si>
    <t>JHLRCO/2023/805097</t>
  </si>
  <si>
    <t>Ammar Jamil</t>
  </si>
  <si>
    <t>8434580766</t>
  </si>
  <si>
    <t>JHEWS/2023/45752</t>
  </si>
  <si>
    <t>8709047640</t>
  </si>
  <si>
    <t>JHEWS/2023/45757</t>
  </si>
  <si>
    <t>JHIC/2023/1275342</t>
  </si>
  <si>
    <t>Moninder Kour</t>
  </si>
  <si>
    <t>JHLRCO/2023/811101</t>
  </si>
  <si>
    <t>JHIC/2023/1278661</t>
  </si>
  <si>
    <t>Raj Kishor Dubey</t>
  </si>
  <si>
    <t>JHIC/2023/1280566</t>
  </si>
  <si>
    <t>Rajashree Ghosh</t>
  </si>
  <si>
    <t>Sakchi</t>
  </si>
  <si>
    <t>W11</t>
  </si>
  <si>
    <t>JHRC/2023/432434</t>
  </si>
  <si>
    <t>JHEWS/2023/45970</t>
  </si>
  <si>
    <t>Reject - reapply</t>
  </si>
  <si>
    <t>JHIC/2023/1284945</t>
  </si>
  <si>
    <t>Kajal</t>
  </si>
  <si>
    <t>JHRC/2023/433478</t>
  </si>
  <si>
    <t>Sanil Shagufta</t>
  </si>
  <si>
    <t>JHIC/2023/1285528</t>
  </si>
  <si>
    <t>JHSTH/2023/39543</t>
  </si>
  <si>
    <t>JAGNNATH MANDI</t>
  </si>
  <si>
    <t>Gurabandha</t>
  </si>
  <si>
    <t>RITHIK KUMAR PANDEY</t>
  </si>
  <si>
    <t>JHEWSH/2023/11780</t>
  </si>
  <si>
    <t>Safiya Fatema</t>
  </si>
  <si>
    <t>JHIC/2023/1295687</t>
  </si>
  <si>
    <t>JHLRCO/2023/823948</t>
  </si>
  <si>
    <t>Dharmjit Kumar Singh</t>
  </si>
  <si>
    <t>JHIC/2023/1296124</t>
  </si>
  <si>
    <t>Mohit Kumar Singh</t>
  </si>
  <si>
    <t>JHLRCO/2023/826587</t>
  </si>
  <si>
    <t>Rahul rai</t>
  </si>
  <si>
    <t>W17</t>
  </si>
  <si>
    <t>JHLRCO/2023/826605</t>
  </si>
  <si>
    <t>JHIC/2023/1301801</t>
  </si>
  <si>
    <t>JHIC/2023/1321075</t>
  </si>
  <si>
    <t>JHRC/2023/442899</t>
  </si>
  <si>
    <t>attached deed</t>
  </si>
  <si>
    <t>Full detail required</t>
  </si>
  <si>
    <t>JHEWS/2023/46511</t>
  </si>
  <si>
    <t>JHLRCO/2023/839797</t>
  </si>
  <si>
    <t>Basu Murmu</t>
  </si>
  <si>
    <t>JHIC/2023/1331476</t>
  </si>
  <si>
    <t>TAUSIF ALAM</t>
  </si>
  <si>
    <t>JHRC/2023/446532</t>
  </si>
  <si>
    <t>JHLRCO/2023/841875</t>
  </si>
  <si>
    <t>JHLRCO/2024/03325</t>
  </si>
  <si>
    <t>Manas Kumar singh</t>
  </si>
  <si>
    <t>JHEWS/2024/00169</t>
  </si>
  <si>
    <t>JHIC/2024/14643</t>
  </si>
  <si>
    <t>Basant Kumar Pal</t>
  </si>
  <si>
    <t>Keshav Raj Shukla</t>
  </si>
  <si>
    <t>JHIC/2024/14679</t>
  </si>
  <si>
    <t>Not related to concern halka</t>
  </si>
  <si>
    <t>JHIC/2024/33596</t>
  </si>
  <si>
    <t>JHRC/2024/07895</t>
  </si>
  <si>
    <t>JHEWS/2023/45941</t>
  </si>
  <si>
    <t>Komal Kumary Singh</t>
  </si>
  <si>
    <t>JHIC/2024/42609</t>
  </si>
  <si>
    <t>JHIC/2024/42791</t>
  </si>
  <si>
    <t>JHRC/2024/10145</t>
  </si>
  <si>
    <t>Aadya</t>
  </si>
  <si>
    <t>6201010041</t>
  </si>
  <si>
    <t>To APPLY FOR HIGHER CERTIFICATE</t>
  </si>
  <si>
    <t>Aditya Ranjan</t>
  </si>
  <si>
    <t>JHLRCO/2024/16795</t>
  </si>
  <si>
    <t>JHLRCO/2024/17229</t>
  </si>
  <si>
    <t>Subham Kumar Singh</t>
  </si>
  <si>
    <t>Shubham Kumar Jha</t>
  </si>
  <si>
    <t>Sahista Begum</t>
  </si>
  <si>
    <t>JHLRCO/2024/19969</t>
  </si>
  <si>
    <t>JHLRCO/2024/19980</t>
  </si>
  <si>
    <t>JHLRCO/2024/20487</t>
  </si>
  <si>
    <t>JHLRCO/2024/20540</t>
  </si>
  <si>
    <t>Kunal Soni</t>
  </si>
  <si>
    <t>Mayank Banerjee</t>
  </si>
  <si>
    <t>JHLRCO/2024/21952</t>
  </si>
  <si>
    <t>JHIC/2024/56873</t>
  </si>
  <si>
    <t>JHIC/2024/57444</t>
  </si>
  <si>
    <t>CH DHANANJAY SHANKAR RAO</t>
  </si>
  <si>
    <t>Ch M Manmad Rao</t>
  </si>
  <si>
    <t>JHIC/2024/57606</t>
  </si>
  <si>
    <t>JHIC/2024/57744</t>
  </si>
  <si>
    <t>JHIC/2024/58084</t>
  </si>
  <si>
    <t>JHRC/2023/406873</t>
  </si>
  <si>
    <t>JHLRCO/2024/23170</t>
  </si>
  <si>
    <t>JHLRCO/2024/23223</t>
  </si>
  <si>
    <t>Ayush Sharma</t>
  </si>
  <si>
    <t>Krish Singh</t>
  </si>
  <si>
    <t>JHLRCO/2024/23238</t>
  </si>
  <si>
    <t>Raj Nandini Rana</t>
  </si>
  <si>
    <t>JHLRCO/2024/23261</t>
  </si>
  <si>
    <t>Esther Singha Mahapatra</t>
  </si>
  <si>
    <t>JHLRCO/2024/23899</t>
  </si>
  <si>
    <t>Ritika</t>
  </si>
  <si>
    <t>JHRC/2024/14528</t>
  </si>
  <si>
    <t>Mohit Kumar</t>
  </si>
  <si>
    <t>Ashok Kumar Singh</t>
  </si>
  <si>
    <t>JHIC/2024/70452</t>
  </si>
  <si>
    <t>JHLRCO/2024/27214</t>
  </si>
  <si>
    <t>JHIC/2024/71260</t>
  </si>
  <si>
    <t>JHIC/2024/71318</t>
  </si>
  <si>
    <t>JHIC/2024/71404</t>
  </si>
  <si>
    <t>JHIC/2024/71477</t>
  </si>
  <si>
    <t>Muskan</t>
  </si>
  <si>
    <t>JHLRCO/2024/28333</t>
  </si>
  <si>
    <t>Date</t>
  </si>
  <si>
    <t>raionno</t>
  </si>
  <si>
    <t>uid</t>
  </si>
  <si>
    <t>phone</t>
  </si>
  <si>
    <t>202801066180</t>
  </si>
  <si>
    <t>Subhojeet Das</t>
  </si>
  <si>
    <t>9031001192</t>
  </si>
  <si>
    <t>7209600376</t>
  </si>
  <si>
    <t>Subhasish Das</t>
  </si>
  <si>
    <t>Aayush Kumar</t>
  </si>
  <si>
    <t>JHLRCO/2024/29532</t>
  </si>
  <si>
    <t>JHRC/2024/17683</t>
  </si>
  <si>
    <t>Dipak Gorai</t>
  </si>
  <si>
    <t>JHIC/2024/81586</t>
  </si>
  <si>
    <t>K Aryan</t>
  </si>
  <si>
    <t>JHLRCO/2024/33242</t>
  </si>
  <si>
    <t>Rashi Raj</t>
  </si>
  <si>
    <t>JHLRCO/2024/33493</t>
  </si>
  <si>
    <t>Deepanshu Patro</t>
  </si>
  <si>
    <t>Rishika</t>
  </si>
  <si>
    <t>JHLRCO/2024/35780</t>
  </si>
  <si>
    <t>JHLRCO/2024/35825</t>
  </si>
  <si>
    <t>JHIC/2024/95034</t>
  </si>
  <si>
    <t>JHIC/2024/95201</t>
  </si>
  <si>
    <t>JHLRCO/2024/36004</t>
  </si>
  <si>
    <t>JHLRCO/2024/36144</t>
  </si>
  <si>
    <t>JHIC/2024/96716</t>
  </si>
  <si>
    <t>CAN BE REJECTED</t>
  </si>
  <si>
    <t>CANBE REJECTED</t>
  </si>
  <si>
    <t>DOB</t>
  </si>
  <si>
    <t>OK</t>
  </si>
  <si>
    <t>DOB ISSUE</t>
  </si>
  <si>
    <t>JHIC/2024/42441</t>
  </si>
  <si>
    <t>REJECTE</t>
  </si>
  <si>
    <t>NEED TO REAPPLY</t>
  </si>
  <si>
    <t>JHLRCO/2024/36925</t>
  </si>
  <si>
    <t>JHLRCO/2024/38617</t>
  </si>
  <si>
    <t>Abhishek Kumar Ram</t>
  </si>
  <si>
    <t>DUE TO BIRTH</t>
  </si>
  <si>
    <t>JHLRCO/2024/45328</t>
  </si>
  <si>
    <t>Shreya Ojha</t>
  </si>
  <si>
    <t>Kavita Mahato</t>
  </si>
  <si>
    <t>Shreya Pramanick</t>
  </si>
  <si>
    <t>Tisha Sharma</t>
  </si>
  <si>
    <t>JHLRCO/2024/45852</t>
  </si>
  <si>
    <t>JHLRCO/2024/45938</t>
  </si>
  <si>
    <t>JHLRCO/2024/45994</t>
  </si>
  <si>
    <t>JHIC/2024/126361</t>
  </si>
  <si>
    <t>Ravindar Kumar Mahato</t>
  </si>
  <si>
    <t>z 1b</t>
  </si>
  <si>
    <t>Sushma Devi</t>
  </si>
  <si>
    <t>JHIC/2024/126458</t>
  </si>
  <si>
    <t>Sainath Das</t>
  </si>
  <si>
    <t>JHLRCO/2024/46654</t>
  </si>
  <si>
    <t>Rakhee Kumari</t>
  </si>
  <si>
    <t>JHLRCO/2024/46675</t>
  </si>
  <si>
    <t>Susma Devi</t>
  </si>
  <si>
    <t>202007458943</t>
  </si>
  <si>
    <t>7258955835</t>
  </si>
  <si>
    <t>Nidhi Sharma</t>
  </si>
  <si>
    <t>JHLRCO/2024/49178</t>
  </si>
  <si>
    <t>Anchal Sharma</t>
  </si>
  <si>
    <t>JHLRCO/2024/49239</t>
  </si>
  <si>
    <t>Ayush Singh</t>
  </si>
  <si>
    <t>chota</t>
  </si>
  <si>
    <t>JHLRCO/2024/49264</t>
  </si>
  <si>
    <t>Dharmendra mani tiwary</t>
  </si>
  <si>
    <t>JHIC/2024/139112</t>
  </si>
  <si>
    <t>202801104649</t>
  </si>
  <si>
    <t>502853171687</t>
  </si>
  <si>
    <t>Sweety Jaiswal</t>
  </si>
  <si>
    <t>8210057058</t>
  </si>
  <si>
    <t>924246886287</t>
  </si>
  <si>
    <t>Ankit Jaiswal</t>
  </si>
  <si>
    <t>JHRC/2024/30327</t>
  </si>
  <si>
    <t>w11</t>
  </si>
  <si>
    <t>202800990966</t>
  </si>
  <si>
    <t>831043774219</t>
  </si>
  <si>
    <t>7047916103</t>
  </si>
  <si>
    <t>Samarpit roy chakraborty</t>
  </si>
  <si>
    <t>JHLRCO/2024/55035</t>
  </si>
  <si>
    <t>JHLRCO/2024/55094</t>
  </si>
  <si>
    <t>Shreya Sharma</t>
  </si>
  <si>
    <t>chhota west</t>
  </si>
  <si>
    <t>202801127854</t>
  </si>
  <si>
    <t>7482029826</t>
  </si>
  <si>
    <t>Mohammad Alam</t>
  </si>
  <si>
    <t>819783110524</t>
  </si>
  <si>
    <t>202801127845</t>
  </si>
  <si>
    <t>9608598860</t>
  </si>
  <si>
    <t>Nazma Begum</t>
  </si>
  <si>
    <t>202329104358</t>
  </si>
  <si>
    <t>Rabi Shankar Sharma</t>
  </si>
  <si>
    <t>JHLRCO/2024/57113</t>
  </si>
  <si>
    <t>Sneha Barua</t>
  </si>
  <si>
    <t>JHLRCO/2024/57259</t>
  </si>
  <si>
    <t>JHIC/2024/162233</t>
  </si>
  <si>
    <t>6203960833</t>
  </si>
  <si>
    <t>Shubham Prasad</t>
  </si>
  <si>
    <t>JHLRCO/2024/59648</t>
  </si>
  <si>
    <t>lalbabu sah</t>
  </si>
  <si>
    <t>JHEWS/2024/02385</t>
  </si>
  <si>
    <t>Dipak Kuiri</t>
  </si>
  <si>
    <t>JHIC/2024/174873</t>
  </si>
  <si>
    <t>rejected due to affidavit(party)</t>
  </si>
  <si>
    <t>JHRC/2024/34806</t>
  </si>
  <si>
    <t>bagun nagar</t>
  </si>
  <si>
    <t>Ankit Shaw</t>
  </si>
  <si>
    <t>JHIC/2024/188492</t>
  </si>
  <si>
    <t>661377427710</t>
  </si>
  <si>
    <t>9234748158</t>
  </si>
  <si>
    <t>Ajay Lal Rai</t>
  </si>
  <si>
    <t>202801131165</t>
  </si>
  <si>
    <t>9955198712</t>
  </si>
  <si>
    <t>Pachi Ray</t>
  </si>
  <si>
    <t>915570117443</t>
  </si>
  <si>
    <t>256994909937</t>
  </si>
  <si>
    <t>Anita Ray</t>
  </si>
  <si>
    <t>608122170747</t>
  </si>
  <si>
    <t>Ranveer Roy</t>
  </si>
  <si>
    <t>202757372869</t>
  </si>
  <si>
    <t>7209679660</t>
  </si>
  <si>
    <t>JHIC/2024/200055</t>
  </si>
  <si>
    <t>Mamta</t>
  </si>
  <si>
    <t>202801126505</t>
  </si>
  <si>
    <t>7903342103</t>
  </si>
  <si>
    <t>Kuldeep Singh</t>
  </si>
  <si>
    <t>Manjeet Kaur</t>
  </si>
  <si>
    <t>JHRC/2024/39407</t>
  </si>
  <si>
    <t>802097063</t>
  </si>
  <si>
    <t>JHEWS/2024/03040</t>
  </si>
  <si>
    <t>JHIC/2024/229176</t>
  </si>
  <si>
    <t>JHLRCO/2024/81204</t>
  </si>
  <si>
    <t>202801099151</t>
  </si>
  <si>
    <t>591596370853</t>
  </si>
  <si>
    <t>9470391411</t>
  </si>
  <si>
    <t>Shyam Bihari Prasad</t>
  </si>
  <si>
    <t>JHIC/2024/260595</t>
  </si>
  <si>
    <t>Upendra Narayan Lall</t>
  </si>
  <si>
    <t>S-N</t>
  </si>
  <si>
    <t>JHIC/2024/260649</t>
  </si>
  <si>
    <t>JHIC/2024/260831</t>
  </si>
  <si>
    <t>JHIC/2024/260995</t>
  </si>
  <si>
    <t>Bikash Mahato</t>
  </si>
  <si>
    <t>Sachin Gope</t>
  </si>
  <si>
    <t>JHIC/2024/281748</t>
  </si>
  <si>
    <t>Anjali Mahato</t>
  </si>
  <si>
    <t>galudih</t>
  </si>
  <si>
    <t>ghatshila/ulda</t>
  </si>
  <si>
    <t>JHLRCO/2024/95662</t>
  </si>
  <si>
    <t>JHLRCO/2024/95683</t>
  </si>
  <si>
    <t>9546760758</t>
  </si>
  <si>
    <t>Parbati Mahato</t>
  </si>
  <si>
    <t>283186496338</t>
  </si>
  <si>
    <t>21243230746</t>
  </si>
  <si>
    <t>202006546246</t>
  </si>
  <si>
    <t>JHEWS/2024/04081</t>
  </si>
  <si>
    <t>Anil Kumar Prajapati</t>
  </si>
  <si>
    <t>JHEWS/2024/04184</t>
  </si>
  <si>
    <t>JHIC/2024/296470</t>
  </si>
  <si>
    <t>Potka</t>
  </si>
  <si>
    <t>ok</t>
  </si>
  <si>
    <t>Invalid Birth Certificate</t>
  </si>
  <si>
    <t>JHIC/2024/305490</t>
  </si>
  <si>
    <t>JHIC/2024/305528</t>
  </si>
  <si>
    <t>JHLRCO/2024/103846</t>
  </si>
  <si>
    <t>Gaurav Kumar Singh</t>
  </si>
  <si>
    <t>JHIC/2024/281824</t>
  </si>
  <si>
    <t>comes under bc2</t>
  </si>
  <si>
    <t>old residential</t>
  </si>
  <si>
    <t>JHLRCO/2024/110762</t>
  </si>
  <si>
    <t>Priya Ghosh</t>
  </si>
  <si>
    <t>JHIC/2024/326015</t>
  </si>
  <si>
    <t>JHIC/2024/331486</t>
  </si>
  <si>
    <t>JHIC/2024/331656</t>
  </si>
  <si>
    <t>JHIC/2024/331777</t>
  </si>
  <si>
    <t>202801051644</t>
  </si>
  <si>
    <t>711539093690</t>
  </si>
  <si>
    <t>7209177524</t>
  </si>
  <si>
    <t>970869648185</t>
  </si>
  <si>
    <t>Sarika Singh</t>
  </si>
  <si>
    <t>906905266262</t>
  </si>
  <si>
    <t>BIRTH CERTI NOT VALIED</t>
  </si>
  <si>
    <t>202006419726</t>
  </si>
  <si>
    <t>Om Prakash</t>
  </si>
  <si>
    <t>819736535663</t>
  </si>
  <si>
    <t>9835378505</t>
  </si>
  <si>
    <t>202800900128</t>
  </si>
  <si>
    <t>590324692127</t>
  </si>
  <si>
    <t>naheed perween</t>
  </si>
  <si>
    <t>6203107068</t>
  </si>
  <si>
    <t>JHIC/2024/356772</t>
  </si>
  <si>
    <t>JHIC/2024/356950</t>
  </si>
  <si>
    <t>Sumona Gope</t>
  </si>
  <si>
    <t>JHLRCO/2024/120994</t>
  </si>
  <si>
    <t>JHIC/2024/360702</t>
  </si>
  <si>
    <t>Priya Tanti</t>
  </si>
  <si>
    <t>JHIC/2024/360853</t>
  </si>
  <si>
    <t>on the basis of CO reprot</t>
  </si>
  <si>
    <t>7717777273</t>
  </si>
  <si>
    <t>JHEWS/2024/05432</t>
  </si>
  <si>
    <t>JHEWS/2024/05433</t>
  </si>
  <si>
    <t>JHEWS/2024/05438</t>
  </si>
  <si>
    <t>202006217353</t>
  </si>
  <si>
    <t>360875963977</t>
  </si>
  <si>
    <t>9234504434</t>
  </si>
  <si>
    <t>202006251097</t>
  </si>
  <si>
    <t>524112022052</t>
  </si>
  <si>
    <t>8603112961</t>
  </si>
  <si>
    <t>Rayudu venkatsrinivas</t>
  </si>
  <si>
    <t>202801091409</t>
  </si>
  <si>
    <t>583228666652</t>
  </si>
  <si>
    <t>8709352328</t>
  </si>
  <si>
    <t>Rachana Shrivastava</t>
  </si>
  <si>
    <t>JHLRCO/2024/127705</t>
  </si>
  <si>
    <t>Priyanka Ranjan</t>
  </si>
  <si>
    <t>JHRC/2024/69240</t>
  </si>
  <si>
    <t>Keshavi Upadhyay</t>
  </si>
  <si>
    <t>991841809733</t>
  </si>
  <si>
    <t>Aaryash Singh</t>
  </si>
  <si>
    <t>680461999665</t>
  </si>
  <si>
    <t>Rayudu Parwati</t>
  </si>
  <si>
    <t>7870807222</t>
  </si>
  <si>
    <t>766155221211</t>
  </si>
  <si>
    <t>Sheela Das</t>
  </si>
  <si>
    <t>202800741739</t>
  </si>
  <si>
    <t>807908188774</t>
  </si>
  <si>
    <t>8340187955</t>
  </si>
  <si>
    <t>Ravindar Pal Singh</t>
  </si>
  <si>
    <t>JHIC/2024/434803</t>
  </si>
  <si>
    <t>JHIC/2024/435033</t>
  </si>
  <si>
    <t>JHIC/2024/435285</t>
  </si>
  <si>
    <t>JHLRCO/2024/148510</t>
  </si>
  <si>
    <t>BIRTH ISSUE</t>
  </si>
  <si>
    <t>667753365577</t>
  </si>
  <si>
    <t>9135864988</t>
  </si>
  <si>
    <t>202801124047</t>
  </si>
  <si>
    <t>Sapan Bhadro</t>
  </si>
  <si>
    <t xml:space="preserve">Reapplied </t>
  </si>
  <si>
    <t>JHLRCO/2024/151669</t>
  </si>
  <si>
    <t>JHIC/2024/446976</t>
  </si>
  <si>
    <t>7488125121</t>
  </si>
  <si>
    <t>JHEWS/2024/07069</t>
  </si>
  <si>
    <t>suderhagu</t>
  </si>
  <si>
    <t>JHIC/2024/452242</t>
  </si>
  <si>
    <t>sunder hagu</t>
  </si>
  <si>
    <t>C G west</t>
  </si>
  <si>
    <t>Shubham Thakur</t>
  </si>
  <si>
    <t>zone 1A</t>
  </si>
  <si>
    <t>JHIC/2024/452396</t>
  </si>
  <si>
    <t>JHLRCO/2024/154508</t>
  </si>
  <si>
    <t>JHIC/2024/453992</t>
  </si>
  <si>
    <t>Ram Pradarth Prasad</t>
  </si>
  <si>
    <t>JHLRCO/2024/156470</t>
  </si>
  <si>
    <t>Rahul Kumar Prasad</t>
  </si>
  <si>
    <t>JHLRCO/2024/35744</t>
  </si>
  <si>
    <t>rejcted</t>
  </si>
  <si>
    <t>JHIC/2024/459534</t>
  </si>
  <si>
    <t>Dharmendra Mani Tiwary</t>
  </si>
  <si>
    <t>JHIC/2024/460867</t>
  </si>
  <si>
    <t>POTKA</t>
  </si>
  <si>
    <t>JHIC/2024/467704</t>
  </si>
  <si>
    <t>JHLRCO/2024/165748</t>
  </si>
  <si>
    <t>JHIC/2024/482060</t>
  </si>
  <si>
    <t>JHEWS/2024/07968</t>
  </si>
  <si>
    <t>JHEWSH/2024/01302</t>
  </si>
  <si>
    <t>JHLRCO/2024/167717</t>
  </si>
  <si>
    <t>Gulshan Kumar</t>
  </si>
  <si>
    <t>Reapply ID not applied</t>
  </si>
  <si>
    <t>JHLRCO/2024/170169</t>
  </si>
  <si>
    <t>Susmita Bhadra</t>
  </si>
  <si>
    <t>202801020340</t>
  </si>
  <si>
    <t>736215166855</t>
  </si>
  <si>
    <t>Rumi Khatoon</t>
  </si>
  <si>
    <t>9264261411</t>
  </si>
  <si>
    <t>advance</t>
  </si>
  <si>
    <t>Priyanshu Chatterjee</t>
  </si>
  <si>
    <t>sidhgora</t>
  </si>
  <si>
    <t>JHLRCO/2024/175508</t>
  </si>
  <si>
    <t>aff missing</t>
  </si>
  <si>
    <t>202801100791</t>
  </si>
  <si>
    <t>708768408357</t>
  </si>
  <si>
    <t>509299270318</t>
  </si>
  <si>
    <t>Roshan Ara</t>
  </si>
  <si>
    <t>Nesar Ahmad Ansari</t>
  </si>
  <si>
    <t>JHIC/2024/516677</t>
  </si>
  <si>
    <t>rejectrf</t>
  </si>
  <si>
    <t>JHIC/2024/524151</t>
  </si>
  <si>
    <t>Rupali Mahato</t>
  </si>
  <si>
    <t>Hathibindha</t>
  </si>
  <si>
    <t>Nasreen Parveen</t>
  </si>
  <si>
    <t>324884042654</t>
  </si>
  <si>
    <t>JHIC/2024/526532</t>
  </si>
  <si>
    <t>JHIC/2024/526634</t>
  </si>
  <si>
    <t>JHIC/2024/529308</t>
  </si>
  <si>
    <t>JHIC/2024/529349</t>
  </si>
  <si>
    <t>Sarbobid Roy Chakraborty</t>
  </si>
  <si>
    <t>Kandika criteria not fullfill</t>
  </si>
  <si>
    <t>Ritesh Mani Tripathi</t>
  </si>
  <si>
    <t>Apurva</t>
  </si>
  <si>
    <t>Subham Thakur</t>
  </si>
  <si>
    <t>JHLRCO/2024/187225</t>
  </si>
  <si>
    <t xml:space="preserve"> JHLRCO/2024/187276</t>
  </si>
  <si>
    <t>JHLRCO/2024/187333</t>
  </si>
  <si>
    <t>JHLRCO/2024/187382</t>
  </si>
  <si>
    <t>JHLRCO/2024/187413</t>
  </si>
  <si>
    <t>JHLRCO/2024/187834</t>
  </si>
  <si>
    <t>9135936042</t>
  </si>
  <si>
    <t>202801091716</t>
  </si>
  <si>
    <t>418333599460</t>
  </si>
  <si>
    <t>Safir Ahmad</t>
  </si>
  <si>
    <t>AKANSHA SINGH</t>
  </si>
  <si>
    <t>JHLRCO/2024/191276</t>
  </si>
  <si>
    <t>JHIC/2024/553621</t>
  </si>
  <si>
    <t>Not Related to Halka 7</t>
  </si>
  <si>
    <t>Applicant name and his father name in application is same</t>
  </si>
  <si>
    <t>affidavit me serial number and date mentioned Nahi hai</t>
  </si>
  <si>
    <t>JHLRCO/2024/200415</t>
  </si>
  <si>
    <t>Shib Nath</t>
  </si>
  <si>
    <t>Lok Nath</t>
  </si>
  <si>
    <t>JHLRCO/2024/200369</t>
  </si>
  <si>
    <t>tabish Raza Khan</t>
  </si>
  <si>
    <t>JHIC/2024/568324</t>
  </si>
  <si>
    <t>202800907293</t>
  </si>
  <si>
    <t>8210157563</t>
  </si>
  <si>
    <t>Koushik Kundu</t>
  </si>
  <si>
    <t>total</t>
  </si>
  <si>
    <t>348994925381</t>
  </si>
  <si>
    <t>JHIC/2024/569312</t>
  </si>
  <si>
    <t>JHIC/2024/569391</t>
  </si>
  <si>
    <t>JHLRCO/2024/202711</t>
  </si>
  <si>
    <t>Ankita Baskey</t>
  </si>
  <si>
    <t>Khakripara</t>
  </si>
  <si>
    <t>JHIC/2024/574480</t>
  </si>
  <si>
    <t>Ushma Lohar</t>
  </si>
  <si>
    <t>JHIC/2024/574565</t>
  </si>
  <si>
    <t>Karmu Singh Munda</t>
  </si>
  <si>
    <t>sonu Bhumij</t>
  </si>
  <si>
    <t>Anil Munda</t>
  </si>
  <si>
    <t>Mahendra Munda</t>
  </si>
  <si>
    <t>JHCST/2024/101976</t>
  </si>
  <si>
    <t>JHCST/2024/102059</t>
  </si>
  <si>
    <t>JHCST/2024/102181</t>
  </si>
  <si>
    <t>202801095853</t>
  </si>
  <si>
    <t>Ismotara Khatun</t>
  </si>
  <si>
    <t>950362143802</t>
  </si>
  <si>
    <t>9431345759</t>
  </si>
  <si>
    <t>JHCST/2024/111541</t>
  </si>
  <si>
    <t>Kumeshan Munda</t>
  </si>
  <si>
    <t>JHCST/2024/111610</t>
  </si>
  <si>
    <t>JHEWS/2024/11255</t>
  </si>
  <si>
    <t>Susmita Raha</t>
  </si>
  <si>
    <t>202005037391</t>
  </si>
  <si>
    <t>745971299852</t>
  </si>
  <si>
    <t>9471573451</t>
  </si>
  <si>
    <t>Renu Sinha</t>
  </si>
  <si>
    <t>202801138826</t>
  </si>
  <si>
    <t>9234772671</t>
  </si>
  <si>
    <t>Sujan Chatterjee</t>
  </si>
  <si>
    <t>840013136208</t>
  </si>
  <si>
    <t>JHIC/2024/593376</t>
  </si>
  <si>
    <t>JHRC/2024/105093</t>
  </si>
  <si>
    <t>Sk Shoib Akhtar</t>
  </si>
  <si>
    <t>JHRC/2024/105107</t>
  </si>
  <si>
    <t>Sonali Bhadra</t>
  </si>
  <si>
    <t>JHLRCO/2024/215331</t>
  </si>
  <si>
    <t>Anurag Kumar Mahato</t>
  </si>
  <si>
    <t>JHRC/2024/107143</t>
  </si>
  <si>
    <t>202005059850</t>
  </si>
  <si>
    <t>584862610158</t>
  </si>
  <si>
    <t>P Raja Rao</t>
  </si>
  <si>
    <t>202006017123</t>
  </si>
  <si>
    <t>829908666295</t>
  </si>
  <si>
    <t>9693581907</t>
  </si>
  <si>
    <t>Rejected on the basis of C.O. report and remarks.</t>
  </si>
  <si>
    <t>Rejeted</t>
  </si>
  <si>
    <t>Fake birth certificate attached</t>
  </si>
  <si>
    <t>Birth certificate</t>
  </si>
  <si>
    <t>reaaplied</t>
  </si>
  <si>
    <t>सत्यापित जन्म प्रमाण पत्र के साथ पुनः आवेदन करें.</t>
  </si>
  <si>
    <t xml:space="preserve">Waiting </t>
  </si>
  <si>
    <t>Need original birth certificate</t>
  </si>
  <si>
    <t>202006221688</t>
  </si>
  <si>
    <t>9142880824</t>
  </si>
  <si>
    <t>549574588091</t>
  </si>
  <si>
    <t>Indronil Biswas</t>
  </si>
  <si>
    <t>202801030974</t>
  </si>
  <si>
    <t>362312279136</t>
  </si>
  <si>
    <t>Chandra Bhushan Singh</t>
  </si>
  <si>
    <t>20200742285</t>
  </si>
  <si>
    <t>266110656694</t>
  </si>
  <si>
    <t>775309397078</t>
  </si>
  <si>
    <t>Swastika Das</t>
  </si>
  <si>
    <t>Jayanti Rani Das</t>
  </si>
  <si>
    <t>Sundari Tirkery</t>
  </si>
  <si>
    <t>salgajhari</t>
  </si>
  <si>
    <t>Rizwana Perween</t>
  </si>
  <si>
    <t>JHIC/2024/627275</t>
  </si>
  <si>
    <t>JHIC/2024/627341</t>
  </si>
  <si>
    <t>Kalimati (East)</t>
  </si>
  <si>
    <t>JHLRCO/2024/230551</t>
  </si>
  <si>
    <t>Kaushal Kumar Mishra</t>
  </si>
  <si>
    <t>523446266889</t>
  </si>
  <si>
    <t>Ayushi</t>
  </si>
  <si>
    <t>7781052587</t>
  </si>
  <si>
    <t>317974887717</t>
  </si>
  <si>
    <t>Muzahid ali</t>
  </si>
  <si>
    <t>697448631165</t>
  </si>
  <si>
    <t>7667279090</t>
  </si>
  <si>
    <t>Shyamali Biswas</t>
  </si>
  <si>
    <t>202005785049</t>
  </si>
  <si>
    <t>433630460078</t>
  </si>
  <si>
    <t>6207129237</t>
  </si>
  <si>
    <t>Jayshree Kundu</t>
  </si>
  <si>
    <t>7631179958</t>
  </si>
  <si>
    <t>babita Devi</t>
  </si>
  <si>
    <t>6204179903</t>
  </si>
  <si>
    <t>9508179835</t>
  </si>
  <si>
    <t>Ashana</t>
  </si>
  <si>
    <t>Birth certificate GBP</t>
  </si>
  <si>
    <t>JHRC/2024/114178</t>
  </si>
  <si>
    <t>9661886679</t>
  </si>
  <si>
    <t>971146344064</t>
  </si>
  <si>
    <t>202006363978</t>
  </si>
  <si>
    <t>Radharani Mandal</t>
  </si>
  <si>
    <t>JHIC/2024/644224</t>
  </si>
  <si>
    <t>202801127851</t>
  </si>
  <si>
    <t>829868421860</t>
  </si>
  <si>
    <t>9955864031</t>
  </si>
  <si>
    <t>Biswajeet Biswas</t>
  </si>
  <si>
    <t>Samili Biswas</t>
  </si>
  <si>
    <t>8210336477</t>
  </si>
  <si>
    <t>923446266889</t>
  </si>
  <si>
    <t>JHRC/2024/117561</t>
  </si>
  <si>
    <t>8210156051</t>
  </si>
  <si>
    <t>202800539720</t>
  </si>
  <si>
    <t>883980819496</t>
  </si>
  <si>
    <t>Santosh Kumas Singh</t>
  </si>
  <si>
    <t>Renuka Singh</t>
  </si>
  <si>
    <t>Sashwat Kumar</t>
  </si>
  <si>
    <t>JHIC/2024/669446</t>
  </si>
  <si>
    <t>503901580696</t>
  </si>
  <si>
    <t>202801019277</t>
  </si>
  <si>
    <t>9204789453</t>
  </si>
  <si>
    <t>Ashish Kanti Biswas</t>
  </si>
  <si>
    <t>202800515932</t>
  </si>
  <si>
    <t>9939407888</t>
  </si>
  <si>
    <t>Ashok Kumar Banerjee</t>
  </si>
  <si>
    <t>935449420851</t>
  </si>
  <si>
    <t>8789781060</t>
  </si>
  <si>
    <t>202007403583</t>
  </si>
  <si>
    <t>947378507869</t>
  </si>
  <si>
    <t>Geeta Singh</t>
  </si>
  <si>
    <t>Jwala Prasad Singh</t>
  </si>
  <si>
    <t>govindpur W</t>
  </si>
  <si>
    <t>JHIC/2024/686289</t>
  </si>
  <si>
    <t>JHRC/2024/123909</t>
  </si>
  <si>
    <t>govindpur east</t>
  </si>
  <si>
    <t>JHIC/2024/695499</t>
  </si>
  <si>
    <t>202006429066</t>
  </si>
  <si>
    <t>482309030336</t>
  </si>
  <si>
    <t>9031558684</t>
  </si>
  <si>
    <t>Nitay Singh</t>
  </si>
  <si>
    <t>JHLRCO/2024/262796</t>
  </si>
  <si>
    <t>202800741506</t>
  </si>
  <si>
    <t>366619008516</t>
  </si>
  <si>
    <t>Ekbal Singh</t>
  </si>
  <si>
    <t>9470353884</t>
  </si>
  <si>
    <t>202801089940</t>
  </si>
  <si>
    <t>916956868519</t>
  </si>
  <si>
    <t>9471540879</t>
  </si>
  <si>
    <t>Har Mohan Mahato</t>
  </si>
  <si>
    <t>392678902151</t>
  </si>
  <si>
    <t>Padma Devi</t>
  </si>
  <si>
    <t>NOT applied</t>
  </si>
  <si>
    <t>JHIC/2024/712109</t>
  </si>
  <si>
    <t>JHIC/2024/712464</t>
  </si>
  <si>
    <t>chotagovind</t>
  </si>
  <si>
    <t>JHIC/2024/713065</t>
  </si>
  <si>
    <t>JHLRCO/2024/270190</t>
  </si>
  <si>
    <t>JHLRCO/2024/270326</t>
  </si>
  <si>
    <t>Bihar</t>
  </si>
  <si>
    <t>822993689879</t>
  </si>
  <si>
    <t>7091867196</t>
  </si>
  <si>
    <t>Manoj Saw</t>
  </si>
  <si>
    <t>739737271588</t>
  </si>
  <si>
    <t>6203086501</t>
  </si>
  <si>
    <t>ajay Kumar</t>
  </si>
  <si>
    <t>deli</t>
  </si>
  <si>
    <t>202800742184</t>
  </si>
  <si>
    <t>795679090950</t>
  </si>
  <si>
    <t>8674803084</t>
  </si>
  <si>
    <t>Mukesh Kumar Singh</t>
  </si>
  <si>
    <t>Somya Singh</t>
  </si>
  <si>
    <t>466899426295</t>
  </si>
  <si>
    <t>Kanchan Kumari</t>
  </si>
  <si>
    <t>267565491218</t>
  </si>
  <si>
    <t>bihar</t>
  </si>
  <si>
    <t>332157071961</t>
  </si>
  <si>
    <t>Vivek Kumar Sing</t>
  </si>
  <si>
    <t>8294626353</t>
  </si>
  <si>
    <t>680291576904</t>
  </si>
  <si>
    <t>9576692938</t>
  </si>
  <si>
    <t>Chittranjan Pd Singh</t>
  </si>
  <si>
    <t>VIRAT KUMAR RAY</t>
  </si>
  <si>
    <t>800854435872</t>
  </si>
  <si>
    <t>8969592153</t>
  </si>
  <si>
    <t>9801214878</t>
  </si>
  <si>
    <t>Shailesh kumar pandey</t>
  </si>
  <si>
    <t>527429580081</t>
  </si>
  <si>
    <t>9523994179</t>
  </si>
  <si>
    <t>JHEWS/2024/14806</t>
  </si>
  <si>
    <t>704917515466</t>
  </si>
  <si>
    <t>202004973068</t>
  </si>
  <si>
    <t>9931637682</t>
  </si>
  <si>
    <t>Uday Mandal</t>
  </si>
  <si>
    <t>968679791334</t>
  </si>
  <si>
    <t>7631155330</t>
  </si>
  <si>
    <t>Devendra Kr Singh</t>
  </si>
  <si>
    <t>9204394579</t>
  </si>
  <si>
    <t>202006049061</t>
  </si>
  <si>
    <t>633326191492</t>
  </si>
  <si>
    <t>Anita Singh</t>
  </si>
  <si>
    <t>Binod Kumar Singh</t>
  </si>
  <si>
    <t>298054522258</t>
  </si>
  <si>
    <t>8252823298</t>
  </si>
  <si>
    <t>202007628422</t>
  </si>
  <si>
    <t>873870902027</t>
  </si>
  <si>
    <t>Priyanka Dev</t>
  </si>
  <si>
    <t>924777795907</t>
  </si>
  <si>
    <t>Rameshwar Yadv</t>
  </si>
  <si>
    <t>780815974401</t>
  </si>
  <si>
    <t>7903186393</t>
  </si>
  <si>
    <t>Neeraj Kumar</t>
  </si>
  <si>
    <t>894415013655</t>
  </si>
  <si>
    <t>6204371744</t>
  </si>
  <si>
    <t>Nandji Upadhyay</t>
  </si>
  <si>
    <t>Asmit Biswas</t>
  </si>
  <si>
    <t>JHLRCO/2024/282648</t>
  </si>
  <si>
    <t>487806336736</t>
  </si>
  <si>
    <t>Asha Sinha</t>
  </si>
  <si>
    <t>7870059424</t>
  </si>
  <si>
    <t>7250307282</t>
  </si>
  <si>
    <t>614226192014</t>
  </si>
  <si>
    <t>Sujit Kumar</t>
  </si>
  <si>
    <t>JHIC/2024/743484</t>
  </si>
  <si>
    <t>Md Akhter Hussain</t>
  </si>
  <si>
    <t>8340307005</t>
  </si>
  <si>
    <t>694441188910</t>
  </si>
  <si>
    <t>Shakti Kumar Singh</t>
  </si>
  <si>
    <t>Mritunjay Patro</t>
  </si>
  <si>
    <t>JHLRCO/2024/288106</t>
  </si>
  <si>
    <t>Attached documents not scanned from original</t>
  </si>
  <si>
    <t>919754777712</t>
  </si>
  <si>
    <t>7870350766</t>
  </si>
  <si>
    <t>JHIC/2024/569742</t>
  </si>
  <si>
    <t>JHIC/2024/543429</t>
  </si>
  <si>
    <t>JHIC/2024/743623</t>
  </si>
  <si>
    <t>Laxminagar</t>
  </si>
  <si>
    <t>Prayash Singh</t>
  </si>
  <si>
    <t>JHRC/2024/141696</t>
  </si>
  <si>
    <t>Neelam Ravidas</t>
  </si>
  <si>
    <t>JHIC/2024/786258</t>
  </si>
  <si>
    <t>JHLRCO/2024/308083</t>
  </si>
  <si>
    <t>JHCSC/2024/86273</t>
  </si>
  <si>
    <t>JHEWS/2024/16314</t>
  </si>
  <si>
    <t>Kuntal Parui</t>
  </si>
  <si>
    <t>Khokan Kumari</t>
  </si>
  <si>
    <t>JHIC/2024/794452</t>
  </si>
  <si>
    <t>on 21-03-2024</t>
  </si>
  <si>
    <t>Money returned rs 80</t>
  </si>
  <si>
    <t>Romit Kumar Das</t>
  </si>
  <si>
    <t>domjuri</t>
  </si>
  <si>
    <t>JHIC/2024/799611</t>
  </si>
  <si>
    <t>JHEWS/2024/16665</t>
  </si>
  <si>
    <t>JHLRCO/2024/316850</t>
  </si>
  <si>
    <t>Umang Srivastava</t>
  </si>
  <si>
    <t>JHIC/2024/803278</t>
  </si>
  <si>
    <t>zone 1a</t>
  </si>
  <si>
    <t>Roushan Kumar</t>
  </si>
  <si>
    <t>JHLRCO/2024/317992</t>
  </si>
  <si>
    <t>Koustav Ghosh</t>
  </si>
  <si>
    <t>JHLRCO/2024/318040</t>
  </si>
  <si>
    <t>DUKHA SAHU</t>
  </si>
  <si>
    <t>KABERI SAHU </t>
  </si>
  <si>
    <t>7209779946</t>
  </si>
  <si>
    <t>9798864791</t>
  </si>
  <si>
    <t>202007465002</t>
  </si>
  <si>
    <t>366211606679</t>
  </si>
  <si>
    <t>230630969864</t>
  </si>
  <si>
    <t>659021253167</t>
  </si>
  <si>
    <t>7488002656</t>
  </si>
  <si>
    <t>Rupali Biswas</t>
  </si>
  <si>
    <t>JHIC/2024/618769</t>
  </si>
  <si>
    <t>sent in whtspp</t>
  </si>
  <si>
    <t>970209259810</t>
  </si>
  <si>
    <t>Seema Banerjee</t>
  </si>
  <si>
    <t>7250158897</t>
  </si>
  <si>
    <t>JHIC/2024/813056</t>
  </si>
  <si>
    <t>JHEWSH/2024/04003</t>
  </si>
  <si>
    <t>goutam mishra</t>
  </si>
  <si>
    <t>Vansika Mishra</t>
  </si>
  <si>
    <t>JHLRCO/2024/325721</t>
  </si>
  <si>
    <t>JHLRCO/2024/330327</t>
  </si>
  <si>
    <t>Akshat Kumar</t>
  </si>
  <si>
    <t>202005762130</t>
  </si>
  <si>
    <t>756047039683</t>
  </si>
  <si>
    <t>9204662216</t>
  </si>
  <si>
    <t>Bhibhuti Bhushan Mahato</t>
  </si>
  <si>
    <t>Mina Mahato</t>
  </si>
  <si>
    <t>Name Edit</t>
  </si>
  <si>
    <t>JHIC/2024/827324</t>
  </si>
  <si>
    <t>Sarabjeet Tiwary</t>
  </si>
  <si>
    <t>JHEWS/2024/18179</t>
  </si>
  <si>
    <t>JHEWS/2024/18181</t>
  </si>
  <si>
    <t>Aditya Raj Singh</t>
  </si>
  <si>
    <t>JHIC/2024/831051</t>
  </si>
  <si>
    <t>JHIC/2024/831070</t>
  </si>
  <si>
    <t>202006361661</t>
  </si>
  <si>
    <t>627397184394</t>
  </si>
  <si>
    <t>Manorama Devi</t>
  </si>
  <si>
    <t>9122026760</t>
  </si>
  <si>
    <t>JHEWS/2024/18642</t>
  </si>
  <si>
    <t>382976833403</t>
  </si>
  <si>
    <t>8757814872</t>
  </si>
  <si>
    <t>Pawan Kumar pathak</t>
  </si>
  <si>
    <t>497458167534</t>
  </si>
  <si>
    <t>9955875745</t>
  </si>
  <si>
    <t>Uday Shankar Srivatava</t>
  </si>
  <si>
    <t>JHCBC/2024/203956</t>
  </si>
  <si>
    <t>Pinki Sharma</t>
  </si>
  <si>
    <t>makdampur</t>
  </si>
  <si>
    <t>JHLRCO/2024/341110</t>
  </si>
  <si>
    <t>202007416941</t>
  </si>
  <si>
    <t>984385146270</t>
  </si>
  <si>
    <t>8092260764</t>
  </si>
  <si>
    <t>Vinay Jha</t>
  </si>
  <si>
    <t>871285361060</t>
  </si>
  <si>
    <t>7209607912</t>
  </si>
  <si>
    <t>Shobha Jha</t>
  </si>
  <si>
    <t>8521139160</t>
  </si>
  <si>
    <t>JHEWS/2024/18942</t>
  </si>
  <si>
    <t>JHEWS/2024/18943</t>
  </si>
  <si>
    <t>Chitranjan Kumar Ray</t>
  </si>
  <si>
    <t>6205708071</t>
  </si>
  <si>
    <t>Manish Pandey</t>
  </si>
  <si>
    <t>JHEWS/2024/19354</t>
  </si>
  <si>
    <t>JHIC/2024/847725</t>
  </si>
  <si>
    <t>202801163909</t>
  </si>
  <si>
    <t>438594216160</t>
  </si>
  <si>
    <t>Jagdeep Kkumar Das</t>
  </si>
  <si>
    <t>Sunita Das</t>
  </si>
  <si>
    <t>9835363490</t>
  </si>
  <si>
    <t>202801096504</t>
  </si>
  <si>
    <t>628427324001</t>
  </si>
  <si>
    <t>7766911483</t>
  </si>
  <si>
    <t>Swadesh Ranjan Mall</t>
  </si>
  <si>
    <t>202006511923</t>
  </si>
  <si>
    <t>7764824091</t>
  </si>
  <si>
    <t>286864461158</t>
  </si>
  <si>
    <t>Jogeshwar Singh</t>
  </si>
  <si>
    <t>242450428329</t>
  </si>
  <si>
    <t>Debashish Das</t>
  </si>
  <si>
    <t>Gautam Barik</t>
  </si>
  <si>
    <t>JHLRCO/2024/351336</t>
  </si>
  <si>
    <t>Babu Lal Bhuyan</t>
  </si>
  <si>
    <t>JHLRCO/2024/351520</t>
  </si>
  <si>
    <t xml:space="preserve">chhota </t>
  </si>
  <si>
    <t>JHLRCO/2024/351404</t>
  </si>
  <si>
    <t>JHIC/2024/854503</t>
  </si>
  <si>
    <t>JHIC/2024/855157</t>
  </si>
  <si>
    <t>202006459460</t>
  </si>
  <si>
    <t>329523161596</t>
  </si>
  <si>
    <t>7209646817</t>
  </si>
  <si>
    <t>Chandra Prakash Prasad</t>
  </si>
  <si>
    <t>Renuka Bhadro</t>
  </si>
  <si>
    <t>661972609131</t>
  </si>
  <si>
    <t>JHLRCO/2024/357369</t>
  </si>
  <si>
    <t>202006221479</t>
  </si>
  <si>
    <t>809058869456</t>
  </si>
  <si>
    <t>Mohammad Mukhtar Khan</t>
  </si>
  <si>
    <t>9263392836</t>
  </si>
  <si>
    <t>457167302442</t>
  </si>
  <si>
    <t>7209561824</t>
  </si>
  <si>
    <t>Tanuja Perween</t>
  </si>
  <si>
    <t>817550661335</t>
  </si>
  <si>
    <t>Mohammad Sajeed Khan</t>
  </si>
  <si>
    <t>6201057861</t>
  </si>
  <si>
    <t>JHIC/2024/861966</t>
  </si>
  <si>
    <t>Sneha Bag</t>
  </si>
  <si>
    <t>9905247347</t>
  </si>
  <si>
    <t>633322910187</t>
  </si>
  <si>
    <t>202800942278</t>
  </si>
  <si>
    <t>Meena Sharma</t>
  </si>
  <si>
    <t>722665735228</t>
  </si>
  <si>
    <t>7209312681</t>
  </si>
  <si>
    <t>JHLRCO/2024/360297</t>
  </si>
  <si>
    <t>505974185983</t>
  </si>
  <si>
    <t>Renuka Mall</t>
  </si>
  <si>
    <t>required original birth cetificate/Matric Certificate</t>
  </si>
  <si>
    <t>kandika not fulfill</t>
  </si>
  <si>
    <t>Rejected on the basis of C.O. report and remarks</t>
  </si>
  <si>
    <t>school name note mentioned</t>
  </si>
  <si>
    <t>Tabish Raza Khan</t>
  </si>
  <si>
    <t>Khagaria</t>
  </si>
  <si>
    <t>527038064608</t>
  </si>
  <si>
    <t>Rejwan Khan</t>
  </si>
  <si>
    <t>6299397712</t>
  </si>
  <si>
    <t>202800705725</t>
  </si>
  <si>
    <t>759277942791</t>
  </si>
  <si>
    <t>Ravi Sen</t>
  </si>
  <si>
    <t>9430306306</t>
  </si>
  <si>
    <t>Ranjita Verma</t>
  </si>
  <si>
    <t>Haarish Irfan Khan</t>
  </si>
  <si>
    <t>send on 25-04-2024</t>
  </si>
  <si>
    <t>8809299069</t>
  </si>
  <si>
    <t>Ashok Kumar Sah</t>
  </si>
  <si>
    <t>202800745243</t>
  </si>
  <si>
    <t>610034216256</t>
  </si>
  <si>
    <t>JHIC/2024/876702</t>
  </si>
  <si>
    <t>JHIC/2024/878819</t>
  </si>
  <si>
    <t>Vijaya Ghosh</t>
  </si>
  <si>
    <t>JHIC/2024/878826</t>
  </si>
  <si>
    <t>mismatch dob</t>
  </si>
  <si>
    <t>pending dob</t>
  </si>
  <si>
    <t> JHLRCO/2024/370681</t>
  </si>
  <si>
    <t>202002356975</t>
  </si>
  <si>
    <t>834604278594</t>
  </si>
  <si>
    <t>9334671781</t>
  </si>
  <si>
    <t>Md Zaid Hassan</t>
  </si>
  <si>
    <t>202800746166</t>
  </si>
  <si>
    <t>784382492839</t>
  </si>
  <si>
    <t>Salma Khatun</t>
  </si>
  <si>
    <t>JHIC/2024/882437</t>
  </si>
  <si>
    <t>Vishal KuMar Singh</t>
  </si>
  <si>
    <t>202006464848</t>
  </si>
  <si>
    <t>973342276114</t>
  </si>
  <si>
    <t>7091703381</t>
  </si>
  <si>
    <t>Tapashi Patra</t>
  </si>
  <si>
    <t>JHIC/2024/893670</t>
  </si>
  <si>
    <t>Ainan Talha</t>
  </si>
  <si>
    <t>JHLRCO/2024/379631</t>
  </si>
  <si>
    <t>sruti sahu</t>
  </si>
  <si>
    <t>JHIC/2024/893724</t>
  </si>
  <si>
    <t>Rinku Devi</t>
  </si>
  <si>
    <t>JHEWS/2024/23018</t>
  </si>
  <si>
    <t>JHIC/2024/901095</t>
  </si>
  <si>
    <t>Urusha Iram</t>
  </si>
  <si>
    <t>77640 77002</t>
  </si>
  <si>
    <t>JHRC/2024/179887</t>
  </si>
  <si>
    <t>JHIC/2024/901201</t>
  </si>
  <si>
    <t>JHLRCO/2024/385432</t>
  </si>
  <si>
    <t>Anshu Kumar</t>
  </si>
  <si>
    <t>JHEWS/2024/23072</t>
  </si>
  <si>
    <t>202006403577</t>
  </si>
  <si>
    <t>287212505143</t>
  </si>
  <si>
    <t>8603858018</t>
  </si>
  <si>
    <t>Mousumi Banerjee</t>
  </si>
  <si>
    <t>9572794513</t>
  </si>
  <si>
    <t>JHEWS/2024/23327</t>
  </si>
  <si>
    <t>JHLRCO/2024/387644</t>
  </si>
  <si>
    <t>6203720447</t>
  </si>
  <si>
    <t>JHEWS/2024/23572</t>
  </si>
  <si>
    <t>sm</t>
  </si>
  <si>
    <t>JHEWS/2024/23574</t>
  </si>
  <si>
    <t>JHIC/2024/911940</t>
  </si>
  <si>
    <t>REJECTED NO BC</t>
  </si>
  <si>
    <t>JHIC/2024/912969</t>
  </si>
  <si>
    <t>Annpurna singh munda</t>
  </si>
  <si>
    <t>202801095478</t>
  </si>
  <si>
    <t>446704567471</t>
  </si>
  <si>
    <t>9386864186</t>
  </si>
  <si>
    <t>Tabassum Ara</t>
  </si>
  <si>
    <t>834517673714</t>
  </si>
  <si>
    <t>9523470542</t>
  </si>
  <si>
    <t>Mohammad Sameer Khan</t>
  </si>
  <si>
    <t>Amit Surabh</t>
  </si>
  <si>
    <t>JHLRCO/2024/400043</t>
  </si>
  <si>
    <t>JHLRCO/2024/400083</t>
  </si>
  <si>
    <t>Anmol Singh</t>
  </si>
  <si>
    <t>JHEWS/2024/24393</t>
  </si>
  <si>
    <t>79911</t>
  </si>
  <si>
    <t>JHEWS/2024/24392</t>
  </si>
  <si>
    <t xml:space="preserve">RYTISHA SENGUPTA </t>
  </si>
  <si>
    <t>7903429796</t>
  </si>
  <si>
    <t>668804232122</t>
  </si>
  <si>
    <t>202007241186</t>
  </si>
  <si>
    <t>607698046324</t>
  </si>
  <si>
    <t>Pranab Sengupta</t>
  </si>
  <si>
    <t>9534120783</t>
  </si>
  <si>
    <t>JHIC/2024/927367</t>
  </si>
  <si>
    <t>Niva</t>
  </si>
  <si>
    <t>JHIC/2024/927391</t>
  </si>
  <si>
    <t>JHLRCO/2024/405398</t>
  </si>
  <si>
    <t>Anuj Kumar Yadav</t>
  </si>
  <si>
    <t>JHLRCO/2024/405672</t>
  </si>
  <si>
    <t>JHEWS/2024/21116</t>
  </si>
  <si>
    <t>JHLRCO/2024/406666</t>
  </si>
  <si>
    <t>Sanchita Solanki</t>
  </si>
  <si>
    <t>cable town</t>
  </si>
  <si>
    <t>202801113925</t>
  </si>
  <si>
    <t>996777486994</t>
  </si>
  <si>
    <t>9279787031</t>
  </si>
  <si>
    <t>Karri Vijay Laxmi</t>
  </si>
  <si>
    <t>419960933592</t>
  </si>
  <si>
    <t>S Kishori</t>
  </si>
  <si>
    <t>202006612545</t>
  </si>
  <si>
    <t>464364869047</t>
  </si>
  <si>
    <t>Mona Dev</t>
  </si>
  <si>
    <t>615584308350</t>
  </si>
  <si>
    <t>Abhishek Dev</t>
  </si>
  <si>
    <t>8092826286</t>
  </si>
  <si>
    <t>202006124592</t>
  </si>
  <si>
    <t>8797935614</t>
  </si>
  <si>
    <t>202801090729</t>
  </si>
  <si>
    <t>882821893885</t>
  </si>
  <si>
    <t>8092307725</t>
  </si>
  <si>
    <t>Nikhil Mazumdar</t>
  </si>
  <si>
    <t>JHLRCO/2024/410228</t>
  </si>
  <si>
    <t>Sayon Kundu</t>
  </si>
  <si>
    <t>JHLRCO/2024/410243</t>
  </si>
  <si>
    <t>Neha Sharma</t>
  </si>
  <si>
    <t>chota govindpur</t>
  </si>
  <si>
    <t>JHLRCO/2024/410251</t>
  </si>
  <si>
    <t>Dvy Sristi</t>
  </si>
  <si>
    <t>JHLRCO/2024/410257</t>
  </si>
  <si>
    <t>Sneha Roy</t>
  </si>
  <si>
    <t>JHLRCO/2024/410263</t>
  </si>
  <si>
    <t>Sakuntala Ojha</t>
  </si>
  <si>
    <t>JHLRCO/2024/410266</t>
  </si>
  <si>
    <t>JHIC/2024/936560</t>
  </si>
  <si>
    <t>sumit kumar</t>
  </si>
  <si>
    <t>JHIC/2024/936596</t>
  </si>
  <si>
    <t>Md sameer khan</t>
  </si>
  <si>
    <t>JHIC/2024/936713</t>
  </si>
  <si>
    <t>JHLRCO/2024/412592</t>
  </si>
  <si>
    <t>Tahseen Yusuf Zai</t>
  </si>
  <si>
    <t>Sushma Kumari Sharma</t>
  </si>
  <si>
    <t>423626193389</t>
  </si>
  <si>
    <t>JHIC/2024/941383</t>
  </si>
  <si>
    <t>Md Zaheeruddin</t>
  </si>
  <si>
    <t>Shama Perween</t>
  </si>
  <si>
    <t>JHIC/2024/941403</t>
  </si>
  <si>
    <t>JHIC/2024/948118</t>
  </si>
  <si>
    <t>JHIC/2024/948134</t>
  </si>
  <si>
    <t>birth objection</t>
  </si>
  <si>
    <t>bc rejection</t>
  </si>
  <si>
    <t>JHLRCO/2024/421972</t>
  </si>
  <si>
    <t>incomplete sale deed</t>
  </si>
  <si>
    <t>JHIC/2024/952551</t>
  </si>
  <si>
    <t>JHIC/2024/952583</t>
  </si>
  <si>
    <t>202006219660</t>
  </si>
  <si>
    <t>356960947465</t>
  </si>
  <si>
    <t>Nirmala Devi</t>
  </si>
  <si>
    <t>967065657503</t>
  </si>
  <si>
    <t>9431180724</t>
  </si>
  <si>
    <t>Shatrughan Prasasd</t>
  </si>
  <si>
    <t>JHLRCO/2024/427470</t>
  </si>
  <si>
    <t>Piush Kumar</t>
  </si>
  <si>
    <t>reject due to missing land details</t>
  </si>
  <si>
    <t>JHEWS/2024/25718</t>
  </si>
  <si>
    <t>JHLRCO/2024/430020</t>
  </si>
  <si>
    <t>Sk Sarfaraz</t>
  </si>
  <si>
    <t>JHIC/2024/958846</t>
  </si>
  <si>
    <t>JHLRCO/2024/431852</t>
  </si>
  <si>
    <t>Yogesh Kumar</t>
  </si>
  <si>
    <t>JHLRCO/2024/431870</t>
  </si>
  <si>
    <t>JHEWS/2024/25918</t>
  </si>
  <si>
    <t>JHLRCO/2024/432809</t>
  </si>
  <si>
    <t>Mahjabeen</t>
  </si>
  <si>
    <t>JHIC/2024/962917</t>
  </si>
  <si>
    <t>JHIC/2024/962950</t>
  </si>
  <si>
    <t>202005306573</t>
  </si>
  <si>
    <t>427610338335</t>
  </si>
  <si>
    <t>9279938623</t>
  </si>
  <si>
    <t>malti Kour</t>
  </si>
  <si>
    <t>rejectred</t>
  </si>
  <si>
    <t>Documents are not complete</t>
  </si>
  <si>
    <t>जन्म प्रमाण पत्र बंगाल से निर्गत है।</t>
  </si>
  <si>
    <t>202801094704</t>
  </si>
  <si>
    <t>814397297943</t>
  </si>
  <si>
    <t>7991181109</t>
  </si>
  <si>
    <t>Sajda Tarannum</t>
  </si>
  <si>
    <t>8102542329</t>
  </si>
  <si>
    <t>595768193164</t>
  </si>
  <si>
    <t>202007449641</t>
  </si>
  <si>
    <t>Tabasum Parween</t>
  </si>
  <si>
    <t>JHIC/2024/968457</t>
  </si>
  <si>
    <t>Deepshikha Sawarn</t>
  </si>
  <si>
    <t>Arbaz Alam</t>
  </si>
  <si>
    <t>Neha Roy Chowdhury</t>
  </si>
  <si>
    <t>JHLRCO/2024/440647</t>
  </si>
  <si>
    <t>JHLRCO/2024/440722</t>
  </si>
  <si>
    <t>7209943400</t>
  </si>
  <si>
    <t>MD SERAJ HUSSAIN</t>
  </si>
  <si>
    <t>202800907181</t>
  </si>
  <si>
    <t>692636505669</t>
  </si>
  <si>
    <t>202005777535</t>
  </si>
  <si>
    <t>430315740514</t>
  </si>
  <si>
    <t>7858924632</t>
  </si>
  <si>
    <t>202005879618</t>
  </si>
  <si>
    <t>8797231009</t>
  </si>
  <si>
    <t>Reena Kumari</t>
  </si>
  <si>
    <t>JHIC/2024/974014</t>
  </si>
  <si>
    <t>Bir Singh</t>
  </si>
  <si>
    <t>Ayesh Zabeen-1.2L</t>
  </si>
  <si>
    <t>202801039594</t>
  </si>
  <si>
    <t>8603848500</t>
  </si>
  <si>
    <t>8340415371</t>
  </si>
  <si>
    <t>Ruby Kumari</t>
  </si>
  <si>
    <t>202007058362</t>
  </si>
  <si>
    <t>KAUSAR JAHAN </t>
  </si>
  <si>
    <t>HABIBA FATMA</t>
  </si>
  <si>
    <t>8235243915</t>
  </si>
  <si>
    <t>481512194249</t>
  </si>
  <si>
    <t>202801109406</t>
  </si>
  <si>
    <t>9123231601</t>
  </si>
  <si>
    <t>Farha Naz</t>
  </si>
  <si>
    <t>JHLRCO/2024/446583</t>
  </si>
  <si>
    <t>202801102961</t>
  </si>
  <si>
    <t>9693750275</t>
  </si>
  <si>
    <t>Anita Ranjan</t>
  </si>
  <si>
    <t>202801020341</t>
  </si>
  <si>
    <t>9234275335</t>
  </si>
  <si>
    <t>ANIL KUMAR PANDE</t>
  </si>
  <si>
    <t>certified copy of bc</t>
  </si>
  <si>
    <t>202801104953</t>
  </si>
  <si>
    <t>8797595759</t>
  </si>
  <si>
    <t>202005256209</t>
  </si>
  <si>
    <t>8084696568</t>
  </si>
  <si>
    <t>Gayatri Devi</t>
  </si>
  <si>
    <t>Sunil kumar</t>
  </si>
  <si>
    <t>SHAANVI CHOUDHARY</t>
  </si>
  <si>
    <t>SHIVAM CHOUDHARY</t>
  </si>
  <si>
    <t>PRIYANKA CHOUDHARY</t>
  </si>
  <si>
    <t>Mohammad Kaif</t>
  </si>
  <si>
    <t>JHLRCO/2024/456704</t>
  </si>
  <si>
    <t>JHIC/2024/987538</t>
  </si>
  <si>
    <t>JHIC/2024/987577</t>
  </si>
  <si>
    <t>JHIC/2024/988261</t>
  </si>
  <si>
    <t>Rajendra Rai</t>
  </si>
  <si>
    <t>pending for birth</t>
  </si>
  <si>
    <t>sent 08-06-2024</t>
  </si>
  <si>
    <t>PRAMOD KUMAR RAY</t>
  </si>
  <si>
    <t>6207569604</t>
  </si>
  <si>
    <t>202800767422</t>
  </si>
  <si>
    <t>JHIC/2024/991869</t>
  </si>
  <si>
    <t>Durgawati Rajbhar</t>
  </si>
  <si>
    <t>zone no 11</t>
  </si>
  <si>
    <t>JHIC/2024/991918</t>
  </si>
  <si>
    <t>Ghanshyam Rajbhar</t>
  </si>
  <si>
    <t>JHIC/2024/993913</t>
  </si>
  <si>
    <t>Jayanta Mahata</t>
  </si>
  <si>
    <t>rejected due to itr</t>
  </si>
  <si>
    <t>JHLRCO/2024/463923</t>
  </si>
  <si>
    <t>Aditi Lal</t>
  </si>
  <si>
    <t>JHIC/2024/996482</t>
  </si>
  <si>
    <t>chhota gov</t>
  </si>
  <si>
    <t>JHIC/2024/996516</t>
  </si>
  <si>
    <t>Sparsh Samrat</t>
  </si>
  <si>
    <t>JHRC/2024/217177</t>
  </si>
  <si>
    <t>JHIC/2024/1005294</t>
  </si>
  <si>
    <t>202801176382</t>
  </si>
  <si>
    <t>7033381504</t>
  </si>
  <si>
    <t>Rani Shah</t>
  </si>
  <si>
    <t>Kali Prasad Shah</t>
  </si>
  <si>
    <t>9234494886</t>
  </si>
  <si>
    <t>JHLRCO/2024/487523</t>
  </si>
  <si>
    <t>Aditya Mahato</t>
  </si>
  <si>
    <t>land issu</t>
  </si>
  <si>
    <t>boram</t>
  </si>
  <si>
    <t>Vishal Kumar sarangi</t>
  </si>
  <si>
    <t>9801976221</t>
  </si>
  <si>
    <t>823543998Wts</t>
  </si>
  <si>
    <t>Ashok Kumar Verma</t>
  </si>
  <si>
    <t>Durga Devi</t>
  </si>
  <si>
    <t>JHIC/2024/1022659</t>
  </si>
  <si>
    <t>JHIC/2024/1022647</t>
  </si>
  <si>
    <t>Mohammed Sohail</t>
  </si>
  <si>
    <t>JHLRCO/2024/492347</t>
  </si>
  <si>
    <t>itr not attached</t>
  </si>
  <si>
    <t>BIRTH</t>
  </si>
  <si>
    <t>REJECT BIRTH</t>
  </si>
  <si>
    <t>JHEWS/2024/28512</t>
  </si>
  <si>
    <t>202801176234</t>
  </si>
  <si>
    <t>9830987009</t>
  </si>
  <si>
    <t>Tirthankar Ghosh</t>
  </si>
  <si>
    <t>Akshit Ghosh</t>
  </si>
  <si>
    <t>Ipsita Ghosh</t>
  </si>
  <si>
    <t>202801175307</t>
  </si>
  <si>
    <t>9334834141</t>
  </si>
  <si>
    <t>8092424758</t>
  </si>
  <si>
    <t>7779946075</t>
  </si>
  <si>
    <t>JHLRCO/2024/498766</t>
  </si>
  <si>
    <t>Santosh Kumar mahato</t>
  </si>
  <si>
    <t>JHCBC/2024/330027</t>
  </si>
  <si>
    <t>JHIC/2024/1028956</t>
  </si>
  <si>
    <t>9031505589</t>
  </si>
  <si>
    <t>Prema Tiwary</t>
  </si>
  <si>
    <t>202800705118</t>
  </si>
  <si>
    <t>Bapi Sandil</t>
  </si>
  <si>
    <t>9142634077</t>
  </si>
  <si>
    <t>Aditya Sandil</t>
  </si>
  <si>
    <t>9835313237</t>
  </si>
  <si>
    <t>Sanjeev Kumar Tiwary</t>
  </si>
  <si>
    <t>202007468104</t>
  </si>
  <si>
    <t>Anjan Das</t>
  </si>
  <si>
    <t>9234612058</t>
  </si>
  <si>
    <t>Bishwajeet Mahato</t>
  </si>
  <si>
    <t>JHIC/2024/1035568</t>
  </si>
  <si>
    <t>JHIC/2024/1035643</t>
  </si>
  <si>
    <t>202801178146</t>
  </si>
  <si>
    <t>Ful Kumari Lohar</t>
  </si>
  <si>
    <t>Sangita Karmakar</t>
  </si>
  <si>
    <t>8434004048</t>
  </si>
  <si>
    <t>JHLRCO/2024/507864</t>
  </si>
  <si>
    <t>JHEWS/2024/29023</t>
  </si>
  <si>
    <t>202005772785</t>
  </si>
  <si>
    <t>Leela V Nair</t>
  </si>
  <si>
    <t>9430778390</t>
  </si>
  <si>
    <t>JHIC/2024/1039400</t>
  </si>
  <si>
    <t>banti</t>
  </si>
  <si>
    <t>202006390800</t>
  </si>
  <si>
    <t>Mukti Nath Tiwary</t>
  </si>
  <si>
    <t>8757726425</t>
  </si>
  <si>
    <t>JHCBC/2024/340817</t>
  </si>
  <si>
    <t>202801174876</t>
  </si>
  <si>
    <t>Birajmani Upadhyay</t>
  </si>
  <si>
    <t>8235161181</t>
  </si>
  <si>
    <t>ALINA AFREEN </t>
  </si>
  <si>
    <t>202007256952</t>
  </si>
  <si>
    <t>7319808833</t>
  </si>
  <si>
    <t>ABDUL ZAID</t>
  </si>
  <si>
    <t>Tofa Acharjee</t>
  </si>
  <si>
    <t>9097134388</t>
  </si>
  <si>
    <t>Devendra Nath Acharjee</t>
  </si>
  <si>
    <t>202002354007</t>
  </si>
  <si>
    <t>Chaya Mahato</t>
  </si>
  <si>
    <t>TRISHA ACHARJEE</t>
  </si>
  <si>
    <t>RAJTILAK KARMAKAR</t>
  </si>
  <si>
    <t>SONA LOHAR</t>
  </si>
  <si>
    <t>202005825479</t>
  </si>
  <si>
    <t>7303220431</t>
  </si>
  <si>
    <t>Syed Sabir Hussain</t>
  </si>
  <si>
    <t>JHIC/2024/1051452</t>
  </si>
  <si>
    <t>Rani Barua</t>
  </si>
  <si>
    <t>Kabita Barik</t>
  </si>
  <si>
    <t>JHIC/2024/1058168</t>
  </si>
  <si>
    <t>JHLRCO/2024/527210</t>
  </si>
  <si>
    <t>JHLRCO/2024/528030</t>
  </si>
  <si>
    <t>JHLRCO/2024/528168</t>
  </si>
  <si>
    <t>Neha Rani Mahato</t>
  </si>
  <si>
    <t>JHLRCO/2024/529353</t>
  </si>
  <si>
    <t>Bawana Venkat Govind</t>
  </si>
  <si>
    <t>JHCBC/2024/356084</t>
  </si>
  <si>
    <t>JHCBC/2024/356108</t>
  </si>
  <si>
    <t>JHCBC/2024/356152</t>
  </si>
  <si>
    <t>Shukarama Mahato</t>
  </si>
  <si>
    <t>202801163979</t>
  </si>
  <si>
    <t>Dulal Chakraborty</t>
  </si>
  <si>
    <t>9234898870</t>
  </si>
  <si>
    <t>SATHI CHAKRABORTY</t>
  </si>
  <si>
    <t>JHRC/2024/246520</t>
  </si>
  <si>
    <t>Riya Mukherjee</t>
  </si>
  <si>
    <t>202006454238</t>
  </si>
  <si>
    <t>9234277942</t>
  </si>
  <si>
    <t>Ratna Malakar</t>
  </si>
  <si>
    <t>JHIC/2024/1069680</t>
  </si>
  <si>
    <t>JHIC/2024/1071714</t>
  </si>
  <si>
    <t>Sunita Singh</t>
  </si>
  <si>
    <t>Mitali Hembrom</t>
  </si>
  <si>
    <t>Churipara</t>
  </si>
  <si>
    <t>JHIC/2024/1082222</t>
  </si>
  <si>
    <t>Menjo Kumari</t>
  </si>
  <si>
    <t>Baridih 15</t>
  </si>
  <si>
    <t>JHIC/2024/1082246</t>
  </si>
  <si>
    <t>JHIC/2024/1082269</t>
  </si>
  <si>
    <t>JHIC/2024/1082321</t>
  </si>
  <si>
    <t>202006104490</t>
  </si>
  <si>
    <t>7294186513</t>
  </si>
  <si>
    <t>202006344286</t>
  </si>
  <si>
    <t>9006771246</t>
  </si>
  <si>
    <t>202801039252</t>
  </si>
  <si>
    <t>Anita Rahelu</t>
  </si>
  <si>
    <t>7233987799</t>
  </si>
  <si>
    <t>202801042827</t>
  </si>
  <si>
    <t>8383956223</t>
  </si>
  <si>
    <t>Sogra Begum</t>
  </si>
  <si>
    <t>202005255430</t>
  </si>
  <si>
    <t>9304221495</t>
  </si>
  <si>
    <t>Baby Devi</t>
  </si>
  <si>
    <t>whats</t>
  </si>
  <si>
    <t>birth not verified</t>
  </si>
  <si>
    <t>Rejected birth</t>
  </si>
  <si>
    <t>JHIC/2024/1095388</t>
  </si>
  <si>
    <t>Soma Das</t>
  </si>
  <si>
    <t>deliverd</t>
  </si>
  <si>
    <t>202801181967</t>
  </si>
  <si>
    <t>Thakurmani Karmakar</t>
  </si>
  <si>
    <t>nekhil Prasad</t>
  </si>
  <si>
    <t>202007555605</t>
  </si>
  <si>
    <t>Amit Kumar Biswas</t>
  </si>
  <si>
    <t>8797138192</t>
  </si>
  <si>
    <t>Indrani Biswas</t>
  </si>
  <si>
    <t>8809120162</t>
  </si>
  <si>
    <t>8987971691</t>
  </si>
  <si>
    <t>Mohammad Rayyan Siddique</t>
  </si>
  <si>
    <t>Sumaiya Siddique</t>
  </si>
  <si>
    <t>Shyamal Kumar Mandal</t>
  </si>
  <si>
    <t>JHLRCO/2024/563591</t>
  </si>
  <si>
    <t>JHIC/2024/1100525</t>
  </si>
  <si>
    <t>Anjan Singh</t>
  </si>
  <si>
    <t>JHIC/2024/1100514</t>
  </si>
  <si>
    <t>Neha Verma</t>
  </si>
  <si>
    <t>202801177698</t>
  </si>
  <si>
    <t>7856931001</t>
  </si>
  <si>
    <t>Mahua Roy</t>
  </si>
  <si>
    <t>7764985192</t>
  </si>
  <si>
    <t>Tarun Kumar Roy</t>
  </si>
  <si>
    <t>Ayush Roy</t>
  </si>
  <si>
    <t>9334295532</t>
  </si>
  <si>
    <t>JHEWS/2024/31322</t>
  </si>
  <si>
    <t>JHEWS/2024/31319</t>
  </si>
  <si>
    <t>16-07-224</t>
  </si>
  <si>
    <t>202006505887</t>
  </si>
  <si>
    <t>Surinder Singh</t>
  </si>
  <si>
    <t>9334189375</t>
  </si>
  <si>
    <t>JHIC/2024/1108163</t>
  </si>
  <si>
    <t>Vivek Bharati</t>
  </si>
  <si>
    <t>JHIC/2024/1108207</t>
  </si>
  <si>
    <t>dina nath</t>
  </si>
  <si>
    <t>202006278911</t>
  </si>
  <si>
    <t>8092293598</t>
  </si>
  <si>
    <t>Debojit Chakraborty</t>
  </si>
  <si>
    <t>REJECTED WRONG AFFI</t>
  </si>
  <si>
    <t>SAVD</t>
  </si>
  <si>
    <t>6204340125</t>
  </si>
  <si>
    <t>cable</t>
  </si>
  <si>
    <t>JHEWS/2024/31543</t>
  </si>
  <si>
    <t>Sushanto Mandal</t>
  </si>
  <si>
    <t>JHIC/2024/1058252</t>
  </si>
  <si>
    <t>JHIC/2024/1112930</t>
  </si>
  <si>
    <t>dhalbhumgarh</t>
  </si>
  <si>
    <t>JHLRCO/2024/561810</t>
  </si>
  <si>
    <t>JHLRCO/2024/560245</t>
  </si>
  <si>
    <t>JHLRCO/2024/561881</t>
  </si>
  <si>
    <t>JHLRCO/2024/529509</t>
  </si>
  <si>
    <t>JHLRCO/2024/578343</t>
  </si>
  <si>
    <t>Abdul Fahim Khan</t>
  </si>
  <si>
    <t>JHIC/2024/1119566</t>
  </si>
  <si>
    <t>Ashish Kumar Chandra</t>
  </si>
  <si>
    <t>Gadra Middle</t>
  </si>
  <si>
    <t>Pushpa Rani Mahato</t>
  </si>
  <si>
    <t>Rinki Kumari</t>
  </si>
  <si>
    <t>JHLRCO/2024/582494</t>
  </si>
  <si>
    <t>JHLRCO/2024/582560</t>
  </si>
  <si>
    <t>JHLRCO/2024/583813</t>
  </si>
  <si>
    <t>202006360831</t>
  </si>
  <si>
    <t>9067123384</t>
  </si>
  <si>
    <t>JHIC/2024/1121957</t>
  </si>
  <si>
    <t>Mintra Pal Sharma</t>
  </si>
  <si>
    <t>JHLRCO/2024/585821</t>
  </si>
  <si>
    <t>Ajmeri Khatoon</t>
  </si>
  <si>
    <t>Sania Yasmin</t>
  </si>
  <si>
    <t>JHLRCO/2024/585864</t>
  </si>
  <si>
    <t>JHEWS/2024/32028</t>
  </si>
  <si>
    <t>JHCST/2024/378040</t>
  </si>
  <si>
    <t>Rathu Singh Bhumij</t>
  </si>
  <si>
    <t>JHCBC/2024/407383</t>
  </si>
  <si>
    <t>Tarun Kumar Panda</t>
  </si>
  <si>
    <t>JHIC/2024/1126617</t>
  </si>
  <si>
    <t>Candidate said has gvien a copy attested</t>
  </si>
  <si>
    <t>202006062729</t>
  </si>
  <si>
    <t>Jayshree Prasad</t>
  </si>
  <si>
    <t>6387354011</t>
  </si>
  <si>
    <t>JHLRCO/2024/591206</t>
  </si>
  <si>
    <t>202801042887</t>
  </si>
  <si>
    <t>9162186859</t>
  </si>
  <si>
    <t>Aparna Raju</t>
  </si>
  <si>
    <t>202800747173</t>
  </si>
  <si>
    <t>Nasibun Nisha</t>
  </si>
  <si>
    <t>9771231370</t>
  </si>
  <si>
    <t>202801193990</t>
  </si>
  <si>
    <t>Partha Pratim Biswas</t>
  </si>
  <si>
    <t>6206527132</t>
  </si>
  <si>
    <t>JHIC/2024/1135004</t>
  </si>
  <si>
    <t>Amit Mahato</t>
  </si>
  <si>
    <t>202006207318</t>
  </si>
  <si>
    <t>9334497769</t>
  </si>
  <si>
    <t>Seetal Rao</t>
  </si>
  <si>
    <t>JHIC/2024/1144074</t>
  </si>
  <si>
    <t>JHIC/2024/1144112</t>
  </si>
  <si>
    <t>Tarannum Khatoon</t>
  </si>
  <si>
    <t>JHLRCO/2024/606145</t>
  </si>
  <si>
    <t>8603479473</t>
  </si>
  <si>
    <t>202801181940</t>
  </si>
  <si>
    <t>Bikash Chandra Dash</t>
  </si>
  <si>
    <t>8340512863</t>
  </si>
  <si>
    <t>Geeta Dash</t>
  </si>
  <si>
    <t>JHEWS/2024/33175</t>
  </si>
  <si>
    <t>JHEWS/2024/33252</t>
  </si>
  <si>
    <t>cable town-12</t>
  </si>
  <si>
    <t>bith issue</t>
  </si>
  <si>
    <t>criteria not fulfill</t>
  </si>
  <si>
    <t>aff without sign</t>
  </si>
  <si>
    <t>resubmitt</t>
  </si>
  <si>
    <t>Narayan Venugopalan Nair</t>
  </si>
  <si>
    <t>Homa Naznin</t>
  </si>
  <si>
    <t>202801177750</t>
  </si>
  <si>
    <t>Chand Sultana</t>
  </si>
  <si>
    <t>CARD DUE</t>
  </si>
  <si>
    <t>JHCBC/2024/439376</t>
  </si>
  <si>
    <t>JHLRCO/2024/628558</t>
  </si>
  <si>
    <t>Manjeet Singh</t>
  </si>
  <si>
    <t>Rashida Khatoon</t>
  </si>
  <si>
    <t>8092524722</t>
  </si>
  <si>
    <t>Khushnama Naznin</t>
  </si>
  <si>
    <t>JHEWS/2024/34245</t>
  </si>
  <si>
    <t>202801129779</t>
  </si>
  <si>
    <t>7742714879</t>
  </si>
  <si>
    <t>Anushka Upadhyay</t>
  </si>
  <si>
    <t>202800827312</t>
  </si>
  <si>
    <t>9304490862</t>
  </si>
  <si>
    <t>Prabhunath Singh</t>
  </si>
  <si>
    <t>7759034774</t>
  </si>
  <si>
    <t>Reeta Singh</t>
  </si>
  <si>
    <t>202801020311</t>
  </si>
  <si>
    <t>9199299949</t>
  </si>
  <si>
    <t>Ram Bilas Singh</t>
  </si>
  <si>
    <t>6205458762</t>
  </si>
  <si>
    <t>202002356985</t>
  </si>
  <si>
    <t>Sadaf Perween</t>
  </si>
  <si>
    <t>7209249819</t>
  </si>
  <si>
    <t>Ratna Patra</t>
  </si>
  <si>
    <t>202006074956</t>
  </si>
  <si>
    <t>8235238982</t>
  </si>
  <si>
    <t>Shabina Khatoon</t>
  </si>
  <si>
    <t>Faiyaz Alam</t>
  </si>
  <si>
    <t>202801030813</t>
  </si>
  <si>
    <t>JHLRCO/2024/640215</t>
  </si>
  <si>
    <t>Sabiha Mehar</t>
  </si>
  <si>
    <t>rejected-birth</t>
  </si>
  <si>
    <t>JHIC/2024/1185385</t>
  </si>
  <si>
    <t>JHIC/2024/1185422</t>
  </si>
  <si>
    <t>9155769705</t>
  </si>
  <si>
    <t>Shagufta Khanam</t>
  </si>
  <si>
    <t>202801177963</t>
  </si>
  <si>
    <t>9835880996</t>
  </si>
  <si>
    <t>Afsana Perween</t>
  </si>
  <si>
    <t>JHCSC/2024/192031</t>
  </si>
  <si>
    <t>Swaraj Kumar</t>
  </si>
  <si>
    <t>Mukesh chandra prasad</t>
  </si>
  <si>
    <t>JHIC/2024/1191244</t>
  </si>
  <si>
    <t>9801677313</t>
  </si>
  <si>
    <t>9304658889</t>
  </si>
  <si>
    <t>Asha Rao</t>
  </si>
  <si>
    <t>JHIC/2024/1193781</t>
  </si>
  <si>
    <t>Aman Das</t>
  </si>
  <si>
    <t>202007416142</t>
  </si>
  <si>
    <t>8825251039</t>
  </si>
  <si>
    <t>JHEWS/2024/35680</t>
  </si>
  <si>
    <t>202801176301</t>
  </si>
  <si>
    <t>202006552572</t>
  </si>
  <si>
    <t>9142435296</t>
  </si>
  <si>
    <t>Jabarium Ansari</t>
  </si>
  <si>
    <t>Farheen Perween</t>
  </si>
  <si>
    <t>Shiv Shankar Prasad</t>
  </si>
  <si>
    <t>Sujit Prasad</t>
  </si>
  <si>
    <t>Gungun2@@2</t>
  </si>
  <si>
    <t>JHRC/2024/327774</t>
  </si>
  <si>
    <t>JHRC/2024/327779</t>
  </si>
  <si>
    <t>JHIC/2024/1201721</t>
  </si>
  <si>
    <t>7050226882</t>
  </si>
  <si>
    <t>202006354480</t>
  </si>
  <si>
    <t>Choote Lal Prasad Verma</t>
  </si>
  <si>
    <t>Sumitra Devi</t>
  </si>
  <si>
    <t>JHIC/2024/1210359</t>
  </si>
  <si>
    <t>Shreya Dutta</t>
  </si>
  <si>
    <t>JHLRCO/2024/659096</t>
  </si>
  <si>
    <t>JHLRCO/2024/659065</t>
  </si>
  <si>
    <t>Sagar Kumar Lal</t>
  </si>
  <si>
    <t>JHRC/2024/332824</t>
  </si>
  <si>
    <t>JHIC/2024/1210385</t>
  </si>
  <si>
    <t>Meena Devi</t>
  </si>
  <si>
    <t>JHIC/2024/1210397</t>
  </si>
  <si>
    <t>JHIC/2024/1210375</t>
  </si>
  <si>
    <t>Laxman €gope</t>
  </si>
  <si>
    <t>JHRC/2024/332894</t>
  </si>
  <si>
    <t>JHRC/2024/337320</t>
  </si>
  <si>
    <t>Prabhav Sinha</t>
  </si>
  <si>
    <t>JHRC/2024/337330</t>
  </si>
  <si>
    <t>Vinit Kumar</t>
  </si>
  <si>
    <t>Ambar Kumar</t>
  </si>
  <si>
    <t>202801193692</t>
  </si>
  <si>
    <t>9234529226</t>
  </si>
  <si>
    <t>JHCBC/2024/492503</t>
  </si>
  <si>
    <t>JHIC/2024/1231900</t>
  </si>
  <si>
    <t>Ashok Kumar Bhagat</t>
  </si>
  <si>
    <t>8797460966</t>
  </si>
  <si>
    <t>202006552775</t>
  </si>
  <si>
    <t>202801208086</t>
  </si>
  <si>
    <t>SANJUKTA BHATTACHARJEE</t>
  </si>
  <si>
    <t>INDU BIKASH BHATTACHARJEE</t>
  </si>
  <si>
    <t>202005879541</t>
  </si>
  <si>
    <t>9693949599</t>
  </si>
  <si>
    <t>RAVI GORAI</t>
  </si>
  <si>
    <t>Gourav Kumar+2</t>
  </si>
  <si>
    <t>Souro Guha</t>
  </si>
  <si>
    <t>JHRC/2024/345452</t>
  </si>
  <si>
    <t>no matrica cert</t>
  </si>
  <si>
    <t>JHEWS/2024/37968</t>
  </si>
  <si>
    <t>Zeba Perween</t>
  </si>
  <si>
    <t>202801194943</t>
  </si>
  <si>
    <t>9693707408</t>
  </si>
  <si>
    <t>Not aplid</t>
  </si>
  <si>
    <t>Ward 16</t>
  </si>
  <si>
    <t>Md Shahid</t>
  </si>
  <si>
    <t>JHRC/2024/346196</t>
  </si>
  <si>
    <t>Md Taushif Alam</t>
  </si>
  <si>
    <t>Soumya Sinha</t>
  </si>
  <si>
    <t>=</t>
  </si>
  <si>
    <t>Anjali Sharma</t>
  </si>
  <si>
    <t>JHLRCO/2024/691828</t>
  </si>
  <si>
    <t>JHIC/2024/1254357</t>
  </si>
  <si>
    <t>Krishna Sonam</t>
  </si>
  <si>
    <t>JHLRCO/2024/693240</t>
  </si>
  <si>
    <t>JHIC/2024/1261003</t>
  </si>
  <si>
    <t>JHRC/2024/353099</t>
  </si>
  <si>
    <t>Sita Mahato</t>
  </si>
  <si>
    <t>Gopal Mahato</t>
  </si>
  <si>
    <t>JHIC/2024/1263255</t>
  </si>
  <si>
    <t>Jeetendra Kumar Singh</t>
  </si>
  <si>
    <t>JHIC/2024/1264608</t>
  </si>
  <si>
    <t>202006370713</t>
  </si>
  <si>
    <t>8757251598</t>
  </si>
  <si>
    <t>Dipu Kumar</t>
  </si>
  <si>
    <t>202800706809</t>
  </si>
  <si>
    <t>202801207989</t>
  </si>
  <si>
    <t>7260078168</t>
  </si>
  <si>
    <t>8252826986</t>
  </si>
  <si>
    <t>Sandiya Devi</t>
  </si>
  <si>
    <t>Md Adil Khan</t>
  </si>
  <si>
    <t>JHIC/2024/1278096</t>
  </si>
  <si>
    <t>Prabhansh Kumar</t>
  </si>
  <si>
    <t>JHLRCO/2024/708517</t>
  </si>
  <si>
    <t>chhota Govindpur</t>
  </si>
  <si>
    <t>Bijay Munda</t>
  </si>
  <si>
    <t>Khetu Ram Kachhap</t>
  </si>
  <si>
    <t>JHRC/2024/357883</t>
  </si>
  <si>
    <t>JHRC/2024/357893</t>
  </si>
  <si>
    <t>Baridfih</t>
  </si>
  <si>
    <t>Mohammad Tarique</t>
  </si>
  <si>
    <t xml:space="preserve"> JHIC/2024/1283075</t>
  </si>
  <si>
    <t xml:space="preserve"> JHIC/2024/1282995</t>
  </si>
  <si>
    <t>JHEWS/2024/39129</t>
  </si>
  <si>
    <t>Md Aadil Khan</t>
  </si>
  <si>
    <t>9608830368</t>
  </si>
  <si>
    <t>JHCBC/2024/545970</t>
  </si>
  <si>
    <t>Narayan Mahato</t>
  </si>
  <si>
    <t>hathibindha</t>
  </si>
  <si>
    <t>JHCBC/2024/545999</t>
  </si>
  <si>
    <t>M Rajesh</t>
  </si>
  <si>
    <t>JHRC/2024/365569</t>
  </si>
  <si>
    <t>Mohammad Rayyan Siddiqui</t>
  </si>
  <si>
    <t>JHLRCO/2024/726970</t>
  </si>
  <si>
    <t>JHEWS/2024/39453</t>
  </si>
  <si>
    <t>JHIC/2024/1308664</t>
  </si>
  <si>
    <t>JHIC/2024/1308711</t>
  </si>
  <si>
    <t>JHIC/2024/1308773</t>
  </si>
  <si>
    <t>202801194423</t>
  </si>
  <si>
    <t>Rina gupta</t>
  </si>
  <si>
    <t>7295914750</t>
  </si>
  <si>
    <t>JHCST/2024/482907</t>
  </si>
  <si>
    <t>Vishnu Bhumij</t>
  </si>
  <si>
    <t>JHIC/2024/1320737</t>
  </si>
  <si>
    <t>Md Shahnawaz Ansari</t>
  </si>
  <si>
    <t>JHLRCO/2024/738066</t>
  </si>
  <si>
    <t>Surajmani Devi</t>
  </si>
  <si>
    <t>JHIC/2024/1320848</t>
  </si>
  <si>
    <t>hhurlung</t>
  </si>
  <si>
    <t>JHIC/2024/1320884</t>
  </si>
  <si>
    <t>Rejected birth (Candidate given birth certificate )</t>
  </si>
  <si>
    <t>9835141011</t>
  </si>
  <si>
    <t>Tapas Ranjan Gupta</t>
  </si>
  <si>
    <t>JHLRCO/2024/743528</t>
  </si>
  <si>
    <t>Atryan Kumar</t>
  </si>
  <si>
    <t xml:space="preserve"> JHIC/2024/1329745</t>
  </si>
  <si>
    <t>JHIC/2024/1329778</t>
  </si>
  <si>
    <t>JHIC/2024/1331742</t>
  </si>
  <si>
    <t>gadra M</t>
  </si>
  <si>
    <t>Shahsikant Kumar</t>
  </si>
  <si>
    <t>JHIC/2024/1331755</t>
  </si>
  <si>
    <t>Zanna  Khatoon</t>
  </si>
  <si>
    <t>202006523379</t>
  </si>
  <si>
    <t>8102902800</t>
  </si>
  <si>
    <t>Sakeena Afreen</t>
  </si>
  <si>
    <t>7488214808</t>
  </si>
  <si>
    <t>202800621293</t>
  </si>
  <si>
    <t>kanai Lal Sahu</t>
  </si>
  <si>
    <t>Sushanta Sahu</t>
  </si>
  <si>
    <t>8292841144</t>
  </si>
  <si>
    <t>Anjana Sahu</t>
  </si>
  <si>
    <t>Sangeeta Sahu</t>
  </si>
  <si>
    <t>202801217189</t>
  </si>
  <si>
    <t>7004626712</t>
  </si>
  <si>
    <t>SAFALEE MUKHERJEE</t>
  </si>
  <si>
    <t>202005420144</t>
  </si>
  <si>
    <t>8235234241</t>
  </si>
  <si>
    <t>Sarita Pandey</t>
  </si>
  <si>
    <t>Can be rejected due to short name (Shubham)</t>
  </si>
  <si>
    <t>Azizul Mustafa</t>
  </si>
  <si>
    <t>9430745575</t>
  </si>
  <si>
    <t>JHIC/2024/1345588</t>
  </si>
  <si>
    <t>Nishu Dubey</t>
  </si>
  <si>
    <t>JHIC/2024/1345666</t>
  </si>
  <si>
    <t>animesh kumar</t>
  </si>
  <si>
    <t>JHLRCO/2024/754227</t>
  </si>
  <si>
    <t>Pitambar</t>
  </si>
  <si>
    <t>JHCBC/2024/561010</t>
  </si>
  <si>
    <t>JHCBC/2024/578387</t>
  </si>
  <si>
    <t>Animesh Kumar</t>
  </si>
  <si>
    <t>JHEWSH/2024/12409</t>
  </si>
  <si>
    <t>202801180811</t>
  </si>
  <si>
    <t>Jyoti Gandhi</t>
  </si>
  <si>
    <t>9263024641</t>
  </si>
  <si>
    <t>JHIC/2024/1358406</t>
  </si>
  <si>
    <t>Dhaneswar Jena</t>
  </si>
  <si>
    <t>Arpita Kumari</t>
  </si>
  <si>
    <t>JHLRCO/2024/762547</t>
  </si>
  <si>
    <t>Murugan</t>
  </si>
  <si>
    <t>M Rawidi</t>
  </si>
  <si>
    <t>JHIC/2024/1360429</t>
  </si>
  <si>
    <t>JHIC/2024/1360507</t>
  </si>
  <si>
    <t>JHRC/2024/385726</t>
  </si>
  <si>
    <t>Priyanka Singh</t>
  </si>
  <si>
    <t>7319734130</t>
  </si>
  <si>
    <t>202007415911</t>
  </si>
  <si>
    <t>baby</t>
  </si>
  <si>
    <t> JHIC/2024/1361904</t>
  </si>
  <si>
    <t>Indranagar\</t>
  </si>
  <si>
    <t>Anjali SIngh</t>
  </si>
  <si>
    <t>JHIC/2024/1361930</t>
  </si>
  <si>
    <t>202801093530</t>
  </si>
  <si>
    <t>8789295074</t>
  </si>
  <si>
    <t>Jaya Ghosh</t>
  </si>
  <si>
    <t>9431172842</t>
  </si>
  <si>
    <t>Manyata Ghosh</t>
  </si>
  <si>
    <t>JHIC/2024/1363246</t>
  </si>
  <si>
    <t>Tanushree Das</t>
  </si>
  <si>
    <t>JHLRCO/2024/764348</t>
  </si>
  <si>
    <t>202006202415</t>
  </si>
  <si>
    <t>9162478006</t>
  </si>
  <si>
    <t>Gautam Saha</t>
  </si>
  <si>
    <t>202801211969</t>
  </si>
  <si>
    <t>Mayank</t>
  </si>
  <si>
    <t>Mrinal</t>
  </si>
  <si>
    <t>202801019183</t>
  </si>
  <si>
    <t>Uttam Kumar Dey</t>
  </si>
  <si>
    <t>9801693071</t>
  </si>
  <si>
    <t>Sukhen Dey</t>
  </si>
  <si>
    <t>7870138632</t>
  </si>
  <si>
    <t>JHRC/2024/391655</t>
  </si>
  <si>
    <t>Kushagra Ankit</t>
  </si>
  <si>
    <t>202007420187</t>
  </si>
  <si>
    <t>202002356520</t>
  </si>
  <si>
    <t>Tinku Banerjee</t>
  </si>
  <si>
    <t>8002231589</t>
  </si>
  <si>
    <t>JHIC/2024/1396450</t>
  </si>
  <si>
    <t>Dinesh Prajapati</t>
  </si>
  <si>
    <t>Goutam Kumra Das</t>
  </si>
  <si>
    <t>JHIC/2024/1396484</t>
  </si>
  <si>
    <t> JHIC/2024/1396521</t>
  </si>
  <si>
    <t>Padmini Kumari</t>
  </si>
  <si>
    <t>202007451691</t>
  </si>
  <si>
    <t>Mili Paul</t>
  </si>
  <si>
    <t>Manitosh Paul</t>
  </si>
  <si>
    <t>9934078661</t>
  </si>
  <si>
    <t>7870880329</t>
  </si>
  <si>
    <t>JHIC/2024/1398741</t>
  </si>
  <si>
    <t>202005792076</t>
  </si>
  <si>
    <t>kanchan singh solanki</t>
  </si>
  <si>
    <t>siddhartha singh</t>
  </si>
  <si>
    <t>9508680219</t>
  </si>
  <si>
    <t>invalid birth</t>
  </si>
  <si>
    <t>JHIC/2024/1407137</t>
  </si>
  <si>
    <t>Chandan Kumar singh</t>
  </si>
  <si>
    <t>govinnd east</t>
  </si>
  <si>
    <t>JHLRCO/2024/788598</t>
  </si>
  <si>
    <t>JHIC/2024/1407372</t>
  </si>
  <si>
    <t>6287864302</t>
  </si>
  <si>
    <t>Reshmi Devi</t>
  </si>
  <si>
    <t>Saraswati devi</t>
  </si>
  <si>
    <t>Jitendra saw</t>
  </si>
  <si>
    <t>202801208462</t>
  </si>
  <si>
    <t>9771398483</t>
  </si>
  <si>
    <t>Srikant adhikari</t>
  </si>
  <si>
    <t>9204509344</t>
  </si>
  <si>
    <t>Ruma Adhikari</t>
  </si>
  <si>
    <t>JHLRCO/2024/790436</t>
  </si>
  <si>
    <t>JHIC/2024/1419229</t>
  </si>
  <si>
    <t>JHIC/2024/1419285</t>
  </si>
  <si>
    <t>Mohan hansda</t>
  </si>
  <si>
    <t>asanboni</t>
  </si>
  <si>
    <t>202800943257</t>
  </si>
  <si>
    <t>Samer Bano</t>
  </si>
  <si>
    <t>9818383585</t>
  </si>
  <si>
    <t>rejected cast no mentioned in khatian</t>
  </si>
  <si>
    <t>202801212833</t>
  </si>
  <si>
    <t>7488194209</t>
  </si>
  <si>
    <t>Sanjeev Kumar Jha</t>
  </si>
  <si>
    <t>BANDANA JHA </t>
  </si>
  <si>
    <t>Mahwish</t>
  </si>
  <si>
    <t>202801098279</t>
  </si>
  <si>
    <t>8789623055</t>
  </si>
  <si>
    <t>dloaded</t>
  </si>
  <si>
    <t>JHCBC/2024/622013</t>
  </si>
  <si>
    <t>Savita Kumari</t>
  </si>
  <si>
    <t>JHIC/2024/1446100</t>
  </si>
  <si>
    <t>Lakshmi Gorai</t>
  </si>
  <si>
    <t>Nitu Devi</t>
  </si>
  <si>
    <t>JHIC/2024/1455472</t>
  </si>
  <si>
    <t>JHIC/2024/1455535</t>
  </si>
  <si>
    <t>JHIC/2024/1462852</t>
  </si>
  <si>
    <t>Abhishek Kumar Verma</t>
  </si>
  <si>
    <t>JHIC/2024/1477488</t>
  </si>
  <si>
    <t>Suma devi</t>
  </si>
  <si>
    <t>202801235856</t>
  </si>
  <si>
    <t>7061395324</t>
  </si>
  <si>
    <t>Shagufta Parveen</t>
  </si>
  <si>
    <t>202801221013</t>
  </si>
  <si>
    <t>Swapna Banerjee</t>
  </si>
  <si>
    <t>Sanjay Kumar Banerjee</t>
  </si>
  <si>
    <t>7004396379</t>
  </si>
  <si>
    <t>JHIC/2024/1491250</t>
  </si>
  <si>
    <t>JHIC/2024/1491290</t>
  </si>
  <si>
    <t>rejected due to old aff</t>
  </si>
  <si>
    <t>202006443993</t>
  </si>
  <si>
    <t>9113496558</t>
  </si>
  <si>
    <t>satya Bhama devi</t>
  </si>
  <si>
    <t>BHAGAWANTI THAKUR</t>
  </si>
  <si>
    <t>202007662460</t>
  </si>
  <si>
    <t>202007420361</t>
  </si>
  <si>
    <t>8969588988</t>
  </si>
  <si>
    <t>Izhar Khan</t>
  </si>
  <si>
    <t>202800742304</t>
  </si>
  <si>
    <t>7667199206</t>
  </si>
  <si>
    <t>Bharat Kumar Thakur</t>
  </si>
  <si>
    <t>Tanveer Alam</t>
  </si>
  <si>
    <t>Ruhi Parween</t>
  </si>
  <si>
    <t>Arvind Kumar Singh</t>
  </si>
  <si>
    <t>income invalid</t>
  </si>
  <si>
    <t>Bikram prasad</t>
  </si>
  <si>
    <t>8235157531</t>
  </si>
  <si>
    <t>JHIC/2024/1503639</t>
  </si>
  <si>
    <t>JHIC/2024/1505549</t>
  </si>
  <si>
    <t>JHIC/2024/1505639</t>
  </si>
  <si>
    <t>202801222384</t>
  </si>
  <si>
    <t>SHAUKAT ALI</t>
  </si>
  <si>
    <t>RESHMA PARWEEN</t>
  </si>
  <si>
    <t>9113305845</t>
  </si>
  <si>
    <t>JHCBC/2024/646897</t>
  </si>
  <si>
    <t>Ankita Shaw</t>
  </si>
  <si>
    <t>JHCBC/2024/646913</t>
  </si>
  <si>
    <t>Ayush Shaw</t>
  </si>
  <si>
    <t>202007426241</t>
  </si>
  <si>
    <t>Nausaba Khatoon</t>
  </si>
  <si>
    <t>Sakil Ahmad</t>
  </si>
  <si>
    <t>202801176043</t>
  </si>
  <si>
    <t xml:space="preserve">RANJAN KUMAR MUKHERJEE </t>
  </si>
  <si>
    <t>7870239781</t>
  </si>
  <si>
    <t>KAJORI MUKHERJEE</t>
  </si>
  <si>
    <t>8092773135</t>
  </si>
  <si>
    <t>Naryan Mahato</t>
  </si>
  <si>
    <t>JHIC/2024/1529164</t>
  </si>
  <si>
    <t>8404867763</t>
  </si>
  <si>
    <t>202800632882</t>
  </si>
  <si>
    <t>Sublee</t>
  </si>
  <si>
    <t>7209527716</t>
  </si>
  <si>
    <t>202800684543</t>
  </si>
  <si>
    <t>Rajesh Kumar</t>
  </si>
  <si>
    <t>aadhaar issue</t>
  </si>
  <si>
    <t>202801210879</t>
  </si>
  <si>
    <t>Iva Prasad</t>
  </si>
  <si>
    <t>9910288607</t>
  </si>
  <si>
    <t>Anjali Prasad</t>
  </si>
  <si>
    <t>Iqbal Ahmad</t>
  </si>
  <si>
    <t>JHIC/2024/1550411</t>
  </si>
  <si>
    <t>JHIC/2024/1552009</t>
  </si>
  <si>
    <t>JHIC/2024/1554904</t>
  </si>
  <si>
    <t>JHIC/2024/1561938</t>
  </si>
  <si>
    <t>Mohammad Ekhlak</t>
  </si>
  <si>
    <t>202801230367</t>
  </si>
  <si>
    <t>JHLRCO/2024/860611</t>
  </si>
  <si>
    <t>R.K.remarks-Attached birth certificate not valid</t>
  </si>
  <si>
    <t>Attached birth certificate not certified</t>
  </si>
  <si>
    <t>JHCBC/2024/662025</t>
  </si>
  <si>
    <t>Pratik Kumari</t>
  </si>
  <si>
    <t>JHIC/2024/1573878</t>
  </si>
  <si>
    <t>JHIC/2024/1573920</t>
  </si>
  <si>
    <t>JHIC/2024/1584282</t>
  </si>
  <si>
    <t>S. Kameshwaram</t>
  </si>
  <si>
    <t>202801235857</t>
  </si>
  <si>
    <t>9955197980</t>
  </si>
  <si>
    <t>Gopal Upadhyay</t>
  </si>
  <si>
    <t>shail devi</t>
  </si>
  <si>
    <t>9031385966</t>
  </si>
  <si>
    <t>Srishti Banerjee</t>
  </si>
  <si>
    <t>bc not valid</t>
  </si>
  <si>
    <t>JHLRCO/2024/798231</t>
  </si>
  <si>
    <t>202801234717</t>
  </si>
  <si>
    <t>7033994466</t>
  </si>
  <si>
    <t>Amit Kumar Mishra</t>
  </si>
  <si>
    <t>JHIC/2024/1595037</t>
  </si>
  <si>
    <t>9955782444</t>
  </si>
  <si>
    <t>Sama Parveen Ansari</t>
  </si>
  <si>
    <t>202006560843</t>
  </si>
  <si>
    <t>JHIC/2024/1598944</t>
  </si>
  <si>
    <t>Zarina  Khatoon</t>
  </si>
  <si>
    <t>JHRC/2024/441803</t>
  </si>
  <si>
    <t>Alok Singh</t>
  </si>
  <si>
    <t>Md Nasiruddin</t>
  </si>
  <si>
    <t>JHIC/2024/1603217</t>
  </si>
  <si>
    <t>JHIC/2024/1603512</t>
  </si>
  <si>
    <t>JHIC/2024/1603561</t>
  </si>
  <si>
    <t>JHIC/2024/1604283</t>
  </si>
  <si>
    <t>JHLRCO/2024/881016</t>
  </si>
  <si>
    <t>Sohail Khan</t>
  </si>
  <si>
    <t>JHRC/2024/445730</t>
  </si>
  <si>
    <t>Chandan kumar pandey</t>
  </si>
  <si>
    <t>7255008842</t>
  </si>
  <si>
    <t>Priyanka Aditya</t>
  </si>
  <si>
    <t>202007396019</t>
  </si>
  <si>
    <t>Zainab Khatoon</t>
  </si>
  <si>
    <t>7209717847</t>
  </si>
  <si>
    <t>JHIC/2024/1628830</t>
  </si>
  <si>
    <t>JHLRCO/2024/885606</t>
  </si>
  <si>
    <t>Hasina Perween</t>
  </si>
  <si>
    <t>Preeti Mukherjee</t>
  </si>
  <si>
    <t>JHLRCO/2024/885628</t>
  </si>
  <si>
    <t>Razia Khatoon</t>
  </si>
  <si>
    <t>Chintapalli Maheshwar</t>
  </si>
  <si>
    <t>Alok Kumar Mishra</t>
  </si>
  <si>
    <t>JHLRCO/2024/891088</t>
  </si>
  <si>
    <t>JHIC/2024/1642155</t>
  </si>
  <si>
    <t>JHRC/2024/449257</t>
  </si>
  <si>
    <t>Lal Babu Sah</t>
  </si>
  <si>
    <t>JHIC/2024/1655108</t>
  </si>
  <si>
    <t>Krisha Murty</t>
  </si>
  <si>
    <t>JHIC/2024/1655121</t>
  </si>
  <si>
    <t>JHIC/2024/1655124</t>
  </si>
  <si>
    <t>Sanjana Kumari</t>
  </si>
  <si>
    <t>202007495261</t>
  </si>
  <si>
    <t>8092288987</t>
  </si>
  <si>
    <t>Rukhshana Pravin</t>
  </si>
  <si>
    <t>JHIC/2024/1655189</t>
  </si>
  <si>
    <t>nwest</t>
  </si>
  <si>
    <t>JHIC/2024/1655208</t>
  </si>
  <si>
    <t>JHLRCO/2024/895623</t>
  </si>
  <si>
    <t>JHEWS/2024/45418</t>
  </si>
  <si>
    <t>9234140819</t>
  </si>
  <si>
    <t>Gwala basti</t>
  </si>
  <si>
    <t>202801029531</t>
  </si>
  <si>
    <t>8540035242</t>
  </si>
  <si>
    <t>Bijay Kumar Jha</t>
  </si>
  <si>
    <t>202801177954</t>
  </si>
  <si>
    <t>9835141126</t>
  </si>
  <si>
    <t>Bishnu Pada Dutta</t>
  </si>
  <si>
    <t>Ruby Dutta</t>
  </si>
  <si>
    <t>JHCBC/2024/687958</t>
  </si>
  <si>
    <t>202801216984</t>
  </si>
  <si>
    <t>9279002895</t>
  </si>
  <si>
    <t>Sakila Khatoon</t>
  </si>
  <si>
    <t>Abdul Khalid</t>
  </si>
  <si>
    <t>202006555821</t>
  </si>
  <si>
    <t>8797591612</t>
  </si>
  <si>
    <t>Faizul Haque</t>
  </si>
  <si>
    <t>7061967850</t>
  </si>
  <si>
    <t>JRLRCO/2024/680059</t>
  </si>
  <si>
    <t>JHIC/2024/1673532</t>
  </si>
  <si>
    <t>Kartik Bhardwaj</t>
  </si>
  <si>
    <t>JHRC/2024/455341</t>
  </si>
  <si>
    <t>JHIC/2024/1678440</t>
  </si>
  <si>
    <t>Lal babu sah</t>
  </si>
  <si>
    <t>JHIC/2024/1681085</t>
  </si>
  <si>
    <t>202007282384</t>
  </si>
  <si>
    <t>Sanjit kr singh</t>
  </si>
  <si>
    <t>9386507250</t>
  </si>
  <si>
    <t>202801226710</t>
  </si>
  <si>
    <t>Anil Kumar</t>
  </si>
  <si>
    <t>8709135729</t>
  </si>
  <si>
    <t>8271939481</t>
  </si>
  <si>
    <t>JHIC/2024/1690572</t>
  </si>
  <si>
    <t>JHIC/2024/1690621</t>
  </si>
  <si>
    <t>8432479412</t>
  </si>
  <si>
    <t xml:space="preserve">RAMESH KUMAR UPADHYAY </t>
  </si>
  <si>
    <t>202800739980</t>
  </si>
  <si>
    <t>Charanjeet Singh</t>
  </si>
  <si>
    <t>Harneet Bhamra</t>
  </si>
  <si>
    <t>9031736067</t>
  </si>
  <si>
    <t>JHRC/2024/458896</t>
  </si>
  <si>
    <t>Ashmit Singh</t>
  </si>
  <si>
    <t>Bijay Kumar Hansda</t>
  </si>
  <si>
    <t>26-11--2024</t>
  </si>
  <si>
    <t>attach genealogy</t>
  </si>
  <si>
    <t>Invalid birth certificate</t>
  </si>
  <si>
    <t> JHIC/2024/1707816</t>
  </si>
  <si>
    <t>Ganesh Kumar Tiwary</t>
  </si>
  <si>
    <t>JHIC/2024/1708011</t>
  </si>
  <si>
    <t>Indrajit Kumra Chandel</t>
  </si>
  <si>
    <t>7979738994</t>
  </si>
  <si>
    <t>202005828029</t>
  </si>
  <si>
    <t>JHIC/2024/1708083</t>
  </si>
  <si>
    <t>JHIC/2024/1703787</t>
  </si>
  <si>
    <t>JHEWS/2024/46247</t>
  </si>
  <si>
    <t>sanjan kumari</t>
  </si>
  <si>
    <t>7488349243</t>
  </si>
  <si>
    <t>namdabasti</t>
  </si>
  <si>
    <t>202007419499</t>
  </si>
  <si>
    <t>Meharun Nisha</t>
  </si>
  <si>
    <t>9534101090</t>
  </si>
  <si>
    <t>202800687207</t>
  </si>
  <si>
    <t>8002816859</t>
  </si>
  <si>
    <t>Bidhan Chandra Deb</t>
  </si>
  <si>
    <t>9204098628</t>
  </si>
  <si>
    <t>202005259943</t>
  </si>
  <si>
    <t>Sonali deb</t>
  </si>
  <si>
    <t>Ranjit kumar sen</t>
  </si>
  <si>
    <t>Shikha Solanki-90000</t>
  </si>
  <si>
    <t>70+</t>
  </si>
  <si>
    <t>605269893097</t>
  </si>
  <si>
    <t>8797581009</t>
  </si>
  <si>
    <t>Alok Kumar Verma</t>
  </si>
  <si>
    <t>shivaji Munda</t>
  </si>
  <si>
    <t>JHIC/2024/1727753</t>
  </si>
  <si>
    <t>JHLRCO/2024/920938</t>
  </si>
  <si>
    <t>202006391416</t>
  </si>
  <si>
    <t>8235342199</t>
  </si>
  <si>
    <t>Sitaram Prajapati</t>
  </si>
  <si>
    <t>Sanish Kumar</t>
  </si>
  <si>
    <t>202007420481</t>
  </si>
  <si>
    <t>Sahani Begum</t>
  </si>
  <si>
    <t>549420329261</t>
  </si>
  <si>
    <t>9835938729</t>
  </si>
  <si>
    <t>202801223590</t>
  </si>
  <si>
    <t>377103448966</t>
  </si>
  <si>
    <t>7979837430</t>
  </si>
  <si>
    <t>Farhana Begum</t>
  </si>
  <si>
    <t>JHLRCO/2024/926475</t>
  </si>
  <si>
    <t>JHLRCO/2024/926492</t>
  </si>
  <si>
    <t>JHIC/2024/1743116</t>
  </si>
  <si>
    <t>Milan Bisai</t>
  </si>
  <si>
    <t>JHIC/2024/1743285</t>
  </si>
  <si>
    <t>202801230756</t>
  </si>
  <si>
    <t>9304514615</t>
  </si>
  <si>
    <t>Bharati deb</t>
  </si>
  <si>
    <t>9334818766</t>
  </si>
  <si>
    <t>Asim Kumar Banerjee</t>
  </si>
  <si>
    <t>7070360425</t>
  </si>
  <si>
    <t>Mohammed Munif Shah</t>
  </si>
  <si>
    <t>202801218831</t>
  </si>
  <si>
    <t>9031392168</t>
  </si>
  <si>
    <t>Rukaya Ameen</t>
  </si>
  <si>
    <t>Tauqeer Mohammad</t>
  </si>
  <si>
    <t>Md Zidan Tauqeer</t>
  </si>
  <si>
    <t>9234801127</t>
  </si>
  <si>
    <t>Farzana Begum</t>
  </si>
  <si>
    <t>Arusga Tauqeer</t>
  </si>
  <si>
    <t>JHIC/2024/1748850</t>
  </si>
  <si>
    <t>9931145822</t>
  </si>
  <si>
    <t>Subal Chandra Paul</t>
  </si>
  <si>
    <t>9431542918</t>
  </si>
  <si>
    <t>Amrendra Patnaik</t>
  </si>
  <si>
    <t>20281176084</t>
  </si>
  <si>
    <t>8092709375</t>
  </si>
  <si>
    <t>Vijaya Gauri</t>
  </si>
  <si>
    <t>Suresh kumar wagad</t>
  </si>
  <si>
    <t>JHIC/2024/1754041</t>
  </si>
  <si>
    <t>Shuvojit Bhowmick</t>
  </si>
  <si>
    <t>JHIC/2024/1754102</t>
  </si>
  <si>
    <t>JHIC/2024/1755503</t>
  </si>
  <si>
    <t>JHIC/2024/1756082</t>
  </si>
  <si>
    <t>Rahul Das</t>
  </si>
  <si>
    <t>202801223734</t>
  </si>
  <si>
    <t>9534130282</t>
  </si>
  <si>
    <t>Sagira khatoon</t>
  </si>
  <si>
    <t>8797116434</t>
  </si>
  <si>
    <t>Sapan Sen gupta</t>
  </si>
  <si>
    <t>JHIC/2024/1759755</t>
  </si>
  <si>
    <t>JHIC/2024/1763717</t>
  </si>
  <si>
    <t>7633966551</t>
  </si>
  <si>
    <t>Namita Das</t>
  </si>
  <si>
    <t>7463020687</t>
  </si>
  <si>
    <t>Ashwini Kumar Sarangi</t>
  </si>
  <si>
    <t>202007482857</t>
  </si>
  <si>
    <t>9279334225</t>
  </si>
  <si>
    <t>Sitavi Devi</t>
  </si>
  <si>
    <t>6201826375</t>
  </si>
  <si>
    <t>Rekha Kumari Singh</t>
  </si>
  <si>
    <t>202801175850</t>
  </si>
  <si>
    <t>Roli Singh</t>
  </si>
  <si>
    <t>Rajesh Kumar Singh</t>
  </si>
  <si>
    <t>9304902526</t>
  </si>
  <si>
    <t>JHIC/2024/1771874</t>
  </si>
  <si>
    <t>Shubojit Bhowmick</t>
  </si>
  <si>
    <t>JHRC/2024/467966</t>
  </si>
  <si>
    <t>JHIC/2024/1781631</t>
  </si>
  <si>
    <t>Biswajit mahato</t>
  </si>
  <si>
    <t>70K</t>
  </si>
  <si>
    <t>1.2L</t>
  </si>
  <si>
    <t>JHIC/2024/1781798</t>
  </si>
  <si>
    <t>Sandeep Kumar Rajak</t>
  </si>
  <si>
    <t>72K</t>
  </si>
  <si>
    <t>JHLRCO/2024/946070</t>
  </si>
  <si>
    <t>Mikasha Dutta</t>
  </si>
  <si>
    <t>JHLRCO/2024/946138</t>
  </si>
  <si>
    <t>9431935740</t>
  </si>
  <si>
    <t>Prakash Narayan Gupta</t>
  </si>
  <si>
    <t>JHRC/2024/471192</t>
  </si>
  <si>
    <t>202801222503</t>
  </si>
  <si>
    <t>Mohammad Jamal Hussain</t>
  </si>
  <si>
    <t>Zaira Jamal</t>
  </si>
  <si>
    <t>Md Atif Jamal</t>
  </si>
  <si>
    <t>Shabana Khatoon</t>
  </si>
  <si>
    <t>DIFF DOB</t>
  </si>
  <si>
    <t>Madhurima BosE</t>
  </si>
  <si>
    <t>567837475720</t>
  </si>
  <si>
    <t>Raj Kumar Mishra</t>
  </si>
  <si>
    <t>JHLRCO/2024/955530</t>
  </si>
  <si>
    <t>JHIC/2024/1800637</t>
  </si>
  <si>
    <t>522103756664</t>
  </si>
  <si>
    <t>9939168189</t>
  </si>
  <si>
    <t>Md Shamsuddin Ansari</t>
  </si>
  <si>
    <t>JHIC/2024/1804036</t>
  </si>
  <si>
    <t>316613697569</t>
  </si>
  <si>
    <t>9955497797</t>
  </si>
  <si>
    <t>Bimla sinha</t>
  </si>
  <si>
    <t>Ram Murti Sinha</t>
  </si>
  <si>
    <t>228253391126</t>
  </si>
  <si>
    <t>898744577</t>
  </si>
  <si>
    <t>Dipak kumar dey</t>
  </si>
  <si>
    <t>?</t>
  </si>
  <si>
    <t>642579213726</t>
  </si>
  <si>
    <t>9835716988</t>
  </si>
  <si>
    <t>Sudama Prasad Verma</t>
  </si>
  <si>
    <t>366311601536</t>
  </si>
  <si>
    <t>Kalawati Devi</t>
  </si>
  <si>
    <t>JHIC/2024/1847404</t>
  </si>
  <si>
    <t>632148471221</t>
  </si>
  <si>
    <t>9955372833</t>
  </si>
  <si>
    <t>Sushila Dubey</t>
  </si>
  <si>
    <t>7023905858</t>
  </si>
  <si>
    <t>Baby Pandey</t>
  </si>
  <si>
    <t>538231896629</t>
  </si>
  <si>
    <t>202801091806</t>
  </si>
  <si>
    <t>Shama Naznin</t>
  </si>
  <si>
    <t>JHIC/2024/1867794</t>
  </si>
  <si>
    <t>sitendra</t>
  </si>
  <si>
    <t>202800712092</t>
  </si>
  <si>
    <t>577371338466</t>
  </si>
  <si>
    <t>9431736950</t>
  </si>
  <si>
    <t>JHLRCO/2024/990733</t>
  </si>
  <si>
    <t>8603863860</t>
  </si>
  <si>
    <t>202005798970</t>
  </si>
  <si>
    <t>Ramwati Devi</t>
  </si>
  <si>
    <t>JHCBC/2024/753682</t>
  </si>
  <si>
    <t>Sadiya Khatoon</t>
  </si>
  <si>
    <t>hazaribagh</t>
  </si>
  <si>
    <t>Akanchha Kumari</t>
  </si>
  <si>
    <t>JHLRCO/2024/990930</t>
  </si>
  <si>
    <t>JHIC/2024/1879666</t>
  </si>
  <si>
    <t>JHIC/2024/1879686</t>
  </si>
  <si>
    <t>Vishal Pramanik</t>
  </si>
  <si>
    <t>JHIC/2024/1879752</t>
  </si>
  <si>
    <t>Mohammad Shad ahmad</t>
  </si>
  <si>
    <t>JHRC/2024/487143</t>
  </si>
  <si>
    <t>Abhishek Rana</t>
  </si>
  <si>
    <t>209932236378</t>
  </si>
  <si>
    <t>9470312515</t>
  </si>
  <si>
    <t>shakun devi</t>
  </si>
  <si>
    <t>7209088018</t>
  </si>
  <si>
    <t>Lalan Kumar singh</t>
  </si>
  <si>
    <t>202005786038</t>
  </si>
  <si>
    <t>304042468534</t>
  </si>
  <si>
    <t>548795884460</t>
  </si>
  <si>
    <t>Yaduvansh Prasad sinha</t>
  </si>
  <si>
    <t>202801189081</t>
  </si>
  <si>
    <t>640663300629</t>
  </si>
  <si>
    <t>7061751342</t>
  </si>
  <si>
    <t>Smriti Singh</t>
  </si>
  <si>
    <t>279933552061</t>
  </si>
  <si>
    <t>Shantanu mandal</t>
  </si>
  <si>
    <t>8658517749</t>
  </si>
  <si>
    <t>731168159173</t>
  </si>
  <si>
    <t>9937667721</t>
  </si>
  <si>
    <t>nandita madal</t>
  </si>
  <si>
    <t>Priyanka Bisai</t>
  </si>
  <si>
    <t>JHEWSH/2024/16946</t>
  </si>
  <si>
    <t>9279212466</t>
  </si>
  <si>
    <t>202801226813</t>
  </si>
  <si>
    <t>Indu Bala</t>
  </si>
  <si>
    <t>Arun Kumar Vidyarthi</t>
  </si>
  <si>
    <t>850027630566</t>
  </si>
  <si>
    <t>698190602830</t>
  </si>
  <si>
    <t>9835174651</t>
  </si>
  <si>
    <t>710971718234</t>
  </si>
  <si>
    <t>Droupadi Devi</t>
  </si>
  <si>
    <t>620920569273</t>
  </si>
  <si>
    <t>Mohan Lal Verma</t>
  </si>
  <si>
    <t>9234972673</t>
  </si>
  <si>
    <t>JHEWS/2024/47455</t>
  </si>
  <si>
    <t>JHIC/2024/1903382</t>
  </si>
  <si>
    <t>JHRC/2024/494736</t>
  </si>
  <si>
    <t>Rytisha Sengupta</t>
  </si>
  <si>
    <t>95340 61632</t>
  </si>
  <si>
    <t>Koyna Mridha</t>
  </si>
  <si>
    <t>Parusidh</t>
  </si>
  <si>
    <t>JHRC/2024/497235</t>
  </si>
  <si>
    <t>Pankaj Kumar Choubey</t>
  </si>
  <si>
    <t>JHRC/2024/498034</t>
  </si>
  <si>
    <t>JHLRCO/2024/1017773</t>
  </si>
  <si>
    <t>JHIC/2024/1938047</t>
  </si>
  <si>
    <t>7209965310</t>
  </si>
  <si>
    <t>288216153745</t>
  </si>
  <si>
    <t>Munnay Khan</t>
  </si>
  <si>
    <t>AKANSHA KUMARI</t>
  </si>
  <si>
    <t>Sabhyata Rani Singh</t>
  </si>
  <si>
    <t>JHIC/2024/1938378</t>
  </si>
  <si>
    <t>ward 22</t>
  </si>
  <si>
    <t>JHIC/2024/1938414</t>
  </si>
  <si>
    <t>Samrendra Ranjan Singh</t>
  </si>
  <si>
    <t>JHIC/2024/1938443</t>
  </si>
  <si>
    <t>Mohammad Nizamuddin</t>
  </si>
  <si>
    <t>9631393011</t>
  </si>
  <si>
    <t>339545584347</t>
  </si>
  <si>
    <t>541993911117</t>
  </si>
  <si>
    <t>9572880148</t>
  </si>
  <si>
    <t>Amrik Singh</t>
  </si>
  <si>
    <t>202006439824</t>
  </si>
  <si>
    <t>459476873340</t>
  </si>
  <si>
    <t>9939889613</t>
  </si>
  <si>
    <t>Amarjeet Kour</t>
  </si>
  <si>
    <t>Rohan Das</t>
  </si>
  <si>
    <t>JHLRCO/2024/1019905</t>
  </si>
  <si>
    <t>JHLRCO/2024/1020982</t>
  </si>
  <si>
    <t>972369054139</t>
  </si>
  <si>
    <t>6206396188</t>
  </si>
  <si>
    <t>Natan Kumar Bose</t>
  </si>
  <si>
    <t>298083208386</t>
  </si>
  <si>
    <t>Madhak Pravina Arvindkumar</t>
  </si>
  <si>
    <t>9031424048</t>
  </si>
  <si>
    <t>273736801553</t>
  </si>
  <si>
    <t>Madhak Arvindkumar</t>
  </si>
  <si>
    <t>331260092077</t>
  </si>
  <si>
    <t>9630051706</t>
  </si>
  <si>
    <t>Mayarani Das</t>
  </si>
  <si>
    <t>9693859539</t>
  </si>
  <si>
    <t>531493819246</t>
  </si>
  <si>
    <t>Kamal Kishore Singh</t>
  </si>
  <si>
    <t>need cer copy of bc</t>
  </si>
  <si>
    <t>524404705703</t>
  </si>
  <si>
    <t>Nityanand prasad</t>
  </si>
  <si>
    <t xml:space="preserve">pending </t>
  </si>
  <si>
    <t>Chhaya Jain</t>
  </si>
  <si>
    <t>9631821172</t>
  </si>
  <si>
    <t>629605152700</t>
  </si>
  <si>
    <t>9939421444</t>
  </si>
  <si>
    <t>512829633866</t>
  </si>
  <si>
    <t>Jai Kumar Jain</t>
  </si>
  <si>
    <t>printerd</t>
  </si>
  <si>
    <t>973832511474</t>
  </si>
  <si>
    <t>9234263986</t>
  </si>
  <si>
    <t>Hena Chakraborty</t>
  </si>
  <si>
    <t>9234551733</t>
  </si>
  <si>
    <t>911595942795</t>
  </si>
  <si>
    <t>Ashok kumar trivedi</t>
  </si>
  <si>
    <t>202801024513</t>
  </si>
  <si>
    <t>451758754147</t>
  </si>
  <si>
    <t>Pijush kanti halder</t>
  </si>
  <si>
    <t>8252511459</t>
  </si>
  <si>
    <t>688003706686</t>
  </si>
  <si>
    <t>7480054821</t>
  </si>
  <si>
    <t>Susmita Halder</t>
  </si>
  <si>
    <t>2020061994</t>
  </si>
  <si>
    <t>Durga Sardar</t>
  </si>
  <si>
    <t>637914116523</t>
  </si>
  <si>
    <t>9263448314</t>
  </si>
  <si>
    <t>Jagadish banerjee</t>
  </si>
  <si>
    <t>8797366978</t>
  </si>
  <si>
    <t>202006254260</t>
  </si>
  <si>
    <t>Rajkumar devi</t>
  </si>
  <si>
    <t>Suman Singh</t>
  </si>
  <si>
    <t>8789255158</t>
  </si>
  <si>
    <t>7091332095</t>
  </si>
  <si>
    <t>Kashish Kumari</t>
  </si>
  <si>
    <t>Ujjwal kumar singh</t>
  </si>
  <si>
    <t>6299910763</t>
  </si>
  <si>
    <t>202800742110</t>
  </si>
  <si>
    <t>9939143002</t>
  </si>
  <si>
    <t>Durgawati Devi</t>
  </si>
  <si>
    <t>202801051519</t>
  </si>
  <si>
    <t>9708674859</t>
  </si>
  <si>
    <t>Rupali sharma</t>
  </si>
  <si>
    <t>857134998693</t>
  </si>
  <si>
    <t>Amin Ahmad</t>
  </si>
  <si>
    <t>9572013491</t>
  </si>
  <si>
    <t>JHIC/2025/77419</t>
  </si>
  <si>
    <t>Sanjeev Jha</t>
  </si>
  <si>
    <t>Chhabi Rani Mahato</t>
  </si>
  <si>
    <t>JHIC/2025/77473</t>
  </si>
  <si>
    <t>JHIC/2025/77532</t>
  </si>
  <si>
    <t>JHIC/2025/77600</t>
  </si>
  <si>
    <t>JHIC/2025/77660</t>
  </si>
  <si>
    <t>JHEWS/2025/01682</t>
  </si>
  <si>
    <t>JHEWS/2025/01847</t>
  </si>
  <si>
    <t>ritesh mani tripathi</t>
  </si>
  <si>
    <t>8936802279</t>
  </si>
  <si>
    <t>7209284002</t>
  </si>
  <si>
    <t>Shehnila afreen</t>
  </si>
  <si>
    <t>202800939588</t>
  </si>
  <si>
    <t>8789693389</t>
  </si>
  <si>
    <t>202007403459</t>
  </si>
  <si>
    <t>Subhash kumar</t>
  </si>
  <si>
    <t>JHCBC/2025/31113</t>
  </si>
  <si>
    <t>Vishal Kumar Mahato</t>
  </si>
  <si>
    <t>khairboni</t>
  </si>
  <si>
    <t>JHLRCO/2025/47902</t>
  </si>
  <si>
    <t>Ramadhar Singh</t>
  </si>
  <si>
    <t>329183948623</t>
  </si>
  <si>
    <t>Sitavi devi</t>
  </si>
  <si>
    <t>JHIC/2025/109779</t>
  </si>
  <si>
    <t>JHIC/2025/109803</t>
  </si>
  <si>
    <t>JHIC/2025/109847</t>
  </si>
  <si>
    <t>Sanjay kumar</t>
  </si>
  <si>
    <t>202800717150</t>
  </si>
  <si>
    <t>9031225732</t>
  </si>
  <si>
    <t>Chinmoy Das</t>
  </si>
  <si>
    <t>JHLRCO/2025/60377</t>
  </si>
  <si>
    <t>Riya Das</t>
  </si>
  <si>
    <t>JHIC/2025/134754</t>
  </si>
  <si>
    <t>Khokan Kumar Das</t>
  </si>
  <si>
    <t>9204030618</t>
  </si>
  <si>
    <t>Mallika das</t>
  </si>
  <si>
    <t>JHIC/2025/138591</t>
  </si>
  <si>
    <t>runu madina</t>
  </si>
  <si>
    <t>JHIC/2025/138604</t>
  </si>
  <si>
    <t>928445723481</t>
  </si>
  <si>
    <t>9955463138</t>
  </si>
  <si>
    <t>shyam pada chel</t>
  </si>
  <si>
    <t>202800713751</t>
  </si>
  <si>
    <t>Munni Devi</t>
  </si>
  <si>
    <t>8789456428</t>
  </si>
  <si>
    <t>Rameshwar Prasad</t>
  </si>
  <si>
    <t>JHCOB/2025/08634</t>
  </si>
  <si>
    <t>JHRC/2025/48534</t>
  </si>
  <si>
    <t>8434668585</t>
  </si>
  <si>
    <t>Sarmistha Mahato</t>
  </si>
  <si>
    <t>JHIC/2025/134591</t>
  </si>
  <si>
    <t>7250479382</t>
  </si>
  <si>
    <t>amrun khatun</t>
  </si>
  <si>
    <t>772308538700</t>
  </si>
  <si>
    <t>301492232177</t>
  </si>
  <si>
    <t>Surendra choudhary</t>
  </si>
  <si>
    <t>Rishita Das</t>
  </si>
  <si>
    <t>JHIC/2025/154695</t>
  </si>
  <si>
    <t>JHIC/2025/154740</t>
  </si>
  <si>
    <t>Deo krishna choudhary</t>
  </si>
  <si>
    <t>202801185139</t>
  </si>
  <si>
    <t>fake bc</t>
  </si>
  <si>
    <t>534719178037</t>
  </si>
  <si>
    <t>9065676796</t>
  </si>
  <si>
    <t>Tabarakh Hussain</t>
  </si>
  <si>
    <t>Mukesh Kumar</t>
  </si>
  <si>
    <t>202801314736</t>
  </si>
  <si>
    <t>310426924082</t>
  </si>
  <si>
    <t>Bhasker Chatterjee</t>
  </si>
  <si>
    <t>202801035793</t>
  </si>
  <si>
    <t>974789436280</t>
  </si>
  <si>
    <t>D Pushpa</t>
  </si>
  <si>
    <t>914252094</t>
  </si>
  <si>
    <t>614623459938</t>
  </si>
  <si>
    <t>9279014832</t>
  </si>
  <si>
    <t>Md Rafiuddin</t>
  </si>
  <si>
    <t>JHRC/2025/50680</t>
  </si>
  <si>
    <t>7209541615</t>
  </si>
  <si>
    <t>202801210271</t>
  </si>
  <si>
    <t>Amal Kundu</t>
  </si>
  <si>
    <t>6299317748</t>
  </si>
  <si>
    <t>202002270246</t>
  </si>
  <si>
    <t>Rahul Kumar Singh</t>
  </si>
  <si>
    <t>JHLRCO/2025/90104</t>
  </si>
  <si>
    <t>Sibtain Ansari</t>
  </si>
  <si>
    <t>JHLRCO/2025/90144</t>
  </si>
  <si>
    <t>Tanisha Choudhary</t>
  </si>
  <si>
    <t>JHLRCO/2025/90166</t>
  </si>
  <si>
    <t>Kashish</t>
  </si>
  <si>
    <t>9334002286</t>
  </si>
  <si>
    <t>202801217674</t>
  </si>
  <si>
    <t>anil kumar choudhary</t>
  </si>
  <si>
    <t>JHLRCO/2025/94169</t>
  </si>
  <si>
    <t>Bishnudev Mishra</t>
  </si>
  <si>
    <t>JHIC/2025/200159</t>
  </si>
  <si>
    <t>JHEWS/2025/05607</t>
  </si>
  <si>
    <t>JHIC/2025/202406</t>
  </si>
  <si>
    <t>JHLRCO/2025/97604</t>
  </si>
  <si>
    <t>G Tejas Sai</t>
  </si>
  <si>
    <t>JHLRCO/2025/98204</t>
  </si>
  <si>
    <t>JHLRCO/2025/100363</t>
  </si>
  <si>
    <t>Abhishek  Kumar</t>
  </si>
  <si>
    <t>788898914014</t>
  </si>
  <si>
    <t>Jugal Kishore Verma</t>
  </si>
  <si>
    <t>9162141596</t>
  </si>
  <si>
    <t>594030059112</t>
  </si>
  <si>
    <t>8797935570</t>
  </si>
  <si>
    <t>Dhananjay Ram</t>
  </si>
  <si>
    <t>9234550363</t>
  </si>
  <si>
    <t>290550748217</t>
  </si>
  <si>
    <t>Challapilla sriramachandra murty</t>
  </si>
  <si>
    <t>9934671787</t>
  </si>
  <si>
    <t>999579886906</t>
  </si>
  <si>
    <t>422924253503</t>
  </si>
  <si>
    <t>Meera Rai</t>
  </si>
  <si>
    <t>Kishor Kumar</t>
  </si>
  <si>
    <t>JHLRCO/2025/110397</t>
  </si>
  <si>
    <t>JHLRCO/2025/115043</t>
  </si>
  <si>
    <t>Tania Tahseen</t>
  </si>
  <si>
    <t>ITR NOT ATTACHED</t>
  </si>
  <si>
    <t>8226887704</t>
  </si>
  <si>
    <t>8092713730</t>
  </si>
  <si>
    <t>202801020343</t>
  </si>
  <si>
    <t>Arup kumar sahu</t>
  </si>
  <si>
    <t>Afifa Zaman</t>
  </si>
  <si>
    <t>Md Mosaib Zaman</t>
  </si>
  <si>
    <t>JHLRCO/2025/120778</t>
  </si>
  <si>
    <t>JHLRCO/2025/120827</t>
  </si>
  <si>
    <t>9204090849</t>
  </si>
  <si>
    <t>202006213007</t>
  </si>
  <si>
    <t>Santanu chaudhary</t>
  </si>
  <si>
    <t>202800907291</t>
  </si>
  <si>
    <t>9973052878</t>
  </si>
  <si>
    <t>Kamala Das</t>
  </si>
  <si>
    <t>7631070941</t>
  </si>
  <si>
    <t>JHIC/2025/260289</t>
  </si>
  <si>
    <t>439138743281</t>
  </si>
  <si>
    <t>Manju Singh</t>
  </si>
  <si>
    <t>447514395800</t>
  </si>
  <si>
    <t>202801288826</t>
  </si>
  <si>
    <t>233251613458</t>
  </si>
  <si>
    <t>9608333434</t>
  </si>
  <si>
    <t>v p singh</t>
  </si>
  <si>
    <t>Vijay kumar Singh</t>
  </si>
  <si>
    <t>JHIC/2025/263356</t>
  </si>
  <si>
    <t>Yuvraj Mukhi</t>
  </si>
  <si>
    <t>attached bonafide</t>
  </si>
  <si>
    <t>jati not in khatian</t>
  </si>
  <si>
    <t>rejected due to land</t>
  </si>
  <si>
    <t>373273239992</t>
  </si>
  <si>
    <t>Raghunath pandey</t>
  </si>
  <si>
    <t>Archita Sinha</t>
  </si>
  <si>
    <t>JHLRCO/2025/132744</t>
  </si>
  <si>
    <t>Neelam Kumari</t>
  </si>
  <si>
    <t>8340518594</t>
  </si>
  <si>
    <t>202801223551</t>
  </si>
  <si>
    <t>525514861234</t>
  </si>
  <si>
    <t>7979047267</t>
  </si>
  <si>
    <t>Rajeshwar singh</t>
  </si>
  <si>
    <t>JHRC_2025_84217</t>
  </si>
  <si>
    <t>ramdeo bagan</t>
  </si>
  <si>
    <t>375921671743</t>
  </si>
  <si>
    <t>Amina Khatoon</t>
  </si>
  <si>
    <t>202801018273</t>
  </si>
  <si>
    <t>9162186480</t>
  </si>
  <si>
    <t>Rizwana Khatoon</t>
  </si>
  <si>
    <t>9031137882</t>
  </si>
  <si>
    <t>202801313867</t>
  </si>
  <si>
    <t>7070906967</t>
  </si>
  <si>
    <t>202801352266</t>
  </si>
  <si>
    <t>Adalat Khan</t>
  </si>
  <si>
    <t>Rasida Khatoon</t>
  </si>
  <si>
    <t>9905906569</t>
  </si>
  <si>
    <t>202801337183</t>
  </si>
  <si>
    <t>Chand Mohammad</t>
  </si>
  <si>
    <t>Hena Parween</t>
  </si>
  <si>
    <t>Rina Dey</t>
  </si>
  <si>
    <t>7294909103</t>
  </si>
  <si>
    <t>202801217178</t>
  </si>
  <si>
    <t>Md Rahaman Ali</t>
  </si>
  <si>
    <t>Rehan Ali</t>
  </si>
  <si>
    <t>Zeenat parween</t>
  </si>
  <si>
    <t>JHLRCO/2025/151948</t>
  </si>
  <si>
    <t>Trishna Dutta</t>
  </si>
  <si>
    <t>JHIC/2025/305556</t>
  </si>
  <si>
    <t>santosh kumar deY</t>
  </si>
  <si>
    <t>202801345087</t>
  </si>
  <si>
    <t>9835185439</t>
  </si>
  <si>
    <t>M V Bhaskar rao</t>
  </si>
  <si>
    <t>202801345093</t>
  </si>
  <si>
    <t>9973515768</t>
  </si>
  <si>
    <t>Bhaskar Shyam Kumar</t>
  </si>
  <si>
    <t>JHIC/2025/311793</t>
  </si>
  <si>
    <t>JHIC/2025/311986</t>
  </si>
  <si>
    <t>nishant bandiya</t>
  </si>
  <si>
    <t>Aditya Nag</t>
  </si>
  <si>
    <t>JHRC/2025/92590</t>
  </si>
  <si>
    <t>JHRC/2025/92597</t>
  </si>
  <si>
    <t>reject-birth</t>
  </si>
  <si>
    <t>9031905838</t>
  </si>
  <si>
    <t>202801351677</t>
  </si>
  <si>
    <t>202801346641</t>
  </si>
  <si>
    <t>8603319587</t>
  </si>
  <si>
    <t>Anup Kumar Mandal</t>
  </si>
  <si>
    <t>JHLRCO/2025/160495</t>
  </si>
  <si>
    <t>Nazim Khan</t>
  </si>
  <si>
    <t>JHLRCO/2025/160526</t>
  </si>
  <si>
    <t>Piyush KUmar</t>
  </si>
  <si>
    <t>9304422905</t>
  </si>
  <si>
    <t>202801176120</t>
  </si>
  <si>
    <t>Namita Sahu</t>
  </si>
  <si>
    <t>Ram Krishna Sahu</t>
  </si>
  <si>
    <t>JHIC/2025/322386</t>
  </si>
  <si>
    <t>Ritesh mani tripathi</t>
  </si>
  <si>
    <t>JHIC/2025/322418</t>
  </si>
  <si>
    <t>JHIC/2025/322444</t>
  </si>
  <si>
    <t>8603796911</t>
  </si>
  <si>
    <t xml:space="preserve">Sulochana </t>
  </si>
  <si>
    <t>9572871336</t>
  </si>
  <si>
    <t>202801176096</t>
  </si>
  <si>
    <t>Nayeema Khatun</t>
  </si>
  <si>
    <t>8084697654</t>
  </si>
  <si>
    <t>Faruque Ahmad</t>
  </si>
  <si>
    <t>JHIC/2025/328470</t>
  </si>
  <si>
    <t>Deepti</t>
  </si>
  <si>
    <t>JHLRCO/2025/164454</t>
  </si>
  <si>
    <t>B Sneha</t>
  </si>
  <si>
    <t>Anjan Ghosh</t>
  </si>
  <si>
    <t>INIT</t>
  </si>
  <si>
    <t>to be dwnlaoded</t>
  </si>
  <si>
    <t>9905786989</t>
  </si>
  <si>
    <t>Sudha Verma</t>
  </si>
  <si>
    <t>202801359811</t>
  </si>
  <si>
    <t>JHLRCO/2025/171441</t>
  </si>
  <si>
    <t>JHIC/2025/343294</t>
  </si>
  <si>
    <t>Renu Kumari Sinha</t>
  </si>
  <si>
    <t>9204442691</t>
  </si>
  <si>
    <t>7209303480</t>
  </si>
  <si>
    <t>Binayak chandra patnayak</t>
  </si>
  <si>
    <t>202801344848</t>
  </si>
  <si>
    <t>JHIC/2025/350057</t>
  </si>
  <si>
    <t>JHEWS/2025/13022</t>
  </si>
  <si>
    <t>JHEWS/2025/13024</t>
  </si>
  <si>
    <t>Vibhas Mishra</t>
  </si>
  <si>
    <t>JHLRCO/2025/186788</t>
  </si>
  <si>
    <t>JHIC/2025/372404</t>
  </si>
  <si>
    <t>Ayush Kumar Sinha</t>
  </si>
  <si>
    <t>JHLRCO/2025/187011</t>
  </si>
  <si>
    <t>original document not attached</t>
  </si>
  <si>
    <t>202801346825</t>
  </si>
  <si>
    <t>7209414677</t>
  </si>
  <si>
    <t>Rabi Lochan Goswami</t>
  </si>
  <si>
    <t>537288424323</t>
  </si>
  <si>
    <t>JHEWS/2025/13259</t>
  </si>
  <si>
    <t>JHEWS/2025/13260</t>
  </si>
  <si>
    <t>Makan se sambandhit koyi vi documents attached nahi hai and aadhar card and application me guardian name mismatch hai</t>
  </si>
  <si>
    <t>Not attached applicant income certificate</t>
  </si>
  <si>
    <t>Avedan me mention jamin ka details ka dastavejupload nahi hai</t>
  </si>
  <si>
    <t>राजस्व उप निरीक्षक के जांच प्रतिवेदन के अनुसार</t>
  </si>
  <si>
    <t>Attached khatiyan and other documents not scanned from original</t>
  </si>
  <si>
    <t>Snehal Kumari</t>
  </si>
  <si>
    <t>Surajpari devi</t>
  </si>
  <si>
    <t>916873332901</t>
  </si>
  <si>
    <t>9031733634</t>
  </si>
  <si>
    <t>8969064010</t>
  </si>
  <si>
    <t>202801346781</t>
  </si>
  <si>
    <t>Jatinder Kaur</t>
  </si>
  <si>
    <t>513737998446</t>
  </si>
  <si>
    <t>7903492477</t>
  </si>
  <si>
    <t>829205973353</t>
  </si>
  <si>
    <t>9308973868</t>
  </si>
  <si>
    <t>Ramadhar Sharma</t>
  </si>
  <si>
    <t>8538997889</t>
  </si>
  <si>
    <t>20</t>
  </si>
  <si>
    <t>202801351653</t>
  </si>
  <si>
    <t>Santara khatun</t>
  </si>
  <si>
    <t>9234904058</t>
  </si>
  <si>
    <t>202801234979</t>
  </si>
  <si>
    <t>Sagufta Jamal</t>
  </si>
  <si>
    <t>358295698227</t>
  </si>
  <si>
    <t>Anjali Goswami</t>
  </si>
  <si>
    <t>8210031117</t>
  </si>
  <si>
    <t>Sudipto Goswami</t>
  </si>
  <si>
    <t>202801176222</t>
  </si>
  <si>
    <t>48032063864</t>
  </si>
  <si>
    <t>9102981976</t>
  </si>
  <si>
    <t>Ranjita Raha</t>
  </si>
  <si>
    <t>Bipul Raha</t>
  </si>
  <si>
    <t>669255683541</t>
  </si>
  <si>
    <t>Nagendra Pandey</t>
  </si>
  <si>
    <t>8292257432</t>
  </si>
  <si>
    <t>Aarav Kumar</t>
  </si>
  <si>
    <t>Ishita Arya</t>
  </si>
  <si>
    <t>JHIC/2025/372368</t>
  </si>
  <si>
    <t>JHIC/2025/405266</t>
  </si>
  <si>
    <t>Nazneen Perween</t>
  </si>
  <si>
    <t>rejeted invalid bc</t>
  </si>
  <si>
    <t>rejectd invalid bc</t>
  </si>
  <si>
    <t>309249371457</t>
  </si>
  <si>
    <t>Reoti Devi</t>
  </si>
  <si>
    <t>7255005447</t>
  </si>
  <si>
    <t>202007426300</t>
  </si>
  <si>
    <t>Ghousul Haque khan</t>
  </si>
  <si>
    <t>7739346989</t>
  </si>
  <si>
    <t>Afsara Parween</t>
  </si>
  <si>
    <t>JHIC/2025/415312</t>
  </si>
  <si>
    <t>Rani Kumari</t>
  </si>
  <si>
    <t>ch west</t>
  </si>
  <si>
    <t>Goutam mishra</t>
  </si>
  <si>
    <t>JHIC/2025/415414</t>
  </si>
  <si>
    <t>JHEWS/2025/14007</t>
  </si>
  <si>
    <t>664785398580</t>
  </si>
  <si>
    <t>JHIC/2025/421887</t>
  </si>
  <si>
    <t>Pratima pathak</t>
  </si>
  <si>
    <t>Ramashish Pathak</t>
  </si>
  <si>
    <t>JHIC/2025/421915</t>
  </si>
  <si>
    <t>JHRC/2025/117893</t>
  </si>
  <si>
    <t>Koyona mridha</t>
  </si>
  <si>
    <t>9973771929</t>
  </si>
  <si>
    <t>202801075001</t>
  </si>
  <si>
    <t>278703122318</t>
  </si>
  <si>
    <t>Shakir Hussain</t>
  </si>
  <si>
    <t>Simran Kumari</t>
  </si>
  <si>
    <t>JHLRCO/2025/220147</t>
  </si>
  <si>
    <t>JHLRCO/2025/220177</t>
  </si>
  <si>
    <t>JHIC/2025/444205</t>
  </si>
  <si>
    <t>Pankaj Kumar Bhadani</t>
  </si>
  <si>
    <t>9835739139</t>
  </si>
  <si>
    <t>Bidyut Dev</t>
  </si>
  <si>
    <t>JHIC/2025/454830</t>
  </si>
  <si>
    <t>Mohammad kamaluddin</t>
  </si>
  <si>
    <t>202801312749</t>
  </si>
  <si>
    <t>534790382228</t>
  </si>
  <si>
    <t>Sucheta Dutta</t>
  </si>
  <si>
    <t>495728666487</t>
  </si>
  <si>
    <t>9470143514</t>
  </si>
  <si>
    <t>Bipad taran datta</t>
  </si>
  <si>
    <t>JHIC/2025/468637</t>
  </si>
  <si>
    <t>Ranjeet Mahato</t>
  </si>
  <si>
    <t>REJECRTED</t>
  </si>
  <si>
    <t>CASTE NOT MENTIONED IN KHATIAYAN</t>
  </si>
  <si>
    <t>JHLRCO/2025/235914</t>
  </si>
  <si>
    <t>Shivasish ranjan</t>
  </si>
  <si>
    <t>Alka Sharma</t>
  </si>
  <si>
    <t>JHLRCO/2025/235927</t>
  </si>
  <si>
    <t>JHLRCO/2025/235937</t>
  </si>
  <si>
    <t>deepak kumar mahato</t>
  </si>
  <si>
    <t>sunderhatu</t>
  </si>
  <si>
    <t>north chh</t>
  </si>
  <si>
    <t>N. ch.h</t>
  </si>
  <si>
    <t>JHIC/2025/474793</t>
  </si>
  <si>
    <t>202006389700</t>
  </si>
  <si>
    <t>Shila Devi</t>
  </si>
  <si>
    <t>983154357369</t>
  </si>
  <si>
    <t>9031383239</t>
  </si>
  <si>
    <t>636253079361</t>
  </si>
  <si>
    <t>8292138173</t>
  </si>
  <si>
    <t>JHEWS/2025/15241</t>
  </si>
  <si>
    <t>Asmita Kumari</t>
  </si>
  <si>
    <t>JHLRCO/2025/238491</t>
  </si>
  <si>
    <t>birth rejected</t>
  </si>
  <si>
    <t>rejected invalid bc</t>
  </si>
  <si>
    <t>JHEWS/2025/15889</t>
  </si>
  <si>
    <t>Manish Anthony</t>
  </si>
  <si>
    <t>747727719807</t>
  </si>
  <si>
    <t>9955141955</t>
  </si>
  <si>
    <t>Shashi bhushan sharma</t>
  </si>
  <si>
    <t>571722013828</t>
  </si>
  <si>
    <t>9546425671</t>
  </si>
  <si>
    <t>Sushil Kumar</t>
  </si>
  <si>
    <t>9123230609</t>
  </si>
  <si>
    <t>795995166436</t>
  </si>
  <si>
    <t>Beni Madhab seth</t>
  </si>
  <si>
    <t>202800669940</t>
  </si>
  <si>
    <t>306642131496</t>
  </si>
  <si>
    <t>Haimaboti seth</t>
  </si>
  <si>
    <t>JHIC/2025/503837</t>
  </si>
  <si>
    <t>nweb.hub@g</t>
  </si>
  <si>
    <t>jharsewapass</t>
  </si>
  <si>
    <t>202801313586</t>
  </si>
  <si>
    <t>412047869223</t>
  </si>
  <si>
    <t>Mahjabi Khatun</t>
  </si>
  <si>
    <t>8102810436</t>
  </si>
  <si>
    <t>567363483303</t>
  </si>
  <si>
    <t>Kahkashan Roushan</t>
  </si>
  <si>
    <t>757383748120</t>
  </si>
  <si>
    <t>Parvez alam</t>
  </si>
  <si>
    <t>202801035704</t>
  </si>
  <si>
    <t>Bijan Baran Das</t>
  </si>
  <si>
    <t>399079887114</t>
  </si>
  <si>
    <t>937263440500</t>
  </si>
  <si>
    <t>Nilpana Das</t>
  </si>
  <si>
    <t>9031270638</t>
  </si>
  <si>
    <t>B Anuradha</t>
  </si>
  <si>
    <t>507036875794</t>
  </si>
  <si>
    <t>202801223481</t>
  </si>
  <si>
    <t>8825353266</t>
  </si>
  <si>
    <t>B neha</t>
  </si>
  <si>
    <t>784587604261</t>
  </si>
  <si>
    <t>B Chandrashekhar</t>
  </si>
  <si>
    <t>Jyotirmay</t>
  </si>
  <si>
    <t>JHLRCO/2025/103720</t>
  </si>
  <si>
    <t>202005762017</t>
  </si>
  <si>
    <t>9263395245</t>
  </si>
  <si>
    <t>Punu Lohar</t>
  </si>
  <si>
    <t>245110831248</t>
  </si>
  <si>
    <t>202801222594</t>
  </si>
  <si>
    <t>263893802881</t>
  </si>
  <si>
    <t>Md Badizzaman</t>
  </si>
  <si>
    <t>7677813704</t>
  </si>
  <si>
    <t>202800714381</t>
  </si>
  <si>
    <t>633714271286</t>
  </si>
  <si>
    <t>9771187719</t>
  </si>
  <si>
    <t>Bisendra Roy</t>
  </si>
  <si>
    <t>279092048903</t>
  </si>
  <si>
    <t>Chandravati Devi</t>
  </si>
  <si>
    <t>636216059046</t>
  </si>
  <si>
    <t>Sanju Kumari</t>
  </si>
  <si>
    <t>795040173500</t>
  </si>
  <si>
    <t>Ranjeet Ray</t>
  </si>
  <si>
    <t>202007495363</t>
  </si>
  <si>
    <t>905379241551</t>
  </si>
  <si>
    <t>9304164416</t>
  </si>
  <si>
    <t>202801284032</t>
  </si>
  <si>
    <t>9327402781</t>
  </si>
  <si>
    <t>Nagendra mahato</t>
  </si>
  <si>
    <t>8789621426</t>
  </si>
  <si>
    <t>972603865594</t>
  </si>
  <si>
    <t>202801350461</t>
  </si>
  <si>
    <t>Mosarat Banu</t>
  </si>
  <si>
    <t>318386301902</t>
  </si>
  <si>
    <t>Gulapsa Praween</t>
  </si>
  <si>
    <t>808225312504</t>
  </si>
  <si>
    <t>Shayma Parveen</t>
  </si>
  <si>
    <t>de</t>
  </si>
  <si>
    <t>381611677033</t>
  </si>
  <si>
    <t>Kiran Devi</t>
  </si>
  <si>
    <t>S</t>
  </si>
  <si>
    <t>202801380959</t>
  </si>
  <si>
    <t>694062307374</t>
  </si>
  <si>
    <t>Kunal Kumar Chaki</t>
  </si>
  <si>
    <t>9234551773</t>
  </si>
  <si>
    <t>9771322408</t>
  </si>
  <si>
    <t>332722529025</t>
  </si>
  <si>
    <t>Mousumi Chaki</t>
  </si>
  <si>
    <t>JHLRCO/2025/268424</t>
  </si>
  <si>
    <t>Gourav Kumar Sinha</t>
  </si>
  <si>
    <t>JHLRCO/2025/268429</t>
  </si>
  <si>
    <t>9874816596</t>
  </si>
  <si>
    <t>957393805633</t>
  </si>
  <si>
    <t>Ajit Kumar singh</t>
  </si>
  <si>
    <t>JHEWS/2025/18226</t>
  </si>
  <si>
    <t>7488560058</t>
  </si>
  <si>
    <t>JHLRCO/2025/269990</t>
  </si>
  <si>
    <t>Taksh Kumar singh</t>
  </si>
  <si>
    <t>JHRC/2025/147088</t>
  </si>
  <si>
    <t>JHIC/2025/531758</t>
  </si>
  <si>
    <t>Sachidanand Choudhary</t>
  </si>
  <si>
    <t>JHIC/2025/503894</t>
  </si>
  <si>
    <t>202801093504</t>
  </si>
  <si>
    <t>536954405606</t>
  </si>
  <si>
    <t>9334260013</t>
  </si>
  <si>
    <t>Suvasish Choudhury</t>
  </si>
  <si>
    <t>8092226513</t>
  </si>
  <si>
    <t>202801280435</t>
  </si>
  <si>
    <t>Raj Singh</t>
  </si>
  <si>
    <t>52701635158</t>
  </si>
  <si>
    <t>989044108505</t>
  </si>
  <si>
    <t>Navneet kaur</t>
  </si>
  <si>
    <t>819297988854</t>
  </si>
  <si>
    <t>Rajwant Kaur</t>
  </si>
  <si>
    <t>9955326513</t>
  </si>
  <si>
    <t>208871869650</t>
  </si>
  <si>
    <t>9051749777</t>
  </si>
  <si>
    <t>Reema Singh</t>
  </si>
  <si>
    <t>Amardip Singh</t>
  </si>
  <si>
    <t>7044799292</t>
  </si>
  <si>
    <t>601617715973</t>
  </si>
  <si>
    <t>9279371601</t>
  </si>
  <si>
    <t>202005741507</t>
  </si>
  <si>
    <t>668842774346</t>
  </si>
  <si>
    <t>Nabirun Nisa</t>
  </si>
  <si>
    <t>8797831300</t>
  </si>
  <si>
    <t>Jetender saw</t>
  </si>
  <si>
    <t>BC NOT CLR</t>
  </si>
  <si>
    <t>INVALID BC</t>
  </si>
  <si>
    <t>JHIC/2025/549208</t>
  </si>
  <si>
    <t> JHIC/2025/549263</t>
  </si>
  <si>
    <t>Jitendra Nath</t>
  </si>
  <si>
    <t>JHIC/2025/549302</t>
  </si>
  <si>
    <t>202800518460</t>
  </si>
  <si>
    <t>VICTOR JOSEPH</t>
  </si>
  <si>
    <t>7992209167</t>
  </si>
  <si>
    <t>JHLRCO/2025/284932</t>
  </si>
  <si>
    <t>Abhishek Mishra</t>
  </si>
  <si>
    <t>bagbera colony</t>
  </si>
  <si>
    <t>Afsara Khatoon</t>
  </si>
  <si>
    <t>JHLRCO/2025/284945</t>
  </si>
  <si>
    <t>Prakash Mishra</t>
  </si>
  <si>
    <t>752691315489</t>
  </si>
  <si>
    <t>9334168746</t>
  </si>
  <si>
    <t>Devesh Prasad Verma</t>
  </si>
  <si>
    <t>JHRC/2025/154707</t>
  </si>
  <si>
    <t>Shubh@m19</t>
  </si>
  <si>
    <t>JHCBC/2025/176739</t>
  </si>
  <si>
    <t>Kaushik paul</t>
  </si>
  <si>
    <t>JHEWS/2025/20142</t>
  </si>
  <si>
    <t>9431559272</t>
  </si>
  <si>
    <t>202801385616</t>
  </si>
  <si>
    <t>Mobarak hussain</t>
  </si>
  <si>
    <t>460483383250</t>
  </si>
  <si>
    <t>9076019945</t>
  </si>
  <si>
    <t>Yasmine perween</t>
  </si>
  <si>
    <t>542953863035</t>
  </si>
  <si>
    <t>Arsh Mobarak</t>
  </si>
  <si>
    <t>JHIC/2025/566070</t>
  </si>
  <si>
    <t>Mohammad azam khan</t>
  </si>
  <si>
    <t>JHEWS/2025/20473</t>
  </si>
  <si>
    <t>Ankit Kumar singh</t>
  </si>
  <si>
    <t>vidyapati ngr</t>
  </si>
  <si>
    <t>7004414173</t>
  </si>
  <si>
    <t>8252613215</t>
  </si>
  <si>
    <t>Aman kumar singh</t>
  </si>
  <si>
    <t>JHEWS/2025/20475</t>
  </si>
  <si>
    <t>JHLRCO/2025/290957</t>
  </si>
  <si>
    <t>Ankit kumar singh</t>
  </si>
  <si>
    <t>JHLRCO/2025/290986</t>
  </si>
  <si>
    <t>JHLRCO/2025/291008</t>
  </si>
  <si>
    <t>Mohammad ajmal khan</t>
  </si>
  <si>
    <t>9334614735</t>
  </si>
  <si>
    <t>202801178095</t>
  </si>
  <si>
    <t>601509483872</t>
  </si>
  <si>
    <t>546296938427</t>
  </si>
  <si>
    <t>hasrat jahan</t>
  </si>
  <si>
    <t>md imtiyaz alam</t>
  </si>
  <si>
    <t>7991120302</t>
  </si>
  <si>
    <t>202801346684</t>
  </si>
  <si>
    <t>tarun kanti bose choudhary</t>
  </si>
  <si>
    <t>8409840177</t>
  </si>
  <si>
    <t>940767097553</t>
  </si>
  <si>
    <t>Abhishek kumar</t>
  </si>
  <si>
    <t>Nasreen Imama</t>
  </si>
  <si>
    <t>Akash Dutta</t>
  </si>
  <si>
    <t>JHLRCO/2025/298581</t>
  </si>
  <si>
    <t>Jitesh Singh</t>
  </si>
  <si>
    <t>JHIC/2025/579583</t>
  </si>
  <si>
    <t> JHIC/2025/579598</t>
  </si>
  <si>
    <t>JHIC/2025/579621</t>
  </si>
  <si>
    <t>JHIC/2025/579645</t>
  </si>
  <si>
    <t>JHIC/2025/580741</t>
  </si>
  <si>
    <t>JHIC/2025/580977</t>
  </si>
  <si>
    <t>Sanjay gorai</t>
  </si>
  <si>
    <t>JHCBC/2025/184801</t>
  </si>
  <si>
    <t>Kanishka Paul</t>
  </si>
  <si>
    <t>Sony pathak</t>
  </si>
  <si>
    <t>8709270985</t>
  </si>
  <si>
    <t>202801362169</t>
  </si>
  <si>
    <t>877430737515</t>
  </si>
  <si>
    <t>Banti kumari</t>
  </si>
  <si>
    <t>492522578981</t>
  </si>
  <si>
    <t>Abhinandan Shrivastava</t>
  </si>
  <si>
    <t>JHEWS/2025/21846</t>
  </si>
  <si>
    <t>8434686013</t>
  </si>
  <si>
    <t>imran ahmad</t>
  </si>
  <si>
    <t>202801346000</t>
  </si>
  <si>
    <t>Sneha Dutta</t>
  </si>
  <si>
    <t>9708679279</t>
  </si>
  <si>
    <t>Salma Shaheen</t>
  </si>
  <si>
    <t>819342241376</t>
  </si>
  <si>
    <t>9835594152</t>
  </si>
  <si>
    <t>661819949367</t>
  </si>
  <si>
    <t>Harun Rashid</t>
  </si>
  <si>
    <t>246227489385</t>
  </si>
  <si>
    <t>Hasbun</t>
  </si>
  <si>
    <t>7739102654</t>
  </si>
  <si>
    <t>JHLRCO/2025/307521</t>
  </si>
  <si>
    <t>as per kc report, rejected</t>
  </si>
  <si>
    <t>Attached bonafide certificate</t>
  </si>
  <si>
    <t>Criteria not fulfill</t>
  </si>
  <si>
    <t>202002357071</t>
  </si>
  <si>
    <t>508034153190</t>
  </si>
  <si>
    <t>9546114538</t>
  </si>
  <si>
    <t>rashida khatoon</t>
  </si>
  <si>
    <t>7787028114</t>
  </si>
  <si>
    <t>436335496739</t>
  </si>
  <si>
    <t>Madhabananda mohanty</t>
  </si>
  <si>
    <t>424330617150</t>
  </si>
  <si>
    <t>Urmila Singh</t>
  </si>
  <si>
    <t>JHLRCO/2025/314510</t>
  </si>
  <si>
    <t>Supriya rani</t>
  </si>
  <si>
    <t>ch north</t>
  </si>
  <si>
    <t>Risheeka Sarkar</t>
  </si>
  <si>
    <t>JHLRCO/2025/314520</t>
  </si>
  <si>
    <t>Zaid Khan</t>
  </si>
  <si>
    <t>JHLRCO/2025/314528</t>
  </si>
  <si>
    <t>Rahul kumar singh</t>
  </si>
  <si>
    <t>JHLRCO/2025/314535</t>
  </si>
  <si>
    <t>JHEWSH/2025/11281</t>
  </si>
  <si>
    <t>JHIC/2025/607931</t>
  </si>
  <si>
    <t>Tanisha Sahu</t>
  </si>
  <si>
    <t>JHIC/2025/580777</t>
  </si>
  <si>
    <t>JHIC/2025/608127</t>
  </si>
  <si>
    <t>JHIC/2025/611641</t>
  </si>
  <si>
    <t>Ch Ramu Rao</t>
  </si>
  <si>
    <t>JHLRCO/2025/318227</t>
  </si>
  <si>
    <t>Megha Sharma</t>
  </si>
  <si>
    <t>Shreya Verma</t>
  </si>
  <si>
    <t>JHLRCO/2025/318893</t>
  </si>
  <si>
    <t>JHLRCO/2025/318908</t>
  </si>
  <si>
    <t>Nitika Sinha</t>
  </si>
  <si>
    <t>JHEWS/2025/23227</t>
  </si>
  <si>
    <t>JHEWS/2025/23228</t>
  </si>
  <si>
    <t>8340545451</t>
  </si>
  <si>
    <t>202801347992</t>
  </si>
  <si>
    <t>410625062784</t>
  </si>
  <si>
    <t>8227829100</t>
  </si>
  <si>
    <t>826932697289</t>
  </si>
  <si>
    <t>JHIC/2025/614859</t>
  </si>
  <si>
    <t>JHIC/2025/614870</t>
  </si>
  <si>
    <t>202801344895</t>
  </si>
  <si>
    <t>861335904964</t>
  </si>
  <si>
    <t>7739508284</t>
  </si>
  <si>
    <t>Dadi Vara Noka Lakshmi</t>
  </si>
  <si>
    <t>rejected due to aadhaar</t>
  </si>
  <si>
    <t>JHLRCO/2025/329269</t>
  </si>
  <si>
    <t>Harshita Kumari</t>
  </si>
  <si>
    <t>202800907260</t>
  </si>
  <si>
    <t>316188905679</t>
  </si>
  <si>
    <t>R jaya</t>
  </si>
  <si>
    <t>R Rajesh</t>
  </si>
  <si>
    <t>591080243648</t>
  </si>
  <si>
    <t>452489697977</t>
  </si>
  <si>
    <t>R Uday</t>
  </si>
  <si>
    <t>9113441157</t>
  </si>
  <si>
    <t>7004728496</t>
  </si>
  <si>
    <t>202801385994</t>
  </si>
  <si>
    <t>621713223978</t>
  </si>
  <si>
    <t>7033534029</t>
  </si>
  <si>
    <t>Usha Devi</t>
  </si>
  <si>
    <t>539103181470</t>
  </si>
  <si>
    <t>Prity Pandey</t>
  </si>
  <si>
    <t>Smita Kumari</t>
  </si>
  <si>
    <t>812176527431</t>
  </si>
  <si>
    <t>7484910553</t>
  </si>
  <si>
    <t>8235442278</t>
  </si>
  <si>
    <t>Yogendra kumar pandeu</t>
  </si>
  <si>
    <t>202800684554</t>
  </si>
  <si>
    <t>7780386731</t>
  </si>
  <si>
    <t>394703585436</t>
  </si>
  <si>
    <t>R Ramakrishnan</t>
  </si>
  <si>
    <t>202801386219</t>
  </si>
  <si>
    <t>831721761668</t>
  </si>
  <si>
    <t>9304734936</t>
  </si>
  <si>
    <t>Md Iftekhar Alam</t>
  </si>
  <si>
    <t>Rubina Rukshar</t>
  </si>
  <si>
    <t>653685727138</t>
  </si>
  <si>
    <t>202801175664</t>
  </si>
  <si>
    <t>462372691255</t>
  </si>
  <si>
    <t>8603460564</t>
  </si>
  <si>
    <t>Mohammad Aahil Aftab</t>
  </si>
  <si>
    <t>987614716728</t>
  </si>
  <si>
    <t>Aliza Rukshar</t>
  </si>
  <si>
    <t>8252886307</t>
  </si>
  <si>
    <t>595171359668</t>
  </si>
  <si>
    <t>8092231645</t>
  </si>
  <si>
    <t>373308235990</t>
  </si>
  <si>
    <t>Ratanlal Agrawal</t>
  </si>
  <si>
    <t>JHCST/2025/190397</t>
  </si>
  <si>
    <t>stt</t>
  </si>
  <si>
    <t>rathu singh bhumij</t>
  </si>
  <si>
    <t>JHCBC/2025/208367</t>
  </si>
  <si>
    <t>JHLRCO/2025/336117</t>
  </si>
  <si>
    <t>28-05-025</t>
  </si>
  <si>
    <t>988993060033</t>
  </si>
  <si>
    <t>9204388778</t>
  </si>
  <si>
    <t>pankaj kumar singh</t>
  </si>
  <si>
    <t>9031278841</t>
  </si>
  <si>
    <t>964451811552</t>
  </si>
  <si>
    <t>202007223530</t>
  </si>
  <si>
    <t>202800495868</t>
  </si>
  <si>
    <t>351598402139</t>
  </si>
  <si>
    <t>Azizul ismal</t>
  </si>
  <si>
    <t>7631080603</t>
  </si>
  <si>
    <t>Vageesha Gupta</t>
  </si>
  <si>
    <t>JHLRCO/2025/340519</t>
  </si>
  <si>
    <t>JHLRCO/2025/340569</t>
  </si>
  <si>
    <t>east kali</t>
  </si>
  <si>
    <t>bamangora</t>
  </si>
  <si>
    <t>Radha kumari</t>
  </si>
  <si>
    <t>8797944678</t>
  </si>
  <si>
    <t>215913171464</t>
  </si>
  <si>
    <t>Tapan Kumar dalal</t>
  </si>
  <si>
    <t>202801391250</t>
  </si>
  <si>
    <t>912961543320</t>
  </si>
  <si>
    <t>9204205452</t>
  </si>
  <si>
    <t>basobi chakraborty</t>
  </si>
  <si>
    <t>JHIC/2025/655330</t>
  </si>
  <si>
    <t>Mahima Shree</t>
  </si>
  <si>
    <t>9835709732</t>
  </si>
  <si>
    <t>202801434965</t>
  </si>
  <si>
    <t>Sidhu babu</t>
  </si>
  <si>
    <t>679903959690</t>
  </si>
  <si>
    <t>909657914602</t>
  </si>
  <si>
    <t>Sonajhri devi</t>
  </si>
  <si>
    <t>9431345674</t>
  </si>
  <si>
    <t>202801386236</t>
  </si>
  <si>
    <t>215490529285</t>
  </si>
  <si>
    <t>Animesh Mukherjee</t>
  </si>
  <si>
    <t>Ruby Mukherjee</t>
  </si>
  <si>
    <t>959736441673</t>
  </si>
  <si>
    <t>6200527143</t>
  </si>
  <si>
    <t>202002357098</t>
  </si>
  <si>
    <t>216353183353</t>
  </si>
  <si>
    <t>9508729671</t>
  </si>
  <si>
    <t>neha Pweween</t>
  </si>
  <si>
    <t>202005938254</t>
  </si>
  <si>
    <t>296430780764</t>
  </si>
  <si>
    <t>7202595716</t>
  </si>
  <si>
    <t>202006248498</t>
  </si>
  <si>
    <t>506594748881</t>
  </si>
  <si>
    <t>Debnath Dalal</t>
  </si>
  <si>
    <t>202007356528</t>
  </si>
  <si>
    <t>793742954000</t>
  </si>
  <si>
    <t>Radhika Devi</t>
  </si>
  <si>
    <t>DANISH AHMaD khan (r)</t>
  </si>
  <si>
    <t>Furqan ahmad khan(r)</t>
  </si>
  <si>
    <t>Hasan Raza Khan (r)</t>
  </si>
  <si>
    <t>Mubasir ahmad khan (r)</t>
  </si>
  <si>
    <t>Rabia Haassan Khan (r)</t>
  </si>
  <si>
    <t>Shabina khNam (r)</t>
  </si>
  <si>
    <t>Shoaib Ahmad Khan (r</t>
  </si>
  <si>
    <t>Zainab Raza Khan (r)</t>
  </si>
  <si>
    <t>JHLRCO/2025/343669</t>
  </si>
  <si>
    <t>JHLRCO/2025/343657</t>
  </si>
  <si>
    <t>JHLRCO/2025/343651</t>
  </si>
  <si>
    <t>JHLRCO/2025/343644</t>
  </si>
  <si>
    <t>JHLRCO/2025/343633</t>
  </si>
  <si>
    <t>JHLRCO/2025/343609</t>
  </si>
  <si>
    <t>JHLRCO/2025/343591</t>
  </si>
  <si>
    <t>Gurpreet</t>
  </si>
  <si>
    <t>JHLRCO/2025/352579</t>
  </si>
  <si>
    <t>JHLRCO/2025/352711</t>
  </si>
  <si>
    <t>Anshika pandey</t>
  </si>
  <si>
    <t>JHCOB/2025/69294</t>
  </si>
  <si>
    <t>RdT offline bc</t>
  </si>
  <si>
    <t>bonafide</t>
  </si>
  <si>
    <t>JHIC/2025/669500</t>
  </si>
  <si>
    <t>Amitesh das</t>
  </si>
  <si>
    <t>JHIC/2025/669549</t>
  </si>
  <si>
    <t>Pragya Pandey</t>
  </si>
  <si>
    <t>JHIC/2025/673186</t>
  </si>
  <si>
    <t>Bhaskar Dutta</t>
  </si>
  <si>
    <t>JHIC/2025/677282</t>
  </si>
  <si>
    <t>JHIC/2025/677296</t>
  </si>
  <si>
    <t>Mangala Devi</t>
  </si>
  <si>
    <t>JHIC/2025/677302</t>
  </si>
  <si>
    <t>597179868622</t>
  </si>
  <si>
    <t>8877125991</t>
  </si>
  <si>
    <t>Milan kanti dan</t>
  </si>
  <si>
    <t>reject not ol bc</t>
  </si>
  <si>
    <t>rejected bc</t>
  </si>
  <si>
    <t>202801352633</t>
  </si>
  <si>
    <t>266247597584</t>
  </si>
  <si>
    <t>9113414940</t>
  </si>
  <si>
    <t>Mohamamd kaif</t>
  </si>
  <si>
    <t>671046731460</t>
  </si>
  <si>
    <t>9931515511</t>
  </si>
  <si>
    <t>mohammad firoz</t>
  </si>
  <si>
    <t>965297371615</t>
  </si>
  <si>
    <t>Shamshad khatoon</t>
  </si>
  <si>
    <t>JHCST/2025/207166</t>
  </si>
  <si>
    <t>rani sabar</t>
  </si>
  <si>
    <t>anup sahu</t>
  </si>
  <si>
    <t>Sanjay munda</t>
  </si>
  <si>
    <t>JHCST/2025/207177</t>
  </si>
  <si>
    <t>JHEWS/2025/26985</t>
  </si>
  <si>
    <t>JHEWS/2025/26986</t>
  </si>
  <si>
    <t>JHLRCO/2025/370848</t>
  </si>
  <si>
    <t>Rozy Perween</t>
  </si>
  <si>
    <t>Shreoshi Dutta</t>
  </si>
  <si>
    <t>JHRC/2025/199123</t>
  </si>
  <si>
    <t>JHRC/2025/199148</t>
  </si>
  <si>
    <t>674636187275</t>
  </si>
  <si>
    <t>mohammad faiz</t>
  </si>
  <si>
    <t>JHIC/2025/730991</t>
  </si>
  <si>
    <t>Jitendra kumar gahhayat</t>
  </si>
  <si>
    <t>JHIC/2025/731745</t>
  </si>
  <si>
    <t>Krishna sahu</t>
  </si>
  <si>
    <t>JHIC/2025/731793</t>
  </si>
  <si>
    <t>babita kumari</t>
  </si>
  <si>
    <t>sarita singh</t>
  </si>
  <si>
    <t>Raj kumar</t>
  </si>
  <si>
    <t>JHIC/2025/733953</t>
  </si>
  <si>
    <t>JHLRCO/2025/410490</t>
  </si>
  <si>
    <t>Kunal soni</t>
  </si>
  <si>
    <t>7488505498</t>
  </si>
  <si>
    <t>202007551802</t>
  </si>
  <si>
    <t>977873254846</t>
  </si>
  <si>
    <t>a. Kamla Devi</t>
  </si>
  <si>
    <t>202801305902</t>
  </si>
  <si>
    <t>259080380436</t>
  </si>
  <si>
    <t>9031126954</t>
  </si>
  <si>
    <t>b. Manjulata</t>
  </si>
  <si>
    <t>9031166535</t>
  </si>
  <si>
    <t>Saba shakrin</t>
  </si>
  <si>
    <t>619816960674</t>
  </si>
  <si>
    <t>JHIC/2025/738570</t>
  </si>
  <si>
    <t>Partha sarkar</t>
  </si>
  <si>
    <t>sobha giri</t>
  </si>
  <si>
    <t>JHIC/2025/738615</t>
  </si>
  <si>
    <t>Ayushman Sharma</t>
  </si>
  <si>
    <t>JHLRCO/2025/415754</t>
  </si>
  <si>
    <t>JHIC/2025/743143</t>
  </si>
  <si>
    <t>Rajesh Pal</t>
  </si>
  <si>
    <t>202801385602</t>
  </si>
  <si>
    <t>SHAMA PERWEEN</t>
  </si>
  <si>
    <t>9852454305</t>
  </si>
  <si>
    <t>202801117488</t>
  </si>
  <si>
    <t>628358879164</t>
  </si>
  <si>
    <t>FARHAT KHATOON</t>
  </si>
  <si>
    <t>Rabia siddiqua</t>
  </si>
  <si>
    <t>7295913471</t>
  </si>
  <si>
    <t>333328973677</t>
  </si>
  <si>
    <t>JHIC/2025/747471</t>
  </si>
  <si>
    <t>JHIC/2025/747485</t>
  </si>
  <si>
    <t>print</t>
  </si>
  <si>
    <t>202801353139</t>
  </si>
  <si>
    <t>830579674868</t>
  </si>
  <si>
    <t>Rishma Naushad</t>
  </si>
  <si>
    <t>627584241350</t>
  </si>
  <si>
    <t>Sharma Parween</t>
  </si>
  <si>
    <t>JHIC/2025/688081</t>
  </si>
  <si>
    <t>JHLRCO/2025/429486</t>
  </si>
  <si>
    <t>JHEWS/2025/31018</t>
  </si>
  <si>
    <t>03-07-2025</t>
  </si>
  <si>
    <t>JHIC/2025/768673</t>
  </si>
  <si>
    <t>JHIC/2025/770320</t>
  </si>
  <si>
    <t>JHIC/2025/765690</t>
  </si>
  <si>
    <t>JHIC/2025/765639</t>
  </si>
  <si>
    <t>Harshmeet singh</t>
  </si>
  <si>
    <t>JHLRCO/2025/438006</t>
  </si>
  <si>
    <t>Prakash barla</t>
  </si>
  <si>
    <t>Sadab Raza</t>
  </si>
  <si>
    <t>JHIC/2025/770990</t>
  </si>
  <si>
    <t>JHCST/2025/240570</t>
  </si>
  <si>
    <t>invalid bc</t>
  </si>
  <si>
    <t>JHLRCO/2025/438041</t>
  </si>
  <si>
    <t>JHLRCO/2025/293158</t>
  </si>
  <si>
    <t>Mohammad sami akhtar</t>
  </si>
  <si>
    <t>04-07-202</t>
  </si>
  <si>
    <t>JHIC/2025/775118</t>
  </si>
  <si>
    <t>JHIC/2025/778415</t>
  </si>
  <si>
    <t>chandan kumar pandey</t>
  </si>
  <si>
    <t>JHEWS/2025/31608</t>
  </si>
  <si>
    <t>manish pandey</t>
  </si>
  <si>
    <t>6200892963</t>
  </si>
  <si>
    <t>JHEWS/2025/27932</t>
  </si>
  <si>
    <t>JHEWS/2025/27198</t>
  </si>
  <si>
    <t>JHEWS/2025/27204</t>
  </si>
  <si>
    <t>202801308700</t>
  </si>
  <si>
    <t>700282972000</t>
  </si>
  <si>
    <t>CHANDRA SHEKHAR PAL</t>
  </si>
  <si>
    <t>9234500991</t>
  </si>
  <si>
    <t>JHLRCO/2025/442397</t>
  </si>
  <si>
    <t>JHIC/2025/770941</t>
  </si>
  <si>
    <t>9708558303</t>
  </si>
  <si>
    <t>202801379515</t>
  </si>
  <si>
    <t>957343810857</t>
  </si>
  <si>
    <t>Parveen nissa</t>
  </si>
  <si>
    <t>638502788263</t>
  </si>
  <si>
    <t>ABDUL RASHIQ</t>
  </si>
  <si>
    <t>9470389053</t>
  </si>
  <si>
    <t>252149287332</t>
  </si>
  <si>
    <t>Mini Sharma Paul</t>
  </si>
  <si>
    <t>JHIC/2025/793959</t>
  </si>
  <si>
    <t>JHIC/2025/794074</t>
  </si>
  <si>
    <t>Kamlesh Kumar Saharia</t>
  </si>
  <si>
    <t>Narendra Singh</t>
  </si>
  <si>
    <t>JHIC/2025/794170</t>
  </si>
  <si>
    <t>aPURVA</t>
  </si>
  <si>
    <t>JHEWS/2025/32985</t>
  </si>
  <si>
    <t>JHIC/2025/804082</t>
  </si>
  <si>
    <t>Shazmeen Khatono</t>
  </si>
  <si>
    <t>Nazneen Khatoon</t>
  </si>
  <si>
    <t>JHIC/2025/700946</t>
  </si>
  <si>
    <t>JHIC/2025/701056</t>
  </si>
  <si>
    <t>JHLRCO/2025/469077</t>
  </si>
  <si>
    <t>Sushmita Malla</t>
  </si>
  <si>
    <t>south</t>
  </si>
  <si>
    <t>JHLRCO/2025/469143</t>
  </si>
  <si>
    <t>Krishan Prakash</t>
  </si>
  <si>
    <t>JHIC/2025/807879</t>
  </si>
  <si>
    <t>Riya Pandey</t>
  </si>
  <si>
    <t>JHLRCO/2025/382702</t>
  </si>
  <si>
    <t>Sumit Singh</t>
  </si>
  <si>
    <t>JHLRCO/2025/390492</t>
  </si>
  <si>
    <t>Md Moaaz Khan</t>
  </si>
  <si>
    <t>JHLRCO/2025/390618</t>
  </si>
  <si>
    <t>Anushya Singh</t>
  </si>
  <si>
    <t>Ranjeet Haldar</t>
  </si>
  <si>
    <t>JHLRCO/2025/438202</t>
  </si>
  <si>
    <t>Afsana Khatoon</t>
  </si>
  <si>
    <t>80924 29960</t>
  </si>
  <si>
    <t>JHLRCO/2025/473740</t>
  </si>
  <si>
    <t>7277654865</t>
  </si>
  <si>
    <t>202800739846</t>
  </si>
  <si>
    <t>Tanmoy sahu</t>
  </si>
  <si>
    <t>827148896908</t>
  </si>
  <si>
    <t>9204215411</t>
  </si>
  <si>
    <t>590482785406</t>
  </si>
  <si>
    <t>Anima sahu</t>
  </si>
  <si>
    <t>8271686156</t>
  </si>
  <si>
    <t>202801230856</t>
  </si>
  <si>
    <t>766712372271</t>
  </si>
  <si>
    <t>JHIC/2025/813399</t>
  </si>
  <si>
    <t>202801289864</t>
  </si>
  <si>
    <t>867427474976</t>
  </si>
  <si>
    <t>Polamarasetty varha lavnya</t>
  </si>
  <si>
    <t>8709297018</t>
  </si>
  <si>
    <t>Rash Bihari Tiwari</t>
  </si>
  <si>
    <t>Document returned</t>
  </si>
  <si>
    <t>JHIC/2025/816073</t>
  </si>
  <si>
    <t>277331680902</t>
  </si>
  <si>
    <t>JHIC/2025/816524</t>
  </si>
  <si>
    <t>Ruma malla</t>
  </si>
  <si>
    <t>Kritika Paul</t>
  </si>
  <si>
    <t>bc</t>
  </si>
  <si>
    <t>JHCBC/2025/300922</t>
  </si>
  <si>
    <t>JHIC/2025/819840</t>
  </si>
  <si>
    <t>JHIC/2025/819903</t>
  </si>
  <si>
    <t>JHIC/2025/820024</t>
  </si>
  <si>
    <t>Mohammad jawaid</t>
  </si>
  <si>
    <t>JHLRCO/2025/481454</t>
  </si>
  <si>
    <t>Anuradha mahato</t>
  </si>
  <si>
    <t>JHCBC/2025/301867</t>
  </si>
  <si>
    <t>JHLRCO/2025/481671</t>
  </si>
  <si>
    <t>Shantanu Mandal</t>
  </si>
  <si>
    <t>JHIC/2025/823721</t>
  </si>
  <si>
    <t>JHLRCO/2025/484212</t>
  </si>
  <si>
    <t>RESUBMITTED WITH VANSH</t>
  </si>
  <si>
    <t>9110197217</t>
  </si>
  <si>
    <t>202801090765</t>
  </si>
  <si>
    <t>285119579537</t>
  </si>
  <si>
    <t>Bijay kumar sharma</t>
  </si>
  <si>
    <t>JHCOB/2025/86937</t>
  </si>
  <si>
    <t>JHIC/2025/829926</t>
  </si>
  <si>
    <t>Vimal Mukhi</t>
  </si>
  <si>
    <t>gitti machine</t>
  </si>
  <si>
    <t>7979031601</t>
  </si>
  <si>
    <t>202801191012</t>
  </si>
  <si>
    <t>Chinmay sinha</t>
  </si>
  <si>
    <t>seema thapa</t>
  </si>
  <si>
    <t>JHEWS/2025/34696</t>
  </si>
  <si>
    <t>7909044366</t>
  </si>
  <si>
    <t>JHIC/2025/838253</t>
  </si>
  <si>
    <t>Kamaljeet singh manni</t>
  </si>
  <si>
    <t>JHIC/2025/838382</t>
  </si>
  <si>
    <t>JHEWS/2025/34800</t>
  </si>
  <si>
    <t>na</t>
  </si>
  <si>
    <t>rejected land not clr</t>
  </si>
  <si>
    <t>202002356349</t>
  </si>
  <si>
    <t>917323241183</t>
  </si>
  <si>
    <t>ULAS MACHHUWA</t>
  </si>
  <si>
    <t>mangal</t>
  </si>
  <si>
    <t>JHIC/2025/846685</t>
  </si>
  <si>
    <t> JHIC/2025/846773</t>
  </si>
  <si>
    <t>8235001989</t>
  </si>
  <si>
    <t>202801176002</t>
  </si>
  <si>
    <t>796417152519</t>
  </si>
  <si>
    <t>HASSAN AHMAD</t>
  </si>
  <si>
    <t>no land details</t>
  </si>
  <si>
    <t>REJECTED DUE TO BIRTH</t>
  </si>
  <si>
    <t>202006536410</t>
  </si>
  <si>
    <t>415905981815</t>
  </si>
  <si>
    <t>6202360277</t>
  </si>
  <si>
    <t>Jaba mahato</t>
  </si>
  <si>
    <t>9905957902</t>
  </si>
  <si>
    <t>202800669953</t>
  </si>
  <si>
    <t>250566855968</t>
  </si>
  <si>
    <t>Shayra bano</t>
  </si>
  <si>
    <t>JHIC/2025/711573</t>
  </si>
  <si>
    <t>JHIC/2025/711471</t>
  </si>
  <si>
    <t>Md Sabir Khan</t>
  </si>
  <si>
    <t>7979937834</t>
  </si>
  <si>
    <t>Aditya Sahay</t>
  </si>
  <si>
    <t>JHLRCO/2025/505944</t>
  </si>
  <si>
    <t>JHEWS/2025/35452</t>
  </si>
  <si>
    <t>497334767997</t>
  </si>
  <si>
    <t>MD NASIRUDDIN</t>
  </si>
  <si>
    <t>9546892202</t>
  </si>
  <si>
    <t>JHLRCO/2025/512017</t>
  </si>
  <si>
    <t>202002281136</t>
  </si>
  <si>
    <t>441058050922</t>
  </si>
  <si>
    <t>6205914965</t>
  </si>
  <si>
    <t>Jyoti Gope</t>
  </si>
  <si>
    <t>JHIC/2025/864487</t>
  </si>
  <si>
    <t>REJECTED DUE TO BC</t>
  </si>
  <si>
    <t>rejected due to bc</t>
  </si>
  <si>
    <t>JHCBC/2025/325311</t>
  </si>
  <si>
    <t>saloni sinha</t>
  </si>
  <si>
    <t>sweta sinha</t>
  </si>
  <si>
    <t>JHCOB/2025/93411</t>
  </si>
  <si>
    <t>Ashwini tanti</t>
  </si>
  <si>
    <t> JHCOB/2025/93425</t>
  </si>
  <si>
    <t>Archana mahato</t>
  </si>
  <si>
    <t>Urmila singh</t>
  </si>
  <si>
    <t>20200786038</t>
  </si>
  <si>
    <t>JHCBC/2025/325575</t>
  </si>
  <si>
    <t>JHEWS/2025/36192</t>
  </si>
  <si>
    <t>JHEWSH/2025/17708</t>
  </si>
  <si>
    <t>9661504877</t>
  </si>
  <si>
    <t>Ranjit kaur</t>
  </si>
  <si>
    <t>248606761420</t>
  </si>
  <si>
    <t>202006200409</t>
  </si>
  <si>
    <t>DELIVERDD</t>
  </si>
  <si>
    <t>JHLRCO/2025/524367</t>
  </si>
  <si>
    <t>Priya kumari</t>
  </si>
  <si>
    <t>JHLRCO/2025/527110</t>
  </si>
  <si>
    <t>Jatin pandey</t>
  </si>
  <si>
    <t>JHLRCO/2025/527159</t>
  </si>
  <si>
    <t>sufia tahseen</t>
  </si>
  <si>
    <t>JHEWS/2025/36680</t>
  </si>
  <si>
    <t>Aman kumar</t>
  </si>
  <si>
    <t>JHEWS/2025/36682</t>
  </si>
  <si>
    <t>badal kumar</t>
  </si>
  <si>
    <t>8210825009</t>
  </si>
  <si>
    <t>9470393625</t>
  </si>
  <si>
    <t>cho-east</t>
  </si>
  <si>
    <t>9102320167</t>
  </si>
  <si>
    <t>202005831507</t>
  </si>
  <si>
    <t>748133220332</t>
  </si>
  <si>
    <t>Ma. Naushad</t>
  </si>
  <si>
    <t>Chitra kumari</t>
  </si>
  <si>
    <t>6299380588</t>
  </si>
  <si>
    <t>JHLRCO/2025/529402</t>
  </si>
  <si>
    <t>7209766008</t>
  </si>
  <si>
    <t>202007483042</t>
  </si>
  <si>
    <t>855754050071</t>
  </si>
  <si>
    <t>ALIMELU</t>
  </si>
  <si>
    <t>JHLRCO/2025/530081</t>
  </si>
  <si>
    <t>Kanhaiya Mishra</t>
  </si>
  <si>
    <t>JHIC/2025/885688</t>
  </si>
  <si>
    <t>Kanhaiya mishra</t>
  </si>
  <si>
    <t>JHIC/2025/885690</t>
  </si>
  <si>
    <t>Sufia Tahseen</t>
  </si>
  <si>
    <t>ARPAN EMMANUEL UPADHYAY</t>
  </si>
  <si>
    <t>757499010043</t>
  </si>
  <si>
    <t>8210701440</t>
  </si>
  <si>
    <t>Kartik bhardwaj</t>
  </si>
  <si>
    <t>JHIC/2025/886155</t>
  </si>
  <si>
    <t>JHIC/2025/886162</t>
  </si>
  <si>
    <t>JHLRCO/2025/530498</t>
  </si>
  <si>
    <t>Priyanshi singh</t>
  </si>
  <si>
    <t>vipin prasad</t>
  </si>
  <si>
    <t>JHLRCO/2025/530578</t>
  </si>
  <si>
    <t>sadhudera</t>
  </si>
  <si>
    <t>JHLRCO/2025/530594</t>
  </si>
  <si>
    <t>JHCBC/2025/336168</t>
  </si>
  <si>
    <t>sanjana shree</t>
  </si>
  <si>
    <t>9234557407</t>
  </si>
  <si>
    <t>202801220208</t>
  </si>
  <si>
    <t>Anita verma</t>
  </si>
  <si>
    <t>9234391652</t>
  </si>
  <si>
    <t>Anand kumar verma</t>
  </si>
  <si>
    <t>882348995014</t>
  </si>
  <si>
    <t>683879839052</t>
  </si>
  <si>
    <t>8235430598</t>
  </si>
  <si>
    <t>202006876725</t>
  </si>
  <si>
    <t>319652809566</t>
  </si>
  <si>
    <t>RESHMA ANJUM</t>
  </si>
  <si>
    <t>JHIC/2025/892523</t>
  </si>
  <si>
    <t>JHIC/2025/892735</t>
  </si>
  <si>
    <t>sneha roy</t>
  </si>
  <si>
    <t>pramath nagar</t>
  </si>
  <si>
    <t>haludbani east</t>
  </si>
  <si>
    <t>JHIC/2025/892963</t>
  </si>
  <si>
    <t>JHLRCO/2025/537657</t>
  </si>
  <si>
    <t>satish kumar shahi</t>
  </si>
  <si>
    <t>JHIC/2025/900300</t>
  </si>
  <si>
    <t>9546338230</t>
  </si>
  <si>
    <t>SAQUIB ALI</t>
  </si>
  <si>
    <t>344784547953</t>
  </si>
  <si>
    <t>202801100442</t>
  </si>
  <si>
    <t>740761669360</t>
  </si>
  <si>
    <t>Sajid Ali</t>
  </si>
  <si>
    <t>267109777304</t>
  </si>
  <si>
    <t>9661948041</t>
  </si>
  <si>
    <t>337283505342</t>
  </si>
  <si>
    <t>Anupam Kumar Singh</t>
  </si>
  <si>
    <t>721597404005</t>
  </si>
  <si>
    <t>Rampyari Devi</t>
  </si>
  <si>
    <t>JHLRCO/2025/548084</t>
  </si>
  <si>
    <t>JHCBC/2025/349970</t>
  </si>
  <si>
    <t>bikash lohar</t>
  </si>
  <si>
    <t>9334623691</t>
  </si>
  <si>
    <t>202006219852</t>
  </si>
  <si>
    <t>244519712993</t>
  </si>
  <si>
    <t>Putul Das</t>
  </si>
  <si>
    <t>544519829560</t>
  </si>
  <si>
    <t>Bipul chandra das</t>
  </si>
  <si>
    <t>JHIC/2025/915723</t>
  </si>
  <si>
    <t>JHIC/2025/915746</t>
  </si>
  <si>
    <t>202801379040</t>
  </si>
  <si>
    <t>264630433556</t>
  </si>
  <si>
    <t>9102920904</t>
  </si>
  <si>
    <t>Pushpa singh</t>
  </si>
  <si>
    <t>279187707524</t>
  </si>
  <si>
    <t>Chandra Mohan Singh</t>
  </si>
  <si>
    <t>9341301943</t>
  </si>
  <si>
    <t>202002357182</t>
  </si>
  <si>
    <t>Md masoom alam</t>
  </si>
  <si>
    <t>411740154184</t>
  </si>
  <si>
    <t>JHLRCO/2025/555904</t>
  </si>
  <si>
    <t>Devansh Kumar</t>
  </si>
  <si>
    <t>informed</t>
  </si>
  <si>
    <t>shahil Sinha</t>
  </si>
  <si>
    <t>JHIC/2025/923588</t>
  </si>
  <si>
    <t>JHCOB/2025/99716</t>
  </si>
  <si>
    <t>9525194586</t>
  </si>
  <si>
    <t>614870104491</t>
  </si>
  <si>
    <t>202005792322</t>
  </si>
  <si>
    <t>Samir Das</t>
  </si>
  <si>
    <t>7233014497</t>
  </si>
  <si>
    <t>743277997793</t>
  </si>
  <si>
    <t>Ritu das</t>
  </si>
  <si>
    <t>Piyushi das</t>
  </si>
  <si>
    <t>419177418786</t>
  </si>
  <si>
    <t>BIHAR</t>
  </si>
  <si>
    <t>ROJIDA KHATUN</t>
  </si>
  <si>
    <t>8084866214</t>
  </si>
  <si>
    <t>982908859635</t>
  </si>
  <si>
    <t>DOB PENDING</t>
  </si>
  <si>
    <t>401998935666</t>
  </si>
  <si>
    <t>8825110568</t>
  </si>
  <si>
    <t>Farhan Hassan</t>
  </si>
  <si>
    <t>JHIC/2025/933273</t>
  </si>
  <si>
    <t>Chhotelal  Karmali</t>
  </si>
  <si>
    <t>Siddharth Das</t>
  </si>
  <si>
    <t>JHIC/2025/933295</t>
  </si>
  <si>
    <t>8797826281</t>
  </si>
  <si>
    <t>Ranjeet mani tiwary</t>
  </si>
  <si>
    <t>90915735350</t>
  </si>
  <si>
    <t>202801358443</t>
  </si>
  <si>
    <t>202800742168</t>
  </si>
  <si>
    <t>961589581441</t>
  </si>
  <si>
    <t>9241363018</t>
  </si>
  <si>
    <t>Nahid Perween</t>
  </si>
  <si>
    <t>202007416793</t>
  </si>
  <si>
    <t>8092696859</t>
  </si>
  <si>
    <t>324375454855</t>
  </si>
  <si>
    <t>Nafeesa Bano</t>
  </si>
  <si>
    <t>9006747518</t>
  </si>
  <si>
    <t>924041438240</t>
  </si>
  <si>
    <t>m. Rajeshwari Rao</t>
  </si>
  <si>
    <t>JHIC/2025/942122</t>
  </si>
  <si>
    <t>31-09-2025</t>
  </si>
  <si>
    <t>202005259700</t>
  </si>
  <si>
    <t>583447267932</t>
  </si>
  <si>
    <t>8797211820</t>
  </si>
  <si>
    <t>Rayyan Bakhsh</t>
  </si>
  <si>
    <t>Ayyan Bakhsh</t>
  </si>
  <si>
    <t>268726165558</t>
  </si>
  <si>
    <t>521782822125</t>
  </si>
  <si>
    <t>Shabana Perween</t>
  </si>
  <si>
    <t>Validation issue age</t>
  </si>
  <si>
    <t>9835359293</t>
  </si>
  <si>
    <t>921245510875</t>
  </si>
  <si>
    <t>Mohammad Mumtaz Ahmad</t>
  </si>
  <si>
    <t>202801321289</t>
  </si>
  <si>
    <t>789689461210</t>
  </si>
  <si>
    <t>Md Hanzalah Mumtaz</t>
  </si>
  <si>
    <t>7759875286</t>
  </si>
  <si>
    <t>Mantasha Mumtaz</t>
  </si>
  <si>
    <t>554436237366</t>
  </si>
  <si>
    <t>438899235367</t>
  </si>
  <si>
    <t>Mifzalah mumtaz</t>
  </si>
  <si>
    <t>626025383138</t>
  </si>
  <si>
    <t>Gunet Kumar</t>
  </si>
  <si>
    <t>270681500756</t>
  </si>
  <si>
    <t>Mobussherin Mumtaz</t>
  </si>
  <si>
    <t>7488215955</t>
  </si>
  <si>
    <t>20280138506</t>
  </si>
  <si>
    <t>875356997628</t>
  </si>
  <si>
    <t>Reshma Singh</t>
  </si>
  <si>
    <t>JHLRCO/2025/577694</t>
  </si>
  <si>
    <t>Vaibhav Singh</t>
  </si>
  <si>
    <t>JHLRCO/2025/577707</t>
  </si>
  <si>
    <t>zone n o9</t>
  </si>
  <si>
    <t>Rishabh Barua</t>
  </si>
  <si>
    <t>JHIC/2025/957356</t>
  </si>
  <si>
    <t>JHIC/2025/957375</t>
  </si>
  <si>
    <t>Geeta Devi</t>
  </si>
  <si>
    <t>06-09-202</t>
  </si>
  <si>
    <t>JHEWS/2025/39101</t>
  </si>
  <si>
    <t>7464096801</t>
  </si>
  <si>
    <t>land_reject</t>
  </si>
  <si>
    <t>caste reject</t>
  </si>
  <si>
    <t>birth_reject</t>
  </si>
  <si>
    <t>Nazia perween</t>
  </si>
  <si>
    <t>678566261989</t>
  </si>
  <si>
    <t>sent on whatsapp</t>
  </si>
  <si>
    <t>JHCOB/2025/102873</t>
  </si>
  <si>
    <t>khatian rejected</t>
  </si>
  <si>
    <t>bansawali mismatch</t>
  </si>
  <si>
    <t>rected</t>
  </si>
  <si>
    <t>6293764606</t>
  </si>
  <si>
    <t>408482805708</t>
  </si>
  <si>
    <t>RAMA KANT DUBEY</t>
  </si>
  <si>
    <t>Manju dubey</t>
  </si>
  <si>
    <t>868855201011</t>
  </si>
  <si>
    <t>JHIC/2025/969591</t>
  </si>
  <si>
    <t>Pawan Kumar sinha</t>
  </si>
  <si>
    <t>JHIC/2025/969603</t>
  </si>
  <si>
    <t>cgp-west</t>
  </si>
  <si>
    <t>babar Ali</t>
  </si>
  <si>
    <t>849740643102</t>
  </si>
  <si>
    <t>202801315510</t>
  </si>
  <si>
    <t>9534223592</t>
  </si>
  <si>
    <t>Amit kumar</t>
  </si>
  <si>
    <t>291339289285</t>
  </si>
  <si>
    <t>886726360026</t>
  </si>
  <si>
    <t>bandana sharma</t>
  </si>
  <si>
    <t>613189787879</t>
  </si>
  <si>
    <t>abhinav sharma</t>
  </si>
  <si>
    <t>7004966082</t>
  </si>
  <si>
    <t>9065237120</t>
  </si>
  <si>
    <t>202002356620</t>
  </si>
  <si>
    <t>768775849172</t>
  </si>
  <si>
    <t>Sonu sunani</t>
  </si>
  <si>
    <t>751979335199</t>
  </si>
  <si>
    <t>AMITA NANDY</t>
  </si>
  <si>
    <t>7033091866</t>
  </si>
  <si>
    <t>JHEWS/2025/39780</t>
  </si>
  <si>
    <t>JHIC/2025/999547</t>
  </si>
  <si>
    <t>sheetal mukhi</t>
  </si>
  <si>
    <t>e. ghaghidhi</t>
  </si>
  <si>
    <t>9234266949</t>
  </si>
  <si>
    <t>JASWANT SINGH</t>
  </si>
  <si>
    <t>856903028389</t>
  </si>
  <si>
    <t>8919936812</t>
  </si>
  <si>
    <t>karam singh</t>
  </si>
  <si>
    <t>338055526992</t>
  </si>
  <si>
    <t>JHIC/2025/1006959</t>
  </si>
  <si>
    <t>rajkumar jha</t>
  </si>
  <si>
    <t>JHIC/2025/1006968</t>
  </si>
  <si>
    <t>8797577569</t>
  </si>
  <si>
    <t>Krishna mohan sharma</t>
  </si>
  <si>
    <t>825300763349</t>
  </si>
  <si>
    <t>207072842408</t>
  </si>
  <si>
    <t>SAKINA BIBI</t>
  </si>
  <si>
    <t>Priya nandan sahay</t>
  </si>
  <si>
    <t>Rina Sahay</t>
  </si>
  <si>
    <t>9334812955</t>
  </si>
  <si>
    <t>450436246825</t>
  </si>
  <si>
    <t>497101190849</t>
  </si>
  <si>
    <t>976670000389</t>
  </si>
  <si>
    <t>8409916702</t>
  </si>
  <si>
    <t>Nikku Devi</t>
  </si>
  <si>
    <t>202801190865</t>
  </si>
  <si>
    <t>JHIC/2025/1008862</t>
  </si>
  <si>
    <t>JHLRCO/2025/606625</t>
  </si>
  <si>
    <t>Ishika Arya</t>
  </si>
  <si>
    <t>JHIC/2025/1012306</t>
  </si>
  <si>
    <t>kalimati€</t>
  </si>
  <si>
    <t>JHLRCO/2025/610949</t>
  </si>
  <si>
    <t>sumbul azmi</t>
  </si>
  <si>
    <t>JHIC/2025/1020009</t>
  </si>
  <si>
    <t>Ashok Kumar</t>
  </si>
  <si>
    <t>kamputa</t>
  </si>
  <si>
    <t>JHLRCO/2025/615901</t>
  </si>
  <si>
    <t>Pavan kumar yadav</t>
  </si>
  <si>
    <t>cable basti</t>
  </si>
  <si>
    <t>K Ganeshan</t>
  </si>
  <si>
    <t>202801397419</t>
  </si>
  <si>
    <t>993385098777</t>
  </si>
  <si>
    <t>8083604127</t>
  </si>
  <si>
    <t>Laltu Roy</t>
  </si>
  <si>
    <t>447512426308</t>
  </si>
  <si>
    <t>7654171519</t>
  </si>
  <si>
    <t>Priyanka Roy</t>
  </si>
  <si>
    <t>JHIC/2025/1037698</t>
  </si>
  <si>
    <t>Ganesh Roy</t>
  </si>
  <si>
    <t>JHIC/2025/1042082</t>
  </si>
  <si>
    <t>sanjay kumar</t>
  </si>
  <si>
    <t>zone no 5</t>
  </si>
  <si>
    <t>bhawani dutta</t>
  </si>
  <si>
    <t>870721243554</t>
  </si>
  <si>
    <t>202801281612</t>
  </si>
  <si>
    <t>7209627589</t>
  </si>
  <si>
    <t>202006115677</t>
  </si>
  <si>
    <t>375137000670</t>
  </si>
  <si>
    <t>Sk Ayub Ali</t>
  </si>
  <si>
    <t>wht on 05-10-2025</t>
  </si>
  <si>
    <t>ltr by department</t>
  </si>
  <si>
    <t>202801434954</t>
  </si>
  <si>
    <t>638593658636</t>
  </si>
  <si>
    <t>SUNAINA DEVI</t>
  </si>
  <si>
    <t>JHRC/2025/350945</t>
  </si>
  <si>
    <t>Amita sharma</t>
  </si>
  <si>
    <t>6299371547</t>
  </si>
  <si>
    <t>402550792244</t>
  </si>
  <si>
    <t>LALAN LAL SRIVASTAVA</t>
  </si>
  <si>
    <t>JHIC/2025/1063245</t>
  </si>
  <si>
    <t>Mustafa Sharif</t>
  </si>
  <si>
    <t>JHLRCO/2025/643237</t>
  </si>
  <si>
    <t>Anandani singh</t>
  </si>
  <si>
    <t>Ansh kumar singh</t>
  </si>
  <si>
    <t>rejected due to birth</t>
  </si>
  <si>
    <t>maheshwar Ahir</t>
  </si>
  <si>
    <t>202800739812</t>
  </si>
  <si>
    <t>447047097268</t>
  </si>
  <si>
    <t>Manoj Kumar Sinha</t>
  </si>
  <si>
    <t>JHIC/2025/1074258</t>
  </si>
  <si>
    <t>Priya mahato</t>
  </si>
  <si>
    <t> JHIC/2025/1074293</t>
  </si>
  <si>
    <t>W3</t>
  </si>
  <si>
    <t>JHIC/2025/1074631</t>
  </si>
  <si>
    <t>JHIC/2025/1074772</t>
  </si>
  <si>
    <t>Kabindranath sen</t>
  </si>
  <si>
    <t>6205964771</t>
  </si>
  <si>
    <t>Nitish kumar sharma</t>
  </si>
  <si>
    <t>578190804003</t>
  </si>
  <si>
    <t>202002222736</t>
  </si>
  <si>
    <t>JHLRCO/2025/656262</t>
  </si>
  <si>
    <t>shreyan bhattacharjee</t>
  </si>
  <si>
    <t>JHIC/2025/1086271</t>
  </si>
  <si>
    <t>JHLRCO/2025/658393</t>
  </si>
  <si>
    <t>JHLRCO/2025/661747</t>
  </si>
  <si>
    <t>Anshul Mahapatra</t>
  </si>
  <si>
    <t>JHIC/2025/1094910</t>
  </si>
  <si>
    <t>JHLRCO/2025/662069</t>
  </si>
  <si>
    <t>Pratyush Kumar</t>
  </si>
  <si>
    <t>kitadih west</t>
  </si>
  <si>
    <t>JHIC/2025/1096650</t>
  </si>
  <si>
    <t>JHIC/2025/1096660</t>
  </si>
  <si>
    <t>501236026104</t>
  </si>
  <si>
    <t>SOHAN SHARMA</t>
  </si>
  <si>
    <t>9234408748</t>
  </si>
  <si>
    <t>JHIC/2025/1097566</t>
  </si>
  <si>
    <t>gm</t>
  </si>
  <si>
    <t>Shashikant Kumar</t>
  </si>
  <si>
    <t>rejected due to brith</t>
  </si>
  <si>
    <t>rejected due to wrong caste</t>
  </si>
  <si>
    <t>saima khatoon</t>
  </si>
  <si>
    <t>202801453184</t>
  </si>
  <si>
    <t>327530904069</t>
  </si>
  <si>
    <t>NAMRATA SRIVASTAVA</t>
  </si>
  <si>
    <t>9570763203</t>
  </si>
  <si>
    <t>826121308573</t>
  </si>
  <si>
    <t>479696226543</t>
  </si>
  <si>
    <t>7903076894</t>
  </si>
  <si>
    <t>Majda Begum</t>
  </si>
  <si>
    <t>JHCBC/2025/441596</t>
  </si>
  <si>
    <t>Muskan sharma</t>
  </si>
  <si>
    <t>635594008602</t>
  </si>
  <si>
    <t>9608860038</t>
  </si>
  <si>
    <t>Micky singh</t>
  </si>
  <si>
    <t>202007444340</t>
  </si>
  <si>
    <t>JHLRCO/2025/678122</t>
  </si>
  <si>
    <t>asha tanti</t>
  </si>
  <si>
    <t> JHIC/2025/1123467</t>
  </si>
  <si>
    <t>ichagarh</t>
  </si>
  <si>
    <t>Aasa Tanti</t>
  </si>
  <si>
    <t>JHCBC/2025/447707</t>
  </si>
  <si>
    <t>Asha Tanti</t>
  </si>
  <si>
    <t>gIRIJA Mahapatra</t>
  </si>
  <si>
    <t>JHEWS/2025/44500</t>
  </si>
  <si>
    <t>9006406945</t>
  </si>
  <si>
    <t>JHEWS/2025/44503</t>
  </si>
  <si>
    <t>JHIC/2025/1124555</t>
  </si>
  <si>
    <t>Mritunjay Kumar</t>
  </si>
  <si>
    <t>chgpr</t>
  </si>
  <si>
    <t>Ranjan kumar mishra</t>
  </si>
  <si>
    <t>JHIC/2025/1124636</t>
  </si>
  <si>
    <t>JHIC/2025/1128000</t>
  </si>
  <si>
    <t>JHEWS/2025/44683</t>
  </si>
  <si>
    <t>vaibhav Singh</t>
  </si>
  <si>
    <t>8434052619</t>
  </si>
  <si>
    <t>JHIC/2025/1129961</t>
  </si>
  <si>
    <t>202006453226</t>
  </si>
  <si>
    <t>929529935920</t>
  </si>
  <si>
    <t>8877281372</t>
  </si>
  <si>
    <t>Noor Jahan</t>
  </si>
  <si>
    <t>ARVIND GOSAI</t>
  </si>
  <si>
    <t>202006439839</t>
  </si>
  <si>
    <t>574663526037</t>
  </si>
  <si>
    <t>9471746948</t>
  </si>
  <si>
    <t>JHIC/2025/1170355</t>
  </si>
  <si>
    <t>card ready</t>
  </si>
  <si>
    <t>pending citizen proof</t>
  </si>
  <si>
    <t>542395643274</t>
  </si>
  <si>
    <t>mohammad kalam</t>
  </si>
  <si>
    <t>7764824323</t>
  </si>
  <si>
    <t>202005752258</t>
  </si>
  <si>
    <t>651005168054</t>
  </si>
  <si>
    <t>samsad begum</t>
  </si>
  <si>
    <t>8092443677</t>
  </si>
  <si>
    <t>JHEWS/2025/46752</t>
  </si>
  <si>
    <t>tube baridih</t>
  </si>
  <si>
    <t>Amiya shankar roy</t>
  </si>
  <si>
    <t>7250271929</t>
  </si>
  <si>
    <t>JHLRCO/2025/726205</t>
  </si>
  <si>
    <t>Akansha</t>
  </si>
  <si>
    <t>9142667996</t>
  </si>
  <si>
    <t>715155939482</t>
  </si>
  <si>
    <t>202800747193</t>
  </si>
  <si>
    <t>JHIC/2025/1212260</t>
  </si>
  <si>
    <t>Vikash Kumar shaw</t>
  </si>
  <si>
    <t>JHIC/2025/1212310</t>
  </si>
  <si>
    <t>JHIC/2025/1212975</t>
  </si>
  <si>
    <t>Rabinder sunani</t>
  </si>
  <si>
    <t>PRINTER</t>
  </si>
  <si>
    <t>549645096685</t>
  </si>
  <si>
    <t>JHLRCO/2025/734861</t>
  </si>
  <si>
    <t>JHIC/2025/1218832</t>
  </si>
  <si>
    <t>JHIC/2025/1219901</t>
  </si>
  <si>
    <t>Mehrun nisha</t>
  </si>
  <si>
    <t>JHEWS/2025/47326</t>
  </si>
  <si>
    <t>603192016959</t>
  </si>
  <si>
    <t>PASHU PATI SINGH</t>
  </si>
  <si>
    <t>9431522636</t>
  </si>
  <si>
    <t>JHCOB/2025/134561</t>
  </si>
  <si>
    <t>JHRC/2025/378615</t>
  </si>
  <si>
    <t>202800746908</t>
  </si>
  <si>
    <t>795689718939</t>
  </si>
  <si>
    <t>7667498500</t>
  </si>
  <si>
    <t>AASMA PARWEEN</t>
  </si>
  <si>
    <t>JHIC/2025/1254805</t>
  </si>
  <si>
    <t>Nikhil kumar singh</t>
  </si>
  <si>
    <t>202801439722</t>
  </si>
  <si>
    <t>299544203181</t>
  </si>
  <si>
    <t>9031538200</t>
  </si>
  <si>
    <t>Ratnapriya singh</t>
  </si>
  <si>
    <t>7488410843</t>
  </si>
  <si>
    <t>202801308752</t>
  </si>
  <si>
    <t>268535916530</t>
  </si>
  <si>
    <t>Sarbani ghosh</t>
  </si>
  <si>
    <t>7903129619</t>
  </si>
  <si>
    <t>809892873859</t>
  </si>
  <si>
    <t>SANJAY KUMAR SINGH</t>
  </si>
  <si>
    <t>202801363701</t>
  </si>
  <si>
    <t>860830509735</t>
  </si>
  <si>
    <t>Vibha Singh</t>
  </si>
  <si>
    <t>7209652169</t>
  </si>
  <si>
    <t>202006343193</t>
  </si>
  <si>
    <t>766343998416</t>
  </si>
  <si>
    <t>SHAHINA PERWEEN</t>
  </si>
  <si>
    <t>8434671966</t>
  </si>
  <si>
    <t>REUPLOADED</t>
  </si>
  <si>
    <t>UOW25120423Z30</t>
  </si>
  <si>
    <t>9534148477</t>
  </si>
  <si>
    <t>Kaushalya Devi</t>
  </si>
  <si>
    <t>8102329156</t>
  </si>
  <si>
    <t>535661955044</t>
  </si>
  <si>
    <t>RUKSHANA PERWEEN</t>
  </si>
  <si>
    <t>202800943136</t>
  </si>
  <si>
    <t>JHLRCO/2025/788868</t>
  </si>
  <si>
    <t>Nazia Firdos</t>
  </si>
  <si>
    <t>JHIC/2025/1295413</t>
  </si>
  <si>
    <t>9334053289+</t>
  </si>
  <si>
    <t>UOW25F0337083570</t>
  </si>
  <si>
    <t>NAHID SULTANA</t>
  </si>
  <si>
    <t>9122070227</t>
  </si>
  <si>
    <t>UOW2512082791V</t>
  </si>
  <si>
    <t>8210849655</t>
  </si>
  <si>
    <t>SAYED SAJIDUR RAHMAN</t>
  </si>
  <si>
    <t>JHIC/2025/1315806</t>
  </si>
  <si>
    <t>7209351669</t>
  </si>
  <si>
    <t>Hena parveen</t>
  </si>
  <si>
    <t>560139522310</t>
  </si>
  <si>
    <t>202800941444</t>
  </si>
  <si>
    <t>482825778449</t>
  </si>
  <si>
    <t>Mohammad selimuddin</t>
  </si>
  <si>
    <t>9939372705</t>
  </si>
  <si>
    <t>855809200009</t>
  </si>
  <si>
    <t>Syed Jalaluddin</t>
  </si>
  <si>
    <t>202006552706</t>
  </si>
  <si>
    <t>shabnam khatoon</t>
  </si>
  <si>
    <t>JHLRCO/2025/809796</t>
  </si>
  <si>
    <t>sonal kumari</t>
  </si>
  <si>
    <t>8084623147</t>
  </si>
  <si>
    <t>Nikhil Kumar singh</t>
  </si>
  <si>
    <t>JHEWS/2025/48777</t>
  </si>
  <si>
    <t>JHIC/2025/1336372</t>
  </si>
  <si>
    <t>angoori naz</t>
  </si>
  <si>
    <t>JHIC/2025/1336931</t>
  </si>
  <si>
    <t>aftab alam</t>
  </si>
  <si>
    <t>JHLRCO/2025/814841</t>
  </si>
  <si>
    <t>wets</t>
  </si>
  <si>
    <t>anish kumar</t>
  </si>
  <si>
    <t>9430776636</t>
  </si>
  <si>
    <t>430793216038</t>
  </si>
  <si>
    <t>p RAMA RAO</t>
  </si>
  <si>
    <t>893416287092</t>
  </si>
  <si>
    <t>9430306697</t>
  </si>
  <si>
    <t>Surendra prakash virmani</t>
  </si>
  <si>
    <t>UOW2512122P126</t>
  </si>
  <si>
    <t>9939257277</t>
  </si>
  <si>
    <t>SNEHA KUMARI</t>
  </si>
  <si>
    <t>UOW251212994F3</t>
  </si>
  <si>
    <t>ANGEL KUMARI</t>
  </si>
  <si>
    <t>7488575274</t>
  </si>
  <si>
    <t>UOW251212V3897</t>
  </si>
  <si>
    <t>6202090809</t>
  </si>
  <si>
    <t>INDU DEVI</t>
  </si>
  <si>
    <t>UOW25121274Y31</t>
  </si>
  <si>
    <t>SEEMA KUMARI</t>
  </si>
  <si>
    <t>8083545153</t>
  </si>
  <si>
    <t>UOW251212515G2</t>
  </si>
  <si>
    <t>6205505607</t>
  </si>
  <si>
    <t>KABITA MUKHERJEE</t>
  </si>
  <si>
    <t>202801431318</t>
  </si>
  <si>
    <t>900049775970</t>
  </si>
  <si>
    <t>616835513636</t>
  </si>
  <si>
    <t>Rita Kumari</t>
  </si>
  <si>
    <t>798818242449</t>
  </si>
  <si>
    <t>Shashi virmani</t>
  </si>
  <si>
    <t>9939633886</t>
  </si>
  <si>
    <t>JHIC/2025/1355747</t>
  </si>
  <si>
    <t>202801230651</t>
  </si>
  <si>
    <t>UOW2512154U742</t>
  </si>
  <si>
    <t>7488409815</t>
  </si>
  <si>
    <t>Md karim khan</t>
  </si>
  <si>
    <t>511696690273</t>
  </si>
  <si>
    <t>chaya rani munda</t>
  </si>
  <si>
    <t>JHIC/2025/1362180</t>
  </si>
  <si>
    <t>Md shamim ansari</t>
  </si>
  <si>
    <t>पेन कार्ड, मैट्रिक सर्टिफिकेट आदि संलग्न करें.</t>
  </si>
  <si>
    <t>JHLRCO/2025/831827</t>
  </si>
  <si>
    <t>JHIC/2025/1368877</t>
  </si>
  <si>
    <t>ranjit paramanik</t>
  </si>
  <si>
    <t>938384259985</t>
  </si>
  <si>
    <t>Uttam Kumar Saha</t>
  </si>
  <si>
    <t>9835132359</t>
  </si>
  <si>
    <t>UOW2512178X134</t>
  </si>
  <si>
    <t>8709282139</t>
  </si>
  <si>
    <t>Lucy Kumari</t>
  </si>
  <si>
    <t>UOW25121775E75</t>
  </si>
  <si>
    <t>Sabita Devi</t>
  </si>
  <si>
    <t>UOW251217O9093</t>
  </si>
  <si>
    <t>9153014706</t>
  </si>
  <si>
    <t>UOW251217U5883</t>
  </si>
  <si>
    <t>6202705130</t>
  </si>
  <si>
    <t>UOW2512177Y371</t>
  </si>
  <si>
    <t>Jyoti Devi</t>
  </si>
  <si>
    <t>9507840848</t>
  </si>
  <si>
    <t>UOW25121735W30</t>
  </si>
  <si>
    <t>6299103775</t>
  </si>
  <si>
    <t>KHUSHBOO KUMARI</t>
  </si>
  <si>
    <t>Shivani Kumari</t>
  </si>
  <si>
    <t>Rindra Kumar Pandey</t>
  </si>
  <si>
    <t>HASSAN RIZVI</t>
  </si>
  <si>
    <t>674005342499</t>
  </si>
  <si>
    <t>6386892076</t>
  </si>
  <si>
    <t>JHIC/2025/1387744</t>
  </si>
  <si>
    <t>Sneha Maity</t>
  </si>
  <si>
    <t>JHIC/2025/1387810</t>
  </si>
  <si>
    <t>6202726895</t>
  </si>
  <si>
    <t>Shahrukh akmal</t>
  </si>
  <si>
    <t>771585037320</t>
  </si>
  <si>
    <t>6200770418</t>
  </si>
  <si>
    <t>202007424403</t>
  </si>
  <si>
    <t>259017093870</t>
  </si>
  <si>
    <t>Mobassrin khan</t>
  </si>
  <si>
    <t>Bachi Devi</t>
  </si>
  <si>
    <t>538106400273</t>
  </si>
  <si>
    <t>938341817085</t>
  </si>
  <si>
    <t>9113409588</t>
  </si>
  <si>
    <t>202800646450</t>
  </si>
  <si>
    <t>Printied</t>
  </si>
  <si>
    <t>JHIC/2025/1398994</t>
  </si>
  <si>
    <t>JHIC/2025/1399042</t>
  </si>
  <si>
    <t>JHIC/2025/1399072</t>
  </si>
  <si>
    <t>JHIC/2025/1399104</t>
  </si>
  <si>
    <t>Lakshya Sharma</t>
  </si>
  <si>
    <t>JHLRCO/2025/848941</t>
  </si>
  <si>
    <t>202801095067</t>
  </si>
  <si>
    <t>8434705247</t>
  </si>
  <si>
    <t>388719998099</t>
  </si>
  <si>
    <t>6209181979</t>
  </si>
  <si>
    <t>Vinita Sharma</t>
  </si>
  <si>
    <t>JHIC/2025/1410416</t>
  </si>
  <si>
    <t>Lakshya sharma</t>
  </si>
  <si>
    <t>648052230805</t>
  </si>
  <si>
    <t>Samir Tantubai</t>
  </si>
  <si>
    <t>JHIC/2025/1417821</t>
  </si>
  <si>
    <t>Pramila devi</t>
  </si>
  <si>
    <t>JHIC/2025/1417920</t>
  </si>
  <si>
    <t>JHIC/2025/1417542</t>
  </si>
  <si>
    <t>9122998816</t>
  </si>
  <si>
    <t>553087369082</t>
  </si>
  <si>
    <t>Devi bala</t>
  </si>
  <si>
    <t>202006510403</t>
  </si>
  <si>
    <t>Deliered</t>
  </si>
  <si>
    <t>JHIC/2025/1435170</t>
  </si>
  <si>
    <t>Hari Prasad</t>
  </si>
  <si>
    <t>zone no1</t>
  </si>
  <si>
    <t>JHIC/2025/1442289</t>
  </si>
  <si>
    <t>JHIC/2025/1442327</t>
  </si>
  <si>
    <t>JHEWS/2025/50108</t>
  </si>
  <si>
    <t>JHLRCO/2025/884690</t>
  </si>
  <si>
    <t>202006197961</t>
  </si>
  <si>
    <t>235492712960</t>
  </si>
  <si>
    <t>Atique gaddi</t>
  </si>
  <si>
    <t>9534022601</t>
  </si>
  <si>
    <t>Dhiraj Kumar dubey</t>
  </si>
  <si>
    <t>Aditya Raj Pandey</t>
  </si>
  <si>
    <t>JHLRCO/2026/05088</t>
  </si>
  <si>
    <t> JHIC/2026/08399</t>
  </si>
  <si>
    <t>JHIC/2026/10431</t>
  </si>
  <si>
    <t>JHLRCO/2026/06496</t>
  </si>
  <si>
    <t>Ashwani Tanti</t>
  </si>
  <si>
    <t>Anjali Devi</t>
  </si>
  <si>
    <t>dowloaded</t>
  </si>
  <si>
    <t>964448315030</t>
  </si>
  <si>
    <t>Sumintra Devi</t>
  </si>
  <si>
    <t>JHIC/2026/28810</t>
  </si>
  <si>
    <t>JHLRCO/2026/16409</t>
  </si>
  <si>
    <t>JHCBC/2026/12181</t>
  </si>
  <si>
    <t>9234678427</t>
  </si>
  <si>
    <t>696378355376</t>
  </si>
  <si>
    <t>SUPRIYA KUNDU</t>
  </si>
  <si>
    <t>202801476395</t>
  </si>
  <si>
    <t>274320242231</t>
  </si>
  <si>
    <t>Leena kundu</t>
  </si>
  <si>
    <t>9262582735</t>
  </si>
  <si>
    <t>202006395629</t>
  </si>
  <si>
    <t>966523176506</t>
  </si>
  <si>
    <t>Champawati gorai</t>
  </si>
  <si>
    <t>JHIC/2026/28840</t>
  </si>
  <si>
    <t>8797471908</t>
  </si>
  <si>
    <t>md abide</t>
  </si>
  <si>
    <t>875650814388</t>
  </si>
  <si>
    <t>202007419634</t>
  </si>
  <si>
    <t>JHIC/2026/39966</t>
  </si>
  <si>
    <t>Hitesh mahato</t>
  </si>
  <si>
    <t>not original land details</t>
  </si>
  <si>
    <t>JHIC/2026/40334</t>
  </si>
  <si>
    <t>7779872247</t>
  </si>
  <si>
    <t>Musarrat Naaz</t>
  </si>
  <si>
    <t>202801316581</t>
  </si>
  <si>
    <t>892575525739</t>
  </si>
  <si>
    <t>JHIC/2026/44065</t>
  </si>
  <si>
    <t>JHEWS/2026/00523</t>
  </si>
  <si>
    <t>JHLRCO/2026/23789</t>
  </si>
  <si>
    <t>UOW26010911Z4</t>
  </si>
  <si>
    <t>JHLRCO/2026/28292</t>
  </si>
  <si>
    <t>Faizanur ahmed</t>
  </si>
  <si>
    <t>010-01-2025</t>
  </si>
  <si>
    <t>JHLRCO/2026/30282</t>
  </si>
  <si>
    <t>10 no basti</t>
  </si>
  <si>
    <t>Priyanshu chatterjee</t>
  </si>
  <si>
    <t>9031776803</t>
  </si>
  <si>
    <t>Manish kumar sharma</t>
  </si>
  <si>
    <t>202005827227</t>
  </si>
  <si>
    <t>6207797872</t>
  </si>
  <si>
    <t>Saroj Sharma</t>
  </si>
  <si>
    <t>6287152385</t>
  </si>
  <si>
    <t>Akshat Sharma</t>
  </si>
  <si>
    <t>rejected wrong guardian</t>
  </si>
  <si>
    <t>8092301684</t>
  </si>
  <si>
    <t>sairun nisha</t>
  </si>
  <si>
    <t>437363166805</t>
  </si>
  <si>
    <t>20280746908</t>
  </si>
  <si>
    <t>284389077584</t>
  </si>
  <si>
    <t>NASIR HUSSAIN</t>
  </si>
  <si>
    <t>JHIC/2026/87431</t>
  </si>
  <si>
    <t>JHIC/2026/87557</t>
  </si>
  <si>
    <t>bholabagan</t>
  </si>
  <si>
    <t>ch-west</t>
  </si>
  <si>
    <t>Devanti Devi</t>
  </si>
  <si>
    <t>Utkarsh Srivastava</t>
  </si>
  <si>
    <t>JHLRCO/2026/42111</t>
  </si>
  <si>
    <t>Yash Raj Sharma</t>
  </si>
  <si>
    <t>JHLRCO/2026/42152</t>
  </si>
  <si>
    <t>JHLRCO/2026/42171</t>
  </si>
  <si>
    <t>Laiba Nasir</t>
  </si>
  <si>
    <t>7209752202</t>
  </si>
  <si>
    <t>laiba nasir</t>
  </si>
  <si>
    <t>Ayesha Nasir</t>
  </si>
  <si>
    <t>9608299488</t>
  </si>
  <si>
    <t>202800747135</t>
  </si>
  <si>
    <t>Rina gorai</t>
  </si>
  <si>
    <t>JHLRCO/2026/51108</t>
  </si>
  <si>
    <t>8797071264</t>
  </si>
  <si>
    <t>202801359891</t>
  </si>
  <si>
    <t>316609135094</t>
  </si>
  <si>
    <t>PRABHA Devi</t>
  </si>
  <si>
    <t>7667633878</t>
  </si>
  <si>
    <t>shoib ali khan</t>
  </si>
  <si>
    <t>937452211993</t>
  </si>
  <si>
    <t>202006371253</t>
  </si>
  <si>
    <t>875234505603</t>
  </si>
  <si>
    <t>ZAFAR ALAM</t>
  </si>
  <si>
    <t>Alka Mahato</t>
  </si>
  <si>
    <t>Puja Das</t>
  </si>
  <si>
    <t>mouli Chatterjee</t>
  </si>
  <si>
    <t>JHIC/2026/153444</t>
  </si>
  <si>
    <t>Sulochana Mahato</t>
  </si>
  <si>
    <t>JHIC/2026/153522</t>
  </si>
  <si>
    <t>JHIC/2026/153573</t>
  </si>
  <si>
    <t> JHIC/2026/153695</t>
  </si>
  <si>
    <t>hathibandha</t>
  </si>
  <si>
    <t>DELIVEREED</t>
  </si>
  <si>
    <t>JHIC/2026/156232</t>
  </si>
  <si>
    <t>Imtiyaz ahmad khan</t>
  </si>
  <si>
    <t>Nand Lal</t>
  </si>
  <si>
    <t>Manju Lal</t>
  </si>
  <si>
    <t>9430700210</t>
  </si>
  <si>
    <t>7070921150</t>
  </si>
  <si>
    <t>Hena Tabassum</t>
  </si>
  <si>
    <t>880683302759</t>
  </si>
  <si>
    <t>202800941513</t>
  </si>
  <si>
    <t>Mohammad ziaual haque</t>
  </si>
  <si>
    <t>Mouli Chatterjee</t>
  </si>
  <si>
    <t>Prem kumar mishra</t>
  </si>
  <si>
    <t>JHIC/2026/188007</t>
  </si>
  <si>
    <t>JHIC/2026/188058</t>
  </si>
  <si>
    <t>JHIC/2026/188099</t>
  </si>
  <si>
    <t>rejected-birth issue</t>
  </si>
  <si>
    <t>JHLRCO/2026/83464</t>
  </si>
  <si>
    <t>Vandana</t>
  </si>
  <si>
    <t>JHIC/2026/200536</t>
  </si>
  <si>
    <t>JHCOB/2026/10133</t>
  </si>
  <si>
    <t>Teena Mahato</t>
  </si>
  <si>
    <t>JHLRCO/2026/87138</t>
  </si>
  <si>
    <t>JHLRCO/2026/87235</t>
  </si>
  <si>
    <t>8235432650</t>
  </si>
  <si>
    <t>202005220576</t>
  </si>
  <si>
    <t>589872194904</t>
  </si>
  <si>
    <t>HIRAMANI DEVI</t>
  </si>
  <si>
    <t>JHCBC/2026/65322</t>
  </si>
  <si>
    <t>JHCOB/2026/11135</t>
  </si>
  <si>
    <t>803525004789</t>
  </si>
  <si>
    <t>badal chakraborty</t>
  </si>
  <si>
    <t>9939394113</t>
  </si>
  <si>
    <t>9470667077</t>
  </si>
  <si>
    <t>Raj Kishore Singh</t>
  </si>
  <si>
    <t>202801176021</t>
  </si>
  <si>
    <t>9584998253855</t>
  </si>
  <si>
    <t>550803504544</t>
  </si>
  <si>
    <t>7992267349</t>
  </si>
  <si>
    <t>JHEWSH/2026/00999</t>
  </si>
  <si>
    <t>202006460133</t>
  </si>
  <si>
    <t>283521996492</t>
  </si>
  <si>
    <t>Janardan nayak</t>
  </si>
  <si>
    <t>9334797919</t>
  </si>
  <si>
    <t>JHIC/2026/271642</t>
  </si>
  <si>
    <t>Akash Sehgal</t>
  </si>
  <si>
    <t>G dhanraju</t>
  </si>
  <si>
    <t>JHIC/2026/271813</t>
  </si>
  <si>
    <t>shibu</t>
  </si>
  <si>
    <t>Nandini sharma</t>
  </si>
  <si>
    <t>JHIC/2026/265616</t>
  </si>
  <si>
    <t>sushma devi</t>
  </si>
  <si>
    <t>JHIC/2026/265206</t>
  </si>
  <si>
    <t>JHIC/2026/265731</t>
  </si>
  <si>
    <t>Pinky Devi</t>
  </si>
  <si>
    <t>Laleshwar Singh</t>
  </si>
  <si>
    <t>prakash na</t>
  </si>
  <si>
    <t>JHIC/2026/265850</t>
  </si>
  <si>
    <t>JHIC/2026/278411</t>
  </si>
  <si>
    <t>Sujit Kumar Banerjee</t>
  </si>
  <si>
    <t>JHRC/2026/62091</t>
  </si>
  <si>
    <t>JHRC/2026/64961</t>
  </si>
  <si>
    <t>591003465870</t>
  </si>
  <si>
    <t>MOHAMMAD NAQEEBUL HAQUE</t>
  </si>
  <si>
    <t>7761823472</t>
  </si>
  <si>
    <t>813563502159</t>
  </si>
  <si>
    <t>Sharfa Zia</t>
  </si>
  <si>
    <t>JHIC/2026/318958</t>
  </si>
  <si>
    <t>JHIC/2026/318915</t>
  </si>
  <si>
    <t>8235290416</t>
  </si>
  <si>
    <t>372997149141</t>
  </si>
  <si>
    <t>SHAZIA HASSAN</t>
  </si>
  <si>
    <t>9835343259</t>
  </si>
  <si>
    <t>202801507316</t>
  </si>
  <si>
    <t>554109215630</t>
  </si>
  <si>
    <t>PRAMOD KUMAR PRABHAT;</t>
  </si>
  <si>
    <t>JHEWS/2026/04582</t>
  </si>
  <si>
    <t>202800740663</t>
  </si>
  <si>
    <t>681866787510</t>
  </si>
  <si>
    <t>9263292605</t>
  </si>
  <si>
    <t>Pramila shrivastav</t>
  </si>
  <si>
    <t>713966994400</t>
  </si>
  <si>
    <t>Krishna Murari shrivastava</t>
  </si>
  <si>
    <t>JHIC/2026/359183</t>
  </si>
  <si>
    <t>Sukhram pramanik</t>
  </si>
  <si>
    <t>JHIC/2026/359411</t>
  </si>
  <si>
    <t>Tarun kumar mahato</t>
  </si>
  <si>
    <t>gamharia</t>
  </si>
  <si>
    <t>JHRC/2026/78290</t>
  </si>
  <si>
    <t>JHRC/2026/78317</t>
  </si>
  <si>
    <t>Roshan Dungdung</t>
  </si>
  <si>
    <t>zone 3</t>
  </si>
  <si>
    <t>JHIC/2026/368197</t>
  </si>
  <si>
    <t>JHIC/2026/362359</t>
  </si>
  <si>
    <t>9939567520</t>
  </si>
  <si>
    <t>202801037046</t>
  </si>
  <si>
    <t>905261835484</t>
  </si>
  <si>
    <t>KHOKAN KUMAR DAS</t>
  </si>
  <si>
    <t>khochabajar</t>
  </si>
  <si>
    <t>JHIC/2026/397629</t>
  </si>
  <si>
    <t>MOHAMMAD YUSUF</t>
  </si>
  <si>
    <t>486409999188</t>
  </si>
  <si>
    <t>202002357164</t>
  </si>
  <si>
    <t>8423049699</t>
  </si>
  <si>
    <t>reject cast mission</t>
  </si>
  <si>
    <t>JHLRCO/2026/176149</t>
  </si>
  <si>
    <t>Anwesh kumari</t>
  </si>
  <si>
    <t>JHIC/2026/435033</t>
  </si>
  <si>
    <t>sundarhatu</t>
  </si>
  <si>
    <t>Vikarama Ram</t>
  </si>
  <si>
    <t>JHIC/2026/435842</t>
  </si>
  <si>
    <t>JHCOB/2026/27841</t>
  </si>
  <si>
    <t>pending for income proof</t>
  </si>
  <si>
    <t>JHCOB/2026/33774</t>
  </si>
  <si>
    <t>202801282989</t>
  </si>
  <si>
    <t>Sai Sanidhya swain</t>
  </si>
  <si>
    <t>Pratigya swain</t>
  </si>
  <si>
    <t>Amita swain</t>
  </si>
  <si>
    <t>7667813037</t>
  </si>
  <si>
    <t>826944075084</t>
  </si>
  <si>
    <t>505593060665</t>
  </si>
  <si>
    <t>707065749973</t>
  </si>
  <si>
    <t>JHIC/2026/476878</t>
  </si>
  <si>
    <t>924913014843</t>
  </si>
  <si>
    <t>Washifa Hassan</t>
  </si>
  <si>
    <t>289586484280</t>
  </si>
  <si>
    <t>Eram Hassan</t>
  </si>
  <si>
    <t> JHIC/2026/485594</t>
  </si>
  <si>
    <t>N Meena</t>
  </si>
  <si>
    <t>JHRC/2026/106254</t>
  </si>
  <si>
    <t>735440353626</t>
  </si>
  <si>
    <t>Shanti devi</t>
  </si>
  <si>
    <t>9279146232</t>
  </si>
  <si>
    <t>MD NOUSHAD ALI</t>
  </si>
  <si>
    <t>202801358276</t>
  </si>
  <si>
    <t>JHIC/2026/528974</t>
  </si>
  <si>
    <t>Mohammad sahid khan</t>
  </si>
  <si>
    <t>Sulochana mahato</t>
  </si>
  <si>
    <t>rajnagar</t>
  </si>
  <si>
    <t>JHOBCH/2026/35403</t>
  </si>
  <si>
    <t>JHIC/2026/532479</t>
  </si>
  <si>
    <t>528129682571</t>
  </si>
  <si>
    <t>SOMA CHAKRABORTY</t>
  </si>
  <si>
    <t>JHIC/2026/568145</t>
  </si>
  <si>
    <t>JHIC/2026/580030</t>
  </si>
  <si>
    <t>monika bhattacharjee</t>
  </si>
  <si>
    <t>514372569070</t>
  </si>
  <si>
    <t>Chandra Bhan Prasads</t>
  </si>
  <si>
    <t>9431289227</t>
  </si>
  <si>
    <t>7209382949</t>
  </si>
  <si>
    <t>202002356984</t>
  </si>
  <si>
    <t>967483913154</t>
  </si>
  <si>
    <t>JAYNUL Ansari</t>
  </si>
  <si>
    <t>JHIC/2026/592209</t>
  </si>
  <si>
    <t>firoz alam</t>
  </si>
  <si>
    <t>JHCBC/2026/175148</t>
  </si>
  <si>
    <t>roushan kumar</t>
  </si>
  <si>
    <t>432780620965</t>
  </si>
  <si>
    <t>Abdul sattar</t>
  </si>
  <si>
    <t>7991190633</t>
  </si>
  <si>
    <t>202800695315</t>
  </si>
  <si>
    <t>412347471939</t>
  </si>
  <si>
    <t>Pappu kumar sahu</t>
  </si>
  <si>
    <t>9431344064</t>
  </si>
  <si>
    <t xml:space="preserve">Asrak </t>
  </si>
  <si>
    <t>JHLRCO/2026/278243</t>
  </si>
  <si>
    <t>prakashnagar</t>
  </si>
  <si>
    <t>shambhavi</t>
  </si>
  <si>
    <t>9572582015</t>
  </si>
  <si>
    <t>202007422898</t>
  </si>
  <si>
    <t>805366105901</t>
  </si>
  <si>
    <t>Nipu Pathak</t>
  </si>
  <si>
    <t>748052320981</t>
  </si>
  <si>
    <t>JHOBCH/2026/43931</t>
  </si>
  <si>
    <t>obcH</t>
  </si>
  <si>
    <t>98864 25241</t>
  </si>
  <si>
    <t>202006052863</t>
  </si>
  <si>
    <t>Yahya khan</t>
  </si>
  <si>
    <t>8797935490</t>
  </si>
  <si>
    <t>9934182743</t>
  </si>
  <si>
    <t>202800900911</t>
  </si>
  <si>
    <t>633726256303</t>
  </si>
  <si>
    <t>HABIBA KHATOON</t>
  </si>
  <si>
    <t>ZAINAB SIDDIQUA</t>
  </si>
  <si>
    <t>620554949710</t>
  </si>
  <si>
    <t>952982495224</t>
  </si>
  <si>
    <t>SUCHORITA SEN</t>
  </si>
  <si>
    <t>9279285601</t>
  </si>
  <si>
    <t>JHIC/2026/655604</t>
  </si>
  <si>
    <t>Sarita singh</t>
  </si>
  <si>
    <t>JHIC/2026/660901</t>
  </si>
  <si>
    <t>8092824405</t>
  </si>
  <si>
    <t>202800495543</t>
  </si>
  <si>
    <t>598868420625</t>
  </si>
  <si>
    <t>Akash badhuk</t>
  </si>
  <si>
    <t>202007463953</t>
  </si>
  <si>
    <t>817955423784</t>
  </si>
  <si>
    <t>Indu devi</t>
  </si>
  <si>
    <t>8092850871</t>
  </si>
  <si>
    <t>Sangeeta pandey</t>
  </si>
  <si>
    <t>423482208306</t>
  </si>
  <si>
    <t>JHEWS/2026/15412</t>
  </si>
  <si>
    <t>JHEWS/2026/15440</t>
  </si>
  <si>
    <t>Dipali Mahato</t>
  </si>
  <si>
    <t>9973361389</t>
  </si>
  <si>
    <t>666727119064</t>
  </si>
  <si>
    <t>AVTAR SINGH</t>
  </si>
  <si>
    <t>JHLRCO/2026/313769</t>
  </si>
  <si>
    <t>JHLRCO/2026/313782</t>
  </si>
  <si>
    <t>JHCBC/2026/207290</t>
  </si>
  <si>
    <t>JHCBC/2026/207301</t>
  </si>
  <si>
    <t>20280163701</t>
  </si>
  <si>
    <t>232607062204</t>
  </si>
  <si>
    <t>JHIC/2026/684529</t>
  </si>
  <si>
    <t>JHEWS/2026/16667</t>
  </si>
  <si>
    <t>8340752408</t>
  </si>
  <si>
    <t>329665598516</t>
  </si>
  <si>
    <t>202007429113</t>
  </si>
  <si>
    <t>406549159441</t>
  </si>
  <si>
    <t>Pragya Bharti</t>
  </si>
  <si>
    <t>Pranav kumar</t>
  </si>
  <si>
    <t>500165063441</t>
  </si>
  <si>
    <t>9234612264</t>
  </si>
  <si>
    <t>Prabir debnath</t>
  </si>
  <si>
    <t>JHIC/2026/689503</t>
  </si>
  <si>
    <t>Dolly kumari</t>
  </si>
  <si>
    <t>781707999662</t>
  </si>
  <si>
    <t>subhash senapati</t>
  </si>
  <si>
    <t>JHIC/2026/694216</t>
  </si>
  <si>
    <t>Mohammad Aftab Alam</t>
  </si>
  <si>
    <t>canon2010</t>
  </si>
  <si>
    <t>canong670</t>
  </si>
  <si>
    <t>particular</t>
  </si>
  <si>
    <t>HEAD REPLACEMENT COLOR</t>
  </si>
  <si>
    <t>INK REPLACEMNET</t>
  </si>
  <si>
    <t>04-05-2026</t>
  </si>
  <si>
    <t>INK REPLACEMENT</t>
  </si>
  <si>
    <t>BROTHER</t>
  </si>
  <si>
    <t>BIKE</t>
  </si>
  <si>
    <t>HEAD REPLACEMENT COLOR40463</t>
  </si>
  <si>
    <t>9608511707</t>
  </si>
  <si>
    <t>MRIDUL SAHU</t>
  </si>
  <si>
    <t>286645780625</t>
  </si>
  <si>
    <t>202007419812</t>
  </si>
  <si>
    <t>JHIC/2026/702489</t>
  </si>
  <si>
    <t>Balwinder Kour</t>
  </si>
  <si>
    <t>JHIC/2026/702541</t>
  </si>
  <si>
    <t>JHEWS/2026/18439</t>
  </si>
  <si>
    <t> JHIC/2026/713956</t>
  </si>
  <si>
    <t>Ashish kumar chandra</t>
  </si>
  <si>
    <t>9534137062</t>
  </si>
  <si>
    <t>202800772797</t>
  </si>
  <si>
    <t>599554069651</t>
  </si>
  <si>
    <t>ZARFESHAN KHATOON</t>
  </si>
  <si>
    <t>922877224085</t>
  </si>
  <si>
    <t>ZOHAIB AHMAD</t>
  </si>
  <si>
    <t>WRONG HALKA</t>
  </si>
  <si>
    <t>BC NOT VALIED</t>
  </si>
  <si>
    <t>BANSAWALI MISSMATCH</t>
  </si>
  <si>
    <t>JHLRCO/2026/367821</t>
  </si>
  <si>
    <t>ulidih</t>
  </si>
  <si>
    <t>Nishta Raj Mishra</t>
  </si>
  <si>
    <t>JHLRCO/2026/369793</t>
  </si>
  <si>
    <t>Prachi</t>
  </si>
  <si>
    <t>JHIC/2026/754164</t>
  </si>
  <si>
    <t>Suhani Pandit</t>
  </si>
  <si>
    <t>zone no 4</t>
  </si>
  <si>
    <t>Shubham Pandit</t>
  </si>
  <si>
    <t>JHLRCO/2026/374850</t>
  </si>
  <si>
    <t>asmita das</t>
  </si>
  <si>
    <t>JHIC/2026/761245</t>
  </si>
  <si>
    <t>JHIC/2026/761281</t>
  </si>
  <si>
    <t>8083160773</t>
  </si>
  <si>
    <t>710706330586</t>
  </si>
  <si>
    <t>202001765909</t>
  </si>
  <si>
    <t>Teklal saw</t>
  </si>
  <si>
    <t>8210322552</t>
  </si>
  <si>
    <t>202007430069</t>
  </si>
  <si>
    <t>233762398577</t>
  </si>
  <si>
    <t>SUNITA KUMARI</t>
  </si>
  <si>
    <t>202800641974</t>
  </si>
  <si>
    <t>616849240885</t>
  </si>
  <si>
    <t>9007502080</t>
  </si>
  <si>
    <t>Rajarshi Dutta</t>
  </si>
  <si>
    <t>JHCOB/2026/67519</t>
  </si>
  <si>
    <t>600892584274</t>
  </si>
  <si>
    <t>Shubham kumar</t>
  </si>
  <si>
    <t>9525264346</t>
  </si>
  <si>
    <t>202007420004</t>
  </si>
  <si>
    <t>516060595373</t>
  </si>
  <si>
    <t>AITOON KHATOON</t>
  </si>
  <si>
    <t>458156975050</t>
  </si>
  <si>
    <t>pmt due</t>
  </si>
  <si>
    <t>JHLRCO/2026/227509</t>
  </si>
  <si>
    <t>650378110478</t>
  </si>
  <si>
    <t>9693556648</t>
  </si>
  <si>
    <t>IMTIYAZ ALAM</t>
  </si>
  <si>
    <t>JHIC/2026/793948</t>
  </si>
  <si>
    <t>Purnima mukherjee</t>
  </si>
  <si>
    <t>JHOBCH/2026/65715</t>
  </si>
  <si>
    <t>JHIC/2026/799714</t>
  </si>
  <si>
    <t>Zone 9</t>
  </si>
  <si>
    <t>Sangeeta Kumari</t>
  </si>
  <si>
    <t>JHLRCO/2026/408696</t>
  </si>
  <si>
    <t>JHIC/2026/804993</t>
  </si>
  <si>
    <t>JHIC/2026/809664</t>
  </si>
  <si>
    <t>rajesh mani tripathi</t>
  </si>
  <si>
    <t>Vaibhav Kumar</t>
  </si>
  <si>
    <t>JHLRCO/2026/419700</t>
  </si>
  <si>
    <t>Jigar ansh</t>
  </si>
  <si>
    <t>JHLRCO/2026/427062</t>
  </si>
  <si>
    <t>JHLRCO/2026/427198</t>
  </si>
  <si>
    <t>aysha mansoor</t>
  </si>
  <si>
    <t>JHLRCO/2026/428717</t>
  </si>
  <si>
    <t>w9</t>
  </si>
  <si>
    <t>sm-ch</t>
  </si>
  <si>
    <t>vivek vidyalaya</t>
  </si>
  <si>
    <t>shubham kumar</t>
  </si>
  <si>
    <t>Neha kumari</t>
  </si>
  <si>
    <t>JHIC/2026/825891</t>
  </si>
  <si>
    <t>Sanjay Kumar Tripathi</t>
  </si>
  <si>
    <t>JHLRCO/2026/433413</t>
  </si>
  <si>
    <t>sn-mid</t>
  </si>
  <si>
    <t>JHIC/2026/828268</t>
  </si>
  <si>
    <t> JHIC/2026/828279</t>
  </si>
  <si>
    <t>983403853576</t>
  </si>
  <si>
    <t>kalawati Singh</t>
  </si>
  <si>
    <t>202809451518</t>
  </si>
  <si>
    <t>7980235560</t>
  </si>
  <si>
    <t>202801020293</t>
  </si>
  <si>
    <t>358834263365</t>
  </si>
  <si>
    <t>GOURAB BARUA</t>
  </si>
  <si>
    <t>751189207241</t>
  </si>
  <si>
    <t>PUSHPA SHARMA</t>
  </si>
  <si>
    <t>JHLRCO/2026/459282</t>
  </si>
  <si>
    <t>Ayan Ahmed</t>
  </si>
  <si>
    <t>makdhampur</t>
  </si>
  <si>
    <t>kalimati-w</t>
  </si>
  <si>
    <t>Harsh Shrivastava</t>
  </si>
  <si>
    <t>JHLRCO/2026/459331</t>
  </si>
  <si>
    <t>JHIC/2026/851567</t>
  </si>
  <si>
    <t>Shamshad Alam</t>
  </si>
  <si>
    <t> JHIC/2026/851658</t>
  </si>
  <si>
    <t>Sumathi</t>
  </si>
  <si>
    <t>JHLRCO/2026/463327</t>
  </si>
  <si>
    <t>ch-sm</t>
  </si>
  <si>
    <t>Anuj Kumar</t>
  </si>
  <si>
    <t>202005616849</t>
  </si>
  <si>
    <t>955922360688</t>
  </si>
  <si>
    <t>8797317937</t>
  </si>
  <si>
    <t>Anshuman</t>
  </si>
  <si>
    <t>HAFIZUDDIN SHAH</t>
  </si>
  <si>
    <t>8051185220</t>
  </si>
  <si>
    <t>202002057677</t>
  </si>
  <si>
    <t>212238529082</t>
  </si>
  <si>
    <t>JHIC/2026/860603</t>
  </si>
  <si>
    <t>sunil kumar</t>
  </si>
  <si>
    <t>JHLRCO/2026/467466</t>
  </si>
  <si>
    <t>Manoj Gope</t>
  </si>
  <si>
    <t>JHCBC/2026/330467</t>
  </si>
  <si>
    <t>JHLRCO/2026/469309</t>
  </si>
  <si>
    <t>kakon sahu</t>
  </si>
  <si>
    <t>JHEWS/2026/27223</t>
  </si>
  <si>
    <t>202800746864</t>
  </si>
  <si>
    <t>834945807548</t>
  </si>
  <si>
    <t>9572205533</t>
  </si>
  <si>
    <t>Rashda Khatoon</t>
  </si>
  <si>
    <t>Shaheen Sultana</t>
  </si>
  <si>
    <t>852329022961</t>
  </si>
  <si>
    <t>202800746865</t>
  </si>
  <si>
    <t>9506495115</t>
  </si>
  <si>
    <t>202002278136</t>
  </si>
  <si>
    <t>271110211104</t>
  </si>
  <si>
    <t>8340128576</t>
  </si>
  <si>
    <t>Rinku Das</t>
  </si>
  <si>
    <t>276452025112</t>
  </si>
  <si>
    <t>Kumud Pandey</t>
  </si>
  <si>
    <t>202801481134</t>
  </si>
  <si>
    <t>JHIC/2026/876475</t>
  </si>
  <si>
    <t>krishan murari pandey</t>
  </si>
  <si>
    <t>7488945455</t>
  </si>
  <si>
    <t>202007357864</t>
  </si>
  <si>
    <t>346255848243</t>
  </si>
  <si>
    <t>ASHOK KUMAR</t>
  </si>
  <si>
    <t>SWETA SINHA</t>
  </si>
  <si>
    <t>RAHARGORA</t>
  </si>
  <si>
    <t>JHCBC/2026/351634</t>
  </si>
  <si>
    <t>GADRA(NW)</t>
  </si>
  <si>
    <t>JHCBC/2026/351706</t>
  </si>
  <si>
    <t>JHIC/2026/879654</t>
  </si>
  <si>
    <t>vivek bharati</t>
  </si>
  <si>
    <t>JHRC/2026/301680</t>
  </si>
  <si>
    <t>pankaj gope</t>
  </si>
  <si>
    <t>JHCBC/2026/354212</t>
  </si>
  <si>
    <t>poonam kumari</t>
  </si>
  <si>
    <t>JHCBC/2026/411169</t>
  </si>
  <si>
    <t>JHIC/2026/927376</t>
  </si>
  <si>
    <t>JHIC/2026/927390</t>
  </si>
  <si>
    <t>JHIC/2026/927991</t>
  </si>
  <si>
    <t>Risha Ambreen</t>
  </si>
  <si>
    <t>JHIC/2026/928024</t>
  </si>
  <si>
    <t>Radha swami</t>
  </si>
  <si>
    <t>JHIC/2026/928106</t>
  </si>
  <si>
    <t>Uma Bhattacharjee</t>
  </si>
  <si>
    <t>JHLRCO/2026/538331</t>
  </si>
  <si>
    <t>JHIC/2026/928169</t>
  </si>
  <si>
    <t>Ravi kant Thakur</t>
  </si>
  <si>
    <t>dhanbad</t>
  </si>
  <si>
    <t>JHIC/2026/932602</t>
  </si>
  <si>
    <t>Om Prakash Mishra</t>
  </si>
  <si>
    <t>JHIC/2026/932723</t>
  </si>
  <si>
    <t>Santosh Kumar Seth</t>
  </si>
  <si>
    <t>9771913876</t>
  </si>
  <si>
    <t>Jai Prakash narayan Pandey</t>
  </si>
  <si>
    <t>946260851001</t>
  </si>
  <si>
    <t>JHRC/2026/367189</t>
  </si>
  <si>
    <t>aniruddh raj</t>
  </si>
  <si>
    <t>JHLRCO/2026/548130</t>
  </si>
  <si>
    <t>7277779293</t>
  </si>
  <si>
    <t>SUDHA GAUNDER</t>
  </si>
  <si>
    <t>460033380043</t>
  </si>
  <si>
    <t>202007449652</t>
  </si>
  <si>
    <t>202005337663</t>
  </si>
  <si>
    <t>376946840194</t>
  </si>
  <si>
    <t>7004753360</t>
  </si>
  <si>
    <t>Anupama bagchi</t>
  </si>
  <si>
    <t>514706509275</t>
  </si>
  <si>
    <t>8235430816</t>
  </si>
  <si>
    <t>Ponamma</t>
  </si>
  <si>
    <t>9155704678</t>
  </si>
  <si>
    <t>BABY</t>
  </si>
  <si>
    <t>639001787126</t>
  </si>
  <si>
    <t>9234763831</t>
  </si>
  <si>
    <t>858319850917</t>
  </si>
  <si>
    <t>KANCHAN NANDI</t>
  </si>
  <si>
    <t>JHIC/2026/951296</t>
  </si>
  <si>
    <t>Shashwat Aryan</t>
  </si>
  <si>
    <t>GM</t>
  </si>
  <si>
    <t>JHLRCO/2026/572673</t>
  </si>
  <si>
    <t>JHIC/2026/960497</t>
  </si>
  <si>
    <t>JHIC/2026/960537</t>
  </si>
  <si>
    <t>Ram Kailash Sharma</t>
  </si>
  <si>
    <t>Amlawati Devi</t>
  </si>
  <si>
    <t>JHIC/2026/960561</t>
  </si>
  <si>
    <t>Kabita mukherjee</t>
  </si>
  <si>
    <t>725010130103</t>
  </si>
  <si>
    <t>SARASWATI DEVI</t>
  </si>
  <si>
    <t>JHLRCO/2026/606944</t>
  </si>
  <si>
    <t>JHIC/2026/973958</t>
  </si>
  <si>
    <t>JHIC/2026/975936</t>
  </si>
  <si>
    <t>Rinki Agrahari</t>
  </si>
  <si>
    <t>sh-7301894509</t>
  </si>
  <si>
    <t>JHIC/2026/976142</t>
  </si>
  <si>
    <t>Sahala Salim</t>
  </si>
  <si>
    <t>JHLRCO/2026/620797</t>
  </si>
  <si>
    <t>JHIC/2026/982315</t>
  </si>
  <si>
    <t>JHEWS/2026/31700</t>
  </si>
  <si>
    <t>JHIC/2026/990879</t>
  </si>
  <si>
    <t>Anup Kumar Agarwal</t>
  </si>
  <si>
    <t>reject-invalid bC</t>
  </si>
  <si>
    <t>rejected-birth issue/original marksheet</t>
  </si>
  <si>
    <t>9061478731</t>
  </si>
  <si>
    <t>SHABNAM KHATOON</t>
  </si>
  <si>
    <t>465089874118</t>
  </si>
  <si>
    <t>202007452413</t>
  </si>
  <si>
    <t>8789022178</t>
  </si>
  <si>
    <t>779558653694</t>
  </si>
  <si>
    <t>MIHIR BARAN MANDAL</t>
  </si>
  <si>
    <t>202007440679</t>
  </si>
  <si>
    <t>7547054507</t>
  </si>
  <si>
    <t>678943405978</t>
  </si>
  <si>
    <t>NUPUR MANDAL</t>
  </si>
  <si>
    <t>6209035532</t>
  </si>
  <si>
    <t>ANWARI KHATOON</t>
  </si>
  <si>
    <t>2028001468555</t>
  </si>
  <si>
    <t>512570681564</t>
  </si>
  <si>
    <t>202801193988</t>
  </si>
  <si>
    <t>813923603586</t>
  </si>
  <si>
    <t>9934860701</t>
  </si>
  <si>
    <t>SAYRA KHATOON</t>
  </si>
  <si>
    <t>202800575767</t>
  </si>
  <si>
    <t>941364882016</t>
  </si>
  <si>
    <t>8797943085</t>
  </si>
  <si>
    <t>SHABANA BEGUM</t>
  </si>
  <si>
    <t>8092429960</t>
  </si>
  <si>
    <t>202800513855</t>
  </si>
  <si>
    <t>afsara khatoon</t>
  </si>
  <si>
    <t>999227324126</t>
  </si>
  <si>
    <t>anupjsr2001@gmail.com</t>
  </si>
  <si>
    <t>anup kumar agarwal</t>
  </si>
  <si>
    <t>JHEWSH/2026/14517</t>
  </si>
  <si>
    <t>JHIC/2026/1029555</t>
  </si>
  <si>
    <t>JHIC/2026/1029608</t>
  </si>
  <si>
    <t>Sukanti Devi</t>
  </si>
  <si>
    <t>JHIC/2026/1031593</t>
  </si>
  <si>
    <t>Badri Narayan Singh</t>
  </si>
  <si>
    <t>JHIC/2026/1040647</t>
  </si>
  <si>
    <t>Shishir kumar jha</t>
  </si>
  <si>
    <t>6201034499</t>
  </si>
  <si>
    <t>JHIC/2026/993588</t>
  </si>
  <si>
    <t>SUNITA JARIKA</t>
  </si>
  <si>
    <t>azra perween</t>
  </si>
  <si>
    <t>JHIC/2026/1057171</t>
  </si>
  <si>
    <t>621930452971</t>
  </si>
  <si>
    <t>7549144632</t>
  </si>
  <si>
    <t>MANJU SARKAR</t>
  </si>
  <si>
    <t>202007452451</t>
  </si>
  <si>
    <t>829126545680</t>
  </si>
  <si>
    <t>RANGA SWAMI</t>
  </si>
  <si>
    <t>990015357573</t>
  </si>
  <si>
    <t>BHAWANI</t>
  </si>
  <si>
    <t>9883820765</t>
  </si>
  <si>
    <t>202801138363</t>
  </si>
  <si>
    <t>732930421457</t>
  </si>
  <si>
    <t>NEHA KHATOON</t>
  </si>
  <si>
    <t>9097074832</t>
  </si>
  <si>
    <t>910279198714</t>
  </si>
  <si>
    <t>FIROZ AKHTAR</t>
  </si>
  <si>
    <t>7763921667</t>
  </si>
  <si>
    <t>202801118005</t>
  </si>
  <si>
    <t>660097878869</t>
  </si>
  <si>
    <t>MOHAMMAD HASNAIN ANSARI</t>
  </si>
  <si>
    <t>906597131834</t>
  </si>
  <si>
    <t>FARHANA KHATOON</t>
  </si>
  <si>
    <t>JHIC/2026/1073024</t>
  </si>
  <si>
    <t>shiv kumar prasad</t>
  </si>
  <si>
    <t>JHIC/2026/1073078</t>
  </si>
  <si>
    <t>JHIC/2026/1074353</t>
  </si>
  <si>
    <t>JHLRCO/2026/808245</t>
  </si>
  <si>
    <t>Lokesh singh</t>
  </si>
  <si>
    <t>JHIC/2026/1084313</t>
  </si>
  <si>
    <t>baridhi</t>
  </si>
  <si>
    <t>deepti</t>
  </si>
  <si>
    <t>Hiranmay Paul</t>
  </si>
  <si>
    <t>aman das</t>
  </si>
  <si>
    <t>w1(khuntadih)</t>
  </si>
  <si>
    <t>JHIC/2026/1100694</t>
  </si>
  <si>
    <t>aastha</t>
  </si>
  <si>
    <t>JHIC/2026/1100729</t>
  </si>
  <si>
    <t>gad-middle</t>
  </si>
  <si>
    <t>JHIC/2026/1100776</t>
  </si>
  <si>
    <t>JHIC/2026/1100812</t>
  </si>
  <si>
    <t>JHIC/2026/1100834</t>
  </si>
  <si>
    <t>JHIC/2026/1100879</t>
  </si>
  <si>
    <t>8083066243</t>
  </si>
  <si>
    <t>202801052189</t>
  </si>
  <si>
    <t>668810646604</t>
  </si>
  <si>
    <t>ADITI KUMARI</t>
  </si>
  <si>
    <t>578726057859</t>
  </si>
  <si>
    <t>ANSHU KUMARI</t>
  </si>
  <si>
    <t>9852143329</t>
  </si>
  <si>
    <t>SUNRENDRA KUMAR</t>
  </si>
  <si>
    <t>214973265256</t>
  </si>
  <si>
    <t>939451742588</t>
  </si>
  <si>
    <t>Rani kumari</t>
  </si>
  <si>
    <t>JHEWS/2026/35362</t>
  </si>
  <si>
    <t>sudhir sen-220000</t>
  </si>
  <si>
    <t>nandini sharma</t>
  </si>
  <si>
    <t>JHIC/2026/1156616</t>
  </si>
  <si>
    <t>ishika singh</t>
  </si>
  <si>
    <t>dhruv agarwal</t>
  </si>
  <si>
    <t>sourabh sahu</t>
  </si>
  <si>
    <t>JHIC/2026/1159271</t>
  </si>
  <si>
    <t>asmita kumari-120000</t>
  </si>
  <si>
    <t>JHLRCO/2026/980977</t>
  </si>
  <si>
    <t>JHLRCO/2026/947124</t>
  </si>
  <si>
    <t>JHLRCO/2026/981930</t>
  </si>
  <si>
    <t>Subham Mukhi</t>
  </si>
  <si>
    <t>JHLRCO/2026/983008</t>
  </si>
  <si>
    <t>JHEWS/2026/35641</t>
  </si>
  <si>
    <t>JHIC/2026/1162527</t>
  </si>
  <si>
    <t>JHIC/2026/1166189</t>
  </si>
  <si>
    <t>9117993266</t>
  </si>
  <si>
    <t>Sanjukta Kumari</t>
  </si>
  <si>
    <t>947721459033</t>
  </si>
  <si>
    <t>JHIC/2026/1182176</t>
  </si>
  <si>
    <t>JHRC/2026/786600</t>
  </si>
  <si>
    <t>sent</t>
  </si>
  <si>
    <t>JHIC/2026/1186290</t>
  </si>
  <si>
    <t>JHLRCO/2026/1070694</t>
  </si>
  <si>
    <t>JHCBC/2026/1477943</t>
  </si>
  <si>
    <t>sonu gope</t>
  </si>
  <si>
    <t>JHIC/2026/1205962</t>
  </si>
  <si>
    <t>shashwat anand</t>
  </si>
  <si>
    <t>9263932729</t>
  </si>
  <si>
    <t>202007468140</t>
  </si>
  <si>
    <t>465112872841</t>
  </si>
  <si>
    <t>puja pramanik</t>
  </si>
  <si>
    <t>9234557396</t>
  </si>
  <si>
    <t>202006407572</t>
  </si>
  <si>
    <t>441127403345</t>
  </si>
  <si>
    <t>UJJAL SAHU</t>
  </si>
  <si>
    <t>JHEWS/2026/36377</t>
  </si>
  <si>
    <t>202801505229</t>
  </si>
  <si>
    <t>361729710298</t>
  </si>
  <si>
    <t>MEDIBOINA CHETNA</t>
  </si>
  <si>
    <t>7301985991</t>
  </si>
  <si>
    <t>JHEWSH/2026/16312</t>
  </si>
  <si>
    <t>Afroz Ansari</t>
  </si>
  <si>
    <t>JHIC/2026/1233588</t>
  </si>
  <si>
    <t>utkarsh srivastava</t>
  </si>
  <si>
    <t>Mohammad Sameeul Haque</t>
  </si>
  <si>
    <t>JHIC/2026/1238042</t>
  </si>
  <si>
    <t>WEST BENGAL</t>
  </si>
  <si>
    <t>272968710422</t>
  </si>
  <si>
    <t>SUBRATA SAHU</t>
  </si>
  <si>
    <t>9679493219</t>
  </si>
  <si>
    <t>JHLRCO/2026/1172790</t>
  </si>
  <si>
    <t>JHIC/2026/1228433</t>
  </si>
  <si>
    <t>JHIC/2026/1247334</t>
  </si>
  <si>
    <t>Janvi</t>
  </si>
  <si>
    <t>202005622942</t>
  </si>
  <si>
    <t>949560834214</t>
  </si>
  <si>
    <t>8434705625</t>
  </si>
  <si>
    <t>SUMITRA SARDAR</t>
  </si>
  <si>
    <t>JHEWSH/2026/16399</t>
  </si>
  <si>
    <t>permanent resident proof</t>
  </si>
  <si>
    <t>9234379711</t>
  </si>
  <si>
    <t>202801227877</t>
  </si>
  <si>
    <t>SANJAY KUMAR SHARMA</t>
  </si>
  <si>
    <t>555289668753</t>
  </si>
  <si>
    <t>9835355574</t>
  </si>
  <si>
    <t>SUNITHA SHARMA</t>
  </si>
  <si>
    <t>388630103291</t>
  </si>
  <si>
    <t>9142937361</t>
  </si>
  <si>
    <t>TISHA SHARMA</t>
  </si>
  <si>
    <t>710695916263</t>
  </si>
  <si>
    <t>496815045750</t>
  </si>
  <si>
    <t>KESHAV KUMAR SHARMA</t>
  </si>
  <si>
    <t>j b rao keskar</t>
  </si>
  <si>
    <t>8892606108</t>
  </si>
  <si>
    <t>SRINIVAS RAO</t>
  </si>
  <si>
    <t>977639254968</t>
  </si>
  <si>
    <t>8448477319</t>
  </si>
  <si>
    <t>479293432719</t>
  </si>
  <si>
    <t>361130866231</t>
  </si>
  <si>
    <t>saryu ravidas</t>
  </si>
  <si>
    <t>Swapan Das</t>
  </si>
  <si>
    <t>JHIC/2026/1260111</t>
  </si>
  <si>
    <t>24-09-20252</t>
  </si>
  <si>
    <t>JHCOB/2026/109957</t>
  </si>
  <si>
    <t>Champa Karmakar</t>
  </si>
  <si>
    <t>JHCBC/2026/1712388</t>
  </si>
  <si>
    <t>7209757740</t>
  </si>
  <si>
    <t>Foujdar giri</t>
  </si>
  <si>
    <t>228616368223</t>
  </si>
  <si>
    <t>JHLRCO/2026/1268321</t>
  </si>
  <si>
    <t>Santosh Gorai</t>
  </si>
  <si>
    <t>JHLRCO/2026/1269142</t>
  </si>
  <si>
    <t>JHLRCO/2026/1269433</t>
  </si>
  <si>
    <t>Bishal Gorai</t>
  </si>
  <si>
    <t>JHCBC/2026/1744883</t>
  </si>
  <si>
    <t>JHCBC/2026/1745408</t>
  </si>
  <si>
    <t>JHCBC/2026/1745762</t>
  </si>
  <si>
    <t>rejected_land not from jsr</t>
  </si>
  <si>
    <t>493066862733</t>
  </si>
  <si>
    <t>Ram Prasad Sahu</t>
  </si>
  <si>
    <t>9934175803</t>
  </si>
  <si>
    <t>JHEWSH/2026/16634</t>
  </si>
  <si>
    <t>JHIC/2026/1292162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</si>
</sst>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\-mm\-yyyy"/>
    <numFmt numFmtId="165" formatCode="&quot;CC&quot;00#"/>
    <numFmt numFmtId="166" formatCode="&quot;IC&quot;00#"/>
    <numFmt numFmtId="167" formatCode="&quot;RC&quot;00#"/>
    <numFmt numFmtId="168" formatCode="[$-4000439]0"/>
    <numFmt numFmtId="169" formatCode="&quot;BC-&quot;00#"/>
    <numFmt numFmtId="170" formatCode="&quot;DC&quot;00#"/>
    <numFmt numFmtId="171" formatCode="&quot;EW&quot;00#"/>
    <numFmt numFmtId="172" formatCode="[$-4000000]dd/mm/yyyy"/>
    <numFmt numFmtId="173" formatCode="[=0]General;[Red]General;[Green]General"/>
    <numFmt numFmtId="174" formatCode="[Red][&lt;80]General;[Green]General"/>
  </numFmts>
  <fonts count="145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9"/>
      <color theme="1"/>
      <name val="Times New Roman"/>
      <family val="1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rgb="FFFF0000"/>
      <name val="Times New Roman"/>
      <family val="1"/>
    </font>
    <font>
      <sz val="11"/>
      <color rgb="FF333333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b/>
      <sz val="11"/>
      <color rgb="FFFF0000"/>
      <name val="Calibri"/>
      <family val="2"/>
    </font>
    <font>
      <b/>
      <sz val="11"/>
      <color rgb="FF212529"/>
      <name val="Arial"/>
      <family val="2"/>
    </font>
    <font>
      <sz val="10"/>
      <color rgb="FF1A2022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b/>
      <sz val="11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1"/>
      <color rgb="FF212529"/>
      <name val="Times New Roman"/>
      <family val="1"/>
    </font>
    <font>
      <sz val="11"/>
      <color rgb="FF212529"/>
      <name val="Arial"/>
      <family val="2"/>
    </font>
    <font>
      <u/>
      <sz val="11"/>
      <color theme="1"/>
      <name val="Calibri"/>
      <family val="2"/>
    </font>
    <font>
      <sz val="11"/>
      <color theme="1"/>
      <name val="&quot;times new roman&quot;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0"/>
      <color theme="1"/>
      <name val="Times New Roman"/>
      <family val="1"/>
    </font>
    <font>
      <b/>
      <sz val="10"/>
      <color rgb="FF333333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sz val="11"/>
      <color rgb="FF212529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212529"/>
      <name val="Source Sans Pro"/>
      <family val="2"/>
    </font>
    <font>
      <sz val="11"/>
      <color rgb="FF212529"/>
      <name val="Source Sans Pro"/>
      <family val="2"/>
    </font>
    <font>
      <sz val="11"/>
      <color rgb="FF212529"/>
      <name val="Times New Roman"/>
      <family val="1"/>
    </font>
    <font>
      <b/>
      <sz val="11"/>
      <color rgb="FF00B050"/>
      <name val="Calibri"/>
      <family val="2"/>
      <scheme val="minor"/>
    </font>
    <font>
      <b/>
      <sz val="11"/>
      <color rgb="FF00B050"/>
      <name val="Arial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name val="Source Sans Pro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Source Sans Pro"/>
      <family val="2"/>
    </font>
    <font>
      <sz val="11"/>
      <color rgb="FFFF0000"/>
      <name val="Calibri"/>
      <family val="2"/>
      <scheme val="minor"/>
    </font>
    <font>
      <sz val="11"/>
      <color rgb="FFFF0000"/>
      <name val="Source Sans Pro"/>
      <family val="2"/>
    </font>
    <font>
      <sz val="11"/>
      <name val="Source Sans Pro"/>
      <family val="2"/>
    </font>
    <font>
      <sz val="11"/>
      <name val="Calibri"/>
      <family val="2"/>
      <scheme val="minor"/>
    </font>
    <font>
      <sz val="9"/>
      <color rgb="FF767676"/>
      <name val="Roboto"/>
    </font>
    <font>
      <sz val="12"/>
      <color rgb="FF212529"/>
      <name val="Roboto"/>
    </font>
    <font>
      <sz val="11"/>
      <color rgb="FFFF0000"/>
      <name val="Calibri"/>
      <family val="2"/>
      <scheme val="minor"/>
    </font>
    <font>
      <b/>
      <sz val="11"/>
      <color theme="1"/>
      <name val="Source Sans Pro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444444"/>
      <name val="Muli"/>
    </font>
    <font>
      <sz val="12"/>
      <color rgb="FF333333"/>
      <name val="Arial"/>
      <family val="2"/>
    </font>
    <font>
      <b/>
      <sz val="8"/>
      <color rgb="FF212529"/>
      <name val="Times New Roman"/>
      <family val="1"/>
    </font>
    <font>
      <b/>
      <sz val="8"/>
      <color rgb="FF212529"/>
      <name val="Source Sans Pro"/>
      <family val="2"/>
    </font>
    <font>
      <sz val="7"/>
      <color rgb="FF212529"/>
      <name val="Arial"/>
      <family val="2"/>
    </font>
    <font>
      <sz val="8"/>
      <color rgb="FF212529"/>
      <name val="Source Sans Pro"/>
      <family val="2"/>
    </font>
    <font>
      <b/>
      <sz val="11"/>
      <color theme="1"/>
      <name val="Calibri"/>
      <family val="2"/>
      <scheme val="minor"/>
    </font>
    <font>
      <sz val="7"/>
      <color rgb="FF767676"/>
      <name val="Roboto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418" fillId="0" borderId="1"/>
    <xf numFmtId="0" fontId="1418" fillId="0" borderId="1"/>
    <xf numFmtId="0" fontId="1428" fillId="0" borderId="0" applyNumberFormat="0" applyFill="0" applyBorder="0" applyAlignment="0" applyProtection="0"/>
  </cellStyleXfs>
  <cellXfs count="2164">
    <xf numFmtId="0" fontId="0" fillId="0" borderId="0" xfId="0"/>
    <xf numFmtId="0" fontId="1370" fillId="0" borderId="0" xfId="0" applyFont="1" applyAlignment="1">
      <alignment horizontal="center"/>
    </xf>
    <xf numFmtId="0" fontId="1370" fillId="0" borderId="0" xfId="0" applyFont="1"/>
    <xf numFmtId="0" fontId="1371" fillId="0" borderId="0" xfId="0" applyFont="1"/>
    <xf numFmtId="0" fontId="1370" fillId="2" borderId="1" xfId="0" applyFont="1" applyFill="1" applyBorder="1"/>
    <xf numFmtId="0" fontId="1370" fillId="2" borderId="1" xfId="0" applyFont="1" applyFill="1" applyBorder="1" applyAlignment="1">
      <alignment horizontal="center"/>
    </xf>
    <xf numFmtId="0" fontId="1372" fillId="2" borderId="1" xfId="0" applyFont="1" applyFill="1" applyBorder="1"/>
    <xf numFmtId="14" fontId="1370" fillId="2" borderId="1" xfId="0" applyNumberFormat="1" applyFont="1" applyFill="1" applyBorder="1"/>
    <xf numFmtId="164" fontId="1370" fillId="0" borderId="0" xfId="0" applyNumberFormat="1" applyFont="1" applyAlignment="1">
      <alignment horizontal="center"/>
    </xf>
    <xf numFmtId="14" fontId="1370" fillId="0" borderId="0" xfId="0" applyNumberFormat="1" applyFont="1" applyAlignment="1">
      <alignment horizontal="center"/>
    </xf>
    <xf numFmtId="0" fontId="1373" fillId="0" borderId="0" xfId="0" applyFont="1"/>
    <xf numFmtId="0" fontId="1374" fillId="0" borderId="0" xfId="0" applyFont="1"/>
    <xf numFmtId="165" fontId="1370" fillId="0" borderId="0" xfId="0" applyNumberFormat="1" applyFont="1" applyAlignment="1">
      <alignment horizontal="center"/>
    </xf>
    <xf numFmtId="0" fontId="1374" fillId="0" borderId="0" xfId="0" applyFont="1" applyAlignment="1">
      <alignment horizontal="center"/>
    </xf>
    <xf numFmtId="164" fontId="1374" fillId="0" borderId="0" xfId="0" applyNumberFormat="1" applyFont="1" applyAlignment="1">
      <alignment horizontal="center"/>
    </xf>
    <xf numFmtId="165" fontId="1374" fillId="0" borderId="0" xfId="0" applyNumberFormat="1" applyFont="1" applyAlignment="1">
      <alignment horizontal="center"/>
    </xf>
    <xf numFmtId="49" fontId="1374" fillId="0" borderId="0" xfId="0" applyNumberFormat="1" applyFont="1" applyAlignment="1">
      <alignment horizontal="center"/>
    </xf>
    <xf numFmtId="49" fontId="1370" fillId="0" borderId="0" xfId="0" applyNumberFormat="1" applyFont="1" applyAlignment="1">
      <alignment horizontal="center"/>
    </xf>
    <xf numFmtId="0" fontId="1370" fillId="3" borderId="1" xfId="0" applyFont="1" applyFill="1" applyBorder="1" applyAlignment="1">
      <alignment horizontal="center"/>
    </xf>
    <xf numFmtId="164" fontId="1370" fillId="3" borderId="1" xfId="0" applyNumberFormat="1" applyFont="1" applyFill="1" applyBorder="1" applyAlignment="1">
      <alignment horizontal="center"/>
    </xf>
    <xf numFmtId="0" fontId="1370" fillId="3" borderId="1" xfId="0" applyFont="1" applyFill="1" applyBorder="1"/>
    <xf numFmtId="165" fontId="1370" fillId="3" borderId="1" xfId="0" applyNumberFormat="1" applyFont="1" applyFill="1" applyBorder="1" applyAlignment="1">
      <alignment horizontal="center"/>
    </xf>
    <xf numFmtId="0" fontId="1372" fillId="0" borderId="0" xfId="0" applyFont="1"/>
    <xf numFmtId="0" fontId="1375" fillId="0" borderId="0" xfId="0" applyFont="1"/>
    <xf numFmtId="14" fontId="1374" fillId="0" borderId="0" xfId="0" applyNumberFormat="1" applyFont="1" applyAlignment="1">
      <alignment horizontal="center"/>
    </xf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166" fontId="1370" fillId="0" borderId="0" xfId="0" applyNumberFormat="1" applyFont="1" applyAlignment="1">
      <alignment horizontal="center"/>
    </xf>
    <xf numFmtId="0" fontId="1371" fillId="0" borderId="0" xfId="0" applyFont="1" applyAlignment="1">
      <alignment horizontal="center"/>
    </xf>
    <xf numFmtId="164" fontId="1370" fillId="2" borderId="1" xfId="0" applyNumberFormat="1" applyFont="1" applyFill="1" applyBorder="1" applyAlignment="1">
      <alignment horizontal="center"/>
    </xf>
    <xf numFmtId="49" fontId="1370" fillId="2" borderId="1" xfId="0" applyNumberFormat="1" applyFont="1" applyFill="1" applyBorder="1" applyAlignment="1">
      <alignment horizontal="center"/>
    </xf>
    <xf numFmtId="166" fontId="1370" fillId="2" borderId="1" xfId="0" applyNumberFormat="1" applyFont="1" applyFill="1" applyBorder="1" applyAlignment="1">
      <alignment horizontal="center"/>
    </xf>
    <xf numFmtId="0" fontId="1381" fillId="0" borderId="0" xfId="0" applyFont="1"/>
    <xf numFmtId="0" fontId="1382" fillId="0" borderId="0" xfId="0" applyFont="1"/>
    <xf numFmtId="0" fontId="1383" fillId="0" borderId="0" xfId="0" applyFont="1"/>
    <xf numFmtId="166" fontId="1374" fillId="0" borderId="0" xfId="0" applyNumberFormat="1" applyFont="1" applyAlignment="1">
      <alignment horizontal="center"/>
    </xf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70" fillId="4" borderId="1" xfId="0" applyFont="1" applyFill="1" applyBorder="1" applyAlignment="1">
      <alignment horizontal="center"/>
    </xf>
    <xf numFmtId="0" fontId="1374" fillId="3" borderId="1" xfId="0" applyFont="1" applyFill="1" applyBorder="1"/>
    <xf numFmtId="14" fontId="1370" fillId="3" borderId="1" xfId="0" applyNumberFormat="1" applyFont="1" applyFill="1" applyBorder="1" applyAlignment="1">
      <alignment horizontal="center"/>
    </xf>
    <xf numFmtId="49" fontId="1370" fillId="3" borderId="1" xfId="0" applyNumberFormat="1" applyFont="1" applyFill="1" applyBorder="1" applyAlignment="1">
      <alignment horizontal="center"/>
    </xf>
    <xf numFmtId="166" fontId="1370" fillId="3" borderId="1" xfId="0" applyNumberFormat="1" applyFont="1" applyFill="1" applyBorder="1" applyAlignment="1">
      <alignment horizontal="center"/>
    </xf>
    <xf numFmtId="0" fontId="1384" fillId="3" borderId="1" xfId="0" applyFont="1" applyFill="1" applyBorder="1"/>
    <xf numFmtId="0" fontId="1387" fillId="0" borderId="0" xfId="0" applyFont="1"/>
    <xf numFmtId="49" fontId="1370" fillId="0" borderId="0" xfId="0" applyNumberFormat="1" applyFont="1" applyAlignment="1">
      <alignment horizontal="left"/>
    </xf>
    <xf numFmtId="167" fontId="1370" fillId="0" borderId="0" xfId="0" applyNumberFormat="1" applyFont="1" applyAlignment="1">
      <alignment horizontal="center"/>
    </xf>
    <xf numFmtId="0" fontId="1388" fillId="0" borderId="0" xfId="0" applyFont="1"/>
    <xf numFmtId="49" fontId="1370" fillId="0" borderId="0" xfId="0" applyNumberFormat="1" applyFont="1" applyAlignment="1">
      <alignment horizontal="center" shrinkToFit="1"/>
    </xf>
    <xf numFmtId="0" fontId="1389" fillId="0" borderId="0" xfId="0" applyFont="1"/>
    <xf numFmtId="0" fontId="1370" fillId="0" borderId="0" xfId="0" applyFont="1" applyAlignment="1">
      <alignment horizontal="left" vertical="center" wrapText="1"/>
    </xf>
    <xf numFmtId="0" fontId="1390" fillId="0" borderId="0" xfId="0" applyFont="1"/>
    <xf numFmtId="0" fontId="1391" fillId="0" borderId="0" xfId="0" applyFont="1"/>
    <xf numFmtId="0" fontId="1392" fillId="0" borderId="0" xfId="0" applyFont="1"/>
    <xf numFmtId="49" fontId="1370" fillId="0" borderId="0" xfId="0" applyNumberFormat="1" applyFont="1"/>
    <xf numFmtId="167" fontId="1370" fillId="3" borderId="1" xfId="0" applyNumberFormat="1" applyFont="1" applyFill="1" applyBorder="1" applyAlignment="1">
      <alignment horizontal="center"/>
    </xf>
    <xf numFmtId="0" fontId="1374" fillId="3" borderId="1" xfId="0" applyFont="1" applyFill="1" applyBorder="1" applyAlignment="1">
      <alignment horizontal="center"/>
    </xf>
    <xf numFmtId="14" fontId="1374" fillId="3" borderId="1" xfId="0" applyNumberFormat="1" applyFont="1" applyFill="1" applyBorder="1" applyAlignment="1">
      <alignment horizontal="center"/>
    </xf>
    <xf numFmtId="49" fontId="1374" fillId="3" borderId="1" xfId="0" applyNumberFormat="1" applyFont="1" applyFill="1" applyBorder="1" applyAlignment="1">
      <alignment horizontal="center"/>
    </xf>
    <xf numFmtId="167" fontId="1374" fillId="3" borderId="1" xfId="0" applyNumberFormat="1" applyFont="1" applyFill="1" applyBorder="1" applyAlignment="1">
      <alignment horizontal="center"/>
    </xf>
    <xf numFmtId="167" fontId="1374" fillId="0" borderId="0" xfId="0" applyNumberFormat="1" applyFont="1" applyAlignment="1">
      <alignment horizontal="center"/>
    </xf>
    <xf numFmtId="14" fontId="1370" fillId="0" borderId="0" xfId="0" applyNumberFormat="1" applyFont="1"/>
    <xf numFmtId="168" fontId="1370" fillId="0" borderId="0" xfId="0" applyNumberFormat="1" applyFont="1" applyAlignment="1">
      <alignment horizontal="center"/>
    </xf>
    <xf numFmtId="49" fontId="1370" fillId="5" borderId="1" xfId="0" applyNumberFormat="1" applyFont="1" applyFill="1" applyBorder="1" applyAlignment="1">
      <alignment horizontal="center"/>
    </xf>
    <xf numFmtId="16" fontId="1370" fillId="0" borderId="0" xfId="0" applyNumberFormat="1" applyFont="1"/>
    <xf numFmtId="0" fontId="1373" fillId="0" borderId="0" xfId="0" applyFont="1" applyAlignment="1">
      <alignment vertical="center" wrapText="1"/>
    </xf>
    <xf numFmtId="0" fontId="1392" fillId="0" borderId="0" xfId="0" applyFont="1" applyAlignment="1">
      <alignment horizontal="center"/>
    </xf>
    <xf numFmtId="0" fontId="1370" fillId="0" borderId="0" xfId="0" applyFont="1" applyAlignment="1">
      <alignment horizontal="left"/>
    </xf>
    <xf numFmtId="169" fontId="1370" fillId="0" borderId="0" xfId="0" applyNumberFormat="1" applyFont="1" applyAlignment="1">
      <alignment horizontal="left"/>
    </xf>
    <xf numFmtId="164" fontId="1370" fillId="0" borderId="0" xfId="0" applyNumberFormat="1" applyFont="1" applyAlignment="1">
      <alignment horizontal="left"/>
    </xf>
    <xf numFmtId="14" fontId="1370" fillId="0" borderId="0" xfId="0" applyNumberFormat="1" applyFont="1" applyAlignment="1">
      <alignment horizontal="left"/>
    </xf>
    <xf numFmtId="0" fontId="1394" fillId="0" borderId="0" xfId="0" applyFont="1"/>
    <xf numFmtId="0" fontId="1370" fillId="6" borderId="1" xfId="0" applyFont="1" applyFill="1" applyBorder="1"/>
    <xf numFmtId="170" fontId="1370" fillId="0" borderId="0" xfId="0" applyNumberFormat="1" applyFont="1" applyAlignment="1">
      <alignment horizontal="left"/>
    </xf>
    <xf numFmtId="0" fontId="1395" fillId="0" borderId="0" xfId="0" applyFont="1"/>
    <xf numFmtId="171" fontId="1370" fillId="0" borderId="0" xfId="0" applyNumberFormat="1" applyFont="1" applyAlignment="1">
      <alignment horizontal="center"/>
    </xf>
    <xf numFmtId="0" fontId="1370" fillId="0" borderId="0" xfId="0" applyFont="1" applyAlignment="1">
      <alignment horizontal="center" vertical="top"/>
    </xf>
    <xf numFmtId="49" fontId="1370" fillId="0" borderId="0" xfId="0" applyNumberFormat="1" applyFont="1" applyAlignment="1">
      <alignment horizontal="center" vertical="top"/>
    </xf>
    <xf numFmtId="171" fontId="1374" fillId="0" borderId="0" xfId="0" applyNumberFormat="1" applyFont="1" applyAlignment="1">
      <alignment horizontal="center"/>
    </xf>
    <xf numFmtId="0" fontId="1396" fillId="0" borderId="0" xfId="0" applyFont="1"/>
    <xf numFmtId="0" fontId="1398" fillId="0" borderId="0" xfId="0" applyFont="1"/>
    <xf numFmtId="0" fontId="1397" fillId="0" borderId="0" xfId="0" applyFont="1"/>
    <xf numFmtId="49" fontId="1397" fillId="0" borderId="0" xfId="0" applyNumberFormat="1" applyFont="1" applyAlignment="1">
      <alignment horizontal="center"/>
    </xf>
    <xf numFmtId="166" fontId="1397" fillId="0" borderId="0" xfId="0" applyNumberFormat="1" applyFont="1" applyAlignment="1">
      <alignment horizontal="center"/>
    </xf>
    <xf numFmtId="0" fontId="1399" fillId="0" borderId="0" xfId="0" applyFont="1"/>
    <xf numFmtId="0" fontId="1397" fillId="0" borderId="0" xfId="0" applyFont="1" applyAlignment="1">
      <alignment horizontal="center"/>
    </xf>
    <xf numFmtId="0" fontId="1400" fillId="0" borderId="0" xfId="0" applyFont="1"/>
    <xf numFmtId="0" fontId="1369" fillId="0" borderId="0" xfId="0" applyFont="1"/>
    <xf numFmtId="0" fontId="1401" fillId="0" borderId="0" xfId="0" applyFont="1"/>
    <xf numFmtId="0" fontId="1368" fillId="0" borderId="0" xfId="0" applyFont="1"/>
    <xf numFmtId="0" fontId="1402" fillId="0" borderId="0" xfId="0" applyFont="1"/>
    <xf numFmtId="14" fontId="0" fillId="0" borderId="0" xfId="0" applyNumberFormat="1"/>
    <xf numFmtId="0" fontId="1367" fillId="0" borderId="0" xfId="0" applyFont="1"/>
    <xf numFmtId="0" fontId="1366" fillId="0" borderId="0" xfId="0" applyFont="1"/>
    <xf numFmtId="0" fontId="1365" fillId="0" borderId="0" xfId="0" applyFont="1"/>
    <xf numFmtId="0" fontId="1403" fillId="0" borderId="0" xfId="0" applyFont="1"/>
    <xf numFmtId="0" fontId="1364" fillId="0" borderId="0" xfId="0" applyFont="1"/>
    <xf numFmtId="0" fontId="0" fillId="0" borderId="0" xfId="0" applyAlignment="1">
      <alignment horizontal="center"/>
    </xf>
    <xf numFmtId="0" fontId="1363" fillId="0" borderId="0" xfId="0" applyFont="1"/>
    <xf numFmtId="0" fontId="1404" fillId="0" borderId="0" xfId="0" applyFont="1"/>
    <xf numFmtId="0" fontId="1362" fillId="0" borderId="0" xfId="0" applyFont="1"/>
    <xf numFmtId="0" fontId="1361" fillId="0" borderId="0" xfId="0" applyFont="1"/>
    <xf numFmtId="0" fontId="1360" fillId="0" borderId="0" xfId="0" applyFont="1"/>
    <xf numFmtId="0" fontId="1359" fillId="0" borderId="0" xfId="0" applyFont="1"/>
    <xf numFmtId="0" fontId="1406" fillId="0" borderId="0" xfId="0" applyFont="1"/>
    <xf numFmtId="0" fontId="1358" fillId="0" borderId="0" xfId="0" applyFont="1"/>
    <xf numFmtId="0" fontId="1357" fillId="0" borderId="0" xfId="0" applyFont="1"/>
    <xf numFmtId="0" fontId="1356" fillId="0" borderId="0" xfId="0" applyFont="1"/>
    <xf numFmtId="0" fontId="1355" fillId="0" borderId="0" xfId="0" applyFont="1"/>
    <xf numFmtId="0" fontId="1354" fillId="0" borderId="0" xfId="0" applyFont="1"/>
    <xf numFmtId="0" fontId="1353" fillId="0" borderId="0" xfId="0" applyFont="1"/>
    <xf numFmtId="0" fontId="1393" fillId="0" borderId="0" xfId="0" applyFont="1" applyAlignment="1">
      <alignment horizontal="center"/>
    </xf>
    <xf numFmtId="0" fontId="1407" fillId="0" borderId="0" xfId="0" applyFont="1"/>
    <xf numFmtId="0" fontId="1352" fillId="0" borderId="0" xfId="0" applyFont="1"/>
    <xf numFmtId="0" fontId="1408" fillId="0" borderId="0" xfId="0" applyFont="1"/>
    <xf numFmtId="0" fontId="1350" fillId="0" borderId="0" xfId="0" applyFont="1"/>
    <xf numFmtId="0" fontId="1348" fillId="0" borderId="0" xfId="0" applyFont="1"/>
    <xf numFmtId="0" fontId="1347" fillId="0" borderId="0" xfId="0" applyFont="1"/>
    <xf numFmtId="0" fontId="1346" fillId="0" borderId="0" xfId="0" applyFont="1"/>
    <xf numFmtId="0" fontId="1345" fillId="0" borderId="0" xfId="0" applyFont="1"/>
    <xf numFmtId="0" fontId="1344" fillId="0" borderId="0" xfId="0" applyFont="1"/>
    <xf numFmtId="0" fontId="1343" fillId="0" borderId="0" xfId="0" applyFont="1"/>
    <xf numFmtId="0" fontId="1342" fillId="0" borderId="0" xfId="0" applyFont="1"/>
    <xf numFmtId="0" fontId="1341" fillId="0" borderId="0" xfId="0" applyFont="1"/>
    <xf numFmtId="0" fontId="1340" fillId="0" borderId="0" xfId="0" applyFont="1"/>
    <xf numFmtId="0" fontId="1339" fillId="0" borderId="0" xfId="0" applyFont="1"/>
    <xf numFmtId="0" fontId="1338" fillId="0" borderId="0" xfId="0" applyFont="1"/>
    <xf numFmtId="0" fontId="1389" fillId="7" borderId="2" xfId="0" applyFont="1" applyFill="1" applyBorder="1" applyAlignment="1">
      <alignment horizontal="left" vertical="top" wrapText="1"/>
    </xf>
    <xf numFmtId="0" fontId="1337" fillId="0" borderId="0" xfId="0" applyFont="1"/>
    <xf numFmtId="0" fontId="1336" fillId="0" borderId="0" xfId="0" applyFont="1"/>
    <xf numFmtId="166" fontId="1370" fillId="0" borderId="0" xfId="0" applyNumberFormat="1" applyFont="1" applyAlignment="1">
      <alignment horizontal="left"/>
    </xf>
    <xf numFmtId="166" fontId="1370" fillId="0" borderId="1" xfId="0" applyNumberFormat="1" applyFont="1" applyBorder="1" applyAlignment="1">
      <alignment horizontal="center"/>
    </xf>
    <xf numFmtId="0" fontId="1335" fillId="0" borderId="0" xfId="0" applyFont="1"/>
    <xf numFmtId="0" fontId="1334" fillId="0" borderId="0" xfId="0" applyFont="1"/>
    <xf numFmtId="0" fontId="1333" fillId="0" borderId="0" xfId="0" applyFont="1"/>
    <xf numFmtId="0" fontId="1332" fillId="0" borderId="0" xfId="0" applyFont="1"/>
    <xf numFmtId="167" fontId="1370" fillId="8" borderId="0" xfId="0" applyNumberFormat="1" applyFont="1" applyFill="1" applyAlignment="1">
      <alignment horizontal="center"/>
    </xf>
    <xf numFmtId="0" fontId="1370" fillId="8" borderId="0" xfId="0" applyFont="1" applyFill="1" applyAlignment="1">
      <alignment horizontal="center"/>
    </xf>
    <xf numFmtId="0" fontId="1408" fillId="8" borderId="0" xfId="0" applyFont="1" applyFill="1"/>
    <xf numFmtId="0" fontId="1349" fillId="8" borderId="0" xfId="0" applyFont="1" applyFill="1"/>
    <xf numFmtId="0" fontId="1409" fillId="0" borderId="0" xfId="0" applyFont="1" applyAlignment="1">
      <alignment horizontal="center"/>
    </xf>
    <xf numFmtId="49" fontId="1409" fillId="0" borderId="0" xfId="0" applyNumberFormat="1" applyFont="1" applyAlignment="1">
      <alignment horizontal="center"/>
    </xf>
    <xf numFmtId="167" fontId="1409" fillId="0" borderId="0" xfId="0" applyNumberFormat="1" applyFont="1" applyAlignment="1">
      <alignment horizontal="center"/>
    </xf>
    <xf numFmtId="0" fontId="1410" fillId="0" borderId="0" xfId="0" applyFont="1"/>
    <xf numFmtId="0" fontId="1331" fillId="0" borderId="0" xfId="0" applyFont="1"/>
    <xf numFmtId="0" fontId="1330" fillId="0" borderId="0" xfId="0" applyFont="1"/>
    <xf numFmtId="0" fontId="1329" fillId="0" borderId="0" xfId="0" applyFont="1"/>
    <xf numFmtId="0" fontId="1328" fillId="0" borderId="0" xfId="0" applyFont="1"/>
    <xf numFmtId="0" fontId="1327" fillId="0" borderId="0" xfId="0" applyFont="1"/>
    <xf numFmtId="14" fontId="1370" fillId="8" borderId="0" xfId="0" applyNumberFormat="1" applyFont="1" applyFill="1" applyAlignment="1">
      <alignment horizontal="center"/>
    </xf>
    <xf numFmtId="0" fontId="1370" fillId="8" borderId="0" xfId="0" applyFont="1" applyFill="1"/>
    <xf numFmtId="0" fontId="1402" fillId="8" borderId="0" xfId="0" applyFont="1" applyFill="1"/>
    <xf numFmtId="0" fontId="0" fillId="8" borderId="0" xfId="0" applyFill="1"/>
    <xf numFmtId="0" fontId="1326" fillId="0" borderId="0" xfId="0" applyFont="1"/>
    <xf numFmtId="0" fontId="1325" fillId="0" borderId="0" xfId="0" applyFont="1"/>
    <xf numFmtId="0" fontId="1324" fillId="0" borderId="0" xfId="0" applyFont="1"/>
    <xf numFmtId="0" fontId="1323" fillId="0" borderId="0" xfId="0" applyFont="1"/>
    <xf numFmtId="0" fontId="1411" fillId="0" borderId="0" xfId="0" applyFont="1"/>
    <xf numFmtId="14" fontId="0" fillId="0" borderId="0" xfId="0" applyNumberFormat="1" applyAlignment="1">
      <alignment horizontal="center"/>
    </xf>
    <xf numFmtId="0" fontId="1322" fillId="0" borderId="0" xfId="0" applyFont="1"/>
    <xf numFmtId="0" fontId="1321" fillId="0" borderId="0" xfId="0" applyFont="1"/>
    <xf numFmtId="0" fontId="1320" fillId="0" borderId="0" xfId="0" applyFont="1"/>
    <xf numFmtId="0" fontId="1319" fillId="0" borderId="0" xfId="0" applyFont="1"/>
    <xf numFmtId="0" fontId="1319" fillId="8" borderId="0" xfId="0" applyFont="1" applyFill="1"/>
    <xf numFmtId="0" fontId="1318" fillId="0" borderId="0" xfId="0" applyFont="1"/>
    <xf numFmtId="0" fontId="1317" fillId="0" borderId="0" xfId="0" applyFont="1"/>
    <xf numFmtId="0" fontId="1316" fillId="0" borderId="0" xfId="0" applyFont="1"/>
    <xf numFmtId="0" fontId="1315" fillId="0" borderId="0" xfId="0" applyFont="1"/>
    <xf numFmtId="0" fontId="1351" fillId="0" borderId="0" xfId="0" applyFont="1"/>
    <xf numFmtId="0" fontId="1314" fillId="0" borderId="0" xfId="0" applyFont="1"/>
    <xf numFmtId="0" fontId="1313" fillId="0" borderId="0" xfId="0" applyFont="1"/>
    <xf numFmtId="0" fontId="1312" fillId="0" borderId="0" xfId="0" applyFont="1"/>
    <xf numFmtId="0" fontId="1311" fillId="0" borderId="0" xfId="0" applyFont="1"/>
    <xf numFmtId="0" fontId="1310" fillId="0" borderId="0" xfId="0" applyFont="1"/>
    <xf numFmtId="0" fontId="1309" fillId="0" borderId="0" xfId="0" applyFont="1"/>
    <xf numFmtId="0" fontId="1308" fillId="0" borderId="0" xfId="0" applyFont="1"/>
    <xf numFmtId="0" fontId="1388" fillId="0" borderId="0" xfId="0" applyFont="1" applyAlignment="1">
      <alignment horizontal="center"/>
    </xf>
    <xf numFmtId="0" fontId="1307" fillId="0" borderId="0" xfId="0" applyFont="1"/>
    <xf numFmtId="0" fontId="1306" fillId="0" borderId="0" xfId="0" applyFont="1"/>
    <xf numFmtId="0" fontId="1305" fillId="0" borderId="0" xfId="0" applyFont="1"/>
    <xf numFmtId="0" fontId="1304" fillId="0" borderId="0" xfId="0" applyFont="1"/>
    <xf numFmtId="0" fontId="1303" fillId="0" borderId="0" xfId="0" applyFont="1"/>
    <xf numFmtId="0" fontId="1302" fillId="0" borderId="0" xfId="0" applyFont="1"/>
    <xf numFmtId="0" fontId="1301" fillId="0" borderId="0" xfId="0" applyFont="1"/>
    <xf numFmtId="0" fontId="1300" fillId="0" borderId="0" xfId="0" applyFont="1"/>
    <xf numFmtId="0" fontId="1299" fillId="0" borderId="0" xfId="0" applyFont="1"/>
    <xf numFmtId="0" fontId="1298" fillId="0" borderId="0" xfId="0" applyFont="1"/>
    <xf numFmtId="0" fontId="1297" fillId="0" borderId="0" xfId="0" applyFont="1"/>
    <xf numFmtId="0" fontId="1296" fillId="0" borderId="0" xfId="0" applyFont="1"/>
    <xf numFmtId="0" fontId="1295" fillId="0" borderId="0" xfId="0" applyFont="1"/>
    <xf numFmtId="0" fontId="1413" fillId="0" borderId="0" xfId="0" applyFont="1"/>
    <xf numFmtId="0" fontId="1294" fillId="0" borderId="0" xfId="0" applyFont="1"/>
    <xf numFmtId="0" fontId="1293" fillId="0" borderId="0" xfId="0" applyFont="1"/>
    <xf numFmtId="0" fontId="1292" fillId="0" borderId="0" xfId="0" applyFont="1"/>
    <xf numFmtId="0" fontId="1291" fillId="0" borderId="0" xfId="0" applyFont="1"/>
    <xf numFmtId="0" fontId="1290" fillId="0" borderId="0" xfId="0" applyFont="1"/>
    <xf numFmtId="0" fontId="1413" fillId="0" borderId="0" xfId="0" applyFont="1" applyAlignment="1">
      <alignment horizontal="center"/>
    </xf>
    <xf numFmtId="0" fontId="1289" fillId="0" borderId="0" xfId="0" applyFont="1"/>
    <xf numFmtId="0" fontId="1288" fillId="0" borderId="0" xfId="0" applyFont="1"/>
    <xf numFmtId="0" fontId="1287" fillId="0" borderId="0" xfId="0" applyFont="1"/>
    <xf numFmtId="0" fontId="1286" fillId="0" borderId="0" xfId="0" applyFont="1"/>
    <xf numFmtId="0" fontId="1285" fillId="0" borderId="0" xfId="0" applyFont="1"/>
    <xf numFmtId="0" fontId="1284" fillId="0" borderId="0" xfId="0" applyFont="1"/>
    <xf numFmtId="0" fontId="1283" fillId="0" borderId="0" xfId="0" applyFont="1"/>
    <xf numFmtId="0" fontId="1282" fillId="0" borderId="0" xfId="0" applyFont="1"/>
    <xf numFmtId="0" fontId="1281" fillId="0" borderId="0" xfId="0" applyFont="1"/>
    <xf numFmtId="0" fontId="1280" fillId="0" borderId="0" xfId="0" applyFont="1"/>
    <xf numFmtId="0" fontId="1279" fillId="0" borderId="0" xfId="0" applyFont="1"/>
    <xf numFmtId="0" fontId="1278" fillId="0" borderId="0" xfId="0" applyFont="1"/>
    <xf numFmtId="0" fontId="1277" fillId="0" borderId="0" xfId="0" applyFont="1"/>
    <xf numFmtId="0" fontId="1276" fillId="0" borderId="0" xfId="0" applyFont="1"/>
    <xf numFmtId="0" fontId="1275" fillId="0" borderId="0" xfId="0" applyFont="1"/>
    <xf numFmtId="0" fontId="1274" fillId="0" borderId="0" xfId="0" applyFont="1"/>
    <xf numFmtId="0" fontId="1372" fillId="2" borderId="1" xfId="0" applyFont="1" applyFill="1" applyBorder="1" applyAlignment="1">
      <alignment horizontal="center"/>
    </xf>
    <xf numFmtId="0" fontId="1373" fillId="0" borderId="0" xfId="0" applyFont="1" applyAlignment="1">
      <alignment horizontal="center"/>
    </xf>
    <xf numFmtId="0" fontId="1372" fillId="0" borderId="0" xfId="0" applyFont="1" applyAlignment="1">
      <alignment horizontal="center"/>
    </xf>
    <xf numFmtId="0" fontId="1375" fillId="0" borderId="0" xfId="0" applyFont="1" applyAlignment="1">
      <alignment horizontal="center"/>
    </xf>
    <xf numFmtId="0" fontId="1376" fillId="0" borderId="0" xfId="0" applyFont="1" applyAlignment="1">
      <alignment horizontal="center"/>
    </xf>
    <xf numFmtId="0" fontId="1377" fillId="0" borderId="0" xfId="0" applyFont="1" applyAlignment="1">
      <alignment horizontal="center"/>
    </xf>
    <xf numFmtId="0" fontId="1378" fillId="0" borderId="0" xfId="0" applyFont="1" applyAlignment="1">
      <alignment horizontal="center"/>
    </xf>
    <xf numFmtId="0" fontId="1379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1273" fillId="0" borderId="0" xfId="0" applyFont="1"/>
    <xf numFmtId="0" fontId="1272" fillId="0" borderId="0" xfId="0" applyFont="1"/>
    <xf numFmtId="0" fontId="1271" fillId="0" borderId="0" xfId="0" applyFont="1"/>
    <xf numFmtId="14" fontId="0" fillId="8" borderId="0" xfId="0" applyNumberFormat="1" applyFill="1" applyAlignment="1">
      <alignment horizontal="center"/>
    </xf>
    <xf numFmtId="0" fontId="1271" fillId="8" borderId="0" xfId="0" applyFont="1" applyFill="1"/>
    <xf numFmtId="166" fontId="1370" fillId="8" borderId="0" xfId="0" applyNumberFormat="1" applyFont="1" applyFill="1" applyAlignment="1">
      <alignment horizontal="center"/>
    </xf>
    <xf numFmtId="0" fontId="1388" fillId="8" borderId="0" xfId="0" applyFont="1" applyFill="1"/>
    <xf numFmtId="0" fontId="1279" fillId="8" borderId="0" xfId="0" applyFont="1" applyFill="1"/>
    <xf numFmtId="166" fontId="1374" fillId="8" borderId="0" xfId="0" applyNumberFormat="1" applyFont="1" applyFill="1" applyAlignment="1">
      <alignment horizontal="center"/>
    </xf>
    <xf numFmtId="0" fontId="1386" fillId="8" borderId="0" xfId="0" applyFont="1" applyFill="1"/>
    <xf numFmtId="14" fontId="1413" fillId="8" borderId="0" xfId="0" applyNumberFormat="1" applyFont="1" applyFill="1" applyAlignment="1">
      <alignment horizontal="center"/>
    </xf>
    <xf numFmtId="0" fontId="1413" fillId="8" borderId="0" xfId="0" applyFont="1" applyFill="1" applyAlignment="1">
      <alignment horizontal="center"/>
    </xf>
    <xf numFmtId="0" fontId="1413" fillId="8" borderId="0" xfId="0" applyFont="1" applyFill="1"/>
    <xf numFmtId="0" fontId="1270" fillId="0" borderId="0" xfId="0" applyFont="1"/>
    <xf numFmtId="0" fontId="1270" fillId="0" borderId="0" xfId="0" applyFont="1" applyAlignment="1">
      <alignment horizontal="center"/>
    </xf>
    <xf numFmtId="0" fontId="1269" fillId="0" borderId="0" xfId="0" applyFont="1"/>
    <xf numFmtId="0" fontId="1268" fillId="0" borderId="0" xfId="0" applyFont="1"/>
    <xf numFmtId="0" fontId="1267" fillId="0" borderId="0" xfId="0" applyFont="1"/>
    <xf numFmtId="0" fontId="1266" fillId="0" borderId="0" xfId="0" applyFont="1"/>
    <xf numFmtId="0" fontId="1265" fillId="0" borderId="0" xfId="0" applyFont="1"/>
    <xf numFmtId="0" fontId="1264" fillId="0" borderId="0" xfId="0" applyFont="1"/>
    <xf numFmtId="14" fontId="1414" fillId="0" borderId="0" xfId="0" applyNumberFormat="1" applyFont="1" applyAlignment="1">
      <alignment horizontal="center"/>
    </xf>
    <xf numFmtId="0" fontId="1263" fillId="0" borderId="0" xfId="0" applyFont="1"/>
    <xf numFmtId="0" fontId="1262" fillId="0" borderId="0" xfId="0" applyFont="1"/>
    <xf numFmtId="0" fontId="1261" fillId="0" borderId="0" xfId="0" applyFont="1"/>
    <xf numFmtId="14" fontId="1415" fillId="0" borderId="0" xfId="0" applyNumberFormat="1" applyFont="1" applyAlignment="1">
      <alignment horizontal="center"/>
    </xf>
    <xf numFmtId="0" fontId="1415" fillId="0" borderId="0" xfId="0" applyFont="1" applyAlignment="1">
      <alignment horizontal="center"/>
    </xf>
    <xf numFmtId="0" fontId="1415" fillId="0" borderId="0" xfId="0" applyFont="1"/>
    <xf numFmtId="166" fontId="1416" fillId="0" borderId="0" xfId="0" applyNumberFormat="1" applyFont="1" applyAlignment="1">
      <alignment horizontal="center"/>
    </xf>
    <xf numFmtId="0" fontId="1260" fillId="0" borderId="0" xfId="0" applyFont="1"/>
    <xf numFmtId="49" fontId="1374" fillId="0" borderId="0" xfId="0" applyNumberFormat="1" applyFont="1" applyAlignment="1">
      <alignment horizontal="left"/>
    </xf>
    <xf numFmtId="49" fontId="1416" fillId="0" borderId="0" xfId="0" applyNumberFormat="1" applyFont="1" applyAlignment="1">
      <alignment horizontal="center"/>
    </xf>
    <xf numFmtId="167" fontId="1416" fillId="0" borderId="0" xfId="0" applyNumberFormat="1" applyFont="1" applyAlignment="1">
      <alignment horizontal="center"/>
    </xf>
    <xf numFmtId="0" fontId="1416" fillId="0" borderId="0" xfId="0" applyFont="1" applyAlignment="1">
      <alignment horizontal="center"/>
    </xf>
    <xf numFmtId="0" fontId="1259" fillId="0" borderId="0" xfId="0" applyFont="1"/>
    <xf numFmtId="0" fontId="1258" fillId="0" borderId="0" xfId="0" applyFont="1"/>
    <xf numFmtId="0" fontId="1257" fillId="0" borderId="0" xfId="0" applyFont="1"/>
    <xf numFmtId="0" fontId="1256" fillId="0" borderId="0" xfId="0" applyFont="1"/>
    <xf numFmtId="0" fontId="1255" fillId="0" borderId="0" xfId="0" applyFont="1"/>
    <xf numFmtId="0" fontId="1254" fillId="0" borderId="0" xfId="0" applyFont="1"/>
    <xf numFmtId="0" fontId="1253" fillId="0" borderId="0" xfId="0" applyFont="1"/>
    <xf numFmtId="0" fontId="1374" fillId="8" borderId="0" xfId="0" applyFont="1" applyFill="1" applyAlignment="1">
      <alignment horizontal="center"/>
    </xf>
    <xf numFmtId="0" fontId="1252" fillId="0" borderId="0" xfId="0" applyFont="1"/>
    <xf numFmtId="0" fontId="1251" fillId="0" borderId="0" xfId="0" applyFont="1"/>
    <xf numFmtId="0" fontId="1250" fillId="0" borderId="0" xfId="0" applyFont="1"/>
    <xf numFmtId="0" fontId="1249" fillId="0" borderId="0" xfId="0" applyFont="1"/>
    <xf numFmtId="49" fontId="1374" fillId="8" borderId="0" xfId="0" applyNumberFormat="1" applyFont="1" applyFill="1" applyAlignment="1">
      <alignment horizontal="center"/>
    </xf>
    <xf numFmtId="167" fontId="1374" fillId="8" borderId="0" xfId="0" applyNumberFormat="1" applyFont="1" applyFill="1" applyAlignment="1">
      <alignment horizontal="center"/>
    </xf>
    <xf numFmtId="0" fontId="1268" fillId="8" borderId="0" xfId="0" applyFont="1" applyFill="1"/>
    <xf numFmtId="0" fontId="1417" fillId="0" borderId="0" xfId="0" applyFont="1"/>
    <xf numFmtId="0" fontId="1248" fillId="0" borderId="0" xfId="0" applyFont="1"/>
    <xf numFmtId="0" fontId="1247" fillId="0" borderId="0" xfId="0" applyFont="1"/>
    <xf numFmtId="0" fontId="1246" fillId="0" borderId="0" xfId="0" applyFont="1"/>
    <xf numFmtId="0" fontId="1245" fillId="0" borderId="0" xfId="0" applyFont="1"/>
    <xf numFmtId="0" fontId="1244" fillId="0" borderId="0" xfId="0" applyFont="1"/>
    <xf numFmtId="0" fontId="1243" fillId="0" borderId="0" xfId="0" applyFont="1"/>
    <xf numFmtId="0" fontId="1242" fillId="0" borderId="0" xfId="0" applyFont="1"/>
    <xf numFmtId="0" fontId="1241" fillId="0" borderId="0" xfId="0" applyFont="1"/>
    <xf numFmtId="14" fontId="1263" fillId="0" borderId="0" xfId="0" applyNumberFormat="1" applyFont="1"/>
    <xf numFmtId="0" fontId="1240" fillId="0" borderId="0" xfId="0" applyFont="1"/>
    <xf numFmtId="0" fontId="1239" fillId="0" borderId="0" xfId="0" applyFont="1"/>
    <xf numFmtId="0" fontId="1238" fillId="0" borderId="0" xfId="0" applyFont="1"/>
    <xf numFmtId="0" fontId="1236" fillId="0" borderId="0" xfId="0" applyFont="1"/>
    <xf numFmtId="0" fontId="1234" fillId="0" borderId="0" xfId="0" applyFont="1"/>
    <xf numFmtId="0" fontId="1370" fillId="2" borderId="1" xfId="0" applyFont="1" applyFill="1" applyBorder="1" applyAlignment="1">
      <alignment horizontal="left"/>
    </xf>
    <xf numFmtId="0" fontId="1374" fillId="0" borderId="0" xfId="0" applyFont="1" applyAlignment="1">
      <alignment horizontal="left"/>
    </xf>
    <xf numFmtId="0" fontId="1370" fillId="3" borderId="1" xfId="0" applyFont="1" applyFill="1" applyBorder="1" applyAlignment="1">
      <alignment horizontal="left"/>
    </xf>
    <xf numFmtId="0" fontId="1379" fillId="0" borderId="0" xfId="0" applyFont="1" applyAlignment="1">
      <alignment horizontal="left"/>
    </xf>
    <xf numFmtId="0" fontId="0" fillId="0" borderId="0" xfId="0" applyAlignment="1">
      <alignment horizontal="left"/>
    </xf>
    <xf numFmtId="0" fontId="1397" fillId="0" borderId="0" xfId="0" applyFont="1" applyAlignment="1">
      <alignment horizontal="left"/>
    </xf>
    <xf numFmtId="0" fontId="1370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1233" fillId="0" borderId="0" xfId="0" applyFont="1"/>
    <xf numFmtId="0" fontId="1232" fillId="0" borderId="0" xfId="0" applyFont="1"/>
    <xf numFmtId="0" fontId="1418" fillId="0" borderId="1" xfId="2"/>
    <xf numFmtId="0" fontId="1231" fillId="0" borderId="0" xfId="0" applyFont="1"/>
    <xf numFmtId="0" fontId="1230" fillId="0" borderId="0" xfId="0" applyFont="1"/>
    <xf numFmtId="0" fontId="1229" fillId="0" borderId="0" xfId="0" applyFont="1"/>
    <xf numFmtId="0" fontId="1228" fillId="0" borderId="0" xfId="0" applyFont="1"/>
    <xf numFmtId="0" fontId="1227" fillId="0" borderId="0" xfId="0" applyFont="1"/>
    <xf numFmtId="0" fontId="1226" fillId="0" borderId="0" xfId="0" applyFont="1"/>
    <xf numFmtId="0" fontId="1225" fillId="0" borderId="0" xfId="0" applyFont="1"/>
    <xf numFmtId="0" fontId="1224" fillId="0" borderId="0" xfId="0" applyFont="1"/>
    <xf numFmtId="0" fontId="1223" fillId="0" borderId="0" xfId="0" applyFont="1"/>
    <xf numFmtId="0" fontId="1222" fillId="0" borderId="0" xfId="0" applyFont="1"/>
    <xf numFmtId="0" fontId="1221" fillId="0" borderId="0" xfId="0" applyFont="1"/>
    <xf numFmtId="0" fontId="1220" fillId="0" borderId="0" xfId="0" applyFont="1"/>
    <xf numFmtId="0" fontId="1219" fillId="0" borderId="0" xfId="0" applyFont="1"/>
    <xf numFmtId="0" fontId="1218" fillId="0" borderId="0" xfId="0" applyFont="1"/>
    <xf numFmtId="0" fontId="1217" fillId="0" borderId="0" xfId="0" applyFont="1"/>
    <xf numFmtId="0" fontId="1216" fillId="0" borderId="0" xfId="0" applyFont="1"/>
    <xf numFmtId="0" fontId="1214" fillId="0" borderId="0" xfId="0" applyFont="1"/>
    <xf numFmtId="0" fontId="1213" fillId="0" borderId="0" xfId="0" applyFont="1"/>
    <xf numFmtId="0" fontId="1212" fillId="0" borderId="0" xfId="0" applyFont="1"/>
    <xf numFmtId="0" fontId="1211" fillId="0" borderId="0" xfId="0" applyFont="1"/>
    <xf numFmtId="0" fontId="1210" fillId="0" borderId="0" xfId="0" applyFont="1"/>
    <xf numFmtId="0" fontId="1209" fillId="0" borderId="0" xfId="0" applyFont="1"/>
    <xf numFmtId="0" fontId="1208" fillId="0" borderId="0" xfId="0" applyFont="1"/>
    <xf numFmtId="0" fontId="1207" fillId="0" borderId="0" xfId="0" applyFont="1"/>
    <xf numFmtId="0" fontId="1419" fillId="0" borderId="0" xfId="0" applyFont="1"/>
    <xf numFmtId="0" fontId="1206" fillId="0" borderId="0" xfId="0" applyFont="1"/>
    <xf numFmtId="0" fontId="1205" fillId="0" borderId="0" xfId="0" applyFont="1"/>
    <xf numFmtId="0" fontId="1204" fillId="0" borderId="0" xfId="0" applyFont="1"/>
    <xf numFmtId="0" fontId="1203" fillId="0" borderId="0" xfId="0" applyFont="1"/>
    <xf numFmtId="0" fontId="1202" fillId="0" borderId="0" xfId="0" applyFont="1"/>
    <xf numFmtId="0" fontId="1201" fillId="0" borderId="0" xfId="0" applyFont="1"/>
    <xf numFmtId="0" fontId="1420" fillId="0" borderId="0" xfId="0" applyFont="1"/>
    <xf numFmtId="0" fontId="1421" fillId="0" borderId="0" xfId="0" applyFont="1"/>
    <xf numFmtId="0" fontId="1200" fillId="0" borderId="0" xfId="0" applyFont="1"/>
    <xf numFmtId="0" fontId="1199" fillId="0" borderId="0" xfId="0" applyFont="1"/>
    <xf numFmtId="0" fontId="1198" fillId="0" borderId="0" xfId="0" applyFont="1"/>
    <xf numFmtId="0" fontId="1196" fillId="0" borderId="0" xfId="0" applyFont="1"/>
    <xf numFmtId="0" fontId="1196" fillId="0" borderId="1" xfId="2" applyFont="1"/>
    <xf numFmtId="0" fontId="1195" fillId="0" borderId="0" xfId="0" applyFont="1"/>
    <xf numFmtId="0" fontId="1194" fillId="0" borderId="0" xfId="0" applyFont="1"/>
    <xf numFmtId="0" fontId="1194" fillId="0" borderId="0" xfId="0" applyFont="1" applyAlignment="1">
      <alignment horizontal="center"/>
    </xf>
    <xf numFmtId="49" fontId="1414" fillId="0" borderId="0" xfId="0" applyNumberFormat="1" applyFont="1" applyAlignment="1">
      <alignment horizontal="center"/>
    </xf>
    <xf numFmtId="0" fontId="1422" fillId="0" borderId="0" xfId="0" applyFont="1"/>
    <xf numFmtId="167" fontId="1414" fillId="0" borderId="0" xfId="0" applyNumberFormat="1" applyFont="1" applyAlignment="1">
      <alignment horizontal="center"/>
    </xf>
    <xf numFmtId="0" fontId="1414" fillId="0" borderId="0" xfId="0" applyFont="1" applyAlignment="1">
      <alignment horizontal="center"/>
    </xf>
    <xf numFmtId="14" fontId="1423" fillId="0" borderId="0" xfId="0" applyNumberFormat="1" applyFont="1" applyAlignment="1">
      <alignment horizontal="center"/>
    </xf>
    <xf numFmtId="0" fontId="1193" fillId="0" borderId="0" xfId="0" applyFont="1"/>
    <xf numFmtId="0" fontId="1192" fillId="0" borderId="0" xfId="0" applyFont="1"/>
    <xf numFmtId="0" fontId="1190" fillId="0" borderId="0" xfId="0" applyFont="1"/>
    <xf numFmtId="0" fontId="1188" fillId="0" borderId="0" xfId="0" applyFont="1"/>
    <xf numFmtId="0" fontId="1188" fillId="0" borderId="0" xfId="0" applyFont="1" applyAlignment="1">
      <alignment horizontal="center"/>
    </xf>
    <xf numFmtId="0" fontId="1424" fillId="0" borderId="0" xfId="0" applyFont="1" applyAlignment="1">
      <alignment horizontal="center"/>
    </xf>
    <xf numFmtId="0" fontId="1425" fillId="0" borderId="0" xfId="0" applyFont="1" applyAlignment="1">
      <alignment horizontal="center"/>
    </xf>
    <xf numFmtId="0" fontId="1187" fillId="0" borderId="0" xfId="0" applyFont="1"/>
    <xf numFmtId="0" fontId="1189" fillId="0" borderId="0" xfId="0" applyFont="1" applyAlignment="1">
      <alignment horizontal="center"/>
    </xf>
    <xf numFmtId="14" fontId="1224" fillId="0" borderId="0" xfId="0" applyNumberFormat="1" applyFont="1" applyAlignment="1">
      <alignment horizontal="center"/>
    </xf>
    <xf numFmtId="0" fontId="1185" fillId="0" borderId="0" xfId="0" applyFont="1"/>
    <xf numFmtId="0" fontId="1183" fillId="0" borderId="0" xfId="0" applyFont="1"/>
    <xf numFmtId="0" fontId="1182" fillId="0" borderId="0" xfId="0" applyFont="1"/>
    <xf numFmtId="0" fontId="1181" fillId="0" borderId="0" xfId="0" applyFont="1"/>
    <xf numFmtId="0" fontId="1426" fillId="8" borderId="0" xfId="0" applyFont="1" applyFill="1"/>
    <xf numFmtId="14" fontId="1426" fillId="8" borderId="0" xfId="0" applyNumberFormat="1" applyFont="1" applyFill="1" applyAlignment="1">
      <alignment horizontal="center"/>
    </xf>
    <xf numFmtId="0" fontId="1426" fillId="8" borderId="0" xfId="0" applyFont="1" applyFill="1" applyAlignment="1">
      <alignment horizontal="center"/>
    </xf>
    <xf numFmtId="0" fontId="1179" fillId="0" borderId="0" xfId="0" applyFont="1"/>
    <xf numFmtId="0" fontId="1179" fillId="0" borderId="0" xfId="0" applyFont="1" applyAlignment="1">
      <alignment horizontal="center"/>
    </xf>
    <xf numFmtId="0" fontId="1178" fillId="0" borderId="0" xfId="0" applyFont="1"/>
    <xf numFmtId="0" fontId="1177" fillId="0" borderId="0" xfId="0" applyFont="1"/>
    <xf numFmtId="0" fontId="1176" fillId="0" borderId="0" xfId="0" applyFont="1"/>
    <xf numFmtId="0" fontId="1174" fillId="0" borderId="0" xfId="0" applyFont="1"/>
    <xf numFmtId="0" fontId="1173" fillId="0" borderId="0" xfId="0" applyFont="1"/>
    <xf numFmtId="14" fontId="1427" fillId="8" borderId="0" xfId="0" applyNumberFormat="1" applyFont="1" applyFill="1" applyAlignment="1">
      <alignment horizontal="center"/>
    </xf>
    <xf numFmtId="0" fontId="1427" fillId="8" borderId="0" xfId="0" applyFont="1" applyFill="1" applyAlignment="1">
      <alignment horizontal="center"/>
    </xf>
    <xf numFmtId="0" fontId="1427" fillId="8" borderId="0" xfId="0" applyFont="1" applyFill="1"/>
    <xf numFmtId="14" fontId="1424" fillId="0" borderId="0" xfId="0" applyNumberFormat="1" applyFont="1" applyAlignment="1">
      <alignment horizontal="center"/>
    </xf>
    <xf numFmtId="0" fontId="1171" fillId="0" borderId="0" xfId="0" applyFont="1"/>
    <xf numFmtId="0" fontId="1170" fillId="0" borderId="0" xfId="0" applyFont="1"/>
    <xf numFmtId="0" fontId="1169" fillId="0" borderId="0" xfId="0" applyFont="1"/>
    <xf numFmtId="0" fontId="1168" fillId="0" borderId="0" xfId="0" applyFont="1"/>
    <xf numFmtId="14" fontId="0" fillId="8" borderId="0" xfId="0" applyNumberFormat="1" applyFill="1"/>
    <xf numFmtId="0" fontId="1428" fillId="8" borderId="0" xfId="3" applyFill="1"/>
    <xf numFmtId="0" fontId="1165" fillId="0" borderId="0" xfId="0" applyFont="1"/>
    <xf numFmtId="0" fontId="1164" fillId="0" borderId="0" xfId="0" applyFont="1"/>
    <xf numFmtId="0" fontId="1163" fillId="0" borderId="0" xfId="0" applyFont="1"/>
    <xf numFmtId="0" fontId="1162" fillId="0" borderId="0" xfId="0" applyFont="1"/>
    <xf numFmtId="0" fontId="1161" fillId="0" borderId="0" xfId="0" applyFont="1" applyAlignment="1">
      <alignment horizontal="center"/>
    </xf>
    <xf numFmtId="0" fontId="1160" fillId="0" borderId="0" xfId="0" applyFont="1"/>
    <xf numFmtId="0" fontId="1158" fillId="0" borderId="0" xfId="0" applyFont="1"/>
    <xf numFmtId="0" fontId="1157" fillId="0" borderId="0" xfId="0" applyFont="1"/>
    <xf numFmtId="0" fontId="1156" fillId="0" borderId="0" xfId="0" applyFont="1"/>
    <xf numFmtId="14" fontId="1425" fillId="0" borderId="0" xfId="0" applyNumberFormat="1" applyFont="1" applyAlignment="1">
      <alignment horizontal="center"/>
    </xf>
    <xf numFmtId="0" fontId="1155" fillId="0" borderId="0" xfId="0" applyFont="1"/>
    <xf numFmtId="0" fontId="1154" fillId="0" borderId="0" xfId="0" applyFont="1"/>
    <xf numFmtId="0" fontId="1153" fillId="0" borderId="0" xfId="0" applyFont="1"/>
    <xf numFmtId="0" fontId="1152" fillId="0" borderId="0" xfId="0" applyFont="1"/>
    <xf numFmtId="0" fontId="1151" fillId="0" borderId="0" xfId="0" applyFont="1"/>
    <xf numFmtId="0" fontId="1150" fillId="0" borderId="0" xfId="0" applyFont="1"/>
    <xf numFmtId="0" fontId="1149" fillId="0" borderId="0" xfId="0" applyFont="1"/>
    <xf numFmtId="0" fontId="1147" fillId="0" borderId="0" xfId="0" applyFont="1"/>
    <xf numFmtId="0" fontId="1146" fillId="0" borderId="0" xfId="0" applyFont="1"/>
    <xf numFmtId="0" fontId="1145" fillId="0" borderId="0" xfId="0" applyFont="1"/>
    <xf numFmtId="0" fontId="1144" fillId="0" borderId="0" xfId="0" applyFont="1"/>
    <xf numFmtId="0" fontId="1143" fillId="0" borderId="0" xfId="0" applyFont="1"/>
    <xf numFmtId="0" fontId="1429" fillId="0" borderId="0" xfId="0" applyFont="1"/>
    <xf numFmtId="0" fontId="1142" fillId="0" borderId="0" xfId="0" applyFont="1"/>
    <xf numFmtId="0" fontId="1141" fillId="0" borderId="0" xfId="0" applyFont="1"/>
    <xf numFmtId="0" fontId="1140" fillId="0" borderId="0" xfId="0" applyFont="1"/>
    <xf numFmtId="0" fontId="1139" fillId="0" borderId="0" xfId="0" applyFont="1"/>
    <xf numFmtId="0" fontId="1138" fillId="0" borderId="0" xfId="0" applyFont="1"/>
    <xf numFmtId="0" fontId="1137" fillId="0" borderId="0" xfId="0" applyFont="1"/>
    <xf numFmtId="0" fontId="1136" fillId="0" borderId="0" xfId="0" applyFont="1"/>
    <xf numFmtId="0" fontId="1135" fillId="0" borderId="0" xfId="0" applyFont="1"/>
    <xf numFmtId="0" fontId="1134" fillId="0" borderId="0" xfId="0" applyFont="1"/>
    <xf numFmtId="0" fontId="1132" fillId="0" borderId="0" xfId="0" applyFont="1"/>
    <xf numFmtId="0" fontId="1131" fillId="0" borderId="0" xfId="0" applyFont="1"/>
    <xf numFmtId="0" fontId="1130" fillId="0" borderId="0" xfId="0" applyFont="1" applyAlignment="1">
      <alignment horizontal="center"/>
    </xf>
    <xf numFmtId="0" fontId="1129" fillId="0" borderId="0" xfId="0" applyFont="1" applyAlignment="1">
      <alignment horizontal="center"/>
    </xf>
    <xf numFmtId="0" fontId="1128" fillId="0" borderId="0" xfId="0" applyFont="1"/>
    <xf numFmtId="0" fontId="1127" fillId="0" borderId="0" xfId="0" applyFont="1"/>
    <xf numFmtId="0" fontId="1126" fillId="0" borderId="0" xfId="0" applyFont="1"/>
    <xf numFmtId="14" fontId="1191" fillId="9" borderId="0" xfId="0" applyNumberFormat="1" applyFont="1" applyFill="1" applyAlignment="1">
      <alignment horizontal="center"/>
    </xf>
    <xf numFmtId="14" fontId="1129" fillId="0" borderId="0" xfId="0" applyNumberFormat="1" applyFont="1" applyAlignment="1">
      <alignment horizontal="center"/>
    </xf>
    <xf numFmtId="0" fontId="1125" fillId="0" borderId="0" xfId="0" applyFont="1"/>
    <xf numFmtId="14" fontId="1396" fillId="0" borderId="0" xfId="0" applyNumberFormat="1" applyFont="1" applyAlignment="1">
      <alignment horizontal="center"/>
    </xf>
    <xf numFmtId="0" fontId="1124" fillId="0" borderId="0" xfId="0" applyFont="1"/>
    <xf numFmtId="0" fontId="1123" fillId="0" borderId="0" xfId="0" applyFont="1"/>
    <xf numFmtId="0" fontId="1122" fillId="0" borderId="0" xfId="0" applyFont="1"/>
    <xf numFmtId="0" fontId="1121" fillId="0" borderId="0" xfId="0" applyFont="1"/>
    <xf numFmtId="0" fontId="1120" fillId="0" borderId="0" xfId="0" applyFont="1"/>
    <xf numFmtId="0" fontId="1119" fillId="0" borderId="0" xfId="0" applyFont="1"/>
    <xf numFmtId="0" fontId="1118" fillId="0" borderId="0" xfId="0" applyFont="1"/>
    <xf numFmtId="0" fontId="1117" fillId="0" borderId="0" xfId="0" applyFont="1"/>
    <xf numFmtId="14" fontId="1228" fillId="0" borderId="0" xfId="0" applyNumberFormat="1" applyFont="1" applyAlignment="1">
      <alignment horizontal="center"/>
    </xf>
    <xf numFmtId="0" fontId="1114" fillId="0" borderId="0" xfId="0" applyFont="1"/>
    <xf numFmtId="0" fontId="1113" fillId="0" borderId="0" xfId="0" applyFont="1"/>
    <xf numFmtId="0" fontId="1112" fillId="0" borderId="0" xfId="0" applyFont="1"/>
    <xf numFmtId="0" fontId="1112" fillId="0" borderId="0" xfId="0" applyFont="1" applyAlignment="1">
      <alignment horizontal="center"/>
    </xf>
    <xf numFmtId="0" fontId="1111" fillId="0" borderId="0" xfId="0" applyFont="1"/>
    <xf numFmtId="0" fontId="1110" fillId="0" borderId="0" xfId="0" applyFont="1"/>
    <xf numFmtId="0" fontId="1109" fillId="0" borderId="0" xfId="0" applyFont="1"/>
    <xf numFmtId="0" fontId="1108" fillId="0" borderId="0" xfId="0" applyFont="1"/>
    <xf numFmtId="0" fontId="1106" fillId="0" borderId="0" xfId="0" applyFont="1"/>
    <xf numFmtId="0" fontId="1105" fillId="0" borderId="0" xfId="0" applyFont="1"/>
    <xf numFmtId="0" fontId="1104" fillId="0" borderId="0" xfId="0" applyFont="1"/>
    <xf numFmtId="0" fontId="1103" fillId="0" borderId="0" xfId="0" applyFont="1"/>
    <xf numFmtId="0" fontId="1102" fillId="0" borderId="0" xfId="0" applyFont="1"/>
    <xf numFmtId="0" fontId="1101" fillId="0" borderId="0" xfId="0" applyFont="1"/>
    <xf numFmtId="0" fontId="1100" fillId="0" borderId="0" xfId="0" applyFont="1"/>
    <xf numFmtId="0" fontId="1099" fillId="0" borderId="0" xfId="0" applyFont="1"/>
    <xf numFmtId="0" fontId="1097" fillId="0" borderId="0" xfId="0" applyFont="1"/>
    <xf numFmtId="0" fontId="1095" fillId="0" borderId="0" xfId="0" applyFont="1"/>
    <xf numFmtId="0" fontId="1094" fillId="0" borderId="0" xfId="0" applyFont="1"/>
    <xf numFmtId="0" fontId="1093" fillId="0" borderId="0" xfId="0" applyFont="1"/>
    <xf numFmtId="0" fontId="1092" fillId="0" borderId="0" xfId="0" applyFont="1"/>
    <xf numFmtId="0" fontId="1091" fillId="0" borderId="0" xfId="0" applyFont="1"/>
    <xf numFmtId="14" fontId="1112" fillId="0" borderId="0" xfId="0" applyNumberFormat="1" applyFont="1" applyAlignment="1">
      <alignment horizontal="center"/>
    </xf>
    <xf numFmtId="0" fontId="1090" fillId="0" borderId="0" xfId="0" applyFont="1"/>
    <xf numFmtId="0" fontId="1089" fillId="0" borderId="0" xfId="0" applyFont="1"/>
    <xf numFmtId="0" fontId="1088" fillId="0" borderId="0" xfId="0" applyFont="1"/>
    <xf numFmtId="0" fontId="1087" fillId="0" borderId="0" xfId="0" applyFont="1"/>
    <xf numFmtId="0" fontId="1086" fillId="0" borderId="0" xfId="0" applyFont="1"/>
    <xf numFmtId="0" fontId="1085" fillId="0" borderId="0" xfId="0" applyFont="1"/>
    <xf numFmtId="0" fontId="1084" fillId="0" borderId="0" xfId="0" applyFont="1"/>
    <xf numFmtId="0" fontId="1083" fillId="0" borderId="0" xfId="0" applyFont="1"/>
    <xf numFmtId="0" fontId="1082" fillId="0" borderId="0" xfId="0" applyFont="1"/>
    <xf numFmtId="0" fontId="0" fillId="10" borderId="0" xfId="0" applyFill="1" applyAlignment="1">
      <alignment horizontal="center"/>
    </xf>
    <xf numFmtId="0" fontId="1081" fillId="0" borderId="0" xfId="0" applyFont="1"/>
    <xf numFmtId="0" fontId="1430" fillId="0" borderId="0" xfId="0" applyFont="1"/>
    <xf numFmtId="0" fontId="1080" fillId="0" borderId="0" xfId="0" applyFont="1"/>
    <xf numFmtId="14" fontId="1080" fillId="0" borderId="0" xfId="0" applyNumberFormat="1" applyFont="1" applyAlignment="1">
      <alignment horizontal="center"/>
    </xf>
    <xf numFmtId="0" fontId="1079" fillId="0" borderId="0" xfId="0" applyFont="1"/>
    <xf numFmtId="0" fontId="1078" fillId="0" borderId="0" xfId="0" applyFont="1"/>
    <xf numFmtId="0" fontId="1077" fillId="0" borderId="0" xfId="0" applyFont="1"/>
    <xf numFmtId="0" fontId="1076" fillId="0" borderId="0" xfId="0" applyFont="1"/>
    <xf numFmtId="0" fontId="1075" fillId="0" borderId="0" xfId="0" applyFont="1"/>
    <xf numFmtId="0" fontId="1074" fillId="0" borderId="0" xfId="0" applyFont="1"/>
    <xf numFmtId="0" fontId="1073" fillId="0" borderId="0" xfId="0" applyFont="1" applyAlignment="1">
      <alignment horizontal="center"/>
    </xf>
    <xf numFmtId="0" fontId="1072" fillId="0" borderId="0" xfId="0" applyFont="1"/>
    <xf numFmtId="0" fontId="1071" fillId="0" borderId="0" xfId="0" applyFont="1"/>
    <xf numFmtId="0" fontId="1070" fillId="0" borderId="0" xfId="0" applyFont="1"/>
    <xf numFmtId="0" fontId="1069" fillId="0" borderId="0" xfId="0" applyFont="1"/>
    <xf numFmtId="0" fontId="1068" fillId="0" borderId="0" xfId="0" applyFont="1"/>
    <xf numFmtId="0" fontId="1067" fillId="0" borderId="0" xfId="0" applyFont="1"/>
    <xf numFmtId="0" fontId="1066" fillId="0" borderId="0" xfId="0" applyFont="1"/>
    <xf numFmtId="0" fontId="1065" fillId="0" borderId="0" xfId="0" applyFont="1"/>
    <xf numFmtId="0" fontId="1065" fillId="0" borderId="0" xfId="0" applyFont="1" applyAlignment="1">
      <alignment horizontal="center"/>
    </xf>
    <xf numFmtId="0" fontId="1064" fillId="0" borderId="0" xfId="0" applyFont="1"/>
    <xf numFmtId="0" fontId="1063" fillId="0" borderId="0" xfId="0" applyFont="1"/>
    <xf numFmtId="0" fontId="1062" fillId="0" borderId="0" xfId="0" applyFont="1"/>
    <xf numFmtId="0" fontId="1061" fillId="0" borderId="0" xfId="0" applyFont="1"/>
    <xf numFmtId="14" fontId="1065" fillId="0" borderId="0" xfId="0" applyNumberFormat="1" applyFont="1" applyAlignment="1">
      <alignment horizontal="center"/>
    </xf>
    <xf numFmtId="0" fontId="1060" fillId="0" borderId="0" xfId="0" applyFont="1"/>
    <xf numFmtId="0" fontId="1059" fillId="0" borderId="0" xfId="0" applyFont="1" applyAlignment="1">
      <alignment horizontal="center"/>
    </xf>
    <xf numFmtId="0" fontId="1059" fillId="0" borderId="0" xfId="0" applyFont="1" applyAlignment="1">
      <alignment horizontal="left"/>
    </xf>
    <xf numFmtId="0" fontId="1057" fillId="0" borderId="0" xfId="0" applyFont="1"/>
    <xf numFmtId="14" fontId="1058" fillId="0" borderId="0" xfId="0" applyNumberFormat="1" applyFont="1"/>
    <xf numFmtId="0" fontId="1056" fillId="0" borderId="0" xfId="0" applyFont="1"/>
    <xf numFmtId="0" fontId="1055" fillId="0" borderId="0" xfId="0" applyFont="1"/>
    <xf numFmtId="0" fontId="1054" fillId="0" borderId="0" xfId="0" applyFont="1"/>
    <xf numFmtId="0" fontId="1053" fillId="0" borderId="0" xfId="0" applyFont="1"/>
    <xf numFmtId="0" fontId="1053" fillId="0" borderId="0" xfId="0" applyFont="1" applyAlignment="1">
      <alignment horizontal="center"/>
    </xf>
    <xf numFmtId="0" fontId="1052" fillId="0" borderId="0" xfId="0" applyFont="1"/>
    <xf numFmtId="0" fontId="1051" fillId="0" borderId="0" xfId="0" applyFont="1"/>
    <xf numFmtId="0" fontId="1050" fillId="0" borderId="0" xfId="0" applyFont="1" applyAlignment="1">
      <alignment horizontal="center"/>
    </xf>
    <xf numFmtId="0" fontId="1049" fillId="0" borderId="0" xfId="0" applyFont="1"/>
    <xf numFmtId="0" fontId="1048" fillId="0" borderId="0" xfId="0" applyFont="1"/>
    <xf numFmtId="0" fontId="1047" fillId="0" borderId="0" xfId="0" applyFont="1"/>
    <xf numFmtId="0" fontId="1046" fillId="0" borderId="0" xfId="0" applyFont="1" applyAlignment="1">
      <alignment horizontal="center"/>
    </xf>
    <xf numFmtId="14" fontId="1057" fillId="0" borderId="0" xfId="0" applyNumberFormat="1" applyFont="1"/>
    <xf numFmtId="0" fontId="1045" fillId="0" borderId="0" xfId="0" applyFont="1"/>
    <xf numFmtId="14" fontId="1046" fillId="0" borderId="0" xfId="0" applyNumberFormat="1" applyFont="1" applyAlignment="1">
      <alignment horizontal="center"/>
    </xf>
    <xf numFmtId="0" fontId="1044" fillId="0" borderId="0" xfId="0" applyFont="1" applyAlignment="1">
      <alignment horizontal="center"/>
    </xf>
    <xf numFmtId="0" fontId="1044" fillId="0" borderId="0" xfId="0" applyFont="1"/>
    <xf numFmtId="0" fontId="1043" fillId="0" borderId="0" xfId="0" applyFont="1"/>
    <xf numFmtId="0" fontId="1042" fillId="0" borderId="0" xfId="0" applyFont="1"/>
    <xf numFmtId="14" fontId="1042" fillId="0" borderId="0" xfId="0" applyNumberFormat="1" applyFont="1" applyAlignment="1">
      <alignment horizontal="center"/>
    </xf>
    <xf numFmtId="0" fontId="1041" fillId="0" borderId="0" xfId="0" applyFont="1" applyAlignment="1">
      <alignment horizontal="center"/>
    </xf>
    <xf numFmtId="14" fontId="1053" fillId="0" borderId="0" xfId="0" applyNumberFormat="1" applyFont="1"/>
    <xf numFmtId="0" fontId="1040" fillId="0" borderId="0" xfId="0" applyFont="1" applyAlignment="1">
      <alignment horizontal="center"/>
    </xf>
    <xf numFmtId="0" fontId="1039" fillId="0" borderId="0" xfId="0" applyFont="1"/>
    <xf numFmtId="0" fontId="1038" fillId="0" borderId="0" xfId="0" applyFont="1"/>
    <xf numFmtId="14" fontId="1040" fillId="0" borderId="0" xfId="0" applyNumberFormat="1" applyFont="1" applyAlignment="1">
      <alignment horizontal="center"/>
    </xf>
    <xf numFmtId="0" fontId="1037" fillId="0" borderId="0" xfId="0" applyFont="1"/>
    <xf numFmtId="0" fontId="1036" fillId="0" borderId="0" xfId="0" applyFont="1" applyAlignment="1">
      <alignment horizontal="center"/>
    </xf>
    <xf numFmtId="0" fontId="1035" fillId="0" borderId="0" xfId="0" applyFont="1"/>
    <xf numFmtId="14" fontId="1044" fillId="0" borderId="0" xfId="0" applyNumberFormat="1" applyFont="1"/>
    <xf numFmtId="0" fontId="1034" fillId="0" borderId="0" xfId="0" applyFont="1"/>
    <xf numFmtId="0" fontId="1033" fillId="0" borderId="0" xfId="0" applyFont="1" applyAlignment="1">
      <alignment horizontal="center"/>
    </xf>
    <xf numFmtId="0" fontId="1033" fillId="0" borderId="0" xfId="0" applyFont="1"/>
    <xf numFmtId="0" fontId="1032" fillId="0" borderId="0" xfId="0" applyFont="1"/>
    <xf numFmtId="0" fontId="1031" fillId="0" borderId="0" xfId="0" applyFont="1"/>
    <xf numFmtId="14" fontId="1033" fillId="0" borderId="0" xfId="0" applyNumberFormat="1" applyFont="1" applyAlignment="1">
      <alignment horizontal="center"/>
    </xf>
    <xf numFmtId="0" fontId="1029" fillId="0" borderId="0" xfId="0" applyFont="1"/>
    <xf numFmtId="14" fontId="1029" fillId="0" borderId="0" xfId="0" applyNumberFormat="1" applyFont="1" applyAlignment="1">
      <alignment horizontal="center"/>
    </xf>
    <xf numFmtId="0" fontId="1028" fillId="0" borderId="0" xfId="0" applyFont="1"/>
    <xf numFmtId="0" fontId="1027" fillId="0" borderId="0" xfId="0" applyFont="1"/>
    <xf numFmtId="14" fontId="1078" fillId="0" borderId="0" xfId="0" applyNumberFormat="1" applyFont="1" applyAlignment="1">
      <alignment horizontal="center"/>
    </xf>
    <xf numFmtId="14" fontId="1041" fillId="0" borderId="0" xfId="0" applyNumberFormat="1" applyFont="1" applyAlignment="1">
      <alignment horizontal="center"/>
    </xf>
    <xf numFmtId="0" fontId="1026" fillId="0" borderId="0" xfId="0" applyFont="1"/>
    <xf numFmtId="0" fontId="1025" fillId="0" borderId="0" xfId="0" applyFont="1"/>
    <xf numFmtId="0" fontId="1024" fillId="0" borderId="0" xfId="0" applyFont="1"/>
    <xf numFmtId="0" fontId="1023" fillId="0" borderId="0" xfId="0" applyFont="1"/>
    <xf numFmtId="0" fontId="1022" fillId="0" borderId="0" xfId="0" applyFont="1"/>
    <xf numFmtId="0" fontId="1021" fillId="0" borderId="0" xfId="0" applyFont="1"/>
    <xf numFmtId="0" fontId="1020" fillId="0" borderId="0" xfId="0" applyFont="1"/>
    <xf numFmtId="0" fontId="1019" fillId="0" borderId="0" xfId="0" applyFont="1"/>
    <xf numFmtId="0" fontId="1018" fillId="0" borderId="0" xfId="0" applyFont="1"/>
    <xf numFmtId="0" fontId="1017" fillId="0" borderId="0" xfId="0" applyFont="1"/>
    <xf numFmtId="0" fontId="1016" fillId="0" borderId="0" xfId="0" applyFont="1"/>
    <xf numFmtId="0" fontId="1015" fillId="0" borderId="0" xfId="0" applyFont="1"/>
    <xf numFmtId="0" fontId="1014" fillId="0" borderId="0" xfId="0" applyFont="1"/>
    <xf numFmtId="0" fontId="1013" fillId="0" borderId="0" xfId="0" applyFont="1"/>
    <xf numFmtId="0" fontId="1012" fillId="0" borderId="0" xfId="0" applyFont="1"/>
    <xf numFmtId="0" fontId="1011" fillId="0" borderId="0" xfId="0" applyFont="1"/>
    <xf numFmtId="0" fontId="1010" fillId="0" borderId="0" xfId="0" applyFont="1"/>
    <xf numFmtId="0" fontId="1009" fillId="0" borderId="0" xfId="0" applyFont="1"/>
    <xf numFmtId="14" fontId="1009" fillId="0" borderId="0" xfId="0" applyNumberFormat="1" applyFont="1" applyAlignment="1">
      <alignment horizontal="center"/>
    </xf>
    <xf numFmtId="0" fontId="1008" fillId="0" borderId="0" xfId="0" applyFont="1"/>
    <xf numFmtId="0" fontId="1007" fillId="0" borderId="0" xfId="0" applyFont="1"/>
    <xf numFmtId="0" fontId="1006" fillId="0" borderId="0" xfId="0" applyFont="1"/>
    <xf numFmtId="0" fontId="1006" fillId="0" borderId="0" xfId="0" applyFont="1" applyAlignment="1">
      <alignment horizontal="center"/>
    </xf>
    <xf numFmtId="0" fontId="1005" fillId="0" borderId="0" xfId="0" applyFont="1"/>
    <xf numFmtId="0" fontId="1004" fillId="0" borderId="0" xfId="0" applyFont="1"/>
    <xf numFmtId="0" fontId="1003" fillId="0" borderId="0" xfId="0" applyFont="1"/>
    <xf numFmtId="0" fontId="1002" fillId="0" borderId="0" xfId="0" applyFont="1"/>
    <xf numFmtId="0" fontId="1001" fillId="0" borderId="0" xfId="0" applyFont="1"/>
    <xf numFmtId="14" fontId="1003" fillId="0" borderId="0" xfId="0" applyNumberFormat="1" applyFont="1" applyAlignment="1">
      <alignment horizontal="center"/>
    </xf>
    <xf numFmtId="0" fontId="1000" fillId="0" borderId="0" xfId="0" applyFont="1"/>
    <xf numFmtId="14" fontId="1000" fillId="0" borderId="0" xfId="0" applyNumberFormat="1" applyFont="1"/>
    <xf numFmtId="0" fontId="999" fillId="0" borderId="0" xfId="0" applyFont="1"/>
    <xf numFmtId="0" fontId="998" fillId="0" borderId="0" xfId="0" applyFont="1" applyAlignment="1">
      <alignment horizontal="center"/>
    </xf>
    <xf numFmtId="0" fontId="998" fillId="0" borderId="0" xfId="0" applyFont="1"/>
    <xf numFmtId="0" fontId="997" fillId="0" borderId="0" xfId="0" applyFont="1"/>
    <xf numFmtId="49" fontId="0" fillId="0" borderId="0" xfId="0" applyNumberFormat="1" applyAlignment="1">
      <alignment horizontal="center"/>
    </xf>
    <xf numFmtId="0" fontId="996" fillId="0" borderId="0" xfId="0" applyFont="1"/>
    <xf numFmtId="0" fontId="996" fillId="0" borderId="0" xfId="0" applyFont="1" applyAlignment="1">
      <alignment horizontal="center"/>
    </xf>
    <xf numFmtId="0" fontId="995" fillId="0" borderId="0" xfId="0" applyFont="1"/>
    <xf numFmtId="0" fontId="994" fillId="0" borderId="0" xfId="0" applyFont="1"/>
    <xf numFmtId="0" fontId="994" fillId="0" borderId="0" xfId="0" applyFont="1" applyAlignment="1">
      <alignment horizontal="center"/>
    </xf>
    <xf numFmtId="0" fontId="993" fillId="0" borderId="0" xfId="0" applyFont="1"/>
    <xf numFmtId="0" fontId="992" fillId="0" borderId="0" xfId="0" applyFont="1" applyAlignment="1">
      <alignment horizontal="center"/>
    </xf>
    <xf numFmtId="0" fontId="991" fillId="0" borderId="0" xfId="0" applyFont="1"/>
    <xf numFmtId="0" fontId="990" fillId="0" borderId="0" xfId="0" applyFont="1"/>
    <xf numFmtId="0" fontId="989" fillId="0" borderId="0" xfId="0" applyFont="1"/>
    <xf numFmtId="0" fontId="989" fillId="0" borderId="0" xfId="0" applyFont="1" applyAlignment="1">
      <alignment horizontal="center"/>
    </xf>
    <xf numFmtId="14" fontId="994" fillId="0" borderId="0" xfId="0" applyNumberFormat="1" applyFont="1" applyAlignment="1">
      <alignment horizontal="center"/>
    </xf>
    <xf numFmtId="14" fontId="996" fillId="0" borderId="0" xfId="0" applyNumberFormat="1" applyFont="1" applyAlignment="1">
      <alignment horizontal="center"/>
    </xf>
    <xf numFmtId="14" fontId="1415" fillId="0" borderId="0" xfId="0" applyNumberFormat="1" applyFont="1"/>
    <xf numFmtId="0" fontId="1431" fillId="0" borderId="0" xfId="0" applyFont="1"/>
    <xf numFmtId="0" fontId="988" fillId="0" borderId="0" xfId="0" applyFont="1"/>
    <xf numFmtId="0" fontId="987" fillId="0" borderId="0" xfId="0" applyFont="1"/>
    <xf numFmtId="0" fontId="986" fillId="0" borderId="0" xfId="0" applyFont="1"/>
    <xf numFmtId="14" fontId="989" fillId="0" borderId="0" xfId="0" applyNumberFormat="1" applyFont="1" applyAlignment="1">
      <alignment horizontal="center"/>
    </xf>
    <xf numFmtId="14" fontId="985" fillId="0" borderId="0" xfId="0" applyNumberFormat="1" applyFont="1"/>
    <xf numFmtId="14" fontId="1010" fillId="0" borderId="0" xfId="0" applyNumberFormat="1" applyFont="1"/>
    <xf numFmtId="0" fontId="984" fillId="0" borderId="0" xfId="0" applyFont="1"/>
    <xf numFmtId="0" fontId="983" fillId="0" borderId="0" xfId="0" applyFont="1"/>
    <xf numFmtId="14" fontId="988" fillId="0" borderId="0" xfId="0" applyNumberFormat="1" applyFont="1"/>
    <xf numFmtId="14" fontId="986" fillId="0" borderId="0" xfId="0" applyNumberFormat="1" applyFont="1" applyAlignment="1">
      <alignment horizontal="center"/>
    </xf>
    <xf numFmtId="0" fontId="982" fillId="0" borderId="0" xfId="0" applyFont="1"/>
    <xf numFmtId="0" fontId="981" fillId="0" borderId="0" xfId="0" applyFont="1" applyAlignment="1">
      <alignment horizontal="center"/>
    </xf>
    <xf numFmtId="0" fontId="981" fillId="0" borderId="0" xfId="0" applyFont="1"/>
    <xf numFmtId="0" fontId="980" fillId="0" borderId="0" xfId="0" applyFont="1"/>
    <xf numFmtId="0" fontId="979" fillId="0" borderId="0" xfId="0" applyFont="1"/>
    <xf numFmtId="14" fontId="980" fillId="0" borderId="0" xfId="0" applyNumberFormat="1" applyFont="1"/>
    <xf numFmtId="0" fontId="978" fillId="0" borderId="0" xfId="0" applyFont="1"/>
    <xf numFmtId="0" fontId="977" fillId="0" borderId="0" xfId="0" applyFont="1" applyAlignment="1">
      <alignment horizontal="center"/>
    </xf>
    <xf numFmtId="0" fontId="1419" fillId="8" borderId="0" xfId="0" applyFont="1" applyFill="1"/>
    <xf numFmtId="14" fontId="1370" fillId="8" borderId="0" xfId="0" applyNumberFormat="1" applyFont="1" applyFill="1"/>
    <xf numFmtId="0" fontId="976" fillId="0" borderId="0" xfId="0" applyFont="1"/>
    <xf numFmtId="0" fontId="975" fillId="0" borderId="0" xfId="0" applyFont="1"/>
    <xf numFmtId="0" fontId="974" fillId="0" borderId="0" xfId="0" applyFont="1" applyAlignment="1">
      <alignment horizontal="left"/>
    </xf>
    <xf numFmtId="0" fontId="973" fillId="0" borderId="0" xfId="0" applyFont="1"/>
    <xf numFmtId="0" fontId="972" fillId="0" borderId="0" xfId="0" applyFont="1"/>
    <xf numFmtId="0" fontId="971" fillId="0" borderId="0" xfId="0" applyFont="1"/>
    <xf numFmtId="14" fontId="1432" fillId="0" borderId="0" xfId="0" applyNumberFormat="1" applyFont="1" applyAlignment="1">
      <alignment horizontal="center"/>
    </xf>
    <xf numFmtId="0" fontId="1432" fillId="0" borderId="0" xfId="0" applyFont="1" applyAlignment="1">
      <alignment horizontal="center"/>
    </xf>
    <xf numFmtId="0" fontId="1432" fillId="0" borderId="0" xfId="0" applyFont="1"/>
    <xf numFmtId="0" fontId="970" fillId="0" borderId="0" xfId="0" applyFont="1"/>
    <xf numFmtId="0" fontId="969" fillId="0" borderId="0" xfId="0" applyFont="1"/>
    <xf numFmtId="0" fontId="968" fillId="0" borderId="0" xfId="0" applyFont="1"/>
    <xf numFmtId="14" fontId="967" fillId="0" borderId="0" xfId="0" applyNumberFormat="1" applyFont="1"/>
    <xf numFmtId="0" fontId="966" fillId="0" borderId="0" xfId="0" applyFont="1"/>
    <xf numFmtId="0" fontId="965" fillId="0" borderId="0" xfId="0" applyFont="1"/>
    <xf numFmtId="0" fontId="964" fillId="0" borderId="0" xfId="0" applyFont="1"/>
    <xf numFmtId="0" fontId="964" fillId="0" borderId="0" xfId="0" applyFont="1" applyAlignment="1">
      <alignment horizontal="center"/>
    </xf>
    <xf numFmtId="14" fontId="964" fillId="0" borderId="0" xfId="0" applyNumberFormat="1" applyFont="1"/>
    <xf numFmtId="0" fontId="963" fillId="0" borderId="0" xfId="0" applyFont="1"/>
    <xf numFmtId="0" fontId="962" fillId="0" borderId="0" xfId="0" applyFont="1"/>
    <xf numFmtId="0" fontId="961" fillId="0" borderId="0" xfId="0" applyFont="1" applyAlignment="1">
      <alignment horizontal="center"/>
    </xf>
    <xf numFmtId="14" fontId="960" fillId="0" borderId="0" xfId="0" applyNumberFormat="1" applyFont="1" applyAlignment="1">
      <alignment horizontal="center"/>
    </xf>
    <xf numFmtId="0" fontId="959" fillId="0" borderId="0" xfId="0" applyFont="1"/>
    <xf numFmtId="0" fontId="958" fillId="0" borderId="0" xfId="0" applyFont="1"/>
    <xf numFmtId="14" fontId="957" fillId="0" borderId="0" xfId="0" applyNumberFormat="1" applyFont="1"/>
    <xf numFmtId="0" fontId="956" fillId="0" borderId="0" xfId="0" applyFont="1"/>
    <xf numFmtId="14" fontId="977" fillId="0" borderId="0" xfId="0" applyNumberFormat="1" applyFont="1" applyAlignment="1">
      <alignment horizontal="center"/>
    </xf>
    <xf numFmtId="0" fontId="955" fillId="0" borderId="0" xfId="0" applyFont="1"/>
    <xf numFmtId="0" fontId="954" fillId="0" borderId="0" xfId="0" applyFont="1"/>
    <xf numFmtId="0" fontId="1095" fillId="8" borderId="0" xfId="0" applyFont="1" applyFill="1"/>
    <xf numFmtId="0" fontId="953" fillId="0" borderId="0" xfId="0" applyFont="1" applyAlignment="1">
      <alignment horizontal="center"/>
    </xf>
    <xf numFmtId="0" fontId="952" fillId="0" borderId="0" xfId="0" applyFont="1"/>
    <xf numFmtId="0" fontId="951" fillId="0" borderId="0" xfId="0" applyFont="1"/>
    <xf numFmtId="0" fontId="950" fillId="0" borderId="0" xfId="0" applyFont="1"/>
    <xf numFmtId="0" fontId="949" fillId="0" borderId="0" xfId="0" applyFont="1"/>
    <xf numFmtId="0" fontId="948" fillId="0" borderId="0" xfId="0" applyFont="1"/>
    <xf numFmtId="0" fontId="948" fillId="0" borderId="0" xfId="0" applyFont="1" applyAlignment="1">
      <alignment horizontal="center"/>
    </xf>
    <xf numFmtId="0" fontId="947" fillId="0" borderId="0" xfId="0" applyFont="1"/>
    <xf numFmtId="0" fontId="946" fillId="0" borderId="0" xfId="0" applyFont="1"/>
    <xf numFmtId="0" fontId="945" fillId="0" borderId="0" xfId="0" applyFont="1"/>
    <xf numFmtId="0" fontId="944" fillId="0" borderId="0" xfId="0" applyFont="1"/>
    <xf numFmtId="0" fontId="944" fillId="0" borderId="0" xfId="0" applyFont="1" applyAlignment="1">
      <alignment horizontal="center"/>
    </xf>
    <xf numFmtId="0" fontId="943" fillId="0" borderId="0" xfId="0" applyFont="1"/>
    <xf numFmtId="0" fontId="942" fillId="0" borderId="0" xfId="0" applyFont="1"/>
    <xf numFmtId="0" fontId="941" fillId="0" borderId="0" xfId="0" applyFont="1"/>
    <xf numFmtId="0" fontId="940" fillId="0" borderId="0" xfId="0" applyFont="1"/>
    <xf numFmtId="0" fontId="938" fillId="0" borderId="0" xfId="0" applyFont="1"/>
    <xf numFmtId="14" fontId="939" fillId="0" borderId="0" xfId="0" applyNumberFormat="1" applyFont="1" applyAlignment="1">
      <alignment horizontal="center"/>
    </xf>
    <xf numFmtId="14" fontId="941" fillId="0" borderId="0" xfId="0" applyNumberFormat="1" applyFont="1" applyAlignment="1">
      <alignment horizontal="center"/>
    </xf>
    <xf numFmtId="14" fontId="1433" fillId="0" borderId="0" xfId="0" applyNumberFormat="1" applyFont="1" applyAlignment="1">
      <alignment horizontal="center"/>
    </xf>
    <xf numFmtId="0" fontId="1433" fillId="0" borderId="0" xfId="0" applyFont="1" applyAlignment="1">
      <alignment horizontal="center"/>
    </xf>
    <xf numFmtId="0" fontId="1433" fillId="0" borderId="0" xfId="0" applyFont="1"/>
    <xf numFmtId="0" fontId="937" fillId="0" borderId="0" xfId="0" applyFont="1"/>
    <xf numFmtId="0" fontId="936" fillId="0" borderId="0" xfId="0" applyFont="1"/>
    <xf numFmtId="0" fontId="935" fillId="0" borderId="0" xfId="0" applyFont="1"/>
    <xf numFmtId="0" fontId="934" fillId="0" borderId="0" xfId="0" applyFont="1"/>
    <xf numFmtId="0" fontId="933" fillId="0" borderId="0" xfId="0" applyFont="1"/>
    <xf numFmtId="0" fontId="932" fillId="0" borderId="0" xfId="0" applyFont="1"/>
    <xf numFmtId="0" fontId="931" fillId="0" borderId="0" xfId="0" applyFont="1"/>
    <xf numFmtId="0" fontId="931" fillId="0" borderId="0" xfId="0" applyFont="1" applyAlignment="1">
      <alignment horizontal="center"/>
    </xf>
    <xf numFmtId="0" fontId="930" fillId="0" borderId="0" xfId="0" applyFont="1"/>
    <xf numFmtId="0" fontId="930" fillId="0" borderId="0" xfId="0" applyFont="1" applyAlignment="1">
      <alignment horizontal="center"/>
    </xf>
    <xf numFmtId="0" fontId="932" fillId="0" borderId="0" xfId="0" applyFont="1" applyAlignment="1">
      <alignment horizontal="left"/>
    </xf>
    <xf numFmtId="0" fontId="929" fillId="0" borderId="0" xfId="0" applyFont="1"/>
    <xf numFmtId="0" fontId="928" fillId="0" borderId="0" xfId="0" applyFont="1"/>
    <xf numFmtId="0" fontId="927" fillId="0" borderId="0" xfId="0" applyFont="1"/>
    <xf numFmtId="0" fontId="926" fillId="0" borderId="0" xfId="0" applyFont="1"/>
    <xf numFmtId="0" fontId="925" fillId="0" borderId="0" xfId="0" applyFont="1" applyAlignment="1">
      <alignment horizontal="center"/>
    </xf>
    <xf numFmtId="0" fontId="925" fillId="0" borderId="0" xfId="0" applyFont="1"/>
    <xf numFmtId="0" fontId="924" fillId="0" borderId="0" xfId="0" applyFont="1"/>
    <xf numFmtId="0" fontId="923" fillId="0" borderId="0" xfId="0" applyFont="1"/>
    <xf numFmtId="14" fontId="931" fillId="0" borderId="0" xfId="0" applyNumberFormat="1" applyFont="1" applyAlignment="1">
      <alignment horizontal="center"/>
    </xf>
    <xf numFmtId="0" fontId="922" fillId="0" borderId="0" xfId="0" applyFont="1"/>
    <xf numFmtId="0" fontId="921" fillId="0" borderId="0" xfId="0" applyFont="1"/>
    <xf numFmtId="0" fontId="920" fillId="0" borderId="0" xfId="0" applyFont="1"/>
    <xf numFmtId="0" fontId="920" fillId="0" borderId="0" xfId="0" applyFont="1" applyAlignment="1">
      <alignment horizontal="center"/>
    </xf>
    <xf numFmtId="0" fontId="919" fillId="0" borderId="0" xfId="0" applyFont="1"/>
    <xf numFmtId="14" fontId="918" fillId="0" borderId="0" xfId="0" applyNumberFormat="1" applyFont="1"/>
    <xf numFmtId="0" fontId="917" fillId="0" borderId="0" xfId="0" applyFont="1"/>
    <xf numFmtId="0" fontId="916" fillId="0" borderId="0" xfId="0" applyFont="1"/>
    <xf numFmtId="0" fontId="916" fillId="0" borderId="0" xfId="0" applyFont="1" applyAlignment="1">
      <alignment horizontal="center"/>
    </xf>
    <xf numFmtId="0" fontId="914" fillId="0" borderId="0" xfId="0" applyFont="1"/>
    <xf numFmtId="0" fontId="913" fillId="0" borderId="0" xfId="0" applyFont="1"/>
    <xf numFmtId="0" fontId="912" fillId="0" borderId="0" xfId="0" applyFont="1"/>
    <xf numFmtId="0" fontId="911" fillId="0" borderId="0" xfId="0" applyFont="1"/>
    <xf numFmtId="0" fontId="910" fillId="0" borderId="0" xfId="0" applyFont="1"/>
    <xf numFmtId="0" fontId="909" fillId="0" borderId="0" xfId="0" applyFont="1"/>
    <xf numFmtId="0" fontId="908" fillId="0" borderId="0" xfId="0" applyFont="1"/>
    <xf numFmtId="0" fontId="907" fillId="0" borderId="0" xfId="0" applyFont="1"/>
    <xf numFmtId="0" fontId="906" fillId="0" borderId="0" xfId="0" applyFont="1"/>
    <xf numFmtId="0" fontId="905" fillId="0" borderId="0" xfId="0" applyFont="1"/>
    <xf numFmtId="0" fontId="904" fillId="0" borderId="0" xfId="0" applyFont="1"/>
    <xf numFmtId="0" fontId="903" fillId="0" borderId="0" xfId="0" applyFont="1"/>
    <xf numFmtId="0" fontId="902" fillId="0" borderId="0" xfId="0" applyFont="1"/>
    <xf numFmtId="0" fontId="900" fillId="0" borderId="0" xfId="0" applyFont="1"/>
    <xf numFmtId="0" fontId="899" fillId="0" borderId="0" xfId="0" applyFont="1"/>
    <xf numFmtId="0" fontId="898" fillId="0" borderId="0" xfId="0" applyFont="1"/>
    <xf numFmtId="14" fontId="902" fillId="0" borderId="0" xfId="0" applyNumberFormat="1" applyFont="1" applyAlignment="1">
      <alignment horizontal="center"/>
    </xf>
    <xf numFmtId="14" fontId="897" fillId="0" borderId="0" xfId="0" applyNumberFormat="1" applyFont="1" applyAlignment="1">
      <alignment horizontal="center"/>
    </xf>
    <xf numFmtId="0" fontId="895" fillId="0" borderId="0" xfId="0" applyFont="1"/>
    <xf numFmtId="0" fontId="894" fillId="0" borderId="0" xfId="0" applyFont="1"/>
    <xf numFmtId="0" fontId="893" fillId="0" borderId="0" xfId="0" applyFont="1"/>
    <xf numFmtId="0" fontId="892" fillId="0" borderId="0" xfId="0" applyFont="1"/>
    <xf numFmtId="0" fontId="891" fillId="0" borderId="0" xfId="0" applyFont="1"/>
    <xf numFmtId="0" fontId="890" fillId="0" borderId="0" xfId="0" applyFont="1"/>
    <xf numFmtId="0" fontId="889" fillId="0" borderId="0" xfId="0" applyFont="1"/>
    <xf numFmtId="0" fontId="888" fillId="0" borderId="0" xfId="0" applyFont="1"/>
    <xf numFmtId="0" fontId="887" fillId="0" borderId="0" xfId="0" applyFont="1"/>
    <xf numFmtId="14" fontId="887" fillId="0" borderId="0" xfId="0" applyNumberFormat="1" applyFont="1" applyAlignment="1">
      <alignment horizontal="center"/>
    </xf>
    <xf numFmtId="0" fontId="885" fillId="0" borderId="0" xfId="0" applyFont="1"/>
    <xf numFmtId="0" fontId="885" fillId="0" borderId="0" xfId="0" applyFont="1" applyAlignment="1">
      <alignment horizontal="center"/>
    </xf>
    <xf numFmtId="14" fontId="885" fillId="0" borderId="0" xfId="0" applyNumberFormat="1" applyFont="1" applyAlignment="1">
      <alignment horizontal="center"/>
    </xf>
    <xf numFmtId="0" fontId="882" fillId="0" borderId="0" xfId="0" applyFont="1"/>
    <xf numFmtId="0" fontId="881" fillId="0" borderId="0" xfId="0" applyFont="1"/>
    <xf numFmtId="0" fontId="880" fillId="0" borderId="0" xfId="0" applyFont="1"/>
    <xf numFmtId="0" fontId="879" fillId="0" borderId="0" xfId="0" applyFont="1"/>
    <xf numFmtId="0" fontId="878" fillId="0" borderId="0" xfId="0" applyFont="1"/>
    <xf numFmtId="0" fontId="877" fillId="0" borderId="0" xfId="0" applyFont="1"/>
    <xf numFmtId="0" fontId="875" fillId="0" borderId="0" xfId="0" applyFont="1"/>
    <xf numFmtId="0" fontId="874" fillId="0" borderId="0" xfId="0" applyFont="1"/>
    <xf numFmtId="0" fontId="873" fillId="0" borderId="0" xfId="0" applyFont="1"/>
    <xf numFmtId="0" fontId="872" fillId="0" borderId="0" xfId="0" applyFont="1"/>
    <xf numFmtId="14" fontId="1434" fillId="0" borderId="0" xfId="0" applyNumberFormat="1" applyFont="1"/>
    <xf numFmtId="0" fontId="1434" fillId="0" borderId="0" xfId="0" applyFont="1" applyAlignment="1">
      <alignment horizontal="center"/>
    </xf>
    <xf numFmtId="0" fontId="1434" fillId="0" borderId="0" xfId="0" applyFont="1"/>
    <xf numFmtId="0" fontId="1435" fillId="0" borderId="0" xfId="0" applyFont="1"/>
    <xf numFmtId="0" fontId="871" fillId="0" borderId="0" xfId="0" applyFont="1"/>
    <xf numFmtId="0" fontId="870" fillId="0" borderId="0" xfId="0" applyFont="1"/>
    <xf numFmtId="0" fontId="869" fillId="0" borderId="0" xfId="0" applyFont="1" applyAlignment="1">
      <alignment horizontal="center"/>
    </xf>
    <xf numFmtId="0" fontId="869" fillId="0" borderId="0" xfId="0" applyFont="1"/>
    <xf numFmtId="14" fontId="870" fillId="0" borderId="0" xfId="0" applyNumberFormat="1" applyFont="1" applyAlignment="1">
      <alignment horizontal="center"/>
    </xf>
    <xf numFmtId="0" fontId="868" fillId="0" borderId="0" xfId="0" applyFont="1"/>
    <xf numFmtId="0" fontId="867" fillId="0" borderId="0" xfId="0" applyFont="1"/>
    <xf numFmtId="0" fontId="866" fillId="0" borderId="0" xfId="0" applyFont="1"/>
    <xf numFmtId="0" fontId="865" fillId="0" borderId="0" xfId="0" applyFont="1"/>
    <xf numFmtId="0" fontId="864" fillId="0" borderId="0" xfId="0" applyFont="1"/>
    <xf numFmtId="0" fontId="863" fillId="0" borderId="0" xfId="0" applyFont="1"/>
    <xf numFmtId="0" fontId="862" fillId="0" borderId="0" xfId="0" applyFont="1"/>
    <xf numFmtId="14" fontId="862" fillId="0" borderId="0" xfId="0" applyNumberFormat="1" applyFont="1" applyAlignment="1">
      <alignment horizontal="center"/>
    </xf>
    <xf numFmtId="0" fontId="861" fillId="0" borderId="0" xfId="0" applyFont="1"/>
    <xf numFmtId="0" fontId="859" fillId="0" borderId="0" xfId="0" applyFont="1"/>
    <xf numFmtId="0" fontId="858" fillId="0" borderId="0" xfId="0" applyFont="1"/>
    <xf numFmtId="0" fontId="857" fillId="0" borderId="0" xfId="0" applyFont="1"/>
    <xf numFmtId="0" fontId="856" fillId="0" borderId="0" xfId="0" applyFont="1"/>
    <xf numFmtId="0" fontId="855" fillId="0" borderId="0" xfId="0" applyFont="1"/>
    <xf numFmtId="0" fontId="854" fillId="0" borderId="0" xfId="0" applyFont="1"/>
    <xf numFmtId="0" fontId="853" fillId="0" borderId="0" xfId="0" applyFont="1"/>
    <xf numFmtId="0" fontId="852" fillId="0" borderId="0" xfId="0" applyFont="1"/>
    <xf numFmtId="0" fontId="851" fillId="0" borderId="0" xfId="0" applyFont="1"/>
    <xf numFmtId="0" fontId="850" fillId="0" borderId="0" xfId="0" applyFont="1"/>
    <xf numFmtId="0" fontId="849" fillId="0" borderId="0" xfId="0" applyFont="1"/>
    <xf numFmtId="49" fontId="849" fillId="0" borderId="0" xfId="0" applyNumberFormat="1" applyFont="1"/>
    <xf numFmtId="49" fontId="0" fillId="0" borderId="0" xfId="0" applyNumberFormat="1"/>
    <xf numFmtId="0" fontId="848" fillId="0" borderId="0" xfId="0" applyFont="1"/>
    <xf numFmtId="0" fontId="847" fillId="0" borderId="0" xfId="0" applyFont="1"/>
    <xf numFmtId="14" fontId="915" fillId="0" borderId="0" xfId="0" applyNumberFormat="1" applyFont="1" applyAlignment="1">
      <alignment horizontal="center"/>
    </xf>
    <xf numFmtId="0" fontId="846" fillId="0" borderId="0" xfId="0" applyFont="1"/>
    <xf numFmtId="0" fontId="846" fillId="0" borderId="0" xfId="0" applyFont="1" applyAlignment="1">
      <alignment horizontal="center"/>
    </xf>
    <xf numFmtId="0" fontId="845" fillId="0" borderId="0" xfId="0" applyFont="1"/>
    <xf numFmtId="0" fontId="844" fillId="0" borderId="0" xfId="0" applyFont="1"/>
    <xf numFmtId="0" fontId="843" fillId="0" borderId="0" xfId="0" applyFont="1"/>
    <xf numFmtId="0" fontId="842" fillId="0" borderId="0" xfId="0" applyFont="1"/>
    <xf numFmtId="0" fontId="841" fillId="0" borderId="0" xfId="0" applyFont="1"/>
    <xf numFmtId="0" fontId="840" fillId="0" borderId="0" xfId="0" applyFont="1"/>
    <xf numFmtId="0" fontId="840" fillId="0" borderId="0" xfId="0" applyFont="1" applyAlignment="1">
      <alignment horizontal="center"/>
    </xf>
    <xf numFmtId="0" fontId="839" fillId="0" borderId="0" xfId="0" applyFont="1"/>
    <xf numFmtId="0" fontId="838" fillId="0" borderId="0" xfId="0" applyFont="1"/>
    <xf numFmtId="0" fontId="837" fillId="0" borderId="0" xfId="0" applyFont="1"/>
    <xf numFmtId="0" fontId="836" fillId="0" borderId="0" xfId="0" applyFont="1"/>
    <xf numFmtId="14" fontId="835" fillId="0" borderId="0" xfId="0" applyNumberFormat="1" applyFont="1" applyAlignment="1">
      <alignment horizontal="center"/>
    </xf>
    <xf numFmtId="0" fontId="835" fillId="0" borderId="0" xfId="0" applyFont="1"/>
    <xf numFmtId="0" fontId="834" fillId="0" borderId="0" xfId="0" applyFont="1"/>
    <xf numFmtId="0" fontId="833" fillId="0" borderId="0" xfId="0" applyFont="1"/>
    <xf numFmtId="49" fontId="832" fillId="0" borderId="0" xfId="0" applyNumberFormat="1" applyFont="1"/>
    <xf numFmtId="0" fontId="832" fillId="0" borderId="0" xfId="0" applyFont="1"/>
    <xf numFmtId="49" fontId="831" fillId="0" borderId="0" xfId="0" applyNumberFormat="1" applyFont="1"/>
    <xf numFmtId="0" fontId="831" fillId="0" borderId="0" xfId="0" applyFont="1"/>
    <xf numFmtId="0" fontId="830" fillId="0" borderId="0" xfId="0" applyFont="1"/>
    <xf numFmtId="49" fontId="829" fillId="0" borderId="0" xfId="0" applyNumberFormat="1" applyFont="1"/>
    <xf numFmtId="0" fontId="828" fillId="0" borderId="0" xfId="0" applyFont="1"/>
    <xf numFmtId="0" fontId="827" fillId="0" borderId="0" xfId="0" applyFont="1"/>
    <xf numFmtId="0" fontId="826" fillId="0" borderId="0" xfId="0" applyFont="1"/>
    <xf numFmtId="49" fontId="825" fillId="0" borderId="0" xfId="0" applyNumberFormat="1" applyFont="1"/>
    <xf numFmtId="0" fontId="825" fillId="0" borderId="0" xfId="0" applyFont="1"/>
    <xf numFmtId="14" fontId="825" fillId="0" borderId="0" xfId="0" applyNumberFormat="1" applyFont="1" applyAlignment="1">
      <alignment horizontal="center"/>
    </xf>
    <xf numFmtId="0" fontId="824" fillId="0" borderId="0" xfId="0" applyFont="1"/>
    <xf numFmtId="0" fontId="823" fillId="0" borderId="0" xfId="0" applyFont="1"/>
    <xf numFmtId="0" fontId="822" fillId="0" borderId="0" xfId="0" applyFont="1"/>
    <xf numFmtId="0" fontId="821" fillId="0" borderId="0" xfId="0" applyFont="1"/>
    <xf numFmtId="49" fontId="820" fillId="0" borderId="0" xfId="0" applyNumberFormat="1" applyFont="1"/>
    <xf numFmtId="0" fontId="820" fillId="0" borderId="0" xfId="0" applyFont="1" applyAlignment="1">
      <alignment horizontal="center"/>
    </xf>
    <xf numFmtId="49" fontId="819" fillId="0" borderId="0" xfId="0" applyNumberFormat="1" applyFont="1"/>
    <xf numFmtId="0" fontId="818" fillId="0" borderId="0" xfId="0" applyFont="1"/>
    <xf numFmtId="0" fontId="817" fillId="0" borderId="0" xfId="0" applyFont="1"/>
    <xf numFmtId="0" fontId="817" fillId="0" borderId="0" xfId="0" applyFont="1" applyAlignment="1">
      <alignment horizontal="center"/>
    </xf>
    <xf numFmtId="0" fontId="816" fillId="0" borderId="0" xfId="0" applyFont="1"/>
    <xf numFmtId="49" fontId="815" fillId="0" borderId="0" xfId="0" applyNumberFormat="1" applyFont="1"/>
    <xf numFmtId="0" fontId="814" fillId="0" borderId="0" xfId="0" applyFont="1"/>
    <xf numFmtId="14" fontId="820" fillId="0" borderId="0" xfId="0" applyNumberFormat="1" applyFont="1" applyAlignment="1">
      <alignment horizontal="center"/>
    </xf>
    <xf numFmtId="0" fontId="813" fillId="0" borderId="0" xfId="0" applyFont="1"/>
    <xf numFmtId="49" fontId="812" fillId="0" borderId="0" xfId="0" applyNumberFormat="1" applyFont="1"/>
    <xf numFmtId="49" fontId="811" fillId="0" borderId="0" xfId="0" applyNumberFormat="1" applyFont="1"/>
    <xf numFmtId="49" fontId="810" fillId="0" borderId="0" xfId="0" applyNumberFormat="1" applyFont="1"/>
    <xf numFmtId="49" fontId="1396" fillId="0" borderId="0" xfId="0" applyNumberFormat="1" applyFont="1"/>
    <xf numFmtId="0" fontId="809" fillId="0" borderId="0" xfId="0" applyFont="1"/>
    <xf numFmtId="49" fontId="808" fillId="0" borderId="0" xfId="0" applyNumberFormat="1" applyFont="1"/>
    <xf numFmtId="0" fontId="808" fillId="0" borderId="0" xfId="0" applyFont="1"/>
    <xf numFmtId="0" fontId="807" fillId="0" borderId="0" xfId="0" applyFont="1"/>
    <xf numFmtId="14" fontId="817" fillId="0" borderId="0" xfId="0" applyNumberFormat="1" applyFont="1" applyAlignment="1">
      <alignment horizontal="center"/>
    </xf>
    <xf numFmtId="0" fontId="806" fillId="0" borderId="0" xfId="0" applyFont="1"/>
    <xf numFmtId="0" fontId="806" fillId="0" borderId="0" xfId="0" applyFont="1" applyAlignment="1">
      <alignment horizontal="center"/>
    </xf>
    <xf numFmtId="0" fontId="805" fillId="0" borderId="0" xfId="0" applyFont="1" applyAlignment="1">
      <alignment horizontal="center"/>
    </xf>
    <xf numFmtId="0" fontId="1425" fillId="0" borderId="0" xfId="0" applyFont="1"/>
    <xf numFmtId="0" fontId="805" fillId="0" borderId="0" xfId="0" applyFont="1"/>
    <xf numFmtId="0" fontId="804" fillId="0" borderId="0" xfId="0" applyFont="1"/>
    <xf numFmtId="14" fontId="806" fillId="0" borderId="0" xfId="0" applyNumberFormat="1" applyFont="1" applyAlignment="1">
      <alignment horizontal="center"/>
    </xf>
    <xf numFmtId="14" fontId="1425" fillId="0" borderId="0" xfId="0" applyNumberFormat="1" applyFont="1"/>
    <xf numFmtId="0" fontId="803" fillId="0" borderId="0" xfId="0" applyFont="1"/>
    <xf numFmtId="49" fontId="803" fillId="0" borderId="0" xfId="0" applyNumberFormat="1" applyFont="1"/>
    <xf numFmtId="0" fontId="802" fillId="0" borderId="0" xfId="0" applyFont="1" applyAlignment="1">
      <alignment horizontal="center"/>
    </xf>
    <xf numFmtId="0" fontId="802" fillId="0" borderId="0" xfId="0" applyFont="1"/>
    <xf numFmtId="49" fontId="802" fillId="0" borderId="0" xfId="0" applyNumberFormat="1" applyFont="1"/>
    <xf numFmtId="0" fontId="801" fillId="0" borderId="0" xfId="0" applyFont="1"/>
    <xf numFmtId="49" fontId="801" fillId="0" borderId="0" xfId="0" applyNumberFormat="1" applyFont="1"/>
    <xf numFmtId="0" fontId="800" fillId="0" borderId="0" xfId="0" applyFont="1"/>
    <xf numFmtId="14" fontId="802" fillId="0" borderId="0" xfId="0" applyNumberFormat="1" applyFont="1"/>
    <xf numFmtId="0" fontId="799" fillId="0" borderId="0" xfId="0" applyFont="1"/>
    <xf numFmtId="0" fontId="798" fillId="0" borderId="0" xfId="0" applyFont="1"/>
    <xf numFmtId="14" fontId="1436" fillId="0" borderId="0" xfId="0" applyNumberFormat="1" applyFont="1" applyAlignment="1">
      <alignment horizontal="center"/>
    </xf>
    <xf numFmtId="0" fontId="1436" fillId="0" borderId="0" xfId="0" applyFont="1" applyAlignment="1">
      <alignment horizontal="center"/>
    </xf>
    <xf numFmtId="0" fontId="1436" fillId="0" borderId="0" xfId="0" applyFont="1"/>
    <xf numFmtId="14" fontId="1436" fillId="0" borderId="0" xfId="0" applyNumberFormat="1" applyFont="1"/>
    <xf numFmtId="14" fontId="805" fillId="0" borderId="0" xfId="0" applyNumberFormat="1" applyFont="1" applyAlignment="1">
      <alignment horizontal="center"/>
    </xf>
    <xf numFmtId="49" fontId="797" fillId="0" borderId="0" xfId="0" applyNumberFormat="1" applyFont="1"/>
    <xf numFmtId="0" fontId="796" fillId="0" borderId="0" xfId="0" applyFont="1"/>
    <xf numFmtId="0" fontId="795" fillId="0" borderId="0" xfId="0" applyFont="1"/>
    <xf numFmtId="0" fontId="794" fillId="0" borderId="0" xfId="0" applyFont="1"/>
    <xf numFmtId="0" fontId="793" fillId="0" borderId="0" xfId="0" applyFont="1"/>
    <xf numFmtId="0" fontId="792" fillId="0" borderId="0" xfId="0" applyFont="1"/>
    <xf numFmtId="0" fontId="792" fillId="0" borderId="0" xfId="0" applyFont="1" applyAlignment="1">
      <alignment horizontal="center"/>
    </xf>
    <xf numFmtId="0" fontId="791" fillId="0" borderId="0" xfId="0" applyFont="1"/>
    <xf numFmtId="0" fontId="790" fillId="0" borderId="0" xfId="0" applyFont="1"/>
    <xf numFmtId="49" fontId="789" fillId="0" borderId="0" xfId="0" applyNumberFormat="1" applyFont="1"/>
    <xf numFmtId="0" fontId="788" fillId="0" borderId="0" xfId="0" applyFont="1"/>
    <xf numFmtId="0" fontId="787" fillId="0" borderId="0" xfId="0" applyFont="1"/>
    <xf numFmtId="0" fontId="786" fillId="0" borderId="0" xfId="0" applyFont="1"/>
    <xf numFmtId="49" fontId="786" fillId="0" borderId="0" xfId="0" applyNumberFormat="1" applyFont="1"/>
    <xf numFmtId="0" fontId="785" fillId="0" borderId="0" xfId="0" applyFont="1" applyAlignment="1">
      <alignment horizontal="left"/>
    </xf>
    <xf numFmtId="0" fontId="785" fillId="0" borderId="0" xfId="0" applyFont="1"/>
    <xf numFmtId="0" fontId="784" fillId="0" borderId="0" xfId="0" applyFont="1"/>
    <xf numFmtId="49" fontId="783" fillId="0" borderId="0" xfId="0" applyNumberFormat="1" applyFont="1"/>
    <xf numFmtId="0" fontId="783" fillId="0" borderId="0" xfId="0" applyFont="1"/>
    <xf numFmtId="49" fontId="782" fillId="0" borderId="0" xfId="0" applyNumberFormat="1" applyFont="1"/>
    <xf numFmtId="0" fontId="781" fillId="0" borderId="0" xfId="0" applyFont="1"/>
    <xf numFmtId="0" fontId="781" fillId="0" borderId="0" xfId="0" applyFont="1" applyAlignment="1">
      <alignment horizontal="center"/>
    </xf>
    <xf numFmtId="0" fontId="1393" fillId="0" borderId="0" xfId="0" applyFont="1"/>
    <xf numFmtId="14" fontId="1413" fillId="0" borderId="0" xfId="0" applyNumberFormat="1" applyFont="1"/>
    <xf numFmtId="0" fontId="1437" fillId="0" borderId="0" xfId="0" applyFont="1"/>
    <xf numFmtId="14" fontId="1413" fillId="0" borderId="0" xfId="0" applyNumberFormat="1" applyFont="1" applyAlignment="1">
      <alignment horizontal="center"/>
    </xf>
    <xf numFmtId="49" fontId="780" fillId="0" borderId="0" xfId="0" applyNumberFormat="1" applyFont="1"/>
    <xf numFmtId="49" fontId="779" fillId="0" borderId="0" xfId="0" applyNumberFormat="1" applyFont="1"/>
    <xf numFmtId="0" fontId="779" fillId="0" borderId="0" xfId="0" applyFont="1"/>
    <xf numFmtId="49" fontId="778" fillId="0" borderId="0" xfId="0" applyNumberFormat="1" applyFont="1"/>
    <xf numFmtId="0" fontId="777" fillId="0" borderId="0" xfId="0" applyFont="1"/>
    <xf numFmtId="0" fontId="776" fillId="0" borderId="0" xfId="0" applyFont="1"/>
    <xf numFmtId="49" fontId="775" fillId="0" borderId="0" xfId="0" applyNumberFormat="1" applyFont="1"/>
    <xf numFmtId="14" fontId="781" fillId="0" borderId="0" xfId="0" applyNumberFormat="1" applyFont="1" applyAlignment="1">
      <alignment horizontal="center"/>
    </xf>
    <xf numFmtId="0" fontId="774" fillId="0" borderId="0" xfId="0" applyFont="1"/>
    <xf numFmtId="0" fontId="1438" fillId="0" borderId="0" xfId="0" applyFont="1"/>
    <xf numFmtId="0" fontId="1439" fillId="0" borderId="0" xfId="0" applyFont="1"/>
    <xf numFmtId="0" fontId="1439" fillId="0" borderId="0" xfId="0" applyFont="1" applyAlignment="1">
      <alignment horizontal="center"/>
    </xf>
    <xf numFmtId="0" fontId="773" fillId="0" borderId="0" xfId="0" applyFont="1"/>
    <xf numFmtId="0" fontId="772" fillId="0" borderId="0" xfId="0" applyFont="1"/>
    <xf numFmtId="0" fontId="771" fillId="0" borderId="0" xfId="0" applyFont="1"/>
    <xf numFmtId="14" fontId="1439" fillId="0" borderId="0" xfId="0" applyNumberFormat="1" applyFont="1"/>
    <xf numFmtId="0" fontId="770" fillId="0" borderId="0" xfId="0" applyFont="1"/>
    <xf numFmtId="49" fontId="770" fillId="0" borderId="0" xfId="0" applyNumberFormat="1" applyFont="1"/>
    <xf numFmtId="0" fontId="769" fillId="0" borderId="0" xfId="0" applyFont="1"/>
    <xf numFmtId="14" fontId="784" fillId="0" borderId="0" xfId="0" applyNumberFormat="1" applyFont="1" applyAlignment="1">
      <alignment horizontal="center"/>
    </xf>
    <xf numFmtId="14" fontId="768" fillId="0" borderId="0" xfId="0" applyNumberFormat="1" applyFont="1" applyAlignment="1">
      <alignment horizontal="center"/>
    </xf>
    <xf numFmtId="0" fontId="768" fillId="0" borderId="0" xfId="0" applyFont="1"/>
    <xf numFmtId="0" fontId="767" fillId="0" borderId="0" xfId="0" applyFont="1"/>
    <xf numFmtId="0" fontId="766" fillId="0" borderId="0" xfId="0" applyFont="1"/>
    <xf numFmtId="0" fontId="0" fillId="11" borderId="0" xfId="0" applyFill="1"/>
    <xf numFmtId="0" fontId="765" fillId="0" borderId="0" xfId="0" applyFont="1"/>
    <xf numFmtId="49" fontId="765" fillId="0" borderId="0" xfId="0" applyNumberFormat="1" applyFont="1"/>
    <xf numFmtId="14" fontId="772" fillId="0" borderId="0" xfId="0" applyNumberFormat="1" applyFont="1" applyAlignment="1">
      <alignment horizontal="center"/>
    </xf>
    <xf numFmtId="0" fontId="764" fillId="0" borderId="0" xfId="0" applyFont="1"/>
    <xf numFmtId="49" fontId="764" fillId="0" borderId="0" xfId="0" applyNumberFormat="1" applyFont="1"/>
    <xf numFmtId="0" fontId="763" fillId="0" borderId="0" xfId="0" applyFont="1"/>
    <xf numFmtId="0" fontId="762" fillId="0" borderId="0" xfId="0" applyFont="1"/>
    <xf numFmtId="14" fontId="761" fillId="0" borderId="0" xfId="0" applyNumberFormat="1" applyFont="1"/>
    <xf numFmtId="0" fontId="760" fillId="0" borderId="0" xfId="0" applyFont="1" applyAlignment="1">
      <alignment horizontal="center"/>
    </xf>
    <xf numFmtId="0" fontId="759" fillId="0" borderId="0" xfId="0" applyFont="1"/>
    <xf numFmtId="0" fontId="758" fillId="0" borderId="0" xfId="0" applyFont="1"/>
    <xf numFmtId="0" fontId="757" fillId="0" borderId="0" xfId="0" applyFont="1"/>
    <xf numFmtId="0" fontId="756" fillId="0" borderId="0" xfId="0" applyFont="1"/>
    <xf numFmtId="14" fontId="1413" fillId="8" borderId="0" xfId="0" applyNumberFormat="1" applyFont="1" applyFill="1"/>
    <xf numFmtId="49" fontId="1413" fillId="8" borderId="0" xfId="0" applyNumberFormat="1" applyFont="1" applyFill="1"/>
    <xf numFmtId="0" fontId="755" fillId="0" borderId="0" xfId="0" applyFont="1"/>
    <xf numFmtId="0" fontId="754" fillId="0" borderId="0" xfId="0" applyFont="1"/>
    <xf numFmtId="0" fontId="753" fillId="0" borderId="0" xfId="0" applyFont="1"/>
    <xf numFmtId="49" fontId="752" fillId="0" borderId="0" xfId="0" applyNumberFormat="1" applyFont="1"/>
    <xf numFmtId="0" fontId="751" fillId="0" borderId="0" xfId="0" applyFont="1"/>
    <xf numFmtId="0" fontId="750" fillId="0" borderId="0" xfId="0" applyFont="1"/>
    <xf numFmtId="0" fontId="749" fillId="0" borderId="0" xfId="0" applyFont="1"/>
    <xf numFmtId="14" fontId="770" fillId="0" borderId="0" xfId="0" applyNumberFormat="1" applyFont="1" applyAlignment="1">
      <alignment horizontal="center"/>
    </xf>
    <xf numFmtId="0" fontId="748" fillId="0" borderId="0" xfId="0" applyFont="1"/>
    <xf numFmtId="0" fontId="747" fillId="0" borderId="0" xfId="0" applyFont="1"/>
    <xf numFmtId="0" fontId="746" fillId="0" borderId="0" xfId="0" applyFont="1"/>
    <xf numFmtId="0" fontId="745" fillId="0" borderId="0" xfId="0" applyFont="1"/>
    <xf numFmtId="0" fontId="744" fillId="0" borderId="0" xfId="0" applyFont="1"/>
    <xf numFmtId="0" fontId="743" fillId="0" borderId="0" xfId="0" applyFont="1"/>
    <xf numFmtId="49" fontId="743" fillId="0" borderId="0" xfId="0" applyNumberFormat="1" applyFont="1"/>
    <xf numFmtId="0" fontId="742" fillId="0" borderId="0" xfId="0" applyFont="1"/>
    <xf numFmtId="0" fontId="741" fillId="0" borderId="0" xfId="0" applyFont="1" applyAlignment="1">
      <alignment horizontal="center"/>
    </xf>
    <xf numFmtId="0" fontId="741" fillId="0" borderId="0" xfId="0" applyFont="1"/>
    <xf numFmtId="0" fontId="740" fillId="0" borderId="0" xfId="0" applyFont="1"/>
    <xf numFmtId="0" fontId="739" fillId="0" borderId="0" xfId="0" applyFont="1" applyAlignment="1">
      <alignment horizontal="center"/>
    </xf>
    <xf numFmtId="49" fontId="739" fillId="0" borderId="0" xfId="0" applyNumberFormat="1" applyFont="1"/>
    <xf numFmtId="49" fontId="737" fillId="0" borderId="0" xfId="0" applyNumberFormat="1" applyFont="1"/>
    <xf numFmtId="0" fontId="737" fillId="0" borderId="0" xfId="0" applyFont="1"/>
    <xf numFmtId="0" fontId="736" fillId="0" borderId="0" xfId="0" applyFont="1"/>
    <xf numFmtId="0" fontId="735" fillId="0" borderId="0" xfId="0" applyFont="1"/>
    <xf numFmtId="0" fontId="734" fillId="0" borderId="0" xfId="0" applyFont="1"/>
    <xf numFmtId="14" fontId="738" fillId="0" borderId="0" xfId="0" applyNumberFormat="1" applyFont="1" applyAlignment="1">
      <alignment horizontal="center"/>
    </xf>
    <xf numFmtId="0" fontId="733" fillId="0" borderId="0" xfId="0" applyFont="1"/>
    <xf numFmtId="0" fontId="732" fillId="0" borderId="0" xfId="0" applyFont="1"/>
    <xf numFmtId="0" fontId="731" fillId="0" borderId="0" xfId="0" applyFont="1"/>
    <xf numFmtId="0" fontId="731" fillId="0" borderId="0" xfId="0" applyFont="1" applyAlignment="1">
      <alignment horizontal="center"/>
    </xf>
    <xf numFmtId="14" fontId="731" fillId="0" borderId="0" xfId="0" applyNumberFormat="1" applyFont="1" applyAlignment="1">
      <alignment horizontal="center"/>
    </xf>
    <xf numFmtId="0" fontId="730" fillId="0" borderId="0" xfId="0" applyFont="1" applyAlignment="1">
      <alignment horizontal="center"/>
    </xf>
    <xf numFmtId="0" fontId="729" fillId="0" borderId="0" xfId="0" applyFont="1" applyAlignment="1">
      <alignment horizontal="center"/>
    </xf>
    <xf numFmtId="0" fontId="729" fillId="0" borderId="0" xfId="0" applyFont="1"/>
    <xf numFmtId="0" fontId="728" fillId="0" borderId="0" xfId="0" applyFont="1"/>
    <xf numFmtId="0" fontId="727" fillId="0" borderId="0" xfId="0" applyFont="1"/>
    <xf numFmtId="0" fontId="726" fillId="0" borderId="0" xfId="0" applyFont="1" applyAlignment="1">
      <alignment horizontal="center"/>
    </xf>
    <xf numFmtId="0" fontId="726" fillId="0" borderId="0" xfId="0" applyFont="1" applyAlignment="1">
      <alignment horizontal="left"/>
    </xf>
    <xf numFmtId="0" fontId="726" fillId="0" borderId="0" xfId="0" applyFont="1"/>
    <xf numFmtId="14" fontId="741" fillId="0" borderId="0" xfId="0" applyNumberFormat="1" applyFont="1" applyAlignment="1">
      <alignment horizontal="center"/>
    </xf>
    <xf numFmtId="0" fontId="725" fillId="0" borderId="0" xfId="0" applyFont="1"/>
    <xf numFmtId="49" fontId="725" fillId="0" borderId="0" xfId="0" applyNumberFormat="1" applyFont="1"/>
    <xf numFmtId="0" fontId="724" fillId="0" borderId="0" xfId="0" applyFont="1" applyAlignment="1">
      <alignment horizontal="center"/>
    </xf>
    <xf numFmtId="0" fontId="723" fillId="0" borderId="0" xfId="0" applyFont="1"/>
    <xf numFmtId="0" fontId="722" fillId="0" borderId="0" xfId="0" applyFont="1"/>
    <xf numFmtId="0" fontId="721" fillId="0" borderId="0" xfId="0" applyFont="1"/>
    <xf numFmtId="0" fontId="720" fillId="0" borderId="0" xfId="0" applyFont="1"/>
    <xf numFmtId="0" fontId="719" fillId="0" borderId="0" xfId="0" applyFont="1"/>
    <xf numFmtId="0" fontId="718" fillId="0" borderId="0" xfId="0" applyFont="1"/>
    <xf numFmtId="0" fontId="718" fillId="0" borderId="0" xfId="0" applyFont="1" applyAlignment="1">
      <alignment horizontal="center"/>
    </xf>
    <xf numFmtId="0" fontId="717" fillId="0" borderId="0" xfId="0" applyFont="1"/>
    <xf numFmtId="0" fontId="716" fillId="0" borderId="0" xfId="0" applyFont="1"/>
    <xf numFmtId="0" fontId="715" fillId="0" borderId="0" xfId="0" applyFont="1"/>
    <xf numFmtId="0" fontId="714" fillId="0" borderId="0" xfId="0" applyFont="1"/>
    <xf numFmtId="49" fontId="713" fillId="0" borderId="0" xfId="0" applyNumberFormat="1" applyFont="1"/>
    <xf numFmtId="0" fontId="712" fillId="0" borderId="0" xfId="0" applyFont="1"/>
    <xf numFmtId="0" fontId="712" fillId="0" borderId="0" xfId="0" applyFont="1" applyAlignment="1">
      <alignment horizontal="center"/>
    </xf>
    <xf numFmtId="0" fontId="711" fillId="0" borderId="0" xfId="0" applyFont="1"/>
    <xf numFmtId="49" fontId="711" fillId="0" borderId="0" xfId="0" applyNumberFormat="1" applyFont="1"/>
    <xf numFmtId="0" fontId="710" fillId="0" borderId="0" xfId="0" applyFont="1"/>
    <xf numFmtId="0" fontId="709" fillId="0" borderId="0" xfId="0" applyFont="1"/>
    <xf numFmtId="0" fontId="709" fillId="0" borderId="0" xfId="0" applyFont="1" applyAlignment="1">
      <alignment horizontal="center"/>
    </xf>
    <xf numFmtId="0" fontId="708" fillId="0" borderId="0" xfId="0" applyFont="1"/>
    <xf numFmtId="14" fontId="709" fillId="0" borderId="0" xfId="0" applyNumberFormat="1" applyFont="1" applyAlignment="1">
      <alignment horizontal="center"/>
    </xf>
    <xf numFmtId="0" fontId="707" fillId="0" borderId="0" xfId="0" applyFont="1"/>
    <xf numFmtId="0" fontId="706" fillId="0" borderId="0" xfId="0" applyFont="1"/>
    <xf numFmtId="0" fontId="705" fillId="0" borderId="0" xfId="0" applyFont="1"/>
    <xf numFmtId="0" fontId="704" fillId="0" borderId="0" xfId="0" applyFont="1"/>
    <xf numFmtId="0" fontId="703" fillId="0" borderId="0" xfId="0" applyFont="1"/>
    <xf numFmtId="0" fontId="702" fillId="0" borderId="0" xfId="0" applyFont="1" applyAlignment="1">
      <alignment horizontal="center"/>
    </xf>
    <xf numFmtId="0" fontId="702" fillId="0" borderId="0" xfId="0" applyFont="1"/>
    <xf numFmtId="0" fontId="701" fillId="0" borderId="0" xfId="0" applyFont="1"/>
    <xf numFmtId="0" fontId="700" fillId="0" borderId="0" xfId="0" applyFont="1"/>
    <xf numFmtId="0" fontId="699" fillId="0" borderId="0" xfId="0" applyFont="1"/>
    <xf numFmtId="0" fontId="1440" fillId="0" borderId="0" xfId="0" applyFont="1"/>
    <xf numFmtId="49" fontId="698" fillId="0" borderId="0" xfId="0" applyNumberFormat="1" applyFont="1"/>
    <xf numFmtId="0" fontId="697" fillId="0" borderId="0" xfId="0" applyFont="1"/>
    <xf numFmtId="49" fontId="696" fillId="0" borderId="0" xfId="0" applyNumberFormat="1" applyFont="1"/>
    <xf numFmtId="0" fontId="695" fillId="0" borderId="0" xfId="0" applyFont="1"/>
    <xf numFmtId="49" fontId="694" fillId="0" borderId="0" xfId="0" applyNumberFormat="1" applyFont="1"/>
    <xf numFmtId="49" fontId="693" fillId="0" borderId="0" xfId="0" applyNumberFormat="1" applyFont="1"/>
    <xf numFmtId="0" fontId="692" fillId="0" borderId="0" xfId="0" applyFont="1" applyAlignment="1">
      <alignment horizontal="center"/>
    </xf>
    <xf numFmtId="0" fontId="692" fillId="0" borderId="0" xfId="0" applyFont="1"/>
    <xf numFmtId="49" fontId="691" fillId="0" borderId="0" xfId="0" applyNumberFormat="1" applyFont="1"/>
    <xf numFmtId="0" fontId="691" fillId="0" borderId="0" xfId="0" applyFont="1"/>
    <xf numFmtId="0" fontId="690" fillId="0" borderId="0" xfId="0" applyFont="1"/>
    <xf numFmtId="0" fontId="689" fillId="0" borderId="0" xfId="0" applyFont="1"/>
    <xf numFmtId="0" fontId="689" fillId="0" borderId="0" xfId="0" applyFont="1" applyAlignment="1">
      <alignment horizontal="center"/>
    </xf>
    <xf numFmtId="49" fontId="688" fillId="0" borderId="0" xfId="0" applyNumberFormat="1" applyFont="1"/>
    <xf numFmtId="0" fontId="687" fillId="0" borderId="0" xfId="0" applyFont="1"/>
    <xf numFmtId="0" fontId="687" fillId="0" borderId="0" xfId="0" applyFont="1" applyAlignment="1">
      <alignment horizontal="center"/>
    </xf>
    <xf numFmtId="0" fontId="686" fillId="0" borderId="0" xfId="0" applyFont="1"/>
    <xf numFmtId="0" fontId="684" fillId="0" borderId="0" xfId="0" applyFont="1"/>
    <xf numFmtId="0" fontId="683" fillId="0" borderId="0" xfId="0" applyFont="1"/>
    <xf numFmtId="49" fontId="682" fillId="0" borderId="0" xfId="0" applyNumberFormat="1" applyFont="1"/>
    <xf numFmtId="0" fontId="681" fillId="0" borderId="0" xfId="0" applyFont="1"/>
    <xf numFmtId="14" fontId="724" fillId="0" borderId="0" xfId="0" applyNumberFormat="1" applyFont="1" applyAlignment="1">
      <alignment horizontal="center"/>
    </xf>
    <xf numFmtId="0" fontId="680" fillId="0" borderId="0" xfId="0" applyFont="1"/>
    <xf numFmtId="0" fontId="679" fillId="0" borderId="0" xfId="0" applyFont="1"/>
    <xf numFmtId="0" fontId="678" fillId="0" borderId="0" xfId="0" applyFont="1" applyAlignment="1">
      <alignment horizontal="center"/>
    </xf>
    <xf numFmtId="0" fontId="678" fillId="0" borderId="0" xfId="0" applyFont="1"/>
    <xf numFmtId="0" fontId="677" fillId="0" borderId="0" xfId="0" applyFont="1"/>
    <xf numFmtId="49" fontId="677" fillId="0" borderId="0" xfId="0" applyNumberFormat="1" applyFont="1"/>
    <xf numFmtId="49" fontId="676" fillId="0" borderId="0" xfId="0" applyNumberFormat="1" applyFont="1"/>
    <xf numFmtId="0" fontId="674" fillId="0" borderId="0" xfId="0" applyFont="1"/>
    <xf numFmtId="49" fontId="673" fillId="0" borderId="0" xfId="0" applyNumberFormat="1" applyFont="1"/>
    <xf numFmtId="0" fontId="672" fillId="0" borderId="0" xfId="0" applyFont="1"/>
    <xf numFmtId="0" fontId="671" fillId="0" borderId="0" xfId="0" applyFont="1"/>
    <xf numFmtId="14" fontId="678" fillId="0" borderId="0" xfId="0" applyNumberFormat="1" applyFont="1" applyAlignment="1">
      <alignment horizontal="center"/>
    </xf>
    <xf numFmtId="0" fontId="670" fillId="0" borderId="0" xfId="0" applyFont="1"/>
    <xf numFmtId="0" fontId="669" fillId="0" borderId="0" xfId="0" applyFont="1"/>
    <xf numFmtId="49" fontId="669" fillId="0" borderId="0" xfId="0" applyNumberFormat="1" applyFont="1"/>
    <xf numFmtId="49" fontId="668" fillId="0" borderId="0" xfId="0" applyNumberFormat="1" applyFont="1"/>
    <xf numFmtId="0" fontId="668" fillId="0" borderId="0" xfId="0" applyFont="1"/>
    <xf numFmtId="0" fontId="668" fillId="0" borderId="0" xfId="0" applyFont="1" applyAlignment="1">
      <alignment horizontal="center"/>
    </xf>
    <xf numFmtId="49" fontId="667" fillId="0" borderId="0" xfId="0" applyNumberFormat="1" applyFont="1"/>
    <xf numFmtId="0" fontId="667" fillId="0" borderId="0" xfId="0" applyFont="1" applyAlignment="1">
      <alignment horizontal="center"/>
    </xf>
    <xf numFmtId="49" fontId="666" fillId="0" borderId="0" xfId="0" applyNumberFormat="1" applyFont="1"/>
    <xf numFmtId="0" fontId="665" fillId="0" borderId="0" xfId="0" applyFont="1"/>
    <xf numFmtId="0" fontId="664" fillId="0" borderId="0" xfId="0" applyFont="1"/>
    <xf numFmtId="0" fontId="663" fillId="0" borderId="0" xfId="0" applyFont="1"/>
    <xf numFmtId="0" fontId="662" fillId="0" borderId="0" xfId="0" applyFont="1"/>
    <xf numFmtId="0" fontId="661" fillId="0" borderId="0" xfId="0" applyFont="1"/>
    <xf numFmtId="49" fontId="661" fillId="0" borderId="0" xfId="0" applyNumberFormat="1" applyFont="1"/>
    <xf numFmtId="0" fontId="660" fillId="0" borderId="0" xfId="0" applyFont="1"/>
    <xf numFmtId="0" fontId="659" fillId="0" borderId="0" xfId="0" applyFont="1"/>
    <xf numFmtId="14" fontId="792" fillId="0" borderId="0" xfId="0" applyNumberFormat="1" applyFont="1" applyAlignment="1">
      <alignment horizontal="center"/>
    </xf>
    <xf numFmtId="0" fontId="658" fillId="0" borderId="0" xfId="0" applyFont="1"/>
    <xf numFmtId="49" fontId="657" fillId="0" borderId="0" xfId="0" applyNumberFormat="1" applyFont="1"/>
    <xf numFmtId="49" fontId="656" fillId="0" borderId="0" xfId="0" applyNumberFormat="1" applyFont="1"/>
    <xf numFmtId="49" fontId="655" fillId="0" borderId="0" xfId="0" applyNumberFormat="1" applyFont="1"/>
    <xf numFmtId="49" fontId="654" fillId="0" borderId="0" xfId="0" applyNumberFormat="1" applyFont="1"/>
    <xf numFmtId="49" fontId="653" fillId="0" borderId="0" xfId="0" applyNumberFormat="1" applyFont="1"/>
    <xf numFmtId="0" fontId="651" fillId="0" borderId="0" xfId="0" applyFont="1"/>
    <xf numFmtId="0" fontId="650" fillId="0" borderId="0" xfId="0" applyFont="1"/>
    <xf numFmtId="49" fontId="649" fillId="0" borderId="0" xfId="0" applyNumberFormat="1" applyFont="1"/>
    <xf numFmtId="0" fontId="649" fillId="0" borderId="0" xfId="0" applyFont="1"/>
    <xf numFmtId="0" fontId="648" fillId="0" borderId="0" xfId="0" applyFont="1"/>
    <xf numFmtId="49" fontId="647" fillId="0" borderId="0" xfId="0" applyNumberFormat="1" applyFont="1"/>
    <xf numFmtId="49" fontId="646" fillId="0" borderId="0" xfId="0" applyNumberFormat="1" applyFont="1"/>
    <xf numFmtId="0" fontId="645" fillId="0" borderId="0" xfId="0" applyFont="1"/>
    <xf numFmtId="49" fontId="644" fillId="0" borderId="0" xfId="0" applyNumberFormat="1" applyFont="1"/>
    <xf numFmtId="0" fontId="644" fillId="0" borderId="0" xfId="0" applyFont="1"/>
    <xf numFmtId="0" fontId="644" fillId="0" borderId="0" xfId="0" applyFont="1" applyAlignment="1">
      <alignment horizontal="center"/>
    </xf>
    <xf numFmtId="49" fontId="643" fillId="0" borderId="0" xfId="0" applyNumberFormat="1" applyFont="1"/>
    <xf numFmtId="0" fontId="642" fillId="0" borderId="0" xfId="0" applyFont="1"/>
    <xf numFmtId="0" fontId="641" fillId="0" borderId="0" xfId="0" applyFont="1"/>
    <xf numFmtId="0" fontId="640" fillId="0" borderId="0" xfId="0" applyFont="1"/>
    <xf numFmtId="0" fontId="639" fillId="0" borderId="0" xfId="0" applyFont="1"/>
    <xf numFmtId="0" fontId="638" fillId="0" borderId="0" xfId="0" applyFont="1"/>
    <xf numFmtId="0" fontId="637" fillId="0" borderId="0" xfId="0" applyFont="1"/>
    <xf numFmtId="49" fontId="637" fillId="0" borderId="0" xfId="0" applyNumberFormat="1" applyFont="1"/>
    <xf numFmtId="0" fontId="662" fillId="0" borderId="0" xfId="0" applyFont="1" applyAlignment="1">
      <alignment horizontal="center"/>
    </xf>
    <xf numFmtId="0" fontId="636" fillId="0" borderId="0" xfId="0" applyFont="1"/>
    <xf numFmtId="0" fontId="1442" fillId="8" borderId="0" xfId="0" applyFont="1" applyFill="1"/>
    <xf numFmtId="14" fontId="1442" fillId="8" borderId="0" xfId="0" applyNumberFormat="1" applyFont="1" applyFill="1"/>
    <xf numFmtId="0" fontId="1442" fillId="8" borderId="0" xfId="0" applyFont="1" applyFill="1" applyAlignment="1">
      <alignment horizontal="center"/>
    </xf>
    <xf numFmtId="0" fontId="1435" fillId="8" borderId="0" xfId="0" applyFont="1" applyFill="1"/>
    <xf numFmtId="49" fontId="635" fillId="0" borderId="0" xfId="0" applyNumberFormat="1" applyFont="1"/>
    <xf numFmtId="0" fontId="1442" fillId="0" borderId="0" xfId="0" applyFont="1"/>
    <xf numFmtId="14" fontId="635" fillId="0" borderId="0" xfId="0" applyNumberFormat="1" applyFont="1"/>
    <xf numFmtId="0" fontId="635" fillId="0" borderId="0" xfId="0" applyFont="1" applyAlignment="1">
      <alignment horizontal="center"/>
    </xf>
    <xf numFmtId="0" fontId="635" fillId="0" borderId="0" xfId="0" applyFont="1"/>
    <xf numFmtId="0" fontId="1443" fillId="0" borderId="0" xfId="0" applyFont="1"/>
    <xf numFmtId="49" fontId="634" fillId="0" borderId="0" xfId="0" applyNumberFormat="1" applyFont="1"/>
    <xf numFmtId="49" fontId="633" fillId="0" borderId="0" xfId="0" applyNumberFormat="1" applyFont="1"/>
    <xf numFmtId="0" fontId="632" fillId="0" borderId="0" xfId="0" applyFont="1"/>
    <xf numFmtId="0" fontId="631" fillId="0" borderId="0" xfId="0" applyFont="1"/>
    <xf numFmtId="0" fontId="630" fillId="0" borderId="0" xfId="0" applyFont="1"/>
    <xf numFmtId="49" fontId="630" fillId="0" borderId="0" xfId="0" applyNumberFormat="1" applyFont="1"/>
    <xf numFmtId="0" fontId="629" fillId="0" borderId="0" xfId="0" applyFont="1"/>
    <xf numFmtId="0" fontId="628" fillId="0" borderId="0" xfId="0" applyFont="1"/>
    <xf numFmtId="49" fontId="627" fillId="0" borderId="0" xfId="0" applyNumberFormat="1" applyFont="1"/>
    <xf numFmtId="0" fontId="626" fillId="0" borderId="0" xfId="0" applyFont="1" applyAlignment="1">
      <alignment horizontal="center"/>
    </xf>
    <xf numFmtId="49" fontId="625" fillId="0" borderId="0" xfId="0" applyNumberFormat="1" applyFont="1"/>
    <xf numFmtId="49" fontId="1415" fillId="0" borderId="0" xfId="0" applyNumberFormat="1" applyFont="1"/>
    <xf numFmtId="49" fontId="624" fillId="0" borderId="0" xfId="0" applyNumberFormat="1" applyFont="1"/>
    <xf numFmtId="49" fontId="623" fillId="0" borderId="0" xfId="0" applyNumberFormat="1" applyFont="1"/>
    <xf numFmtId="14" fontId="626" fillId="0" borderId="0" xfId="0" applyNumberFormat="1" applyFont="1" applyAlignment="1">
      <alignment horizontal="center"/>
    </xf>
    <xf numFmtId="0" fontId="622" fillId="0" borderId="0" xfId="0" applyFont="1"/>
    <xf numFmtId="0" fontId="621" fillId="0" borderId="0" xfId="0" applyFont="1"/>
    <xf numFmtId="49" fontId="620" fillId="0" borderId="0" xfId="0" applyNumberFormat="1" applyFont="1"/>
    <xf numFmtId="0" fontId="620" fillId="0" borderId="0" xfId="0" applyFont="1"/>
    <xf numFmtId="49" fontId="619" fillId="0" borderId="0" xfId="0" applyNumberFormat="1" applyFont="1"/>
    <xf numFmtId="49" fontId="618" fillId="0" borderId="0" xfId="0" applyNumberFormat="1" applyFont="1"/>
    <xf numFmtId="49" fontId="617" fillId="0" borderId="0" xfId="0" applyNumberFormat="1" applyFont="1"/>
    <xf numFmtId="0" fontId="616" fillId="0" borderId="0" xfId="0" applyFont="1"/>
    <xf numFmtId="0" fontId="616" fillId="0" borderId="0" xfId="0" applyFont="1" applyAlignment="1">
      <alignment horizontal="center"/>
    </xf>
    <xf numFmtId="49" fontId="615" fillId="0" borderId="0" xfId="0" applyNumberFormat="1" applyFont="1"/>
    <xf numFmtId="49" fontId="614" fillId="0" borderId="0" xfId="0" applyNumberFormat="1" applyFont="1"/>
    <xf numFmtId="0" fontId="614" fillId="0" borderId="0" xfId="0" applyFont="1"/>
    <xf numFmtId="49" fontId="613" fillId="0" borderId="0" xfId="0" applyNumberFormat="1" applyFont="1"/>
    <xf numFmtId="0" fontId="613" fillId="0" borderId="0" xfId="0" applyFont="1"/>
    <xf numFmtId="49" fontId="612" fillId="0" borderId="0" xfId="0" applyNumberFormat="1" applyFont="1"/>
    <xf numFmtId="49" fontId="611" fillId="0" borderId="0" xfId="0" applyNumberFormat="1" applyFont="1"/>
    <xf numFmtId="0" fontId="610" fillId="0" borderId="0" xfId="0" applyFont="1"/>
    <xf numFmtId="14" fontId="616" fillId="0" borderId="0" xfId="0" applyNumberFormat="1" applyFont="1" applyAlignment="1">
      <alignment horizontal="center"/>
    </xf>
    <xf numFmtId="0" fontId="609" fillId="0" borderId="0" xfId="0" applyFont="1"/>
    <xf numFmtId="0" fontId="608" fillId="0" borderId="0" xfId="0" applyFont="1"/>
    <xf numFmtId="49" fontId="607" fillId="0" borderId="0" xfId="0" applyNumberFormat="1" applyFont="1"/>
    <xf numFmtId="0" fontId="606" fillId="0" borderId="0" xfId="0" applyFont="1"/>
    <xf numFmtId="0" fontId="605" fillId="0" borderId="0" xfId="0" applyFont="1"/>
    <xf numFmtId="0" fontId="604" fillId="0" borderId="0" xfId="0" applyFont="1"/>
    <xf numFmtId="49" fontId="604" fillId="0" borderId="0" xfId="0" applyNumberFormat="1" applyFont="1"/>
    <xf numFmtId="0" fontId="603" fillId="0" borderId="0" xfId="0" applyFont="1"/>
    <xf numFmtId="0" fontId="602" fillId="0" borderId="0" xfId="0" applyFont="1"/>
    <xf numFmtId="0" fontId="601" fillId="0" borderId="0" xfId="0" applyFont="1"/>
    <xf numFmtId="49" fontId="600" fillId="0" borderId="0" xfId="0" applyNumberFormat="1" applyFont="1"/>
    <xf numFmtId="49" fontId="599" fillId="0" borderId="0" xfId="0" applyNumberFormat="1" applyFont="1"/>
    <xf numFmtId="49" fontId="598" fillId="0" borderId="0" xfId="0" applyNumberFormat="1" applyFont="1"/>
    <xf numFmtId="0" fontId="597" fillId="0" borderId="0" xfId="0" applyFont="1"/>
    <xf numFmtId="0" fontId="597" fillId="0" borderId="0" xfId="0" applyFont="1" applyAlignment="1">
      <alignment horizontal="center"/>
    </xf>
    <xf numFmtId="49" fontId="597" fillId="0" borderId="0" xfId="0" applyNumberFormat="1" applyFont="1"/>
    <xf numFmtId="0" fontId="595" fillId="0" borderId="0" xfId="0" applyFont="1"/>
    <xf numFmtId="0" fontId="594" fillId="0" borderId="0" xfId="0" applyFont="1"/>
    <xf numFmtId="0" fontId="593" fillId="0" borderId="0" xfId="0" applyFont="1"/>
    <xf numFmtId="0" fontId="592" fillId="0" borderId="0" xfId="0" applyFont="1"/>
    <xf numFmtId="0" fontId="590" fillId="0" borderId="0" xfId="0" applyFont="1" applyAlignment="1">
      <alignment horizontal="center"/>
    </xf>
    <xf numFmtId="0" fontId="589" fillId="0" borderId="0" xfId="0" applyFont="1"/>
    <xf numFmtId="0" fontId="588" fillId="0" borderId="0" xfId="0" applyFont="1"/>
    <xf numFmtId="0" fontId="587" fillId="0" borderId="0" xfId="0" applyFont="1" applyAlignment="1">
      <alignment horizontal="center"/>
    </xf>
    <xf numFmtId="14" fontId="731" fillId="0" borderId="0" xfId="0" applyNumberFormat="1" applyFont="1"/>
    <xf numFmtId="49" fontId="585" fillId="0" borderId="0" xfId="0" applyNumberFormat="1" applyFont="1"/>
    <xf numFmtId="49" fontId="584" fillId="0" borderId="0" xfId="0" applyNumberFormat="1" applyFont="1"/>
    <xf numFmtId="49" fontId="583" fillId="0" borderId="0" xfId="0" applyNumberFormat="1" applyFont="1"/>
    <xf numFmtId="0" fontId="582" fillId="0" borderId="0" xfId="0" applyFont="1"/>
    <xf numFmtId="0" fontId="582" fillId="0" borderId="0" xfId="0" applyFont="1" applyAlignment="1">
      <alignment horizontal="left"/>
    </xf>
    <xf numFmtId="0" fontId="581" fillId="0" borderId="0" xfId="0" applyFont="1" applyAlignment="1">
      <alignment horizontal="center"/>
    </xf>
    <xf numFmtId="0" fontId="581" fillId="0" borderId="0" xfId="0" applyFont="1"/>
    <xf numFmtId="0" fontId="580" fillId="0" borderId="0" xfId="0" applyFont="1"/>
    <xf numFmtId="0" fontId="579" fillId="0" borderId="0" xfId="0" applyFont="1"/>
    <xf numFmtId="0" fontId="578" fillId="0" borderId="0" xfId="0" applyFont="1"/>
    <xf numFmtId="0" fontId="577" fillId="0" borderId="0" xfId="0" applyFont="1"/>
    <xf numFmtId="0" fontId="576" fillId="0" borderId="0" xfId="0" applyFont="1" applyAlignment="1">
      <alignment horizontal="center"/>
    </xf>
    <xf numFmtId="0" fontId="575" fillId="0" borderId="0" xfId="0" applyFont="1"/>
    <xf numFmtId="49" fontId="574" fillId="0" borderId="0" xfId="0" applyNumberFormat="1" applyFont="1"/>
    <xf numFmtId="0" fontId="574" fillId="0" borderId="0" xfId="0" applyFont="1"/>
    <xf numFmtId="0" fontId="573" fillId="0" borderId="0" xfId="0" applyFont="1"/>
    <xf numFmtId="0" fontId="1444" fillId="8" borderId="0" xfId="0" applyFont="1" applyFill="1"/>
    <xf numFmtId="14" fontId="1444" fillId="8" borderId="0" xfId="0" applyNumberFormat="1" applyFont="1" applyFill="1"/>
    <xf numFmtId="0" fontId="1444" fillId="8" borderId="0" xfId="0" applyFont="1" applyFill="1" applyAlignment="1">
      <alignment horizontal="center"/>
    </xf>
    <xf numFmtId="49" fontId="572" fillId="0" borderId="0" xfId="0" applyNumberFormat="1" applyFont="1"/>
    <xf numFmtId="0" fontId="572" fillId="0" borderId="0" xfId="0" applyFont="1"/>
    <xf numFmtId="0" fontId="571" fillId="0" borderId="0" xfId="0" applyFont="1"/>
    <xf numFmtId="0" fontId="570" fillId="0" borderId="0" xfId="0" applyFont="1"/>
    <xf numFmtId="49" fontId="569" fillId="0" borderId="0" xfId="0" applyNumberFormat="1" applyFont="1"/>
    <xf numFmtId="49" fontId="568" fillId="0" borderId="0" xfId="0" applyNumberFormat="1" applyFont="1"/>
    <xf numFmtId="49" fontId="567" fillId="0" borderId="0" xfId="0" applyNumberFormat="1" applyFont="1"/>
    <xf numFmtId="49" fontId="566" fillId="0" borderId="0" xfId="0" applyNumberFormat="1" applyFont="1"/>
    <xf numFmtId="0" fontId="565" fillId="0" borderId="0" xfId="0" applyFont="1"/>
    <xf numFmtId="0" fontId="564" fillId="0" borderId="0" xfId="0" applyFont="1"/>
    <xf numFmtId="49" fontId="563" fillId="0" borderId="0" xfId="0" applyNumberFormat="1" applyFont="1"/>
    <xf numFmtId="0" fontId="562" fillId="0" borderId="0" xfId="0" applyFont="1"/>
    <xf numFmtId="0" fontId="561" fillId="0" borderId="0" xfId="0" applyFont="1"/>
    <xf numFmtId="49" fontId="561" fillId="0" borderId="0" xfId="0" applyNumberFormat="1" applyFont="1"/>
    <xf numFmtId="0" fontId="560" fillId="0" borderId="0" xfId="0" applyFont="1"/>
    <xf numFmtId="49" fontId="560" fillId="0" borderId="0" xfId="0" applyNumberFormat="1" applyFont="1"/>
    <xf numFmtId="0" fontId="559" fillId="0" borderId="0" xfId="0" applyFont="1"/>
    <xf numFmtId="49" fontId="558" fillId="0" borderId="0" xfId="0" applyNumberFormat="1" applyFont="1"/>
    <xf numFmtId="49" fontId="557" fillId="0" borderId="0" xfId="0" applyNumberFormat="1" applyFont="1"/>
    <xf numFmtId="49" fontId="556" fillId="0" borderId="0" xfId="0" applyNumberFormat="1" applyFont="1"/>
    <xf numFmtId="0" fontId="556" fillId="0" borderId="0" xfId="0" applyFont="1"/>
    <xf numFmtId="14" fontId="597" fillId="0" borderId="0" xfId="0" applyNumberFormat="1" applyFont="1" applyAlignment="1">
      <alignment horizontal="center"/>
    </xf>
    <xf numFmtId="0" fontId="555" fillId="0" borderId="0" xfId="0" applyFont="1"/>
    <xf numFmtId="0" fontId="554" fillId="0" borderId="0" xfId="0" applyFont="1"/>
    <xf numFmtId="0" fontId="553" fillId="0" borderId="0" xfId="0" applyFont="1"/>
    <xf numFmtId="0" fontId="552" fillId="0" borderId="0" xfId="0" applyFont="1"/>
    <xf numFmtId="0" fontId="591" fillId="8" borderId="0" xfId="0" applyFont="1" applyFill="1"/>
    <xf numFmtId="0" fontId="551" fillId="0" borderId="0" xfId="0" applyFont="1"/>
    <xf numFmtId="0" fontId="591" fillId="0" borderId="0" xfId="0" applyFont="1"/>
    <xf numFmtId="0" fontId="550" fillId="0" borderId="0" xfId="0" applyFont="1" applyAlignment="1">
      <alignment horizontal="center"/>
    </xf>
    <xf numFmtId="0" fontId="549" fillId="0" borderId="0" xfId="0" applyFont="1"/>
    <xf numFmtId="49" fontId="549" fillId="0" borderId="0" xfId="0" applyNumberFormat="1" applyFont="1"/>
    <xf numFmtId="0" fontId="548" fillId="0" borderId="0" xfId="0" applyFont="1"/>
    <xf numFmtId="0" fontId="547" fillId="0" borderId="0" xfId="0" applyFont="1"/>
    <xf numFmtId="0" fontId="546" fillId="0" borderId="0" xfId="0" applyFont="1"/>
    <xf numFmtId="0" fontId="545" fillId="0" borderId="0" xfId="0" applyFont="1"/>
    <xf numFmtId="0" fontId="544" fillId="0" borderId="0" xfId="0" applyFont="1"/>
    <xf numFmtId="49" fontId="543" fillId="0" borderId="0" xfId="0" applyNumberFormat="1" applyFont="1"/>
    <xf numFmtId="49" fontId="542" fillId="0" borderId="0" xfId="0" applyNumberFormat="1" applyFont="1"/>
    <xf numFmtId="49" fontId="541" fillId="0" borderId="0" xfId="0" applyNumberFormat="1" applyFont="1"/>
    <xf numFmtId="49" fontId="540" fillId="0" borderId="0" xfId="0" applyNumberFormat="1" applyFont="1"/>
    <xf numFmtId="0" fontId="540" fillId="0" borderId="0" xfId="0" applyFont="1"/>
    <xf numFmtId="49" fontId="539" fillId="0" borderId="0" xfId="0" applyNumberFormat="1" applyFont="1"/>
    <xf numFmtId="49" fontId="538" fillId="0" borderId="0" xfId="0" applyNumberFormat="1" applyFont="1"/>
    <xf numFmtId="0" fontId="537" fillId="0" borderId="0" xfId="0" applyFont="1"/>
    <xf numFmtId="0" fontId="535" fillId="0" borderId="0" xfId="0" applyFont="1"/>
    <xf numFmtId="0" fontId="534" fillId="0" borderId="0" xfId="0" applyFont="1" applyAlignment="1">
      <alignment horizontal="center"/>
    </xf>
    <xf numFmtId="0" fontId="534" fillId="0" borderId="0" xfId="0" applyFont="1"/>
    <xf numFmtId="0" fontId="533" fillId="0" borderId="0" xfId="0" applyFont="1"/>
    <xf numFmtId="0" fontId="532" fillId="0" borderId="0" xfId="0" applyFont="1"/>
    <xf numFmtId="0" fontId="531" fillId="0" borderId="0" xfId="0" applyFont="1"/>
    <xf numFmtId="0" fontId="530" fillId="0" borderId="0" xfId="0" applyFont="1"/>
    <xf numFmtId="0" fontId="529" fillId="0" borderId="0" xfId="0" applyFont="1"/>
    <xf numFmtId="0" fontId="528" fillId="0" borderId="0" xfId="0" applyFont="1"/>
    <xf numFmtId="49" fontId="528" fillId="0" borderId="0" xfId="0" applyNumberFormat="1" applyFont="1"/>
    <xf numFmtId="0" fontId="527" fillId="0" borderId="0" xfId="0" applyFont="1"/>
    <xf numFmtId="0" fontId="526" fillId="0" borderId="0" xfId="0" applyFont="1"/>
    <xf numFmtId="0" fontId="525" fillId="0" borderId="0" xfId="0" applyFont="1" applyAlignment="1">
      <alignment horizontal="center"/>
    </xf>
    <xf numFmtId="0" fontId="524" fillId="0" borderId="0" xfId="0" applyFont="1"/>
    <xf numFmtId="0" fontId="523" fillId="0" borderId="0" xfId="0" applyFont="1"/>
    <xf numFmtId="0" fontId="522" fillId="0" borderId="0" xfId="0" applyFont="1" applyAlignment="1">
      <alignment horizontal="center"/>
    </xf>
    <xf numFmtId="0" fontId="522" fillId="0" borderId="0" xfId="0" applyFont="1"/>
    <xf numFmtId="0" fontId="521" fillId="0" borderId="0" xfId="0" applyFont="1"/>
    <xf numFmtId="49" fontId="521" fillId="0" borderId="0" xfId="0" applyNumberFormat="1" applyFont="1"/>
    <xf numFmtId="0" fontId="520" fillId="0" borderId="0" xfId="0" applyFont="1"/>
    <xf numFmtId="49" fontId="519" fillId="0" borderId="0" xfId="0" applyNumberFormat="1" applyFont="1"/>
    <xf numFmtId="0" fontId="519" fillId="0" borderId="0" xfId="0" applyFont="1"/>
    <xf numFmtId="0" fontId="517" fillId="0" borderId="0" xfId="0" applyFont="1"/>
    <xf numFmtId="0" fontId="516" fillId="0" borderId="0" xfId="0" applyFont="1"/>
    <xf numFmtId="0" fontId="516" fillId="0" borderId="0" xfId="0" applyFont="1" applyAlignment="1">
      <alignment horizontal="center"/>
    </xf>
    <xf numFmtId="0" fontId="1396" fillId="0" borderId="0" xfId="0" applyFont="1" applyAlignment="1">
      <alignment horizontal="left"/>
    </xf>
    <xf numFmtId="0" fontId="1396" fillId="0" borderId="0" xfId="0" applyFont="1" applyAlignment="1">
      <alignment horizontal="right"/>
    </xf>
    <xf numFmtId="0" fontId="515" fillId="0" borderId="0" xfId="0" applyFont="1" applyAlignment="1">
      <alignment horizontal="left"/>
    </xf>
    <xf numFmtId="0" fontId="515" fillId="0" borderId="0" xfId="0" applyFont="1"/>
    <xf numFmtId="0" fontId="514" fillId="0" borderId="0" xfId="0" applyFont="1"/>
    <xf numFmtId="0" fontId="513" fillId="0" borderId="0" xfId="0" applyFont="1"/>
    <xf numFmtId="0" fontId="511" fillId="0" borderId="0" xfId="0" applyFont="1"/>
    <xf numFmtId="0" fontId="510" fillId="0" borderId="0" xfId="0" applyFont="1" applyAlignment="1">
      <alignment horizontal="center"/>
    </xf>
    <xf numFmtId="0" fontId="509" fillId="0" borderId="0" xfId="0" applyFont="1"/>
    <xf numFmtId="49" fontId="509" fillId="0" borderId="0" xfId="0" applyNumberFormat="1" applyFont="1"/>
    <xf numFmtId="14" fontId="509" fillId="0" borderId="0" xfId="0" applyNumberFormat="1" applyFont="1"/>
    <xf numFmtId="0" fontId="508" fillId="0" borderId="0" xfId="0" applyFont="1"/>
    <xf numFmtId="0" fontId="507" fillId="0" borderId="0" xfId="0" applyFont="1"/>
    <xf numFmtId="0" fontId="506" fillId="0" borderId="0" xfId="0" applyFont="1"/>
    <xf numFmtId="0" fontId="505" fillId="0" borderId="0" xfId="0" applyFont="1"/>
    <xf numFmtId="0" fontId="504" fillId="0" borderId="0" xfId="0" applyFont="1"/>
    <xf numFmtId="0" fontId="503" fillId="0" borderId="0" xfId="0" applyFont="1"/>
    <xf numFmtId="0" fontId="502" fillId="0" borderId="0" xfId="0" applyFont="1"/>
    <xf numFmtId="0" fontId="501" fillId="0" borderId="0" xfId="0" applyFont="1"/>
    <xf numFmtId="49" fontId="500" fillId="0" borderId="0" xfId="0" applyNumberFormat="1" applyFont="1"/>
    <xf numFmtId="49" fontId="499" fillId="0" borderId="0" xfId="0" applyNumberFormat="1" applyFont="1"/>
    <xf numFmtId="0" fontId="498" fillId="0" borderId="0" xfId="0" applyFont="1"/>
    <xf numFmtId="0" fontId="498" fillId="0" borderId="0" xfId="0" applyFont="1" applyAlignment="1">
      <alignment horizontal="center"/>
    </xf>
    <xf numFmtId="0" fontId="497" fillId="0" borderId="0" xfId="0" applyFont="1"/>
    <xf numFmtId="49" fontId="497" fillId="0" borderId="0" xfId="0" applyNumberFormat="1" applyFont="1"/>
    <xf numFmtId="0" fontId="496" fillId="0" borderId="0" xfId="0" applyFont="1"/>
    <xf numFmtId="0" fontId="495" fillId="0" borderId="0" xfId="0" applyFont="1" applyAlignment="1">
      <alignment horizontal="center"/>
    </xf>
    <xf numFmtId="0" fontId="494" fillId="0" borderId="0" xfId="0" applyFont="1"/>
    <xf numFmtId="0" fontId="493" fillId="0" borderId="0" xfId="0" applyFont="1"/>
    <xf numFmtId="49" fontId="493" fillId="0" borderId="0" xfId="0" applyNumberFormat="1" applyFont="1"/>
    <xf numFmtId="49" fontId="492" fillId="0" borderId="0" xfId="0" applyNumberFormat="1" applyFont="1"/>
    <xf numFmtId="0" fontId="491" fillId="0" borderId="0" xfId="0" applyFont="1"/>
    <xf numFmtId="0" fontId="490" fillId="0" borderId="0" xfId="0" applyFont="1"/>
    <xf numFmtId="49" fontId="490" fillId="0" borderId="0" xfId="0" applyNumberFormat="1" applyFont="1"/>
    <xf numFmtId="49" fontId="489" fillId="0" borderId="0" xfId="0" applyNumberFormat="1" applyFont="1"/>
    <xf numFmtId="49" fontId="488" fillId="0" borderId="0" xfId="0" applyNumberFormat="1" applyFont="1"/>
    <xf numFmtId="49" fontId="487" fillId="0" borderId="0" xfId="0" applyNumberFormat="1" applyFont="1"/>
    <xf numFmtId="0" fontId="486" fillId="0" borderId="0" xfId="0" applyFont="1"/>
    <xf numFmtId="0" fontId="485" fillId="0" borderId="0" xfId="0" applyFont="1"/>
    <xf numFmtId="49" fontId="484" fillId="0" borderId="0" xfId="0" applyNumberFormat="1" applyFont="1"/>
    <xf numFmtId="0" fontId="483" fillId="0" borderId="0" xfId="0" applyFont="1"/>
    <xf numFmtId="49" fontId="483" fillId="0" borderId="0" xfId="0" applyNumberFormat="1" applyFont="1"/>
    <xf numFmtId="0" fontId="482" fillId="0" borderId="0" xfId="0" applyFont="1"/>
    <xf numFmtId="0" fontId="481" fillId="0" borderId="0" xfId="0" applyFont="1"/>
    <xf numFmtId="166" fontId="1370" fillId="0" borderId="0" xfId="0" applyNumberFormat="1" applyFont="1" applyAlignment="1">
      <alignment horizontal="right"/>
    </xf>
    <xf numFmtId="166" fontId="1370" fillId="2" borderId="1" xfId="0" applyNumberFormat="1" applyFont="1" applyFill="1" applyBorder="1" applyAlignment="1">
      <alignment horizontal="right"/>
    </xf>
    <xf numFmtId="166" fontId="1374" fillId="0" borderId="0" xfId="0" applyNumberFormat="1" applyFont="1" applyAlignment="1">
      <alignment horizontal="right"/>
    </xf>
    <xf numFmtId="166" fontId="1370" fillId="3" borderId="1" xfId="0" applyNumberFormat="1" applyFont="1" applyFill="1" applyBorder="1" applyAlignment="1">
      <alignment horizontal="right"/>
    </xf>
    <xf numFmtId="167" fontId="1370" fillId="0" borderId="0" xfId="0" applyNumberFormat="1" applyFont="1" applyAlignment="1">
      <alignment horizontal="right"/>
    </xf>
    <xf numFmtId="0" fontId="1370" fillId="0" borderId="0" xfId="0" applyFont="1" applyAlignment="1">
      <alignment horizontal="right"/>
    </xf>
    <xf numFmtId="166" fontId="139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314" fillId="0" borderId="0" xfId="0" applyFont="1" applyAlignment="1">
      <alignment horizontal="right"/>
    </xf>
    <xf numFmtId="0" fontId="1413" fillId="8" borderId="0" xfId="0" applyFont="1" applyFill="1" applyAlignment="1">
      <alignment horizontal="right"/>
    </xf>
    <xf numFmtId="0" fontId="0" fillId="8" borderId="0" xfId="0" applyFill="1" applyAlignment="1">
      <alignment horizontal="right"/>
    </xf>
    <xf numFmtId="0" fontId="1270" fillId="0" borderId="0" xfId="0" applyFont="1" applyAlignment="1">
      <alignment horizontal="right"/>
    </xf>
    <xf numFmtId="0" fontId="1415" fillId="0" borderId="0" xfId="0" applyFont="1" applyAlignment="1">
      <alignment horizontal="right"/>
    </xf>
    <xf numFmtId="0" fontId="1217" fillId="0" borderId="0" xfId="0" applyFont="1" applyAlignment="1">
      <alignment horizontal="right"/>
    </xf>
    <xf numFmtId="0" fontId="1188" fillId="0" borderId="0" xfId="0" applyFont="1" applyAlignment="1">
      <alignment horizontal="right"/>
    </xf>
    <xf numFmtId="0" fontId="1426" fillId="8" borderId="0" xfId="0" applyFont="1" applyFill="1" applyAlignment="1">
      <alignment horizontal="right"/>
    </xf>
    <xf numFmtId="0" fontId="1427" fillId="8" borderId="0" xfId="0" applyFont="1" applyFill="1" applyAlignment="1">
      <alignment horizontal="right"/>
    </xf>
    <xf numFmtId="0" fontId="1125" fillId="0" borderId="0" xfId="0" applyFont="1" applyAlignment="1">
      <alignment horizontal="right"/>
    </xf>
    <xf numFmtId="0" fontId="1104" fillId="0" borderId="0" xfId="0" applyFont="1" applyAlignment="1">
      <alignment horizontal="right"/>
    </xf>
    <xf numFmtId="0" fontId="1095" fillId="0" borderId="0" xfId="0" applyFont="1" applyAlignment="1">
      <alignment horizontal="right"/>
    </xf>
    <xf numFmtId="0" fontId="1086" fillId="0" borderId="0" xfId="0" applyFont="1" applyAlignment="1">
      <alignment horizontal="right"/>
    </xf>
    <xf numFmtId="0" fontId="990" fillId="0" borderId="0" xfId="0" applyFont="1" applyAlignment="1">
      <alignment horizontal="right"/>
    </xf>
    <xf numFmtId="0" fontId="1413" fillId="0" borderId="0" xfId="0" applyFont="1" applyAlignment="1">
      <alignment horizontal="right"/>
    </xf>
    <xf numFmtId="0" fontId="1433" fillId="0" borderId="0" xfId="0" applyFont="1" applyAlignment="1">
      <alignment horizontal="right"/>
    </xf>
    <xf numFmtId="0" fontId="930" fillId="0" borderId="0" xfId="0" applyFont="1" applyAlignment="1">
      <alignment horizontal="right"/>
    </xf>
    <xf numFmtId="0" fontId="923" fillId="0" borderId="0" xfId="0" applyFont="1" applyAlignment="1">
      <alignment horizontal="right"/>
    </xf>
    <xf numFmtId="0" fontId="828" fillId="0" borderId="0" xfId="0" applyFont="1" applyAlignment="1">
      <alignment horizontal="right"/>
    </xf>
    <xf numFmtId="0" fontId="826" fillId="0" borderId="0" xfId="0" applyFont="1" applyAlignment="1">
      <alignment horizontal="right"/>
    </xf>
    <xf numFmtId="0" fontId="809" fillId="0" borderId="0" xfId="0" applyFont="1" applyAlignment="1">
      <alignment horizontal="right"/>
    </xf>
    <xf numFmtId="0" fontId="807" fillId="0" borderId="0" xfId="0" applyFont="1" applyAlignment="1">
      <alignment horizontal="right"/>
    </xf>
    <xf numFmtId="0" fontId="779" fillId="0" borderId="0" xfId="0" applyFont="1" applyAlignment="1">
      <alignment horizontal="right"/>
    </xf>
    <xf numFmtId="0" fontId="767" fillId="0" borderId="0" xfId="0" applyFont="1" applyAlignment="1">
      <alignment horizontal="right"/>
    </xf>
    <xf numFmtId="0" fontId="734" fillId="0" borderId="0" xfId="0" applyFont="1" applyAlignment="1">
      <alignment horizontal="right"/>
    </xf>
    <xf numFmtId="0" fontId="715" fillId="0" borderId="0" xfId="0" applyFont="1" applyAlignment="1">
      <alignment horizontal="right"/>
    </xf>
    <xf numFmtId="0" fontId="560" fillId="0" borderId="0" xfId="0" applyFont="1" applyAlignment="1">
      <alignment horizontal="right"/>
    </xf>
    <xf numFmtId="0" fontId="535" fillId="0" borderId="0" xfId="0" applyFont="1" applyAlignment="1">
      <alignment horizontal="right"/>
    </xf>
    <xf numFmtId="0" fontId="493" fillId="0" borderId="0" xfId="0" applyFont="1" applyAlignment="1">
      <alignment horizontal="right"/>
    </xf>
    <xf numFmtId="0" fontId="494" fillId="0" borderId="0" xfId="0" applyFont="1" applyAlignment="1">
      <alignment horizontal="right"/>
    </xf>
    <xf numFmtId="0" fontId="481" fillId="0" borderId="0" xfId="0" applyFont="1" applyAlignment="1">
      <alignment horizontal="right"/>
    </xf>
    <xf numFmtId="49" fontId="480" fillId="0" borderId="0" xfId="0" applyNumberFormat="1" applyFont="1"/>
    <xf numFmtId="0" fontId="479" fillId="0" borderId="0" xfId="0" applyFont="1"/>
    <xf numFmtId="0" fontId="479" fillId="0" borderId="0" xfId="0" applyFont="1" applyAlignment="1">
      <alignment horizontal="center"/>
    </xf>
    <xf numFmtId="49" fontId="479" fillId="0" borderId="0" xfId="0" applyNumberFormat="1" applyFont="1"/>
    <xf numFmtId="0" fontId="1445" fillId="0" borderId="0" xfId="0" applyFont="1" applyAlignment="1">
      <alignment horizontal="center"/>
    </xf>
    <xf numFmtId="49" fontId="478" fillId="0" borderId="0" xfId="0" applyNumberFormat="1" applyFont="1"/>
    <xf numFmtId="0" fontId="478" fillId="0" borderId="0" xfId="0" applyFont="1"/>
    <xf numFmtId="0" fontId="477" fillId="0" borderId="0" xfId="0" applyFont="1"/>
    <xf numFmtId="49" fontId="477" fillId="0" borderId="0" xfId="0" applyNumberFormat="1" applyFont="1"/>
    <xf numFmtId="0" fontId="476" fillId="0" borderId="0" xfId="0" applyFont="1"/>
    <xf numFmtId="49" fontId="475" fillId="0" borderId="0" xfId="0" applyNumberFormat="1" applyFont="1"/>
    <xf numFmtId="49" fontId="474" fillId="0" borderId="0" xfId="0" applyNumberFormat="1" applyFont="1"/>
    <xf numFmtId="49" fontId="473" fillId="0" borderId="0" xfId="0" applyNumberFormat="1" applyFont="1"/>
    <xf numFmtId="49" fontId="472" fillId="0" borderId="0" xfId="0" applyNumberFormat="1" applyFont="1"/>
    <xf numFmtId="0" fontId="471" fillId="0" borderId="0" xfId="0" applyFont="1"/>
    <xf numFmtId="49" fontId="470" fillId="0" borderId="0" xfId="0" applyNumberFormat="1" applyFont="1"/>
    <xf numFmtId="14" fontId="472" fillId="0" borderId="0" xfId="0" applyNumberFormat="1" applyFont="1"/>
    <xf numFmtId="49" fontId="468" fillId="0" borderId="0" xfId="0" applyNumberFormat="1" applyFont="1"/>
    <xf numFmtId="0" fontId="467" fillId="0" borderId="0" xfId="0" applyFont="1"/>
    <xf numFmtId="49" fontId="466" fillId="0" borderId="0" xfId="0" applyNumberFormat="1" applyFont="1"/>
    <xf numFmtId="49" fontId="465" fillId="0" borderId="0" xfId="0" applyNumberFormat="1" applyFont="1"/>
    <xf numFmtId="0" fontId="465" fillId="0" borderId="0" xfId="0" applyFont="1"/>
    <xf numFmtId="0" fontId="464" fillId="0" borderId="0" xfId="0" applyFont="1"/>
    <xf numFmtId="49" fontId="464" fillId="0" borderId="0" xfId="0" applyNumberFormat="1" applyFont="1"/>
    <xf numFmtId="49" fontId="463" fillId="0" borderId="0" xfId="0" applyNumberFormat="1" applyFont="1"/>
    <xf numFmtId="0" fontId="461" fillId="0" borderId="0" xfId="0" applyFont="1"/>
    <xf numFmtId="0" fontId="461" fillId="0" borderId="0" xfId="0" applyFont="1" applyAlignment="1">
      <alignment horizontal="center"/>
    </xf>
    <xf numFmtId="49" fontId="460" fillId="0" borderId="0" xfId="0" applyNumberFormat="1" applyFont="1"/>
    <xf numFmtId="0" fontId="459" fillId="0" borderId="0" xfId="0" applyFont="1"/>
    <xf numFmtId="0" fontId="458" fillId="0" borderId="0" xfId="0" applyFont="1"/>
    <xf numFmtId="0" fontId="457" fillId="0" borderId="0" xfId="0" applyFont="1"/>
    <xf numFmtId="0" fontId="456" fillId="0" borderId="0" xfId="0" applyFont="1"/>
    <xf numFmtId="49" fontId="456" fillId="0" borderId="0" xfId="0" applyNumberFormat="1" applyFont="1"/>
    <xf numFmtId="49" fontId="455" fillId="0" borderId="0" xfId="0" applyNumberFormat="1" applyFont="1"/>
    <xf numFmtId="0" fontId="454" fillId="0" borderId="0" xfId="0" applyFont="1"/>
    <xf numFmtId="49" fontId="453" fillId="0" borderId="0" xfId="0" applyNumberFormat="1" applyFont="1"/>
    <xf numFmtId="49" fontId="452" fillId="0" borderId="0" xfId="0" applyNumberFormat="1" applyFont="1"/>
    <xf numFmtId="49" fontId="451" fillId="0" borderId="0" xfId="0" applyNumberFormat="1" applyFont="1"/>
    <xf numFmtId="49" fontId="450" fillId="0" borderId="0" xfId="0" applyNumberFormat="1" applyFont="1"/>
    <xf numFmtId="14" fontId="469" fillId="0" borderId="0" xfId="0" applyNumberFormat="1" applyFont="1" applyAlignment="1">
      <alignment horizontal="center"/>
    </xf>
    <xf numFmtId="0" fontId="449" fillId="0" borderId="0" xfId="0" applyFont="1"/>
    <xf numFmtId="49" fontId="449" fillId="0" borderId="0" xfId="0" applyNumberFormat="1" applyFont="1"/>
    <xf numFmtId="0" fontId="448" fillId="0" borderId="0" xfId="0" applyFont="1"/>
    <xf numFmtId="0" fontId="448" fillId="0" borderId="0" xfId="0" applyFont="1" applyAlignment="1">
      <alignment horizontal="left"/>
    </xf>
    <xf numFmtId="0" fontId="447" fillId="0" borderId="0" xfId="0" applyFont="1"/>
    <xf numFmtId="0" fontId="446" fillId="0" borderId="0" xfId="0" applyFont="1"/>
    <xf numFmtId="0" fontId="445" fillId="0" borderId="0" xfId="0" applyFont="1"/>
    <xf numFmtId="49" fontId="445" fillId="0" borderId="0" xfId="0" applyNumberFormat="1" applyFont="1"/>
    <xf numFmtId="0" fontId="444" fillId="0" borderId="0" xfId="0" applyFont="1"/>
    <xf numFmtId="0" fontId="444" fillId="0" borderId="0" xfId="0" applyFont="1" applyAlignment="1">
      <alignment horizontal="right"/>
    </xf>
    <xf numFmtId="0" fontId="443" fillId="0" borderId="0" xfId="0" applyFont="1"/>
    <xf numFmtId="0" fontId="442" fillId="0" borderId="0" xfId="0" applyFont="1"/>
    <xf numFmtId="0" fontId="441" fillId="0" borderId="0" xfId="0" applyFont="1"/>
    <xf numFmtId="0" fontId="440" fillId="0" borderId="0" xfId="0" applyFont="1"/>
    <xf numFmtId="14" fontId="449" fillId="0" borderId="0" xfId="0" applyNumberFormat="1" applyFont="1" applyAlignment="1">
      <alignment horizontal="center"/>
    </xf>
    <xf numFmtId="0" fontId="439" fillId="0" borderId="0" xfId="0" applyFont="1"/>
    <xf numFmtId="0" fontId="438" fillId="0" borderId="0" xfId="0" applyFont="1"/>
    <xf numFmtId="0" fontId="438" fillId="0" borderId="0" xfId="0" applyFont="1" applyAlignment="1">
      <alignment horizontal="left"/>
    </xf>
    <xf numFmtId="0" fontId="437" fillId="0" borderId="0" xfId="0" applyFont="1"/>
    <xf numFmtId="0" fontId="1446" fillId="0" borderId="0" xfId="0" applyFont="1"/>
    <xf numFmtId="0" fontId="436" fillId="0" borderId="0" xfId="0" applyFont="1"/>
    <xf numFmtId="0" fontId="435" fillId="0" borderId="0" xfId="0" applyFont="1"/>
    <xf numFmtId="0" fontId="434" fillId="0" borderId="0" xfId="0" applyFont="1"/>
    <xf numFmtId="0" fontId="433" fillId="0" borderId="0" xfId="0" applyFont="1"/>
    <xf numFmtId="0" fontId="432" fillId="0" borderId="0" xfId="0" applyFont="1"/>
    <xf numFmtId="0" fontId="431" fillId="0" borderId="0" xfId="0" applyFont="1"/>
    <xf numFmtId="0" fontId="430" fillId="0" borderId="0" xfId="0" applyFont="1"/>
    <xf numFmtId="0" fontId="429" fillId="0" borderId="0" xfId="0" applyFont="1"/>
    <xf numFmtId="0" fontId="427" fillId="0" borderId="0" xfId="0" applyFont="1"/>
    <xf numFmtId="0" fontId="426" fillId="0" borderId="0" xfId="0" applyFont="1"/>
    <xf numFmtId="49" fontId="426" fillId="0" borderId="0" xfId="0" applyNumberFormat="1" applyFont="1"/>
    <xf numFmtId="0" fontId="425" fillId="0" borderId="0" xfId="0" applyFont="1"/>
    <xf numFmtId="0" fontId="425" fillId="0" borderId="0" xfId="0" applyFont="1" applyAlignment="1">
      <alignment horizontal="center"/>
    </xf>
    <xf numFmtId="0" fontId="424" fillId="0" borderId="0" xfId="0" applyFont="1"/>
    <xf numFmtId="0" fontId="423" fillId="0" borderId="0" xfId="0" applyFont="1"/>
    <xf numFmtId="0" fontId="422" fillId="0" borderId="0" xfId="0" applyFont="1"/>
    <xf numFmtId="0" fontId="421" fillId="0" borderId="0" xfId="0" applyFont="1"/>
    <xf numFmtId="0" fontId="420" fillId="0" borderId="0" xfId="0" applyFont="1"/>
    <xf numFmtId="0" fontId="420" fillId="0" borderId="0" xfId="0" applyFont="1" applyAlignment="1">
      <alignment horizontal="center"/>
    </xf>
    <xf numFmtId="0" fontId="419" fillId="0" borderId="0" xfId="0" applyFont="1"/>
    <xf numFmtId="49" fontId="419" fillId="0" borderId="0" xfId="0" applyNumberFormat="1" applyFont="1"/>
    <xf numFmtId="0" fontId="418" fillId="0" borderId="0" xfId="0" applyFont="1"/>
    <xf numFmtId="0" fontId="417" fillId="0" borderId="0" xfId="0" applyFont="1"/>
    <xf numFmtId="173" fontId="0" fillId="0" borderId="0" xfId="0" applyNumberFormat="1"/>
    <xf numFmtId="174" fontId="0" fillId="0" borderId="0" xfId="0" applyNumberFormat="1"/>
    <xf numFmtId="0" fontId="416" fillId="0" borderId="0" xfId="0" applyFont="1"/>
    <xf numFmtId="0" fontId="415" fillId="0" borderId="0" xfId="0" applyFont="1"/>
    <xf numFmtId="0" fontId="414" fillId="0" borderId="0" xfId="0" applyFont="1"/>
    <xf numFmtId="0" fontId="413" fillId="0" borderId="0" xfId="0" applyFont="1"/>
    <xf numFmtId="0" fontId="412" fillId="0" borderId="0" xfId="0" applyFont="1" applyAlignment="1">
      <alignment horizontal="center"/>
    </xf>
    <xf numFmtId="0" fontId="1447" fillId="0" borderId="0" xfId="0" applyFont="1"/>
    <xf numFmtId="49" fontId="411" fillId="0" borderId="0" xfId="0" applyNumberFormat="1" applyFont="1"/>
    <xf numFmtId="0" fontId="411" fillId="0" borderId="0" xfId="0" applyFont="1"/>
    <xf numFmtId="0" fontId="410" fillId="0" borderId="0" xfId="0" applyFont="1"/>
    <xf numFmtId="0" fontId="410" fillId="0" borderId="0" xfId="0" applyFont="1" applyAlignment="1">
      <alignment horizontal="left"/>
    </xf>
    <xf numFmtId="0" fontId="409" fillId="0" borderId="0" xfId="0" applyFont="1"/>
    <xf numFmtId="0" fontId="408" fillId="0" borderId="0" xfId="0" applyFont="1" applyAlignment="1">
      <alignment horizontal="center"/>
    </xf>
    <xf numFmtId="0" fontId="407" fillId="0" borderId="0" xfId="0" applyFont="1"/>
    <xf numFmtId="49" fontId="406" fillId="0" borderId="0" xfId="0" applyNumberFormat="1" applyFont="1"/>
    <xf numFmtId="49" fontId="405" fillId="0" borderId="0" xfId="0" applyNumberFormat="1" applyFont="1"/>
    <xf numFmtId="14" fontId="412" fillId="0" borderId="0" xfId="0" applyNumberFormat="1" applyFont="1" applyAlignment="1">
      <alignment horizontal="center"/>
    </xf>
    <xf numFmtId="0" fontId="404" fillId="0" borderId="0" xfId="0" applyFont="1"/>
    <xf numFmtId="0" fontId="403" fillId="0" borderId="0" xfId="0" applyFont="1"/>
    <xf numFmtId="0" fontId="403" fillId="0" borderId="0" xfId="0" applyFont="1" applyAlignment="1">
      <alignment horizontal="right"/>
    </xf>
    <xf numFmtId="0" fontId="402" fillId="0" borderId="0" xfId="0" applyFont="1"/>
    <xf numFmtId="0" fontId="401" fillId="0" borderId="0" xfId="0" applyFont="1"/>
    <xf numFmtId="0" fontId="400" fillId="0" borderId="0" xfId="0" applyFont="1"/>
    <xf numFmtId="49" fontId="399" fillId="0" borderId="0" xfId="0" applyNumberFormat="1" applyFont="1"/>
    <xf numFmtId="0" fontId="398" fillId="0" borderId="0" xfId="0" applyFont="1"/>
    <xf numFmtId="0" fontId="397" fillId="0" borderId="0" xfId="0" applyFont="1"/>
    <xf numFmtId="0" fontId="397" fillId="0" borderId="0" xfId="0" applyFont="1" applyAlignment="1">
      <alignment horizontal="right"/>
    </xf>
    <xf numFmtId="0" fontId="396" fillId="0" borderId="0" xfId="0" applyFont="1"/>
    <xf numFmtId="0" fontId="395" fillId="0" borderId="0" xfId="0" applyFont="1"/>
    <xf numFmtId="0" fontId="395" fillId="0" borderId="0" xfId="0" applyFont="1" applyAlignment="1">
      <alignment horizontal="center"/>
    </xf>
    <xf numFmtId="0" fontId="394" fillId="0" borderId="0" xfId="0" applyFont="1"/>
    <xf numFmtId="49" fontId="393" fillId="0" borderId="0" xfId="0" applyNumberFormat="1" applyFont="1"/>
    <xf numFmtId="0" fontId="392" fillId="0" borderId="0" xfId="0" applyFont="1"/>
    <xf numFmtId="0" fontId="1428" fillId="0" borderId="0" xfId="3" applyAlignment="1">
      <alignment horizontal="center"/>
    </xf>
    <xf numFmtId="0" fontId="391" fillId="0" borderId="0" xfId="0" applyFont="1"/>
    <xf numFmtId="14" fontId="420" fillId="0" borderId="0" xfId="0" applyNumberFormat="1" applyFont="1" applyAlignment="1">
      <alignment horizontal="center"/>
    </xf>
    <xf numFmtId="49" fontId="390" fillId="0" borderId="0" xfId="0" applyNumberFormat="1" applyFont="1"/>
    <xf numFmtId="0" fontId="389" fillId="0" borderId="0" xfId="0" applyFont="1"/>
    <xf numFmtId="0" fontId="388" fillId="0" borderId="0" xfId="0" applyFont="1"/>
    <xf numFmtId="0" fontId="387" fillId="0" borderId="0" xfId="0" applyFont="1"/>
    <xf numFmtId="14" fontId="387" fillId="0" borderId="0" xfId="0" applyNumberFormat="1" applyFont="1"/>
    <xf numFmtId="0" fontId="386" fillId="0" borderId="0" xfId="0" applyFont="1"/>
    <xf numFmtId="0" fontId="385" fillId="0" borderId="0" xfId="0" applyFont="1"/>
    <xf numFmtId="49" fontId="384" fillId="0" borderId="0" xfId="0" applyNumberFormat="1" applyFont="1"/>
    <xf numFmtId="0" fontId="383" fillId="0" borderId="0" xfId="0" applyFont="1"/>
    <xf numFmtId="0" fontId="382" fillId="0" borderId="0" xfId="0" applyFont="1"/>
    <xf numFmtId="0" fontId="381" fillId="0" borderId="0" xfId="0" applyFont="1"/>
    <xf numFmtId="0" fontId="380" fillId="0" borderId="0" xfId="0" applyFont="1"/>
    <xf numFmtId="0" fontId="379" fillId="0" borderId="0" xfId="0" applyFont="1"/>
    <xf numFmtId="0" fontId="378" fillId="0" borderId="0" xfId="0" applyFont="1"/>
    <xf numFmtId="0" fontId="377" fillId="0" borderId="0" xfId="0" applyFont="1"/>
    <xf numFmtId="0" fontId="376" fillId="0" borderId="0" xfId="0" applyFont="1"/>
    <xf numFmtId="0" fontId="375" fillId="0" borderId="0" xfId="0" applyFont="1"/>
    <xf numFmtId="0" fontId="373" fillId="0" borderId="0" xfId="0" applyFont="1"/>
    <xf numFmtId="0" fontId="372" fillId="0" borderId="0" xfId="0" applyFont="1"/>
    <xf numFmtId="0" fontId="371" fillId="0" borderId="0" xfId="0" applyFont="1"/>
    <xf numFmtId="0" fontId="370" fillId="0" borderId="0" xfId="0" applyFont="1"/>
    <xf numFmtId="0" fontId="369" fillId="0" borderId="0" xfId="0" applyFont="1"/>
    <xf numFmtId="49" fontId="369" fillId="0" borderId="0" xfId="0" applyNumberFormat="1" applyFont="1"/>
    <xf numFmtId="0" fontId="368" fillId="0" borderId="0" xfId="0" applyFont="1"/>
    <xf numFmtId="0" fontId="367" fillId="0" borderId="0" xfId="0" applyFont="1" applyAlignment="1">
      <alignment horizontal="center"/>
    </xf>
    <xf numFmtId="0" fontId="367" fillId="0" borderId="0" xfId="0" applyFont="1"/>
    <xf numFmtId="14" fontId="366" fillId="0" borderId="0" xfId="0" applyNumberFormat="1" applyFont="1"/>
    <xf numFmtId="0" fontId="366" fillId="0" borderId="0" xfId="0" applyFont="1"/>
    <xf numFmtId="0" fontId="365" fillId="0" borderId="0" xfId="0" applyFont="1"/>
    <xf numFmtId="0" fontId="364" fillId="0" borderId="0" xfId="0" applyFont="1"/>
    <xf numFmtId="0" fontId="363" fillId="0" borderId="0" xfId="0" applyFont="1"/>
    <xf numFmtId="0" fontId="362" fillId="0" borderId="0" xfId="0" applyFont="1"/>
    <xf numFmtId="14" fontId="374" fillId="0" borderId="0" xfId="0" applyNumberFormat="1" applyFont="1" applyAlignment="1">
      <alignment horizontal="center"/>
    </xf>
    <xf numFmtId="0" fontId="361" fillId="0" borderId="0" xfId="0" applyFont="1"/>
    <xf numFmtId="0" fontId="360" fillId="0" borderId="0" xfId="0" applyFont="1"/>
    <xf numFmtId="14" fontId="360" fillId="0" borderId="0" xfId="0" applyNumberFormat="1" applyFont="1"/>
    <xf numFmtId="0" fontId="359" fillId="0" borderId="0" xfId="0" applyFont="1"/>
    <xf numFmtId="0" fontId="358" fillId="0" borderId="0" xfId="0" applyFont="1" applyAlignment="1">
      <alignment horizontal="center"/>
    </xf>
    <xf numFmtId="0" fontId="357" fillId="0" borderId="0" xfId="0" applyFont="1"/>
    <xf numFmtId="0" fontId="356" fillId="0" borderId="0" xfId="0" applyFont="1" applyAlignment="1">
      <alignment horizontal="center"/>
    </xf>
    <xf numFmtId="0" fontId="356" fillId="0" borderId="0" xfId="0" applyFont="1"/>
    <xf numFmtId="0" fontId="355" fillId="0" borderId="0" xfId="0" applyFont="1"/>
    <xf numFmtId="0" fontId="354" fillId="0" borderId="0" xfId="0" applyFont="1"/>
    <xf numFmtId="0" fontId="353" fillId="0" borderId="0" xfId="0" applyFont="1"/>
    <xf numFmtId="0" fontId="352" fillId="0" borderId="0" xfId="0" applyFont="1"/>
    <xf numFmtId="0" fontId="351" fillId="0" borderId="0" xfId="0" applyFont="1"/>
    <xf numFmtId="0" fontId="351" fillId="0" borderId="0" xfId="0" applyFont="1" applyAlignment="1">
      <alignment horizontal="center"/>
    </xf>
    <xf numFmtId="0" fontId="350" fillId="0" borderId="0" xfId="0" applyFont="1"/>
    <xf numFmtId="0" fontId="349" fillId="0" borderId="0" xfId="0" applyFont="1"/>
    <xf numFmtId="0" fontId="348" fillId="0" borderId="0" xfId="0" applyFont="1"/>
    <xf numFmtId="0" fontId="347" fillId="0" borderId="0" xfId="0" applyFont="1"/>
    <xf numFmtId="49" fontId="347" fillId="0" borderId="0" xfId="0" applyNumberFormat="1" applyFont="1"/>
    <xf numFmtId="0" fontId="346" fillId="0" borderId="0" xfId="0" applyFont="1"/>
    <xf numFmtId="14" fontId="351" fillId="0" borderId="0" xfId="0" applyNumberFormat="1" applyFont="1" applyAlignment="1">
      <alignment horizontal="center"/>
    </xf>
    <xf numFmtId="0" fontId="345" fillId="0" borderId="0" xfId="0" applyFont="1"/>
    <xf numFmtId="0" fontId="343" fillId="0" borderId="0" xfId="0" applyFont="1"/>
    <xf numFmtId="14" fontId="344" fillId="0" borderId="0" xfId="0" applyNumberFormat="1" applyFont="1" applyAlignment="1">
      <alignment horizontal="center"/>
    </xf>
    <xf numFmtId="0" fontId="342" fillId="0" borderId="0" xfId="0" applyFont="1"/>
    <xf numFmtId="49" fontId="342" fillId="0" borderId="0" xfId="0" applyNumberFormat="1" applyFont="1" applyAlignment="1">
      <alignment horizontal="center"/>
    </xf>
    <xf numFmtId="166" fontId="342" fillId="0" borderId="0" xfId="0" applyNumberFormat="1" applyFont="1" applyAlignment="1">
      <alignment horizontal="center"/>
    </xf>
    <xf numFmtId="0" fontId="1448" fillId="0" borderId="0" xfId="0" applyFont="1"/>
    <xf numFmtId="0" fontId="341" fillId="0" borderId="0" xfId="0" applyFont="1"/>
    <xf numFmtId="0" fontId="1449" fillId="0" borderId="0" xfId="0" applyFont="1"/>
    <xf numFmtId="0" fontId="340" fillId="0" borderId="0" xfId="0" applyFont="1"/>
    <xf numFmtId="0" fontId="340" fillId="0" borderId="0" xfId="0" applyFont="1" applyAlignment="1">
      <alignment horizontal="center"/>
    </xf>
    <xf numFmtId="0" fontId="1450" fillId="0" borderId="0" xfId="0" applyFont="1"/>
    <xf numFmtId="0" fontId="339" fillId="0" borderId="0" xfId="0" applyFont="1"/>
    <xf numFmtId="0" fontId="338" fillId="0" borderId="0" xfId="0" applyFont="1"/>
    <xf numFmtId="166" fontId="338" fillId="0" borderId="0" xfId="0" applyNumberFormat="1" applyFont="1" applyAlignment="1">
      <alignment horizontal="center"/>
    </xf>
    <xf numFmtId="49" fontId="338" fillId="0" borderId="0" xfId="0" applyNumberFormat="1" applyFont="1" applyAlignment="1">
      <alignment horizontal="center"/>
    </xf>
    <xf numFmtId="0" fontId="337" fillId="0" borderId="0" xfId="0" applyFont="1"/>
    <xf numFmtId="166" fontId="0" fillId="0" borderId="0" xfId="0" applyNumberFormat="1" applyAlignment="1">
      <alignment horizontal="center"/>
    </xf>
    <xf numFmtId="0" fontId="335" fillId="0" borderId="0" xfId="0" applyFont="1"/>
    <xf numFmtId="0" fontId="335" fillId="0" borderId="0" xfId="0" applyFont="1" applyAlignment="1">
      <alignment horizontal="right"/>
    </xf>
    <xf numFmtId="0" fontId="333" fillId="0" borderId="0" xfId="0" applyFont="1"/>
    <xf numFmtId="166" fontId="333" fillId="0" borderId="0" xfId="0" applyNumberFormat="1" applyFont="1" applyAlignment="1">
      <alignment horizontal="center"/>
    </xf>
    <xf numFmtId="49" fontId="333" fillId="0" borderId="0" xfId="0" applyNumberFormat="1" applyFont="1" applyAlignment="1">
      <alignment horizontal="center"/>
    </xf>
    <xf numFmtId="0" fontId="332" fillId="0" borderId="0" xfId="0" applyFont="1"/>
    <xf numFmtId="0" fontId="331" fillId="0" borderId="0" xfId="0" applyFont="1"/>
    <xf numFmtId="0" fontId="330" fillId="0" borderId="0" xfId="0" applyFont="1"/>
    <xf numFmtId="0" fontId="1451" fillId="0" borderId="0" xfId="0" applyFont="1"/>
    <xf numFmtId="14" fontId="330" fillId="0" borderId="0" xfId="0" applyNumberFormat="1" applyFont="1" applyAlignment="1">
      <alignment horizontal="center"/>
    </xf>
    <xf numFmtId="49" fontId="330" fillId="0" borderId="0" xfId="0" applyNumberFormat="1" applyFont="1"/>
    <xf numFmtId="49" fontId="329" fillId="0" borderId="0" xfId="0" applyNumberFormat="1" applyFont="1"/>
    <xf numFmtId="0" fontId="328" fillId="0" borderId="0" xfId="0" applyFont="1"/>
    <xf numFmtId="49" fontId="328" fillId="0" borderId="0" xfId="0" applyNumberFormat="1" applyFont="1"/>
    <xf numFmtId="0" fontId="327" fillId="0" borderId="0" xfId="0" applyFont="1"/>
    <xf numFmtId="49" fontId="327" fillId="0" borderId="0" xfId="0" applyNumberFormat="1" applyFont="1"/>
    <xf numFmtId="0" fontId="327" fillId="0" borderId="0" xfId="0" applyFont="1" applyAlignment="1">
      <alignment horizontal="right"/>
    </xf>
    <xf numFmtId="0" fontId="326" fillId="0" borderId="0" xfId="0" applyFont="1"/>
    <xf numFmtId="0" fontId="326" fillId="0" borderId="0" xfId="0" applyFont="1" applyAlignment="1">
      <alignment horizontal="center"/>
    </xf>
    <xf numFmtId="14" fontId="326" fillId="0" borderId="0" xfId="0" applyNumberFormat="1" applyFont="1" applyAlignment="1">
      <alignment horizontal="center"/>
    </xf>
    <xf numFmtId="0" fontId="325" fillId="0" borderId="0" xfId="0" applyFont="1"/>
    <xf numFmtId="0" fontId="325" fillId="0" borderId="0" xfId="0" applyFont="1" applyAlignment="1">
      <alignment horizontal="center"/>
    </xf>
    <xf numFmtId="0" fontId="356" fillId="0" borderId="0" xfId="0" applyFont="1" applyAlignment="1">
      <alignment horizontal="left"/>
    </xf>
    <xf numFmtId="0" fontId="324" fillId="0" borderId="0" xfId="0" applyFont="1"/>
    <xf numFmtId="0" fontId="324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49" fontId="323" fillId="0" borderId="0" xfId="0" applyNumberFormat="1" applyFont="1"/>
    <xf numFmtId="0" fontId="323" fillId="0" borderId="0" xfId="0" applyFont="1"/>
    <xf numFmtId="0" fontId="322" fillId="0" borderId="0" xfId="0" applyFont="1"/>
    <xf numFmtId="0" fontId="322" fillId="0" borderId="0" xfId="0" applyFont="1" applyAlignment="1">
      <alignment horizontal="right"/>
    </xf>
    <xf numFmtId="49" fontId="321" fillId="0" borderId="0" xfId="0" applyNumberFormat="1" applyFont="1"/>
    <xf numFmtId="0" fontId="320" fillId="0" borderId="0" xfId="0" applyFont="1"/>
    <xf numFmtId="166" fontId="319" fillId="0" borderId="0" xfId="0" applyNumberFormat="1" applyFont="1" applyAlignment="1">
      <alignment horizontal="center"/>
    </xf>
    <xf numFmtId="0" fontId="319" fillId="0" borderId="0" xfId="0" applyFont="1"/>
    <xf numFmtId="49" fontId="319" fillId="0" borderId="0" xfId="0" applyNumberFormat="1" applyFont="1" applyAlignment="1">
      <alignment horizontal="center"/>
    </xf>
    <xf numFmtId="0" fontId="318" fillId="0" borderId="0" xfId="0" applyFont="1"/>
    <xf numFmtId="166" fontId="318" fillId="0" borderId="0" xfId="0" applyNumberFormat="1" applyFont="1" applyAlignment="1">
      <alignment horizontal="center"/>
    </xf>
    <xf numFmtId="49" fontId="318" fillId="0" borderId="0" xfId="0" applyNumberFormat="1" applyFont="1" applyAlignment="1">
      <alignment horizontal="center"/>
    </xf>
    <xf numFmtId="49" fontId="317" fillId="0" borderId="0" xfId="0" applyNumberFormat="1" applyFont="1"/>
    <xf numFmtId="0" fontId="316" fillId="0" borderId="0" xfId="0" applyFont="1"/>
    <xf numFmtId="0" fontId="315" fillId="0" borderId="0" xfId="0" applyFont="1"/>
    <xf numFmtId="49" fontId="314" fillId="0" borderId="0" xfId="0" applyNumberFormat="1" applyFont="1"/>
    <xf numFmtId="0" fontId="313" fillId="0" borderId="0" xfId="0" applyFont="1"/>
    <xf numFmtId="49" fontId="313" fillId="0" borderId="0" xfId="0" applyNumberFormat="1" applyFont="1"/>
    <xf numFmtId="49" fontId="312" fillId="0" borderId="0" xfId="0" applyNumberFormat="1" applyFont="1"/>
    <xf numFmtId="0" fontId="312" fillId="0" borderId="0" xfId="0" applyFont="1"/>
    <xf numFmtId="166" fontId="312" fillId="0" borderId="0" xfId="0" applyNumberFormat="1" applyFont="1" applyAlignment="1">
      <alignment horizontal="center"/>
    </xf>
    <xf numFmtId="49" fontId="312" fillId="0" borderId="0" xfId="0" applyNumberFormat="1" applyFont="1" applyAlignment="1">
      <alignment horizontal="center"/>
    </xf>
    <xf numFmtId="0" fontId="311" fillId="0" borderId="0" xfId="0" applyFont="1"/>
    <xf numFmtId="166" fontId="311" fillId="0" borderId="0" xfId="0" applyNumberFormat="1" applyFont="1" applyAlignment="1">
      <alignment horizontal="center"/>
    </xf>
    <xf numFmtId="49" fontId="311" fillId="0" borderId="0" xfId="0" applyNumberFormat="1" applyFont="1" applyAlignment="1">
      <alignment horizontal="center"/>
    </xf>
    <xf numFmtId="0" fontId="310" fillId="0" borderId="0" xfId="0" applyFont="1"/>
    <xf numFmtId="0" fontId="309" fillId="0" borderId="0" xfId="0" applyFont="1"/>
    <xf numFmtId="49" fontId="309" fillId="0" borderId="0" xfId="0" applyNumberFormat="1" applyFont="1"/>
    <xf numFmtId="0" fontId="308" fillId="0" borderId="0" xfId="0" applyFont="1"/>
    <xf numFmtId="0" fontId="307" fillId="0" borderId="0" xfId="0" applyFont="1"/>
    <xf numFmtId="0" fontId="307" fillId="0" borderId="0" xfId="0" applyFont="1" applyAlignment="1">
      <alignment horizontal="center"/>
    </xf>
    <xf numFmtId="14" fontId="313" fillId="0" borderId="0" xfId="0" applyNumberFormat="1" applyFont="1"/>
    <xf numFmtId="49" fontId="307" fillId="0" borderId="0" xfId="0" applyNumberFormat="1" applyFont="1"/>
    <xf numFmtId="49" fontId="306" fillId="0" borderId="0" xfId="0" applyNumberFormat="1" applyFont="1"/>
    <xf numFmtId="0" fontId="305" fillId="0" borderId="0" xfId="0" applyFont="1"/>
    <xf numFmtId="0" fontId="304" fillId="0" borderId="0" xfId="0" applyFont="1"/>
    <xf numFmtId="0" fontId="303" fillId="0" borderId="0" xfId="0" applyFont="1"/>
    <xf numFmtId="0" fontId="303" fillId="0" borderId="0" xfId="0" applyFont="1" applyAlignment="1">
      <alignment horizontal="center"/>
    </xf>
    <xf numFmtId="166" fontId="303" fillId="0" borderId="0" xfId="0" applyNumberFormat="1" applyFont="1" applyAlignment="1">
      <alignment horizontal="center"/>
    </xf>
    <xf numFmtId="49" fontId="303" fillId="0" borderId="0" xfId="0" applyNumberFormat="1" applyFont="1" applyAlignment="1">
      <alignment horizontal="center"/>
    </xf>
    <xf numFmtId="0" fontId="302" fillId="0" borderId="0" xfId="0" applyFont="1"/>
    <xf numFmtId="49" fontId="302" fillId="0" borderId="0" xfId="0" applyNumberFormat="1" applyFont="1"/>
    <xf numFmtId="0" fontId="301" fillId="0" borderId="0" xfId="0" applyFont="1"/>
    <xf numFmtId="49" fontId="301" fillId="0" borderId="0" xfId="0" applyNumberFormat="1" applyFont="1"/>
    <xf numFmtId="0" fontId="300" fillId="0" borderId="0" xfId="0" applyFont="1"/>
    <xf numFmtId="0" fontId="299" fillId="0" borderId="0" xfId="0" applyFont="1"/>
    <xf numFmtId="0" fontId="299" fillId="0" borderId="0" xfId="0" applyFont="1" applyAlignment="1">
      <alignment horizontal="center"/>
    </xf>
    <xf numFmtId="0" fontId="298" fillId="0" borderId="0" xfId="0" applyFont="1"/>
    <xf numFmtId="0" fontId="298" fillId="0" borderId="0" xfId="0" applyFont="1" applyAlignment="1">
      <alignment horizontal="right"/>
    </xf>
    <xf numFmtId="0" fontId="297" fillId="0" borderId="0" xfId="0" applyFont="1"/>
    <xf numFmtId="0" fontId="296" fillId="0" borderId="0" xfId="0" applyFont="1"/>
    <xf numFmtId="0" fontId="296" fillId="0" borderId="0" xfId="0" applyFont="1" applyAlignment="1">
      <alignment horizontal="center"/>
    </xf>
    <xf numFmtId="0" fontId="295" fillId="0" borderId="0" xfId="0" applyFont="1"/>
    <xf numFmtId="0" fontId="294" fillId="0" borderId="0" xfId="0" applyFont="1" applyAlignment="1">
      <alignment horizontal="center"/>
    </xf>
    <xf numFmtId="0" fontId="294" fillId="0" borderId="0" xfId="0" applyFont="1"/>
    <xf numFmtId="0" fontId="293" fillId="0" borderId="0" xfId="0" applyFont="1"/>
    <xf numFmtId="0" fontId="292" fillId="0" borderId="0" xfId="0" applyFont="1"/>
    <xf numFmtId="0" fontId="292" fillId="0" borderId="0" xfId="0" applyFont="1" applyAlignment="1">
      <alignment horizontal="center"/>
    </xf>
    <xf numFmtId="0" fontId="291" fillId="0" borderId="0" xfId="0" applyFont="1"/>
    <xf numFmtId="0" fontId="1452" fillId="0" borderId="0" xfId="0" applyFont="1"/>
    <xf numFmtId="0" fontId="290" fillId="0" borderId="0" xfId="0" applyFont="1"/>
    <xf numFmtId="0" fontId="289" fillId="0" borderId="0" xfId="0" applyFont="1"/>
    <xf numFmtId="0" fontId="287" fillId="0" borderId="0" xfId="0" applyFont="1"/>
    <xf numFmtId="0" fontId="286" fillId="0" borderId="0" xfId="0" applyFont="1"/>
    <xf numFmtId="0" fontId="283" fillId="0" borderId="0" xfId="0" applyFont="1"/>
    <xf numFmtId="0" fontId="282" fillId="0" borderId="0" xfId="0" applyFont="1"/>
    <xf numFmtId="0" fontId="281" fillId="0" borderId="0" xfId="0" applyFont="1"/>
    <xf numFmtId="0" fontId="280" fillId="0" borderId="0" xfId="0" applyFont="1"/>
    <xf numFmtId="166" fontId="279" fillId="0" borderId="0" xfId="0" applyNumberFormat="1" applyFont="1" applyAlignment="1">
      <alignment horizontal="center"/>
    </xf>
    <xf numFmtId="49" fontId="279" fillId="0" borderId="0" xfId="0" applyNumberFormat="1" applyFont="1" applyAlignment="1">
      <alignment horizontal="center"/>
    </xf>
    <xf numFmtId="0" fontId="279" fillId="0" borderId="0" xfId="0" applyFont="1"/>
    <xf numFmtId="0" fontId="279" fillId="0" borderId="0" xfId="0" applyFont="1" applyAlignment="1">
      <alignment horizontal="center"/>
    </xf>
    <xf numFmtId="0" fontId="278" fillId="0" borderId="0" xfId="0" applyFont="1" applyAlignment="1">
      <alignment horizontal="center"/>
    </xf>
    <xf numFmtId="0" fontId="277" fillId="0" borderId="0" xfId="0" applyFont="1"/>
    <xf numFmtId="0" fontId="276" fillId="0" borderId="0" xfId="0" applyFont="1"/>
    <xf numFmtId="0" fontId="275" fillId="0" borderId="0" xfId="0" applyFont="1"/>
    <xf numFmtId="166" fontId="275" fillId="0" borderId="0" xfId="0" applyNumberFormat="1" applyFont="1" applyAlignment="1">
      <alignment horizontal="center"/>
    </xf>
    <xf numFmtId="14" fontId="278" fillId="0" borderId="0" xfId="0" applyNumberFormat="1" applyFont="1" applyAlignment="1">
      <alignment horizontal="center"/>
    </xf>
    <xf numFmtId="0" fontId="274" fillId="0" borderId="0" xfId="0" applyFont="1"/>
    <xf numFmtId="0" fontId="273" fillId="0" borderId="0" xfId="0" applyFont="1"/>
    <xf numFmtId="0" fontId="272" fillId="0" borderId="0" xfId="0" applyFont="1"/>
    <xf numFmtId="0" fontId="271" fillId="0" borderId="0" xfId="0" applyFont="1"/>
    <xf numFmtId="0" fontId="271" fillId="0" borderId="0" xfId="0" applyFont="1" applyAlignment="1">
      <alignment horizontal="right"/>
    </xf>
    <xf numFmtId="0" fontId="270" fillId="0" borderId="0" xfId="0" applyFont="1" applyAlignment="1">
      <alignment horizontal="center"/>
    </xf>
    <xf numFmtId="0" fontId="269" fillId="0" borderId="0" xfId="0" applyFont="1"/>
    <xf numFmtId="0" fontId="268" fillId="0" borderId="0" xfId="0" applyFont="1"/>
    <xf numFmtId="0" fontId="267" fillId="0" borderId="0" xfId="0" applyFont="1"/>
    <xf numFmtId="0" fontId="266" fillId="0" borderId="0" xfId="0" applyFont="1"/>
    <xf numFmtId="0" fontId="265" fillId="0" borderId="0" xfId="0" applyFont="1"/>
    <xf numFmtId="0" fontId="264" fillId="0" borderId="0" xfId="0" applyFont="1"/>
    <xf numFmtId="49" fontId="0" fillId="9" borderId="0" xfId="0" applyNumberFormat="1" applyFill="1"/>
    <xf numFmtId="0" fontId="262" fillId="0" borderId="0" xfId="0" applyFont="1"/>
    <xf numFmtId="0" fontId="261" fillId="0" borderId="0" xfId="0" applyFont="1"/>
    <xf numFmtId="0" fontId="260" fillId="0" borderId="0" xfId="0" applyFont="1"/>
    <xf numFmtId="0" fontId="259" fillId="0" borderId="0" xfId="0" applyFont="1"/>
    <xf numFmtId="0" fontId="258" fillId="0" borderId="0" xfId="0" applyFont="1"/>
    <xf numFmtId="0" fontId="257" fillId="0" borderId="0" xfId="0" applyFont="1"/>
    <xf numFmtId="0" fontId="256" fillId="0" borderId="0" xfId="0" applyFont="1"/>
    <xf numFmtId="0" fontId="255" fillId="0" borderId="0" xfId="0" applyFont="1"/>
    <xf numFmtId="0" fontId="254" fillId="0" borderId="0" xfId="0" applyFont="1"/>
    <xf numFmtId="0" fontId="254" fillId="0" borderId="0" xfId="0" applyFont="1" applyAlignment="1">
      <alignment horizontal="right"/>
    </xf>
    <xf numFmtId="0" fontId="253" fillId="0" borderId="0" xfId="0" applyFont="1"/>
    <xf numFmtId="0" fontId="252" fillId="0" borderId="0" xfId="0" applyFont="1"/>
    <xf numFmtId="0" fontId="252" fillId="0" borderId="0" xfId="0" applyFont="1" applyAlignment="1">
      <alignment horizontal="center"/>
    </xf>
    <xf numFmtId="0" fontId="251" fillId="0" borderId="0" xfId="0" applyFont="1"/>
    <xf numFmtId="0" fontId="250" fillId="0" borderId="0" xfId="0" applyFont="1"/>
    <xf numFmtId="0" fontId="249" fillId="0" borderId="0" xfId="0" applyFont="1"/>
    <xf numFmtId="0" fontId="249" fillId="0" borderId="0" xfId="0" applyFont="1" applyAlignment="1">
      <alignment horizontal="right"/>
    </xf>
    <xf numFmtId="0" fontId="249" fillId="0" borderId="0" xfId="0" applyFont="1" applyAlignment="1">
      <alignment horizontal="center"/>
    </xf>
    <xf numFmtId="49" fontId="248" fillId="0" borderId="0" xfId="0" applyNumberFormat="1" applyFont="1"/>
    <xf numFmtId="0" fontId="246" fillId="0" borderId="0" xfId="0" applyFont="1"/>
    <xf numFmtId="0" fontId="245" fillId="0" borderId="0" xfId="0" applyFont="1"/>
    <xf numFmtId="0" fontId="245" fillId="0" borderId="0" xfId="0" applyFont="1" applyAlignment="1">
      <alignment horizontal="center"/>
    </xf>
    <xf numFmtId="0" fontId="243" fillId="0" borderId="0" xfId="0" applyFont="1"/>
    <xf numFmtId="0" fontId="242" fillId="0" borderId="0" xfId="0" applyFont="1"/>
    <xf numFmtId="14" fontId="244" fillId="0" borderId="0" xfId="0" applyNumberFormat="1" applyFont="1" applyAlignment="1">
      <alignment horizontal="center"/>
    </xf>
    <xf numFmtId="0" fontId="241" fillId="0" borderId="0" xfId="0" applyFont="1"/>
    <xf numFmtId="49" fontId="241" fillId="0" borderId="0" xfId="0" applyNumberFormat="1" applyFont="1" applyAlignment="1">
      <alignment horizontal="center"/>
    </xf>
    <xf numFmtId="166" fontId="241" fillId="0" borderId="0" xfId="0" applyNumberFormat="1" applyFont="1" applyAlignment="1">
      <alignment horizontal="center"/>
    </xf>
    <xf numFmtId="0" fontId="240" fillId="0" borderId="0" xfId="0" applyFont="1"/>
    <xf numFmtId="166" fontId="239" fillId="0" borderId="0" xfId="0" applyNumberFormat="1" applyFont="1" applyAlignment="1">
      <alignment horizontal="center"/>
    </xf>
    <xf numFmtId="0" fontId="239" fillId="0" borderId="0" xfId="0" applyFont="1"/>
    <xf numFmtId="49" fontId="239" fillId="0" borderId="0" xfId="0" applyNumberFormat="1" applyFont="1" applyAlignment="1">
      <alignment horizontal="center"/>
    </xf>
    <xf numFmtId="0" fontId="1453" fillId="0" borderId="0" xfId="0" applyFont="1"/>
    <xf numFmtId="49" fontId="238" fillId="0" borderId="0" xfId="0" applyNumberFormat="1" applyFont="1"/>
    <xf numFmtId="0" fontId="237" fillId="0" borderId="0" xfId="0" applyFont="1"/>
    <xf numFmtId="0" fontId="235" fillId="0" borderId="0" xfId="0" applyFont="1"/>
    <xf numFmtId="166" fontId="235" fillId="0" borderId="0" xfId="0" applyNumberFormat="1" applyFont="1" applyAlignment="1">
      <alignment horizontal="center"/>
    </xf>
    <xf numFmtId="0" fontId="234" fillId="0" borderId="0" xfId="0" applyFont="1"/>
    <xf numFmtId="49" fontId="234" fillId="0" borderId="0" xfId="0" applyNumberFormat="1" applyFont="1"/>
    <xf numFmtId="0" fontId="233" fillId="0" borderId="0" xfId="0" applyFont="1"/>
    <xf numFmtId="0" fontId="232" fillId="0" borderId="0" xfId="0" applyFont="1"/>
    <xf numFmtId="0" fontId="231" fillId="0" borderId="0" xfId="0" applyFont="1"/>
    <xf numFmtId="0" fontId="231" fillId="0" borderId="0" xfId="0" applyFont="1" applyAlignment="1">
      <alignment horizontal="center"/>
    </xf>
    <xf numFmtId="0" fontId="230" fillId="0" borderId="0" xfId="0" applyFont="1"/>
    <xf numFmtId="49" fontId="229" fillId="0" borderId="0" xfId="0" applyNumberFormat="1" applyFont="1"/>
    <xf numFmtId="49" fontId="228" fillId="0" borderId="0" xfId="0" applyNumberFormat="1" applyFont="1"/>
    <xf numFmtId="0" fontId="228" fillId="0" borderId="0" xfId="0" applyFont="1"/>
    <xf numFmtId="0" fontId="227" fillId="0" borderId="0" xfId="0" applyFont="1"/>
    <xf numFmtId="0" fontId="227" fillId="0" borderId="0" xfId="0" applyFont="1" applyAlignment="1">
      <alignment horizontal="center"/>
    </xf>
    <xf numFmtId="0" fontId="226" fillId="0" borderId="0" xfId="0" applyFont="1"/>
    <xf numFmtId="0" fontId="226" fillId="0" borderId="0" xfId="0" applyFont="1" applyAlignment="1">
      <alignment horizontal="center"/>
    </xf>
    <xf numFmtId="0" fontId="225" fillId="0" borderId="0" xfId="0" applyFont="1"/>
    <xf numFmtId="0" fontId="224" fillId="0" borderId="0" xfId="0" applyFont="1"/>
    <xf numFmtId="49" fontId="224" fillId="0" borderId="0" xfId="0" applyNumberFormat="1" applyFont="1" applyAlignment="1">
      <alignment horizontal="center"/>
    </xf>
    <xf numFmtId="166" fontId="224" fillId="0" borderId="0" xfId="0" applyNumberFormat="1" applyFont="1" applyAlignment="1">
      <alignment horizontal="center"/>
    </xf>
    <xf numFmtId="0" fontId="223" fillId="0" borderId="0" xfId="0" applyFont="1"/>
    <xf numFmtId="0" fontId="222" fillId="0" borderId="0" xfId="0" applyFont="1"/>
    <xf numFmtId="49" fontId="222" fillId="0" borderId="0" xfId="0" applyNumberFormat="1" applyFont="1"/>
    <xf numFmtId="0" fontId="221" fillId="0" borderId="0" xfId="0" applyFont="1"/>
    <xf numFmtId="49" fontId="220" fillId="0" borderId="0" xfId="0" applyNumberFormat="1" applyFont="1"/>
    <xf numFmtId="0" fontId="219" fillId="0" borderId="0" xfId="0" applyFont="1"/>
    <xf numFmtId="0" fontId="219" fillId="0" borderId="0" xfId="0" applyFont="1" applyAlignment="1">
      <alignment horizontal="right"/>
    </xf>
    <xf numFmtId="0" fontId="218" fillId="0" borderId="0" xfId="0" applyFont="1"/>
    <xf numFmtId="0" fontId="217" fillId="0" borderId="0" xfId="0" applyFont="1"/>
    <xf numFmtId="0" fontId="1454" fillId="0" borderId="0" xfId="0" applyFont="1"/>
    <xf numFmtId="0" fontId="216" fillId="0" borderId="0" xfId="0" applyFont="1"/>
    <xf numFmtId="0" fontId="215" fillId="0" borderId="0" xfId="0" applyFont="1"/>
    <xf numFmtId="0" fontId="214" fillId="0" borderId="0" xfId="0" applyFont="1"/>
    <xf numFmtId="0" fontId="213" fillId="0" borderId="0" xfId="0" applyFont="1"/>
    <xf numFmtId="0" fontId="212" fillId="0" borderId="0" xfId="0" applyFont="1" applyAlignment="1">
      <alignment horizontal="center"/>
    </xf>
    <xf numFmtId="49" fontId="212" fillId="0" borderId="0" xfId="0" applyNumberFormat="1" applyFont="1"/>
    <xf numFmtId="0" fontId="211" fillId="0" borderId="0" xfId="0" applyFont="1"/>
    <xf numFmtId="0" fontId="210" fillId="0" borderId="0" xfId="0" applyFont="1"/>
    <xf numFmtId="0" fontId="209" fillId="0" borderId="0" xfId="0" applyFont="1"/>
    <xf numFmtId="14" fontId="209" fillId="0" borderId="0" xfId="0" applyNumberFormat="1" applyFont="1" applyAlignment="1">
      <alignment horizontal="center"/>
    </xf>
    <xf numFmtId="0" fontId="208" fillId="0" borderId="0" xfId="0" applyFont="1"/>
    <xf numFmtId="0" fontId="207" fillId="0" borderId="0" xfId="0" applyFont="1"/>
    <xf numFmtId="0" fontId="206" fillId="0" borderId="0" xfId="0" applyFont="1"/>
    <xf numFmtId="166" fontId="205" fillId="0" borderId="0" xfId="0" applyNumberFormat="1" applyFont="1" applyAlignment="1">
      <alignment horizontal="center"/>
    </xf>
    <xf numFmtId="0" fontId="205" fillId="0" borderId="0" xfId="0" applyFont="1"/>
    <xf numFmtId="0" fontId="204" fillId="0" borderId="0" xfId="0" applyFont="1"/>
    <xf numFmtId="0" fontId="203" fillId="0" borderId="0" xfId="0" applyFont="1"/>
    <xf numFmtId="0" fontId="202" fillId="0" borderId="0" xfId="0" applyFont="1"/>
    <xf numFmtId="0" fontId="200" fillId="0" borderId="0" xfId="0" applyFont="1"/>
    <xf numFmtId="0" fontId="199" fillId="0" borderId="0" xfId="0" applyFont="1"/>
    <xf numFmtId="0" fontId="198" fillId="0" borderId="0" xfId="0" applyFont="1"/>
    <xf numFmtId="0" fontId="198" fillId="0" borderId="0" xfId="0" applyFont="1" applyAlignment="1">
      <alignment horizontal="center"/>
    </xf>
    <xf numFmtId="49" fontId="198" fillId="0" borderId="0" xfId="0" applyNumberFormat="1" applyFont="1"/>
    <xf numFmtId="0" fontId="197" fillId="0" borderId="0" xfId="0" applyFont="1"/>
    <xf numFmtId="49" fontId="196" fillId="0" borderId="0" xfId="0" applyNumberFormat="1" applyFont="1"/>
    <xf numFmtId="0" fontId="196" fillId="0" borderId="0" xfId="0" applyFont="1"/>
    <xf numFmtId="0" fontId="196" fillId="0" borderId="0" xfId="0" applyFont="1" applyAlignment="1">
      <alignment horizontal="center"/>
    </xf>
    <xf numFmtId="49" fontId="195" fillId="0" borderId="0" xfId="0" applyNumberFormat="1" applyFont="1"/>
    <xf numFmtId="0" fontId="195" fillId="0" borderId="0" xfId="0" applyFont="1"/>
    <xf numFmtId="166" fontId="195" fillId="0" borderId="0" xfId="0" applyNumberFormat="1" applyFont="1" applyAlignment="1">
      <alignment horizontal="center"/>
    </xf>
    <xf numFmtId="49" fontId="195" fillId="0" borderId="0" xfId="0" applyNumberFormat="1" applyFont="1" applyAlignment="1">
      <alignment horizontal="center"/>
    </xf>
    <xf numFmtId="0" fontId="194" fillId="0" borderId="0" xfId="0" applyFont="1"/>
    <xf numFmtId="14" fontId="196" fillId="0" borderId="0" xfId="0" applyNumberFormat="1" applyFont="1" applyAlignment="1">
      <alignment horizontal="center"/>
    </xf>
    <xf numFmtId="0" fontId="193" fillId="0" borderId="0" xfId="0" applyFont="1"/>
    <xf numFmtId="0" fontId="192" fillId="0" borderId="0" xfId="0" applyFont="1"/>
    <xf numFmtId="49" fontId="191" fillId="0" borderId="0" xfId="0" applyNumberFormat="1" applyFont="1"/>
    <xf numFmtId="0" fontId="190" fillId="0" borderId="0" xfId="0" applyFont="1"/>
    <xf numFmtId="49" fontId="189" fillId="0" borderId="0" xfId="0" applyNumberFormat="1" applyFont="1"/>
    <xf numFmtId="0" fontId="1448" fillId="7" borderId="1" xfId="0" applyFont="1" applyFill="1" applyBorder="1" applyAlignment="1">
      <alignment vertical="center" wrapText="1"/>
    </xf>
    <xf numFmtId="0" fontId="188" fillId="0" borderId="0" xfId="0" applyFont="1"/>
    <xf numFmtId="0" fontId="188" fillId="0" borderId="0" xfId="0" applyFont="1" applyAlignment="1">
      <alignment horizontal="right"/>
    </xf>
    <xf numFmtId="0" fontId="187" fillId="0" borderId="0" xfId="0" applyFont="1"/>
    <xf numFmtId="49" fontId="187" fillId="0" borderId="0" xfId="0" applyNumberFormat="1" applyFont="1"/>
    <xf numFmtId="49" fontId="186" fillId="0" borderId="0" xfId="0" applyNumberFormat="1" applyFont="1"/>
    <xf numFmtId="49" fontId="185" fillId="0" borderId="0" xfId="0" applyNumberFormat="1" applyFont="1"/>
    <xf numFmtId="49" fontId="184" fillId="0" borderId="0" xfId="0" applyNumberFormat="1" applyFont="1"/>
    <xf numFmtId="49" fontId="183" fillId="0" borderId="0" xfId="0" applyNumberFormat="1" applyFont="1"/>
    <xf numFmtId="0" fontId="182" fillId="0" borderId="0" xfId="0" applyFont="1"/>
    <xf numFmtId="0" fontId="181" fillId="0" borderId="0" xfId="0" applyFont="1"/>
    <xf numFmtId="49" fontId="180" fillId="0" borderId="0" xfId="0" applyNumberFormat="1" applyFont="1"/>
    <xf numFmtId="49" fontId="179" fillId="0" borderId="0" xfId="0" applyNumberFormat="1" applyFont="1"/>
    <xf numFmtId="0" fontId="178" fillId="0" borderId="0" xfId="0" applyFont="1"/>
    <xf numFmtId="0" fontId="177" fillId="0" borderId="0" xfId="0" applyFont="1"/>
    <xf numFmtId="0" fontId="176" fillId="0" borderId="0" xfId="0" applyFont="1"/>
    <xf numFmtId="0" fontId="176" fillId="0" borderId="0" xfId="0" applyFont="1" applyAlignment="1">
      <alignment horizontal="center"/>
    </xf>
    <xf numFmtId="0" fontId="176" fillId="0" borderId="0" xfId="0" applyFont="1" applyAlignment="1">
      <alignment horizontal="right"/>
    </xf>
    <xf numFmtId="0" fontId="175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4" fillId="0" borderId="0" xfId="0" applyFont="1"/>
    <xf numFmtId="49" fontId="174" fillId="0" borderId="0" xfId="0" applyNumberFormat="1" applyFont="1"/>
    <xf numFmtId="0" fontId="173" fillId="0" borderId="0" xfId="0" applyFont="1"/>
    <xf numFmtId="0" fontId="172" fillId="0" borderId="0" xfId="0" applyFont="1"/>
    <xf numFmtId="0" fontId="172" fillId="0" borderId="0" xfId="0" applyFont="1" applyAlignment="1">
      <alignment horizontal="center"/>
    </xf>
    <xf numFmtId="0" fontId="172" fillId="0" borderId="0" xfId="0" applyFont="1" applyAlignment="1">
      <alignment horizontal="left"/>
    </xf>
    <xf numFmtId="49" fontId="171" fillId="0" borderId="0" xfId="0" applyNumberFormat="1" applyFont="1"/>
    <xf numFmtId="49" fontId="170" fillId="0" borderId="0" xfId="0" applyNumberFormat="1" applyFont="1"/>
    <xf numFmtId="49" fontId="170" fillId="0" borderId="0" xfId="0" applyNumberFormat="1" applyFont="1" applyAlignment="1">
      <alignment horizontal="center"/>
    </xf>
    <xf numFmtId="49" fontId="169" fillId="0" borderId="0" xfId="0" applyNumberFormat="1" applyFont="1"/>
    <xf numFmtId="0" fontId="168" fillId="0" borderId="0" xfId="0" applyFont="1"/>
    <xf numFmtId="0" fontId="168" fillId="0" borderId="0" xfId="0" applyFont="1" applyAlignment="1">
      <alignment horizontal="right"/>
    </xf>
    <xf numFmtId="0" fontId="167" fillId="0" borderId="0" xfId="0" applyFont="1" applyAlignment="1">
      <alignment horizontal="center"/>
    </xf>
    <xf numFmtId="0" fontId="167" fillId="0" borderId="0" xfId="0" applyFont="1"/>
    <xf numFmtId="0" fontId="167" fillId="0" borderId="0" xfId="0" applyFont="1" applyAlignment="1">
      <alignment horizontal="right"/>
    </xf>
    <xf numFmtId="0" fontId="166" fillId="0" borderId="0" xfId="0" applyFont="1"/>
    <xf numFmtId="0" fontId="165" fillId="0" borderId="0" xfId="0" applyFont="1"/>
    <xf numFmtId="0" fontId="164" fillId="0" borderId="0" xfId="0" applyFont="1"/>
    <xf numFmtId="0" fontId="163" fillId="0" borderId="0" xfId="0" applyFont="1"/>
    <xf numFmtId="49" fontId="163" fillId="0" borderId="0" xfId="0" applyNumberFormat="1" applyFont="1"/>
    <xf numFmtId="49" fontId="162" fillId="0" borderId="0" xfId="0" applyNumberFormat="1" applyFont="1"/>
    <xf numFmtId="0" fontId="162" fillId="0" borderId="0" xfId="0" applyFont="1"/>
    <xf numFmtId="166" fontId="161" fillId="0" borderId="0" xfId="0" applyNumberFormat="1" applyFont="1" applyAlignment="1">
      <alignment horizontal="center"/>
    </xf>
    <xf numFmtId="0" fontId="161" fillId="0" borderId="0" xfId="0" applyFont="1"/>
    <xf numFmtId="49" fontId="16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413" fillId="0" borderId="0" xfId="0" applyFont="1" applyAlignment="1">
      <alignment horizontal="left"/>
    </xf>
    <xf numFmtId="0" fontId="1415" fillId="0" borderId="0" xfId="0" applyFont="1" applyAlignment="1">
      <alignment horizontal="left"/>
    </xf>
    <xf numFmtId="49" fontId="160" fillId="0" borderId="0" xfId="0" applyNumberFormat="1" applyFont="1"/>
    <xf numFmtId="0" fontId="159" fillId="0" borderId="0" xfId="0" applyFont="1"/>
    <xf numFmtId="0" fontId="158" fillId="0" borderId="0" xfId="0" applyFont="1"/>
    <xf numFmtId="49" fontId="157" fillId="0" borderId="0" xfId="0" applyNumberFormat="1" applyFont="1"/>
    <xf numFmtId="0" fontId="156" fillId="0" borderId="0" xfId="0" applyFont="1"/>
    <xf numFmtId="0" fontId="155" fillId="0" borderId="0" xfId="0" applyFont="1"/>
    <xf numFmtId="49" fontId="154" fillId="0" borderId="0" xfId="0" applyNumberFormat="1" applyFont="1"/>
    <xf numFmtId="0" fontId="152" fillId="0" borderId="0" xfId="0" applyFont="1"/>
    <xf numFmtId="0" fontId="151" fillId="0" borderId="0" xfId="0" applyFont="1"/>
    <xf numFmtId="0" fontId="150" fillId="0" borderId="0" xfId="0" applyFont="1"/>
    <xf numFmtId="14" fontId="159" fillId="0" borderId="0" xfId="0" applyNumberFormat="1" applyFont="1" applyAlignment="1">
      <alignment horizontal="center"/>
    </xf>
    <xf numFmtId="0" fontId="148" fillId="0" borderId="0" xfId="0" applyFont="1"/>
    <xf numFmtId="0" fontId="147" fillId="0" borderId="0" xfId="0" applyFont="1" applyAlignment="1">
      <alignment horizontal="left"/>
    </xf>
    <xf numFmtId="0" fontId="147" fillId="0" borderId="0" xfId="0" applyFont="1" applyAlignment="1">
      <alignment horizontal="center"/>
    </xf>
    <xf numFmtId="0" fontId="147" fillId="0" borderId="0" xfId="0" applyFont="1"/>
    <xf numFmtId="49" fontId="146" fillId="0" borderId="0" xfId="0" applyNumberFormat="1" applyFont="1"/>
    <xf numFmtId="49" fontId="144" fillId="0" borderId="0" xfId="0" applyNumberFormat="1" applyFont="1"/>
    <xf numFmtId="49" fontId="143" fillId="0" borderId="0" xfId="0" applyNumberFormat="1" applyFont="1"/>
    <xf numFmtId="0" fontId="142" fillId="0" borderId="0" xfId="0" applyFont="1"/>
    <xf numFmtId="0" fontId="141" fillId="0" borderId="0" xfId="0" applyFont="1" applyAlignment="1">
      <alignment horizontal="center"/>
    </xf>
    <xf numFmtId="14" fontId="159" fillId="0" borderId="0" xfId="0" applyNumberFormat="1" applyFont="1"/>
    <xf numFmtId="14" fontId="145" fillId="0" borderId="0" xfId="0" applyNumberFormat="1" applyFont="1" applyAlignment="1">
      <alignment horizontal="center"/>
    </xf>
    <xf numFmtId="0" fontId="140" fillId="0" borderId="0" xfId="0" applyFont="1" applyAlignment="1">
      <alignment horizontal="center"/>
    </xf>
    <xf numFmtId="49" fontId="139" fillId="0" borderId="0" xfId="0" applyNumberFormat="1" applyFont="1"/>
    <xf numFmtId="49" fontId="138" fillId="0" borderId="0" xfId="0" applyNumberFormat="1" applyFont="1"/>
    <xf numFmtId="0" fontId="137" fillId="0" borderId="0" xfId="0" applyFont="1"/>
    <xf numFmtId="0" fontId="136" fillId="0" borderId="0" xfId="0" applyFont="1"/>
    <xf numFmtId="49" fontId="135" fillId="0" borderId="0" xfId="0" applyNumberFormat="1" applyFont="1"/>
    <xf numFmtId="0" fontId="133" fillId="0" borderId="0" xfId="0" applyFont="1"/>
    <xf numFmtId="9" fontId="132" fillId="0" borderId="0" xfId="0" applyNumberFormat="1" applyFont="1"/>
    <xf numFmtId="0" fontId="132" fillId="0" borderId="0" xfId="0" applyFont="1"/>
    <xf numFmtId="49" fontId="131" fillId="0" borderId="0" xfId="0" applyNumberFormat="1" applyFont="1"/>
    <xf numFmtId="49" fontId="130" fillId="0" borderId="0" xfId="0" applyNumberFormat="1" applyFont="1"/>
    <xf numFmtId="0" fontId="129" fillId="0" borderId="0" xfId="0" applyFont="1"/>
    <xf numFmtId="0" fontId="128" fillId="0" borderId="0" xfId="0" applyFont="1" applyAlignment="1">
      <alignment horizontal="left"/>
    </xf>
    <xf numFmtId="0" fontId="128" fillId="0" borderId="0" xfId="0" applyFont="1" applyAlignment="1">
      <alignment horizontal="center"/>
    </xf>
    <xf numFmtId="49" fontId="126" fillId="0" borderId="0" xfId="0" applyNumberFormat="1" applyFont="1"/>
    <xf numFmtId="0" fontId="125" fillId="0" borderId="0" xfId="0" applyFont="1"/>
    <xf numFmtId="49" fontId="0" fillId="8" borderId="0" xfId="0" applyNumberFormat="1" applyFill="1"/>
    <xf numFmtId="49" fontId="127" fillId="8" borderId="0" xfId="0" applyNumberFormat="1" applyFont="1" applyFill="1"/>
    <xf numFmtId="0" fontId="124" fillId="0" borderId="0" xfId="0" applyFont="1"/>
    <xf numFmtId="0" fontId="124" fillId="0" borderId="0" xfId="0" applyFont="1" applyAlignment="1">
      <alignment horizontal="center"/>
    </xf>
    <xf numFmtId="49" fontId="123" fillId="0" borderId="0" xfId="0" applyNumberFormat="1" applyFont="1"/>
    <xf numFmtId="0" fontId="122" fillId="0" borderId="0" xfId="0" applyFont="1" applyAlignment="1">
      <alignment horizontal="center"/>
    </xf>
    <xf numFmtId="49" fontId="121" fillId="0" borderId="0" xfId="0" applyNumberFormat="1" applyFont="1"/>
    <xf numFmtId="49" fontId="120" fillId="0" borderId="0" xfId="0" applyNumberFormat="1" applyFont="1"/>
    <xf numFmtId="0" fontId="119" fillId="0" borderId="0" xfId="0" applyFont="1"/>
    <xf numFmtId="0" fontId="119" fillId="0" borderId="0" xfId="0" applyFont="1" applyAlignment="1">
      <alignment horizontal="right"/>
    </xf>
    <xf numFmtId="0" fontId="118" fillId="0" borderId="0" xfId="0" applyFont="1"/>
    <xf numFmtId="49" fontId="117" fillId="0" borderId="0" xfId="0" applyNumberFormat="1" applyFont="1"/>
    <xf numFmtId="49" fontId="116" fillId="0" borderId="0" xfId="0" applyNumberFormat="1" applyFont="1"/>
    <xf numFmtId="0" fontId="115" fillId="0" borderId="0" xfId="0" applyFont="1"/>
    <xf numFmtId="166" fontId="115" fillId="0" borderId="0" xfId="0" applyNumberFormat="1" applyFont="1" applyAlignment="1">
      <alignment horizontal="center"/>
    </xf>
    <xf numFmtId="49" fontId="115" fillId="0" borderId="0" xfId="0" applyNumberFormat="1" applyFont="1" applyAlignment="1">
      <alignment horizontal="center"/>
    </xf>
    <xf numFmtId="49" fontId="114" fillId="0" borderId="0" xfId="0" applyNumberFormat="1" applyFont="1"/>
    <xf numFmtId="0" fontId="113" fillId="0" borderId="0" xfId="0" applyFont="1" applyAlignment="1">
      <alignment horizontal="center"/>
    </xf>
    <xf numFmtId="0" fontId="112" fillId="0" borderId="0" xfId="0" applyFont="1"/>
    <xf numFmtId="49" fontId="112" fillId="0" borderId="0" xfId="0" applyNumberFormat="1" applyFont="1"/>
    <xf numFmtId="0" fontId="111" fillId="0" borderId="0" xfId="0" applyFont="1"/>
    <xf numFmtId="166" fontId="111" fillId="0" borderId="0" xfId="0" applyNumberFormat="1" applyFont="1" applyAlignment="1">
      <alignment horizontal="center"/>
    </xf>
    <xf numFmtId="49" fontId="111" fillId="0" borderId="0" xfId="0" applyNumberFormat="1" applyFont="1" applyAlignment="1">
      <alignment horizontal="center"/>
    </xf>
    <xf numFmtId="49" fontId="110" fillId="0" borderId="0" xfId="0" applyNumberFormat="1" applyFont="1"/>
    <xf numFmtId="49" fontId="109" fillId="0" borderId="0" xfId="0" applyNumberFormat="1" applyFont="1"/>
    <xf numFmtId="0" fontId="109" fillId="0" borderId="0" xfId="0" applyFont="1"/>
    <xf numFmtId="49" fontId="108" fillId="0" borderId="0" xfId="0" applyNumberFormat="1" applyFont="1"/>
    <xf numFmtId="0" fontId="107" fillId="0" borderId="0" xfId="0" applyFont="1"/>
    <xf numFmtId="49" fontId="0" fillId="0" borderId="0" xfId="0" applyNumberFormat="1" applyAlignment="1">
      <alignment horizontal="left"/>
    </xf>
    <xf numFmtId="49" fontId="106" fillId="0" borderId="0" xfId="0" applyNumberFormat="1" applyFont="1"/>
    <xf numFmtId="0" fontId="105" fillId="0" borderId="0" xfId="0" applyFont="1"/>
    <xf numFmtId="0" fontId="104" fillId="0" borderId="0" xfId="0" applyFont="1"/>
    <xf numFmtId="49" fontId="103" fillId="0" borderId="0" xfId="0" applyNumberFormat="1" applyFont="1"/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100" fillId="0" borderId="0" xfId="0" applyFont="1" applyAlignment="1">
      <alignment horizontal="center"/>
    </xf>
    <xf numFmtId="49" fontId="100" fillId="0" borderId="0" xfId="0" applyNumberFormat="1" applyFont="1"/>
    <xf numFmtId="49" fontId="99" fillId="0" borderId="0" xfId="0" applyNumberFormat="1" applyFont="1"/>
    <xf numFmtId="0" fontId="98" fillId="0" borderId="0" xfId="0" applyFont="1" applyAlignment="1">
      <alignment horizontal="center"/>
    </xf>
    <xf numFmtId="49" fontId="98" fillId="0" borderId="0" xfId="0" applyNumberFormat="1" applyFont="1"/>
    <xf numFmtId="0" fontId="98" fillId="0" borderId="0" xfId="0" applyFont="1"/>
    <xf numFmtId="0" fontId="97" fillId="0" borderId="0" xfId="0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 applyAlignment="1">
      <alignment horizontal="center"/>
    </xf>
    <xf numFmtId="0" fontId="92" fillId="0" borderId="0" xfId="0" applyFont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5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49" fontId="83" fillId="0" borderId="0" xfId="0" applyNumberFormat="1" applyFont="1" applyAlignment="1">
      <alignment horizontal="center"/>
    </xf>
    <xf numFmtId="0" fontId="82" fillId="0" borderId="0" xfId="0" applyFont="1"/>
    <xf numFmtId="167" fontId="1409" fillId="0" borderId="0" xfId="0" applyNumberFormat="1" applyFont="1" applyAlignment="1">
      <alignment horizontal="left"/>
    </xf>
    <xf numFmtId="167" fontId="1370" fillId="0" borderId="0" xfId="0" applyNumberFormat="1" applyFont="1" applyAlignment="1">
      <alignment horizontal="left"/>
    </xf>
    <xf numFmtId="167" fontId="1370" fillId="3" borderId="1" xfId="0" applyNumberFormat="1" applyFont="1" applyFill="1" applyBorder="1" applyAlignment="1">
      <alignment horizontal="left"/>
    </xf>
    <xf numFmtId="167" fontId="1374" fillId="3" borderId="1" xfId="0" applyNumberFormat="1" applyFont="1" applyFill="1" applyBorder="1" applyAlignment="1">
      <alignment horizontal="left"/>
    </xf>
    <xf numFmtId="167" fontId="1374" fillId="0" borderId="0" xfId="0" applyNumberFormat="1" applyFont="1" applyAlignment="1">
      <alignment horizontal="left"/>
    </xf>
    <xf numFmtId="167" fontId="1370" fillId="8" borderId="0" xfId="0" applyNumberFormat="1" applyFont="1" applyFill="1" applyAlignment="1">
      <alignment horizontal="left"/>
    </xf>
    <xf numFmtId="167" fontId="1414" fillId="0" borderId="0" xfId="0" applyNumberFormat="1" applyFont="1" applyAlignment="1">
      <alignment horizontal="left"/>
    </xf>
    <xf numFmtId="167" fontId="1374" fillId="8" borderId="0" xfId="0" applyNumberFormat="1" applyFont="1" applyFill="1" applyAlignment="1">
      <alignment horizontal="left"/>
    </xf>
    <xf numFmtId="167" fontId="1416" fillId="0" borderId="0" xfId="0" applyNumberFormat="1" applyFont="1" applyAlignment="1">
      <alignment horizontal="left"/>
    </xf>
    <xf numFmtId="0" fontId="1156" fillId="0" borderId="0" xfId="0" applyFont="1" applyAlignment="1">
      <alignment horizontal="left"/>
    </xf>
    <xf numFmtId="0" fontId="949" fillId="0" borderId="0" xfId="0" applyFont="1" applyAlignment="1">
      <alignment horizontal="left"/>
    </xf>
    <xf numFmtId="0" fontId="887" fillId="0" borderId="0" xfId="0" applyFont="1" applyAlignment="1">
      <alignment horizontal="left"/>
    </xf>
    <xf numFmtId="0" fontId="1434" fillId="0" borderId="0" xfId="0" applyFont="1" applyAlignment="1">
      <alignment horizontal="left"/>
    </xf>
    <xf numFmtId="0" fontId="882" fillId="0" borderId="0" xfId="0" applyFont="1" applyAlignment="1">
      <alignment horizontal="left"/>
    </xf>
    <xf numFmtId="0" fontId="851" fillId="0" borderId="0" xfId="0" applyFont="1" applyAlignment="1">
      <alignment horizontal="left"/>
    </xf>
    <xf numFmtId="0" fontId="807" fillId="0" borderId="0" xfId="0" applyFont="1" applyAlignment="1">
      <alignment horizontal="left"/>
    </xf>
    <xf numFmtId="0" fontId="838" fillId="0" borderId="0" xfId="0" applyFont="1" applyAlignment="1">
      <alignment horizontal="left"/>
    </xf>
    <xf numFmtId="0" fontId="827" fillId="0" borderId="0" xfId="0" applyFont="1" applyAlignment="1">
      <alignment horizontal="left"/>
    </xf>
    <xf numFmtId="0" fontId="813" fillId="0" borderId="0" xfId="0" applyFont="1" applyAlignment="1">
      <alignment horizontal="left"/>
    </xf>
    <xf numFmtId="0" fontId="1436" fillId="0" borderId="0" xfId="0" applyFont="1" applyAlignment="1">
      <alignment horizontal="left"/>
    </xf>
    <xf numFmtId="0" fontId="1439" fillId="0" borderId="0" xfId="0" applyFont="1" applyAlignment="1">
      <alignment horizontal="left"/>
    </xf>
    <xf numFmtId="0" fontId="767" fillId="0" borderId="0" xfId="0" applyFont="1" applyAlignment="1">
      <alignment horizontal="left"/>
    </xf>
    <xf numFmtId="0" fontId="729" fillId="0" borderId="0" xfId="0" applyFont="1" applyAlignment="1">
      <alignment horizontal="left"/>
    </xf>
    <xf numFmtId="0" fontId="1442" fillId="8" borderId="0" xfId="0" applyFont="1" applyFill="1" applyAlignment="1">
      <alignment horizontal="left"/>
    </xf>
    <xf numFmtId="0" fontId="635" fillId="0" borderId="0" xfId="0" applyFont="1" applyAlignment="1">
      <alignment horizontal="left"/>
    </xf>
    <xf numFmtId="0" fontId="1441" fillId="0" borderId="0" xfId="0" applyFont="1" applyAlignment="1">
      <alignment horizontal="left"/>
    </xf>
    <xf numFmtId="0" fontId="1444" fillId="8" borderId="0" xfId="0" applyFont="1" applyFill="1" applyAlignment="1">
      <alignment horizontal="left"/>
    </xf>
    <xf numFmtId="0" fontId="397" fillId="0" borderId="0" xfId="0" applyFont="1" applyAlignment="1">
      <alignment horizontal="left"/>
    </xf>
    <xf numFmtId="0" fontId="380" fillId="0" borderId="0" xfId="0" applyFont="1" applyAlignment="1">
      <alignment horizontal="left"/>
    </xf>
    <xf numFmtId="0" fontId="364" fillId="0" borderId="0" xfId="0" applyFont="1" applyAlignment="1">
      <alignment horizontal="left"/>
    </xf>
    <xf numFmtId="0" fontId="354" fillId="0" borderId="0" xfId="0" applyFont="1" applyAlignment="1">
      <alignment horizontal="left"/>
    </xf>
    <xf numFmtId="0" fontId="332" fillId="0" borderId="0" xfId="0" applyFont="1" applyAlignment="1">
      <alignment horizontal="left"/>
    </xf>
    <xf numFmtId="0" fontId="192" fillId="0" borderId="0" xfId="0" applyFont="1" applyAlignment="1">
      <alignment horizontal="left"/>
    </xf>
    <xf numFmtId="0" fontId="100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0" fontId="85" fillId="0" borderId="0" xfId="0" applyFont="1" applyAlignment="1">
      <alignment horizontal="left"/>
    </xf>
    <xf numFmtId="0" fontId="82" fillId="0" borderId="0" xfId="0" applyFont="1" applyAlignment="1">
      <alignment horizontal="left"/>
    </xf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49" fontId="78" fillId="0" borderId="0" xfId="0" applyNumberFormat="1" applyFont="1" applyAlignment="1">
      <alignment horizontal="center"/>
    </xf>
    <xf numFmtId="166" fontId="78" fillId="0" borderId="0" xfId="0" applyNumberFormat="1" applyFont="1" applyAlignment="1">
      <alignment horizontal="center"/>
    </xf>
    <xf numFmtId="0" fontId="77" fillId="0" borderId="0" xfId="0" applyFont="1"/>
    <xf numFmtId="0" fontId="76" fillId="0" borderId="0" xfId="0" applyFont="1"/>
    <xf numFmtId="0" fontId="76" fillId="0" borderId="0" xfId="0" applyFont="1" applyAlignment="1">
      <alignment horizontal="center"/>
    </xf>
    <xf numFmtId="0" fontId="75" fillId="0" borderId="0" xfId="0" applyFont="1"/>
    <xf numFmtId="0" fontId="74" fillId="0" borderId="0" xfId="0" applyFont="1"/>
    <xf numFmtId="0" fontId="73" fillId="0" borderId="0" xfId="0" applyFont="1"/>
    <xf numFmtId="0" fontId="72" fillId="0" borderId="0" xfId="0" applyFont="1"/>
    <xf numFmtId="14" fontId="72" fillId="0" borderId="0" xfId="0" applyNumberFormat="1" applyFont="1" applyAlignment="1">
      <alignment horizontal="center"/>
    </xf>
    <xf numFmtId="0" fontId="1374" fillId="8" borderId="0" xfId="0" applyFont="1" applyFill="1"/>
    <xf numFmtId="14" fontId="1231" fillId="0" borderId="0" xfId="0" applyNumberFormat="1" applyFont="1"/>
    <xf numFmtId="14" fontId="1237" fillId="0" borderId="0" xfId="0" applyNumberFormat="1" applyFont="1"/>
    <xf numFmtId="0" fontId="1237" fillId="0" borderId="0" xfId="0" applyFont="1"/>
    <xf numFmtId="0" fontId="1235" fillId="0" borderId="0" xfId="0" applyFont="1"/>
    <xf numFmtId="0" fontId="1197" fillId="0" borderId="0" xfId="0" applyFont="1"/>
    <xf numFmtId="14" fontId="1188" fillId="0" borderId="0" xfId="0" applyNumberFormat="1" applyFont="1"/>
    <xf numFmtId="0" fontId="1167" fillId="0" borderId="0" xfId="0" applyFont="1"/>
    <xf numFmtId="14" fontId="1187" fillId="0" borderId="0" xfId="0" applyNumberFormat="1" applyFont="1"/>
    <xf numFmtId="14" fontId="1215" fillId="0" borderId="0" xfId="0" applyNumberFormat="1" applyFont="1"/>
    <xf numFmtId="0" fontId="1115" fillId="0" borderId="0" xfId="0" applyFont="1"/>
    <xf numFmtId="14" fontId="1180" fillId="0" borderId="0" xfId="0" applyNumberFormat="1" applyFont="1"/>
    <xf numFmtId="14" fontId="1212" fillId="0" borderId="0" xfId="0" applyNumberFormat="1" applyFont="1"/>
    <xf numFmtId="0" fontId="1184" fillId="0" borderId="0" xfId="0" applyFont="1"/>
    <xf numFmtId="0" fontId="1186" fillId="0" borderId="0" xfId="0" applyFont="1"/>
    <xf numFmtId="14" fontId="1186" fillId="0" borderId="0" xfId="0" applyNumberFormat="1" applyFont="1"/>
    <xf numFmtId="14" fontId="1181" fillId="0" borderId="0" xfId="0" applyNumberFormat="1" applyFont="1"/>
    <xf numFmtId="14" fontId="1203" fillId="0" borderId="0" xfId="0" applyNumberFormat="1" applyFont="1"/>
    <xf numFmtId="14" fontId="1207" fillId="0" borderId="0" xfId="0" applyNumberFormat="1" applyFont="1"/>
    <xf numFmtId="14" fontId="1175" fillId="0" borderId="0" xfId="0" applyNumberFormat="1" applyFont="1"/>
    <xf numFmtId="0" fontId="1172" fillId="0" borderId="0" xfId="0" applyFont="1"/>
    <xf numFmtId="14" fontId="1172" fillId="0" borderId="0" xfId="0" applyNumberFormat="1" applyFont="1"/>
    <xf numFmtId="14" fontId="1193" fillId="0" borderId="0" xfId="0" applyNumberFormat="1" applyFont="1"/>
    <xf numFmtId="14" fontId="1192" fillId="0" borderId="0" xfId="0" applyNumberFormat="1" applyFont="1"/>
    <xf numFmtId="0" fontId="1161" fillId="0" borderId="0" xfId="0" applyFont="1"/>
    <xf numFmtId="0" fontId="1159" fillId="0" borderId="0" xfId="0" applyFont="1"/>
    <xf numFmtId="14" fontId="1166" fillId="0" borderId="0" xfId="0" applyNumberFormat="1" applyFont="1"/>
    <xf numFmtId="14" fontId="1159" fillId="0" borderId="0" xfId="0" applyNumberFormat="1" applyFont="1"/>
    <xf numFmtId="14" fontId="1156" fillId="0" borderId="0" xfId="0" applyNumberFormat="1" applyFont="1"/>
    <xf numFmtId="0" fontId="1133" fillId="0" borderId="0" xfId="0" applyFont="1"/>
    <xf numFmtId="14" fontId="1148" fillId="0" borderId="0" xfId="0" applyNumberFormat="1" applyFont="1"/>
    <xf numFmtId="14" fontId="1154" fillId="0" borderId="0" xfId="0" applyNumberFormat="1" applyFont="1"/>
    <xf numFmtId="14" fontId="1140" fillId="0" borderId="0" xfId="0" applyNumberFormat="1" applyFont="1"/>
    <xf numFmtId="0" fontId="1116" fillId="0" borderId="0" xfId="0" applyFont="1"/>
    <xf numFmtId="14" fontId="1121" fillId="0" borderId="0" xfId="0" applyNumberFormat="1" applyFont="1"/>
    <xf numFmtId="14" fontId="1107" fillId="0" borderId="0" xfId="0" applyNumberFormat="1" applyFont="1"/>
    <xf numFmtId="14" fontId="1098" fillId="0" borderId="0" xfId="0" applyNumberFormat="1" applyFont="1"/>
    <xf numFmtId="0" fontId="1096" fillId="0" borderId="0" xfId="0" applyFont="1"/>
    <xf numFmtId="14" fontId="1096" fillId="0" borderId="0" xfId="0" applyNumberFormat="1" applyFont="1"/>
    <xf numFmtId="14" fontId="1100" fillId="0" borderId="0" xfId="0" applyNumberFormat="1" applyFont="1"/>
    <xf numFmtId="0" fontId="1058" fillId="0" borderId="0" xfId="0" applyFont="1"/>
    <xf numFmtId="14" fontId="1093" fillId="0" borderId="0" xfId="0" applyNumberFormat="1" applyFont="1"/>
    <xf numFmtId="0" fontId="1036" fillId="0" borderId="0" xfId="0" applyFont="1"/>
    <xf numFmtId="172" fontId="1042" fillId="0" borderId="0" xfId="0" applyNumberFormat="1" applyFont="1"/>
    <xf numFmtId="14" fontId="1033" fillId="0" borderId="0" xfId="0" applyNumberFormat="1" applyFont="1"/>
    <xf numFmtId="0" fontId="1030" fillId="0" borderId="0" xfId="0" applyFont="1"/>
    <xf numFmtId="14" fontId="1012" fillId="0" borderId="0" xfId="0" applyNumberFormat="1" applyFont="1"/>
    <xf numFmtId="14" fontId="1014" fillId="0" borderId="0" xfId="0" applyNumberFormat="1" applyFont="1"/>
    <xf numFmtId="14" fontId="1003" fillId="0" borderId="0" xfId="0" applyNumberFormat="1" applyFont="1"/>
    <xf numFmtId="14" fontId="998" fillId="0" borderId="0" xfId="0" applyNumberFormat="1" applyFont="1"/>
    <xf numFmtId="14" fontId="989" fillId="0" borderId="0" xfId="0" applyNumberFormat="1" applyFont="1"/>
    <xf numFmtId="0" fontId="977" fillId="0" borderId="0" xfId="0" applyFont="1"/>
    <xf numFmtId="14" fontId="962" fillId="0" borderId="0" xfId="0" applyNumberFormat="1" applyFont="1"/>
    <xf numFmtId="14" fontId="941" fillId="0" borderId="0" xfId="0" applyNumberFormat="1" applyFont="1"/>
    <xf numFmtId="14" fontId="915" fillId="0" borderId="0" xfId="0" applyNumberFormat="1" applyFont="1"/>
    <xf numFmtId="0" fontId="915" fillId="0" borderId="0" xfId="0" applyFont="1"/>
    <xf numFmtId="14" fontId="922" fillId="0" borderId="0" xfId="0" applyNumberFormat="1" applyFont="1"/>
    <xf numFmtId="0" fontId="918" fillId="0" borderId="0" xfId="0" applyFont="1"/>
    <xf numFmtId="0" fontId="901" fillId="0" borderId="0" xfId="0" applyFont="1"/>
    <xf numFmtId="14" fontId="901" fillId="0" borderId="0" xfId="0" applyNumberFormat="1" applyFont="1"/>
    <xf numFmtId="14" fontId="912" fillId="0" borderId="0" xfId="0" applyNumberFormat="1" applyFont="1"/>
    <xf numFmtId="14" fontId="896" fillId="0" borderId="0" xfId="0" applyNumberFormat="1" applyFont="1"/>
    <xf numFmtId="0" fontId="897" fillId="0" borderId="0" xfId="0" applyFont="1"/>
    <xf numFmtId="0" fontId="896" fillId="0" borderId="0" xfId="0" applyFont="1"/>
    <xf numFmtId="14" fontId="897" fillId="0" borderId="0" xfId="0" applyNumberFormat="1" applyFont="1"/>
    <xf numFmtId="0" fontId="886" fillId="0" borderId="0" xfId="0" applyFont="1"/>
    <xf numFmtId="14" fontId="883" fillId="0" borderId="0" xfId="0" applyNumberFormat="1" applyFont="1"/>
    <xf numFmtId="0" fontId="884" fillId="0" borderId="0" xfId="0" applyFont="1"/>
    <xf numFmtId="0" fontId="876" fillId="0" borderId="0" xfId="0" applyFont="1"/>
    <xf numFmtId="14" fontId="831" fillId="0" borderId="0" xfId="0" applyNumberFormat="1" applyFont="1"/>
    <xf numFmtId="0" fontId="860" fillId="0" borderId="0" xfId="0" applyFont="1"/>
    <xf numFmtId="14" fontId="857" fillId="0" borderId="0" xfId="0" applyNumberFormat="1" applyFont="1"/>
    <xf numFmtId="14" fontId="862" fillId="0" borderId="0" xfId="0" applyNumberFormat="1" applyFont="1"/>
    <xf numFmtId="14" fontId="810" fillId="0" borderId="0" xfId="0" applyNumberFormat="1" applyFont="1"/>
    <xf numFmtId="14" fontId="806" fillId="0" borderId="0" xfId="0" applyNumberFormat="1" applyFont="1"/>
    <xf numFmtId="14" fontId="795" fillId="0" borderId="0" xfId="0" applyNumberFormat="1" applyFont="1"/>
    <xf numFmtId="14" fontId="783" fillId="0" borderId="0" xfId="0" applyNumberFormat="1" applyFont="1"/>
    <xf numFmtId="0" fontId="730" fillId="0" borderId="0" xfId="0" applyFont="1"/>
    <xf numFmtId="14" fontId="730" fillId="0" borderId="0" xfId="0" applyNumberFormat="1" applyFont="1"/>
    <xf numFmtId="14" fontId="726" fillId="0" borderId="0" xfId="0" applyNumberFormat="1" applyFont="1"/>
    <xf numFmtId="14" fontId="718" fillId="0" borderId="0" xfId="0" applyNumberFormat="1" applyFont="1"/>
    <xf numFmtId="14" fontId="709" fillId="0" borderId="0" xfId="0" applyNumberFormat="1" applyFont="1"/>
    <xf numFmtId="14" fontId="702" fillId="0" borderId="0" xfId="0" applyNumberFormat="1" applyFont="1"/>
    <xf numFmtId="14" fontId="707" fillId="0" borderId="0" xfId="0" applyNumberFormat="1" applyFont="1"/>
    <xf numFmtId="0" fontId="685" fillId="0" borderId="0" xfId="0" applyFont="1"/>
    <xf numFmtId="14" fontId="697" fillId="0" borderId="0" xfId="0" applyNumberFormat="1" applyFont="1"/>
    <xf numFmtId="14" fontId="678" fillId="0" borderId="0" xfId="0" applyNumberFormat="1" applyFont="1"/>
    <xf numFmtId="0" fontId="675" fillId="0" borderId="0" xfId="0" applyFont="1"/>
    <xf numFmtId="0" fontId="667" fillId="0" borderId="0" xfId="0" applyFont="1"/>
    <xf numFmtId="14" fontId="667" fillId="0" borderId="0" xfId="0" applyNumberFormat="1" applyFont="1"/>
    <xf numFmtId="0" fontId="652" fillId="0" borderId="0" xfId="0" applyFont="1"/>
    <xf numFmtId="14" fontId="620" fillId="0" borderId="0" xfId="0" applyNumberFormat="1" applyFont="1"/>
    <xf numFmtId="0" fontId="626" fillId="0" borderId="0" xfId="0" applyFont="1"/>
    <xf numFmtId="0" fontId="586" fillId="0" borderId="0" xfId="0" applyFont="1"/>
    <xf numFmtId="0" fontId="596" fillId="0" borderId="0" xfId="0" applyFont="1"/>
    <xf numFmtId="14" fontId="581" fillId="0" borderId="0" xfId="0" applyNumberFormat="1" applyFont="1"/>
    <xf numFmtId="0" fontId="581" fillId="8" borderId="0" xfId="0" applyFont="1" applyFill="1"/>
    <xf numFmtId="14" fontId="544" fillId="0" borderId="0" xfId="0" applyNumberFormat="1" applyFont="1"/>
    <xf numFmtId="14" fontId="534" fillId="0" borderId="0" xfId="0" applyNumberFormat="1" applyFont="1"/>
    <xf numFmtId="0" fontId="536" fillId="0" borderId="0" xfId="0" applyFont="1"/>
    <xf numFmtId="0" fontId="518" fillId="0" borderId="0" xfId="0" applyFont="1"/>
    <xf numFmtId="0" fontId="512" fillId="0" borderId="0" xfId="0" applyFont="1"/>
    <xf numFmtId="14" fontId="527" fillId="0" borderId="0" xfId="0" applyNumberFormat="1" applyFont="1"/>
    <xf numFmtId="14" fontId="522" fillId="0" borderId="0" xfId="0" applyNumberFormat="1" applyFont="1"/>
    <xf numFmtId="0" fontId="499" fillId="0" borderId="0" xfId="0" applyFont="1"/>
    <xf numFmtId="14" fontId="413" fillId="0" borderId="0" xfId="0" applyNumberFormat="1" applyFont="1"/>
    <xf numFmtId="0" fontId="495" fillId="0" borderId="0" xfId="0" applyFont="1"/>
    <xf numFmtId="14" fontId="495" fillId="0" borderId="0" xfId="0" applyNumberFormat="1" applyFont="1"/>
    <xf numFmtId="0" fontId="472" fillId="0" borderId="0" xfId="0" applyFont="1"/>
    <xf numFmtId="0" fontId="462" fillId="0" borderId="0" xfId="0" applyFont="1"/>
    <xf numFmtId="14" fontId="476" fillId="0" borderId="0" xfId="0" applyNumberFormat="1" applyFont="1"/>
    <xf numFmtId="14" fontId="434" fillId="0" borderId="0" xfId="0" applyNumberFormat="1" applyFont="1"/>
    <xf numFmtId="14" fontId="428" fillId="0" borderId="0" xfId="0" applyNumberFormat="1" applyFont="1"/>
    <xf numFmtId="0" fontId="428" fillId="0" borderId="0" xfId="0" applyFont="1"/>
    <xf numFmtId="14" fontId="401" fillId="0" borderId="0" xfId="0" applyNumberFormat="1" applyFont="1"/>
    <xf numFmtId="14" fontId="395" fillId="0" borderId="0" xfId="0" applyNumberFormat="1" applyFont="1"/>
    <xf numFmtId="0" fontId="374" fillId="0" borderId="0" xfId="0" applyFont="1"/>
    <xf numFmtId="14" fontId="363" fillId="0" borderId="0" xfId="0" applyNumberFormat="1" applyFont="1"/>
    <xf numFmtId="0" fontId="334" fillId="0" borderId="0" xfId="0" applyFont="1"/>
    <xf numFmtId="14" fontId="336" fillId="0" borderId="0" xfId="0" applyNumberFormat="1" applyFont="1"/>
    <xf numFmtId="0" fontId="336" fillId="0" borderId="0" xfId="0" applyFont="1"/>
    <xf numFmtId="0" fontId="284" fillId="0" borderId="0" xfId="0" applyFont="1"/>
    <xf numFmtId="14" fontId="324" fillId="0" borderId="0" xfId="0" applyNumberFormat="1" applyFont="1"/>
    <xf numFmtId="0" fontId="288" fillId="0" borderId="0" xfId="0" applyFont="1"/>
    <xf numFmtId="0" fontId="285" fillId="0" borderId="0" xfId="0" applyFont="1"/>
    <xf numFmtId="14" fontId="279" fillId="0" borderId="0" xfId="0" applyNumberFormat="1" applyFont="1"/>
    <xf numFmtId="0" fontId="278" fillId="0" borderId="0" xfId="0" applyFont="1"/>
    <xf numFmtId="14" fontId="263" fillId="0" borderId="0" xfId="0" applyNumberFormat="1" applyFont="1"/>
    <xf numFmtId="0" fontId="244" fillId="0" borderId="0" xfId="0" applyFont="1"/>
    <xf numFmtId="14" fontId="244" fillId="0" borderId="0" xfId="0" applyNumberFormat="1" applyFont="1"/>
    <xf numFmtId="14" fontId="247" fillId="0" borderId="0" xfId="0" applyNumberFormat="1" applyFont="1"/>
    <xf numFmtId="0" fontId="247" fillId="0" borderId="0" xfId="0" applyFont="1"/>
    <xf numFmtId="0" fontId="236" fillId="0" borderId="0" xfId="0" applyFont="1"/>
    <xf numFmtId="14" fontId="249" fillId="0" borderId="0" xfId="0" applyNumberFormat="1" applyFont="1"/>
    <xf numFmtId="0" fontId="201" fillId="0" borderId="0" xfId="0" applyFont="1"/>
    <xf numFmtId="14" fontId="208" fillId="0" borderId="0" xfId="0" applyNumberFormat="1" applyFont="1"/>
    <xf numFmtId="0" fontId="176" fillId="7" borderId="0" xfId="0" applyFont="1" applyFill="1"/>
    <xf numFmtId="14" fontId="176" fillId="7" borderId="0" xfId="0" applyNumberFormat="1" applyFont="1" applyFill="1"/>
    <xf numFmtId="14" fontId="153" fillId="0" borderId="0" xfId="0" applyNumberFormat="1" applyFont="1"/>
    <xf numFmtId="14" fontId="163" fillId="0" borderId="0" xfId="0" applyNumberFormat="1" applyFont="1"/>
    <xf numFmtId="0" fontId="149" fillId="0" borderId="0" xfId="0" applyFont="1"/>
    <xf numFmtId="0" fontId="134" fillId="0" borderId="0" xfId="0" applyFont="1"/>
    <xf numFmtId="14" fontId="89" fillId="0" borderId="0" xfId="0" applyNumberFormat="1" applyFont="1"/>
    <xf numFmtId="0" fontId="84" fillId="0" borderId="0" xfId="0" applyFont="1"/>
    <xf numFmtId="14" fontId="84" fillId="0" borderId="0" xfId="0" applyNumberFormat="1" applyFont="1"/>
    <xf numFmtId="0" fontId="71" fillId="0" borderId="0" xfId="0" applyFont="1"/>
    <xf numFmtId="0" fontId="70" fillId="0" borderId="0" xfId="0" applyFont="1"/>
    <xf numFmtId="49" fontId="70" fillId="0" borderId="0" xfId="0" applyNumberFormat="1" applyFont="1"/>
    <xf numFmtId="49" fontId="69" fillId="0" borderId="0" xfId="0" applyNumberFormat="1" applyFont="1"/>
    <xf numFmtId="0" fontId="69" fillId="0" borderId="0" xfId="0" applyFont="1"/>
    <xf numFmtId="49" fontId="68" fillId="0" borderId="0" xfId="0" applyNumberFormat="1" applyFont="1"/>
    <xf numFmtId="49" fontId="67" fillId="0" borderId="0" xfId="0" applyNumberFormat="1" applyFont="1"/>
    <xf numFmtId="49" fontId="66" fillId="0" borderId="0" xfId="0" applyNumberFormat="1" applyFont="1"/>
    <xf numFmtId="49" fontId="65" fillId="0" borderId="0" xfId="0" applyNumberFormat="1" applyFont="1"/>
    <xf numFmtId="0" fontId="64" fillId="0" borderId="0" xfId="0" applyFont="1"/>
    <xf numFmtId="0" fontId="64" fillId="0" borderId="0" xfId="0" applyFont="1" applyAlignment="1">
      <alignment horizontal="right"/>
    </xf>
    <xf numFmtId="0" fontId="64" fillId="0" borderId="0" xfId="0" applyFont="1" applyAlignment="1">
      <alignment horizontal="left"/>
    </xf>
    <xf numFmtId="0" fontId="63" fillId="0" borderId="0" xfId="0" applyFont="1"/>
    <xf numFmtId="0" fontId="62" fillId="0" borderId="0" xfId="0" applyFont="1"/>
    <xf numFmtId="49" fontId="61" fillId="0" borderId="0" xfId="0" applyNumberFormat="1" applyFont="1"/>
    <xf numFmtId="0" fontId="60" fillId="0" borderId="0" xfId="0" applyFont="1"/>
    <xf numFmtId="0" fontId="59" fillId="0" borderId="0" xfId="0" applyFont="1"/>
    <xf numFmtId="0" fontId="59" fillId="0" borderId="0" xfId="0" applyFont="1" applyAlignment="1">
      <alignment horizontal="center"/>
    </xf>
    <xf numFmtId="14" fontId="60" fillId="0" borderId="0" xfId="0" applyNumberFormat="1" applyFont="1"/>
    <xf numFmtId="0" fontId="58" fillId="0" borderId="0" xfId="0" applyFont="1"/>
    <xf numFmtId="0" fontId="57" fillId="0" borderId="0" xfId="0" applyFont="1"/>
    <xf numFmtId="49" fontId="56" fillId="0" borderId="0" xfId="0" applyNumberFormat="1" applyFont="1"/>
    <xf numFmtId="0" fontId="55" fillId="0" borderId="0" xfId="0" applyFont="1"/>
    <xf numFmtId="0" fontId="54" fillId="0" borderId="0" xfId="0" applyFont="1"/>
    <xf numFmtId="0" fontId="54" fillId="0" borderId="0" xfId="0" applyFont="1" applyAlignment="1">
      <alignment horizontal="center"/>
    </xf>
    <xf numFmtId="49" fontId="53" fillId="0" borderId="0" xfId="0" applyNumberFormat="1" applyFont="1"/>
    <xf numFmtId="49" fontId="52" fillId="0" borderId="0" xfId="0" applyNumberFormat="1" applyFont="1"/>
    <xf numFmtId="49" fontId="51" fillId="0" borderId="0" xfId="0" applyNumberFormat="1" applyFont="1"/>
    <xf numFmtId="49" fontId="50" fillId="0" borderId="0" xfId="0" applyNumberFormat="1" applyFont="1"/>
    <xf numFmtId="49" fontId="49" fillId="0" borderId="0" xfId="0" applyNumberFormat="1" applyFont="1"/>
    <xf numFmtId="0" fontId="1428" fillId="0" borderId="0" xfId="3" applyAlignment="1">
      <alignment horizontal="left"/>
    </xf>
    <xf numFmtId="14" fontId="49" fillId="0" borderId="0" xfId="0" applyNumberFormat="1" applyFont="1"/>
    <xf numFmtId="0" fontId="48" fillId="0" borderId="0" xfId="0" applyFont="1"/>
    <xf numFmtId="0" fontId="48" fillId="0" borderId="0" xfId="0" applyFont="1" applyAlignment="1">
      <alignment horizontal="right"/>
    </xf>
    <xf numFmtId="0" fontId="47" fillId="0" borderId="0" xfId="0" applyFont="1"/>
    <xf numFmtId="0" fontId="46" fillId="0" borderId="0" xfId="0" applyFont="1"/>
    <xf numFmtId="0" fontId="45" fillId="0" borderId="0" xfId="0" applyFont="1"/>
    <xf numFmtId="166" fontId="45" fillId="0" borderId="0" xfId="0" applyNumberFormat="1" applyFont="1" applyAlignment="1">
      <alignment horizontal="center"/>
    </xf>
    <xf numFmtId="49" fontId="45" fillId="0" borderId="0" xfId="0" applyNumberFormat="1" applyFont="1" applyAlignment="1">
      <alignment horizontal="center"/>
    </xf>
    <xf numFmtId="0" fontId="44" fillId="0" borderId="0" xfId="0" applyFont="1"/>
    <xf numFmtId="0" fontId="43" fillId="0" borderId="0" xfId="0" applyFont="1"/>
    <xf numFmtId="0" fontId="42" fillId="0" borderId="0" xfId="0" applyFont="1"/>
    <xf numFmtId="49" fontId="41" fillId="0" borderId="0" xfId="0" applyNumberFormat="1" applyFont="1"/>
    <xf numFmtId="49" fontId="40" fillId="0" borderId="0" xfId="0" applyNumberFormat="1" applyFont="1"/>
    <xf numFmtId="0" fontId="40" fillId="0" borderId="0" xfId="0" applyFont="1"/>
    <xf numFmtId="0" fontId="40" fillId="0" borderId="0" xfId="0" applyFont="1" applyAlignment="1">
      <alignment horizontal="right"/>
    </xf>
    <xf numFmtId="0" fontId="39" fillId="0" borderId="0" xfId="0" applyFont="1"/>
    <xf numFmtId="0" fontId="38" fillId="0" borderId="0" xfId="0" applyFont="1"/>
    <xf numFmtId="0" fontId="38" fillId="0" borderId="0" xfId="0" applyFont="1" applyAlignment="1">
      <alignment horizontal="left"/>
    </xf>
    <xf numFmtId="14" fontId="59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/>
    <xf numFmtId="0" fontId="35" fillId="0" borderId="0" xfId="0" applyFont="1"/>
    <xf numFmtId="0" fontId="35" fillId="0" borderId="0" xfId="0" applyFont="1" applyAlignment="1">
      <alignment horizontal="right"/>
    </xf>
    <xf numFmtId="49" fontId="34" fillId="0" borderId="0" xfId="0" applyNumberFormat="1" applyFont="1"/>
    <xf numFmtId="0" fontId="33" fillId="0" borderId="0" xfId="0" applyFont="1"/>
    <xf numFmtId="0" fontId="32" fillId="0" borderId="0" xfId="0" applyFont="1"/>
    <xf numFmtId="14" fontId="33" fillId="0" borderId="0" xfId="0" applyNumberFormat="1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166" fontId="29" fillId="0" borderId="0" xfId="0" applyNumberFormat="1" applyFont="1" applyAlignment="1">
      <alignment horizontal="center"/>
    </xf>
    <xf numFmtId="0" fontId="28" fillId="0" borderId="0" xfId="0" applyFont="1"/>
    <xf numFmtId="0" fontId="27" fillId="0" borderId="0" xfId="0" applyFont="1"/>
    <xf numFmtId="49" fontId="26" fillId="0" borderId="0" xfId="0" applyNumberFormat="1" applyFont="1"/>
    <xf numFmtId="0" fontId="25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23" fillId="0" borderId="0" xfId="0" applyFont="1"/>
    <xf numFmtId="14" fontId="31" fillId="0" borderId="0" xfId="0" applyNumberFormat="1" applyFont="1"/>
    <xf numFmtId="0" fontId="22" fillId="0" borderId="0" xfId="0" applyFont="1"/>
    <xf numFmtId="14" fontId="24" fillId="0" borderId="0" xfId="0" applyNumberFormat="1" applyFont="1" applyAlignment="1">
      <alignment horizontal="center"/>
    </xf>
    <xf numFmtId="0" fontId="21" fillId="0" borderId="0" xfId="0" applyFont="1"/>
    <xf numFmtId="49" fontId="20" fillId="0" borderId="0" xfId="0" applyNumberFormat="1" applyFont="1"/>
    <xf numFmtId="49" fontId="19" fillId="0" borderId="0" xfId="0" applyNumberFormat="1" applyFont="1"/>
    <xf numFmtId="0" fontId="18" fillId="0" borderId="0" xfId="0" applyFont="1"/>
    <xf numFmtId="49" fontId="18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17" fillId="0" borderId="0" xfId="0" applyFont="1"/>
    <xf numFmtId="49" fontId="17" fillId="0" borderId="0" xfId="0" applyNumberFormat="1" applyFont="1"/>
    <xf numFmtId="0" fontId="16" fillId="0" borderId="0" xfId="0" applyFont="1"/>
    <xf numFmtId="0" fontId="15" fillId="0" borderId="0" xfId="0" applyFont="1"/>
    <xf numFmtId="49" fontId="15" fillId="0" borderId="0" xfId="0" applyNumberFormat="1" applyFont="1"/>
    <xf numFmtId="0" fontId="14" fillId="0" borderId="0" xfId="0" applyFont="1"/>
    <xf numFmtId="49" fontId="14" fillId="0" borderId="0" xfId="0" applyNumberFormat="1" applyFont="1"/>
    <xf numFmtId="0" fontId="13" fillId="0" borderId="0" xfId="0" applyFont="1"/>
    <xf numFmtId="49" fontId="12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9" fontId="11" fillId="0" borderId="0" xfId="0" applyNumberFormat="1" applyFont="1"/>
    <xf numFmtId="49" fontId="10" fillId="0" borderId="0" xfId="0" applyNumberFormat="1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5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49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4" fontId="11" fillId="0" borderId="0" xfId="0" applyNumberFormat="1" applyFont="1"/>
    <xf numFmtId="0" fontId="141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/>
  </cellXfs>
  <cellStyles count="4">
    <cellStyle name="Hyperlink" xfId="3" builtinId="8"/>
    <cellStyle name="Normal" xfId="0" builtinId="0"/>
    <cellStyle name="Normal 2" xfId="1" xr:uid="{41A777D1-E57F-4249-84A8-B0B25AFB39F7}"/>
    <cellStyle name="Normal 3" xfId="2" xr:uid="{CED0E1B6-1C9F-44B1-9EF9-D8D15C7A8056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  <i val="0"/>
        <color rgb="FF00B0F0"/>
      </font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00B0F0"/>
      </font>
    </dxf>
    <dxf>
      <font>
        <b/>
        <i val="0"/>
      </font>
      <fill>
        <patternFill>
          <bgColor rgb="FF00B0F0"/>
        </patternFill>
      </fill>
    </dxf>
    <dxf>
      <font>
        <b/>
      </font>
      <fill>
        <patternFill patternType="solid">
          <fgColor rgb="FFC6D9F0"/>
          <bgColor rgb="FFC6D9F0"/>
        </patternFill>
      </fill>
    </dxf>
    <dxf>
      <font>
        <color theme="1"/>
      </font>
      <fill>
        <patternFill patternType="solid">
          <fgColor rgb="FFC6D9F0"/>
          <bgColor rgb="FFC6D9F0"/>
        </patternFill>
      </fill>
    </dxf>
    <dxf>
      <font>
        <b/>
      </font>
      <fill>
        <patternFill patternType="solid">
          <fgColor rgb="FF548DD4"/>
          <bgColor rgb="FF548DD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 val="0"/>
        <color rgb="FF00B0F0"/>
      </font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00B0F0"/>
      </font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00B0F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C6D9F0"/>
          <bgColor rgb="FFC6D9F0"/>
        </patternFill>
      </fill>
    </dxf>
    <dxf>
      <font>
        <color theme="1"/>
      </font>
      <fill>
        <patternFill patternType="solid">
          <fgColor rgb="FFC6D9F0"/>
          <bgColor rgb="FFC6D9F0"/>
        </patternFill>
      </fill>
    </dxf>
    <dxf>
      <font>
        <b/>
      </font>
      <fill>
        <patternFill patternType="solid">
          <fgColor rgb="FF548DD4"/>
          <bgColor rgb="FF548DD4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none"/>
      </fill>
    </dxf>
    <dxf>
      <font>
        <b/>
        <i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548DD4"/>
          <bgColor rgb="FF548DD4"/>
        </patternFill>
      </fill>
    </dxf>
    <dxf>
      <font>
        <color theme="1"/>
      </font>
      <fill>
        <patternFill patternType="solid">
          <fgColor rgb="FFC6D9F0"/>
          <bgColor rgb="FFC6D9F0"/>
        </patternFill>
      </fill>
    </dxf>
    <dxf>
      <font>
        <b/>
      </font>
      <fill>
        <patternFill patternType="solid">
          <fgColor rgb="FFC6D9F0"/>
          <bgColor rgb="FFC6D9F0"/>
        </patternFill>
      </fill>
    </dxf>
    <dxf>
      <font>
        <b/>
        <i val="0"/>
        <color rgb="FF00B0F0"/>
      </font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>
          <bgColor rgb="FF00B05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  <i/>
        <color rgb="FFFF0000"/>
      </font>
      <fill>
        <patternFill patternType="solid">
          <fgColor rgb="FFDBE5F1"/>
          <bgColor rgb="FFDBE5F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jay%20Kumar\Desktop\Certificate_regist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te"/>
      <sheetName val="income"/>
      <sheetName val="local"/>
      <sheetName val="birth"/>
      <sheetName val="death"/>
      <sheetName val="EWC"/>
      <sheetName val="BOOTH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upjsr200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nweb.hub@g" TargetMode="External"/><Relationship Id="rId1" Type="http://schemas.openxmlformats.org/officeDocument/2006/relationships/hyperlink" Target="mailto:nweb.hub@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ungun@2002" TargetMode="External"/><Relationship Id="rId13" Type="http://schemas.openxmlformats.org/officeDocument/2006/relationships/hyperlink" Target="mailto:Gungun@2002" TargetMode="External"/><Relationship Id="rId18" Type="http://schemas.openxmlformats.org/officeDocument/2006/relationships/hyperlink" Target="mailto:Gungun@2002" TargetMode="External"/><Relationship Id="rId3" Type="http://schemas.openxmlformats.org/officeDocument/2006/relationships/hyperlink" Target="mailto:nweb.hub@gmail.com" TargetMode="External"/><Relationship Id="rId21" Type="http://schemas.openxmlformats.org/officeDocument/2006/relationships/hyperlink" Target="mailto:nweb.hub@gmail.com" TargetMode="External"/><Relationship Id="rId7" Type="http://schemas.openxmlformats.org/officeDocument/2006/relationships/hyperlink" Target="mailto:nweb.hub@gmail.com" TargetMode="External"/><Relationship Id="rId12" Type="http://schemas.openxmlformats.org/officeDocument/2006/relationships/hyperlink" Target="mailto:nweb.hub@gmail.com" TargetMode="External"/><Relationship Id="rId17" Type="http://schemas.openxmlformats.org/officeDocument/2006/relationships/hyperlink" Target="mailto:nweb.hub@gmail.com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Gungun@2002" TargetMode="External"/><Relationship Id="rId16" Type="http://schemas.openxmlformats.org/officeDocument/2006/relationships/hyperlink" Target="mailto:Gungun@2002" TargetMode="External"/><Relationship Id="rId20" Type="http://schemas.openxmlformats.org/officeDocument/2006/relationships/hyperlink" Target="mailto:Gungun@2002" TargetMode="External"/><Relationship Id="rId1" Type="http://schemas.openxmlformats.org/officeDocument/2006/relationships/hyperlink" Target="mailto:nweb.hub@gmail.com" TargetMode="External"/><Relationship Id="rId6" Type="http://schemas.openxmlformats.org/officeDocument/2006/relationships/hyperlink" Target="mailto:Gungun@2002" TargetMode="External"/><Relationship Id="rId11" Type="http://schemas.openxmlformats.org/officeDocument/2006/relationships/hyperlink" Target="mailto:nweb.hub@gmail.com" TargetMode="External"/><Relationship Id="rId24" Type="http://schemas.openxmlformats.org/officeDocument/2006/relationships/hyperlink" Target="mailto:Shubh@m19" TargetMode="External"/><Relationship Id="rId5" Type="http://schemas.openxmlformats.org/officeDocument/2006/relationships/hyperlink" Target="mailto:nweb.hub@gmail.com" TargetMode="External"/><Relationship Id="rId15" Type="http://schemas.openxmlformats.org/officeDocument/2006/relationships/hyperlink" Target="mailto:nweb.hub@gmail.com" TargetMode="External"/><Relationship Id="rId23" Type="http://schemas.openxmlformats.org/officeDocument/2006/relationships/hyperlink" Target="mailto:nweb.hub@gmail.com" TargetMode="External"/><Relationship Id="rId10" Type="http://schemas.openxmlformats.org/officeDocument/2006/relationships/hyperlink" Target="mailto:Gungun@2002" TargetMode="External"/><Relationship Id="rId19" Type="http://schemas.openxmlformats.org/officeDocument/2006/relationships/hyperlink" Target="mailto:nweb.hub@gmail.com" TargetMode="External"/><Relationship Id="rId4" Type="http://schemas.openxmlformats.org/officeDocument/2006/relationships/hyperlink" Target="mailto:Gungun@2002" TargetMode="External"/><Relationship Id="rId9" Type="http://schemas.openxmlformats.org/officeDocument/2006/relationships/hyperlink" Target="mailto:nweb.hub@gmail.com" TargetMode="External"/><Relationship Id="rId14" Type="http://schemas.openxmlformats.org/officeDocument/2006/relationships/hyperlink" Target="mailto:Gungun@2002" TargetMode="External"/><Relationship Id="rId22" Type="http://schemas.openxmlformats.org/officeDocument/2006/relationships/hyperlink" Target="mailto:Gungun@200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E4E4-E2A9-4B65-A791-B2DC938E5850}">
  <dimension ref="A1:P849"/>
  <sheetViews>
    <sheetView zoomScale="115" zoomScaleNormal="115" workbookViewId="0">
      <pane ySplit="1" topLeftCell="A829" activePane="bottomLeft" state="frozen"/>
      <selection pane="bottomLeft" activeCell="E818" sqref="E818"/>
    </sheetView>
  </sheetViews>
  <sheetFormatPr defaultRowHeight="14.4"/>
  <cols>
    <col min="1" max="1" width="12.5546875" customWidth="1"/>
    <col min="2" max="2" width="21.5546875" style="761" customWidth="1"/>
    <col min="3" max="3" width="18.6640625" style="761" customWidth="1"/>
    <col min="4" max="4" width="16.21875" style="761" customWidth="1"/>
    <col min="5" max="5" width="26.6640625" customWidth="1"/>
    <col min="9" max="9" width="11" customWidth="1"/>
    <col min="10" max="10" width="12" customWidth="1"/>
  </cols>
  <sheetData>
    <row r="1" spans="1:8" s="83" customFormat="1">
      <c r="A1" s="83" t="s">
        <v>7855</v>
      </c>
      <c r="B1" s="812" t="s">
        <v>7856</v>
      </c>
      <c r="C1" s="812" t="s">
        <v>7857</v>
      </c>
      <c r="D1" s="812" t="s">
        <v>7858</v>
      </c>
      <c r="E1" s="812" t="s">
        <v>3</v>
      </c>
      <c r="F1" s="83" t="s">
        <v>8181</v>
      </c>
      <c r="G1" s="83" t="s">
        <v>8130</v>
      </c>
      <c r="H1" s="83" t="s">
        <v>1523</v>
      </c>
    </row>
    <row r="2" spans="1:8">
      <c r="A2" s="95">
        <v>45301</v>
      </c>
      <c r="B2" s="761" t="s">
        <v>7859</v>
      </c>
      <c r="D2" s="760" t="s">
        <v>7861</v>
      </c>
      <c r="E2" s="759" t="s">
        <v>7860</v>
      </c>
    </row>
    <row r="3" spans="1:8">
      <c r="A3" s="95">
        <v>45301</v>
      </c>
      <c r="B3" s="761" t="s">
        <v>7859</v>
      </c>
      <c r="D3" s="760" t="s">
        <v>7862</v>
      </c>
      <c r="E3" s="759" t="s">
        <v>7863</v>
      </c>
    </row>
    <row r="4" spans="1:8">
      <c r="A4" s="95">
        <v>45304</v>
      </c>
      <c r="B4" s="761" t="s">
        <v>7912</v>
      </c>
      <c r="D4" s="761" t="s">
        <v>7913</v>
      </c>
      <c r="E4" s="770" t="s">
        <v>7911</v>
      </c>
    </row>
    <row r="5" spans="1:8">
      <c r="A5" s="95">
        <v>45306</v>
      </c>
      <c r="B5" s="761" t="s">
        <v>7923</v>
      </c>
      <c r="C5" s="761" t="s">
        <v>7924</v>
      </c>
      <c r="D5" s="761" t="s">
        <v>7926</v>
      </c>
      <c r="E5" s="774" t="s">
        <v>7925</v>
      </c>
    </row>
    <row r="6" spans="1:8">
      <c r="A6" s="95">
        <v>45306</v>
      </c>
      <c r="B6" s="761" t="s">
        <v>7923</v>
      </c>
      <c r="C6" s="761" t="s">
        <v>7927</v>
      </c>
      <c r="D6" s="761" t="s">
        <v>7926</v>
      </c>
      <c r="E6" s="761" t="s">
        <v>7928</v>
      </c>
    </row>
    <row r="7" spans="1:8">
      <c r="A7" s="95">
        <v>45307</v>
      </c>
      <c r="B7" s="761" t="s">
        <v>7931</v>
      </c>
      <c r="C7" s="761" t="s">
        <v>7932</v>
      </c>
      <c r="D7" s="761" t="s">
        <v>7933</v>
      </c>
      <c r="E7" s="761" t="s">
        <v>7934</v>
      </c>
    </row>
    <row r="8" spans="1:8">
      <c r="A8" s="95">
        <v>45308</v>
      </c>
      <c r="B8" s="761" t="s">
        <v>7939</v>
      </c>
      <c r="C8" s="761" t="s">
        <v>7942</v>
      </c>
      <c r="D8" s="761" t="s">
        <v>7940</v>
      </c>
      <c r="E8" s="777" t="s">
        <v>7941</v>
      </c>
    </row>
    <row r="9" spans="1:8">
      <c r="A9" s="95">
        <v>45308</v>
      </c>
      <c r="B9" s="761" t="s">
        <v>7943</v>
      </c>
      <c r="C9" s="761" t="s">
        <v>7946</v>
      </c>
      <c r="D9" s="761" t="s">
        <v>7944</v>
      </c>
      <c r="E9" s="777" t="s">
        <v>7945</v>
      </c>
    </row>
    <row r="10" spans="1:8">
      <c r="A10" s="95">
        <v>45310</v>
      </c>
      <c r="B10" s="782" t="s">
        <v>7967</v>
      </c>
      <c r="C10" s="782" t="s">
        <v>7964</v>
      </c>
      <c r="D10" s="782" t="s">
        <v>7965</v>
      </c>
      <c r="E10" s="783" t="s">
        <v>7966</v>
      </c>
    </row>
    <row r="11" spans="1:8">
      <c r="A11" s="95">
        <v>45310</v>
      </c>
      <c r="B11" s="782" t="s">
        <v>7967</v>
      </c>
      <c r="C11" s="782" t="s">
        <v>7971</v>
      </c>
      <c r="D11" s="782" t="s">
        <v>7968</v>
      </c>
      <c r="E11" s="782" t="s">
        <v>7124</v>
      </c>
    </row>
    <row r="12" spans="1:8">
      <c r="A12" s="95">
        <v>45310</v>
      </c>
      <c r="B12" s="782" t="s">
        <v>7967</v>
      </c>
      <c r="C12" s="782" t="s">
        <v>7970</v>
      </c>
      <c r="D12" s="782" t="s">
        <v>7968</v>
      </c>
      <c r="E12" s="782" t="s">
        <v>7969</v>
      </c>
    </row>
    <row r="13" spans="1:8">
      <c r="A13" s="95">
        <v>45310</v>
      </c>
      <c r="B13" s="782" t="s">
        <v>7967</v>
      </c>
      <c r="C13" s="782" t="s">
        <v>7973</v>
      </c>
      <c r="D13" s="782" t="s">
        <v>7976</v>
      </c>
      <c r="E13" s="782" t="s">
        <v>7972</v>
      </c>
    </row>
    <row r="14" spans="1:8">
      <c r="A14" s="95">
        <v>45310</v>
      </c>
      <c r="B14" s="782" t="s">
        <v>7967</v>
      </c>
      <c r="C14" s="782" t="s">
        <v>7975</v>
      </c>
      <c r="D14" s="782" t="s">
        <v>7968</v>
      </c>
      <c r="E14" s="782" t="s">
        <v>7974</v>
      </c>
    </row>
    <row r="15" spans="1:8">
      <c r="A15" s="95">
        <v>45311</v>
      </c>
      <c r="B15" s="761" t="s">
        <v>7979</v>
      </c>
      <c r="D15" s="761" t="s">
        <v>7980</v>
      </c>
      <c r="E15" s="784" t="s">
        <v>7981</v>
      </c>
    </row>
    <row r="16" spans="1:8">
      <c r="A16" s="95">
        <v>45311</v>
      </c>
      <c r="B16" s="761" t="s">
        <v>7979</v>
      </c>
      <c r="D16" s="761" t="s">
        <v>7980</v>
      </c>
      <c r="E16" s="784" t="s">
        <v>7982</v>
      </c>
    </row>
    <row r="17" spans="1:9">
      <c r="A17" s="95">
        <v>45315</v>
      </c>
      <c r="B17" s="787" t="s">
        <v>7988</v>
      </c>
      <c r="C17" s="787" t="s">
        <v>7989</v>
      </c>
      <c r="D17" s="787" t="s">
        <v>7990</v>
      </c>
      <c r="E17" s="787" t="s">
        <v>7991</v>
      </c>
    </row>
    <row r="18" spans="1:9">
      <c r="A18" s="95">
        <v>45318</v>
      </c>
      <c r="B18" s="761" t="s">
        <v>8010</v>
      </c>
      <c r="C18" s="761" t="s">
        <v>8008</v>
      </c>
      <c r="D18" s="761" t="s">
        <v>8006</v>
      </c>
      <c r="E18" s="791" t="s">
        <v>366</v>
      </c>
    </row>
    <row r="19" spans="1:9">
      <c r="A19" s="95">
        <v>45318</v>
      </c>
      <c r="B19" s="761" t="s">
        <v>8010</v>
      </c>
      <c r="C19" s="761" t="s">
        <v>8009</v>
      </c>
      <c r="E19" s="791" t="s">
        <v>8007</v>
      </c>
    </row>
    <row r="20" spans="1:9">
      <c r="A20" s="95">
        <v>45321</v>
      </c>
      <c r="B20" s="761" t="s">
        <v>8031</v>
      </c>
      <c r="C20" s="761" t="s">
        <v>8032</v>
      </c>
      <c r="D20" s="761" t="s">
        <v>8033</v>
      </c>
      <c r="E20" s="798" t="s">
        <v>689</v>
      </c>
    </row>
    <row r="21" spans="1:9">
      <c r="A21" s="95">
        <v>45321</v>
      </c>
      <c r="B21" s="761" t="s">
        <v>8031</v>
      </c>
      <c r="C21" s="761" t="s">
        <v>8034</v>
      </c>
      <c r="D21" s="761" t="s">
        <v>8033</v>
      </c>
      <c r="E21" s="798" t="s">
        <v>7657</v>
      </c>
    </row>
    <row r="22" spans="1:9">
      <c r="A22" s="95">
        <v>45321</v>
      </c>
      <c r="B22" s="761" t="s">
        <v>8031</v>
      </c>
      <c r="C22" s="761" t="s">
        <v>8036</v>
      </c>
      <c r="D22" s="761" t="s">
        <v>8033</v>
      </c>
      <c r="E22" s="798" t="s">
        <v>8035</v>
      </c>
    </row>
    <row r="23" spans="1:9">
      <c r="A23" s="95">
        <v>45322</v>
      </c>
      <c r="B23" s="761" t="s">
        <v>8038</v>
      </c>
      <c r="C23" s="800" t="s">
        <v>8040</v>
      </c>
      <c r="D23" s="800" t="s">
        <v>8041</v>
      </c>
      <c r="E23" s="800" t="s">
        <v>8039</v>
      </c>
    </row>
    <row r="24" spans="1:9">
      <c r="A24" s="95">
        <v>45322</v>
      </c>
      <c r="B24" s="761" t="s">
        <v>8042</v>
      </c>
      <c r="C24" s="761" t="s">
        <v>8043</v>
      </c>
      <c r="D24" s="761" t="s">
        <v>8045</v>
      </c>
      <c r="E24" s="800" t="s">
        <v>8044</v>
      </c>
    </row>
    <row r="25" spans="1:9">
      <c r="A25" s="95">
        <v>45323</v>
      </c>
      <c r="B25" s="761" t="s">
        <v>8058</v>
      </c>
      <c r="C25" s="761" t="s">
        <v>8059</v>
      </c>
      <c r="D25" s="761" t="s">
        <v>8060</v>
      </c>
      <c r="E25" s="805" t="s">
        <v>7846</v>
      </c>
    </row>
    <row r="26" spans="1:9">
      <c r="A26" s="95">
        <v>45323</v>
      </c>
      <c r="B26" s="761" t="s">
        <v>8061</v>
      </c>
      <c r="C26" s="761" t="s">
        <v>8062</v>
      </c>
      <c r="D26" s="761" t="s">
        <v>8063</v>
      </c>
      <c r="E26" s="805" t="s">
        <v>8064</v>
      </c>
    </row>
    <row r="27" spans="1:9">
      <c r="A27" s="95">
        <v>45323</v>
      </c>
      <c r="B27" s="761" t="s">
        <v>8065</v>
      </c>
      <c r="C27" s="761" t="s">
        <v>8066</v>
      </c>
      <c r="D27" s="761" t="s">
        <v>8067</v>
      </c>
      <c r="E27" s="805" t="s">
        <v>8068</v>
      </c>
    </row>
    <row r="28" spans="1:9">
      <c r="A28" s="95">
        <v>45326</v>
      </c>
      <c r="B28" s="761" t="s">
        <v>8065</v>
      </c>
      <c r="C28" s="761" t="s">
        <v>8073</v>
      </c>
      <c r="D28" s="761" t="s">
        <v>8067</v>
      </c>
      <c r="E28" s="809" t="s">
        <v>8074</v>
      </c>
      <c r="F28">
        <v>80</v>
      </c>
    </row>
    <row r="29" spans="1:9">
      <c r="A29" s="95">
        <v>45326</v>
      </c>
      <c r="B29" s="761" t="s">
        <v>8061</v>
      </c>
      <c r="C29" s="761" t="s">
        <v>8075</v>
      </c>
      <c r="D29" s="761" t="s">
        <v>8063</v>
      </c>
      <c r="E29" s="810" t="s">
        <v>8076</v>
      </c>
      <c r="F29">
        <v>80</v>
      </c>
      <c r="G29">
        <v>80</v>
      </c>
      <c r="I29" t="s">
        <v>39</v>
      </c>
    </row>
    <row r="30" spans="1:9">
      <c r="A30" s="95">
        <v>45327</v>
      </c>
      <c r="B30" s="761" t="s">
        <v>7859</v>
      </c>
      <c r="C30" s="761" t="s">
        <v>8078</v>
      </c>
      <c r="D30" s="761" t="s">
        <v>8077</v>
      </c>
      <c r="E30" s="811" t="s">
        <v>8079</v>
      </c>
      <c r="F30">
        <v>80</v>
      </c>
      <c r="G30">
        <v>0</v>
      </c>
      <c r="I30" t="s">
        <v>39</v>
      </c>
    </row>
    <row r="31" spans="1:9">
      <c r="A31" s="95">
        <v>45327</v>
      </c>
      <c r="B31" s="761" t="s">
        <v>8080</v>
      </c>
      <c r="C31" s="761" t="s">
        <v>8081</v>
      </c>
      <c r="D31" s="761" t="s">
        <v>8082</v>
      </c>
      <c r="E31" s="811" t="s">
        <v>8083</v>
      </c>
      <c r="F31">
        <v>80</v>
      </c>
      <c r="G31">
        <v>0</v>
      </c>
      <c r="I31" t="s">
        <v>39</v>
      </c>
    </row>
    <row r="32" spans="1:9">
      <c r="A32" s="95">
        <v>45329</v>
      </c>
      <c r="B32" s="761" t="s">
        <v>8091</v>
      </c>
      <c r="C32" s="761" t="s">
        <v>8089</v>
      </c>
      <c r="D32" s="761" t="s">
        <v>8090</v>
      </c>
      <c r="E32" s="814" t="s">
        <v>8092</v>
      </c>
      <c r="F32">
        <v>80</v>
      </c>
      <c r="I32" t="s">
        <v>39</v>
      </c>
    </row>
    <row r="33" spans="1:10">
      <c r="A33" s="95">
        <v>45334</v>
      </c>
      <c r="B33" s="761" t="s">
        <v>8126</v>
      </c>
      <c r="C33" s="761" t="s">
        <v>8127</v>
      </c>
      <c r="D33" s="761" t="s">
        <v>8129</v>
      </c>
      <c r="E33" s="827" t="s">
        <v>8128</v>
      </c>
      <c r="F33">
        <v>80</v>
      </c>
      <c r="G33">
        <v>30</v>
      </c>
      <c r="H33">
        <v>50</v>
      </c>
      <c r="I33" t="s">
        <v>39</v>
      </c>
    </row>
    <row r="34" spans="1:10">
      <c r="A34" s="95">
        <v>45335</v>
      </c>
      <c r="B34" s="761" t="s">
        <v>8135</v>
      </c>
      <c r="C34" s="761" t="s">
        <v>8136</v>
      </c>
      <c r="D34" s="761" t="s">
        <v>8129</v>
      </c>
      <c r="E34" s="830" t="s">
        <v>8138</v>
      </c>
      <c r="F34">
        <v>30</v>
      </c>
    </row>
    <row r="35" spans="1:10">
      <c r="A35" s="95">
        <v>45335</v>
      </c>
      <c r="B35" s="761" t="s">
        <v>8135</v>
      </c>
      <c r="C35" s="761" t="s">
        <v>8137</v>
      </c>
      <c r="D35" s="761" t="s">
        <v>8129</v>
      </c>
      <c r="E35" s="830" t="s">
        <v>8139</v>
      </c>
      <c r="F35">
        <v>30</v>
      </c>
    </row>
    <row r="36" spans="1:10">
      <c r="A36" s="95">
        <v>45336</v>
      </c>
      <c r="C36" s="832" t="s">
        <v>8146</v>
      </c>
      <c r="D36" s="832" t="s">
        <v>2655</v>
      </c>
      <c r="E36" s="832" t="s">
        <v>8145</v>
      </c>
      <c r="F36" s="832" t="s">
        <v>541</v>
      </c>
    </row>
    <row r="37" spans="1:10">
      <c r="A37" s="95">
        <v>45338</v>
      </c>
      <c r="B37" s="761" t="s">
        <v>8163</v>
      </c>
      <c r="C37" s="761" t="s">
        <v>8164</v>
      </c>
      <c r="D37" s="761" t="s">
        <v>8162</v>
      </c>
      <c r="E37" s="842" t="s">
        <v>8165</v>
      </c>
      <c r="F37">
        <v>80</v>
      </c>
      <c r="I37" t="s">
        <v>39</v>
      </c>
    </row>
    <row r="38" spans="1:10">
      <c r="A38" s="95">
        <v>45342</v>
      </c>
      <c r="B38" s="761" t="s">
        <v>8178</v>
      </c>
      <c r="C38" s="761" t="s">
        <v>8182</v>
      </c>
      <c r="D38" s="761" t="s">
        <v>8179</v>
      </c>
      <c r="E38" s="851" t="s">
        <v>8180</v>
      </c>
      <c r="F38">
        <v>80</v>
      </c>
      <c r="G38">
        <v>30</v>
      </c>
      <c r="H38">
        <f>F38-G38</f>
        <v>50</v>
      </c>
    </row>
    <row r="39" spans="1:10">
      <c r="A39" s="95">
        <v>45343</v>
      </c>
      <c r="B39" s="761" t="s">
        <v>8198</v>
      </c>
      <c r="C39" s="761" t="s">
        <v>8200</v>
      </c>
      <c r="D39" s="761" t="s">
        <v>8201</v>
      </c>
      <c r="E39" s="855" t="s">
        <v>8199</v>
      </c>
      <c r="F39">
        <v>80</v>
      </c>
      <c r="G39">
        <v>80</v>
      </c>
      <c r="H39">
        <f t="shared" ref="H39:H56" si="0">F39-G39</f>
        <v>0</v>
      </c>
      <c r="I39" t="s">
        <v>39</v>
      </c>
    </row>
    <row r="40" spans="1:10">
      <c r="A40" s="95">
        <v>45344</v>
      </c>
      <c r="B40" s="761" t="s">
        <v>8207</v>
      </c>
      <c r="C40" s="761" t="s">
        <v>8208</v>
      </c>
      <c r="D40" s="761" t="s">
        <v>8209</v>
      </c>
      <c r="E40" s="859" t="s">
        <v>8210</v>
      </c>
      <c r="F40">
        <v>80</v>
      </c>
      <c r="G40">
        <v>80</v>
      </c>
      <c r="H40">
        <f t="shared" si="0"/>
        <v>0</v>
      </c>
    </row>
    <row r="41" spans="1:10">
      <c r="A41" s="95">
        <v>45344</v>
      </c>
      <c r="B41" s="761" t="s">
        <v>8211</v>
      </c>
      <c r="C41" s="761" t="s">
        <v>8214</v>
      </c>
      <c r="D41" s="761" t="s">
        <v>8212</v>
      </c>
      <c r="E41" s="859" t="s">
        <v>8213</v>
      </c>
      <c r="F41">
        <v>80</v>
      </c>
      <c r="G41">
        <v>80</v>
      </c>
      <c r="H41">
        <f t="shared" si="0"/>
        <v>0</v>
      </c>
    </row>
    <row r="42" spans="1:10">
      <c r="A42" s="95">
        <v>45346</v>
      </c>
      <c r="B42" s="761" t="s">
        <v>8223</v>
      </c>
      <c r="C42" s="761" t="s">
        <v>8224</v>
      </c>
      <c r="D42" s="761" t="s">
        <v>1971</v>
      </c>
      <c r="E42" s="861" t="s">
        <v>8225</v>
      </c>
      <c r="F42">
        <v>80</v>
      </c>
      <c r="G42">
        <v>80</v>
      </c>
      <c r="H42">
        <f t="shared" si="0"/>
        <v>0</v>
      </c>
      <c r="I42" t="s">
        <v>39</v>
      </c>
    </row>
    <row r="43" spans="1:10">
      <c r="A43" s="95">
        <v>45346</v>
      </c>
      <c r="B43" s="761" t="s">
        <v>8226</v>
      </c>
      <c r="C43" s="761" t="s">
        <v>8227</v>
      </c>
      <c r="D43" s="761" t="s">
        <v>8228</v>
      </c>
      <c r="E43" s="861" t="s">
        <v>7945</v>
      </c>
      <c r="F43">
        <v>80</v>
      </c>
      <c r="G43">
        <v>30</v>
      </c>
      <c r="H43">
        <f t="shared" si="0"/>
        <v>50</v>
      </c>
    </row>
    <row r="44" spans="1:10">
      <c r="A44" s="95">
        <v>45347</v>
      </c>
      <c r="B44" s="761" t="s">
        <v>8237</v>
      </c>
      <c r="D44" s="761" t="s">
        <v>8286</v>
      </c>
      <c r="E44" s="874" t="s">
        <v>8284</v>
      </c>
      <c r="F44">
        <v>80</v>
      </c>
      <c r="G44">
        <v>30</v>
      </c>
      <c r="H44">
        <f t="shared" si="0"/>
        <v>50</v>
      </c>
    </row>
    <row r="45" spans="1:10">
      <c r="A45" s="95">
        <v>45347</v>
      </c>
      <c r="B45" s="761" t="s">
        <v>8237</v>
      </c>
      <c r="D45" s="761" t="s">
        <v>8263</v>
      </c>
      <c r="E45" s="874" t="s">
        <v>8285</v>
      </c>
      <c r="F45">
        <v>80</v>
      </c>
      <c r="G45">
        <v>30</v>
      </c>
      <c r="H45">
        <f t="shared" si="0"/>
        <v>50</v>
      </c>
    </row>
    <row r="46" spans="1:10">
      <c r="A46" s="95">
        <v>45347</v>
      </c>
      <c r="B46" s="761" t="s">
        <v>8237</v>
      </c>
      <c r="C46" s="761" t="s">
        <v>8239</v>
      </c>
      <c r="D46" s="761" t="s">
        <v>8238</v>
      </c>
      <c r="E46" s="868" t="s">
        <v>8240</v>
      </c>
      <c r="F46">
        <v>80</v>
      </c>
      <c r="G46">
        <v>30</v>
      </c>
      <c r="H46">
        <f t="shared" si="0"/>
        <v>50</v>
      </c>
    </row>
    <row r="47" spans="1:10">
      <c r="A47" s="95">
        <v>45348</v>
      </c>
      <c r="B47" s="761" t="s">
        <v>8241</v>
      </c>
      <c r="C47" s="761" t="s">
        <v>8242</v>
      </c>
      <c r="D47" s="761" t="s">
        <v>8269</v>
      </c>
      <c r="E47" s="868" t="s">
        <v>8243</v>
      </c>
      <c r="F47">
        <v>80</v>
      </c>
      <c r="G47">
        <v>80</v>
      </c>
      <c r="H47">
        <f t="shared" si="0"/>
        <v>0</v>
      </c>
      <c r="I47" t="s">
        <v>39</v>
      </c>
      <c r="J47" s="95">
        <v>45349</v>
      </c>
    </row>
    <row r="48" spans="1:10">
      <c r="A48" s="95">
        <v>45348</v>
      </c>
      <c r="B48" s="761" t="s">
        <v>8241</v>
      </c>
      <c r="D48" s="761" t="s">
        <v>8271</v>
      </c>
      <c r="E48" s="871" t="s">
        <v>8270</v>
      </c>
      <c r="F48">
        <v>80</v>
      </c>
      <c r="G48">
        <v>80</v>
      </c>
      <c r="H48">
        <f t="shared" si="0"/>
        <v>0</v>
      </c>
      <c r="I48" t="s">
        <v>39</v>
      </c>
      <c r="J48" s="95">
        <v>45349</v>
      </c>
    </row>
    <row r="49" spans="1:10">
      <c r="A49" s="95">
        <v>45348</v>
      </c>
      <c r="B49" s="761" t="s">
        <v>8241</v>
      </c>
      <c r="D49" s="761" t="s">
        <v>8272</v>
      </c>
      <c r="E49" s="871" t="s">
        <v>2147</v>
      </c>
      <c r="F49">
        <v>80</v>
      </c>
      <c r="G49">
        <v>80</v>
      </c>
      <c r="H49">
        <f t="shared" si="0"/>
        <v>0</v>
      </c>
      <c r="I49" t="s">
        <v>39</v>
      </c>
      <c r="J49" s="95">
        <v>45349</v>
      </c>
    </row>
    <row r="50" spans="1:10">
      <c r="A50" s="95">
        <v>45348</v>
      </c>
      <c r="B50" s="761" t="s">
        <v>8244</v>
      </c>
      <c r="C50" s="761" t="s">
        <v>8245</v>
      </c>
      <c r="E50" s="869" t="s">
        <v>8248</v>
      </c>
      <c r="F50">
        <v>80</v>
      </c>
      <c r="G50">
        <v>30</v>
      </c>
      <c r="H50">
        <f t="shared" si="0"/>
        <v>50</v>
      </c>
    </row>
    <row r="51" spans="1:10">
      <c r="A51" s="95">
        <v>45348</v>
      </c>
      <c r="B51" s="761" t="s">
        <v>8244</v>
      </c>
      <c r="C51" s="761" t="s">
        <v>8246</v>
      </c>
      <c r="E51" t="s">
        <v>8247</v>
      </c>
      <c r="F51">
        <v>80</v>
      </c>
      <c r="G51">
        <v>30</v>
      </c>
      <c r="H51">
        <f t="shared" si="0"/>
        <v>50</v>
      </c>
    </row>
    <row r="52" spans="1:10">
      <c r="A52" s="95">
        <v>45348</v>
      </c>
      <c r="B52" s="761" t="s">
        <v>8031</v>
      </c>
      <c r="C52" s="761" t="s">
        <v>8257</v>
      </c>
      <c r="D52" s="761" t="s">
        <v>8287</v>
      </c>
      <c r="E52" t="s">
        <v>8258</v>
      </c>
      <c r="F52">
        <v>80</v>
      </c>
      <c r="G52">
        <v>80</v>
      </c>
      <c r="H52">
        <f t="shared" si="0"/>
        <v>0</v>
      </c>
      <c r="I52" t="s">
        <v>39</v>
      </c>
      <c r="J52" s="95">
        <v>38046</v>
      </c>
    </row>
    <row r="53" spans="1:10">
      <c r="A53" s="95">
        <v>45348</v>
      </c>
      <c r="B53" s="761" t="s">
        <v>7943</v>
      </c>
      <c r="C53" s="761" t="s">
        <v>8260</v>
      </c>
      <c r="D53" s="761" t="s">
        <v>8259</v>
      </c>
      <c r="E53" s="761" t="s">
        <v>8261</v>
      </c>
      <c r="H53">
        <f t="shared" si="0"/>
        <v>0</v>
      </c>
    </row>
    <row r="54" spans="1:10">
      <c r="A54" s="95">
        <v>45349</v>
      </c>
      <c r="B54" s="761" t="s">
        <v>8237</v>
      </c>
      <c r="C54" s="761" t="s">
        <v>8262</v>
      </c>
      <c r="D54" s="761" t="s">
        <v>8263</v>
      </c>
      <c r="E54" s="761" t="s">
        <v>8264</v>
      </c>
      <c r="F54">
        <v>80</v>
      </c>
      <c r="G54">
        <v>30</v>
      </c>
      <c r="H54">
        <f t="shared" si="0"/>
        <v>50</v>
      </c>
    </row>
    <row r="55" spans="1:10">
      <c r="A55" s="95">
        <v>45349</v>
      </c>
      <c r="B55" s="761" t="s">
        <v>8265</v>
      </c>
      <c r="C55" s="761" t="s">
        <v>8266</v>
      </c>
      <c r="D55" s="761" t="s">
        <v>8267</v>
      </c>
      <c r="E55" s="761" t="s">
        <v>8268</v>
      </c>
      <c r="F55">
        <v>80</v>
      </c>
      <c r="G55">
        <v>30</v>
      </c>
      <c r="H55">
        <f t="shared" si="0"/>
        <v>50</v>
      </c>
    </row>
    <row r="56" spans="1:10">
      <c r="A56" s="95">
        <v>45350</v>
      </c>
      <c r="B56" s="761" t="s">
        <v>8278</v>
      </c>
      <c r="C56" s="761" t="s">
        <v>8277</v>
      </c>
      <c r="D56" s="761" t="s">
        <v>8276</v>
      </c>
      <c r="E56" s="761" t="s">
        <v>8279</v>
      </c>
      <c r="F56">
        <v>80</v>
      </c>
      <c r="G56">
        <v>80</v>
      </c>
      <c r="H56">
        <f t="shared" si="0"/>
        <v>0</v>
      </c>
      <c r="I56" t="s">
        <v>39</v>
      </c>
      <c r="J56" s="95">
        <v>45350</v>
      </c>
    </row>
    <row r="57" spans="1:10">
      <c r="A57" s="95">
        <v>45350</v>
      </c>
      <c r="B57" s="761" t="s">
        <v>8281</v>
      </c>
      <c r="C57" s="761" t="s">
        <v>8282</v>
      </c>
      <c r="D57" s="761" t="s">
        <v>8283</v>
      </c>
      <c r="E57" s="761" t="s">
        <v>7545</v>
      </c>
      <c r="F57">
        <v>80</v>
      </c>
      <c r="G57">
        <v>30</v>
      </c>
      <c r="H57">
        <f t="shared" ref="H57:H96" si="1">F57-G57</f>
        <v>50</v>
      </c>
    </row>
    <row r="58" spans="1:10">
      <c r="A58" s="95">
        <v>45351</v>
      </c>
      <c r="B58" s="761" t="s">
        <v>8290</v>
      </c>
      <c r="C58" s="761" t="s">
        <v>8291</v>
      </c>
      <c r="D58" s="761" t="s">
        <v>8289</v>
      </c>
      <c r="E58" s="761" t="s">
        <v>8292</v>
      </c>
      <c r="F58">
        <v>80</v>
      </c>
      <c r="G58">
        <v>80</v>
      </c>
      <c r="H58">
        <f t="shared" si="1"/>
        <v>0</v>
      </c>
      <c r="I58" t="s">
        <v>39</v>
      </c>
      <c r="J58" s="95">
        <v>45352</v>
      </c>
    </row>
    <row r="59" spans="1:10">
      <c r="A59" s="95">
        <v>45351</v>
      </c>
      <c r="B59" s="761" t="s">
        <v>8290</v>
      </c>
      <c r="D59" s="761" t="s">
        <v>8289</v>
      </c>
      <c r="E59" s="761" t="s">
        <v>8293</v>
      </c>
      <c r="F59">
        <v>80</v>
      </c>
      <c r="G59">
        <v>80</v>
      </c>
      <c r="H59">
        <f t="shared" si="1"/>
        <v>0</v>
      </c>
      <c r="I59" t="s">
        <v>39</v>
      </c>
      <c r="J59" s="95">
        <v>45352</v>
      </c>
    </row>
    <row r="60" spans="1:10">
      <c r="A60" s="95">
        <v>45351</v>
      </c>
      <c r="B60" s="761" t="s">
        <v>8290</v>
      </c>
      <c r="E60" s="761" t="s">
        <v>8294</v>
      </c>
      <c r="F60">
        <v>80</v>
      </c>
      <c r="G60">
        <v>80</v>
      </c>
      <c r="H60">
        <f t="shared" si="1"/>
        <v>0</v>
      </c>
      <c r="I60" t="s">
        <v>39</v>
      </c>
      <c r="J60" s="95">
        <v>45352</v>
      </c>
    </row>
    <row r="61" spans="1:10">
      <c r="A61" s="95">
        <v>45353</v>
      </c>
      <c r="B61" s="761" t="s">
        <v>8297</v>
      </c>
      <c r="C61" s="761" t="s">
        <v>8296</v>
      </c>
      <c r="D61" s="761" t="s">
        <v>8298</v>
      </c>
      <c r="E61" s="761" t="s">
        <v>8299</v>
      </c>
      <c r="F61">
        <v>80</v>
      </c>
      <c r="G61">
        <v>80</v>
      </c>
      <c r="H61">
        <f t="shared" si="1"/>
        <v>0</v>
      </c>
    </row>
    <row r="62" spans="1:10">
      <c r="A62" s="95">
        <v>45353</v>
      </c>
      <c r="B62" s="761" t="s">
        <v>8300</v>
      </c>
      <c r="C62" s="761" t="s">
        <v>8303</v>
      </c>
      <c r="D62" s="761" t="s">
        <v>8301</v>
      </c>
      <c r="E62" s="761" t="s">
        <v>8302</v>
      </c>
      <c r="F62">
        <v>80</v>
      </c>
      <c r="G62">
        <v>80</v>
      </c>
      <c r="H62">
        <f t="shared" si="1"/>
        <v>0</v>
      </c>
      <c r="J62" s="95">
        <v>45360</v>
      </c>
    </row>
    <row r="63" spans="1:10">
      <c r="A63" s="95">
        <v>45353</v>
      </c>
      <c r="B63" s="761" t="s">
        <v>8305</v>
      </c>
      <c r="C63" s="761" t="s">
        <v>8306</v>
      </c>
      <c r="D63" s="761" t="s">
        <v>8304</v>
      </c>
      <c r="E63" s="761" t="s">
        <v>8307</v>
      </c>
      <c r="F63">
        <v>80</v>
      </c>
      <c r="G63">
        <v>80</v>
      </c>
      <c r="H63">
        <f t="shared" si="1"/>
        <v>0</v>
      </c>
      <c r="I63" s="892"/>
      <c r="J63" s="95">
        <v>45360</v>
      </c>
    </row>
    <row r="64" spans="1:10">
      <c r="A64" s="95">
        <v>45356</v>
      </c>
      <c r="B64" s="885" t="s">
        <v>8314</v>
      </c>
      <c r="C64" s="885" t="s">
        <v>8315</v>
      </c>
      <c r="D64" s="885" t="s">
        <v>8316</v>
      </c>
      <c r="E64" s="761" t="s">
        <v>8317</v>
      </c>
      <c r="F64">
        <v>80</v>
      </c>
      <c r="G64">
        <v>80</v>
      </c>
      <c r="H64">
        <f t="shared" si="1"/>
        <v>0</v>
      </c>
      <c r="J64" s="95">
        <v>45360</v>
      </c>
    </row>
    <row r="65" spans="1:11">
      <c r="A65" s="95">
        <v>45357</v>
      </c>
      <c r="B65" s="761" t="s">
        <v>8319</v>
      </c>
      <c r="C65" s="761" t="s">
        <v>8320</v>
      </c>
      <c r="D65" s="761" t="s">
        <v>8322</v>
      </c>
      <c r="E65" s="761" t="s">
        <v>8321</v>
      </c>
      <c r="F65">
        <v>80</v>
      </c>
      <c r="G65">
        <v>80</v>
      </c>
      <c r="H65">
        <f t="shared" si="1"/>
        <v>0</v>
      </c>
      <c r="I65" t="s">
        <v>39</v>
      </c>
      <c r="J65" s="95">
        <v>45357</v>
      </c>
    </row>
    <row r="66" spans="1:11">
      <c r="A66" s="95">
        <v>45358</v>
      </c>
      <c r="B66" s="761" t="s">
        <v>8323</v>
      </c>
      <c r="C66" s="761" t="s">
        <v>8324</v>
      </c>
      <c r="D66" s="761" t="s">
        <v>8325</v>
      </c>
      <c r="E66" s="761" t="s">
        <v>8326</v>
      </c>
      <c r="F66">
        <v>80</v>
      </c>
      <c r="G66">
        <v>80</v>
      </c>
      <c r="H66">
        <f t="shared" si="1"/>
        <v>0</v>
      </c>
      <c r="I66" t="s">
        <v>39</v>
      </c>
      <c r="J66" s="95">
        <v>45362</v>
      </c>
    </row>
    <row r="67" spans="1:11">
      <c r="A67" s="95">
        <v>45358</v>
      </c>
      <c r="B67" s="761" t="s">
        <v>8323</v>
      </c>
      <c r="C67" s="761" t="s">
        <v>8327</v>
      </c>
      <c r="D67" s="761" t="s">
        <v>8325</v>
      </c>
      <c r="E67" s="761" t="s">
        <v>8328</v>
      </c>
      <c r="F67">
        <v>0</v>
      </c>
      <c r="G67" s="761" t="s">
        <v>8329</v>
      </c>
      <c r="H67" t="e">
        <f t="shared" si="1"/>
        <v>#VALUE!</v>
      </c>
    </row>
    <row r="68" spans="1:11">
      <c r="A68" s="95">
        <v>45359</v>
      </c>
      <c r="B68" s="761" t="s">
        <v>8336</v>
      </c>
      <c r="C68" s="761" t="s">
        <v>8337</v>
      </c>
      <c r="D68" s="761" t="s">
        <v>8338</v>
      </c>
      <c r="E68" s="761" t="s">
        <v>8339</v>
      </c>
      <c r="F68">
        <v>80</v>
      </c>
      <c r="G68">
        <v>30</v>
      </c>
      <c r="H68">
        <f t="shared" si="1"/>
        <v>50</v>
      </c>
    </row>
    <row r="69" spans="1:11">
      <c r="A69" s="95">
        <v>45359</v>
      </c>
      <c r="B69" s="761" t="s">
        <v>8336</v>
      </c>
      <c r="C69" s="761" t="s">
        <v>8340</v>
      </c>
      <c r="D69" s="761" t="s">
        <v>8341</v>
      </c>
      <c r="E69" s="761" t="s">
        <v>8342</v>
      </c>
      <c r="F69">
        <v>80</v>
      </c>
      <c r="G69">
        <v>30</v>
      </c>
      <c r="H69">
        <f t="shared" si="1"/>
        <v>50</v>
      </c>
      <c r="I69" s="896" t="s">
        <v>39</v>
      </c>
      <c r="J69" s="95">
        <v>45363</v>
      </c>
    </row>
    <row r="70" spans="1:11">
      <c r="A70" s="95">
        <v>45359</v>
      </c>
      <c r="B70" s="761" t="s">
        <v>8344</v>
      </c>
      <c r="C70" s="761" t="s">
        <v>8345</v>
      </c>
      <c r="D70" s="761" t="s">
        <v>8346</v>
      </c>
      <c r="E70" s="761" t="s">
        <v>8347</v>
      </c>
      <c r="F70">
        <v>80</v>
      </c>
      <c r="G70">
        <v>80</v>
      </c>
      <c r="H70">
        <f t="shared" si="1"/>
        <v>0</v>
      </c>
      <c r="I70" t="s">
        <v>39</v>
      </c>
      <c r="J70" s="95">
        <v>45362</v>
      </c>
    </row>
    <row r="71" spans="1:11">
      <c r="A71" s="95">
        <v>45359</v>
      </c>
      <c r="B71" s="761" t="s">
        <v>8344</v>
      </c>
      <c r="C71" s="761" t="s">
        <v>8349</v>
      </c>
      <c r="D71" s="761" t="s">
        <v>8346</v>
      </c>
      <c r="E71" s="761" t="s">
        <v>8348</v>
      </c>
      <c r="F71">
        <v>80</v>
      </c>
      <c r="G71">
        <v>80</v>
      </c>
      <c r="H71">
        <f t="shared" si="1"/>
        <v>0</v>
      </c>
      <c r="I71" t="s">
        <v>39</v>
      </c>
      <c r="J71" s="95">
        <v>45362</v>
      </c>
    </row>
    <row r="72" spans="1:11">
      <c r="A72" s="95">
        <v>45360</v>
      </c>
      <c r="B72" s="761" t="s">
        <v>8344</v>
      </c>
      <c r="C72" s="761" t="s">
        <v>8351</v>
      </c>
      <c r="D72" s="761" t="s">
        <v>8346</v>
      </c>
      <c r="E72" s="761" t="s">
        <v>8350</v>
      </c>
      <c r="F72">
        <v>80</v>
      </c>
      <c r="G72">
        <v>80</v>
      </c>
      <c r="H72">
        <f t="shared" si="1"/>
        <v>0</v>
      </c>
      <c r="I72" t="s">
        <v>39</v>
      </c>
      <c r="J72" s="95">
        <v>45362</v>
      </c>
    </row>
    <row r="73" spans="1:11">
      <c r="A73" s="95">
        <v>45360</v>
      </c>
      <c r="B73" s="761" t="s">
        <v>8352</v>
      </c>
      <c r="C73" s="761" t="s">
        <v>8353</v>
      </c>
      <c r="D73" s="761" t="s">
        <v>8355</v>
      </c>
      <c r="E73" s="761" t="s">
        <v>8354</v>
      </c>
      <c r="F73">
        <v>80</v>
      </c>
      <c r="G73">
        <v>30</v>
      </c>
      <c r="H73">
        <f t="shared" si="1"/>
        <v>50</v>
      </c>
    </row>
    <row r="74" spans="1:11">
      <c r="A74" s="95">
        <v>45362</v>
      </c>
      <c r="B74" s="761" t="s">
        <v>8352</v>
      </c>
      <c r="C74" s="761" t="s">
        <v>8356</v>
      </c>
      <c r="D74" s="761" t="s">
        <v>8357</v>
      </c>
      <c r="E74" s="761" t="s">
        <v>8358</v>
      </c>
      <c r="F74">
        <v>80</v>
      </c>
      <c r="G74">
        <v>80</v>
      </c>
      <c r="H74">
        <f t="shared" si="1"/>
        <v>0</v>
      </c>
      <c r="I74" t="s">
        <v>39</v>
      </c>
      <c r="J74" s="95">
        <v>45367</v>
      </c>
    </row>
    <row r="75" spans="1:11">
      <c r="A75" s="95">
        <v>45362</v>
      </c>
      <c r="B75" s="761" t="s">
        <v>8352</v>
      </c>
      <c r="C75" s="761" t="s">
        <v>8360</v>
      </c>
      <c r="D75" s="761" t="s">
        <v>8361</v>
      </c>
      <c r="E75" s="761" t="s">
        <v>8359</v>
      </c>
      <c r="F75">
        <v>80</v>
      </c>
      <c r="G75">
        <v>0</v>
      </c>
      <c r="H75">
        <f t="shared" si="1"/>
        <v>80</v>
      </c>
    </row>
    <row r="76" spans="1:11">
      <c r="A76" s="95">
        <v>45362</v>
      </c>
      <c r="B76" s="761" t="s">
        <v>8352</v>
      </c>
      <c r="C76" s="761" t="s">
        <v>8364</v>
      </c>
      <c r="D76" s="761" t="s">
        <v>8362</v>
      </c>
      <c r="E76" s="761" t="s">
        <v>8363</v>
      </c>
      <c r="F76">
        <v>80</v>
      </c>
      <c r="G76">
        <v>80</v>
      </c>
      <c r="H76">
        <f t="shared" si="1"/>
        <v>0</v>
      </c>
      <c r="I76" t="s">
        <v>39</v>
      </c>
      <c r="J76" s="95">
        <v>45363</v>
      </c>
    </row>
    <row r="77" spans="1:11">
      <c r="A77" s="95">
        <v>45362</v>
      </c>
      <c r="B77" s="894" t="s">
        <v>8368</v>
      </c>
      <c r="C77" s="894" t="s">
        <v>8367</v>
      </c>
      <c r="D77" s="894" t="s">
        <v>8369</v>
      </c>
      <c r="E77" s="761" t="s">
        <v>8370</v>
      </c>
      <c r="F77">
        <v>80</v>
      </c>
      <c r="G77">
        <v>30</v>
      </c>
      <c r="H77">
        <f t="shared" si="1"/>
        <v>50</v>
      </c>
      <c r="I77" s="898" t="s">
        <v>100</v>
      </c>
    </row>
    <row r="78" spans="1:11">
      <c r="A78" s="906">
        <v>45362</v>
      </c>
      <c r="B78" s="907" t="s">
        <v>8352</v>
      </c>
      <c r="C78" s="907" t="s">
        <v>8371</v>
      </c>
      <c r="D78" s="907" t="s">
        <v>8372</v>
      </c>
      <c r="E78" s="907" t="s">
        <v>8373</v>
      </c>
      <c r="F78" s="238">
        <v>80</v>
      </c>
      <c r="G78" s="238">
        <v>30</v>
      </c>
      <c r="H78" s="238">
        <f t="shared" si="1"/>
        <v>50</v>
      </c>
      <c r="I78" s="238" t="s">
        <v>8425</v>
      </c>
      <c r="J78" s="238"/>
      <c r="K78" s="908" t="s">
        <v>8424</v>
      </c>
    </row>
    <row r="79" spans="1:11">
      <c r="A79" s="95">
        <v>45362</v>
      </c>
      <c r="B79" s="761" t="s">
        <v>8375</v>
      </c>
      <c r="C79" s="761" t="s">
        <v>8376</v>
      </c>
      <c r="D79" s="761" t="s">
        <v>8374</v>
      </c>
      <c r="E79" s="761" t="s">
        <v>8377</v>
      </c>
      <c r="F79">
        <v>80</v>
      </c>
      <c r="G79">
        <v>30</v>
      </c>
      <c r="H79">
        <f t="shared" si="1"/>
        <v>50</v>
      </c>
    </row>
    <row r="80" spans="1:11">
      <c r="A80" s="95">
        <v>45362</v>
      </c>
      <c r="B80" s="761" t="s">
        <v>8375</v>
      </c>
      <c r="C80" s="761" t="s">
        <v>8379</v>
      </c>
      <c r="D80" s="761" t="s">
        <v>8374</v>
      </c>
      <c r="E80" s="761" t="s">
        <v>8378</v>
      </c>
      <c r="F80">
        <v>80</v>
      </c>
      <c r="G80">
        <v>30</v>
      </c>
      <c r="H80">
        <f t="shared" si="1"/>
        <v>50</v>
      </c>
    </row>
    <row r="81" spans="1:16">
      <c r="A81" s="95">
        <v>45362</v>
      </c>
      <c r="B81" s="761" t="s">
        <v>8381</v>
      </c>
      <c r="C81" s="761" t="s">
        <v>8382</v>
      </c>
      <c r="D81" s="761" t="s">
        <v>8380</v>
      </c>
      <c r="E81" s="761" t="s">
        <v>8383</v>
      </c>
      <c r="F81">
        <v>80</v>
      </c>
      <c r="G81">
        <v>80</v>
      </c>
      <c r="H81">
        <f t="shared" si="1"/>
        <v>0</v>
      </c>
      <c r="I81" t="s">
        <v>39</v>
      </c>
      <c r="J81" s="95">
        <v>45364</v>
      </c>
    </row>
    <row r="82" spans="1:16">
      <c r="A82" s="95">
        <v>45362</v>
      </c>
      <c r="B82" s="761" t="s">
        <v>8352</v>
      </c>
      <c r="C82" s="761" t="s">
        <v>8384</v>
      </c>
      <c r="D82" s="761" t="s">
        <v>2499</v>
      </c>
      <c r="E82" s="761" t="s">
        <v>8385</v>
      </c>
      <c r="F82">
        <v>80</v>
      </c>
      <c r="G82">
        <v>30</v>
      </c>
      <c r="H82">
        <f t="shared" si="1"/>
        <v>50</v>
      </c>
    </row>
    <row r="83" spans="1:16">
      <c r="A83" s="95">
        <v>45362</v>
      </c>
      <c r="B83" s="761" t="s">
        <v>8352</v>
      </c>
      <c r="C83" s="761" t="s">
        <v>8386</v>
      </c>
      <c r="D83" s="761" t="s">
        <v>8387</v>
      </c>
      <c r="E83" s="761" t="s">
        <v>8388</v>
      </c>
      <c r="F83">
        <v>80</v>
      </c>
      <c r="G83">
        <v>30</v>
      </c>
      <c r="H83">
        <f t="shared" si="1"/>
        <v>50</v>
      </c>
      <c r="P83">
        <f>36*90</f>
        <v>3240</v>
      </c>
    </row>
    <row r="84" spans="1:16">
      <c r="A84" s="95">
        <v>45363</v>
      </c>
      <c r="B84" s="761" t="s">
        <v>8352</v>
      </c>
      <c r="C84" s="761" t="s">
        <v>8389</v>
      </c>
      <c r="D84" s="761" t="s">
        <v>8390</v>
      </c>
      <c r="E84" s="761" t="s">
        <v>8391</v>
      </c>
      <c r="F84">
        <v>80</v>
      </c>
      <c r="G84">
        <v>80</v>
      </c>
      <c r="H84">
        <f t="shared" si="1"/>
        <v>0</v>
      </c>
      <c r="I84" t="s">
        <v>39</v>
      </c>
      <c r="J84" s="95">
        <v>45365</v>
      </c>
    </row>
    <row r="85" spans="1:16">
      <c r="A85" s="95">
        <v>45363</v>
      </c>
      <c r="B85" s="761" t="s">
        <v>8352</v>
      </c>
      <c r="C85" s="897" t="s">
        <v>8394</v>
      </c>
      <c r="D85" s="897" t="s">
        <v>8396</v>
      </c>
      <c r="E85" s="761" t="s">
        <v>8395</v>
      </c>
      <c r="F85">
        <v>80</v>
      </c>
      <c r="G85">
        <v>80</v>
      </c>
      <c r="H85">
        <f t="shared" si="1"/>
        <v>0</v>
      </c>
    </row>
    <row r="86" spans="1:16">
      <c r="A86" s="95">
        <v>45363</v>
      </c>
      <c r="B86" s="761" t="s">
        <v>8352</v>
      </c>
      <c r="C86" s="761" t="s">
        <v>8398</v>
      </c>
      <c r="D86" s="761" t="s">
        <v>8397</v>
      </c>
      <c r="E86" s="761" t="s">
        <v>8399</v>
      </c>
      <c r="F86">
        <v>80</v>
      </c>
      <c r="G86">
        <v>80</v>
      </c>
      <c r="H86">
        <f t="shared" si="1"/>
        <v>0</v>
      </c>
      <c r="I86" t="s">
        <v>39</v>
      </c>
      <c r="J86" s="95">
        <v>45370</v>
      </c>
    </row>
    <row r="87" spans="1:16">
      <c r="A87" s="95">
        <v>45364</v>
      </c>
      <c r="B87" s="761" t="s">
        <v>8352</v>
      </c>
      <c r="C87" s="761" t="s">
        <v>8403</v>
      </c>
      <c r="D87" s="761" t="s">
        <v>8402</v>
      </c>
      <c r="E87" s="761" t="s">
        <v>8404</v>
      </c>
      <c r="F87">
        <v>80</v>
      </c>
      <c r="G87">
        <v>80</v>
      </c>
      <c r="H87">
        <f t="shared" si="1"/>
        <v>0</v>
      </c>
      <c r="I87" t="s">
        <v>39</v>
      </c>
      <c r="J87" s="95">
        <v>45366</v>
      </c>
    </row>
    <row r="88" spans="1:16">
      <c r="A88" s="95">
        <v>45367</v>
      </c>
      <c r="B88" s="761" t="s">
        <v>8352</v>
      </c>
      <c r="C88" s="761" t="s">
        <v>8408</v>
      </c>
      <c r="D88" s="761" t="s">
        <v>8409</v>
      </c>
      <c r="E88" s="761" t="s">
        <v>8292</v>
      </c>
      <c r="F88">
        <v>80</v>
      </c>
      <c r="G88">
        <v>30</v>
      </c>
      <c r="H88">
        <f t="shared" si="1"/>
        <v>50</v>
      </c>
    </row>
    <row r="89" spans="1:16">
      <c r="A89" s="95">
        <v>45375</v>
      </c>
      <c r="B89" s="911" t="s">
        <v>8442</v>
      </c>
      <c r="C89" s="911" t="s">
        <v>8444</v>
      </c>
      <c r="D89" s="911" t="s">
        <v>8440</v>
      </c>
      <c r="E89" s="761" t="s">
        <v>8438</v>
      </c>
      <c r="F89">
        <v>80</v>
      </c>
      <c r="G89">
        <v>80</v>
      </c>
      <c r="H89">
        <f t="shared" si="1"/>
        <v>0</v>
      </c>
      <c r="I89" t="s">
        <v>39</v>
      </c>
      <c r="J89" s="95">
        <v>45375</v>
      </c>
    </row>
    <row r="90" spans="1:16">
      <c r="A90" s="95">
        <v>45375</v>
      </c>
      <c r="B90" s="911" t="s">
        <v>8442</v>
      </c>
      <c r="C90" s="911" t="s">
        <v>8443</v>
      </c>
      <c r="D90" s="911" t="s">
        <v>8441</v>
      </c>
      <c r="E90" s="761" t="s">
        <v>8439</v>
      </c>
      <c r="F90">
        <v>70</v>
      </c>
      <c r="G90">
        <v>70</v>
      </c>
      <c r="H90">
        <f t="shared" si="1"/>
        <v>0</v>
      </c>
      <c r="I90" t="s">
        <v>39</v>
      </c>
      <c r="J90" s="95">
        <v>45375</v>
      </c>
    </row>
    <row r="91" spans="1:16">
      <c r="A91" s="95">
        <v>45378</v>
      </c>
      <c r="B91" s="761" t="s">
        <v>8297</v>
      </c>
      <c r="C91" s="761" t="s">
        <v>8445</v>
      </c>
      <c r="D91" s="761" t="s">
        <v>8446</v>
      </c>
      <c r="E91" s="761" t="s">
        <v>8447</v>
      </c>
      <c r="F91">
        <v>80</v>
      </c>
      <c r="H91">
        <f t="shared" si="1"/>
        <v>80</v>
      </c>
    </row>
    <row r="92" spans="1:16">
      <c r="A92" s="95">
        <v>45380</v>
      </c>
      <c r="B92" s="761" t="s">
        <v>8300</v>
      </c>
      <c r="C92" s="761" t="s">
        <v>8450</v>
      </c>
      <c r="D92" s="761" t="s">
        <v>8452</v>
      </c>
      <c r="E92" s="761" t="s">
        <v>8451</v>
      </c>
      <c r="F92">
        <v>80</v>
      </c>
      <c r="G92">
        <v>30</v>
      </c>
      <c r="H92">
        <f t="shared" si="1"/>
        <v>50</v>
      </c>
    </row>
    <row r="93" spans="1:16">
      <c r="A93" s="95">
        <v>45384</v>
      </c>
      <c r="B93" s="761" t="s">
        <v>8460</v>
      </c>
      <c r="C93" s="761" t="s">
        <v>8461</v>
      </c>
      <c r="D93" s="761" t="s">
        <v>8462</v>
      </c>
      <c r="E93" s="761" t="s">
        <v>8463</v>
      </c>
      <c r="F93">
        <v>80</v>
      </c>
      <c r="G93">
        <v>80</v>
      </c>
      <c r="H93">
        <f t="shared" si="1"/>
        <v>0</v>
      </c>
      <c r="I93" t="s">
        <v>39</v>
      </c>
      <c r="J93" s="95">
        <v>45384</v>
      </c>
    </row>
    <row r="94" spans="1:16">
      <c r="A94" s="95">
        <v>45384</v>
      </c>
      <c r="B94" s="761" t="s">
        <v>8460</v>
      </c>
      <c r="D94" s="761" t="s">
        <v>8462</v>
      </c>
      <c r="E94" s="761" t="s">
        <v>8464</v>
      </c>
      <c r="F94">
        <v>50</v>
      </c>
      <c r="G94">
        <v>50</v>
      </c>
      <c r="H94">
        <f t="shared" si="1"/>
        <v>0</v>
      </c>
      <c r="I94" t="s">
        <v>39</v>
      </c>
      <c r="J94" s="95">
        <v>45384</v>
      </c>
      <c r="K94" t="s">
        <v>8465</v>
      </c>
    </row>
    <row r="95" spans="1:16">
      <c r="A95" s="95">
        <v>45387</v>
      </c>
      <c r="B95" s="761" t="s">
        <v>8473</v>
      </c>
      <c r="C95" s="761" t="s">
        <v>8474</v>
      </c>
      <c r="D95" s="761" t="s">
        <v>8476</v>
      </c>
      <c r="E95" s="761" t="s">
        <v>8475</v>
      </c>
      <c r="F95">
        <v>80</v>
      </c>
      <c r="G95">
        <v>80</v>
      </c>
      <c r="H95">
        <f t="shared" si="1"/>
        <v>0</v>
      </c>
      <c r="I95" t="s">
        <v>39</v>
      </c>
      <c r="J95" s="95">
        <v>45394</v>
      </c>
    </row>
    <row r="96" spans="1:16">
      <c r="A96" s="95">
        <v>45388</v>
      </c>
      <c r="B96" s="761" t="s">
        <v>8352</v>
      </c>
      <c r="C96" s="761" t="s">
        <v>8478</v>
      </c>
      <c r="D96" s="761" t="s">
        <v>8479</v>
      </c>
      <c r="E96" s="761" t="s">
        <v>8480</v>
      </c>
      <c r="F96">
        <v>80</v>
      </c>
      <c r="G96">
        <v>30</v>
      </c>
      <c r="H96">
        <f t="shared" si="1"/>
        <v>50</v>
      </c>
    </row>
    <row r="97" spans="1:10">
      <c r="A97" s="95">
        <v>45388</v>
      </c>
      <c r="B97" s="761" t="s">
        <v>8352</v>
      </c>
      <c r="C97" s="761" t="s">
        <v>8481</v>
      </c>
      <c r="D97" s="761" t="s">
        <v>8482</v>
      </c>
      <c r="E97" s="761" t="s">
        <v>8483</v>
      </c>
      <c r="F97">
        <v>80</v>
      </c>
      <c r="G97">
        <v>30</v>
      </c>
      <c r="H97">
        <f t="shared" ref="H97:H127" si="2">F97-G97</f>
        <v>50</v>
      </c>
    </row>
    <row r="98" spans="1:10">
      <c r="A98" s="95">
        <v>45388</v>
      </c>
      <c r="B98" s="922" t="s">
        <v>8488</v>
      </c>
      <c r="C98" s="922" t="s">
        <v>8492</v>
      </c>
      <c r="D98" s="922" t="s">
        <v>8490</v>
      </c>
      <c r="E98" s="761" t="s">
        <v>8491</v>
      </c>
      <c r="F98">
        <v>80</v>
      </c>
      <c r="G98">
        <v>80</v>
      </c>
      <c r="H98">
        <f t="shared" si="2"/>
        <v>0</v>
      </c>
      <c r="I98" t="s">
        <v>39</v>
      </c>
      <c r="J98" s="95">
        <v>45584</v>
      </c>
    </row>
    <row r="99" spans="1:10">
      <c r="A99" s="95">
        <v>45388</v>
      </c>
      <c r="B99" s="922" t="s">
        <v>8488</v>
      </c>
      <c r="C99" s="922" t="s">
        <v>8489</v>
      </c>
      <c r="D99" s="761" t="s">
        <v>8493</v>
      </c>
      <c r="E99" s="761" t="s">
        <v>8494</v>
      </c>
      <c r="F99">
        <v>80</v>
      </c>
      <c r="G99">
        <v>80</v>
      </c>
      <c r="H99">
        <f t="shared" si="2"/>
        <v>0</v>
      </c>
      <c r="I99" t="s">
        <v>39</v>
      </c>
      <c r="J99" s="95">
        <v>45584</v>
      </c>
    </row>
    <row r="100" spans="1:10">
      <c r="A100" s="95">
        <v>45392</v>
      </c>
      <c r="B100" s="761" t="s">
        <v>8503</v>
      </c>
      <c r="C100" s="761" t="s">
        <v>8504</v>
      </c>
      <c r="D100" s="761" t="s">
        <v>8507</v>
      </c>
      <c r="E100" s="761" t="s">
        <v>8505</v>
      </c>
      <c r="F100">
        <v>80</v>
      </c>
      <c r="G100">
        <v>30</v>
      </c>
      <c r="H100">
        <f t="shared" si="2"/>
        <v>50</v>
      </c>
      <c r="I100" t="s">
        <v>39</v>
      </c>
      <c r="J100" s="95">
        <v>45397</v>
      </c>
    </row>
    <row r="101" spans="1:10">
      <c r="B101" s="761" t="s">
        <v>8503</v>
      </c>
      <c r="D101" s="761" t="s">
        <v>8507</v>
      </c>
      <c r="E101" s="761" t="s">
        <v>8506</v>
      </c>
      <c r="F101">
        <v>80</v>
      </c>
      <c r="G101">
        <v>30</v>
      </c>
      <c r="H101">
        <f t="shared" si="2"/>
        <v>50</v>
      </c>
      <c r="I101" t="s">
        <v>39</v>
      </c>
      <c r="J101" s="95">
        <v>45397</v>
      </c>
    </row>
    <row r="102" spans="1:10">
      <c r="A102" s="95">
        <v>45393</v>
      </c>
      <c r="B102" s="928" t="s">
        <v>8508</v>
      </c>
      <c r="C102" s="928" t="s">
        <v>8509</v>
      </c>
      <c r="D102" s="928" t="s">
        <v>8510</v>
      </c>
      <c r="E102" s="761" t="s">
        <v>8511</v>
      </c>
      <c r="F102">
        <v>80</v>
      </c>
      <c r="G102">
        <v>80</v>
      </c>
      <c r="H102">
        <f t="shared" si="2"/>
        <v>0</v>
      </c>
      <c r="I102" t="s">
        <v>39</v>
      </c>
      <c r="J102" s="95">
        <v>45397</v>
      </c>
    </row>
    <row r="103" spans="1:10">
      <c r="A103" s="95">
        <v>45394</v>
      </c>
      <c r="B103" s="761" t="s">
        <v>8512</v>
      </c>
      <c r="C103" s="761" t="s">
        <v>8514</v>
      </c>
      <c r="D103" s="761" t="s">
        <v>8513</v>
      </c>
      <c r="E103" s="761" t="s">
        <v>8515</v>
      </c>
      <c r="F103">
        <v>80</v>
      </c>
      <c r="G103">
        <v>80</v>
      </c>
      <c r="H103">
        <f t="shared" si="2"/>
        <v>0</v>
      </c>
      <c r="I103" t="s">
        <v>39</v>
      </c>
      <c r="J103" s="95">
        <v>45398</v>
      </c>
    </row>
    <row r="104" spans="1:10">
      <c r="A104" s="95">
        <v>45394</v>
      </c>
      <c r="B104" s="761" t="s">
        <v>8503</v>
      </c>
      <c r="C104" s="929" t="s">
        <v>8516</v>
      </c>
      <c r="E104" s="761" t="s">
        <v>8517</v>
      </c>
      <c r="F104">
        <v>80</v>
      </c>
      <c r="G104">
        <v>80</v>
      </c>
      <c r="H104">
        <f t="shared" si="2"/>
        <v>0</v>
      </c>
      <c r="I104" t="s">
        <v>39</v>
      </c>
      <c r="J104" s="95">
        <v>45397</v>
      </c>
    </row>
    <row r="105" spans="1:10">
      <c r="A105" s="95">
        <v>45398</v>
      </c>
      <c r="B105" s="761" t="s">
        <v>8526</v>
      </c>
      <c r="C105" s="761" t="s">
        <v>8527</v>
      </c>
      <c r="D105" s="761" t="s">
        <v>8528</v>
      </c>
      <c r="E105" s="761" t="s">
        <v>8529</v>
      </c>
      <c r="F105">
        <v>80</v>
      </c>
      <c r="G105">
        <v>80</v>
      </c>
      <c r="H105">
        <f t="shared" si="2"/>
        <v>0</v>
      </c>
      <c r="I105" t="s">
        <v>39</v>
      </c>
      <c r="J105" s="95">
        <v>45521</v>
      </c>
    </row>
    <row r="106" spans="1:10">
      <c r="A106" s="95">
        <v>45398</v>
      </c>
      <c r="B106" s="761" t="s">
        <v>8091</v>
      </c>
      <c r="C106" s="761" t="s">
        <v>8531</v>
      </c>
      <c r="D106" s="761" t="s">
        <v>8090</v>
      </c>
      <c r="E106" s="761" t="s">
        <v>8530</v>
      </c>
      <c r="F106">
        <v>80</v>
      </c>
      <c r="G106">
        <v>80</v>
      </c>
      <c r="H106">
        <f t="shared" si="2"/>
        <v>0</v>
      </c>
      <c r="I106" t="s">
        <v>39</v>
      </c>
      <c r="J106" s="95">
        <v>45521</v>
      </c>
    </row>
    <row r="107" spans="1:10">
      <c r="A107" s="95">
        <v>45399</v>
      </c>
      <c r="B107" s="761" t="s">
        <v>8533</v>
      </c>
      <c r="C107" s="761" t="s">
        <v>8534</v>
      </c>
      <c r="D107" s="761" t="s">
        <v>8536</v>
      </c>
      <c r="E107" s="761" t="s">
        <v>8535</v>
      </c>
      <c r="F107">
        <v>80</v>
      </c>
      <c r="G107">
        <v>30</v>
      </c>
      <c r="H107">
        <f t="shared" si="2"/>
        <v>50</v>
      </c>
    </row>
    <row r="108" spans="1:10">
      <c r="A108" s="95">
        <v>45399</v>
      </c>
      <c r="B108" s="761" t="s">
        <v>8533</v>
      </c>
      <c r="C108" s="761" t="s">
        <v>8537</v>
      </c>
      <c r="D108" s="761" t="s">
        <v>8538</v>
      </c>
      <c r="E108" s="761" t="s">
        <v>8539</v>
      </c>
      <c r="F108">
        <v>80</v>
      </c>
      <c r="G108">
        <v>30</v>
      </c>
      <c r="H108">
        <f t="shared" si="2"/>
        <v>50</v>
      </c>
    </row>
    <row r="109" spans="1:10">
      <c r="A109" s="95">
        <v>45399</v>
      </c>
      <c r="B109" s="761" t="s">
        <v>8533</v>
      </c>
      <c r="C109" s="761" t="s">
        <v>8540</v>
      </c>
      <c r="D109" s="761" t="s">
        <v>8542</v>
      </c>
      <c r="E109" s="761" t="s">
        <v>8541</v>
      </c>
      <c r="F109">
        <v>80</v>
      </c>
      <c r="G109">
        <v>30</v>
      </c>
      <c r="H109">
        <f t="shared" si="2"/>
        <v>50</v>
      </c>
    </row>
    <row r="110" spans="1:10">
      <c r="A110" s="95">
        <v>45401</v>
      </c>
      <c r="B110" s="761" t="s">
        <v>8547</v>
      </c>
      <c r="C110" s="761" t="s">
        <v>8546</v>
      </c>
      <c r="D110" s="761" t="s">
        <v>8545</v>
      </c>
      <c r="E110" s="761" t="s">
        <v>8548</v>
      </c>
      <c r="F110">
        <v>80</v>
      </c>
      <c r="G110">
        <v>80</v>
      </c>
      <c r="H110">
        <f t="shared" si="2"/>
        <v>0</v>
      </c>
      <c r="I110" t="s">
        <v>39</v>
      </c>
      <c r="J110" s="95">
        <v>45406</v>
      </c>
    </row>
    <row r="111" spans="1:10">
      <c r="A111" s="95">
        <v>45401</v>
      </c>
      <c r="B111" s="761" t="s">
        <v>8547</v>
      </c>
      <c r="C111" s="761" t="s">
        <v>8549</v>
      </c>
      <c r="D111" s="761" t="s">
        <v>8550</v>
      </c>
      <c r="E111" s="761" t="s">
        <v>2596</v>
      </c>
      <c r="F111">
        <v>80</v>
      </c>
      <c r="G111">
        <v>80</v>
      </c>
      <c r="H111">
        <f t="shared" si="2"/>
        <v>0</v>
      </c>
      <c r="I111" t="s">
        <v>39</v>
      </c>
      <c r="J111" s="95">
        <v>45406</v>
      </c>
    </row>
    <row r="112" spans="1:10">
      <c r="A112" s="95">
        <v>45401</v>
      </c>
      <c r="B112" s="761" t="s">
        <v>8508</v>
      </c>
      <c r="C112" s="761" t="s">
        <v>8552</v>
      </c>
      <c r="D112" s="761" t="s">
        <v>8510</v>
      </c>
      <c r="E112" s="761" t="s">
        <v>8553</v>
      </c>
      <c r="F112">
        <v>80</v>
      </c>
      <c r="G112">
        <v>80</v>
      </c>
      <c r="H112">
        <f t="shared" si="2"/>
        <v>0</v>
      </c>
      <c r="I112" t="s">
        <v>39</v>
      </c>
      <c r="J112" s="95">
        <v>45406</v>
      </c>
    </row>
    <row r="113" spans="1:10">
      <c r="A113" s="95">
        <v>45406</v>
      </c>
      <c r="B113" s="761" t="s">
        <v>8559</v>
      </c>
      <c r="C113" s="761" t="s">
        <v>8560</v>
      </c>
      <c r="D113" s="761" t="s">
        <v>8562</v>
      </c>
      <c r="E113" s="761" t="s">
        <v>8561</v>
      </c>
      <c r="F113">
        <v>80</v>
      </c>
      <c r="G113">
        <v>30</v>
      </c>
      <c r="H113">
        <f t="shared" si="2"/>
        <v>50</v>
      </c>
    </row>
    <row r="114" spans="1:10">
      <c r="A114" s="95">
        <v>45406</v>
      </c>
      <c r="B114" s="761" t="s">
        <v>8563</v>
      </c>
      <c r="C114" s="761" t="s">
        <v>8564</v>
      </c>
      <c r="D114" s="761" t="s">
        <v>8566</v>
      </c>
      <c r="E114" s="761" t="s">
        <v>8565</v>
      </c>
      <c r="F114">
        <v>80</v>
      </c>
      <c r="G114">
        <v>80</v>
      </c>
      <c r="H114">
        <f t="shared" si="2"/>
        <v>0</v>
      </c>
      <c r="I114" t="s">
        <v>39</v>
      </c>
      <c r="J114" s="95">
        <v>45407</v>
      </c>
    </row>
    <row r="115" spans="1:10">
      <c r="A115" s="95">
        <v>45407</v>
      </c>
      <c r="B115" s="761" t="s">
        <v>8572</v>
      </c>
      <c r="C115" s="761" t="s">
        <v>8573</v>
      </c>
      <c r="D115" s="761" t="s">
        <v>8570</v>
      </c>
      <c r="E115" s="761" t="s">
        <v>8571</v>
      </c>
      <c r="F115">
        <v>80</v>
      </c>
      <c r="G115">
        <v>30</v>
      </c>
      <c r="H115">
        <f t="shared" si="2"/>
        <v>50</v>
      </c>
    </row>
    <row r="116" spans="1:10">
      <c r="A116" s="95">
        <v>45042</v>
      </c>
      <c r="B116" s="950" t="s">
        <v>8581</v>
      </c>
      <c r="C116" s="950" t="s">
        <v>8582</v>
      </c>
      <c r="D116" s="950" t="s">
        <v>8583</v>
      </c>
      <c r="E116" s="761" t="s">
        <v>8584</v>
      </c>
      <c r="F116">
        <v>80</v>
      </c>
      <c r="G116">
        <v>30</v>
      </c>
      <c r="H116">
        <f t="shared" si="2"/>
        <v>50</v>
      </c>
      <c r="I116" t="s">
        <v>100</v>
      </c>
    </row>
    <row r="117" spans="1:10">
      <c r="A117" s="95">
        <v>45042</v>
      </c>
      <c r="B117" s="950" t="s">
        <v>8585</v>
      </c>
      <c r="C117" s="950" t="s">
        <v>8586</v>
      </c>
      <c r="E117" s="761" t="s">
        <v>8587</v>
      </c>
      <c r="F117">
        <v>80</v>
      </c>
      <c r="G117">
        <v>30</v>
      </c>
      <c r="H117">
        <f t="shared" si="2"/>
        <v>50</v>
      </c>
    </row>
    <row r="118" spans="1:10">
      <c r="A118" s="587">
        <v>45413</v>
      </c>
      <c r="B118" s="1084" t="s">
        <v>8590</v>
      </c>
      <c r="C118" s="1084" t="s">
        <v>8591</v>
      </c>
      <c r="D118" s="1084" t="s">
        <v>8592</v>
      </c>
      <c r="E118" s="1084" t="s">
        <v>8593</v>
      </c>
      <c r="F118" s="253">
        <v>80</v>
      </c>
      <c r="G118" s="253">
        <f>30+50</f>
        <v>80</v>
      </c>
      <c r="H118" s="253">
        <f t="shared" si="2"/>
        <v>0</v>
      </c>
      <c r="I118" s="253" t="s">
        <v>39</v>
      </c>
      <c r="J118" s="587">
        <v>45501</v>
      </c>
    </row>
    <row r="119" spans="1:10">
      <c r="A119" s="95">
        <v>45416</v>
      </c>
      <c r="B119" s="761" t="s">
        <v>8609</v>
      </c>
      <c r="C119" s="761" t="s">
        <v>8610</v>
      </c>
      <c r="D119" s="761" t="s">
        <v>8611</v>
      </c>
      <c r="E119" s="761" t="s">
        <v>8612</v>
      </c>
      <c r="F119">
        <v>80</v>
      </c>
      <c r="G119">
        <v>80</v>
      </c>
      <c r="H119">
        <f t="shared" si="2"/>
        <v>0</v>
      </c>
      <c r="I119" t="s">
        <v>39</v>
      </c>
      <c r="J119" s="95">
        <v>45416</v>
      </c>
    </row>
    <row r="120" spans="1:10">
      <c r="A120" s="95">
        <v>45420</v>
      </c>
      <c r="B120" s="761" t="s">
        <v>8624</v>
      </c>
      <c r="C120" s="761" t="s">
        <v>8625</v>
      </c>
      <c r="D120" s="761" t="s">
        <v>8626</v>
      </c>
      <c r="E120" s="761" t="s">
        <v>8627</v>
      </c>
      <c r="F120">
        <v>80</v>
      </c>
      <c r="G120">
        <v>30</v>
      </c>
      <c r="H120">
        <f t="shared" si="2"/>
        <v>50</v>
      </c>
    </row>
    <row r="121" spans="1:10">
      <c r="A121" s="95">
        <v>45421</v>
      </c>
      <c r="B121" s="761" t="s">
        <v>8533</v>
      </c>
      <c r="C121" s="761" t="s">
        <v>8628</v>
      </c>
      <c r="D121" s="761" t="s">
        <v>8629</v>
      </c>
      <c r="E121" s="761" t="s">
        <v>8630</v>
      </c>
      <c r="F121">
        <v>80</v>
      </c>
      <c r="G121">
        <v>30</v>
      </c>
      <c r="H121">
        <f t="shared" si="2"/>
        <v>50</v>
      </c>
    </row>
    <row r="122" spans="1:10">
      <c r="A122" s="95">
        <v>45425</v>
      </c>
      <c r="B122" s="761" t="s">
        <v>8641</v>
      </c>
      <c r="C122" s="761" t="s">
        <v>8640</v>
      </c>
      <c r="D122" s="761" t="s">
        <v>8639</v>
      </c>
      <c r="E122" s="761" t="s">
        <v>8638</v>
      </c>
      <c r="F122">
        <v>80</v>
      </c>
      <c r="G122">
        <v>30</v>
      </c>
      <c r="H122">
        <f t="shared" si="2"/>
        <v>50</v>
      </c>
    </row>
    <row r="123" spans="1:10">
      <c r="A123" s="95">
        <v>45425</v>
      </c>
      <c r="B123" s="761" t="s">
        <v>8641</v>
      </c>
      <c r="C123" s="761" t="s">
        <v>8642</v>
      </c>
      <c r="D123" s="761" t="s">
        <v>8644</v>
      </c>
      <c r="E123" s="761" t="s">
        <v>8643</v>
      </c>
      <c r="F123">
        <v>80</v>
      </c>
      <c r="G123">
        <v>30</v>
      </c>
      <c r="H123">
        <f t="shared" si="2"/>
        <v>50</v>
      </c>
    </row>
    <row r="124" spans="1:10">
      <c r="A124" s="95">
        <v>45425</v>
      </c>
      <c r="B124" s="761" t="s">
        <v>8641</v>
      </c>
      <c r="H124">
        <f t="shared" si="2"/>
        <v>0</v>
      </c>
    </row>
    <row r="125" spans="1:10">
      <c r="A125" s="95">
        <v>45426</v>
      </c>
      <c r="B125" s="963" t="s">
        <v>8655</v>
      </c>
      <c r="C125" s="963" t="s">
        <v>8656</v>
      </c>
      <c r="D125" s="963" t="s">
        <v>8657</v>
      </c>
      <c r="E125" s="761" t="s">
        <v>8658</v>
      </c>
      <c r="F125">
        <v>80</v>
      </c>
      <c r="G125">
        <v>80</v>
      </c>
      <c r="H125">
        <f t="shared" si="2"/>
        <v>0</v>
      </c>
      <c r="I125" t="s">
        <v>39</v>
      </c>
      <c r="J125" s="95">
        <v>45428</v>
      </c>
    </row>
    <row r="126" spans="1:10">
      <c r="A126" s="95">
        <v>45426</v>
      </c>
      <c r="B126" s="963" t="s">
        <v>8655</v>
      </c>
      <c r="C126" s="963" t="s">
        <v>8659</v>
      </c>
      <c r="D126" s="963" t="s">
        <v>8657</v>
      </c>
      <c r="E126" s="761" t="s">
        <v>8660</v>
      </c>
      <c r="F126">
        <v>80</v>
      </c>
      <c r="G126">
        <v>80</v>
      </c>
      <c r="H126">
        <f t="shared" si="2"/>
        <v>0</v>
      </c>
      <c r="I126" t="s">
        <v>39</v>
      </c>
      <c r="J126" s="95">
        <v>45428</v>
      </c>
    </row>
    <row r="127" spans="1:10">
      <c r="A127" s="95">
        <v>45426</v>
      </c>
      <c r="B127" s="963" t="s">
        <v>8661</v>
      </c>
      <c r="C127" s="963" t="s">
        <v>8662</v>
      </c>
      <c r="D127" s="963" t="s">
        <v>1305</v>
      </c>
      <c r="E127" s="761" t="s">
        <v>8663</v>
      </c>
      <c r="F127">
        <v>80</v>
      </c>
      <c r="G127">
        <v>80</v>
      </c>
      <c r="H127">
        <f t="shared" si="2"/>
        <v>0</v>
      </c>
      <c r="I127" t="s">
        <v>39</v>
      </c>
      <c r="J127" s="95">
        <v>45427</v>
      </c>
    </row>
    <row r="128" spans="1:10">
      <c r="A128" s="95">
        <v>45426</v>
      </c>
      <c r="B128" s="963" t="s">
        <v>8661</v>
      </c>
      <c r="C128" s="963" t="s">
        <v>8664</v>
      </c>
      <c r="D128" s="963" t="s">
        <v>8666</v>
      </c>
      <c r="E128" s="761" t="s">
        <v>8665</v>
      </c>
      <c r="F128">
        <v>80</v>
      </c>
      <c r="G128">
        <v>80</v>
      </c>
      <c r="H128">
        <f t="shared" ref="H128:H148" si="3">F128-G128</f>
        <v>0</v>
      </c>
      <c r="I128" t="s">
        <v>39</v>
      </c>
      <c r="J128" s="95">
        <v>45427</v>
      </c>
    </row>
    <row r="129" spans="1:10">
      <c r="A129" s="95">
        <v>45427</v>
      </c>
      <c r="B129" s="761" t="s">
        <v>8667</v>
      </c>
      <c r="C129" s="761" t="s">
        <v>8693</v>
      </c>
      <c r="D129" s="761" t="s">
        <v>8668</v>
      </c>
      <c r="E129" s="761" t="s">
        <v>7905</v>
      </c>
      <c r="F129">
        <v>130</v>
      </c>
      <c r="G129">
        <f>30+100</f>
        <v>130</v>
      </c>
      <c r="H129">
        <f t="shared" si="3"/>
        <v>0</v>
      </c>
      <c r="I129" t="s">
        <v>39</v>
      </c>
      <c r="J129" s="95">
        <v>45429</v>
      </c>
    </row>
    <row r="130" spans="1:10">
      <c r="A130" s="95">
        <v>45427</v>
      </c>
      <c r="B130" s="761" t="s">
        <v>8669</v>
      </c>
      <c r="C130" s="761" t="s">
        <v>8670</v>
      </c>
      <c r="D130" s="761" t="s">
        <v>8671</v>
      </c>
      <c r="E130" s="761" t="s">
        <v>8672</v>
      </c>
      <c r="F130">
        <v>80</v>
      </c>
      <c r="G130">
        <v>80</v>
      </c>
      <c r="H130">
        <f t="shared" si="3"/>
        <v>0</v>
      </c>
      <c r="I130" t="s">
        <v>39</v>
      </c>
      <c r="J130" s="95">
        <v>45429</v>
      </c>
    </row>
    <row r="131" spans="1:10">
      <c r="A131" s="95">
        <v>45428</v>
      </c>
      <c r="B131" s="967" t="s">
        <v>8533</v>
      </c>
      <c r="C131" s="967" t="s">
        <v>8628</v>
      </c>
      <c r="D131" s="967" t="s">
        <v>8629</v>
      </c>
      <c r="E131" s="761" t="s">
        <v>8688</v>
      </c>
      <c r="F131">
        <v>80</v>
      </c>
      <c r="G131">
        <v>30</v>
      </c>
      <c r="H131">
        <f t="shared" si="3"/>
        <v>50</v>
      </c>
    </row>
    <row r="132" spans="1:10">
      <c r="A132" s="95">
        <v>45435</v>
      </c>
      <c r="B132" s="761" t="s">
        <v>8706</v>
      </c>
      <c r="C132" s="761" t="s">
        <v>8707</v>
      </c>
      <c r="E132" s="761" t="s">
        <v>8708</v>
      </c>
      <c r="F132">
        <v>130</v>
      </c>
      <c r="G132">
        <v>130</v>
      </c>
      <c r="H132">
        <f t="shared" si="3"/>
        <v>0</v>
      </c>
      <c r="I132" s="973" t="s">
        <v>39</v>
      </c>
      <c r="J132" s="95">
        <v>45435</v>
      </c>
    </row>
    <row r="133" spans="1:10">
      <c r="A133" s="95">
        <v>45435</v>
      </c>
      <c r="B133" s="761" t="s">
        <v>8706</v>
      </c>
      <c r="C133" s="761" t="s">
        <v>8709</v>
      </c>
      <c r="D133" s="761" t="s">
        <v>8710</v>
      </c>
      <c r="E133" s="761" t="s">
        <v>8711</v>
      </c>
      <c r="F133">
        <v>130</v>
      </c>
      <c r="G133">
        <v>130</v>
      </c>
      <c r="H133">
        <f t="shared" si="3"/>
        <v>0</v>
      </c>
      <c r="I133" s="973" t="s">
        <v>39</v>
      </c>
      <c r="J133" s="95">
        <v>45435</v>
      </c>
    </row>
    <row r="134" spans="1:10">
      <c r="A134" s="95">
        <v>45439</v>
      </c>
      <c r="B134" s="761" t="s">
        <v>8727</v>
      </c>
      <c r="C134" s="761" t="s">
        <v>8728</v>
      </c>
      <c r="D134" s="761" t="s">
        <v>8729</v>
      </c>
      <c r="E134" s="761" t="s">
        <v>8730</v>
      </c>
      <c r="F134">
        <v>80</v>
      </c>
      <c r="G134">
        <v>80</v>
      </c>
      <c r="H134">
        <f t="shared" si="3"/>
        <v>0</v>
      </c>
      <c r="I134" s="980" t="s">
        <v>39</v>
      </c>
      <c r="J134" s="95">
        <v>45439</v>
      </c>
    </row>
    <row r="135" spans="1:10">
      <c r="A135" s="95">
        <v>45439</v>
      </c>
      <c r="B135" s="761" t="s">
        <v>8734</v>
      </c>
      <c r="C135" s="761" t="s">
        <v>8735</v>
      </c>
      <c r="D135" s="761" t="s">
        <v>8736</v>
      </c>
      <c r="E135" s="761" t="s">
        <v>8737</v>
      </c>
      <c r="F135">
        <v>80</v>
      </c>
      <c r="G135">
        <f>30+50</f>
        <v>80</v>
      </c>
      <c r="H135">
        <f t="shared" si="3"/>
        <v>0</v>
      </c>
      <c r="I135" s="980" t="s">
        <v>39</v>
      </c>
      <c r="J135" s="95">
        <v>45441</v>
      </c>
    </row>
    <row r="136" spans="1:10">
      <c r="A136" s="95">
        <v>45439</v>
      </c>
      <c r="B136" s="761" t="s">
        <v>8740</v>
      </c>
      <c r="C136" s="761" t="s">
        <v>8739</v>
      </c>
      <c r="D136" s="761" t="s">
        <v>8738</v>
      </c>
      <c r="E136" s="761" t="s">
        <v>8741</v>
      </c>
      <c r="F136">
        <v>80</v>
      </c>
      <c r="G136">
        <f>30+50</f>
        <v>80</v>
      </c>
      <c r="H136">
        <f t="shared" si="3"/>
        <v>0</v>
      </c>
      <c r="I136" s="980" t="s">
        <v>39</v>
      </c>
      <c r="J136" s="95">
        <v>45807</v>
      </c>
    </row>
    <row r="137" spans="1:10">
      <c r="A137" s="95">
        <v>45442</v>
      </c>
      <c r="B137" s="984" t="s">
        <v>8750</v>
      </c>
      <c r="C137" s="984" t="s">
        <v>8751</v>
      </c>
      <c r="D137" s="761" t="s">
        <v>8748</v>
      </c>
      <c r="E137" s="983" t="s">
        <v>8749</v>
      </c>
      <c r="F137">
        <v>80</v>
      </c>
      <c r="G137">
        <v>80</v>
      </c>
      <c r="H137">
        <f t="shared" si="3"/>
        <v>0</v>
      </c>
      <c r="I137" s="980" t="s">
        <v>39</v>
      </c>
      <c r="J137" s="95">
        <v>45807</v>
      </c>
    </row>
    <row r="138" spans="1:10">
      <c r="A138" s="95">
        <v>45442</v>
      </c>
      <c r="B138" s="761" t="s">
        <v>8752</v>
      </c>
      <c r="C138" s="761" t="s">
        <v>8753</v>
      </c>
      <c r="D138" s="761" t="s">
        <v>8754</v>
      </c>
      <c r="E138" s="761" t="s">
        <v>7466</v>
      </c>
      <c r="F138">
        <v>80</v>
      </c>
      <c r="G138">
        <v>80</v>
      </c>
      <c r="H138">
        <f t="shared" si="3"/>
        <v>0</v>
      </c>
      <c r="I138" s="980" t="s">
        <v>39</v>
      </c>
      <c r="J138" s="95">
        <v>45444</v>
      </c>
    </row>
    <row r="139" spans="1:10">
      <c r="A139" s="95">
        <v>45443</v>
      </c>
      <c r="B139" s="761" t="s">
        <v>8755</v>
      </c>
      <c r="C139" s="761" t="s">
        <v>8769</v>
      </c>
      <c r="D139" s="761" t="s">
        <v>8756</v>
      </c>
      <c r="E139" s="761" t="s">
        <v>8757</v>
      </c>
      <c r="F139">
        <v>80</v>
      </c>
      <c r="G139">
        <v>30</v>
      </c>
      <c r="H139">
        <f t="shared" si="3"/>
        <v>50</v>
      </c>
      <c r="I139" t="s">
        <v>39</v>
      </c>
      <c r="J139" s="95">
        <v>45444</v>
      </c>
    </row>
    <row r="140" spans="1:10">
      <c r="A140" s="95">
        <v>45443</v>
      </c>
      <c r="B140" s="761" t="s">
        <v>8761</v>
      </c>
      <c r="D140" s="761" t="s">
        <v>8763</v>
      </c>
      <c r="E140" s="761" t="s">
        <v>8764</v>
      </c>
      <c r="F140">
        <v>80</v>
      </c>
      <c r="G140">
        <v>80</v>
      </c>
      <c r="H140">
        <f t="shared" si="3"/>
        <v>0</v>
      </c>
      <c r="I140" t="s">
        <v>39</v>
      </c>
      <c r="J140" s="95">
        <v>45444</v>
      </c>
    </row>
    <row r="141" spans="1:10">
      <c r="A141" s="95">
        <v>45443</v>
      </c>
      <c r="B141" s="761" t="s">
        <v>8761</v>
      </c>
      <c r="D141" s="761" t="s">
        <v>8762</v>
      </c>
      <c r="E141" s="761" t="s">
        <v>4044</v>
      </c>
      <c r="F141">
        <v>80</v>
      </c>
      <c r="G141">
        <v>80</v>
      </c>
      <c r="H141">
        <f t="shared" si="3"/>
        <v>0</v>
      </c>
      <c r="I141" t="s">
        <v>39</v>
      </c>
      <c r="J141" s="95">
        <v>45444</v>
      </c>
    </row>
    <row r="142" spans="1:10">
      <c r="A142" s="95">
        <v>45443</v>
      </c>
      <c r="B142" s="761" t="s">
        <v>8765</v>
      </c>
      <c r="D142" s="986" t="s">
        <v>8768</v>
      </c>
      <c r="E142" s="761" t="s">
        <v>8766</v>
      </c>
      <c r="F142">
        <v>80</v>
      </c>
      <c r="G142">
        <v>80</v>
      </c>
      <c r="H142">
        <f t="shared" si="3"/>
        <v>0</v>
      </c>
      <c r="I142" t="s">
        <v>39</v>
      </c>
      <c r="J142" s="95">
        <v>45444</v>
      </c>
    </row>
    <row r="143" spans="1:10">
      <c r="A143" s="95">
        <v>45443</v>
      </c>
      <c r="B143" s="761" t="s">
        <v>8765</v>
      </c>
      <c r="D143" s="986" t="s">
        <v>8768</v>
      </c>
      <c r="E143" s="761" t="s">
        <v>8767</v>
      </c>
      <c r="F143">
        <v>80</v>
      </c>
      <c r="G143">
        <v>80</v>
      </c>
      <c r="H143">
        <f t="shared" si="3"/>
        <v>0</v>
      </c>
      <c r="I143" t="s">
        <v>39</v>
      </c>
      <c r="J143" s="95">
        <v>45444</v>
      </c>
    </row>
    <row r="144" spans="1:10">
      <c r="A144" s="95">
        <v>45444</v>
      </c>
      <c r="B144" s="761" t="s">
        <v>8770</v>
      </c>
      <c r="D144" s="761" t="s">
        <v>8771</v>
      </c>
      <c r="E144" s="761" t="s">
        <v>8772</v>
      </c>
      <c r="F144">
        <v>80</v>
      </c>
      <c r="G144">
        <v>80</v>
      </c>
      <c r="H144">
        <f t="shared" si="3"/>
        <v>0</v>
      </c>
      <c r="I144" t="s">
        <v>39</v>
      </c>
      <c r="J144" s="95">
        <v>45445</v>
      </c>
    </row>
    <row r="145" spans="1:10">
      <c r="A145" s="95">
        <v>45446</v>
      </c>
      <c r="B145" s="988" t="s">
        <v>8774</v>
      </c>
      <c r="D145" s="988" t="s">
        <v>8775</v>
      </c>
      <c r="E145" s="761" t="s">
        <v>8776</v>
      </c>
      <c r="F145">
        <v>80</v>
      </c>
      <c r="G145">
        <v>80</v>
      </c>
      <c r="H145">
        <f t="shared" si="3"/>
        <v>0</v>
      </c>
      <c r="I145" t="s">
        <v>39</v>
      </c>
      <c r="J145" s="95">
        <v>45446</v>
      </c>
    </row>
    <row r="146" spans="1:10">
      <c r="A146" s="95">
        <v>45447</v>
      </c>
      <c r="B146" s="761" t="s">
        <v>8777</v>
      </c>
      <c r="D146" s="989" t="s">
        <v>8778</v>
      </c>
      <c r="E146" s="761" t="s">
        <v>8779</v>
      </c>
      <c r="F146">
        <v>80</v>
      </c>
      <c r="G146">
        <v>80</v>
      </c>
      <c r="H146">
        <f t="shared" si="3"/>
        <v>0</v>
      </c>
    </row>
    <row r="147" spans="1:10">
      <c r="A147" s="95">
        <v>45449</v>
      </c>
      <c r="B147" s="761" t="s">
        <v>8781</v>
      </c>
      <c r="D147" s="761" t="s">
        <v>8782</v>
      </c>
      <c r="E147" s="992" t="s">
        <v>8786</v>
      </c>
      <c r="F147">
        <v>80</v>
      </c>
      <c r="G147">
        <v>80</v>
      </c>
      <c r="H147">
        <f t="shared" si="3"/>
        <v>0</v>
      </c>
      <c r="I147" s="993" t="s">
        <v>39</v>
      </c>
      <c r="J147" s="95">
        <v>45449</v>
      </c>
    </row>
    <row r="148" spans="1:10">
      <c r="A148" s="95">
        <v>45449</v>
      </c>
      <c r="B148" s="992" t="s">
        <v>8783</v>
      </c>
      <c r="D148" s="992" t="s">
        <v>8784</v>
      </c>
      <c r="E148" s="992" t="s">
        <v>8785</v>
      </c>
      <c r="F148">
        <v>80</v>
      </c>
      <c r="G148">
        <v>80</v>
      </c>
      <c r="H148">
        <f t="shared" si="3"/>
        <v>0</v>
      </c>
      <c r="I148" s="993" t="s">
        <v>39</v>
      </c>
      <c r="J148" s="95">
        <v>45449</v>
      </c>
    </row>
    <row r="149" spans="1:10">
      <c r="A149" s="95">
        <v>45449</v>
      </c>
      <c r="B149" s="761" t="s">
        <v>8781</v>
      </c>
      <c r="D149" s="761" t="s">
        <v>8782</v>
      </c>
      <c r="E149" s="992" t="s">
        <v>8787</v>
      </c>
      <c r="F149">
        <v>80</v>
      </c>
      <c r="G149">
        <v>80</v>
      </c>
      <c r="H149">
        <f t="shared" ref="H149:H167" si="4">F149-G149</f>
        <v>0</v>
      </c>
      <c r="I149" s="993" t="s">
        <v>39</v>
      </c>
      <c r="J149" s="95">
        <v>45449</v>
      </c>
    </row>
    <row r="150" spans="1:10">
      <c r="A150" s="95">
        <v>45449</v>
      </c>
      <c r="B150" s="761" t="s">
        <v>8781</v>
      </c>
      <c r="D150" s="761" t="s">
        <v>8782</v>
      </c>
      <c r="E150" s="992" t="s">
        <v>8788</v>
      </c>
      <c r="F150">
        <v>80</v>
      </c>
      <c r="G150">
        <v>80</v>
      </c>
      <c r="H150">
        <f t="shared" si="4"/>
        <v>0</v>
      </c>
      <c r="I150" s="993" t="s">
        <v>39</v>
      </c>
      <c r="J150" s="95">
        <v>45449</v>
      </c>
    </row>
    <row r="151" spans="1:10">
      <c r="A151" s="95">
        <v>45449</v>
      </c>
      <c r="B151" s="761" t="s">
        <v>8781</v>
      </c>
      <c r="D151" s="761" t="s">
        <v>8782</v>
      </c>
      <c r="E151" s="983" t="s">
        <v>8789</v>
      </c>
      <c r="F151">
        <v>80</v>
      </c>
      <c r="G151">
        <v>80</v>
      </c>
      <c r="H151">
        <f t="shared" si="4"/>
        <v>0</v>
      </c>
      <c r="I151" s="993" t="s">
        <v>39</v>
      </c>
      <c r="J151" s="95">
        <v>45449</v>
      </c>
    </row>
    <row r="152" spans="1:10">
      <c r="A152" s="95">
        <v>45451</v>
      </c>
      <c r="B152" s="997" t="s">
        <v>8800</v>
      </c>
      <c r="D152" s="997" t="s">
        <v>8799</v>
      </c>
      <c r="E152" s="983" t="s">
        <v>8798</v>
      </c>
      <c r="F152">
        <v>80</v>
      </c>
      <c r="G152">
        <v>30</v>
      </c>
      <c r="H152">
        <f t="shared" si="4"/>
        <v>50</v>
      </c>
    </row>
    <row r="153" spans="1:10">
      <c r="A153" s="95">
        <v>45462</v>
      </c>
      <c r="B153" s="761" t="s">
        <v>8817</v>
      </c>
      <c r="D153" s="761" t="s">
        <v>8818</v>
      </c>
      <c r="E153" s="1003" t="s">
        <v>8819</v>
      </c>
      <c r="F153">
        <v>80</v>
      </c>
      <c r="G153">
        <v>80</v>
      </c>
      <c r="H153">
        <f t="shared" si="4"/>
        <v>0</v>
      </c>
      <c r="I153" s="1010" t="s">
        <v>39</v>
      </c>
      <c r="J153" s="95">
        <v>45464</v>
      </c>
    </row>
    <row r="154" spans="1:10">
      <c r="A154" s="95">
        <v>45462</v>
      </c>
      <c r="B154" s="761" t="s">
        <v>8817</v>
      </c>
      <c r="D154" s="761" t="s">
        <v>8821</v>
      </c>
      <c r="E154" s="1003" t="s">
        <v>8820</v>
      </c>
      <c r="F154">
        <v>80</v>
      </c>
      <c r="G154">
        <v>80</v>
      </c>
      <c r="H154">
        <f t="shared" si="4"/>
        <v>0</v>
      </c>
      <c r="I154" s="1010" t="s">
        <v>39</v>
      </c>
      <c r="J154" s="95">
        <v>45464</v>
      </c>
    </row>
    <row r="155" spans="1:10">
      <c r="A155" s="95">
        <v>45465</v>
      </c>
      <c r="B155" s="1011" t="s">
        <v>8839</v>
      </c>
      <c r="D155" s="1011" t="s">
        <v>8840</v>
      </c>
      <c r="E155" s="1011" t="s">
        <v>8841</v>
      </c>
      <c r="F155">
        <v>80</v>
      </c>
      <c r="G155">
        <v>80</v>
      </c>
      <c r="H155">
        <f t="shared" si="4"/>
        <v>0</v>
      </c>
      <c r="I155" s="1010" t="s">
        <v>39</v>
      </c>
      <c r="J155" s="95">
        <v>45468</v>
      </c>
    </row>
    <row r="156" spans="1:10">
      <c r="A156" s="95">
        <v>45465</v>
      </c>
      <c r="B156" s="1011" t="s">
        <v>8839</v>
      </c>
      <c r="D156" s="1011" t="s">
        <v>8840</v>
      </c>
      <c r="E156" s="1011" t="s">
        <v>8842</v>
      </c>
      <c r="F156">
        <v>80</v>
      </c>
      <c r="G156">
        <v>80</v>
      </c>
      <c r="H156">
        <f t="shared" si="4"/>
        <v>0</v>
      </c>
      <c r="I156" s="1010" t="s">
        <v>39</v>
      </c>
      <c r="J156" s="95">
        <v>45468</v>
      </c>
    </row>
    <row r="157" spans="1:10">
      <c r="A157" s="95">
        <v>45465</v>
      </c>
      <c r="B157" s="1011" t="s">
        <v>8839</v>
      </c>
      <c r="D157" s="1011" t="s">
        <v>8840</v>
      </c>
      <c r="E157" s="1011" t="s">
        <v>8843</v>
      </c>
      <c r="F157">
        <v>80</v>
      </c>
      <c r="G157">
        <v>80</v>
      </c>
      <c r="H157">
        <f t="shared" si="4"/>
        <v>0</v>
      </c>
      <c r="I157" s="1010" t="s">
        <v>39</v>
      </c>
      <c r="J157" s="95">
        <v>45468</v>
      </c>
    </row>
    <row r="158" spans="1:10">
      <c r="A158" s="95">
        <v>45465</v>
      </c>
      <c r="B158" s="761" t="s">
        <v>8844</v>
      </c>
      <c r="D158" s="761" t="s">
        <v>8845</v>
      </c>
      <c r="E158" s="1012" t="s">
        <v>6207</v>
      </c>
      <c r="F158">
        <v>80</v>
      </c>
      <c r="G158">
        <v>80</v>
      </c>
      <c r="H158">
        <f t="shared" si="4"/>
        <v>0</v>
      </c>
      <c r="I158" s="1019" t="s">
        <v>39</v>
      </c>
      <c r="J158" s="95">
        <v>45469</v>
      </c>
    </row>
    <row r="159" spans="1:10">
      <c r="A159" s="95">
        <v>45465</v>
      </c>
      <c r="B159" s="761" t="s">
        <v>8844</v>
      </c>
      <c r="D159" s="761" t="s">
        <v>8846</v>
      </c>
      <c r="E159" s="1012" t="s">
        <v>3980</v>
      </c>
      <c r="F159">
        <v>80</v>
      </c>
      <c r="G159">
        <v>80</v>
      </c>
      <c r="H159">
        <f t="shared" si="4"/>
        <v>0</v>
      </c>
      <c r="I159" s="1019" t="s">
        <v>39</v>
      </c>
      <c r="J159" s="95">
        <v>45469</v>
      </c>
    </row>
    <row r="160" spans="1:10">
      <c r="A160" s="95">
        <v>45465</v>
      </c>
      <c r="B160" s="761" t="s">
        <v>8844</v>
      </c>
      <c r="D160" s="761" t="s">
        <v>8847</v>
      </c>
      <c r="E160" s="1012" t="s">
        <v>286</v>
      </c>
      <c r="F160">
        <v>80</v>
      </c>
      <c r="G160">
        <v>30</v>
      </c>
      <c r="H160">
        <f t="shared" si="4"/>
        <v>50</v>
      </c>
      <c r="I160" s="1019"/>
    </row>
    <row r="161" spans="1:10">
      <c r="A161" s="95">
        <v>45466</v>
      </c>
      <c r="B161" s="1014" t="s">
        <v>8854</v>
      </c>
      <c r="D161" s="1014" t="s">
        <v>8852</v>
      </c>
      <c r="E161" s="1014" t="s">
        <v>8853</v>
      </c>
      <c r="F161">
        <v>80</v>
      </c>
      <c r="G161">
        <v>80</v>
      </c>
      <c r="H161">
        <f t="shared" si="4"/>
        <v>0</v>
      </c>
      <c r="I161" s="1018" t="s">
        <v>39</v>
      </c>
      <c r="J161" s="95">
        <v>45468</v>
      </c>
    </row>
    <row r="162" spans="1:10">
      <c r="A162" s="95">
        <v>45466</v>
      </c>
      <c r="B162" s="1014" t="s">
        <v>8854</v>
      </c>
      <c r="D162" s="1014" t="s">
        <v>8852</v>
      </c>
      <c r="E162" s="1014" t="s">
        <v>8855</v>
      </c>
      <c r="F162">
        <v>80</v>
      </c>
      <c r="G162">
        <v>80</v>
      </c>
      <c r="H162">
        <f t="shared" si="4"/>
        <v>0</v>
      </c>
      <c r="I162" s="1018" t="s">
        <v>39</v>
      </c>
      <c r="J162" s="95">
        <v>45468</v>
      </c>
    </row>
    <row r="163" spans="1:10">
      <c r="A163" s="95">
        <v>45466</v>
      </c>
      <c r="B163" s="1014" t="s">
        <v>8854</v>
      </c>
      <c r="D163" s="1014" t="s">
        <v>8856</v>
      </c>
      <c r="E163" s="1014" t="s">
        <v>8857</v>
      </c>
      <c r="F163">
        <v>80</v>
      </c>
      <c r="G163">
        <v>80</v>
      </c>
      <c r="H163">
        <f t="shared" si="4"/>
        <v>0</v>
      </c>
      <c r="I163" s="1018" t="s">
        <v>39</v>
      </c>
      <c r="J163" s="95">
        <v>45468</v>
      </c>
    </row>
    <row r="164" spans="1:10">
      <c r="A164" s="95">
        <v>45466</v>
      </c>
      <c r="B164" s="1014" t="s">
        <v>8854</v>
      </c>
      <c r="D164" s="1014" t="s">
        <v>8858</v>
      </c>
      <c r="E164" s="1024" t="s">
        <v>8859</v>
      </c>
      <c r="F164">
        <v>80</v>
      </c>
      <c r="G164">
        <v>80</v>
      </c>
      <c r="H164">
        <f t="shared" si="4"/>
        <v>0</v>
      </c>
      <c r="I164" s="1018" t="s">
        <v>39</v>
      </c>
      <c r="J164" s="95">
        <v>45468</v>
      </c>
    </row>
    <row r="165" spans="1:10">
      <c r="A165" s="95">
        <v>45467</v>
      </c>
      <c r="B165" s="761" t="s">
        <v>8860</v>
      </c>
      <c r="D165" s="761" t="s">
        <v>8862</v>
      </c>
      <c r="E165" s="1024" t="s">
        <v>8861</v>
      </c>
      <c r="F165">
        <v>80</v>
      </c>
      <c r="G165">
        <v>30</v>
      </c>
      <c r="H165">
        <f t="shared" si="4"/>
        <v>50</v>
      </c>
    </row>
    <row r="166" spans="1:10">
      <c r="A166" s="95">
        <v>45469</v>
      </c>
      <c r="B166" s="1020" t="s">
        <v>8866</v>
      </c>
      <c r="D166" s="1020" t="s">
        <v>8869</v>
      </c>
      <c r="E166" s="1024" t="s">
        <v>8867</v>
      </c>
      <c r="F166">
        <v>80</v>
      </c>
      <c r="G166">
        <v>80</v>
      </c>
      <c r="H166">
        <f t="shared" si="4"/>
        <v>0</v>
      </c>
      <c r="I166" s="1018" t="s">
        <v>39</v>
      </c>
      <c r="J166" s="95">
        <v>45470</v>
      </c>
    </row>
    <row r="167" spans="1:10">
      <c r="A167" s="95">
        <v>45469</v>
      </c>
      <c r="B167" s="1020" t="s">
        <v>8866</v>
      </c>
      <c r="D167" s="1020" t="s">
        <v>8869</v>
      </c>
      <c r="E167" s="1024" t="s">
        <v>8868</v>
      </c>
      <c r="F167">
        <v>80</v>
      </c>
      <c r="G167">
        <v>80</v>
      </c>
      <c r="H167">
        <f t="shared" si="4"/>
        <v>0</v>
      </c>
      <c r="I167" s="1018" t="s">
        <v>39</v>
      </c>
      <c r="J167" s="95">
        <v>45470</v>
      </c>
    </row>
    <row r="168" spans="1:10">
      <c r="A168" s="95">
        <v>45469</v>
      </c>
      <c r="B168" s="1021" t="s">
        <v>8872</v>
      </c>
      <c r="D168" s="1021" t="s">
        <v>8874</v>
      </c>
      <c r="E168" s="1024" t="s">
        <v>8873</v>
      </c>
      <c r="F168">
        <v>80</v>
      </c>
      <c r="G168">
        <v>80</v>
      </c>
      <c r="H168">
        <f t="shared" ref="H168:H198" si="5">F168-G168</f>
        <v>0</v>
      </c>
      <c r="I168" s="1018" t="s">
        <v>39</v>
      </c>
      <c r="J168" s="95">
        <v>45470</v>
      </c>
    </row>
    <row r="169" spans="1:10">
      <c r="A169" s="95">
        <v>45470</v>
      </c>
      <c r="B169" s="761" t="s">
        <v>8877</v>
      </c>
      <c r="D169" s="761" t="s">
        <v>8879</v>
      </c>
      <c r="E169" s="1024" t="s">
        <v>8878</v>
      </c>
      <c r="F169">
        <v>80</v>
      </c>
      <c r="G169">
        <v>80</v>
      </c>
      <c r="H169">
        <f t="shared" si="5"/>
        <v>0</v>
      </c>
      <c r="I169" s="1018" t="s">
        <v>39</v>
      </c>
    </row>
    <row r="170" spans="1:10">
      <c r="A170" s="95">
        <v>45471</v>
      </c>
      <c r="B170" s="761" t="s">
        <v>8881</v>
      </c>
      <c r="D170" s="761" t="s">
        <v>8883</v>
      </c>
      <c r="E170" s="1024" t="s">
        <v>8882</v>
      </c>
      <c r="F170">
        <v>80</v>
      </c>
      <c r="G170">
        <v>80</v>
      </c>
      <c r="H170">
        <f t="shared" si="5"/>
        <v>0</v>
      </c>
      <c r="I170" s="1018" t="s">
        <v>39</v>
      </c>
      <c r="J170" s="95">
        <v>45485</v>
      </c>
    </row>
    <row r="171" spans="1:10">
      <c r="A171" s="95">
        <v>45471</v>
      </c>
      <c r="B171" s="1026" t="s">
        <v>8885</v>
      </c>
      <c r="D171" s="1026" t="s">
        <v>8886</v>
      </c>
      <c r="E171" s="1024" t="s">
        <v>8884</v>
      </c>
      <c r="F171">
        <v>120</v>
      </c>
      <c r="G171">
        <v>120</v>
      </c>
      <c r="H171">
        <f t="shared" si="5"/>
        <v>0</v>
      </c>
      <c r="I171" s="1018" t="s">
        <v>39</v>
      </c>
      <c r="J171" s="95">
        <v>45472</v>
      </c>
    </row>
    <row r="172" spans="1:10">
      <c r="A172" s="95">
        <v>45471</v>
      </c>
      <c r="B172" s="1026" t="s">
        <v>8885</v>
      </c>
      <c r="D172" s="1026" t="s">
        <v>8886</v>
      </c>
      <c r="E172" s="1024" t="s">
        <v>8887</v>
      </c>
      <c r="F172">
        <v>120</v>
      </c>
      <c r="G172">
        <v>120</v>
      </c>
      <c r="H172">
        <f t="shared" si="5"/>
        <v>0</v>
      </c>
      <c r="I172" s="1018" t="s">
        <v>39</v>
      </c>
      <c r="J172" s="95">
        <v>45472</v>
      </c>
    </row>
    <row r="173" spans="1:10">
      <c r="A173" s="95">
        <v>45472</v>
      </c>
      <c r="B173" s="761" t="s">
        <v>8891</v>
      </c>
      <c r="D173" s="761" t="s">
        <v>8889</v>
      </c>
      <c r="E173" s="1024" t="s">
        <v>8888</v>
      </c>
      <c r="F173">
        <v>80</v>
      </c>
      <c r="G173">
        <v>80</v>
      </c>
      <c r="H173">
        <f t="shared" si="5"/>
        <v>0</v>
      </c>
      <c r="I173" s="1018" t="s">
        <v>39</v>
      </c>
      <c r="J173" s="95">
        <v>45473</v>
      </c>
    </row>
    <row r="174" spans="1:10">
      <c r="A174" s="95">
        <v>45472</v>
      </c>
      <c r="B174" s="761" t="s">
        <v>8891</v>
      </c>
      <c r="D174" s="761" t="s">
        <v>8889</v>
      </c>
      <c r="E174" s="1024" t="s">
        <v>8890</v>
      </c>
      <c r="F174">
        <v>80</v>
      </c>
      <c r="G174">
        <v>80</v>
      </c>
      <c r="H174">
        <f t="shared" si="5"/>
        <v>0</v>
      </c>
      <c r="I174" s="1018" t="s">
        <v>39</v>
      </c>
      <c r="J174" s="95">
        <v>45473</v>
      </c>
    </row>
    <row r="175" spans="1:10">
      <c r="A175" s="95">
        <v>45473</v>
      </c>
      <c r="B175" s="761" t="s">
        <v>8891</v>
      </c>
      <c r="D175" s="761" t="s">
        <v>8889</v>
      </c>
      <c r="E175" s="1024" t="s">
        <v>8893</v>
      </c>
      <c r="F175">
        <v>80</v>
      </c>
      <c r="G175">
        <v>80</v>
      </c>
      <c r="H175">
        <f t="shared" si="5"/>
        <v>0</v>
      </c>
      <c r="I175" s="1018" t="s">
        <v>39</v>
      </c>
      <c r="J175" s="95">
        <v>45473</v>
      </c>
    </row>
    <row r="176" spans="1:10">
      <c r="A176" s="95">
        <v>45473</v>
      </c>
      <c r="B176" s="1020" t="s">
        <v>8866</v>
      </c>
      <c r="D176" s="1020" t="s">
        <v>8869</v>
      </c>
      <c r="E176" s="1024" t="s">
        <v>8894</v>
      </c>
      <c r="F176">
        <v>80</v>
      </c>
      <c r="G176">
        <f>30+50</f>
        <v>80</v>
      </c>
      <c r="H176">
        <f t="shared" si="5"/>
        <v>0</v>
      </c>
      <c r="I176" s="1018" t="s">
        <v>39</v>
      </c>
      <c r="J176" s="95">
        <v>45475</v>
      </c>
    </row>
    <row r="177" spans="1:10">
      <c r="A177" s="95">
        <v>45473</v>
      </c>
      <c r="B177" s="1020" t="s">
        <v>8866</v>
      </c>
      <c r="D177" s="1020" t="s">
        <v>8869</v>
      </c>
      <c r="E177" s="1024" t="s">
        <v>8895</v>
      </c>
      <c r="F177">
        <v>80</v>
      </c>
      <c r="G177">
        <f>30+50</f>
        <v>80</v>
      </c>
      <c r="H177">
        <f t="shared" si="5"/>
        <v>0</v>
      </c>
      <c r="I177" s="1018" t="s">
        <v>39</v>
      </c>
      <c r="J177" s="95">
        <v>45475</v>
      </c>
    </row>
    <row r="178" spans="1:10">
      <c r="A178" s="95">
        <v>45473</v>
      </c>
      <c r="B178" s="761" t="s">
        <v>8896</v>
      </c>
      <c r="D178" s="761" t="s">
        <v>8897</v>
      </c>
      <c r="E178" s="1024" t="s">
        <v>8898</v>
      </c>
      <c r="F178">
        <v>80</v>
      </c>
      <c r="G178">
        <f>30+50</f>
        <v>80</v>
      </c>
      <c r="H178">
        <f t="shared" si="5"/>
        <v>0</v>
      </c>
      <c r="I178" t="s">
        <v>39</v>
      </c>
      <c r="J178" s="95">
        <v>45474</v>
      </c>
    </row>
    <row r="179" spans="1:10">
      <c r="A179" s="95">
        <v>45477</v>
      </c>
      <c r="B179" s="761" t="s">
        <v>8913</v>
      </c>
      <c r="D179" s="761" t="s">
        <v>8915</v>
      </c>
      <c r="E179" s="1024" t="s">
        <v>8914</v>
      </c>
      <c r="F179">
        <v>80</v>
      </c>
      <c r="G179">
        <f t="shared" ref="G179:G180" si="6">30+50</f>
        <v>80</v>
      </c>
      <c r="H179">
        <f t="shared" si="5"/>
        <v>0</v>
      </c>
      <c r="I179" t="s">
        <v>39</v>
      </c>
    </row>
    <row r="180" spans="1:10">
      <c r="A180" s="95">
        <v>45477</v>
      </c>
      <c r="B180" s="761" t="s">
        <v>8913</v>
      </c>
      <c r="D180" s="761" t="s">
        <v>8915</v>
      </c>
      <c r="E180" s="1024" t="s">
        <v>8916</v>
      </c>
      <c r="F180">
        <v>80</v>
      </c>
      <c r="G180">
        <f t="shared" si="6"/>
        <v>80</v>
      </c>
      <c r="H180">
        <f t="shared" si="5"/>
        <v>0</v>
      </c>
      <c r="I180" t="s">
        <v>39</v>
      </c>
    </row>
    <row r="181" spans="1:10">
      <c r="A181" s="95">
        <v>45478</v>
      </c>
      <c r="B181" s="1032" t="s">
        <v>8919</v>
      </c>
      <c r="D181" s="1032" t="s">
        <v>8920</v>
      </c>
      <c r="E181" s="1024" t="s">
        <v>8921</v>
      </c>
      <c r="F181">
        <v>80</v>
      </c>
      <c r="G181">
        <v>80</v>
      </c>
      <c r="H181">
        <f t="shared" si="5"/>
        <v>0</v>
      </c>
      <c r="I181" t="s">
        <v>39</v>
      </c>
    </row>
    <row r="182" spans="1:10">
      <c r="A182" s="95">
        <v>45482</v>
      </c>
      <c r="B182" s="761" t="s">
        <v>8933</v>
      </c>
      <c r="D182" s="761" t="s">
        <v>8934</v>
      </c>
      <c r="E182" s="1037" t="s">
        <v>2026</v>
      </c>
      <c r="F182">
        <v>80</v>
      </c>
      <c r="G182">
        <v>80</v>
      </c>
      <c r="H182">
        <f t="shared" si="5"/>
        <v>0</v>
      </c>
      <c r="I182" t="s">
        <v>39</v>
      </c>
      <c r="J182" s="95">
        <v>45485</v>
      </c>
    </row>
    <row r="183" spans="1:10">
      <c r="A183" s="95">
        <v>45483</v>
      </c>
      <c r="B183" s="761" t="s">
        <v>8935</v>
      </c>
      <c r="D183" s="761" t="s">
        <v>8936</v>
      </c>
      <c r="E183" s="1040" t="s">
        <v>8942</v>
      </c>
      <c r="F183">
        <v>80</v>
      </c>
      <c r="G183">
        <v>80</v>
      </c>
      <c r="H183">
        <f t="shared" si="5"/>
        <v>0</v>
      </c>
      <c r="I183" s="1043" t="s">
        <v>39</v>
      </c>
      <c r="J183" s="95">
        <v>45485</v>
      </c>
    </row>
    <row r="184" spans="1:10">
      <c r="A184" s="95">
        <v>45483</v>
      </c>
      <c r="B184" s="761" t="s">
        <v>8937</v>
      </c>
      <c r="D184" s="761" t="s">
        <v>8939</v>
      </c>
      <c r="E184" s="1038" t="s">
        <v>8938</v>
      </c>
      <c r="F184">
        <v>80</v>
      </c>
      <c r="G184">
        <v>50</v>
      </c>
      <c r="H184">
        <f t="shared" si="5"/>
        <v>30</v>
      </c>
    </row>
    <row r="185" spans="1:10">
      <c r="A185" s="95">
        <v>45483</v>
      </c>
      <c r="B185" s="761" t="s">
        <v>8940</v>
      </c>
      <c r="D185" s="761" t="s">
        <v>8941</v>
      </c>
      <c r="E185" s="1039" t="s">
        <v>7148</v>
      </c>
      <c r="F185">
        <v>80</v>
      </c>
      <c r="G185">
        <v>50</v>
      </c>
      <c r="H185">
        <f t="shared" si="5"/>
        <v>30</v>
      </c>
    </row>
    <row r="186" spans="1:10">
      <c r="A186" s="95">
        <v>45485</v>
      </c>
      <c r="B186" s="761" t="s">
        <v>8943</v>
      </c>
      <c r="D186" s="761" t="s">
        <v>8944</v>
      </c>
      <c r="E186" s="1041" t="s">
        <v>8945</v>
      </c>
      <c r="F186">
        <v>80</v>
      </c>
      <c r="G186">
        <v>80</v>
      </c>
      <c r="H186">
        <f t="shared" si="5"/>
        <v>0</v>
      </c>
      <c r="I186" s="1043" t="s">
        <v>8951</v>
      </c>
      <c r="J186" s="95">
        <v>45485</v>
      </c>
    </row>
    <row r="187" spans="1:10">
      <c r="A187" s="95">
        <v>45486</v>
      </c>
      <c r="B187" s="761" t="s">
        <v>8952</v>
      </c>
      <c r="D187" s="761" t="s">
        <v>9108</v>
      </c>
      <c r="E187" s="1044" t="s">
        <v>8953</v>
      </c>
      <c r="F187">
        <v>80</v>
      </c>
      <c r="G187">
        <v>80</v>
      </c>
      <c r="H187">
        <f t="shared" si="5"/>
        <v>0</v>
      </c>
      <c r="I187" s="1043" t="s">
        <v>8951</v>
      </c>
      <c r="J187" s="95">
        <v>45513</v>
      </c>
    </row>
    <row r="188" spans="1:10">
      <c r="A188" s="95">
        <v>45486</v>
      </c>
      <c r="B188" s="761" t="s">
        <v>8943</v>
      </c>
      <c r="D188" s="761" t="s">
        <v>8944</v>
      </c>
      <c r="E188" s="1044" t="s">
        <v>8954</v>
      </c>
      <c r="F188">
        <v>80</v>
      </c>
      <c r="G188">
        <v>0</v>
      </c>
      <c r="H188">
        <f t="shared" si="5"/>
        <v>80</v>
      </c>
    </row>
    <row r="189" spans="1:10">
      <c r="A189" s="95">
        <v>45486</v>
      </c>
      <c r="B189" s="1044" t="s">
        <v>8955</v>
      </c>
      <c r="D189" s="1044" t="s">
        <v>8957</v>
      </c>
      <c r="E189" s="1044" t="s">
        <v>8956</v>
      </c>
      <c r="F189">
        <v>80</v>
      </c>
      <c r="G189">
        <v>30</v>
      </c>
      <c r="H189">
        <f t="shared" si="5"/>
        <v>50</v>
      </c>
    </row>
    <row r="190" spans="1:10">
      <c r="A190" s="95">
        <v>45486</v>
      </c>
      <c r="B190" s="1044" t="s">
        <v>8955</v>
      </c>
      <c r="D190" s="1044" t="s">
        <v>8959</v>
      </c>
      <c r="E190" s="1044" t="s">
        <v>8958</v>
      </c>
      <c r="F190">
        <v>80</v>
      </c>
      <c r="G190">
        <v>30</v>
      </c>
      <c r="H190">
        <f t="shared" si="5"/>
        <v>50</v>
      </c>
    </row>
    <row r="191" spans="1:10">
      <c r="A191" s="95">
        <v>45486</v>
      </c>
      <c r="B191" s="1044" t="s">
        <v>8955</v>
      </c>
      <c r="D191" s="1044" t="s">
        <v>8960</v>
      </c>
      <c r="E191" s="1044" t="s">
        <v>8392</v>
      </c>
      <c r="F191">
        <v>80</v>
      </c>
      <c r="G191">
        <v>30</v>
      </c>
      <c r="H191">
        <f t="shared" si="5"/>
        <v>50</v>
      </c>
    </row>
    <row r="192" spans="1:10">
      <c r="A192" s="95">
        <v>45487</v>
      </c>
      <c r="B192" s="761" t="s">
        <v>8933</v>
      </c>
      <c r="D192" s="761" t="s">
        <v>8934</v>
      </c>
      <c r="E192" s="1047" t="s">
        <v>8968</v>
      </c>
      <c r="F192">
        <v>80</v>
      </c>
      <c r="G192">
        <v>80</v>
      </c>
      <c r="H192">
        <f t="shared" si="5"/>
        <v>0</v>
      </c>
      <c r="I192" t="s">
        <v>39</v>
      </c>
      <c r="J192" s="95">
        <v>45490</v>
      </c>
    </row>
    <row r="193" spans="1:10">
      <c r="A193" s="95">
        <v>45488</v>
      </c>
      <c r="B193" s="761" t="s">
        <v>8969</v>
      </c>
      <c r="D193" s="761" t="s">
        <v>8970</v>
      </c>
      <c r="E193" s="1048" t="s">
        <v>8971</v>
      </c>
      <c r="F193">
        <v>80</v>
      </c>
      <c r="G193">
        <v>80</v>
      </c>
      <c r="H193">
        <f t="shared" si="5"/>
        <v>0</v>
      </c>
      <c r="I193" t="s">
        <v>39</v>
      </c>
      <c r="J193" s="95">
        <v>45490</v>
      </c>
    </row>
    <row r="194" spans="1:10">
      <c r="A194" s="95">
        <v>45488</v>
      </c>
      <c r="B194" s="761" t="s">
        <v>8969</v>
      </c>
      <c r="D194" s="761" t="s">
        <v>8972</v>
      </c>
      <c r="E194" s="1048" t="s">
        <v>8973</v>
      </c>
      <c r="F194">
        <v>80</v>
      </c>
      <c r="G194">
        <v>80</v>
      </c>
      <c r="H194">
        <f t="shared" si="5"/>
        <v>0</v>
      </c>
      <c r="I194" t="s">
        <v>39</v>
      </c>
      <c r="J194" s="95">
        <v>45490</v>
      </c>
    </row>
    <row r="195" spans="1:10">
      <c r="A195" s="95">
        <v>45488</v>
      </c>
      <c r="B195" s="761" t="s">
        <v>8969</v>
      </c>
      <c r="D195" s="761" t="s">
        <v>8975</v>
      </c>
      <c r="E195" s="1048" t="s">
        <v>8974</v>
      </c>
      <c r="F195">
        <v>80</v>
      </c>
      <c r="G195">
        <v>80</v>
      </c>
      <c r="H195">
        <f t="shared" si="5"/>
        <v>0</v>
      </c>
      <c r="I195" t="s">
        <v>39</v>
      </c>
      <c r="J195" s="95">
        <v>45490</v>
      </c>
    </row>
    <row r="196" spans="1:10">
      <c r="A196" t="s">
        <v>8978</v>
      </c>
      <c r="B196" s="761" t="s">
        <v>8979</v>
      </c>
      <c r="D196" s="761" t="s">
        <v>8981</v>
      </c>
      <c r="E196" s="1050" t="s">
        <v>8980</v>
      </c>
      <c r="F196">
        <v>80</v>
      </c>
      <c r="G196">
        <v>30</v>
      </c>
      <c r="H196">
        <f t="shared" si="5"/>
        <v>50</v>
      </c>
    </row>
    <row r="197" spans="1:10">
      <c r="A197" s="95">
        <v>45490</v>
      </c>
      <c r="B197" s="761" t="s">
        <v>8986</v>
      </c>
      <c r="D197" s="761" t="s">
        <v>8987</v>
      </c>
      <c r="E197" s="1053" t="s">
        <v>8988</v>
      </c>
      <c r="F197">
        <v>80</v>
      </c>
      <c r="G197">
        <v>80</v>
      </c>
      <c r="H197">
        <f t="shared" si="5"/>
        <v>0</v>
      </c>
      <c r="I197" t="s">
        <v>39</v>
      </c>
      <c r="J197" s="95">
        <v>45490</v>
      </c>
    </row>
    <row r="198" spans="1:10">
      <c r="A198" s="95">
        <v>45493</v>
      </c>
      <c r="B198" s="1060" t="s">
        <v>9012</v>
      </c>
      <c r="D198" s="1060" t="s">
        <v>9013</v>
      </c>
      <c r="E198" s="1060" t="s">
        <v>6642</v>
      </c>
      <c r="F198">
        <v>80</v>
      </c>
      <c r="G198">
        <v>30</v>
      </c>
      <c r="H198">
        <f t="shared" si="5"/>
        <v>50</v>
      </c>
    </row>
    <row r="199" spans="1:10">
      <c r="A199" s="95">
        <v>45495</v>
      </c>
      <c r="B199" s="761" t="s">
        <v>9027</v>
      </c>
      <c r="D199" s="761" t="s">
        <v>9029</v>
      </c>
      <c r="E199" s="1067" t="s">
        <v>9028</v>
      </c>
      <c r="F199">
        <v>80</v>
      </c>
      <c r="G199">
        <v>80</v>
      </c>
      <c r="H199">
        <f t="shared" ref="H199" si="7">F199-G199</f>
        <v>0</v>
      </c>
      <c r="I199" t="s">
        <v>39</v>
      </c>
      <c r="J199" s="95">
        <v>45496</v>
      </c>
    </row>
    <row r="200" spans="1:10">
      <c r="A200" s="95">
        <v>45496</v>
      </c>
      <c r="B200" s="1073" t="s">
        <v>9031</v>
      </c>
      <c r="D200" s="1073" t="s">
        <v>9032</v>
      </c>
      <c r="E200" s="1073" t="s">
        <v>9033</v>
      </c>
      <c r="F200">
        <v>130</v>
      </c>
      <c r="G200">
        <v>130</v>
      </c>
      <c r="H200">
        <f t="shared" ref="H200" si="8">F200-G200</f>
        <v>0</v>
      </c>
      <c r="I200" t="s">
        <v>39</v>
      </c>
      <c r="J200" s="95">
        <v>45514</v>
      </c>
    </row>
    <row r="201" spans="1:10">
      <c r="A201" s="95">
        <v>45496</v>
      </c>
      <c r="B201" s="1073" t="s">
        <v>9034</v>
      </c>
      <c r="D201" s="1073" t="s">
        <v>9036</v>
      </c>
      <c r="E201" s="1073" t="s">
        <v>9035</v>
      </c>
      <c r="F201">
        <v>80</v>
      </c>
      <c r="G201">
        <v>80</v>
      </c>
      <c r="H201">
        <f t="shared" ref="H201" si="9">F201-G201</f>
        <v>0</v>
      </c>
      <c r="I201" t="s">
        <v>191</v>
      </c>
      <c r="J201" s="95">
        <v>45496</v>
      </c>
    </row>
    <row r="202" spans="1:10">
      <c r="A202" s="95">
        <v>45496</v>
      </c>
      <c r="B202" s="761" t="s">
        <v>9037</v>
      </c>
      <c r="D202" s="761" t="s">
        <v>9039</v>
      </c>
      <c r="E202" s="1074" t="s">
        <v>9038</v>
      </c>
      <c r="F202">
        <v>80</v>
      </c>
      <c r="G202">
        <v>80</v>
      </c>
      <c r="H202">
        <f t="shared" ref="H202:H243" si="10">F202-G202</f>
        <v>0</v>
      </c>
    </row>
    <row r="203" spans="1:10">
      <c r="A203" s="95">
        <v>45498</v>
      </c>
      <c r="B203" s="761" t="s">
        <v>9042</v>
      </c>
      <c r="D203" s="761" t="s">
        <v>9043</v>
      </c>
      <c r="E203" s="1078" t="s">
        <v>9044</v>
      </c>
      <c r="F203">
        <v>80</v>
      </c>
      <c r="G203">
        <v>80</v>
      </c>
      <c r="H203">
        <f t="shared" si="10"/>
        <v>0</v>
      </c>
    </row>
    <row r="204" spans="1:10">
      <c r="A204" s="95">
        <v>45499</v>
      </c>
      <c r="B204" s="1081" t="s">
        <v>9050</v>
      </c>
      <c r="D204" s="761" t="s">
        <v>9049</v>
      </c>
      <c r="E204" s="1081" t="s">
        <v>9051</v>
      </c>
      <c r="F204">
        <v>80</v>
      </c>
      <c r="G204">
        <v>80</v>
      </c>
      <c r="H204">
        <f t="shared" si="10"/>
        <v>0</v>
      </c>
      <c r="I204" t="s">
        <v>528</v>
      </c>
      <c r="J204" s="95">
        <v>45501</v>
      </c>
    </row>
    <row r="205" spans="1:10">
      <c r="A205" s="95">
        <v>45499</v>
      </c>
      <c r="B205" s="1081" t="s">
        <v>9050</v>
      </c>
      <c r="D205" s="761" t="s">
        <v>9052</v>
      </c>
      <c r="E205" s="1081" t="s">
        <v>9053</v>
      </c>
      <c r="F205">
        <v>80</v>
      </c>
      <c r="G205">
        <v>80</v>
      </c>
      <c r="H205">
        <f t="shared" si="10"/>
        <v>0</v>
      </c>
      <c r="I205" t="s">
        <v>528</v>
      </c>
      <c r="J205" s="95">
        <v>45501</v>
      </c>
    </row>
    <row r="206" spans="1:10">
      <c r="A206" s="95">
        <v>45501</v>
      </c>
      <c r="B206" s="761" t="s">
        <v>8872</v>
      </c>
      <c r="D206" s="761" t="s">
        <v>8874</v>
      </c>
      <c r="E206" s="1083" t="s">
        <v>9061</v>
      </c>
      <c r="F206">
        <v>80</v>
      </c>
      <c r="G206">
        <v>80</v>
      </c>
      <c r="H206">
        <f t="shared" si="10"/>
        <v>0</v>
      </c>
      <c r="I206" t="s">
        <v>9065</v>
      </c>
    </row>
    <row r="207" spans="1:10">
      <c r="A207" s="95">
        <v>45501</v>
      </c>
      <c r="B207" s="761" t="s">
        <v>9063</v>
      </c>
      <c r="D207" s="761" t="s">
        <v>4854</v>
      </c>
      <c r="E207" s="1085" t="s">
        <v>9062</v>
      </c>
      <c r="F207">
        <v>80</v>
      </c>
      <c r="G207">
        <v>80</v>
      </c>
      <c r="H207">
        <f t="shared" si="10"/>
        <v>0</v>
      </c>
    </row>
    <row r="208" spans="1:10">
      <c r="A208" s="95">
        <v>45501</v>
      </c>
      <c r="B208" s="761" t="s">
        <v>8896</v>
      </c>
      <c r="D208" s="761" t="s">
        <v>8897</v>
      </c>
      <c r="E208" s="1086" t="s">
        <v>9064</v>
      </c>
      <c r="F208">
        <v>80</v>
      </c>
      <c r="G208">
        <v>80</v>
      </c>
      <c r="H208">
        <f t="shared" si="10"/>
        <v>0</v>
      </c>
      <c r="I208" t="s">
        <v>528</v>
      </c>
      <c r="J208" s="95">
        <v>45502</v>
      </c>
    </row>
    <row r="209" spans="1:10">
      <c r="A209" s="95">
        <v>45505</v>
      </c>
      <c r="B209" s="761" t="s">
        <v>9063</v>
      </c>
      <c r="D209" s="761" t="s">
        <v>9070</v>
      </c>
      <c r="E209" s="1090" t="s">
        <v>9069</v>
      </c>
      <c r="F209">
        <v>80</v>
      </c>
      <c r="G209">
        <v>80</v>
      </c>
      <c r="H209">
        <f t="shared" si="10"/>
        <v>0</v>
      </c>
    </row>
    <row r="210" spans="1:10">
      <c r="A210" s="95">
        <v>45505</v>
      </c>
      <c r="B210" s="761" t="s">
        <v>9063</v>
      </c>
      <c r="D210" s="761" t="s">
        <v>4854</v>
      </c>
      <c r="E210" s="1090" t="s">
        <v>9071</v>
      </c>
      <c r="F210">
        <v>80</v>
      </c>
      <c r="G210">
        <v>80</v>
      </c>
      <c r="H210">
        <f t="shared" si="10"/>
        <v>0</v>
      </c>
    </row>
    <row r="211" spans="1:10">
      <c r="A211" s="95">
        <v>45506</v>
      </c>
      <c r="B211" s="761" t="s">
        <v>9073</v>
      </c>
      <c r="D211" s="761" t="s">
        <v>9074</v>
      </c>
      <c r="E211" s="1092" t="s">
        <v>7234</v>
      </c>
      <c r="F211">
        <v>80</v>
      </c>
      <c r="G211">
        <v>80</v>
      </c>
      <c r="H211">
        <f t="shared" si="10"/>
        <v>0</v>
      </c>
      <c r="I211" t="s">
        <v>39</v>
      </c>
      <c r="J211" s="95">
        <v>45527</v>
      </c>
    </row>
    <row r="212" spans="1:10">
      <c r="A212" s="95">
        <v>45506</v>
      </c>
      <c r="B212" s="761" t="s">
        <v>9073</v>
      </c>
      <c r="D212" s="761" t="s">
        <v>9074</v>
      </c>
      <c r="E212" s="1092" t="s">
        <v>9075</v>
      </c>
      <c r="F212">
        <v>80</v>
      </c>
      <c r="G212">
        <v>80</v>
      </c>
      <c r="H212">
        <f t="shared" si="10"/>
        <v>0</v>
      </c>
      <c r="I212" t="s">
        <v>39</v>
      </c>
      <c r="J212" s="95">
        <v>45527</v>
      </c>
    </row>
    <row r="213" spans="1:10">
      <c r="A213" s="95">
        <v>45506</v>
      </c>
      <c r="B213" s="761" t="s">
        <v>9076</v>
      </c>
      <c r="D213" s="761" t="s">
        <v>9077</v>
      </c>
      <c r="E213" s="1092" t="s">
        <v>9078</v>
      </c>
      <c r="F213">
        <v>80</v>
      </c>
      <c r="G213">
        <v>80</v>
      </c>
      <c r="H213">
        <f t="shared" si="10"/>
        <v>0</v>
      </c>
    </row>
    <row r="214" spans="1:10">
      <c r="A214" s="95">
        <v>45509</v>
      </c>
      <c r="B214" s="761" t="s">
        <v>9081</v>
      </c>
      <c r="D214" s="761" t="s">
        <v>9079</v>
      </c>
      <c r="E214" s="1093" t="s">
        <v>9080</v>
      </c>
      <c r="F214">
        <v>80</v>
      </c>
      <c r="G214">
        <v>80</v>
      </c>
      <c r="H214">
        <f t="shared" si="10"/>
        <v>0</v>
      </c>
      <c r="I214" t="s">
        <v>39</v>
      </c>
      <c r="J214" s="95">
        <v>45509</v>
      </c>
    </row>
    <row r="215" spans="1:10">
      <c r="A215" s="95">
        <v>45509</v>
      </c>
      <c r="B215" s="761" t="s">
        <v>9081</v>
      </c>
      <c r="D215" s="761" t="s">
        <v>9082</v>
      </c>
      <c r="E215" s="1093" t="s">
        <v>9083</v>
      </c>
      <c r="F215">
        <v>80</v>
      </c>
      <c r="G215">
        <v>80</v>
      </c>
      <c r="H215">
        <f t="shared" si="10"/>
        <v>0</v>
      </c>
      <c r="I215" t="s">
        <v>39</v>
      </c>
      <c r="J215" s="95">
        <v>45509</v>
      </c>
    </row>
    <row r="216" spans="1:10">
      <c r="A216" s="95">
        <v>45509</v>
      </c>
      <c r="B216" s="761" t="s">
        <v>9085</v>
      </c>
      <c r="D216" s="761" t="s">
        <v>9084</v>
      </c>
      <c r="E216" s="1093" t="s">
        <v>9086</v>
      </c>
      <c r="F216">
        <v>80</v>
      </c>
      <c r="G216">
        <v>80</v>
      </c>
      <c r="H216">
        <f t="shared" si="10"/>
        <v>0</v>
      </c>
    </row>
    <row r="217" spans="1:10">
      <c r="A217" s="95">
        <v>45509</v>
      </c>
      <c r="B217" s="761" t="s">
        <v>9093</v>
      </c>
      <c r="D217" s="761" t="s">
        <v>9087</v>
      </c>
      <c r="E217" s="1093" t="s">
        <v>9088</v>
      </c>
      <c r="F217">
        <v>80</v>
      </c>
      <c r="G217">
        <v>80</v>
      </c>
      <c r="H217">
        <f t="shared" si="10"/>
        <v>0</v>
      </c>
    </row>
    <row r="218" spans="1:10">
      <c r="A218" s="95">
        <v>45510</v>
      </c>
      <c r="B218" s="761" t="s">
        <v>9089</v>
      </c>
      <c r="D218" s="761" t="s">
        <v>9090</v>
      </c>
      <c r="E218" s="1094" t="s">
        <v>9091</v>
      </c>
      <c r="F218">
        <v>80</v>
      </c>
      <c r="G218">
        <v>80</v>
      </c>
      <c r="H218">
        <f t="shared" si="10"/>
        <v>0</v>
      </c>
      <c r="I218" t="s">
        <v>39</v>
      </c>
      <c r="J218" s="95">
        <v>45517</v>
      </c>
    </row>
    <row r="219" spans="1:10">
      <c r="A219" s="95">
        <v>45510</v>
      </c>
      <c r="B219" s="761" t="s">
        <v>9089</v>
      </c>
      <c r="D219" s="761" t="s">
        <v>9090</v>
      </c>
      <c r="E219" s="1094" t="s">
        <v>9092</v>
      </c>
      <c r="F219">
        <v>80</v>
      </c>
      <c r="G219">
        <v>80</v>
      </c>
      <c r="H219">
        <f t="shared" si="10"/>
        <v>0</v>
      </c>
      <c r="I219" t="s">
        <v>39</v>
      </c>
      <c r="J219" s="95">
        <v>45517</v>
      </c>
    </row>
    <row r="220" spans="1:10">
      <c r="A220" s="95">
        <v>45511</v>
      </c>
      <c r="B220" s="761" t="s">
        <v>8533</v>
      </c>
      <c r="D220" s="761" t="s">
        <v>9099</v>
      </c>
      <c r="E220" s="1097" t="s">
        <v>9100</v>
      </c>
      <c r="F220">
        <v>80</v>
      </c>
      <c r="G220">
        <v>80</v>
      </c>
      <c r="H220">
        <f t="shared" si="10"/>
        <v>0</v>
      </c>
    </row>
    <row r="221" spans="1:10">
      <c r="A221" s="95">
        <v>45512</v>
      </c>
      <c r="B221" s="761" t="s">
        <v>9101</v>
      </c>
      <c r="D221" s="761" t="s">
        <v>9102</v>
      </c>
      <c r="E221" s="1098" t="s">
        <v>9103</v>
      </c>
      <c r="F221">
        <v>80</v>
      </c>
      <c r="G221">
        <v>80</v>
      </c>
      <c r="H221">
        <f t="shared" si="10"/>
        <v>0</v>
      </c>
      <c r="I221" t="s">
        <v>39</v>
      </c>
      <c r="J221" s="95">
        <v>45585</v>
      </c>
    </row>
    <row r="222" spans="1:10">
      <c r="A222" s="95">
        <v>45513</v>
      </c>
      <c r="B222" s="1102" t="s">
        <v>9116</v>
      </c>
      <c r="D222" s="761" t="s">
        <v>9109</v>
      </c>
      <c r="E222" s="1100" t="s">
        <v>9110</v>
      </c>
      <c r="F222">
        <v>80</v>
      </c>
      <c r="G222">
        <v>30</v>
      </c>
      <c r="H222">
        <f t="shared" si="10"/>
        <v>50</v>
      </c>
    </row>
    <row r="223" spans="1:10">
      <c r="A223" s="95">
        <v>45514</v>
      </c>
      <c r="B223" s="761" t="s">
        <v>9113</v>
      </c>
      <c r="D223" s="761" t="s">
        <v>9114</v>
      </c>
      <c r="E223" s="1102" t="s">
        <v>2113</v>
      </c>
      <c r="F223">
        <v>80</v>
      </c>
      <c r="G223">
        <v>0</v>
      </c>
      <c r="H223">
        <f t="shared" si="10"/>
        <v>80</v>
      </c>
    </row>
    <row r="224" spans="1:10">
      <c r="A224" s="95">
        <v>45515</v>
      </c>
      <c r="B224" s="761" t="s">
        <v>9117</v>
      </c>
      <c r="D224" s="761" t="s">
        <v>9118</v>
      </c>
      <c r="E224" s="1103" t="s">
        <v>9119</v>
      </c>
      <c r="F224">
        <v>30</v>
      </c>
      <c r="G224">
        <v>0</v>
      </c>
      <c r="H224">
        <f t="shared" si="10"/>
        <v>30</v>
      </c>
    </row>
    <row r="225" spans="1:13">
      <c r="A225" s="95">
        <v>45515</v>
      </c>
      <c r="B225" s="761" t="s">
        <v>9117</v>
      </c>
      <c r="D225" s="761" t="s">
        <v>9118</v>
      </c>
      <c r="E225" s="1103" t="s">
        <v>9120</v>
      </c>
      <c r="F225">
        <v>30</v>
      </c>
      <c r="G225">
        <v>0</v>
      </c>
      <c r="H225">
        <f t="shared" si="10"/>
        <v>30</v>
      </c>
    </row>
    <row r="226" spans="1:13">
      <c r="A226" s="95">
        <v>45518</v>
      </c>
      <c r="B226" s="761" t="s">
        <v>9128</v>
      </c>
      <c r="D226" s="761" t="s">
        <v>9127</v>
      </c>
      <c r="E226" s="1108" t="s">
        <v>9129</v>
      </c>
      <c r="F226">
        <v>80</v>
      </c>
      <c r="G226">
        <v>80</v>
      </c>
      <c r="H226">
        <f t="shared" si="10"/>
        <v>0</v>
      </c>
      <c r="I226" t="s">
        <v>191</v>
      </c>
      <c r="J226" s="95">
        <v>45519</v>
      </c>
    </row>
    <row r="227" spans="1:13">
      <c r="A227" s="95">
        <v>45518</v>
      </c>
      <c r="B227" s="761" t="s">
        <v>9128</v>
      </c>
      <c r="D227" s="761" t="s">
        <v>9127</v>
      </c>
      <c r="E227" s="1108" t="s">
        <v>9130</v>
      </c>
      <c r="F227">
        <v>80</v>
      </c>
      <c r="G227">
        <v>80</v>
      </c>
      <c r="H227">
        <f t="shared" si="10"/>
        <v>0</v>
      </c>
      <c r="I227" t="s">
        <v>191</v>
      </c>
      <c r="J227" s="95">
        <v>45519</v>
      </c>
    </row>
    <row r="228" spans="1:13">
      <c r="A228" s="95">
        <v>45523</v>
      </c>
      <c r="B228" s="1112" t="s">
        <v>9148</v>
      </c>
      <c r="D228" s="1112" t="s">
        <v>9149</v>
      </c>
      <c r="E228" s="1112" t="s">
        <v>9147</v>
      </c>
      <c r="F228">
        <v>80</v>
      </c>
      <c r="G228">
        <v>80</v>
      </c>
      <c r="H228">
        <f t="shared" si="10"/>
        <v>0</v>
      </c>
    </row>
    <row r="229" spans="1:13">
      <c r="A229" s="95">
        <v>45527</v>
      </c>
      <c r="B229" s="761" t="s">
        <v>9154</v>
      </c>
      <c r="D229" s="761" t="s">
        <v>9153</v>
      </c>
      <c r="E229" s="1118" t="s">
        <v>9161</v>
      </c>
      <c r="F229">
        <v>80</v>
      </c>
      <c r="G229">
        <v>30</v>
      </c>
      <c r="H229">
        <f t="shared" si="10"/>
        <v>50</v>
      </c>
    </row>
    <row r="230" spans="1:13">
      <c r="A230" s="95">
        <v>45526</v>
      </c>
      <c r="B230" s="1117" t="s">
        <v>9155</v>
      </c>
      <c r="E230" s="1116" t="s">
        <v>9156</v>
      </c>
      <c r="F230">
        <v>80</v>
      </c>
      <c r="G230">
        <v>80</v>
      </c>
      <c r="H230">
        <f t="shared" si="10"/>
        <v>0</v>
      </c>
      <c r="I230" t="s">
        <v>39</v>
      </c>
      <c r="J230" s="95">
        <v>45527</v>
      </c>
    </row>
    <row r="231" spans="1:13">
      <c r="A231" s="95">
        <v>45526</v>
      </c>
      <c r="B231" s="1117" t="s">
        <v>9155</v>
      </c>
      <c r="E231" s="1116" t="s">
        <v>9157</v>
      </c>
      <c r="F231">
        <v>80</v>
      </c>
      <c r="G231">
        <v>80</v>
      </c>
      <c r="H231">
        <f t="shared" si="10"/>
        <v>0</v>
      </c>
      <c r="I231" t="s">
        <v>39</v>
      </c>
      <c r="J231" s="95">
        <v>45527</v>
      </c>
    </row>
    <row r="232" spans="1:13">
      <c r="A232" s="95">
        <v>45527</v>
      </c>
      <c r="B232" s="761" t="s">
        <v>9158</v>
      </c>
      <c r="D232" s="761" t="s">
        <v>9159</v>
      </c>
      <c r="E232" s="1117" t="s">
        <v>9160</v>
      </c>
      <c r="F232">
        <v>80</v>
      </c>
      <c r="G232">
        <v>80</v>
      </c>
      <c r="H232">
        <f t="shared" si="10"/>
        <v>0</v>
      </c>
    </row>
    <row r="233" spans="1:13">
      <c r="A233" s="95">
        <v>45529</v>
      </c>
      <c r="B233" s="1121" t="s">
        <v>9167</v>
      </c>
      <c r="D233" s="1121" t="s">
        <v>9168</v>
      </c>
      <c r="E233" s="1121" t="s">
        <v>9166</v>
      </c>
      <c r="F233" s="1121" t="s">
        <v>9169</v>
      </c>
      <c r="H233" t="e">
        <f t="shared" si="10"/>
        <v>#VALUE!</v>
      </c>
    </row>
    <row r="234" spans="1:13">
      <c r="A234" s="95">
        <v>45537</v>
      </c>
      <c r="B234" s="761" t="s">
        <v>9188</v>
      </c>
      <c r="D234" s="761" t="s">
        <v>9189</v>
      </c>
      <c r="E234" s="1131" t="s">
        <v>9190</v>
      </c>
      <c r="F234">
        <v>80</v>
      </c>
      <c r="G234">
        <v>80</v>
      </c>
      <c r="H234">
        <f t="shared" si="10"/>
        <v>0</v>
      </c>
      <c r="I234" s="1134" t="s">
        <v>8951</v>
      </c>
      <c r="J234" s="95">
        <v>45538</v>
      </c>
    </row>
    <row r="235" spans="1:13">
      <c r="A235" s="95">
        <v>45537</v>
      </c>
      <c r="B235" s="761" t="s">
        <v>9191</v>
      </c>
      <c r="D235" s="761" t="s">
        <v>1897</v>
      </c>
      <c r="E235" s="1132" t="s">
        <v>6487</v>
      </c>
      <c r="F235">
        <v>80</v>
      </c>
      <c r="G235">
        <v>80</v>
      </c>
      <c r="H235">
        <f t="shared" si="10"/>
        <v>0</v>
      </c>
      <c r="I235" s="1134" t="s">
        <v>8951</v>
      </c>
      <c r="J235" s="95">
        <v>45558</v>
      </c>
    </row>
    <row r="236" spans="1:13">
      <c r="A236" s="95">
        <v>45537</v>
      </c>
      <c r="B236" s="761" t="s">
        <v>9192</v>
      </c>
      <c r="D236" s="761" t="s">
        <v>9193</v>
      </c>
      <c r="E236" s="1133" t="s">
        <v>9195</v>
      </c>
      <c r="F236">
        <v>80</v>
      </c>
      <c r="G236">
        <v>80</v>
      </c>
      <c r="H236">
        <f t="shared" si="10"/>
        <v>0</v>
      </c>
      <c r="I236" t="s">
        <v>39</v>
      </c>
      <c r="J236" s="95">
        <v>45538</v>
      </c>
      <c r="K236">
        <v>16</v>
      </c>
      <c r="L236">
        <v>8</v>
      </c>
      <c r="M236">
        <f>K236*8</f>
        <v>128</v>
      </c>
    </row>
    <row r="237" spans="1:13">
      <c r="A237" s="95">
        <v>45537</v>
      </c>
      <c r="B237" s="761" t="s">
        <v>9192</v>
      </c>
      <c r="D237" s="761" t="s">
        <v>9194</v>
      </c>
      <c r="E237" s="1133" t="s">
        <v>3415</v>
      </c>
      <c r="F237">
        <v>80</v>
      </c>
      <c r="G237">
        <v>80</v>
      </c>
      <c r="H237">
        <f t="shared" si="10"/>
        <v>0</v>
      </c>
      <c r="I237" t="s">
        <v>39</v>
      </c>
      <c r="J237" s="95">
        <v>45538</v>
      </c>
      <c r="K237">
        <v>42</v>
      </c>
      <c r="L237">
        <v>3</v>
      </c>
      <c r="M237">
        <f>K237*8</f>
        <v>336</v>
      </c>
    </row>
    <row r="238" spans="1:13">
      <c r="A238" s="95">
        <v>45546</v>
      </c>
      <c r="B238" s="761" t="s">
        <v>9224</v>
      </c>
      <c r="D238" s="761" t="s">
        <v>9226</v>
      </c>
      <c r="E238" s="1144" t="s">
        <v>9225</v>
      </c>
      <c r="F238">
        <v>80</v>
      </c>
      <c r="G238">
        <v>80</v>
      </c>
      <c r="H238">
        <f t="shared" si="10"/>
        <v>0</v>
      </c>
      <c r="I238" t="s">
        <v>39</v>
      </c>
      <c r="J238" s="95">
        <v>45547</v>
      </c>
      <c r="M238" t="s">
        <v>9175</v>
      </c>
    </row>
    <row r="239" spans="1:13">
      <c r="A239" s="95">
        <v>45549</v>
      </c>
      <c r="B239" s="761" t="s">
        <v>9224</v>
      </c>
      <c r="D239" s="761" t="s">
        <v>9237</v>
      </c>
      <c r="E239" s="1150" t="s">
        <v>9238</v>
      </c>
      <c r="F239">
        <v>80</v>
      </c>
      <c r="G239">
        <v>80</v>
      </c>
      <c r="H239">
        <f t="shared" si="10"/>
        <v>0</v>
      </c>
      <c r="I239" t="s">
        <v>7677</v>
      </c>
      <c r="M239">
        <f>SUM(M236:M238)</f>
        <v>464</v>
      </c>
    </row>
    <row r="240" spans="1:13">
      <c r="A240" s="95">
        <v>45552</v>
      </c>
      <c r="B240" s="761" t="s">
        <v>9248</v>
      </c>
      <c r="D240" s="761" t="s">
        <v>9249</v>
      </c>
      <c r="E240" s="1154" t="s">
        <v>9250</v>
      </c>
      <c r="F240">
        <v>80</v>
      </c>
      <c r="G240">
        <v>80</v>
      </c>
      <c r="H240">
        <f t="shared" si="10"/>
        <v>0</v>
      </c>
    </row>
    <row r="241" spans="1:10">
      <c r="A241" s="95">
        <v>45552</v>
      </c>
      <c r="B241" s="761" t="s">
        <v>9248</v>
      </c>
      <c r="D241" s="761" t="s">
        <v>9251</v>
      </c>
      <c r="E241" s="1155" t="s">
        <v>7187</v>
      </c>
      <c r="F241">
        <v>80</v>
      </c>
      <c r="G241">
        <v>0</v>
      </c>
      <c r="H241">
        <f t="shared" si="10"/>
        <v>80</v>
      </c>
    </row>
    <row r="242" spans="1:10">
      <c r="A242" s="95">
        <v>45553</v>
      </c>
      <c r="B242" s="761" t="s">
        <v>9252</v>
      </c>
      <c r="D242" s="761" t="s">
        <v>9255</v>
      </c>
      <c r="E242" s="1156" t="s">
        <v>9253</v>
      </c>
      <c r="F242">
        <v>80</v>
      </c>
      <c r="G242">
        <v>80</v>
      </c>
      <c r="H242">
        <f t="shared" si="10"/>
        <v>0</v>
      </c>
      <c r="I242" t="s">
        <v>39</v>
      </c>
      <c r="J242" s="95">
        <v>45555</v>
      </c>
    </row>
    <row r="243" spans="1:10">
      <c r="A243" s="95">
        <v>45553</v>
      </c>
      <c r="B243" s="761" t="s">
        <v>9252</v>
      </c>
      <c r="D243" s="761" t="s">
        <v>9255</v>
      </c>
      <c r="E243" s="1156" t="s">
        <v>9254</v>
      </c>
      <c r="F243">
        <v>80</v>
      </c>
      <c r="G243">
        <v>80</v>
      </c>
      <c r="H243">
        <f t="shared" si="10"/>
        <v>0</v>
      </c>
      <c r="I243" t="s">
        <v>39</v>
      </c>
      <c r="J243" s="95">
        <v>45555</v>
      </c>
    </row>
    <row r="244" spans="1:10">
      <c r="A244" s="95">
        <v>45553</v>
      </c>
      <c r="B244" s="761" t="s">
        <v>9252</v>
      </c>
      <c r="D244" s="761" t="s">
        <v>9255</v>
      </c>
      <c r="E244" s="1156" t="s">
        <v>9256</v>
      </c>
      <c r="F244">
        <v>80</v>
      </c>
      <c r="G244">
        <v>80</v>
      </c>
      <c r="H244">
        <f t="shared" ref="H244" si="11">F244-G244</f>
        <v>0</v>
      </c>
      <c r="I244" t="s">
        <v>39</v>
      </c>
      <c r="J244" s="95">
        <v>45555</v>
      </c>
    </row>
    <row r="245" spans="1:10">
      <c r="A245" s="95">
        <v>45553</v>
      </c>
      <c r="B245" s="761" t="s">
        <v>9252</v>
      </c>
      <c r="D245" s="761" t="s">
        <v>9255</v>
      </c>
      <c r="E245" s="1156" t="s">
        <v>9257</v>
      </c>
      <c r="F245">
        <v>80</v>
      </c>
      <c r="G245">
        <v>80</v>
      </c>
      <c r="H245">
        <f t="shared" ref="H245:H253" si="12">F245-G245</f>
        <v>0</v>
      </c>
      <c r="I245" t="s">
        <v>39</v>
      </c>
      <c r="J245" s="95">
        <v>45555</v>
      </c>
    </row>
    <row r="246" spans="1:10">
      <c r="A246" s="95">
        <v>45553</v>
      </c>
      <c r="B246" s="761" t="s">
        <v>9258</v>
      </c>
      <c r="D246" s="761" t="s">
        <v>9259</v>
      </c>
      <c r="E246" s="983" t="s">
        <v>9260</v>
      </c>
      <c r="F246">
        <v>80</v>
      </c>
      <c r="G246">
        <v>80</v>
      </c>
      <c r="H246">
        <f t="shared" si="12"/>
        <v>0</v>
      </c>
      <c r="I246" t="s">
        <v>39</v>
      </c>
      <c r="J246" s="95">
        <v>45564</v>
      </c>
    </row>
    <row r="247" spans="1:10">
      <c r="A247" s="95">
        <v>45553</v>
      </c>
      <c r="B247" s="761" t="s">
        <v>9261</v>
      </c>
      <c r="D247" s="761" t="s">
        <v>9262</v>
      </c>
      <c r="E247" s="1157" t="s">
        <v>9263</v>
      </c>
      <c r="F247">
        <v>80</v>
      </c>
      <c r="G247">
        <v>30</v>
      </c>
      <c r="H247">
        <f t="shared" si="12"/>
        <v>50</v>
      </c>
      <c r="I247" t="s">
        <v>9264</v>
      </c>
    </row>
    <row r="248" spans="1:10">
      <c r="A248" s="95">
        <v>45554</v>
      </c>
      <c r="B248" s="761" t="s">
        <v>9248</v>
      </c>
      <c r="D248" s="761" t="s">
        <v>9266</v>
      </c>
      <c r="E248" s="1215" t="s">
        <v>9265</v>
      </c>
      <c r="F248">
        <v>80</v>
      </c>
      <c r="G248">
        <v>80</v>
      </c>
      <c r="H248">
        <f t="shared" si="12"/>
        <v>0</v>
      </c>
      <c r="I248" t="s">
        <v>39</v>
      </c>
      <c r="J248" s="95">
        <v>45564</v>
      </c>
    </row>
    <row r="249" spans="1:10">
      <c r="A249" s="95">
        <v>45555</v>
      </c>
      <c r="B249" s="761" t="s">
        <v>9277</v>
      </c>
      <c r="D249" s="761" t="s">
        <v>9279</v>
      </c>
      <c r="E249" s="1160" t="s">
        <v>9278</v>
      </c>
      <c r="F249">
        <v>80</v>
      </c>
      <c r="G249">
        <v>80</v>
      </c>
      <c r="H249">
        <f t="shared" si="12"/>
        <v>0</v>
      </c>
      <c r="I249" t="s">
        <v>39</v>
      </c>
      <c r="J249" s="95">
        <v>45560</v>
      </c>
    </row>
    <row r="250" spans="1:10">
      <c r="A250" s="95">
        <v>45556</v>
      </c>
      <c r="B250" s="1163" t="s">
        <v>9291</v>
      </c>
      <c r="D250" s="761" t="s">
        <v>9290</v>
      </c>
      <c r="E250" s="1163" t="s">
        <v>9292</v>
      </c>
      <c r="F250">
        <v>80</v>
      </c>
      <c r="G250">
        <v>80</v>
      </c>
      <c r="H250">
        <f t="shared" si="12"/>
        <v>0</v>
      </c>
      <c r="I250" t="s">
        <v>39</v>
      </c>
      <c r="J250" s="95">
        <v>45559</v>
      </c>
    </row>
    <row r="251" spans="1:10">
      <c r="A251" s="95">
        <v>45556</v>
      </c>
      <c r="B251" s="1165" t="s">
        <v>9297</v>
      </c>
      <c r="D251" s="1165" t="s">
        <v>9298</v>
      </c>
      <c r="E251" s="1165" t="s">
        <v>9299</v>
      </c>
      <c r="F251">
        <v>80</v>
      </c>
      <c r="G251">
        <v>80</v>
      </c>
      <c r="H251">
        <f t="shared" si="12"/>
        <v>0</v>
      </c>
      <c r="I251" t="s">
        <v>39</v>
      </c>
      <c r="J251" s="95">
        <v>45557</v>
      </c>
    </row>
    <row r="252" spans="1:10">
      <c r="A252" s="95">
        <v>45556</v>
      </c>
      <c r="B252" s="1165" t="s">
        <v>9297</v>
      </c>
      <c r="D252" s="1165" t="s">
        <v>9300</v>
      </c>
      <c r="E252" s="1165" t="s">
        <v>9301</v>
      </c>
      <c r="F252">
        <v>80</v>
      </c>
      <c r="G252">
        <v>80</v>
      </c>
      <c r="H252">
        <f t="shared" si="12"/>
        <v>0</v>
      </c>
      <c r="I252" t="s">
        <v>39</v>
      </c>
      <c r="J252" s="95">
        <v>45557</v>
      </c>
    </row>
    <row r="253" spans="1:10">
      <c r="A253" s="95">
        <v>45558</v>
      </c>
      <c r="B253" s="761" t="s">
        <v>9305</v>
      </c>
      <c r="D253" s="761" t="s">
        <v>9306</v>
      </c>
      <c r="E253" s="1167" t="s">
        <v>9307</v>
      </c>
      <c r="F253">
        <v>80</v>
      </c>
      <c r="G253">
        <v>80</v>
      </c>
      <c r="H253">
        <f t="shared" si="12"/>
        <v>0</v>
      </c>
      <c r="I253" t="s">
        <v>39</v>
      </c>
      <c r="J253" s="95">
        <v>45560</v>
      </c>
    </row>
    <row r="254" spans="1:10">
      <c r="A254" s="95">
        <v>45559</v>
      </c>
      <c r="B254" s="1168" t="s">
        <v>9308</v>
      </c>
      <c r="E254" s="1168" t="s">
        <v>1134</v>
      </c>
      <c r="F254">
        <v>80</v>
      </c>
      <c r="G254">
        <v>80</v>
      </c>
      <c r="H254">
        <f t="shared" ref="H254:H290" si="13">F254-G254</f>
        <v>0</v>
      </c>
      <c r="I254" t="s">
        <v>39</v>
      </c>
      <c r="J254" s="95">
        <v>45560</v>
      </c>
    </row>
    <row r="255" spans="1:10">
      <c r="A255" s="95">
        <v>45559</v>
      </c>
      <c r="B255" s="1168" t="s">
        <v>9308</v>
      </c>
      <c r="E255" s="1168" t="s">
        <v>3900</v>
      </c>
      <c r="F255">
        <v>80</v>
      </c>
      <c r="G255">
        <v>80</v>
      </c>
      <c r="H255">
        <f t="shared" si="13"/>
        <v>0</v>
      </c>
      <c r="I255" t="s">
        <v>39</v>
      </c>
      <c r="J255" s="95">
        <v>45560</v>
      </c>
    </row>
    <row r="256" spans="1:10">
      <c r="A256" s="95">
        <v>45559</v>
      </c>
      <c r="B256" s="1168" t="s">
        <v>9308</v>
      </c>
      <c r="E256" s="1168" t="s">
        <v>9309</v>
      </c>
      <c r="F256">
        <v>80</v>
      </c>
      <c r="G256">
        <v>80</v>
      </c>
      <c r="H256">
        <f t="shared" si="13"/>
        <v>0</v>
      </c>
      <c r="I256" t="s">
        <v>39</v>
      </c>
      <c r="J256" s="95">
        <v>45560</v>
      </c>
    </row>
    <row r="257" spans="1:10">
      <c r="A257" s="95">
        <v>45559</v>
      </c>
      <c r="B257" s="1168" t="s">
        <v>9308</v>
      </c>
      <c r="E257" s="1168" t="s">
        <v>9310</v>
      </c>
      <c r="F257">
        <v>80</v>
      </c>
      <c r="G257">
        <v>80</v>
      </c>
      <c r="H257">
        <f t="shared" si="13"/>
        <v>0</v>
      </c>
      <c r="I257" t="s">
        <v>39</v>
      </c>
      <c r="J257" s="95">
        <v>45560</v>
      </c>
    </row>
    <row r="258" spans="1:10">
      <c r="A258" s="95">
        <v>45560</v>
      </c>
      <c r="B258" s="761" t="s">
        <v>9311</v>
      </c>
      <c r="D258" s="761" t="s">
        <v>9313</v>
      </c>
      <c r="E258" s="1169" t="s">
        <v>9312</v>
      </c>
      <c r="F258">
        <v>80</v>
      </c>
      <c r="G258">
        <v>50</v>
      </c>
      <c r="H258">
        <f t="shared" si="13"/>
        <v>30</v>
      </c>
    </row>
    <row r="259" spans="1:10">
      <c r="A259" s="95">
        <v>45560</v>
      </c>
      <c r="B259" s="761" t="s">
        <v>9311</v>
      </c>
      <c r="D259" s="761" t="s">
        <v>9315</v>
      </c>
      <c r="E259" s="1169" t="s">
        <v>9314</v>
      </c>
      <c r="F259">
        <v>80</v>
      </c>
      <c r="G259">
        <v>50</v>
      </c>
      <c r="H259">
        <f t="shared" si="13"/>
        <v>30</v>
      </c>
    </row>
    <row r="260" spans="1:10">
      <c r="A260" s="95">
        <v>45562</v>
      </c>
      <c r="B260" s="761" t="s">
        <v>9319</v>
      </c>
      <c r="D260" s="761" t="s">
        <v>9321</v>
      </c>
      <c r="E260" s="761" t="s">
        <v>9320</v>
      </c>
      <c r="F260">
        <v>80</v>
      </c>
      <c r="G260">
        <v>80</v>
      </c>
      <c r="H260">
        <f t="shared" si="13"/>
        <v>0</v>
      </c>
      <c r="I260" t="s">
        <v>39</v>
      </c>
      <c r="J260" s="95">
        <v>45564</v>
      </c>
    </row>
    <row r="261" spans="1:10">
      <c r="A261" s="95">
        <v>44101</v>
      </c>
      <c r="B261" s="761" t="s">
        <v>9328</v>
      </c>
      <c r="D261" s="761" t="s">
        <v>9331</v>
      </c>
      <c r="E261" s="761" t="s">
        <v>9329</v>
      </c>
      <c r="F261">
        <v>80</v>
      </c>
      <c r="G261">
        <v>80</v>
      </c>
      <c r="H261">
        <f t="shared" si="13"/>
        <v>0</v>
      </c>
      <c r="I261" t="s">
        <v>39</v>
      </c>
      <c r="J261" s="95">
        <v>45563</v>
      </c>
    </row>
    <row r="262" spans="1:10">
      <c r="A262" s="95">
        <v>44101</v>
      </c>
      <c r="B262" s="761" t="s">
        <v>9328</v>
      </c>
      <c r="D262" s="761" t="s">
        <v>9332</v>
      </c>
      <c r="E262" s="761" t="s">
        <v>9330</v>
      </c>
      <c r="F262">
        <v>80</v>
      </c>
      <c r="G262">
        <v>80</v>
      </c>
      <c r="H262">
        <f t="shared" si="13"/>
        <v>0</v>
      </c>
      <c r="I262" t="s">
        <v>39</v>
      </c>
      <c r="J262" s="95">
        <v>45563</v>
      </c>
    </row>
    <row r="263" spans="1:10">
      <c r="A263" s="95">
        <v>44101</v>
      </c>
      <c r="B263" s="761" t="s">
        <v>9334</v>
      </c>
      <c r="D263" s="761" t="s">
        <v>9337</v>
      </c>
      <c r="E263" s="761" t="s">
        <v>9336</v>
      </c>
      <c r="F263">
        <v>80</v>
      </c>
      <c r="G263">
        <v>80</v>
      </c>
      <c r="H263">
        <f t="shared" si="13"/>
        <v>0</v>
      </c>
    </row>
    <row r="264" spans="1:10">
      <c r="A264" s="95">
        <v>44101</v>
      </c>
      <c r="B264" s="761" t="s">
        <v>9334</v>
      </c>
      <c r="D264" s="761" t="s">
        <v>4633</v>
      </c>
      <c r="E264" s="761" t="s">
        <v>9335</v>
      </c>
      <c r="F264">
        <v>80</v>
      </c>
      <c r="G264">
        <v>80</v>
      </c>
      <c r="H264">
        <f t="shared" si="13"/>
        <v>0</v>
      </c>
    </row>
    <row r="265" spans="1:10">
      <c r="A265" s="95">
        <v>45564</v>
      </c>
      <c r="B265" s="761" t="s">
        <v>9318</v>
      </c>
      <c r="D265" s="761" t="s">
        <v>9344</v>
      </c>
      <c r="E265" s="761" t="s">
        <v>9345</v>
      </c>
      <c r="F265">
        <v>80</v>
      </c>
      <c r="G265">
        <v>30</v>
      </c>
      <c r="H265">
        <f t="shared" si="13"/>
        <v>50</v>
      </c>
    </row>
    <row r="266" spans="1:10">
      <c r="A266" s="95">
        <v>45564</v>
      </c>
      <c r="B266" s="761" t="s">
        <v>9318</v>
      </c>
      <c r="D266" s="761" t="s">
        <v>9344</v>
      </c>
      <c r="E266" s="761" t="s">
        <v>9346</v>
      </c>
      <c r="F266">
        <v>80</v>
      </c>
      <c r="G266">
        <v>30</v>
      </c>
      <c r="H266">
        <f t="shared" si="13"/>
        <v>50</v>
      </c>
      <c r="I266" t="s">
        <v>9369</v>
      </c>
    </row>
    <row r="267" spans="1:10">
      <c r="A267" s="95">
        <v>45564</v>
      </c>
      <c r="B267" s="761" t="s">
        <v>9318</v>
      </c>
      <c r="D267" s="761" t="s">
        <v>9344</v>
      </c>
      <c r="E267" s="761" t="s">
        <v>9347</v>
      </c>
      <c r="F267">
        <v>80</v>
      </c>
      <c r="G267">
        <v>30</v>
      </c>
      <c r="H267">
        <f t="shared" si="13"/>
        <v>50</v>
      </c>
    </row>
    <row r="268" spans="1:10">
      <c r="A268" s="95">
        <v>45564</v>
      </c>
      <c r="B268" s="761" t="s">
        <v>9348</v>
      </c>
      <c r="D268" s="761" t="s">
        <v>9349</v>
      </c>
      <c r="E268" s="761" t="s">
        <v>9350</v>
      </c>
      <c r="F268">
        <v>80</v>
      </c>
      <c r="G268">
        <v>80</v>
      </c>
      <c r="H268">
        <f t="shared" si="13"/>
        <v>0</v>
      </c>
      <c r="I268" s="1180" t="s">
        <v>39</v>
      </c>
      <c r="J268" s="95">
        <v>45568</v>
      </c>
    </row>
    <row r="269" spans="1:10">
      <c r="A269" s="95">
        <v>45564</v>
      </c>
      <c r="B269" s="761" t="s">
        <v>9348</v>
      </c>
      <c r="D269" s="761" t="s">
        <v>9351</v>
      </c>
      <c r="E269" s="761" t="s">
        <v>9352</v>
      </c>
      <c r="F269">
        <v>80</v>
      </c>
      <c r="G269">
        <v>80</v>
      </c>
      <c r="H269">
        <f t="shared" si="13"/>
        <v>0</v>
      </c>
      <c r="I269" s="1180" t="s">
        <v>39</v>
      </c>
      <c r="J269" s="95">
        <v>45568</v>
      </c>
    </row>
    <row r="270" spans="1:10">
      <c r="A270" s="95">
        <v>45566</v>
      </c>
      <c r="B270" s="761" t="s">
        <v>9358</v>
      </c>
      <c r="D270" s="761" t="s">
        <v>9360</v>
      </c>
      <c r="E270" s="325" t="s">
        <v>9359</v>
      </c>
      <c r="F270">
        <v>80</v>
      </c>
      <c r="G270">
        <v>80</v>
      </c>
      <c r="H270">
        <f t="shared" si="13"/>
        <v>0</v>
      </c>
      <c r="I270" t="s">
        <v>39</v>
      </c>
      <c r="J270" s="95">
        <v>45566</v>
      </c>
    </row>
    <row r="271" spans="1:10">
      <c r="A271" s="95">
        <v>45567</v>
      </c>
      <c r="B271" s="761" t="s">
        <v>9362</v>
      </c>
      <c r="D271" s="761" t="s">
        <v>9363</v>
      </c>
      <c r="E271" s="761" t="s">
        <v>9364</v>
      </c>
      <c r="F271">
        <v>80</v>
      </c>
      <c r="G271">
        <v>80</v>
      </c>
      <c r="H271">
        <f t="shared" si="13"/>
        <v>0</v>
      </c>
      <c r="I271" s="1180" t="s">
        <v>39</v>
      </c>
      <c r="J271" s="95">
        <v>45568</v>
      </c>
    </row>
    <row r="272" spans="1:10">
      <c r="A272" s="95">
        <v>45567</v>
      </c>
      <c r="B272" s="761" t="s">
        <v>9362</v>
      </c>
      <c r="D272" s="761" t="s">
        <v>9363</v>
      </c>
      <c r="E272" s="983" t="s">
        <v>9365</v>
      </c>
      <c r="F272">
        <v>80</v>
      </c>
      <c r="G272">
        <v>80</v>
      </c>
      <c r="H272">
        <f t="shared" si="13"/>
        <v>0</v>
      </c>
      <c r="I272" s="1180" t="s">
        <v>39</v>
      </c>
      <c r="J272" s="95">
        <v>45568</v>
      </c>
    </row>
    <row r="273" spans="1:10">
      <c r="A273" s="95">
        <v>45568</v>
      </c>
      <c r="B273" s="1181" t="s">
        <v>9367</v>
      </c>
      <c r="D273" s="1181" t="s">
        <v>9368</v>
      </c>
      <c r="E273" s="761" t="s">
        <v>9366</v>
      </c>
      <c r="F273">
        <v>80</v>
      </c>
      <c r="G273">
        <v>80</v>
      </c>
      <c r="H273">
        <f t="shared" si="13"/>
        <v>0</v>
      </c>
    </row>
    <row r="274" spans="1:10">
      <c r="A274" s="95">
        <v>45579</v>
      </c>
      <c r="B274" s="761" t="s">
        <v>9381</v>
      </c>
      <c r="D274" s="761" t="s">
        <v>9382</v>
      </c>
      <c r="E274" s="761" t="s">
        <v>9383</v>
      </c>
      <c r="F274">
        <v>80</v>
      </c>
      <c r="G274">
        <v>80</v>
      </c>
      <c r="H274">
        <f t="shared" si="13"/>
        <v>0</v>
      </c>
      <c r="I274" s="1180" t="s">
        <v>39</v>
      </c>
      <c r="J274" s="95">
        <v>45580</v>
      </c>
    </row>
    <row r="275" spans="1:10">
      <c r="A275" s="95">
        <v>45579</v>
      </c>
      <c r="B275" s="761" t="s">
        <v>9384</v>
      </c>
      <c r="D275" s="761" t="s">
        <v>9387</v>
      </c>
      <c r="E275" s="761" t="s">
        <v>9386</v>
      </c>
      <c r="F275">
        <v>80</v>
      </c>
      <c r="G275">
        <v>80</v>
      </c>
      <c r="H275">
        <f t="shared" si="13"/>
        <v>0</v>
      </c>
      <c r="I275" s="1180" t="s">
        <v>39</v>
      </c>
      <c r="J275" s="95">
        <v>45580</v>
      </c>
    </row>
    <row r="276" spans="1:10">
      <c r="A276" s="95">
        <v>45579</v>
      </c>
      <c r="B276" s="761" t="s">
        <v>9384</v>
      </c>
      <c r="D276" s="761" t="s">
        <v>9387</v>
      </c>
      <c r="E276" s="761" t="s">
        <v>9385</v>
      </c>
      <c r="F276">
        <v>80</v>
      </c>
      <c r="G276">
        <v>80</v>
      </c>
      <c r="H276">
        <f t="shared" si="13"/>
        <v>0</v>
      </c>
      <c r="I276" s="1180" t="s">
        <v>39</v>
      </c>
      <c r="J276" s="95">
        <v>45580</v>
      </c>
    </row>
    <row r="277" spans="1:10">
      <c r="A277" s="95">
        <v>45580</v>
      </c>
      <c r="B277" s="1187" t="s">
        <v>9391</v>
      </c>
      <c r="D277" s="1187" t="s">
        <v>9392</v>
      </c>
      <c r="E277" s="1187" t="s">
        <v>9393</v>
      </c>
      <c r="F277">
        <v>80</v>
      </c>
      <c r="G277">
        <v>80</v>
      </c>
      <c r="H277">
        <f t="shared" si="13"/>
        <v>0</v>
      </c>
      <c r="I277" s="1180" t="s">
        <v>39</v>
      </c>
      <c r="J277" s="95">
        <v>45581</v>
      </c>
    </row>
    <row r="278" spans="1:10">
      <c r="A278" s="95">
        <v>45580</v>
      </c>
      <c r="B278" s="1188" t="s">
        <v>9395</v>
      </c>
      <c r="E278" s="983" t="s">
        <v>9394</v>
      </c>
      <c r="H278">
        <f t="shared" si="13"/>
        <v>0</v>
      </c>
    </row>
    <row r="279" spans="1:10">
      <c r="A279" s="95">
        <v>45581</v>
      </c>
      <c r="B279" s="761" t="s">
        <v>9396</v>
      </c>
      <c r="D279" s="761" t="s">
        <v>9397</v>
      </c>
      <c r="E279" s="1189" t="s">
        <v>9398</v>
      </c>
      <c r="F279">
        <v>80</v>
      </c>
      <c r="G279">
        <v>80</v>
      </c>
      <c r="H279">
        <f t="shared" si="13"/>
        <v>0</v>
      </c>
      <c r="I279" t="s">
        <v>8951</v>
      </c>
      <c r="J279" s="95">
        <v>45582</v>
      </c>
    </row>
    <row r="280" spans="1:10">
      <c r="A280" s="95">
        <v>45581</v>
      </c>
      <c r="B280" s="761" t="s">
        <v>9399</v>
      </c>
      <c r="D280" s="761" t="s">
        <v>9400</v>
      </c>
      <c r="E280" s="1190" t="s">
        <v>9401</v>
      </c>
      <c r="F280">
        <v>80</v>
      </c>
      <c r="G280">
        <v>30</v>
      </c>
      <c r="H280">
        <f t="shared" si="13"/>
        <v>50</v>
      </c>
    </row>
    <row r="281" spans="1:10">
      <c r="A281" s="95">
        <v>45582</v>
      </c>
      <c r="B281" s="761" t="s">
        <v>8352</v>
      </c>
      <c r="D281" s="761" t="s">
        <v>9407</v>
      </c>
      <c r="E281" s="1192" t="s">
        <v>9406</v>
      </c>
      <c r="F281">
        <v>80</v>
      </c>
      <c r="G281">
        <v>30</v>
      </c>
      <c r="H281">
        <f t="shared" si="13"/>
        <v>50</v>
      </c>
    </row>
    <row r="282" spans="1:10">
      <c r="A282" s="95">
        <v>45582</v>
      </c>
      <c r="B282" s="761" t="s">
        <v>9411</v>
      </c>
      <c r="D282" s="1193" t="s">
        <v>9414</v>
      </c>
      <c r="E282" s="983" t="s">
        <v>9412</v>
      </c>
      <c r="F282">
        <v>80</v>
      </c>
      <c r="G282">
        <v>80</v>
      </c>
      <c r="H282">
        <f t="shared" si="13"/>
        <v>0</v>
      </c>
      <c r="I282" t="s">
        <v>8951</v>
      </c>
      <c r="J282" s="95">
        <v>45582</v>
      </c>
    </row>
    <row r="283" spans="1:10">
      <c r="A283" s="95">
        <v>45582</v>
      </c>
      <c r="B283" s="761" t="s">
        <v>9411</v>
      </c>
      <c r="D283" s="1193" t="s">
        <v>9414</v>
      </c>
      <c r="E283" s="983" t="s">
        <v>9413</v>
      </c>
      <c r="F283">
        <v>80</v>
      </c>
      <c r="G283">
        <v>80</v>
      </c>
      <c r="H283">
        <f t="shared" si="13"/>
        <v>0</v>
      </c>
      <c r="I283" t="s">
        <v>8951</v>
      </c>
      <c r="J283" s="95">
        <v>45582</v>
      </c>
    </row>
    <row r="284" spans="1:10">
      <c r="A284" s="95">
        <v>45583</v>
      </c>
      <c r="B284" s="761" t="s">
        <v>9419</v>
      </c>
      <c r="D284" s="1193" t="s">
        <v>9414</v>
      </c>
      <c r="E284" s="761" t="s">
        <v>9420</v>
      </c>
      <c r="F284">
        <v>80</v>
      </c>
      <c r="G284">
        <v>30</v>
      </c>
      <c r="H284">
        <f t="shared" si="13"/>
        <v>50</v>
      </c>
    </row>
    <row r="285" spans="1:10">
      <c r="A285" s="95">
        <v>45583</v>
      </c>
      <c r="B285" s="761" t="s">
        <v>9419</v>
      </c>
      <c r="D285" s="1193" t="s">
        <v>9414</v>
      </c>
      <c r="E285" s="761" t="s">
        <v>9421</v>
      </c>
      <c r="F285">
        <v>80</v>
      </c>
      <c r="G285">
        <v>30</v>
      </c>
      <c r="H285">
        <f t="shared" si="13"/>
        <v>50</v>
      </c>
    </row>
    <row r="286" spans="1:10">
      <c r="A286" s="95">
        <v>45584</v>
      </c>
      <c r="B286" s="761" t="s">
        <v>9422</v>
      </c>
      <c r="D286" s="761" t="s">
        <v>9424</v>
      </c>
      <c r="E286" s="761" t="s">
        <v>9423</v>
      </c>
      <c r="F286">
        <v>80</v>
      </c>
      <c r="G286">
        <v>80</v>
      </c>
      <c r="H286">
        <f t="shared" si="13"/>
        <v>0</v>
      </c>
      <c r="I286" s="1199" t="s">
        <v>39</v>
      </c>
      <c r="J286" s="95">
        <v>45586</v>
      </c>
    </row>
    <row r="287" spans="1:10">
      <c r="A287" s="95">
        <v>45584</v>
      </c>
      <c r="B287" s="761" t="s">
        <v>9422</v>
      </c>
      <c r="D287" s="761" t="s">
        <v>9426</v>
      </c>
      <c r="E287" s="983" t="s">
        <v>9425</v>
      </c>
      <c r="F287">
        <v>80</v>
      </c>
      <c r="G287">
        <v>80</v>
      </c>
      <c r="H287">
        <f t="shared" si="13"/>
        <v>0</v>
      </c>
      <c r="I287" s="1199" t="s">
        <v>39</v>
      </c>
      <c r="J287" s="95">
        <v>45586</v>
      </c>
    </row>
    <row r="288" spans="1:10">
      <c r="A288" s="95">
        <v>45585</v>
      </c>
      <c r="B288" s="761" t="s">
        <v>9430</v>
      </c>
      <c r="D288" s="761" t="s">
        <v>9429</v>
      </c>
      <c r="E288" s="761" t="s">
        <v>9431</v>
      </c>
      <c r="F288">
        <v>80</v>
      </c>
      <c r="G288">
        <v>80</v>
      </c>
      <c r="H288">
        <f t="shared" si="13"/>
        <v>0</v>
      </c>
      <c r="I288" s="1199" t="s">
        <v>39</v>
      </c>
      <c r="J288" s="95">
        <v>45590</v>
      </c>
    </row>
    <row r="289" spans="1:10">
      <c r="A289" s="95">
        <v>45585</v>
      </c>
      <c r="B289" s="761" t="s">
        <v>9433</v>
      </c>
      <c r="D289" s="761" t="s">
        <v>9432</v>
      </c>
      <c r="E289" s="761" t="s">
        <v>9434</v>
      </c>
      <c r="F289">
        <v>80</v>
      </c>
      <c r="G289">
        <v>80</v>
      </c>
      <c r="H289">
        <f t="shared" si="13"/>
        <v>0</v>
      </c>
      <c r="I289" s="1199" t="s">
        <v>39</v>
      </c>
      <c r="J289" s="95">
        <v>45586</v>
      </c>
    </row>
    <row r="290" spans="1:10">
      <c r="A290" s="95">
        <v>45587</v>
      </c>
      <c r="B290" s="761" t="s">
        <v>9436</v>
      </c>
      <c r="D290" s="761" t="s">
        <v>9438</v>
      </c>
      <c r="E290" s="761" t="s">
        <v>9437</v>
      </c>
      <c r="F290">
        <v>80</v>
      </c>
      <c r="G290">
        <v>30</v>
      </c>
      <c r="H290">
        <f t="shared" si="13"/>
        <v>50</v>
      </c>
    </row>
    <row r="291" spans="1:10">
      <c r="A291" s="95">
        <v>45587</v>
      </c>
      <c r="B291" s="761" t="s">
        <v>9436</v>
      </c>
      <c r="D291" s="761" t="s">
        <v>9438</v>
      </c>
      <c r="E291" s="761" t="s">
        <v>9439</v>
      </c>
      <c r="F291">
        <v>80</v>
      </c>
      <c r="G291">
        <v>30</v>
      </c>
      <c r="H291">
        <f t="shared" ref="H291:H297" si="14">F291-G291</f>
        <v>50</v>
      </c>
    </row>
    <row r="292" spans="1:10">
      <c r="A292" s="162">
        <v>45589</v>
      </c>
      <c r="B292" s="1204" t="s">
        <v>9446</v>
      </c>
      <c r="D292" s="761" t="s">
        <v>9211</v>
      </c>
      <c r="E292" s="1203" t="s">
        <v>9445</v>
      </c>
      <c r="F292">
        <v>80</v>
      </c>
      <c r="G292">
        <v>80</v>
      </c>
      <c r="H292">
        <f t="shared" si="14"/>
        <v>0</v>
      </c>
      <c r="I292" t="s">
        <v>39</v>
      </c>
      <c r="J292" s="95">
        <v>45592</v>
      </c>
    </row>
    <row r="293" spans="1:10">
      <c r="A293" s="95">
        <v>45592</v>
      </c>
      <c r="B293" s="761" t="s">
        <v>9456</v>
      </c>
      <c r="D293" s="761" t="s">
        <v>9457</v>
      </c>
      <c r="E293" s="761" t="s">
        <v>9458</v>
      </c>
      <c r="F293">
        <v>80</v>
      </c>
      <c r="G293">
        <v>80</v>
      </c>
      <c r="H293">
        <f t="shared" si="14"/>
        <v>0</v>
      </c>
      <c r="I293" t="s">
        <v>39</v>
      </c>
      <c r="J293" s="95">
        <v>45593</v>
      </c>
    </row>
    <row r="294" spans="1:10">
      <c r="A294" s="95">
        <v>45592</v>
      </c>
      <c r="B294" s="761" t="s">
        <v>9456</v>
      </c>
      <c r="D294" s="761" t="s">
        <v>9457</v>
      </c>
      <c r="E294" s="761" t="s">
        <v>9459</v>
      </c>
      <c r="F294">
        <v>80</v>
      </c>
      <c r="G294">
        <v>80</v>
      </c>
      <c r="H294">
        <f t="shared" si="14"/>
        <v>0</v>
      </c>
      <c r="I294" t="s">
        <v>39</v>
      </c>
      <c r="J294" s="95">
        <v>45593</v>
      </c>
    </row>
    <row r="295" spans="1:10">
      <c r="A295" s="95">
        <v>45592</v>
      </c>
      <c r="B295" s="761" t="s">
        <v>9384</v>
      </c>
      <c r="D295" s="761" t="s">
        <v>9460</v>
      </c>
      <c r="E295" s="761" t="s">
        <v>9461</v>
      </c>
      <c r="F295">
        <v>80</v>
      </c>
      <c r="G295">
        <v>80</v>
      </c>
      <c r="H295">
        <f t="shared" si="14"/>
        <v>0</v>
      </c>
      <c r="I295" t="s">
        <v>39</v>
      </c>
      <c r="J295" s="95">
        <v>45594</v>
      </c>
    </row>
    <row r="296" spans="1:10">
      <c r="A296" s="95">
        <v>45593</v>
      </c>
      <c r="B296" s="761" t="s">
        <v>9464</v>
      </c>
      <c r="D296" s="761" t="s">
        <v>9465</v>
      </c>
      <c r="E296" s="761" t="s">
        <v>9466</v>
      </c>
      <c r="F296">
        <v>80</v>
      </c>
      <c r="G296">
        <v>80</v>
      </c>
      <c r="H296">
        <f t="shared" si="14"/>
        <v>0</v>
      </c>
      <c r="I296" t="s">
        <v>39</v>
      </c>
      <c r="J296" s="95">
        <v>45600</v>
      </c>
    </row>
    <row r="297" spans="1:10">
      <c r="A297" s="95">
        <v>45593</v>
      </c>
      <c r="B297" s="1213" t="s">
        <v>9470</v>
      </c>
      <c r="D297" s="761" t="s">
        <v>9468</v>
      </c>
      <c r="E297" s="761" t="s">
        <v>9469</v>
      </c>
      <c r="F297">
        <v>80</v>
      </c>
      <c r="G297">
        <v>80</v>
      </c>
      <c r="H297">
        <f t="shared" si="14"/>
        <v>0</v>
      </c>
      <c r="I297" t="s">
        <v>39</v>
      </c>
      <c r="J297" s="95">
        <v>45622</v>
      </c>
    </row>
    <row r="298" spans="1:10">
      <c r="A298" s="95">
        <v>45600</v>
      </c>
      <c r="B298" s="761" t="s">
        <v>9464</v>
      </c>
      <c r="D298" s="761" t="s">
        <v>9484</v>
      </c>
      <c r="E298" s="761" t="s">
        <v>9485</v>
      </c>
      <c r="F298">
        <v>80</v>
      </c>
      <c r="G298">
        <v>80</v>
      </c>
      <c r="H298">
        <f t="shared" ref="H298:H325" si="15">F298-G298</f>
        <v>0</v>
      </c>
      <c r="I298" t="s">
        <v>39</v>
      </c>
      <c r="J298" s="95">
        <v>45601</v>
      </c>
    </row>
    <row r="299" spans="1:10">
      <c r="A299" s="95">
        <v>45601</v>
      </c>
      <c r="B299" s="761" t="s">
        <v>9486</v>
      </c>
      <c r="D299" s="761" t="s">
        <v>9488</v>
      </c>
      <c r="E299" s="761" t="s">
        <v>9487</v>
      </c>
      <c r="F299">
        <v>80</v>
      </c>
      <c r="G299">
        <v>80</v>
      </c>
      <c r="H299">
        <f t="shared" si="15"/>
        <v>0</v>
      </c>
      <c r="I299" t="s">
        <v>39</v>
      </c>
      <c r="J299" s="95">
        <v>45605</v>
      </c>
    </row>
    <row r="300" spans="1:10">
      <c r="A300" s="95">
        <v>45606</v>
      </c>
      <c r="B300" s="761" t="s">
        <v>8163</v>
      </c>
      <c r="D300" s="761">
        <v>9135936042</v>
      </c>
      <c r="E300" s="761" t="s">
        <v>9494</v>
      </c>
      <c r="F300">
        <v>80</v>
      </c>
      <c r="G300">
        <v>80</v>
      </c>
      <c r="H300">
        <f t="shared" si="15"/>
        <v>0</v>
      </c>
    </row>
    <row r="301" spans="1:10">
      <c r="A301" s="95">
        <v>45610</v>
      </c>
      <c r="B301" s="1229" t="s">
        <v>9506</v>
      </c>
      <c r="D301" s="1229" t="s">
        <v>9507</v>
      </c>
      <c r="E301" s="761" t="s">
        <v>9508</v>
      </c>
      <c r="F301">
        <v>80</v>
      </c>
      <c r="G301">
        <v>80</v>
      </c>
      <c r="H301">
        <f t="shared" si="15"/>
        <v>0</v>
      </c>
      <c r="I301" t="s">
        <v>39</v>
      </c>
      <c r="J301" s="95">
        <v>45613</v>
      </c>
    </row>
    <row r="302" spans="1:10">
      <c r="A302" s="95">
        <v>45611</v>
      </c>
      <c r="B302" s="761" t="s">
        <v>9516</v>
      </c>
      <c r="D302" s="761" t="s">
        <v>9517</v>
      </c>
      <c r="E302" s="761" t="s">
        <v>9518</v>
      </c>
      <c r="F302">
        <v>80</v>
      </c>
      <c r="G302">
        <v>80</v>
      </c>
      <c r="H302">
        <f t="shared" si="15"/>
        <v>0</v>
      </c>
    </row>
    <row r="303" spans="1:10">
      <c r="A303" s="95">
        <v>45611</v>
      </c>
      <c r="B303" s="761" t="s">
        <v>9519</v>
      </c>
      <c r="D303" s="761" t="s">
        <v>9520</v>
      </c>
      <c r="E303" s="761" t="s">
        <v>9521</v>
      </c>
      <c r="F303">
        <v>80</v>
      </c>
      <c r="G303">
        <v>80</v>
      </c>
      <c r="H303">
        <f t="shared" si="15"/>
        <v>0</v>
      </c>
      <c r="I303" t="s">
        <v>8951</v>
      </c>
      <c r="J303" s="95">
        <v>45612</v>
      </c>
    </row>
    <row r="304" spans="1:10">
      <c r="A304" s="95">
        <v>45611</v>
      </c>
      <c r="B304" s="761" t="s">
        <v>9519</v>
      </c>
      <c r="D304" s="761" t="s">
        <v>9520</v>
      </c>
      <c r="E304" s="761" t="s">
        <v>9522</v>
      </c>
      <c r="F304">
        <v>80</v>
      </c>
      <c r="G304">
        <v>80</v>
      </c>
      <c r="H304">
        <f t="shared" si="15"/>
        <v>0</v>
      </c>
      <c r="I304" t="s">
        <v>8951</v>
      </c>
      <c r="J304" s="95">
        <v>45612</v>
      </c>
    </row>
    <row r="305" spans="1:10">
      <c r="A305" s="95">
        <v>45612</v>
      </c>
      <c r="B305" s="761" t="s">
        <v>9524</v>
      </c>
      <c r="D305" s="761" t="s">
        <v>9525</v>
      </c>
      <c r="E305" s="761" t="s">
        <v>9526</v>
      </c>
      <c r="F305">
        <v>80</v>
      </c>
      <c r="G305">
        <v>80</v>
      </c>
      <c r="H305">
        <f t="shared" si="15"/>
        <v>0</v>
      </c>
      <c r="I305" t="s">
        <v>8951</v>
      </c>
      <c r="J305" s="95">
        <v>45614</v>
      </c>
    </row>
    <row r="306" spans="1:10">
      <c r="A306" s="95">
        <v>45612</v>
      </c>
      <c r="B306" s="761" t="s">
        <v>9524</v>
      </c>
      <c r="D306" s="761" t="s">
        <v>9531</v>
      </c>
      <c r="E306" s="761" t="s">
        <v>9527</v>
      </c>
      <c r="F306">
        <v>80</v>
      </c>
      <c r="G306">
        <v>80</v>
      </c>
      <c r="H306">
        <f t="shared" si="15"/>
        <v>0</v>
      </c>
      <c r="J306" s="95">
        <v>45614</v>
      </c>
    </row>
    <row r="308" spans="1:10">
      <c r="A308" s="95">
        <v>45617</v>
      </c>
      <c r="B308" s="761" t="s">
        <v>9539</v>
      </c>
      <c r="D308" s="761" t="s">
        <v>9541</v>
      </c>
      <c r="E308" s="761" t="s">
        <v>9540</v>
      </c>
      <c r="F308">
        <v>80</v>
      </c>
      <c r="G308">
        <v>80</v>
      </c>
      <c r="H308">
        <f t="shared" si="15"/>
        <v>0</v>
      </c>
      <c r="I308" t="s">
        <v>114</v>
      </c>
    </row>
    <row r="309" spans="1:10">
      <c r="A309" s="95">
        <v>45617</v>
      </c>
      <c r="B309" s="761" t="s">
        <v>9542</v>
      </c>
      <c r="D309" s="761" t="s">
        <v>9544</v>
      </c>
      <c r="E309" s="761" t="s">
        <v>9543</v>
      </c>
      <c r="F309">
        <v>80</v>
      </c>
      <c r="G309">
        <v>80</v>
      </c>
      <c r="H309">
        <f t="shared" si="15"/>
        <v>0</v>
      </c>
      <c r="I309" t="s">
        <v>8951</v>
      </c>
      <c r="J309" s="95">
        <v>45624</v>
      </c>
    </row>
    <row r="310" spans="1:10">
      <c r="A310" s="95">
        <v>45617</v>
      </c>
      <c r="B310" s="761" t="s">
        <v>9542</v>
      </c>
      <c r="D310" s="761" t="s">
        <v>9545</v>
      </c>
      <c r="E310" s="761" t="s">
        <v>7078</v>
      </c>
      <c r="F310">
        <v>80</v>
      </c>
      <c r="G310">
        <v>80</v>
      </c>
      <c r="H310">
        <f t="shared" si="15"/>
        <v>0</v>
      </c>
      <c r="I310" t="s">
        <v>8951</v>
      </c>
      <c r="J310" s="95">
        <v>45624</v>
      </c>
    </row>
    <row r="311" spans="1:10">
      <c r="A311" s="95">
        <v>45620</v>
      </c>
      <c r="B311" s="1239" t="s">
        <v>9073</v>
      </c>
      <c r="D311" s="761" t="s">
        <v>9548</v>
      </c>
      <c r="E311" s="761" t="s">
        <v>9549</v>
      </c>
      <c r="F311">
        <v>80</v>
      </c>
      <c r="G311">
        <v>30</v>
      </c>
      <c r="H311">
        <f t="shared" si="15"/>
        <v>50</v>
      </c>
    </row>
    <row r="312" spans="1:10">
      <c r="A312" s="95">
        <v>50</v>
      </c>
      <c r="B312" s="1240" t="s">
        <v>9550</v>
      </c>
      <c r="D312" s="1240" t="s">
        <v>9553</v>
      </c>
      <c r="E312" s="761" t="s">
        <v>9551</v>
      </c>
      <c r="F312">
        <v>80</v>
      </c>
      <c r="G312">
        <v>80</v>
      </c>
      <c r="H312">
        <f t="shared" si="15"/>
        <v>0</v>
      </c>
      <c r="J312" s="95">
        <v>45622</v>
      </c>
    </row>
    <row r="313" spans="1:10">
      <c r="A313" s="95">
        <v>45621</v>
      </c>
      <c r="B313" s="1240" t="s">
        <v>9550</v>
      </c>
      <c r="D313" s="1240" t="s">
        <v>9553</v>
      </c>
      <c r="E313" s="761" t="s">
        <v>9552</v>
      </c>
      <c r="F313">
        <v>80</v>
      </c>
      <c r="G313">
        <v>80</v>
      </c>
      <c r="H313">
        <f t="shared" si="15"/>
        <v>0</v>
      </c>
      <c r="I313" t="s">
        <v>8951</v>
      </c>
      <c r="J313" s="95">
        <v>45622</v>
      </c>
    </row>
    <row r="314" spans="1:10">
      <c r="A314" s="95">
        <v>45621</v>
      </c>
      <c r="B314" s="1244" t="s">
        <v>9565</v>
      </c>
      <c r="D314" s="1244" t="s">
        <v>9564</v>
      </c>
      <c r="E314" s="761" t="s">
        <v>4549</v>
      </c>
      <c r="F314">
        <v>80</v>
      </c>
      <c r="G314">
        <v>80</v>
      </c>
      <c r="H314">
        <f t="shared" si="15"/>
        <v>0</v>
      </c>
      <c r="I314" t="s">
        <v>8951</v>
      </c>
      <c r="J314" s="95">
        <v>45622</v>
      </c>
    </row>
    <row r="315" spans="1:10">
      <c r="A315" s="95">
        <v>45624</v>
      </c>
      <c r="B315" s="761" t="s">
        <v>9572</v>
      </c>
      <c r="D315" s="761" t="s">
        <v>9574</v>
      </c>
      <c r="E315" s="761" t="s">
        <v>9573</v>
      </c>
      <c r="F315">
        <v>80</v>
      </c>
      <c r="G315">
        <v>30</v>
      </c>
      <c r="H315">
        <f t="shared" si="15"/>
        <v>50</v>
      </c>
    </row>
    <row r="316" spans="1:10">
      <c r="A316" s="95">
        <v>45624</v>
      </c>
      <c r="B316" s="761" t="s">
        <v>9575</v>
      </c>
      <c r="D316" s="761" t="s">
        <v>9576</v>
      </c>
      <c r="E316" s="761" t="s">
        <v>9577</v>
      </c>
      <c r="F316">
        <v>80</v>
      </c>
      <c r="G316">
        <v>80</v>
      </c>
      <c r="H316">
        <f t="shared" si="15"/>
        <v>0</v>
      </c>
      <c r="I316" t="s">
        <v>39</v>
      </c>
      <c r="J316" s="95">
        <v>45624</v>
      </c>
    </row>
    <row r="317" spans="1:10">
      <c r="A317" s="95">
        <v>45624</v>
      </c>
      <c r="B317" s="761" t="s">
        <v>9575</v>
      </c>
      <c r="D317" s="761" t="s">
        <v>9576</v>
      </c>
      <c r="E317" s="761" t="s">
        <v>9580</v>
      </c>
      <c r="F317">
        <v>80</v>
      </c>
      <c r="G317">
        <v>80</v>
      </c>
      <c r="H317">
        <f t="shared" si="15"/>
        <v>0</v>
      </c>
      <c r="I317" t="s">
        <v>39</v>
      </c>
      <c r="J317" s="95">
        <v>45624</v>
      </c>
    </row>
    <row r="318" spans="1:10">
      <c r="A318" s="95">
        <v>45625</v>
      </c>
      <c r="B318" s="761" t="s">
        <v>9579</v>
      </c>
      <c r="D318" s="761" t="s">
        <v>9578</v>
      </c>
      <c r="E318" s="761" t="s">
        <v>9581</v>
      </c>
      <c r="F318">
        <v>80</v>
      </c>
      <c r="G318">
        <v>80</v>
      </c>
      <c r="H318">
        <f t="shared" si="15"/>
        <v>0</v>
      </c>
    </row>
    <row r="319" spans="1:10">
      <c r="A319" s="95">
        <v>45625</v>
      </c>
      <c r="B319" s="761" t="s">
        <v>9583</v>
      </c>
      <c r="C319" s="761" t="s">
        <v>9584</v>
      </c>
      <c r="D319" s="761" t="s">
        <v>9585</v>
      </c>
      <c r="E319" s="761" t="s">
        <v>9586</v>
      </c>
      <c r="F319">
        <v>80</v>
      </c>
      <c r="G319">
        <v>80</v>
      </c>
      <c r="H319">
        <f t="shared" si="15"/>
        <v>0</v>
      </c>
    </row>
    <row r="320" spans="1:10">
      <c r="A320" s="95">
        <v>45625</v>
      </c>
      <c r="B320" s="1249" t="s">
        <v>9590</v>
      </c>
      <c r="D320" s="1249" t="s">
        <v>9591</v>
      </c>
      <c r="E320" s="761" t="s">
        <v>9592</v>
      </c>
      <c r="F320">
        <v>80</v>
      </c>
      <c r="G320">
        <v>80</v>
      </c>
      <c r="H320">
        <f t="shared" si="15"/>
        <v>0</v>
      </c>
      <c r="I320" t="s">
        <v>39</v>
      </c>
      <c r="J320" s="95">
        <v>45630</v>
      </c>
    </row>
    <row r="321" spans="1:10">
      <c r="A321" s="95">
        <v>45625</v>
      </c>
      <c r="B321" s="1249" t="s">
        <v>9590</v>
      </c>
      <c r="D321" s="1249" t="s">
        <v>9591</v>
      </c>
      <c r="E321" s="761" t="s">
        <v>901</v>
      </c>
      <c r="F321">
        <v>80</v>
      </c>
      <c r="G321">
        <v>80</v>
      </c>
      <c r="H321">
        <f t="shared" si="15"/>
        <v>0</v>
      </c>
      <c r="I321" t="s">
        <v>39</v>
      </c>
      <c r="J321" s="95">
        <v>45630</v>
      </c>
    </row>
    <row r="322" spans="1:10">
      <c r="A322" s="95">
        <v>45625</v>
      </c>
      <c r="B322" s="1249" t="s">
        <v>9590</v>
      </c>
      <c r="D322" s="1249" t="s">
        <v>9591</v>
      </c>
      <c r="E322" s="761" t="s">
        <v>5525</v>
      </c>
      <c r="F322">
        <v>80</v>
      </c>
      <c r="G322">
        <v>80</v>
      </c>
      <c r="H322">
        <f t="shared" si="15"/>
        <v>0</v>
      </c>
      <c r="I322" t="s">
        <v>39</v>
      </c>
      <c r="J322" s="95">
        <v>45630</v>
      </c>
    </row>
    <row r="323" spans="1:10">
      <c r="A323" s="95">
        <v>45625</v>
      </c>
      <c r="B323" s="1249" t="s">
        <v>9590</v>
      </c>
      <c r="D323" s="1249" t="s">
        <v>9591</v>
      </c>
      <c r="E323" s="761" t="s">
        <v>9593</v>
      </c>
      <c r="F323">
        <v>80</v>
      </c>
      <c r="G323">
        <v>80</v>
      </c>
      <c r="H323">
        <f t="shared" si="15"/>
        <v>0</v>
      </c>
      <c r="I323" t="s">
        <v>39</v>
      </c>
      <c r="J323" s="95">
        <v>45630</v>
      </c>
    </row>
    <row r="324" spans="1:10">
      <c r="A324" s="95">
        <v>45626</v>
      </c>
      <c r="B324" s="761" t="s">
        <v>9594</v>
      </c>
      <c r="C324" s="761" t="s">
        <v>9596</v>
      </c>
      <c r="D324" s="761" t="s">
        <v>9597</v>
      </c>
      <c r="E324" s="761" t="s">
        <v>9595</v>
      </c>
      <c r="F324">
        <v>80</v>
      </c>
      <c r="G324">
        <v>80</v>
      </c>
      <c r="H324">
        <f t="shared" si="15"/>
        <v>0</v>
      </c>
    </row>
    <row r="325" spans="1:10">
      <c r="A325" s="95">
        <v>45627</v>
      </c>
      <c r="B325" s="1250" t="s">
        <v>9598</v>
      </c>
      <c r="C325" s="1250" t="s">
        <v>9599</v>
      </c>
      <c r="D325" s="1250" t="s">
        <v>9600</v>
      </c>
      <c r="E325" s="761" t="s">
        <v>9601</v>
      </c>
      <c r="F325">
        <v>80</v>
      </c>
      <c r="G325">
        <v>80</v>
      </c>
      <c r="H325">
        <f t="shared" si="15"/>
        <v>0</v>
      </c>
      <c r="I325" t="s">
        <v>39</v>
      </c>
      <c r="J325" s="95">
        <v>45628</v>
      </c>
    </row>
    <row r="326" spans="1:10">
      <c r="A326" s="95">
        <v>45628</v>
      </c>
      <c r="B326" s="1253" t="s">
        <v>9607</v>
      </c>
      <c r="D326" s="1253" t="s">
        <v>9608</v>
      </c>
      <c r="E326" s="1253" t="s">
        <v>9609</v>
      </c>
      <c r="F326">
        <v>80</v>
      </c>
      <c r="G326">
        <v>80</v>
      </c>
      <c r="H326">
        <f t="shared" ref="H326" si="16">F326-G326</f>
        <v>0</v>
      </c>
      <c r="I326" t="s">
        <v>39</v>
      </c>
      <c r="J326" s="95">
        <v>45629</v>
      </c>
    </row>
    <row r="327" spans="1:10">
      <c r="A327" s="95">
        <v>45628</v>
      </c>
      <c r="B327" s="1253" t="s">
        <v>9583</v>
      </c>
      <c r="D327" s="1253" t="s">
        <v>9610</v>
      </c>
      <c r="E327" s="1253" t="s">
        <v>9611</v>
      </c>
      <c r="F327">
        <v>80</v>
      </c>
      <c r="G327">
        <v>80</v>
      </c>
      <c r="H327">
        <f t="shared" ref="H327" si="17">F327-G327</f>
        <v>0</v>
      </c>
      <c r="I327" t="s">
        <v>39</v>
      </c>
      <c r="J327" s="95">
        <v>45628</v>
      </c>
    </row>
    <row r="328" spans="1:10">
      <c r="A328" s="95">
        <v>45628</v>
      </c>
      <c r="B328" s="1253" t="s">
        <v>9583</v>
      </c>
      <c r="D328" s="761" t="s">
        <v>9612</v>
      </c>
      <c r="E328" s="1254" t="s">
        <v>9613</v>
      </c>
      <c r="F328">
        <v>80</v>
      </c>
      <c r="G328">
        <v>80</v>
      </c>
      <c r="H328">
        <f t="shared" ref="H328:H358" si="18">F328-G328</f>
        <v>0</v>
      </c>
      <c r="I328" t="s">
        <v>39</v>
      </c>
      <c r="J328" s="95">
        <v>45629</v>
      </c>
    </row>
    <row r="329" spans="1:10">
      <c r="A329" s="95">
        <v>45628</v>
      </c>
      <c r="B329" s="761" t="s">
        <v>9614</v>
      </c>
      <c r="C329" s="1315" t="s">
        <v>9695</v>
      </c>
      <c r="D329" s="761" t="s">
        <v>9615</v>
      </c>
      <c r="E329" s="1255" t="s">
        <v>9616</v>
      </c>
      <c r="F329">
        <v>80</v>
      </c>
      <c r="G329">
        <v>80</v>
      </c>
      <c r="H329">
        <f t="shared" si="18"/>
        <v>0</v>
      </c>
      <c r="I329" t="s">
        <v>39</v>
      </c>
      <c r="J329" s="95">
        <v>45629</v>
      </c>
    </row>
    <row r="330" spans="1:10">
      <c r="A330" s="95">
        <v>45628</v>
      </c>
      <c r="B330" s="761" t="s">
        <v>9614</v>
      </c>
      <c r="C330" s="1315" t="s">
        <v>9695</v>
      </c>
      <c r="D330" s="761" t="s">
        <v>9615</v>
      </c>
      <c r="E330" s="1255" t="s">
        <v>9617</v>
      </c>
      <c r="F330">
        <v>80</v>
      </c>
      <c r="G330">
        <v>80</v>
      </c>
      <c r="H330">
        <f t="shared" si="18"/>
        <v>0</v>
      </c>
      <c r="I330" t="s">
        <v>39</v>
      </c>
      <c r="J330" s="95">
        <v>45629</v>
      </c>
    </row>
    <row r="331" spans="1:10">
      <c r="A331" s="95">
        <v>45628</v>
      </c>
      <c r="B331" s="761" t="s">
        <v>9614</v>
      </c>
      <c r="C331" s="1315" t="s">
        <v>9695</v>
      </c>
      <c r="D331" s="761" t="s">
        <v>9615</v>
      </c>
      <c r="E331" s="1255" t="s">
        <v>9618</v>
      </c>
      <c r="F331">
        <v>80</v>
      </c>
      <c r="G331">
        <v>80</v>
      </c>
      <c r="H331">
        <f t="shared" si="18"/>
        <v>0</v>
      </c>
      <c r="I331" t="s">
        <v>39</v>
      </c>
      <c r="J331" s="95">
        <v>45629</v>
      </c>
    </row>
    <row r="332" spans="1:10">
      <c r="A332" s="95">
        <v>45628</v>
      </c>
      <c r="B332" s="761" t="s">
        <v>9614</v>
      </c>
      <c r="C332" s="1315" t="s">
        <v>9695</v>
      </c>
      <c r="D332" s="761" t="s">
        <v>9615</v>
      </c>
      <c r="E332" s="1255" t="s">
        <v>9621</v>
      </c>
      <c r="F332">
        <v>80</v>
      </c>
      <c r="G332">
        <v>80</v>
      </c>
      <c r="H332">
        <f t="shared" si="18"/>
        <v>0</v>
      </c>
      <c r="I332" t="s">
        <v>39</v>
      </c>
      <c r="J332" s="95">
        <v>45629</v>
      </c>
    </row>
    <row r="333" spans="1:10">
      <c r="A333" s="95">
        <v>45628</v>
      </c>
      <c r="B333" s="761" t="s">
        <v>9614</v>
      </c>
      <c r="C333" s="1315" t="s">
        <v>9695</v>
      </c>
      <c r="D333" s="761" t="s">
        <v>9619</v>
      </c>
      <c r="E333" s="1255" t="s">
        <v>9620</v>
      </c>
      <c r="F333">
        <v>80</v>
      </c>
      <c r="G333">
        <v>80</v>
      </c>
      <c r="H333">
        <f t="shared" si="18"/>
        <v>0</v>
      </c>
      <c r="I333" t="s">
        <v>39</v>
      </c>
      <c r="J333" s="95">
        <v>45629</v>
      </c>
    </row>
    <row r="334" spans="1:10">
      <c r="A334" s="95">
        <v>45629</v>
      </c>
      <c r="B334" s="1256" t="s">
        <v>9583</v>
      </c>
      <c r="D334" s="1256" t="s">
        <v>9623</v>
      </c>
      <c r="E334" s="1256" t="s">
        <v>9624</v>
      </c>
      <c r="F334">
        <v>80</v>
      </c>
      <c r="G334">
        <v>80</v>
      </c>
      <c r="H334">
        <f t="shared" si="18"/>
        <v>0</v>
      </c>
    </row>
    <row r="335" spans="1:10">
      <c r="A335" s="95">
        <v>45629</v>
      </c>
      <c r="B335" s="1256" t="s">
        <v>9583</v>
      </c>
      <c r="E335" s="1256" t="s">
        <v>8914</v>
      </c>
      <c r="F335">
        <v>130</v>
      </c>
      <c r="G335">
        <v>130</v>
      </c>
      <c r="H335">
        <f t="shared" si="18"/>
        <v>0</v>
      </c>
      <c r="I335" t="s">
        <v>39</v>
      </c>
      <c r="J335" s="95">
        <v>45629</v>
      </c>
    </row>
    <row r="336" spans="1:10">
      <c r="A336" s="95">
        <v>45629</v>
      </c>
      <c r="B336" s="1256" t="s">
        <v>9583</v>
      </c>
      <c r="D336" s="1256" t="s">
        <v>9625</v>
      </c>
      <c r="E336" s="1256" t="s">
        <v>9626</v>
      </c>
      <c r="F336">
        <v>130</v>
      </c>
      <c r="G336">
        <v>130</v>
      </c>
      <c r="H336">
        <f t="shared" si="18"/>
        <v>0</v>
      </c>
      <c r="I336" t="s">
        <v>39</v>
      </c>
      <c r="J336" s="95">
        <v>45629</v>
      </c>
    </row>
    <row r="337" spans="1:10">
      <c r="A337" s="95">
        <v>45629</v>
      </c>
      <c r="B337" s="1256" t="s">
        <v>9627</v>
      </c>
      <c r="D337" s="1256" t="s">
        <v>9628</v>
      </c>
      <c r="E337" s="1256" t="s">
        <v>9629</v>
      </c>
      <c r="F337">
        <v>130</v>
      </c>
      <c r="G337">
        <v>130</v>
      </c>
      <c r="H337">
        <f t="shared" si="18"/>
        <v>0</v>
      </c>
      <c r="I337" t="s">
        <v>39</v>
      </c>
      <c r="J337" s="95">
        <v>45629</v>
      </c>
    </row>
    <row r="338" spans="1:10">
      <c r="A338" s="95">
        <v>45629</v>
      </c>
      <c r="B338" s="1256" t="s">
        <v>9627</v>
      </c>
      <c r="D338" s="1256" t="s">
        <v>9628</v>
      </c>
      <c r="E338" s="1256" t="s">
        <v>9630</v>
      </c>
      <c r="F338">
        <v>130</v>
      </c>
      <c r="G338">
        <v>130</v>
      </c>
      <c r="H338">
        <f t="shared" si="18"/>
        <v>0</v>
      </c>
      <c r="I338" t="s">
        <v>39</v>
      </c>
      <c r="J338" s="95">
        <v>45629</v>
      </c>
    </row>
    <row r="339" spans="1:10">
      <c r="A339" s="95">
        <v>45630</v>
      </c>
      <c r="B339" s="1259" t="s">
        <v>9637</v>
      </c>
      <c r="D339" s="1259" t="s">
        <v>9638</v>
      </c>
      <c r="E339" s="1259" t="s">
        <v>9639</v>
      </c>
      <c r="F339">
        <v>80</v>
      </c>
      <c r="G339">
        <v>80</v>
      </c>
      <c r="H339">
        <f t="shared" si="18"/>
        <v>0</v>
      </c>
      <c r="I339" t="s">
        <v>39</v>
      </c>
      <c r="J339" s="95">
        <v>45633</v>
      </c>
    </row>
    <row r="340" spans="1:10">
      <c r="A340" s="95">
        <v>45630</v>
      </c>
      <c r="B340" s="1259" t="s">
        <v>9583</v>
      </c>
      <c r="D340" s="1259" t="s">
        <v>9640</v>
      </c>
      <c r="E340" s="1259" t="s">
        <v>9641</v>
      </c>
      <c r="F340">
        <v>80</v>
      </c>
      <c r="G340">
        <v>80</v>
      </c>
      <c r="H340">
        <f t="shared" si="18"/>
        <v>0</v>
      </c>
    </row>
    <row r="341" spans="1:10">
      <c r="A341" s="95">
        <v>45631</v>
      </c>
      <c r="B341" s="1259" t="s">
        <v>9583</v>
      </c>
      <c r="D341" s="761" t="s">
        <v>9644</v>
      </c>
      <c r="E341" s="1261" t="s">
        <v>9645</v>
      </c>
      <c r="F341">
        <v>80</v>
      </c>
      <c r="G341">
        <v>80</v>
      </c>
      <c r="H341">
        <f t="shared" si="18"/>
        <v>0</v>
      </c>
    </row>
    <row r="342" spans="1:10">
      <c r="A342" s="95">
        <v>45631</v>
      </c>
      <c r="B342" s="1259" t="s">
        <v>9583</v>
      </c>
      <c r="D342" s="761" t="s">
        <v>9646</v>
      </c>
      <c r="E342" s="1261" t="s">
        <v>9647</v>
      </c>
      <c r="F342">
        <v>80</v>
      </c>
      <c r="G342">
        <v>80</v>
      </c>
      <c r="H342">
        <f t="shared" si="18"/>
        <v>0</v>
      </c>
    </row>
    <row r="343" spans="1:10">
      <c r="A343" s="95">
        <v>45631</v>
      </c>
      <c r="B343" s="1261" t="s">
        <v>9648</v>
      </c>
      <c r="C343" s="1308">
        <v>701556430996</v>
      </c>
      <c r="D343" s="1261" t="s">
        <v>9649</v>
      </c>
      <c r="E343" s="1261" t="s">
        <v>9650</v>
      </c>
      <c r="F343">
        <v>80</v>
      </c>
      <c r="G343">
        <v>30</v>
      </c>
      <c r="H343">
        <f t="shared" si="18"/>
        <v>50</v>
      </c>
    </row>
    <row r="344" spans="1:10">
      <c r="A344" s="95">
        <v>45631</v>
      </c>
      <c r="B344" s="761" t="s">
        <v>9539</v>
      </c>
      <c r="D344" s="761" t="s">
        <v>9651</v>
      </c>
      <c r="E344" s="1261" t="s">
        <v>9652</v>
      </c>
      <c r="F344">
        <v>80</v>
      </c>
      <c r="G344">
        <v>80</v>
      </c>
      <c r="H344">
        <f t="shared" si="18"/>
        <v>0</v>
      </c>
      <c r="I344" t="s">
        <v>39</v>
      </c>
      <c r="J344" s="95">
        <v>45631</v>
      </c>
    </row>
    <row r="345" spans="1:10">
      <c r="A345" s="95">
        <v>45631</v>
      </c>
      <c r="B345" s="1261" t="s">
        <v>9653</v>
      </c>
      <c r="D345" s="761" t="s">
        <v>9656</v>
      </c>
      <c r="E345" s="1261" t="s">
        <v>9654</v>
      </c>
      <c r="F345">
        <v>80</v>
      </c>
      <c r="G345">
        <v>80</v>
      </c>
      <c r="H345">
        <f t="shared" si="18"/>
        <v>0</v>
      </c>
      <c r="I345" t="s">
        <v>39</v>
      </c>
      <c r="J345" s="95">
        <v>45631</v>
      </c>
    </row>
    <row r="346" spans="1:10">
      <c r="A346" s="95">
        <v>45631</v>
      </c>
      <c r="B346" s="1261" t="s">
        <v>9653</v>
      </c>
      <c r="D346" s="761" t="s">
        <v>9656</v>
      </c>
      <c r="E346" s="1261" t="s">
        <v>9655</v>
      </c>
      <c r="F346">
        <v>80</v>
      </c>
      <c r="G346">
        <v>80</v>
      </c>
      <c r="H346">
        <f t="shared" si="18"/>
        <v>0</v>
      </c>
      <c r="I346" t="s">
        <v>39</v>
      </c>
      <c r="J346" s="95">
        <v>45631</v>
      </c>
    </row>
    <row r="347" spans="1:10">
      <c r="A347" s="95">
        <v>45633</v>
      </c>
      <c r="B347" s="761" t="s">
        <v>9583</v>
      </c>
      <c r="C347" s="1308" t="s">
        <v>9680</v>
      </c>
      <c r="D347" s="761" t="s">
        <v>9670</v>
      </c>
      <c r="E347" s="1303" t="s">
        <v>9671</v>
      </c>
      <c r="F347">
        <v>80</v>
      </c>
      <c r="G347">
        <v>80</v>
      </c>
      <c r="H347">
        <f t="shared" si="18"/>
        <v>0</v>
      </c>
      <c r="I347" t="s">
        <v>39</v>
      </c>
      <c r="J347" s="95">
        <v>45637</v>
      </c>
    </row>
    <row r="348" spans="1:10">
      <c r="A348" s="95"/>
      <c r="B348" s="761" t="s">
        <v>9673</v>
      </c>
      <c r="E348" s="1306" t="s">
        <v>9674</v>
      </c>
      <c r="H348">
        <f t="shared" si="18"/>
        <v>0</v>
      </c>
    </row>
    <row r="349" spans="1:10">
      <c r="A349" s="95"/>
      <c r="B349" s="761" t="s">
        <v>9673</v>
      </c>
      <c r="E349" s="1306" t="s">
        <v>9675</v>
      </c>
      <c r="H349">
        <f t="shared" si="18"/>
        <v>0</v>
      </c>
    </row>
    <row r="350" spans="1:10">
      <c r="A350" s="95"/>
      <c r="B350" s="761" t="s">
        <v>9673</v>
      </c>
      <c r="E350" s="1306" t="s">
        <v>9676</v>
      </c>
      <c r="H350">
        <f t="shared" si="18"/>
        <v>0</v>
      </c>
    </row>
    <row r="351" spans="1:10">
      <c r="A351" s="95"/>
      <c r="B351" s="761" t="s">
        <v>9673</v>
      </c>
      <c r="E351" s="1306" t="s">
        <v>9677</v>
      </c>
      <c r="H351">
        <f t="shared" si="18"/>
        <v>0</v>
      </c>
    </row>
    <row r="352" spans="1:10">
      <c r="A352" s="95">
        <v>45634</v>
      </c>
      <c r="B352" s="1308"/>
      <c r="C352" s="1308" t="s">
        <v>8549</v>
      </c>
      <c r="D352" s="1308" t="s">
        <v>8550</v>
      </c>
      <c r="E352" s="1308" t="s">
        <v>2596</v>
      </c>
      <c r="F352">
        <v>80</v>
      </c>
      <c r="H352">
        <f t="shared" si="18"/>
        <v>80</v>
      </c>
    </row>
    <row r="353" spans="1:10">
      <c r="A353" s="95">
        <v>45635</v>
      </c>
      <c r="B353" s="1311" t="s">
        <v>9583</v>
      </c>
      <c r="C353" s="1311" t="s">
        <v>9684</v>
      </c>
      <c r="D353" s="1311" t="s">
        <v>9685</v>
      </c>
      <c r="E353" s="1311" t="s">
        <v>9686</v>
      </c>
      <c r="F353">
        <v>80</v>
      </c>
      <c r="G353">
        <v>80</v>
      </c>
      <c r="H353">
        <f t="shared" si="18"/>
        <v>0</v>
      </c>
    </row>
    <row r="354" spans="1:10">
      <c r="A354" s="95">
        <v>45636</v>
      </c>
      <c r="B354" s="761" t="s">
        <v>9583</v>
      </c>
      <c r="C354" s="761" t="s">
        <v>9688</v>
      </c>
      <c r="E354" s="1313" t="s">
        <v>9690</v>
      </c>
      <c r="F354">
        <v>80</v>
      </c>
      <c r="G354">
        <v>20</v>
      </c>
      <c r="H354">
        <f t="shared" si="18"/>
        <v>60</v>
      </c>
    </row>
    <row r="355" spans="1:10">
      <c r="A355" s="95">
        <v>45636</v>
      </c>
      <c r="B355" s="761" t="s">
        <v>9583</v>
      </c>
      <c r="D355" s="761" t="s">
        <v>9689</v>
      </c>
      <c r="E355" s="1313" t="s">
        <v>9691</v>
      </c>
      <c r="F355">
        <v>80</v>
      </c>
      <c r="G355">
        <v>80</v>
      </c>
      <c r="H355">
        <f t="shared" si="18"/>
        <v>0</v>
      </c>
      <c r="I355" t="s">
        <v>528</v>
      </c>
    </row>
    <row r="356" spans="1:10">
      <c r="A356" s="95">
        <v>45638</v>
      </c>
      <c r="B356" s="761" t="s">
        <v>9583</v>
      </c>
      <c r="C356" s="1314" t="s">
        <v>9692</v>
      </c>
      <c r="D356" s="1314" t="s">
        <v>9693</v>
      </c>
      <c r="E356" s="1314" t="s">
        <v>9694</v>
      </c>
      <c r="F356">
        <v>80</v>
      </c>
      <c r="G356">
        <v>80</v>
      </c>
      <c r="H356">
        <f t="shared" si="18"/>
        <v>0</v>
      </c>
    </row>
    <row r="357" spans="1:10">
      <c r="A357" s="1319">
        <v>45639</v>
      </c>
      <c r="B357" s="761" t="s">
        <v>9583</v>
      </c>
      <c r="C357" s="1316" t="s">
        <v>9696</v>
      </c>
      <c r="D357" s="1316" t="s">
        <v>9697</v>
      </c>
      <c r="E357" s="1316" t="s">
        <v>9698</v>
      </c>
      <c r="F357">
        <v>80</v>
      </c>
      <c r="G357">
        <v>80</v>
      </c>
      <c r="H357">
        <f t="shared" si="18"/>
        <v>0</v>
      </c>
      <c r="I357" t="s">
        <v>528</v>
      </c>
      <c r="J357" s="95">
        <v>45642</v>
      </c>
    </row>
    <row r="358" spans="1:10">
      <c r="A358" s="1319">
        <v>45639</v>
      </c>
      <c r="B358" s="761" t="s">
        <v>9583</v>
      </c>
      <c r="C358" s="1316" t="s">
        <v>9699</v>
      </c>
      <c r="D358" s="1316" t="s">
        <v>9697</v>
      </c>
      <c r="E358" s="1316" t="s">
        <v>9700</v>
      </c>
      <c r="F358">
        <v>80</v>
      </c>
      <c r="G358">
        <v>80</v>
      </c>
      <c r="H358">
        <f t="shared" si="18"/>
        <v>0</v>
      </c>
      <c r="I358" t="s">
        <v>528</v>
      </c>
      <c r="J358" s="95">
        <v>45642</v>
      </c>
    </row>
    <row r="359" spans="1:10">
      <c r="A359" s="95">
        <v>45642</v>
      </c>
      <c r="B359" s="761" t="s">
        <v>9583</v>
      </c>
      <c r="C359" s="761" t="s">
        <v>9702</v>
      </c>
      <c r="D359" s="761" t="s">
        <v>9703</v>
      </c>
      <c r="E359" s="1318" t="s">
        <v>9704</v>
      </c>
      <c r="F359">
        <v>80</v>
      </c>
      <c r="G359">
        <v>80</v>
      </c>
      <c r="H359">
        <f t="shared" ref="H359:H361" si="19">F359-G359</f>
        <v>0</v>
      </c>
      <c r="I359" t="s">
        <v>528</v>
      </c>
      <c r="J359" s="95">
        <v>45642</v>
      </c>
    </row>
    <row r="360" spans="1:10">
      <c r="A360" s="95">
        <v>45642</v>
      </c>
      <c r="B360" s="761" t="s">
        <v>9708</v>
      </c>
      <c r="C360" s="761" t="s">
        <v>9707</v>
      </c>
      <c r="D360" s="761" t="s">
        <v>9705</v>
      </c>
      <c r="E360" s="1318" t="s">
        <v>9706</v>
      </c>
      <c r="F360">
        <v>80</v>
      </c>
      <c r="G360">
        <v>80</v>
      </c>
      <c r="H360">
        <f t="shared" si="19"/>
        <v>0</v>
      </c>
      <c r="I360" t="s">
        <v>528</v>
      </c>
      <c r="J360" s="95">
        <v>45642</v>
      </c>
    </row>
    <row r="361" spans="1:10">
      <c r="A361" s="95">
        <v>45643</v>
      </c>
      <c r="B361" s="761" t="s">
        <v>9063</v>
      </c>
      <c r="D361" s="761" t="s">
        <v>4854</v>
      </c>
      <c r="E361" s="1320" t="s">
        <v>9709</v>
      </c>
      <c r="F361">
        <v>80</v>
      </c>
      <c r="G361">
        <v>80</v>
      </c>
      <c r="H361">
        <f t="shared" si="19"/>
        <v>0</v>
      </c>
      <c r="I361" t="s">
        <v>528</v>
      </c>
      <c r="J361" s="95">
        <v>45645</v>
      </c>
    </row>
    <row r="362" spans="1:10">
      <c r="A362" s="95">
        <v>45645</v>
      </c>
      <c r="B362" s="761" t="s">
        <v>9712</v>
      </c>
      <c r="C362" s="761" t="s">
        <v>9713</v>
      </c>
      <c r="D362" s="761" t="s">
        <v>9714</v>
      </c>
      <c r="E362" s="1322" t="s">
        <v>1708</v>
      </c>
      <c r="F362">
        <v>80</v>
      </c>
      <c r="G362">
        <v>80</v>
      </c>
      <c r="H362">
        <f t="shared" ref="H362" si="20">F362-G362</f>
        <v>0</v>
      </c>
    </row>
    <row r="363" spans="1:10">
      <c r="A363" s="95">
        <v>45645</v>
      </c>
      <c r="B363" s="1323" t="s">
        <v>9717</v>
      </c>
      <c r="D363" s="761" t="s">
        <v>9716</v>
      </c>
      <c r="E363" s="1323" t="s">
        <v>9718</v>
      </c>
      <c r="F363">
        <v>80</v>
      </c>
      <c r="G363">
        <v>80</v>
      </c>
      <c r="H363">
        <f t="shared" ref="H363:H370" si="21">F363-G363</f>
        <v>0</v>
      </c>
    </row>
    <row r="364" spans="1:10">
      <c r="A364" s="95">
        <v>45646</v>
      </c>
      <c r="B364" s="1326" t="s">
        <v>9583</v>
      </c>
      <c r="C364" s="1326" t="s">
        <v>9731</v>
      </c>
      <c r="D364" s="1326" t="s">
        <v>9732</v>
      </c>
      <c r="E364" s="1326" t="s">
        <v>9733</v>
      </c>
      <c r="F364">
        <v>80</v>
      </c>
      <c r="G364">
        <v>80</v>
      </c>
      <c r="H364">
        <f t="shared" si="21"/>
        <v>0</v>
      </c>
      <c r="I364" t="s">
        <v>528</v>
      </c>
      <c r="J364" s="95">
        <v>45651</v>
      </c>
    </row>
    <row r="365" spans="1:10">
      <c r="A365" s="95">
        <v>45646</v>
      </c>
      <c r="B365" s="1326" t="s">
        <v>9736</v>
      </c>
      <c r="C365" s="1326" t="s">
        <v>9737</v>
      </c>
      <c r="D365" s="761" t="s">
        <v>9734</v>
      </c>
      <c r="E365" s="1326" t="s">
        <v>9735</v>
      </c>
      <c r="F365">
        <v>80</v>
      </c>
      <c r="G365">
        <v>80</v>
      </c>
      <c r="H365">
        <f t="shared" si="21"/>
        <v>0</v>
      </c>
      <c r="I365" t="s">
        <v>528</v>
      </c>
      <c r="J365" s="95">
        <v>45651</v>
      </c>
    </row>
    <row r="366" spans="1:10">
      <c r="A366" s="95">
        <v>45647</v>
      </c>
      <c r="B366" s="761" t="s">
        <v>9583</v>
      </c>
      <c r="C366" s="761" t="s">
        <v>9738</v>
      </c>
      <c r="D366" s="761" t="s">
        <v>8846</v>
      </c>
      <c r="E366" s="1327" t="s">
        <v>9739</v>
      </c>
      <c r="F366">
        <v>80</v>
      </c>
      <c r="G366">
        <v>80</v>
      </c>
      <c r="H366">
        <f t="shared" si="21"/>
        <v>0</v>
      </c>
    </row>
    <row r="367" spans="1:10">
      <c r="A367" s="95">
        <v>45647</v>
      </c>
      <c r="B367" s="761" t="s">
        <v>9740</v>
      </c>
      <c r="C367" s="761" t="s">
        <v>9741</v>
      </c>
      <c r="E367" s="1327" t="s">
        <v>8963</v>
      </c>
      <c r="F367">
        <v>80</v>
      </c>
      <c r="G367">
        <v>80</v>
      </c>
      <c r="H367">
        <f t="shared" si="21"/>
        <v>0</v>
      </c>
      <c r="I367" t="s">
        <v>528</v>
      </c>
      <c r="J367" s="95">
        <v>45647</v>
      </c>
    </row>
    <row r="368" spans="1:10">
      <c r="A368" s="95">
        <v>45647</v>
      </c>
      <c r="B368" s="1326" t="s">
        <v>9736</v>
      </c>
      <c r="C368" s="761" t="s">
        <v>9744</v>
      </c>
      <c r="D368" s="761" t="s">
        <v>9742</v>
      </c>
      <c r="E368" s="1327" t="s">
        <v>9743</v>
      </c>
      <c r="F368">
        <v>80</v>
      </c>
      <c r="G368">
        <v>80</v>
      </c>
      <c r="H368">
        <f t="shared" si="21"/>
        <v>0</v>
      </c>
      <c r="I368" t="s">
        <v>528</v>
      </c>
      <c r="J368" s="95">
        <v>45651</v>
      </c>
    </row>
    <row r="369" spans="1:10">
      <c r="A369" s="95">
        <v>45647</v>
      </c>
      <c r="B369" s="761" t="s">
        <v>9740</v>
      </c>
      <c r="C369" s="761" t="s">
        <v>9747</v>
      </c>
      <c r="D369" s="761" t="s">
        <v>9746</v>
      </c>
      <c r="E369" s="1327" t="s">
        <v>9745</v>
      </c>
      <c r="F369">
        <v>80</v>
      </c>
      <c r="G369">
        <v>80</v>
      </c>
      <c r="H369">
        <f t="shared" si="21"/>
        <v>0</v>
      </c>
      <c r="I369" t="s">
        <v>528</v>
      </c>
      <c r="J369" s="95">
        <v>45647</v>
      </c>
    </row>
    <row r="370" spans="1:10">
      <c r="A370" s="95">
        <v>45647</v>
      </c>
      <c r="B370" s="761" t="s">
        <v>9740</v>
      </c>
      <c r="D370" s="761" t="s">
        <v>9748</v>
      </c>
      <c r="E370" s="1327" t="s">
        <v>9749</v>
      </c>
      <c r="F370">
        <v>80</v>
      </c>
      <c r="G370">
        <v>80</v>
      </c>
      <c r="H370">
        <f t="shared" si="21"/>
        <v>0</v>
      </c>
      <c r="I370" t="s">
        <v>528</v>
      </c>
      <c r="J370" s="95">
        <v>45647</v>
      </c>
    </row>
    <row r="371" spans="1:10">
      <c r="A371" s="95">
        <v>45650</v>
      </c>
      <c r="B371" s="761" t="s">
        <v>9753</v>
      </c>
      <c r="C371" s="761" t="s">
        <v>9756</v>
      </c>
      <c r="D371" s="761" t="s">
        <v>9752</v>
      </c>
      <c r="E371" s="1330" t="s">
        <v>9755</v>
      </c>
      <c r="F371">
        <v>80</v>
      </c>
      <c r="G371">
        <v>80</v>
      </c>
      <c r="H371">
        <f t="shared" ref="H371:H375" si="22">F371-G371</f>
        <v>0</v>
      </c>
      <c r="I371" t="s">
        <v>528</v>
      </c>
      <c r="J371" s="95">
        <v>45651</v>
      </c>
    </row>
    <row r="372" spans="1:10">
      <c r="A372" s="95">
        <v>45650</v>
      </c>
      <c r="B372" s="761" t="s">
        <v>9753</v>
      </c>
      <c r="C372" s="761" t="s">
        <v>9757</v>
      </c>
      <c r="D372" s="761" t="s">
        <v>9752</v>
      </c>
      <c r="E372" s="1330" t="s">
        <v>9754</v>
      </c>
      <c r="F372">
        <v>80</v>
      </c>
      <c r="G372">
        <v>80</v>
      </c>
      <c r="H372">
        <f t="shared" si="22"/>
        <v>0</v>
      </c>
      <c r="I372" t="s">
        <v>528</v>
      </c>
      <c r="J372" s="95">
        <v>45651</v>
      </c>
    </row>
    <row r="373" spans="1:10">
      <c r="A373" s="95">
        <v>45650</v>
      </c>
      <c r="B373" s="761" t="s">
        <v>9583</v>
      </c>
      <c r="C373" s="761" t="s">
        <v>9759</v>
      </c>
      <c r="D373" s="761" t="s">
        <v>9758</v>
      </c>
      <c r="E373" s="1330" t="s">
        <v>9760</v>
      </c>
      <c r="F373">
        <v>80</v>
      </c>
      <c r="G373">
        <v>80</v>
      </c>
      <c r="H373">
        <f t="shared" si="22"/>
        <v>0</v>
      </c>
    </row>
    <row r="374" spans="1:10">
      <c r="A374" s="95">
        <v>45651</v>
      </c>
      <c r="B374" s="761" t="s">
        <v>9583</v>
      </c>
      <c r="C374" s="761" t="s">
        <v>9761</v>
      </c>
      <c r="D374" s="761" t="s">
        <v>9763</v>
      </c>
      <c r="E374" s="761" t="s">
        <v>9762</v>
      </c>
      <c r="F374">
        <v>80</v>
      </c>
      <c r="G374">
        <v>80</v>
      </c>
      <c r="H374">
        <f t="shared" si="22"/>
        <v>0</v>
      </c>
      <c r="I374" t="s">
        <v>528</v>
      </c>
      <c r="J374" s="95">
        <v>45651</v>
      </c>
    </row>
    <row r="375" spans="1:10">
      <c r="A375" s="95">
        <v>45655</v>
      </c>
      <c r="B375" s="761" t="s">
        <v>9583</v>
      </c>
      <c r="C375" s="1335" t="s">
        <v>9777</v>
      </c>
      <c r="D375" s="761" t="s">
        <v>9776</v>
      </c>
      <c r="E375" s="1335" t="s">
        <v>9778</v>
      </c>
      <c r="F375">
        <v>80</v>
      </c>
      <c r="G375">
        <v>80</v>
      </c>
      <c r="H375">
        <f t="shared" si="22"/>
        <v>0</v>
      </c>
      <c r="I375" t="s">
        <v>528</v>
      </c>
      <c r="J375" s="95">
        <v>45656</v>
      </c>
    </row>
    <row r="376" spans="1:10">
      <c r="A376" s="95">
        <v>45655</v>
      </c>
      <c r="B376" s="761" t="s">
        <v>9583</v>
      </c>
      <c r="C376" s="761" t="s">
        <v>9788</v>
      </c>
      <c r="D376" s="761" t="s">
        <v>9787</v>
      </c>
      <c r="E376" s="1336" t="s">
        <v>9786</v>
      </c>
      <c r="F376">
        <v>80</v>
      </c>
      <c r="G376">
        <v>80</v>
      </c>
      <c r="H376">
        <v>0</v>
      </c>
      <c r="I376" t="s">
        <v>528</v>
      </c>
      <c r="J376" s="95">
        <v>45655</v>
      </c>
    </row>
    <row r="377" spans="1:10">
      <c r="A377" s="95">
        <v>45655</v>
      </c>
      <c r="B377" s="761" t="s">
        <v>9792</v>
      </c>
      <c r="C377" s="761" t="s">
        <v>9789</v>
      </c>
      <c r="D377" s="761" t="s">
        <v>9790</v>
      </c>
      <c r="E377" s="1336" t="s">
        <v>9791</v>
      </c>
      <c r="F377">
        <v>80</v>
      </c>
      <c r="G377">
        <v>80</v>
      </c>
      <c r="H377">
        <v>0</v>
      </c>
      <c r="I377" t="s">
        <v>528</v>
      </c>
      <c r="J377" s="95">
        <v>45656</v>
      </c>
    </row>
    <row r="378" spans="1:10">
      <c r="A378" s="95">
        <v>45655</v>
      </c>
      <c r="B378" s="761" t="s">
        <v>9792</v>
      </c>
      <c r="C378" s="761" t="s">
        <v>9793</v>
      </c>
      <c r="D378" s="761" t="s">
        <v>9794</v>
      </c>
      <c r="E378" s="1336" t="s">
        <v>9795</v>
      </c>
      <c r="F378">
        <v>80</v>
      </c>
      <c r="G378">
        <v>80</v>
      </c>
      <c r="H378">
        <v>0</v>
      </c>
      <c r="I378" t="s">
        <v>528</v>
      </c>
      <c r="J378" s="95">
        <v>45656</v>
      </c>
    </row>
    <row r="379" spans="1:10">
      <c r="A379" s="95">
        <v>45658</v>
      </c>
      <c r="B379" s="761" t="s">
        <v>9583</v>
      </c>
      <c r="C379" s="761" t="s">
        <v>9799</v>
      </c>
      <c r="D379" s="761" t="s">
        <v>9800</v>
      </c>
      <c r="E379" s="1338" t="s">
        <v>9801</v>
      </c>
      <c r="F379">
        <v>80</v>
      </c>
      <c r="G379">
        <v>80</v>
      </c>
      <c r="H379">
        <v>0</v>
      </c>
      <c r="I379" t="s">
        <v>528</v>
      </c>
      <c r="J379" s="95">
        <v>45659</v>
      </c>
    </row>
    <row r="380" spans="1:10">
      <c r="A380" s="95">
        <v>45659</v>
      </c>
      <c r="B380" s="761" t="s">
        <v>9583</v>
      </c>
      <c r="C380" s="761" t="s">
        <v>9802</v>
      </c>
      <c r="D380" s="761" t="s">
        <v>9804</v>
      </c>
      <c r="E380" s="1339" t="s">
        <v>9803</v>
      </c>
      <c r="F380">
        <v>80</v>
      </c>
      <c r="J380" t="s">
        <v>324</v>
      </c>
    </row>
    <row r="381" spans="1:10">
      <c r="A381" s="95">
        <v>45659</v>
      </c>
      <c r="B381" s="761" t="s">
        <v>9583</v>
      </c>
      <c r="C381" s="761" t="s">
        <v>9805</v>
      </c>
      <c r="D381" s="761" t="s">
        <v>9804</v>
      </c>
      <c r="E381" s="1339" t="s">
        <v>9806</v>
      </c>
      <c r="F381">
        <v>80</v>
      </c>
    </row>
    <row r="382" spans="1:10">
      <c r="A382" s="95">
        <v>45659</v>
      </c>
      <c r="B382" s="761" t="s">
        <v>9583</v>
      </c>
      <c r="C382" s="761" t="s">
        <v>9807</v>
      </c>
      <c r="D382" s="761" t="s">
        <v>9808</v>
      </c>
      <c r="E382" s="1340" t="s">
        <v>9809</v>
      </c>
      <c r="F382">
        <v>80</v>
      </c>
    </row>
    <row r="383" spans="1:10">
      <c r="A383" s="95">
        <v>45660</v>
      </c>
      <c r="B383" s="761" t="s">
        <v>9583</v>
      </c>
      <c r="C383" s="761" t="s">
        <v>9811</v>
      </c>
      <c r="D383" s="761" t="s">
        <v>9810</v>
      </c>
      <c r="E383" s="1341" t="s">
        <v>9812</v>
      </c>
      <c r="F383">
        <v>80</v>
      </c>
      <c r="G383">
        <v>80</v>
      </c>
      <c r="H383">
        <v>0</v>
      </c>
      <c r="I383" t="s">
        <v>528</v>
      </c>
    </row>
    <row r="384" spans="1:10">
      <c r="A384" s="95">
        <v>45661</v>
      </c>
      <c r="B384" s="761" t="s">
        <v>9583</v>
      </c>
      <c r="C384" s="761" t="s">
        <v>9814</v>
      </c>
      <c r="E384" s="1344" t="s">
        <v>9815</v>
      </c>
      <c r="F384">
        <v>80</v>
      </c>
      <c r="G384">
        <v>80</v>
      </c>
      <c r="H384">
        <v>0</v>
      </c>
    </row>
    <row r="385" spans="1:10">
      <c r="A385" s="95">
        <v>45663</v>
      </c>
      <c r="B385" s="761" t="s">
        <v>9583</v>
      </c>
      <c r="C385" s="761" t="s">
        <v>9819</v>
      </c>
      <c r="D385" s="761" t="s">
        <v>9818</v>
      </c>
      <c r="E385" s="761" t="s">
        <v>9817</v>
      </c>
      <c r="F385">
        <v>80</v>
      </c>
      <c r="G385">
        <v>80</v>
      </c>
      <c r="H385">
        <v>0</v>
      </c>
      <c r="I385" t="s">
        <v>39</v>
      </c>
      <c r="J385" s="95">
        <v>45663</v>
      </c>
    </row>
    <row r="386" spans="1:10">
      <c r="A386" s="95">
        <v>45663</v>
      </c>
      <c r="B386" s="761" t="s">
        <v>9583</v>
      </c>
      <c r="C386" s="761" t="s">
        <v>9821</v>
      </c>
      <c r="D386" s="761" t="s">
        <v>9820</v>
      </c>
      <c r="E386" s="761" t="s">
        <v>9822</v>
      </c>
      <c r="F386">
        <v>80</v>
      </c>
      <c r="G386">
        <v>80</v>
      </c>
      <c r="H386">
        <v>0</v>
      </c>
      <c r="I386" t="s">
        <v>39</v>
      </c>
      <c r="J386" s="95">
        <v>45663</v>
      </c>
    </row>
    <row r="387" spans="1:10">
      <c r="A387" s="95">
        <v>45664</v>
      </c>
      <c r="B387" s="761" t="s">
        <v>9583</v>
      </c>
      <c r="C387" s="761" t="s">
        <v>9824</v>
      </c>
      <c r="D387" s="761" t="s">
        <v>9825</v>
      </c>
      <c r="E387" s="761" t="s">
        <v>9826</v>
      </c>
      <c r="F387">
        <v>80</v>
      </c>
      <c r="G387">
        <v>80</v>
      </c>
      <c r="H387">
        <v>0</v>
      </c>
    </row>
    <row r="388" spans="1:10">
      <c r="A388" s="95">
        <v>45300</v>
      </c>
      <c r="B388" s="761" t="s">
        <v>9583</v>
      </c>
      <c r="C388" s="761" t="s">
        <v>9828</v>
      </c>
      <c r="D388" s="761" t="s">
        <v>9827</v>
      </c>
      <c r="E388" s="761" t="s">
        <v>9829</v>
      </c>
      <c r="F388">
        <v>80</v>
      </c>
      <c r="G388">
        <v>80</v>
      </c>
      <c r="H388">
        <v>0</v>
      </c>
    </row>
    <row r="389" spans="1:10">
      <c r="A389" s="95">
        <v>45300</v>
      </c>
      <c r="B389" s="761" t="s">
        <v>9830</v>
      </c>
      <c r="C389" s="761" t="s">
        <v>9831</v>
      </c>
      <c r="D389" s="761" t="s">
        <v>9833</v>
      </c>
      <c r="E389" s="761" t="s">
        <v>9832</v>
      </c>
      <c r="F389">
        <v>80</v>
      </c>
      <c r="G389">
        <v>80</v>
      </c>
      <c r="H389">
        <v>0</v>
      </c>
    </row>
    <row r="390" spans="1:10">
      <c r="A390" s="95">
        <v>45300</v>
      </c>
      <c r="B390" s="761" t="s">
        <v>9830</v>
      </c>
      <c r="C390" s="761" t="s">
        <v>9834</v>
      </c>
      <c r="D390" s="761" t="s">
        <v>9835</v>
      </c>
      <c r="E390" s="761" t="s">
        <v>9836</v>
      </c>
      <c r="F390">
        <v>80</v>
      </c>
      <c r="G390">
        <v>80</v>
      </c>
      <c r="H390">
        <v>0</v>
      </c>
    </row>
    <row r="391" spans="1:10">
      <c r="A391" s="95">
        <v>45300</v>
      </c>
      <c r="B391" s="761" t="s">
        <v>9837</v>
      </c>
      <c r="D391" s="761" t="s">
        <v>9810</v>
      </c>
      <c r="E391" s="761" t="s">
        <v>9838</v>
      </c>
      <c r="F391">
        <v>80</v>
      </c>
      <c r="G391">
        <v>80</v>
      </c>
      <c r="H391">
        <v>0</v>
      </c>
    </row>
    <row r="392" spans="1:10">
      <c r="A392" s="95">
        <v>45300</v>
      </c>
      <c r="B392" s="761" t="s">
        <v>9583</v>
      </c>
      <c r="C392" s="761" t="s">
        <v>9839</v>
      </c>
      <c r="D392" s="761" t="s">
        <v>9840</v>
      </c>
      <c r="E392" s="761" t="s">
        <v>9841</v>
      </c>
      <c r="F392">
        <v>80</v>
      </c>
      <c r="G392">
        <v>80</v>
      </c>
      <c r="H392">
        <v>0</v>
      </c>
      <c r="I392" t="s">
        <v>39</v>
      </c>
    </row>
    <row r="393" spans="1:10">
      <c r="A393" s="95">
        <v>45667</v>
      </c>
      <c r="B393" s="761" t="s">
        <v>9843</v>
      </c>
      <c r="D393" s="761" t="s">
        <v>9842</v>
      </c>
      <c r="E393" s="761" t="s">
        <v>9844</v>
      </c>
      <c r="F393">
        <v>80</v>
      </c>
      <c r="G393">
        <v>80</v>
      </c>
      <c r="H393">
        <v>0</v>
      </c>
      <c r="I393" t="s">
        <v>39</v>
      </c>
      <c r="J393" s="95">
        <v>45667</v>
      </c>
    </row>
    <row r="394" spans="1:10">
      <c r="A394" s="95">
        <v>45667</v>
      </c>
      <c r="B394" s="761" t="s">
        <v>9843</v>
      </c>
      <c r="D394" s="761" t="s">
        <v>9846</v>
      </c>
      <c r="E394" s="761" t="s">
        <v>9845</v>
      </c>
      <c r="F394">
        <v>80</v>
      </c>
      <c r="G394">
        <v>80</v>
      </c>
      <c r="H394">
        <v>0</v>
      </c>
      <c r="I394" t="s">
        <v>39</v>
      </c>
      <c r="J394" s="95">
        <v>45667</v>
      </c>
    </row>
    <row r="395" spans="1:10">
      <c r="A395" s="95">
        <v>45667</v>
      </c>
      <c r="B395" s="761" t="s">
        <v>9843</v>
      </c>
      <c r="D395" s="761" t="s">
        <v>9847</v>
      </c>
      <c r="E395" s="761" t="s">
        <v>9848</v>
      </c>
      <c r="F395">
        <v>80</v>
      </c>
      <c r="G395">
        <v>80</v>
      </c>
      <c r="H395">
        <v>0</v>
      </c>
      <c r="I395" t="s">
        <v>39</v>
      </c>
      <c r="J395" s="95">
        <v>45667</v>
      </c>
    </row>
    <row r="396" spans="1:10">
      <c r="A396" s="95">
        <v>45667</v>
      </c>
      <c r="B396" s="761" t="s">
        <v>9843</v>
      </c>
      <c r="D396" s="761" t="s">
        <v>9850</v>
      </c>
      <c r="E396" s="761" t="s">
        <v>9849</v>
      </c>
      <c r="F396">
        <v>80</v>
      </c>
      <c r="G396">
        <v>80</v>
      </c>
      <c r="H396">
        <v>0</v>
      </c>
    </row>
    <row r="397" spans="1:10">
      <c r="A397" s="95">
        <v>45668</v>
      </c>
      <c r="B397" s="761" t="s">
        <v>9851</v>
      </c>
      <c r="D397" s="761" t="s">
        <v>9852</v>
      </c>
      <c r="E397" s="761" t="s">
        <v>4542</v>
      </c>
      <c r="F397">
        <v>80</v>
      </c>
      <c r="G397">
        <v>80</v>
      </c>
      <c r="H397">
        <v>0</v>
      </c>
      <c r="I397" t="s">
        <v>39</v>
      </c>
      <c r="J397" s="95">
        <v>45667</v>
      </c>
    </row>
    <row r="398" spans="1:10">
      <c r="A398" s="95">
        <v>45668</v>
      </c>
      <c r="B398" s="761" t="s">
        <v>9851</v>
      </c>
      <c r="D398" s="761" t="s">
        <v>9852</v>
      </c>
      <c r="E398" s="761" t="s">
        <v>9853</v>
      </c>
      <c r="F398">
        <v>80</v>
      </c>
      <c r="G398">
        <v>80</v>
      </c>
      <c r="H398">
        <v>0</v>
      </c>
    </row>
    <row r="399" spans="1:10">
      <c r="A399" s="95">
        <v>45668</v>
      </c>
      <c r="B399" s="761" t="s">
        <v>9854</v>
      </c>
      <c r="D399" s="761" t="s">
        <v>9855</v>
      </c>
      <c r="E399" s="761" t="s">
        <v>9856</v>
      </c>
      <c r="F399">
        <v>80</v>
      </c>
      <c r="G399">
        <v>80</v>
      </c>
      <c r="H399">
        <v>0</v>
      </c>
    </row>
    <row r="400" spans="1:10">
      <c r="A400" s="95">
        <v>45671</v>
      </c>
      <c r="B400" s="761" t="s">
        <v>9583</v>
      </c>
      <c r="C400" s="761" t="s">
        <v>9857</v>
      </c>
      <c r="D400" s="573" t="s">
        <v>9859</v>
      </c>
      <c r="E400" s="761" t="s">
        <v>9858</v>
      </c>
      <c r="F400">
        <v>80</v>
      </c>
      <c r="G400">
        <v>80</v>
      </c>
      <c r="H400">
        <v>0</v>
      </c>
    </row>
    <row r="401" spans="1:10">
      <c r="A401" s="95">
        <v>45307</v>
      </c>
      <c r="B401" s="761" t="s">
        <v>9873</v>
      </c>
      <c r="D401" s="761" t="s">
        <v>9871</v>
      </c>
      <c r="E401" s="761" t="s">
        <v>9872</v>
      </c>
      <c r="F401">
        <v>80</v>
      </c>
      <c r="G401">
        <v>80</v>
      </c>
      <c r="H401">
        <v>0</v>
      </c>
    </row>
    <row r="402" spans="1:10">
      <c r="A402" s="95">
        <v>45675</v>
      </c>
      <c r="B402" s="761" t="s">
        <v>9875</v>
      </c>
      <c r="D402" s="761" t="s">
        <v>9874</v>
      </c>
      <c r="E402" s="761" t="s">
        <v>9876</v>
      </c>
      <c r="F402">
        <v>80</v>
      </c>
      <c r="G402">
        <v>80</v>
      </c>
      <c r="H402">
        <v>0</v>
      </c>
      <c r="I402" t="s">
        <v>528</v>
      </c>
      <c r="J402" s="95">
        <v>45679</v>
      </c>
    </row>
    <row r="403" spans="1:10">
      <c r="A403" s="95">
        <v>45677</v>
      </c>
      <c r="B403" s="1350" t="s">
        <v>9583</v>
      </c>
      <c r="C403" s="1350" t="s">
        <v>9882</v>
      </c>
      <c r="E403" s="761" t="s">
        <v>9881</v>
      </c>
      <c r="F403">
        <v>80</v>
      </c>
      <c r="G403">
        <v>80</v>
      </c>
      <c r="H403">
        <v>0</v>
      </c>
      <c r="I403" t="s">
        <v>528</v>
      </c>
      <c r="J403" s="95">
        <v>45678</v>
      </c>
    </row>
    <row r="404" spans="1:10">
      <c r="A404" s="95">
        <v>45677</v>
      </c>
      <c r="B404" s="761" t="s">
        <v>9648</v>
      </c>
      <c r="D404" s="761" t="s">
        <v>9649</v>
      </c>
      <c r="E404" s="761" t="s">
        <v>9883</v>
      </c>
      <c r="F404">
        <v>80</v>
      </c>
      <c r="G404">
        <v>80</v>
      </c>
      <c r="H404">
        <v>0</v>
      </c>
      <c r="I404" t="s">
        <v>39</v>
      </c>
      <c r="J404" s="95">
        <v>45678</v>
      </c>
    </row>
    <row r="405" spans="1:10">
      <c r="A405" s="95">
        <v>45678</v>
      </c>
      <c r="B405" s="761" t="s">
        <v>9888</v>
      </c>
      <c r="D405" s="761" t="s">
        <v>9889</v>
      </c>
      <c r="E405" s="761" t="s">
        <v>9890</v>
      </c>
      <c r="F405">
        <v>80</v>
      </c>
      <c r="G405">
        <v>80</v>
      </c>
      <c r="H405">
        <v>0</v>
      </c>
      <c r="I405" t="s">
        <v>39</v>
      </c>
      <c r="J405" s="95">
        <v>45679</v>
      </c>
    </row>
    <row r="406" spans="1:10">
      <c r="A406" s="95">
        <v>45315</v>
      </c>
      <c r="B406" s="761" t="s">
        <v>9888</v>
      </c>
      <c r="D406" s="761" t="s">
        <v>9895</v>
      </c>
      <c r="E406" s="761" t="s">
        <v>9896</v>
      </c>
      <c r="F406">
        <v>80</v>
      </c>
      <c r="G406">
        <v>80</v>
      </c>
    </row>
    <row r="407" spans="1:10">
      <c r="A407" s="95">
        <v>45682</v>
      </c>
      <c r="B407" s="761" t="s">
        <v>9583</v>
      </c>
      <c r="C407" s="761" t="s">
        <v>9900</v>
      </c>
      <c r="D407" s="761" t="s">
        <v>9901</v>
      </c>
      <c r="E407" s="761" t="s">
        <v>9902</v>
      </c>
      <c r="F407">
        <v>80</v>
      </c>
      <c r="G407">
        <v>0</v>
      </c>
    </row>
    <row r="408" spans="1:10">
      <c r="A408" s="95">
        <v>45682</v>
      </c>
      <c r="B408" s="761" t="s">
        <v>9903</v>
      </c>
      <c r="D408" s="761" t="s">
        <v>9905</v>
      </c>
      <c r="E408" s="761" t="s">
        <v>9904</v>
      </c>
      <c r="F408">
        <v>80</v>
      </c>
      <c r="G408">
        <v>80</v>
      </c>
      <c r="I408" t="s">
        <v>39</v>
      </c>
      <c r="J408" s="95">
        <v>45683</v>
      </c>
    </row>
    <row r="409" spans="1:10">
      <c r="A409" s="95">
        <v>45682</v>
      </c>
      <c r="B409" s="761" t="s">
        <v>9903</v>
      </c>
      <c r="D409" s="761" t="s">
        <v>9905</v>
      </c>
      <c r="E409" s="761" t="s">
        <v>9906</v>
      </c>
      <c r="F409">
        <v>80</v>
      </c>
      <c r="G409">
        <v>80</v>
      </c>
      <c r="I409" t="s">
        <v>39</v>
      </c>
      <c r="J409" s="95">
        <v>45683</v>
      </c>
    </row>
    <row r="410" spans="1:10">
      <c r="A410" s="95">
        <v>45683</v>
      </c>
      <c r="B410" s="761" t="s">
        <v>9903</v>
      </c>
      <c r="D410" s="761" t="s">
        <v>9909</v>
      </c>
      <c r="E410" s="761" t="s">
        <v>9926</v>
      </c>
      <c r="F410">
        <v>80</v>
      </c>
      <c r="G410">
        <v>80</v>
      </c>
    </row>
    <row r="411" spans="1:10">
      <c r="A411" s="95">
        <v>45684</v>
      </c>
      <c r="B411" s="761" t="s">
        <v>8352</v>
      </c>
      <c r="C411" s="761" t="s">
        <v>9914</v>
      </c>
      <c r="D411" s="761" t="s">
        <v>9912</v>
      </c>
      <c r="E411" s="761" t="s">
        <v>9913</v>
      </c>
      <c r="F411">
        <v>80</v>
      </c>
      <c r="G411">
        <v>80</v>
      </c>
      <c r="I411" t="s">
        <v>39</v>
      </c>
      <c r="J411" s="95">
        <v>45685</v>
      </c>
    </row>
    <row r="412" spans="1:10">
      <c r="A412" s="95">
        <v>45684</v>
      </c>
      <c r="B412" s="761" t="s">
        <v>9583</v>
      </c>
      <c r="C412" s="761" t="s">
        <v>9915</v>
      </c>
      <c r="E412" s="761" t="s">
        <v>9916</v>
      </c>
      <c r="F412">
        <v>80</v>
      </c>
      <c r="G412">
        <v>80</v>
      </c>
      <c r="I412" t="s">
        <v>39</v>
      </c>
      <c r="J412" s="95">
        <v>45684</v>
      </c>
    </row>
    <row r="413" spans="1:10">
      <c r="A413" s="95">
        <v>45684</v>
      </c>
      <c r="B413" s="761" t="s">
        <v>9921</v>
      </c>
      <c r="D413" s="761" t="s">
        <v>3922</v>
      </c>
      <c r="E413" s="761" t="s">
        <v>9920</v>
      </c>
      <c r="F413">
        <v>80</v>
      </c>
      <c r="G413">
        <v>80</v>
      </c>
      <c r="I413" t="s">
        <v>39</v>
      </c>
      <c r="J413" s="95">
        <v>45685</v>
      </c>
    </row>
    <row r="414" spans="1:10">
      <c r="A414" s="95">
        <v>45319</v>
      </c>
      <c r="B414" s="761" t="s">
        <v>8368</v>
      </c>
      <c r="D414" s="761" t="s">
        <v>8369</v>
      </c>
      <c r="E414" s="761" t="s">
        <v>8370</v>
      </c>
      <c r="F414">
        <v>80</v>
      </c>
      <c r="G414">
        <v>80</v>
      </c>
      <c r="I414" t="s">
        <v>39</v>
      </c>
    </row>
    <row r="415" spans="1:10">
      <c r="A415" s="95">
        <v>45319</v>
      </c>
      <c r="B415" s="761" t="s">
        <v>8352</v>
      </c>
      <c r="C415" s="761" t="s">
        <v>9923</v>
      </c>
      <c r="D415" s="761" t="s">
        <v>9924</v>
      </c>
      <c r="E415" s="761" t="s">
        <v>9925</v>
      </c>
      <c r="F415">
        <v>80</v>
      </c>
      <c r="G415">
        <v>50</v>
      </c>
      <c r="I415" t="s">
        <v>39</v>
      </c>
      <c r="J415" s="95">
        <v>45688</v>
      </c>
    </row>
    <row r="416" spans="1:10">
      <c r="A416" s="95">
        <v>45686</v>
      </c>
      <c r="B416" s="761" t="s">
        <v>9927</v>
      </c>
      <c r="C416" s="761" t="s">
        <v>9928</v>
      </c>
      <c r="D416" s="1362">
        <v>9204253341</v>
      </c>
      <c r="E416" s="761" t="s">
        <v>9929</v>
      </c>
      <c r="F416">
        <v>80</v>
      </c>
      <c r="G416">
        <v>80</v>
      </c>
      <c r="I416" t="s">
        <v>39</v>
      </c>
      <c r="J416" s="95">
        <v>45687</v>
      </c>
    </row>
    <row r="417" spans="1:10">
      <c r="A417" s="95">
        <v>45686</v>
      </c>
      <c r="B417" s="761" t="s">
        <v>9930</v>
      </c>
      <c r="C417" s="761" t="s">
        <v>9931</v>
      </c>
      <c r="D417" s="761" t="s">
        <v>9933</v>
      </c>
      <c r="E417" s="761" t="s">
        <v>9932</v>
      </c>
      <c r="F417">
        <v>80</v>
      </c>
      <c r="G417">
        <v>80</v>
      </c>
      <c r="I417" t="s">
        <v>39</v>
      </c>
      <c r="J417" s="95">
        <v>45687</v>
      </c>
    </row>
    <row r="418" spans="1:10">
      <c r="A418" s="95">
        <v>45686</v>
      </c>
      <c r="B418" s="761" t="s">
        <v>9583</v>
      </c>
      <c r="C418" s="761" t="s">
        <v>9934</v>
      </c>
      <c r="D418" s="761" t="s">
        <v>9935</v>
      </c>
      <c r="E418" s="761" t="s">
        <v>9936</v>
      </c>
      <c r="F418">
        <v>80</v>
      </c>
      <c r="G418">
        <v>80</v>
      </c>
    </row>
    <row r="419" spans="1:10">
      <c r="A419" s="95">
        <v>45686</v>
      </c>
      <c r="B419" s="761" t="s">
        <v>8352</v>
      </c>
      <c r="E419" s="761" t="s">
        <v>2156</v>
      </c>
      <c r="F419">
        <v>80</v>
      </c>
      <c r="G419">
        <v>80</v>
      </c>
      <c r="I419" t="s">
        <v>39</v>
      </c>
      <c r="J419" s="95">
        <v>45686</v>
      </c>
    </row>
    <row r="420" spans="1:10">
      <c r="A420" s="95">
        <v>45689</v>
      </c>
      <c r="B420" s="761" t="s">
        <v>9939</v>
      </c>
      <c r="D420" s="761" t="s">
        <v>9938</v>
      </c>
      <c r="E420" s="761" t="s">
        <v>9940</v>
      </c>
      <c r="F420">
        <v>80</v>
      </c>
      <c r="G420">
        <v>80</v>
      </c>
      <c r="I420" t="s">
        <v>39</v>
      </c>
      <c r="J420" s="95">
        <v>45689</v>
      </c>
    </row>
    <row r="421" spans="1:10">
      <c r="A421" s="95">
        <v>45689</v>
      </c>
      <c r="B421" s="761" t="s">
        <v>9942</v>
      </c>
      <c r="D421" s="761" t="s">
        <v>9941</v>
      </c>
      <c r="E421" s="761" t="s">
        <v>9943</v>
      </c>
      <c r="F421">
        <v>80</v>
      </c>
      <c r="G421">
        <v>80</v>
      </c>
      <c r="I421" t="s">
        <v>39</v>
      </c>
      <c r="J421" s="95">
        <v>45691</v>
      </c>
    </row>
    <row r="422" spans="1:10">
      <c r="A422" s="95">
        <v>45691</v>
      </c>
      <c r="B422" s="761" t="s">
        <v>9951</v>
      </c>
      <c r="D422" s="761" t="s">
        <v>9950</v>
      </c>
      <c r="E422" s="761" t="s">
        <v>9952</v>
      </c>
      <c r="F422">
        <v>80</v>
      </c>
      <c r="G422">
        <v>80</v>
      </c>
      <c r="I422" t="s">
        <v>39</v>
      </c>
      <c r="J422" s="95">
        <v>45691</v>
      </c>
    </row>
    <row r="423" spans="1:10">
      <c r="A423" s="95">
        <v>45694</v>
      </c>
      <c r="B423" s="761" t="s">
        <v>9583</v>
      </c>
      <c r="C423" s="761" t="s">
        <v>9963</v>
      </c>
      <c r="D423" s="761" t="s">
        <v>9965</v>
      </c>
      <c r="E423" s="761" t="s">
        <v>9964</v>
      </c>
      <c r="F423">
        <v>80</v>
      </c>
      <c r="G423">
        <v>80</v>
      </c>
      <c r="I423" t="s">
        <v>39</v>
      </c>
      <c r="J423" s="95">
        <v>45695</v>
      </c>
    </row>
    <row r="424" spans="1:10">
      <c r="A424" s="95">
        <v>45695</v>
      </c>
      <c r="B424" s="761" t="s">
        <v>9583</v>
      </c>
      <c r="C424" s="761" t="s">
        <v>9966</v>
      </c>
      <c r="D424" s="761" t="s">
        <v>9967</v>
      </c>
      <c r="E424" s="761" t="s">
        <v>9968</v>
      </c>
      <c r="F424">
        <v>80</v>
      </c>
      <c r="G424">
        <v>80</v>
      </c>
      <c r="I424" t="s">
        <v>39</v>
      </c>
      <c r="J424" s="95">
        <v>45698</v>
      </c>
    </row>
    <row r="425" spans="1:10">
      <c r="A425" s="95">
        <v>45695</v>
      </c>
      <c r="B425" s="761" t="s">
        <v>9583</v>
      </c>
      <c r="C425" s="761" t="s">
        <v>9970</v>
      </c>
      <c r="D425" s="761" t="s">
        <v>9969</v>
      </c>
      <c r="E425" s="761" t="s">
        <v>9971</v>
      </c>
      <c r="F425">
        <v>80</v>
      </c>
      <c r="G425">
        <v>80</v>
      </c>
      <c r="I425" t="s">
        <v>39</v>
      </c>
      <c r="J425" s="95">
        <v>45699</v>
      </c>
    </row>
    <row r="426" spans="1:10">
      <c r="A426" s="95">
        <v>45695</v>
      </c>
      <c r="B426" s="761" t="s">
        <v>9583</v>
      </c>
      <c r="C426" s="761" t="s">
        <v>9974</v>
      </c>
      <c r="D426" s="761" t="s">
        <v>9972</v>
      </c>
      <c r="E426" s="761" t="s">
        <v>9975</v>
      </c>
      <c r="F426">
        <v>80</v>
      </c>
      <c r="G426">
        <v>80</v>
      </c>
      <c r="I426" t="s">
        <v>39</v>
      </c>
      <c r="J426" s="95">
        <v>45696</v>
      </c>
    </row>
    <row r="427" spans="1:10">
      <c r="A427" s="95">
        <v>45695</v>
      </c>
      <c r="B427" s="761" t="s">
        <v>9583</v>
      </c>
      <c r="C427" s="761" t="s">
        <v>9973</v>
      </c>
      <c r="D427" s="761" t="s">
        <v>9972</v>
      </c>
      <c r="E427" s="761" t="s">
        <v>9976</v>
      </c>
      <c r="F427">
        <v>80</v>
      </c>
      <c r="G427">
        <v>80</v>
      </c>
      <c r="I427" t="s">
        <v>39</v>
      </c>
      <c r="J427" s="95">
        <v>45696</v>
      </c>
    </row>
    <row r="428" spans="1:10">
      <c r="A428" s="95">
        <v>45698</v>
      </c>
      <c r="B428" s="761" t="s">
        <v>8368</v>
      </c>
      <c r="D428" s="761" t="s">
        <v>9981</v>
      </c>
      <c r="E428" s="761" t="s">
        <v>8370</v>
      </c>
      <c r="F428">
        <v>80</v>
      </c>
      <c r="G428">
        <v>80</v>
      </c>
      <c r="I428" t="s">
        <v>39</v>
      </c>
      <c r="J428" s="95">
        <v>45700</v>
      </c>
    </row>
    <row r="429" spans="1:10">
      <c r="A429" s="95">
        <v>45698</v>
      </c>
      <c r="B429" s="761" t="s">
        <v>9983</v>
      </c>
      <c r="D429" s="761" t="s">
        <v>9982</v>
      </c>
      <c r="E429" s="761" t="s">
        <v>9984</v>
      </c>
      <c r="F429">
        <v>80</v>
      </c>
      <c r="G429">
        <v>80</v>
      </c>
      <c r="I429" t="s">
        <v>39</v>
      </c>
      <c r="J429" s="95">
        <v>45700</v>
      </c>
    </row>
    <row r="430" spans="1:10">
      <c r="A430" s="95">
        <v>45700</v>
      </c>
      <c r="B430" s="761" t="s">
        <v>9990</v>
      </c>
      <c r="D430" s="761" t="s">
        <v>9989</v>
      </c>
      <c r="E430" s="761" t="s">
        <v>9991</v>
      </c>
      <c r="F430">
        <v>80</v>
      </c>
      <c r="G430">
        <v>80</v>
      </c>
      <c r="I430" t="s">
        <v>39</v>
      </c>
      <c r="J430" s="95">
        <v>45700</v>
      </c>
    </row>
    <row r="431" spans="1:10">
      <c r="A431" s="95">
        <v>45700</v>
      </c>
      <c r="B431" s="761" t="s">
        <v>9992</v>
      </c>
      <c r="D431" s="761" t="s">
        <v>9993</v>
      </c>
      <c r="E431" s="761" t="s">
        <v>283</v>
      </c>
      <c r="F431">
        <v>80</v>
      </c>
      <c r="G431">
        <v>80</v>
      </c>
      <c r="I431" t="s">
        <v>39</v>
      </c>
      <c r="J431" s="95">
        <v>45700</v>
      </c>
    </row>
    <row r="432" spans="1:10">
      <c r="A432" s="95">
        <v>45701</v>
      </c>
      <c r="B432" s="761" t="s">
        <v>9583</v>
      </c>
      <c r="D432" s="761" t="s">
        <v>9995</v>
      </c>
      <c r="E432" s="761" t="s">
        <v>9994</v>
      </c>
      <c r="F432">
        <v>80</v>
      </c>
      <c r="G432">
        <v>80</v>
      </c>
    </row>
    <row r="433" spans="1:10">
      <c r="A433" s="95">
        <v>45702</v>
      </c>
      <c r="B433" s="761" t="s">
        <v>9583</v>
      </c>
      <c r="C433" s="761" t="s">
        <v>9997</v>
      </c>
      <c r="E433" s="761" t="s">
        <v>9998</v>
      </c>
      <c r="F433">
        <v>80</v>
      </c>
      <c r="G433">
        <v>80</v>
      </c>
    </row>
    <row r="434" spans="1:10">
      <c r="A434" s="95">
        <v>45702</v>
      </c>
      <c r="B434" s="761" t="s">
        <v>9583</v>
      </c>
      <c r="C434" s="761" t="s">
        <v>9999</v>
      </c>
      <c r="E434" s="761" t="s">
        <v>10003</v>
      </c>
      <c r="F434">
        <v>80</v>
      </c>
      <c r="G434">
        <v>80</v>
      </c>
    </row>
    <row r="435" spans="1:10">
      <c r="A435" s="95">
        <v>45702</v>
      </c>
      <c r="B435" s="1373" t="s">
        <v>10000</v>
      </c>
      <c r="C435" s="1373" t="s">
        <v>10001</v>
      </c>
      <c r="D435" s="1373" t="s">
        <v>10002</v>
      </c>
      <c r="E435" s="761" t="s">
        <v>10004</v>
      </c>
      <c r="F435">
        <v>80</v>
      </c>
      <c r="G435">
        <v>80</v>
      </c>
      <c r="I435" t="s">
        <v>39</v>
      </c>
      <c r="J435" s="95">
        <v>45703</v>
      </c>
    </row>
    <row r="436" spans="1:10">
      <c r="A436" s="95">
        <v>45703</v>
      </c>
      <c r="B436" s="761" t="s">
        <v>9583</v>
      </c>
      <c r="C436" s="761" t="s">
        <v>10010</v>
      </c>
      <c r="E436" s="761" t="s">
        <v>10011</v>
      </c>
      <c r="F436">
        <v>80</v>
      </c>
      <c r="G436">
        <v>80</v>
      </c>
      <c r="I436" t="s">
        <v>39</v>
      </c>
      <c r="J436" s="95">
        <v>45703</v>
      </c>
    </row>
    <row r="437" spans="1:10">
      <c r="A437" s="162">
        <v>45704</v>
      </c>
      <c r="B437" s="761" t="s">
        <v>10016</v>
      </c>
      <c r="C437" s="101"/>
      <c r="D437" s="761" t="s">
        <v>10015</v>
      </c>
      <c r="E437" s="1377" t="s">
        <v>10014</v>
      </c>
      <c r="F437">
        <v>80</v>
      </c>
      <c r="G437">
        <v>80</v>
      </c>
    </row>
    <row r="438" spans="1:10">
      <c r="A438" s="95">
        <v>45705</v>
      </c>
      <c r="B438" s="761" t="s">
        <v>9583</v>
      </c>
      <c r="C438" s="761" t="s">
        <v>10017</v>
      </c>
      <c r="D438" s="761" t="s">
        <v>10018</v>
      </c>
      <c r="E438" s="761" t="s">
        <v>10019</v>
      </c>
      <c r="F438">
        <v>80</v>
      </c>
      <c r="G438">
        <v>80</v>
      </c>
      <c r="I438" t="s">
        <v>39</v>
      </c>
      <c r="J438" s="95">
        <v>45705</v>
      </c>
    </row>
    <row r="439" spans="1:10">
      <c r="A439" s="95">
        <v>45341</v>
      </c>
      <c r="B439" s="761" t="s">
        <v>9583</v>
      </c>
      <c r="C439" s="761" t="s">
        <v>10022</v>
      </c>
      <c r="D439" s="761" t="s">
        <v>9600</v>
      </c>
      <c r="E439" s="761" t="s">
        <v>10023</v>
      </c>
      <c r="F439">
        <v>80</v>
      </c>
      <c r="G439">
        <v>80</v>
      </c>
      <c r="I439" t="s">
        <v>39</v>
      </c>
      <c r="J439" s="95">
        <v>45708</v>
      </c>
    </row>
    <row r="440" spans="1:10">
      <c r="A440" s="95">
        <v>45341</v>
      </c>
      <c r="B440" s="761" t="s">
        <v>10024</v>
      </c>
      <c r="D440" s="761" t="s">
        <v>10025</v>
      </c>
      <c r="E440" s="761" t="s">
        <v>10026</v>
      </c>
      <c r="F440">
        <v>80</v>
      </c>
      <c r="G440">
        <v>80</v>
      </c>
      <c r="J440" s="95">
        <v>45708</v>
      </c>
    </row>
    <row r="441" spans="1:10">
      <c r="A441" s="95">
        <v>45341</v>
      </c>
      <c r="B441" s="761" t="s">
        <v>10028</v>
      </c>
      <c r="D441" s="761" t="s">
        <v>10027</v>
      </c>
      <c r="E441" s="761" t="s">
        <v>10046</v>
      </c>
      <c r="F441">
        <v>80</v>
      </c>
      <c r="G441">
        <v>80</v>
      </c>
      <c r="I441" t="s">
        <v>39</v>
      </c>
      <c r="J441" s="95">
        <v>45709</v>
      </c>
    </row>
    <row r="442" spans="1:10">
      <c r="A442" s="95">
        <v>45708</v>
      </c>
      <c r="B442" s="761" t="s">
        <v>10030</v>
      </c>
      <c r="D442" s="761" t="s">
        <v>10029</v>
      </c>
      <c r="E442" s="761" t="s">
        <v>10031</v>
      </c>
      <c r="F442">
        <v>80</v>
      </c>
      <c r="G442">
        <v>80</v>
      </c>
      <c r="I442" s="1386" t="s">
        <v>39</v>
      </c>
      <c r="J442" s="95">
        <v>45708</v>
      </c>
    </row>
    <row r="443" spans="1:10">
      <c r="A443" s="95">
        <v>45708</v>
      </c>
      <c r="B443" s="761" t="s">
        <v>10030</v>
      </c>
      <c r="D443" s="761" t="s">
        <v>10029</v>
      </c>
      <c r="E443" s="761" t="s">
        <v>10032</v>
      </c>
      <c r="F443">
        <v>80</v>
      </c>
      <c r="G443">
        <v>80</v>
      </c>
      <c r="I443" s="1386" t="s">
        <v>39</v>
      </c>
      <c r="J443" s="95">
        <v>45708</v>
      </c>
    </row>
    <row r="444" spans="1:10">
      <c r="A444" s="95">
        <v>45708</v>
      </c>
      <c r="B444" s="761" t="s">
        <v>10034</v>
      </c>
      <c r="D444" s="761" t="s">
        <v>10033</v>
      </c>
      <c r="E444" s="761" t="s">
        <v>10035</v>
      </c>
      <c r="F444">
        <v>80</v>
      </c>
      <c r="G444">
        <v>80</v>
      </c>
      <c r="I444" s="1386" t="s">
        <v>39</v>
      </c>
      <c r="J444" s="95">
        <v>45710</v>
      </c>
    </row>
    <row r="445" spans="1:10">
      <c r="A445" s="95">
        <v>45708</v>
      </c>
      <c r="B445" s="761" t="s">
        <v>10034</v>
      </c>
      <c r="D445" s="761" t="s">
        <v>10033</v>
      </c>
      <c r="E445" s="761" t="s">
        <v>10036</v>
      </c>
      <c r="F445">
        <v>80</v>
      </c>
      <c r="G445">
        <v>80</v>
      </c>
      <c r="I445" s="1386" t="s">
        <v>39</v>
      </c>
      <c r="J445" s="95">
        <v>45710</v>
      </c>
    </row>
    <row r="446" spans="1:10">
      <c r="A446" s="95">
        <v>45708</v>
      </c>
      <c r="B446" s="761" t="s">
        <v>10028</v>
      </c>
      <c r="D446" s="761" t="s">
        <v>10027</v>
      </c>
      <c r="E446" s="761" t="s">
        <v>10037</v>
      </c>
      <c r="F446">
        <v>80</v>
      </c>
      <c r="G446">
        <v>80</v>
      </c>
      <c r="I446" s="1386" t="s">
        <v>528</v>
      </c>
      <c r="J446" s="95">
        <v>45709</v>
      </c>
    </row>
    <row r="447" spans="1:10">
      <c r="A447" s="95">
        <v>45709</v>
      </c>
      <c r="B447" s="761" t="s">
        <v>10039</v>
      </c>
      <c r="D447" s="761" t="s">
        <v>10038</v>
      </c>
      <c r="E447" s="761" t="s">
        <v>10040</v>
      </c>
      <c r="F447">
        <v>80</v>
      </c>
      <c r="G447">
        <v>80</v>
      </c>
      <c r="I447" s="1386" t="s">
        <v>528</v>
      </c>
      <c r="J447" s="95">
        <v>45710</v>
      </c>
    </row>
    <row r="448" spans="1:10">
      <c r="A448" s="95">
        <v>45709</v>
      </c>
      <c r="B448" s="761" t="s">
        <v>10039</v>
      </c>
      <c r="D448" s="761" t="s">
        <v>10038</v>
      </c>
      <c r="E448" s="761" t="s">
        <v>10041</v>
      </c>
      <c r="F448">
        <v>80</v>
      </c>
      <c r="G448">
        <v>80</v>
      </c>
      <c r="I448" s="1386" t="s">
        <v>528</v>
      </c>
      <c r="J448" s="95">
        <v>45710</v>
      </c>
    </row>
    <row r="449" spans="1:12">
      <c r="A449" s="95">
        <v>45709</v>
      </c>
      <c r="B449" s="761" t="s">
        <v>10039</v>
      </c>
      <c r="D449" s="761" t="s">
        <v>10038</v>
      </c>
      <c r="E449" s="761" t="s">
        <v>10042</v>
      </c>
      <c r="F449">
        <v>80</v>
      </c>
      <c r="G449">
        <v>80</v>
      </c>
      <c r="I449" s="1386" t="s">
        <v>528</v>
      </c>
      <c r="J449" s="95">
        <v>45710</v>
      </c>
    </row>
    <row r="450" spans="1:12">
      <c r="A450" s="95">
        <v>45710</v>
      </c>
      <c r="B450" s="761" t="s">
        <v>10047</v>
      </c>
      <c r="D450" s="761" t="s">
        <v>10048</v>
      </c>
      <c r="E450" s="761" t="s">
        <v>10049</v>
      </c>
      <c r="F450">
        <v>80</v>
      </c>
      <c r="G450" s="1387">
        <v>80</v>
      </c>
      <c r="I450" s="1386" t="s">
        <v>528</v>
      </c>
      <c r="J450" s="95">
        <v>45710</v>
      </c>
    </row>
    <row r="451" spans="1:12">
      <c r="A451" s="95">
        <v>45710</v>
      </c>
      <c r="B451" s="761" t="s">
        <v>10050</v>
      </c>
      <c r="D451" s="761" t="s">
        <v>10051</v>
      </c>
      <c r="E451" s="761" t="s">
        <v>10052</v>
      </c>
      <c r="F451">
        <v>80</v>
      </c>
      <c r="G451" s="1387">
        <v>80</v>
      </c>
      <c r="I451" s="1386" t="s">
        <v>528</v>
      </c>
      <c r="J451" s="95">
        <v>45710</v>
      </c>
    </row>
    <row r="452" spans="1:12">
      <c r="A452" s="95">
        <v>45712</v>
      </c>
      <c r="B452" s="761" t="s">
        <v>10061</v>
      </c>
      <c r="D452" s="761" t="s">
        <v>10060</v>
      </c>
      <c r="E452" s="761" t="s">
        <v>10088</v>
      </c>
      <c r="F452">
        <v>80</v>
      </c>
      <c r="G452" s="1387">
        <v>80</v>
      </c>
      <c r="I452" s="1386" t="s">
        <v>528</v>
      </c>
      <c r="J452" s="95">
        <v>45711</v>
      </c>
    </row>
    <row r="453" spans="1:12">
      <c r="A453" s="95">
        <v>45712</v>
      </c>
      <c r="B453" s="761" t="s">
        <v>9261</v>
      </c>
      <c r="D453" s="761" t="s">
        <v>9262</v>
      </c>
      <c r="E453" s="761" t="s">
        <v>9263</v>
      </c>
      <c r="F453">
        <v>80</v>
      </c>
      <c r="G453" s="1387">
        <v>80</v>
      </c>
      <c r="I453" s="1386" t="s">
        <v>39</v>
      </c>
      <c r="J453" s="95">
        <v>45712</v>
      </c>
    </row>
    <row r="454" spans="1:12">
      <c r="A454" s="95">
        <v>45712</v>
      </c>
      <c r="B454" s="761" t="s">
        <v>10062</v>
      </c>
      <c r="D454" s="761" t="s">
        <v>10063</v>
      </c>
      <c r="E454" s="761" t="s">
        <v>10064</v>
      </c>
      <c r="F454">
        <v>80</v>
      </c>
      <c r="G454" s="1387">
        <v>80</v>
      </c>
      <c r="I454" s="1386" t="s">
        <v>39</v>
      </c>
      <c r="J454" s="95">
        <v>45712</v>
      </c>
    </row>
    <row r="455" spans="1:12">
      <c r="A455" s="95">
        <v>45712</v>
      </c>
      <c r="B455" s="1383" t="s">
        <v>10070</v>
      </c>
      <c r="D455" s="761" t="s">
        <v>10069</v>
      </c>
      <c r="E455" s="761" t="s">
        <v>10071</v>
      </c>
      <c r="F455">
        <v>80</v>
      </c>
      <c r="G455" s="1387">
        <v>80</v>
      </c>
      <c r="I455" s="1386" t="s">
        <v>39</v>
      </c>
      <c r="J455" s="95">
        <v>45714</v>
      </c>
    </row>
    <row r="456" spans="1:12">
      <c r="A456" s="95">
        <v>45712</v>
      </c>
      <c r="B456" s="1383" t="s">
        <v>10070</v>
      </c>
      <c r="D456" s="761" t="s">
        <v>10069</v>
      </c>
      <c r="E456" s="761" t="s">
        <v>10072</v>
      </c>
      <c r="F456">
        <v>80</v>
      </c>
      <c r="G456" s="1387">
        <v>80</v>
      </c>
      <c r="I456" s="1386" t="s">
        <v>39</v>
      </c>
      <c r="J456" s="95">
        <v>45714</v>
      </c>
    </row>
    <row r="457" spans="1:12">
      <c r="A457" s="95">
        <v>45713</v>
      </c>
      <c r="B457" s="761" t="s">
        <v>10050</v>
      </c>
      <c r="D457" s="761" t="s">
        <v>10077</v>
      </c>
      <c r="E457" s="761" t="s">
        <v>10078</v>
      </c>
      <c r="F457">
        <v>80</v>
      </c>
      <c r="G457" s="1387">
        <v>80</v>
      </c>
      <c r="I457" s="1386" t="s">
        <v>528</v>
      </c>
      <c r="J457" s="95">
        <v>45714</v>
      </c>
    </row>
    <row r="458" spans="1:12">
      <c r="A458" s="95">
        <v>45714</v>
      </c>
      <c r="B458" s="761" t="s">
        <v>10080</v>
      </c>
      <c r="D458" s="761" t="s">
        <v>10079</v>
      </c>
      <c r="E458" s="761" t="s">
        <v>10081</v>
      </c>
      <c r="F458">
        <v>80</v>
      </c>
      <c r="G458" s="1387">
        <v>80</v>
      </c>
      <c r="I458" s="1386" t="s">
        <v>528</v>
      </c>
      <c r="J458" s="95">
        <v>45714</v>
      </c>
    </row>
    <row r="459" spans="1:12">
      <c r="A459" s="95">
        <v>45714</v>
      </c>
      <c r="B459" s="761" t="s">
        <v>10080</v>
      </c>
      <c r="D459" s="761" t="s">
        <v>10082</v>
      </c>
      <c r="E459" s="761" t="s">
        <v>10083</v>
      </c>
      <c r="F459">
        <v>80</v>
      </c>
      <c r="G459" s="1387">
        <v>80</v>
      </c>
      <c r="I459" s="1386" t="s">
        <v>528</v>
      </c>
      <c r="J459" s="95">
        <v>45714</v>
      </c>
    </row>
    <row r="460" spans="1:12">
      <c r="A460" s="95">
        <v>45716</v>
      </c>
      <c r="B460" s="761" t="s">
        <v>10093</v>
      </c>
      <c r="D460" s="761" t="s">
        <v>10091</v>
      </c>
      <c r="E460" s="761" t="s">
        <v>10092</v>
      </c>
      <c r="F460">
        <v>80</v>
      </c>
      <c r="G460" s="1387">
        <v>80</v>
      </c>
      <c r="I460" s="1386" t="s">
        <v>528</v>
      </c>
      <c r="J460" s="95">
        <v>45717</v>
      </c>
    </row>
    <row r="461" spans="1:12">
      <c r="A461" s="95">
        <v>45717</v>
      </c>
      <c r="B461" s="761" t="s">
        <v>9951</v>
      </c>
      <c r="D461" s="761" t="s">
        <v>10097</v>
      </c>
      <c r="E461" s="761" t="s">
        <v>10096</v>
      </c>
      <c r="F461">
        <v>80</v>
      </c>
      <c r="G461" s="1387">
        <v>80</v>
      </c>
    </row>
    <row r="462" spans="1:12">
      <c r="A462" s="95">
        <v>45718</v>
      </c>
      <c r="B462" s="761" t="s">
        <v>10100</v>
      </c>
      <c r="D462" s="761" t="s">
        <v>10098</v>
      </c>
      <c r="E462" s="761" t="s">
        <v>10099</v>
      </c>
      <c r="F462">
        <v>80</v>
      </c>
      <c r="G462" s="1387">
        <v>80</v>
      </c>
    </row>
    <row r="463" spans="1:12">
      <c r="A463" s="95">
        <v>45724</v>
      </c>
      <c r="B463" s="1394" t="s">
        <v>10110</v>
      </c>
      <c r="C463" s="761" t="s">
        <v>10113</v>
      </c>
      <c r="D463" s="761" t="s">
        <v>10111</v>
      </c>
      <c r="E463" s="761" t="s">
        <v>10112</v>
      </c>
      <c r="F463">
        <v>80</v>
      </c>
      <c r="G463" s="1387">
        <v>80</v>
      </c>
      <c r="I463" s="1386" t="s">
        <v>528</v>
      </c>
      <c r="J463" s="95">
        <v>45724</v>
      </c>
      <c r="L463" t="s">
        <v>9583</v>
      </c>
    </row>
    <row r="464" spans="1:12">
      <c r="A464" s="95">
        <v>45726</v>
      </c>
      <c r="B464" s="1401" t="s">
        <v>9583</v>
      </c>
      <c r="C464" s="761" t="s">
        <v>10123</v>
      </c>
      <c r="D464" s="761" t="s">
        <v>10124</v>
      </c>
      <c r="E464" s="761" t="s">
        <v>10122</v>
      </c>
      <c r="F464">
        <v>80</v>
      </c>
      <c r="G464" s="1387">
        <v>80</v>
      </c>
    </row>
    <row r="465" spans="1:10">
      <c r="A465" s="95">
        <v>45726</v>
      </c>
      <c r="B465" s="1402" t="s">
        <v>10126</v>
      </c>
      <c r="D465" s="761" t="s">
        <v>10125</v>
      </c>
      <c r="E465" s="761" t="s">
        <v>10127</v>
      </c>
      <c r="F465">
        <v>80</v>
      </c>
      <c r="G465" s="1387">
        <v>80</v>
      </c>
    </row>
    <row r="466" spans="1:10">
      <c r="A466" s="95">
        <v>45726</v>
      </c>
      <c r="B466" s="761" t="s">
        <v>9583</v>
      </c>
      <c r="C466" s="761" t="s">
        <v>10128</v>
      </c>
      <c r="D466" s="761" t="s">
        <v>10129</v>
      </c>
      <c r="E466" s="761" t="s">
        <v>5227</v>
      </c>
      <c r="F466">
        <v>80</v>
      </c>
      <c r="G466" s="1387">
        <v>80</v>
      </c>
      <c r="I466" t="s">
        <v>39</v>
      </c>
      <c r="J466" s="95">
        <v>45728</v>
      </c>
    </row>
    <row r="467" spans="1:10">
      <c r="A467" s="95">
        <v>45727</v>
      </c>
      <c r="B467" s="761" t="s">
        <v>9583</v>
      </c>
      <c r="C467" s="761" t="s">
        <v>10130</v>
      </c>
      <c r="D467" s="761" t="s">
        <v>10131</v>
      </c>
      <c r="E467" s="761" t="s">
        <v>10132</v>
      </c>
      <c r="F467">
        <v>80</v>
      </c>
      <c r="G467" s="1387">
        <v>80</v>
      </c>
      <c r="I467" t="s">
        <v>39</v>
      </c>
      <c r="J467" s="95">
        <v>45727</v>
      </c>
    </row>
    <row r="468" spans="1:10">
      <c r="A468" s="95">
        <v>45727</v>
      </c>
      <c r="B468" s="761" t="s">
        <v>10134</v>
      </c>
      <c r="C468" s="761" t="s">
        <v>10135</v>
      </c>
      <c r="D468" s="761" t="s">
        <v>10133</v>
      </c>
      <c r="E468" s="761" t="s">
        <v>10136</v>
      </c>
      <c r="F468">
        <v>80</v>
      </c>
      <c r="G468" s="1387">
        <v>80</v>
      </c>
    </row>
    <row r="469" spans="1:10">
      <c r="A469" s="95">
        <v>45727</v>
      </c>
      <c r="B469" s="761" t="s">
        <v>10138</v>
      </c>
      <c r="D469" s="761" t="s">
        <v>10137</v>
      </c>
      <c r="E469" s="761" t="s">
        <v>10139</v>
      </c>
      <c r="F469">
        <v>80</v>
      </c>
      <c r="G469" s="1387">
        <v>80</v>
      </c>
      <c r="I469" t="s">
        <v>528</v>
      </c>
      <c r="J469" s="95">
        <v>45729</v>
      </c>
    </row>
    <row r="470" spans="1:10">
      <c r="A470" s="95">
        <v>45728</v>
      </c>
      <c r="B470" s="761" t="s">
        <v>10110</v>
      </c>
      <c r="C470" s="761" t="s">
        <v>10140</v>
      </c>
      <c r="D470" s="761" t="s">
        <v>10111</v>
      </c>
      <c r="E470" s="761" t="s">
        <v>10141</v>
      </c>
      <c r="F470">
        <v>80</v>
      </c>
      <c r="G470" s="1387">
        <v>80</v>
      </c>
      <c r="I470" t="s">
        <v>528</v>
      </c>
      <c r="J470" s="95">
        <v>46121</v>
      </c>
    </row>
    <row r="471" spans="1:10">
      <c r="B471" s="761" t="s">
        <v>10110</v>
      </c>
      <c r="D471" s="761" t="s">
        <v>10142</v>
      </c>
      <c r="E471" s="761" t="s">
        <v>10143</v>
      </c>
      <c r="F471">
        <v>80</v>
      </c>
      <c r="G471" s="1387">
        <v>80</v>
      </c>
      <c r="I471" t="s">
        <v>191</v>
      </c>
      <c r="J471" s="95">
        <v>45728</v>
      </c>
    </row>
    <row r="472" spans="1:10">
      <c r="A472" s="95">
        <v>45728</v>
      </c>
      <c r="B472" s="761" t="s">
        <v>10144</v>
      </c>
      <c r="C472" s="761" t="s">
        <v>10145</v>
      </c>
      <c r="D472" s="761" t="s">
        <v>10146</v>
      </c>
      <c r="E472" s="761" t="s">
        <v>10147</v>
      </c>
      <c r="F472">
        <v>80</v>
      </c>
      <c r="G472" s="1387">
        <v>80</v>
      </c>
      <c r="I472" t="s">
        <v>191</v>
      </c>
      <c r="J472" s="95">
        <v>45729</v>
      </c>
    </row>
    <row r="473" spans="1:10">
      <c r="A473" s="95">
        <v>45728</v>
      </c>
      <c r="B473" s="761" t="s">
        <v>10144</v>
      </c>
      <c r="D473" s="761" t="s">
        <v>10146</v>
      </c>
      <c r="E473" s="761" t="s">
        <v>10148</v>
      </c>
      <c r="F473">
        <v>80</v>
      </c>
      <c r="G473" s="1387">
        <v>80</v>
      </c>
      <c r="I473" t="s">
        <v>191</v>
      </c>
      <c r="J473" s="95">
        <v>45729</v>
      </c>
    </row>
    <row r="474" spans="1:10">
      <c r="A474" s="95">
        <v>45729</v>
      </c>
      <c r="B474" s="761" t="s">
        <v>9583</v>
      </c>
      <c r="C474" s="761" t="s">
        <v>10149</v>
      </c>
      <c r="D474" s="761" t="s">
        <v>10151</v>
      </c>
      <c r="E474" s="761" t="s">
        <v>10150</v>
      </c>
      <c r="F474">
        <v>80</v>
      </c>
      <c r="G474" s="1387">
        <v>80</v>
      </c>
      <c r="I474" t="s">
        <v>191</v>
      </c>
      <c r="J474" s="95">
        <v>45729</v>
      </c>
    </row>
    <row r="475" spans="1:10">
      <c r="A475" s="95">
        <v>45729</v>
      </c>
      <c r="B475" s="761" t="s">
        <v>9921</v>
      </c>
      <c r="D475" s="761" t="s">
        <v>3922</v>
      </c>
      <c r="E475" s="761" t="s">
        <v>10152</v>
      </c>
      <c r="F475">
        <v>80</v>
      </c>
      <c r="G475" s="1387">
        <v>80</v>
      </c>
      <c r="I475" s="1404" t="s">
        <v>528</v>
      </c>
      <c r="J475" s="95">
        <v>45731</v>
      </c>
    </row>
    <row r="476" spans="1:10">
      <c r="A476" s="95">
        <v>45729</v>
      </c>
      <c r="B476" s="761" t="s">
        <v>9921</v>
      </c>
      <c r="E476" s="761" t="s">
        <v>10153</v>
      </c>
      <c r="F476">
        <v>80</v>
      </c>
      <c r="G476" s="1387">
        <v>80</v>
      </c>
      <c r="I476" s="1404" t="s">
        <v>528</v>
      </c>
      <c r="J476" s="95">
        <v>45731</v>
      </c>
    </row>
    <row r="477" spans="1:10">
      <c r="A477" s="95">
        <v>45732</v>
      </c>
      <c r="B477" s="761" t="s">
        <v>9583</v>
      </c>
      <c r="C477" s="761" t="s">
        <v>10159</v>
      </c>
      <c r="E477" s="761" t="s">
        <v>10160</v>
      </c>
      <c r="F477">
        <v>50</v>
      </c>
      <c r="G477" s="1387">
        <v>50</v>
      </c>
    </row>
    <row r="478" spans="1:10">
      <c r="A478" s="95">
        <v>45732</v>
      </c>
      <c r="B478" s="761" t="s">
        <v>10162</v>
      </c>
      <c r="D478" s="761" t="s">
        <v>10161</v>
      </c>
      <c r="E478" s="761" t="s">
        <v>10163</v>
      </c>
      <c r="F478">
        <v>80</v>
      </c>
      <c r="G478">
        <v>80</v>
      </c>
    </row>
    <row r="479" spans="1:10">
      <c r="A479" s="95">
        <v>45732</v>
      </c>
      <c r="B479" s="761" t="s">
        <v>10162</v>
      </c>
      <c r="D479" s="761" t="s">
        <v>10164</v>
      </c>
      <c r="E479" s="761" t="s">
        <v>10165</v>
      </c>
      <c r="F479">
        <v>80</v>
      </c>
      <c r="G479">
        <v>80</v>
      </c>
    </row>
    <row r="480" spans="1:10">
      <c r="A480" s="95">
        <v>45735</v>
      </c>
      <c r="B480" s="761" t="s">
        <v>8352</v>
      </c>
      <c r="C480" s="761" t="s">
        <v>10172</v>
      </c>
      <c r="D480" s="761" t="s">
        <v>9070</v>
      </c>
      <c r="E480" s="761" t="s">
        <v>10191</v>
      </c>
      <c r="F480">
        <v>80</v>
      </c>
      <c r="G480">
        <v>80</v>
      </c>
      <c r="I480" t="s">
        <v>39</v>
      </c>
      <c r="J480" s="95">
        <v>45742</v>
      </c>
    </row>
    <row r="481" spans="1:10">
      <c r="A481" s="95">
        <v>45740</v>
      </c>
      <c r="B481" s="761" t="s">
        <v>10180</v>
      </c>
      <c r="C481" s="761" t="s">
        <v>10181</v>
      </c>
      <c r="D481" s="761" t="s">
        <v>10179</v>
      </c>
      <c r="E481" s="761" t="s">
        <v>10182</v>
      </c>
      <c r="F481">
        <v>80</v>
      </c>
      <c r="G481">
        <v>80</v>
      </c>
    </row>
    <row r="482" spans="1:10">
      <c r="A482" s="95">
        <v>45741</v>
      </c>
      <c r="B482" s="761" t="s">
        <v>8661</v>
      </c>
      <c r="D482" s="761" t="s">
        <v>10188</v>
      </c>
      <c r="E482" s="761" t="s">
        <v>10189</v>
      </c>
      <c r="F482">
        <v>80</v>
      </c>
      <c r="G482">
        <v>80</v>
      </c>
      <c r="I482" t="s">
        <v>528</v>
      </c>
      <c r="J482" s="95">
        <v>45741</v>
      </c>
    </row>
    <row r="483" spans="1:10">
      <c r="A483" s="95">
        <v>45745</v>
      </c>
      <c r="B483" s="1410" t="s">
        <v>10192</v>
      </c>
      <c r="C483" s="1410" t="s">
        <v>10193</v>
      </c>
      <c r="D483" s="1410" t="s">
        <v>10196</v>
      </c>
      <c r="E483" s="761" t="s">
        <v>10194</v>
      </c>
      <c r="F483">
        <v>80</v>
      </c>
      <c r="G483">
        <v>80</v>
      </c>
      <c r="I483" t="s">
        <v>528</v>
      </c>
      <c r="J483" s="95">
        <v>45745</v>
      </c>
    </row>
    <row r="484" spans="1:10">
      <c r="A484" s="95">
        <v>45745</v>
      </c>
      <c r="B484" s="1410" t="s">
        <v>10192</v>
      </c>
      <c r="C484" s="1410" t="s">
        <v>10195</v>
      </c>
      <c r="D484" s="1410" t="s">
        <v>10196</v>
      </c>
      <c r="E484" s="761" t="s">
        <v>10197</v>
      </c>
      <c r="F484">
        <v>80</v>
      </c>
      <c r="G484">
        <v>80</v>
      </c>
      <c r="I484" t="s">
        <v>528</v>
      </c>
      <c r="J484" s="95">
        <v>45745</v>
      </c>
    </row>
    <row r="485" spans="1:10">
      <c r="A485" s="95">
        <v>45748</v>
      </c>
      <c r="B485" s="761" t="s">
        <v>10212</v>
      </c>
      <c r="C485" s="761" t="s">
        <v>10214</v>
      </c>
      <c r="D485" s="761" t="s">
        <v>10215</v>
      </c>
      <c r="E485" s="761" t="s">
        <v>10213</v>
      </c>
      <c r="F485">
        <v>80</v>
      </c>
      <c r="G485">
        <v>80</v>
      </c>
    </row>
    <row r="486" spans="1:10">
      <c r="A486" s="95">
        <v>45748</v>
      </c>
      <c r="B486" s="761" t="s">
        <v>10212</v>
      </c>
      <c r="C486" s="761" t="s">
        <v>10216</v>
      </c>
      <c r="D486" s="761" t="s">
        <v>10217</v>
      </c>
      <c r="E486" s="761" t="s">
        <v>3855</v>
      </c>
      <c r="F486">
        <v>80</v>
      </c>
      <c r="G486">
        <v>80</v>
      </c>
    </row>
    <row r="487" spans="1:10">
      <c r="A487" s="95">
        <v>45753</v>
      </c>
      <c r="B487" s="761" t="s">
        <v>9583</v>
      </c>
      <c r="C487" s="761" t="s">
        <v>10225</v>
      </c>
      <c r="D487" s="761" t="s">
        <v>10226</v>
      </c>
      <c r="E487" s="761" t="s">
        <v>10227</v>
      </c>
      <c r="F487">
        <v>80</v>
      </c>
      <c r="G487">
        <v>80</v>
      </c>
      <c r="I487" t="s">
        <v>528</v>
      </c>
      <c r="J487" s="95">
        <v>45755</v>
      </c>
    </row>
    <row r="488" spans="1:10">
      <c r="A488" s="95">
        <v>45754</v>
      </c>
      <c r="B488" s="761" t="s">
        <v>9583</v>
      </c>
      <c r="C488" s="761" t="s">
        <v>10228</v>
      </c>
      <c r="D488" s="761" t="s">
        <v>10229</v>
      </c>
      <c r="E488" s="761" t="s">
        <v>10230</v>
      </c>
      <c r="F488">
        <v>80</v>
      </c>
      <c r="G488">
        <v>80</v>
      </c>
      <c r="I488" t="s">
        <v>528</v>
      </c>
      <c r="J488" s="95">
        <v>45755</v>
      </c>
    </row>
    <row r="489" spans="1:10">
      <c r="A489" s="95">
        <v>45756</v>
      </c>
      <c r="B489" s="761" t="s">
        <v>9583</v>
      </c>
      <c r="C489" s="1418" t="s">
        <v>10232</v>
      </c>
      <c r="D489" s="761" t="s">
        <v>10231</v>
      </c>
      <c r="E489" s="761" t="s">
        <v>10233</v>
      </c>
      <c r="F489">
        <v>80</v>
      </c>
      <c r="G489">
        <v>80</v>
      </c>
      <c r="I489" t="s">
        <v>528</v>
      </c>
      <c r="J489" s="95">
        <v>45760</v>
      </c>
    </row>
    <row r="490" spans="1:10">
      <c r="A490" s="95">
        <v>45756</v>
      </c>
      <c r="B490" s="761" t="s">
        <v>10234</v>
      </c>
      <c r="C490" s="761" t="s">
        <v>10235</v>
      </c>
      <c r="D490" s="761" t="s">
        <v>10231</v>
      </c>
      <c r="E490" s="761" t="s">
        <v>10236</v>
      </c>
      <c r="F490">
        <v>80</v>
      </c>
      <c r="G490">
        <v>80</v>
      </c>
      <c r="I490" t="s">
        <v>528</v>
      </c>
      <c r="J490" s="95">
        <v>45760</v>
      </c>
    </row>
    <row r="491" spans="1:10">
      <c r="A491" s="95">
        <v>45757</v>
      </c>
      <c r="B491" s="761" t="s">
        <v>10240</v>
      </c>
      <c r="C491" s="761" t="s">
        <v>10241</v>
      </c>
      <c r="E491" s="761" t="s">
        <v>10242</v>
      </c>
      <c r="F491">
        <v>80</v>
      </c>
      <c r="G491">
        <v>80</v>
      </c>
      <c r="I491" t="s">
        <v>528</v>
      </c>
      <c r="J491" s="95">
        <v>45758</v>
      </c>
    </row>
    <row r="492" spans="1:10">
      <c r="A492" s="95">
        <v>45757</v>
      </c>
      <c r="B492" s="761" t="s">
        <v>10240</v>
      </c>
      <c r="C492" s="761" t="s">
        <v>10244</v>
      </c>
      <c r="D492" s="761" t="s">
        <v>10243</v>
      </c>
      <c r="E492" s="761" t="s">
        <v>10245</v>
      </c>
      <c r="F492">
        <v>80</v>
      </c>
      <c r="G492">
        <v>80</v>
      </c>
      <c r="I492" t="s">
        <v>528</v>
      </c>
      <c r="J492" s="95">
        <v>45758</v>
      </c>
    </row>
    <row r="493" spans="1:10">
      <c r="A493" s="95">
        <v>45757</v>
      </c>
      <c r="B493" s="761" t="s">
        <v>10240</v>
      </c>
      <c r="C493" s="761" t="s">
        <v>10246</v>
      </c>
      <c r="D493" s="761" t="s">
        <v>10243</v>
      </c>
      <c r="E493" s="761" t="s">
        <v>10247</v>
      </c>
      <c r="F493">
        <v>80</v>
      </c>
      <c r="G493">
        <v>80</v>
      </c>
      <c r="I493" t="s">
        <v>528</v>
      </c>
      <c r="J493" s="95">
        <v>45758</v>
      </c>
    </row>
    <row r="494" spans="1:10">
      <c r="A494" s="95">
        <v>45760</v>
      </c>
      <c r="B494" s="761" t="s">
        <v>10248</v>
      </c>
      <c r="C494" s="761" t="s">
        <v>10251</v>
      </c>
      <c r="E494" s="761" t="s">
        <v>10252</v>
      </c>
      <c r="F494">
        <v>50</v>
      </c>
      <c r="G494">
        <v>80</v>
      </c>
      <c r="I494" t="s">
        <v>528</v>
      </c>
      <c r="J494" s="95">
        <v>45396</v>
      </c>
    </row>
    <row r="495" spans="1:10">
      <c r="A495" s="95">
        <v>45760</v>
      </c>
      <c r="B495" s="761" t="s">
        <v>10248</v>
      </c>
      <c r="C495" s="761" t="s">
        <v>10250</v>
      </c>
      <c r="E495" s="761" t="s">
        <v>10249</v>
      </c>
      <c r="F495">
        <v>50</v>
      </c>
      <c r="G495">
        <v>80</v>
      </c>
      <c r="I495" t="s">
        <v>528</v>
      </c>
      <c r="J495" s="95">
        <v>45396</v>
      </c>
    </row>
    <row r="496" spans="1:10">
      <c r="A496" s="95">
        <v>45760</v>
      </c>
      <c r="B496" s="761" t="s">
        <v>10256</v>
      </c>
      <c r="C496" s="761" t="s">
        <v>10255</v>
      </c>
      <c r="D496" s="761" t="s">
        <v>10253</v>
      </c>
      <c r="E496" s="761" t="s">
        <v>10254</v>
      </c>
      <c r="F496">
        <v>80</v>
      </c>
      <c r="G496">
        <v>80</v>
      </c>
      <c r="I496" t="s">
        <v>36</v>
      </c>
    </row>
    <row r="497" spans="1:10">
      <c r="A497" s="95">
        <v>45760</v>
      </c>
      <c r="B497" s="761" t="s">
        <v>10256</v>
      </c>
      <c r="C497" s="761" t="s">
        <v>10259</v>
      </c>
      <c r="D497" s="761" t="s">
        <v>10257</v>
      </c>
      <c r="E497" s="761" t="s">
        <v>10258</v>
      </c>
      <c r="F497">
        <v>80</v>
      </c>
      <c r="G497">
        <v>80</v>
      </c>
      <c r="I497" t="s">
        <v>528</v>
      </c>
      <c r="J497" s="95">
        <v>45396</v>
      </c>
    </row>
    <row r="498" spans="1:10">
      <c r="A498" s="95">
        <v>45760</v>
      </c>
      <c r="B498" s="761" t="s">
        <v>10256</v>
      </c>
      <c r="D498" s="761" t="s">
        <v>10257</v>
      </c>
      <c r="E498" s="761" t="s">
        <v>10260</v>
      </c>
      <c r="F498">
        <v>80</v>
      </c>
      <c r="G498">
        <v>80</v>
      </c>
      <c r="I498" t="s">
        <v>528</v>
      </c>
      <c r="J498" s="95">
        <v>45396</v>
      </c>
    </row>
    <row r="499" spans="1:10">
      <c r="A499" s="95">
        <v>45761</v>
      </c>
      <c r="B499" s="761" t="s">
        <v>10263</v>
      </c>
      <c r="C499" s="761" t="s">
        <v>10266</v>
      </c>
      <c r="D499" s="761" t="s">
        <v>10264</v>
      </c>
      <c r="E499" s="761" t="s">
        <v>10265</v>
      </c>
      <c r="F499">
        <v>80</v>
      </c>
      <c r="G499">
        <v>80</v>
      </c>
    </row>
    <row r="500" spans="1:10">
      <c r="A500" s="95">
        <v>45762</v>
      </c>
      <c r="B500" s="761" t="s">
        <v>10267</v>
      </c>
      <c r="C500" s="761" t="s">
        <v>10268</v>
      </c>
      <c r="D500" s="761" t="s">
        <v>10270</v>
      </c>
      <c r="E500" s="761" t="s">
        <v>10269</v>
      </c>
      <c r="F500">
        <v>80</v>
      </c>
      <c r="G500">
        <v>80</v>
      </c>
      <c r="I500" t="s">
        <v>10295</v>
      </c>
      <c r="J500" s="95">
        <v>45763</v>
      </c>
    </row>
    <row r="501" spans="1:10">
      <c r="A501" s="95">
        <v>45762</v>
      </c>
      <c r="B501" s="761" t="s">
        <v>10271</v>
      </c>
      <c r="C501" s="761" t="s">
        <v>10272</v>
      </c>
      <c r="D501" s="761" t="s">
        <v>10273</v>
      </c>
      <c r="E501" s="761" t="s">
        <v>10274</v>
      </c>
      <c r="F501">
        <v>80</v>
      </c>
      <c r="G501">
        <v>80</v>
      </c>
      <c r="I501" t="s">
        <v>178</v>
      </c>
      <c r="J501" s="95">
        <v>45763</v>
      </c>
    </row>
    <row r="502" spans="1:10">
      <c r="A502" s="95">
        <v>45762</v>
      </c>
      <c r="B502" s="761" t="s">
        <v>10271</v>
      </c>
      <c r="C502" s="1423" t="s">
        <v>10275</v>
      </c>
      <c r="D502" s="812" t="s">
        <v>10273</v>
      </c>
      <c r="E502" s="761" t="s">
        <v>10276</v>
      </c>
      <c r="F502">
        <v>80</v>
      </c>
      <c r="G502">
        <v>80</v>
      </c>
      <c r="I502" t="s">
        <v>36</v>
      </c>
    </row>
    <row r="503" spans="1:10">
      <c r="A503" s="95">
        <v>45762</v>
      </c>
      <c r="B503" s="761" t="s">
        <v>10271</v>
      </c>
      <c r="C503" s="1423" t="s">
        <v>10277</v>
      </c>
      <c r="D503" s="812" t="s">
        <v>10273</v>
      </c>
      <c r="E503" s="761" t="s">
        <v>10278</v>
      </c>
      <c r="F503">
        <v>80</v>
      </c>
      <c r="G503">
        <v>80</v>
      </c>
      <c r="I503" t="s">
        <v>178</v>
      </c>
      <c r="J503" s="95">
        <v>45763</v>
      </c>
    </row>
    <row r="504" spans="1:10">
      <c r="A504" s="95">
        <v>45762</v>
      </c>
      <c r="B504" s="761" t="s">
        <v>10271</v>
      </c>
      <c r="C504" s="1423" t="s">
        <v>10279</v>
      </c>
      <c r="D504" s="812" t="s">
        <v>10273</v>
      </c>
      <c r="E504" s="761" t="s">
        <v>10280</v>
      </c>
      <c r="F504">
        <v>80</v>
      </c>
      <c r="G504">
        <v>80</v>
      </c>
      <c r="I504" t="s">
        <v>178</v>
      </c>
      <c r="J504" s="95">
        <v>45763</v>
      </c>
    </row>
    <row r="505" spans="1:10">
      <c r="A505" s="95">
        <v>45762</v>
      </c>
      <c r="B505" s="1423" t="s">
        <v>10281</v>
      </c>
      <c r="C505" s="1423" t="s">
        <v>10282</v>
      </c>
      <c r="D505" s="1423" t="s">
        <v>10283</v>
      </c>
      <c r="E505" s="761" t="s">
        <v>10415</v>
      </c>
      <c r="F505">
        <v>80</v>
      </c>
      <c r="G505">
        <v>80</v>
      </c>
      <c r="I505" t="s">
        <v>39</v>
      </c>
      <c r="J505" s="95">
        <v>45783</v>
      </c>
    </row>
    <row r="506" spans="1:10">
      <c r="A506" s="95">
        <v>45763</v>
      </c>
      <c r="B506" s="761" t="s">
        <v>10284</v>
      </c>
      <c r="D506" s="761" t="s">
        <v>10285</v>
      </c>
      <c r="E506" s="761" t="s">
        <v>10286</v>
      </c>
      <c r="F506">
        <v>80</v>
      </c>
      <c r="G506">
        <v>80</v>
      </c>
      <c r="I506" t="s">
        <v>39</v>
      </c>
      <c r="J506" s="95">
        <v>45763</v>
      </c>
    </row>
    <row r="507" spans="1:10">
      <c r="A507" s="95">
        <v>45763</v>
      </c>
      <c r="B507" s="761" t="s">
        <v>10289</v>
      </c>
      <c r="C507" s="761" t="s">
        <v>10288</v>
      </c>
      <c r="D507" s="761" t="s">
        <v>10287</v>
      </c>
      <c r="E507" s="761" t="s">
        <v>10290</v>
      </c>
      <c r="F507">
        <v>80</v>
      </c>
      <c r="G507">
        <v>80</v>
      </c>
      <c r="I507" t="s">
        <v>39</v>
      </c>
      <c r="J507" s="95">
        <v>45765</v>
      </c>
    </row>
    <row r="508" spans="1:10">
      <c r="A508" s="95">
        <v>45763</v>
      </c>
      <c r="B508" s="761" t="s">
        <v>10289</v>
      </c>
      <c r="C508" s="761" t="s">
        <v>10291</v>
      </c>
      <c r="D508" s="761" t="s">
        <v>10287</v>
      </c>
      <c r="E508" s="761" t="s">
        <v>10292</v>
      </c>
      <c r="F508">
        <v>80</v>
      </c>
      <c r="G508">
        <v>80</v>
      </c>
      <c r="I508" t="s">
        <v>39</v>
      </c>
      <c r="J508" s="95">
        <v>45765</v>
      </c>
    </row>
    <row r="509" spans="1:10">
      <c r="A509" s="95">
        <v>45763</v>
      </c>
      <c r="B509" s="761" t="s">
        <v>10289</v>
      </c>
      <c r="C509" s="761" t="s">
        <v>10293</v>
      </c>
      <c r="D509" s="761" t="s">
        <v>10287</v>
      </c>
      <c r="E509" s="761" t="s">
        <v>10294</v>
      </c>
      <c r="F509">
        <v>80</v>
      </c>
      <c r="G509">
        <v>80</v>
      </c>
      <c r="I509" t="s">
        <v>39</v>
      </c>
      <c r="J509" s="95">
        <v>45765</v>
      </c>
    </row>
    <row r="510" spans="1:10">
      <c r="A510" s="95">
        <v>45764</v>
      </c>
      <c r="B510" s="761" t="s">
        <v>8877</v>
      </c>
      <c r="C510" s="761" t="s">
        <v>10296</v>
      </c>
      <c r="E510" s="761" t="s">
        <v>10297</v>
      </c>
      <c r="F510">
        <v>80</v>
      </c>
      <c r="G510">
        <v>80</v>
      </c>
      <c r="I510" t="s">
        <v>39</v>
      </c>
      <c r="J510" s="95">
        <v>45765</v>
      </c>
    </row>
    <row r="511" spans="1:10">
      <c r="A511" s="95">
        <v>45764</v>
      </c>
      <c r="B511" s="761" t="s">
        <v>10299</v>
      </c>
      <c r="C511" s="761" t="s">
        <v>10300</v>
      </c>
      <c r="D511" s="761" t="s">
        <v>10302</v>
      </c>
      <c r="E511" s="761" t="s">
        <v>10301</v>
      </c>
      <c r="F511">
        <v>80</v>
      </c>
      <c r="G511">
        <v>80</v>
      </c>
      <c r="I511" t="s">
        <v>39</v>
      </c>
      <c r="J511" s="95">
        <v>45765</v>
      </c>
    </row>
    <row r="512" spans="1:10">
      <c r="A512" s="95">
        <v>45764</v>
      </c>
      <c r="B512" s="761" t="s">
        <v>10299</v>
      </c>
      <c r="C512" s="761" t="s">
        <v>10304</v>
      </c>
      <c r="D512" s="761" t="s">
        <v>10303</v>
      </c>
      <c r="E512" s="761" t="s">
        <v>10305</v>
      </c>
      <c r="F512">
        <v>80</v>
      </c>
      <c r="G512">
        <v>80</v>
      </c>
      <c r="I512" t="s">
        <v>39</v>
      </c>
      <c r="J512" s="95">
        <v>45765</v>
      </c>
    </row>
    <row r="513" spans="1:10">
      <c r="A513" s="95">
        <v>45765</v>
      </c>
      <c r="B513" s="761" t="s">
        <v>10000</v>
      </c>
      <c r="C513" s="761" t="s">
        <v>10310</v>
      </c>
      <c r="D513" s="761" t="s">
        <v>10309</v>
      </c>
      <c r="E513" s="761" t="s">
        <v>10311</v>
      </c>
      <c r="F513">
        <v>80</v>
      </c>
      <c r="G513">
        <v>80</v>
      </c>
      <c r="H513" s="761"/>
      <c r="I513" t="s">
        <v>39</v>
      </c>
      <c r="J513" s="95">
        <v>45767</v>
      </c>
    </row>
    <row r="514" spans="1:10">
      <c r="A514" s="95">
        <v>45766</v>
      </c>
      <c r="B514" s="761" t="s">
        <v>10320</v>
      </c>
      <c r="C514" s="761" t="s">
        <v>10321</v>
      </c>
      <c r="D514" s="761" t="s">
        <v>10322</v>
      </c>
      <c r="E514" s="761" t="s">
        <v>10323</v>
      </c>
      <c r="F514">
        <v>80</v>
      </c>
      <c r="G514">
        <v>80</v>
      </c>
      <c r="I514" t="s">
        <v>39</v>
      </c>
      <c r="J514" s="95">
        <v>45771</v>
      </c>
    </row>
    <row r="515" spans="1:10">
      <c r="A515" s="95">
        <v>45766</v>
      </c>
      <c r="B515" s="761" t="s">
        <v>10325</v>
      </c>
      <c r="C515" s="761" t="s">
        <v>10327</v>
      </c>
      <c r="D515" s="761" t="s">
        <v>10324</v>
      </c>
      <c r="E515" s="761" t="s">
        <v>10326</v>
      </c>
      <c r="F515">
        <v>80</v>
      </c>
      <c r="G515">
        <v>80</v>
      </c>
      <c r="I515" t="s">
        <v>528</v>
      </c>
      <c r="J515" s="95">
        <v>45767</v>
      </c>
    </row>
    <row r="516" spans="1:10">
      <c r="A516" s="95">
        <v>45766</v>
      </c>
      <c r="B516" s="761" t="s">
        <v>10325</v>
      </c>
      <c r="C516" s="761" t="s">
        <v>10328</v>
      </c>
      <c r="D516" s="761" t="s">
        <v>10324</v>
      </c>
      <c r="E516" s="761" t="s">
        <v>10329</v>
      </c>
      <c r="F516">
        <v>80</v>
      </c>
      <c r="G516">
        <v>80</v>
      </c>
      <c r="I516" t="s">
        <v>528</v>
      </c>
      <c r="J516" s="95">
        <v>45767</v>
      </c>
    </row>
    <row r="517" spans="1:10">
      <c r="A517" s="95">
        <v>45766</v>
      </c>
      <c r="B517" s="761" t="s">
        <v>10325</v>
      </c>
      <c r="C517" s="761" t="s">
        <v>10330</v>
      </c>
      <c r="D517" s="761" t="s">
        <v>10332</v>
      </c>
      <c r="E517" s="761" t="s">
        <v>10331</v>
      </c>
      <c r="F517">
        <v>80</v>
      </c>
      <c r="G517">
        <v>80</v>
      </c>
      <c r="I517" t="s">
        <v>528</v>
      </c>
      <c r="J517" s="95">
        <v>45767</v>
      </c>
    </row>
    <row r="518" spans="1:10">
      <c r="A518" s="95">
        <v>45767</v>
      </c>
      <c r="B518" s="761" t="s">
        <v>10000</v>
      </c>
      <c r="C518" s="761" t="s">
        <v>10333</v>
      </c>
      <c r="D518" s="761" t="s">
        <v>10334</v>
      </c>
      <c r="E518" s="761" t="s">
        <v>10335</v>
      </c>
      <c r="F518">
        <v>80</v>
      </c>
      <c r="G518">
        <v>80</v>
      </c>
      <c r="I518" t="s">
        <v>528</v>
      </c>
      <c r="J518" s="95">
        <v>45770</v>
      </c>
    </row>
    <row r="519" spans="1:10">
      <c r="B519" s="761" t="s">
        <v>10000</v>
      </c>
      <c r="C519" s="761" t="s">
        <v>10338</v>
      </c>
      <c r="D519" s="761" t="s">
        <v>10337</v>
      </c>
      <c r="E519" s="761" t="s">
        <v>10336</v>
      </c>
      <c r="F519">
        <v>80</v>
      </c>
      <c r="G519">
        <v>80</v>
      </c>
      <c r="I519" t="s">
        <v>528</v>
      </c>
      <c r="J519" s="95">
        <v>45770</v>
      </c>
    </row>
    <row r="520" spans="1:10">
      <c r="A520" s="95">
        <v>45768</v>
      </c>
      <c r="B520" s="761" t="s">
        <v>10340</v>
      </c>
      <c r="C520" s="761" t="s">
        <v>10341</v>
      </c>
      <c r="D520" s="761" t="s">
        <v>10339</v>
      </c>
      <c r="E520" s="761" t="s">
        <v>10342</v>
      </c>
      <c r="F520">
        <v>80</v>
      </c>
      <c r="G520">
        <v>80</v>
      </c>
      <c r="I520" t="s">
        <v>528</v>
      </c>
      <c r="J520" s="95">
        <v>45768</v>
      </c>
    </row>
    <row r="521" spans="1:10">
      <c r="A521" s="95">
        <v>45768</v>
      </c>
      <c r="B521" s="761" t="s">
        <v>9318</v>
      </c>
      <c r="D521" s="761" t="s">
        <v>10343</v>
      </c>
      <c r="E521" s="761" t="s">
        <v>10344</v>
      </c>
      <c r="F521">
        <v>80</v>
      </c>
      <c r="G521">
        <v>30</v>
      </c>
    </row>
    <row r="522" spans="1:10">
      <c r="A522" s="95">
        <v>45772</v>
      </c>
      <c r="B522" s="761" t="s">
        <v>10351</v>
      </c>
      <c r="D522" s="1430" t="s">
        <v>10353</v>
      </c>
      <c r="E522" s="761" t="s">
        <v>10352</v>
      </c>
      <c r="F522">
        <v>80</v>
      </c>
      <c r="G522">
        <v>80</v>
      </c>
    </row>
    <row r="523" spans="1:10">
      <c r="A523" s="95">
        <v>45775</v>
      </c>
      <c r="B523" s="761" t="s">
        <v>9583</v>
      </c>
      <c r="C523" s="761" t="s">
        <v>10360</v>
      </c>
      <c r="D523" s="761" t="s">
        <v>10361</v>
      </c>
      <c r="E523" s="761" t="s">
        <v>10362</v>
      </c>
      <c r="F523">
        <v>80</v>
      </c>
      <c r="G523">
        <v>80</v>
      </c>
      <c r="H523">
        <v>0</v>
      </c>
      <c r="I523" t="s">
        <v>528</v>
      </c>
      <c r="J523" s="95">
        <v>45777</v>
      </c>
    </row>
    <row r="524" spans="1:10">
      <c r="A524" s="95">
        <v>45777</v>
      </c>
      <c r="B524" s="761" t="s">
        <v>10369</v>
      </c>
      <c r="C524" s="761" t="s">
        <v>10371</v>
      </c>
      <c r="D524" s="761" t="s">
        <v>10368</v>
      </c>
      <c r="E524" s="761" t="s">
        <v>10370</v>
      </c>
      <c r="F524">
        <v>80</v>
      </c>
      <c r="G524">
        <v>80</v>
      </c>
      <c r="I524" t="s">
        <v>528</v>
      </c>
      <c r="J524" s="95">
        <v>45779</v>
      </c>
    </row>
    <row r="525" spans="1:10">
      <c r="A525" s="95">
        <v>45777</v>
      </c>
      <c r="B525" s="761" t="s">
        <v>10369</v>
      </c>
      <c r="D525" s="761" t="s">
        <v>10372</v>
      </c>
      <c r="E525" s="761" t="s">
        <v>10373</v>
      </c>
      <c r="F525">
        <v>80</v>
      </c>
      <c r="G525">
        <v>80</v>
      </c>
      <c r="I525" t="s">
        <v>528</v>
      </c>
      <c r="J525" s="95">
        <v>45779</v>
      </c>
    </row>
    <row r="526" spans="1:10">
      <c r="A526" s="95">
        <v>45777</v>
      </c>
      <c r="B526" s="761" t="s">
        <v>10369</v>
      </c>
      <c r="C526" s="761" t="s">
        <v>10374</v>
      </c>
      <c r="D526" s="761" t="s">
        <v>10372</v>
      </c>
      <c r="E526" s="761" t="s">
        <v>10375</v>
      </c>
      <c r="F526">
        <v>80</v>
      </c>
      <c r="G526">
        <v>80</v>
      </c>
      <c r="I526" t="s">
        <v>528</v>
      </c>
      <c r="J526" s="95">
        <v>45779</v>
      </c>
    </row>
    <row r="527" spans="1:10">
      <c r="A527" s="95">
        <v>45778</v>
      </c>
      <c r="B527" s="761" t="s">
        <v>10391</v>
      </c>
      <c r="C527" s="761" t="s">
        <v>10392</v>
      </c>
      <c r="D527" s="761" t="s">
        <v>10390</v>
      </c>
      <c r="E527" s="761" t="s">
        <v>10395</v>
      </c>
      <c r="F527">
        <v>80</v>
      </c>
      <c r="G527">
        <v>80</v>
      </c>
      <c r="I527" t="s">
        <v>39</v>
      </c>
      <c r="J527" s="95">
        <v>45779</v>
      </c>
    </row>
    <row r="528" spans="1:10">
      <c r="A528" s="95">
        <v>45778</v>
      </c>
      <c r="B528" s="761" t="s">
        <v>10391</v>
      </c>
      <c r="C528" s="761" t="s">
        <v>10393</v>
      </c>
      <c r="D528" s="761" t="s">
        <v>10390</v>
      </c>
      <c r="E528" s="761" t="s">
        <v>10394</v>
      </c>
      <c r="F528">
        <v>80</v>
      </c>
      <c r="G528">
        <v>80</v>
      </c>
      <c r="I528" t="s">
        <v>39</v>
      </c>
      <c r="J528" s="95">
        <v>45779</v>
      </c>
    </row>
    <row r="529" spans="1:10">
      <c r="A529" s="95">
        <v>45779</v>
      </c>
      <c r="B529" s="761" t="s">
        <v>10397</v>
      </c>
      <c r="D529" s="761" t="s">
        <v>10396</v>
      </c>
      <c r="E529" s="761" t="s">
        <v>10398</v>
      </c>
      <c r="F529">
        <v>80</v>
      </c>
      <c r="G529">
        <v>80</v>
      </c>
      <c r="I529" t="s">
        <v>39</v>
      </c>
      <c r="J529" s="95">
        <v>45781</v>
      </c>
    </row>
    <row r="530" spans="1:10">
      <c r="A530" s="95">
        <v>45780</v>
      </c>
      <c r="B530" s="761" t="s">
        <v>10062</v>
      </c>
      <c r="C530" s="761" t="s">
        <v>10400</v>
      </c>
      <c r="D530" s="761" t="s">
        <v>10399</v>
      </c>
      <c r="E530" s="761" t="s">
        <v>10401</v>
      </c>
      <c r="F530">
        <v>80</v>
      </c>
      <c r="G530">
        <v>80</v>
      </c>
      <c r="I530" t="s">
        <v>36</v>
      </c>
    </row>
    <row r="531" spans="1:10">
      <c r="A531" s="95">
        <v>45784</v>
      </c>
      <c r="B531" s="761" t="s">
        <v>10417</v>
      </c>
      <c r="C531" s="761" t="s">
        <v>10418</v>
      </c>
      <c r="D531" s="761" t="s">
        <v>10416</v>
      </c>
      <c r="E531" s="761" t="s">
        <v>10419</v>
      </c>
      <c r="F531">
        <v>80</v>
      </c>
      <c r="G531">
        <v>80</v>
      </c>
    </row>
    <row r="532" spans="1:10">
      <c r="A532" s="95">
        <v>45784</v>
      </c>
      <c r="B532" s="761" t="s">
        <v>10417</v>
      </c>
      <c r="C532" s="761" t="s">
        <v>10420</v>
      </c>
      <c r="D532" s="761" t="s">
        <v>10416</v>
      </c>
      <c r="E532" s="761" t="s">
        <v>10421</v>
      </c>
      <c r="F532">
        <v>80</v>
      </c>
      <c r="G532">
        <v>80</v>
      </c>
    </row>
    <row r="533" spans="1:10">
      <c r="A533" s="9">
        <v>45786</v>
      </c>
      <c r="B533" s="761" t="s">
        <v>10425</v>
      </c>
      <c r="D533" s="17" t="s">
        <v>10423</v>
      </c>
      <c r="E533" s="1438" t="s">
        <v>10424</v>
      </c>
      <c r="F533">
        <v>80</v>
      </c>
      <c r="G533">
        <v>80</v>
      </c>
      <c r="I533" t="s">
        <v>77</v>
      </c>
    </row>
    <row r="534" spans="1:10">
      <c r="A534" s="95">
        <v>45786</v>
      </c>
      <c r="B534" s="761" t="s">
        <v>10425</v>
      </c>
      <c r="C534" s="761" t="s">
        <v>10429</v>
      </c>
      <c r="D534" s="761" t="s">
        <v>10427</v>
      </c>
      <c r="E534" s="761" t="s">
        <v>10428</v>
      </c>
      <c r="F534">
        <v>80</v>
      </c>
      <c r="G534">
        <v>80</v>
      </c>
      <c r="I534" t="s">
        <v>77</v>
      </c>
    </row>
    <row r="535" spans="1:10">
      <c r="A535" s="95">
        <v>45421</v>
      </c>
      <c r="B535" s="761" t="s">
        <v>10425</v>
      </c>
      <c r="C535" s="761" t="s">
        <v>10431</v>
      </c>
      <c r="D535" s="761" t="s">
        <v>10430</v>
      </c>
      <c r="E535" s="761" t="s">
        <v>10432</v>
      </c>
      <c r="F535">
        <v>80</v>
      </c>
      <c r="G535">
        <v>80</v>
      </c>
      <c r="I535" t="s">
        <v>77</v>
      </c>
    </row>
    <row r="536" spans="1:10">
      <c r="A536" s="95">
        <v>45421</v>
      </c>
      <c r="B536" s="761" t="s">
        <v>10425</v>
      </c>
      <c r="C536" s="761" t="s">
        <v>10433</v>
      </c>
      <c r="D536" s="761" t="s">
        <v>10435</v>
      </c>
      <c r="E536" s="761" t="s">
        <v>10434</v>
      </c>
      <c r="F536">
        <v>80</v>
      </c>
      <c r="G536">
        <v>80</v>
      </c>
      <c r="I536" t="s">
        <v>77</v>
      </c>
    </row>
    <row r="537" spans="1:10">
      <c r="A537" s="95">
        <v>45791</v>
      </c>
      <c r="B537" s="761" t="s">
        <v>10440</v>
      </c>
      <c r="C537" s="761" t="s">
        <v>10441</v>
      </c>
      <c r="D537" s="761" t="s">
        <v>10442</v>
      </c>
      <c r="E537" s="761" t="s">
        <v>10443</v>
      </c>
      <c r="F537">
        <v>80</v>
      </c>
      <c r="G537">
        <v>80</v>
      </c>
      <c r="I537" t="s">
        <v>39</v>
      </c>
      <c r="J537" s="95">
        <v>45792</v>
      </c>
    </row>
    <row r="538" spans="1:10">
      <c r="A538" s="95">
        <v>45791</v>
      </c>
      <c r="B538" s="761" t="s">
        <v>9583</v>
      </c>
      <c r="C538" s="761" t="s">
        <v>10445</v>
      </c>
      <c r="D538" s="761" t="s">
        <v>10444</v>
      </c>
      <c r="E538" s="761" t="s">
        <v>10446</v>
      </c>
      <c r="F538">
        <v>80</v>
      </c>
      <c r="G538">
        <v>80</v>
      </c>
      <c r="I538" t="s">
        <v>39</v>
      </c>
      <c r="J538" s="95">
        <v>45801</v>
      </c>
    </row>
    <row r="539" spans="1:10">
      <c r="A539" s="95">
        <v>45792</v>
      </c>
      <c r="B539" s="761" t="s">
        <v>9736</v>
      </c>
      <c r="C539" s="761" t="s">
        <v>10447</v>
      </c>
      <c r="D539" s="761" t="s">
        <v>9734</v>
      </c>
      <c r="E539" s="761" t="s">
        <v>10448</v>
      </c>
      <c r="F539">
        <v>30</v>
      </c>
      <c r="G539">
        <v>30</v>
      </c>
    </row>
    <row r="540" spans="1:10">
      <c r="A540" s="95">
        <v>45795</v>
      </c>
      <c r="B540" s="1445" t="s">
        <v>10474</v>
      </c>
      <c r="C540" s="1445" t="s">
        <v>10475</v>
      </c>
      <c r="D540" s="761" t="s">
        <v>10473</v>
      </c>
      <c r="E540" s="761" t="s">
        <v>4465</v>
      </c>
      <c r="F540">
        <v>80</v>
      </c>
      <c r="G540">
        <v>80</v>
      </c>
      <c r="I540" t="s">
        <v>39</v>
      </c>
      <c r="J540" s="95">
        <v>45796</v>
      </c>
    </row>
    <row r="541" spans="1:10">
      <c r="A541" s="95">
        <v>45795</v>
      </c>
      <c r="B541" s="1445" t="s">
        <v>10474</v>
      </c>
      <c r="C541" s="1445" t="s">
        <v>10477</v>
      </c>
      <c r="D541" s="761" t="s">
        <v>10476</v>
      </c>
      <c r="E541" s="761" t="s">
        <v>1122</v>
      </c>
      <c r="F541">
        <v>80</v>
      </c>
      <c r="G541">
        <v>80</v>
      </c>
      <c r="I541" t="s">
        <v>39</v>
      </c>
      <c r="J541" s="95">
        <v>45796</v>
      </c>
    </row>
    <row r="542" spans="1:10">
      <c r="A542" s="95">
        <v>45800</v>
      </c>
      <c r="B542" s="761" t="s">
        <v>10480</v>
      </c>
      <c r="C542" s="761" t="s">
        <v>10481</v>
      </c>
      <c r="D542" s="761" t="s">
        <v>10482</v>
      </c>
      <c r="E542" s="761" t="s">
        <v>10483</v>
      </c>
      <c r="F542">
        <v>80</v>
      </c>
      <c r="G542">
        <v>80</v>
      </c>
      <c r="I542" t="s">
        <v>39</v>
      </c>
      <c r="J542" s="95">
        <v>45805</v>
      </c>
    </row>
    <row r="543" spans="1:10">
      <c r="A543" s="95">
        <v>45801</v>
      </c>
      <c r="B543" s="761" t="s">
        <v>10487</v>
      </c>
      <c r="C543" s="761" t="s">
        <v>10488</v>
      </c>
      <c r="D543" s="761" t="s">
        <v>10494</v>
      </c>
      <c r="E543" s="761" t="s">
        <v>10489</v>
      </c>
      <c r="F543">
        <v>80</v>
      </c>
      <c r="G543">
        <v>80</v>
      </c>
      <c r="I543" t="s">
        <v>39</v>
      </c>
      <c r="J543" s="95">
        <v>45801</v>
      </c>
    </row>
    <row r="544" spans="1:10">
      <c r="A544" s="95">
        <v>45801</v>
      </c>
      <c r="B544" s="761" t="s">
        <v>10487</v>
      </c>
      <c r="C544" s="761" t="s">
        <v>10491</v>
      </c>
      <c r="D544" s="761" t="s">
        <v>10495</v>
      </c>
      <c r="E544" s="761" t="s">
        <v>10490</v>
      </c>
      <c r="F544">
        <v>80</v>
      </c>
      <c r="G544">
        <v>80</v>
      </c>
      <c r="I544" t="s">
        <v>39</v>
      </c>
      <c r="J544" s="95">
        <v>45801</v>
      </c>
    </row>
    <row r="545" spans="1:10">
      <c r="A545" s="95">
        <v>45801</v>
      </c>
      <c r="B545" s="761" t="s">
        <v>10487</v>
      </c>
      <c r="C545" s="761" t="s">
        <v>10492</v>
      </c>
      <c r="D545" s="761" t="s">
        <v>10494</v>
      </c>
      <c r="E545" s="761" t="s">
        <v>10493</v>
      </c>
      <c r="F545">
        <v>80</v>
      </c>
      <c r="G545">
        <v>80</v>
      </c>
      <c r="I545" t="s">
        <v>39</v>
      </c>
      <c r="J545" s="95">
        <v>45801</v>
      </c>
    </row>
    <row r="546" spans="1:10">
      <c r="A546" s="95">
        <v>45801</v>
      </c>
      <c r="B546" s="761" t="s">
        <v>10496</v>
      </c>
      <c r="C546" s="761" t="s">
        <v>10497</v>
      </c>
      <c r="D546" s="761" t="s">
        <v>10498</v>
      </c>
      <c r="E546" s="761" t="s">
        <v>10499</v>
      </c>
      <c r="F546">
        <v>30</v>
      </c>
      <c r="G546">
        <v>30</v>
      </c>
      <c r="I546" t="s">
        <v>39</v>
      </c>
      <c r="J546" s="95">
        <v>45803</v>
      </c>
    </row>
    <row r="547" spans="1:10">
      <c r="A547" s="95">
        <v>45801</v>
      </c>
      <c r="B547" s="761" t="s">
        <v>10496</v>
      </c>
      <c r="C547" s="761" t="s">
        <v>10500</v>
      </c>
      <c r="D547" s="761" t="s">
        <v>10498</v>
      </c>
      <c r="E547" s="761" t="s">
        <v>10501</v>
      </c>
      <c r="F547">
        <v>30</v>
      </c>
      <c r="G547">
        <v>30</v>
      </c>
      <c r="I547" t="s">
        <v>39</v>
      </c>
      <c r="J547" s="95">
        <v>45803</v>
      </c>
    </row>
    <row r="548" spans="1:10">
      <c r="A548" s="95">
        <v>45801</v>
      </c>
      <c r="B548" s="761" t="s">
        <v>10496</v>
      </c>
      <c r="C548" s="761" t="s">
        <v>10503</v>
      </c>
      <c r="D548" s="761" t="s">
        <v>10504</v>
      </c>
      <c r="E548" s="761" t="s">
        <v>10502</v>
      </c>
      <c r="F548">
        <v>30</v>
      </c>
      <c r="G548">
        <v>30</v>
      </c>
      <c r="I548" t="s">
        <v>39</v>
      </c>
      <c r="J548" s="95">
        <v>45803</v>
      </c>
    </row>
    <row r="549" spans="1:10">
      <c r="A549" s="95">
        <v>45801</v>
      </c>
      <c r="B549" s="761" t="s">
        <v>10496</v>
      </c>
      <c r="D549" s="761" t="s">
        <v>10505</v>
      </c>
      <c r="E549" s="761" t="s">
        <v>10506</v>
      </c>
      <c r="F549">
        <v>30</v>
      </c>
      <c r="G549">
        <v>30</v>
      </c>
      <c r="I549" t="s">
        <v>39</v>
      </c>
      <c r="J549" s="95">
        <v>45803</v>
      </c>
    </row>
    <row r="550" spans="1:10">
      <c r="A550" s="95">
        <v>45802</v>
      </c>
      <c r="B550" s="761" t="s">
        <v>10507</v>
      </c>
      <c r="C550" s="761" t="s">
        <v>10509</v>
      </c>
      <c r="D550" s="761" t="s">
        <v>10508</v>
      </c>
      <c r="E550" s="761" t="s">
        <v>10510</v>
      </c>
      <c r="F550">
        <v>80</v>
      </c>
      <c r="G550">
        <v>80</v>
      </c>
    </row>
    <row r="551" spans="1:10">
      <c r="A551" s="95">
        <v>45802</v>
      </c>
      <c r="B551" s="761" t="s">
        <v>10511</v>
      </c>
      <c r="C551" s="761" t="s">
        <v>10512</v>
      </c>
      <c r="D551" s="761" t="s">
        <v>10513</v>
      </c>
      <c r="E551" s="761" t="s">
        <v>10514</v>
      </c>
      <c r="F551">
        <v>80</v>
      </c>
      <c r="G551">
        <v>80</v>
      </c>
      <c r="I551" t="s">
        <v>39</v>
      </c>
      <c r="J551" s="95">
        <v>45803</v>
      </c>
    </row>
    <row r="552" spans="1:10">
      <c r="A552" s="95">
        <v>45802</v>
      </c>
      <c r="B552" s="761" t="s">
        <v>10511</v>
      </c>
      <c r="C552" s="761" t="s">
        <v>10516</v>
      </c>
      <c r="D552" s="761" t="s">
        <v>10513</v>
      </c>
      <c r="E552" s="761" t="s">
        <v>10515</v>
      </c>
      <c r="F552">
        <v>80</v>
      </c>
      <c r="G552">
        <v>80</v>
      </c>
      <c r="I552" t="s">
        <v>39</v>
      </c>
      <c r="J552" s="95">
        <v>45803</v>
      </c>
    </row>
    <row r="553" spans="1:10">
      <c r="A553" s="95">
        <v>45802</v>
      </c>
      <c r="B553" s="761" t="s">
        <v>10517</v>
      </c>
      <c r="C553" s="761" t="s">
        <v>10518</v>
      </c>
      <c r="D553" s="761" t="s">
        <v>10519</v>
      </c>
      <c r="E553" s="761" t="s">
        <v>10520</v>
      </c>
      <c r="F553">
        <v>80</v>
      </c>
      <c r="G553">
        <v>80</v>
      </c>
      <c r="I553" t="s">
        <v>39</v>
      </c>
      <c r="J553" s="95">
        <v>45803</v>
      </c>
    </row>
    <row r="554" spans="1:10">
      <c r="A554" s="95">
        <v>45803</v>
      </c>
      <c r="B554" s="761" t="s">
        <v>10511</v>
      </c>
      <c r="C554" s="761" t="s">
        <v>10521</v>
      </c>
      <c r="D554" s="761" t="s">
        <v>10523</v>
      </c>
      <c r="E554" s="761" t="s">
        <v>10522</v>
      </c>
      <c r="F554">
        <v>80</v>
      </c>
      <c r="G554">
        <v>80</v>
      </c>
      <c r="I554" t="s">
        <v>39</v>
      </c>
      <c r="J554" s="95">
        <v>45817</v>
      </c>
    </row>
    <row r="555" spans="1:10">
      <c r="A555" s="95">
        <v>45803</v>
      </c>
      <c r="B555" s="761" t="s">
        <v>10511</v>
      </c>
      <c r="C555" s="761" t="s">
        <v>10524</v>
      </c>
      <c r="D555" s="761" t="s">
        <v>2361</v>
      </c>
      <c r="E555" s="761" t="s">
        <v>2362</v>
      </c>
      <c r="F555">
        <v>80</v>
      </c>
      <c r="G555">
        <v>80</v>
      </c>
      <c r="I555" t="s">
        <v>39</v>
      </c>
      <c r="J555" s="95">
        <v>45817</v>
      </c>
    </row>
    <row r="556" spans="1:10">
      <c r="A556" s="95">
        <v>45803</v>
      </c>
      <c r="B556" s="761" t="s">
        <v>9583</v>
      </c>
      <c r="C556" s="761" t="s">
        <v>10526</v>
      </c>
      <c r="D556" s="761" t="s">
        <v>10525</v>
      </c>
      <c r="E556" s="761" t="s">
        <v>10527</v>
      </c>
      <c r="F556">
        <v>80</v>
      </c>
      <c r="G556">
        <v>80</v>
      </c>
      <c r="I556" t="s">
        <v>39</v>
      </c>
      <c r="J556" s="95">
        <v>45804</v>
      </c>
    </row>
    <row r="557" spans="1:10">
      <c r="A557" t="s">
        <v>10533</v>
      </c>
      <c r="B557" s="761" t="s">
        <v>8352</v>
      </c>
      <c r="C557" s="761" t="s">
        <v>10534</v>
      </c>
      <c r="D557" s="761" t="s">
        <v>10535</v>
      </c>
      <c r="E557" s="761" t="s">
        <v>10536</v>
      </c>
      <c r="F557">
        <v>80</v>
      </c>
      <c r="G557">
        <v>80</v>
      </c>
      <c r="I557" t="s">
        <v>39</v>
      </c>
      <c r="J557" s="95">
        <v>45806</v>
      </c>
    </row>
    <row r="558" spans="1:10">
      <c r="A558" t="s">
        <v>10533</v>
      </c>
      <c r="B558" s="761" t="s">
        <v>10539</v>
      </c>
      <c r="C558" s="761" t="s">
        <v>10538</v>
      </c>
      <c r="D558" s="761" t="s">
        <v>10537</v>
      </c>
      <c r="E558" s="761" t="s">
        <v>10549</v>
      </c>
      <c r="F558">
        <v>80</v>
      </c>
      <c r="G558">
        <v>80</v>
      </c>
      <c r="I558" t="s">
        <v>39</v>
      </c>
      <c r="J558" s="95">
        <v>45806</v>
      </c>
    </row>
    <row r="559" spans="1:10">
      <c r="A559" s="95">
        <v>45806</v>
      </c>
      <c r="B559" s="761" t="s">
        <v>10540</v>
      </c>
      <c r="C559" s="761" t="s">
        <v>10541</v>
      </c>
      <c r="D559" s="761" t="s">
        <v>10543</v>
      </c>
      <c r="E559" s="761" t="s">
        <v>10542</v>
      </c>
      <c r="F559">
        <v>80</v>
      </c>
      <c r="G559">
        <v>80</v>
      </c>
      <c r="I559" t="s">
        <v>39</v>
      </c>
      <c r="J559" s="95">
        <v>45806</v>
      </c>
    </row>
    <row r="560" spans="1:10">
      <c r="A560" s="95">
        <v>45807</v>
      </c>
      <c r="B560" s="761" t="s">
        <v>9583</v>
      </c>
      <c r="C560" s="761" t="s">
        <v>10551</v>
      </c>
      <c r="D560" s="761" t="s">
        <v>10550</v>
      </c>
      <c r="E560" s="761" t="s">
        <v>10552</v>
      </c>
      <c r="F560">
        <v>80</v>
      </c>
      <c r="G560">
        <v>80</v>
      </c>
      <c r="I560" t="s">
        <v>39</v>
      </c>
    </row>
    <row r="561" spans="1:10">
      <c r="A561" s="95">
        <v>45807</v>
      </c>
      <c r="B561" s="761" t="s">
        <v>10553</v>
      </c>
      <c r="C561" s="761" t="s">
        <v>10554</v>
      </c>
      <c r="D561" s="761" t="s">
        <v>10555</v>
      </c>
      <c r="E561" s="761" t="s">
        <v>10556</v>
      </c>
      <c r="F561">
        <v>80</v>
      </c>
      <c r="G561">
        <v>80</v>
      </c>
      <c r="I561" t="s">
        <v>39</v>
      </c>
    </row>
    <row r="562" spans="1:10">
      <c r="A562" s="95">
        <v>45809</v>
      </c>
      <c r="B562" s="761" t="s">
        <v>10560</v>
      </c>
      <c r="C562" s="761" t="s">
        <v>10562</v>
      </c>
      <c r="D562" s="761" t="s">
        <v>10559</v>
      </c>
      <c r="E562" s="761" t="s">
        <v>10561</v>
      </c>
      <c r="F562">
        <v>80</v>
      </c>
      <c r="G562">
        <v>80</v>
      </c>
      <c r="I562" t="s">
        <v>39</v>
      </c>
    </row>
    <row r="563" spans="1:10">
      <c r="A563" s="95">
        <v>45809</v>
      </c>
      <c r="B563" s="761" t="s">
        <v>10560</v>
      </c>
      <c r="C563" s="761" t="s">
        <v>10563</v>
      </c>
      <c r="D563" s="761" t="s">
        <v>10559</v>
      </c>
      <c r="E563" s="761" t="s">
        <v>10564</v>
      </c>
      <c r="F563">
        <v>80</v>
      </c>
      <c r="G563">
        <v>80</v>
      </c>
      <c r="I563" t="s">
        <v>39</v>
      </c>
    </row>
    <row r="564" spans="1:10">
      <c r="A564" s="95">
        <v>45810</v>
      </c>
      <c r="B564" s="761" t="s">
        <v>10566</v>
      </c>
      <c r="C564" s="761" t="s">
        <v>10567</v>
      </c>
      <c r="D564" s="761" t="s">
        <v>10565</v>
      </c>
      <c r="E564" s="761" t="s">
        <v>10568</v>
      </c>
      <c r="F564">
        <v>80</v>
      </c>
      <c r="G564">
        <v>80</v>
      </c>
      <c r="I564" t="s">
        <v>39</v>
      </c>
    </row>
    <row r="565" spans="1:10">
      <c r="B565" s="761" t="s">
        <v>10566</v>
      </c>
      <c r="C565" s="761" t="s">
        <v>10570</v>
      </c>
      <c r="D565" s="761" t="s">
        <v>10571</v>
      </c>
      <c r="E565" s="761" t="s">
        <v>10569</v>
      </c>
      <c r="F565">
        <v>80</v>
      </c>
      <c r="G565">
        <v>80</v>
      </c>
      <c r="I565" t="s">
        <v>39</v>
      </c>
    </row>
    <row r="566" spans="1:10">
      <c r="A566" s="95">
        <v>45811</v>
      </c>
      <c r="B566" s="761" t="s">
        <v>10572</v>
      </c>
      <c r="C566" s="761" t="s">
        <v>10573</v>
      </c>
      <c r="D566" s="761" t="s">
        <v>10574</v>
      </c>
      <c r="E566" s="761" t="s">
        <v>10575</v>
      </c>
      <c r="F566">
        <v>80</v>
      </c>
      <c r="G566">
        <v>80</v>
      </c>
      <c r="I566" t="s">
        <v>77</v>
      </c>
    </row>
    <row r="567" spans="1:10">
      <c r="A567" s="95">
        <v>45811</v>
      </c>
      <c r="B567" s="761" t="s">
        <v>10576</v>
      </c>
      <c r="C567" s="761" t="s">
        <v>10577</v>
      </c>
      <c r="D567" s="761" t="s">
        <v>10578</v>
      </c>
      <c r="E567" s="761" t="s">
        <v>1391</v>
      </c>
      <c r="F567">
        <v>80</v>
      </c>
      <c r="G567">
        <v>80</v>
      </c>
      <c r="I567" t="s">
        <v>39</v>
      </c>
      <c r="J567" s="95">
        <v>45812</v>
      </c>
    </row>
    <row r="568" spans="1:10">
      <c r="A568" s="95">
        <v>45811</v>
      </c>
      <c r="B568" s="761" t="s">
        <v>10579</v>
      </c>
      <c r="C568" s="761" t="s">
        <v>10580</v>
      </c>
      <c r="D568" s="761" t="s">
        <v>10550</v>
      </c>
      <c r="E568" s="761" t="s">
        <v>10581</v>
      </c>
      <c r="F568">
        <v>80</v>
      </c>
      <c r="G568">
        <v>80</v>
      </c>
      <c r="I568" t="s">
        <v>77</v>
      </c>
    </row>
    <row r="569" spans="1:10">
      <c r="A569" s="95">
        <v>45811</v>
      </c>
      <c r="B569" s="761" t="s">
        <v>10582</v>
      </c>
      <c r="C569" s="761" t="s">
        <v>10583</v>
      </c>
      <c r="E569" s="761" t="s">
        <v>10584</v>
      </c>
      <c r="F569">
        <v>0</v>
      </c>
      <c r="G569">
        <v>0</v>
      </c>
    </row>
    <row r="570" spans="1:10">
      <c r="A570" s="95">
        <v>45817</v>
      </c>
      <c r="B570" s="761" t="s">
        <v>9583</v>
      </c>
      <c r="C570" s="761" t="s">
        <v>10617</v>
      </c>
      <c r="D570" s="761" t="s">
        <v>10618</v>
      </c>
      <c r="E570" s="761" t="s">
        <v>10619</v>
      </c>
      <c r="F570">
        <v>80</v>
      </c>
      <c r="G570">
        <v>80</v>
      </c>
      <c r="I570" t="s">
        <v>39</v>
      </c>
      <c r="J570" s="95">
        <v>45817</v>
      </c>
    </row>
    <row r="571" spans="1:10">
      <c r="A571" s="95">
        <v>45817</v>
      </c>
      <c r="B571" s="761" t="s">
        <v>10622</v>
      </c>
      <c r="C571" s="761" t="s">
        <v>10623</v>
      </c>
      <c r="D571" s="761" t="s">
        <v>10624</v>
      </c>
      <c r="E571" s="761" t="s">
        <v>10625</v>
      </c>
      <c r="F571">
        <v>80</v>
      </c>
      <c r="G571">
        <v>80</v>
      </c>
      <c r="I571" t="s">
        <v>39</v>
      </c>
      <c r="J571" s="95">
        <v>45818</v>
      </c>
    </row>
    <row r="572" spans="1:10">
      <c r="A572" s="95">
        <v>45818</v>
      </c>
      <c r="B572" s="761" t="s">
        <v>10622</v>
      </c>
      <c r="C572" s="761" t="s">
        <v>10626</v>
      </c>
      <c r="D572" s="761" t="s">
        <v>10627</v>
      </c>
      <c r="E572" s="761" t="s">
        <v>10628</v>
      </c>
      <c r="F572">
        <v>80</v>
      </c>
      <c r="G572">
        <v>80</v>
      </c>
    </row>
    <row r="573" spans="1:10">
      <c r="A573" s="95">
        <v>45818</v>
      </c>
      <c r="B573" s="761" t="s">
        <v>10622</v>
      </c>
      <c r="C573" s="761" t="s">
        <v>10629</v>
      </c>
      <c r="D573" s="761" t="s">
        <v>10627</v>
      </c>
      <c r="E573" s="761" t="s">
        <v>10630</v>
      </c>
      <c r="F573">
        <v>80</v>
      </c>
      <c r="G573">
        <v>80</v>
      </c>
    </row>
    <row r="574" spans="1:10">
      <c r="A574" s="95">
        <v>45830</v>
      </c>
      <c r="B574" s="761" t="s">
        <v>10622</v>
      </c>
      <c r="C574" s="761" t="s">
        <v>10643</v>
      </c>
      <c r="E574" s="761" t="s">
        <v>10644</v>
      </c>
      <c r="F574">
        <v>80</v>
      </c>
      <c r="G574">
        <v>80</v>
      </c>
    </row>
    <row r="575" spans="1:10">
      <c r="A575" s="95">
        <v>45832</v>
      </c>
      <c r="B575" s="761" t="s">
        <v>10657</v>
      </c>
      <c r="C575" s="761" t="s">
        <v>10658</v>
      </c>
      <c r="D575" s="761" t="s">
        <v>10656</v>
      </c>
      <c r="E575" s="761" t="s">
        <v>10659</v>
      </c>
      <c r="F575">
        <v>80</v>
      </c>
      <c r="G575">
        <v>80</v>
      </c>
      <c r="I575" t="s">
        <v>39</v>
      </c>
      <c r="J575" s="95">
        <v>45838</v>
      </c>
    </row>
    <row r="576" spans="1:10">
      <c r="A576" s="95">
        <v>45832</v>
      </c>
      <c r="B576" s="761" t="s">
        <v>10660</v>
      </c>
      <c r="C576" s="761" t="s">
        <v>10661</v>
      </c>
      <c r="D576" s="761" t="s">
        <v>10662</v>
      </c>
      <c r="E576" s="761" t="s">
        <v>10663</v>
      </c>
      <c r="F576">
        <v>80</v>
      </c>
      <c r="G576">
        <v>80</v>
      </c>
      <c r="I576" t="s">
        <v>39</v>
      </c>
      <c r="J576" s="95">
        <v>45833</v>
      </c>
    </row>
    <row r="577" spans="1:10">
      <c r="A577" s="95">
        <v>45832</v>
      </c>
      <c r="B577" s="761" t="s">
        <v>10180</v>
      </c>
      <c r="C577" s="761" t="s">
        <v>10666</v>
      </c>
      <c r="D577" s="761" t="s">
        <v>10664</v>
      </c>
      <c r="E577" s="761" t="s">
        <v>10665</v>
      </c>
      <c r="F577">
        <v>80</v>
      </c>
      <c r="G577">
        <v>80</v>
      </c>
    </row>
    <row r="578" spans="1:10">
      <c r="A578" s="95">
        <v>45833</v>
      </c>
      <c r="B578" s="1474" t="s">
        <v>10675</v>
      </c>
      <c r="E578" s="761" t="s">
        <v>10676</v>
      </c>
      <c r="F578">
        <v>80</v>
      </c>
      <c r="G578">
        <v>80</v>
      </c>
    </row>
    <row r="579" spans="1:10">
      <c r="A579" s="95">
        <v>45834</v>
      </c>
      <c r="B579" s="761" t="s">
        <v>10678</v>
      </c>
      <c r="C579" s="761" t="s">
        <v>10679</v>
      </c>
      <c r="D579" s="761" t="s">
        <v>10677</v>
      </c>
      <c r="E579" s="761" t="s">
        <v>10680</v>
      </c>
      <c r="F579">
        <v>80</v>
      </c>
      <c r="I579" t="s">
        <v>10686</v>
      </c>
      <c r="J579" s="95">
        <v>45836</v>
      </c>
    </row>
    <row r="580" spans="1:10">
      <c r="A580" s="95">
        <v>45834</v>
      </c>
      <c r="B580" s="761" t="s">
        <v>10678</v>
      </c>
      <c r="C580" s="761" t="s">
        <v>10683</v>
      </c>
      <c r="D580" s="761" t="s">
        <v>10682</v>
      </c>
      <c r="E580" s="761" t="s">
        <v>10681</v>
      </c>
      <c r="F580">
        <v>80</v>
      </c>
      <c r="I580" t="s">
        <v>10686</v>
      </c>
      <c r="J580" s="95">
        <v>45836</v>
      </c>
    </row>
    <row r="581" spans="1:10">
      <c r="A581" s="95">
        <v>45836</v>
      </c>
      <c r="B581" s="761" t="s">
        <v>10687</v>
      </c>
      <c r="C581" s="761" t="s">
        <v>10688</v>
      </c>
      <c r="E581" s="761" t="s">
        <v>10689</v>
      </c>
      <c r="F581">
        <v>80</v>
      </c>
      <c r="G581">
        <v>80</v>
      </c>
      <c r="I581" t="s">
        <v>39</v>
      </c>
      <c r="J581" s="95">
        <v>45845</v>
      </c>
    </row>
    <row r="582" spans="1:10">
      <c r="A582" s="95">
        <v>45836</v>
      </c>
      <c r="B582" s="761" t="s">
        <v>10687</v>
      </c>
      <c r="C582" s="761" t="s">
        <v>10690</v>
      </c>
      <c r="E582" s="761" t="s">
        <v>10691</v>
      </c>
      <c r="F582">
        <v>80</v>
      </c>
      <c r="G582">
        <v>80</v>
      </c>
      <c r="I582" t="s">
        <v>39</v>
      </c>
      <c r="J582" s="95">
        <v>45845</v>
      </c>
    </row>
    <row r="583" spans="1:10">
      <c r="A583" s="95">
        <v>45845</v>
      </c>
      <c r="B583" s="761" t="s">
        <v>10720</v>
      </c>
      <c r="C583" s="761" t="s">
        <v>10721</v>
      </c>
      <c r="D583" s="761" t="s">
        <v>10723</v>
      </c>
      <c r="E583" s="761" t="s">
        <v>10722</v>
      </c>
      <c r="F583">
        <v>80</v>
      </c>
      <c r="G583">
        <v>80</v>
      </c>
    </row>
    <row r="584" spans="1:10">
      <c r="A584" s="95">
        <v>45846</v>
      </c>
      <c r="B584" s="761" t="s">
        <v>10727</v>
      </c>
      <c r="C584" s="761" t="s">
        <v>10728</v>
      </c>
      <c r="D584" s="761" t="s">
        <v>10726</v>
      </c>
      <c r="E584" s="761" t="s">
        <v>10729</v>
      </c>
      <c r="F584">
        <v>80</v>
      </c>
      <c r="G584">
        <v>80</v>
      </c>
      <c r="I584" t="s">
        <v>39</v>
      </c>
      <c r="J584" s="95">
        <v>45847</v>
      </c>
    </row>
    <row r="585" spans="1:10">
      <c r="A585" s="95">
        <v>45846</v>
      </c>
      <c r="B585" s="761" t="s">
        <v>10727</v>
      </c>
      <c r="C585" s="761" t="s">
        <v>10730</v>
      </c>
      <c r="D585" s="761" t="s">
        <v>10726</v>
      </c>
      <c r="E585" s="761" t="s">
        <v>10731</v>
      </c>
      <c r="F585">
        <v>80</v>
      </c>
      <c r="G585">
        <v>80</v>
      </c>
      <c r="I585" t="s">
        <v>39</v>
      </c>
      <c r="J585" s="95">
        <v>45847</v>
      </c>
    </row>
    <row r="586" spans="1:10">
      <c r="A586" s="95">
        <v>45847</v>
      </c>
      <c r="B586" s="761" t="s">
        <v>10720</v>
      </c>
      <c r="C586" s="761" t="s">
        <v>10733</v>
      </c>
      <c r="D586" s="761" t="s">
        <v>10732</v>
      </c>
      <c r="E586" s="761" t="s">
        <v>10734</v>
      </c>
      <c r="F586">
        <v>80</v>
      </c>
      <c r="G586">
        <v>80</v>
      </c>
    </row>
    <row r="587" spans="1:10">
      <c r="A587" s="162">
        <v>45853</v>
      </c>
      <c r="B587" s="1505" t="s">
        <v>10766</v>
      </c>
      <c r="C587" s="1505" t="s">
        <v>10768</v>
      </c>
      <c r="D587" s="761" t="s">
        <v>10765</v>
      </c>
      <c r="E587" s="761" t="s">
        <v>10767</v>
      </c>
      <c r="F587">
        <v>80</v>
      </c>
      <c r="G587">
        <v>80</v>
      </c>
      <c r="I587" s="1540" t="s">
        <v>8951</v>
      </c>
      <c r="J587" s="95">
        <v>45856</v>
      </c>
    </row>
    <row r="588" spans="1:10">
      <c r="A588" s="162">
        <v>45853</v>
      </c>
      <c r="B588" s="1505" t="s">
        <v>10766</v>
      </c>
      <c r="C588" s="1506" t="s">
        <v>10770</v>
      </c>
      <c r="D588" s="761" t="s">
        <v>10769</v>
      </c>
      <c r="E588" s="1506" t="s">
        <v>10771</v>
      </c>
      <c r="F588">
        <v>80</v>
      </c>
      <c r="G588">
        <v>80</v>
      </c>
      <c r="I588" s="1540" t="s">
        <v>8951</v>
      </c>
      <c r="J588" s="95">
        <v>45856</v>
      </c>
    </row>
    <row r="589" spans="1:10">
      <c r="A589" s="162">
        <v>45853</v>
      </c>
      <c r="B589" s="1506" t="s">
        <v>10773</v>
      </c>
      <c r="C589" s="1506" t="s">
        <v>10774</v>
      </c>
      <c r="D589" s="761" t="s">
        <v>10772</v>
      </c>
      <c r="E589" s="1506" t="s">
        <v>10026</v>
      </c>
      <c r="F589">
        <v>80</v>
      </c>
      <c r="G589">
        <v>80</v>
      </c>
      <c r="I589" s="1540" t="s">
        <v>191</v>
      </c>
      <c r="J589" s="95">
        <v>45865</v>
      </c>
    </row>
    <row r="590" spans="1:10">
      <c r="A590" s="95">
        <v>45854</v>
      </c>
      <c r="B590" s="761" t="s">
        <v>10776</v>
      </c>
      <c r="C590" s="761" t="s">
        <v>10777</v>
      </c>
      <c r="D590" s="761" t="s">
        <v>10779</v>
      </c>
      <c r="E590" s="1508" t="s">
        <v>10778</v>
      </c>
      <c r="F590">
        <v>80</v>
      </c>
      <c r="G590">
        <v>80</v>
      </c>
      <c r="I590" t="s">
        <v>191</v>
      </c>
      <c r="J590" s="95">
        <v>45856</v>
      </c>
    </row>
    <row r="591" spans="1:10">
      <c r="A591" s="95">
        <v>45854</v>
      </c>
      <c r="B591" s="761" t="s">
        <v>9583</v>
      </c>
      <c r="C591" s="761" t="s">
        <v>10783</v>
      </c>
      <c r="D591" s="761" t="s">
        <v>2859</v>
      </c>
      <c r="E591" s="1510" t="s">
        <v>8107</v>
      </c>
      <c r="F591">
        <v>70</v>
      </c>
      <c r="G591">
        <v>70</v>
      </c>
      <c r="I591" t="s">
        <v>191</v>
      </c>
      <c r="J591" s="95">
        <v>45855</v>
      </c>
    </row>
    <row r="592" spans="1:10">
      <c r="A592" s="95">
        <v>45857</v>
      </c>
      <c r="B592" s="761" t="s">
        <v>10802</v>
      </c>
      <c r="C592" s="761" t="s">
        <v>10803</v>
      </c>
      <c r="D592" s="761" t="s">
        <v>10801</v>
      </c>
      <c r="E592" s="1521" t="s">
        <v>10804</v>
      </c>
      <c r="F592">
        <v>80</v>
      </c>
      <c r="G592">
        <v>80</v>
      </c>
      <c r="I592" t="s">
        <v>191</v>
      </c>
      <c r="J592" s="95">
        <v>45858</v>
      </c>
    </row>
    <row r="593" spans="1:10">
      <c r="A593" s="95">
        <v>45859</v>
      </c>
      <c r="B593" s="761" t="s">
        <v>10810</v>
      </c>
      <c r="D593" s="761" t="s">
        <v>10809</v>
      </c>
      <c r="E593" s="1525" t="s">
        <v>10811</v>
      </c>
      <c r="F593">
        <v>30</v>
      </c>
      <c r="G593">
        <v>30</v>
      </c>
    </row>
    <row r="594" spans="1:10">
      <c r="A594" s="95">
        <v>45859</v>
      </c>
      <c r="B594" s="761" t="s">
        <v>10810</v>
      </c>
      <c r="D594" s="761" t="s">
        <v>10809</v>
      </c>
      <c r="E594" s="1525" t="s">
        <v>10812</v>
      </c>
      <c r="F594">
        <v>30</v>
      </c>
      <c r="G594">
        <v>30</v>
      </c>
    </row>
    <row r="595" spans="1:10">
      <c r="A595" s="95">
        <v>45862</v>
      </c>
      <c r="B595" s="761" t="s">
        <v>10821</v>
      </c>
      <c r="C595" s="761" t="s">
        <v>10822</v>
      </c>
      <c r="D595" s="761" t="s">
        <v>2279</v>
      </c>
      <c r="E595" s="1533" t="s">
        <v>10823</v>
      </c>
      <c r="F595">
        <v>80</v>
      </c>
      <c r="G595">
        <v>80</v>
      </c>
    </row>
    <row r="596" spans="1:10">
      <c r="A596" s="95">
        <v>45862</v>
      </c>
      <c r="B596" s="761" t="s">
        <v>10821</v>
      </c>
      <c r="D596" s="761" t="s">
        <v>2279</v>
      </c>
      <c r="E596" s="1533" t="s">
        <v>10824</v>
      </c>
      <c r="F596">
        <v>80</v>
      </c>
      <c r="G596">
        <v>30</v>
      </c>
    </row>
    <row r="597" spans="1:10">
      <c r="A597" s="95">
        <v>45864</v>
      </c>
      <c r="B597" s="761" t="s">
        <v>10828</v>
      </c>
      <c r="C597" s="761" t="s">
        <v>10829</v>
      </c>
      <c r="D597" s="761" t="s">
        <v>10827</v>
      </c>
      <c r="E597" s="1536" t="s">
        <v>10830</v>
      </c>
      <c r="F597">
        <v>80</v>
      </c>
      <c r="G597">
        <v>80</v>
      </c>
      <c r="I597" s="1540" t="s">
        <v>39</v>
      </c>
      <c r="J597" s="95">
        <v>45865</v>
      </c>
    </row>
    <row r="598" spans="1:10">
      <c r="A598" s="95">
        <v>45864</v>
      </c>
      <c r="B598" s="761" t="s">
        <v>10833</v>
      </c>
      <c r="C598" s="761" t="s">
        <v>10834</v>
      </c>
      <c r="D598" s="761" t="s">
        <v>10835</v>
      </c>
      <c r="E598" s="1538" t="s">
        <v>10836</v>
      </c>
      <c r="F598">
        <v>80</v>
      </c>
      <c r="G598">
        <v>80</v>
      </c>
      <c r="I598" s="1540" t="s">
        <v>39</v>
      </c>
      <c r="J598" s="95">
        <v>45867</v>
      </c>
    </row>
    <row r="599" spans="1:10">
      <c r="A599" s="95">
        <v>45865</v>
      </c>
      <c r="B599" s="761" t="s">
        <v>10838</v>
      </c>
      <c r="C599" s="761" t="s">
        <v>10839</v>
      </c>
      <c r="D599" s="761" t="s">
        <v>10837</v>
      </c>
      <c r="E599" s="1539" t="s">
        <v>10840</v>
      </c>
    </row>
    <row r="600" spans="1:10">
      <c r="A600" s="95">
        <v>45866</v>
      </c>
      <c r="B600" s="1474" t="s">
        <v>10675</v>
      </c>
      <c r="C600" s="761" t="s">
        <v>10848</v>
      </c>
      <c r="D600" s="761" t="s">
        <v>10850</v>
      </c>
      <c r="E600" s="1539" t="s">
        <v>10849</v>
      </c>
      <c r="F600">
        <v>80</v>
      </c>
      <c r="G600">
        <v>80</v>
      </c>
    </row>
    <row r="601" spans="1:10">
      <c r="A601" s="95">
        <v>45869</v>
      </c>
      <c r="B601" s="1548" t="s">
        <v>10852</v>
      </c>
      <c r="C601" s="1548" t="s">
        <v>10853</v>
      </c>
      <c r="D601" s="1548" t="s">
        <v>10854</v>
      </c>
      <c r="E601" s="1548" t="s">
        <v>10855</v>
      </c>
      <c r="F601">
        <v>80</v>
      </c>
      <c r="G601">
        <v>80</v>
      </c>
      <c r="I601" t="s">
        <v>10875</v>
      </c>
      <c r="J601" s="95">
        <v>45902</v>
      </c>
    </row>
    <row r="602" spans="1:10">
      <c r="A602" s="95">
        <v>45870</v>
      </c>
      <c r="B602" s="1553" t="s">
        <v>10867</v>
      </c>
      <c r="C602" s="1553" t="s">
        <v>10447</v>
      </c>
      <c r="D602" s="761" t="s">
        <v>9734</v>
      </c>
      <c r="E602" s="1553" t="s">
        <v>10866</v>
      </c>
      <c r="F602">
        <v>80</v>
      </c>
      <c r="G602">
        <v>80</v>
      </c>
      <c r="I602" t="s">
        <v>10875</v>
      </c>
      <c r="J602" s="95">
        <v>45874</v>
      </c>
    </row>
    <row r="603" spans="1:10">
      <c r="A603" s="95">
        <v>45871</v>
      </c>
      <c r="B603" s="761" t="s">
        <v>10874</v>
      </c>
      <c r="C603" s="761" t="s">
        <v>10873</v>
      </c>
      <c r="D603" s="761" t="s">
        <v>10871</v>
      </c>
      <c r="E603" s="1554" t="s">
        <v>10872</v>
      </c>
      <c r="F603">
        <v>80</v>
      </c>
      <c r="G603">
        <v>80</v>
      </c>
    </row>
    <row r="604" spans="1:10">
      <c r="A604" s="95">
        <v>45871</v>
      </c>
      <c r="B604" s="761" t="s">
        <v>9528</v>
      </c>
      <c r="D604" s="761" t="s">
        <v>9529</v>
      </c>
      <c r="E604" s="761" t="s">
        <v>9530</v>
      </c>
      <c r="F604">
        <v>80</v>
      </c>
      <c r="G604">
        <v>80</v>
      </c>
      <c r="H604">
        <f>F604-G604</f>
        <v>0</v>
      </c>
      <c r="I604" s="1565" t="s">
        <v>191</v>
      </c>
    </row>
    <row r="605" spans="1:10">
      <c r="A605" s="95">
        <v>45877</v>
      </c>
      <c r="B605" s="761" t="s">
        <v>10890</v>
      </c>
      <c r="C605" s="761" t="s">
        <v>10891</v>
      </c>
      <c r="D605" s="761" t="s">
        <v>10889</v>
      </c>
      <c r="E605" s="761" t="s">
        <v>10892</v>
      </c>
      <c r="F605">
        <v>80</v>
      </c>
      <c r="G605">
        <v>50</v>
      </c>
      <c r="I605" s="1565" t="s">
        <v>191</v>
      </c>
      <c r="J605" s="95">
        <v>45877</v>
      </c>
    </row>
    <row r="606" spans="1:10">
      <c r="A606" s="95">
        <v>45877</v>
      </c>
      <c r="B606" s="761" t="s">
        <v>9539</v>
      </c>
      <c r="D606" s="761" t="s">
        <v>10894</v>
      </c>
      <c r="E606" s="761" t="s">
        <v>10893</v>
      </c>
      <c r="F606">
        <v>80</v>
      </c>
      <c r="G606">
        <v>80</v>
      </c>
      <c r="I606" s="1565" t="s">
        <v>191</v>
      </c>
      <c r="J606" s="95">
        <v>45878</v>
      </c>
    </row>
    <row r="607" spans="1:10">
      <c r="A607" s="95">
        <v>45877</v>
      </c>
      <c r="B607" s="1562" t="s">
        <v>10897</v>
      </c>
      <c r="C607" s="1562" t="s">
        <v>10898</v>
      </c>
      <c r="D607" s="761" t="s">
        <v>10896</v>
      </c>
      <c r="E607" s="761" t="s">
        <v>10899</v>
      </c>
      <c r="F607">
        <v>80</v>
      </c>
      <c r="G607">
        <v>0</v>
      </c>
    </row>
    <row r="608" spans="1:10">
      <c r="A608" s="95">
        <v>45878</v>
      </c>
      <c r="B608" s="1564" t="s">
        <v>8881</v>
      </c>
      <c r="C608" s="1564" t="s">
        <v>10907</v>
      </c>
      <c r="D608" s="1564" t="s">
        <v>10908</v>
      </c>
      <c r="E608" s="761" t="s">
        <v>10906</v>
      </c>
      <c r="F608">
        <v>80</v>
      </c>
      <c r="G608">
        <v>80</v>
      </c>
      <c r="I608" t="s">
        <v>191</v>
      </c>
      <c r="J608" s="95">
        <v>45881</v>
      </c>
    </row>
    <row r="609" spans="1:10">
      <c r="A609" s="95">
        <v>45881</v>
      </c>
      <c r="B609" s="761" t="s">
        <v>10921</v>
      </c>
      <c r="C609" s="761" t="s">
        <v>10926</v>
      </c>
      <c r="D609" s="761" t="s">
        <v>10920</v>
      </c>
      <c r="E609" s="761" t="s">
        <v>10922</v>
      </c>
      <c r="F609">
        <v>80</v>
      </c>
      <c r="G609">
        <v>80</v>
      </c>
      <c r="I609" t="s">
        <v>191</v>
      </c>
      <c r="J609" s="95">
        <v>45881</v>
      </c>
    </row>
    <row r="610" spans="1:10">
      <c r="A610" s="95">
        <v>45881</v>
      </c>
      <c r="B610" s="761" t="s">
        <v>10921</v>
      </c>
      <c r="C610" s="761" t="s">
        <v>10925</v>
      </c>
      <c r="D610" s="761" t="s">
        <v>10923</v>
      </c>
      <c r="E610" s="761" t="s">
        <v>10924</v>
      </c>
      <c r="F610">
        <v>80</v>
      </c>
      <c r="G610">
        <v>80</v>
      </c>
      <c r="I610" t="s">
        <v>191</v>
      </c>
      <c r="J610" s="95">
        <v>45881</v>
      </c>
    </row>
    <row r="611" spans="1:10">
      <c r="A611" s="95">
        <v>45881</v>
      </c>
      <c r="B611" s="761" t="s">
        <v>10928</v>
      </c>
      <c r="C611" s="761" t="s">
        <v>10929</v>
      </c>
      <c r="D611" s="761" t="s">
        <v>10927</v>
      </c>
      <c r="E611" s="761" t="s">
        <v>10930</v>
      </c>
      <c r="F611">
        <v>80</v>
      </c>
      <c r="G611">
        <v>80</v>
      </c>
      <c r="I611" t="s">
        <v>191</v>
      </c>
      <c r="J611" s="95">
        <v>45881</v>
      </c>
    </row>
    <row r="612" spans="1:10">
      <c r="A612" s="95">
        <v>45885</v>
      </c>
      <c r="B612" s="761" t="s">
        <v>10943</v>
      </c>
      <c r="C612" s="761" t="s">
        <v>10942</v>
      </c>
      <c r="D612" s="761" t="s">
        <v>10940</v>
      </c>
      <c r="E612" s="761" t="s">
        <v>10941</v>
      </c>
      <c r="F612">
        <v>80</v>
      </c>
      <c r="G612">
        <v>80</v>
      </c>
      <c r="I612" t="s">
        <v>191</v>
      </c>
      <c r="J612" s="95">
        <v>45886</v>
      </c>
    </row>
    <row r="613" spans="1:10">
      <c r="A613" s="95">
        <v>45885</v>
      </c>
      <c r="B613" s="761" t="s">
        <v>10943</v>
      </c>
      <c r="C613" s="761" t="s">
        <v>10944</v>
      </c>
      <c r="D613" s="761" t="s">
        <v>10940</v>
      </c>
      <c r="E613" s="761" t="s">
        <v>10945</v>
      </c>
      <c r="F613">
        <v>80</v>
      </c>
      <c r="G613">
        <v>80</v>
      </c>
      <c r="I613" t="s">
        <v>191</v>
      </c>
      <c r="J613" s="95">
        <v>45886</v>
      </c>
    </row>
    <row r="614" spans="1:10">
      <c r="A614" s="95">
        <v>45886</v>
      </c>
      <c r="B614" s="761" t="s">
        <v>10016</v>
      </c>
      <c r="C614" s="761" t="s">
        <v>10946</v>
      </c>
      <c r="D614" s="761" t="s">
        <v>10015</v>
      </c>
      <c r="E614" s="761" t="s">
        <v>10014</v>
      </c>
      <c r="F614">
        <v>50</v>
      </c>
      <c r="G614">
        <v>50</v>
      </c>
      <c r="I614" t="s">
        <v>191</v>
      </c>
      <c r="J614" s="95">
        <v>45886</v>
      </c>
    </row>
    <row r="615" spans="1:10">
      <c r="A615" s="95">
        <v>45886</v>
      </c>
      <c r="B615" s="761" t="s">
        <v>10016</v>
      </c>
      <c r="C615" s="761" t="s">
        <v>10948</v>
      </c>
      <c r="D615" s="761" t="s">
        <v>10947</v>
      </c>
      <c r="E615" s="761" t="s">
        <v>10949</v>
      </c>
      <c r="F615">
        <v>80</v>
      </c>
      <c r="G615">
        <v>80</v>
      </c>
      <c r="I615" t="s">
        <v>191</v>
      </c>
      <c r="J615" s="95">
        <v>45898</v>
      </c>
    </row>
    <row r="616" spans="1:10">
      <c r="A616" s="95">
        <v>45887</v>
      </c>
      <c r="B616" s="761" t="s">
        <v>10016</v>
      </c>
      <c r="C616" s="761" t="s">
        <v>10950</v>
      </c>
      <c r="D616" s="761" t="s">
        <v>10947</v>
      </c>
      <c r="E616" s="761" t="s">
        <v>10951</v>
      </c>
      <c r="F616">
        <v>80</v>
      </c>
      <c r="G616">
        <v>80</v>
      </c>
      <c r="I616" t="s">
        <v>191</v>
      </c>
      <c r="J616" s="95">
        <v>45898</v>
      </c>
    </row>
    <row r="617" spans="1:10">
      <c r="A617" s="95">
        <v>45890</v>
      </c>
      <c r="B617" s="761" t="s">
        <v>10956</v>
      </c>
      <c r="C617" s="761" t="s">
        <v>10957</v>
      </c>
      <c r="D617" s="761" t="s">
        <v>10955</v>
      </c>
      <c r="E617" s="761" t="s">
        <v>10958</v>
      </c>
      <c r="F617">
        <v>80</v>
      </c>
      <c r="G617">
        <v>80</v>
      </c>
      <c r="I617" t="s">
        <v>39</v>
      </c>
      <c r="J617" s="95">
        <v>45890</v>
      </c>
    </row>
    <row r="618" spans="1:10">
      <c r="A618" s="95">
        <v>45890</v>
      </c>
      <c r="B618" s="761" t="s">
        <v>10956</v>
      </c>
      <c r="C618" s="761" t="s">
        <v>10959</v>
      </c>
      <c r="D618" s="761" t="s">
        <v>10955</v>
      </c>
      <c r="E618" s="761" t="s">
        <v>10960</v>
      </c>
      <c r="F618">
        <v>80</v>
      </c>
      <c r="G618">
        <v>80</v>
      </c>
      <c r="I618" t="s">
        <v>39</v>
      </c>
      <c r="J618" s="95">
        <v>45890</v>
      </c>
    </row>
    <row r="619" spans="1:10">
      <c r="A619" s="95">
        <v>45891</v>
      </c>
      <c r="B619" s="761" t="s">
        <v>10963</v>
      </c>
      <c r="C619" s="761" t="s">
        <v>10964</v>
      </c>
      <c r="D619" s="761" t="s">
        <v>10965</v>
      </c>
      <c r="E619" s="761" t="s">
        <v>10966</v>
      </c>
      <c r="F619">
        <v>80</v>
      </c>
      <c r="G619">
        <v>80</v>
      </c>
      <c r="I619" t="s">
        <v>39</v>
      </c>
      <c r="J619" s="95">
        <v>45900</v>
      </c>
    </row>
    <row r="620" spans="1:10">
      <c r="A620" s="95">
        <v>45891</v>
      </c>
      <c r="B620" s="761" t="s">
        <v>10963</v>
      </c>
      <c r="C620" s="761" t="s">
        <v>10967</v>
      </c>
      <c r="D620" s="761" t="s">
        <v>10965</v>
      </c>
      <c r="E620" s="761" t="s">
        <v>10968</v>
      </c>
      <c r="F620">
        <v>80</v>
      </c>
      <c r="G620">
        <v>80</v>
      </c>
      <c r="I620" t="s">
        <v>39</v>
      </c>
      <c r="J620" s="95">
        <v>45900</v>
      </c>
    </row>
    <row r="621" spans="1:10">
      <c r="A621" s="95">
        <v>45892</v>
      </c>
      <c r="B621" s="761" t="s">
        <v>10970</v>
      </c>
      <c r="C621" s="761" t="s">
        <v>10972</v>
      </c>
      <c r="D621" s="761" t="s">
        <v>10969</v>
      </c>
      <c r="E621" s="761" t="s">
        <v>10971</v>
      </c>
      <c r="F621">
        <v>80</v>
      </c>
      <c r="G621">
        <v>80</v>
      </c>
      <c r="I621" t="s">
        <v>191</v>
      </c>
      <c r="J621" s="95">
        <v>45892</v>
      </c>
    </row>
    <row r="622" spans="1:10">
      <c r="A622" s="95">
        <v>45894</v>
      </c>
      <c r="B622" s="761" t="s">
        <v>10981</v>
      </c>
      <c r="C622" s="761" t="s">
        <v>10980</v>
      </c>
      <c r="D622" s="761" t="s">
        <v>10979</v>
      </c>
      <c r="E622" s="761" t="s">
        <v>10982</v>
      </c>
      <c r="F622">
        <v>80</v>
      </c>
      <c r="G622">
        <v>80</v>
      </c>
    </row>
    <row r="623" spans="1:10">
      <c r="A623" s="95">
        <v>45894</v>
      </c>
      <c r="B623" s="761" t="s">
        <v>10981</v>
      </c>
      <c r="C623" s="761" t="s">
        <v>10984</v>
      </c>
      <c r="D623" s="761" t="s">
        <v>10983</v>
      </c>
      <c r="E623" s="761" t="s">
        <v>10985</v>
      </c>
      <c r="F623">
        <v>80</v>
      </c>
      <c r="G623">
        <v>80</v>
      </c>
    </row>
    <row r="624" spans="1:10">
      <c r="A624" s="95">
        <v>45894</v>
      </c>
      <c r="B624" s="761" t="s">
        <v>10981</v>
      </c>
      <c r="C624" s="761" t="s">
        <v>10987</v>
      </c>
      <c r="D624" s="761" t="s">
        <v>10979</v>
      </c>
      <c r="E624" s="761" t="s">
        <v>10986</v>
      </c>
      <c r="F624">
        <v>80</v>
      </c>
      <c r="G624">
        <v>80</v>
      </c>
    </row>
    <row r="625" spans="1:10">
      <c r="A625" s="95">
        <v>46261</v>
      </c>
      <c r="B625" s="761" t="s">
        <v>10988</v>
      </c>
      <c r="C625" s="761" t="s">
        <v>10991</v>
      </c>
      <c r="D625" s="761" t="s">
        <v>10990</v>
      </c>
      <c r="E625" s="761" t="s">
        <v>10989</v>
      </c>
      <c r="F625">
        <v>30</v>
      </c>
      <c r="G625">
        <v>30</v>
      </c>
      <c r="I625" t="s">
        <v>10992</v>
      </c>
    </row>
    <row r="626" spans="1:10">
      <c r="A626" s="95">
        <v>46261</v>
      </c>
      <c r="B626" s="761" t="s">
        <v>9506</v>
      </c>
      <c r="C626" s="761" t="s">
        <v>10993</v>
      </c>
      <c r="D626" s="761" t="s">
        <v>10994</v>
      </c>
      <c r="E626" s="761" t="s">
        <v>10995</v>
      </c>
      <c r="F626">
        <v>80</v>
      </c>
      <c r="G626">
        <v>80</v>
      </c>
    </row>
    <row r="627" spans="1:10">
      <c r="A627" s="95">
        <v>45897</v>
      </c>
      <c r="B627" s="761" t="s">
        <v>11003</v>
      </c>
      <c r="C627" s="761" t="s">
        <v>11002</v>
      </c>
      <c r="D627" s="761" t="s">
        <v>11000</v>
      </c>
      <c r="E627" s="761" t="s">
        <v>11001</v>
      </c>
      <c r="F627">
        <v>80</v>
      </c>
      <c r="G627">
        <v>80</v>
      </c>
    </row>
    <row r="628" spans="1:10">
      <c r="A628" s="95">
        <v>45897</v>
      </c>
      <c r="B628" s="761" t="s">
        <v>11004</v>
      </c>
      <c r="C628" s="761" t="s">
        <v>11005</v>
      </c>
      <c r="D628" s="761" t="s">
        <v>11006</v>
      </c>
      <c r="E628" s="761" t="s">
        <v>11007</v>
      </c>
      <c r="F628">
        <v>80</v>
      </c>
      <c r="G628">
        <v>80</v>
      </c>
      <c r="I628" t="s">
        <v>39</v>
      </c>
      <c r="J628" s="95">
        <v>45898</v>
      </c>
    </row>
    <row r="629" spans="1:10">
      <c r="A629" s="95">
        <v>45930</v>
      </c>
      <c r="B629" s="761" t="s">
        <v>11008</v>
      </c>
      <c r="C629" s="761" t="s">
        <v>11010</v>
      </c>
      <c r="D629" s="761" t="s">
        <v>11009</v>
      </c>
      <c r="E629" s="761" t="s">
        <v>11011</v>
      </c>
      <c r="F629">
        <v>80</v>
      </c>
      <c r="G629">
        <v>80</v>
      </c>
      <c r="I629" t="s">
        <v>39</v>
      </c>
      <c r="J629" s="95">
        <v>45926</v>
      </c>
    </row>
    <row r="630" spans="1:10">
      <c r="A630" s="95">
        <v>45930</v>
      </c>
      <c r="B630" s="761" t="s">
        <v>9583</v>
      </c>
      <c r="C630" s="761" t="s">
        <v>11013</v>
      </c>
      <c r="D630" s="761" t="s">
        <v>11012</v>
      </c>
      <c r="E630" s="761" t="s">
        <v>11014</v>
      </c>
      <c r="F630">
        <v>80</v>
      </c>
      <c r="G630">
        <v>80</v>
      </c>
      <c r="I630" t="s">
        <v>39</v>
      </c>
      <c r="J630" s="95">
        <v>45901</v>
      </c>
    </row>
    <row r="631" spans="1:10">
      <c r="A631" s="1271" t="s">
        <v>11016</v>
      </c>
      <c r="B631" s="761" t="s">
        <v>11017</v>
      </c>
      <c r="C631" s="761" t="s">
        <v>11018</v>
      </c>
      <c r="D631" s="761" t="s">
        <v>11019</v>
      </c>
      <c r="E631" s="761" t="s">
        <v>11020</v>
      </c>
      <c r="F631">
        <v>80</v>
      </c>
      <c r="G631">
        <v>80</v>
      </c>
    </row>
    <row r="632" spans="1:10">
      <c r="A632" s="1271" t="s">
        <v>11016</v>
      </c>
      <c r="B632" s="761" t="s">
        <v>11017</v>
      </c>
      <c r="C632" s="761" t="s">
        <v>11022</v>
      </c>
      <c r="D632" s="761" t="s">
        <v>11019</v>
      </c>
      <c r="E632" s="761" t="s">
        <v>11021</v>
      </c>
      <c r="F632">
        <v>80</v>
      </c>
      <c r="G632">
        <v>80</v>
      </c>
      <c r="H632" s="761" t="s">
        <v>11025</v>
      </c>
    </row>
    <row r="633" spans="1:10">
      <c r="A633" s="1271" t="s">
        <v>11016</v>
      </c>
      <c r="B633" s="761" t="s">
        <v>11017</v>
      </c>
      <c r="C633" s="761" t="s">
        <v>11023</v>
      </c>
      <c r="D633" s="761" t="s">
        <v>11019</v>
      </c>
      <c r="E633" s="761" t="s">
        <v>11024</v>
      </c>
      <c r="F633">
        <v>80</v>
      </c>
      <c r="G633">
        <v>80</v>
      </c>
    </row>
    <row r="634" spans="1:10">
      <c r="A634" s="95">
        <v>45901</v>
      </c>
      <c r="B634" s="761" t="s">
        <v>11029</v>
      </c>
      <c r="C634" s="761" t="s">
        <v>11027</v>
      </c>
      <c r="D634" s="761" t="s">
        <v>11026</v>
      </c>
      <c r="E634" s="761" t="s">
        <v>11028</v>
      </c>
      <c r="F634">
        <v>80</v>
      </c>
      <c r="G634">
        <v>80</v>
      </c>
      <c r="I634" t="s">
        <v>39</v>
      </c>
      <c r="J634" s="95">
        <v>45902</v>
      </c>
    </row>
    <row r="635" spans="1:10">
      <c r="A635" s="95">
        <v>45901</v>
      </c>
      <c r="B635" s="761" t="s">
        <v>11029</v>
      </c>
      <c r="C635" s="761" t="s">
        <v>11030</v>
      </c>
      <c r="D635" s="761" t="s">
        <v>11032</v>
      </c>
      <c r="E635" s="761" t="s">
        <v>11031</v>
      </c>
      <c r="F635">
        <v>80</v>
      </c>
      <c r="G635">
        <v>80</v>
      </c>
      <c r="I635" t="s">
        <v>39</v>
      </c>
      <c r="J635" s="95">
        <v>45902</v>
      </c>
    </row>
    <row r="636" spans="1:10">
      <c r="A636" s="95">
        <v>45901</v>
      </c>
      <c r="B636" s="761" t="s">
        <v>11029</v>
      </c>
      <c r="C636" s="761" t="s">
        <v>11034</v>
      </c>
      <c r="D636" s="761" t="s">
        <v>11032</v>
      </c>
      <c r="E636" s="761" t="s">
        <v>11033</v>
      </c>
      <c r="F636">
        <v>80</v>
      </c>
      <c r="G636">
        <v>80</v>
      </c>
      <c r="I636" t="s">
        <v>39</v>
      </c>
      <c r="J636" s="95">
        <v>45902</v>
      </c>
    </row>
    <row r="637" spans="1:10">
      <c r="A637" s="95">
        <v>45901</v>
      </c>
      <c r="B637" s="761" t="s">
        <v>11029</v>
      </c>
      <c r="C637" s="761" t="s">
        <v>11035</v>
      </c>
      <c r="D637" s="761" t="s">
        <v>11032</v>
      </c>
      <c r="E637" s="761" t="s">
        <v>11036</v>
      </c>
      <c r="F637">
        <v>80</v>
      </c>
      <c r="G637">
        <v>80</v>
      </c>
      <c r="I637" t="s">
        <v>39</v>
      </c>
      <c r="J637" s="95">
        <v>45903</v>
      </c>
    </row>
    <row r="638" spans="1:10">
      <c r="A638" s="95">
        <v>45902</v>
      </c>
      <c r="B638" s="761" t="s">
        <v>9542</v>
      </c>
      <c r="C638" s="761" t="s">
        <v>11037</v>
      </c>
      <c r="D638" s="761" t="s">
        <v>9544</v>
      </c>
      <c r="E638" s="761" t="s">
        <v>11038</v>
      </c>
      <c r="F638">
        <v>80</v>
      </c>
      <c r="G638">
        <v>80</v>
      </c>
    </row>
    <row r="639" spans="1:10">
      <c r="A639" s="95">
        <v>45902</v>
      </c>
      <c r="B639" s="761" t="s">
        <v>11029</v>
      </c>
      <c r="C639" s="761" t="s">
        <v>11039</v>
      </c>
      <c r="D639" s="761" t="s">
        <v>11032</v>
      </c>
      <c r="E639" s="761" t="s">
        <v>11040</v>
      </c>
      <c r="F639">
        <v>80</v>
      </c>
      <c r="G639">
        <v>80</v>
      </c>
      <c r="I639" t="s">
        <v>39</v>
      </c>
      <c r="J639" s="95">
        <v>45903</v>
      </c>
    </row>
    <row r="640" spans="1:10">
      <c r="A640" s="95">
        <v>45903</v>
      </c>
      <c r="B640" s="761" t="s">
        <v>11042</v>
      </c>
      <c r="C640" s="761" t="s">
        <v>11043</v>
      </c>
      <c r="D640" s="761" t="s">
        <v>11041</v>
      </c>
      <c r="E640" s="761" t="s">
        <v>11044</v>
      </c>
      <c r="F640">
        <v>80</v>
      </c>
      <c r="G640">
        <v>80</v>
      </c>
      <c r="I640" t="s">
        <v>39</v>
      </c>
      <c r="J640" s="95">
        <v>45904</v>
      </c>
    </row>
    <row r="641" spans="1:10">
      <c r="A641" s="95">
        <v>45906</v>
      </c>
      <c r="B641" s="761" t="s">
        <v>11029</v>
      </c>
      <c r="C641" s="761" t="s">
        <v>11060</v>
      </c>
      <c r="D641" s="761" t="s">
        <v>11032</v>
      </c>
      <c r="E641" s="761" t="s">
        <v>11059</v>
      </c>
      <c r="F641">
        <v>80</v>
      </c>
      <c r="G641">
        <v>80</v>
      </c>
    </row>
    <row r="642" spans="1:10">
      <c r="A642" s="95">
        <v>45909</v>
      </c>
      <c r="B642" s="761" t="s">
        <v>10988</v>
      </c>
      <c r="C642" s="761" t="s">
        <v>11067</v>
      </c>
      <c r="D642" s="761" t="s">
        <v>11066</v>
      </c>
      <c r="E642" s="761" t="s">
        <v>11068</v>
      </c>
      <c r="F642">
        <v>80</v>
      </c>
      <c r="G642">
        <v>80</v>
      </c>
      <c r="I642" t="s">
        <v>39</v>
      </c>
      <c r="J642" s="95">
        <v>45908</v>
      </c>
    </row>
    <row r="643" spans="1:10">
      <c r="A643" s="95">
        <v>45909</v>
      </c>
      <c r="B643" s="761" t="s">
        <v>10988</v>
      </c>
      <c r="C643" s="761" t="s">
        <v>11070</v>
      </c>
      <c r="D643" s="761" t="s">
        <v>11066</v>
      </c>
      <c r="E643" s="761" t="s">
        <v>11069</v>
      </c>
      <c r="F643">
        <v>80</v>
      </c>
      <c r="G643">
        <v>80</v>
      </c>
      <c r="I643" t="s">
        <v>39</v>
      </c>
      <c r="J643" s="95">
        <v>45908</v>
      </c>
    </row>
    <row r="644" spans="1:10">
      <c r="A644" s="95">
        <v>45910</v>
      </c>
      <c r="B644" s="761" t="s">
        <v>10943</v>
      </c>
      <c r="C644" s="761" t="s">
        <v>11076</v>
      </c>
      <c r="D644" s="761" t="s">
        <v>10940</v>
      </c>
      <c r="E644" s="761" t="s">
        <v>11075</v>
      </c>
      <c r="F644">
        <v>80</v>
      </c>
      <c r="G644">
        <v>80</v>
      </c>
      <c r="I644" t="s">
        <v>39</v>
      </c>
      <c r="J644" s="95">
        <v>45918</v>
      </c>
    </row>
    <row r="645" spans="1:10">
      <c r="A645" s="95">
        <v>45911</v>
      </c>
      <c r="B645" s="761" t="s">
        <v>11077</v>
      </c>
      <c r="C645" s="761" t="s">
        <v>11080</v>
      </c>
      <c r="D645" s="761" t="s">
        <v>11078</v>
      </c>
      <c r="E645" s="761" t="s">
        <v>11079</v>
      </c>
      <c r="F645">
        <v>80</v>
      </c>
      <c r="G645">
        <v>80</v>
      </c>
    </row>
    <row r="646" spans="1:10">
      <c r="A646" s="95">
        <v>45911</v>
      </c>
      <c r="B646" s="761" t="s">
        <v>11077</v>
      </c>
      <c r="C646" s="761" t="s">
        <v>11081</v>
      </c>
      <c r="D646" s="761" t="s">
        <v>11085</v>
      </c>
      <c r="E646" s="761" t="s">
        <v>11082</v>
      </c>
      <c r="F646">
        <v>80</v>
      </c>
      <c r="G646">
        <v>80</v>
      </c>
    </row>
    <row r="647" spans="1:10">
      <c r="A647" s="95">
        <v>45911</v>
      </c>
      <c r="B647" s="761" t="s">
        <v>11077</v>
      </c>
      <c r="C647" s="761" t="s">
        <v>11083</v>
      </c>
      <c r="D647" s="761" t="s">
        <v>11078</v>
      </c>
      <c r="E647" s="761" t="s">
        <v>11084</v>
      </c>
      <c r="F647">
        <v>80</v>
      </c>
      <c r="G647">
        <v>80</v>
      </c>
    </row>
    <row r="648" spans="1:10">
      <c r="A648" s="95">
        <v>45912</v>
      </c>
      <c r="B648" s="761" t="s">
        <v>11087</v>
      </c>
      <c r="C648" s="761" t="s">
        <v>11088</v>
      </c>
      <c r="D648" s="761" t="s">
        <v>11086</v>
      </c>
      <c r="E648" s="761" t="s">
        <v>11089</v>
      </c>
      <c r="F648">
        <v>80</v>
      </c>
      <c r="G648">
        <v>80</v>
      </c>
      <c r="I648" t="s">
        <v>191</v>
      </c>
      <c r="J648" s="95">
        <v>45913</v>
      </c>
    </row>
    <row r="649" spans="1:10">
      <c r="A649" s="95">
        <v>45913</v>
      </c>
      <c r="B649" s="761" t="s">
        <v>9583</v>
      </c>
      <c r="C649" s="761" t="s">
        <v>11090</v>
      </c>
      <c r="D649" s="761" t="s">
        <v>11092</v>
      </c>
      <c r="E649" s="761" t="s">
        <v>11091</v>
      </c>
      <c r="F649">
        <v>80</v>
      </c>
      <c r="G649">
        <v>80</v>
      </c>
    </row>
    <row r="650" spans="1:10">
      <c r="A650" s="95">
        <v>45918</v>
      </c>
      <c r="B650" s="761" t="s">
        <v>9583</v>
      </c>
      <c r="C650" s="761" t="s">
        <v>11099</v>
      </c>
      <c r="D650" s="761" t="s">
        <v>11097</v>
      </c>
      <c r="E650" s="761" t="s">
        <v>11098</v>
      </c>
      <c r="F650">
        <v>80</v>
      </c>
      <c r="G650">
        <v>80</v>
      </c>
    </row>
    <row r="651" spans="1:10">
      <c r="A651" s="95">
        <v>45918</v>
      </c>
      <c r="B651" s="761" t="s">
        <v>9583</v>
      </c>
      <c r="C651" s="761" t="s">
        <v>11102</v>
      </c>
      <c r="D651" s="761" t="s">
        <v>11100</v>
      </c>
      <c r="E651" s="761" t="s">
        <v>11101</v>
      </c>
      <c r="F651">
        <v>80</v>
      </c>
      <c r="G651">
        <v>80</v>
      </c>
      <c r="I651" t="s">
        <v>191</v>
      </c>
      <c r="J651" s="95">
        <v>45919</v>
      </c>
    </row>
    <row r="652" spans="1:10">
      <c r="A652" s="95">
        <v>45919</v>
      </c>
      <c r="B652" s="761" t="s">
        <v>11077</v>
      </c>
      <c r="C652" s="761" t="s">
        <v>11108</v>
      </c>
      <c r="D652" s="761" t="s">
        <v>11106</v>
      </c>
      <c r="E652" s="761" t="s">
        <v>11107</v>
      </c>
      <c r="F652">
        <v>80</v>
      </c>
      <c r="G652">
        <v>80</v>
      </c>
    </row>
    <row r="653" spans="1:10">
      <c r="A653" s="95">
        <v>45919</v>
      </c>
      <c r="B653" s="761" t="s">
        <v>9583</v>
      </c>
      <c r="C653" s="761" t="s">
        <v>11109</v>
      </c>
      <c r="E653" s="761" t="s">
        <v>11110</v>
      </c>
      <c r="F653">
        <v>0</v>
      </c>
      <c r="G653">
        <v>0</v>
      </c>
    </row>
    <row r="654" spans="1:10">
      <c r="A654" s="95">
        <v>45919</v>
      </c>
      <c r="B654" s="761" t="s">
        <v>9583</v>
      </c>
      <c r="C654" s="761" t="s">
        <v>11114</v>
      </c>
      <c r="D654" s="761" t="s">
        <v>11113</v>
      </c>
      <c r="E654" s="761" t="s">
        <v>11111</v>
      </c>
      <c r="F654">
        <v>80</v>
      </c>
      <c r="G654">
        <v>80</v>
      </c>
      <c r="I654" t="s">
        <v>528</v>
      </c>
      <c r="J654" s="95">
        <v>45920</v>
      </c>
    </row>
    <row r="655" spans="1:10">
      <c r="A655" s="95">
        <v>45919</v>
      </c>
      <c r="B655" s="761" t="s">
        <v>9583</v>
      </c>
      <c r="C655" s="761" t="s">
        <v>11115</v>
      </c>
      <c r="D655" s="761" t="s">
        <v>11113</v>
      </c>
      <c r="E655" s="761" t="s">
        <v>11112</v>
      </c>
      <c r="F655">
        <v>80</v>
      </c>
      <c r="G655">
        <v>80</v>
      </c>
      <c r="I655" t="s">
        <v>528</v>
      </c>
      <c r="J655" s="95">
        <v>45920</v>
      </c>
    </row>
    <row r="656" spans="1:10">
      <c r="A656" s="95">
        <v>45919</v>
      </c>
      <c r="B656" s="761" t="s">
        <v>11119</v>
      </c>
      <c r="C656" s="761" t="s">
        <v>11116</v>
      </c>
      <c r="D656" s="761" t="s">
        <v>11117</v>
      </c>
      <c r="E656" s="761" t="s">
        <v>11118</v>
      </c>
      <c r="F656">
        <v>80</v>
      </c>
      <c r="G656">
        <v>80</v>
      </c>
      <c r="I656" t="s">
        <v>528</v>
      </c>
      <c r="J656" s="95">
        <v>45921</v>
      </c>
    </row>
    <row r="657" spans="1:10">
      <c r="A657" s="95">
        <v>45927</v>
      </c>
      <c r="B657" s="761" t="s">
        <v>11134</v>
      </c>
      <c r="C657" s="761" t="s">
        <v>11135</v>
      </c>
      <c r="D657" s="1611" t="s">
        <v>11136</v>
      </c>
      <c r="E657" s="761" t="s">
        <v>11137</v>
      </c>
      <c r="F657">
        <v>80</v>
      </c>
      <c r="G657">
        <v>80</v>
      </c>
      <c r="I657" t="s">
        <v>528</v>
      </c>
      <c r="J657" s="95">
        <v>45930</v>
      </c>
    </row>
    <row r="658" spans="1:10">
      <c r="A658" s="95">
        <v>45927</v>
      </c>
      <c r="B658" s="761" t="s">
        <v>11134</v>
      </c>
      <c r="C658" s="761" t="s">
        <v>11138</v>
      </c>
      <c r="D658" s="1611" t="s">
        <v>11139</v>
      </c>
      <c r="E658" s="761" t="s">
        <v>11140</v>
      </c>
      <c r="F658">
        <v>80</v>
      </c>
      <c r="G658">
        <v>80</v>
      </c>
      <c r="I658" t="s">
        <v>528</v>
      </c>
      <c r="J658" s="95">
        <v>45930</v>
      </c>
    </row>
    <row r="659" spans="1:10">
      <c r="A659" s="162">
        <v>45934</v>
      </c>
      <c r="B659" s="761" t="s">
        <v>11148</v>
      </c>
      <c r="C659" s="761" t="s">
        <v>11147</v>
      </c>
      <c r="D659" s="101">
        <v>7856804023</v>
      </c>
      <c r="E659" s="1612" t="s">
        <v>11146</v>
      </c>
      <c r="F659" s="1612">
        <v>80</v>
      </c>
      <c r="G659">
        <v>80</v>
      </c>
      <c r="I659" t="s">
        <v>528</v>
      </c>
      <c r="J659" s="95">
        <v>45946</v>
      </c>
    </row>
    <row r="660" spans="1:10">
      <c r="A660" s="162">
        <v>45934</v>
      </c>
      <c r="B660" s="761" t="s">
        <v>11150</v>
      </c>
      <c r="C660" s="761" t="s">
        <v>11151</v>
      </c>
      <c r="D660" s="761" t="s">
        <v>11149</v>
      </c>
      <c r="E660" s="761" t="s">
        <v>11152</v>
      </c>
      <c r="F660" s="1613">
        <v>80</v>
      </c>
      <c r="G660">
        <v>80</v>
      </c>
      <c r="I660" t="s">
        <v>528</v>
      </c>
      <c r="J660" s="95">
        <v>45943</v>
      </c>
    </row>
    <row r="661" spans="1:10">
      <c r="A661" s="95">
        <v>45938</v>
      </c>
      <c r="B661" s="761" t="s">
        <v>11155</v>
      </c>
      <c r="C661" s="761" t="s">
        <v>11156</v>
      </c>
      <c r="D661" s="761" t="s">
        <v>10226</v>
      </c>
      <c r="E661" s="761" t="s">
        <v>11157</v>
      </c>
      <c r="F661" s="1615">
        <v>80</v>
      </c>
      <c r="G661">
        <v>80</v>
      </c>
      <c r="I661" t="s">
        <v>528</v>
      </c>
      <c r="J661" s="95">
        <v>45940</v>
      </c>
    </row>
    <row r="662" spans="1:10">
      <c r="A662" s="95">
        <v>45939</v>
      </c>
      <c r="B662" s="761" t="s">
        <v>9583</v>
      </c>
      <c r="C662" s="761" t="s">
        <v>11161</v>
      </c>
      <c r="D662" s="761" t="s">
        <v>11160</v>
      </c>
      <c r="E662" s="761" t="s">
        <v>11162</v>
      </c>
      <c r="F662" s="1617">
        <v>80</v>
      </c>
      <c r="G662">
        <v>80</v>
      </c>
    </row>
    <row r="663" spans="1:10">
      <c r="A663" s="95">
        <v>45941</v>
      </c>
      <c r="B663" s="761" t="s">
        <v>11170</v>
      </c>
      <c r="C663" s="761" t="s">
        <v>11171</v>
      </c>
      <c r="D663" s="1611" t="s">
        <v>2850</v>
      </c>
      <c r="E663" s="761" t="s">
        <v>11169</v>
      </c>
      <c r="F663" s="1619">
        <v>80</v>
      </c>
      <c r="G663">
        <v>80</v>
      </c>
      <c r="I663" t="s">
        <v>39</v>
      </c>
      <c r="J663" s="95">
        <v>45943</v>
      </c>
    </row>
    <row r="664" spans="1:10">
      <c r="A664" s="95">
        <v>45945</v>
      </c>
      <c r="B664" s="761" t="s">
        <v>11183</v>
      </c>
      <c r="C664" s="761" t="s">
        <v>11182</v>
      </c>
      <c r="D664" s="761" t="s">
        <v>11180</v>
      </c>
      <c r="E664" s="761" t="s">
        <v>11181</v>
      </c>
      <c r="F664" s="1619">
        <v>80</v>
      </c>
      <c r="G664">
        <v>80</v>
      </c>
      <c r="I664" t="s">
        <v>39</v>
      </c>
      <c r="J664" s="95">
        <v>45945</v>
      </c>
    </row>
    <row r="665" spans="1:10">
      <c r="A665" s="95">
        <v>45950</v>
      </c>
      <c r="B665" s="761" t="s">
        <v>9583</v>
      </c>
      <c r="C665" s="761" t="s">
        <v>11196</v>
      </c>
      <c r="D665" s="761" t="s">
        <v>11198</v>
      </c>
      <c r="E665" s="761" t="s">
        <v>11197</v>
      </c>
      <c r="F665" s="1626">
        <v>80</v>
      </c>
      <c r="G665">
        <v>80</v>
      </c>
      <c r="I665" t="s">
        <v>39</v>
      </c>
      <c r="J665" s="95">
        <v>45954</v>
      </c>
    </row>
    <row r="666" spans="1:10">
      <c r="A666" s="95">
        <v>45954</v>
      </c>
      <c r="B666" s="1630" t="s">
        <v>11205</v>
      </c>
      <c r="C666" s="1630" t="s">
        <v>11206</v>
      </c>
      <c r="D666" s="761" t="s">
        <v>11208</v>
      </c>
      <c r="E666" s="761" t="s">
        <v>11207</v>
      </c>
      <c r="F666" s="1626">
        <v>80</v>
      </c>
      <c r="G666">
        <v>80</v>
      </c>
      <c r="I666" t="s">
        <v>39</v>
      </c>
      <c r="J666" s="95">
        <v>45955</v>
      </c>
    </row>
    <row r="667" spans="1:10">
      <c r="A667" s="95">
        <v>45954</v>
      </c>
      <c r="B667" s="1630" t="s">
        <v>11205</v>
      </c>
      <c r="C667" s="1630" t="s">
        <v>11209</v>
      </c>
      <c r="D667" s="761" t="s">
        <v>11208</v>
      </c>
      <c r="E667" s="761" t="s">
        <v>4098</v>
      </c>
      <c r="F667" s="1626">
        <v>80</v>
      </c>
      <c r="G667">
        <v>80</v>
      </c>
      <c r="I667" t="s">
        <v>39</v>
      </c>
      <c r="J667" s="95">
        <v>45955</v>
      </c>
    </row>
    <row r="668" spans="1:10">
      <c r="A668" s="95">
        <v>45956</v>
      </c>
      <c r="B668" s="761" t="s">
        <v>9583</v>
      </c>
      <c r="C668" s="761" t="s">
        <v>11210</v>
      </c>
      <c r="D668" s="761" t="s">
        <v>11211</v>
      </c>
      <c r="E668" s="761" t="s">
        <v>11212</v>
      </c>
      <c r="F668" s="1631">
        <v>80</v>
      </c>
    </row>
    <row r="669" spans="1:10">
      <c r="A669" s="95">
        <v>45959</v>
      </c>
      <c r="B669" s="761" t="s">
        <v>11218</v>
      </c>
      <c r="C669" s="761" t="s">
        <v>11215</v>
      </c>
      <c r="D669" s="761" t="s">
        <v>11216</v>
      </c>
      <c r="E669" s="761" t="s">
        <v>11217</v>
      </c>
    </row>
    <row r="670" spans="1:10">
      <c r="A670" s="95">
        <v>45966</v>
      </c>
      <c r="B670" s="761" t="s">
        <v>11240</v>
      </c>
      <c r="C670" s="761" t="s">
        <v>11241</v>
      </c>
      <c r="D670" s="761" t="s">
        <v>11242</v>
      </c>
      <c r="E670" s="761" t="s">
        <v>11243</v>
      </c>
      <c r="F670">
        <v>80</v>
      </c>
      <c r="G670">
        <v>80</v>
      </c>
      <c r="I670" t="s">
        <v>39</v>
      </c>
      <c r="J670" s="95">
        <v>45975</v>
      </c>
    </row>
    <row r="671" spans="1:10">
      <c r="A671" s="95">
        <v>45966</v>
      </c>
      <c r="B671" s="1645" t="s">
        <v>11245</v>
      </c>
      <c r="C671" s="1645" t="s">
        <v>11246</v>
      </c>
      <c r="D671" s="1645" t="s">
        <v>11247</v>
      </c>
      <c r="E671" s="1644" t="s">
        <v>11244</v>
      </c>
      <c r="F671">
        <v>80</v>
      </c>
      <c r="G671">
        <v>80</v>
      </c>
      <c r="I671" t="s">
        <v>11249</v>
      </c>
    </row>
    <row r="672" spans="1:10">
      <c r="A672" s="95">
        <v>45979</v>
      </c>
      <c r="B672" s="761" t="s">
        <v>8624</v>
      </c>
      <c r="C672" s="761" t="s">
        <v>11251</v>
      </c>
      <c r="D672" s="761" t="s">
        <v>11253</v>
      </c>
      <c r="E672" s="761" t="s">
        <v>11252</v>
      </c>
      <c r="F672">
        <v>80</v>
      </c>
      <c r="G672">
        <v>80</v>
      </c>
      <c r="I672" s="1651" t="s">
        <v>11272</v>
      </c>
    </row>
    <row r="673" spans="1:10">
      <c r="A673" s="95">
        <v>45980</v>
      </c>
      <c r="B673" s="761" t="s">
        <v>11254</v>
      </c>
      <c r="C673" s="761" t="s">
        <v>11255</v>
      </c>
      <c r="D673" s="761" t="s">
        <v>11257</v>
      </c>
      <c r="E673" s="761" t="s">
        <v>11256</v>
      </c>
      <c r="F673">
        <v>80</v>
      </c>
      <c r="G673">
        <v>80</v>
      </c>
      <c r="I673" s="1651" t="s">
        <v>39</v>
      </c>
      <c r="J673" s="95">
        <v>45982</v>
      </c>
    </row>
    <row r="674" spans="1:10">
      <c r="A674" s="95">
        <v>45981</v>
      </c>
      <c r="B674" s="761" t="s">
        <v>9583</v>
      </c>
      <c r="C674" s="761" t="s">
        <v>11273</v>
      </c>
      <c r="D674" s="761" t="s">
        <v>11261</v>
      </c>
      <c r="E674" s="761" t="s">
        <v>11260</v>
      </c>
      <c r="F674">
        <v>80</v>
      </c>
      <c r="G674">
        <v>80</v>
      </c>
      <c r="I674" s="1651" t="s">
        <v>39</v>
      </c>
      <c r="J674" s="95">
        <v>45983</v>
      </c>
    </row>
    <row r="675" spans="1:10">
      <c r="A675" s="95">
        <v>45981</v>
      </c>
      <c r="B675" s="1650" t="s">
        <v>11266</v>
      </c>
      <c r="C675" s="1650" t="s">
        <v>11265</v>
      </c>
      <c r="D675" s="761" t="s">
        <v>11264</v>
      </c>
      <c r="E675" s="761" t="s">
        <v>11059</v>
      </c>
      <c r="F675">
        <v>80</v>
      </c>
      <c r="G675">
        <v>80</v>
      </c>
      <c r="I675" s="1651" t="s">
        <v>39</v>
      </c>
      <c r="J675" s="95">
        <v>45982</v>
      </c>
    </row>
    <row r="676" spans="1:10">
      <c r="A676" s="95">
        <v>45986</v>
      </c>
      <c r="B676" s="761" t="s">
        <v>9583</v>
      </c>
      <c r="C676" s="761" t="s">
        <v>11279</v>
      </c>
      <c r="D676" s="761" t="s">
        <v>11281</v>
      </c>
      <c r="E676" s="761" t="s">
        <v>11280</v>
      </c>
      <c r="F676">
        <v>80</v>
      </c>
      <c r="G676">
        <v>80</v>
      </c>
    </row>
    <row r="677" spans="1:10">
      <c r="A677" s="95">
        <v>45989</v>
      </c>
      <c r="B677" s="761" t="s">
        <v>11284</v>
      </c>
      <c r="C677" s="761" t="s">
        <v>11285</v>
      </c>
      <c r="D677" s="761" t="s">
        <v>11286</v>
      </c>
      <c r="E677" s="761" t="s">
        <v>11287</v>
      </c>
      <c r="F677">
        <v>80</v>
      </c>
      <c r="G677">
        <v>80</v>
      </c>
      <c r="I677" t="s">
        <v>191</v>
      </c>
      <c r="J677" s="95">
        <v>46011</v>
      </c>
    </row>
    <row r="678" spans="1:10">
      <c r="A678" s="95">
        <v>45990</v>
      </c>
      <c r="B678" s="1656" t="s">
        <v>11290</v>
      </c>
      <c r="C678" s="1656" t="s">
        <v>11291</v>
      </c>
      <c r="D678" s="1656" t="s">
        <v>11292</v>
      </c>
      <c r="E678" s="761" t="s">
        <v>11293</v>
      </c>
      <c r="F678">
        <v>80</v>
      </c>
      <c r="G678">
        <v>80</v>
      </c>
      <c r="I678" t="s">
        <v>528</v>
      </c>
      <c r="J678" s="95">
        <v>45991</v>
      </c>
    </row>
    <row r="679" spans="1:10">
      <c r="A679" s="95">
        <v>45990</v>
      </c>
      <c r="B679" s="761" t="s">
        <v>11295</v>
      </c>
      <c r="C679" s="761" t="s">
        <v>11296</v>
      </c>
      <c r="D679" s="761" t="s">
        <v>11294</v>
      </c>
      <c r="E679" s="761" t="s">
        <v>11297</v>
      </c>
      <c r="F679">
        <v>80</v>
      </c>
      <c r="G679">
        <v>80</v>
      </c>
      <c r="I679" s="1658" t="s">
        <v>528</v>
      </c>
      <c r="J679" s="95">
        <v>45992</v>
      </c>
    </row>
    <row r="680" spans="1:10">
      <c r="A680" s="95">
        <v>45991</v>
      </c>
      <c r="B680" s="1657" t="s">
        <v>11301</v>
      </c>
      <c r="C680" s="761" t="s">
        <v>11299</v>
      </c>
      <c r="D680" s="761" t="s">
        <v>11298</v>
      </c>
      <c r="E680" s="761" t="s">
        <v>11300</v>
      </c>
      <c r="F680">
        <v>80</v>
      </c>
      <c r="G680">
        <v>80</v>
      </c>
      <c r="I680" t="s">
        <v>3374</v>
      </c>
      <c r="J680" s="95">
        <v>45993</v>
      </c>
    </row>
    <row r="681" spans="1:10">
      <c r="A681" s="95">
        <v>45992</v>
      </c>
      <c r="B681" s="1657" t="s">
        <v>11301</v>
      </c>
      <c r="C681" s="1657" t="s">
        <v>11302</v>
      </c>
      <c r="D681" s="1657" t="s">
        <v>11304</v>
      </c>
      <c r="E681" s="761" t="s">
        <v>11303</v>
      </c>
      <c r="F681">
        <v>80</v>
      </c>
      <c r="G681">
        <v>80</v>
      </c>
      <c r="I681" t="s">
        <v>3374</v>
      </c>
      <c r="J681" s="95">
        <v>45993</v>
      </c>
    </row>
    <row r="682" spans="1:10">
      <c r="A682" s="95">
        <v>45993</v>
      </c>
      <c r="B682" s="761" t="s">
        <v>11305</v>
      </c>
      <c r="C682" s="761" t="s">
        <v>11306</v>
      </c>
      <c r="D682" s="761" t="s">
        <v>11308</v>
      </c>
      <c r="E682" s="761" t="s">
        <v>11307</v>
      </c>
      <c r="F682">
        <v>80</v>
      </c>
      <c r="G682">
        <v>80</v>
      </c>
      <c r="I682" t="s">
        <v>3374</v>
      </c>
      <c r="J682" s="95">
        <v>45993</v>
      </c>
    </row>
    <row r="683" spans="1:10">
      <c r="A683" s="95">
        <v>45995</v>
      </c>
      <c r="B683" s="761" t="s">
        <v>11316</v>
      </c>
      <c r="C683" s="761" t="s">
        <v>11314</v>
      </c>
      <c r="D683" s="761" t="s">
        <v>11313</v>
      </c>
      <c r="E683" s="761" t="s">
        <v>11315</v>
      </c>
      <c r="F683">
        <v>80</v>
      </c>
      <c r="G683">
        <v>80</v>
      </c>
    </row>
    <row r="684" spans="1:10">
      <c r="A684" s="95">
        <v>46000</v>
      </c>
      <c r="B684" s="761" t="s">
        <v>11331</v>
      </c>
      <c r="C684" s="761" t="s">
        <v>11330</v>
      </c>
      <c r="D684" s="761" t="s">
        <v>11328</v>
      </c>
      <c r="E684" s="761" t="s">
        <v>11329</v>
      </c>
      <c r="F684">
        <v>80</v>
      </c>
      <c r="G684">
        <v>80</v>
      </c>
      <c r="I684" t="s">
        <v>3374</v>
      </c>
      <c r="J684" s="95">
        <v>46002</v>
      </c>
    </row>
    <row r="685" spans="1:10">
      <c r="A685" s="95">
        <v>46000</v>
      </c>
      <c r="B685" s="761" t="s">
        <v>11331</v>
      </c>
      <c r="C685" s="761" t="s">
        <v>11332</v>
      </c>
      <c r="D685" s="761" t="s">
        <v>11328</v>
      </c>
      <c r="E685" s="761" t="s">
        <v>11333</v>
      </c>
      <c r="F685">
        <v>80</v>
      </c>
      <c r="G685">
        <v>80</v>
      </c>
      <c r="I685" t="s">
        <v>3374</v>
      </c>
      <c r="J685" s="95">
        <v>46002</v>
      </c>
    </row>
    <row r="686" spans="1:10">
      <c r="A686" s="95">
        <v>46001</v>
      </c>
      <c r="B686" s="761" t="s">
        <v>11337</v>
      </c>
      <c r="C686" s="761" t="s">
        <v>11335</v>
      </c>
      <c r="D686" s="761" t="s">
        <v>11334</v>
      </c>
      <c r="E686" s="761" t="s">
        <v>11336</v>
      </c>
      <c r="F686">
        <v>80</v>
      </c>
      <c r="G686">
        <v>80</v>
      </c>
    </row>
    <row r="687" spans="1:10">
      <c r="A687" s="95">
        <v>46001</v>
      </c>
      <c r="B687" s="761" t="s">
        <v>11337</v>
      </c>
      <c r="E687" s="761" t="s">
        <v>11338</v>
      </c>
      <c r="F687">
        <v>50</v>
      </c>
      <c r="G687">
        <v>50</v>
      </c>
    </row>
    <row r="688" spans="1:10">
      <c r="A688" s="95">
        <v>46003</v>
      </c>
      <c r="B688" s="761" t="s">
        <v>9583</v>
      </c>
      <c r="C688" s="761" t="s">
        <v>11352</v>
      </c>
      <c r="D688" s="761" t="s">
        <v>11351</v>
      </c>
      <c r="E688" s="761" t="s">
        <v>11353</v>
      </c>
      <c r="F688">
        <v>80</v>
      </c>
      <c r="G688">
        <v>80</v>
      </c>
      <c r="I688" t="s">
        <v>528</v>
      </c>
      <c r="J688" s="95">
        <v>46063</v>
      </c>
    </row>
    <row r="689" spans="1:10">
      <c r="A689" s="95">
        <v>46003</v>
      </c>
      <c r="B689" s="761" t="s">
        <v>9583</v>
      </c>
      <c r="C689" s="761" t="s">
        <v>11354</v>
      </c>
      <c r="D689" s="761" t="s">
        <v>11355</v>
      </c>
      <c r="E689" s="761" t="s">
        <v>11356</v>
      </c>
      <c r="F689">
        <v>80</v>
      </c>
      <c r="G689">
        <v>80</v>
      </c>
      <c r="I689" t="s">
        <v>528</v>
      </c>
      <c r="J689" s="95">
        <v>46005</v>
      </c>
    </row>
    <row r="690" spans="1:10">
      <c r="A690" s="95">
        <v>46005</v>
      </c>
      <c r="B690" s="761" t="s">
        <v>9583</v>
      </c>
      <c r="C690" s="1671" t="s">
        <v>11376</v>
      </c>
      <c r="D690" s="1671" t="s">
        <v>11378</v>
      </c>
      <c r="E690" s="761" t="s">
        <v>11377</v>
      </c>
      <c r="F690">
        <v>80</v>
      </c>
      <c r="G690">
        <v>80</v>
      </c>
      <c r="I690" t="s">
        <v>528</v>
      </c>
      <c r="J690" s="95">
        <v>46005</v>
      </c>
    </row>
    <row r="691" spans="1:10">
      <c r="A691" s="95">
        <v>46004</v>
      </c>
      <c r="B691" s="761" t="s">
        <v>11372</v>
      </c>
      <c r="C691" s="761" t="s">
        <v>11373</v>
      </c>
      <c r="D691" s="761" t="s">
        <v>1114</v>
      </c>
      <c r="E691" s="761" t="s">
        <v>11375</v>
      </c>
      <c r="F691">
        <v>80</v>
      </c>
      <c r="G691">
        <v>80</v>
      </c>
    </row>
    <row r="692" spans="1:10">
      <c r="C692" s="761" t="s">
        <v>11374</v>
      </c>
      <c r="D692" s="761" t="s">
        <v>1114</v>
      </c>
      <c r="E692" s="1670" t="s">
        <v>639</v>
      </c>
      <c r="F692">
        <v>80</v>
      </c>
      <c r="G692">
        <v>80</v>
      </c>
    </row>
    <row r="693" spans="1:10">
      <c r="B693" s="761" t="s">
        <v>11380</v>
      </c>
      <c r="C693" s="761" t="s">
        <v>11384</v>
      </c>
      <c r="D693" s="761" t="s">
        <v>11382</v>
      </c>
      <c r="E693" s="761" t="s">
        <v>11383</v>
      </c>
      <c r="F693">
        <v>80</v>
      </c>
    </row>
    <row r="694" spans="1:10">
      <c r="A694" s="95">
        <v>46008</v>
      </c>
      <c r="B694" s="761" t="s">
        <v>9583</v>
      </c>
      <c r="C694" s="761" t="s">
        <v>11392</v>
      </c>
      <c r="D694" s="761" t="s">
        <v>11394</v>
      </c>
      <c r="E694" s="761" t="s">
        <v>11393</v>
      </c>
      <c r="F694">
        <v>80</v>
      </c>
      <c r="G694">
        <v>80</v>
      </c>
    </row>
    <row r="695" spans="1:10">
      <c r="A695" s="95">
        <v>46009</v>
      </c>
      <c r="E695" s="761" t="s">
        <v>11410</v>
      </c>
      <c r="F695">
        <v>80</v>
      </c>
      <c r="G695">
        <v>80</v>
      </c>
      <c r="I695" t="s">
        <v>528</v>
      </c>
      <c r="J695" s="95">
        <v>46009</v>
      </c>
    </row>
    <row r="696" spans="1:10">
      <c r="A696" s="95">
        <v>46009</v>
      </c>
      <c r="E696" s="761" t="s">
        <v>11411</v>
      </c>
      <c r="F696">
        <v>80</v>
      </c>
      <c r="G696">
        <v>80</v>
      </c>
      <c r="I696" t="s">
        <v>528</v>
      </c>
      <c r="J696" s="95">
        <v>46009</v>
      </c>
    </row>
    <row r="697" spans="1:10">
      <c r="A697" s="95">
        <v>46007</v>
      </c>
      <c r="B697" s="761" t="s">
        <v>10180</v>
      </c>
      <c r="C697" s="761" t="s">
        <v>11413</v>
      </c>
      <c r="D697" s="761" t="s">
        <v>11414</v>
      </c>
      <c r="E697" s="761" t="s">
        <v>11412</v>
      </c>
      <c r="F697">
        <v>80</v>
      </c>
      <c r="G697">
        <v>80</v>
      </c>
      <c r="I697" t="s">
        <v>528</v>
      </c>
      <c r="J697" s="95">
        <v>46009</v>
      </c>
    </row>
    <row r="698" spans="1:10">
      <c r="A698" s="95">
        <v>46010</v>
      </c>
      <c r="B698" s="761" t="s">
        <v>10180</v>
      </c>
      <c r="C698" s="761" t="s">
        <v>11420</v>
      </c>
      <c r="D698" s="761" t="s">
        <v>11418</v>
      </c>
      <c r="E698" s="761" t="s">
        <v>11419</v>
      </c>
      <c r="F698">
        <v>80</v>
      </c>
      <c r="G698">
        <v>80</v>
      </c>
      <c r="I698" t="s">
        <v>528</v>
      </c>
      <c r="J698" s="95">
        <v>46009</v>
      </c>
    </row>
    <row r="699" spans="1:10">
      <c r="A699" s="95">
        <v>46010</v>
      </c>
      <c r="B699" s="1682" t="s">
        <v>11422</v>
      </c>
      <c r="C699" s="1682" t="s">
        <v>11423</v>
      </c>
      <c r="D699" s="761" t="s">
        <v>11421</v>
      </c>
      <c r="E699" s="761" t="s">
        <v>11424</v>
      </c>
      <c r="F699">
        <v>80</v>
      </c>
      <c r="G699">
        <v>80</v>
      </c>
      <c r="I699" t="s">
        <v>11430</v>
      </c>
    </row>
    <row r="700" spans="1:10">
      <c r="A700" s="95">
        <v>46011</v>
      </c>
      <c r="B700" s="761" t="s">
        <v>9583</v>
      </c>
      <c r="C700" s="761" t="s">
        <v>11426</v>
      </c>
      <c r="E700" s="761" t="s">
        <v>11425</v>
      </c>
      <c r="F700">
        <v>80</v>
      </c>
      <c r="G700">
        <v>80</v>
      </c>
      <c r="I700" t="s">
        <v>528</v>
      </c>
      <c r="J700" s="95">
        <v>46011</v>
      </c>
    </row>
    <row r="701" spans="1:10">
      <c r="A701" s="95">
        <v>46011</v>
      </c>
      <c r="B701" s="761" t="s">
        <v>11429</v>
      </c>
      <c r="C701" s="761" t="s">
        <v>11427</v>
      </c>
      <c r="D701" s="761" t="s">
        <v>11428</v>
      </c>
      <c r="E701" s="761" t="s">
        <v>6885</v>
      </c>
      <c r="F701">
        <v>80</v>
      </c>
      <c r="G701">
        <v>80</v>
      </c>
      <c r="I701" t="s">
        <v>528</v>
      </c>
      <c r="J701" s="95">
        <v>46011</v>
      </c>
    </row>
    <row r="702" spans="1:10">
      <c r="A702" s="95">
        <v>46012</v>
      </c>
      <c r="B702" s="761" t="s">
        <v>11437</v>
      </c>
      <c r="D702" s="761" t="s">
        <v>11438</v>
      </c>
      <c r="E702" s="761" t="s">
        <v>11435</v>
      </c>
      <c r="F702">
        <v>80</v>
      </c>
      <c r="G702">
        <v>80</v>
      </c>
      <c r="I702" t="s">
        <v>528</v>
      </c>
      <c r="J702" s="95">
        <v>46014</v>
      </c>
    </row>
    <row r="703" spans="1:10">
      <c r="A703" s="95">
        <v>46012</v>
      </c>
      <c r="B703" s="761" t="s">
        <v>11437</v>
      </c>
      <c r="C703" s="761" t="s">
        <v>11439</v>
      </c>
      <c r="D703" s="761" t="s">
        <v>11440</v>
      </c>
      <c r="E703" s="761" t="s">
        <v>11441</v>
      </c>
      <c r="F703">
        <v>80</v>
      </c>
      <c r="G703">
        <v>80</v>
      </c>
      <c r="I703" t="s">
        <v>528</v>
      </c>
      <c r="J703" s="95">
        <v>46014</v>
      </c>
    </row>
    <row r="704" spans="1:10">
      <c r="A704" s="95">
        <v>46014</v>
      </c>
      <c r="B704" s="761" t="s">
        <v>11301</v>
      </c>
      <c r="C704" s="761" t="s">
        <v>11444</v>
      </c>
      <c r="D704" s="761" t="s">
        <v>4410</v>
      </c>
      <c r="E704" s="761" t="s">
        <v>4411</v>
      </c>
      <c r="F704">
        <v>80</v>
      </c>
      <c r="G704">
        <v>80</v>
      </c>
      <c r="I704" t="s">
        <v>528</v>
      </c>
      <c r="J704" s="95">
        <v>46016</v>
      </c>
    </row>
    <row r="705" spans="1:10">
      <c r="A705" s="95">
        <v>46015</v>
      </c>
      <c r="B705" s="761" t="s">
        <v>11453</v>
      </c>
      <c r="C705" s="761" t="s">
        <v>11451</v>
      </c>
      <c r="D705" s="761" t="s">
        <v>11450</v>
      </c>
      <c r="E705" s="761" t="s">
        <v>11452</v>
      </c>
      <c r="F705">
        <v>80</v>
      </c>
      <c r="G705">
        <v>80</v>
      </c>
      <c r="I705" t="s">
        <v>11454</v>
      </c>
      <c r="J705" s="95">
        <v>46015</v>
      </c>
    </row>
    <row r="706" spans="1:10">
      <c r="A706" s="95">
        <v>46024</v>
      </c>
      <c r="B706" s="761" t="s">
        <v>11462</v>
      </c>
      <c r="C706" s="761" t="s">
        <v>11463</v>
      </c>
      <c r="D706" s="761" t="s">
        <v>11465</v>
      </c>
      <c r="E706" s="761" t="s">
        <v>11464</v>
      </c>
      <c r="F706">
        <v>80</v>
      </c>
      <c r="G706">
        <v>80</v>
      </c>
      <c r="I706" s="761" t="s">
        <v>528</v>
      </c>
      <c r="J706" s="95">
        <v>46037</v>
      </c>
    </row>
    <row r="707" spans="1:10">
      <c r="A707" s="95">
        <v>46028</v>
      </c>
      <c r="B707" s="761" t="s">
        <v>8058</v>
      </c>
      <c r="C707" s="761" t="s">
        <v>11475</v>
      </c>
      <c r="D707" s="761" t="s">
        <v>8060</v>
      </c>
      <c r="E707" s="761" t="s">
        <v>11476</v>
      </c>
      <c r="F707">
        <v>80</v>
      </c>
      <c r="G707">
        <v>80</v>
      </c>
      <c r="I707" t="s">
        <v>528</v>
      </c>
      <c r="J707" s="95">
        <v>46028</v>
      </c>
    </row>
    <row r="708" spans="1:10">
      <c r="A708" s="95">
        <v>38724</v>
      </c>
      <c r="B708" s="1699" t="s">
        <v>11483</v>
      </c>
      <c r="C708" s="1699" t="s">
        <v>11481</v>
      </c>
      <c r="D708" s="761" t="s">
        <v>11480</v>
      </c>
      <c r="E708" s="761" t="s">
        <v>11482</v>
      </c>
      <c r="F708">
        <v>80</v>
      </c>
      <c r="G708">
        <v>80</v>
      </c>
    </row>
    <row r="709" spans="1:10">
      <c r="A709" s="95">
        <v>38724</v>
      </c>
      <c r="B709" s="1699" t="s">
        <v>11483</v>
      </c>
      <c r="C709" s="1699" t="s">
        <v>11484</v>
      </c>
      <c r="D709" s="761" t="s">
        <v>11480</v>
      </c>
      <c r="E709" s="761" t="s">
        <v>11485</v>
      </c>
      <c r="F709">
        <v>80</v>
      </c>
      <c r="G709">
        <v>80</v>
      </c>
    </row>
    <row r="710" spans="1:10">
      <c r="A710" s="95">
        <v>38724</v>
      </c>
      <c r="B710" s="1699" t="s">
        <v>11487</v>
      </c>
      <c r="C710" s="1699" t="s">
        <v>11488</v>
      </c>
      <c r="D710" s="761" t="s">
        <v>11486</v>
      </c>
      <c r="E710" s="761" t="s">
        <v>11489</v>
      </c>
      <c r="F710">
        <v>80</v>
      </c>
      <c r="G710">
        <v>80</v>
      </c>
    </row>
    <row r="711" spans="1:10">
      <c r="A711" s="95">
        <v>46030</v>
      </c>
      <c r="B711" s="1701" t="s">
        <v>11494</v>
      </c>
      <c r="C711" s="1701" t="s">
        <v>11493</v>
      </c>
      <c r="D711" s="761" t="s">
        <v>11491</v>
      </c>
      <c r="E711" s="761" t="s">
        <v>11492</v>
      </c>
      <c r="F711">
        <v>80</v>
      </c>
      <c r="G711">
        <v>80</v>
      </c>
    </row>
    <row r="712" spans="1:10">
      <c r="A712" s="95">
        <v>46030</v>
      </c>
      <c r="B712" s="1704" t="s">
        <v>11501</v>
      </c>
      <c r="C712" s="1704" t="s">
        <v>11502</v>
      </c>
      <c r="D712" s="761" t="s">
        <v>11499</v>
      </c>
      <c r="E712" s="761" t="s">
        <v>11500</v>
      </c>
      <c r="F712">
        <v>80</v>
      </c>
      <c r="G712">
        <v>80</v>
      </c>
      <c r="I712" t="s">
        <v>528</v>
      </c>
      <c r="J712" s="95">
        <v>46044</v>
      </c>
    </row>
    <row r="713" spans="1:10">
      <c r="A713" s="95">
        <v>46035</v>
      </c>
      <c r="B713" s="1712" t="s">
        <v>11515</v>
      </c>
      <c r="C713" s="1699"/>
      <c r="D713" s="761" t="s">
        <v>11513</v>
      </c>
      <c r="E713" s="761" t="s">
        <v>11514</v>
      </c>
      <c r="F713">
        <v>80</v>
      </c>
      <c r="G713">
        <v>80</v>
      </c>
      <c r="I713" t="s">
        <v>528</v>
      </c>
      <c r="J713" s="95">
        <v>46035</v>
      </c>
    </row>
    <row r="714" spans="1:10">
      <c r="A714" s="95">
        <v>46035</v>
      </c>
      <c r="B714" s="1712" t="s">
        <v>11515</v>
      </c>
      <c r="C714" s="1699"/>
      <c r="D714" s="761" t="s">
        <v>11516</v>
      </c>
      <c r="E714" s="761" t="s">
        <v>11517</v>
      </c>
      <c r="F714">
        <v>80</v>
      </c>
      <c r="G714">
        <v>80</v>
      </c>
      <c r="I714" t="s">
        <v>528</v>
      </c>
      <c r="J714" s="95">
        <v>46035</v>
      </c>
    </row>
    <row r="715" spans="1:10">
      <c r="A715" s="95">
        <v>46035</v>
      </c>
      <c r="B715" s="1712" t="s">
        <v>11515</v>
      </c>
      <c r="C715" s="1699"/>
      <c r="D715" s="761" t="s">
        <v>11518</v>
      </c>
      <c r="E715" s="761" t="s">
        <v>11519</v>
      </c>
      <c r="F715">
        <v>80</v>
      </c>
      <c r="G715">
        <v>80</v>
      </c>
      <c r="I715" t="s">
        <v>528</v>
      </c>
      <c r="J715" s="95">
        <v>46035</v>
      </c>
    </row>
    <row r="716" spans="1:10">
      <c r="A716" s="95">
        <v>46037</v>
      </c>
      <c r="B716" s="1714" t="s">
        <v>11524</v>
      </c>
      <c r="C716" s="1714" t="s">
        <v>11523</v>
      </c>
      <c r="D716" s="761" t="s">
        <v>11521</v>
      </c>
      <c r="E716" s="761" t="s">
        <v>11522</v>
      </c>
      <c r="F716">
        <v>80</v>
      </c>
      <c r="G716">
        <v>80</v>
      </c>
    </row>
    <row r="717" spans="1:10">
      <c r="A717" s="95">
        <v>46037</v>
      </c>
      <c r="B717" s="1714" t="s">
        <v>11524</v>
      </c>
      <c r="C717" s="1714" t="s">
        <v>11525</v>
      </c>
      <c r="D717" s="761" t="s">
        <v>11521</v>
      </c>
      <c r="E717" s="761" t="s">
        <v>11526</v>
      </c>
      <c r="F717">
        <v>80</v>
      </c>
      <c r="G717">
        <v>80</v>
      </c>
    </row>
    <row r="718" spans="1:10">
      <c r="A718" s="95">
        <v>46039</v>
      </c>
      <c r="B718" s="1719" t="s">
        <v>10675</v>
      </c>
      <c r="C718" s="1699"/>
      <c r="D718" s="761" t="s">
        <v>11538</v>
      </c>
      <c r="E718" s="761" t="s">
        <v>11539</v>
      </c>
      <c r="F718">
        <v>80</v>
      </c>
      <c r="G718">
        <v>80</v>
      </c>
    </row>
    <row r="719" spans="1:10">
      <c r="A719" s="95">
        <v>46039</v>
      </c>
      <c r="B719" s="1719" t="s">
        <v>10675</v>
      </c>
      <c r="C719" s="1699"/>
      <c r="D719" s="761" t="s">
        <v>11538</v>
      </c>
      <c r="E719" s="761" t="s">
        <v>11540</v>
      </c>
      <c r="F719">
        <v>80</v>
      </c>
      <c r="G719">
        <v>20</v>
      </c>
    </row>
    <row r="720" spans="1:10">
      <c r="A720" s="95">
        <v>46040</v>
      </c>
      <c r="B720" s="1720" t="s">
        <v>11542</v>
      </c>
      <c r="C720" s="1699"/>
      <c r="D720" s="761" t="s">
        <v>11541</v>
      </c>
      <c r="E720" s="761" t="s">
        <v>11543</v>
      </c>
      <c r="F720">
        <v>80</v>
      </c>
      <c r="G720">
        <v>80</v>
      </c>
    </row>
    <row r="721" spans="1:10">
      <c r="A721" s="95">
        <v>46041</v>
      </c>
      <c r="B721" s="1721" t="s">
        <v>11546</v>
      </c>
      <c r="C721" s="1699"/>
      <c r="D721" s="761" t="s">
        <v>11545</v>
      </c>
      <c r="E721" s="761" t="s">
        <v>9998</v>
      </c>
      <c r="F721">
        <v>80</v>
      </c>
      <c r="G721">
        <v>80</v>
      </c>
      <c r="I721" t="s">
        <v>39</v>
      </c>
      <c r="J721" s="95">
        <v>46048</v>
      </c>
    </row>
    <row r="722" spans="1:10">
      <c r="A722" s="95">
        <v>46042</v>
      </c>
      <c r="B722" s="1722" t="s">
        <v>10988</v>
      </c>
      <c r="C722" s="1722" t="s">
        <v>11547</v>
      </c>
      <c r="E722" s="761" t="s">
        <v>11548</v>
      </c>
      <c r="F722">
        <v>80</v>
      </c>
      <c r="G722">
        <v>80</v>
      </c>
    </row>
    <row r="723" spans="1:10">
      <c r="A723" s="95">
        <v>46044</v>
      </c>
      <c r="B723" s="1704" t="s">
        <v>11501</v>
      </c>
      <c r="C723" s="1723" t="s">
        <v>11551</v>
      </c>
      <c r="D723" s="1699" t="s">
        <v>11549</v>
      </c>
      <c r="E723" s="761" t="s">
        <v>11550</v>
      </c>
      <c r="F723">
        <v>80</v>
      </c>
      <c r="G723">
        <v>80</v>
      </c>
      <c r="I723" t="s">
        <v>11564</v>
      </c>
      <c r="J723" s="95">
        <v>46045</v>
      </c>
    </row>
    <row r="724" spans="1:10">
      <c r="A724" s="95">
        <v>46044</v>
      </c>
      <c r="B724" s="1723" t="s">
        <v>11552</v>
      </c>
      <c r="C724" s="1723" t="s">
        <v>11553</v>
      </c>
      <c r="D724" s="761" t="s">
        <v>2686</v>
      </c>
      <c r="E724" s="761" t="s">
        <v>11554</v>
      </c>
      <c r="F724">
        <v>80</v>
      </c>
      <c r="G724">
        <v>80</v>
      </c>
      <c r="I724" t="s">
        <v>11564</v>
      </c>
      <c r="J724" s="95">
        <v>46044</v>
      </c>
    </row>
    <row r="725" spans="1:10">
      <c r="A725" s="95">
        <v>46046</v>
      </c>
      <c r="B725" s="1726" t="s">
        <v>9583</v>
      </c>
      <c r="D725" s="761" t="s">
        <v>11569</v>
      </c>
      <c r="E725" s="1726" t="s">
        <v>11567</v>
      </c>
      <c r="F725">
        <v>80</v>
      </c>
      <c r="G725">
        <v>80</v>
      </c>
      <c r="I725" t="s">
        <v>11564</v>
      </c>
      <c r="J725" s="95">
        <v>46048</v>
      </c>
    </row>
    <row r="726" spans="1:10">
      <c r="A726" s="95">
        <v>46046</v>
      </c>
      <c r="B726" s="1726" t="s">
        <v>9583</v>
      </c>
      <c r="D726" s="761" t="s">
        <v>11569</v>
      </c>
      <c r="E726" s="1726" t="s">
        <v>11568</v>
      </c>
      <c r="F726">
        <v>80</v>
      </c>
      <c r="G726">
        <v>80</v>
      </c>
      <c r="I726" t="s">
        <v>11564</v>
      </c>
      <c r="J726" s="95">
        <v>46048</v>
      </c>
    </row>
    <row r="727" spans="1:10">
      <c r="A727" s="95">
        <v>46047</v>
      </c>
      <c r="B727" s="1727" t="s">
        <v>11573</v>
      </c>
      <c r="C727" s="1727" t="s">
        <v>11572</v>
      </c>
      <c r="D727" s="761" t="s">
        <v>11570</v>
      </c>
      <c r="E727" s="761" t="s">
        <v>11571</v>
      </c>
      <c r="F727">
        <v>80</v>
      </c>
      <c r="G727">
        <v>80</v>
      </c>
    </row>
    <row r="728" spans="1:10">
      <c r="A728" s="95">
        <v>46047</v>
      </c>
      <c r="B728" s="1727" t="s">
        <v>11573</v>
      </c>
      <c r="C728" s="1727"/>
      <c r="D728" s="761" t="s">
        <v>11570</v>
      </c>
      <c r="E728" s="761" t="s">
        <v>11574</v>
      </c>
      <c r="F728">
        <v>80</v>
      </c>
      <c r="G728">
        <v>80</v>
      </c>
      <c r="I728" t="s">
        <v>39</v>
      </c>
      <c r="J728" s="95">
        <v>46063</v>
      </c>
    </row>
    <row r="729" spans="1:10">
      <c r="A729" s="95">
        <v>46051</v>
      </c>
      <c r="B729" s="1736" t="s">
        <v>11589</v>
      </c>
      <c r="C729" s="1736" t="s">
        <v>11590</v>
      </c>
      <c r="D729" s="761" t="s">
        <v>11588</v>
      </c>
      <c r="E729" s="1736" t="s">
        <v>11591</v>
      </c>
      <c r="F729">
        <v>80</v>
      </c>
      <c r="G729">
        <v>80</v>
      </c>
    </row>
    <row r="730" spans="1:10">
      <c r="A730" s="95">
        <v>46053</v>
      </c>
      <c r="B730" s="1741" t="s">
        <v>9583</v>
      </c>
      <c r="C730" s="1741" t="s">
        <v>11594</v>
      </c>
      <c r="D730" s="761" t="s">
        <v>11596</v>
      </c>
      <c r="E730" s="761" t="s">
        <v>11595</v>
      </c>
      <c r="F730">
        <v>80</v>
      </c>
      <c r="G730">
        <v>80</v>
      </c>
      <c r="I730" t="s">
        <v>528</v>
      </c>
      <c r="J730" s="95">
        <v>46063</v>
      </c>
    </row>
    <row r="731" spans="1:10">
      <c r="A731" s="95">
        <v>46056</v>
      </c>
      <c r="B731" s="1742" t="s">
        <v>11599</v>
      </c>
      <c r="C731" s="1742" t="s">
        <v>11600</v>
      </c>
      <c r="D731" s="761" t="s">
        <v>11597</v>
      </c>
      <c r="E731" s="761" t="s">
        <v>11598</v>
      </c>
      <c r="F731">
        <v>80</v>
      </c>
      <c r="G731">
        <v>80</v>
      </c>
      <c r="I731" s="1745" t="s">
        <v>528</v>
      </c>
      <c r="J731" s="95">
        <v>46057</v>
      </c>
    </row>
    <row r="732" spans="1:10">
      <c r="A732" s="95">
        <v>46056</v>
      </c>
      <c r="B732" s="1742" t="s">
        <v>11599</v>
      </c>
      <c r="C732" s="761" t="s">
        <v>11601</v>
      </c>
      <c r="D732" s="761" t="s">
        <v>11602</v>
      </c>
      <c r="E732" s="761" t="s">
        <v>2034</v>
      </c>
      <c r="F732">
        <v>80</v>
      </c>
      <c r="G732">
        <v>80</v>
      </c>
      <c r="I732" s="1745" t="s">
        <v>528</v>
      </c>
      <c r="J732" s="95">
        <v>46057</v>
      </c>
    </row>
    <row r="733" spans="1:10">
      <c r="A733" s="95">
        <v>46056</v>
      </c>
      <c r="B733" s="1744" t="s">
        <v>11604</v>
      </c>
      <c r="C733" s="1744" t="s">
        <v>11605</v>
      </c>
      <c r="D733" s="1744" t="s">
        <v>11607</v>
      </c>
      <c r="E733" s="761" t="s">
        <v>11606</v>
      </c>
      <c r="F733">
        <v>80</v>
      </c>
      <c r="G733">
        <v>80</v>
      </c>
      <c r="I733" s="761" t="s">
        <v>4630</v>
      </c>
      <c r="J733" s="95">
        <v>46057</v>
      </c>
    </row>
    <row r="734" spans="1:10">
      <c r="A734" s="95">
        <v>46060</v>
      </c>
      <c r="B734" s="761" t="s">
        <v>11573</v>
      </c>
      <c r="C734" s="761" t="s">
        <v>11626</v>
      </c>
      <c r="D734" s="761" t="s">
        <v>11628</v>
      </c>
      <c r="E734" s="761" t="s">
        <v>11627</v>
      </c>
      <c r="F734">
        <v>80</v>
      </c>
      <c r="G734">
        <v>80</v>
      </c>
      <c r="I734" s="1756" t="s">
        <v>528</v>
      </c>
      <c r="J734" s="95">
        <v>46063</v>
      </c>
    </row>
    <row r="735" spans="1:10">
      <c r="A735" s="95">
        <v>46060</v>
      </c>
      <c r="B735" s="761" t="s">
        <v>11573</v>
      </c>
      <c r="C735" s="761" t="s">
        <v>11629</v>
      </c>
      <c r="D735" s="761" t="s">
        <v>11628</v>
      </c>
      <c r="E735" s="761" t="s">
        <v>11630</v>
      </c>
      <c r="F735">
        <v>80</v>
      </c>
      <c r="G735">
        <v>80</v>
      </c>
      <c r="I735" t="s">
        <v>39</v>
      </c>
      <c r="J735" s="95">
        <v>46063</v>
      </c>
    </row>
    <row r="736" spans="1:10">
      <c r="A736" s="95">
        <v>46062</v>
      </c>
      <c r="B736" s="1754" t="s">
        <v>9637</v>
      </c>
      <c r="C736" s="1754" t="s">
        <v>11634</v>
      </c>
      <c r="D736" s="761" t="s">
        <v>11633</v>
      </c>
      <c r="E736" s="1754" t="s">
        <v>11635</v>
      </c>
      <c r="F736">
        <v>80</v>
      </c>
      <c r="G736">
        <v>80</v>
      </c>
      <c r="I736" t="s">
        <v>39</v>
      </c>
      <c r="J736" s="95">
        <v>46063</v>
      </c>
    </row>
    <row r="737" spans="1:10">
      <c r="A737" s="95">
        <v>46063</v>
      </c>
      <c r="B737" s="761" t="s">
        <v>11637</v>
      </c>
      <c r="C737" s="761" t="s">
        <v>11638</v>
      </c>
      <c r="D737" s="761" t="s">
        <v>11636</v>
      </c>
      <c r="E737" s="1755" t="s">
        <v>11639</v>
      </c>
      <c r="F737">
        <v>80</v>
      </c>
      <c r="G737">
        <v>80</v>
      </c>
    </row>
    <row r="738" spans="1:10">
      <c r="A738" s="95">
        <v>46064</v>
      </c>
      <c r="B738" s="761" t="s">
        <v>11641</v>
      </c>
      <c r="C738" s="761" t="s">
        <v>11642</v>
      </c>
      <c r="D738" s="761" t="s">
        <v>11643</v>
      </c>
      <c r="E738" s="1763" t="s">
        <v>11644</v>
      </c>
      <c r="F738">
        <v>80</v>
      </c>
      <c r="G738">
        <v>80</v>
      </c>
      <c r="I738" t="s">
        <v>39</v>
      </c>
      <c r="J738" s="95">
        <v>46064</v>
      </c>
    </row>
    <row r="739" spans="1:10">
      <c r="A739" s="95">
        <v>46064</v>
      </c>
      <c r="B739" s="761" t="s">
        <v>11641</v>
      </c>
      <c r="C739" s="761" t="s">
        <v>11645</v>
      </c>
      <c r="D739" s="761" t="s">
        <v>11643</v>
      </c>
      <c r="E739" s="1763" t="s">
        <v>11646</v>
      </c>
      <c r="F739">
        <v>80</v>
      </c>
      <c r="G739">
        <v>80</v>
      </c>
      <c r="I739" t="s">
        <v>39</v>
      </c>
      <c r="J739" s="95">
        <v>46064</v>
      </c>
    </row>
    <row r="740" spans="1:10">
      <c r="A740" s="95">
        <v>46069</v>
      </c>
      <c r="B740" s="761" t="s">
        <v>11659</v>
      </c>
      <c r="C740" s="761" t="s">
        <v>11660</v>
      </c>
      <c r="D740" s="761" t="s">
        <v>11658</v>
      </c>
      <c r="E740" s="1766" t="s">
        <v>11661</v>
      </c>
      <c r="F740">
        <v>80</v>
      </c>
      <c r="G740">
        <v>80</v>
      </c>
      <c r="I740" t="s">
        <v>39</v>
      </c>
      <c r="J740" s="95">
        <v>46070</v>
      </c>
    </row>
    <row r="741" spans="1:10">
      <c r="A741" s="95">
        <v>46070</v>
      </c>
      <c r="B741" s="761" t="s">
        <v>11666</v>
      </c>
      <c r="C741" s="761" t="s">
        <v>11665</v>
      </c>
      <c r="D741" s="761" t="s">
        <v>11667</v>
      </c>
      <c r="E741" s="1769" t="s">
        <v>11664</v>
      </c>
      <c r="F741">
        <v>80</v>
      </c>
      <c r="G741">
        <v>80</v>
      </c>
      <c r="I741" t="s">
        <v>39</v>
      </c>
      <c r="J741" s="95">
        <v>46076</v>
      </c>
    </row>
    <row r="742" spans="1:10">
      <c r="A742" s="95">
        <v>46084</v>
      </c>
      <c r="B742" s="761" t="s">
        <v>11678</v>
      </c>
      <c r="C742" s="761" t="s">
        <v>11683</v>
      </c>
      <c r="D742" s="761" t="s">
        <v>11682</v>
      </c>
      <c r="E742" s="1778" t="s">
        <v>11679</v>
      </c>
      <c r="F742">
        <v>80</v>
      </c>
      <c r="G742">
        <v>80</v>
      </c>
      <c r="I742" t="s">
        <v>528</v>
      </c>
      <c r="J742" s="95">
        <v>46101</v>
      </c>
    </row>
    <row r="743" spans="1:10">
      <c r="A743" s="95">
        <v>46084</v>
      </c>
      <c r="B743" s="761" t="s">
        <v>11678</v>
      </c>
      <c r="C743" s="761" t="s">
        <v>11684</v>
      </c>
      <c r="D743" s="761" t="s">
        <v>11682</v>
      </c>
      <c r="E743" s="1778" t="s">
        <v>11680</v>
      </c>
      <c r="F743">
        <v>80</v>
      </c>
      <c r="G743">
        <v>80</v>
      </c>
      <c r="I743" t="s">
        <v>528</v>
      </c>
      <c r="J743" s="95">
        <v>46101</v>
      </c>
    </row>
    <row r="744" spans="1:10">
      <c r="A744" s="95">
        <v>46084</v>
      </c>
      <c r="B744" s="761" t="s">
        <v>11678</v>
      </c>
      <c r="C744" s="761" t="s">
        <v>11685</v>
      </c>
      <c r="D744" s="761" t="s">
        <v>11682</v>
      </c>
      <c r="E744" s="1778" t="s">
        <v>11681</v>
      </c>
      <c r="F744">
        <v>80</v>
      </c>
      <c r="G744">
        <v>80</v>
      </c>
      <c r="I744" t="s">
        <v>528</v>
      </c>
      <c r="J744" s="95">
        <v>46101</v>
      </c>
    </row>
    <row r="745" spans="1:10">
      <c r="A745" s="95">
        <v>46086</v>
      </c>
      <c r="B745" s="761" t="s">
        <v>9506</v>
      </c>
      <c r="C745" s="761" t="s">
        <v>11687</v>
      </c>
      <c r="D745" s="761" t="s">
        <v>10994</v>
      </c>
      <c r="E745" s="1779" t="s">
        <v>11688</v>
      </c>
      <c r="F745">
        <v>80</v>
      </c>
      <c r="G745">
        <v>80</v>
      </c>
      <c r="I745" t="s">
        <v>191</v>
      </c>
      <c r="J745" s="95">
        <v>46087</v>
      </c>
    </row>
    <row r="746" spans="1:10">
      <c r="A746" s="95">
        <v>46087</v>
      </c>
      <c r="B746" s="761" t="s">
        <v>9506</v>
      </c>
      <c r="C746" s="761" t="s">
        <v>11689</v>
      </c>
      <c r="D746" s="761" t="s">
        <v>10994</v>
      </c>
      <c r="E746" s="1780" t="s">
        <v>11690</v>
      </c>
      <c r="F746">
        <v>80</v>
      </c>
      <c r="G746">
        <v>80</v>
      </c>
    </row>
    <row r="747" spans="1:10">
      <c r="A747" s="95">
        <v>46095</v>
      </c>
      <c r="B747" s="761" t="s">
        <v>9583</v>
      </c>
      <c r="C747" s="761" t="s">
        <v>11694</v>
      </c>
      <c r="D747" s="761">
        <v>8595054514</v>
      </c>
      <c r="E747" s="1786" t="s">
        <v>11695</v>
      </c>
      <c r="F747">
        <v>80</v>
      </c>
      <c r="G747">
        <v>80</v>
      </c>
    </row>
    <row r="748" spans="1:10">
      <c r="A748" s="95">
        <v>46100</v>
      </c>
      <c r="B748" s="761" t="s">
        <v>11698</v>
      </c>
      <c r="D748" s="761" t="s">
        <v>11696</v>
      </c>
      <c r="E748" s="1787" t="s">
        <v>11697</v>
      </c>
      <c r="F748">
        <v>80</v>
      </c>
      <c r="G748">
        <v>80</v>
      </c>
    </row>
    <row r="749" spans="1:10">
      <c r="A749" s="95">
        <v>46107</v>
      </c>
      <c r="B749" s="761" t="s">
        <v>9583</v>
      </c>
      <c r="C749" s="761" t="s">
        <v>11705</v>
      </c>
      <c r="D749" s="761" t="s">
        <v>11596</v>
      </c>
      <c r="E749" s="1790" t="s">
        <v>11706</v>
      </c>
      <c r="F749">
        <v>80</v>
      </c>
      <c r="G749">
        <v>80</v>
      </c>
    </row>
    <row r="750" spans="1:10">
      <c r="A750" s="95">
        <v>46118</v>
      </c>
      <c r="B750" s="761" t="s">
        <v>9583</v>
      </c>
      <c r="C750" s="761" t="s">
        <v>11710</v>
      </c>
      <c r="D750" s="761" t="s">
        <v>11712</v>
      </c>
      <c r="E750" s="1794" t="s">
        <v>11711</v>
      </c>
      <c r="F750">
        <v>80</v>
      </c>
      <c r="G750">
        <v>80</v>
      </c>
      <c r="I750" t="s">
        <v>39</v>
      </c>
      <c r="J750" s="95">
        <v>46118</v>
      </c>
    </row>
    <row r="751" spans="1:10">
      <c r="A751" s="95">
        <v>46119</v>
      </c>
      <c r="B751" s="761" t="s">
        <v>11714</v>
      </c>
      <c r="C751" s="761" t="s">
        <v>11715</v>
      </c>
      <c r="D751" s="761" t="s">
        <v>11713</v>
      </c>
      <c r="E751" s="1795" t="s">
        <v>11716</v>
      </c>
      <c r="F751">
        <v>80</v>
      </c>
      <c r="G751">
        <v>80</v>
      </c>
      <c r="I751" t="s">
        <v>39</v>
      </c>
      <c r="J751" s="95">
        <v>46119</v>
      </c>
    </row>
    <row r="752" spans="1:10">
      <c r="A752" s="379">
        <v>46121</v>
      </c>
      <c r="B752" s="1801" t="s">
        <v>8885</v>
      </c>
      <c r="C752" s="1801" t="s">
        <v>11721</v>
      </c>
      <c r="D752" s="1801" t="s">
        <v>11727</v>
      </c>
      <c r="E752" s="1802" t="s">
        <v>11722</v>
      </c>
      <c r="F752" s="156">
        <v>120</v>
      </c>
      <c r="G752" s="156">
        <v>120</v>
      </c>
      <c r="H752" s="156"/>
      <c r="I752" t="s">
        <v>11728</v>
      </c>
    </row>
    <row r="753" spans="1:10">
      <c r="A753" s="95">
        <v>46122</v>
      </c>
      <c r="B753" s="761" t="s">
        <v>11724</v>
      </c>
      <c r="C753" s="761" t="s">
        <v>11725</v>
      </c>
      <c r="D753" s="761" t="s">
        <v>11723</v>
      </c>
      <c r="E753" s="1799" t="s">
        <v>11726</v>
      </c>
      <c r="F753">
        <v>80</v>
      </c>
      <c r="G753">
        <v>80</v>
      </c>
    </row>
    <row r="754" spans="1:10">
      <c r="A754" s="95">
        <v>46128</v>
      </c>
      <c r="B754" s="761" t="s">
        <v>11733</v>
      </c>
      <c r="C754" s="761" t="s">
        <v>11734</v>
      </c>
      <c r="D754" s="761" t="s">
        <v>11732</v>
      </c>
      <c r="E754" s="1805" t="s">
        <v>11735</v>
      </c>
      <c r="F754">
        <v>80</v>
      </c>
      <c r="G754">
        <v>80</v>
      </c>
      <c r="I754" t="s">
        <v>39</v>
      </c>
      <c r="J754" s="95">
        <v>46129</v>
      </c>
    </row>
    <row r="755" spans="1:10">
      <c r="A755" s="95">
        <v>46128</v>
      </c>
      <c r="B755" s="761" t="s">
        <v>11733</v>
      </c>
      <c r="C755" s="761" t="s">
        <v>11736</v>
      </c>
      <c r="D755" s="761" t="s">
        <v>11732</v>
      </c>
      <c r="E755" s="1805" t="s">
        <v>546</v>
      </c>
      <c r="F755">
        <v>80</v>
      </c>
      <c r="G755">
        <v>80</v>
      </c>
      <c r="I755" t="s">
        <v>39</v>
      </c>
      <c r="J755" s="95">
        <v>46129</v>
      </c>
    </row>
    <row r="756" spans="1:10">
      <c r="A756" s="95">
        <v>46133</v>
      </c>
      <c r="B756" s="761" t="s">
        <v>11740</v>
      </c>
      <c r="D756" s="761" t="s">
        <v>11742</v>
      </c>
      <c r="E756" s="1807" t="s">
        <v>11741</v>
      </c>
      <c r="F756">
        <v>80</v>
      </c>
      <c r="G756">
        <v>80</v>
      </c>
      <c r="I756" t="s">
        <v>39</v>
      </c>
      <c r="J756" s="95">
        <v>46153</v>
      </c>
    </row>
    <row r="757" spans="1:10">
      <c r="A757" s="95">
        <v>46133</v>
      </c>
      <c r="B757" s="1807" t="s">
        <v>11744</v>
      </c>
      <c r="C757" s="1807" t="s">
        <v>11745</v>
      </c>
      <c r="D757" s="761" t="s">
        <v>11743</v>
      </c>
      <c r="E757" s="1807" t="s">
        <v>11746</v>
      </c>
      <c r="F757">
        <v>80</v>
      </c>
      <c r="G757">
        <v>80</v>
      </c>
    </row>
    <row r="758" spans="1:10">
      <c r="A758" s="95">
        <v>46133</v>
      </c>
      <c r="B758" s="1807" t="s">
        <v>11744</v>
      </c>
      <c r="C758" s="1807" t="s">
        <v>11748</v>
      </c>
      <c r="D758" s="761" t="s">
        <v>11743</v>
      </c>
      <c r="E758" s="1807" t="s">
        <v>11747</v>
      </c>
      <c r="F758">
        <v>80</v>
      </c>
      <c r="G758">
        <v>80</v>
      </c>
    </row>
    <row r="759" spans="1:10">
      <c r="A759" s="95">
        <v>46134</v>
      </c>
      <c r="B759" s="761" t="s">
        <v>9583</v>
      </c>
      <c r="C759" s="761" t="s">
        <v>11749</v>
      </c>
      <c r="D759" s="761" t="s">
        <v>11751</v>
      </c>
      <c r="E759" s="1808" t="s">
        <v>11750</v>
      </c>
      <c r="F759">
        <v>80</v>
      </c>
      <c r="G759">
        <v>80</v>
      </c>
      <c r="I759" t="s">
        <v>191</v>
      </c>
      <c r="J759" s="95">
        <v>46142</v>
      </c>
    </row>
    <row r="760" spans="1:10">
      <c r="A760" s="95">
        <v>46140</v>
      </c>
      <c r="B760" s="761" t="s">
        <v>11756</v>
      </c>
      <c r="C760" s="761" t="s">
        <v>11757</v>
      </c>
      <c r="D760" s="761" t="s">
        <v>11755</v>
      </c>
      <c r="E760" s="1812" t="s">
        <v>11758</v>
      </c>
      <c r="F760">
        <v>80</v>
      </c>
      <c r="G760">
        <v>80</v>
      </c>
      <c r="I760" t="s">
        <v>191</v>
      </c>
      <c r="J760" s="95">
        <v>46143</v>
      </c>
    </row>
    <row r="761" spans="1:10">
      <c r="A761" s="95">
        <v>46141</v>
      </c>
      <c r="B761" s="761" t="s">
        <v>11759</v>
      </c>
      <c r="C761" s="761" t="s">
        <v>11760</v>
      </c>
      <c r="E761" s="1813" t="s">
        <v>11761</v>
      </c>
      <c r="F761">
        <v>50</v>
      </c>
      <c r="G761">
        <v>50</v>
      </c>
    </row>
    <row r="762" spans="1:10">
      <c r="A762" s="95">
        <v>46141</v>
      </c>
      <c r="B762" s="761" t="s">
        <v>11637</v>
      </c>
      <c r="C762" s="761" t="s">
        <v>11764</v>
      </c>
      <c r="D762" s="761" t="s">
        <v>11762</v>
      </c>
      <c r="E762" s="1813" t="s">
        <v>11763</v>
      </c>
      <c r="F762">
        <v>80</v>
      </c>
      <c r="G762">
        <v>80</v>
      </c>
    </row>
    <row r="763" spans="1:10">
      <c r="A763" s="95">
        <v>46142</v>
      </c>
      <c r="B763" s="761" t="s">
        <v>9583</v>
      </c>
      <c r="C763" s="761" t="s">
        <v>11769</v>
      </c>
      <c r="D763" s="761" t="s">
        <v>11768</v>
      </c>
      <c r="E763" s="1817" t="s">
        <v>11770</v>
      </c>
      <c r="F763">
        <v>80</v>
      </c>
      <c r="G763">
        <v>80</v>
      </c>
      <c r="I763" t="s">
        <v>191</v>
      </c>
      <c r="J763" s="95">
        <v>46143</v>
      </c>
    </row>
    <row r="764" spans="1:10">
      <c r="A764" s="95">
        <v>46147</v>
      </c>
      <c r="B764" s="1820" t="s">
        <v>11775</v>
      </c>
      <c r="C764" s="1820" t="s">
        <v>11776</v>
      </c>
      <c r="D764" s="761" t="s">
        <v>4406</v>
      </c>
      <c r="E764" s="1820" t="s">
        <v>4407</v>
      </c>
      <c r="F764">
        <v>80</v>
      </c>
      <c r="G764">
        <v>80</v>
      </c>
      <c r="I764" t="s">
        <v>191</v>
      </c>
      <c r="J764" s="95">
        <v>46147</v>
      </c>
    </row>
    <row r="765" spans="1:10">
      <c r="A765" s="95">
        <v>46148</v>
      </c>
      <c r="B765" s="761" t="s">
        <v>11781</v>
      </c>
      <c r="C765" s="761" t="s">
        <v>11780</v>
      </c>
      <c r="D765" s="761" t="s">
        <v>11779</v>
      </c>
      <c r="E765" s="1824" t="s">
        <v>11784</v>
      </c>
      <c r="F765">
        <v>80</v>
      </c>
      <c r="G765">
        <v>80</v>
      </c>
      <c r="I765" t="s">
        <v>114</v>
      </c>
    </row>
    <row r="766" spans="1:10">
      <c r="A766" s="95">
        <v>46148</v>
      </c>
      <c r="B766" s="761" t="s">
        <v>11781</v>
      </c>
      <c r="C766" s="761" t="s">
        <v>11782</v>
      </c>
      <c r="D766" s="761" t="s">
        <v>11779</v>
      </c>
      <c r="E766" s="1824" t="s">
        <v>11783</v>
      </c>
      <c r="F766">
        <v>80</v>
      </c>
      <c r="G766">
        <v>80</v>
      </c>
      <c r="I766" t="s">
        <v>114</v>
      </c>
    </row>
    <row r="767" spans="1:10">
      <c r="A767" s="95">
        <v>46148</v>
      </c>
      <c r="B767" s="761" t="s">
        <v>9583</v>
      </c>
      <c r="C767" s="761" t="s">
        <v>11785</v>
      </c>
      <c r="D767" s="761" t="s">
        <v>11786</v>
      </c>
      <c r="E767" s="1825" t="s">
        <v>11787</v>
      </c>
      <c r="F767">
        <v>80</v>
      </c>
      <c r="G767">
        <v>80</v>
      </c>
      <c r="I767" t="s">
        <v>191</v>
      </c>
      <c r="J767" s="95">
        <v>46149</v>
      </c>
    </row>
    <row r="768" spans="1:10">
      <c r="A768" s="95">
        <v>46149</v>
      </c>
      <c r="B768" s="761" t="s">
        <v>9583</v>
      </c>
      <c r="C768" s="761" t="s">
        <v>11790</v>
      </c>
      <c r="E768" s="1827" t="s">
        <v>11791</v>
      </c>
      <c r="F768">
        <v>50</v>
      </c>
      <c r="G768">
        <v>50</v>
      </c>
      <c r="I768" t="s">
        <v>114</v>
      </c>
    </row>
    <row r="769" spans="1:10">
      <c r="A769" s="95">
        <v>46151</v>
      </c>
      <c r="B769" s="761" t="s">
        <v>11807</v>
      </c>
      <c r="C769" s="761" t="s">
        <v>11806</v>
      </c>
      <c r="D769" s="761" t="s">
        <v>11804</v>
      </c>
      <c r="E769" s="1830" t="s">
        <v>11805</v>
      </c>
      <c r="F769">
        <v>80</v>
      </c>
      <c r="G769">
        <v>80</v>
      </c>
    </row>
    <row r="770" spans="1:10">
      <c r="A770" s="95">
        <v>46163</v>
      </c>
      <c r="B770" s="761" t="s">
        <v>11815</v>
      </c>
      <c r="C770" s="761" t="s">
        <v>11816</v>
      </c>
      <c r="D770" s="761" t="s">
        <v>11814</v>
      </c>
      <c r="E770" s="1833" t="s">
        <v>11817</v>
      </c>
      <c r="F770">
        <v>80</v>
      </c>
      <c r="G770">
        <v>80</v>
      </c>
      <c r="I770" t="s">
        <v>191</v>
      </c>
      <c r="J770" s="95">
        <v>46164</v>
      </c>
    </row>
    <row r="771" spans="1:10">
      <c r="A771" s="95">
        <v>46163</v>
      </c>
      <c r="B771" s="761" t="s">
        <v>11815</v>
      </c>
      <c r="C771" s="761" t="s">
        <v>11818</v>
      </c>
      <c r="D771" s="761" t="s">
        <v>11814</v>
      </c>
      <c r="E771" s="1833" t="s">
        <v>11819</v>
      </c>
      <c r="F771">
        <v>80</v>
      </c>
      <c r="G771">
        <v>80</v>
      </c>
      <c r="I771" t="s">
        <v>191</v>
      </c>
      <c r="J771" s="95">
        <v>46164</v>
      </c>
    </row>
    <row r="772" spans="1:10">
      <c r="A772" s="95">
        <v>46168</v>
      </c>
      <c r="B772" s="761" t="s">
        <v>11838</v>
      </c>
      <c r="C772" s="761" t="s">
        <v>11837</v>
      </c>
      <c r="D772" s="761" t="s">
        <v>11836</v>
      </c>
      <c r="E772" s="1838" t="s">
        <v>11839</v>
      </c>
      <c r="F772">
        <v>80</v>
      </c>
      <c r="G772">
        <v>80</v>
      </c>
    </row>
    <row r="773" spans="1:10">
      <c r="A773" s="95">
        <v>46176</v>
      </c>
      <c r="B773" s="761" t="s">
        <v>11841</v>
      </c>
      <c r="C773" s="761" t="s">
        <v>11842</v>
      </c>
      <c r="D773" s="761" t="s">
        <v>11840</v>
      </c>
      <c r="E773" s="1839" t="s">
        <v>11843</v>
      </c>
      <c r="F773">
        <v>80</v>
      </c>
      <c r="G773">
        <v>80</v>
      </c>
      <c r="I773" t="s">
        <v>39</v>
      </c>
      <c r="J773" s="95">
        <v>46177</v>
      </c>
    </row>
    <row r="774" spans="1:10">
      <c r="A774" s="95">
        <v>46176</v>
      </c>
      <c r="B774" s="761" t="s">
        <v>11844</v>
      </c>
      <c r="C774" s="761" t="s">
        <v>11845</v>
      </c>
      <c r="D774" s="761" t="s">
        <v>11846</v>
      </c>
      <c r="E774" s="1839" t="s">
        <v>11847</v>
      </c>
      <c r="F774">
        <v>80</v>
      </c>
      <c r="G774">
        <v>80</v>
      </c>
      <c r="I774" s="1842" t="s">
        <v>39</v>
      </c>
      <c r="J774" s="95">
        <v>46145</v>
      </c>
    </row>
    <row r="775" spans="1:10">
      <c r="A775" s="95">
        <v>46176</v>
      </c>
      <c r="B775" s="761" t="s">
        <v>11841</v>
      </c>
      <c r="C775" s="1841" t="s">
        <v>11849</v>
      </c>
      <c r="D775" s="761" t="s">
        <v>11840</v>
      </c>
      <c r="E775" s="1841" t="s">
        <v>11850</v>
      </c>
      <c r="F775">
        <v>80</v>
      </c>
      <c r="G775">
        <v>80</v>
      </c>
      <c r="I775" s="1843" t="s">
        <v>39</v>
      </c>
      <c r="J775" s="95">
        <v>46177</v>
      </c>
    </row>
    <row r="776" spans="1:10">
      <c r="A776" s="95">
        <v>46177</v>
      </c>
      <c r="B776" s="761" t="s">
        <v>11852</v>
      </c>
      <c r="C776" s="761" t="s">
        <v>11853</v>
      </c>
      <c r="D776" s="761" t="s">
        <v>11851</v>
      </c>
      <c r="E776" s="761" t="s">
        <v>11854</v>
      </c>
      <c r="F776">
        <v>80</v>
      </c>
      <c r="G776">
        <v>80</v>
      </c>
      <c r="I776" s="1843" t="s">
        <v>39</v>
      </c>
      <c r="J776" s="95">
        <v>46177</v>
      </c>
    </row>
    <row r="777" spans="1:10">
      <c r="A777" s="95">
        <v>46177</v>
      </c>
      <c r="B777" s="761" t="s">
        <v>11852</v>
      </c>
      <c r="C777" s="761" t="s">
        <v>11855</v>
      </c>
      <c r="D777" s="761" t="s">
        <v>11851</v>
      </c>
      <c r="E777" s="761" t="s">
        <v>1177</v>
      </c>
      <c r="F777">
        <v>80</v>
      </c>
      <c r="G777">
        <v>80</v>
      </c>
      <c r="I777" s="1843" t="s">
        <v>39</v>
      </c>
      <c r="J777" s="95">
        <v>46177</v>
      </c>
    </row>
    <row r="778" spans="1:10">
      <c r="A778" s="95">
        <v>46179</v>
      </c>
      <c r="B778" s="761" t="s">
        <v>11891</v>
      </c>
      <c r="C778" s="761" t="s">
        <v>11858</v>
      </c>
      <c r="D778" s="761" t="s">
        <v>11859</v>
      </c>
      <c r="E778" s="761" t="s">
        <v>11860</v>
      </c>
      <c r="F778">
        <v>80</v>
      </c>
      <c r="G778">
        <v>80</v>
      </c>
    </row>
    <row r="779" spans="1:10">
      <c r="A779" s="95">
        <v>46193</v>
      </c>
      <c r="B779" s="761" t="s">
        <v>8512</v>
      </c>
      <c r="C779" s="761" t="s">
        <v>11889</v>
      </c>
      <c r="D779" s="761" t="s">
        <v>8513</v>
      </c>
      <c r="E779" s="761" t="s">
        <v>11890</v>
      </c>
      <c r="F779">
        <v>80</v>
      </c>
      <c r="G779">
        <v>80</v>
      </c>
      <c r="I779" t="s">
        <v>528</v>
      </c>
      <c r="J779" s="95">
        <v>46193</v>
      </c>
    </row>
    <row r="780" spans="1:10">
      <c r="A780" s="95">
        <v>46193</v>
      </c>
      <c r="B780" s="761" t="s">
        <v>11893</v>
      </c>
      <c r="C780" s="761" t="s">
        <v>11894</v>
      </c>
      <c r="D780" s="761" t="s">
        <v>11892</v>
      </c>
      <c r="E780" s="761" t="s">
        <v>11895</v>
      </c>
      <c r="F780">
        <v>80</v>
      </c>
      <c r="G780">
        <v>80</v>
      </c>
      <c r="I780" t="s">
        <v>528</v>
      </c>
      <c r="J780" s="95">
        <v>46194</v>
      </c>
    </row>
    <row r="781" spans="1:10">
      <c r="A781" s="95">
        <v>46196</v>
      </c>
      <c r="B781" s="761" t="s">
        <v>9583</v>
      </c>
      <c r="C781" s="761" t="s">
        <v>11896</v>
      </c>
      <c r="E781" s="761" t="s">
        <v>11897</v>
      </c>
      <c r="F781">
        <v>80</v>
      </c>
      <c r="G781">
        <v>80</v>
      </c>
    </row>
    <row r="782" spans="1:10">
      <c r="A782" s="95">
        <v>46198</v>
      </c>
      <c r="B782" s="761" t="s">
        <v>11911</v>
      </c>
      <c r="C782" s="761" t="s">
        <v>11912</v>
      </c>
      <c r="D782" s="761" t="s">
        <v>11913</v>
      </c>
      <c r="E782" s="761" t="s">
        <v>11914</v>
      </c>
      <c r="F782">
        <v>80</v>
      </c>
      <c r="G782">
        <v>80</v>
      </c>
    </row>
    <row r="783" spans="1:10">
      <c r="A783" s="95">
        <v>46198</v>
      </c>
      <c r="B783" s="761" t="s">
        <v>11917</v>
      </c>
      <c r="C783" s="761" t="s">
        <v>11918</v>
      </c>
      <c r="D783" s="761" t="s">
        <v>11916</v>
      </c>
      <c r="E783" s="761" t="s">
        <v>11915</v>
      </c>
      <c r="F783">
        <v>80</v>
      </c>
      <c r="G783">
        <v>80</v>
      </c>
    </row>
    <row r="784" spans="1:10">
      <c r="A784" s="95">
        <v>46202</v>
      </c>
      <c r="B784" s="761" t="s">
        <v>11927</v>
      </c>
      <c r="C784" s="761" t="s">
        <v>11928</v>
      </c>
      <c r="D784" s="761" t="s">
        <v>11929</v>
      </c>
      <c r="E784" s="761" t="s">
        <v>11930</v>
      </c>
      <c r="F784">
        <v>80</v>
      </c>
      <c r="G784">
        <v>80</v>
      </c>
      <c r="I784" t="s">
        <v>39</v>
      </c>
      <c r="J784" s="95">
        <v>46202</v>
      </c>
    </row>
    <row r="785" spans="1:10">
      <c r="A785" s="95">
        <v>46202</v>
      </c>
      <c r="B785" s="761" t="s">
        <v>11933</v>
      </c>
      <c r="C785" s="761" t="s">
        <v>11932</v>
      </c>
      <c r="D785" s="761" t="s">
        <v>11934</v>
      </c>
      <c r="E785" s="761" t="s">
        <v>11931</v>
      </c>
      <c r="F785">
        <v>80</v>
      </c>
      <c r="G785">
        <v>80</v>
      </c>
      <c r="I785" t="s">
        <v>39</v>
      </c>
      <c r="J785" s="95">
        <v>46202</v>
      </c>
    </row>
    <row r="786" spans="1:10">
      <c r="A786" s="95">
        <v>46203</v>
      </c>
      <c r="B786" s="761" t="s">
        <v>11935</v>
      </c>
      <c r="C786" s="761" t="s">
        <v>11936</v>
      </c>
      <c r="D786" s="761" t="s">
        <v>11937</v>
      </c>
      <c r="E786" s="761" t="s">
        <v>11938</v>
      </c>
      <c r="F786">
        <v>80</v>
      </c>
      <c r="G786">
        <v>80</v>
      </c>
      <c r="I786" t="s">
        <v>39</v>
      </c>
      <c r="J786" s="95">
        <v>46216</v>
      </c>
    </row>
    <row r="787" spans="1:10">
      <c r="A787" s="95">
        <v>46203</v>
      </c>
      <c r="B787" s="761" t="s">
        <v>11941</v>
      </c>
      <c r="C787" s="761" t="s">
        <v>11939</v>
      </c>
      <c r="D787" s="761" t="s">
        <v>1146</v>
      </c>
      <c r="E787" s="761" t="s">
        <v>11940</v>
      </c>
      <c r="F787">
        <v>80</v>
      </c>
      <c r="G787">
        <v>80</v>
      </c>
      <c r="I787" t="s">
        <v>39</v>
      </c>
      <c r="J787" s="95">
        <v>46209</v>
      </c>
    </row>
    <row r="788" spans="1:10">
      <c r="A788" s="95">
        <v>46204</v>
      </c>
      <c r="B788" s="761" t="s">
        <v>11945</v>
      </c>
      <c r="C788" s="761" t="s">
        <v>11946</v>
      </c>
      <c r="D788" s="761" t="s">
        <v>11944</v>
      </c>
      <c r="E788" s="761" t="s">
        <v>11947</v>
      </c>
      <c r="F788">
        <v>80</v>
      </c>
      <c r="G788">
        <v>80</v>
      </c>
      <c r="I788" s="1906" t="s">
        <v>39</v>
      </c>
      <c r="J788" s="95">
        <v>46205</v>
      </c>
    </row>
    <row r="789" spans="1:10">
      <c r="A789" s="95">
        <v>46220</v>
      </c>
      <c r="B789" s="2058" t="s">
        <v>9583</v>
      </c>
      <c r="C789" s="2059" t="s">
        <v>11978</v>
      </c>
      <c r="D789" s="2058" t="s">
        <v>11976</v>
      </c>
      <c r="E789" s="761" t="s">
        <v>11977</v>
      </c>
      <c r="F789">
        <v>80</v>
      </c>
      <c r="G789">
        <v>80</v>
      </c>
      <c r="I789" s="95">
        <v>46220</v>
      </c>
    </row>
    <row r="790" spans="1:10">
      <c r="A790" s="95">
        <v>46223</v>
      </c>
      <c r="B790" s="2061" t="s">
        <v>11985</v>
      </c>
      <c r="C790" s="2061" t="s">
        <v>11984</v>
      </c>
      <c r="D790" s="761" t="s">
        <v>11982</v>
      </c>
      <c r="E790" s="761" t="s">
        <v>11983</v>
      </c>
      <c r="F790">
        <v>80</v>
      </c>
      <c r="G790">
        <v>80</v>
      </c>
      <c r="I790" t="s">
        <v>191</v>
      </c>
      <c r="J790" s="95">
        <v>46226</v>
      </c>
    </row>
    <row r="791" spans="1:10">
      <c r="A791" s="95">
        <v>46223</v>
      </c>
      <c r="B791" s="2062" t="s">
        <v>11986</v>
      </c>
      <c r="C791" s="2062" t="s">
        <v>11987</v>
      </c>
      <c r="D791" s="761" t="s">
        <v>11988</v>
      </c>
      <c r="E791" s="761" t="s">
        <v>11989</v>
      </c>
      <c r="F791">
        <v>80</v>
      </c>
      <c r="G791">
        <v>80</v>
      </c>
      <c r="I791" t="s">
        <v>191</v>
      </c>
      <c r="J791" s="95">
        <v>46225</v>
      </c>
    </row>
    <row r="792" spans="1:10">
      <c r="A792" s="95">
        <v>46224</v>
      </c>
      <c r="B792" s="2063" t="s">
        <v>9583</v>
      </c>
      <c r="C792" s="2063" t="s">
        <v>11990</v>
      </c>
      <c r="D792" s="761" t="s">
        <v>11991</v>
      </c>
      <c r="E792" s="761" t="s">
        <v>11992</v>
      </c>
      <c r="F792">
        <v>80</v>
      </c>
      <c r="G792">
        <v>80</v>
      </c>
      <c r="I792" t="s">
        <v>191</v>
      </c>
      <c r="J792" s="95">
        <v>46225</v>
      </c>
    </row>
    <row r="793" spans="1:10">
      <c r="A793" s="95">
        <v>46224</v>
      </c>
      <c r="B793" s="2063" t="s">
        <v>9583</v>
      </c>
      <c r="C793" s="2063" t="s">
        <v>11995</v>
      </c>
      <c r="D793" s="761" t="s">
        <v>11993</v>
      </c>
      <c r="E793" s="761" t="s">
        <v>11994</v>
      </c>
      <c r="F793">
        <v>80</v>
      </c>
      <c r="G793">
        <v>80</v>
      </c>
      <c r="I793" t="s">
        <v>191</v>
      </c>
      <c r="J793" s="95">
        <v>46226</v>
      </c>
    </row>
    <row r="794" spans="1:10">
      <c r="A794" s="95">
        <v>46224</v>
      </c>
      <c r="B794" s="2063" t="s">
        <v>9583</v>
      </c>
      <c r="C794" s="2064" t="s">
        <v>11997</v>
      </c>
      <c r="D794" s="761" t="s">
        <v>11996</v>
      </c>
      <c r="E794" s="761" t="s">
        <v>11998</v>
      </c>
      <c r="F794">
        <v>80</v>
      </c>
      <c r="G794">
        <v>80</v>
      </c>
      <c r="I794" t="s">
        <v>191</v>
      </c>
      <c r="J794" s="95">
        <v>46225</v>
      </c>
    </row>
    <row r="795" spans="1:10">
      <c r="A795" s="95">
        <v>46230</v>
      </c>
      <c r="B795" s="2070" t="s">
        <v>9318</v>
      </c>
      <c r="C795" s="2070" t="s">
        <v>12009</v>
      </c>
      <c r="D795" s="761" t="s">
        <v>10343</v>
      </c>
      <c r="E795" s="761" t="s">
        <v>12010</v>
      </c>
      <c r="F795">
        <v>80</v>
      </c>
      <c r="G795">
        <v>80</v>
      </c>
    </row>
    <row r="796" spans="1:10">
      <c r="A796" s="95">
        <v>46237</v>
      </c>
      <c r="B796" s="761" t="s">
        <v>12028</v>
      </c>
      <c r="C796" s="2077" t="s">
        <v>12027</v>
      </c>
      <c r="D796" s="761" t="s">
        <v>12025</v>
      </c>
      <c r="E796" s="2077" t="s">
        <v>12026</v>
      </c>
      <c r="F796">
        <v>80</v>
      </c>
      <c r="G796">
        <v>80</v>
      </c>
      <c r="I796" s="2078" t="s">
        <v>39</v>
      </c>
      <c r="J796" s="95">
        <v>46237</v>
      </c>
    </row>
    <row r="797" spans="1:10">
      <c r="A797" s="95">
        <v>46238</v>
      </c>
      <c r="B797" s="2082" t="s">
        <v>12032</v>
      </c>
      <c r="C797" s="2081" t="s">
        <v>12030</v>
      </c>
      <c r="D797" s="761" t="s">
        <v>12029</v>
      </c>
      <c r="E797" s="2081" t="s">
        <v>12031</v>
      </c>
      <c r="F797">
        <v>80</v>
      </c>
      <c r="G797">
        <v>80</v>
      </c>
      <c r="I797" s="2078" t="s">
        <v>39</v>
      </c>
      <c r="J797" s="95">
        <v>46240</v>
      </c>
    </row>
    <row r="798" spans="1:10">
      <c r="A798" s="95">
        <v>46239</v>
      </c>
      <c r="B798" s="2082" t="s">
        <v>12032</v>
      </c>
      <c r="C798" s="2082" t="s">
        <v>12034</v>
      </c>
      <c r="D798" s="761" t="s">
        <v>12033</v>
      </c>
      <c r="E798" s="761" t="s">
        <v>12035</v>
      </c>
      <c r="F798">
        <v>80</v>
      </c>
      <c r="G798">
        <v>80</v>
      </c>
      <c r="I798" s="2078" t="s">
        <v>39</v>
      </c>
      <c r="J798" s="95">
        <v>46240</v>
      </c>
    </row>
    <row r="799" spans="1:10">
      <c r="A799" s="95">
        <v>46239</v>
      </c>
      <c r="B799" s="2082" t="s">
        <v>12038</v>
      </c>
      <c r="C799" s="2082" t="s">
        <v>12039</v>
      </c>
      <c r="D799" s="761" t="s">
        <v>12036</v>
      </c>
      <c r="E799" s="761" t="s">
        <v>12037</v>
      </c>
      <c r="F799">
        <v>80</v>
      </c>
      <c r="G799">
        <v>80</v>
      </c>
    </row>
    <row r="800" spans="1:10">
      <c r="A800" s="95">
        <v>46239</v>
      </c>
      <c r="B800" s="2085" t="s">
        <v>12040</v>
      </c>
      <c r="C800" s="2083" t="s">
        <v>12041</v>
      </c>
      <c r="D800" s="761" t="s">
        <v>12042</v>
      </c>
      <c r="E800" s="761" t="s">
        <v>12043</v>
      </c>
      <c r="F800">
        <v>80</v>
      </c>
      <c r="G800">
        <v>80</v>
      </c>
      <c r="I800" t="s">
        <v>191</v>
      </c>
      <c r="J800" s="95">
        <v>46242</v>
      </c>
    </row>
    <row r="801" spans="1:10">
      <c r="A801" s="95">
        <v>46240</v>
      </c>
      <c r="B801" s="2084" t="s">
        <v>12044</v>
      </c>
      <c r="C801" s="2084" t="s">
        <v>12045</v>
      </c>
      <c r="D801" s="761" t="s">
        <v>12046</v>
      </c>
      <c r="E801" s="761" t="s">
        <v>12047</v>
      </c>
      <c r="F801">
        <v>80</v>
      </c>
      <c r="G801">
        <v>80</v>
      </c>
      <c r="I801" t="s">
        <v>191</v>
      </c>
      <c r="J801" s="95">
        <v>46241</v>
      </c>
    </row>
    <row r="802" spans="1:10">
      <c r="A802" s="95">
        <v>46240</v>
      </c>
      <c r="B802" s="2084" t="s">
        <v>12049</v>
      </c>
      <c r="C802" s="2084" t="s">
        <v>12051</v>
      </c>
      <c r="D802" s="761" t="s">
        <v>12048</v>
      </c>
      <c r="E802" s="761" t="s">
        <v>12050</v>
      </c>
      <c r="F802">
        <v>80</v>
      </c>
      <c r="G802">
        <v>80</v>
      </c>
    </row>
    <row r="803" spans="1:10">
      <c r="A803" s="95">
        <v>46253</v>
      </c>
      <c r="B803" s="2098" t="s">
        <v>9583</v>
      </c>
      <c r="C803" s="2098" t="s">
        <v>12067</v>
      </c>
      <c r="D803" s="761" t="s">
        <v>12068</v>
      </c>
      <c r="E803" s="761" t="s">
        <v>12069</v>
      </c>
      <c r="F803">
        <v>80</v>
      </c>
      <c r="G803">
        <v>100</v>
      </c>
    </row>
    <row r="804" spans="1:10">
      <c r="A804" s="95">
        <v>46253</v>
      </c>
      <c r="B804" s="2098" t="s">
        <v>12070</v>
      </c>
      <c r="C804" s="2098" t="s">
        <v>12071</v>
      </c>
      <c r="E804" s="761" t="s">
        <v>12072</v>
      </c>
      <c r="F804">
        <v>80</v>
      </c>
      <c r="G804">
        <v>80</v>
      </c>
    </row>
    <row r="805" spans="1:10">
      <c r="A805" s="95">
        <v>46253</v>
      </c>
      <c r="B805" s="2098" t="s">
        <v>12070</v>
      </c>
      <c r="C805" s="2098" t="s">
        <v>12073</v>
      </c>
      <c r="E805" s="761" t="s">
        <v>12074</v>
      </c>
      <c r="F805">
        <v>30</v>
      </c>
      <c r="G805">
        <v>30</v>
      </c>
    </row>
    <row r="806" spans="1:10">
      <c r="A806" s="95">
        <v>46256</v>
      </c>
      <c r="B806" s="2099" t="s">
        <v>12076</v>
      </c>
      <c r="C806" s="2099" t="s">
        <v>12077</v>
      </c>
      <c r="D806" s="761" t="s">
        <v>12075</v>
      </c>
      <c r="E806" s="761" t="s">
        <v>12078</v>
      </c>
      <c r="F806">
        <v>80</v>
      </c>
      <c r="G806">
        <v>80</v>
      </c>
    </row>
    <row r="807" spans="1:10">
      <c r="A807" s="95">
        <v>46256</v>
      </c>
      <c r="B807" s="2099" t="s">
        <v>12076</v>
      </c>
      <c r="C807" s="2099" t="s">
        <v>12080</v>
      </c>
      <c r="D807" s="761" t="s">
        <v>12079</v>
      </c>
      <c r="E807" s="761" t="s">
        <v>12081</v>
      </c>
      <c r="F807">
        <v>80</v>
      </c>
      <c r="G807">
        <v>80</v>
      </c>
    </row>
    <row r="808" spans="1:10">
      <c r="A808" s="95">
        <v>46256</v>
      </c>
      <c r="B808" s="2099" t="s">
        <v>12083</v>
      </c>
      <c r="C808" s="2099" t="s">
        <v>12084</v>
      </c>
      <c r="D808" s="761" t="s">
        <v>12082</v>
      </c>
      <c r="E808" s="761" t="s">
        <v>12085</v>
      </c>
      <c r="F808">
        <v>80</v>
      </c>
      <c r="G808">
        <v>80</v>
      </c>
    </row>
    <row r="809" spans="1:10">
      <c r="A809" s="95">
        <v>46256</v>
      </c>
      <c r="B809" s="2099"/>
      <c r="C809" s="2099" t="s">
        <v>12086</v>
      </c>
      <c r="D809" s="761" t="s">
        <v>12082</v>
      </c>
      <c r="E809" s="761" t="s">
        <v>12087</v>
      </c>
      <c r="F809">
        <v>80</v>
      </c>
      <c r="G809">
        <v>80</v>
      </c>
    </row>
    <row r="810" spans="1:10">
      <c r="A810" s="95">
        <v>46269</v>
      </c>
      <c r="B810" s="2110" t="s">
        <v>12109</v>
      </c>
      <c r="C810" s="2110" t="s">
        <v>12110</v>
      </c>
      <c r="D810" s="761" t="s">
        <v>12108</v>
      </c>
      <c r="E810" s="761" t="s">
        <v>12111</v>
      </c>
      <c r="F810">
        <v>80</v>
      </c>
      <c r="G810">
        <v>80</v>
      </c>
      <c r="I810" t="s">
        <v>39</v>
      </c>
      <c r="J810" s="95">
        <v>46271</v>
      </c>
    </row>
    <row r="811" spans="1:10">
      <c r="A811" s="95">
        <v>46269</v>
      </c>
      <c r="B811" s="2110" t="s">
        <v>12109</v>
      </c>
      <c r="C811" s="2110" t="s">
        <v>12112</v>
      </c>
      <c r="D811" s="761" t="s">
        <v>12108</v>
      </c>
      <c r="E811" s="761" t="s">
        <v>12113</v>
      </c>
      <c r="F811">
        <v>80</v>
      </c>
      <c r="G811">
        <v>80</v>
      </c>
      <c r="I811" t="s">
        <v>39</v>
      </c>
      <c r="J811" s="95">
        <v>46271</v>
      </c>
    </row>
    <row r="812" spans="1:10">
      <c r="A812" s="95">
        <v>46269</v>
      </c>
      <c r="B812" s="2110" t="s">
        <v>12109</v>
      </c>
      <c r="C812" s="2110" t="s">
        <v>12116</v>
      </c>
      <c r="D812" s="761" t="s">
        <v>12114</v>
      </c>
      <c r="E812" s="761" t="s">
        <v>12115</v>
      </c>
      <c r="F812">
        <v>80</v>
      </c>
      <c r="G812">
        <v>80</v>
      </c>
      <c r="I812" t="s">
        <v>39</v>
      </c>
      <c r="J812" s="95">
        <v>46271</v>
      </c>
    </row>
    <row r="813" spans="1:10">
      <c r="A813" s="95">
        <v>46269</v>
      </c>
      <c r="B813" s="2110" t="s">
        <v>12109</v>
      </c>
      <c r="C813" s="2110" t="s">
        <v>12117</v>
      </c>
      <c r="D813" s="761" t="s">
        <v>12108</v>
      </c>
      <c r="E813" s="761" t="s">
        <v>12118</v>
      </c>
      <c r="F813">
        <v>80</v>
      </c>
      <c r="G813">
        <v>80</v>
      </c>
      <c r="I813" t="s">
        <v>39</v>
      </c>
      <c r="J813" s="95">
        <v>46271</v>
      </c>
    </row>
    <row r="814" spans="1:10">
      <c r="A814" s="95">
        <v>46276</v>
      </c>
      <c r="B814" s="2120" t="s">
        <v>9583</v>
      </c>
      <c r="C814" s="2120" t="s">
        <v>12138</v>
      </c>
      <c r="D814" s="761" t="s">
        <v>12136</v>
      </c>
      <c r="E814" s="761" t="s">
        <v>12137</v>
      </c>
      <c r="F814">
        <v>80</v>
      </c>
      <c r="G814">
        <v>80</v>
      </c>
    </row>
    <row r="815" spans="1:10">
      <c r="A815" s="95">
        <v>46281</v>
      </c>
      <c r="B815" s="2129" t="s">
        <v>12149</v>
      </c>
      <c r="C815" s="2129" t="s">
        <v>12150</v>
      </c>
      <c r="D815" s="761" t="s">
        <v>12148</v>
      </c>
      <c r="E815" s="761" t="s">
        <v>12151</v>
      </c>
      <c r="F815">
        <v>80</v>
      </c>
      <c r="G815">
        <v>80</v>
      </c>
    </row>
    <row r="816" spans="1:10">
      <c r="A816" s="95">
        <v>46283</v>
      </c>
      <c r="B816" s="2130" t="s">
        <v>12153</v>
      </c>
      <c r="C816" s="2130" t="s">
        <v>12154</v>
      </c>
      <c r="D816" s="761" t="s">
        <v>12152</v>
      </c>
      <c r="E816" s="761" t="s">
        <v>12155</v>
      </c>
      <c r="F816">
        <v>80</v>
      </c>
      <c r="G816">
        <v>80</v>
      </c>
    </row>
    <row r="817" spans="1:12">
      <c r="A817" s="95">
        <v>46284</v>
      </c>
      <c r="B817" s="2135" t="s">
        <v>12157</v>
      </c>
      <c r="C817" s="2135" t="s">
        <v>12158</v>
      </c>
      <c r="D817" s="2135" t="s">
        <v>12160</v>
      </c>
      <c r="E817" s="2135" t="s">
        <v>12159</v>
      </c>
      <c r="F817">
        <v>80</v>
      </c>
      <c r="G817">
        <v>80</v>
      </c>
      <c r="I817" s="2148" t="s">
        <v>39</v>
      </c>
      <c r="J817" s="95">
        <v>46288</v>
      </c>
      <c r="L817">
        <f>3700+2700</f>
        <v>6400</v>
      </c>
    </row>
    <row r="818" spans="1:12">
      <c r="A818" s="95">
        <v>46285</v>
      </c>
      <c r="B818" s="2138" t="s">
        <v>12167</v>
      </c>
      <c r="C818" s="2138" t="s">
        <v>12168</v>
      </c>
      <c r="D818" s="2138" t="s">
        <v>12170</v>
      </c>
      <c r="E818" s="2138" t="s">
        <v>12169</v>
      </c>
      <c r="F818">
        <v>100</v>
      </c>
      <c r="G818">
        <v>50</v>
      </c>
    </row>
    <row r="819" spans="1:12">
      <c r="A819" s="95">
        <v>46287</v>
      </c>
      <c r="B819" s="2140" t="s">
        <v>12175</v>
      </c>
      <c r="C819" s="2140" t="s">
        <v>12176</v>
      </c>
      <c r="D819" s="2140" t="s">
        <v>12177</v>
      </c>
      <c r="E819" s="2140" t="s">
        <v>12178</v>
      </c>
      <c r="F819">
        <v>80</v>
      </c>
      <c r="G819">
        <v>80</v>
      </c>
      <c r="I819" s="2148" t="s">
        <v>39</v>
      </c>
      <c r="J819" s="2148" t="s">
        <v>12203</v>
      </c>
    </row>
    <row r="820" spans="1:12">
      <c r="A820" s="95">
        <v>46287</v>
      </c>
      <c r="B820" s="2142" t="s">
        <v>12182</v>
      </c>
      <c r="C820" s="2142" t="s">
        <v>12184</v>
      </c>
      <c r="D820" s="2135" t="s">
        <v>12181</v>
      </c>
      <c r="E820" s="2142" t="s">
        <v>12183</v>
      </c>
      <c r="F820">
        <v>80</v>
      </c>
      <c r="G820">
        <v>80</v>
      </c>
      <c r="I820" s="2144" t="s">
        <v>8951</v>
      </c>
      <c r="J820" s="95">
        <v>46288</v>
      </c>
    </row>
    <row r="821" spans="1:12">
      <c r="A821" s="95">
        <v>46287</v>
      </c>
      <c r="B821" s="2142" t="s">
        <v>12182</v>
      </c>
      <c r="C821" s="2142" t="s">
        <v>12187</v>
      </c>
      <c r="D821" s="2135" t="s">
        <v>12185</v>
      </c>
      <c r="E821" s="2142" t="s">
        <v>12186</v>
      </c>
      <c r="F821">
        <v>80</v>
      </c>
      <c r="G821">
        <v>80</v>
      </c>
      <c r="I821" s="2144" t="s">
        <v>8951</v>
      </c>
      <c r="J821" s="95">
        <v>46289</v>
      </c>
    </row>
    <row r="822" spans="1:12">
      <c r="A822" s="95">
        <v>46287</v>
      </c>
      <c r="B822" s="2142" t="s">
        <v>12182</v>
      </c>
      <c r="C822" s="2142" t="s">
        <v>12190</v>
      </c>
      <c r="D822" s="2135" t="s">
        <v>12188</v>
      </c>
      <c r="E822" s="2142" t="s">
        <v>12189</v>
      </c>
      <c r="F822">
        <v>80</v>
      </c>
      <c r="G822">
        <v>80</v>
      </c>
      <c r="I822" s="2144" t="s">
        <v>8951</v>
      </c>
      <c r="J822" s="95">
        <v>46290</v>
      </c>
    </row>
    <row r="823" spans="1:12">
      <c r="A823" s="95">
        <v>46287</v>
      </c>
      <c r="B823" s="2142" t="s">
        <v>12182</v>
      </c>
      <c r="C823" s="2142" t="s">
        <v>12191</v>
      </c>
      <c r="D823" s="2135" t="s">
        <v>12185</v>
      </c>
      <c r="E823" s="2142" t="s">
        <v>12192</v>
      </c>
      <c r="F823">
        <v>80</v>
      </c>
      <c r="G823">
        <v>80</v>
      </c>
      <c r="I823" s="2144" t="s">
        <v>8951</v>
      </c>
      <c r="J823" s="95">
        <v>46291</v>
      </c>
    </row>
    <row r="824" spans="1:12">
      <c r="A824" s="95">
        <v>46288</v>
      </c>
      <c r="B824" s="2145" t="s">
        <v>9583</v>
      </c>
      <c r="C824" s="2145" t="s">
        <v>12198</v>
      </c>
      <c r="D824" s="2145" t="s">
        <v>12194</v>
      </c>
      <c r="E824" s="2145" t="s">
        <v>12193</v>
      </c>
      <c r="F824">
        <v>80</v>
      </c>
      <c r="G824">
        <v>80</v>
      </c>
      <c r="I824" s="2144" t="s">
        <v>39</v>
      </c>
      <c r="J824" s="95">
        <v>46288</v>
      </c>
    </row>
    <row r="825" spans="1:12">
      <c r="A825" s="95">
        <v>46288</v>
      </c>
      <c r="B825" s="2135" t="s">
        <v>12157</v>
      </c>
      <c r="C825" s="2145" t="s">
        <v>12196</v>
      </c>
      <c r="D825" s="2145" t="s">
        <v>12197</v>
      </c>
      <c r="E825" s="2145" t="s">
        <v>12195</v>
      </c>
      <c r="F825">
        <v>80</v>
      </c>
      <c r="G825">
        <v>80</v>
      </c>
      <c r="I825" s="2144" t="s">
        <v>39</v>
      </c>
      <c r="J825" s="95">
        <v>46292</v>
      </c>
    </row>
    <row r="826" spans="1:12">
      <c r="A826" s="95">
        <v>46289</v>
      </c>
      <c r="B826" s="2135" t="s">
        <v>3998</v>
      </c>
      <c r="C826" s="2146" t="s">
        <v>12199</v>
      </c>
      <c r="D826" s="2146" t="s">
        <v>3998</v>
      </c>
      <c r="E826" s="2146" t="s">
        <v>12200</v>
      </c>
      <c r="F826">
        <v>80</v>
      </c>
      <c r="G826">
        <v>80</v>
      </c>
      <c r="I826" s="2148" t="s">
        <v>39</v>
      </c>
      <c r="J826" s="95">
        <v>46290</v>
      </c>
    </row>
    <row r="827" spans="1:12">
      <c r="A827" s="95">
        <v>46293</v>
      </c>
      <c r="B827" s="2152" t="s">
        <v>9583</v>
      </c>
      <c r="C827" s="2152" t="s">
        <v>12209</v>
      </c>
      <c r="D827" s="2152" t="s">
        <v>12207</v>
      </c>
      <c r="E827" s="2152" t="s">
        <v>12208</v>
      </c>
      <c r="F827">
        <v>80</v>
      </c>
      <c r="G827">
        <v>80</v>
      </c>
      <c r="I827" s="2148" t="s">
        <v>39</v>
      </c>
      <c r="J827" s="95">
        <v>46293</v>
      </c>
    </row>
    <row r="828" spans="1:12">
      <c r="A828" s="95">
        <v>46294</v>
      </c>
      <c r="B828" s="2152" t="s">
        <v>9583</v>
      </c>
      <c r="C828" s="2155" t="s">
        <v>12219</v>
      </c>
      <c r="D828" s="2155" t="s">
        <v>12221</v>
      </c>
      <c r="E828" s="2155" t="s">
        <v>12220</v>
      </c>
      <c r="F828">
        <v>80</v>
      </c>
      <c r="G828">
        <v>80</v>
      </c>
      <c r="I828" s="2148" t="s">
        <v>39</v>
      </c>
      <c r="J828" s="95">
        <v>46294</v>
      </c>
    </row>
    <row r="829" spans="1:12">
      <c r="A829" s="95"/>
      <c r="B829" s="2135"/>
      <c r="C829" s="2135"/>
      <c r="D829" s="2135"/>
      <c r="E829" s="2135"/>
    </row>
    <row r="833" spans="1:13">
      <c r="A833" s="95">
        <v>45995</v>
      </c>
      <c r="B833" t="s">
        <v>11310</v>
      </c>
      <c r="D833" s="761" t="s">
        <v>11311</v>
      </c>
      <c r="E833" t="s">
        <v>11312</v>
      </c>
      <c r="F833">
        <v>100</v>
      </c>
      <c r="G833">
        <v>100</v>
      </c>
      <c r="I833" t="s">
        <v>191</v>
      </c>
      <c r="J833" s="95">
        <v>46040</v>
      </c>
    </row>
    <row r="834" spans="1:13">
      <c r="B834" t="s">
        <v>11321</v>
      </c>
      <c r="D834" s="761" t="s">
        <v>11323</v>
      </c>
      <c r="E834" t="s">
        <v>11322</v>
      </c>
      <c r="F834">
        <v>100</v>
      </c>
      <c r="G834">
        <v>100</v>
      </c>
      <c r="I834" t="s">
        <v>191</v>
      </c>
      <c r="J834" s="95">
        <v>45997</v>
      </c>
    </row>
    <row r="835" spans="1:13">
      <c r="A835" s="95">
        <v>45999</v>
      </c>
      <c r="B835" t="s">
        <v>11324</v>
      </c>
      <c r="D835" s="761" t="s">
        <v>11325</v>
      </c>
      <c r="E835" t="s">
        <v>11326</v>
      </c>
      <c r="F835">
        <v>100</v>
      </c>
      <c r="G835">
        <v>100</v>
      </c>
      <c r="I835" t="s">
        <v>7572</v>
      </c>
    </row>
    <row r="836" spans="1:13">
      <c r="B836" t="s">
        <v>11357</v>
      </c>
      <c r="D836" s="761" t="s">
        <v>11358</v>
      </c>
      <c r="E836" t="s">
        <v>11359</v>
      </c>
      <c r="F836">
        <v>100</v>
      </c>
      <c r="G836">
        <v>100</v>
      </c>
      <c r="I836" t="s">
        <v>191</v>
      </c>
      <c r="J836" s="95">
        <v>46008</v>
      </c>
    </row>
    <row r="837" spans="1:13">
      <c r="A837" s="95">
        <v>46003</v>
      </c>
      <c r="B837" t="s">
        <v>11360</v>
      </c>
      <c r="D837" s="761" t="s">
        <v>11362</v>
      </c>
      <c r="E837" t="s">
        <v>11361</v>
      </c>
      <c r="F837">
        <v>100</v>
      </c>
      <c r="G837">
        <v>100</v>
      </c>
      <c r="I837" t="s">
        <v>191</v>
      </c>
      <c r="J837" s="95">
        <v>46008</v>
      </c>
    </row>
    <row r="838" spans="1:13">
      <c r="A838" s="95">
        <v>46003</v>
      </c>
      <c r="B838" t="s">
        <v>11363</v>
      </c>
      <c r="D838" s="761" t="s">
        <v>11364</v>
      </c>
      <c r="E838" t="s">
        <v>11365</v>
      </c>
      <c r="F838">
        <v>100</v>
      </c>
      <c r="G838">
        <v>100</v>
      </c>
      <c r="I838" t="s">
        <v>11474</v>
      </c>
    </row>
    <row r="839" spans="1:13">
      <c r="A839" s="95">
        <v>46003</v>
      </c>
      <c r="B839" t="s">
        <v>11366</v>
      </c>
      <c r="D839" s="761" t="s">
        <v>11368</v>
      </c>
      <c r="E839" t="s">
        <v>11367</v>
      </c>
      <c r="F839">
        <v>100</v>
      </c>
      <c r="G839">
        <v>100</v>
      </c>
      <c r="I839" t="s">
        <v>11474</v>
      </c>
      <c r="M839">
        <f>16641.46/1.18</f>
        <v>14102.93220338983</v>
      </c>
    </row>
    <row r="840" spans="1:13">
      <c r="A840" s="95">
        <v>46003</v>
      </c>
      <c r="B840" s="1668" t="s">
        <v>11369</v>
      </c>
      <c r="D840" s="1669" t="s">
        <v>11370</v>
      </c>
      <c r="E840" s="1668" t="s">
        <v>11371</v>
      </c>
      <c r="F840">
        <v>100</v>
      </c>
      <c r="G840">
        <v>100</v>
      </c>
      <c r="I840" t="s">
        <v>11474</v>
      </c>
    </row>
    <row r="841" spans="1:13">
      <c r="B841" t="s">
        <v>11381</v>
      </c>
      <c r="E841" s="1674" t="s">
        <v>11385</v>
      </c>
      <c r="F841">
        <v>100</v>
      </c>
      <c r="G841">
        <v>100</v>
      </c>
      <c r="M841">
        <f>M839*0.32</f>
        <v>4512.9383050847455</v>
      </c>
    </row>
    <row r="842" spans="1:13">
      <c r="A842" s="95">
        <v>46008</v>
      </c>
      <c r="B842" t="s">
        <v>11395</v>
      </c>
      <c r="D842" s="761" t="s">
        <v>11396</v>
      </c>
      <c r="E842" s="1678" t="s">
        <v>11397</v>
      </c>
      <c r="F842">
        <v>100</v>
      </c>
      <c r="G842">
        <v>100</v>
      </c>
      <c r="I842" t="s">
        <v>191</v>
      </c>
      <c r="J842" s="95">
        <v>46039</v>
      </c>
    </row>
    <row r="843" spans="1:13">
      <c r="A843" s="95">
        <v>46008</v>
      </c>
      <c r="B843" t="s">
        <v>11398</v>
      </c>
      <c r="D843" s="761" t="s">
        <v>11396</v>
      </c>
      <c r="E843" s="1678" t="s">
        <v>11399</v>
      </c>
      <c r="F843">
        <v>100</v>
      </c>
      <c r="G843">
        <v>100</v>
      </c>
      <c r="I843" t="s">
        <v>191</v>
      </c>
      <c r="J843" s="95">
        <v>46039</v>
      </c>
      <c r="M843">
        <f>16641.46-14000</f>
        <v>2641.4599999999991</v>
      </c>
    </row>
    <row r="844" spans="1:13">
      <c r="A844" s="95">
        <v>46008</v>
      </c>
      <c r="B844" t="s">
        <v>11400</v>
      </c>
      <c r="D844" s="761" t="s">
        <v>11401</v>
      </c>
      <c r="E844" s="1678" t="s">
        <v>9700</v>
      </c>
      <c r="F844">
        <v>100</v>
      </c>
      <c r="G844">
        <v>100</v>
      </c>
      <c r="I844" t="s">
        <v>191</v>
      </c>
      <c r="J844" s="95">
        <v>46039</v>
      </c>
      <c r="M844">
        <f>M841-M843</f>
        <v>1871.4783050847464</v>
      </c>
    </row>
    <row r="845" spans="1:13">
      <c r="A845" s="95">
        <v>46008</v>
      </c>
      <c r="B845" t="s">
        <v>11402</v>
      </c>
      <c r="D845" s="761" t="s">
        <v>11403</v>
      </c>
      <c r="E845" s="1678" t="s">
        <v>8945</v>
      </c>
      <c r="F845">
        <v>100</v>
      </c>
      <c r="G845">
        <v>100</v>
      </c>
      <c r="I845" t="s">
        <v>191</v>
      </c>
      <c r="J845" s="95">
        <v>46039</v>
      </c>
    </row>
    <row r="846" spans="1:13">
      <c r="A846" s="95">
        <v>46008</v>
      </c>
      <c r="B846" t="s">
        <v>11404</v>
      </c>
      <c r="D846" s="761" t="s">
        <v>11406</v>
      </c>
      <c r="E846" s="1678" t="s">
        <v>11405</v>
      </c>
      <c r="F846">
        <v>100</v>
      </c>
      <c r="G846">
        <v>100</v>
      </c>
      <c r="I846" t="s">
        <v>191</v>
      </c>
      <c r="J846" s="95">
        <v>46039</v>
      </c>
    </row>
    <row r="847" spans="1:13">
      <c r="A847" s="95">
        <v>46008</v>
      </c>
      <c r="B847" t="s">
        <v>11407</v>
      </c>
      <c r="D847" s="761" t="s">
        <v>11408</v>
      </c>
      <c r="E847" s="1679" t="s">
        <v>11409</v>
      </c>
      <c r="F847">
        <v>100</v>
      </c>
      <c r="G847">
        <v>100</v>
      </c>
      <c r="I847" t="s">
        <v>178</v>
      </c>
    </row>
    <row r="848" spans="1:13">
      <c r="A848" s="95">
        <v>45662</v>
      </c>
      <c r="B848" t="s">
        <v>11506</v>
      </c>
      <c r="D848" s="761" t="s">
        <v>1238</v>
      </c>
      <c r="E848" s="1695" t="s">
        <v>11473</v>
      </c>
      <c r="F848">
        <v>100</v>
      </c>
    </row>
    <row r="849" spans="5:5">
      <c r="E849" s="1800"/>
    </row>
  </sheetData>
  <conditionalFormatting sqref="J416">
    <cfRule type="timePeriod" dxfId="83" priority="1" timePeriod="lastWeek">
      <formula>AND(TODAY()-ROUNDDOWN(J416,0)&gt;=(WEEKDAY(TODAY())),TODAY()-ROUNDDOWN(J416,0)&lt;(WEEKDAY(TODAY())+7))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C513-7511-4A40-BE33-EBBE71506922}">
  <dimension ref="A1:D10"/>
  <sheetViews>
    <sheetView zoomScale="145" zoomScaleNormal="145" workbookViewId="0">
      <selection activeCell="B8" sqref="B8"/>
    </sheetView>
  </sheetViews>
  <sheetFormatPr defaultRowHeight="14.4"/>
  <cols>
    <col min="1" max="1" width="14.6640625" style="294" customWidth="1"/>
    <col min="2" max="2" width="24.33203125" style="294" customWidth="1"/>
    <col min="3" max="3" width="12.109375" customWidth="1"/>
    <col min="4" max="4" width="22.109375" customWidth="1"/>
  </cols>
  <sheetData>
    <row r="1" spans="1:4">
      <c r="A1" s="1220"/>
      <c r="B1" s="1220"/>
      <c r="C1" s="1221"/>
      <c r="D1" s="1221"/>
    </row>
    <row r="3" spans="1:4">
      <c r="C3" s="95"/>
      <c r="D3" s="95"/>
    </row>
    <row r="4" spans="1:4">
      <c r="A4" s="294">
        <v>9709061447</v>
      </c>
      <c r="B4" s="2086" t="s">
        <v>12052</v>
      </c>
      <c r="C4" s="95">
        <v>46242</v>
      </c>
      <c r="D4" s="2087" t="s">
        <v>12053</v>
      </c>
    </row>
    <row r="9" spans="1:4">
      <c r="B9" s="1222"/>
    </row>
    <row r="10" spans="1:4">
      <c r="B10" s="1222"/>
      <c r="C10" s="1223"/>
    </row>
  </sheetData>
  <hyperlinks>
    <hyperlink ref="B4" r:id="rId1" xr:uid="{AF4AE68F-44A7-40BB-AD96-293F2DF0E0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1"/>
  <sheetViews>
    <sheetView zoomScale="130" zoomScaleNormal="130" workbookViewId="0">
      <pane ySplit="1" topLeftCell="A495" activePane="bottomLeft" state="frozen"/>
      <selection pane="bottomLeft" activeCell="G511" sqref="G511"/>
    </sheetView>
  </sheetViews>
  <sheetFormatPr defaultColWidth="14.44140625" defaultRowHeight="15" customHeight="1"/>
  <cols>
    <col min="1" max="1" width="9.109375" customWidth="1"/>
    <col min="2" max="2" width="6.44140625" customWidth="1"/>
    <col min="3" max="3" width="11.44140625" customWidth="1"/>
    <col min="4" max="4" width="15.5546875" style="101" customWidth="1"/>
    <col min="5" max="5" width="24" style="294" customWidth="1"/>
    <col min="6" max="6" width="12.109375" customWidth="1"/>
    <col min="7" max="7" width="19.88671875" customWidth="1"/>
    <col min="8" max="8" width="20.5546875" style="101" customWidth="1"/>
    <col min="9" max="9" width="10.44140625" customWidth="1"/>
    <col min="10" max="10" width="11.44140625" customWidth="1"/>
    <col min="11" max="26" width="9.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71" t="s">
        <v>3</v>
      </c>
      <c r="F1" s="1" t="s">
        <v>4</v>
      </c>
      <c r="G1" s="2"/>
      <c r="H1" s="1" t="s">
        <v>5</v>
      </c>
      <c r="I1" s="2" t="s">
        <v>6</v>
      </c>
      <c r="J1" s="3">
        <f>MAX(B2:B1090,[1]income!B2:B1050,[1]local!B2:B1152,[1]birth!B2:B1004,[1]death!B2:B999,[1]EWC!B2:B1000)</f>
        <v>965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/>
      <c r="B2" s="1"/>
      <c r="C2" s="1"/>
      <c r="D2" s="1"/>
      <c r="E2" s="290" t="s">
        <v>7</v>
      </c>
      <c r="F2" s="5" t="s">
        <v>8</v>
      </c>
      <c r="G2" s="6" t="s">
        <v>9</v>
      </c>
      <c r="H2" s="217"/>
      <c r="I2" s="7">
        <v>43076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"/>
      <c r="B3" s="1"/>
      <c r="C3" s="1"/>
      <c r="D3" s="1"/>
      <c r="E3" s="290" t="s">
        <v>10</v>
      </c>
      <c r="F3" s="5" t="s">
        <v>11</v>
      </c>
      <c r="G3" s="4" t="s">
        <v>12</v>
      </c>
      <c r="H3" s="5"/>
      <c r="I3" s="7">
        <v>42743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"/>
      <c r="B4" s="1"/>
      <c r="C4" s="1"/>
      <c r="D4" s="1"/>
      <c r="E4" s="290" t="s">
        <v>13</v>
      </c>
      <c r="F4" s="5" t="s">
        <v>14</v>
      </c>
      <c r="G4" s="4" t="s">
        <v>15</v>
      </c>
      <c r="H4" s="5"/>
      <c r="I4" s="7">
        <v>42774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"/>
      <c r="B5" s="1"/>
      <c r="C5" s="1"/>
      <c r="D5" s="1"/>
      <c r="E5" s="71" t="s">
        <v>7</v>
      </c>
      <c r="F5" s="1" t="s">
        <v>16</v>
      </c>
      <c r="G5" s="2" t="s">
        <v>17</v>
      </c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"/>
      <c r="B6" s="1"/>
      <c r="C6" s="1"/>
      <c r="D6" s="1"/>
      <c r="E6" s="290" t="s">
        <v>18</v>
      </c>
      <c r="F6" s="5" t="s">
        <v>19</v>
      </c>
      <c r="G6" s="4"/>
      <c r="H6" s="5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"/>
      <c r="B7" s="1"/>
      <c r="C7" s="8"/>
      <c r="D7" s="1"/>
      <c r="E7" s="290" t="s">
        <v>20</v>
      </c>
      <c r="F7" s="5" t="s">
        <v>21</v>
      </c>
      <c r="G7" s="4" t="s">
        <v>22</v>
      </c>
      <c r="H7" s="5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"/>
      <c r="B8" s="1"/>
      <c r="C8" s="8"/>
      <c r="D8" s="1"/>
      <c r="E8" s="290" t="s">
        <v>23</v>
      </c>
      <c r="F8" s="5" t="s">
        <v>24</v>
      </c>
      <c r="G8" s="4" t="s">
        <v>25</v>
      </c>
      <c r="H8" s="5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"/>
      <c r="B9" s="1">
        <v>32</v>
      </c>
      <c r="C9" s="8"/>
      <c r="D9" s="1"/>
      <c r="E9" s="290" t="s">
        <v>26</v>
      </c>
      <c r="F9" s="5" t="s">
        <v>27</v>
      </c>
      <c r="G9" s="4" t="s">
        <v>28</v>
      </c>
      <c r="H9" s="5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"/>
      <c r="B10" s="1">
        <v>64</v>
      </c>
      <c r="C10" s="8">
        <v>43013</v>
      </c>
      <c r="D10" s="9"/>
      <c r="E10" s="71" t="s">
        <v>29</v>
      </c>
      <c r="F10" s="1" t="s">
        <v>30</v>
      </c>
      <c r="G10" s="2" t="s">
        <v>31</v>
      </c>
      <c r="H10" s="1"/>
      <c r="I10" s="2" t="s">
        <v>32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"/>
      <c r="B11" s="1">
        <v>65</v>
      </c>
      <c r="C11" s="8"/>
      <c r="D11" s="9"/>
      <c r="E11" s="71" t="s">
        <v>33</v>
      </c>
      <c r="F11" s="1" t="s">
        <v>34</v>
      </c>
      <c r="G11" s="2" t="s">
        <v>35</v>
      </c>
      <c r="H11" s="1"/>
      <c r="I11" s="2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"/>
      <c r="B12" s="1">
        <v>66</v>
      </c>
      <c r="C12" s="8">
        <v>43005</v>
      </c>
      <c r="D12" s="9"/>
      <c r="E12" s="71" t="s">
        <v>23</v>
      </c>
      <c r="F12" s="1" t="s">
        <v>37</v>
      </c>
      <c r="G12" s="2" t="s">
        <v>38</v>
      </c>
      <c r="H12" s="1"/>
      <c r="I12" s="2" t="s">
        <v>39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"/>
      <c r="B13" s="1">
        <v>67</v>
      </c>
      <c r="C13" s="8">
        <v>43005</v>
      </c>
      <c r="D13" s="9"/>
      <c r="E13" s="71" t="s">
        <v>26</v>
      </c>
      <c r="F13" s="1" t="s">
        <v>40</v>
      </c>
      <c r="G13" s="10" t="s">
        <v>41</v>
      </c>
      <c r="H13" s="21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"/>
      <c r="B14" s="1">
        <v>68</v>
      </c>
      <c r="C14" s="8">
        <v>43005</v>
      </c>
      <c r="D14" s="9"/>
      <c r="E14" s="71" t="s">
        <v>20</v>
      </c>
      <c r="F14" s="1" t="s">
        <v>42</v>
      </c>
      <c r="G14" s="10" t="s">
        <v>43</v>
      </c>
      <c r="H14" s="218"/>
      <c r="I14" s="2" t="s">
        <v>39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"/>
      <c r="B15" s="1">
        <v>71</v>
      </c>
      <c r="C15" s="8">
        <v>43016</v>
      </c>
      <c r="D15" s="9"/>
      <c r="E15" s="71" t="s">
        <v>44</v>
      </c>
      <c r="F15" s="1" t="s">
        <v>45</v>
      </c>
      <c r="G15" s="10" t="s">
        <v>46</v>
      </c>
      <c r="H15" s="218"/>
      <c r="I15" s="2" t="s">
        <v>32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"/>
      <c r="B16" s="1">
        <v>76</v>
      </c>
      <c r="C16" s="8">
        <v>43039</v>
      </c>
      <c r="D16" s="9"/>
      <c r="E16" s="71" t="s">
        <v>47</v>
      </c>
      <c r="F16" s="1" t="s">
        <v>48</v>
      </c>
      <c r="G16" s="10" t="s">
        <v>49</v>
      </c>
      <c r="H16" s="218"/>
      <c r="I16" s="2" t="s">
        <v>36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"/>
      <c r="B17" s="1">
        <v>88</v>
      </c>
      <c r="C17" s="8">
        <v>43066</v>
      </c>
      <c r="D17" s="9"/>
      <c r="E17" s="71" t="s">
        <v>50</v>
      </c>
      <c r="F17" s="1" t="s">
        <v>51</v>
      </c>
      <c r="G17" s="10" t="s">
        <v>52</v>
      </c>
      <c r="H17" s="218"/>
      <c r="I17" s="2" t="s">
        <v>39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"/>
      <c r="B18" s="1">
        <v>104</v>
      </c>
      <c r="C18" s="8">
        <v>42739</v>
      </c>
      <c r="D18" s="9"/>
      <c r="E18" s="71" t="s">
        <v>29</v>
      </c>
      <c r="F18" s="1" t="s">
        <v>53</v>
      </c>
      <c r="G18" s="10" t="s">
        <v>54</v>
      </c>
      <c r="H18" s="218"/>
      <c r="I18" s="2" t="s">
        <v>39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"/>
      <c r="B19" s="1">
        <v>107</v>
      </c>
      <c r="C19" s="8">
        <v>43115</v>
      </c>
      <c r="D19" s="9"/>
      <c r="E19" s="71" t="s">
        <v>50</v>
      </c>
      <c r="F19" s="1" t="s">
        <v>55</v>
      </c>
      <c r="G19" s="2" t="s">
        <v>56</v>
      </c>
      <c r="H19" s="1"/>
      <c r="I19" s="2" t="s">
        <v>39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"/>
      <c r="B20" s="1">
        <v>109</v>
      </c>
      <c r="C20" s="8">
        <v>43118</v>
      </c>
      <c r="D20" s="9"/>
      <c r="E20" s="71" t="s">
        <v>57</v>
      </c>
      <c r="F20" s="1" t="s">
        <v>58</v>
      </c>
      <c r="G20" s="2" t="s">
        <v>59</v>
      </c>
      <c r="H20" s="1"/>
      <c r="I20" s="2" t="s">
        <v>60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"/>
      <c r="B21" s="1">
        <v>108</v>
      </c>
      <c r="C21" s="8">
        <v>43118</v>
      </c>
      <c r="D21" s="1">
        <v>7209353441</v>
      </c>
      <c r="E21" s="71" t="s">
        <v>61</v>
      </c>
      <c r="F21" s="1" t="s">
        <v>62</v>
      </c>
      <c r="G21" s="2" t="s">
        <v>63</v>
      </c>
      <c r="H21" s="1"/>
      <c r="I21" s="2" t="s">
        <v>60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"/>
      <c r="B22" s="1">
        <v>116</v>
      </c>
      <c r="C22" s="8">
        <v>43126</v>
      </c>
      <c r="D22" s="1">
        <v>9431525611</v>
      </c>
      <c r="E22" s="71" t="s">
        <v>64</v>
      </c>
      <c r="F22" s="1" t="s">
        <v>65</v>
      </c>
      <c r="G22" s="2" t="s">
        <v>66</v>
      </c>
      <c r="H22" s="1"/>
      <c r="I22" s="2" t="s">
        <v>60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"/>
      <c r="B23" s="1">
        <v>117</v>
      </c>
      <c r="C23" s="8">
        <v>43127</v>
      </c>
      <c r="D23" s="1"/>
      <c r="E23" s="71" t="s">
        <v>67</v>
      </c>
      <c r="F23" s="1" t="s">
        <v>68</v>
      </c>
      <c r="G23" s="2" t="s">
        <v>69</v>
      </c>
      <c r="H23" s="1"/>
      <c r="I23" s="2" t="s">
        <v>39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1"/>
      <c r="B24" s="1">
        <v>143</v>
      </c>
      <c r="C24" s="8">
        <v>43149</v>
      </c>
      <c r="D24" s="1"/>
      <c r="E24" s="71" t="s">
        <v>70</v>
      </c>
      <c r="F24" s="1" t="s">
        <v>71</v>
      </c>
      <c r="G24" s="2" t="s">
        <v>72</v>
      </c>
      <c r="H24" s="1"/>
      <c r="I24" s="2" t="s">
        <v>73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"/>
      <c r="B25" s="1">
        <v>153</v>
      </c>
      <c r="C25" s="8">
        <v>43169</v>
      </c>
      <c r="D25" s="1"/>
      <c r="E25" s="71" t="s">
        <v>74</v>
      </c>
      <c r="F25" s="1" t="s">
        <v>75</v>
      </c>
      <c r="G25" s="2" t="s">
        <v>76</v>
      </c>
      <c r="H25" s="1"/>
      <c r="I25" s="2" t="s">
        <v>77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1"/>
      <c r="B26" s="1">
        <v>151</v>
      </c>
      <c r="C26" s="8">
        <v>43170</v>
      </c>
      <c r="D26" s="1">
        <v>9431525611</v>
      </c>
      <c r="E26" s="71" t="s">
        <v>78</v>
      </c>
      <c r="F26" s="1" t="s">
        <v>79</v>
      </c>
      <c r="G26" s="2" t="s">
        <v>80</v>
      </c>
      <c r="H26" s="1"/>
      <c r="I26" s="2" t="s">
        <v>39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"/>
      <c r="B27" s="1">
        <v>155</v>
      </c>
      <c r="C27" s="8">
        <v>43169</v>
      </c>
      <c r="D27" s="1"/>
      <c r="E27" s="71" t="s">
        <v>81</v>
      </c>
      <c r="F27" s="1" t="s">
        <v>82</v>
      </c>
      <c r="G27" s="2" t="s">
        <v>83</v>
      </c>
      <c r="H27" s="1"/>
      <c r="I27" s="2" t="s">
        <v>39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"/>
      <c r="B28" s="1">
        <v>165</v>
      </c>
      <c r="C28" s="8">
        <v>43179</v>
      </c>
      <c r="D28" s="1">
        <v>9835183717</v>
      </c>
      <c r="E28" s="71" t="s">
        <v>84</v>
      </c>
      <c r="F28" s="1" t="s">
        <v>85</v>
      </c>
      <c r="G28" s="2" t="s">
        <v>86</v>
      </c>
      <c r="H28" s="1"/>
      <c r="I28" s="11" t="s">
        <v>87</v>
      </c>
      <c r="J28" s="2" t="s">
        <v>88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"/>
      <c r="B29" s="1" t="s">
        <v>89</v>
      </c>
      <c r="C29" s="8">
        <v>43203</v>
      </c>
      <c r="D29" s="1"/>
      <c r="E29" s="71" t="s">
        <v>90</v>
      </c>
      <c r="F29" s="12">
        <v>28</v>
      </c>
      <c r="G29" s="2" t="s">
        <v>91</v>
      </c>
      <c r="H29" s="1"/>
      <c r="I29" s="2" t="s">
        <v>92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"/>
      <c r="B30" s="1">
        <v>194</v>
      </c>
      <c r="C30" s="8">
        <v>43209</v>
      </c>
      <c r="D30" s="1">
        <v>7209310454</v>
      </c>
      <c r="E30" s="71" t="s">
        <v>93</v>
      </c>
      <c r="F30" s="12">
        <v>29</v>
      </c>
      <c r="G30" s="2" t="s">
        <v>94</v>
      </c>
      <c r="H30" s="1"/>
      <c r="I30" s="2" t="s">
        <v>87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"/>
      <c r="B31" s="1" t="s">
        <v>95</v>
      </c>
      <c r="C31" s="8">
        <v>43209</v>
      </c>
      <c r="D31" s="1">
        <v>6203019896</v>
      </c>
      <c r="E31" s="71" t="s">
        <v>96</v>
      </c>
      <c r="F31" s="12">
        <v>30</v>
      </c>
      <c r="G31" s="2" t="s">
        <v>97</v>
      </c>
      <c r="H31" s="1"/>
      <c r="I31" s="11" t="s">
        <v>87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"/>
      <c r="B32" s="1">
        <v>199</v>
      </c>
      <c r="C32" s="8">
        <v>43229</v>
      </c>
      <c r="D32" s="1">
        <v>9570703039</v>
      </c>
      <c r="E32" s="71" t="s">
        <v>98</v>
      </c>
      <c r="F32" s="12">
        <v>31</v>
      </c>
      <c r="G32" s="2" t="s">
        <v>99</v>
      </c>
      <c r="H32" s="1"/>
      <c r="I32" s="2" t="s">
        <v>100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" t="s">
        <v>101</v>
      </c>
      <c r="B33" s="1">
        <v>198</v>
      </c>
      <c r="C33" s="8">
        <v>43234</v>
      </c>
      <c r="D33" s="1">
        <v>9431525611</v>
      </c>
      <c r="E33" s="71" t="s">
        <v>102</v>
      </c>
      <c r="F33" s="12">
        <v>32</v>
      </c>
      <c r="G33" s="2" t="s">
        <v>103</v>
      </c>
      <c r="H33" s="1"/>
      <c r="I33" s="2" t="s">
        <v>100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"/>
      <c r="B34" s="1">
        <v>200</v>
      </c>
      <c r="C34" s="8">
        <v>43234</v>
      </c>
      <c r="D34" s="1">
        <v>9570703039</v>
      </c>
      <c r="E34" s="71" t="s">
        <v>104</v>
      </c>
      <c r="F34" s="12">
        <v>33</v>
      </c>
      <c r="G34" s="2" t="s">
        <v>105</v>
      </c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"/>
      <c r="B35" s="1">
        <v>201</v>
      </c>
      <c r="C35" s="8">
        <v>43234</v>
      </c>
      <c r="D35" s="1">
        <v>9570703039</v>
      </c>
      <c r="E35" s="71" t="s">
        <v>106</v>
      </c>
      <c r="F35" s="12">
        <v>34</v>
      </c>
      <c r="G35" s="2" t="s">
        <v>107</v>
      </c>
      <c r="H35" s="1"/>
      <c r="I35" s="11" t="s">
        <v>100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"/>
      <c r="B36" s="1">
        <v>207</v>
      </c>
      <c r="C36" s="8">
        <v>43243</v>
      </c>
      <c r="D36" s="1">
        <v>8210347619</v>
      </c>
      <c r="E36" s="71" t="s">
        <v>108</v>
      </c>
      <c r="F36" s="12">
        <v>35</v>
      </c>
      <c r="G36" s="2" t="s">
        <v>109</v>
      </c>
      <c r="H36" s="1"/>
      <c r="I36" s="2" t="s">
        <v>77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"/>
      <c r="B37" s="1">
        <v>209</v>
      </c>
      <c r="C37" s="8">
        <v>43245</v>
      </c>
      <c r="D37" s="1"/>
      <c r="E37" s="71" t="s">
        <v>110</v>
      </c>
      <c r="F37" s="12">
        <v>36</v>
      </c>
      <c r="G37" s="2" t="s">
        <v>111</v>
      </c>
      <c r="H37" s="1"/>
      <c r="I37" s="2" t="s">
        <v>92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"/>
      <c r="B38" s="1">
        <v>216</v>
      </c>
      <c r="C38" s="8">
        <v>43258</v>
      </c>
      <c r="D38" s="1">
        <v>8002105678</v>
      </c>
      <c r="E38" s="71" t="s">
        <v>112</v>
      </c>
      <c r="F38" s="12">
        <v>38</v>
      </c>
      <c r="G38" s="2" t="s">
        <v>113</v>
      </c>
      <c r="H38" s="1"/>
      <c r="I38" s="2" t="s">
        <v>114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"/>
      <c r="B39" s="1">
        <v>223</v>
      </c>
      <c r="C39" s="8">
        <v>43262</v>
      </c>
      <c r="D39" s="1">
        <v>7631070520</v>
      </c>
      <c r="E39" s="71" t="s">
        <v>115</v>
      </c>
      <c r="F39" s="12">
        <v>39</v>
      </c>
      <c r="G39" s="2" t="s">
        <v>116</v>
      </c>
      <c r="H39" s="1"/>
      <c r="I39" s="2" t="s">
        <v>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"/>
      <c r="B40" s="1">
        <v>226</v>
      </c>
      <c r="C40" s="8">
        <v>43266</v>
      </c>
      <c r="D40" s="1">
        <v>9279456885</v>
      </c>
      <c r="E40" s="71" t="s">
        <v>117</v>
      </c>
      <c r="F40" s="12">
        <v>40</v>
      </c>
      <c r="G40" s="2" t="s">
        <v>118</v>
      </c>
      <c r="H40" s="1"/>
      <c r="I40" s="2" t="s">
        <v>87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"/>
      <c r="B41" s="1">
        <v>229</v>
      </c>
      <c r="C41" s="8">
        <v>43269</v>
      </c>
      <c r="D41" s="1" t="s">
        <v>119</v>
      </c>
      <c r="E41" s="71" t="s">
        <v>120</v>
      </c>
      <c r="F41" s="12">
        <v>41</v>
      </c>
      <c r="G41" s="2" t="s">
        <v>121</v>
      </c>
      <c r="H41" s="1"/>
      <c r="I41" s="2" t="s">
        <v>39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"/>
      <c r="B42" s="1"/>
      <c r="C42" s="8"/>
      <c r="D42" s="1"/>
      <c r="E42" s="71" t="s">
        <v>122</v>
      </c>
      <c r="F42" s="12">
        <v>42</v>
      </c>
      <c r="G42" s="2"/>
      <c r="H42" s="1"/>
      <c r="I42" s="2"/>
      <c r="J42" s="2">
        <f>(1783+8997)*12</f>
        <v>129360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"/>
      <c r="B43" s="1">
        <v>231</v>
      </c>
      <c r="C43" s="8">
        <v>43270</v>
      </c>
      <c r="D43" s="1"/>
      <c r="E43" s="71" t="s">
        <v>123</v>
      </c>
      <c r="F43" s="12">
        <v>43</v>
      </c>
      <c r="G43" s="2" t="s">
        <v>124</v>
      </c>
      <c r="H43" s="1"/>
      <c r="I43" s="2" t="s">
        <v>77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3" t="s">
        <v>125</v>
      </c>
      <c r="B44" s="13">
        <v>234</v>
      </c>
      <c r="C44" s="14">
        <v>43270</v>
      </c>
      <c r="D44" s="13">
        <v>9431525611</v>
      </c>
      <c r="E44" s="291" t="s">
        <v>78</v>
      </c>
      <c r="F44" s="15">
        <v>44</v>
      </c>
      <c r="G44" s="11" t="s">
        <v>126</v>
      </c>
      <c r="H44" s="13"/>
      <c r="I44" s="11" t="s">
        <v>100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"/>
      <c r="B45" s="1">
        <v>238</v>
      </c>
      <c r="C45" s="8">
        <v>43273</v>
      </c>
      <c r="D45" s="1"/>
      <c r="E45" s="71" t="s">
        <v>127</v>
      </c>
      <c r="F45" s="12">
        <v>45</v>
      </c>
      <c r="G45" s="2" t="s">
        <v>128</v>
      </c>
      <c r="H45" s="1"/>
      <c r="I45" s="2" t="s">
        <v>36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"/>
      <c r="B46" s="1">
        <v>239</v>
      </c>
      <c r="C46" s="8">
        <v>43273</v>
      </c>
      <c r="D46" s="1"/>
      <c r="E46" s="71" t="s">
        <v>129</v>
      </c>
      <c r="F46" s="12">
        <v>46</v>
      </c>
      <c r="G46" s="2" t="s">
        <v>130</v>
      </c>
      <c r="H46" s="1"/>
      <c r="I46" s="2" t="s">
        <v>100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1"/>
      <c r="B47" s="1">
        <v>244</v>
      </c>
      <c r="C47" s="8">
        <v>43276</v>
      </c>
      <c r="D47" s="1">
        <v>8210343102</v>
      </c>
      <c r="E47" s="71" t="s">
        <v>131</v>
      </c>
      <c r="F47" s="12">
        <v>47</v>
      </c>
      <c r="G47" s="2" t="s">
        <v>132</v>
      </c>
      <c r="H47" s="1"/>
      <c r="I47" s="2" t="s">
        <v>39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"/>
      <c r="B48" s="1">
        <v>245</v>
      </c>
      <c r="C48" s="8">
        <v>43276</v>
      </c>
      <c r="D48" s="1">
        <v>8210343102</v>
      </c>
      <c r="E48" s="71" t="s">
        <v>133</v>
      </c>
      <c r="F48" s="12">
        <v>48</v>
      </c>
      <c r="G48" s="2" t="s">
        <v>134</v>
      </c>
      <c r="H48" s="1"/>
      <c r="I48" s="2" t="s">
        <v>39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3" t="s">
        <v>125</v>
      </c>
      <c r="B49" s="13">
        <v>246</v>
      </c>
      <c r="C49" s="14">
        <v>43276</v>
      </c>
      <c r="D49" s="13"/>
      <c r="E49" s="291" t="s">
        <v>135</v>
      </c>
      <c r="F49" s="15">
        <v>49</v>
      </c>
      <c r="G49" s="11" t="s">
        <v>136</v>
      </c>
      <c r="H49" s="13"/>
      <c r="I49" s="11" t="s">
        <v>100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3"/>
      <c r="B50" s="13">
        <v>250</v>
      </c>
      <c r="C50" s="14">
        <v>43280</v>
      </c>
      <c r="D50" s="16" t="s">
        <v>137</v>
      </c>
      <c r="E50" s="291" t="s">
        <v>138</v>
      </c>
      <c r="F50" s="15">
        <v>50</v>
      </c>
      <c r="G50" s="11" t="s">
        <v>139</v>
      </c>
      <c r="H50" s="13"/>
      <c r="I50" s="11" t="s">
        <v>140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"/>
      <c r="B51" s="1">
        <v>251</v>
      </c>
      <c r="C51" s="8">
        <v>43280</v>
      </c>
      <c r="D51" s="17" t="s">
        <v>137</v>
      </c>
      <c r="E51" s="71" t="s">
        <v>141</v>
      </c>
      <c r="F51" s="12">
        <v>51</v>
      </c>
      <c r="G51" s="2" t="s">
        <v>142</v>
      </c>
      <c r="H51" s="1"/>
      <c r="I51" s="2" t="s">
        <v>39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" t="s">
        <v>143</v>
      </c>
      <c r="B52" s="1">
        <v>256</v>
      </c>
      <c r="C52" s="8">
        <v>43284</v>
      </c>
      <c r="D52" s="1">
        <v>7004912520</v>
      </c>
      <c r="E52" s="71" t="s">
        <v>135</v>
      </c>
      <c r="F52" s="12">
        <v>52</v>
      </c>
      <c r="G52" s="2" t="s">
        <v>144</v>
      </c>
      <c r="H52" s="1"/>
      <c r="I52" s="2" t="s">
        <v>114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8"/>
      <c r="B53" s="18">
        <v>266</v>
      </c>
      <c r="C53" s="19">
        <v>43290</v>
      </c>
      <c r="D53" s="18"/>
      <c r="E53" s="292" t="s">
        <v>129</v>
      </c>
      <c r="F53" s="21">
        <v>53</v>
      </c>
      <c r="G53" s="20" t="s">
        <v>145</v>
      </c>
      <c r="H53" s="18"/>
      <c r="I53" s="20" t="s">
        <v>39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1"/>
      <c r="B54" s="1">
        <v>271</v>
      </c>
      <c r="C54" s="8">
        <v>43291</v>
      </c>
      <c r="D54" s="1"/>
      <c r="E54" s="71" t="s">
        <v>146</v>
      </c>
      <c r="F54" s="12">
        <v>54</v>
      </c>
      <c r="G54" s="2" t="s">
        <v>147</v>
      </c>
      <c r="H54" s="1"/>
      <c r="I54" s="2" t="s">
        <v>39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"/>
      <c r="B55" s="1">
        <v>272</v>
      </c>
      <c r="C55" s="8">
        <v>43291</v>
      </c>
      <c r="D55" s="1">
        <v>9771531634</v>
      </c>
      <c r="E55" s="71" t="s">
        <v>148</v>
      </c>
      <c r="F55" s="12">
        <v>55</v>
      </c>
      <c r="G55" s="2" t="s">
        <v>149</v>
      </c>
      <c r="H55" s="1"/>
      <c r="I55" s="2" t="s">
        <v>39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" t="s">
        <v>150</v>
      </c>
      <c r="B56" s="1">
        <v>273</v>
      </c>
      <c r="C56" s="8">
        <v>43292</v>
      </c>
      <c r="D56" s="1"/>
      <c r="E56" s="71" t="s">
        <v>151</v>
      </c>
      <c r="F56" s="12">
        <v>56</v>
      </c>
      <c r="G56" s="2" t="s">
        <v>152</v>
      </c>
      <c r="H56" s="1"/>
      <c r="I56" s="2" t="s">
        <v>39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"/>
      <c r="B57" s="1">
        <v>274</v>
      </c>
      <c r="C57" s="8">
        <v>43293</v>
      </c>
      <c r="D57" s="1">
        <v>8092646987</v>
      </c>
      <c r="E57" s="71" t="s">
        <v>153</v>
      </c>
      <c r="F57" s="12">
        <v>57</v>
      </c>
      <c r="G57" s="2" t="s">
        <v>154</v>
      </c>
      <c r="H57" s="1"/>
      <c r="I57" s="11" t="s">
        <v>100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" t="s">
        <v>155</v>
      </c>
      <c r="B58" s="1">
        <v>275</v>
      </c>
      <c r="C58" s="8">
        <v>43297</v>
      </c>
      <c r="D58" s="1"/>
      <c r="E58" s="71" t="s">
        <v>156</v>
      </c>
      <c r="F58" s="12">
        <v>58</v>
      </c>
      <c r="G58" s="2" t="s">
        <v>157</v>
      </c>
      <c r="H58" s="1"/>
      <c r="I58" s="2" t="s">
        <v>114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" t="s">
        <v>158</v>
      </c>
      <c r="B59" s="1">
        <v>276</v>
      </c>
      <c r="C59" s="8">
        <v>43297</v>
      </c>
      <c r="D59" s="1">
        <v>8969120048</v>
      </c>
      <c r="E59" s="71" t="s">
        <v>47</v>
      </c>
      <c r="F59" s="12">
        <v>59</v>
      </c>
      <c r="G59" s="2" t="s">
        <v>159</v>
      </c>
      <c r="H59" s="1"/>
      <c r="I59" s="2" t="s">
        <v>77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" t="s">
        <v>155</v>
      </c>
      <c r="B60" s="1">
        <v>279</v>
      </c>
      <c r="C60" s="8">
        <v>43297</v>
      </c>
      <c r="D60" s="1">
        <v>9431525611</v>
      </c>
      <c r="E60" s="71" t="s">
        <v>78</v>
      </c>
      <c r="F60" s="12">
        <v>60</v>
      </c>
      <c r="G60" s="2" t="s">
        <v>160</v>
      </c>
      <c r="H60" s="1"/>
      <c r="I60" s="2" t="s">
        <v>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" t="s">
        <v>161</v>
      </c>
      <c r="B61" s="1">
        <v>280</v>
      </c>
      <c r="C61" s="8">
        <v>43297</v>
      </c>
      <c r="D61" s="1"/>
      <c r="E61" s="71" t="s">
        <v>110</v>
      </c>
      <c r="F61" s="12">
        <v>61</v>
      </c>
      <c r="G61" s="2" t="s">
        <v>162</v>
      </c>
      <c r="H61" s="1"/>
      <c r="I61" s="2" t="s">
        <v>39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3" t="s">
        <v>161</v>
      </c>
      <c r="B62" s="13">
        <v>287</v>
      </c>
      <c r="C62" s="14">
        <v>43299</v>
      </c>
      <c r="D62" s="13"/>
      <c r="E62" s="291" t="s">
        <v>163</v>
      </c>
      <c r="F62" s="15">
        <v>37</v>
      </c>
      <c r="G62" s="11" t="s">
        <v>164</v>
      </c>
      <c r="H62" s="13"/>
      <c r="I62" s="11" t="s">
        <v>100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1" t="s">
        <v>165</v>
      </c>
      <c r="B63" s="1">
        <v>292</v>
      </c>
      <c r="C63" s="8">
        <v>43300</v>
      </c>
      <c r="D63" s="1">
        <v>7633966741</v>
      </c>
      <c r="E63" s="71" t="s">
        <v>166</v>
      </c>
      <c r="F63" s="12">
        <v>38</v>
      </c>
      <c r="G63" s="2" t="s">
        <v>167</v>
      </c>
      <c r="H63" s="1"/>
      <c r="I63" s="2" t="s">
        <v>168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1" t="s">
        <v>165</v>
      </c>
      <c r="B64" s="1">
        <v>300</v>
      </c>
      <c r="C64" s="8">
        <v>43309</v>
      </c>
      <c r="D64" s="1">
        <v>8804259165</v>
      </c>
      <c r="E64" s="71" t="s">
        <v>169</v>
      </c>
      <c r="F64" s="12">
        <v>39</v>
      </c>
      <c r="G64" s="2" t="s">
        <v>170</v>
      </c>
      <c r="H64" s="1"/>
      <c r="I64" s="2" t="s">
        <v>77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1" t="s">
        <v>165</v>
      </c>
      <c r="B65" s="1">
        <v>301</v>
      </c>
      <c r="C65" s="8">
        <v>43310</v>
      </c>
      <c r="D65" s="1">
        <v>8804259165</v>
      </c>
      <c r="E65" s="71" t="s">
        <v>171</v>
      </c>
      <c r="F65" s="12">
        <v>40</v>
      </c>
      <c r="G65" s="2" t="s">
        <v>172</v>
      </c>
      <c r="H65" s="1"/>
      <c r="I65" s="2" t="s">
        <v>77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1" t="s">
        <v>161</v>
      </c>
      <c r="B66" s="1">
        <v>304</v>
      </c>
      <c r="C66" s="8">
        <v>43312</v>
      </c>
      <c r="D66" s="1">
        <v>7209360650</v>
      </c>
      <c r="E66" s="71" t="s">
        <v>173</v>
      </c>
      <c r="F66" s="12">
        <v>41</v>
      </c>
      <c r="G66" s="2" t="s">
        <v>174</v>
      </c>
      <c r="H66" s="1"/>
      <c r="I66" s="2" t="s">
        <v>60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1" t="s">
        <v>165</v>
      </c>
      <c r="B67" s="1">
        <v>305</v>
      </c>
      <c r="C67" s="8">
        <v>43312</v>
      </c>
      <c r="D67" s="1">
        <v>7209360650</v>
      </c>
      <c r="E67" s="71" t="s">
        <v>175</v>
      </c>
      <c r="F67" s="12">
        <v>42</v>
      </c>
      <c r="G67" s="2" t="s">
        <v>176</v>
      </c>
      <c r="H67" s="1"/>
      <c r="I67" s="2" t="s">
        <v>100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1" t="s">
        <v>161</v>
      </c>
      <c r="B68" s="1">
        <v>309</v>
      </c>
      <c r="C68" s="8">
        <v>43312</v>
      </c>
      <c r="D68" s="1"/>
      <c r="E68" s="71" t="s">
        <v>163</v>
      </c>
      <c r="F68" s="12">
        <v>43</v>
      </c>
      <c r="G68" s="2" t="s">
        <v>177</v>
      </c>
      <c r="H68" s="1"/>
      <c r="I68" s="2" t="s">
        <v>178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1" t="s">
        <v>161</v>
      </c>
      <c r="B69" s="1">
        <v>312</v>
      </c>
      <c r="C69" s="8">
        <v>43313</v>
      </c>
      <c r="D69" s="1">
        <v>7209767494</v>
      </c>
      <c r="E69" s="71" t="s">
        <v>179</v>
      </c>
      <c r="F69" s="12">
        <v>44</v>
      </c>
      <c r="G69" s="2" t="s">
        <v>180</v>
      </c>
      <c r="H69" s="1"/>
      <c r="I69" s="2" t="s">
        <v>77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1" t="s">
        <v>165</v>
      </c>
      <c r="B70" s="1">
        <v>314</v>
      </c>
      <c r="C70" s="8">
        <v>43313</v>
      </c>
      <c r="D70" s="1"/>
      <c r="E70" s="71" t="s">
        <v>33</v>
      </c>
      <c r="F70" s="12">
        <v>45</v>
      </c>
      <c r="G70" s="2" t="s">
        <v>181</v>
      </c>
      <c r="H70" s="1"/>
      <c r="I70" s="2" t="s">
        <v>125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" t="s">
        <v>165</v>
      </c>
      <c r="B71" s="1">
        <v>317</v>
      </c>
      <c r="C71" s="8">
        <v>43315</v>
      </c>
      <c r="D71" s="1"/>
      <c r="E71" s="71" t="s">
        <v>182</v>
      </c>
      <c r="F71" s="12">
        <v>46</v>
      </c>
      <c r="G71" s="2" t="s">
        <v>183</v>
      </c>
      <c r="H71" s="1"/>
      <c r="I71" s="2" t="s">
        <v>184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1" t="s">
        <v>165</v>
      </c>
      <c r="B72" s="1">
        <v>327</v>
      </c>
      <c r="C72" s="8">
        <v>43333</v>
      </c>
      <c r="D72" s="1"/>
      <c r="E72" s="71" t="s">
        <v>185</v>
      </c>
      <c r="F72" s="12">
        <v>47</v>
      </c>
      <c r="G72" s="2" t="s">
        <v>186</v>
      </c>
      <c r="H72" s="1"/>
      <c r="I72" s="2" t="s">
        <v>39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1" t="s">
        <v>161</v>
      </c>
      <c r="B73" s="1">
        <v>326</v>
      </c>
      <c r="C73" s="8">
        <v>43334</v>
      </c>
      <c r="D73" s="1"/>
      <c r="E73" s="71" t="s">
        <v>110</v>
      </c>
      <c r="F73" s="12">
        <v>48</v>
      </c>
      <c r="G73" s="22" t="s">
        <v>187</v>
      </c>
      <c r="H73" s="219"/>
      <c r="I73" s="2" t="s">
        <v>39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" t="s">
        <v>161</v>
      </c>
      <c r="B74" s="1">
        <v>328</v>
      </c>
      <c r="C74" s="8">
        <v>43334</v>
      </c>
      <c r="D74" s="1"/>
      <c r="E74" s="71" t="s">
        <v>188</v>
      </c>
      <c r="F74" s="12">
        <v>49</v>
      </c>
      <c r="G74" s="2" t="s">
        <v>189</v>
      </c>
      <c r="H74" s="1"/>
      <c r="I74" s="2" t="s">
        <v>39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1" t="s">
        <v>161</v>
      </c>
      <c r="B75" s="1">
        <v>331</v>
      </c>
      <c r="C75" s="8">
        <v>43342</v>
      </c>
      <c r="D75" s="1"/>
      <c r="E75" s="71" t="s">
        <v>185</v>
      </c>
      <c r="F75" s="12">
        <v>50</v>
      </c>
      <c r="G75" s="22" t="s">
        <v>190</v>
      </c>
      <c r="H75" s="219"/>
      <c r="I75" s="2" t="s">
        <v>191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" t="s">
        <v>161</v>
      </c>
      <c r="B76" s="1">
        <v>332</v>
      </c>
      <c r="C76" s="8">
        <v>43335</v>
      </c>
      <c r="D76" s="1">
        <v>9572885182</v>
      </c>
      <c r="E76" s="71" t="s">
        <v>192</v>
      </c>
      <c r="F76" s="12">
        <v>51</v>
      </c>
      <c r="G76" s="22" t="s">
        <v>193</v>
      </c>
      <c r="H76" s="219"/>
      <c r="I76" s="2" t="s">
        <v>60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1" t="s">
        <v>165</v>
      </c>
      <c r="B77" s="1">
        <v>333</v>
      </c>
      <c r="C77" s="8">
        <v>43336</v>
      </c>
      <c r="D77" s="1">
        <v>8093861049</v>
      </c>
      <c r="E77" s="71" t="s">
        <v>194</v>
      </c>
      <c r="F77" s="12">
        <v>52</v>
      </c>
      <c r="G77" s="22" t="s">
        <v>195</v>
      </c>
      <c r="H77" s="219"/>
      <c r="I77" s="2" t="s">
        <v>39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" t="s">
        <v>165</v>
      </c>
      <c r="B78" s="1">
        <v>350</v>
      </c>
      <c r="C78" s="8">
        <v>43347</v>
      </c>
      <c r="D78" s="1">
        <v>9934799988</v>
      </c>
      <c r="E78" s="71" t="s">
        <v>196</v>
      </c>
      <c r="F78" s="1" t="s">
        <v>197</v>
      </c>
      <c r="G78" s="22" t="s">
        <v>198</v>
      </c>
      <c r="H78" s="219"/>
      <c r="I78" s="2" t="s">
        <v>39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1" t="s">
        <v>165</v>
      </c>
      <c r="B79" s="1">
        <v>348</v>
      </c>
      <c r="C79" s="8">
        <v>43347</v>
      </c>
      <c r="D79" s="1">
        <v>7764050604</v>
      </c>
      <c r="E79" s="71" t="s">
        <v>199</v>
      </c>
      <c r="F79" s="1" t="s">
        <v>200</v>
      </c>
      <c r="G79" s="22" t="s">
        <v>201</v>
      </c>
      <c r="H79" s="219"/>
      <c r="I79" s="2" t="s">
        <v>202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1" t="s">
        <v>165</v>
      </c>
      <c r="B80" s="1">
        <v>349</v>
      </c>
      <c r="C80" s="8">
        <v>43347</v>
      </c>
      <c r="D80" s="1">
        <v>9835701337</v>
      </c>
      <c r="E80" s="71" t="s">
        <v>203</v>
      </c>
      <c r="F80" s="1" t="s">
        <v>204</v>
      </c>
      <c r="G80" s="22" t="s">
        <v>205</v>
      </c>
      <c r="H80" s="219"/>
      <c r="I80" s="2" t="s">
        <v>77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" t="s">
        <v>165</v>
      </c>
      <c r="B81" s="1">
        <v>355</v>
      </c>
      <c r="C81" s="8">
        <v>43351</v>
      </c>
      <c r="D81" s="1">
        <v>8986761085</v>
      </c>
      <c r="E81" s="71" t="s">
        <v>206</v>
      </c>
      <c r="F81" s="1" t="s">
        <v>207</v>
      </c>
      <c r="G81" s="22" t="s">
        <v>208</v>
      </c>
      <c r="H81" s="219"/>
      <c r="I81" s="2" t="s">
        <v>39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1" t="s">
        <v>165</v>
      </c>
      <c r="B82" s="1">
        <v>359</v>
      </c>
      <c r="C82" s="8">
        <v>43354</v>
      </c>
      <c r="D82" s="1" t="s">
        <v>209</v>
      </c>
      <c r="E82" s="71" t="s">
        <v>210</v>
      </c>
      <c r="F82" s="1" t="s">
        <v>211</v>
      </c>
      <c r="G82" s="2" t="s">
        <v>212</v>
      </c>
      <c r="H82" s="1"/>
      <c r="I82" s="2" t="s">
        <v>60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1" t="s">
        <v>161</v>
      </c>
      <c r="B83" s="1">
        <v>367</v>
      </c>
      <c r="C83" s="8">
        <v>43369</v>
      </c>
      <c r="D83" s="1">
        <v>8235353735</v>
      </c>
      <c r="E83" s="71" t="s">
        <v>213</v>
      </c>
      <c r="F83" s="1" t="s">
        <v>214</v>
      </c>
      <c r="G83" s="22" t="s">
        <v>215</v>
      </c>
      <c r="H83" s="219"/>
      <c r="I83" s="2" t="s">
        <v>39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1" t="s">
        <v>165</v>
      </c>
      <c r="B84" s="1">
        <v>376</v>
      </c>
      <c r="C84" s="8">
        <v>43377</v>
      </c>
      <c r="D84" s="1">
        <v>9308829666</v>
      </c>
      <c r="E84" s="71" t="s">
        <v>216</v>
      </c>
      <c r="F84" s="1" t="s">
        <v>217</v>
      </c>
      <c r="G84" s="22" t="s">
        <v>218</v>
      </c>
      <c r="H84" s="219"/>
      <c r="I84" s="2" t="s">
        <v>39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1" t="s">
        <v>219</v>
      </c>
      <c r="B85" s="1">
        <v>378</v>
      </c>
      <c r="C85" s="8">
        <v>43377</v>
      </c>
      <c r="D85" s="1">
        <v>8092161676</v>
      </c>
      <c r="E85" s="71" t="s">
        <v>220</v>
      </c>
      <c r="F85" s="1" t="s">
        <v>221</v>
      </c>
      <c r="G85" s="22" t="s">
        <v>222</v>
      </c>
      <c r="H85" s="219"/>
      <c r="I85" s="2" t="s">
        <v>60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" t="s">
        <v>161</v>
      </c>
      <c r="B86" s="1">
        <v>381</v>
      </c>
      <c r="C86" s="8">
        <v>43377</v>
      </c>
      <c r="D86" s="1">
        <v>7209879496</v>
      </c>
      <c r="E86" s="71" t="s">
        <v>175</v>
      </c>
      <c r="F86" s="1" t="s">
        <v>223</v>
      </c>
      <c r="G86" s="22" t="s">
        <v>224</v>
      </c>
      <c r="H86" s="219"/>
      <c r="I86" s="2" t="s">
        <v>77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" t="s">
        <v>161</v>
      </c>
      <c r="B87" s="1">
        <v>386</v>
      </c>
      <c r="C87" s="8">
        <v>43382</v>
      </c>
      <c r="D87" s="1">
        <v>7209585620</v>
      </c>
      <c r="E87" s="71" t="s">
        <v>225</v>
      </c>
      <c r="F87" s="1" t="s">
        <v>226</v>
      </c>
      <c r="G87" s="22" t="s">
        <v>227</v>
      </c>
      <c r="H87" s="219"/>
      <c r="I87" s="2" t="s">
        <v>77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" t="s">
        <v>161</v>
      </c>
      <c r="B88" s="1">
        <v>387</v>
      </c>
      <c r="C88" s="8">
        <v>43384</v>
      </c>
      <c r="D88" s="1"/>
      <c r="E88" s="71" t="s">
        <v>228</v>
      </c>
      <c r="F88" s="1" t="s">
        <v>229</v>
      </c>
      <c r="G88" s="22" t="s">
        <v>230</v>
      </c>
      <c r="H88" s="219"/>
      <c r="I88" s="2" t="s">
        <v>39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"/>
      <c r="B89" s="1">
        <v>397</v>
      </c>
      <c r="C89" s="8">
        <v>43404</v>
      </c>
      <c r="D89" s="1">
        <v>7209133125</v>
      </c>
      <c r="E89" s="71" t="s">
        <v>231</v>
      </c>
      <c r="F89" s="1" t="s">
        <v>232</v>
      </c>
      <c r="G89" s="22" t="s">
        <v>233</v>
      </c>
      <c r="H89" s="219"/>
      <c r="I89" s="2" t="s">
        <v>60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3"/>
      <c r="B90" s="13">
        <v>398</v>
      </c>
      <c r="C90" s="14"/>
      <c r="D90" s="13"/>
      <c r="E90" s="291" t="s">
        <v>234</v>
      </c>
      <c r="F90" s="13" t="s">
        <v>235</v>
      </c>
      <c r="G90" s="23" t="s">
        <v>236</v>
      </c>
      <c r="H90" s="220"/>
      <c r="I90" s="11"/>
      <c r="J90" s="2" t="s">
        <v>237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" t="s">
        <v>165</v>
      </c>
      <c r="B91" s="1">
        <v>408</v>
      </c>
      <c r="C91" s="8">
        <v>43445</v>
      </c>
      <c r="D91" s="1">
        <v>6200178732</v>
      </c>
      <c r="E91" s="71" t="s">
        <v>238</v>
      </c>
      <c r="F91" s="1" t="s">
        <v>239</v>
      </c>
      <c r="G91" s="22" t="s">
        <v>240</v>
      </c>
      <c r="H91" s="219"/>
      <c r="I91" s="2" t="s">
        <v>39</v>
      </c>
      <c r="J91" s="2" t="s">
        <v>241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" t="s">
        <v>165</v>
      </c>
      <c r="B92" s="1">
        <v>409</v>
      </c>
      <c r="C92" s="8">
        <v>43445</v>
      </c>
      <c r="D92" s="1">
        <v>6200178732</v>
      </c>
      <c r="E92" s="71" t="s">
        <v>242</v>
      </c>
      <c r="F92" s="1" t="s">
        <v>243</v>
      </c>
      <c r="G92" s="22" t="s">
        <v>244</v>
      </c>
      <c r="H92" s="219"/>
      <c r="I92" s="2" t="s">
        <v>39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"/>
      <c r="B93" s="1">
        <v>410</v>
      </c>
      <c r="C93" s="8">
        <v>43445</v>
      </c>
      <c r="D93" s="1"/>
      <c r="E93" s="71" t="s">
        <v>245</v>
      </c>
      <c r="F93" s="12" t="s">
        <v>246</v>
      </c>
      <c r="G93" s="22" t="s">
        <v>247</v>
      </c>
      <c r="H93" s="219"/>
      <c r="I93" s="2" t="s">
        <v>39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" t="s">
        <v>158</v>
      </c>
      <c r="B94" s="1">
        <v>418</v>
      </c>
      <c r="C94" s="8">
        <v>43459</v>
      </c>
      <c r="D94" s="1">
        <v>8809979451</v>
      </c>
      <c r="E94" s="71" t="s">
        <v>248</v>
      </c>
      <c r="F94" s="12" t="s">
        <v>249</v>
      </c>
      <c r="G94" s="22" t="s">
        <v>250</v>
      </c>
      <c r="H94" s="219"/>
      <c r="I94" s="2" t="s">
        <v>251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"/>
      <c r="B95" s="1">
        <v>419</v>
      </c>
      <c r="C95" s="8">
        <v>43459</v>
      </c>
      <c r="D95" s="1">
        <v>8809979451</v>
      </c>
      <c r="E95" s="71" t="s">
        <v>252</v>
      </c>
      <c r="F95" s="12">
        <v>70</v>
      </c>
      <c r="G95" s="22" t="s">
        <v>253</v>
      </c>
      <c r="H95" s="219"/>
      <c r="I95" s="2" t="s">
        <v>39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" t="s">
        <v>155</v>
      </c>
      <c r="B96" s="1">
        <v>432</v>
      </c>
      <c r="C96" s="8">
        <v>43480</v>
      </c>
      <c r="D96" s="1">
        <v>7209311225</v>
      </c>
      <c r="E96" s="71" t="s">
        <v>146</v>
      </c>
      <c r="F96" s="12">
        <v>71</v>
      </c>
      <c r="G96" s="22" t="s">
        <v>254</v>
      </c>
      <c r="H96" s="219"/>
      <c r="I96" s="2" t="s">
        <v>202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" t="s">
        <v>255</v>
      </c>
      <c r="B97" s="1">
        <v>434</v>
      </c>
      <c r="C97" s="8">
        <v>43484</v>
      </c>
      <c r="D97" s="1">
        <v>8210356757</v>
      </c>
      <c r="E97" s="71" t="s">
        <v>151</v>
      </c>
      <c r="F97" s="12">
        <v>72</v>
      </c>
      <c r="G97" s="2"/>
      <c r="H97" s="1"/>
      <c r="I97" s="2" t="s">
        <v>100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3" t="s">
        <v>158</v>
      </c>
      <c r="B98" s="13">
        <v>437</v>
      </c>
      <c r="C98" s="24">
        <v>43486</v>
      </c>
      <c r="D98" s="13">
        <v>9430710824</v>
      </c>
      <c r="E98" s="291" t="s">
        <v>256</v>
      </c>
      <c r="F98" s="15">
        <v>73</v>
      </c>
      <c r="G98" s="23" t="s">
        <v>257</v>
      </c>
      <c r="H98" s="220"/>
      <c r="I98" s="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"/>
      <c r="B99" s="1">
        <v>440</v>
      </c>
      <c r="C99" s="9">
        <v>43486</v>
      </c>
      <c r="D99" s="1">
        <v>9430710824</v>
      </c>
      <c r="E99" s="71" t="s">
        <v>256</v>
      </c>
      <c r="F99" s="12">
        <v>74</v>
      </c>
      <c r="G99" s="22" t="s">
        <v>258</v>
      </c>
      <c r="H99" s="219"/>
      <c r="I99" s="2" t="s">
        <v>191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"/>
      <c r="B100" s="1"/>
      <c r="C100" s="1"/>
      <c r="D100" s="1">
        <v>8210356757</v>
      </c>
      <c r="E100" s="71" t="s">
        <v>151</v>
      </c>
      <c r="F100" s="12">
        <v>75</v>
      </c>
      <c r="G100" s="25" t="s">
        <v>259</v>
      </c>
      <c r="H100" s="221"/>
      <c r="I100" s="2" t="s">
        <v>92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" t="s">
        <v>165</v>
      </c>
      <c r="B101" s="1">
        <v>446</v>
      </c>
      <c r="C101" s="9">
        <v>43491</v>
      </c>
      <c r="D101" s="1">
        <v>8986771865</v>
      </c>
      <c r="E101" s="71" t="s">
        <v>260</v>
      </c>
      <c r="F101" s="12">
        <v>76</v>
      </c>
      <c r="G101" s="26" t="s">
        <v>261</v>
      </c>
      <c r="H101" s="222"/>
      <c r="I101" s="2" t="s">
        <v>202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" t="s">
        <v>165</v>
      </c>
      <c r="B102" s="1">
        <v>447</v>
      </c>
      <c r="C102" s="9">
        <v>43491</v>
      </c>
      <c r="D102" s="1">
        <v>8298008633</v>
      </c>
      <c r="E102" s="71" t="s">
        <v>262</v>
      </c>
      <c r="F102" s="12">
        <v>77</v>
      </c>
      <c r="G102" s="26" t="s">
        <v>263</v>
      </c>
      <c r="H102" s="222"/>
      <c r="I102" s="2" t="s">
        <v>264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" t="s">
        <v>265</v>
      </c>
      <c r="B103" s="1">
        <v>500</v>
      </c>
      <c r="C103" s="9">
        <v>43504</v>
      </c>
      <c r="D103" s="1">
        <v>9955961905</v>
      </c>
      <c r="E103" s="71" t="s">
        <v>266</v>
      </c>
      <c r="F103" s="12">
        <v>78</v>
      </c>
      <c r="G103" s="22" t="s">
        <v>267</v>
      </c>
      <c r="H103" s="219"/>
      <c r="I103" s="2" t="s">
        <v>268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"/>
      <c r="B104" s="1">
        <v>501</v>
      </c>
      <c r="C104" s="9">
        <v>43504</v>
      </c>
      <c r="D104" s="1"/>
      <c r="E104" s="71" t="s">
        <v>269</v>
      </c>
      <c r="F104" s="12">
        <v>79</v>
      </c>
      <c r="G104" s="22" t="s">
        <v>270</v>
      </c>
      <c r="H104" s="219"/>
      <c r="I104" s="2" t="s">
        <v>268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" t="s">
        <v>165</v>
      </c>
      <c r="B105" s="1">
        <v>514</v>
      </c>
      <c r="C105" s="9">
        <v>43513</v>
      </c>
      <c r="D105" s="1">
        <v>7366930051</v>
      </c>
      <c r="E105" s="71" t="s">
        <v>271</v>
      </c>
      <c r="F105" s="12">
        <v>80</v>
      </c>
      <c r="G105" s="22" t="s">
        <v>272</v>
      </c>
      <c r="H105" s="219"/>
      <c r="I105" s="2" t="s">
        <v>39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" t="s">
        <v>165</v>
      </c>
      <c r="B106" s="1">
        <v>515</v>
      </c>
      <c r="C106" s="9">
        <v>43513</v>
      </c>
      <c r="D106" s="1">
        <v>7366930051</v>
      </c>
      <c r="E106" s="71" t="s">
        <v>273</v>
      </c>
      <c r="F106" s="12">
        <v>81</v>
      </c>
      <c r="G106" s="2" t="s">
        <v>274</v>
      </c>
      <c r="H106" s="1"/>
      <c r="I106" s="2" t="s">
        <v>39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" t="s">
        <v>165</v>
      </c>
      <c r="B107" s="1">
        <v>521</v>
      </c>
      <c r="C107" s="9">
        <v>43521</v>
      </c>
      <c r="D107" s="1">
        <v>9234950455</v>
      </c>
      <c r="E107" s="71" t="s">
        <v>275</v>
      </c>
      <c r="F107" s="12">
        <v>82</v>
      </c>
      <c r="G107" s="22" t="s">
        <v>276</v>
      </c>
      <c r="H107" s="219"/>
      <c r="I107" s="2" t="s">
        <v>277</v>
      </c>
      <c r="J107" s="2" t="s">
        <v>278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" t="s">
        <v>161</v>
      </c>
      <c r="B108" s="1">
        <v>527</v>
      </c>
      <c r="C108" s="9">
        <v>43542</v>
      </c>
      <c r="D108" s="1"/>
      <c r="E108" s="71" t="s">
        <v>279</v>
      </c>
      <c r="F108" s="12">
        <v>84</v>
      </c>
      <c r="G108" s="27" t="s">
        <v>280</v>
      </c>
      <c r="H108" s="223"/>
      <c r="I108" s="2" t="s">
        <v>277</v>
      </c>
      <c r="J108" s="2" t="s">
        <v>278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" t="s">
        <v>219</v>
      </c>
      <c r="B109" s="1">
        <v>528</v>
      </c>
      <c r="C109" s="9">
        <v>43551</v>
      </c>
      <c r="D109" s="1">
        <v>8235699862</v>
      </c>
      <c r="E109" s="71" t="s">
        <v>281</v>
      </c>
      <c r="F109" s="12">
        <v>85</v>
      </c>
      <c r="G109" s="22" t="s">
        <v>282</v>
      </c>
      <c r="H109" s="219"/>
      <c r="I109" s="2" t="s">
        <v>264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" t="s">
        <v>165</v>
      </c>
      <c r="B110" s="1">
        <v>536</v>
      </c>
      <c r="C110" s="9">
        <v>43557</v>
      </c>
      <c r="D110" s="1">
        <v>6202786365</v>
      </c>
      <c r="E110" s="292" t="s">
        <v>283</v>
      </c>
      <c r="F110" s="1" t="s">
        <v>284</v>
      </c>
      <c r="G110" s="22" t="s">
        <v>285</v>
      </c>
      <c r="H110" s="21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" t="s">
        <v>165</v>
      </c>
      <c r="B111" s="1">
        <v>541</v>
      </c>
      <c r="C111" s="9">
        <v>43558</v>
      </c>
      <c r="D111" s="1">
        <v>9431180482</v>
      </c>
      <c r="E111" s="71" t="s">
        <v>286</v>
      </c>
      <c r="F111" s="1" t="s">
        <v>287</v>
      </c>
      <c r="G111" s="26" t="s">
        <v>288</v>
      </c>
      <c r="H111" s="222"/>
      <c r="I111" s="2" t="s">
        <v>92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3" t="s">
        <v>165</v>
      </c>
      <c r="B112" s="13">
        <v>543</v>
      </c>
      <c r="C112" s="24">
        <v>43564</v>
      </c>
      <c r="D112" s="13">
        <v>7992279452</v>
      </c>
      <c r="E112" s="291" t="s">
        <v>18</v>
      </c>
      <c r="F112" s="13" t="s">
        <v>289</v>
      </c>
      <c r="G112" s="23" t="s">
        <v>290</v>
      </c>
      <c r="H112" s="22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3" t="s">
        <v>165</v>
      </c>
      <c r="B113" s="13">
        <v>544</v>
      </c>
      <c r="C113" s="24">
        <v>43564</v>
      </c>
      <c r="D113" s="13">
        <v>7209382796</v>
      </c>
      <c r="E113" s="291" t="s">
        <v>291</v>
      </c>
      <c r="F113" s="13" t="s">
        <v>292</v>
      </c>
      <c r="G113" s="23" t="s">
        <v>293</v>
      </c>
      <c r="H113" s="220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" t="s">
        <v>161</v>
      </c>
      <c r="B114" s="1">
        <v>545</v>
      </c>
      <c r="C114" s="9">
        <v>43572</v>
      </c>
      <c r="D114" s="1"/>
      <c r="E114" s="71" t="s">
        <v>291</v>
      </c>
      <c r="F114" s="1" t="s">
        <v>294</v>
      </c>
      <c r="G114" s="22" t="s">
        <v>295</v>
      </c>
      <c r="H114" s="219"/>
      <c r="I114" s="2" t="s">
        <v>92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"/>
      <c r="B115" s="1">
        <v>586</v>
      </c>
      <c r="C115" s="9">
        <v>43627</v>
      </c>
      <c r="D115" s="1"/>
      <c r="E115" s="71" t="s">
        <v>296</v>
      </c>
      <c r="F115" s="12" t="s">
        <v>297</v>
      </c>
      <c r="G115" s="10" t="s">
        <v>298</v>
      </c>
      <c r="H115" s="21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" t="s">
        <v>165</v>
      </c>
      <c r="B116" s="1"/>
      <c r="C116" s="9">
        <v>43648</v>
      </c>
      <c r="D116" s="1">
        <v>6299266678</v>
      </c>
      <c r="E116" s="71" t="s">
        <v>299</v>
      </c>
      <c r="F116" s="12" t="s">
        <v>300</v>
      </c>
      <c r="G116" s="10" t="s">
        <v>301</v>
      </c>
      <c r="H116" s="218"/>
      <c r="I116" s="2" t="s">
        <v>39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" t="s">
        <v>155</v>
      </c>
      <c r="B117" s="1"/>
      <c r="C117" s="9">
        <v>43648</v>
      </c>
      <c r="D117" s="1"/>
      <c r="E117" s="71" t="s">
        <v>78</v>
      </c>
      <c r="F117" s="12" t="s">
        <v>302</v>
      </c>
      <c r="G117" s="10" t="s">
        <v>303</v>
      </c>
      <c r="H117" s="218"/>
      <c r="I117" s="2" t="s">
        <v>100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" t="s">
        <v>165</v>
      </c>
      <c r="B118" s="1"/>
      <c r="C118" s="9">
        <v>43653</v>
      </c>
      <c r="D118" s="1"/>
      <c r="E118" s="71" t="s">
        <v>18</v>
      </c>
      <c r="F118" s="12" t="s">
        <v>304</v>
      </c>
      <c r="G118" s="10" t="s">
        <v>305</v>
      </c>
      <c r="H118" s="218"/>
      <c r="I118" s="2"/>
      <c r="J118" s="2" t="s">
        <v>306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" t="s">
        <v>165</v>
      </c>
      <c r="B119" s="1">
        <v>630</v>
      </c>
      <c r="C119" s="9">
        <v>43654</v>
      </c>
      <c r="D119" s="17" t="s">
        <v>307</v>
      </c>
      <c r="E119" s="71" t="s">
        <v>308</v>
      </c>
      <c r="F119" s="12" t="s">
        <v>309</v>
      </c>
      <c r="G119" s="10" t="s">
        <v>310</v>
      </c>
      <c r="H119" s="218"/>
      <c r="I119" s="2" t="s">
        <v>92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"/>
      <c r="B120" s="1"/>
      <c r="C120" s="9">
        <v>43656</v>
      </c>
      <c r="D120" s="1">
        <v>6202809037</v>
      </c>
      <c r="E120" s="71" t="s">
        <v>311</v>
      </c>
      <c r="F120" s="12" t="s">
        <v>312</v>
      </c>
      <c r="G120" s="10" t="s">
        <v>313</v>
      </c>
      <c r="H120" s="218"/>
      <c r="I120" s="2" t="s">
        <v>39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"/>
      <c r="B121" s="1"/>
      <c r="C121" s="9">
        <v>43660</v>
      </c>
      <c r="D121" s="1">
        <v>7482099193</v>
      </c>
      <c r="E121" s="71" t="s">
        <v>314</v>
      </c>
      <c r="F121" s="12" t="s">
        <v>315</v>
      </c>
      <c r="G121" s="10" t="s">
        <v>316</v>
      </c>
      <c r="H121" s="218"/>
      <c r="I121" s="2" t="s">
        <v>317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"/>
      <c r="B122" s="1"/>
      <c r="C122" s="9">
        <v>43660</v>
      </c>
      <c r="D122" s="1">
        <v>8294583978</v>
      </c>
      <c r="E122" s="71" t="s">
        <v>318</v>
      </c>
      <c r="F122" s="12" t="s">
        <v>319</v>
      </c>
      <c r="G122" s="10" t="s">
        <v>320</v>
      </c>
      <c r="H122" s="218"/>
      <c r="I122" s="2" t="s">
        <v>39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" t="s">
        <v>321</v>
      </c>
      <c r="B123" s="1">
        <v>695</v>
      </c>
      <c r="C123" s="9">
        <v>43683</v>
      </c>
      <c r="D123" s="1">
        <v>7209835960</v>
      </c>
      <c r="E123" s="71" t="s">
        <v>322</v>
      </c>
      <c r="F123" s="12" t="s">
        <v>323</v>
      </c>
      <c r="G123" s="10" t="s">
        <v>324</v>
      </c>
      <c r="H123" s="21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3" t="s">
        <v>325</v>
      </c>
      <c r="B124" s="13"/>
      <c r="C124" s="24">
        <v>43685</v>
      </c>
      <c r="D124" s="13">
        <v>8002484625</v>
      </c>
      <c r="E124" s="291" t="s">
        <v>326</v>
      </c>
      <c r="F124" s="15" t="s">
        <v>327</v>
      </c>
      <c r="G124" s="28" t="s">
        <v>328</v>
      </c>
      <c r="H124" s="224"/>
      <c r="I124" s="11" t="s">
        <v>92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3" t="s">
        <v>325</v>
      </c>
      <c r="B125" s="13"/>
      <c r="C125" s="24">
        <v>43685</v>
      </c>
      <c r="D125" s="13">
        <v>8002484625</v>
      </c>
      <c r="E125" s="293" t="s">
        <v>329</v>
      </c>
      <c r="F125" s="15" t="s">
        <v>330</v>
      </c>
      <c r="G125" s="28" t="s">
        <v>331</v>
      </c>
      <c r="H125" s="224"/>
      <c r="I125" s="11" t="s">
        <v>92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3" t="s">
        <v>325</v>
      </c>
      <c r="B126" s="13"/>
      <c r="C126" s="24">
        <v>43686</v>
      </c>
      <c r="D126" s="13">
        <v>8002484625</v>
      </c>
      <c r="E126" s="291" t="s">
        <v>322</v>
      </c>
      <c r="F126" s="15" t="s">
        <v>332</v>
      </c>
      <c r="G126" s="28" t="s">
        <v>333</v>
      </c>
      <c r="H126" s="224"/>
      <c r="I126" s="11" t="s">
        <v>92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3" t="s">
        <v>334</v>
      </c>
      <c r="B127" s="13"/>
      <c r="C127" s="24">
        <v>43702</v>
      </c>
      <c r="D127" s="13">
        <v>7991130095</v>
      </c>
      <c r="E127" s="291" t="s">
        <v>335</v>
      </c>
      <c r="F127" s="15" t="s">
        <v>336</v>
      </c>
      <c r="G127" s="28" t="s">
        <v>337</v>
      </c>
      <c r="H127" s="224"/>
      <c r="I127" s="11" t="s">
        <v>92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" t="s">
        <v>338</v>
      </c>
      <c r="B128" s="1"/>
      <c r="C128" s="9">
        <v>43731</v>
      </c>
      <c r="D128" s="1"/>
      <c r="E128" s="71" t="s">
        <v>339</v>
      </c>
      <c r="F128" s="12" t="s">
        <v>340</v>
      </c>
      <c r="G128" s="10" t="s">
        <v>341</v>
      </c>
      <c r="H128" s="218"/>
      <c r="I128" s="2" t="s">
        <v>92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" t="s">
        <v>338</v>
      </c>
      <c r="B129" s="1"/>
      <c r="C129" s="9">
        <v>43734</v>
      </c>
      <c r="D129" s="1">
        <v>9031702049</v>
      </c>
      <c r="E129" s="71" t="s">
        <v>342</v>
      </c>
      <c r="F129" s="12" t="s">
        <v>343</v>
      </c>
      <c r="G129" s="10" t="s">
        <v>344</v>
      </c>
      <c r="H129" s="218"/>
      <c r="I129" s="2" t="s">
        <v>345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" t="s">
        <v>338</v>
      </c>
      <c r="B130" s="1"/>
      <c r="C130" s="9">
        <v>43734</v>
      </c>
      <c r="D130" s="1">
        <v>9031702049</v>
      </c>
      <c r="E130" s="71" t="s">
        <v>346</v>
      </c>
      <c r="F130" s="12">
        <v>106</v>
      </c>
      <c r="G130" s="10" t="s">
        <v>347</v>
      </c>
      <c r="H130" s="218"/>
      <c r="I130" s="2" t="s">
        <v>348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" t="s">
        <v>338</v>
      </c>
      <c r="B131" s="1"/>
      <c r="C131" s="9">
        <v>43739</v>
      </c>
      <c r="D131" s="1"/>
      <c r="E131" s="71" t="s">
        <v>349</v>
      </c>
      <c r="F131" s="12">
        <v>107</v>
      </c>
      <c r="G131" s="10" t="s">
        <v>350</v>
      </c>
      <c r="H131" s="218"/>
      <c r="I131" s="2" t="s">
        <v>251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" t="s">
        <v>351</v>
      </c>
      <c r="B132" s="1"/>
      <c r="C132" s="9">
        <v>43791</v>
      </c>
      <c r="D132" s="1"/>
      <c r="E132" s="71" t="s">
        <v>352</v>
      </c>
      <c r="F132" s="12">
        <v>108</v>
      </c>
      <c r="G132" s="10" t="s">
        <v>353</v>
      </c>
      <c r="H132" s="218"/>
      <c r="I132" s="2" t="s">
        <v>251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" t="s">
        <v>155</v>
      </c>
      <c r="B133" s="1"/>
      <c r="C133" s="9">
        <v>43804</v>
      </c>
      <c r="D133" s="1"/>
      <c r="E133" s="71" t="s">
        <v>354</v>
      </c>
      <c r="F133" s="12">
        <v>109</v>
      </c>
      <c r="G133" s="2" t="s">
        <v>355</v>
      </c>
      <c r="H133" s="1"/>
      <c r="I133" s="2" t="s">
        <v>356</v>
      </c>
      <c r="J133" s="2"/>
      <c r="K133" s="2" t="s">
        <v>357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" t="s">
        <v>325</v>
      </c>
      <c r="B134" s="1"/>
      <c r="C134" s="9">
        <v>43816</v>
      </c>
      <c r="D134" s="1"/>
      <c r="E134" s="71" t="s">
        <v>358</v>
      </c>
      <c r="F134" s="12">
        <v>110</v>
      </c>
      <c r="G134" s="10" t="s">
        <v>359</v>
      </c>
      <c r="H134" s="218"/>
      <c r="I134" s="2" t="s">
        <v>39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" t="s">
        <v>325</v>
      </c>
      <c r="B135" s="1"/>
      <c r="C135" s="9">
        <v>43816</v>
      </c>
      <c r="D135" s="1"/>
      <c r="E135" s="71" t="s">
        <v>360</v>
      </c>
      <c r="F135" s="12">
        <v>111</v>
      </c>
      <c r="G135" s="10" t="s">
        <v>361</v>
      </c>
      <c r="H135" s="218"/>
      <c r="I135" s="2" t="s">
        <v>39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" t="s">
        <v>325</v>
      </c>
      <c r="B136" s="1"/>
      <c r="C136" s="9">
        <v>43819</v>
      </c>
      <c r="D136" s="1"/>
      <c r="E136" s="71" t="s">
        <v>322</v>
      </c>
      <c r="F136" s="12">
        <v>112</v>
      </c>
      <c r="G136" s="10" t="s">
        <v>362</v>
      </c>
      <c r="H136" s="218"/>
      <c r="I136" s="2" t="s">
        <v>39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" t="s">
        <v>325</v>
      </c>
      <c r="B137" s="1"/>
      <c r="C137" s="9">
        <v>43826</v>
      </c>
      <c r="D137" s="1"/>
      <c r="E137" s="71" t="s">
        <v>329</v>
      </c>
      <c r="F137" s="12">
        <v>113</v>
      </c>
      <c r="G137" s="10" t="s">
        <v>363</v>
      </c>
      <c r="H137" s="218"/>
      <c r="I137" s="2" t="s">
        <v>39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" t="s">
        <v>325</v>
      </c>
      <c r="B138" s="1"/>
      <c r="C138" s="9">
        <v>43826</v>
      </c>
      <c r="D138" s="1"/>
      <c r="E138" s="71" t="s">
        <v>326</v>
      </c>
      <c r="F138" s="12">
        <v>114</v>
      </c>
      <c r="G138" s="10" t="s">
        <v>364</v>
      </c>
      <c r="H138" s="218"/>
      <c r="I138" s="2" t="s">
        <v>39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" t="s">
        <v>365</v>
      </c>
      <c r="B139" s="1"/>
      <c r="C139" s="9">
        <v>43826</v>
      </c>
      <c r="D139" s="1"/>
      <c r="E139" s="71" t="s">
        <v>366</v>
      </c>
      <c r="F139" s="12">
        <v>115</v>
      </c>
      <c r="G139" s="10" t="s">
        <v>367</v>
      </c>
      <c r="H139" s="218"/>
      <c r="I139" s="2" t="s">
        <v>39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1" t="s">
        <v>365</v>
      </c>
      <c r="B140" s="1"/>
      <c r="C140" s="9">
        <v>43826</v>
      </c>
      <c r="D140" s="1"/>
      <c r="E140" s="71" t="s">
        <v>368</v>
      </c>
      <c r="F140" s="12">
        <v>116</v>
      </c>
      <c r="G140" s="10" t="s">
        <v>369</v>
      </c>
      <c r="H140" s="218"/>
      <c r="I140" s="2" t="s">
        <v>39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1" t="s">
        <v>365</v>
      </c>
      <c r="B141" s="1"/>
      <c r="C141" s="9">
        <v>43826</v>
      </c>
      <c r="D141" s="1"/>
      <c r="E141" s="71" t="s">
        <v>370</v>
      </c>
      <c r="F141" s="12">
        <v>117</v>
      </c>
      <c r="G141" s="10" t="s">
        <v>371</v>
      </c>
      <c r="H141" s="218"/>
      <c r="I141" s="2" t="s">
        <v>39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1" t="s">
        <v>365</v>
      </c>
      <c r="B142" s="1"/>
      <c r="C142" s="9">
        <v>43826</v>
      </c>
      <c r="D142" s="1"/>
      <c r="E142" s="71" t="s">
        <v>372</v>
      </c>
      <c r="F142" s="12">
        <v>118</v>
      </c>
      <c r="G142" s="10" t="s">
        <v>373</v>
      </c>
      <c r="H142" s="218"/>
      <c r="I142" s="2" t="s">
        <v>39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1" t="s">
        <v>365</v>
      </c>
      <c r="B143" s="1"/>
      <c r="C143" s="9">
        <v>43831</v>
      </c>
      <c r="D143" s="1"/>
      <c r="E143" s="71" t="s">
        <v>354</v>
      </c>
      <c r="F143" s="12">
        <v>119</v>
      </c>
      <c r="G143" s="10" t="s">
        <v>374</v>
      </c>
      <c r="H143" s="218"/>
      <c r="I143" s="2" t="s">
        <v>39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1" t="s">
        <v>325</v>
      </c>
      <c r="B144" s="1"/>
      <c r="C144" s="9">
        <v>43877</v>
      </c>
      <c r="D144" s="1">
        <v>6203034658</v>
      </c>
      <c r="E144" s="71" t="s">
        <v>375</v>
      </c>
      <c r="F144" s="12">
        <v>120</v>
      </c>
      <c r="G144" s="10" t="s">
        <v>376</v>
      </c>
      <c r="H144" s="218"/>
      <c r="I144" s="2" t="s">
        <v>39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1" t="s">
        <v>365</v>
      </c>
      <c r="B145" s="1"/>
      <c r="C145" s="9">
        <v>43883</v>
      </c>
      <c r="D145" s="1">
        <v>9523678078</v>
      </c>
      <c r="E145" s="71" t="s">
        <v>234</v>
      </c>
      <c r="F145" s="12">
        <v>121</v>
      </c>
      <c r="G145" s="10" t="s">
        <v>377</v>
      </c>
      <c r="H145" s="218"/>
      <c r="I145" s="2" t="s">
        <v>39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1" t="s">
        <v>378</v>
      </c>
      <c r="B146" s="1"/>
      <c r="C146" s="9">
        <v>43888</v>
      </c>
      <c r="D146" s="1">
        <v>8092683138</v>
      </c>
      <c r="E146" s="71" t="s">
        <v>379</v>
      </c>
      <c r="F146" s="12">
        <v>122</v>
      </c>
      <c r="G146" s="10" t="s">
        <v>380</v>
      </c>
      <c r="H146" s="218"/>
      <c r="I146" s="2" t="s">
        <v>100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1" t="s">
        <v>378</v>
      </c>
      <c r="B147" s="1"/>
      <c r="C147" s="9">
        <v>43888</v>
      </c>
      <c r="D147" s="1">
        <v>8092683138</v>
      </c>
      <c r="E147" s="71" t="s">
        <v>381</v>
      </c>
      <c r="F147" s="12">
        <v>123</v>
      </c>
      <c r="G147" s="10" t="s">
        <v>382</v>
      </c>
      <c r="H147" s="218"/>
      <c r="I147" s="2" t="s">
        <v>100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1" t="s">
        <v>383</v>
      </c>
      <c r="B148" s="1" t="s">
        <v>101</v>
      </c>
      <c r="C148" s="1"/>
      <c r="D148" s="1"/>
      <c r="E148" s="71" t="s">
        <v>372</v>
      </c>
      <c r="F148" s="12">
        <v>124</v>
      </c>
      <c r="G148" s="10" t="s">
        <v>384</v>
      </c>
      <c r="H148" s="218"/>
      <c r="I148" s="2" t="s">
        <v>39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1" t="s">
        <v>365</v>
      </c>
      <c r="B149" s="1"/>
      <c r="C149" s="1"/>
      <c r="D149" s="1" t="s">
        <v>385</v>
      </c>
      <c r="E149" s="71" t="s">
        <v>386</v>
      </c>
      <c r="F149" s="12">
        <v>125</v>
      </c>
      <c r="G149" s="10" t="s">
        <v>387</v>
      </c>
      <c r="H149" s="218"/>
      <c r="I149" s="2" t="s">
        <v>100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1" t="s">
        <v>325</v>
      </c>
      <c r="B150" s="1"/>
      <c r="C150" s="9">
        <v>43914</v>
      </c>
      <c r="D150" s="1">
        <v>7979069837</v>
      </c>
      <c r="E150" s="71" t="s">
        <v>388</v>
      </c>
      <c r="F150" s="12">
        <v>126</v>
      </c>
      <c r="G150" s="10" t="s">
        <v>389</v>
      </c>
      <c r="H150" s="218"/>
      <c r="I150" s="2" t="s">
        <v>100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1" t="s">
        <v>365</v>
      </c>
      <c r="B151" s="1">
        <v>965</v>
      </c>
      <c r="C151" s="1"/>
      <c r="D151" s="1"/>
      <c r="E151" s="71" t="s">
        <v>390</v>
      </c>
      <c r="F151" s="12">
        <v>127</v>
      </c>
      <c r="G151" s="10" t="s">
        <v>391</v>
      </c>
      <c r="H151" s="218"/>
      <c r="I151" s="2" t="s">
        <v>100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1" t="s">
        <v>365</v>
      </c>
      <c r="B152" s="1"/>
      <c r="C152" s="9">
        <v>44006</v>
      </c>
      <c r="D152" s="1">
        <v>8521835899</v>
      </c>
      <c r="E152" s="71" t="s">
        <v>392</v>
      </c>
      <c r="F152" s="12">
        <v>128</v>
      </c>
      <c r="G152" s="10" t="s">
        <v>393</v>
      </c>
      <c r="H152" s="218"/>
      <c r="I152" s="2" t="s">
        <v>39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1" t="s">
        <v>365</v>
      </c>
      <c r="B153" s="1"/>
      <c r="C153" s="9">
        <v>44006</v>
      </c>
      <c r="D153" s="1">
        <v>8521835899</v>
      </c>
      <c r="E153" s="71" t="s">
        <v>394</v>
      </c>
      <c r="F153" s="12">
        <v>129</v>
      </c>
      <c r="G153" s="10" t="s">
        <v>395</v>
      </c>
      <c r="H153" s="21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1" t="s">
        <v>365</v>
      </c>
      <c r="B154" s="1"/>
      <c r="C154" s="9">
        <v>44006</v>
      </c>
      <c r="D154" s="1">
        <v>9304675025</v>
      </c>
      <c r="E154" s="71" t="s">
        <v>396</v>
      </c>
      <c r="F154" s="1" t="s">
        <v>397</v>
      </c>
      <c r="G154" s="10" t="s">
        <v>398</v>
      </c>
      <c r="H154" s="218"/>
      <c r="I154" s="2" t="s">
        <v>399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1" t="s">
        <v>365</v>
      </c>
      <c r="B155" s="1"/>
      <c r="C155" s="9">
        <v>44013</v>
      </c>
      <c r="D155" s="1">
        <v>8521835899</v>
      </c>
      <c r="E155" s="71" t="s">
        <v>392</v>
      </c>
      <c r="F155" s="12">
        <v>131</v>
      </c>
      <c r="G155" s="10" t="s">
        <v>400</v>
      </c>
      <c r="H155" s="218"/>
      <c r="I155" s="2" t="s">
        <v>39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1" t="s">
        <v>365</v>
      </c>
      <c r="B156" s="1"/>
      <c r="C156" s="9">
        <v>44025</v>
      </c>
      <c r="D156" s="17" t="s">
        <v>401</v>
      </c>
      <c r="E156" s="71" t="s">
        <v>402</v>
      </c>
      <c r="F156" s="1">
        <v>132</v>
      </c>
      <c r="G156" s="10" t="s">
        <v>403</v>
      </c>
      <c r="H156" s="218"/>
      <c r="I156" s="2" t="s">
        <v>114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1" t="s">
        <v>365</v>
      </c>
      <c r="B157" s="1"/>
      <c r="C157" s="9">
        <v>44025</v>
      </c>
      <c r="D157" s="17" t="s">
        <v>401</v>
      </c>
      <c r="E157" s="71" t="s">
        <v>404</v>
      </c>
      <c r="F157" s="12">
        <v>133</v>
      </c>
      <c r="G157" s="10" t="s">
        <v>405</v>
      </c>
      <c r="H157" s="218"/>
      <c r="I157" s="2" t="s">
        <v>114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1" t="s">
        <v>338</v>
      </c>
      <c r="B158" s="1"/>
      <c r="C158" s="9">
        <v>44025</v>
      </c>
      <c r="D158" s="17" t="s">
        <v>401</v>
      </c>
      <c r="E158" s="71" t="s">
        <v>406</v>
      </c>
      <c r="F158" s="12">
        <v>134</v>
      </c>
      <c r="G158" s="10" t="s">
        <v>407</v>
      </c>
      <c r="H158" s="218"/>
      <c r="I158" s="2" t="s">
        <v>114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1" t="s">
        <v>338</v>
      </c>
      <c r="B159" s="1"/>
      <c r="C159" s="9">
        <v>44040</v>
      </c>
      <c r="D159" s="1"/>
      <c r="E159" s="71" t="s">
        <v>390</v>
      </c>
      <c r="F159" s="12">
        <v>135</v>
      </c>
      <c r="G159" s="10" t="s">
        <v>408</v>
      </c>
      <c r="H159" s="218"/>
      <c r="I159" s="2" t="s">
        <v>39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1"/>
      <c r="B160" s="1"/>
      <c r="C160" s="9" t="s">
        <v>409</v>
      </c>
      <c r="D160" s="1">
        <v>8521835899</v>
      </c>
      <c r="E160" s="71" t="s">
        <v>394</v>
      </c>
      <c r="F160" s="12"/>
      <c r="G160" s="10" t="s">
        <v>410</v>
      </c>
      <c r="H160" s="218"/>
      <c r="I160" s="2" t="s">
        <v>39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1" t="s">
        <v>351</v>
      </c>
      <c r="B161" s="1"/>
      <c r="C161" s="9">
        <v>44112</v>
      </c>
      <c r="D161" s="1" t="s">
        <v>119</v>
      </c>
      <c r="E161" s="71" t="s">
        <v>411</v>
      </c>
      <c r="F161" s="12">
        <v>136</v>
      </c>
      <c r="G161" s="10" t="s">
        <v>412</v>
      </c>
      <c r="H161" s="218"/>
      <c r="I161" s="2" t="s">
        <v>345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1" t="s">
        <v>338</v>
      </c>
      <c r="B162" s="1"/>
      <c r="C162" s="9">
        <v>44113</v>
      </c>
      <c r="D162" s="1">
        <v>9304240326</v>
      </c>
      <c r="E162" s="71" t="s">
        <v>413</v>
      </c>
      <c r="F162" s="12">
        <v>137</v>
      </c>
      <c r="G162" s="10" t="s">
        <v>414</v>
      </c>
      <c r="H162" s="218"/>
      <c r="I162" s="2" t="s">
        <v>100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1"/>
      <c r="B163" s="1"/>
      <c r="C163" s="9">
        <v>44113</v>
      </c>
      <c r="D163" s="1">
        <v>9304240326</v>
      </c>
      <c r="E163" s="71" t="s">
        <v>415</v>
      </c>
      <c r="F163" s="12">
        <v>138</v>
      </c>
      <c r="G163" s="10" t="s">
        <v>416</v>
      </c>
      <c r="H163" s="218"/>
      <c r="I163" s="2" t="s">
        <v>100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1" t="s">
        <v>383</v>
      </c>
      <c r="B164" s="1"/>
      <c r="C164" s="9">
        <v>44103</v>
      </c>
      <c r="D164" s="1">
        <v>9608115812</v>
      </c>
      <c r="E164" s="71" t="s">
        <v>392</v>
      </c>
      <c r="F164" s="12">
        <v>139</v>
      </c>
      <c r="G164" s="10" t="s">
        <v>417</v>
      </c>
      <c r="H164" s="218" t="s">
        <v>418</v>
      </c>
      <c r="I164" s="2" t="s">
        <v>39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1"/>
      <c r="B165" s="1"/>
      <c r="C165" s="9">
        <v>44103</v>
      </c>
      <c r="D165" s="1">
        <v>9608115812</v>
      </c>
      <c r="E165" s="71" t="s">
        <v>419</v>
      </c>
      <c r="F165" s="12"/>
      <c r="G165" s="10" t="s">
        <v>420</v>
      </c>
      <c r="H165" s="218"/>
      <c r="I165" s="2" t="s">
        <v>39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1"/>
      <c r="B166" s="1"/>
      <c r="C166" s="1"/>
      <c r="D166" s="1"/>
      <c r="E166" s="71" t="s">
        <v>421</v>
      </c>
      <c r="F166" s="12"/>
      <c r="G166" s="10" t="s">
        <v>422</v>
      </c>
      <c r="H166" s="218"/>
      <c r="I166" s="2" t="s">
        <v>39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1" t="s">
        <v>338</v>
      </c>
      <c r="B167" s="1"/>
      <c r="C167" s="9">
        <v>44132</v>
      </c>
      <c r="D167" s="17" t="s">
        <v>423</v>
      </c>
      <c r="E167" s="71" t="s">
        <v>390</v>
      </c>
      <c r="F167" s="12">
        <v>140</v>
      </c>
      <c r="G167" s="10" t="s">
        <v>424</v>
      </c>
      <c r="H167" s="218"/>
      <c r="I167" s="2" t="s">
        <v>39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1" t="s">
        <v>338</v>
      </c>
      <c r="B168" s="1"/>
      <c r="C168" s="9">
        <v>44132</v>
      </c>
      <c r="D168" s="1">
        <v>7970545337</v>
      </c>
      <c r="E168" s="71" t="s">
        <v>349</v>
      </c>
      <c r="F168" s="12">
        <v>141</v>
      </c>
      <c r="G168" s="10" t="s">
        <v>425</v>
      </c>
      <c r="H168" s="218"/>
      <c r="I168" s="2" t="s">
        <v>39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1" t="s">
        <v>351</v>
      </c>
      <c r="B169" s="1"/>
      <c r="C169" s="9">
        <v>44132</v>
      </c>
      <c r="D169" s="1">
        <v>9905225268</v>
      </c>
      <c r="E169" s="71" t="s">
        <v>426</v>
      </c>
      <c r="F169" s="12">
        <v>142</v>
      </c>
      <c r="G169" s="10" t="s">
        <v>427</v>
      </c>
      <c r="H169" s="218"/>
      <c r="I169" s="2" t="s">
        <v>100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1"/>
      <c r="B170" s="1"/>
      <c r="C170" s="9">
        <v>44100</v>
      </c>
      <c r="D170" s="1"/>
      <c r="E170" s="71" t="s">
        <v>428</v>
      </c>
      <c r="F170" s="12"/>
      <c r="G170" s="2" t="s">
        <v>429</v>
      </c>
      <c r="H170" s="1"/>
      <c r="I170" s="2" t="s">
        <v>268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1" t="s">
        <v>365</v>
      </c>
      <c r="B171" s="1"/>
      <c r="C171" s="9">
        <v>44151</v>
      </c>
      <c r="D171" s="1"/>
      <c r="E171" s="71" t="s">
        <v>430</v>
      </c>
      <c r="F171" s="12">
        <v>144</v>
      </c>
      <c r="G171" s="10" t="s">
        <v>431</v>
      </c>
      <c r="H171" s="218"/>
      <c r="I171" s="2" t="s">
        <v>100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1" t="s">
        <v>365</v>
      </c>
      <c r="B172" s="1"/>
      <c r="C172" s="9">
        <v>44169</v>
      </c>
      <c r="D172" s="17" t="s">
        <v>432</v>
      </c>
      <c r="E172" s="71" t="s">
        <v>131</v>
      </c>
      <c r="F172" s="12">
        <v>145</v>
      </c>
      <c r="G172" s="10" t="s">
        <v>433</v>
      </c>
      <c r="H172" s="218"/>
      <c r="I172" s="2" t="s">
        <v>39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1" t="s">
        <v>365</v>
      </c>
      <c r="B173" s="1"/>
      <c r="C173" s="9">
        <v>44169</v>
      </c>
      <c r="D173" s="17" t="s">
        <v>434</v>
      </c>
      <c r="E173" s="71" t="s">
        <v>133</v>
      </c>
      <c r="F173" s="12">
        <v>146</v>
      </c>
      <c r="G173" s="10" t="s">
        <v>435</v>
      </c>
      <c r="H173" s="218"/>
      <c r="I173" s="2" t="s">
        <v>39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1"/>
      <c r="B174" s="1"/>
      <c r="C174" s="9">
        <v>44174</v>
      </c>
      <c r="D174" s="1">
        <v>6200713901</v>
      </c>
      <c r="E174" s="71" t="s">
        <v>436</v>
      </c>
      <c r="F174" s="12">
        <v>147</v>
      </c>
      <c r="G174" s="10" t="s">
        <v>437</v>
      </c>
      <c r="H174" s="218"/>
      <c r="I174" s="2" t="s">
        <v>100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1" t="s">
        <v>365</v>
      </c>
      <c r="B175" s="1" t="s">
        <v>161</v>
      </c>
      <c r="C175" s="9">
        <v>44181</v>
      </c>
      <c r="D175" s="1"/>
      <c r="E175" s="71" t="s">
        <v>438</v>
      </c>
      <c r="F175" s="12">
        <v>148</v>
      </c>
      <c r="G175" s="29" t="s">
        <v>439</v>
      </c>
      <c r="H175" s="1"/>
      <c r="I175" s="2" t="s">
        <v>100</v>
      </c>
      <c r="J175" s="2" t="s">
        <v>440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1"/>
      <c r="B176" s="1"/>
      <c r="C176" s="1"/>
      <c r="D176" s="1"/>
      <c r="E176" s="71" t="s">
        <v>436</v>
      </c>
      <c r="F176" s="12">
        <v>149</v>
      </c>
      <c r="G176" s="10" t="s">
        <v>441</v>
      </c>
      <c r="H176" s="1"/>
      <c r="I176" s="2" t="s">
        <v>100</v>
      </c>
      <c r="J176" s="2" t="s">
        <v>442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1" t="s">
        <v>325</v>
      </c>
      <c r="B177" s="1"/>
      <c r="C177" s="9">
        <v>44197</v>
      </c>
      <c r="D177" s="1">
        <v>8809903596</v>
      </c>
      <c r="E177" s="291" t="s">
        <v>426</v>
      </c>
      <c r="F177" s="12">
        <v>150</v>
      </c>
      <c r="G177" s="10" t="s">
        <v>443</v>
      </c>
      <c r="H177" s="1"/>
      <c r="I177" s="2" t="s">
        <v>100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1"/>
      <c r="B178" s="1"/>
      <c r="C178" s="1"/>
      <c r="D178" s="1"/>
      <c r="E178" s="71" t="s">
        <v>444</v>
      </c>
      <c r="F178" s="12">
        <v>151</v>
      </c>
      <c r="G178" s="10" t="s">
        <v>445</v>
      </c>
      <c r="H178" s="1"/>
      <c r="I178" s="2" t="s">
        <v>100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1" t="s">
        <v>351</v>
      </c>
      <c r="B179" s="1"/>
      <c r="C179" s="9">
        <v>44204</v>
      </c>
      <c r="D179" s="1">
        <v>8809903596</v>
      </c>
      <c r="E179" s="71" t="s">
        <v>426</v>
      </c>
      <c r="F179" s="12">
        <v>152</v>
      </c>
      <c r="G179" s="29" t="s">
        <v>446</v>
      </c>
      <c r="H179" s="1"/>
      <c r="I179" s="2" t="s">
        <v>268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1" t="s">
        <v>351</v>
      </c>
      <c r="B180" s="1"/>
      <c r="C180" s="1"/>
      <c r="D180" s="1"/>
      <c r="E180" s="71" t="s">
        <v>447</v>
      </c>
      <c r="F180" s="12">
        <v>153</v>
      </c>
      <c r="G180" s="10" t="s">
        <v>448</v>
      </c>
      <c r="H180" s="1" t="s">
        <v>449</v>
      </c>
      <c r="I180" s="2" t="s">
        <v>268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"/>
      <c r="B181" s="1"/>
      <c r="C181" s="9">
        <v>44221</v>
      </c>
      <c r="D181" s="1"/>
      <c r="E181" s="71" t="s">
        <v>450</v>
      </c>
      <c r="F181" s="12">
        <v>154</v>
      </c>
      <c r="G181" s="10" t="s">
        <v>451</v>
      </c>
      <c r="H181" s="1"/>
      <c r="I181" s="2" t="s">
        <v>268</v>
      </c>
      <c r="J181" s="2" t="s">
        <v>452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1" t="s">
        <v>365</v>
      </c>
      <c r="B182" s="1"/>
      <c r="C182" s="9">
        <v>44241</v>
      </c>
      <c r="D182" s="1"/>
      <c r="E182" s="71" t="s">
        <v>453</v>
      </c>
      <c r="F182" s="12">
        <v>155</v>
      </c>
      <c r="G182" s="10" t="s">
        <v>454</v>
      </c>
      <c r="H182" s="1"/>
      <c r="I182" s="2" t="s">
        <v>100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1" t="s">
        <v>351</v>
      </c>
      <c r="B183" s="1"/>
      <c r="C183" s="9">
        <v>44268</v>
      </c>
      <c r="D183" s="1"/>
      <c r="E183" s="71" t="s">
        <v>455</v>
      </c>
      <c r="F183" s="12">
        <v>156</v>
      </c>
      <c r="G183" s="10" t="s">
        <v>456</v>
      </c>
      <c r="H183" s="1"/>
      <c r="I183" s="2" t="s">
        <v>39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1" t="s">
        <v>351</v>
      </c>
      <c r="B184" s="1"/>
      <c r="C184" s="9">
        <v>44268</v>
      </c>
      <c r="D184" s="1">
        <v>9709176924</v>
      </c>
      <c r="E184" s="71" t="s">
        <v>444</v>
      </c>
      <c r="F184" s="12">
        <v>157</v>
      </c>
      <c r="G184" s="10" t="s">
        <v>457</v>
      </c>
      <c r="H184" s="1"/>
      <c r="I184" s="2" t="s">
        <v>39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1" t="s">
        <v>351</v>
      </c>
      <c r="B185" s="1"/>
      <c r="C185" s="9">
        <v>44268</v>
      </c>
      <c r="D185" s="1">
        <v>7079706474</v>
      </c>
      <c r="E185" s="71" t="s">
        <v>458</v>
      </c>
      <c r="F185" s="12">
        <v>158</v>
      </c>
      <c r="G185" s="10" t="s">
        <v>459</v>
      </c>
      <c r="H185" s="1"/>
      <c r="I185" s="2" t="s">
        <v>39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1" t="s">
        <v>351</v>
      </c>
      <c r="B186" s="1"/>
      <c r="C186" s="9">
        <v>44268</v>
      </c>
      <c r="D186" s="1"/>
      <c r="E186" s="71" t="s">
        <v>460</v>
      </c>
      <c r="F186" s="12">
        <v>159</v>
      </c>
      <c r="G186" s="10" t="s">
        <v>461</v>
      </c>
      <c r="H186" s="1"/>
      <c r="I186" s="2" t="s">
        <v>39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1" t="s">
        <v>351</v>
      </c>
      <c r="B187" s="1"/>
      <c r="C187" s="9">
        <v>44268</v>
      </c>
      <c r="D187" s="1"/>
      <c r="E187" s="71" t="s">
        <v>462</v>
      </c>
      <c r="F187" s="12">
        <v>160</v>
      </c>
      <c r="G187" s="10" t="s">
        <v>463</v>
      </c>
      <c r="H187" s="1"/>
      <c r="I187" s="2" t="s">
        <v>39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1" t="s">
        <v>464</v>
      </c>
      <c r="B188" s="1"/>
      <c r="C188" s="9">
        <v>44268</v>
      </c>
      <c r="D188" s="1">
        <v>7903124157</v>
      </c>
      <c r="E188" s="71" t="s">
        <v>453</v>
      </c>
      <c r="F188" s="12">
        <v>161</v>
      </c>
      <c r="G188" s="10" t="s">
        <v>465</v>
      </c>
      <c r="H188" s="1"/>
      <c r="I188" s="2" t="s">
        <v>268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1" t="s">
        <v>351</v>
      </c>
      <c r="B189" s="1"/>
      <c r="C189" s="9">
        <v>44363</v>
      </c>
      <c r="D189" s="1"/>
      <c r="E189" s="71" t="s">
        <v>466</v>
      </c>
      <c r="F189" s="12">
        <v>162</v>
      </c>
      <c r="G189" s="10" t="s">
        <v>467</v>
      </c>
      <c r="H189" s="1"/>
      <c r="I189" s="2" t="s">
        <v>39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1" t="s">
        <v>351</v>
      </c>
      <c r="B190" s="1"/>
      <c r="C190" s="9">
        <v>44363</v>
      </c>
      <c r="D190" s="1"/>
      <c r="E190" s="71" t="s">
        <v>468</v>
      </c>
      <c r="F190" s="12">
        <v>163</v>
      </c>
      <c r="G190" s="10" t="s">
        <v>469</v>
      </c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1"/>
      <c r="B191" s="1"/>
      <c r="C191" s="1"/>
      <c r="D191" s="1" t="s">
        <v>470</v>
      </c>
      <c r="E191" s="71" t="s">
        <v>471</v>
      </c>
      <c r="F191" s="12">
        <v>164</v>
      </c>
      <c r="G191" s="10" t="s">
        <v>472</v>
      </c>
      <c r="H191" s="1"/>
      <c r="I191" s="2" t="s">
        <v>100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1"/>
      <c r="B192" s="1"/>
      <c r="C192" s="1"/>
      <c r="D192" s="1" t="s">
        <v>470</v>
      </c>
      <c r="E192" s="71" t="s">
        <v>473</v>
      </c>
      <c r="F192" s="12">
        <v>165</v>
      </c>
      <c r="G192" s="10" t="s">
        <v>474</v>
      </c>
      <c r="H192" s="1"/>
      <c r="I192" s="2" t="s">
        <v>100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1"/>
      <c r="B193" s="1"/>
      <c r="C193" s="9">
        <v>44407</v>
      </c>
      <c r="D193" s="1">
        <v>7858820414</v>
      </c>
      <c r="E193" s="71" t="s">
        <v>475</v>
      </c>
      <c r="F193" s="12">
        <v>166</v>
      </c>
      <c r="G193" s="10" t="s">
        <v>476</v>
      </c>
      <c r="H193" s="1"/>
      <c r="I193" s="2" t="s">
        <v>39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1"/>
      <c r="B194" s="1"/>
      <c r="C194" s="9">
        <v>44407</v>
      </c>
      <c r="D194" s="1">
        <v>6201851477</v>
      </c>
      <c r="E194" s="71" t="s">
        <v>477</v>
      </c>
      <c r="F194" s="12">
        <v>167</v>
      </c>
      <c r="G194" s="10" t="s">
        <v>478</v>
      </c>
      <c r="H194" s="1"/>
      <c r="I194" s="2" t="s">
        <v>479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1"/>
      <c r="B195" s="1"/>
      <c r="C195" s="9">
        <v>44407</v>
      </c>
      <c r="D195" s="1">
        <v>6201851477</v>
      </c>
      <c r="E195" s="71" t="s">
        <v>480</v>
      </c>
      <c r="F195" s="12">
        <v>168</v>
      </c>
      <c r="G195" s="10" t="s">
        <v>481</v>
      </c>
      <c r="H195" s="1"/>
      <c r="I195" s="2" t="s">
        <v>100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1"/>
      <c r="B196" s="1"/>
      <c r="C196" s="9">
        <v>44409</v>
      </c>
      <c r="D196" s="1">
        <v>6201319163</v>
      </c>
      <c r="E196" s="71" t="s">
        <v>482</v>
      </c>
      <c r="F196" s="12">
        <v>169</v>
      </c>
      <c r="G196" s="10" t="s">
        <v>483</v>
      </c>
      <c r="H196" s="1"/>
      <c r="I196" s="2" t="s">
        <v>484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1"/>
      <c r="B197" s="1"/>
      <c r="C197" s="9">
        <v>44409</v>
      </c>
      <c r="D197" s="1">
        <v>9771606502</v>
      </c>
      <c r="E197" s="71" t="s">
        <v>485</v>
      </c>
      <c r="F197" s="12">
        <v>170</v>
      </c>
      <c r="G197" s="10" t="s">
        <v>486</v>
      </c>
      <c r="H197" s="1"/>
      <c r="I197" s="2" t="s">
        <v>100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1"/>
      <c r="B198" s="1"/>
      <c r="C198" s="1" t="s">
        <v>487</v>
      </c>
      <c r="D198" s="1">
        <v>9771579821</v>
      </c>
      <c r="E198" s="71" t="s">
        <v>488</v>
      </c>
      <c r="F198" s="12">
        <v>171</v>
      </c>
      <c r="G198" s="10" t="s">
        <v>489</v>
      </c>
      <c r="H198" s="1"/>
      <c r="I198" s="2" t="s">
        <v>39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1"/>
      <c r="B199" s="1"/>
      <c r="C199" s="9">
        <v>44411</v>
      </c>
      <c r="D199" s="1" t="s">
        <v>470</v>
      </c>
      <c r="E199" s="71" t="s">
        <v>490</v>
      </c>
      <c r="F199" s="12">
        <v>172</v>
      </c>
      <c r="G199" s="10" t="s">
        <v>491</v>
      </c>
      <c r="H199" s="1"/>
      <c r="I199" s="2" t="s">
        <v>492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1"/>
      <c r="B200" s="1" t="s">
        <v>383</v>
      </c>
      <c r="C200" s="9">
        <v>44419</v>
      </c>
      <c r="D200" s="1">
        <v>8252679991</v>
      </c>
      <c r="E200" s="71" t="s">
        <v>392</v>
      </c>
      <c r="F200" s="12">
        <v>173</v>
      </c>
      <c r="G200" s="10" t="s">
        <v>493</v>
      </c>
      <c r="H200" s="1"/>
      <c r="I200" s="2" t="s">
        <v>100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1"/>
      <c r="B201" s="1"/>
      <c r="C201" s="1"/>
      <c r="D201" s="17" t="s">
        <v>494</v>
      </c>
      <c r="E201" s="71" t="s">
        <v>495</v>
      </c>
      <c r="F201" s="1">
        <v>174</v>
      </c>
      <c r="G201" s="10" t="s">
        <v>496</v>
      </c>
      <c r="H201" s="1"/>
      <c r="I201" s="2" t="s">
        <v>251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1"/>
      <c r="B202" s="1"/>
      <c r="C202" s="1"/>
      <c r="D202" s="1">
        <v>8252679991</v>
      </c>
      <c r="E202" s="71" t="s">
        <v>392</v>
      </c>
      <c r="F202" s="12">
        <v>175</v>
      </c>
      <c r="G202" s="10" t="s">
        <v>497</v>
      </c>
      <c r="H202" s="1"/>
      <c r="I202" s="2" t="s">
        <v>39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1"/>
      <c r="B203" s="1" t="s">
        <v>265</v>
      </c>
      <c r="C203" s="9">
        <v>44421</v>
      </c>
      <c r="D203" s="1">
        <v>7717797740</v>
      </c>
      <c r="E203" s="71" t="s">
        <v>498</v>
      </c>
      <c r="F203" s="1"/>
      <c r="G203" s="10" t="s">
        <v>499</v>
      </c>
      <c r="H203" s="1"/>
      <c r="I203" s="2" t="s">
        <v>39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1"/>
      <c r="B204" s="1" t="s">
        <v>351</v>
      </c>
      <c r="C204" s="1"/>
      <c r="D204" s="1"/>
      <c r="E204" s="71" t="s">
        <v>500</v>
      </c>
      <c r="F204" s="12">
        <v>175</v>
      </c>
      <c r="G204" s="10" t="s">
        <v>501</v>
      </c>
      <c r="H204" s="1"/>
      <c r="I204" s="2" t="s">
        <v>36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1"/>
      <c r="B205" s="1"/>
      <c r="C205" s="1"/>
      <c r="D205" s="1"/>
      <c r="E205" s="71" t="s">
        <v>468</v>
      </c>
      <c r="F205" s="12">
        <v>176</v>
      </c>
      <c r="G205" s="10" t="s">
        <v>502</v>
      </c>
      <c r="H205" s="1"/>
      <c r="I205" s="2" t="s">
        <v>39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1"/>
      <c r="B206" s="1"/>
      <c r="C206" s="1"/>
      <c r="D206" s="1">
        <v>9431381292</v>
      </c>
      <c r="E206" s="71" t="s">
        <v>503</v>
      </c>
      <c r="F206" s="12">
        <v>177</v>
      </c>
      <c r="G206" s="10" t="s">
        <v>504</v>
      </c>
      <c r="H206" s="1"/>
      <c r="I206" s="2" t="s">
        <v>39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1"/>
      <c r="B207" s="1"/>
      <c r="C207" s="1"/>
      <c r="D207" s="1">
        <v>9608766820</v>
      </c>
      <c r="E207" s="71" t="s">
        <v>505</v>
      </c>
      <c r="F207" s="12">
        <v>178</v>
      </c>
      <c r="G207" s="10" t="s">
        <v>506</v>
      </c>
      <c r="H207" s="1"/>
      <c r="I207" s="2" t="s">
        <v>507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1"/>
      <c r="B208" s="1"/>
      <c r="C208" s="9">
        <v>44449</v>
      </c>
      <c r="D208" s="1">
        <v>6206540494</v>
      </c>
      <c r="E208" s="71" t="s">
        <v>508</v>
      </c>
      <c r="F208" s="12">
        <v>179</v>
      </c>
      <c r="G208" s="10" t="s">
        <v>509</v>
      </c>
      <c r="H208" s="1"/>
      <c r="I208" s="2" t="s">
        <v>100</v>
      </c>
      <c r="J208" s="2" t="s">
        <v>510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1"/>
      <c r="B209" s="1" t="s">
        <v>351</v>
      </c>
      <c r="C209" s="9">
        <v>44465</v>
      </c>
      <c r="D209" s="1">
        <v>9905241547</v>
      </c>
      <c r="E209" s="71" t="s">
        <v>511</v>
      </c>
      <c r="F209" s="12">
        <v>180</v>
      </c>
      <c r="G209" s="10" t="s">
        <v>512</v>
      </c>
      <c r="H209" s="1"/>
      <c r="I209" s="2" t="s">
        <v>507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1"/>
      <c r="B210" s="1" t="s">
        <v>365</v>
      </c>
      <c r="C210" s="9">
        <v>44468</v>
      </c>
      <c r="D210" s="1">
        <v>9142241756</v>
      </c>
      <c r="E210" s="71" t="s">
        <v>513</v>
      </c>
      <c r="F210" s="12">
        <v>181</v>
      </c>
      <c r="G210" s="10" t="s">
        <v>6485</v>
      </c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1"/>
      <c r="B211" s="1" t="s">
        <v>365</v>
      </c>
      <c r="C211" s="9">
        <v>44470</v>
      </c>
      <c r="D211" s="1">
        <v>6200713901</v>
      </c>
      <c r="E211" s="71" t="s">
        <v>436</v>
      </c>
      <c r="F211" s="12">
        <v>182</v>
      </c>
      <c r="G211" s="10" t="s">
        <v>515</v>
      </c>
      <c r="H211" s="30" t="s">
        <v>516</v>
      </c>
      <c r="I211" s="2" t="s">
        <v>517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"/>
      <c r="B212" s="1" t="s">
        <v>365</v>
      </c>
      <c r="C212" s="9">
        <v>44470</v>
      </c>
      <c r="D212" s="1">
        <v>6200713901</v>
      </c>
      <c r="E212" s="71" t="s">
        <v>518</v>
      </c>
      <c r="F212" s="12">
        <v>183</v>
      </c>
      <c r="G212" s="10" t="s">
        <v>519</v>
      </c>
      <c r="H212" s="30" t="s">
        <v>516</v>
      </c>
      <c r="I212" s="2" t="s">
        <v>517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1"/>
      <c r="B213" s="1" t="s">
        <v>365</v>
      </c>
      <c r="C213" s="9">
        <v>44483</v>
      </c>
      <c r="D213" s="1">
        <v>8603203049</v>
      </c>
      <c r="E213" s="71" t="s">
        <v>520</v>
      </c>
      <c r="F213" s="12">
        <v>184</v>
      </c>
      <c r="G213" s="10" t="s">
        <v>521</v>
      </c>
      <c r="H213" s="1"/>
      <c r="I213" s="2" t="s">
        <v>100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1"/>
      <c r="B214" s="1" t="s">
        <v>325</v>
      </c>
      <c r="C214" s="9">
        <v>44490</v>
      </c>
      <c r="D214" s="1">
        <v>7033479305</v>
      </c>
      <c r="E214" s="71" t="s">
        <v>522</v>
      </c>
      <c r="F214" s="12">
        <v>185</v>
      </c>
      <c r="G214" s="10" t="s">
        <v>523</v>
      </c>
      <c r="H214" s="1"/>
      <c r="I214" s="2" t="s">
        <v>100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1"/>
      <c r="B215" s="1"/>
      <c r="C215" s="1"/>
      <c r="D215" s="1"/>
      <c r="E215" s="71" t="s">
        <v>26</v>
      </c>
      <c r="F215" s="12">
        <v>186</v>
      </c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1"/>
      <c r="B216" s="1"/>
      <c r="C216" s="1"/>
      <c r="D216" s="1"/>
      <c r="E216" s="71" t="s">
        <v>20</v>
      </c>
      <c r="F216" s="12">
        <v>187</v>
      </c>
      <c r="G216" s="10" t="s">
        <v>524</v>
      </c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1"/>
      <c r="B217" s="1"/>
      <c r="C217" s="1"/>
      <c r="D217" s="1"/>
      <c r="E217" s="71" t="s">
        <v>23</v>
      </c>
      <c r="F217" s="12">
        <v>188</v>
      </c>
      <c r="G217" s="10" t="s">
        <v>525</v>
      </c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1"/>
      <c r="B218" s="1" t="s">
        <v>365</v>
      </c>
      <c r="C218" s="9">
        <v>44478</v>
      </c>
      <c r="D218" s="1">
        <v>9931693420</v>
      </c>
      <c r="E218" s="71" t="s">
        <v>526</v>
      </c>
      <c r="F218" s="12">
        <v>189</v>
      </c>
      <c r="G218" s="10" t="s">
        <v>527</v>
      </c>
      <c r="H218" s="1"/>
      <c r="I218" s="2" t="s">
        <v>528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1"/>
      <c r="B219" s="1"/>
      <c r="C219" s="1"/>
      <c r="D219" s="1">
        <v>8210698924</v>
      </c>
      <c r="E219" s="71" t="s">
        <v>529</v>
      </c>
      <c r="F219" s="12">
        <v>190</v>
      </c>
      <c r="G219" s="10" t="s">
        <v>530</v>
      </c>
      <c r="H219" s="1"/>
      <c r="I219" s="2" t="s">
        <v>528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1"/>
      <c r="B220" s="1" t="s">
        <v>365</v>
      </c>
      <c r="C220" s="9">
        <v>44525</v>
      </c>
      <c r="D220" s="1">
        <v>8789916019</v>
      </c>
      <c r="E220" s="71" t="s">
        <v>505</v>
      </c>
      <c r="F220" s="12">
        <v>200</v>
      </c>
      <c r="G220" s="10" t="s">
        <v>532</v>
      </c>
      <c r="H220" s="1"/>
      <c r="I220" s="2" t="s">
        <v>531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1"/>
      <c r="B221" s="1" t="s">
        <v>365</v>
      </c>
      <c r="C221" s="9">
        <v>44532</v>
      </c>
      <c r="D221" s="1">
        <v>6260447345</v>
      </c>
      <c r="E221" s="71" t="s">
        <v>533</v>
      </c>
      <c r="F221" s="12">
        <v>201</v>
      </c>
      <c r="G221" s="10" t="s">
        <v>534</v>
      </c>
      <c r="H221" s="1"/>
      <c r="I221" s="2" t="s">
        <v>535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1"/>
      <c r="B222" s="1" t="s">
        <v>351</v>
      </c>
      <c r="C222" s="9">
        <v>44535</v>
      </c>
      <c r="D222" s="1">
        <v>7739334335</v>
      </c>
      <c r="E222" s="71" t="s">
        <v>536</v>
      </c>
      <c r="F222" s="12">
        <v>202</v>
      </c>
      <c r="G222" s="10" t="s">
        <v>537</v>
      </c>
      <c r="H222" s="1"/>
      <c r="I222" s="2" t="s">
        <v>538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1"/>
      <c r="B223" s="1" t="s">
        <v>325</v>
      </c>
      <c r="C223" s="9">
        <v>44558</v>
      </c>
      <c r="D223" s="1">
        <v>7979069837</v>
      </c>
      <c r="E223" s="71" t="s">
        <v>539</v>
      </c>
      <c r="F223" s="12">
        <v>203</v>
      </c>
      <c r="G223" s="10" t="s">
        <v>540</v>
      </c>
      <c r="H223" s="1"/>
      <c r="I223" s="2" t="s">
        <v>541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1"/>
      <c r="B224" s="1" t="s">
        <v>338</v>
      </c>
      <c r="C224" s="1"/>
      <c r="D224" s="1"/>
      <c r="E224" s="71" t="s">
        <v>542</v>
      </c>
      <c r="F224" s="12">
        <v>204</v>
      </c>
      <c r="G224" s="10" t="s">
        <v>543</v>
      </c>
      <c r="H224" s="1"/>
      <c r="I224" s="2" t="s">
        <v>544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1"/>
      <c r="B225" s="1" t="s">
        <v>338</v>
      </c>
      <c r="C225" s="9">
        <v>44572</v>
      </c>
      <c r="D225" s="17" t="s">
        <v>545</v>
      </c>
      <c r="E225" s="71" t="s">
        <v>546</v>
      </c>
      <c r="F225" s="12">
        <v>205</v>
      </c>
      <c r="G225" s="10" t="s">
        <v>547</v>
      </c>
      <c r="H225" s="1"/>
      <c r="I225" s="2" t="s">
        <v>528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1"/>
      <c r="B226" s="1" t="s">
        <v>338</v>
      </c>
      <c r="C226" s="9">
        <v>44572</v>
      </c>
      <c r="D226" s="17" t="s">
        <v>548</v>
      </c>
      <c r="E226" s="71" t="s">
        <v>549</v>
      </c>
      <c r="F226" s="12">
        <v>206</v>
      </c>
      <c r="G226" s="10" t="s">
        <v>550</v>
      </c>
      <c r="H226" s="1"/>
      <c r="I226" s="2" t="s">
        <v>528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1"/>
      <c r="B227" s="1" t="s">
        <v>338</v>
      </c>
      <c r="C227" s="9">
        <v>44574</v>
      </c>
      <c r="D227" s="17" t="s">
        <v>551</v>
      </c>
      <c r="E227" s="71" t="s">
        <v>552</v>
      </c>
      <c r="F227" s="12">
        <v>207</v>
      </c>
      <c r="G227" s="10" t="s">
        <v>553</v>
      </c>
      <c r="H227" s="1"/>
      <c r="I227" s="2" t="s">
        <v>100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1"/>
      <c r="B228" s="1" t="s">
        <v>338</v>
      </c>
      <c r="C228" s="9">
        <v>44579</v>
      </c>
      <c r="D228" s="1">
        <v>7488593983</v>
      </c>
      <c r="E228" s="71" t="s">
        <v>554</v>
      </c>
      <c r="F228" s="12">
        <v>208</v>
      </c>
      <c r="G228" s="10" t="s">
        <v>555</v>
      </c>
      <c r="H228" s="1"/>
      <c r="I228" s="2" t="s">
        <v>528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1"/>
      <c r="B229" s="1" t="s">
        <v>338</v>
      </c>
      <c r="C229" s="1"/>
      <c r="D229" s="1"/>
      <c r="E229" s="71" t="s">
        <v>542</v>
      </c>
      <c r="F229" s="12">
        <v>209</v>
      </c>
      <c r="G229" s="10" t="s">
        <v>556</v>
      </c>
      <c r="H229" s="1"/>
      <c r="I229" s="2" t="s">
        <v>77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1"/>
      <c r="B230" s="1" t="s">
        <v>557</v>
      </c>
      <c r="C230" s="1"/>
      <c r="D230" s="17" t="s">
        <v>558</v>
      </c>
      <c r="E230" s="71" t="s">
        <v>559</v>
      </c>
      <c r="F230" s="12">
        <v>210</v>
      </c>
      <c r="G230" s="10" t="s">
        <v>560</v>
      </c>
      <c r="H230" s="1"/>
      <c r="I230" s="2" t="s">
        <v>100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1"/>
      <c r="B231" s="1" t="s">
        <v>557</v>
      </c>
      <c r="C231" s="1"/>
      <c r="D231" s="17" t="s">
        <v>558</v>
      </c>
      <c r="E231" s="71" t="s">
        <v>561</v>
      </c>
      <c r="F231" s="12">
        <v>211</v>
      </c>
      <c r="G231" s="29" t="s">
        <v>562</v>
      </c>
      <c r="H231" s="1"/>
      <c r="I231" s="2" t="s">
        <v>100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1"/>
      <c r="B232" s="1" t="s">
        <v>557</v>
      </c>
      <c r="C232" s="1"/>
      <c r="D232" s="17" t="s">
        <v>558</v>
      </c>
      <c r="E232" s="71" t="s">
        <v>563</v>
      </c>
      <c r="F232" s="12">
        <v>212</v>
      </c>
      <c r="G232" s="29" t="s">
        <v>564</v>
      </c>
      <c r="H232" s="1"/>
      <c r="I232" s="2" t="s">
        <v>100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1"/>
      <c r="B233" s="1" t="s">
        <v>557</v>
      </c>
      <c r="C233" s="9">
        <v>44610</v>
      </c>
      <c r="D233" s="1">
        <v>9204389679</v>
      </c>
      <c r="E233" s="71" t="s">
        <v>565</v>
      </c>
      <c r="F233" s="12">
        <v>213</v>
      </c>
      <c r="G233" s="10" t="s">
        <v>566</v>
      </c>
      <c r="H233" s="1"/>
      <c r="I233" s="2" t="s">
        <v>100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1"/>
      <c r="B234" s="1" t="s">
        <v>557</v>
      </c>
      <c r="C234" s="9">
        <v>44610</v>
      </c>
      <c r="D234" s="1">
        <v>9155363696</v>
      </c>
      <c r="E234" s="71" t="s">
        <v>567</v>
      </c>
      <c r="F234" s="12">
        <v>214</v>
      </c>
      <c r="G234" s="10" t="s">
        <v>568</v>
      </c>
      <c r="H234" s="1"/>
      <c r="I234" s="2" t="s">
        <v>100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1"/>
      <c r="B235" s="1" t="s">
        <v>351</v>
      </c>
      <c r="C235" s="9">
        <v>44609</v>
      </c>
      <c r="D235" s="1"/>
      <c r="E235" s="71" t="s">
        <v>569</v>
      </c>
      <c r="F235" s="12">
        <v>215</v>
      </c>
      <c r="G235" s="10" t="s">
        <v>570</v>
      </c>
      <c r="H235" s="1"/>
      <c r="I235" s="2" t="s">
        <v>100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1"/>
      <c r="B236" s="1" t="s">
        <v>351</v>
      </c>
      <c r="C236" s="9">
        <v>44610</v>
      </c>
      <c r="D236" s="1">
        <v>9934925105</v>
      </c>
      <c r="E236" s="71" t="s">
        <v>571</v>
      </c>
      <c r="F236" s="12">
        <v>216</v>
      </c>
      <c r="G236" s="10" t="s">
        <v>572</v>
      </c>
      <c r="H236" s="1"/>
      <c r="I236" s="2" t="s">
        <v>573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1"/>
      <c r="B237" s="1" t="s">
        <v>351</v>
      </c>
      <c r="C237" s="1" t="s">
        <v>574</v>
      </c>
      <c r="D237" s="1">
        <v>7979069837</v>
      </c>
      <c r="E237" s="71" t="s">
        <v>539</v>
      </c>
      <c r="F237" s="12">
        <v>217</v>
      </c>
      <c r="G237" s="10" t="s">
        <v>575</v>
      </c>
      <c r="H237" s="1"/>
      <c r="I237" s="2" t="s">
        <v>77</v>
      </c>
      <c r="J237" s="2"/>
      <c r="K237" s="2"/>
      <c r="L237" s="2"/>
      <c r="M237" s="2">
        <f>250*150</f>
        <v>37500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1"/>
      <c r="B238" s="13" t="s">
        <v>557</v>
      </c>
      <c r="C238" s="24">
        <v>44624</v>
      </c>
      <c r="D238" s="13">
        <v>7004854377</v>
      </c>
      <c r="E238" s="291" t="s">
        <v>576</v>
      </c>
      <c r="F238" s="15">
        <v>218</v>
      </c>
      <c r="G238" s="28" t="s">
        <v>577</v>
      </c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1"/>
      <c r="B239" s="1" t="s">
        <v>557</v>
      </c>
      <c r="C239" s="9">
        <v>44624</v>
      </c>
      <c r="D239" s="1">
        <v>7004854377</v>
      </c>
      <c r="E239" s="71" t="s">
        <v>576</v>
      </c>
      <c r="F239" s="12">
        <v>219</v>
      </c>
      <c r="G239" s="10" t="s">
        <v>578</v>
      </c>
      <c r="H239" s="1"/>
      <c r="I239" s="2" t="s">
        <v>268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1"/>
      <c r="B240" s="1" t="s">
        <v>557</v>
      </c>
      <c r="C240" s="9">
        <v>44629</v>
      </c>
      <c r="D240" s="17" t="s">
        <v>558</v>
      </c>
      <c r="E240" s="71" t="s">
        <v>559</v>
      </c>
      <c r="F240" s="12"/>
      <c r="G240" s="10" t="s">
        <v>5528</v>
      </c>
      <c r="H240" s="1"/>
      <c r="I240" s="2" t="s">
        <v>92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1"/>
      <c r="B241" s="1" t="s">
        <v>557</v>
      </c>
      <c r="C241" s="9">
        <v>44629</v>
      </c>
      <c r="D241" s="17" t="s">
        <v>558</v>
      </c>
      <c r="E241" s="71" t="s">
        <v>561</v>
      </c>
      <c r="F241" s="12"/>
      <c r="G241" s="10" t="s">
        <v>5527</v>
      </c>
      <c r="H241" s="1"/>
      <c r="I241" s="2" t="s">
        <v>92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1"/>
      <c r="B242" s="1" t="s">
        <v>557</v>
      </c>
      <c r="C242" s="9">
        <v>44629</v>
      </c>
      <c r="D242" s="17" t="s">
        <v>558</v>
      </c>
      <c r="E242" s="71" t="s">
        <v>563</v>
      </c>
      <c r="F242" s="12"/>
      <c r="G242" s="10" t="s">
        <v>5529</v>
      </c>
      <c r="H242" s="1"/>
      <c r="I242" s="2" t="s">
        <v>92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1"/>
      <c r="B243" s="1" t="s">
        <v>383</v>
      </c>
      <c r="C243" s="9">
        <v>44624</v>
      </c>
      <c r="D243" s="1">
        <v>9523678169</v>
      </c>
      <c r="E243" s="71" t="s">
        <v>542</v>
      </c>
      <c r="F243" s="12">
        <v>220</v>
      </c>
      <c r="G243" s="10" t="s">
        <v>579</v>
      </c>
      <c r="H243" s="1"/>
      <c r="I243" s="2" t="s">
        <v>5638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1"/>
      <c r="B244" s="1" t="s">
        <v>338</v>
      </c>
      <c r="C244" s="9">
        <v>44635</v>
      </c>
      <c r="D244" s="1">
        <v>6206854752</v>
      </c>
      <c r="E244" s="71" t="s">
        <v>580</v>
      </c>
      <c r="F244" s="12">
        <v>221</v>
      </c>
      <c r="G244" s="10" t="s">
        <v>581</v>
      </c>
      <c r="H244" s="1"/>
      <c r="I244" s="2" t="s">
        <v>92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1"/>
      <c r="B245" s="1" t="s">
        <v>338</v>
      </c>
      <c r="C245" s="9">
        <v>44635</v>
      </c>
      <c r="D245" s="1">
        <v>6206404088</v>
      </c>
      <c r="E245" s="71" t="s">
        <v>582</v>
      </c>
      <c r="F245" s="12">
        <v>222</v>
      </c>
      <c r="G245" s="10" t="s">
        <v>583</v>
      </c>
      <c r="H245" s="1"/>
      <c r="I245" s="2" t="s">
        <v>77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1"/>
      <c r="B246" s="1" t="s">
        <v>351</v>
      </c>
      <c r="C246" s="9">
        <v>44642</v>
      </c>
      <c r="D246" s="1">
        <v>6204179835</v>
      </c>
      <c r="E246" s="71" t="s">
        <v>5513</v>
      </c>
      <c r="F246" s="12">
        <v>223</v>
      </c>
      <c r="G246" s="83" t="s">
        <v>5514</v>
      </c>
      <c r="H246" s="1"/>
      <c r="I246" s="2" t="s">
        <v>528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1"/>
      <c r="B247" s="1" t="s">
        <v>351</v>
      </c>
      <c r="C247" s="9">
        <v>44645</v>
      </c>
      <c r="D247" s="1">
        <v>9122712202</v>
      </c>
      <c r="E247" s="294" t="s">
        <v>5540</v>
      </c>
      <c r="F247" s="12">
        <v>224</v>
      </c>
      <c r="G247" s="83" t="s">
        <v>5543</v>
      </c>
      <c r="H247" s="1"/>
      <c r="I247" s="11" t="s">
        <v>528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1"/>
      <c r="B248" s="1" t="s">
        <v>338</v>
      </c>
      <c r="C248" s="9">
        <v>44645</v>
      </c>
      <c r="D248" s="1">
        <v>8210425940</v>
      </c>
      <c r="E248" s="71" t="s">
        <v>5544</v>
      </c>
      <c r="F248" s="12">
        <v>225</v>
      </c>
      <c r="G248" s="2" t="s">
        <v>5902</v>
      </c>
      <c r="H248" s="1"/>
      <c r="I248" s="2" t="s">
        <v>5914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1"/>
      <c r="B249" s="1" t="s">
        <v>351</v>
      </c>
      <c r="C249" s="9">
        <v>44646</v>
      </c>
      <c r="D249" s="1">
        <v>7635017564</v>
      </c>
      <c r="E249" s="294" t="s">
        <v>5545</v>
      </c>
      <c r="F249" s="12">
        <v>226</v>
      </c>
      <c r="G249" s="83" t="s">
        <v>5547</v>
      </c>
      <c r="H249" s="1"/>
      <c r="I249" s="2" t="s">
        <v>528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1"/>
      <c r="B250" s="1" t="s">
        <v>351</v>
      </c>
      <c r="C250" s="9">
        <v>44646</v>
      </c>
      <c r="D250" s="1"/>
      <c r="E250" s="71" t="s">
        <v>5556</v>
      </c>
      <c r="F250" s="12">
        <v>227</v>
      </c>
      <c r="G250" s="83" t="s">
        <v>5555</v>
      </c>
      <c r="H250" s="1"/>
      <c r="I250" s="2" t="s">
        <v>528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1"/>
      <c r="B251" s="1" t="s">
        <v>325</v>
      </c>
      <c r="C251" s="9">
        <v>44648</v>
      </c>
      <c r="D251" s="1">
        <v>7857088635</v>
      </c>
      <c r="E251" s="71" t="s">
        <v>5568</v>
      </c>
      <c r="F251" s="12"/>
      <c r="G251" s="83" t="s">
        <v>5569</v>
      </c>
      <c r="H251" s="1"/>
      <c r="I251" s="2" t="s">
        <v>507</v>
      </c>
      <c r="J251" s="2" t="s">
        <v>5585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1"/>
      <c r="B252" s="1" t="s">
        <v>325</v>
      </c>
      <c r="C252" s="9">
        <v>44648</v>
      </c>
      <c r="D252" s="1">
        <v>7870301035</v>
      </c>
      <c r="E252" s="71" t="s">
        <v>5567</v>
      </c>
      <c r="F252" s="12"/>
      <c r="G252" s="83" t="s">
        <v>5566</v>
      </c>
      <c r="H252" s="1"/>
      <c r="I252" s="2" t="s">
        <v>507</v>
      </c>
      <c r="J252" s="2" t="s">
        <v>5585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1"/>
      <c r="B253" s="1" t="s">
        <v>325</v>
      </c>
      <c r="C253" s="9">
        <v>44648</v>
      </c>
      <c r="D253" s="1"/>
      <c r="E253" s="71" t="s">
        <v>5570</v>
      </c>
      <c r="F253" s="12"/>
      <c r="G253" s="83" t="s">
        <v>5571</v>
      </c>
      <c r="H253" s="1"/>
      <c r="I253" s="2" t="s">
        <v>6249</v>
      </c>
      <c r="J253" s="2" t="s">
        <v>5585</v>
      </c>
      <c r="K253" s="2"/>
      <c r="L253" s="2" t="s">
        <v>6248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1"/>
      <c r="B254" s="1" t="s">
        <v>365</v>
      </c>
      <c r="C254" s="9">
        <v>44648</v>
      </c>
      <c r="D254" s="1">
        <v>8809578742</v>
      </c>
      <c r="E254" s="295" t="s">
        <v>5573</v>
      </c>
      <c r="F254" s="30"/>
      <c r="G254" s="83" t="s">
        <v>5572</v>
      </c>
      <c r="I254" s="83" t="s">
        <v>6250</v>
      </c>
      <c r="J254" s="2" t="s">
        <v>5585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1"/>
      <c r="B255" s="89" t="s">
        <v>378</v>
      </c>
      <c r="C255" s="9">
        <v>44648</v>
      </c>
      <c r="D255" s="1">
        <v>7903789267</v>
      </c>
      <c r="E255" s="71" t="s">
        <v>5574</v>
      </c>
      <c r="F255" s="12"/>
      <c r="G255" s="83" t="s">
        <v>5580</v>
      </c>
      <c r="H255" s="1"/>
      <c r="I255" s="2" t="s">
        <v>557</v>
      </c>
      <c r="J255" s="2" t="s">
        <v>5585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1"/>
      <c r="B256" s="89" t="s">
        <v>378</v>
      </c>
      <c r="C256" s="9">
        <v>44649</v>
      </c>
      <c r="D256" s="1">
        <v>8102186332</v>
      </c>
      <c r="E256" s="71" t="s">
        <v>5581</v>
      </c>
      <c r="F256" s="12"/>
      <c r="G256" s="83" t="s">
        <v>6251</v>
      </c>
      <c r="H256" s="1"/>
      <c r="I256" s="2" t="s">
        <v>557</v>
      </c>
      <c r="J256" s="2" t="s">
        <v>5585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1"/>
      <c r="B257" s="89" t="s">
        <v>378</v>
      </c>
      <c r="C257" s="9">
        <v>44649</v>
      </c>
      <c r="D257" s="1">
        <v>8340216871</v>
      </c>
      <c r="E257" s="71" t="s">
        <v>5582</v>
      </c>
      <c r="F257" s="12"/>
      <c r="G257" s="83" t="s">
        <v>5583</v>
      </c>
      <c r="H257" s="1"/>
      <c r="I257" s="2" t="s">
        <v>557</v>
      </c>
      <c r="J257" s="2" t="s">
        <v>5585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1"/>
      <c r="B258" s="89" t="s">
        <v>378</v>
      </c>
      <c r="C258" s="9">
        <v>44649</v>
      </c>
      <c r="D258" s="1">
        <v>6202452124</v>
      </c>
      <c r="E258" s="295" t="s">
        <v>5584</v>
      </c>
      <c r="F258" s="12"/>
      <c r="G258" s="83" t="s">
        <v>5586</v>
      </c>
      <c r="H258" s="1"/>
      <c r="I258" s="2"/>
      <c r="J258" s="2" t="s">
        <v>5585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1"/>
      <c r="B259" s="89" t="s">
        <v>378</v>
      </c>
      <c r="C259" s="9">
        <v>44649</v>
      </c>
      <c r="D259" s="1">
        <v>7903789267</v>
      </c>
      <c r="E259" s="295" t="s">
        <v>5587</v>
      </c>
      <c r="F259" s="12"/>
      <c r="G259" s="83" t="s">
        <v>5589</v>
      </c>
      <c r="H259" s="1"/>
      <c r="I259" s="2"/>
      <c r="J259" s="2" t="s">
        <v>5585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1"/>
      <c r="B260" s="89" t="s">
        <v>378</v>
      </c>
      <c r="C260" s="9">
        <v>44649</v>
      </c>
      <c r="D260" s="1">
        <v>9122178902</v>
      </c>
      <c r="E260" s="295" t="s">
        <v>5588</v>
      </c>
      <c r="F260" s="12"/>
      <c r="G260" s="83" t="s">
        <v>5590</v>
      </c>
      <c r="H260" s="1"/>
      <c r="I260" s="2"/>
      <c r="J260" s="2" t="s">
        <v>5585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1"/>
      <c r="B261" s="89" t="s">
        <v>378</v>
      </c>
      <c r="C261" s="9">
        <v>44649</v>
      </c>
      <c r="D261" s="1">
        <v>8809578742</v>
      </c>
      <c r="E261" s="295" t="s">
        <v>5587</v>
      </c>
      <c r="F261" s="12"/>
      <c r="G261" s="88" t="s">
        <v>5591</v>
      </c>
      <c r="H261" s="1"/>
      <c r="I261" s="2"/>
      <c r="J261" s="2" t="s">
        <v>5585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1"/>
      <c r="B262" s="89" t="s">
        <v>378</v>
      </c>
      <c r="C262" s="9">
        <v>44649</v>
      </c>
      <c r="D262" s="1">
        <v>6201223723</v>
      </c>
      <c r="E262" s="295" t="s">
        <v>5593</v>
      </c>
      <c r="F262" s="89"/>
      <c r="G262" s="2"/>
      <c r="H262" s="1"/>
      <c r="I262" s="2"/>
      <c r="J262" s="85" t="s">
        <v>5592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1"/>
      <c r="B263" s="89" t="s">
        <v>378</v>
      </c>
      <c r="C263" s="9">
        <v>44649</v>
      </c>
      <c r="D263" s="1">
        <v>9905760743</v>
      </c>
      <c r="E263" s="295" t="s">
        <v>5594</v>
      </c>
      <c r="F263" s="89"/>
      <c r="G263" s="2"/>
      <c r="H263" s="1"/>
      <c r="I263" s="2"/>
      <c r="J263" s="85" t="s">
        <v>5592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1"/>
      <c r="B264" s="89" t="s">
        <v>378</v>
      </c>
      <c r="C264" s="9">
        <v>44649</v>
      </c>
      <c r="D264" s="1">
        <v>9102363691</v>
      </c>
      <c r="E264" s="295" t="s">
        <v>5595</v>
      </c>
      <c r="F264" s="89"/>
      <c r="G264" s="2"/>
      <c r="H264" s="1"/>
      <c r="I264" s="2"/>
      <c r="J264" s="85" t="s">
        <v>5592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1"/>
      <c r="B265" s="89" t="s">
        <v>378</v>
      </c>
      <c r="C265" s="9">
        <v>44649</v>
      </c>
      <c r="D265" s="1">
        <v>9798590044</v>
      </c>
      <c r="E265" s="295" t="s">
        <v>5596</v>
      </c>
      <c r="F265" s="89"/>
      <c r="G265" s="2"/>
      <c r="H265" s="1"/>
      <c r="I265" s="2"/>
      <c r="J265" s="85" t="s">
        <v>5592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1"/>
      <c r="B266" s="89" t="s">
        <v>378</v>
      </c>
      <c r="C266" s="9">
        <v>44649</v>
      </c>
      <c r="D266" s="1">
        <v>7667046407</v>
      </c>
      <c r="E266" s="295" t="s">
        <v>5597</v>
      </c>
      <c r="F266" s="89"/>
      <c r="G266" s="2"/>
      <c r="H266" s="1"/>
      <c r="I266" s="2"/>
      <c r="J266" s="85" t="s">
        <v>5592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1"/>
      <c r="B267" s="89" t="s">
        <v>378</v>
      </c>
      <c r="C267" s="9">
        <v>44649</v>
      </c>
      <c r="D267" s="1">
        <v>7319713288</v>
      </c>
      <c r="E267" s="295" t="s">
        <v>5598</v>
      </c>
      <c r="F267" s="89"/>
      <c r="G267" s="2"/>
      <c r="H267" s="1"/>
      <c r="I267" s="2"/>
      <c r="J267" s="85" t="s">
        <v>5592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1"/>
      <c r="B268" s="89" t="s">
        <v>378</v>
      </c>
      <c r="C268" s="9">
        <v>44649</v>
      </c>
      <c r="D268" s="1">
        <v>9955727268</v>
      </c>
      <c r="E268" s="295" t="s">
        <v>5599</v>
      </c>
      <c r="F268" s="89"/>
      <c r="G268" s="2"/>
      <c r="H268" s="1"/>
      <c r="I268" s="2"/>
      <c r="J268" s="85" t="s">
        <v>5592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1"/>
      <c r="B269" s="89" t="s">
        <v>378</v>
      </c>
      <c r="C269" s="9">
        <v>44649</v>
      </c>
      <c r="D269" s="1">
        <v>9611074658</v>
      </c>
      <c r="E269" s="295" t="s">
        <v>5600</v>
      </c>
      <c r="F269" s="89"/>
      <c r="G269" s="2"/>
      <c r="H269" s="1"/>
      <c r="I269" s="2"/>
      <c r="J269" s="85" t="s">
        <v>5592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1"/>
      <c r="B270" s="89" t="s">
        <v>378</v>
      </c>
      <c r="C270" s="9">
        <v>44649</v>
      </c>
      <c r="D270" s="1">
        <v>9304182339</v>
      </c>
      <c r="E270" s="295" t="s">
        <v>5601</v>
      </c>
      <c r="F270" s="89"/>
      <c r="G270" s="2"/>
      <c r="H270" s="1"/>
      <c r="I270" s="2"/>
      <c r="J270" s="85" t="s">
        <v>5592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1"/>
      <c r="B271" s="89" t="s">
        <v>378</v>
      </c>
      <c r="C271" s="9">
        <v>44649</v>
      </c>
      <c r="D271" s="1">
        <v>9304182339</v>
      </c>
      <c r="E271" s="295" t="s">
        <v>5602</v>
      </c>
      <c r="F271" s="89"/>
      <c r="G271" s="2"/>
      <c r="H271" s="1"/>
      <c r="I271" s="2"/>
      <c r="J271" s="85" t="s">
        <v>5592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1"/>
      <c r="B272" s="1" t="s">
        <v>325</v>
      </c>
      <c r="C272" s="9">
        <v>44651</v>
      </c>
      <c r="D272" s="1"/>
      <c r="E272" s="295" t="s">
        <v>5619</v>
      </c>
      <c r="F272" s="30"/>
      <c r="G272" t="s">
        <v>5618</v>
      </c>
      <c r="H272" s="89" t="s">
        <v>5620</v>
      </c>
      <c r="I272" s="2" t="s">
        <v>6252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1"/>
      <c r="B273" s="1" t="s">
        <v>325</v>
      </c>
      <c r="C273" s="9">
        <v>44651</v>
      </c>
      <c r="D273" s="1"/>
      <c r="E273" s="295" t="s">
        <v>5622</v>
      </c>
      <c r="F273" s="1"/>
      <c r="G273" t="s">
        <v>5621</v>
      </c>
      <c r="H273" s="89" t="s">
        <v>5620</v>
      </c>
      <c r="I273" s="2" t="s">
        <v>6253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1"/>
      <c r="B274" s="1" t="s">
        <v>365</v>
      </c>
      <c r="C274" s="9">
        <v>44651</v>
      </c>
      <c r="D274" s="1"/>
      <c r="E274" s="295" t="s">
        <v>5584</v>
      </c>
      <c r="F274" s="1"/>
      <c r="G274" t="s">
        <v>5624</v>
      </c>
      <c r="H274" s="89" t="s">
        <v>5623</v>
      </c>
      <c r="I274" s="65">
        <v>44845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1"/>
      <c r="B275" s="1" t="s">
        <v>365</v>
      </c>
      <c r="C275" s="9">
        <v>44651</v>
      </c>
      <c r="D275" s="1"/>
      <c r="E275" s="295" t="s">
        <v>5573</v>
      </c>
      <c r="F275" s="1"/>
      <c r="G275" t="s">
        <v>5633</v>
      </c>
      <c r="H275" s="89" t="s">
        <v>5623</v>
      </c>
      <c r="I275" s="65">
        <v>44845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1"/>
      <c r="B276" s="1" t="s">
        <v>365</v>
      </c>
      <c r="C276" s="9">
        <v>44651</v>
      </c>
      <c r="D276" s="1"/>
      <c r="E276" s="295" t="s">
        <v>5573</v>
      </c>
      <c r="F276" s="1"/>
      <c r="G276" t="s">
        <v>5625</v>
      </c>
      <c r="H276" s="89" t="s">
        <v>5623</v>
      </c>
      <c r="I276" s="65">
        <v>44845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1"/>
      <c r="B277" s="1" t="s">
        <v>365</v>
      </c>
      <c r="C277" s="9">
        <v>44651</v>
      </c>
      <c r="D277" s="1"/>
      <c r="E277" s="295" t="s">
        <v>2323</v>
      </c>
      <c r="F277" s="1"/>
      <c r="G277" t="s">
        <v>5626</v>
      </c>
      <c r="H277" s="89" t="s">
        <v>5623</v>
      </c>
      <c r="I277" s="65">
        <v>44845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1"/>
      <c r="B278" s="1" t="s">
        <v>365</v>
      </c>
      <c r="C278" s="9">
        <v>44651</v>
      </c>
      <c r="D278" s="1"/>
      <c r="E278" s="295" t="s">
        <v>5582</v>
      </c>
      <c r="F278" s="1"/>
      <c r="G278" t="s">
        <v>5627</v>
      </c>
      <c r="H278" s="89" t="s">
        <v>5623</v>
      </c>
      <c r="I278" s="2" t="s">
        <v>6254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1"/>
      <c r="B279" s="1" t="s">
        <v>365</v>
      </c>
      <c r="C279" s="9">
        <v>44651</v>
      </c>
      <c r="D279" s="1"/>
      <c r="E279" s="295" t="s">
        <v>5587</v>
      </c>
      <c r="F279" s="1"/>
      <c r="G279" t="s">
        <v>5628</v>
      </c>
      <c r="H279" s="89" t="s">
        <v>5623</v>
      </c>
      <c r="I279" s="65">
        <v>44845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1"/>
      <c r="B280" s="1" t="s">
        <v>365</v>
      </c>
      <c r="C280" s="9">
        <v>44651</v>
      </c>
      <c r="D280" s="1">
        <v>9122178902</v>
      </c>
      <c r="E280" s="295" t="s">
        <v>5588</v>
      </c>
      <c r="F280" s="1"/>
      <c r="G280" t="s">
        <v>5629</v>
      </c>
      <c r="H280" s="89" t="s">
        <v>5623</v>
      </c>
      <c r="I280" s="65">
        <v>44845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1"/>
      <c r="B281" s="1" t="s">
        <v>365</v>
      </c>
      <c r="C281" s="9">
        <v>44651</v>
      </c>
      <c r="D281" s="1">
        <v>8809578742</v>
      </c>
      <c r="E281" s="295" t="s">
        <v>5587</v>
      </c>
      <c r="F281" s="1"/>
      <c r="G281" t="s">
        <v>5630</v>
      </c>
      <c r="H281" s="89" t="s">
        <v>5623</v>
      </c>
      <c r="I281" s="2" t="s">
        <v>6255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1"/>
      <c r="B282" s="1" t="s">
        <v>325</v>
      </c>
      <c r="C282" s="9">
        <v>44651</v>
      </c>
      <c r="D282" s="1"/>
      <c r="E282" s="295" t="s">
        <v>5570</v>
      </c>
      <c r="F282" s="1"/>
      <c r="G282" t="s">
        <v>5631</v>
      </c>
      <c r="H282" s="89" t="s">
        <v>5623</v>
      </c>
      <c r="I282" s="2" t="s">
        <v>6256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1"/>
      <c r="B283" s="1" t="s">
        <v>325</v>
      </c>
      <c r="C283" s="9">
        <v>44651</v>
      </c>
      <c r="D283" s="1">
        <v>7857088635</v>
      </c>
      <c r="E283" s="295" t="s">
        <v>5568</v>
      </c>
      <c r="F283" s="1"/>
      <c r="G283" t="s">
        <v>5632</v>
      </c>
      <c r="H283" s="89" t="s">
        <v>5623</v>
      </c>
      <c r="I283" s="65">
        <v>44845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1"/>
      <c r="B284" s="1" t="s">
        <v>325</v>
      </c>
      <c r="C284" s="9">
        <v>44651</v>
      </c>
      <c r="D284" s="1">
        <v>7857088635</v>
      </c>
      <c r="E284" s="295" t="s">
        <v>5567</v>
      </c>
      <c r="F284" s="1"/>
      <c r="G284" t="s">
        <v>5633</v>
      </c>
      <c r="H284" s="89" t="s">
        <v>5623</v>
      </c>
      <c r="I284" s="65">
        <v>44845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1"/>
      <c r="B285" s="1" t="s">
        <v>325</v>
      </c>
      <c r="C285" s="9">
        <v>44652</v>
      </c>
      <c r="D285" s="1"/>
      <c r="E285" s="71" t="s">
        <v>5640</v>
      </c>
      <c r="F285" s="1"/>
      <c r="G285" s="93" t="s">
        <v>5641</v>
      </c>
      <c r="H285" s="1" t="s">
        <v>5682</v>
      </c>
      <c r="I285" s="2" t="s">
        <v>507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1"/>
      <c r="B286" s="1" t="s">
        <v>325</v>
      </c>
      <c r="C286" s="9">
        <v>44652</v>
      </c>
      <c r="D286" s="1">
        <v>9835380725</v>
      </c>
      <c r="E286" s="71" t="s">
        <v>5643</v>
      </c>
      <c r="F286" s="1"/>
      <c r="G286" s="93" t="s">
        <v>5642</v>
      </c>
      <c r="H286" s="1" t="s">
        <v>5682</v>
      </c>
      <c r="I286" s="2" t="s">
        <v>507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1"/>
      <c r="B287" s="1" t="s">
        <v>325</v>
      </c>
      <c r="C287" s="9">
        <v>44652</v>
      </c>
      <c r="D287" s="1">
        <v>8084528269</v>
      </c>
      <c r="E287" s="71" t="s">
        <v>5644</v>
      </c>
      <c r="F287" s="1"/>
      <c r="G287" s="93" t="s">
        <v>5645</v>
      </c>
      <c r="H287" s="1" t="s">
        <v>5682</v>
      </c>
      <c r="I287" s="2" t="s">
        <v>507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1"/>
      <c r="B288" s="1" t="s">
        <v>325</v>
      </c>
      <c r="C288" s="9">
        <v>44652</v>
      </c>
      <c r="D288" s="1">
        <v>7295903139</v>
      </c>
      <c r="E288" s="71" t="s">
        <v>5646</v>
      </c>
      <c r="F288" s="1"/>
      <c r="G288" s="93" t="s">
        <v>5647</v>
      </c>
      <c r="H288" s="1" t="s">
        <v>5682</v>
      </c>
      <c r="I288" s="2" t="s">
        <v>507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1"/>
      <c r="B289" s="1" t="s">
        <v>325</v>
      </c>
      <c r="C289" s="9">
        <v>44652</v>
      </c>
      <c r="D289" s="1"/>
      <c r="E289" s="71" t="s">
        <v>5648</v>
      </c>
      <c r="F289" s="1"/>
      <c r="G289" s="93" t="s">
        <v>5649</v>
      </c>
      <c r="H289" s="1" t="s">
        <v>5682</v>
      </c>
      <c r="I289" s="2" t="s">
        <v>507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1"/>
      <c r="B290" s="1" t="s">
        <v>325</v>
      </c>
      <c r="C290" s="9">
        <v>44652</v>
      </c>
      <c r="D290" s="1"/>
      <c r="E290" s="71" t="s">
        <v>5650</v>
      </c>
      <c r="F290" s="1"/>
      <c r="G290" s="93" t="s">
        <v>5651</v>
      </c>
      <c r="H290" s="1" t="s">
        <v>5682</v>
      </c>
      <c r="I290" s="194" t="s">
        <v>479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1"/>
      <c r="B291" s="1" t="s">
        <v>325</v>
      </c>
      <c r="C291" s="9">
        <v>44652</v>
      </c>
      <c r="D291" s="1"/>
      <c r="E291" s="71" t="s">
        <v>5652</v>
      </c>
      <c r="F291" s="1"/>
      <c r="G291" s="93" t="s">
        <v>5653</v>
      </c>
      <c r="H291" s="1" t="s">
        <v>5682</v>
      </c>
      <c r="I291" s="216" t="s">
        <v>507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1"/>
      <c r="B292" s="1" t="s">
        <v>325</v>
      </c>
      <c r="C292" s="9">
        <v>44652</v>
      </c>
      <c r="D292" s="1"/>
      <c r="E292" s="71" t="s">
        <v>5654</v>
      </c>
      <c r="F292" s="1"/>
      <c r="G292" s="93" t="s">
        <v>5655</v>
      </c>
      <c r="H292" s="1" t="s">
        <v>5682</v>
      </c>
      <c r="I292" s="194" t="s">
        <v>6257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1"/>
      <c r="B293" s="1" t="s">
        <v>325</v>
      </c>
      <c r="C293" s="9">
        <v>44652</v>
      </c>
      <c r="D293" s="1"/>
      <c r="E293" s="71" t="s">
        <v>5656</v>
      </c>
      <c r="F293" s="1"/>
      <c r="G293" s="93" t="s">
        <v>5657</v>
      </c>
      <c r="H293" s="1" t="s">
        <v>5682</v>
      </c>
      <c r="I293" s="216" t="s">
        <v>507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1"/>
      <c r="B294" s="1" t="s">
        <v>325</v>
      </c>
      <c r="C294" s="9">
        <v>44652</v>
      </c>
      <c r="D294" s="1"/>
      <c r="E294" s="71" t="s">
        <v>5658</v>
      </c>
      <c r="F294" s="1"/>
      <c r="G294" s="93" t="s">
        <v>5659</v>
      </c>
      <c r="H294" s="1" t="s">
        <v>5682</v>
      </c>
      <c r="I294" s="194" t="s">
        <v>6257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1"/>
      <c r="B295" s="1" t="s">
        <v>325</v>
      </c>
      <c r="C295" s="9">
        <v>44652</v>
      </c>
      <c r="D295" s="1"/>
      <c r="E295" s="71" t="s">
        <v>5660</v>
      </c>
      <c r="F295" s="1"/>
      <c r="G295" s="93" t="s">
        <v>5661</v>
      </c>
      <c r="H295" s="1" t="s">
        <v>5682</v>
      </c>
      <c r="I295" s="216" t="s">
        <v>507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1"/>
      <c r="B296" s="1" t="s">
        <v>325</v>
      </c>
      <c r="C296" s="9">
        <v>44652</v>
      </c>
      <c r="D296" s="1"/>
      <c r="E296" s="71" t="s">
        <v>5662</v>
      </c>
      <c r="F296" s="1"/>
      <c r="G296" s="93" t="s">
        <v>5663</v>
      </c>
      <c r="H296" s="1" t="s">
        <v>5682</v>
      </c>
      <c r="I296" s="216" t="s">
        <v>507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1"/>
      <c r="B297" s="1" t="s">
        <v>325</v>
      </c>
      <c r="C297" s="9">
        <v>44652</v>
      </c>
      <c r="D297" s="1"/>
      <c r="E297" s="71" t="s">
        <v>5664</v>
      </c>
      <c r="F297" s="1"/>
      <c r="G297" s="93" t="s">
        <v>5665</v>
      </c>
      <c r="H297" s="1" t="s">
        <v>5682</v>
      </c>
      <c r="I297" s="216" t="s">
        <v>507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1"/>
      <c r="B298" s="1" t="s">
        <v>325</v>
      </c>
      <c r="C298" s="9">
        <v>44652</v>
      </c>
      <c r="D298" s="1"/>
      <c r="E298" s="71" t="s">
        <v>5666</v>
      </c>
      <c r="F298" s="1"/>
      <c r="G298" s="93" t="s">
        <v>5667</v>
      </c>
      <c r="H298" s="1" t="s">
        <v>5682</v>
      </c>
      <c r="I298" s="216" t="s">
        <v>507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1"/>
      <c r="B299" s="1" t="s">
        <v>325</v>
      </c>
      <c r="C299" s="9">
        <v>44652</v>
      </c>
      <c r="D299" s="1"/>
      <c r="E299" s="71" t="s">
        <v>5668</v>
      </c>
      <c r="F299" s="1"/>
      <c r="G299" s="93" t="s">
        <v>5669</v>
      </c>
      <c r="H299" s="1" t="s">
        <v>5682</v>
      </c>
      <c r="I299" s="194" t="s">
        <v>6258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1"/>
      <c r="B300" s="1" t="s">
        <v>325</v>
      </c>
      <c r="C300" s="9">
        <v>44652</v>
      </c>
      <c r="D300" s="1"/>
      <c r="E300" s="71" t="s">
        <v>5670</v>
      </c>
      <c r="F300" s="1"/>
      <c r="G300" s="93" t="s">
        <v>5671</v>
      </c>
      <c r="H300" s="1" t="s">
        <v>5682</v>
      </c>
      <c r="I300" s="216" t="s">
        <v>507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1"/>
      <c r="B301" s="1" t="s">
        <v>325</v>
      </c>
      <c r="C301" s="9">
        <v>44652</v>
      </c>
      <c r="D301" s="1"/>
      <c r="E301" s="71" t="s">
        <v>5672</v>
      </c>
      <c r="F301" s="1"/>
      <c r="G301" s="93" t="s">
        <v>5673</v>
      </c>
      <c r="H301" s="1" t="s">
        <v>5682</v>
      </c>
      <c r="I301" s="216" t="s">
        <v>507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1"/>
      <c r="B302" s="1" t="s">
        <v>325</v>
      </c>
      <c r="C302" s="9">
        <v>44652</v>
      </c>
      <c r="D302" s="1"/>
      <c r="E302" s="71" t="s">
        <v>5674</v>
      </c>
      <c r="F302" s="1"/>
      <c r="G302" s="93" t="s">
        <v>5675</v>
      </c>
      <c r="H302" s="1" t="s">
        <v>5682</v>
      </c>
      <c r="I302" s="216" t="s">
        <v>507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1"/>
      <c r="B303" s="1" t="s">
        <v>325</v>
      </c>
      <c r="C303" s="9">
        <v>44652</v>
      </c>
      <c r="D303" s="1">
        <v>8809055835</v>
      </c>
      <c r="E303" s="71" t="s">
        <v>5676</v>
      </c>
      <c r="F303" s="1"/>
      <c r="G303" s="93" t="s">
        <v>5677</v>
      </c>
      <c r="H303" s="1" t="s">
        <v>5682</v>
      </c>
      <c r="I303" s="216" t="s">
        <v>507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1"/>
      <c r="B304" s="1" t="s">
        <v>325</v>
      </c>
      <c r="C304" s="9">
        <v>44652</v>
      </c>
      <c r="D304" s="1"/>
      <c r="E304" s="71" t="s">
        <v>5678</v>
      </c>
      <c r="F304" s="1"/>
      <c r="G304" s="93" t="s">
        <v>5679</v>
      </c>
      <c r="H304" s="1" t="s">
        <v>5682</v>
      </c>
      <c r="I304" s="216" t="s">
        <v>507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1"/>
      <c r="B305" s="1" t="s">
        <v>325</v>
      </c>
      <c r="C305" s="9">
        <v>44652</v>
      </c>
      <c r="D305" s="1"/>
      <c r="E305" s="71" t="s">
        <v>5680</v>
      </c>
      <c r="F305" s="1"/>
      <c r="G305" s="93" t="s">
        <v>5681</v>
      </c>
      <c r="H305" s="1" t="s">
        <v>5682</v>
      </c>
      <c r="I305" s="216" t="s">
        <v>507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1"/>
      <c r="B306" s="1" t="s">
        <v>325</v>
      </c>
      <c r="C306" s="9">
        <v>44652</v>
      </c>
      <c r="D306" s="101">
        <v>9835733247</v>
      </c>
      <c r="E306" s="71" t="s">
        <v>5694</v>
      </c>
      <c r="G306" s="96" t="s">
        <v>5695</v>
      </c>
      <c r="H306" s="1" t="s">
        <v>5682</v>
      </c>
      <c r="I306" s="194" t="s">
        <v>6259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1"/>
      <c r="B307" s="1" t="s">
        <v>325</v>
      </c>
      <c r="C307" s="9">
        <v>44652</v>
      </c>
      <c r="E307" s="71" t="s">
        <v>5696</v>
      </c>
      <c r="G307" s="96" t="s">
        <v>5697</v>
      </c>
      <c r="H307" s="1" t="s">
        <v>5682</v>
      </c>
      <c r="I307" s="216" t="s">
        <v>507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1"/>
      <c r="B308" s="1" t="s">
        <v>325</v>
      </c>
      <c r="C308" s="9">
        <v>44652</v>
      </c>
      <c r="D308" s="101">
        <v>6203415985</v>
      </c>
      <c r="E308" s="71" t="s">
        <v>5698</v>
      </c>
      <c r="G308" s="96" t="s">
        <v>5699</v>
      </c>
      <c r="H308" s="1" t="s">
        <v>5682</v>
      </c>
      <c r="I308" s="194" t="s">
        <v>6260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1"/>
      <c r="B309" s="1" t="s">
        <v>325</v>
      </c>
      <c r="C309" s="9">
        <v>44652</v>
      </c>
      <c r="D309" s="1"/>
      <c r="E309" s="71" t="s">
        <v>5700</v>
      </c>
      <c r="F309" s="1"/>
      <c r="G309" s="96" t="s">
        <v>5701</v>
      </c>
      <c r="H309" s="1" t="s">
        <v>5682</v>
      </c>
      <c r="I309" s="194" t="s">
        <v>6261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1"/>
      <c r="B310" s="1" t="s">
        <v>325</v>
      </c>
      <c r="C310" s="9">
        <v>44652</v>
      </c>
      <c r="D310" s="1">
        <v>6203147627</v>
      </c>
      <c r="E310" s="71" t="s">
        <v>5702</v>
      </c>
      <c r="F310" s="1"/>
      <c r="G310" s="96" t="s">
        <v>5703</v>
      </c>
      <c r="H310" s="1" t="s">
        <v>5682</v>
      </c>
      <c r="I310" s="194" t="s">
        <v>6262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1"/>
      <c r="B311" s="1" t="s">
        <v>325</v>
      </c>
      <c r="C311" s="9">
        <v>44652</v>
      </c>
      <c r="D311" s="1">
        <v>9334621868</v>
      </c>
      <c r="E311" s="71" t="s">
        <v>5692</v>
      </c>
      <c r="F311" s="1"/>
      <c r="G311" s="96" t="s">
        <v>5693</v>
      </c>
      <c r="H311" s="1" t="s">
        <v>5682</v>
      </c>
      <c r="I311" s="216" t="s">
        <v>6259</v>
      </c>
      <c r="J311" s="19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1"/>
      <c r="B312" s="1" t="s">
        <v>325</v>
      </c>
      <c r="C312" s="9">
        <v>44652</v>
      </c>
      <c r="D312" s="101">
        <v>6204288700</v>
      </c>
      <c r="E312" s="71" t="s">
        <v>5690</v>
      </c>
      <c r="G312" s="96" t="s">
        <v>5691</v>
      </c>
      <c r="H312" s="1" t="s">
        <v>5682</v>
      </c>
      <c r="I312" s="216" t="s">
        <v>100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1"/>
      <c r="B313" s="1" t="s">
        <v>325</v>
      </c>
      <c r="C313" s="9">
        <v>44653</v>
      </c>
      <c r="D313" s="1">
        <v>6203147627</v>
      </c>
      <c r="E313" s="71" t="s">
        <v>5705</v>
      </c>
      <c r="F313" s="1"/>
      <c r="G313" s="97" t="s">
        <v>5704</v>
      </c>
      <c r="H313" s="1" t="s">
        <v>5682</v>
      </c>
      <c r="I313" s="216" t="s">
        <v>6262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1"/>
      <c r="B314" s="1" t="s">
        <v>325</v>
      </c>
      <c r="C314" s="9">
        <v>44653</v>
      </c>
      <c r="D314" s="1">
        <v>8969868829</v>
      </c>
      <c r="E314" s="71" t="s">
        <v>5708</v>
      </c>
      <c r="G314" s="97" t="s">
        <v>5709</v>
      </c>
      <c r="H314" s="1" t="s">
        <v>5682</v>
      </c>
      <c r="I314" s="216" t="s">
        <v>507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1"/>
      <c r="B315" s="1" t="s">
        <v>325</v>
      </c>
      <c r="C315" s="9">
        <v>44653</v>
      </c>
      <c r="D315" s="1">
        <v>6203147627</v>
      </c>
      <c r="E315" s="71" t="s">
        <v>5710</v>
      </c>
      <c r="G315" s="97" t="s">
        <v>5711</v>
      </c>
      <c r="H315" s="1" t="s">
        <v>5682</v>
      </c>
      <c r="I315" s="194" t="s">
        <v>6263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1"/>
      <c r="B316" s="1" t="s">
        <v>557</v>
      </c>
      <c r="C316" s="9">
        <v>44653</v>
      </c>
      <c r="D316" s="1">
        <v>8252534392</v>
      </c>
      <c r="E316" s="71" t="s">
        <v>5707</v>
      </c>
      <c r="F316" s="1"/>
      <c r="G316" t="s">
        <v>5706</v>
      </c>
      <c r="H316" s="1" t="s">
        <v>5682</v>
      </c>
      <c r="I316" s="194" t="s">
        <v>6264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1"/>
      <c r="B317" s="1" t="s">
        <v>557</v>
      </c>
      <c r="C317" s="9">
        <v>44653</v>
      </c>
      <c r="D317" s="1">
        <v>8252534392</v>
      </c>
      <c r="E317" s="71" t="s">
        <v>5712</v>
      </c>
      <c r="F317" s="1"/>
      <c r="G317" t="s">
        <v>5713</v>
      </c>
      <c r="H317" s="1" t="s">
        <v>5682</v>
      </c>
      <c r="I317" s="194" t="s">
        <v>6265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1"/>
      <c r="B318" s="1" t="s">
        <v>557</v>
      </c>
      <c r="C318" s="9">
        <v>44653</v>
      </c>
      <c r="E318" s="71" t="s">
        <v>5714</v>
      </c>
      <c r="G318" t="s">
        <v>5715</v>
      </c>
      <c r="H318" s="1" t="s">
        <v>5682</v>
      </c>
      <c r="I318" s="194" t="s">
        <v>6264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1"/>
      <c r="B319" s="1" t="s">
        <v>557</v>
      </c>
      <c r="C319" s="9">
        <v>44653</v>
      </c>
      <c r="D319" s="1"/>
      <c r="E319" s="71" t="s">
        <v>5716</v>
      </c>
      <c r="F319" s="1"/>
      <c r="G319" t="s">
        <v>5717</v>
      </c>
      <c r="H319" s="1" t="s">
        <v>5682</v>
      </c>
      <c r="I319" s="194" t="s">
        <v>6264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1"/>
      <c r="B320" s="1" t="s">
        <v>325</v>
      </c>
      <c r="C320" s="9">
        <v>44652</v>
      </c>
      <c r="D320" s="1">
        <v>8862861038</v>
      </c>
      <c r="E320" s="71" t="s">
        <v>5688</v>
      </c>
      <c r="F320" s="1"/>
      <c r="G320" s="94" t="s">
        <v>5687</v>
      </c>
      <c r="H320" s="1"/>
      <c r="I320" s="2" t="s">
        <v>528</v>
      </c>
      <c r="J320" s="2" t="s">
        <v>5689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141"/>
      <c r="B321" s="141" t="s">
        <v>338</v>
      </c>
      <c r="C321" s="153">
        <v>44652</v>
      </c>
      <c r="D321" s="141">
        <v>9798217104</v>
      </c>
      <c r="E321" s="296" t="s">
        <v>5718</v>
      </c>
      <c r="F321" s="141" t="s">
        <v>5719</v>
      </c>
      <c r="G321" s="155" t="s">
        <v>5723</v>
      </c>
      <c r="H321" s="141"/>
      <c r="I321" s="154" t="s">
        <v>100</v>
      </c>
      <c r="J321" s="154" t="s">
        <v>1627</v>
      </c>
      <c r="K321" s="25" t="s">
        <v>6018</v>
      </c>
      <c r="L321" s="15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141"/>
      <c r="B322" s="141" t="s">
        <v>338</v>
      </c>
      <c r="C322" s="153">
        <v>44652</v>
      </c>
      <c r="D322" s="141">
        <v>6207836483</v>
      </c>
      <c r="E322" s="297" t="s">
        <v>5720</v>
      </c>
      <c r="F322" s="156" t="s">
        <v>5721</v>
      </c>
      <c r="G322" s="155" t="s">
        <v>5722</v>
      </c>
      <c r="H322" s="225"/>
      <c r="I322" s="154" t="s">
        <v>100</v>
      </c>
      <c r="J322" s="154" t="s">
        <v>1627</v>
      </c>
      <c r="K322" s="167" t="s">
        <v>6019</v>
      </c>
      <c r="L322" s="15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1"/>
      <c r="B323" s="1" t="s">
        <v>557</v>
      </c>
      <c r="C323" s="9">
        <v>44655</v>
      </c>
      <c r="D323" s="1">
        <v>9304067276</v>
      </c>
      <c r="E323" s="71" t="s">
        <v>563</v>
      </c>
      <c r="F323" s="1">
        <v>230</v>
      </c>
      <c r="G323" s="99" t="s">
        <v>5732</v>
      </c>
      <c r="H323" s="1"/>
      <c r="I323" s="2" t="s">
        <v>528</v>
      </c>
      <c r="J323" s="2" t="s">
        <v>4799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1"/>
      <c r="B324" s="1" t="s">
        <v>557</v>
      </c>
      <c r="C324" s="9">
        <v>44655</v>
      </c>
      <c r="D324" s="1">
        <v>9304067276</v>
      </c>
      <c r="E324" s="71" t="s">
        <v>561</v>
      </c>
      <c r="F324" s="1">
        <v>231</v>
      </c>
      <c r="G324" t="s">
        <v>5741</v>
      </c>
      <c r="I324" s="2" t="s">
        <v>528</v>
      </c>
      <c r="J324" s="2" t="s">
        <v>4799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1"/>
      <c r="B325" s="1" t="s">
        <v>557</v>
      </c>
      <c r="C325" s="9">
        <v>44655</v>
      </c>
      <c r="D325" s="1">
        <v>9304067276</v>
      </c>
      <c r="E325" s="71" t="s">
        <v>559</v>
      </c>
      <c r="F325" s="1">
        <v>232</v>
      </c>
      <c r="G325" s="83" t="s">
        <v>5742</v>
      </c>
      <c r="H325" s="1"/>
      <c r="I325" s="2" t="s">
        <v>528</v>
      </c>
      <c r="J325" s="2" t="s">
        <v>4799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1"/>
      <c r="B326" s="1" t="s">
        <v>338</v>
      </c>
      <c r="C326" s="9">
        <v>44655</v>
      </c>
      <c r="D326" s="1">
        <v>9304822269</v>
      </c>
      <c r="E326" s="71" t="s">
        <v>5744</v>
      </c>
      <c r="F326" s="1">
        <v>233</v>
      </c>
      <c r="G326" s="83" t="s">
        <v>5745</v>
      </c>
      <c r="H326" s="1"/>
      <c r="I326" s="2" t="s">
        <v>251</v>
      </c>
      <c r="J326" s="2" t="s">
        <v>418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1"/>
      <c r="B327" s="1" t="s">
        <v>338</v>
      </c>
      <c r="C327" s="9">
        <v>44655</v>
      </c>
      <c r="D327" s="1">
        <v>8340348725</v>
      </c>
      <c r="E327" s="71" t="s">
        <v>5747</v>
      </c>
      <c r="F327" s="1">
        <v>234</v>
      </c>
      <c r="G327" s="83" t="s">
        <v>5746</v>
      </c>
      <c r="H327" s="1"/>
      <c r="I327" s="2" t="s">
        <v>251</v>
      </c>
      <c r="J327" s="2" t="s">
        <v>418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1"/>
      <c r="B328" s="1" t="s">
        <v>338</v>
      </c>
      <c r="C328" s="9">
        <v>44655</v>
      </c>
      <c r="D328" s="1">
        <v>7061722356</v>
      </c>
      <c r="E328" s="71" t="s">
        <v>5750</v>
      </c>
      <c r="G328" s="102" t="s">
        <v>5748</v>
      </c>
      <c r="H328" s="2" t="s">
        <v>5749</v>
      </c>
      <c r="I328" s="2" t="s">
        <v>507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1"/>
      <c r="B329" s="1" t="s">
        <v>338</v>
      </c>
      <c r="C329" s="9">
        <v>44655</v>
      </c>
      <c r="D329" s="1">
        <v>7667761542</v>
      </c>
      <c r="E329" s="71" t="s">
        <v>5751</v>
      </c>
      <c r="G329" s="102" t="s">
        <v>5752</v>
      </c>
      <c r="H329" s="2" t="s">
        <v>5749</v>
      </c>
      <c r="I329" s="2" t="s">
        <v>507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1"/>
      <c r="B330" s="1" t="s">
        <v>338</v>
      </c>
      <c r="C330" s="9">
        <v>44655</v>
      </c>
      <c r="D330" s="1">
        <v>9693160715</v>
      </c>
      <c r="E330" s="71" t="s">
        <v>5753</v>
      </c>
      <c r="G330" s="102" t="s">
        <v>5754</v>
      </c>
      <c r="H330" s="2" t="s">
        <v>5749</v>
      </c>
      <c r="I330" s="2" t="s">
        <v>507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1"/>
      <c r="B331" s="1" t="s">
        <v>325</v>
      </c>
      <c r="C331" s="9">
        <v>44656</v>
      </c>
      <c r="D331" s="1">
        <v>9798828123</v>
      </c>
      <c r="E331" s="71" t="s">
        <v>5755</v>
      </c>
      <c r="G331" s="102" t="s">
        <v>5756</v>
      </c>
      <c r="H331" s="2" t="s">
        <v>5749</v>
      </c>
      <c r="I331" s="2" t="s">
        <v>507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1"/>
      <c r="B332" s="1" t="s">
        <v>325</v>
      </c>
      <c r="C332" s="9">
        <v>44656</v>
      </c>
      <c r="D332" s="1">
        <v>8969559509</v>
      </c>
      <c r="E332" s="71" t="s">
        <v>5757</v>
      </c>
      <c r="F332" s="1"/>
      <c r="G332" s="102" t="s">
        <v>5758</v>
      </c>
      <c r="H332" s="2" t="s">
        <v>5749</v>
      </c>
      <c r="I332" s="11" t="s">
        <v>6268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1"/>
      <c r="B333" s="1" t="s">
        <v>325</v>
      </c>
      <c r="C333" s="9">
        <v>44656</v>
      </c>
      <c r="D333" s="1">
        <v>8969559505</v>
      </c>
      <c r="E333" s="71" t="s">
        <v>5759</v>
      </c>
      <c r="F333" s="1"/>
      <c r="G333" s="102" t="s">
        <v>5760</v>
      </c>
      <c r="H333" s="2" t="s">
        <v>5749</v>
      </c>
      <c r="I333" s="2" t="s">
        <v>268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1"/>
      <c r="B334" s="1" t="s">
        <v>325</v>
      </c>
      <c r="C334" s="9">
        <v>44656</v>
      </c>
      <c r="D334" s="1">
        <v>7260003045</v>
      </c>
      <c r="E334" s="71" t="s">
        <v>5761</v>
      </c>
      <c r="F334" s="1"/>
      <c r="G334" s="102" t="s">
        <v>5762</v>
      </c>
      <c r="H334" s="2" t="s">
        <v>5749</v>
      </c>
      <c r="I334" s="2" t="s">
        <v>268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1"/>
      <c r="B335" s="1" t="s">
        <v>325</v>
      </c>
      <c r="C335" s="9">
        <v>44656</v>
      </c>
      <c r="D335" s="1">
        <v>6206565102</v>
      </c>
      <c r="E335" s="71" t="s">
        <v>5763</v>
      </c>
      <c r="F335" s="1"/>
      <c r="G335" s="102" t="s">
        <v>5764</v>
      </c>
      <c r="H335" s="2" t="s">
        <v>5749</v>
      </c>
      <c r="I335" s="2" t="s">
        <v>268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1"/>
      <c r="B336" s="1" t="s">
        <v>325</v>
      </c>
      <c r="C336" s="9">
        <v>44656</v>
      </c>
      <c r="D336" s="1">
        <v>7260003045</v>
      </c>
      <c r="E336" s="71" t="s">
        <v>5765</v>
      </c>
      <c r="F336" s="1"/>
      <c r="G336" s="102" t="s">
        <v>5766</v>
      </c>
      <c r="H336" s="2" t="s">
        <v>5749</v>
      </c>
      <c r="I336" s="2" t="s">
        <v>268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1"/>
      <c r="B337" s="1" t="s">
        <v>325</v>
      </c>
      <c r="C337" s="9">
        <v>44656</v>
      </c>
      <c r="D337" s="1">
        <v>8340726739</v>
      </c>
      <c r="E337" s="71" t="s">
        <v>5767</v>
      </c>
      <c r="F337" s="1"/>
      <c r="G337" s="102" t="s">
        <v>5768</v>
      </c>
      <c r="H337" s="2" t="s">
        <v>5749</v>
      </c>
      <c r="I337" s="2" t="s">
        <v>268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1"/>
      <c r="B338" s="1" t="s">
        <v>325</v>
      </c>
      <c r="C338" s="9">
        <v>44656</v>
      </c>
      <c r="D338" s="1">
        <v>8252927221</v>
      </c>
      <c r="E338" s="71" t="s">
        <v>5769</v>
      </c>
      <c r="F338" s="1"/>
      <c r="G338" s="102" t="s">
        <v>5770</v>
      </c>
      <c r="H338" s="2" t="s">
        <v>5749</v>
      </c>
      <c r="I338" s="2" t="s">
        <v>268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1"/>
      <c r="B339" s="1" t="s">
        <v>325</v>
      </c>
      <c r="C339" s="9">
        <v>44656</v>
      </c>
      <c r="D339" s="1">
        <v>8709764217</v>
      </c>
      <c r="E339" s="71" t="s">
        <v>5771</v>
      </c>
      <c r="F339" s="1"/>
      <c r="G339" s="102" t="s">
        <v>5772</v>
      </c>
      <c r="H339" s="2" t="s">
        <v>5749</v>
      </c>
      <c r="I339" s="2" t="s">
        <v>268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1"/>
      <c r="B340" s="1" t="s">
        <v>557</v>
      </c>
      <c r="C340" s="9">
        <v>44656</v>
      </c>
      <c r="D340" s="1">
        <v>6204479469</v>
      </c>
      <c r="E340" s="71" t="s">
        <v>546</v>
      </c>
      <c r="F340" s="1">
        <v>235</v>
      </c>
      <c r="G340" s="103" t="s">
        <v>5773</v>
      </c>
      <c r="H340" s="1"/>
      <c r="I340" s="2"/>
      <c r="J340" s="2" t="s">
        <v>538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1"/>
      <c r="B341" s="1" t="s">
        <v>557</v>
      </c>
      <c r="C341" s="9">
        <v>44658</v>
      </c>
      <c r="D341" s="1">
        <v>9934711787</v>
      </c>
      <c r="E341" s="71" t="s">
        <v>2255</v>
      </c>
      <c r="F341" s="1"/>
      <c r="G341" t="s">
        <v>5777</v>
      </c>
      <c r="H341" s="2" t="s">
        <v>5778</v>
      </c>
      <c r="I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1"/>
      <c r="B342" s="1" t="s">
        <v>557</v>
      </c>
      <c r="C342" s="9">
        <v>44658</v>
      </c>
      <c r="D342" s="1">
        <v>7061921903</v>
      </c>
      <c r="E342" s="71" t="s">
        <v>5779</v>
      </c>
      <c r="F342" s="1"/>
      <c r="G342" t="s">
        <v>5780</v>
      </c>
      <c r="H342" s="2" t="s">
        <v>5778</v>
      </c>
      <c r="I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1"/>
      <c r="B343" s="1" t="s">
        <v>557</v>
      </c>
      <c r="C343" s="9">
        <v>44658</v>
      </c>
      <c r="D343" s="1">
        <v>6204600664</v>
      </c>
      <c r="E343" s="71" t="s">
        <v>5781</v>
      </c>
      <c r="F343" s="1"/>
      <c r="G343" t="s">
        <v>5782</v>
      </c>
      <c r="H343" s="2" t="s">
        <v>5778</v>
      </c>
      <c r="I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1"/>
      <c r="B344" s="1" t="s">
        <v>557</v>
      </c>
      <c r="C344" s="9">
        <v>44658</v>
      </c>
      <c r="D344" s="1">
        <v>7079520056</v>
      </c>
      <c r="E344" s="71" t="s">
        <v>5783</v>
      </c>
      <c r="F344" s="1"/>
      <c r="G344" t="s">
        <v>5784</v>
      </c>
      <c r="H344" s="2" t="s">
        <v>5778</v>
      </c>
      <c r="I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1"/>
      <c r="B345" s="1" t="s">
        <v>557</v>
      </c>
      <c r="C345" s="9">
        <v>44658</v>
      </c>
      <c r="D345" s="1">
        <v>9798436254</v>
      </c>
      <c r="E345" s="71" t="s">
        <v>5785</v>
      </c>
      <c r="F345" s="1"/>
      <c r="G345" t="s">
        <v>5786</v>
      </c>
      <c r="H345" s="2" t="s">
        <v>5778</v>
      </c>
      <c r="I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1"/>
      <c r="B346" s="1" t="s">
        <v>557</v>
      </c>
      <c r="C346" s="9">
        <v>44658</v>
      </c>
      <c r="D346" s="1">
        <v>6202323610</v>
      </c>
      <c r="E346" s="71" t="s">
        <v>5787</v>
      </c>
      <c r="F346" s="1"/>
      <c r="G346" t="s">
        <v>5788</v>
      </c>
      <c r="H346" s="2" t="s">
        <v>5778</v>
      </c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1"/>
      <c r="B347" s="1" t="s">
        <v>325</v>
      </c>
      <c r="C347" s="9">
        <v>44658</v>
      </c>
      <c r="D347" s="1">
        <v>6202427288</v>
      </c>
      <c r="E347" s="71" t="s">
        <v>5790</v>
      </c>
      <c r="F347" s="1"/>
      <c r="G347" t="s">
        <v>5791</v>
      </c>
      <c r="H347" s="2" t="s">
        <v>5778</v>
      </c>
      <c r="I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1"/>
      <c r="B348" s="1" t="s">
        <v>557</v>
      </c>
      <c r="C348" s="9">
        <v>44658</v>
      </c>
      <c r="D348" s="1">
        <v>8252847617</v>
      </c>
      <c r="E348" s="71" t="s">
        <v>5792</v>
      </c>
      <c r="F348" s="1"/>
      <c r="G348" t="s">
        <v>5793</v>
      </c>
      <c r="H348" s="2" t="s">
        <v>5778</v>
      </c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1"/>
      <c r="B349" s="1" t="s">
        <v>557</v>
      </c>
      <c r="C349" s="9">
        <v>44658</v>
      </c>
      <c r="D349" s="1">
        <v>9204662370</v>
      </c>
      <c r="E349" s="71" t="s">
        <v>5794</v>
      </c>
      <c r="F349" s="1"/>
      <c r="G349" t="s">
        <v>5795</v>
      </c>
      <c r="H349" s="2" t="s">
        <v>5778</v>
      </c>
      <c r="I349" s="2" t="s">
        <v>100</v>
      </c>
      <c r="J349" s="2" t="s">
        <v>6290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1"/>
      <c r="B350" s="1" t="s">
        <v>557</v>
      </c>
      <c r="C350" s="9">
        <v>44658</v>
      </c>
      <c r="D350" s="1">
        <v>6202849345</v>
      </c>
      <c r="E350" s="71" t="s">
        <v>5796</v>
      </c>
      <c r="F350" s="1"/>
      <c r="G350" t="s">
        <v>5797</v>
      </c>
      <c r="H350" s="2" t="s">
        <v>5778</v>
      </c>
      <c r="I350" s="2" t="s">
        <v>165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1"/>
      <c r="B351" s="1" t="s">
        <v>557</v>
      </c>
      <c r="C351" s="9">
        <v>44658</v>
      </c>
      <c r="D351" s="1">
        <v>8102414750</v>
      </c>
      <c r="E351" s="71" t="s">
        <v>5798</v>
      </c>
      <c r="F351" s="1"/>
      <c r="G351" t="s">
        <v>5799</v>
      </c>
      <c r="H351" s="2" t="s">
        <v>5778</v>
      </c>
      <c r="I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1"/>
      <c r="B352" s="1" t="s">
        <v>557</v>
      </c>
      <c r="C352" s="9">
        <v>44658</v>
      </c>
      <c r="D352" s="1">
        <v>9263302056</v>
      </c>
      <c r="E352" s="71" t="s">
        <v>5800</v>
      </c>
      <c r="F352" s="1"/>
      <c r="G352" t="s">
        <v>5801</v>
      </c>
      <c r="H352" s="2" t="s">
        <v>5778</v>
      </c>
      <c r="I352" s="2" t="s">
        <v>165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1"/>
      <c r="B353" s="1" t="s">
        <v>557</v>
      </c>
      <c r="C353" s="9">
        <v>44658</v>
      </c>
      <c r="D353" s="1">
        <v>8434259838</v>
      </c>
      <c r="E353" s="71" t="s">
        <v>5804</v>
      </c>
      <c r="F353" s="1"/>
      <c r="G353" t="s">
        <v>5803</v>
      </c>
      <c r="H353" s="2" t="s">
        <v>5778</v>
      </c>
      <c r="I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1"/>
      <c r="B354" s="1"/>
      <c r="C354" s="1"/>
      <c r="D354" s="1">
        <v>8252947993</v>
      </c>
      <c r="E354" s="71" t="s">
        <v>5806</v>
      </c>
      <c r="F354" s="1"/>
      <c r="G354" s="2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1"/>
      <c r="B355" s="1" t="s">
        <v>338</v>
      </c>
      <c r="C355" s="9">
        <v>44661</v>
      </c>
      <c r="D355" s="1">
        <v>6287753020</v>
      </c>
      <c r="E355" s="71" t="s">
        <v>5807</v>
      </c>
      <c r="F355" s="1">
        <v>237</v>
      </c>
      <c r="G355" t="s">
        <v>5808</v>
      </c>
      <c r="H355" s="1"/>
      <c r="I355" s="2" t="s">
        <v>528</v>
      </c>
      <c r="J355" s="2" t="s">
        <v>1627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1"/>
      <c r="B356" s="1" t="s">
        <v>155</v>
      </c>
      <c r="C356" s="9">
        <v>44666</v>
      </c>
      <c r="D356" s="1">
        <v>8252679991</v>
      </c>
      <c r="E356" s="71" t="s">
        <v>5802</v>
      </c>
      <c r="F356" s="1">
        <v>238</v>
      </c>
      <c r="G356" t="s">
        <v>5824</v>
      </c>
      <c r="H356" s="1"/>
      <c r="I356" s="2" t="s">
        <v>528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1"/>
      <c r="B357" s="1" t="s">
        <v>351</v>
      </c>
      <c r="C357" s="9">
        <v>44676</v>
      </c>
      <c r="D357" s="1">
        <v>9204086088</v>
      </c>
      <c r="E357" s="71" t="s">
        <v>5848</v>
      </c>
      <c r="F357" s="1"/>
      <c r="G357" t="s">
        <v>5846</v>
      </c>
      <c r="H357" s="1" t="s">
        <v>5038</v>
      </c>
      <c r="I357" s="2" t="s">
        <v>5872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1"/>
      <c r="B358" s="1" t="s">
        <v>325</v>
      </c>
      <c r="C358" s="9">
        <v>44697</v>
      </c>
      <c r="D358" s="1"/>
      <c r="E358" s="71" t="s">
        <v>5901</v>
      </c>
      <c r="F358" s="1"/>
      <c r="G358" t="s">
        <v>5900</v>
      </c>
      <c r="H358" s="1" t="s">
        <v>2711</v>
      </c>
      <c r="I358" s="2"/>
      <c r="J358" s="2" t="s">
        <v>5956</v>
      </c>
      <c r="K358" s="2"/>
      <c r="L358" s="2"/>
      <c r="M358" s="25" t="s">
        <v>5995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1"/>
      <c r="B359" s="1" t="s">
        <v>383</v>
      </c>
      <c r="C359" s="9">
        <v>44699</v>
      </c>
      <c r="D359" s="1">
        <v>8252679991</v>
      </c>
      <c r="E359" s="71" t="s">
        <v>392</v>
      </c>
      <c r="F359" s="1">
        <v>239</v>
      </c>
      <c r="G359" t="s">
        <v>5948</v>
      </c>
      <c r="H359" s="1" t="s">
        <v>418</v>
      </c>
      <c r="I359" s="2" t="s">
        <v>251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1"/>
      <c r="B360" s="1" t="s">
        <v>557</v>
      </c>
      <c r="C360" s="9">
        <v>44736</v>
      </c>
      <c r="D360" s="1">
        <v>9031352982</v>
      </c>
      <c r="E360" s="71" t="s">
        <v>279</v>
      </c>
      <c r="F360" s="1"/>
      <c r="G360" t="s">
        <v>6020</v>
      </c>
      <c r="H360" s="1" t="s">
        <v>2969</v>
      </c>
      <c r="I360" s="2" t="s">
        <v>6173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1"/>
      <c r="B361" s="1" t="s">
        <v>338</v>
      </c>
      <c r="C361" s="9">
        <v>44738</v>
      </c>
      <c r="D361" s="1">
        <v>7070785592</v>
      </c>
      <c r="E361" s="71" t="s">
        <v>6025</v>
      </c>
      <c r="F361" s="1">
        <v>240</v>
      </c>
      <c r="G361" t="s">
        <v>6027</v>
      </c>
      <c r="H361" s="1"/>
      <c r="I361" s="2" t="s">
        <v>538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1"/>
      <c r="B362" s="1" t="s">
        <v>338</v>
      </c>
      <c r="C362" s="9">
        <v>44738</v>
      </c>
      <c r="D362" s="1">
        <v>7070785592</v>
      </c>
      <c r="E362" s="71" t="s">
        <v>6026</v>
      </c>
      <c r="F362" s="1">
        <v>241</v>
      </c>
      <c r="G362" t="s">
        <v>6028</v>
      </c>
      <c r="H362" s="1"/>
      <c r="I362" s="2" t="s">
        <v>538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1"/>
      <c r="B363" s="1" t="s">
        <v>338</v>
      </c>
      <c r="C363" s="9">
        <v>44748</v>
      </c>
      <c r="D363" s="17" t="s">
        <v>6063</v>
      </c>
      <c r="E363" s="71" t="s">
        <v>6060</v>
      </c>
      <c r="F363" s="1">
        <v>242</v>
      </c>
      <c r="G363" t="s">
        <v>6064</v>
      </c>
      <c r="H363" s="1"/>
      <c r="I363" s="2" t="s">
        <v>158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1"/>
      <c r="B364" s="1" t="s">
        <v>338</v>
      </c>
      <c r="C364" s="9">
        <v>44748</v>
      </c>
      <c r="D364" s="1"/>
      <c r="E364" s="71" t="s">
        <v>5718</v>
      </c>
      <c r="F364" s="1">
        <v>243</v>
      </c>
      <c r="G364" t="s">
        <v>6066</v>
      </c>
      <c r="H364" s="1"/>
      <c r="I364" s="2" t="s">
        <v>538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1"/>
      <c r="B365" s="1" t="s">
        <v>338</v>
      </c>
      <c r="C365" s="9">
        <v>44748</v>
      </c>
      <c r="D365" s="1"/>
      <c r="E365" s="71" t="s">
        <v>5720</v>
      </c>
      <c r="F365" s="1">
        <v>244</v>
      </c>
      <c r="G365" t="s">
        <v>6067</v>
      </c>
      <c r="H365" s="1"/>
      <c r="I365" s="2" t="s">
        <v>538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1"/>
      <c r="B366" s="1" t="s">
        <v>334</v>
      </c>
      <c r="C366" s="9">
        <v>44770</v>
      </c>
      <c r="D366" s="1">
        <v>7209503300</v>
      </c>
      <c r="E366" s="71" t="s">
        <v>6152</v>
      </c>
      <c r="F366" s="1"/>
      <c r="G366" t="s">
        <v>6151</v>
      </c>
      <c r="H366" s="1" t="s">
        <v>449</v>
      </c>
      <c r="I366" s="65">
        <v>44875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1"/>
      <c r="B367" s="1" t="s">
        <v>338</v>
      </c>
      <c r="C367" s="9">
        <v>44770</v>
      </c>
      <c r="D367" s="17" t="s">
        <v>6163</v>
      </c>
      <c r="E367" s="71" t="s">
        <v>6171</v>
      </c>
      <c r="F367" s="1"/>
      <c r="G367" t="s">
        <v>6162</v>
      </c>
      <c r="H367" s="1"/>
      <c r="I367" s="2" t="s">
        <v>77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1"/>
      <c r="B368" s="1" t="s">
        <v>338</v>
      </c>
      <c r="C368" s="9">
        <v>44779</v>
      </c>
      <c r="D368" s="1">
        <v>6200825572</v>
      </c>
      <c r="E368" s="71" t="s">
        <v>6199</v>
      </c>
      <c r="F368" s="1"/>
      <c r="G368" t="s">
        <v>6198</v>
      </c>
      <c r="H368" s="1" t="s">
        <v>2546</v>
      </c>
      <c r="I368" s="65">
        <v>44841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1"/>
      <c r="B369" s="1" t="s">
        <v>338</v>
      </c>
      <c r="C369" s="9">
        <v>44803</v>
      </c>
      <c r="D369" s="1">
        <v>7488194234</v>
      </c>
      <c r="E369" s="71" t="s">
        <v>6319</v>
      </c>
      <c r="F369" s="1"/>
      <c r="G369" t="s">
        <v>6318</v>
      </c>
      <c r="H369" s="1" t="s">
        <v>6310</v>
      </c>
      <c r="I369" s="65">
        <v>44848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1"/>
      <c r="B370" s="1" t="s">
        <v>338</v>
      </c>
      <c r="C370" s="9">
        <v>44803</v>
      </c>
      <c r="D370" s="1">
        <v>7488194234</v>
      </c>
      <c r="E370" s="71" t="s">
        <v>6321</v>
      </c>
      <c r="F370" s="1"/>
      <c r="G370" t="s">
        <v>6320</v>
      </c>
      <c r="H370" s="1" t="s">
        <v>6310</v>
      </c>
      <c r="I370" s="65">
        <v>44848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1"/>
      <c r="B371" s="1"/>
      <c r="C371" s="1"/>
      <c r="D371" s="1">
        <v>9341799317</v>
      </c>
      <c r="E371" s="71" t="s">
        <v>6323</v>
      </c>
      <c r="F371" s="1"/>
      <c r="H371" s="1" t="s">
        <v>6322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1"/>
      <c r="B372" s="1"/>
      <c r="C372" s="1"/>
      <c r="D372" s="1">
        <v>9939468735</v>
      </c>
      <c r="E372" s="71" t="s">
        <v>6324</v>
      </c>
      <c r="F372" s="1"/>
      <c r="H372" s="1" t="s">
        <v>6322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1"/>
      <c r="B373" s="1"/>
      <c r="C373" s="1"/>
      <c r="D373" s="1">
        <v>9973992981</v>
      </c>
      <c r="E373" s="71" t="s">
        <v>6325</v>
      </c>
      <c r="F373" s="1"/>
      <c r="H373" s="1" t="s">
        <v>6322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1"/>
      <c r="B374" s="1"/>
      <c r="C374" s="1"/>
      <c r="D374" s="1">
        <v>7061351245</v>
      </c>
      <c r="E374" s="71" t="s">
        <v>6326</v>
      </c>
      <c r="F374" s="1"/>
      <c r="H374" s="1" t="s">
        <v>6322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1"/>
      <c r="B375" s="1"/>
      <c r="C375" s="1"/>
      <c r="D375" s="1">
        <v>9155534819</v>
      </c>
      <c r="E375" s="71" t="s">
        <v>6327</v>
      </c>
      <c r="F375" s="1"/>
      <c r="H375" s="1" t="s">
        <v>6322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1"/>
      <c r="B376" s="1"/>
      <c r="C376" s="1"/>
      <c r="D376" s="1">
        <v>7782818716</v>
      </c>
      <c r="E376" s="71" t="s">
        <v>6328</v>
      </c>
      <c r="F376" s="1"/>
      <c r="H376" s="1" t="s">
        <v>6322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1"/>
      <c r="B377" s="1"/>
      <c r="C377" s="1"/>
      <c r="D377" s="1">
        <v>6204587228</v>
      </c>
      <c r="E377" s="71" t="s">
        <v>6329</v>
      </c>
      <c r="F377" s="1"/>
      <c r="H377" s="1" t="s">
        <v>6322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1"/>
      <c r="B378" s="1"/>
      <c r="C378" s="1"/>
      <c r="D378" s="1">
        <v>7633969362</v>
      </c>
      <c r="E378" s="71" t="s">
        <v>6330</v>
      </c>
      <c r="F378" s="1"/>
      <c r="H378" s="1" t="s">
        <v>6322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1"/>
      <c r="B379" s="1"/>
      <c r="C379" s="1"/>
      <c r="D379" s="1">
        <v>9939287278</v>
      </c>
      <c r="E379" s="71" t="s">
        <v>6331</v>
      </c>
      <c r="F379" s="1"/>
      <c r="H379" s="1" t="s">
        <v>6322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1"/>
      <c r="B380" s="1" t="s">
        <v>6446</v>
      </c>
      <c r="C380" s="9">
        <v>44827</v>
      </c>
      <c r="D380" s="1">
        <v>9122824471</v>
      </c>
      <c r="E380" s="71" t="s">
        <v>518</v>
      </c>
      <c r="F380" s="1"/>
      <c r="G380" t="s">
        <v>6445</v>
      </c>
      <c r="H380" s="1" t="s">
        <v>538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1"/>
      <c r="B381" s="1" t="s">
        <v>6446</v>
      </c>
      <c r="C381" s="9">
        <v>44827</v>
      </c>
      <c r="D381" s="1">
        <v>6200713901</v>
      </c>
      <c r="E381" s="71" t="s">
        <v>436</v>
      </c>
      <c r="F381" s="1"/>
      <c r="G381" t="s">
        <v>6447</v>
      </c>
      <c r="H381" s="1" t="s">
        <v>6310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1"/>
      <c r="B382" s="1"/>
      <c r="C382" s="1"/>
      <c r="D382" s="1">
        <v>7061114097</v>
      </c>
      <c r="E382" s="71" t="s">
        <v>6449</v>
      </c>
      <c r="F382" s="1"/>
      <c r="G382" t="s">
        <v>6453</v>
      </c>
      <c r="H382" s="1" t="s">
        <v>6448</v>
      </c>
      <c r="I382" s="2" t="s">
        <v>4073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1"/>
      <c r="B383" s="1"/>
      <c r="C383" s="1"/>
      <c r="D383" s="1">
        <v>6205387195</v>
      </c>
      <c r="E383" s="71" t="s">
        <v>6450</v>
      </c>
      <c r="F383" s="1"/>
      <c r="G383" t="s">
        <v>6454</v>
      </c>
      <c r="H383" s="1" t="s">
        <v>6448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1"/>
      <c r="B384" s="1"/>
      <c r="C384" s="1"/>
      <c r="D384" s="1">
        <v>9835618409</v>
      </c>
      <c r="E384" s="71" t="s">
        <v>6451</v>
      </c>
      <c r="F384" s="1"/>
      <c r="G384" s="282" t="s">
        <v>6456</v>
      </c>
      <c r="H384" s="1" t="s">
        <v>6448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1"/>
      <c r="B385" s="1"/>
      <c r="C385" s="1"/>
      <c r="D385" s="1">
        <v>6205387194</v>
      </c>
      <c r="E385" s="71" t="s">
        <v>6452</v>
      </c>
      <c r="F385" s="1"/>
      <c r="G385" t="s">
        <v>6455</v>
      </c>
      <c r="H385" s="1" t="s">
        <v>6448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1"/>
      <c r="B386" s="1"/>
      <c r="C386" s="1"/>
      <c r="D386" s="1">
        <v>9341625763</v>
      </c>
      <c r="E386" s="71"/>
      <c r="F386" s="1"/>
      <c r="H386" s="1" t="s">
        <v>6448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1"/>
      <c r="B387" s="1"/>
      <c r="C387" s="1"/>
      <c r="D387" s="1"/>
      <c r="E387" s="71"/>
      <c r="F387" s="1"/>
      <c r="G387" s="2"/>
      <c r="H387" s="1" t="s">
        <v>6448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1"/>
      <c r="B388" s="1"/>
      <c r="C388" s="1"/>
      <c r="D388" s="1"/>
      <c r="E388" s="71"/>
      <c r="F388" s="1"/>
      <c r="G388" s="2"/>
      <c r="H388" s="1" t="s">
        <v>6448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1"/>
      <c r="B389" s="1"/>
      <c r="C389" s="1"/>
      <c r="D389" s="1"/>
      <c r="E389" s="71"/>
      <c r="F389" s="1"/>
      <c r="G389" s="2"/>
      <c r="H389" s="1" t="s">
        <v>6448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1"/>
      <c r="B390" s="1"/>
      <c r="C390" s="1"/>
      <c r="D390" s="1"/>
      <c r="E390" s="71"/>
      <c r="F390" s="1"/>
      <c r="G390" s="2"/>
      <c r="H390" s="1" t="s">
        <v>6448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1"/>
      <c r="B391" s="1"/>
      <c r="C391" s="1"/>
      <c r="D391" s="1"/>
      <c r="E391" s="71"/>
      <c r="F391" s="1"/>
      <c r="G391" s="2"/>
      <c r="H391" s="1" t="s">
        <v>6448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1"/>
      <c r="B392" s="1"/>
      <c r="C392" s="1"/>
      <c r="D392" s="1"/>
      <c r="E392" s="71"/>
      <c r="F392" s="1"/>
      <c r="G392" s="2"/>
      <c r="H392" s="1" t="s">
        <v>6448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1"/>
      <c r="B393" s="1"/>
      <c r="C393" s="1"/>
      <c r="D393" s="1"/>
      <c r="E393" s="71"/>
      <c r="F393" s="1"/>
      <c r="G393" s="2"/>
      <c r="H393" s="1" t="s">
        <v>6448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1"/>
      <c r="B394" s="1"/>
      <c r="C394" s="1"/>
      <c r="D394" s="1"/>
      <c r="E394" s="71"/>
      <c r="F394" s="1"/>
      <c r="G394" s="2"/>
      <c r="H394" s="1" t="s">
        <v>6448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1"/>
      <c r="B395" s="1" t="s">
        <v>378</v>
      </c>
      <c r="C395" s="9">
        <v>44832</v>
      </c>
      <c r="D395" s="101">
        <v>9934538514</v>
      </c>
      <c r="E395" s="71" t="s">
        <v>5833</v>
      </c>
      <c r="F395" s="1"/>
      <c r="G395" s="282" t="s">
        <v>6471</v>
      </c>
      <c r="H395" s="9">
        <v>44912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1"/>
      <c r="B396" s="1" t="s">
        <v>351</v>
      </c>
      <c r="C396" s="162">
        <v>44843</v>
      </c>
      <c r="D396" s="17" t="s">
        <v>3015</v>
      </c>
      <c r="E396" s="71" t="s">
        <v>1085</v>
      </c>
      <c r="G396" s="282" t="s">
        <v>6486</v>
      </c>
      <c r="H396" s="420">
        <v>44984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1"/>
      <c r="B397" s="1" t="s">
        <v>365</v>
      </c>
      <c r="C397" s="9">
        <v>44846</v>
      </c>
      <c r="D397" s="17" t="s">
        <v>6309</v>
      </c>
      <c r="E397" s="2" t="s">
        <v>6496</v>
      </c>
      <c r="F397" s="50"/>
      <c r="G397" s="364" t="s">
        <v>6497</v>
      </c>
      <c r="H397" s="365" t="s">
        <v>39</v>
      </c>
      <c r="I397" s="65">
        <v>44919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1"/>
      <c r="B398" s="1" t="s">
        <v>365</v>
      </c>
      <c r="C398" s="9">
        <v>44861</v>
      </c>
      <c r="D398" s="1">
        <v>6200669366</v>
      </c>
      <c r="E398" s="71" t="s">
        <v>6532</v>
      </c>
      <c r="F398" s="1"/>
      <c r="G398" s="282" t="s">
        <v>6529</v>
      </c>
      <c r="H398" s="355" t="s">
        <v>538</v>
      </c>
      <c r="I398" s="2" t="s">
        <v>6751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1"/>
      <c r="B399" s="1" t="s">
        <v>365</v>
      </c>
      <c r="C399" s="9">
        <v>44861</v>
      </c>
      <c r="D399" s="1">
        <v>6200669366</v>
      </c>
      <c r="E399" s="71" t="s">
        <v>6531</v>
      </c>
      <c r="F399" s="1"/>
      <c r="G399" s="282" t="s">
        <v>6530</v>
      </c>
      <c r="H399" s="355" t="s">
        <v>538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1"/>
      <c r="B400" s="1" t="s">
        <v>365</v>
      </c>
      <c r="C400" s="9">
        <v>44910</v>
      </c>
      <c r="D400" s="1"/>
      <c r="E400" s="71" t="s">
        <v>6753</v>
      </c>
      <c r="F400" s="1"/>
      <c r="G400" s="282" t="s">
        <v>6752</v>
      </c>
      <c r="H400" s="1" t="s">
        <v>507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1"/>
      <c r="B401" s="1" t="s">
        <v>351</v>
      </c>
      <c r="C401" s="9">
        <v>44857</v>
      </c>
      <c r="D401" s="101">
        <v>6299469608</v>
      </c>
      <c r="E401" s="2" t="s">
        <v>6421</v>
      </c>
      <c r="F401" s="1"/>
      <c r="G401" s="325" t="s">
        <v>6787</v>
      </c>
      <c r="H401" s="1" t="s">
        <v>1627</v>
      </c>
      <c r="I401" s="9">
        <v>44982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1"/>
      <c r="B402" s="1" t="s">
        <v>351</v>
      </c>
      <c r="C402" s="9">
        <v>44935</v>
      </c>
      <c r="D402" s="101">
        <v>7857806117</v>
      </c>
      <c r="E402" s="2" t="s">
        <v>6820</v>
      </c>
      <c r="F402" s="1"/>
      <c r="G402" s="325" t="s">
        <v>6822</v>
      </c>
      <c r="H402" s="1" t="s">
        <v>6821</v>
      </c>
      <c r="I402" s="65">
        <v>44953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1"/>
      <c r="B403" s="1" t="s">
        <v>338</v>
      </c>
      <c r="C403" s="9">
        <v>44939</v>
      </c>
      <c r="D403" s="1">
        <v>8210093022</v>
      </c>
      <c r="E403" s="71" t="s">
        <v>6837</v>
      </c>
      <c r="F403" s="1"/>
      <c r="G403" s="325" t="s">
        <v>6836</v>
      </c>
      <c r="H403" s="1" t="s">
        <v>6838</v>
      </c>
      <c r="I403" s="65">
        <v>44987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1"/>
      <c r="B404" s="1" t="s">
        <v>557</v>
      </c>
      <c r="C404" s="9">
        <v>44940</v>
      </c>
      <c r="D404" s="1">
        <v>8340314775</v>
      </c>
      <c r="E404" s="71" t="s">
        <v>6843</v>
      </c>
      <c r="F404" s="1"/>
      <c r="G404" s="325" t="s">
        <v>6842</v>
      </c>
      <c r="H404" s="1" t="s">
        <v>538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1"/>
      <c r="B405" s="1"/>
      <c r="C405" s="9">
        <v>44953</v>
      </c>
      <c r="D405" s="101">
        <v>7857806117</v>
      </c>
      <c r="E405" s="2" t="s">
        <v>6820</v>
      </c>
      <c r="F405" s="1"/>
      <c r="G405" s="2" t="s">
        <v>6880</v>
      </c>
      <c r="H405" s="9">
        <v>44956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1"/>
      <c r="B406" s="1" t="s">
        <v>338</v>
      </c>
      <c r="C406" s="9">
        <v>44959</v>
      </c>
      <c r="D406" s="1">
        <v>8015400796</v>
      </c>
      <c r="E406" s="71" t="s">
        <v>6901</v>
      </c>
      <c r="F406" s="1"/>
      <c r="G406" s="325" t="s">
        <v>6900</v>
      </c>
      <c r="H406" s="9">
        <v>45128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1"/>
      <c r="B407" s="1" t="s">
        <v>383</v>
      </c>
      <c r="C407" s="9">
        <v>44959</v>
      </c>
      <c r="D407" s="1"/>
      <c r="E407" s="71" t="s">
        <v>5833</v>
      </c>
      <c r="F407" s="1"/>
      <c r="G407" s="325" t="s">
        <v>6902</v>
      </c>
      <c r="H407" s="1" t="s">
        <v>538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1"/>
      <c r="B408" s="1" t="s">
        <v>351</v>
      </c>
      <c r="C408" s="9">
        <v>44959</v>
      </c>
      <c r="D408" s="1">
        <v>7209649632</v>
      </c>
      <c r="E408" s="403" t="s">
        <v>6908</v>
      </c>
      <c r="F408" s="1"/>
      <c r="G408" s="325" t="s">
        <v>6907</v>
      </c>
      <c r="H408" s="101" t="s">
        <v>6944</v>
      </c>
      <c r="I408" s="1" t="s">
        <v>3056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1"/>
      <c r="B409" s="1" t="s">
        <v>325</v>
      </c>
      <c r="C409" s="9">
        <v>44960</v>
      </c>
      <c r="D409" s="101">
        <v>7857806117</v>
      </c>
      <c r="E409" s="2" t="s">
        <v>6820</v>
      </c>
      <c r="F409" s="1"/>
      <c r="G409" s="325" t="s">
        <v>6911</v>
      </c>
      <c r="H409" s="1" t="s">
        <v>507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1"/>
      <c r="B410" s="1" t="s">
        <v>351</v>
      </c>
      <c r="C410" s="9">
        <v>44965</v>
      </c>
      <c r="D410" s="1">
        <v>8434665221</v>
      </c>
      <c r="E410" s="71" t="s">
        <v>6923</v>
      </c>
      <c r="F410" s="1"/>
      <c r="G410" s="325" t="s">
        <v>6925</v>
      </c>
      <c r="H410" s="1" t="s">
        <v>7109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1"/>
      <c r="B411" s="1" t="s">
        <v>351</v>
      </c>
      <c r="C411" s="9">
        <v>45034</v>
      </c>
      <c r="D411" s="1">
        <v>8084706521</v>
      </c>
      <c r="E411" s="71" t="s">
        <v>6924</v>
      </c>
      <c r="F411" s="1"/>
      <c r="G411" s="325" t="s">
        <v>7087</v>
      </c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1"/>
      <c r="B412" s="1" t="s">
        <v>365</v>
      </c>
      <c r="C412" s="9">
        <v>44978</v>
      </c>
      <c r="D412" s="1">
        <v>8969559837</v>
      </c>
      <c r="E412" s="71" t="s">
        <v>6952</v>
      </c>
      <c r="F412" s="1"/>
      <c r="G412" s="2" t="s">
        <v>6972</v>
      </c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1"/>
      <c r="B413" s="1" t="s">
        <v>351</v>
      </c>
      <c r="C413" s="9">
        <v>44980</v>
      </c>
      <c r="D413" s="1">
        <v>7857090899</v>
      </c>
      <c r="E413" s="71" t="s">
        <v>326</v>
      </c>
      <c r="F413" s="1"/>
      <c r="G413" s="325" t="s">
        <v>6960</v>
      </c>
      <c r="H413" s="13" t="s">
        <v>6987</v>
      </c>
      <c r="I413" s="2" t="s">
        <v>6757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1"/>
      <c r="B414" s="1" t="s">
        <v>6975</v>
      </c>
      <c r="C414" s="9">
        <v>44987</v>
      </c>
      <c r="D414" s="1">
        <v>9204000669</v>
      </c>
      <c r="E414" s="71" t="s">
        <v>6919</v>
      </c>
      <c r="F414" s="1"/>
      <c r="G414" s="325" t="s">
        <v>6974</v>
      </c>
      <c r="H414" s="1" t="s">
        <v>538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1"/>
      <c r="B415" s="1"/>
      <c r="C415" s="9">
        <v>44987</v>
      </c>
      <c r="D415" s="1"/>
      <c r="E415" s="71" t="s">
        <v>5833</v>
      </c>
      <c r="F415" s="1"/>
      <c r="G415" s="2" t="s">
        <v>6983</v>
      </c>
      <c r="H415" s="9">
        <v>45005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1"/>
      <c r="B416" s="1"/>
      <c r="C416" s="9">
        <v>44988</v>
      </c>
      <c r="D416" s="101">
        <v>7543899632</v>
      </c>
      <c r="E416" s="2" t="s">
        <v>6977</v>
      </c>
      <c r="G416" s="325" t="s">
        <v>6984</v>
      </c>
      <c r="H416" s="9">
        <v>45039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1"/>
      <c r="B417" s="1"/>
      <c r="C417" s="9">
        <v>44987</v>
      </c>
      <c r="D417" s="101">
        <v>7543899632</v>
      </c>
      <c r="E417" s="2" t="s">
        <v>6978</v>
      </c>
      <c r="G417" s="325" t="s">
        <v>6982</v>
      </c>
      <c r="H417" s="9">
        <v>45039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1"/>
      <c r="B418" s="1"/>
      <c r="C418" s="9">
        <v>44989</v>
      </c>
      <c r="D418" s="1">
        <v>8969559837</v>
      </c>
      <c r="E418" s="71" t="s">
        <v>6952</v>
      </c>
      <c r="F418" s="1"/>
      <c r="G418" s="325" t="s">
        <v>6991</v>
      </c>
      <c r="H418" s="1" t="s">
        <v>39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1" t="s">
        <v>265</v>
      </c>
      <c r="B419" s="1"/>
      <c r="C419" s="9">
        <v>45014</v>
      </c>
      <c r="D419" s="1">
        <v>8969559837</v>
      </c>
      <c r="E419" s="71" t="s">
        <v>6952</v>
      </c>
      <c r="F419" s="1"/>
      <c r="G419" s="2" t="s">
        <v>7042</v>
      </c>
      <c r="H419" s="1" t="s">
        <v>507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1"/>
      <c r="B420" s="1" t="s">
        <v>325</v>
      </c>
      <c r="C420" s="9">
        <v>45021</v>
      </c>
      <c r="D420" s="1">
        <v>7209649632</v>
      </c>
      <c r="E420" s="71" t="s">
        <v>6908</v>
      </c>
      <c r="F420" s="1"/>
      <c r="G420" s="325" t="s">
        <v>7061</v>
      </c>
      <c r="H420" s="1" t="s">
        <v>6757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1"/>
      <c r="B421" t="s">
        <v>351</v>
      </c>
      <c r="C421" s="95">
        <v>45023</v>
      </c>
      <c r="D421" s="101">
        <v>7970519004</v>
      </c>
      <c r="E421" s="294" t="s">
        <v>7063</v>
      </c>
      <c r="G421" s="325" t="s">
        <v>7064</v>
      </c>
      <c r="H421" s="1" t="s">
        <v>39</v>
      </c>
      <c r="I421" s="65">
        <v>45052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1"/>
      <c r="B422" t="s">
        <v>351</v>
      </c>
      <c r="C422" s="9">
        <v>45028</v>
      </c>
      <c r="D422" s="1">
        <v>7209649632</v>
      </c>
      <c r="E422" s="71" t="s">
        <v>7077</v>
      </c>
      <c r="F422" s="1"/>
      <c r="G422" s="325" t="s">
        <v>7076</v>
      </c>
      <c r="H422" s="1" t="s">
        <v>6757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1"/>
      <c r="B423" t="s">
        <v>351</v>
      </c>
      <c r="C423" s="9">
        <v>45033</v>
      </c>
      <c r="D423" s="1">
        <v>7857090899</v>
      </c>
      <c r="E423" s="71" t="s">
        <v>326</v>
      </c>
      <c r="F423" s="1"/>
      <c r="G423" s="325" t="s">
        <v>7081</v>
      </c>
      <c r="H423" s="1" t="s">
        <v>507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1"/>
      <c r="B424" s="1" t="s">
        <v>383</v>
      </c>
      <c r="C424" s="9">
        <v>45051</v>
      </c>
      <c r="D424" s="1">
        <v>9934538514</v>
      </c>
      <c r="E424" s="71" t="s">
        <v>5833</v>
      </c>
      <c r="F424" s="1"/>
      <c r="G424" s="325" t="s">
        <v>7131</v>
      </c>
      <c r="H424" s="1" t="s">
        <v>39</v>
      </c>
      <c r="I424" s="65">
        <v>45069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1"/>
      <c r="B425" s="1" t="s">
        <v>383</v>
      </c>
      <c r="C425" s="9">
        <v>45066</v>
      </c>
      <c r="D425" s="1">
        <v>9934538514</v>
      </c>
      <c r="E425" s="71" t="s">
        <v>5833</v>
      </c>
      <c r="F425" s="1"/>
      <c r="G425" s="2" t="s">
        <v>7167</v>
      </c>
      <c r="H425" s="9">
        <v>45078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1"/>
      <c r="B426" s="1"/>
      <c r="C426" s="9">
        <v>45075</v>
      </c>
      <c r="D426" s="1"/>
      <c r="E426" s="71" t="s">
        <v>7207</v>
      </c>
      <c r="F426" s="1"/>
      <c r="G426" s="325" t="s">
        <v>7206</v>
      </c>
      <c r="H426" s="1" t="s">
        <v>538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1"/>
      <c r="B427" s="1" t="s">
        <v>383</v>
      </c>
      <c r="C427" s="9">
        <v>45076</v>
      </c>
      <c r="D427" s="101">
        <v>9110048225</v>
      </c>
      <c r="E427" s="493" t="s">
        <v>7210</v>
      </c>
      <c r="G427" s="325" t="s">
        <v>7209</v>
      </c>
      <c r="H427" s="1" t="s">
        <v>538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1"/>
      <c r="B428" s="1" t="s">
        <v>338</v>
      </c>
      <c r="C428" s="9">
        <v>45120</v>
      </c>
      <c r="D428" s="1">
        <v>6206224230</v>
      </c>
      <c r="E428" s="71" t="s">
        <v>7391</v>
      </c>
      <c r="F428" s="1" t="s">
        <v>7392</v>
      </c>
      <c r="G428" s="325" t="s">
        <v>7390</v>
      </c>
      <c r="H428" s="1" t="s">
        <v>507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1"/>
      <c r="B429" s="1" t="s">
        <v>351</v>
      </c>
      <c r="C429" s="9">
        <v>45137</v>
      </c>
      <c r="D429" s="1">
        <v>6202479188</v>
      </c>
      <c r="E429" s="71" t="s">
        <v>7461</v>
      </c>
      <c r="F429" s="1" t="s">
        <v>1785</v>
      </c>
      <c r="G429" s="325" t="s">
        <v>7460</v>
      </c>
      <c r="H429" s="9">
        <v>45168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1"/>
      <c r="B430" s="1" t="s">
        <v>338</v>
      </c>
      <c r="C430" s="95">
        <v>45157</v>
      </c>
      <c r="D430" s="101">
        <v>6204220411</v>
      </c>
      <c r="E430" s="611" t="s">
        <v>7513</v>
      </c>
      <c r="F430" s="1" t="s">
        <v>1785</v>
      </c>
      <c r="G430" s="325" t="s">
        <v>7512</v>
      </c>
      <c r="H430" s="101" t="s">
        <v>538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1"/>
      <c r="B431" s="1" t="s">
        <v>338</v>
      </c>
      <c r="C431" s="95">
        <v>45157</v>
      </c>
      <c r="D431" s="1">
        <v>9798904308</v>
      </c>
      <c r="E431" s="71" t="s">
        <v>7514</v>
      </c>
      <c r="F431" s="1" t="s">
        <v>1785</v>
      </c>
      <c r="G431" s="325" t="s">
        <v>7515</v>
      </c>
      <c r="H431" s="101" t="s">
        <v>538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1"/>
      <c r="B432" s="1" t="s">
        <v>338</v>
      </c>
      <c r="C432" s="95">
        <v>45157</v>
      </c>
      <c r="D432" s="1">
        <v>6204220411</v>
      </c>
      <c r="E432" s="71" t="s">
        <v>7516</v>
      </c>
      <c r="F432" s="1" t="s">
        <v>1785</v>
      </c>
      <c r="G432" s="325" t="s">
        <v>7517</v>
      </c>
      <c r="H432" s="101" t="s">
        <v>538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1"/>
      <c r="B433" s="1" t="s">
        <v>338</v>
      </c>
      <c r="C433" s="95">
        <v>45179</v>
      </c>
      <c r="D433" s="101">
        <v>8252679991</v>
      </c>
      <c r="E433" s="634" t="s">
        <v>7551</v>
      </c>
      <c r="F433" s="1" t="s">
        <v>418</v>
      </c>
      <c r="G433" s="325" t="s">
        <v>7553</v>
      </c>
      <c r="H433" s="1" t="s">
        <v>77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1"/>
      <c r="B434" s="1" t="s">
        <v>351</v>
      </c>
      <c r="C434" s="9">
        <v>45202</v>
      </c>
      <c r="D434" s="101">
        <v>752975636729</v>
      </c>
      <c r="E434" s="1" t="s">
        <v>4875</v>
      </c>
      <c r="F434" s="1" t="s">
        <v>2919</v>
      </c>
      <c r="G434" s="325" t="s">
        <v>7687</v>
      </c>
      <c r="H434" s="1" t="s">
        <v>538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1"/>
      <c r="B435" s="1" t="s">
        <v>338</v>
      </c>
      <c r="C435" s="95">
        <v>45209</v>
      </c>
      <c r="D435" s="101">
        <v>9546519426</v>
      </c>
      <c r="E435" s="672" t="s">
        <v>7624</v>
      </c>
      <c r="F435" s="1" t="s">
        <v>7297</v>
      </c>
      <c r="G435" s="325" t="s">
        <v>7625</v>
      </c>
      <c r="H435" s="9">
        <v>45249</v>
      </c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1"/>
      <c r="B436" s="1" t="s">
        <v>351</v>
      </c>
      <c r="C436" s="95">
        <v>45210</v>
      </c>
      <c r="D436" s="101">
        <v>9955707127</v>
      </c>
      <c r="E436" s="674" t="s">
        <v>7632</v>
      </c>
      <c r="F436" s="1" t="s">
        <v>1785</v>
      </c>
      <c r="G436" s="325" t="s">
        <v>7631</v>
      </c>
      <c r="H436" s="9">
        <v>45280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1"/>
      <c r="B437" s="1" t="s">
        <v>351</v>
      </c>
      <c r="C437" s="95">
        <v>45282</v>
      </c>
      <c r="D437" s="101">
        <v>9431161486</v>
      </c>
      <c r="E437" s="740" t="s">
        <v>7769</v>
      </c>
      <c r="F437" s="1" t="s">
        <v>7770</v>
      </c>
      <c r="G437" s="325" t="s">
        <v>7768</v>
      </c>
      <c r="H437" s="1" t="s">
        <v>538</v>
      </c>
      <c r="I437" s="1" t="s">
        <v>7787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1"/>
      <c r="B438" s="1" t="s">
        <v>351</v>
      </c>
      <c r="C438" s="95">
        <v>45343</v>
      </c>
      <c r="D438" s="101">
        <v>7677775026</v>
      </c>
      <c r="E438" s="854" t="s">
        <v>8191</v>
      </c>
      <c r="F438" s="1" t="s">
        <v>1785</v>
      </c>
      <c r="G438" s="325" t="s">
        <v>8196</v>
      </c>
      <c r="H438" s="1" t="s">
        <v>507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1"/>
      <c r="B439" s="1" t="s">
        <v>351</v>
      </c>
      <c r="C439" s="95">
        <v>45343</v>
      </c>
      <c r="D439" s="101">
        <v>7061682526</v>
      </c>
      <c r="E439" s="854" t="s">
        <v>8192</v>
      </c>
      <c r="F439" s="1" t="s">
        <v>1785</v>
      </c>
      <c r="G439" s="325" t="s">
        <v>8195</v>
      </c>
      <c r="H439" s="1" t="s">
        <v>538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1"/>
      <c r="B440" s="1" t="s">
        <v>351</v>
      </c>
      <c r="C440" s="95">
        <v>45343</v>
      </c>
      <c r="D440" s="101">
        <v>8084109505</v>
      </c>
      <c r="E440" s="854" t="s">
        <v>8193</v>
      </c>
      <c r="F440" s="1" t="s">
        <v>1785</v>
      </c>
      <c r="G440" s="325" t="s">
        <v>8197</v>
      </c>
      <c r="H440" s="1" t="s">
        <v>507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1"/>
      <c r="B441" s="1" t="s">
        <v>351</v>
      </c>
      <c r="C441" s="95">
        <v>45343</v>
      </c>
      <c r="D441" s="101">
        <v>8002484625</v>
      </c>
      <c r="E441" s="854" t="s">
        <v>8194</v>
      </c>
      <c r="F441" s="1" t="s">
        <v>1785</v>
      </c>
      <c r="G441" s="325" t="s">
        <v>8202</v>
      </c>
      <c r="H441" s="9">
        <v>45434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1"/>
      <c r="B442" s="1" t="s">
        <v>351</v>
      </c>
      <c r="C442" s="95">
        <v>45343</v>
      </c>
      <c r="D442" s="101">
        <v>8434973177</v>
      </c>
      <c r="E442" s="856" t="s">
        <v>8203</v>
      </c>
      <c r="F442" s="1" t="s">
        <v>1785</v>
      </c>
      <c r="G442" s="325" t="s">
        <v>8204</v>
      </c>
      <c r="H442" s="9">
        <v>45434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1"/>
      <c r="B443" s="1" t="s">
        <v>334</v>
      </c>
      <c r="C443" s="162">
        <v>45371</v>
      </c>
      <c r="D443" s="101">
        <v>8709319617</v>
      </c>
      <c r="E443" s="904" t="s">
        <v>8416</v>
      </c>
      <c r="F443" s="1" t="s">
        <v>1627</v>
      </c>
      <c r="G443" s="325" t="s">
        <v>8419</v>
      </c>
      <c r="H443" s="1" t="s">
        <v>507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1"/>
      <c r="B444" s="1" t="s">
        <v>365</v>
      </c>
      <c r="C444" s="95">
        <v>45388</v>
      </c>
      <c r="D444" s="101">
        <v>9110039226</v>
      </c>
      <c r="E444" s="920" t="s">
        <v>8485</v>
      </c>
      <c r="F444" s="1" t="s">
        <v>8486</v>
      </c>
      <c r="G444" s="325" t="s">
        <v>8484</v>
      </c>
      <c r="H444" s="1" t="s">
        <v>100</v>
      </c>
      <c r="I444" s="1" t="s">
        <v>8703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1"/>
      <c r="B445" s="1" t="s">
        <v>365</v>
      </c>
      <c r="C445" s="95">
        <v>45466</v>
      </c>
      <c r="D445" s="101">
        <v>9234754675</v>
      </c>
      <c r="E445" s="1013" t="s">
        <v>8849</v>
      </c>
      <c r="F445" s="1" t="s">
        <v>1627</v>
      </c>
      <c r="G445" s="325" t="s">
        <v>8850</v>
      </c>
      <c r="H445" s="1" t="s">
        <v>507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1"/>
      <c r="B446" s="1" t="s">
        <v>365</v>
      </c>
      <c r="C446" s="95">
        <v>45375</v>
      </c>
      <c r="D446" s="101">
        <v>6202936396</v>
      </c>
      <c r="E446" s="1016" t="s">
        <v>8863</v>
      </c>
      <c r="F446" s="1" t="s">
        <v>7392</v>
      </c>
      <c r="G446" s="325" t="s">
        <v>8880</v>
      </c>
      <c r="H446" s="1" t="s">
        <v>9361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1"/>
      <c r="B447" s="1" t="s">
        <v>365</v>
      </c>
      <c r="C447" s="95">
        <v>45476</v>
      </c>
      <c r="D447" s="101">
        <v>9572729793</v>
      </c>
      <c r="E447" s="1030" t="s">
        <v>8892</v>
      </c>
      <c r="F447" s="1" t="s">
        <v>1627</v>
      </c>
      <c r="G447" s="325" t="s">
        <v>8909</v>
      </c>
      <c r="H447" s="1" t="s">
        <v>507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1"/>
      <c r="B448" s="1" t="s">
        <v>365</v>
      </c>
      <c r="C448" s="95">
        <v>45476</v>
      </c>
      <c r="D448" s="101">
        <v>9572729793</v>
      </c>
      <c r="E448" s="1030" t="s">
        <v>8906</v>
      </c>
      <c r="F448" s="1" t="s">
        <v>1627</v>
      </c>
      <c r="G448" s="325" t="s">
        <v>8910</v>
      </c>
      <c r="H448" s="1" t="s">
        <v>507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1"/>
      <c r="B449" s="1" t="s">
        <v>365</v>
      </c>
      <c r="C449" s="95">
        <v>45476</v>
      </c>
      <c r="E449" s="1030" t="s">
        <v>8912</v>
      </c>
      <c r="F449" s="1061" t="s">
        <v>1627</v>
      </c>
      <c r="G449" s="325" t="s">
        <v>8911</v>
      </c>
      <c r="H449" s="1" t="s">
        <v>507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1"/>
      <c r="B450" s="1" t="s">
        <v>325</v>
      </c>
      <c r="C450" s="95">
        <v>45493</v>
      </c>
      <c r="D450" s="101">
        <v>9931470095</v>
      </c>
      <c r="E450" s="1059" t="s">
        <v>9022</v>
      </c>
      <c r="F450" s="1" t="s">
        <v>1785</v>
      </c>
      <c r="G450" s="325" t="s">
        <v>9021</v>
      </c>
      <c r="H450" s="1" t="s">
        <v>6757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1"/>
      <c r="B451" s="1" t="s">
        <v>338</v>
      </c>
      <c r="C451" s="95">
        <v>45493</v>
      </c>
      <c r="D451" s="101">
        <v>9199178885</v>
      </c>
      <c r="E451" s="1059" t="s">
        <v>7998</v>
      </c>
      <c r="F451" s="1" t="s">
        <v>1785</v>
      </c>
      <c r="G451" s="325" t="s">
        <v>9023</v>
      </c>
      <c r="H451" s="1" t="s">
        <v>3882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1"/>
      <c r="B452" s="1" t="s">
        <v>338</v>
      </c>
      <c r="C452" s="95">
        <v>45502</v>
      </c>
      <c r="E452" s="1088" t="s">
        <v>9007</v>
      </c>
      <c r="F452" s="1"/>
      <c r="G452" s="325" t="s">
        <v>9066</v>
      </c>
      <c r="H452" s="1" t="s">
        <v>36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1"/>
      <c r="B453" s="1" t="s">
        <v>334</v>
      </c>
      <c r="C453" s="95">
        <v>45512</v>
      </c>
      <c r="D453" s="101">
        <v>8092244124</v>
      </c>
      <c r="E453" s="1099" t="s">
        <v>9105</v>
      </c>
      <c r="F453" s="1" t="s">
        <v>1892</v>
      </c>
      <c r="G453" s="325" t="s">
        <v>9104</v>
      </c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1"/>
      <c r="B454" s="1" t="s">
        <v>338</v>
      </c>
      <c r="C454" s="95">
        <v>45525</v>
      </c>
      <c r="D454" s="101">
        <v>9142763958</v>
      </c>
      <c r="E454" s="1113" t="s">
        <v>6532</v>
      </c>
      <c r="F454" s="1" t="s">
        <v>3056</v>
      </c>
      <c r="G454" s="325" t="s">
        <v>9150</v>
      </c>
      <c r="H454" s="1" t="s">
        <v>100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1"/>
      <c r="B455" s="1" t="s">
        <v>338</v>
      </c>
      <c r="C455" s="95">
        <v>45542</v>
      </c>
      <c r="D455" s="101">
        <v>9155414746</v>
      </c>
      <c r="E455" s="1139" t="s">
        <v>9213</v>
      </c>
      <c r="F455" s="1" t="s">
        <v>9214</v>
      </c>
      <c r="G455" s="325" t="s">
        <v>9212</v>
      </c>
      <c r="H455" s="9">
        <v>45573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1"/>
      <c r="B456" s="1" t="s">
        <v>338</v>
      </c>
      <c r="C456" s="95">
        <v>45542</v>
      </c>
      <c r="D456" s="101">
        <v>7488168475</v>
      </c>
      <c r="E456" s="1139" t="s">
        <v>8143</v>
      </c>
      <c r="F456" s="1" t="s">
        <v>9214</v>
      </c>
      <c r="G456" s="325" t="s">
        <v>9215</v>
      </c>
      <c r="H456" s="9">
        <v>45573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1"/>
      <c r="B457" s="1" t="s">
        <v>351</v>
      </c>
      <c r="C457" s="95">
        <v>45546</v>
      </c>
      <c r="D457" s="101">
        <v>8252112750</v>
      </c>
      <c r="E457" s="1145" t="s">
        <v>9228</v>
      </c>
      <c r="F457" s="1" t="s">
        <v>2018</v>
      </c>
      <c r="G457" s="325" t="s">
        <v>9227</v>
      </c>
      <c r="H457" s="1" t="s">
        <v>10200</v>
      </c>
      <c r="I457" s="1" t="s">
        <v>10201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1"/>
      <c r="B458" s="1" t="s">
        <v>338</v>
      </c>
      <c r="C458" s="95">
        <v>45547</v>
      </c>
      <c r="D458" s="101">
        <v>9521887136</v>
      </c>
      <c r="E458" s="1159" t="s">
        <v>9272</v>
      </c>
      <c r="F458" s="1" t="s">
        <v>8825</v>
      </c>
      <c r="G458" s="325" t="s">
        <v>9273</v>
      </c>
      <c r="H458" s="1" t="s">
        <v>507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1"/>
      <c r="B459" s="1" t="s">
        <v>338</v>
      </c>
      <c r="C459" s="95">
        <v>45547</v>
      </c>
      <c r="D459" s="101">
        <v>9521887136</v>
      </c>
      <c r="E459" s="1159" t="s">
        <v>9275</v>
      </c>
      <c r="F459" s="1" t="s">
        <v>8825</v>
      </c>
      <c r="G459" s="325" t="s">
        <v>9274</v>
      </c>
      <c r="H459" s="1" t="s">
        <v>507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1"/>
      <c r="B460" s="1" t="s">
        <v>338</v>
      </c>
      <c r="C460" s="95">
        <v>45569</v>
      </c>
      <c r="D460" s="101">
        <v>6204342299</v>
      </c>
      <c r="E460" s="1182" t="s">
        <v>9371</v>
      </c>
      <c r="F460" s="1" t="s">
        <v>4481</v>
      </c>
      <c r="G460" s="325" t="s">
        <v>9370</v>
      </c>
      <c r="H460" s="1" t="s">
        <v>100</v>
      </c>
      <c r="I460" s="1" t="s">
        <v>10008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1"/>
      <c r="B461" s="1" t="s">
        <v>338</v>
      </c>
      <c r="C461" s="95">
        <v>45583</v>
      </c>
      <c r="D461" s="101">
        <v>7903551190</v>
      </c>
      <c r="E461" s="1194" t="s">
        <v>9416</v>
      </c>
      <c r="F461" s="1" t="s">
        <v>7392</v>
      </c>
      <c r="G461" s="325" t="s">
        <v>9415</v>
      </c>
      <c r="H461" s="1" t="s">
        <v>507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1"/>
      <c r="B462" s="1" t="s">
        <v>338</v>
      </c>
      <c r="C462" s="95">
        <v>45583</v>
      </c>
      <c r="D462" s="101">
        <v>7903551190</v>
      </c>
      <c r="E462" s="1194" t="s">
        <v>9418</v>
      </c>
      <c r="F462" s="1" t="s">
        <v>7392</v>
      </c>
      <c r="G462" s="325" t="s">
        <v>9417</v>
      </c>
      <c r="H462" s="1" t="s">
        <v>507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1"/>
      <c r="B463" s="1" t="s">
        <v>557</v>
      </c>
      <c r="C463" s="95">
        <v>45589</v>
      </c>
      <c r="D463" s="101">
        <v>8789947081</v>
      </c>
      <c r="E463" s="1206" t="s">
        <v>9451</v>
      </c>
      <c r="F463" s="1" t="s">
        <v>1355</v>
      </c>
      <c r="G463" s="325" t="s">
        <v>9450</v>
      </c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1"/>
      <c r="B464" s="1" t="s">
        <v>338</v>
      </c>
      <c r="C464" s="95">
        <v>45611</v>
      </c>
      <c r="D464" s="101">
        <v>6204342299</v>
      </c>
      <c r="E464" s="1233" t="s">
        <v>9371</v>
      </c>
      <c r="F464" s="1"/>
      <c r="G464" s="325" t="s">
        <v>9523</v>
      </c>
      <c r="H464" s="1" t="s">
        <v>507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1"/>
      <c r="B465" s="1" t="s">
        <v>338</v>
      </c>
      <c r="C465" s="95">
        <v>45645</v>
      </c>
      <c r="D465" s="101">
        <v>7091392757</v>
      </c>
      <c r="E465" s="1397" t="s">
        <v>9720</v>
      </c>
      <c r="F465" s="1" t="s">
        <v>9721</v>
      </c>
      <c r="G465" s="325" t="s">
        <v>9719</v>
      </c>
      <c r="H465" s="1" t="s">
        <v>507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1"/>
      <c r="B466" s="1" t="s">
        <v>338</v>
      </c>
      <c r="C466" s="95">
        <v>45677</v>
      </c>
      <c r="D466" s="101">
        <v>8797119160</v>
      </c>
      <c r="E466" s="1349" t="s">
        <v>9878</v>
      </c>
      <c r="F466" s="1"/>
      <c r="G466" s="325" t="s">
        <v>9877</v>
      </c>
      <c r="H466" s="1" t="s">
        <v>100</v>
      </c>
      <c r="I466" s="1393" t="s">
        <v>10120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1"/>
      <c r="B467" s="1" t="s">
        <v>383</v>
      </c>
      <c r="C467" s="95">
        <v>45682</v>
      </c>
      <c r="D467" s="101">
        <v>9589737210</v>
      </c>
      <c r="E467" s="1356" t="s">
        <v>9272</v>
      </c>
      <c r="F467" s="1" t="s">
        <v>8825</v>
      </c>
      <c r="G467" s="325" t="s">
        <v>9907</v>
      </c>
      <c r="H467" s="1" t="s">
        <v>5019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1"/>
      <c r="B468" s="1" t="s">
        <v>557</v>
      </c>
      <c r="C468" s="95">
        <v>45776</v>
      </c>
      <c r="D468" s="101">
        <v>7295914524</v>
      </c>
      <c r="E468" s="1433" t="s">
        <v>10366</v>
      </c>
      <c r="F468" s="1" t="s">
        <v>2067</v>
      </c>
      <c r="G468" t="s">
        <v>10365</v>
      </c>
      <c r="H468" s="101" t="s">
        <v>39</v>
      </c>
      <c r="I468" s="65">
        <v>45836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1"/>
      <c r="B469" s="1" t="s">
        <v>557</v>
      </c>
      <c r="C469" s="95">
        <v>45783</v>
      </c>
      <c r="D469" s="101">
        <v>9973515685</v>
      </c>
      <c r="E469" s="1437" t="s">
        <v>10414</v>
      </c>
      <c r="F469" s="1" t="s">
        <v>2067</v>
      </c>
      <c r="G469" t="s">
        <v>10413</v>
      </c>
      <c r="H469" s="101" t="s">
        <v>39</v>
      </c>
      <c r="I469" s="65">
        <v>45836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1"/>
      <c r="B470" s="1" t="s">
        <v>10529</v>
      </c>
      <c r="C470" s="95">
        <v>45804</v>
      </c>
      <c r="D470" s="101">
        <v>9931470095</v>
      </c>
      <c r="E470" s="1449" t="s">
        <v>10530</v>
      </c>
      <c r="F470" s="1" t="s">
        <v>1785</v>
      </c>
      <c r="G470" s="325" t="s">
        <v>10528</v>
      </c>
      <c r="H470" s="1487" t="s">
        <v>100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1"/>
      <c r="B471" s="1" t="s">
        <v>338</v>
      </c>
      <c r="C471" s="95"/>
      <c r="D471" s="101">
        <v>8252679991</v>
      </c>
      <c r="E471" s="1450" t="s">
        <v>392</v>
      </c>
      <c r="F471" s="1" t="s">
        <v>418</v>
      </c>
      <c r="G471" s="325" t="s">
        <v>10531</v>
      </c>
      <c r="H471" s="162">
        <v>45812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1"/>
      <c r="B472" s="1" t="s">
        <v>383</v>
      </c>
      <c r="C472" s="95"/>
      <c r="D472" s="101">
        <v>8252679991</v>
      </c>
      <c r="E472" s="1450" t="s">
        <v>392</v>
      </c>
      <c r="F472" s="1" t="s">
        <v>418</v>
      </c>
      <c r="G472" s="325" t="s">
        <v>10604</v>
      </c>
      <c r="H472" s="1" t="s">
        <v>39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1"/>
      <c r="B473" s="1" t="s">
        <v>351</v>
      </c>
      <c r="C473" s="95">
        <v>45818</v>
      </c>
      <c r="D473" s="1462" t="s">
        <v>10633</v>
      </c>
      <c r="E473" s="1517" t="s">
        <v>10632</v>
      </c>
      <c r="F473" s="1" t="s">
        <v>2056</v>
      </c>
      <c r="G473" s="325" t="s">
        <v>10631</v>
      </c>
      <c r="H473" s="1" t="s">
        <v>507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1"/>
      <c r="B474" s="1" t="s">
        <v>351</v>
      </c>
      <c r="C474" s="95">
        <v>45818</v>
      </c>
      <c r="D474" s="101">
        <v>9341728344</v>
      </c>
      <c r="E474" s="1463" t="s">
        <v>10634</v>
      </c>
      <c r="F474" s="1" t="s">
        <v>1785</v>
      </c>
      <c r="G474" t="s">
        <v>10635</v>
      </c>
      <c r="H474" s="1" t="s">
        <v>507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1"/>
      <c r="B475" s="1487" t="s">
        <v>351</v>
      </c>
      <c r="C475" s="95">
        <v>45842</v>
      </c>
      <c r="D475" s="101">
        <v>9931470095</v>
      </c>
      <c r="E475" s="1486" t="s">
        <v>9022</v>
      </c>
      <c r="F475" s="1" t="s">
        <v>1785</v>
      </c>
      <c r="G475" s="1485" t="s">
        <v>10705</v>
      </c>
      <c r="H475" s="1" t="s">
        <v>507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1"/>
      <c r="B476" s="101" t="s">
        <v>10787</v>
      </c>
      <c r="C476" s="95">
        <v>45855</v>
      </c>
      <c r="E476" s="1512" t="s">
        <v>10786</v>
      </c>
      <c r="F476" s="101" t="s">
        <v>2067</v>
      </c>
      <c r="G476" s="1653" t="s">
        <v>10788</v>
      </c>
      <c r="H476" s="1598">
        <v>45915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1"/>
      <c r="B477" s="1516" t="s">
        <v>338</v>
      </c>
      <c r="C477" s="95">
        <v>45855</v>
      </c>
      <c r="D477" s="101">
        <v>7061165670</v>
      </c>
      <c r="E477" s="1515" t="s">
        <v>5750</v>
      </c>
      <c r="F477" s="1516" t="s">
        <v>516</v>
      </c>
      <c r="G477" t="s">
        <v>10795</v>
      </c>
      <c r="H477" s="1598">
        <v>45943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1"/>
      <c r="B478" s="1520" t="s">
        <v>383</v>
      </c>
      <c r="C478" s="95">
        <v>45857</v>
      </c>
      <c r="E478" s="1522" t="s">
        <v>10366</v>
      </c>
      <c r="F478" s="1520" t="s">
        <v>2067</v>
      </c>
      <c r="G478" s="1485" t="s">
        <v>10805</v>
      </c>
      <c r="H478" s="1558" t="s">
        <v>100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1"/>
      <c r="B479" s="1551" t="s">
        <v>338</v>
      </c>
      <c r="C479" s="95">
        <v>45870</v>
      </c>
      <c r="D479" s="101">
        <v>6202958235</v>
      </c>
      <c r="E479" s="1550" t="s">
        <v>10860</v>
      </c>
      <c r="F479" s="1551" t="s">
        <v>1591</v>
      </c>
      <c r="G479" t="s">
        <v>10859</v>
      </c>
      <c r="H479" s="1593" t="s">
        <v>11063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1"/>
      <c r="B480" s="1551" t="s">
        <v>338</v>
      </c>
      <c r="C480" s="95">
        <v>45870</v>
      </c>
      <c r="E480" s="1550" t="s">
        <v>10861</v>
      </c>
      <c r="F480" s="1551" t="s">
        <v>1591</v>
      </c>
      <c r="G480" t="s">
        <v>10868</v>
      </c>
      <c r="H480" s="1593" t="s">
        <v>11063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1"/>
      <c r="B481" s="1551" t="s">
        <v>383</v>
      </c>
      <c r="C481" s="95">
        <v>45870</v>
      </c>
      <c r="E481" s="1550" t="s">
        <v>10863</v>
      </c>
      <c r="F481" s="1"/>
      <c r="G481" s="1694" t="s">
        <v>10862</v>
      </c>
      <c r="H481" s="1558" t="s">
        <v>39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1"/>
      <c r="B482" s="1551" t="s">
        <v>383</v>
      </c>
      <c r="C482" s="95">
        <v>45870</v>
      </c>
      <c r="E482" s="1550" t="s">
        <v>10865</v>
      </c>
      <c r="F482" s="1"/>
      <c r="G482" s="1485" t="s">
        <v>10864</v>
      </c>
      <c r="H482" s="1558" t="s">
        <v>100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1"/>
      <c r="B483" s="1567" t="s">
        <v>557</v>
      </c>
      <c r="C483" s="95">
        <v>45879</v>
      </c>
      <c r="E483" s="1566" t="s">
        <v>10919</v>
      </c>
      <c r="F483" s="1"/>
      <c r="G483" s="1485" t="s">
        <v>10918</v>
      </c>
      <c r="H483" s="1593" t="s">
        <v>11065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1"/>
      <c r="B484" s="1574" t="s">
        <v>338</v>
      </c>
      <c r="C484" s="95">
        <v>45889</v>
      </c>
      <c r="E484" s="1575" t="s">
        <v>10954</v>
      </c>
      <c r="F484" s="1574" t="s">
        <v>1785</v>
      </c>
      <c r="G484" s="1485" t="s">
        <v>10953</v>
      </c>
      <c r="H484" s="1593" t="s">
        <v>11064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1"/>
      <c r="B485" s="101" t="s">
        <v>383</v>
      </c>
      <c r="C485" s="95">
        <v>45894</v>
      </c>
      <c r="E485" s="1581" t="s">
        <v>10366</v>
      </c>
      <c r="F485" s="1"/>
      <c r="G485" s="1580" t="s">
        <v>10978</v>
      </c>
      <c r="H485" s="1593" t="s">
        <v>100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1"/>
      <c r="B486" s="101" t="s">
        <v>383</v>
      </c>
      <c r="C486" s="95">
        <v>45908</v>
      </c>
      <c r="E486" s="1581" t="s">
        <v>10366</v>
      </c>
      <c r="F486" s="1"/>
      <c r="G486" s="1653" t="s">
        <v>11062</v>
      </c>
      <c r="H486" s="101" t="s">
        <v>507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1"/>
      <c r="B487" s="1633" t="s">
        <v>338</v>
      </c>
      <c r="C487" s="95">
        <v>45957</v>
      </c>
      <c r="E487" s="1632" t="s">
        <v>11214</v>
      </c>
      <c r="F487" s="1"/>
      <c r="G487" s="1485" t="s">
        <v>11213</v>
      </c>
      <c r="H487" s="101" t="s">
        <v>3882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1"/>
      <c r="B488" s="1633" t="s">
        <v>338</v>
      </c>
      <c r="C488" s="95">
        <v>45962</v>
      </c>
      <c r="D488" s="101">
        <v>9155837350</v>
      </c>
      <c r="E488" s="1635" t="s">
        <v>11225</v>
      </c>
      <c r="F488" s="1"/>
      <c r="G488" s="1485" t="s">
        <v>11224</v>
      </c>
      <c r="H488" s="101" t="s">
        <v>11250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1"/>
      <c r="B489" s="1654" t="s">
        <v>383</v>
      </c>
      <c r="C489" s="95">
        <v>45987</v>
      </c>
      <c r="D489" s="101">
        <v>9073484839</v>
      </c>
      <c r="E489" s="1653" t="s">
        <v>10786</v>
      </c>
      <c r="F489" s="1"/>
      <c r="G489" s="1485" t="s">
        <v>11282</v>
      </c>
      <c r="H489" s="101" t="s">
        <v>507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1"/>
      <c r="B490" s="1698" t="s">
        <v>338</v>
      </c>
      <c r="C490" s="95">
        <v>45664</v>
      </c>
      <c r="D490" s="101">
        <v>8969559837</v>
      </c>
      <c r="E490" s="1696" t="s">
        <v>9878</v>
      </c>
      <c r="F490" s="1"/>
      <c r="G490" s="1697" t="s">
        <v>11479</v>
      </c>
      <c r="H490" s="101" t="s">
        <v>507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customHeight="1">
      <c r="B491" s="1734" t="s">
        <v>383</v>
      </c>
      <c r="C491" s="95">
        <v>46051</v>
      </c>
      <c r="D491" s="101">
        <v>9886425241</v>
      </c>
      <c r="E491" s="1733" t="s">
        <v>11585</v>
      </c>
      <c r="G491" s="1485" t="s">
        <v>11584</v>
      </c>
      <c r="H491" s="101" t="s">
        <v>507</v>
      </c>
    </row>
    <row r="492" spans="1:26" ht="14.25" customHeight="1">
      <c r="A492" s="1"/>
      <c r="B492" s="1734" t="s">
        <v>383</v>
      </c>
      <c r="C492" s="9">
        <v>46052</v>
      </c>
      <c r="D492" s="101">
        <v>8969559837</v>
      </c>
      <c r="E492" s="294" t="s">
        <v>9878</v>
      </c>
      <c r="F492" s="1"/>
      <c r="G492" s="1738" t="s">
        <v>11593</v>
      </c>
      <c r="H492" s="101" t="s">
        <v>11668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1"/>
      <c r="B493" s="1739" t="s">
        <v>338</v>
      </c>
      <c r="C493" s="9">
        <v>46052</v>
      </c>
      <c r="D493" s="1">
        <v>9608419384</v>
      </c>
      <c r="E493" s="1740" t="s">
        <v>11340</v>
      </c>
      <c r="F493" s="1"/>
      <c r="G493" s="1485" t="s">
        <v>11592</v>
      </c>
      <c r="H493" s="2154" t="s">
        <v>12218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1"/>
      <c r="B494" s="1734" t="s">
        <v>383</v>
      </c>
      <c r="C494" s="9">
        <v>46076</v>
      </c>
      <c r="D494" s="101">
        <v>8969559837</v>
      </c>
      <c r="E494" s="294" t="s">
        <v>9878</v>
      </c>
      <c r="F494" s="1"/>
      <c r="G494" t="s">
        <v>11675</v>
      </c>
      <c r="H494" s="101" t="s">
        <v>39</v>
      </c>
      <c r="I494" s="65">
        <v>46100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1"/>
      <c r="B495" s="1776" t="s">
        <v>383</v>
      </c>
      <c r="C495" s="9">
        <v>46083</v>
      </c>
      <c r="D495" s="1"/>
      <c r="E495" s="1775" t="s">
        <v>392</v>
      </c>
      <c r="F495" s="1"/>
      <c r="G495" t="s">
        <v>11677</v>
      </c>
      <c r="H495" s="101" t="s">
        <v>4073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1"/>
      <c r="B496" s="1847" t="s">
        <v>11738</v>
      </c>
      <c r="C496" s="9">
        <v>46101</v>
      </c>
      <c r="D496" s="101">
        <v>8969559837</v>
      </c>
      <c r="E496" s="294" t="s">
        <v>9878</v>
      </c>
      <c r="F496" s="1"/>
      <c r="G496" t="s">
        <v>11703</v>
      </c>
      <c r="H496" s="162">
        <v>46133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1"/>
      <c r="B497" s="1798" t="s">
        <v>338</v>
      </c>
      <c r="C497" s="9">
        <v>46120</v>
      </c>
      <c r="D497" s="1">
        <v>7549071207</v>
      </c>
      <c r="E497" s="1797" t="s">
        <v>11720</v>
      </c>
      <c r="F497" s="1"/>
      <c r="G497" t="s">
        <v>11719</v>
      </c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1"/>
      <c r="B498" s="1806" t="s">
        <v>11738</v>
      </c>
      <c r="C498" s="9">
        <v>46130</v>
      </c>
      <c r="D498" s="1" t="s">
        <v>11739</v>
      </c>
      <c r="E498" s="294" t="s">
        <v>11585</v>
      </c>
      <c r="F498" s="1"/>
      <c r="G498" s="1485" t="s">
        <v>11737</v>
      </c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1"/>
      <c r="B499" s="1818" t="s">
        <v>338</v>
      </c>
      <c r="C499" s="95">
        <v>46142</v>
      </c>
      <c r="D499" s="101">
        <v>8709564611</v>
      </c>
      <c r="E499" s="1814" t="s">
        <v>8143</v>
      </c>
      <c r="F499" s="1"/>
      <c r="G499" t="s">
        <v>11774</v>
      </c>
      <c r="H499" s="101" t="s">
        <v>100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1"/>
      <c r="B500" s="1818" t="s">
        <v>338</v>
      </c>
      <c r="C500" s="95">
        <v>46142</v>
      </c>
      <c r="D500" s="101">
        <v>9229691785</v>
      </c>
      <c r="E500" s="1814" t="s">
        <v>11767</v>
      </c>
      <c r="F500" s="1"/>
      <c r="G500" t="s">
        <v>11773</v>
      </c>
      <c r="H500" s="101" t="s">
        <v>100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1"/>
      <c r="B501" s="1840" t="s">
        <v>383</v>
      </c>
      <c r="C501" s="9">
        <v>46176</v>
      </c>
      <c r="D501" s="1"/>
      <c r="E501" s="1775" t="s">
        <v>392</v>
      </c>
      <c r="F501" s="1840" t="s">
        <v>418</v>
      </c>
      <c r="G501" s="1485" t="s">
        <v>11848</v>
      </c>
      <c r="H501" s="101" t="s">
        <v>507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1"/>
      <c r="B502" s="1847" t="s">
        <v>11738</v>
      </c>
      <c r="C502" s="95">
        <v>46180</v>
      </c>
      <c r="D502" s="101">
        <v>8969559837</v>
      </c>
      <c r="E502" s="294" t="s">
        <v>9878</v>
      </c>
      <c r="F502" s="1"/>
      <c r="G502" s="1485" t="s">
        <v>11863</v>
      </c>
      <c r="H502" s="9">
        <v>46189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1"/>
      <c r="B503" s="1734"/>
      <c r="C503" s="95">
        <v>46199</v>
      </c>
      <c r="D503" s="101">
        <v>6204261988</v>
      </c>
      <c r="E503" s="1898" t="s">
        <v>11922</v>
      </c>
      <c r="F503" s="1898" t="s">
        <v>2116</v>
      </c>
      <c r="G503" s="1485" t="s">
        <v>11923</v>
      </c>
      <c r="H503" s="101" t="s">
        <v>165</v>
      </c>
      <c r="J503" s="2141" t="s">
        <v>12180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1"/>
      <c r="B504" s="1905" t="s">
        <v>365</v>
      </c>
      <c r="C504" s="95">
        <v>46204</v>
      </c>
      <c r="D504" s="101">
        <v>6207797134</v>
      </c>
      <c r="E504" s="1904" t="s">
        <v>11948</v>
      </c>
      <c r="F504" s="1904" t="s">
        <v>11949</v>
      </c>
      <c r="G504" s="1485" t="s">
        <v>11950</v>
      </c>
      <c r="H504" s="101" t="s">
        <v>165</v>
      </c>
      <c r="J504" s="1905" t="s">
        <v>11951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1"/>
      <c r="B505" s="1905" t="s">
        <v>365</v>
      </c>
      <c r="C505" s="95">
        <v>46204</v>
      </c>
      <c r="D505" s="101">
        <v>6207797134</v>
      </c>
      <c r="E505" s="1904" t="s">
        <v>10860</v>
      </c>
      <c r="F505" s="1904" t="s">
        <v>11949</v>
      </c>
      <c r="G505" s="1485" t="s">
        <v>11952</v>
      </c>
      <c r="H505" s="101" t="s">
        <v>165</v>
      </c>
      <c r="J505" s="1905" t="s">
        <v>11951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1"/>
      <c r="B506" s="1905" t="s">
        <v>365</v>
      </c>
      <c r="C506" s="95">
        <v>46205</v>
      </c>
      <c r="D506" s="101">
        <v>6202417341</v>
      </c>
      <c r="E506" s="1906" t="s">
        <v>11956</v>
      </c>
      <c r="F506" s="1906" t="s">
        <v>516</v>
      </c>
      <c r="G506" s="1485" t="s">
        <v>11957</v>
      </c>
      <c r="H506" s="101" t="s">
        <v>165</v>
      </c>
      <c r="J506" s="2141" t="s">
        <v>12180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1"/>
      <c r="B507" s="1905" t="s">
        <v>365</v>
      </c>
      <c r="C507" s="95">
        <v>46217</v>
      </c>
      <c r="D507" s="101">
        <v>7909065189</v>
      </c>
      <c r="E507" s="1908" t="s">
        <v>11958</v>
      </c>
      <c r="F507" s="1908" t="s">
        <v>418</v>
      </c>
      <c r="G507" s="1485" t="s">
        <v>11959</v>
      </c>
      <c r="H507" s="162">
        <v>46230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1"/>
      <c r="B508" s="1905" t="s">
        <v>365</v>
      </c>
      <c r="C508" s="95">
        <v>46279</v>
      </c>
      <c r="D508" s="101">
        <v>9341917634</v>
      </c>
      <c r="E508" s="2126" t="s">
        <v>12145</v>
      </c>
      <c r="F508" s="2126" t="s">
        <v>1627</v>
      </c>
      <c r="G508" t="s">
        <v>12144</v>
      </c>
      <c r="H508" s="101" t="s">
        <v>4037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1"/>
      <c r="B509" s="2151" t="s">
        <v>383</v>
      </c>
      <c r="C509" s="95">
        <v>46291</v>
      </c>
      <c r="D509" s="101">
        <v>8521576444</v>
      </c>
      <c r="E509" s="2150" t="s">
        <v>12121</v>
      </c>
      <c r="F509" s="2150" t="s">
        <v>2067</v>
      </c>
      <c r="G509" s="1485" t="s">
        <v>12204</v>
      </c>
      <c r="H509" s="101" t="s">
        <v>158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1"/>
      <c r="B510" s="2151" t="s">
        <v>338</v>
      </c>
      <c r="C510" s="95">
        <v>46291</v>
      </c>
      <c r="D510" s="101">
        <v>952368359</v>
      </c>
      <c r="E510" s="2150" t="s">
        <v>12205</v>
      </c>
      <c r="F510" s="2150" t="s">
        <v>3056</v>
      </c>
      <c r="G510" s="1485" t="s">
        <v>12206</v>
      </c>
      <c r="H510" s="101" t="s">
        <v>4037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1"/>
      <c r="B511" s="2151" t="s">
        <v>338</v>
      </c>
      <c r="C511" s="95">
        <v>46293</v>
      </c>
      <c r="D511" s="101">
        <v>9608647909</v>
      </c>
      <c r="E511" s="2153" t="s">
        <v>488</v>
      </c>
      <c r="F511" s="2153" t="s">
        <v>8825</v>
      </c>
      <c r="G511" s="1485" t="s">
        <v>12217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1"/>
      <c r="B512" s="2151" t="s">
        <v>338</v>
      </c>
      <c r="C512" s="95">
        <v>46293</v>
      </c>
      <c r="D512" s="101">
        <v>9608647909</v>
      </c>
      <c r="E512" s="2153" t="s">
        <v>12214</v>
      </c>
      <c r="F512" s="2153" t="s">
        <v>8825</v>
      </c>
      <c r="G512" s="1485" t="s">
        <v>12216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1"/>
      <c r="B513" s="2151" t="s">
        <v>338</v>
      </c>
      <c r="C513" s="95">
        <v>46293</v>
      </c>
      <c r="D513" s="101">
        <v>9608647909</v>
      </c>
      <c r="E513" s="2153" t="s">
        <v>12211</v>
      </c>
      <c r="F513" s="2153" t="s">
        <v>8825</v>
      </c>
      <c r="G513" s="1485" t="s">
        <v>12215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1"/>
      <c r="B514" s="1905"/>
      <c r="C514" s="95"/>
      <c r="E514" s="2126"/>
      <c r="F514" s="2126"/>
      <c r="G514" s="148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1"/>
      <c r="B515" s="1905"/>
      <c r="C515" s="95"/>
      <c r="E515" s="2126"/>
      <c r="F515" s="2126"/>
      <c r="G515" s="148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1"/>
      <c r="B516" s="1905"/>
      <c r="C516" s="95"/>
      <c r="E516" s="2126"/>
      <c r="F516" s="2126"/>
      <c r="G516" s="148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1"/>
      <c r="B517" s="1"/>
      <c r="C517" s="1"/>
      <c r="D517" s="1"/>
      <c r="E517" s="71"/>
      <c r="F517" s="1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1"/>
      <c r="B518" s="141" t="s">
        <v>557</v>
      </c>
      <c r="C518" s="153"/>
      <c r="D518" s="141">
        <v>8210093022</v>
      </c>
      <c r="E518" s="296" t="s">
        <v>6837</v>
      </c>
      <c r="F518" s="141"/>
      <c r="G518" s="607"/>
      <c r="H518" s="141" t="s">
        <v>6838</v>
      </c>
      <c r="I518" s="60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1"/>
      <c r="B519" s="1"/>
      <c r="C519" s="1"/>
      <c r="D519" s="1"/>
      <c r="E519" s="71"/>
      <c r="F519" s="1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1"/>
      <c r="B520" s="1"/>
      <c r="C520" s="1"/>
      <c r="D520" s="1"/>
      <c r="E520" s="71"/>
      <c r="F520" s="1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1"/>
      <c r="B521" s="1"/>
      <c r="C521" s="1"/>
      <c r="D521" s="1"/>
      <c r="E521" s="71"/>
      <c r="F521" s="1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1"/>
      <c r="B522" s="1"/>
      <c r="C522" s="1"/>
      <c r="D522" s="1"/>
      <c r="E522" s="71"/>
      <c r="F522" s="1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1"/>
      <c r="B523" s="1"/>
      <c r="C523" s="1"/>
      <c r="D523" s="1"/>
      <c r="E523" s="71"/>
      <c r="F523" s="1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1"/>
      <c r="B524" s="1"/>
      <c r="C524" s="1"/>
      <c r="D524" s="1"/>
      <c r="E524" s="71"/>
      <c r="F524" s="1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1"/>
      <c r="B525" s="1"/>
      <c r="C525" s="1"/>
      <c r="D525" s="1"/>
      <c r="E525" s="71"/>
      <c r="F525" s="1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1"/>
      <c r="B526" s="1"/>
      <c r="C526" s="1"/>
      <c r="D526" s="1"/>
      <c r="E526" s="71"/>
      <c r="F526" s="1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1"/>
      <c r="B527" s="1"/>
      <c r="C527" s="1"/>
      <c r="D527" s="1"/>
      <c r="E527" s="71"/>
      <c r="F527" s="1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1"/>
      <c r="B528" s="1"/>
      <c r="C528" s="1"/>
      <c r="D528" s="1"/>
      <c r="E528" s="71"/>
      <c r="F528" s="1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1"/>
      <c r="B529" s="1"/>
      <c r="C529" s="1"/>
      <c r="D529" s="1"/>
      <c r="E529" s="71"/>
      <c r="F529" s="1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1"/>
      <c r="B530" s="1"/>
      <c r="C530" s="1"/>
      <c r="D530" s="1"/>
      <c r="E530" s="71"/>
      <c r="F530" s="1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1"/>
      <c r="B531" s="1"/>
      <c r="C531" s="1"/>
      <c r="D531" s="1"/>
      <c r="E531" s="71"/>
      <c r="F531" s="1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1"/>
      <c r="B532" s="1"/>
      <c r="C532" s="1"/>
      <c r="D532" s="1"/>
      <c r="E532" s="71"/>
      <c r="F532" s="1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1"/>
      <c r="B533" s="1"/>
      <c r="C533" s="1"/>
      <c r="D533" s="1"/>
      <c r="E533" s="71"/>
      <c r="F533" s="1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1"/>
      <c r="B534" s="1"/>
      <c r="C534" s="1"/>
      <c r="D534" s="1"/>
      <c r="E534" s="71"/>
      <c r="F534" s="1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1"/>
      <c r="B535" s="1"/>
      <c r="C535" s="1"/>
      <c r="D535" s="1"/>
      <c r="E535" s="71"/>
      <c r="F535" s="1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1"/>
      <c r="B536" s="1"/>
      <c r="C536" s="1"/>
      <c r="D536" s="1"/>
      <c r="E536" s="71"/>
      <c r="F536" s="1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1"/>
      <c r="B537" s="1"/>
      <c r="C537" s="1"/>
      <c r="D537" s="1"/>
      <c r="E537" s="71"/>
      <c r="F537" s="1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1"/>
      <c r="B538" s="1"/>
      <c r="C538" s="1"/>
      <c r="D538" s="1"/>
      <c r="E538" s="71"/>
      <c r="F538" s="1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1"/>
      <c r="B539" s="1"/>
      <c r="C539" s="1"/>
      <c r="D539" s="1"/>
      <c r="E539" s="71"/>
      <c r="F539" s="1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1"/>
      <c r="B540" s="1"/>
      <c r="C540" s="1"/>
      <c r="D540" s="1"/>
      <c r="E540" s="71"/>
      <c r="F540" s="1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1"/>
      <c r="B541" s="1"/>
      <c r="C541" s="1"/>
      <c r="D541" s="1"/>
      <c r="E541" s="71"/>
      <c r="F541" s="1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1"/>
      <c r="B542" s="1"/>
      <c r="C542" s="1"/>
      <c r="D542" s="1"/>
      <c r="E542" s="71"/>
      <c r="F542" s="1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1"/>
      <c r="B543" s="1"/>
      <c r="C543" s="1"/>
      <c r="D543" s="1"/>
      <c r="E543" s="71"/>
      <c r="F543" s="1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1"/>
      <c r="B544" s="1"/>
      <c r="C544" s="1"/>
      <c r="D544" s="1"/>
      <c r="E544" s="71"/>
      <c r="F544" s="1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1"/>
      <c r="B545" s="1"/>
      <c r="C545" s="1"/>
      <c r="D545" s="1"/>
      <c r="E545" s="71"/>
      <c r="F545" s="1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1"/>
      <c r="B546" s="1"/>
      <c r="C546" s="1"/>
      <c r="D546" s="1"/>
      <c r="E546" s="71"/>
      <c r="F546" s="1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1"/>
      <c r="B547" s="1"/>
      <c r="C547" s="1"/>
      <c r="D547" s="1"/>
      <c r="E547" s="71"/>
      <c r="F547" s="1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1"/>
      <c r="B548" s="1"/>
      <c r="C548" s="1"/>
      <c r="D548" s="1"/>
      <c r="E548" s="71"/>
      <c r="F548" s="1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1"/>
      <c r="B549" s="1"/>
      <c r="C549" s="1"/>
      <c r="D549" s="1"/>
      <c r="E549" s="71"/>
      <c r="F549" s="1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1"/>
      <c r="B550" s="1"/>
      <c r="C550" s="1"/>
      <c r="D550" s="1"/>
      <c r="E550" s="71"/>
      <c r="F550" s="1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1"/>
      <c r="B551" s="1"/>
      <c r="C551" s="1"/>
      <c r="D551" s="1"/>
      <c r="E551" s="71"/>
      <c r="F551" s="1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1"/>
      <c r="B552" s="1"/>
      <c r="C552" s="1"/>
      <c r="D552" s="1"/>
      <c r="E552" s="71"/>
      <c r="F552" s="1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1"/>
      <c r="B553" s="1"/>
      <c r="C553" s="1"/>
      <c r="D553" s="1"/>
      <c r="E553" s="71"/>
      <c r="F553" s="1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1"/>
      <c r="B554" s="1"/>
      <c r="C554" s="1"/>
      <c r="D554" s="1"/>
      <c r="E554" s="71"/>
      <c r="F554" s="1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1"/>
      <c r="B555" s="1"/>
      <c r="C555" s="1"/>
      <c r="D555" s="1"/>
      <c r="E555" s="71"/>
      <c r="F555" s="1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1"/>
      <c r="B556" s="1"/>
      <c r="C556" s="1"/>
      <c r="D556" s="1"/>
      <c r="E556" s="71"/>
      <c r="F556" s="1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1"/>
      <c r="B557" s="1"/>
      <c r="C557" s="1"/>
      <c r="D557" s="1"/>
      <c r="E557" s="71"/>
      <c r="F557" s="1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1"/>
      <c r="B558" s="1"/>
      <c r="C558" s="1"/>
      <c r="D558" s="1"/>
      <c r="E558" s="71"/>
      <c r="F558" s="1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1"/>
      <c r="B559" s="1"/>
      <c r="C559" s="1"/>
      <c r="D559" s="1"/>
      <c r="E559" s="71"/>
      <c r="F559" s="1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1"/>
      <c r="B560" s="1"/>
      <c r="C560" s="1"/>
      <c r="D560" s="1"/>
      <c r="E560" s="71"/>
      <c r="F560" s="1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1"/>
      <c r="B561" s="1"/>
      <c r="C561" s="1"/>
      <c r="D561" s="1"/>
      <c r="E561" s="71"/>
      <c r="F561" s="1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1"/>
      <c r="B562" s="1"/>
      <c r="C562" s="1"/>
      <c r="D562" s="1"/>
      <c r="E562" s="71"/>
      <c r="F562" s="1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1"/>
      <c r="B563" s="1"/>
      <c r="C563" s="1"/>
      <c r="D563" s="1"/>
      <c r="E563" s="71"/>
      <c r="F563" s="1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1"/>
      <c r="B564" s="1"/>
      <c r="C564" s="1"/>
      <c r="D564" s="1"/>
      <c r="E564" s="71"/>
      <c r="F564" s="1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1"/>
      <c r="B565" s="1"/>
      <c r="C565" s="1"/>
      <c r="D565" s="1"/>
      <c r="E565" s="71"/>
      <c r="F565" s="1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1"/>
      <c r="B566" s="1"/>
      <c r="C566" s="1"/>
      <c r="D566" s="1"/>
      <c r="E566" s="71"/>
      <c r="F566" s="1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1"/>
      <c r="B567" s="1"/>
      <c r="C567" s="1"/>
      <c r="D567" s="1"/>
      <c r="E567" s="71"/>
      <c r="F567" s="1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1"/>
      <c r="B568" s="1"/>
      <c r="C568" s="1"/>
      <c r="D568" s="1"/>
      <c r="E568" s="71"/>
      <c r="F568" s="1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1"/>
      <c r="B569" s="1"/>
      <c r="C569" s="1"/>
      <c r="D569" s="1"/>
      <c r="E569" s="71"/>
      <c r="F569" s="1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1"/>
      <c r="B570" s="1"/>
      <c r="C570" s="1"/>
      <c r="D570" s="1"/>
      <c r="E570" s="71"/>
      <c r="F570" s="1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1"/>
      <c r="B571" s="1"/>
      <c r="C571" s="1"/>
      <c r="D571" s="1"/>
      <c r="E571" s="71"/>
      <c r="F571" s="1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1"/>
      <c r="B572" s="1"/>
      <c r="C572" s="1"/>
      <c r="D572" s="1"/>
      <c r="E572" s="71"/>
      <c r="F572" s="1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1"/>
      <c r="B573" s="1"/>
      <c r="C573" s="1"/>
      <c r="D573" s="1"/>
      <c r="E573" s="71"/>
      <c r="F573" s="1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1"/>
      <c r="B574" s="1"/>
      <c r="C574" s="1"/>
      <c r="D574" s="1"/>
      <c r="E574" s="71"/>
      <c r="F574" s="1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1"/>
      <c r="B575" s="1"/>
      <c r="C575" s="1"/>
      <c r="D575" s="1"/>
      <c r="E575" s="71"/>
      <c r="F575" s="1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1"/>
      <c r="B576" s="1"/>
      <c r="C576" s="1"/>
      <c r="D576" s="1"/>
      <c r="E576" s="71"/>
      <c r="F576" s="1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1"/>
      <c r="B577" s="1"/>
      <c r="C577" s="1"/>
      <c r="D577" s="1"/>
      <c r="E577" s="71"/>
      <c r="F577" s="1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1"/>
      <c r="B578" s="1"/>
      <c r="C578" s="1"/>
      <c r="D578" s="1"/>
      <c r="E578" s="71"/>
      <c r="F578" s="1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1"/>
      <c r="B579" s="1"/>
      <c r="C579" s="1"/>
      <c r="D579" s="1"/>
      <c r="E579" s="71"/>
      <c r="F579" s="1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1"/>
      <c r="B580" s="1"/>
      <c r="C580" s="1"/>
      <c r="D580" s="1"/>
      <c r="E580" s="71"/>
      <c r="F580" s="1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1"/>
      <c r="B581" s="1"/>
      <c r="C581" s="1"/>
      <c r="D581" s="1"/>
      <c r="E581" s="71"/>
      <c r="F581" s="1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1"/>
      <c r="B582" s="1"/>
      <c r="C582" s="1"/>
      <c r="D582" s="1"/>
      <c r="E582" s="71"/>
      <c r="F582" s="1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1"/>
      <c r="B583" s="1"/>
      <c r="C583" s="1"/>
      <c r="D583" s="1"/>
      <c r="E583" s="71"/>
      <c r="F583" s="1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1"/>
      <c r="B584" s="1"/>
      <c r="C584" s="1"/>
      <c r="D584" s="1"/>
      <c r="E584" s="71"/>
      <c r="F584" s="1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1"/>
      <c r="B585" s="1"/>
      <c r="C585" s="1"/>
      <c r="D585" s="1"/>
      <c r="E585" s="71"/>
      <c r="F585" s="1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1"/>
      <c r="B586" s="1"/>
      <c r="C586" s="1"/>
      <c r="D586" s="1"/>
      <c r="E586" s="71"/>
      <c r="F586" s="1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1"/>
      <c r="B587" s="1"/>
      <c r="C587" s="1"/>
      <c r="D587" s="1"/>
      <c r="E587" s="71"/>
      <c r="F587" s="1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1"/>
      <c r="B588" s="1"/>
      <c r="C588" s="1"/>
      <c r="D588" s="1"/>
      <c r="E588" s="71"/>
      <c r="F588" s="1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1"/>
      <c r="B589" s="1"/>
      <c r="C589" s="1"/>
      <c r="D589" s="1"/>
      <c r="E589" s="71"/>
      <c r="F589" s="1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1"/>
      <c r="B590" s="1"/>
      <c r="C590" s="1"/>
      <c r="D590" s="1"/>
      <c r="E590" s="71"/>
      <c r="F590" s="1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1"/>
      <c r="B591" s="1"/>
      <c r="C591" s="1"/>
      <c r="D591" s="1"/>
      <c r="E591" s="71"/>
      <c r="F591" s="1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1"/>
      <c r="B592" s="1"/>
      <c r="C592" s="1"/>
      <c r="D592" s="1"/>
      <c r="E592" s="71"/>
      <c r="F592" s="1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1"/>
      <c r="B593" s="1"/>
      <c r="C593" s="1"/>
      <c r="D593" s="1"/>
      <c r="E593" s="71"/>
      <c r="F593" s="1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1"/>
      <c r="B594" s="1"/>
      <c r="C594" s="1"/>
      <c r="D594" s="1"/>
      <c r="E594" s="71"/>
      <c r="F594" s="1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1"/>
      <c r="B595" s="1"/>
      <c r="C595" s="1"/>
      <c r="D595" s="1"/>
      <c r="E595" s="71"/>
      <c r="F595" s="1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1"/>
      <c r="B596" s="1"/>
      <c r="C596" s="1"/>
      <c r="D596" s="1"/>
      <c r="E596" s="71"/>
      <c r="F596" s="1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1"/>
      <c r="B597" s="1"/>
      <c r="C597" s="1"/>
      <c r="D597" s="1"/>
      <c r="E597" s="71"/>
      <c r="F597" s="1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1"/>
      <c r="B598" s="1"/>
      <c r="C598" s="1"/>
      <c r="D598" s="1"/>
      <c r="E598" s="71"/>
      <c r="F598" s="1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1"/>
      <c r="B599" s="1"/>
      <c r="C599" s="1"/>
      <c r="D599" s="1"/>
      <c r="E599" s="71"/>
      <c r="F599" s="1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1"/>
      <c r="B600" s="1"/>
      <c r="C600" s="1"/>
      <c r="D600" s="1"/>
      <c r="E600" s="71"/>
      <c r="F600" s="1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1"/>
      <c r="B601" s="1"/>
      <c r="C601" s="1"/>
      <c r="D601" s="1"/>
      <c r="E601" s="71"/>
      <c r="F601" s="1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1"/>
      <c r="B602" s="1"/>
      <c r="C602" s="1"/>
      <c r="D602" s="1"/>
      <c r="E602" s="71"/>
      <c r="F602" s="1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1"/>
      <c r="B603" s="1"/>
      <c r="C603" s="1"/>
      <c r="D603" s="1"/>
      <c r="E603" s="71"/>
      <c r="F603" s="1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1"/>
      <c r="B604" s="1"/>
      <c r="C604" s="1"/>
      <c r="D604" s="1"/>
      <c r="E604" s="71"/>
      <c r="F604" s="1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1"/>
      <c r="B605" s="1"/>
      <c r="C605" s="1"/>
      <c r="D605" s="1"/>
      <c r="E605" s="71"/>
      <c r="F605" s="1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1"/>
      <c r="B606" s="1"/>
      <c r="C606" s="1"/>
      <c r="D606" s="1"/>
      <c r="E606" s="71"/>
      <c r="F606" s="1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1"/>
      <c r="B607" s="1"/>
      <c r="C607" s="1"/>
      <c r="D607" s="1"/>
      <c r="E607" s="71"/>
      <c r="F607" s="1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1"/>
      <c r="B608" s="1"/>
      <c r="C608" s="1"/>
      <c r="D608" s="1"/>
      <c r="E608" s="71"/>
      <c r="F608" s="1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1"/>
      <c r="B609" s="1"/>
      <c r="C609" s="1"/>
      <c r="D609" s="1"/>
      <c r="E609" s="71"/>
      <c r="F609" s="1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1"/>
      <c r="B610" s="1"/>
      <c r="C610" s="1"/>
      <c r="D610" s="1"/>
      <c r="E610" s="71"/>
      <c r="F610" s="1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1"/>
      <c r="B611" s="1"/>
      <c r="C611" s="1"/>
      <c r="D611" s="1"/>
      <c r="E611" s="71"/>
      <c r="F611" s="1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1"/>
      <c r="B612" s="1"/>
      <c r="C612" s="1"/>
      <c r="D612" s="1"/>
      <c r="E612" s="71"/>
      <c r="F612" s="1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1"/>
      <c r="B613" s="1"/>
      <c r="C613" s="1"/>
      <c r="D613" s="1"/>
      <c r="E613" s="71"/>
      <c r="F613" s="1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1"/>
      <c r="B614" s="1"/>
      <c r="C614" s="1"/>
      <c r="D614" s="1"/>
      <c r="E614" s="71"/>
      <c r="F614" s="1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1"/>
      <c r="B615" s="1"/>
      <c r="C615" s="1"/>
      <c r="D615" s="1"/>
      <c r="E615" s="71"/>
      <c r="F615" s="1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1"/>
      <c r="B616" s="1"/>
      <c r="C616" s="1"/>
      <c r="D616" s="1"/>
      <c r="E616" s="71"/>
      <c r="F616" s="1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1"/>
      <c r="B617" s="1"/>
      <c r="C617" s="1"/>
      <c r="D617" s="1"/>
      <c r="E617" s="71"/>
      <c r="F617" s="1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1"/>
      <c r="B618" s="1"/>
      <c r="C618" s="1"/>
      <c r="D618" s="1"/>
      <c r="E618" s="71"/>
      <c r="F618" s="1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1"/>
      <c r="B619" s="1"/>
      <c r="C619" s="1"/>
      <c r="D619" s="1"/>
      <c r="E619" s="71"/>
      <c r="F619" s="1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1"/>
      <c r="B620" s="1"/>
      <c r="C620" s="1"/>
      <c r="D620" s="1"/>
      <c r="E620" s="71"/>
      <c r="F620" s="1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1"/>
      <c r="B621" s="1"/>
      <c r="C621" s="1"/>
      <c r="D621" s="1"/>
      <c r="E621" s="71"/>
      <c r="F621" s="1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1"/>
      <c r="B622" s="1"/>
      <c r="C622" s="1"/>
      <c r="D622" s="1"/>
      <c r="E622" s="71"/>
      <c r="F622" s="1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1"/>
      <c r="B623" s="1"/>
      <c r="C623" s="1"/>
      <c r="D623" s="1"/>
      <c r="E623" s="71"/>
      <c r="F623" s="1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1"/>
      <c r="B624" s="1"/>
      <c r="C624" s="1"/>
      <c r="D624" s="1"/>
      <c r="E624" s="71"/>
      <c r="F624" s="1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1"/>
      <c r="B625" s="1"/>
      <c r="C625" s="1"/>
      <c r="D625" s="1"/>
      <c r="E625" s="71"/>
      <c r="F625" s="1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1"/>
      <c r="B626" s="1"/>
      <c r="C626" s="1"/>
      <c r="D626" s="1"/>
      <c r="E626" s="71"/>
      <c r="F626" s="1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1"/>
      <c r="B627" s="1"/>
      <c r="C627" s="1"/>
      <c r="D627" s="1"/>
      <c r="E627" s="71"/>
      <c r="F627" s="1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1"/>
      <c r="B628" s="1"/>
      <c r="C628" s="1"/>
      <c r="D628" s="1"/>
      <c r="E628" s="71"/>
      <c r="F628" s="1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1"/>
      <c r="B629" s="1"/>
      <c r="C629" s="1"/>
      <c r="D629" s="1"/>
      <c r="E629" s="71"/>
      <c r="F629" s="1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1"/>
      <c r="B630" s="1"/>
      <c r="C630" s="1"/>
      <c r="D630" s="1"/>
      <c r="E630" s="71"/>
      <c r="F630" s="1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1"/>
      <c r="B631" s="1"/>
      <c r="C631" s="1"/>
      <c r="D631" s="1"/>
      <c r="E631" s="71"/>
      <c r="F631" s="1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1"/>
      <c r="B632" s="1"/>
      <c r="C632" s="1"/>
      <c r="D632" s="1"/>
      <c r="E632" s="71"/>
      <c r="F632" s="1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1"/>
      <c r="B633" s="1"/>
      <c r="C633" s="1"/>
      <c r="D633" s="1"/>
      <c r="E633" s="71"/>
      <c r="F633" s="1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1"/>
      <c r="B634" s="1"/>
      <c r="C634" s="1"/>
      <c r="D634" s="1"/>
      <c r="E634" s="71"/>
      <c r="F634" s="1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1"/>
      <c r="B635" s="1"/>
      <c r="C635" s="1"/>
      <c r="D635" s="1"/>
      <c r="E635" s="71"/>
      <c r="F635" s="1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1"/>
      <c r="B636" s="1"/>
      <c r="C636" s="1"/>
      <c r="D636" s="1"/>
      <c r="E636" s="71"/>
      <c r="F636" s="1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1"/>
      <c r="B637" s="1"/>
      <c r="C637" s="1"/>
      <c r="D637" s="1"/>
      <c r="E637" s="71"/>
      <c r="F637" s="1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1"/>
      <c r="B638" s="1"/>
      <c r="C638" s="1"/>
      <c r="D638" s="1"/>
      <c r="E638" s="71"/>
      <c r="F638" s="1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1"/>
      <c r="B639" s="1"/>
      <c r="C639" s="1"/>
      <c r="D639" s="1"/>
      <c r="E639" s="71"/>
      <c r="F639" s="1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1"/>
      <c r="B640" s="1"/>
      <c r="C640" s="1"/>
      <c r="D640" s="1"/>
      <c r="E640" s="71"/>
      <c r="F640" s="1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1"/>
      <c r="B641" s="1"/>
      <c r="C641" s="1"/>
      <c r="D641" s="1"/>
      <c r="E641" s="71"/>
      <c r="F641" s="1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1"/>
      <c r="B642" s="1"/>
      <c r="C642" s="1"/>
      <c r="D642" s="1"/>
      <c r="E642" s="71"/>
      <c r="F642" s="1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1"/>
      <c r="B643" s="1"/>
      <c r="C643" s="1"/>
      <c r="D643" s="1"/>
      <c r="E643" s="71"/>
      <c r="F643" s="1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1"/>
      <c r="B644" s="1"/>
      <c r="C644" s="1"/>
      <c r="D644" s="1"/>
      <c r="E644" s="71"/>
      <c r="F644" s="1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1"/>
      <c r="B645" s="1"/>
      <c r="C645" s="1"/>
      <c r="D645" s="1"/>
      <c r="E645" s="71"/>
      <c r="F645" s="1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1"/>
      <c r="B646" s="1"/>
      <c r="C646" s="1"/>
      <c r="D646" s="1"/>
      <c r="E646" s="71"/>
      <c r="F646" s="1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1"/>
      <c r="B647" s="1"/>
      <c r="C647" s="1"/>
      <c r="D647" s="1"/>
      <c r="E647" s="71"/>
      <c r="F647" s="1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1"/>
      <c r="B648" s="1"/>
      <c r="C648" s="1"/>
      <c r="D648" s="1"/>
      <c r="E648" s="71"/>
      <c r="F648" s="1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1"/>
      <c r="B649" s="1"/>
      <c r="C649" s="1"/>
      <c r="D649" s="1"/>
      <c r="E649" s="71"/>
      <c r="F649" s="1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1"/>
      <c r="B650" s="1"/>
      <c r="C650" s="1"/>
      <c r="D650" s="1"/>
      <c r="E650" s="71"/>
      <c r="F650" s="1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1"/>
      <c r="B651" s="1"/>
      <c r="C651" s="1"/>
      <c r="D651" s="1"/>
      <c r="E651" s="71"/>
      <c r="F651" s="1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1"/>
      <c r="B652" s="1"/>
      <c r="C652" s="1"/>
      <c r="D652" s="1"/>
      <c r="E652" s="71"/>
      <c r="F652" s="1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1"/>
      <c r="B653" s="1"/>
      <c r="C653" s="1"/>
      <c r="D653" s="1"/>
      <c r="E653" s="71"/>
      <c r="F653" s="1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1"/>
      <c r="B654" s="1"/>
      <c r="C654" s="1"/>
      <c r="D654" s="1"/>
      <c r="E654" s="71"/>
      <c r="F654" s="1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1"/>
      <c r="B655" s="1"/>
      <c r="C655" s="1"/>
      <c r="D655" s="1"/>
      <c r="E655" s="71"/>
      <c r="F655" s="1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1"/>
      <c r="B656" s="1"/>
      <c r="C656" s="1"/>
      <c r="D656" s="1"/>
      <c r="E656" s="71"/>
      <c r="F656" s="1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1"/>
      <c r="B657" s="1"/>
      <c r="C657" s="1"/>
      <c r="D657" s="1"/>
      <c r="E657" s="71"/>
      <c r="F657" s="1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1"/>
      <c r="B658" s="1"/>
      <c r="C658" s="1"/>
      <c r="D658" s="1"/>
      <c r="E658" s="71"/>
      <c r="F658" s="1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1"/>
      <c r="B659" s="1"/>
      <c r="C659" s="1"/>
      <c r="D659" s="1"/>
      <c r="E659" s="71"/>
      <c r="F659" s="1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1"/>
      <c r="B660" s="1"/>
      <c r="C660" s="1"/>
      <c r="D660" s="1"/>
      <c r="E660" s="71"/>
      <c r="F660" s="1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1"/>
      <c r="B661" s="1"/>
      <c r="C661" s="1"/>
      <c r="D661" s="1"/>
      <c r="E661" s="71"/>
      <c r="F661" s="1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1"/>
      <c r="B662" s="1"/>
      <c r="C662" s="1"/>
      <c r="D662" s="1"/>
      <c r="E662" s="71"/>
      <c r="F662" s="1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1"/>
      <c r="B663" s="1"/>
      <c r="C663" s="1"/>
      <c r="D663" s="1"/>
      <c r="E663" s="71"/>
      <c r="F663" s="1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1"/>
      <c r="B664" s="1"/>
      <c r="C664" s="1"/>
      <c r="D664" s="1"/>
      <c r="E664" s="71"/>
      <c r="F664" s="1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1"/>
      <c r="B665" s="1"/>
      <c r="C665" s="1"/>
      <c r="D665" s="1"/>
      <c r="E665" s="71"/>
      <c r="F665" s="1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1"/>
      <c r="B666" s="1"/>
      <c r="C666" s="1"/>
      <c r="D666" s="1"/>
      <c r="E666" s="71"/>
      <c r="F666" s="1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1"/>
      <c r="B667" s="1"/>
      <c r="C667" s="1"/>
      <c r="D667" s="1"/>
      <c r="E667" s="71"/>
      <c r="F667" s="1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1"/>
      <c r="B668" s="1"/>
      <c r="C668" s="1"/>
      <c r="D668" s="1"/>
      <c r="E668" s="71"/>
      <c r="F668" s="1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1"/>
      <c r="B669" s="1"/>
      <c r="C669" s="1"/>
      <c r="D669" s="1"/>
      <c r="E669" s="71"/>
      <c r="F669" s="1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1"/>
      <c r="B670" s="1"/>
      <c r="C670" s="1"/>
      <c r="D670" s="1"/>
      <c r="E670" s="71"/>
      <c r="F670" s="1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1"/>
      <c r="B671" s="1"/>
      <c r="C671" s="1"/>
      <c r="D671" s="1"/>
      <c r="E671" s="71"/>
      <c r="F671" s="1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1"/>
      <c r="B672" s="1"/>
      <c r="C672" s="1"/>
      <c r="D672" s="1"/>
      <c r="E672" s="71"/>
      <c r="F672" s="1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1"/>
      <c r="B673" s="1"/>
      <c r="C673" s="1"/>
      <c r="D673" s="1"/>
      <c r="E673" s="71"/>
      <c r="F673" s="1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1"/>
      <c r="B674" s="1"/>
      <c r="C674" s="1"/>
      <c r="D674" s="1"/>
      <c r="E674" s="71"/>
      <c r="F674" s="1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1"/>
      <c r="B675" s="1"/>
      <c r="C675" s="1"/>
      <c r="D675" s="1"/>
      <c r="E675" s="71"/>
      <c r="F675" s="1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1"/>
      <c r="B676" s="1"/>
      <c r="C676" s="1"/>
      <c r="D676" s="1"/>
      <c r="E676" s="71"/>
      <c r="F676" s="1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1"/>
      <c r="B677" s="1"/>
      <c r="C677" s="1"/>
      <c r="D677" s="1"/>
      <c r="E677" s="71"/>
      <c r="F677" s="1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1"/>
      <c r="B678" s="1"/>
      <c r="C678" s="1"/>
      <c r="D678" s="1"/>
      <c r="E678" s="71"/>
      <c r="F678" s="1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1"/>
      <c r="B679" s="1"/>
      <c r="C679" s="1"/>
      <c r="D679" s="1"/>
      <c r="E679" s="71"/>
      <c r="F679" s="1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1"/>
      <c r="B680" s="1"/>
      <c r="C680" s="1"/>
      <c r="D680" s="1"/>
      <c r="E680" s="71"/>
      <c r="F680" s="1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1"/>
      <c r="B681" s="1"/>
      <c r="C681" s="1"/>
      <c r="D681" s="1"/>
      <c r="E681" s="71"/>
      <c r="F681" s="1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1"/>
      <c r="B682" s="1"/>
      <c r="C682" s="1"/>
      <c r="D682" s="1"/>
      <c r="E682" s="71"/>
      <c r="F682" s="1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1"/>
      <c r="B683" s="1"/>
      <c r="C683" s="1"/>
      <c r="D683" s="1"/>
      <c r="E683" s="71"/>
      <c r="F683" s="1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1"/>
      <c r="B684" s="1"/>
      <c r="C684" s="1"/>
      <c r="D684" s="1"/>
      <c r="E684" s="71"/>
      <c r="F684" s="1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1"/>
      <c r="B685" s="1"/>
      <c r="C685" s="1"/>
      <c r="D685" s="1"/>
      <c r="E685" s="71"/>
      <c r="F685" s="1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1"/>
      <c r="B686" s="1"/>
      <c r="C686" s="1"/>
      <c r="D686" s="1"/>
      <c r="E686" s="71"/>
      <c r="F686" s="1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1"/>
      <c r="B687" s="1"/>
      <c r="C687" s="1"/>
      <c r="D687" s="1"/>
      <c r="E687" s="71"/>
      <c r="F687" s="1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1"/>
      <c r="B688" s="1"/>
      <c r="C688" s="1"/>
      <c r="D688" s="1"/>
      <c r="E688" s="71"/>
      <c r="F688" s="1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1"/>
      <c r="B689" s="1"/>
      <c r="C689" s="1"/>
      <c r="D689" s="1"/>
      <c r="E689" s="71"/>
      <c r="F689" s="1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1"/>
      <c r="B690" s="1"/>
      <c r="C690" s="1"/>
      <c r="D690" s="1"/>
      <c r="E690" s="71"/>
      <c r="F690" s="1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1"/>
      <c r="B691" s="1"/>
      <c r="C691" s="1"/>
      <c r="D691" s="1"/>
      <c r="E691" s="71"/>
      <c r="F691" s="1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1"/>
      <c r="B692" s="1"/>
      <c r="C692" s="1"/>
      <c r="D692" s="1"/>
      <c r="E692" s="71"/>
      <c r="F692" s="1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1"/>
      <c r="B693" s="1"/>
      <c r="C693" s="1"/>
      <c r="D693" s="1"/>
      <c r="E693" s="71"/>
      <c r="F693" s="1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1"/>
      <c r="B694" s="1"/>
      <c r="C694" s="1"/>
      <c r="D694" s="1"/>
      <c r="E694" s="71"/>
      <c r="F694" s="1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1"/>
      <c r="B695" s="1"/>
      <c r="C695" s="1"/>
      <c r="D695" s="1"/>
      <c r="E695" s="71"/>
      <c r="F695" s="1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1"/>
      <c r="B696" s="1"/>
      <c r="C696" s="1"/>
      <c r="D696" s="1"/>
      <c r="E696" s="71"/>
      <c r="F696" s="1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1"/>
      <c r="B697" s="1"/>
      <c r="C697" s="1"/>
      <c r="D697" s="1"/>
      <c r="E697" s="71"/>
      <c r="F697" s="1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1"/>
      <c r="B698" s="1"/>
      <c r="C698" s="1"/>
      <c r="D698" s="1"/>
      <c r="E698" s="71"/>
      <c r="F698" s="1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1"/>
      <c r="B699" s="1"/>
      <c r="C699" s="1"/>
      <c r="D699" s="1"/>
      <c r="E699" s="71"/>
      <c r="F699" s="1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1"/>
      <c r="B700" s="1"/>
      <c r="C700" s="1"/>
      <c r="D700" s="1"/>
      <c r="E700" s="71"/>
      <c r="F700" s="1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1"/>
      <c r="B701" s="1"/>
      <c r="C701" s="1"/>
      <c r="D701" s="1"/>
      <c r="E701" s="71"/>
      <c r="F701" s="1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1"/>
      <c r="B702" s="1"/>
      <c r="C702" s="1"/>
      <c r="D702" s="1"/>
      <c r="E702" s="71"/>
      <c r="F702" s="1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1"/>
      <c r="B703" s="1"/>
      <c r="C703" s="1"/>
      <c r="D703" s="1"/>
      <c r="E703" s="71"/>
      <c r="F703" s="1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1"/>
      <c r="B704" s="1"/>
      <c r="C704" s="1"/>
      <c r="D704" s="1"/>
      <c r="E704" s="71"/>
      <c r="F704" s="1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1"/>
      <c r="B705" s="1"/>
      <c r="C705" s="1"/>
      <c r="D705" s="1"/>
      <c r="E705" s="71"/>
      <c r="F705" s="1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1"/>
      <c r="B706" s="1"/>
      <c r="C706" s="1"/>
      <c r="D706" s="1"/>
      <c r="E706" s="71"/>
      <c r="F706" s="1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1"/>
      <c r="B707" s="1"/>
      <c r="C707" s="1"/>
      <c r="D707" s="1"/>
      <c r="E707" s="71"/>
      <c r="F707" s="1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1"/>
      <c r="B708" s="1"/>
      <c r="C708" s="1"/>
      <c r="D708" s="1"/>
      <c r="E708" s="71"/>
      <c r="F708" s="1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1"/>
      <c r="B709" s="1"/>
      <c r="C709" s="1"/>
      <c r="D709" s="1"/>
      <c r="E709" s="71"/>
      <c r="F709" s="1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1"/>
      <c r="B710" s="1"/>
      <c r="C710" s="1"/>
      <c r="D710" s="1"/>
      <c r="E710" s="71"/>
      <c r="F710" s="1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1"/>
      <c r="B711" s="1"/>
      <c r="C711" s="1"/>
      <c r="D711" s="1"/>
      <c r="E711" s="71"/>
      <c r="F711" s="1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1"/>
      <c r="B712" s="1"/>
      <c r="C712" s="1"/>
      <c r="D712" s="1"/>
      <c r="E712" s="71"/>
      <c r="F712" s="1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1"/>
      <c r="B713" s="1"/>
      <c r="C713" s="1"/>
      <c r="D713" s="1"/>
      <c r="E713" s="71"/>
      <c r="F713" s="1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1"/>
      <c r="B714" s="1"/>
      <c r="C714" s="1"/>
      <c r="D714" s="1"/>
      <c r="E714" s="71"/>
      <c r="F714" s="1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1"/>
      <c r="B715" s="1"/>
      <c r="C715" s="1"/>
      <c r="D715" s="1"/>
      <c r="E715" s="71"/>
      <c r="F715" s="1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1"/>
      <c r="B716" s="1"/>
      <c r="C716" s="1"/>
      <c r="D716" s="1"/>
      <c r="E716" s="71"/>
      <c r="F716" s="1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1"/>
      <c r="B717" s="1"/>
      <c r="C717" s="1"/>
      <c r="D717" s="1"/>
      <c r="E717" s="71"/>
      <c r="F717" s="1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1"/>
      <c r="B718" s="1"/>
      <c r="C718" s="1"/>
      <c r="D718" s="1"/>
      <c r="E718" s="71"/>
      <c r="F718" s="1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1"/>
      <c r="B719" s="1"/>
      <c r="C719" s="1"/>
      <c r="D719" s="1"/>
      <c r="E719" s="71"/>
      <c r="F719" s="1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1"/>
      <c r="B720" s="1"/>
      <c r="C720" s="1"/>
      <c r="D720" s="1"/>
      <c r="E720" s="71"/>
      <c r="F720" s="1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1"/>
      <c r="B721" s="1"/>
      <c r="C721" s="1"/>
      <c r="D721" s="1"/>
      <c r="E721" s="71"/>
      <c r="F721" s="1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1"/>
      <c r="B722" s="1"/>
      <c r="C722" s="1"/>
      <c r="D722" s="1"/>
      <c r="E722" s="71"/>
      <c r="F722" s="1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1"/>
      <c r="B723" s="1"/>
      <c r="C723" s="1"/>
      <c r="D723" s="1"/>
      <c r="E723" s="71"/>
      <c r="F723" s="1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1"/>
      <c r="B724" s="1"/>
      <c r="C724" s="1"/>
      <c r="D724" s="1"/>
      <c r="E724" s="71"/>
      <c r="F724" s="1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1"/>
      <c r="B725" s="1"/>
      <c r="C725" s="1"/>
      <c r="D725" s="1"/>
      <c r="E725" s="71"/>
      <c r="F725" s="1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1"/>
      <c r="B726" s="1"/>
      <c r="C726" s="1"/>
      <c r="D726" s="1"/>
      <c r="E726" s="71"/>
      <c r="F726" s="1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1"/>
      <c r="B727" s="1"/>
      <c r="C727" s="1"/>
      <c r="D727" s="1"/>
      <c r="E727" s="71"/>
      <c r="F727" s="1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1"/>
      <c r="B728" s="1"/>
      <c r="C728" s="1"/>
      <c r="D728" s="1"/>
      <c r="E728" s="71"/>
      <c r="F728" s="1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1"/>
      <c r="B729" s="1"/>
      <c r="C729" s="1"/>
      <c r="D729" s="1"/>
      <c r="E729" s="71"/>
      <c r="F729" s="1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1"/>
      <c r="B730" s="1"/>
      <c r="C730" s="1"/>
      <c r="D730" s="1"/>
      <c r="E730" s="71"/>
      <c r="F730" s="1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1"/>
      <c r="B731" s="1"/>
      <c r="C731" s="1"/>
      <c r="D731" s="1"/>
      <c r="E731" s="71"/>
      <c r="F731" s="1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1"/>
      <c r="B732" s="1"/>
      <c r="C732" s="1"/>
      <c r="D732" s="1"/>
      <c r="E732" s="71"/>
      <c r="F732" s="1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1"/>
      <c r="B733" s="1"/>
      <c r="C733" s="1"/>
      <c r="D733" s="1"/>
      <c r="E733" s="71"/>
      <c r="F733" s="1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1"/>
      <c r="B734" s="1"/>
      <c r="C734" s="1"/>
      <c r="D734" s="1"/>
      <c r="E734" s="71"/>
      <c r="F734" s="1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1"/>
      <c r="B735" s="1"/>
      <c r="C735" s="1"/>
      <c r="D735" s="1"/>
      <c r="E735" s="71"/>
      <c r="F735" s="1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1"/>
      <c r="B736" s="1"/>
      <c r="C736" s="1"/>
      <c r="D736" s="1"/>
      <c r="E736" s="71"/>
      <c r="F736" s="1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1"/>
      <c r="B737" s="1"/>
      <c r="C737" s="1"/>
      <c r="D737" s="1"/>
      <c r="E737" s="71"/>
      <c r="F737" s="1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1"/>
      <c r="B738" s="1"/>
      <c r="C738" s="1"/>
      <c r="D738" s="1"/>
      <c r="E738" s="71"/>
      <c r="F738" s="1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1"/>
      <c r="B739" s="1"/>
      <c r="C739" s="1"/>
      <c r="D739" s="1"/>
      <c r="E739" s="71"/>
      <c r="F739" s="1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1"/>
      <c r="B740" s="1"/>
      <c r="C740" s="1"/>
      <c r="D740" s="1"/>
      <c r="E740" s="71"/>
      <c r="F740" s="1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1"/>
      <c r="B741" s="1"/>
      <c r="C741" s="1"/>
      <c r="D741" s="1"/>
      <c r="E741" s="71"/>
      <c r="F741" s="1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1"/>
      <c r="B742" s="1"/>
      <c r="C742" s="1"/>
      <c r="D742" s="1"/>
      <c r="E742" s="71"/>
      <c r="F742" s="1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1"/>
      <c r="B743" s="1"/>
      <c r="C743" s="1"/>
      <c r="D743" s="1"/>
      <c r="E743" s="71"/>
      <c r="F743" s="1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1"/>
      <c r="B744" s="1"/>
      <c r="C744" s="1"/>
      <c r="D744" s="1"/>
      <c r="E744" s="71"/>
      <c r="F744" s="1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1"/>
      <c r="B745" s="1"/>
      <c r="C745" s="1"/>
      <c r="D745" s="1"/>
      <c r="E745" s="71"/>
      <c r="F745" s="1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1"/>
      <c r="B746" s="1"/>
      <c r="C746" s="1"/>
      <c r="D746" s="1"/>
      <c r="E746" s="71"/>
      <c r="F746" s="1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1"/>
      <c r="B747" s="1"/>
      <c r="C747" s="1"/>
      <c r="D747" s="1"/>
      <c r="E747" s="71"/>
      <c r="F747" s="1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1"/>
      <c r="B748" s="1"/>
      <c r="C748" s="1"/>
      <c r="D748" s="1"/>
      <c r="E748" s="71"/>
      <c r="F748" s="1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1"/>
      <c r="B749" s="1"/>
      <c r="C749" s="1"/>
      <c r="D749" s="1"/>
      <c r="E749" s="71"/>
      <c r="F749" s="1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1"/>
      <c r="B750" s="1"/>
      <c r="C750" s="1"/>
      <c r="D750" s="1"/>
      <c r="E750" s="71"/>
      <c r="F750" s="1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1"/>
      <c r="B751" s="1"/>
      <c r="C751" s="1"/>
      <c r="D751" s="1"/>
      <c r="E751" s="71"/>
      <c r="F751" s="1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1"/>
      <c r="B752" s="1"/>
      <c r="C752" s="1"/>
      <c r="D752" s="1"/>
      <c r="E752" s="71"/>
      <c r="F752" s="1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1"/>
      <c r="B753" s="1"/>
      <c r="C753" s="1"/>
      <c r="D753" s="1"/>
      <c r="E753" s="71"/>
      <c r="F753" s="1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1"/>
      <c r="B754" s="1"/>
      <c r="C754" s="1"/>
      <c r="D754" s="1"/>
      <c r="E754" s="71"/>
      <c r="F754" s="1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1"/>
      <c r="B755" s="1"/>
      <c r="C755" s="1"/>
      <c r="D755" s="1"/>
      <c r="E755" s="71"/>
      <c r="F755" s="1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1"/>
      <c r="B756" s="1"/>
      <c r="C756" s="1"/>
      <c r="D756" s="1"/>
      <c r="E756" s="71"/>
      <c r="F756" s="1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1"/>
      <c r="B757" s="1"/>
      <c r="C757" s="1"/>
      <c r="D757" s="1"/>
      <c r="E757" s="71"/>
      <c r="F757" s="1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1"/>
      <c r="B758" s="1"/>
      <c r="C758" s="1"/>
      <c r="D758" s="1"/>
      <c r="E758" s="71"/>
      <c r="F758" s="1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1"/>
      <c r="B759" s="1"/>
      <c r="C759" s="1"/>
      <c r="D759" s="1"/>
      <c r="E759" s="71"/>
      <c r="F759" s="1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1"/>
      <c r="B760" s="1"/>
      <c r="C760" s="1"/>
      <c r="D760" s="1"/>
      <c r="E760" s="71"/>
      <c r="F760" s="1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1"/>
      <c r="B761" s="1"/>
      <c r="C761" s="1"/>
      <c r="D761" s="1"/>
      <c r="E761" s="71"/>
      <c r="F761" s="1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1"/>
      <c r="B762" s="1"/>
      <c r="C762" s="1"/>
      <c r="D762" s="1"/>
      <c r="E762" s="71"/>
      <c r="F762" s="1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1"/>
      <c r="B763" s="1"/>
      <c r="C763" s="1"/>
      <c r="D763" s="1"/>
      <c r="E763" s="71"/>
      <c r="F763" s="1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1"/>
      <c r="B764" s="1"/>
      <c r="C764" s="1"/>
      <c r="D764" s="1"/>
      <c r="E764" s="71"/>
      <c r="F764" s="1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1"/>
      <c r="B765" s="1"/>
      <c r="C765" s="1"/>
      <c r="D765" s="1"/>
      <c r="E765" s="71"/>
      <c r="F765" s="1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1"/>
      <c r="B766" s="1"/>
      <c r="C766" s="1"/>
      <c r="D766" s="1"/>
      <c r="E766" s="71"/>
      <c r="F766" s="1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1"/>
      <c r="B767" s="1"/>
      <c r="C767" s="1"/>
      <c r="D767" s="1"/>
      <c r="E767" s="71"/>
      <c r="F767" s="1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1"/>
      <c r="B768" s="1"/>
      <c r="C768" s="1"/>
      <c r="D768" s="1"/>
      <c r="E768" s="71"/>
      <c r="F768" s="1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1"/>
      <c r="B769" s="1"/>
      <c r="C769" s="1"/>
      <c r="D769" s="1"/>
      <c r="E769" s="71"/>
      <c r="F769" s="1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1"/>
      <c r="B770" s="1"/>
      <c r="C770" s="1"/>
      <c r="D770" s="1"/>
      <c r="E770" s="71"/>
      <c r="F770" s="1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1"/>
      <c r="B771" s="1"/>
      <c r="C771" s="1"/>
      <c r="D771" s="1"/>
      <c r="E771" s="71"/>
      <c r="F771" s="1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1"/>
      <c r="B772" s="1"/>
      <c r="C772" s="1"/>
      <c r="D772" s="1"/>
      <c r="E772" s="71"/>
      <c r="F772" s="1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1"/>
      <c r="B773" s="1"/>
      <c r="C773" s="1"/>
      <c r="D773" s="1"/>
      <c r="E773" s="71"/>
      <c r="F773" s="1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1"/>
      <c r="B774" s="1"/>
      <c r="C774" s="1"/>
      <c r="D774" s="1"/>
      <c r="E774" s="71"/>
      <c r="F774" s="1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1"/>
      <c r="B775" s="1"/>
      <c r="C775" s="1"/>
      <c r="D775" s="1"/>
      <c r="E775" s="71"/>
      <c r="F775" s="1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1"/>
      <c r="B776" s="1"/>
      <c r="C776" s="1"/>
      <c r="D776" s="1"/>
      <c r="E776" s="71"/>
      <c r="F776" s="1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1"/>
      <c r="B777" s="1"/>
      <c r="C777" s="1"/>
      <c r="D777" s="1"/>
      <c r="E777" s="71"/>
      <c r="F777" s="1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1"/>
      <c r="B778" s="1"/>
      <c r="C778" s="1"/>
      <c r="D778" s="1"/>
      <c r="E778" s="71"/>
      <c r="F778" s="1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1"/>
      <c r="B779" s="1"/>
      <c r="C779" s="1"/>
      <c r="D779" s="1"/>
      <c r="E779" s="71"/>
      <c r="F779" s="1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1"/>
      <c r="B780" s="1"/>
      <c r="C780" s="1"/>
      <c r="D780" s="1"/>
      <c r="E780" s="71"/>
      <c r="F780" s="1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1"/>
      <c r="B781" s="1"/>
      <c r="C781" s="1"/>
      <c r="D781" s="1"/>
      <c r="E781" s="71"/>
      <c r="F781" s="1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1"/>
      <c r="B782" s="1"/>
      <c r="C782" s="1"/>
      <c r="D782" s="1"/>
      <c r="E782" s="71"/>
      <c r="F782" s="1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1"/>
      <c r="B783" s="1"/>
      <c r="C783" s="1"/>
      <c r="D783" s="1"/>
      <c r="E783" s="71"/>
      <c r="F783" s="1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1"/>
      <c r="B784" s="1"/>
      <c r="C784" s="1"/>
      <c r="D784" s="1"/>
      <c r="E784" s="71"/>
      <c r="F784" s="1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1"/>
      <c r="B785" s="1"/>
      <c r="C785" s="1"/>
      <c r="D785" s="1"/>
      <c r="E785" s="71"/>
      <c r="F785" s="1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1"/>
      <c r="B786" s="1"/>
      <c r="C786" s="1"/>
      <c r="D786" s="1"/>
      <c r="E786" s="71"/>
      <c r="F786" s="1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1"/>
      <c r="B787" s="1"/>
      <c r="C787" s="1"/>
      <c r="D787" s="1"/>
      <c r="E787" s="71"/>
      <c r="F787" s="1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1"/>
      <c r="B788" s="1"/>
      <c r="C788" s="1"/>
      <c r="D788" s="1"/>
      <c r="E788" s="71"/>
      <c r="F788" s="1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1"/>
      <c r="B789" s="1"/>
      <c r="C789" s="1"/>
      <c r="D789" s="1"/>
      <c r="E789" s="71"/>
      <c r="F789" s="1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1"/>
      <c r="B790" s="1"/>
      <c r="C790" s="1"/>
      <c r="D790" s="1"/>
      <c r="E790" s="71"/>
      <c r="F790" s="1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1"/>
      <c r="B791" s="1"/>
      <c r="C791" s="1"/>
      <c r="D791" s="1"/>
      <c r="E791" s="71"/>
      <c r="F791" s="1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1"/>
      <c r="B792" s="1"/>
      <c r="C792" s="1"/>
      <c r="D792" s="1"/>
      <c r="E792" s="71"/>
      <c r="F792" s="1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1"/>
      <c r="B793" s="1"/>
      <c r="C793" s="1"/>
      <c r="D793" s="1"/>
      <c r="E793" s="71"/>
      <c r="F793" s="1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1"/>
      <c r="B794" s="1"/>
      <c r="C794" s="1"/>
      <c r="D794" s="1"/>
      <c r="E794" s="71"/>
      <c r="F794" s="1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1"/>
      <c r="B795" s="1"/>
      <c r="C795" s="1"/>
      <c r="D795" s="1"/>
      <c r="E795" s="71"/>
      <c r="F795" s="1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1"/>
      <c r="B796" s="1"/>
      <c r="C796" s="1"/>
      <c r="D796" s="1"/>
      <c r="E796" s="71"/>
      <c r="F796" s="1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1"/>
      <c r="B797" s="1"/>
      <c r="C797" s="1"/>
      <c r="D797" s="1"/>
      <c r="E797" s="71"/>
      <c r="F797" s="1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1"/>
      <c r="B798" s="1"/>
      <c r="C798" s="1"/>
      <c r="D798" s="1"/>
      <c r="E798" s="71"/>
      <c r="F798" s="1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1"/>
      <c r="B799" s="1"/>
      <c r="C799" s="1"/>
      <c r="D799" s="1"/>
      <c r="E799" s="71"/>
      <c r="F799" s="1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1"/>
      <c r="B800" s="1"/>
      <c r="C800" s="1"/>
      <c r="D800" s="1"/>
      <c r="E800" s="71"/>
      <c r="F800" s="1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1"/>
      <c r="B801" s="1"/>
      <c r="C801" s="1"/>
      <c r="D801" s="1"/>
      <c r="E801" s="71"/>
      <c r="F801" s="1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1"/>
      <c r="B802" s="1"/>
      <c r="C802" s="1"/>
      <c r="D802" s="1"/>
      <c r="E802" s="71"/>
      <c r="F802" s="1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1"/>
      <c r="B803" s="1"/>
      <c r="C803" s="1"/>
      <c r="D803" s="1"/>
      <c r="E803" s="71"/>
      <c r="F803" s="1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1"/>
      <c r="B804" s="1"/>
      <c r="C804" s="1"/>
      <c r="D804" s="1"/>
      <c r="E804" s="71"/>
      <c r="F804" s="1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1"/>
      <c r="B805" s="1"/>
      <c r="C805" s="1"/>
      <c r="D805" s="1"/>
      <c r="E805" s="71"/>
      <c r="F805" s="1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1"/>
      <c r="B806" s="1"/>
      <c r="C806" s="1"/>
      <c r="D806" s="1"/>
      <c r="E806" s="71"/>
      <c r="F806" s="1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1"/>
      <c r="B807" s="1"/>
      <c r="C807" s="1"/>
      <c r="D807" s="1"/>
      <c r="E807" s="71"/>
      <c r="F807" s="1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1"/>
      <c r="B808" s="1"/>
      <c r="C808" s="1"/>
      <c r="D808" s="1"/>
      <c r="E808" s="71"/>
      <c r="F808" s="1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1"/>
      <c r="B809" s="1"/>
      <c r="C809" s="1"/>
      <c r="D809" s="1"/>
      <c r="E809" s="71"/>
      <c r="F809" s="1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1"/>
      <c r="B810" s="1"/>
      <c r="C810" s="1"/>
      <c r="D810" s="1"/>
      <c r="E810" s="71"/>
      <c r="F810" s="1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1"/>
      <c r="B811" s="1"/>
      <c r="C811" s="1"/>
      <c r="D811" s="1"/>
      <c r="E811" s="71"/>
      <c r="F811" s="1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1"/>
      <c r="B812" s="1"/>
      <c r="C812" s="1"/>
      <c r="D812" s="1"/>
      <c r="E812" s="71"/>
      <c r="F812" s="1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1"/>
      <c r="B813" s="1"/>
      <c r="C813" s="1"/>
      <c r="D813" s="1"/>
      <c r="E813" s="71"/>
      <c r="F813" s="1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1"/>
      <c r="B814" s="1"/>
      <c r="C814" s="1"/>
      <c r="D814" s="1"/>
      <c r="E814" s="71"/>
      <c r="F814" s="1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1"/>
      <c r="B815" s="1"/>
      <c r="C815" s="1"/>
      <c r="D815" s="1"/>
      <c r="E815" s="71"/>
      <c r="F815" s="1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1"/>
      <c r="B816" s="1"/>
      <c r="C816" s="1"/>
      <c r="D816" s="1"/>
      <c r="E816" s="71"/>
      <c r="F816" s="1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1"/>
      <c r="B817" s="1"/>
      <c r="C817" s="1"/>
      <c r="D817" s="1"/>
      <c r="E817" s="71"/>
      <c r="F817" s="1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1"/>
      <c r="B818" s="1"/>
      <c r="C818" s="1"/>
      <c r="D818" s="1"/>
      <c r="E818" s="71"/>
      <c r="F818" s="1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1"/>
      <c r="B819" s="1"/>
      <c r="C819" s="1"/>
      <c r="D819" s="1"/>
      <c r="E819" s="71"/>
      <c r="F819" s="1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1"/>
      <c r="B820" s="1"/>
      <c r="C820" s="1"/>
      <c r="D820" s="1"/>
      <c r="E820" s="71"/>
      <c r="F820" s="1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1"/>
      <c r="B821" s="1"/>
      <c r="C821" s="1"/>
      <c r="D821" s="1"/>
      <c r="E821" s="71"/>
      <c r="F821" s="1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1"/>
      <c r="B822" s="1"/>
      <c r="C822" s="1"/>
      <c r="D822" s="1"/>
      <c r="E822" s="71"/>
      <c r="F822" s="1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1"/>
      <c r="B823" s="1"/>
      <c r="C823" s="1"/>
      <c r="D823" s="1"/>
      <c r="E823" s="71"/>
      <c r="F823" s="1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1"/>
      <c r="B824" s="1"/>
      <c r="C824" s="1"/>
      <c r="D824" s="1"/>
      <c r="E824" s="71"/>
      <c r="F824" s="1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1"/>
      <c r="B825" s="1"/>
      <c r="C825" s="1"/>
      <c r="D825" s="1"/>
      <c r="E825" s="71"/>
      <c r="F825" s="1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1"/>
      <c r="B826" s="1"/>
      <c r="C826" s="1"/>
      <c r="D826" s="1"/>
      <c r="E826" s="71"/>
      <c r="F826" s="1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1"/>
      <c r="B827" s="1"/>
      <c r="C827" s="1"/>
      <c r="D827" s="1"/>
      <c r="E827" s="71"/>
      <c r="F827" s="1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1"/>
      <c r="B828" s="1"/>
      <c r="C828" s="1"/>
      <c r="D828" s="1"/>
      <c r="E828" s="71"/>
      <c r="F828" s="1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1"/>
      <c r="B829" s="1"/>
      <c r="C829" s="1"/>
      <c r="D829" s="1"/>
      <c r="E829" s="71"/>
      <c r="F829" s="1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1"/>
      <c r="B830" s="1"/>
      <c r="C830" s="1"/>
      <c r="D830" s="1"/>
      <c r="E830" s="71"/>
      <c r="F830" s="1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1"/>
      <c r="B831" s="1"/>
      <c r="C831" s="1"/>
      <c r="D831" s="1"/>
      <c r="E831" s="71"/>
      <c r="F831" s="1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1"/>
      <c r="B832" s="1"/>
      <c r="C832" s="1"/>
      <c r="D832" s="1"/>
      <c r="E832" s="71"/>
      <c r="F832" s="1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1"/>
      <c r="B833" s="1"/>
      <c r="C833" s="1"/>
      <c r="D833" s="1"/>
      <c r="E833" s="71"/>
      <c r="F833" s="1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1"/>
      <c r="B834" s="1"/>
      <c r="C834" s="1"/>
      <c r="D834" s="1"/>
      <c r="E834" s="71"/>
      <c r="F834" s="1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1"/>
      <c r="B835" s="1"/>
      <c r="C835" s="1"/>
      <c r="D835" s="1"/>
      <c r="E835" s="71"/>
      <c r="F835" s="1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1"/>
      <c r="B836" s="1"/>
      <c r="C836" s="1"/>
      <c r="D836" s="1"/>
      <c r="E836" s="71"/>
      <c r="F836" s="1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1"/>
      <c r="B837" s="1"/>
      <c r="C837" s="1"/>
      <c r="D837" s="1"/>
      <c r="E837" s="71"/>
      <c r="F837" s="1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1"/>
      <c r="B838" s="1"/>
      <c r="C838" s="1"/>
      <c r="D838" s="1"/>
      <c r="E838" s="71"/>
      <c r="F838" s="1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1"/>
      <c r="B839" s="1"/>
      <c r="C839" s="1"/>
      <c r="D839" s="1"/>
      <c r="E839" s="71"/>
      <c r="F839" s="1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1"/>
      <c r="B840" s="1"/>
      <c r="C840" s="1"/>
      <c r="D840" s="1"/>
      <c r="E840" s="71"/>
      <c r="F840" s="1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1"/>
      <c r="B841" s="1"/>
      <c r="C841" s="1"/>
      <c r="D841" s="1"/>
      <c r="E841" s="71"/>
      <c r="F841" s="1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1"/>
      <c r="B842" s="1"/>
      <c r="C842" s="1"/>
      <c r="D842" s="1"/>
      <c r="E842" s="71"/>
      <c r="F842" s="1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1"/>
      <c r="B843" s="1"/>
      <c r="C843" s="1"/>
      <c r="D843" s="1"/>
      <c r="E843" s="71"/>
      <c r="F843" s="1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1"/>
      <c r="B844" s="1"/>
      <c r="C844" s="1"/>
      <c r="D844" s="1"/>
      <c r="E844" s="71"/>
      <c r="F844" s="1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1"/>
      <c r="B845" s="1"/>
      <c r="C845" s="1"/>
      <c r="D845" s="1"/>
      <c r="E845" s="71"/>
      <c r="F845" s="1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1"/>
      <c r="B846" s="1"/>
      <c r="C846" s="1"/>
      <c r="D846" s="1"/>
      <c r="E846" s="71"/>
      <c r="F846" s="1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1"/>
      <c r="B847" s="1"/>
      <c r="C847" s="1"/>
      <c r="D847" s="1"/>
      <c r="E847" s="71"/>
      <c r="F847" s="1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1"/>
      <c r="B848" s="1"/>
      <c r="C848" s="1"/>
      <c r="D848" s="1"/>
      <c r="E848" s="71"/>
      <c r="F848" s="1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1"/>
      <c r="B849" s="1"/>
      <c r="C849" s="1"/>
      <c r="D849" s="1"/>
      <c r="E849" s="71"/>
      <c r="F849" s="1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1"/>
      <c r="B850" s="1"/>
      <c r="C850" s="1"/>
      <c r="D850" s="1"/>
      <c r="E850" s="71"/>
      <c r="F850" s="1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1"/>
      <c r="B851" s="1"/>
      <c r="C851" s="1"/>
      <c r="D851" s="1"/>
      <c r="E851" s="71"/>
      <c r="F851" s="1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1"/>
      <c r="B852" s="1"/>
      <c r="C852" s="1"/>
      <c r="D852" s="1"/>
      <c r="E852" s="71"/>
      <c r="F852" s="1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1"/>
      <c r="B853" s="1"/>
      <c r="C853" s="1"/>
      <c r="D853" s="1"/>
      <c r="E853" s="71"/>
      <c r="F853" s="1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1"/>
      <c r="B854" s="1"/>
      <c r="C854" s="1"/>
      <c r="D854" s="1"/>
      <c r="E854" s="71"/>
      <c r="F854" s="1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1"/>
      <c r="B855" s="1"/>
      <c r="C855" s="1"/>
      <c r="D855" s="1"/>
      <c r="E855" s="71"/>
      <c r="F855" s="1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1"/>
      <c r="B856" s="1"/>
      <c r="C856" s="1"/>
      <c r="D856" s="1"/>
      <c r="E856" s="71"/>
      <c r="F856" s="1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1"/>
      <c r="B857" s="1"/>
      <c r="C857" s="1"/>
      <c r="D857" s="1"/>
      <c r="E857" s="71"/>
      <c r="F857" s="1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1"/>
      <c r="B858" s="1"/>
      <c r="C858" s="1"/>
      <c r="D858" s="1"/>
      <c r="E858" s="71"/>
      <c r="F858" s="1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1"/>
      <c r="B859" s="1"/>
      <c r="C859" s="1"/>
      <c r="D859" s="1"/>
      <c r="E859" s="71"/>
      <c r="F859" s="1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1"/>
      <c r="B860" s="1"/>
      <c r="C860" s="1"/>
      <c r="D860" s="1"/>
      <c r="E860" s="71"/>
      <c r="F860" s="1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1"/>
      <c r="B861" s="1"/>
      <c r="C861" s="1"/>
      <c r="D861" s="1"/>
      <c r="E861" s="71"/>
      <c r="F861" s="1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1"/>
      <c r="B862" s="1"/>
      <c r="C862" s="1"/>
      <c r="D862" s="1"/>
      <c r="E862" s="71"/>
      <c r="F862" s="1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1"/>
      <c r="B863" s="1"/>
      <c r="C863" s="1"/>
      <c r="D863" s="1"/>
      <c r="E863" s="71"/>
      <c r="F863" s="1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1"/>
      <c r="B864" s="1"/>
      <c r="C864" s="1"/>
      <c r="D864" s="1"/>
      <c r="E864" s="71"/>
      <c r="F864" s="1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1"/>
      <c r="B865" s="1"/>
      <c r="C865" s="1"/>
      <c r="D865" s="1"/>
      <c r="E865" s="71"/>
      <c r="F865" s="1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1"/>
      <c r="B866" s="1"/>
      <c r="C866" s="1"/>
      <c r="D866" s="1"/>
      <c r="E866" s="71"/>
      <c r="F866" s="1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1"/>
      <c r="B867" s="1"/>
      <c r="C867" s="1"/>
      <c r="D867" s="1"/>
      <c r="E867" s="71"/>
      <c r="F867" s="1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1"/>
      <c r="B868" s="1"/>
      <c r="C868" s="1"/>
      <c r="D868" s="1"/>
      <c r="E868" s="71"/>
      <c r="F868" s="1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1"/>
      <c r="B869" s="1"/>
      <c r="C869" s="1"/>
      <c r="D869" s="1"/>
      <c r="E869" s="71"/>
      <c r="F869" s="1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1"/>
      <c r="B870" s="1"/>
      <c r="C870" s="1"/>
      <c r="D870" s="1"/>
      <c r="E870" s="71"/>
      <c r="F870" s="1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1"/>
      <c r="B871" s="1"/>
      <c r="C871" s="1"/>
      <c r="D871" s="1"/>
      <c r="E871" s="71"/>
      <c r="F871" s="1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1"/>
      <c r="B872" s="1"/>
      <c r="C872" s="1"/>
      <c r="D872" s="1"/>
      <c r="E872" s="71"/>
      <c r="F872" s="1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1"/>
      <c r="B873" s="1"/>
      <c r="C873" s="1"/>
      <c r="D873" s="1"/>
      <c r="E873" s="71"/>
      <c r="F873" s="1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1"/>
      <c r="B874" s="1"/>
      <c r="C874" s="1"/>
      <c r="D874" s="1"/>
      <c r="E874" s="71"/>
      <c r="F874" s="1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1"/>
      <c r="B875" s="1"/>
      <c r="C875" s="1"/>
      <c r="D875" s="1"/>
      <c r="E875" s="71"/>
      <c r="F875" s="1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1"/>
      <c r="B876" s="1"/>
      <c r="C876" s="1"/>
      <c r="D876" s="1"/>
      <c r="E876" s="71"/>
      <c r="F876" s="1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1"/>
      <c r="B877" s="1"/>
      <c r="C877" s="1"/>
      <c r="D877" s="1"/>
      <c r="E877" s="71"/>
      <c r="F877" s="1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1"/>
      <c r="B878" s="1"/>
      <c r="C878" s="1"/>
      <c r="D878" s="1"/>
      <c r="E878" s="71"/>
      <c r="F878" s="1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1"/>
      <c r="B879" s="1"/>
      <c r="C879" s="1"/>
      <c r="D879" s="1"/>
      <c r="E879" s="71"/>
      <c r="F879" s="1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1"/>
      <c r="B880" s="1"/>
      <c r="C880" s="1"/>
      <c r="D880" s="1"/>
      <c r="E880" s="71"/>
      <c r="F880" s="1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1"/>
      <c r="B881" s="1"/>
      <c r="C881" s="1"/>
      <c r="D881" s="1"/>
      <c r="E881" s="71"/>
      <c r="F881" s="1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1"/>
      <c r="B882" s="1"/>
      <c r="C882" s="1"/>
      <c r="D882" s="1"/>
      <c r="E882" s="71"/>
      <c r="F882" s="1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1"/>
      <c r="B883" s="1"/>
      <c r="C883" s="1"/>
      <c r="D883" s="1"/>
      <c r="E883" s="71"/>
      <c r="F883" s="1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1"/>
      <c r="B884" s="1"/>
      <c r="C884" s="1"/>
      <c r="D884" s="1"/>
      <c r="E884" s="71"/>
      <c r="F884" s="1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1"/>
      <c r="B885" s="1"/>
      <c r="C885" s="1"/>
      <c r="D885" s="1"/>
      <c r="E885" s="71"/>
      <c r="F885" s="1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1"/>
      <c r="B886" s="1"/>
      <c r="C886" s="1"/>
      <c r="D886" s="1"/>
      <c r="E886" s="71"/>
      <c r="F886" s="1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1"/>
      <c r="B887" s="1"/>
      <c r="C887" s="1"/>
      <c r="D887" s="1"/>
      <c r="E887" s="71"/>
      <c r="F887" s="1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1"/>
      <c r="B888" s="1"/>
      <c r="C888" s="1"/>
      <c r="D888" s="1"/>
      <c r="E888" s="71"/>
      <c r="F888" s="1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1"/>
      <c r="B889" s="1"/>
      <c r="C889" s="1"/>
      <c r="D889" s="1"/>
      <c r="E889" s="71"/>
      <c r="F889" s="1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1"/>
      <c r="B890" s="1"/>
      <c r="C890" s="1"/>
      <c r="D890" s="1"/>
      <c r="E890" s="71"/>
      <c r="F890" s="1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1"/>
      <c r="B891" s="1"/>
      <c r="C891" s="1"/>
      <c r="D891" s="1"/>
      <c r="E891" s="71"/>
      <c r="F891" s="1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1"/>
      <c r="B892" s="1"/>
      <c r="C892" s="1"/>
      <c r="D892" s="1"/>
      <c r="E892" s="71"/>
      <c r="F892" s="1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1"/>
      <c r="B893" s="1"/>
      <c r="C893" s="1"/>
      <c r="D893" s="1"/>
      <c r="E893" s="71"/>
      <c r="F893" s="1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1"/>
      <c r="B894" s="1"/>
      <c r="C894" s="1"/>
      <c r="D894" s="1"/>
      <c r="E894" s="71"/>
      <c r="F894" s="1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1"/>
      <c r="B895" s="1"/>
      <c r="C895" s="1"/>
      <c r="D895" s="1"/>
      <c r="E895" s="71"/>
      <c r="F895" s="1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1"/>
      <c r="B896" s="1"/>
      <c r="C896" s="1"/>
      <c r="D896" s="1"/>
      <c r="E896" s="71"/>
      <c r="F896" s="1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1"/>
      <c r="B897" s="1"/>
      <c r="C897" s="1"/>
      <c r="D897" s="1"/>
      <c r="E897" s="71"/>
      <c r="F897" s="1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1"/>
      <c r="B898" s="1"/>
      <c r="C898" s="1"/>
      <c r="D898" s="1"/>
      <c r="E898" s="71"/>
      <c r="F898" s="1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1"/>
      <c r="B899" s="1"/>
      <c r="C899" s="1"/>
      <c r="D899" s="1"/>
      <c r="E899" s="71"/>
      <c r="F899" s="1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1"/>
      <c r="B900" s="1"/>
      <c r="C900" s="1"/>
      <c r="D900" s="1"/>
      <c r="E900" s="71"/>
      <c r="F900" s="1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1"/>
      <c r="B901" s="1"/>
      <c r="C901" s="1"/>
      <c r="D901" s="1"/>
      <c r="E901" s="71"/>
      <c r="F901" s="1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1"/>
      <c r="B902" s="1"/>
      <c r="C902" s="1"/>
      <c r="D902" s="1"/>
      <c r="E902" s="71"/>
      <c r="F902" s="1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1"/>
      <c r="B903" s="1"/>
      <c r="C903" s="1"/>
      <c r="D903" s="1"/>
      <c r="E903" s="71"/>
      <c r="F903" s="1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1"/>
      <c r="B904" s="1"/>
      <c r="C904" s="1"/>
      <c r="D904" s="1"/>
      <c r="E904" s="71"/>
      <c r="F904" s="1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1"/>
      <c r="B905" s="1"/>
      <c r="C905" s="1"/>
      <c r="D905" s="1"/>
      <c r="E905" s="71"/>
      <c r="F905" s="1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1"/>
      <c r="B906" s="1"/>
      <c r="C906" s="1"/>
      <c r="D906" s="1"/>
      <c r="E906" s="71"/>
      <c r="F906" s="1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1"/>
      <c r="B907" s="1"/>
      <c r="C907" s="1"/>
      <c r="D907" s="1"/>
      <c r="E907" s="71"/>
      <c r="F907" s="1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1"/>
      <c r="B908" s="1"/>
      <c r="C908" s="1"/>
      <c r="D908" s="1"/>
      <c r="E908" s="71"/>
      <c r="F908" s="1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1"/>
      <c r="B909" s="1"/>
      <c r="C909" s="1"/>
      <c r="D909" s="1"/>
      <c r="E909" s="71"/>
      <c r="F909" s="1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1"/>
      <c r="B910" s="1"/>
      <c r="C910" s="1"/>
      <c r="D910" s="1"/>
      <c r="E910" s="71"/>
      <c r="F910" s="1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1"/>
      <c r="B911" s="1"/>
      <c r="C911" s="1"/>
      <c r="D911" s="1"/>
      <c r="E911" s="71"/>
      <c r="F911" s="1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1"/>
      <c r="B912" s="1"/>
      <c r="C912" s="1"/>
      <c r="D912" s="1"/>
      <c r="E912" s="71"/>
      <c r="F912" s="1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1"/>
      <c r="B913" s="1"/>
      <c r="C913" s="1"/>
      <c r="D913" s="1"/>
      <c r="E913" s="71"/>
      <c r="F913" s="1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1"/>
      <c r="B914" s="1"/>
      <c r="C914" s="1"/>
      <c r="D914" s="1"/>
      <c r="E914" s="71"/>
      <c r="F914" s="1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1"/>
      <c r="B915" s="1"/>
      <c r="C915" s="1"/>
      <c r="D915" s="1"/>
      <c r="E915" s="71"/>
      <c r="F915" s="1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1"/>
      <c r="B916" s="1"/>
      <c r="C916" s="1"/>
      <c r="D916" s="1"/>
      <c r="E916" s="71"/>
      <c r="F916" s="1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1"/>
      <c r="B917" s="1"/>
      <c r="C917" s="1"/>
      <c r="D917" s="1"/>
      <c r="E917" s="71"/>
      <c r="F917" s="1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1"/>
      <c r="B918" s="1"/>
      <c r="C918" s="1"/>
      <c r="D918" s="1"/>
      <c r="E918" s="71"/>
      <c r="F918" s="1"/>
      <c r="G918" s="2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1"/>
      <c r="B919" s="1"/>
      <c r="C919" s="1"/>
      <c r="D919" s="1"/>
      <c r="E919" s="71"/>
      <c r="F919" s="1"/>
      <c r="G919" s="2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1"/>
      <c r="B920" s="1"/>
      <c r="C920" s="1"/>
      <c r="D920" s="1"/>
      <c r="E920" s="71"/>
      <c r="F920" s="1"/>
      <c r="G920" s="2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1"/>
      <c r="B921" s="1"/>
      <c r="C921" s="1"/>
      <c r="D921" s="1"/>
      <c r="E921" s="71"/>
      <c r="F921" s="1"/>
      <c r="G921" s="2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1"/>
      <c r="B922" s="1"/>
      <c r="C922" s="1"/>
      <c r="D922" s="1"/>
      <c r="E922" s="71"/>
      <c r="F922" s="1"/>
      <c r="G922" s="2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1"/>
      <c r="B923" s="1"/>
      <c r="C923" s="1"/>
      <c r="D923" s="1"/>
      <c r="E923" s="71"/>
      <c r="F923" s="1"/>
      <c r="G923" s="2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1"/>
      <c r="B924" s="1"/>
      <c r="C924" s="1"/>
      <c r="D924" s="1"/>
      <c r="E924" s="71"/>
      <c r="F924" s="1"/>
      <c r="G924" s="2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1"/>
      <c r="B925" s="1"/>
      <c r="C925" s="1"/>
      <c r="D925" s="1"/>
      <c r="E925" s="71"/>
      <c r="F925" s="1"/>
      <c r="G925" s="2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1"/>
      <c r="B926" s="1"/>
      <c r="C926" s="1"/>
      <c r="D926" s="1"/>
      <c r="E926" s="71"/>
      <c r="F926" s="1"/>
      <c r="G926" s="2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1"/>
      <c r="B927" s="1"/>
      <c r="C927" s="1"/>
      <c r="D927" s="1"/>
      <c r="E927" s="71"/>
      <c r="F927" s="1"/>
      <c r="G927" s="2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1"/>
      <c r="B928" s="1"/>
      <c r="C928" s="1"/>
      <c r="D928" s="1"/>
      <c r="E928" s="71"/>
      <c r="F928" s="1"/>
      <c r="G928" s="2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1"/>
      <c r="B929" s="1"/>
      <c r="C929" s="1"/>
      <c r="D929" s="1"/>
      <c r="E929" s="71"/>
      <c r="F929" s="1"/>
      <c r="G929" s="2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1"/>
      <c r="B930" s="1"/>
      <c r="C930" s="1"/>
      <c r="D930" s="1"/>
      <c r="E930" s="71"/>
      <c r="F930" s="1"/>
      <c r="G930" s="2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1"/>
      <c r="B931" s="1"/>
      <c r="C931" s="1"/>
      <c r="D931" s="1"/>
      <c r="E931" s="71"/>
      <c r="F931" s="1"/>
      <c r="G931" s="2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1"/>
      <c r="B932" s="1"/>
      <c r="C932" s="1"/>
      <c r="D932" s="1"/>
      <c r="E932" s="71"/>
      <c r="F932" s="1"/>
      <c r="G932" s="2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1"/>
      <c r="B933" s="1"/>
      <c r="C933" s="1"/>
      <c r="D933" s="1"/>
      <c r="E933" s="71"/>
      <c r="F933" s="1"/>
      <c r="G933" s="2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1"/>
      <c r="B934" s="1"/>
      <c r="C934" s="1"/>
      <c r="D934" s="1"/>
      <c r="E934" s="71"/>
      <c r="F934" s="1"/>
      <c r="G934" s="2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1"/>
      <c r="B935" s="1"/>
      <c r="C935" s="1"/>
      <c r="D935" s="1"/>
      <c r="E935" s="71"/>
      <c r="F935" s="1"/>
      <c r="G935" s="2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1"/>
      <c r="B936" s="1"/>
      <c r="C936" s="1"/>
      <c r="D936" s="1"/>
      <c r="E936" s="71"/>
      <c r="F936" s="1"/>
      <c r="G936" s="2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1"/>
      <c r="B937" s="1"/>
      <c r="C937" s="1"/>
      <c r="D937" s="1"/>
      <c r="E937" s="71"/>
      <c r="F937" s="1"/>
      <c r="G937" s="2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1"/>
      <c r="B938" s="1"/>
      <c r="C938" s="1"/>
      <c r="D938" s="1"/>
      <c r="E938" s="71"/>
      <c r="F938" s="1"/>
      <c r="G938" s="2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1"/>
      <c r="B939" s="1"/>
      <c r="C939" s="1"/>
      <c r="D939" s="1"/>
      <c r="E939" s="71"/>
      <c r="F939" s="1"/>
      <c r="G939" s="2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1"/>
      <c r="B940" s="1"/>
      <c r="C940" s="1"/>
      <c r="D940" s="1"/>
      <c r="E940" s="71"/>
      <c r="F940" s="1"/>
      <c r="G940" s="2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1"/>
      <c r="B941" s="1"/>
      <c r="C941" s="1"/>
      <c r="D941" s="1"/>
      <c r="E941" s="71"/>
      <c r="F941" s="1"/>
      <c r="G941" s="2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1"/>
      <c r="B942" s="1"/>
      <c r="C942" s="1"/>
      <c r="D942" s="1"/>
      <c r="E942" s="71"/>
      <c r="F942" s="1"/>
      <c r="G942" s="2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1"/>
      <c r="B943" s="1"/>
      <c r="C943" s="1"/>
      <c r="D943" s="1"/>
      <c r="E943" s="71"/>
      <c r="F943" s="1"/>
      <c r="G943" s="2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1"/>
      <c r="B944" s="1"/>
      <c r="C944" s="1"/>
      <c r="D944" s="1"/>
      <c r="E944" s="71"/>
      <c r="F944" s="1"/>
      <c r="G944" s="2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1"/>
      <c r="B945" s="1"/>
      <c r="C945" s="1"/>
      <c r="D945" s="1"/>
      <c r="E945" s="71"/>
      <c r="F945" s="1"/>
      <c r="G945" s="2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1"/>
      <c r="B946" s="1"/>
      <c r="C946" s="1"/>
      <c r="D946" s="1"/>
      <c r="E946" s="71"/>
      <c r="F946" s="1"/>
      <c r="G946" s="2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1"/>
      <c r="B947" s="1"/>
      <c r="C947" s="1"/>
      <c r="D947" s="1"/>
      <c r="E947" s="71"/>
      <c r="F947" s="1"/>
      <c r="G947" s="2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1"/>
      <c r="B948" s="1"/>
      <c r="C948" s="1"/>
      <c r="D948" s="1"/>
      <c r="E948" s="71"/>
      <c r="F948" s="1"/>
      <c r="G948" s="2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1"/>
      <c r="B949" s="1"/>
      <c r="C949" s="1"/>
      <c r="D949" s="1"/>
      <c r="E949" s="71"/>
      <c r="F949" s="1"/>
      <c r="G949" s="2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1"/>
      <c r="B950" s="1"/>
      <c r="C950" s="1"/>
      <c r="D950" s="1"/>
      <c r="E950" s="71"/>
      <c r="F950" s="1"/>
      <c r="G950" s="2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1"/>
      <c r="B951" s="1"/>
      <c r="C951" s="1"/>
      <c r="D951" s="1"/>
      <c r="E951" s="71"/>
      <c r="F951" s="1"/>
      <c r="G951" s="2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1"/>
      <c r="B952" s="1"/>
      <c r="C952" s="1"/>
      <c r="D952" s="1"/>
      <c r="E952" s="71"/>
      <c r="F952" s="1"/>
      <c r="G952" s="2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1"/>
      <c r="B953" s="1"/>
      <c r="C953" s="1"/>
      <c r="D953" s="1"/>
      <c r="E953" s="71"/>
      <c r="F953" s="1"/>
      <c r="G953" s="2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1"/>
      <c r="B954" s="1"/>
      <c r="C954" s="1"/>
      <c r="D954" s="1"/>
      <c r="E954" s="71"/>
      <c r="F954" s="1"/>
      <c r="G954" s="2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1"/>
      <c r="B955" s="1"/>
      <c r="C955" s="1"/>
      <c r="D955" s="1"/>
      <c r="E955" s="71"/>
      <c r="F955" s="1"/>
      <c r="G955" s="2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1"/>
      <c r="B956" s="1"/>
      <c r="C956" s="1"/>
      <c r="D956" s="1"/>
      <c r="E956" s="71"/>
      <c r="F956" s="1"/>
      <c r="G956" s="2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1"/>
      <c r="B957" s="1"/>
      <c r="C957" s="1"/>
      <c r="D957" s="1"/>
      <c r="E957" s="71"/>
      <c r="F957" s="1"/>
      <c r="G957" s="2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1"/>
      <c r="B958" s="1"/>
      <c r="C958" s="1"/>
      <c r="D958" s="1"/>
      <c r="E958" s="71"/>
      <c r="F958" s="1"/>
      <c r="G958" s="2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1"/>
      <c r="B959" s="1"/>
      <c r="C959" s="1"/>
      <c r="D959" s="1"/>
      <c r="E959" s="71"/>
      <c r="F959" s="1"/>
      <c r="G959" s="2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1"/>
      <c r="B960" s="1"/>
      <c r="C960" s="1"/>
      <c r="D960" s="1"/>
      <c r="E960" s="71"/>
      <c r="F960" s="1"/>
      <c r="G960" s="2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1"/>
      <c r="B961" s="1"/>
      <c r="C961" s="1"/>
      <c r="D961" s="1"/>
      <c r="E961" s="71"/>
      <c r="F961" s="1"/>
      <c r="G961" s="2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1"/>
      <c r="B962" s="1"/>
      <c r="C962" s="1"/>
      <c r="D962" s="1"/>
      <c r="E962" s="71"/>
      <c r="F962" s="1"/>
      <c r="G962" s="2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1"/>
      <c r="B963" s="1"/>
      <c r="C963" s="1"/>
      <c r="D963" s="1"/>
      <c r="E963" s="71"/>
      <c r="F963" s="1"/>
      <c r="G963" s="2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1"/>
      <c r="B964" s="1"/>
      <c r="C964" s="1"/>
      <c r="D964" s="1"/>
      <c r="E964" s="71"/>
      <c r="F964" s="1"/>
      <c r="G964" s="2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1"/>
      <c r="B965" s="1"/>
      <c r="C965" s="1"/>
      <c r="D965" s="1"/>
      <c r="E965" s="71"/>
      <c r="F965" s="1"/>
      <c r="G965" s="2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1"/>
      <c r="B966" s="1"/>
      <c r="C966" s="1"/>
      <c r="D966" s="1"/>
      <c r="E966" s="71"/>
      <c r="F966" s="1"/>
      <c r="G966" s="2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1"/>
      <c r="B967" s="1"/>
      <c r="C967" s="1"/>
      <c r="D967" s="1"/>
      <c r="E967" s="71"/>
      <c r="F967" s="1"/>
      <c r="G967" s="2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1"/>
      <c r="B968" s="1"/>
      <c r="C968" s="1"/>
      <c r="D968" s="1"/>
      <c r="E968" s="71"/>
      <c r="F968" s="1"/>
      <c r="G968" s="2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1"/>
      <c r="B969" s="1"/>
      <c r="C969" s="1"/>
      <c r="D969" s="1"/>
      <c r="E969" s="71"/>
      <c r="F969" s="1"/>
      <c r="G969" s="2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1"/>
      <c r="B970" s="1"/>
      <c r="C970" s="1"/>
      <c r="D970" s="1"/>
      <c r="E970" s="71"/>
      <c r="F970" s="1"/>
      <c r="G970" s="2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1"/>
      <c r="B971" s="1"/>
      <c r="C971" s="1"/>
      <c r="D971" s="1"/>
      <c r="E971" s="71"/>
      <c r="F971" s="1"/>
      <c r="G971" s="2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1"/>
      <c r="B972" s="1"/>
      <c r="C972" s="1"/>
      <c r="D972" s="1"/>
      <c r="E972" s="71"/>
      <c r="F972" s="1"/>
      <c r="G972" s="2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1"/>
      <c r="B973" s="1"/>
      <c r="C973" s="1"/>
      <c r="D973" s="1"/>
      <c r="E973" s="71"/>
      <c r="F973" s="1"/>
      <c r="G973" s="2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1"/>
      <c r="B974" s="1"/>
      <c r="C974" s="1"/>
      <c r="D974" s="1"/>
      <c r="E974" s="71"/>
      <c r="F974" s="1"/>
      <c r="G974" s="2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1"/>
      <c r="B975" s="1"/>
      <c r="C975" s="1"/>
      <c r="D975" s="1"/>
      <c r="E975" s="71"/>
      <c r="F975" s="1"/>
      <c r="G975" s="2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1"/>
      <c r="B976" s="1"/>
      <c r="C976" s="1"/>
      <c r="D976" s="1"/>
      <c r="E976" s="71"/>
      <c r="F976" s="1"/>
      <c r="G976" s="2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1"/>
      <c r="B977" s="1"/>
      <c r="C977" s="1"/>
      <c r="D977" s="1"/>
      <c r="E977" s="71"/>
      <c r="F977" s="1"/>
      <c r="G977" s="2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1"/>
      <c r="B978" s="1"/>
      <c r="C978" s="1"/>
      <c r="D978" s="1"/>
      <c r="E978" s="71"/>
      <c r="F978" s="1"/>
      <c r="G978" s="2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1"/>
      <c r="B979" s="1"/>
      <c r="C979" s="1"/>
      <c r="D979" s="1"/>
      <c r="E979" s="71"/>
      <c r="F979" s="1"/>
      <c r="G979" s="2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1"/>
      <c r="B980" s="1"/>
      <c r="C980" s="1"/>
      <c r="D980" s="1"/>
      <c r="E980" s="71"/>
      <c r="F980" s="1"/>
      <c r="G980" s="2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1"/>
      <c r="B981" s="1"/>
      <c r="C981" s="1"/>
      <c r="D981" s="1"/>
      <c r="E981" s="71"/>
      <c r="F981" s="1"/>
      <c r="G981" s="2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1"/>
      <c r="B982" s="1"/>
      <c r="C982" s="1"/>
      <c r="D982" s="1"/>
      <c r="E982" s="71"/>
      <c r="F982" s="1"/>
      <c r="G982" s="2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1"/>
      <c r="B983" s="1"/>
      <c r="C983" s="1"/>
      <c r="D983" s="1"/>
      <c r="E983" s="71"/>
      <c r="F983" s="1"/>
      <c r="G983" s="2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1"/>
      <c r="B984" s="1"/>
      <c r="C984" s="1"/>
      <c r="D984" s="1"/>
      <c r="E984" s="71"/>
      <c r="F984" s="1"/>
      <c r="G984" s="2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1"/>
      <c r="B985" s="1"/>
      <c r="C985" s="1"/>
      <c r="D985" s="1"/>
      <c r="E985" s="71"/>
      <c r="F985" s="1"/>
      <c r="G985" s="2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1"/>
      <c r="B986" s="1"/>
      <c r="C986" s="1"/>
      <c r="D986" s="1"/>
      <c r="E986" s="71"/>
      <c r="F986" s="1"/>
      <c r="G986" s="2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1"/>
      <c r="B987" s="1"/>
      <c r="C987" s="1"/>
      <c r="D987" s="1"/>
      <c r="E987" s="71"/>
      <c r="F987" s="1"/>
      <c r="G987" s="2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1"/>
      <c r="B988" s="1"/>
      <c r="C988" s="1"/>
      <c r="D988" s="1"/>
      <c r="E988" s="71"/>
      <c r="F988" s="1"/>
      <c r="G988" s="2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1"/>
      <c r="B989" s="1"/>
      <c r="C989" s="1"/>
      <c r="D989" s="1"/>
      <c r="E989" s="71"/>
      <c r="F989" s="1"/>
      <c r="G989" s="2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1"/>
      <c r="B990" s="1"/>
      <c r="C990" s="1"/>
      <c r="D990" s="1"/>
      <c r="E990" s="71"/>
      <c r="F990" s="1"/>
      <c r="G990" s="2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1"/>
      <c r="B991" s="1"/>
      <c r="C991" s="1"/>
      <c r="D991" s="1"/>
      <c r="E991" s="71"/>
      <c r="F991" s="1"/>
      <c r="G991" s="2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1"/>
      <c r="B992" s="1"/>
      <c r="C992" s="1"/>
      <c r="D992" s="1"/>
      <c r="E992" s="71"/>
      <c r="F992" s="1"/>
      <c r="G992" s="2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1"/>
      <c r="B993" s="1"/>
      <c r="C993" s="1"/>
      <c r="D993" s="1"/>
      <c r="E993" s="71"/>
      <c r="F993" s="1"/>
      <c r="G993" s="2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1"/>
      <c r="B994" s="1"/>
      <c r="C994" s="1"/>
      <c r="D994" s="1"/>
      <c r="E994" s="71"/>
      <c r="F994" s="1"/>
      <c r="G994" s="2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1"/>
      <c r="B995" s="1"/>
      <c r="C995" s="1"/>
      <c r="D995" s="1"/>
      <c r="E995" s="71"/>
      <c r="F995" s="1"/>
      <c r="G995" s="2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1"/>
      <c r="B996" s="1"/>
      <c r="C996" s="1"/>
      <c r="D996" s="1"/>
      <c r="E996" s="71"/>
      <c r="F996" s="1"/>
      <c r="G996" s="2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1"/>
      <c r="B997" s="1"/>
      <c r="C997" s="1"/>
      <c r="D997" s="1"/>
      <c r="E997" s="71"/>
      <c r="F997" s="1"/>
      <c r="G997" s="2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1"/>
      <c r="B998" s="1"/>
      <c r="C998" s="1"/>
      <c r="D998" s="1"/>
      <c r="E998" s="71"/>
      <c r="F998" s="1"/>
      <c r="G998" s="2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1"/>
      <c r="B999" s="1"/>
      <c r="C999" s="1"/>
      <c r="D999" s="1"/>
      <c r="E999" s="71"/>
      <c r="F999" s="1"/>
      <c r="G999" s="2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1"/>
      <c r="B1000" s="1"/>
      <c r="C1000" s="1"/>
      <c r="D1000" s="1"/>
      <c r="E1000" s="71"/>
      <c r="F1000" s="1"/>
      <c r="G1000" s="2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>
      <c r="A1001" s="1"/>
      <c r="B1001" s="1"/>
      <c r="C1001" s="1"/>
      <c r="D1001" s="1"/>
      <c r="E1001" s="71"/>
      <c r="F1001" s="1"/>
      <c r="G1001" s="2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customHeight="1">
      <c r="A1002" s="1"/>
      <c r="B1002" s="1"/>
      <c r="C1002" s="1"/>
      <c r="D1002" s="1"/>
      <c r="E1002" s="71"/>
      <c r="F1002" s="1"/>
      <c r="G1002" s="2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customHeight="1">
      <c r="A1003" s="1"/>
      <c r="B1003" s="1"/>
      <c r="C1003" s="1"/>
      <c r="D1003" s="1"/>
      <c r="E1003" s="71"/>
      <c r="F1003" s="1"/>
      <c r="G1003" s="2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>
      <c r="A1004" s="1"/>
      <c r="B1004" s="1"/>
      <c r="C1004" s="1"/>
      <c r="D1004" s="1"/>
      <c r="E1004" s="71"/>
      <c r="F1004" s="1"/>
      <c r="G1004" s="2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>
      <c r="A1005" s="1"/>
      <c r="B1005" s="1"/>
      <c r="C1005" s="1"/>
      <c r="D1005" s="1"/>
      <c r="E1005" s="71"/>
      <c r="F1005" s="1"/>
      <c r="G1005" s="2"/>
      <c r="H1005" s="1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>
      <c r="A1006" s="1"/>
      <c r="B1006" s="1"/>
      <c r="C1006" s="1"/>
      <c r="D1006" s="1"/>
      <c r="E1006" s="71"/>
      <c r="F1006" s="1"/>
      <c r="G1006" s="2"/>
      <c r="H1006" s="1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>
      <c r="A1007" s="1"/>
      <c r="B1007" s="1"/>
      <c r="C1007" s="1"/>
      <c r="D1007" s="1"/>
      <c r="E1007" s="71"/>
      <c r="F1007" s="1"/>
      <c r="G1007" s="2"/>
      <c r="H1007" s="1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>
      <c r="A1008" s="1"/>
      <c r="B1008" s="1"/>
      <c r="C1008" s="1"/>
      <c r="D1008" s="1"/>
      <c r="E1008" s="71"/>
      <c r="F1008" s="1"/>
      <c r="G1008" s="2"/>
      <c r="H1008" s="1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>
      <c r="A1009" s="1"/>
      <c r="B1009" s="1"/>
      <c r="C1009" s="1"/>
      <c r="D1009" s="1"/>
      <c r="E1009" s="71"/>
      <c r="F1009" s="1"/>
      <c r="G1009" s="2"/>
      <c r="H1009" s="1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>
      <c r="A1010" s="1"/>
      <c r="B1010" s="1"/>
      <c r="C1010" s="1"/>
      <c r="D1010" s="1"/>
      <c r="E1010" s="71"/>
      <c r="F1010" s="1"/>
      <c r="G1010" s="2"/>
      <c r="H1010" s="1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>
      <c r="A1011" s="1"/>
      <c r="B1011" s="1"/>
      <c r="C1011" s="1"/>
      <c r="D1011" s="1"/>
      <c r="E1011" s="71"/>
      <c r="F1011" s="1"/>
      <c r="G1011" s="2"/>
      <c r="H1011" s="1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>
      <c r="A1012" s="1"/>
      <c r="B1012" s="1"/>
      <c r="C1012" s="1"/>
      <c r="D1012" s="1"/>
      <c r="E1012" s="71"/>
      <c r="F1012" s="1"/>
      <c r="G1012" s="2"/>
      <c r="H1012" s="1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>
      <c r="A1013" s="1"/>
      <c r="B1013" s="1"/>
      <c r="C1013" s="1"/>
      <c r="D1013" s="1"/>
      <c r="E1013" s="71"/>
      <c r="F1013" s="1"/>
      <c r="G1013" s="2"/>
      <c r="H1013" s="1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>
      <c r="A1014" s="1"/>
      <c r="B1014" s="1"/>
      <c r="C1014" s="1"/>
      <c r="D1014" s="1"/>
      <c r="E1014" s="71"/>
      <c r="F1014" s="1"/>
      <c r="G1014" s="2"/>
      <c r="H1014" s="1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.25" customHeight="1">
      <c r="A1015" s="1"/>
      <c r="B1015" s="1"/>
      <c r="C1015" s="1"/>
      <c r="D1015" s="1"/>
      <c r="E1015" s="71"/>
      <c r="F1015" s="1"/>
      <c r="G1015" s="2"/>
      <c r="H1015" s="1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.25" customHeight="1">
      <c r="A1016" s="1"/>
      <c r="B1016" s="1"/>
      <c r="C1016" s="1"/>
      <c r="D1016" s="1"/>
      <c r="E1016" s="71"/>
      <c r="F1016" s="1"/>
      <c r="G1016" s="2"/>
      <c r="H1016" s="1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.25" customHeight="1">
      <c r="A1017" s="1"/>
      <c r="B1017" s="1"/>
      <c r="C1017" s="1"/>
      <c r="D1017" s="1"/>
      <c r="E1017" s="71"/>
      <c r="F1017" s="1"/>
      <c r="G1017" s="2"/>
      <c r="H1017" s="1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.25" customHeight="1">
      <c r="A1018" s="1"/>
      <c r="B1018" s="1"/>
      <c r="C1018" s="1"/>
      <c r="D1018" s="1"/>
      <c r="E1018" s="71"/>
      <c r="F1018" s="1"/>
      <c r="G1018" s="2"/>
      <c r="H1018" s="1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.25" customHeight="1">
      <c r="A1019" s="1"/>
      <c r="B1019" s="1"/>
      <c r="C1019" s="1"/>
      <c r="D1019" s="1"/>
      <c r="E1019" s="71"/>
      <c r="F1019" s="1"/>
      <c r="G1019" s="2"/>
      <c r="H1019" s="1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.25" customHeight="1">
      <c r="A1020" s="1"/>
      <c r="B1020" s="1"/>
      <c r="C1020" s="1"/>
      <c r="D1020" s="1"/>
      <c r="E1020" s="71"/>
      <c r="F1020" s="1"/>
      <c r="G1020" s="2"/>
      <c r="H1020" s="1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.25" customHeight="1">
      <c r="A1021" s="1"/>
      <c r="B1021" s="1"/>
      <c r="C1021" s="1"/>
      <c r="D1021" s="1"/>
      <c r="E1021" s="71"/>
      <c r="F1021" s="1"/>
      <c r="G1021" s="2"/>
      <c r="H1021" s="1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.25" customHeight="1">
      <c r="A1022" s="1"/>
      <c r="B1022" s="1"/>
      <c r="C1022" s="1"/>
      <c r="D1022" s="1"/>
      <c r="E1022" s="71"/>
      <c r="F1022" s="1"/>
      <c r="G1022" s="2"/>
      <c r="H1022" s="1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4.25" customHeight="1">
      <c r="A1023" s="1"/>
      <c r="B1023" s="1"/>
      <c r="C1023" s="1"/>
      <c r="D1023" s="1"/>
      <c r="E1023" s="71"/>
      <c r="F1023" s="1"/>
      <c r="G1023" s="2"/>
      <c r="H1023" s="1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4.25" customHeight="1">
      <c r="A1024" s="1"/>
      <c r="B1024" s="1"/>
      <c r="C1024" s="1"/>
      <c r="D1024" s="1"/>
      <c r="E1024" s="71"/>
      <c r="F1024" s="1"/>
      <c r="G1024" s="2"/>
      <c r="H1024" s="1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4.25" customHeight="1">
      <c r="A1025" s="1"/>
      <c r="B1025" s="1"/>
      <c r="C1025" s="1"/>
      <c r="D1025" s="1"/>
      <c r="E1025" s="71"/>
      <c r="F1025" s="1"/>
      <c r="G1025" s="2"/>
      <c r="H1025" s="1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4.25" customHeight="1">
      <c r="A1026" s="1"/>
      <c r="B1026" s="1"/>
      <c r="C1026" s="1"/>
      <c r="D1026" s="1"/>
      <c r="E1026" s="71"/>
      <c r="F1026" s="1"/>
      <c r="G1026" s="2"/>
      <c r="H1026" s="1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4.25" customHeight="1">
      <c r="A1027" s="1"/>
      <c r="B1027" s="1"/>
      <c r="C1027" s="1"/>
      <c r="D1027" s="1"/>
      <c r="E1027" s="71"/>
      <c r="F1027" s="1"/>
      <c r="G1027" s="2"/>
      <c r="H1027" s="1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4.25" customHeight="1">
      <c r="A1028" s="1"/>
      <c r="B1028" s="1"/>
      <c r="C1028" s="1"/>
      <c r="D1028" s="1"/>
      <c r="E1028" s="71"/>
      <c r="F1028" s="1"/>
      <c r="G1028" s="2"/>
      <c r="H1028" s="1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4.25" customHeight="1">
      <c r="A1029" s="1"/>
      <c r="B1029" s="1"/>
      <c r="C1029" s="1"/>
      <c r="D1029" s="1"/>
      <c r="E1029" s="71"/>
      <c r="F1029" s="1"/>
      <c r="G1029" s="2"/>
      <c r="H1029" s="1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4.25" customHeight="1">
      <c r="A1030" s="1"/>
      <c r="B1030" s="1"/>
      <c r="C1030" s="1"/>
      <c r="D1030" s="1"/>
      <c r="E1030" s="71"/>
      <c r="F1030" s="1"/>
      <c r="G1030" s="2"/>
      <c r="H1030" s="1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4.25" customHeight="1">
      <c r="A1031" s="1"/>
      <c r="B1031" s="1"/>
      <c r="C1031" s="1"/>
      <c r="D1031" s="1"/>
      <c r="E1031" s="71"/>
      <c r="F1031" s="1"/>
      <c r="G1031" s="2"/>
      <c r="H1031" s="1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4.25" customHeight="1">
      <c r="A1032" s="1"/>
      <c r="B1032" s="1"/>
      <c r="C1032" s="1"/>
      <c r="D1032" s="1"/>
      <c r="E1032" s="71"/>
      <c r="F1032" s="1"/>
      <c r="G1032" s="2"/>
      <c r="H1032" s="1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4.25" customHeight="1">
      <c r="A1033" s="1"/>
      <c r="B1033" s="1"/>
      <c r="C1033" s="1"/>
      <c r="D1033" s="1"/>
      <c r="E1033" s="71"/>
      <c r="F1033" s="1"/>
      <c r="G1033" s="2"/>
      <c r="H1033" s="1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.25" customHeight="1">
      <c r="A1034" s="1"/>
      <c r="B1034" s="1"/>
      <c r="C1034" s="1"/>
      <c r="D1034" s="1"/>
      <c r="E1034" s="71"/>
      <c r="F1034" s="1"/>
      <c r="G1034" s="2"/>
      <c r="H1034" s="1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4.25" customHeight="1">
      <c r="A1035" s="1"/>
      <c r="B1035" s="1"/>
      <c r="C1035" s="1"/>
      <c r="D1035" s="1"/>
      <c r="E1035" s="71"/>
      <c r="F1035" s="1"/>
      <c r="G1035" s="2"/>
      <c r="H1035" s="1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4.25" customHeight="1">
      <c r="A1036" s="1"/>
      <c r="B1036" s="1"/>
      <c r="C1036" s="1"/>
      <c r="D1036" s="1"/>
      <c r="E1036" s="71"/>
      <c r="F1036" s="1"/>
      <c r="G1036" s="2"/>
      <c r="H1036" s="1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4.25" customHeight="1">
      <c r="A1037" s="1"/>
      <c r="B1037" s="1"/>
      <c r="C1037" s="1"/>
      <c r="D1037" s="1"/>
      <c r="E1037" s="71"/>
      <c r="F1037" s="1"/>
      <c r="G1037" s="2"/>
      <c r="H1037" s="1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4.25" customHeight="1">
      <c r="A1038" s="1"/>
      <c r="B1038" s="1"/>
      <c r="C1038" s="1"/>
      <c r="D1038" s="1"/>
      <c r="E1038" s="71"/>
      <c r="F1038" s="1"/>
      <c r="G1038" s="2"/>
      <c r="H1038" s="1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4.25" customHeight="1">
      <c r="A1039" s="1"/>
      <c r="B1039" s="1"/>
      <c r="C1039" s="1"/>
      <c r="D1039" s="1"/>
      <c r="E1039" s="71"/>
      <c r="F1039" s="1"/>
      <c r="G1039" s="2"/>
      <c r="H1039" s="1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4.25" customHeight="1">
      <c r="A1040" s="1"/>
      <c r="B1040" s="1"/>
      <c r="C1040" s="1"/>
      <c r="D1040" s="1"/>
      <c r="E1040" s="71"/>
      <c r="F1040" s="1"/>
      <c r="G1040" s="2"/>
      <c r="H1040" s="1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4.25" customHeight="1">
      <c r="A1041" s="1"/>
      <c r="B1041" s="1"/>
      <c r="C1041" s="1"/>
      <c r="D1041" s="1"/>
      <c r="E1041" s="71"/>
      <c r="F1041" s="1"/>
      <c r="G1041" s="2"/>
      <c r="H1041" s="1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4.25" customHeight="1">
      <c r="A1042" s="1"/>
      <c r="B1042" s="1"/>
      <c r="C1042" s="1"/>
      <c r="D1042" s="1"/>
      <c r="E1042" s="71"/>
      <c r="F1042" s="1"/>
      <c r="G1042" s="2"/>
      <c r="H1042" s="1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4.25" customHeight="1">
      <c r="A1043" s="1"/>
      <c r="B1043" s="1"/>
      <c r="C1043" s="1"/>
      <c r="D1043" s="1"/>
      <c r="E1043" s="71"/>
      <c r="F1043" s="1"/>
      <c r="G1043" s="2"/>
      <c r="H1043" s="1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.25" customHeight="1">
      <c r="A1044" s="1"/>
      <c r="B1044" s="1"/>
      <c r="C1044" s="1"/>
      <c r="D1044" s="1"/>
      <c r="E1044" s="71"/>
      <c r="F1044" s="1"/>
      <c r="G1044" s="2"/>
      <c r="H1044" s="1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.25" customHeight="1">
      <c r="A1045" s="1"/>
      <c r="B1045" s="1"/>
      <c r="C1045" s="1"/>
      <c r="D1045" s="1"/>
      <c r="E1045" s="71"/>
      <c r="F1045" s="1"/>
      <c r="G1045" s="2"/>
      <c r="H1045" s="1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.25" customHeight="1">
      <c r="A1046" s="1"/>
      <c r="B1046" s="1"/>
      <c r="C1046" s="1"/>
      <c r="D1046" s="1"/>
      <c r="E1046" s="71"/>
      <c r="F1046" s="1"/>
      <c r="G1046" s="2"/>
      <c r="H1046" s="1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.25" customHeight="1">
      <c r="A1047" s="1"/>
      <c r="B1047" s="1"/>
      <c r="C1047" s="1"/>
      <c r="D1047" s="1"/>
      <c r="E1047" s="71"/>
      <c r="F1047" s="1"/>
      <c r="G1047" s="2"/>
      <c r="H1047" s="1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.25" customHeight="1">
      <c r="A1048" s="1"/>
      <c r="B1048" s="1"/>
      <c r="C1048" s="1"/>
      <c r="D1048" s="1"/>
      <c r="E1048" s="71"/>
      <c r="F1048" s="1"/>
      <c r="G1048" s="2"/>
      <c r="H1048" s="1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.25" customHeight="1">
      <c r="A1049" s="1"/>
      <c r="B1049" s="1"/>
      <c r="C1049" s="1"/>
      <c r="D1049" s="1"/>
      <c r="E1049" s="71"/>
      <c r="F1049" s="1"/>
      <c r="G1049" s="2"/>
      <c r="H1049" s="1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.25" customHeight="1">
      <c r="A1050" s="1"/>
      <c r="B1050" s="1"/>
      <c r="C1050" s="1"/>
      <c r="D1050" s="1"/>
      <c r="E1050" s="71"/>
      <c r="F1050" s="1"/>
      <c r="G1050" s="2"/>
      <c r="H1050" s="1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.25" customHeight="1">
      <c r="A1051" s="1"/>
      <c r="B1051" s="1"/>
      <c r="C1051" s="1"/>
      <c r="D1051" s="1"/>
      <c r="E1051" s="71"/>
      <c r="F1051" s="1"/>
      <c r="G1051" s="2"/>
      <c r="H1051" s="1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.25" customHeight="1">
      <c r="A1052" s="1"/>
      <c r="B1052" s="1"/>
      <c r="C1052" s="1"/>
      <c r="D1052" s="1"/>
      <c r="E1052" s="71"/>
      <c r="F1052" s="1"/>
      <c r="G1052" s="2"/>
      <c r="H1052" s="1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.25" customHeight="1">
      <c r="A1053" s="1"/>
      <c r="B1053" s="1"/>
      <c r="C1053" s="1"/>
      <c r="D1053" s="1"/>
      <c r="E1053" s="71"/>
      <c r="F1053" s="1"/>
      <c r="G1053" s="2"/>
      <c r="H1053" s="1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.25" customHeight="1">
      <c r="A1054" s="1"/>
      <c r="B1054" s="1"/>
      <c r="C1054" s="1"/>
      <c r="D1054" s="1"/>
      <c r="E1054" s="71"/>
      <c r="F1054" s="1"/>
      <c r="G1054" s="2"/>
      <c r="H1054" s="1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.25" customHeight="1">
      <c r="A1055" s="1"/>
      <c r="B1055" s="1"/>
      <c r="C1055" s="1"/>
      <c r="D1055" s="1"/>
      <c r="E1055" s="71"/>
      <c r="F1055" s="1"/>
      <c r="G1055" s="2"/>
      <c r="H1055" s="1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.25" customHeight="1">
      <c r="A1056" s="1"/>
      <c r="B1056" s="1"/>
      <c r="C1056" s="1"/>
      <c r="D1056" s="1"/>
      <c r="E1056" s="71"/>
      <c r="F1056" s="1"/>
      <c r="G1056" s="2"/>
      <c r="H1056" s="1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.25" customHeight="1">
      <c r="A1057" s="1"/>
      <c r="B1057" s="1"/>
      <c r="C1057" s="1"/>
      <c r="D1057" s="1"/>
      <c r="E1057" s="71"/>
      <c r="F1057" s="1"/>
      <c r="G1057" s="2"/>
      <c r="H1057" s="1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4.25" customHeight="1">
      <c r="A1058" s="1"/>
      <c r="B1058" s="1"/>
      <c r="C1058" s="1"/>
      <c r="D1058" s="1"/>
      <c r="E1058" s="71"/>
      <c r="F1058" s="1"/>
      <c r="G1058" s="2"/>
      <c r="H1058" s="1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4.25" customHeight="1">
      <c r="A1059" s="1"/>
      <c r="B1059" s="1"/>
      <c r="C1059" s="1"/>
      <c r="D1059" s="1"/>
      <c r="E1059" s="71"/>
      <c r="F1059" s="1"/>
      <c r="G1059" s="2"/>
      <c r="H1059" s="1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4.25" customHeight="1">
      <c r="A1060" s="1"/>
      <c r="B1060" s="1"/>
      <c r="C1060" s="1"/>
      <c r="D1060" s="1"/>
      <c r="E1060" s="71"/>
      <c r="F1060" s="1"/>
      <c r="G1060" s="2"/>
      <c r="H1060" s="1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4.25" customHeight="1">
      <c r="A1061" s="1"/>
      <c r="B1061" s="1"/>
      <c r="C1061" s="1"/>
      <c r="D1061" s="1"/>
      <c r="E1061" s="71"/>
      <c r="F1061" s="1"/>
      <c r="G1061" s="2"/>
      <c r="H1061" s="1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4.25" customHeight="1">
      <c r="A1062" s="1"/>
      <c r="B1062" s="1"/>
      <c r="C1062" s="1"/>
      <c r="D1062" s="1"/>
      <c r="E1062" s="71"/>
      <c r="F1062" s="1"/>
      <c r="G1062" s="2"/>
      <c r="H1062" s="1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4.25" customHeight="1">
      <c r="A1063" s="1"/>
      <c r="B1063" s="1"/>
      <c r="C1063" s="1"/>
      <c r="D1063" s="1"/>
      <c r="E1063" s="71"/>
      <c r="F1063" s="1"/>
      <c r="G1063" s="2"/>
      <c r="H1063" s="1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4.25" customHeight="1">
      <c r="A1064" s="1"/>
      <c r="B1064" s="1"/>
      <c r="C1064" s="1"/>
      <c r="D1064" s="1"/>
      <c r="E1064" s="71"/>
      <c r="F1064" s="1"/>
      <c r="G1064" s="2"/>
      <c r="H1064" s="1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4.25" customHeight="1">
      <c r="A1065" s="1"/>
      <c r="B1065" s="1"/>
      <c r="C1065" s="1"/>
      <c r="D1065" s="1"/>
      <c r="E1065" s="71"/>
      <c r="F1065" s="1"/>
      <c r="G1065" s="2"/>
      <c r="H1065" s="1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4.25" customHeight="1">
      <c r="A1066" s="1"/>
      <c r="B1066" s="1"/>
      <c r="C1066" s="1"/>
      <c r="D1066" s="1"/>
      <c r="E1066" s="71"/>
      <c r="F1066" s="1"/>
      <c r="G1066" s="2"/>
      <c r="H1066" s="1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4.25" customHeight="1">
      <c r="A1067" s="1"/>
      <c r="B1067" s="1"/>
      <c r="C1067" s="1"/>
      <c r="D1067" s="1"/>
      <c r="E1067" s="71"/>
      <c r="F1067" s="1"/>
      <c r="G1067" s="2"/>
      <c r="H1067" s="1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4.25" customHeight="1">
      <c r="A1068" s="1"/>
      <c r="B1068" s="1"/>
      <c r="C1068" s="1"/>
      <c r="D1068" s="1"/>
      <c r="E1068" s="71"/>
      <c r="F1068" s="1"/>
      <c r="G1068" s="2"/>
      <c r="H1068" s="1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4.25" customHeight="1">
      <c r="A1069" s="1"/>
      <c r="B1069" s="1"/>
      <c r="C1069" s="1"/>
      <c r="D1069" s="1"/>
      <c r="E1069" s="71"/>
      <c r="F1069" s="1"/>
      <c r="G1069" s="2"/>
      <c r="H1069" s="1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4.25" customHeight="1">
      <c r="A1070" s="1"/>
      <c r="B1070" s="1"/>
      <c r="C1070" s="1"/>
      <c r="D1070" s="1"/>
      <c r="E1070" s="71"/>
      <c r="F1070" s="1"/>
      <c r="G1070" s="2"/>
      <c r="H1070" s="1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4.25" customHeight="1">
      <c r="A1071" s="1"/>
      <c r="B1071" s="1"/>
      <c r="C1071" s="1"/>
      <c r="D1071" s="1"/>
      <c r="E1071" s="71"/>
      <c r="F1071" s="1"/>
      <c r="G1071" s="2"/>
      <c r="H1071" s="1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4.25" customHeight="1">
      <c r="A1072" s="1"/>
      <c r="B1072" s="1"/>
      <c r="C1072" s="1"/>
      <c r="D1072" s="1"/>
      <c r="E1072" s="71"/>
      <c r="F1072" s="1"/>
      <c r="G1072" s="2"/>
      <c r="H1072" s="1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4.25" customHeight="1">
      <c r="A1073" s="1"/>
      <c r="B1073" s="1"/>
      <c r="C1073" s="1"/>
      <c r="D1073" s="1"/>
      <c r="E1073" s="71"/>
      <c r="F1073" s="1"/>
      <c r="G1073" s="2"/>
      <c r="H1073" s="1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4.25" customHeight="1">
      <c r="A1074" s="1"/>
      <c r="B1074" s="1"/>
      <c r="C1074" s="1"/>
      <c r="D1074" s="1"/>
      <c r="E1074" s="71"/>
      <c r="F1074" s="1"/>
      <c r="G1074" s="2"/>
      <c r="H1074" s="1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4.25" customHeight="1">
      <c r="A1075" s="1"/>
      <c r="B1075" s="1"/>
      <c r="C1075" s="1"/>
      <c r="D1075" s="1"/>
      <c r="E1075" s="71"/>
      <c r="F1075" s="1"/>
      <c r="G1075" s="2"/>
      <c r="H1075" s="1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4.25" customHeight="1">
      <c r="A1076" s="1"/>
      <c r="B1076" s="1"/>
      <c r="C1076" s="1"/>
      <c r="D1076" s="1"/>
      <c r="E1076" s="71"/>
      <c r="F1076" s="1"/>
      <c r="G1076" s="2"/>
      <c r="H1076" s="1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4.25" customHeight="1">
      <c r="A1077" s="1"/>
      <c r="B1077" s="1"/>
      <c r="C1077" s="1"/>
      <c r="D1077" s="1"/>
      <c r="E1077" s="71"/>
      <c r="F1077" s="1"/>
      <c r="G1077" s="2"/>
      <c r="H1077" s="1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4.25" customHeight="1">
      <c r="A1078" s="1"/>
      <c r="B1078" s="1"/>
      <c r="C1078" s="1"/>
      <c r="D1078" s="1"/>
      <c r="E1078" s="71"/>
      <c r="F1078" s="1"/>
      <c r="G1078" s="2"/>
      <c r="H1078" s="1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4.25" customHeight="1">
      <c r="A1079" s="1"/>
      <c r="B1079" s="1"/>
      <c r="C1079" s="1"/>
      <c r="D1079" s="1"/>
      <c r="E1079" s="71"/>
      <c r="F1079" s="1"/>
      <c r="G1079" s="2"/>
      <c r="H1079" s="1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4.25" customHeight="1">
      <c r="A1080" s="1"/>
      <c r="B1080" s="1"/>
      <c r="C1080" s="1"/>
      <c r="D1080" s="1"/>
      <c r="E1080" s="71"/>
      <c r="F1080" s="1"/>
      <c r="G1080" s="2"/>
      <c r="H1080" s="1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4.25" customHeight="1">
      <c r="A1081" s="1"/>
      <c r="B1081" s="1"/>
      <c r="C1081" s="1"/>
      <c r="D1081" s="1"/>
      <c r="E1081" s="71"/>
      <c r="F1081" s="1"/>
      <c r="G1081" s="2"/>
      <c r="H1081" s="1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</sheetData>
  <autoFilter ref="A1:I190" xr:uid="{00000000-0009-0000-0000-000000000000}"/>
  <customSheetViews>
    <customSheetView guid="{E409D896-73B5-4FCE-A06F-92D6136D2182}" filter="1" showAutoFilter="1">
      <pageMargins left="0.7" right="0.7" top="0.75" bottom="0.75" header="0.3" footer="0.3"/>
      <autoFilter ref="A1:I190" xr:uid="{B214BCBB-6B39-4467-B9CE-73ADBAC4DEA4}"/>
      <extLst>
        <ext uri="GoogleSheetsCustomDataVersion1">
          <go:sheetsCustomData xmlns:go="http://customooxmlschemas.google.com/" filterViewId="1099748258"/>
        </ext>
      </extLst>
    </customSheetView>
    <customSheetView guid="{2A2E44CE-7ABE-4A6F-A32C-C7CC4EA86B70}" filter="1" showAutoFilter="1">
      <pageMargins left="0.7" right="0.7" top="0.75" bottom="0.75" header="0.3" footer="0.3"/>
      <autoFilter ref="A1:I190" xr:uid="{A9F1145A-E376-4922-9F4B-99EA4CBC1831}"/>
      <extLst>
        <ext uri="GoogleSheetsCustomDataVersion1">
          <go:sheetsCustomData xmlns:go="http://customooxmlschemas.google.com/" filterViewId="1387988955"/>
        </ext>
      </extLst>
    </customSheetView>
    <customSheetView guid="{DBCA2985-35F2-4396-AB82-C941F4730697}" filter="1" showAutoFilter="1">
      <pageMargins left="0.7" right="0.7" top="0.75" bottom="0.75" header="0.3" footer="0.3"/>
      <autoFilter ref="A1:I190" xr:uid="{4DA54CA3-8825-4EF9-821F-8B682DCC0296}"/>
      <extLst>
        <ext uri="GoogleSheetsCustomDataVersion1">
          <go:sheetsCustomData xmlns:go="http://customooxmlschemas.google.com/" filterViewId="1461397787"/>
        </ext>
      </extLst>
    </customSheetView>
    <customSheetView guid="{C5940691-FD20-41D8-B708-F6F6E60B4EBD}" filter="1" showAutoFilter="1">
      <pageMargins left="0.7" right="0.7" top="0.75" bottom="0.75" header="0.3" footer="0.3"/>
      <autoFilter ref="A1:I190" xr:uid="{32CE8AA6-3B71-46C3-914E-7F342BB9E180}"/>
      <extLst>
        <ext uri="GoogleSheetsCustomDataVersion1">
          <go:sheetsCustomData xmlns:go="http://customooxmlschemas.google.com/" filterViewId="889991636"/>
        </ext>
      </extLst>
    </customSheetView>
  </customSheetViews>
  <phoneticPr fontId="1405" type="noConversion"/>
  <conditionalFormatting sqref="I5:I253 I255:I429 J349 J358:J359 I431:I448 G449 I450:I465 I467:I490 I492:I502 I517:I1081">
    <cfRule type="cellIs" dxfId="82" priority="1" operator="equal">
      <formula>"Rejected"</formula>
    </cfRule>
    <cfRule type="cellIs" dxfId="81" priority="2" operator="equal">
      <formula>"delivered"</formula>
    </cfRule>
  </conditionalFormatting>
  <conditionalFormatting sqref="J175:J176 J193 J208 J321:J327 H328:H339 J340 H341:H353 J355:J356">
    <cfRule type="cellIs" dxfId="80" priority="3" operator="equal">
      <formula>"Rejected"</formula>
    </cfRule>
    <cfRule type="cellIs" dxfId="79" priority="4" operator="equal">
      <formula>"delivered"</formula>
    </cfRule>
  </conditionalFormatting>
  <pageMargins left="0.7" right="0.7" top="0.75" bottom="0.75" header="0" footer="0"/>
  <pageSetup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54"/>
  <sheetViews>
    <sheetView tabSelected="1" topLeftCell="B1" zoomScale="145" zoomScaleNormal="145" workbookViewId="0">
      <pane ySplit="1" topLeftCell="A1930" activePane="bottomLeft" state="frozen"/>
      <selection activeCell="D1" sqref="D1"/>
      <selection pane="bottomLeft" activeCell="D1937" sqref="D1937"/>
    </sheetView>
  </sheetViews>
  <sheetFormatPr defaultColWidth="14.44140625" defaultRowHeight="15" customHeight="1"/>
  <cols>
    <col min="1" max="1" width="6.88671875" customWidth="1"/>
    <col min="2" max="2" width="5.33203125" customWidth="1"/>
    <col min="3" max="3" width="12.33203125" style="101" customWidth="1"/>
    <col min="4" max="4" width="14.6640625" style="101" customWidth="1"/>
    <col min="5" max="5" width="26.44140625" customWidth="1"/>
    <col min="6" max="6" width="14.44140625" customWidth="1"/>
    <col min="7" max="7" width="14.44140625" style="1271" customWidth="1"/>
    <col min="8" max="8" width="12.109375" customWidth="1"/>
    <col min="9" max="9" width="20.6640625" customWidth="1"/>
    <col min="10" max="10" width="11.109375" customWidth="1"/>
    <col min="11" max="11" width="11.88671875" customWidth="1"/>
    <col min="12" max="12" width="14.6640625" customWidth="1"/>
    <col min="13" max="27" width="9.109375" customWidth="1"/>
  </cols>
  <sheetData>
    <row r="1" spans="1:27" ht="14.25" customHeight="1">
      <c r="A1" s="1" t="s">
        <v>0</v>
      </c>
      <c r="B1" s="1" t="s">
        <v>1</v>
      </c>
      <c r="C1" s="1" t="s">
        <v>2</v>
      </c>
      <c r="D1" s="17" t="s">
        <v>584</v>
      </c>
      <c r="E1" t="s">
        <v>9587</v>
      </c>
      <c r="F1" s="30" t="s">
        <v>585</v>
      </c>
      <c r="G1" s="1264"/>
      <c r="H1" s="30"/>
      <c r="I1" s="2" t="s">
        <v>4</v>
      </c>
      <c r="J1" s="2" t="s">
        <v>586</v>
      </c>
      <c r="K1" s="31">
        <f>MAX([1]caste!B2:B1009,B2:B1050,[1]local!B2:B1152,[1]birth!B2:B1004,[1]death!B2:B999,[1]EWC!B2:B1000)</f>
        <v>1127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1">
        <v>1</v>
      </c>
      <c r="B2" s="1"/>
      <c r="C2" s="32">
        <v>42887</v>
      </c>
      <c r="D2" s="33"/>
      <c r="E2" s="4" t="s">
        <v>587</v>
      </c>
      <c r="F2" s="34" t="s">
        <v>588</v>
      </c>
      <c r="G2" s="1265"/>
      <c r="H2" s="34"/>
      <c r="I2" s="4" t="s">
        <v>589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1">
        <v>2</v>
      </c>
      <c r="B3" s="1"/>
      <c r="C3" s="32">
        <v>42887</v>
      </c>
      <c r="D3" s="33"/>
      <c r="E3" s="4" t="s">
        <v>590</v>
      </c>
      <c r="F3" s="34" t="s">
        <v>591</v>
      </c>
      <c r="G3" s="1265"/>
      <c r="H3" s="34"/>
      <c r="I3" s="4" t="s">
        <v>592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1">
        <v>3</v>
      </c>
      <c r="B4" s="1"/>
      <c r="C4" s="32">
        <v>42901</v>
      </c>
      <c r="D4" s="33"/>
      <c r="E4" s="4" t="s">
        <v>593</v>
      </c>
      <c r="F4" s="34" t="s">
        <v>594</v>
      </c>
      <c r="G4" s="1265"/>
      <c r="H4" s="34"/>
      <c r="I4" s="4" t="s">
        <v>595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1">
        <v>4</v>
      </c>
      <c r="B5" s="1"/>
      <c r="C5" s="8"/>
      <c r="D5" s="17"/>
      <c r="E5" s="2"/>
      <c r="F5" s="30" t="s">
        <v>596</v>
      </c>
      <c r="G5" s="1264"/>
      <c r="H5" s="3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1">
        <v>5</v>
      </c>
      <c r="B6" s="1"/>
      <c r="C6" s="32">
        <v>42924</v>
      </c>
      <c r="D6" s="33"/>
      <c r="E6" s="4" t="s">
        <v>597</v>
      </c>
      <c r="F6" s="34" t="s">
        <v>598</v>
      </c>
      <c r="G6" s="1265"/>
      <c r="H6" s="3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1">
        <v>6</v>
      </c>
      <c r="B7" s="1"/>
      <c r="C7" s="32">
        <v>42924</v>
      </c>
      <c r="D7" s="33"/>
      <c r="E7" s="4" t="s">
        <v>599</v>
      </c>
      <c r="F7" s="34" t="s">
        <v>600</v>
      </c>
      <c r="G7" s="1265"/>
      <c r="H7" s="34"/>
      <c r="I7" s="4" t="s">
        <v>601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1">
        <v>7</v>
      </c>
      <c r="B8" s="1"/>
      <c r="C8" s="8"/>
      <c r="D8" s="17"/>
      <c r="E8" s="2" t="s">
        <v>602</v>
      </c>
      <c r="F8" s="30" t="s">
        <v>603</v>
      </c>
      <c r="G8" s="1264"/>
      <c r="H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1">
        <v>8</v>
      </c>
      <c r="B9" s="1"/>
      <c r="C9" s="32"/>
      <c r="D9" s="33"/>
      <c r="E9" s="4" t="s">
        <v>604</v>
      </c>
      <c r="F9" s="34" t="s">
        <v>605</v>
      </c>
      <c r="G9" s="1265"/>
      <c r="H9" s="34"/>
      <c r="I9" s="4" t="s">
        <v>606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1">
        <v>9</v>
      </c>
      <c r="B10" s="1"/>
      <c r="C10" s="8"/>
      <c r="D10" s="17"/>
      <c r="E10" s="2" t="s">
        <v>18</v>
      </c>
      <c r="F10" s="30" t="s">
        <v>607</v>
      </c>
      <c r="G10" s="1264"/>
      <c r="H10" s="3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1">
        <v>10</v>
      </c>
      <c r="B11" s="1"/>
      <c r="C11" s="8"/>
      <c r="D11" s="17"/>
      <c r="E11" s="2" t="s">
        <v>608</v>
      </c>
      <c r="F11" s="30" t="s">
        <v>609</v>
      </c>
      <c r="G11" s="1264"/>
      <c r="H11" s="3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1">
        <v>11</v>
      </c>
      <c r="B12" s="1"/>
      <c r="C12" s="32"/>
      <c r="D12" s="33"/>
      <c r="E12" s="4" t="s">
        <v>599</v>
      </c>
      <c r="F12" s="34" t="s">
        <v>610</v>
      </c>
      <c r="G12" s="1265"/>
      <c r="H12" s="34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1">
        <v>12</v>
      </c>
      <c r="B13" s="1"/>
      <c r="C13" s="8"/>
      <c r="D13" s="17"/>
      <c r="E13" s="2" t="s">
        <v>70</v>
      </c>
      <c r="F13" s="30" t="s">
        <v>611</v>
      </c>
      <c r="G13" s="1264"/>
      <c r="H13" s="30"/>
      <c r="I13" s="2" t="s">
        <v>612</v>
      </c>
      <c r="J13" s="2" t="s">
        <v>32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1">
        <v>13</v>
      </c>
      <c r="B14" s="1">
        <v>47</v>
      </c>
      <c r="C14" s="8">
        <v>42985</v>
      </c>
      <c r="D14" s="17"/>
      <c r="E14" s="2" t="s">
        <v>613</v>
      </c>
      <c r="F14" s="30" t="s">
        <v>614</v>
      </c>
      <c r="G14" s="1264"/>
      <c r="H14" s="30"/>
      <c r="I14" s="2" t="s">
        <v>615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1">
        <v>14</v>
      </c>
      <c r="B15" s="1"/>
      <c r="C15" s="8"/>
      <c r="D15" s="17"/>
      <c r="E15" s="2" t="s">
        <v>616</v>
      </c>
      <c r="F15" s="30" t="s">
        <v>617</v>
      </c>
      <c r="G15" s="1264"/>
      <c r="H15" s="30"/>
      <c r="I15" s="2" t="s">
        <v>618</v>
      </c>
      <c r="J15" s="2" t="s">
        <v>32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1">
        <v>15</v>
      </c>
      <c r="B16" s="1">
        <v>54</v>
      </c>
      <c r="C16" s="8">
        <v>42997</v>
      </c>
      <c r="D16" s="17"/>
      <c r="E16" s="2" t="s">
        <v>619</v>
      </c>
      <c r="F16" s="30" t="s">
        <v>620</v>
      </c>
      <c r="G16" s="1264"/>
      <c r="H16" s="30"/>
      <c r="I16" s="10" t="s">
        <v>621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1">
        <v>16</v>
      </c>
      <c r="B17" s="1">
        <v>57</v>
      </c>
      <c r="C17" s="8"/>
      <c r="D17" s="17"/>
      <c r="E17" s="2" t="s">
        <v>622</v>
      </c>
      <c r="F17" s="30" t="s">
        <v>623</v>
      </c>
      <c r="G17" s="1264"/>
      <c r="H17" s="30"/>
      <c r="I17" s="10" t="s">
        <v>624</v>
      </c>
      <c r="J17" s="2" t="s">
        <v>60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1">
        <v>17</v>
      </c>
      <c r="B18" s="1">
        <v>58</v>
      </c>
      <c r="C18" s="8"/>
      <c r="D18" s="17"/>
      <c r="E18" s="2" t="s">
        <v>33</v>
      </c>
      <c r="F18" s="30" t="s">
        <v>625</v>
      </c>
      <c r="G18" s="1264"/>
      <c r="H18" s="30"/>
      <c r="I18" s="10" t="s">
        <v>626</v>
      </c>
      <c r="J18" s="2" t="s">
        <v>627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1">
        <v>18</v>
      </c>
      <c r="B19" s="1">
        <v>59</v>
      </c>
      <c r="C19" s="8">
        <v>42999</v>
      </c>
      <c r="D19" s="17"/>
      <c r="E19" s="2" t="s">
        <v>628</v>
      </c>
      <c r="F19" s="30" t="s">
        <v>629</v>
      </c>
      <c r="G19" s="1264"/>
      <c r="H19" s="30"/>
      <c r="I19" s="10" t="s">
        <v>630</v>
      </c>
      <c r="J19" s="2" t="s">
        <v>60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1">
        <v>19</v>
      </c>
      <c r="B20" s="1">
        <v>60</v>
      </c>
      <c r="C20" s="8">
        <v>42999</v>
      </c>
      <c r="D20" s="17"/>
      <c r="E20" s="2" t="s">
        <v>631</v>
      </c>
      <c r="F20" s="30" t="s">
        <v>632</v>
      </c>
      <c r="G20" s="1264"/>
      <c r="H20" s="30"/>
      <c r="I20" s="10" t="s">
        <v>633</v>
      </c>
      <c r="J20" s="2" t="s">
        <v>60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1">
        <v>20</v>
      </c>
      <c r="B21" s="1"/>
      <c r="C21" s="8"/>
      <c r="D21" s="17"/>
      <c r="E21" s="2"/>
      <c r="F21" s="30" t="s">
        <v>634</v>
      </c>
      <c r="G21" s="1264"/>
      <c r="H21" s="30"/>
      <c r="I21" s="35" t="s">
        <v>635</v>
      </c>
      <c r="J21" s="2" t="s">
        <v>32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1">
        <v>21</v>
      </c>
      <c r="B22" s="1">
        <v>69</v>
      </c>
      <c r="C22" s="8">
        <v>43014</v>
      </c>
      <c r="D22" s="17"/>
      <c r="E22" s="2" t="s">
        <v>636</v>
      </c>
      <c r="F22" s="30" t="s">
        <v>637</v>
      </c>
      <c r="G22" s="1264"/>
      <c r="H22" s="30"/>
      <c r="I22" s="10" t="s">
        <v>638</v>
      </c>
      <c r="J22" s="2" t="s">
        <v>114</v>
      </c>
      <c r="K22" s="2"/>
      <c r="L22" s="2"/>
      <c r="M22" s="2"/>
      <c r="N22" s="2">
        <v>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1">
        <v>22</v>
      </c>
      <c r="B23" s="1">
        <v>72</v>
      </c>
      <c r="C23" s="8">
        <v>43053</v>
      </c>
      <c r="D23" s="17"/>
      <c r="E23" s="2" t="s">
        <v>639</v>
      </c>
      <c r="F23" s="30" t="s">
        <v>640</v>
      </c>
      <c r="G23" s="1264"/>
      <c r="H23" s="30"/>
      <c r="I23" s="10" t="s">
        <v>641</v>
      </c>
      <c r="J23" s="2" t="s">
        <v>36</v>
      </c>
      <c r="K23" s="2"/>
      <c r="L23" s="2"/>
      <c r="M23" s="2"/>
      <c r="N23" s="2">
        <v>17</v>
      </c>
      <c r="O23" s="2">
        <f>N23*9</f>
        <v>153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1">
        <v>23</v>
      </c>
      <c r="B24" s="1">
        <v>73</v>
      </c>
      <c r="C24" s="8">
        <v>43032</v>
      </c>
      <c r="D24" s="17"/>
      <c r="E24" s="2" t="s">
        <v>642</v>
      </c>
      <c r="F24" s="30" t="s">
        <v>643</v>
      </c>
      <c r="G24" s="1264"/>
      <c r="H24" s="30"/>
      <c r="I24" s="10" t="s">
        <v>644</v>
      </c>
      <c r="J24" s="2" t="s">
        <v>32</v>
      </c>
      <c r="K24" s="2"/>
      <c r="L24" s="2"/>
      <c r="M24" s="2">
        <f>1300/50</f>
        <v>26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1">
        <v>24</v>
      </c>
      <c r="B25" s="1">
        <v>77</v>
      </c>
      <c r="C25" s="8">
        <v>43041</v>
      </c>
      <c r="D25" s="17"/>
      <c r="E25" s="2" t="s">
        <v>645</v>
      </c>
      <c r="F25" s="30" t="s">
        <v>646</v>
      </c>
      <c r="G25" s="1264"/>
      <c r="H25" s="30"/>
      <c r="I25" s="10" t="s">
        <v>647</v>
      </c>
      <c r="J25" s="2" t="s">
        <v>39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1"/>
      <c r="B26" s="1">
        <v>78</v>
      </c>
      <c r="C26" s="8">
        <v>43046</v>
      </c>
      <c r="D26" s="17" t="s">
        <v>648</v>
      </c>
      <c r="E26" s="2" t="s">
        <v>649</v>
      </c>
      <c r="F26" s="30" t="s">
        <v>650</v>
      </c>
      <c r="G26" s="1264"/>
      <c r="H26" s="30"/>
      <c r="I26" s="10" t="s">
        <v>651</v>
      </c>
      <c r="J26" s="2" t="s">
        <v>39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1"/>
      <c r="B27" s="1">
        <v>79</v>
      </c>
      <c r="C27" s="8">
        <v>43046</v>
      </c>
      <c r="D27" s="17"/>
      <c r="E27" s="2" t="s">
        <v>652</v>
      </c>
      <c r="F27" s="30" t="s">
        <v>653</v>
      </c>
      <c r="G27" s="1264"/>
      <c r="H27" s="30"/>
      <c r="I27" s="10" t="s">
        <v>654</v>
      </c>
      <c r="J27" s="2" t="s">
        <v>39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1"/>
      <c r="B28" s="1">
        <v>81</v>
      </c>
      <c r="C28" s="8">
        <v>43047</v>
      </c>
      <c r="D28" s="17"/>
      <c r="E28" s="2" t="s">
        <v>655</v>
      </c>
      <c r="F28" s="30" t="s">
        <v>656</v>
      </c>
      <c r="G28" s="1264"/>
      <c r="H28" s="30"/>
      <c r="I28" s="10" t="s">
        <v>657</v>
      </c>
      <c r="J28" s="2" t="s">
        <v>32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1"/>
      <c r="B29" s="1">
        <v>82</v>
      </c>
      <c r="C29" s="8">
        <v>43048</v>
      </c>
      <c r="D29" s="17"/>
      <c r="E29" s="2" t="s">
        <v>658</v>
      </c>
      <c r="F29" s="30" t="s">
        <v>659</v>
      </c>
      <c r="G29" s="1264"/>
      <c r="H29" s="30"/>
      <c r="I29" s="10" t="s">
        <v>660</v>
      </c>
      <c r="J29" s="2" t="s">
        <v>39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1"/>
      <c r="B30" s="1">
        <v>83</v>
      </c>
      <c r="C30" s="8">
        <v>43055</v>
      </c>
      <c r="D30" s="17" t="s">
        <v>661</v>
      </c>
      <c r="E30" s="2" t="s">
        <v>662</v>
      </c>
      <c r="F30" s="30" t="s">
        <v>663</v>
      </c>
      <c r="G30" s="1264"/>
      <c r="H30" s="30"/>
      <c r="I30" s="10" t="s">
        <v>664</v>
      </c>
      <c r="J30" s="2" t="s">
        <v>39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1"/>
      <c r="B31" s="1">
        <v>84</v>
      </c>
      <c r="C31" s="8">
        <v>43060</v>
      </c>
      <c r="D31" s="17" t="s">
        <v>665</v>
      </c>
      <c r="E31" s="2" t="s">
        <v>666</v>
      </c>
      <c r="F31" s="30" t="s">
        <v>667</v>
      </c>
      <c r="G31" s="1264"/>
      <c r="H31" s="30"/>
      <c r="I31" s="10" t="s">
        <v>668</v>
      </c>
      <c r="J31" s="2" t="s">
        <v>60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1"/>
      <c r="B32" s="1">
        <v>85</v>
      </c>
      <c r="C32" s="8">
        <v>43062</v>
      </c>
      <c r="D32" s="17"/>
      <c r="E32" s="2" t="s">
        <v>669</v>
      </c>
      <c r="F32" s="30" t="s">
        <v>670</v>
      </c>
      <c r="G32" s="1264"/>
      <c r="H32" s="30"/>
      <c r="I32" s="10" t="s">
        <v>671</v>
      </c>
      <c r="J32" s="2" t="s">
        <v>39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1"/>
      <c r="B33" s="1">
        <v>87</v>
      </c>
      <c r="C33" s="8">
        <v>43064</v>
      </c>
      <c r="D33" s="17" t="s">
        <v>672</v>
      </c>
      <c r="E33" s="2" t="s">
        <v>673</v>
      </c>
      <c r="F33" s="30" t="s">
        <v>674</v>
      </c>
      <c r="G33" s="1264"/>
      <c r="H33" s="30"/>
      <c r="I33" s="10" t="s">
        <v>675</v>
      </c>
      <c r="J33" s="2" t="s">
        <v>60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1"/>
      <c r="B34" s="1">
        <v>89</v>
      </c>
      <c r="C34" s="8">
        <v>43070</v>
      </c>
      <c r="D34" s="17" t="s">
        <v>676</v>
      </c>
      <c r="E34" s="2" t="s">
        <v>677</v>
      </c>
      <c r="F34" s="30" t="s">
        <v>678</v>
      </c>
      <c r="G34" s="1264"/>
      <c r="H34" s="30"/>
      <c r="I34" s="10" t="s">
        <v>679</v>
      </c>
      <c r="J34" s="2" t="s">
        <v>60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1"/>
      <c r="B35" s="1">
        <v>90</v>
      </c>
      <c r="C35" s="8">
        <v>43070</v>
      </c>
      <c r="D35" s="17"/>
      <c r="E35" s="2" t="s">
        <v>680</v>
      </c>
      <c r="F35" s="30" t="s">
        <v>681</v>
      </c>
      <c r="G35" s="1264"/>
      <c r="H35" s="30"/>
      <c r="I35" s="10" t="s">
        <v>682</v>
      </c>
      <c r="J35" s="2" t="s">
        <v>60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1"/>
      <c r="B36" s="1">
        <v>93</v>
      </c>
      <c r="C36" s="8">
        <v>43075</v>
      </c>
      <c r="D36" s="17">
        <v>9905102958</v>
      </c>
      <c r="E36" s="2" t="s">
        <v>683</v>
      </c>
      <c r="F36" s="30" t="s">
        <v>684</v>
      </c>
      <c r="G36" s="1264"/>
      <c r="H36" s="30"/>
      <c r="I36" s="10" t="s">
        <v>685</v>
      </c>
      <c r="J36" s="2" t="s">
        <v>39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1"/>
      <c r="B37" s="1"/>
      <c r="C37" s="1"/>
      <c r="D37" s="17" t="s">
        <v>686</v>
      </c>
      <c r="E37" s="2" t="s">
        <v>687</v>
      </c>
      <c r="F37" s="30"/>
      <c r="G37" s="1264"/>
      <c r="H37" s="30"/>
      <c r="I37" s="2" t="s">
        <v>688</v>
      </c>
      <c r="J37" s="2" t="s">
        <v>60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1"/>
      <c r="B38" s="1">
        <v>95</v>
      </c>
      <c r="C38" s="9">
        <v>43084</v>
      </c>
      <c r="D38" s="17"/>
      <c r="E38" s="2" t="s">
        <v>689</v>
      </c>
      <c r="F38" s="30" t="s">
        <v>690</v>
      </c>
      <c r="G38" s="1264"/>
      <c r="H38" s="30"/>
      <c r="I38" s="10" t="s">
        <v>691</v>
      </c>
      <c r="J38" s="2" t="s">
        <v>692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1"/>
      <c r="B39" s="1">
        <v>101</v>
      </c>
      <c r="C39" s="8"/>
      <c r="D39" s="17" t="s">
        <v>693</v>
      </c>
      <c r="E39" s="2" t="s">
        <v>694</v>
      </c>
      <c r="F39" s="30" t="s">
        <v>695</v>
      </c>
      <c r="G39" s="1264"/>
      <c r="H39" s="30"/>
      <c r="I39" s="10" t="s">
        <v>696</v>
      </c>
      <c r="J39" s="2" t="s">
        <v>692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1"/>
      <c r="B40" s="1">
        <v>102</v>
      </c>
      <c r="C40" s="8">
        <v>43104</v>
      </c>
      <c r="D40" s="17"/>
      <c r="E40" s="2" t="s">
        <v>697</v>
      </c>
      <c r="F40" s="30" t="s">
        <v>698</v>
      </c>
      <c r="G40" s="1264"/>
      <c r="H40" s="30"/>
      <c r="I40" s="10" t="s">
        <v>699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1"/>
      <c r="B41" s="1">
        <v>103</v>
      </c>
      <c r="C41" s="8">
        <v>43104</v>
      </c>
      <c r="D41" s="17"/>
      <c r="E41" s="2" t="s">
        <v>700</v>
      </c>
      <c r="F41" s="30" t="s">
        <v>701</v>
      </c>
      <c r="G41" s="1264"/>
      <c r="H41" s="30"/>
      <c r="I41" s="10" t="s">
        <v>702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1"/>
      <c r="B42" s="1">
        <v>105</v>
      </c>
      <c r="C42" s="8">
        <v>43110</v>
      </c>
      <c r="D42" s="17"/>
      <c r="E42" s="2" t="s">
        <v>703</v>
      </c>
      <c r="F42" s="30" t="s">
        <v>704</v>
      </c>
      <c r="G42" s="1264"/>
      <c r="H42" s="30"/>
      <c r="I42" s="2" t="s">
        <v>705</v>
      </c>
      <c r="J42" s="2" t="s">
        <v>39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1"/>
      <c r="B43" s="1">
        <v>106</v>
      </c>
      <c r="C43" s="8">
        <v>43110</v>
      </c>
      <c r="D43" s="17"/>
      <c r="E43" s="2" t="s">
        <v>706</v>
      </c>
      <c r="F43" s="30" t="s">
        <v>707</v>
      </c>
      <c r="G43" s="1264"/>
      <c r="H43" s="30"/>
      <c r="I43" s="2" t="s">
        <v>708</v>
      </c>
      <c r="J43" s="2" t="s">
        <v>39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1"/>
      <c r="B44" s="1">
        <v>113</v>
      </c>
      <c r="C44" s="8">
        <v>43125</v>
      </c>
      <c r="D44" s="17"/>
      <c r="E44" s="2" t="s">
        <v>709</v>
      </c>
      <c r="F44" s="30" t="s">
        <v>710</v>
      </c>
      <c r="G44" s="1264"/>
      <c r="H44" s="30"/>
      <c r="I44" s="36" t="s">
        <v>711</v>
      </c>
      <c r="J44" s="2" t="s">
        <v>60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1"/>
      <c r="B45" s="1">
        <v>114</v>
      </c>
      <c r="C45" s="8">
        <v>43125</v>
      </c>
      <c r="D45" s="17"/>
      <c r="E45" s="37" t="s">
        <v>712</v>
      </c>
      <c r="F45" s="30" t="s">
        <v>713</v>
      </c>
      <c r="G45" s="1264"/>
      <c r="H45" s="30"/>
      <c r="I45" s="36" t="s">
        <v>714</v>
      </c>
      <c r="J45" s="2" t="s">
        <v>60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1"/>
      <c r="B46" s="1">
        <v>120</v>
      </c>
      <c r="C46" s="8">
        <v>43130</v>
      </c>
      <c r="D46" s="17" t="s">
        <v>715</v>
      </c>
      <c r="E46" s="2" t="s">
        <v>716</v>
      </c>
      <c r="F46" s="30" t="s">
        <v>717</v>
      </c>
      <c r="G46" s="1264"/>
      <c r="H46" s="30"/>
      <c r="I46" s="2" t="s">
        <v>718</v>
      </c>
      <c r="J46" s="2" t="s">
        <v>60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1"/>
      <c r="B47" s="1">
        <v>121</v>
      </c>
      <c r="C47" s="8">
        <v>43130</v>
      </c>
      <c r="D47" s="17"/>
      <c r="E47" s="2" t="s">
        <v>719</v>
      </c>
      <c r="F47" s="30" t="s">
        <v>720</v>
      </c>
      <c r="G47" s="1264"/>
      <c r="H47" s="30"/>
      <c r="I47" s="2" t="s">
        <v>721</v>
      </c>
      <c r="J47" s="2" t="s">
        <v>60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1"/>
      <c r="B48" s="1">
        <v>123</v>
      </c>
      <c r="C48" s="8">
        <v>43132</v>
      </c>
      <c r="D48" s="17" t="s">
        <v>722</v>
      </c>
      <c r="E48" s="2" t="s">
        <v>723</v>
      </c>
      <c r="F48" s="30" t="s">
        <v>724</v>
      </c>
      <c r="G48" s="1264"/>
      <c r="H48" s="30"/>
      <c r="I48" s="2" t="s">
        <v>725</v>
      </c>
      <c r="J48" s="2" t="s">
        <v>39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1"/>
      <c r="B49" s="1">
        <v>122</v>
      </c>
      <c r="C49" s="8">
        <v>43132</v>
      </c>
      <c r="D49" s="17"/>
      <c r="E49" s="2" t="s">
        <v>726</v>
      </c>
      <c r="F49" s="30" t="s">
        <v>727</v>
      </c>
      <c r="G49" s="1264"/>
      <c r="H49" s="30"/>
      <c r="I49" s="36" t="s">
        <v>728</v>
      </c>
      <c r="J49" s="2" t="s">
        <v>60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1"/>
      <c r="B50" s="1">
        <v>124</v>
      </c>
      <c r="C50" s="8">
        <v>43134</v>
      </c>
      <c r="D50" s="17"/>
      <c r="E50" s="2" t="s">
        <v>729</v>
      </c>
      <c r="F50" s="30" t="s">
        <v>730</v>
      </c>
      <c r="G50" s="1264"/>
      <c r="H50" s="30"/>
      <c r="I50" s="2" t="s">
        <v>731</v>
      </c>
      <c r="J50" s="2" t="s">
        <v>39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1"/>
      <c r="B51" s="1">
        <v>125</v>
      </c>
      <c r="C51" s="8">
        <v>43134</v>
      </c>
      <c r="D51" s="17"/>
      <c r="E51" s="2" t="s">
        <v>732</v>
      </c>
      <c r="F51" s="30" t="s">
        <v>733</v>
      </c>
      <c r="G51" s="1264"/>
      <c r="H51" s="30"/>
      <c r="I51" s="2" t="s">
        <v>734</v>
      </c>
      <c r="J51" s="2" t="s">
        <v>39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1"/>
      <c r="B52" s="1">
        <v>126</v>
      </c>
      <c r="C52" s="8">
        <v>43134</v>
      </c>
      <c r="D52" s="17"/>
      <c r="E52" s="2" t="s">
        <v>735</v>
      </c>
      <c r="F52" s="30" t="s">
        <v>736</v>
      </c>
      <c r="G52" s="1264"/>
      <c r="H52" s="30"/>
      <c r="I52" s="2" t="s">
        <v>737</v>
      </c>
      <c r="J52" s="2" t="s">
        <v>60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1"/>
      <c r="B53" s="1">
        <v>127</v>
      </c>
      <c r="C53" s="8">
        <v>43136</v>
      </c>
      <c r="D53" s="17" t="s">
        <v>738</v>
      </c>
      <c r="E53" s="2" t="s">
        <v>739</v>
      </c>
      <c r="F53" s="30" t="s">
        <v>740</v>
      </c>
      <c r="G53" s="1264"/>
      <c r="H53" s="30"/>
      <c r="I53" s="2" t="s">
        <v>741</v>
      </c>
      <c r="J53" s="2" t="s">
        <v>39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1"/>
      <c r="B54" s="1">
        <v>128</v>
      </c>
      <c r="C54" s="8">
        <v>43136</v>
      </c>
      <c r="D54" s="17" t="s">
        <v>742</v>
      </c>
      <c r="E54" s="2" t="s">
        <v>743</v>
      </c>
      <c r="F54" s="30" t="s">
        <v>744</v>
      </c>
      <c r="G54" s="1264"/>
      <c r="H54" s="30"/>
      <c r="I54" s="2" t="s">
        <v>745</v>
      </c>
      <c r="J54" s="2" t="s">
        <v>39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1"/>
      <c r="B55" s="1">
        <v>129</v>
      </c>
      <c r="C55" s="8">
        <v>43136</v>
      </c>
      <c r="D55" s="17" t="s">
        <v>746</v>
      </c>
      <c r="E55" s="2" t="s">
        <v>81</v>
      </c>
      <c r="F55" s="30" t="s">
        <v>747</v>
      </c>
      <c r="G55" s="1264"/>
      <c r="H55" s="30"/>
      <c r="I55" s="2" t="s">
        <v>748</v>
      </c>
      <c r="J55" s="2" t="s">
        <v>39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1"/>
      <c r="B56" s="1">
        <v>130</v>
      </c>
      <c r="C56" s="8">
        <v>43136</v>
      </c>
      <c r="D56" s="17" t="s">
        <v>749</v>
      </c>
      <c r="E56" s="2" t="s">
        <v>666</v>
      </c>
      <c r="F56" s="30" t="s">
        <v>750</v>
      </c>
      <c r="G56" s="1264"/>
      <c r="H56" s="30"/>
      <c r="I56" s="2" t="s">
        <v>751</v>
      </c>
      <c r="J56" s="2" t="s">
        <v>114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1"/>
      <c r="B57" s="1">
        <v>131</v>
      </c>
      <c r="C57" s="8">
        <v>43136</v>
      </c>
      <c r="D57" s="17" t="s">
        <v>752</v>
      </c>
      <c r="E57" s="2" t="s">
        <v>753</v>
      </c>
      <c r="F57" s="30" t="s">
        <v>754</v>
      </c>
      <c r="G57" s="1264"/>
      <c r="H57" s="30"/>
      <c r="I57" s="2" t="s">
        <v>755</v>
      </c>
      <c r="J57" s="2" t="s">
        <v>114</v>
      </c>
      <c r="K57" s="2"/>
      <c r="L57" s="2">
        <f>75*5</f>
        <v>375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1"/>
      <c r="B58" s="1">
        <v>132</v>
      </c>
      <c r="C58" s="8">
        <v>43136</v>
      </c>
      <c r="D58" s="17"/>
      <c r="E58" s="2" t="s">
        <v>756</v>
      </c>
      <c r="F58" s="30" t="s">
        <v>757</v>
      </c>
      <c r="G58" s="1264"/>
      <c r="H58" s="30"/>
      <c r="I58" s="2" t="s">
        <v>758</v>
      </c>
      <c r="J58" s="2" t="s">
        <v>39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1"/>
      <c r="B59" s="1">
        <v>133</v>
      </c>
      <c r="C59" s="8">
        <v>43144</v>
      </c>
      <c r="D59" s="17"/>
      <c r="E59" s="2" t="s">
        <v>759</v>
      </c>
      <c r="F59" s="30" t="s">
        <v>760</v>
      </c>
      <c r="G59" s="1264"/>
      <c r="H59" s="30"/>
      <c r="I59" s="2" t="s">
        <v>761</v>
      </c>
      <c r="J59" s="2" t="s">
        <v>39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1"/>
      <c r="B60" s="1">
        <v>134</v>
      </c>
      <c r="C60" s="8">
        <v>43146</v>
      </c>
      <c r="D60" s="17" t="s">
        <v>762</v>
      </c>
      <c r="E60" s="2" t="s">
        <v>763</v>
      </c>
      <c r="F60" s="30" t="s">
        <v>764</v>
      </c>
      <c r="G60" s="1264"/>
      <c r="H60" s="30"/>
      <c r="I60" s="2" t="s">
        <v>765</v>
      </c>
      <c r="J60" s="2" t="s">
        <v>114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1"/>
      <c r="B61" s="1">
        <v>135</v>
      </c>
      <c r="C61" s="8">
        <v>43146</v>
      </c>
      <c r="D61" s="17" t="s">
        <v>766</v>
      </c>
      <c r="E61" s="2" t="s">
        <v>767</v>
      </c>
      <c r="F61" s="30" t="s">
        <v>768</v>
      </c>
      <c r="G61" s="1264"/>
      <c r="H61" s="30"/>
      <c r="I61" s="2" t="s">
        <v>769</v>
      </c>
      <c r="J61" s="2" t="s">
        <v>39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1"/>
      <c r="B62" s="1">
        <v>136</v>
      </c>
      <c r="C62" s="8">
        <v>43146</v>
      </c>
      <c r="D62" s="17" t="s">
        <v>770</v>
      </c>
      <c r="E62" s="2" t="s">
        <v>771</v>
      </c>
      <c r="F62" s="30" t="s">
        <v>772</v>
      </c>
      <c r="G62" s="1264"/>
      <c r="H62" s="30"/>
      <c r="I62" s="2" t="s">
        <v>773</v>
      </c>
      <c r="J62" s="2" t="s">
        <v>39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1"/>
      <c r="B63" s="1">
        <v>137</v>
      </c>
      <c r="C63" s="8">
        <v>43146</v>
      </c>
      <c r="D63" s="17" t="s">
        <v>774</v>
      </c>
      <c r="E63" s="2" t="s">
        <v>775</v>
      </c>
      <c r="F63" s="30" t="s">
        <v>776</v>
      </c>
      <c r="G63" s="1264"/>
      <c r="H63" s="30"/>
      <c r="I63" s="2" t="s">
        <v>777</v>
      </c>
      <c r="J63" s="2" t="s">
        <v>114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1"/>
      <c r="B64" s="1">
        <v>138</v>
      </c>
      <c r="C64" s="8">
        <v>43147</v>
      </c>
      <c r="D64" s="17"/>
      <c r="E64" s="2" t="s">
        <v>50</v>
      </c>
      <c r="F64" s="30" t="s">
        <v>778</v>
      </c>
      <c r="G64" s="1264"/>
      <c r="H64" s="30"/>
      <c r="I64" s="2" t="s">
        <v>779</v>
      </c>
      <c r="J64" s="2" t="s">
        <v>39</v>
      </c>
      <c r="K64" s="2" t="s">
        <v>780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1"/>
      <c r="B65" s="1">
        <v>142</v>
      </c>
      <c r="C65" s="8"/>
      <c r="D65" s="17"/>
      <c r="E65" s="2" t="s">
        <v>781</v>
      </c>
      <c r="F65" s="30" t="s">
        <v>782</v>
      </c>
      <c r="G65" s="1264"/>
      <c r="H65" s="30"/>
      <c r="I65" s="2" t="s">
        <v>783</v>
      </c>
      <c r="J65" s="2" t="s">
        <v>39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1"/>
      <c r="B66" s="1">
        <v>145</v>
      </c>
      <c r="C66" s="8">
        <v>43157</v>
      </c>
      <c r="D66" s="17"/>
      <c r="E66" s="2" t="s">
        <v>739</v>
      </c>
      <c r="F66" s="30" t="s">
        <v>784</v>
      </c>
      <c r="G66" s="1264"/>
      <c r="H66" s="30"/>
      <c r="I66" s="2" t="s">
        <v>785</v>
      </c>
      <c r="J66" s="2" t="s">
        <v>39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1"/>
      <c r="B67" s="1">
        <v>147</v>
      </c>
      <c r="C67" s="8">
        <v>43165</v>
      </c>
      <c r="D67" s="17"/>
      <c r="E67" s="2" t="s">
        <v>786</v>
      </c>
      <c r="F67" s="30" t="s">
        <v>787</v>
      </c>
      <c r="G67" s="1264"/>
      <c r="H67" s="30"/>
      <c r="I67" s="2" t="s">
        <v>788</v>
      </c>
      <c r="J67" s="2" t="s">
        <v>39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1"/>
      <c r="B68" s="1">
        <v>148</v>
      </c>
      <c r="C68" s="8">
        <v>43165</v>
      </c>
      <c r="D68" s="17"/>
      <c r="E68" s="2" t="s">
        <v>789</v>
      </c>
      <c r="F68" s="30" t="s">
        <v>790</v>
      </c>
      <c r="G68" s="1264"/>
      <c r="H68" s="30"/>
      <c r="I68" s="2" t="s">
        <v>791</v>
      </c>
      <c r="J68" s="2" t="s">
        <v>114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1"/>
      <c r="B69" s="1">
        <v>149</v>
      </c>
      <c r="C69" s="8">
        <v>43165</v>
      </c>
      <c r="D69" s="17"/>
      <c r="E69" s="2" t="s">
        <v>792</v>
      </c>
      <c r="F69" s="30" t="s">
        <v>793</v>
      </c>
      <c r="G69" s="1264"/>
      <c r="H69" s="30"/>
      <c r="I69" s="2" t="s">
        <v>794</v>
      </c>
      <c r="J69" s="2" t="s">
        <v>114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1"/>
      <c r="B70" s="1">
        <v>150</v>
      </c>
      <c r="C70" s="8">
        <v>43165</v>
      </c>
      <c r="D70" s="17"/>
      <c r="E70" s="2" t="s">
        <v>795</v>
      </c>
      <c r="F70" s="30" t="s">
        <v>796</v>
      </c>
      <c r="G70" s="1264"/>
      <c r="H70" s="30"/>
      <c r="I70" s="2" t="s">
        <v>797</v>
      </c>
      <c r="J70" s="2" t="s">
        <v>114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1"/>
      <c r="B71" s="1">
        <v>153</v>
      </c>
      <c r="C71" s="8">
        <v>43171</v>
      </c>
      <c r="D71" s="17"/>
      <c r="E71" s="11" t="s">
        <v>798</v>
      </c>
      <c r="F71" s="38" t="s">
        <v>799</v>
      </c>
      <c r="G71" s="1266"/>
      <c r="H71" s="38"/>
      <c r="I71" s="11" t="s">
        <v>800</v>
      </c>
      <c r="J71" s="2" t="s">
        <v>36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1"/>
      <c r="B72" s="1">
        <v>154</v>
      </c>
      <c r="C72" s="8">
        <v>43172</v>
      </c>
      <c r="D72" s="17"/>
      <c r="E72" s="2" t="s">
        <v>801</v>
      </c>
      <c r="F72" s="30" t="s">
        <v>802</v>
      </c>
      <c r="G72" s="1264"/>
      <c r="H72" s="30"/>
      <c r="I72" s="2" t="s">
        <v>803</v>
      </c>
      <c r="J72" s="2" t="s">
        <v>39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1"/>
      <c r="B73" s="1">
        <v>159</v>
      </c>
      <c r="C73" s="8">
        <v>43175</v>
      </c>
      <c r="D73" s="17"/>
      <c r="E73" s="2" t="s">
        <v>804</v>
      </c>
      <c r="F73" s="30" t="s">
        <v>805</v>
      </c>
      <c r="G73" s="1264"/>
      <c r="H73" s="30"/>
      <c r="I73" s="2" t="s">
        <v>806</v>
      </c>
      <c r="J73" s="2" t="s">
        <v>39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1"/>
      <c r="B74" s="1">
        <v>162</v>
      </c>
      <c r="C74" s="8">
        <v>43178</v>
      </c>
      <c r="D74" s="17"/>
      <c r="E74" s="2" t="s">
        <v>807</v>
      </c>
      <c r="F74" s="30" t="s">
        <v>808</v>
      </c>
      <c r="G74" s="1264"/>
      <c r="H74" s="30"/>
      <c r="I74" s="2" t="s">
        <v>809</v>
      </c>
      <c r="J74" s="2" t="s">
        <v>39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1"/>
      <c r="B75" s="1">
        <v>163</v>
      </c>
      <c r="C75" s="8">
        <v>43180</v>
      </c>
      <c r="D75" s="17"/>
      <c r="E75" s="2" t="s">
        <v>810</v>
      </c>
      <c r="F75" s="30" t="s">
        <v>811</v>
      </c>
      <c r="G75" s="1264"/>
      <c r="H75" s="30"/>
      <c r="I75" s="2" t="s">
        <v>812</v>
      </c>
      <c r="J75" s="2" t="s">
        <v>77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1"/>
      <c r="B76" s="1">
        <v>165</v>
      </c>
      <c r="C76" s="8">
        <v>43182</v>
      </c>
      <c r="D76" s="17"/>
      <c r="E76" s="2" t="s">
        <v>798</v>
      </c>
      <c r="F76" s="30" t="s">
        <v>813</v>
      </c>
      <c r="G76" s="1264"/>
      <c r="H76" s="30"/>
      <c r="I76" s="2" t="s">
        <v>814</v>
      </c>
      <c r="J76" s="2" t="s">
        <v>114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1"/>
      <c r="B77" s="1">
        <v>170</v>
      </c>
      <c r="C77" s="8">
        <v>43186</v>
      </c>
      <c r="D77" s="17"/>
      <c r="E77" s="2" t="s">
        <v>815</v>
      </c>
      <c r="F77" s="30" t="s">
        <v>816</v>
      </c>
      <c r="G77" s="1264"/>
      <c r="H77" s="30"/>
      <c r="I77" s="2" t="s">
        <v>817</v>
      </c>
      <c r="J77" s="2" t="s">
        <v>39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1"/>
      <c r="B78" s="1">
        <v>171</v>
      </c>
      <c r="C78" s="8">
        <v>43191</v>
      </c>
      <c r="D78" s="17"/>
      <c r="E78" s="2" t="s">
        <v>818</v>
      </c>
      <c r="F78" s="30" t="s">
        <v>819</v>
      </c>
      <c r="G78" s="1264"/>
      <c r="H78" s="30"/>
      <c r="I78" s="2" t="s">
        <v>820</v>
      </c>
      <c r="J78" s="2" t="s">
        <v>39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1"/>
      <c r="B79" s="1">
        <v>172</v>
      </c>
      <c r="C79" s="8">
        <v>43191</v>
      </c>
      <c r="D79" s="17"/>
      <c r="E79" s="2" t="s">
        <v>821</v>
      </c>
      <c r="F79" s="30" t="s">
        <v>822</v>
      </c>
      <c r="G79" s="1264"/>
      <c r="H79" s="30"/>
      <c r="I79" s="2" t="s">
        <v>823</v>
      </c>
      <c r="J79" s="2" t="s">
        <v>39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1"/>
      <c r="B80" s="1">
        <v>173</v>
      </c>
      <c r="C80" s="8">
        <v>43191</v>
      </c>
      <c r="D80" s="17"/>
      <c r="E80" s="2" t="s">
        <v>824</v>
      </c>
      <c r="F80" s="30" t="s">
        <v>825</v>
      </c>
      <c r="G80" s="1264"/>
      <c r="H80" s="30"/>
      <c r="I80" s="2" t="s">
        <v>826</v>
      </c>
      <c r="J80" s="2" t="s">
        <v>39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1"/>
      <c r="B81" s="1">
        <v>175</v>
      </c>
      <c r="C81" s="8">
        <v>43196</v>
      </c>
      <c r="D81" s="17"/>
      <c r="E81" s="2" t="s">
        <v>827</v>
      </c>
      <c r="F81" s="30" t="s">
        <v>828</v>
      </c>
      <c r="G81" s="1264"/>
      <c r="H81" s="30"/>
      <c r="I81" s="2" t="s">
        <v>829</v>
      </c>
      <c r="J81" s="2" t="s">
        <v>60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1"/>
      <c r="B82" s="1">
        <v>182</v>
      </c>
      <c r="C82" s="8">
        <v>43202</v>
      </c>
      <c r="D82" s="17"/>
      <c r="E82" s="2" t="s">
        <v>90</v>
      </c>
      <c r="F82" s="30">
        <v>81</v>
      </c>
      <c r="G82" s="1264"/>
      <c r="H82" s="30"/>
      <c r="I82" s="2" t="s">
        <v>830</v>
      </c>
      <c r="J82" s="2" t="s">
        <v>92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1"/>
      <c r="B83" s="1">
        <v>187</v>
      </c>
      <c r="C83" s="8">
        <v>43210</v>
      </c>
      <c r="D83" s="17"/>
      <c r="E83" s="2" t="s">
        <v>831</v>
      </c>
      <c r="F83" s="30">
        <v>82</v>
      </c>
      <c r="G83" s="1264"/>
      <c r="H83" s="30"/>
      <c r="I83" s="2" t="s">
        <v>832</v>
      </c>
      <c r="J83" s="2" t="s">
        <v>114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1"/>
      <c r="B84" s="1">
        <v>192</v>
      </c>
      <c r="C84" s="8">
        <v>43225</v>
      </c>
      <c r="D84" s="17"/>
      <c r="E84" s="2" t="s">
        <v>709</v>
      </c>
      <c r="F84" s="30">
        <v>83</v>
      </c>
      <c r="G84" s="1264"/>
      <c r="H84" s="30"/>
      <c r="I84" s="2" t="s">
        <v>833</v>
      </c>
      <c r="J84" s="2" t="s">
        <v>114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1"/>
      <c r="B85" s="1">
        <v>195</v>
      </c>
      <c r="C85" s="8">
        <v>43229</v>
      </c>
      <c r="D85" s="17" t="s">
        <v>834</v>
      </c>
      <c r="E85" s="2" t="s">
        <v>835</v>
      </c>
      <c r="F85" s="30">
        <v>84</v>
      </c>
      <c r="G85" s="1264"/>
      <c r="H85" s="30"/>
      <c r="I85" s="2" t="s">
        <v>836</v>
      </c>
      <c r="J85" s="2" t="s">
        <v>39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1"/>
      <c r="B86" s="1">
        <v>196</v>
      </c>
      <c r="C86" s="8">
        <v>43229</v>
      </c>
      <c r="D86" s="17" t="s">
        <v>837</v>
      </c>
      <c r="E86" s="2" t="s">
        <v>838</v>
      </c>
      <c r="F86" s="30">
        <v>85</v>
      </c>
      <c r="G86" s="1264"/>
      <c r="H86" s="30"/>
      <c r="I86" s="2" t="s">
        <v>839</v>
      </c>
      <c r="J86" s="2" t="s">
        <v>114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1"/>
      <c r="B87" s="1">
        <v>203</v>
      </c>
      <c r="C87" s="8">
        <v>43238</v>
      </c>
      <c r="D87" s="17" t="s">
        <v>840</v>
      </c>
      <c r="E87" s="2" t="s">
        <v>841</v>
      </c>
      <c r="F87" s="30">
        <v>86</v>
      </c>
      <c r="G87" s="1264"/>
      <c r="H87" s="30"/>
      <c r="I87" s="2" t="s">
        <v>842</v>
      </c>
      <c r="J87" s="2" t="s">
        <v>114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1"/>
      <c r="B88" s="1">
        <v>211</v>
      </c>
      <c r="C88" s="8">
        <v>43248</v>
      </c>
      <c r="D88" s="17" t="s">
        <v>843</v>
      </c>
      <c r="E88" s="2" t="s">
        <v>844</v>
      </c>
      <c r="F88" s="30">
        <v>87</v>
      </c>
      <c r="G88" s="1264"/>
      <c r="H88" s="30"/>
      <c r="I88" s="2" t="s">
        <v>845</v>
      </c>
      <c r="J88" s="2" t="s">
        <v>39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1"/>
      <c r="B89" s="1">
        <v>214</v>
      </c>
      <c r="C89" s="8">
        <v>43253</v>
      </c>
      <c r="D89" s="17" t="s">
        <v>846</v>
      </c>
      <c r="E89" s="2" t="s">
        <v>847</v>
      </c>
      <c r="F89" s="30">
        <v>88</v>
      </c>
      <c r="G89" s="1264"/>
      <c r="H89" s="30"/>
      <c r="I89" s="2" t="s">
        <v>848</v>
      </c>
      <c r="J89" s="2" t="s">
        <v>114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1"/>
      <c r="B90" s="1">
        <v>219</v>
      </c>
      <c r="C90" s="8">
        <v>43260</v>
      </c>
      <c r="D90" s="17" t="s">
        <v>849</v>
      </c>
      <c r="E90" s="2" t="s">
        <v>850</v>
      </c>
      <c r="F90" s="30">
        <v>89</v>
      </c>
      <c r="G90" s="1264"/>
      <c r="H90" s="30"/>
      <c r="I90" s="2" t="s">
        <v>851</v>
      </c>
      <c r="J90" s="2" t="s">
        <v>39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1"/>
      <c r="B91" s="1">
        <v>227</v>
      </c>
      <c r="C91" s="8">
        <v>43269</v>
      </c>
      <c r="D91" s="17"/>
      <c r="E91" s="2" t="s">
        <v>852</v>
      </c>
      <c r="F91" s="30">
        <v>90</v>
      </c>
      <c r="G91" s="1264"/>
      <c r="H91" s="30"/>
      <c r="I91" s="2" t="s">
        <v>853</v>
      </c>
      <c r="J91" s="2" t="s">
        <v>114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1"/>
      <c r="B92" s="1">
        <v>228</v>
      </c>
      <c r="C92" s="8">
        <v>43269</v>
      </c>
      <c r="D92" s="17"/>
      <c r="E92" s="2" t="s">
        <v>854</v>
      </c>
      <c r="F92" s="30">
        <v>91</v>
      </c>
      <c r="G92" s="1264"/>
      <c r="H92" s="30"/>
      <c r="I92" s="2" t="s">
        <v>855</v>
      </c>
      <c r="J92" s="2" t="s">
        <v>39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1"/>
      <c r="B93" s="1">
        <v>235</v>
      </c>
      <c r="C93" s="8">
        <v>43273</v>
      </c>
      <c r="D93" s="17" t="s">
        <v>856</v>
      </c>
      <c r="E93" s="2" t="s">
        <v>857</v>
      </c>
      <c r="F93" s="30">
        <v>92</v>
      </c>
      <c r="G93" s="1264"/>
      <c r="H93" s="30"/>
      <c r="I93" s="2" t="s">
        <v>858</v>
      </c>
      <c r="J93" s="2" t="s">
        <v>39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1"/>
      <c r="B94" s="1">
        <v>240</v>
      </c>
      <c r="C94" s="8">
        <v>43276</v>
      </c>
      <c r="D94" s="17" t="s">
        <v>859</v>
      </c>
      <c r="E94" s="2" t="s">
        <v>860</v>
      </c>
      <c r="F94" s="30">
        <v>93</v>
      </c>
      <c r="G94" s="1264"/>
      <c r="H94" s="30"/>
      <c r="I94" s="2" t="s">
        <v>861</v>
      </c>
      <c r="J94" s="2" t="s">
        <v>114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1"/>
      <c r="B95" s="1">
        <v>242</v>
      </c>
      <c r="C95" s="8">
        <v>43276</v>
      </c>
      <c r="D95" s="17" t="s">
        <v>862</v>
      </c>
      <c r="E95" s="2" t="s">
        <v>156</v>
      </c>
      <c r="F95" s="30">
        <v>94</v>
      </c>
      <c r="G95" s="1264"/>
      <c r="H95" s="30"/>
      <c r="I95" s="2" t="s">
        <v>863</v>
      </c>
      <c r="J95" s="2" t="s">
        <v>39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1"/>
      <c r="B96" s="1">
        <v>252</v>
      </c>
      <c r="C96" s="8">
        <v>43280</v>
      </c>
      <c r="D96" s="17" t="s">
        <v>137</v>
      </c>
      <c r="E96" s="2" t="s">
        <v>864</v>
      </c>
      <c r="F96" s="30">
        <v>95</v>
      </c>
      <c r="G96" s="1264"/>
      <c r="H96" s="30"/>
      <c r="I96" s="2" t="s">
        <v>865</v>
      </c>
      <c r="J96" s="2" t="s">
        <v>39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1"/>
      <c r="B97" s="1">
        <v>257</v>
      </c>
      <c r="C97" s="8">
        <v>43285</v>
      </c>
      <c r="D97" s="17" t="s">
        <v>866</v>
      </c>
      <c r="E97" s="2" t="s">
        <v>867</v>
      </c>
      <c r="F97" s="30">
        <v>96</v>
      </c>
      <c r="G97" s="1264"/>
      <c r="H97" s="30"/>
      <c r="I97" s="2" t="s">
        <v>868</v>
      </c>
      <c r="J97" s="2" t="s">
        <v>39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1" t="s">
        <v>125</v>
      </c>
      <c r="B98" s="1">
        <v>265</v>
      </c>
      <c r="C98" s="8">
        <v>43290</v>
      </c>
      <c r="D98" s="17"/>
      <c r="E98" s="2" t="s">
        <v>33</v>
      </c>
      <c r="F98" s="30">
        <v>97</v>
      </c>
      <c r="G98" s="1264"/>
      <c r="H98" s="30"/>
      <c r="I98" s="2" t="s">
        <v>869</v>
      </c>
      <c r="J98" s="2" t="s">
        <v>39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1"/>
      <c r="B99" s="1">
        <v>267</v>
      </c>
      <c r="C99" s="8">
        <v>43291</v>
      </c>
      <c r="D99" s="1">
        <v>9771531634</v>
      </c>
      <c r="E99" s="2" t="s">
        <v>148</v>
      </c>
      <c r="F99" s="30">
        <v>98</v>
      </c>
      <c r="G99" s="1264"/>
      <c r="H99" s="30"/>
      <c r="I99" s="2" t="s">
        <v>870</v>
      </c>
      <c r="J99" s="2" t="s">
        <v>39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1"/>
      <c r="B100" s="1">
        <v>268</v>
      </c>
      <c r="C100" s="8">
        <v>43291</v>
      </c>
      <c r="D100" s="17" t="s">
        <v>871</v>
      </c>
      <c r="E100" s="2" t="s">
        <v>872</v>
      </c>
      <c r="F100" s="30">
        <v>99</v>
      </c>
      <c r="G100" s="1264"/>
      <c r="H100" s="30"/>
      <c r="I100" s="2" t="s">
        <v>873</v>
      </c>
      <c r="J100" s="2" t="s">
        <v>39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1" t="s">
        <v>161</v>
      </c>
      <c r="B101" s="1">
        <v>285</v>
      </c>
      <c r="C101" s="8">
        <v>43300</v>
      </c>
      <c r="D101" s="17"/>
      <c r="E101" s="2" t="s">
        <v>874</v>
      </c>
      <c r="F101" s="30">
        <v>100</v>
      </c>
      <c r="G101" s="1264"/>
      <c r="H101" s="30"/>
      <c r="I101" s="2" t="s">
        <v>875</v>
      </c>
      <c r="J101" s="2" t="s">
        <v>73</v>
      </c>
      <c r="K101" s="2"/>
      <c r="L101" s="2" t="s">
        <v>876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1"/>
      <c r="B102" s="1">
        <v>299</v>
      </c>
      <c r="C102" s="8">
        <v>43309</v>
      </c>
      <c r="D102" s="17" t="s">
        <v>877</v>
      </c>
      <c r="E102" s="2" t="s">
        <v>878</v>
      </c>
      <c r="F102" s="30">
        <v>101</v>
      </c>
      <c r="G102" s="1264"/>
      <c r="H102" s="30"/>
      <c r="I102" s="2" t="s">
        <v>879</v>
      </c>
      <c r="J102" s="2" t="s">
        <v>880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1"/>
      <c r="B103" s="1">
        <v>302</v>
      </c>
      <c r="C103" s="8">
        <v>43310</v>
      </c>
      <c r="D103" s="17"/>
      <c r="E103" s="2" t="s">
        <v>881</v>
      </c>
      <c r="F103" s="30">
        <v>102</v>
      </c>
      <c r="G103" s="1264"/>
      <c r="H103" s="30"/>
      <c r="I103" s="2" t="s">
        <v>882</v>
      </c>
      <c r="J103" s="2" t="s">
        <v>39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1"/>
      <c r="B104" s="1">
        <v>303</v>
      </c>
      <c r="C104" s="8">
        <v>43310</v>
      </c>
      <c r="D104" s="17"/>
      <c r="E104" s="2" t="s">
        <v>883</v>
      </c>
      <c r="F104" s="30">
        <v>103</v>
      </c>
      <c r="G104" s="1264"/>
      <c r="H104" s="30"/>
      <c r="I104" s="2" t="s">
        <v>884</v>
      </c>
      <c r="J104" s="2" t="s">
        <v>39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1"/>
      <c r="B105" s="1">
        <v>104</v>
      </c>
      <c r="C105" s="8">
        <v>43310</v>
      </c>
      <c r="D105" s="17"/>
      <c r="E105" s="2" t="s">
        <v>616</v>
      </c>
      <c r="F105" s="30">
        <v>104</v>
      </c>
      <c r="G105" s="1264"/>
      <c r="H105" s="30"/>
      <c r="I105" s="2" t="s">
        <v>885</v>
      </c>
      <c r="J105" s="2" t="s">
        <v>39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1"/>
      <c r="B106" s="1">
        <v>306</v>
      </c>
      <c r="C106" s="8">
        <v>43312</v>
      </c>
      <c r="D106" s="17" t="s">
        <v>886</v>
      </c>
      <c r="E106" s="2" t="s">
        <v>887</v>
      </c>
      <c r="F106" s="30">
        <v>105</v>
      </c>
      <c r="G106" s="1264"/>
      <c r="H106" s="30"/>
      <c r="I106" s="2" t="s">
        <v>888</v>
      </c>
      <c r="J106" s="2" t="s">
        <v>77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1"/>
      <c r="B107" s="1">
        <v>307</v>
      </c>
      <c r="C107" s="8">
        <v>43312</v>
      </c>
      <c r="D107" s="17" t="s">
        <v>889</v>
      </c>
      <c r="E107" s="2" t="s">
        <v>890</v>
      </c>
      <c r="F107" s="30">
        <v>106</v>
      </c>
      <c r="G107" s="1264"/>
      <c r="H107" s="30"/>
      <c r="I107" s="2" t="s">
        <v>891</v>
      </c>
      <c r="J107" s="2" t="s">
        <v>77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1"/>
      <c r="B108" s="1">
        <v>308</v>
      </c>
      <c r="C108" s="8">
        <v>43312</v>
      </c>
      <c r="D108" s="17" t="s">
        <v>843</v>
      </c>
      <c r="E108" s="2" t="s">
        <v>892</v>
      </c>
      <c r="F108" s="30">
        <v>107</v>
      </c>
      <c r="G108" s="1264"/>
      <c r="H108" s="30"/>
      <c r="I108" s="2" t="s">
        <v>893</v>
      </c>
      <c r="J108" s="2" t="s">
        <v>528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1"/>
      <c r="B109" s="1">
        <v>311</v>
      </c>
      <c r="C109" s="8">
        <v>43313</v>
      </c>
      <c r="D109" s="17" t="s">
        <v>894</v>
      </c>
      <c r="E109" s="2" t="s">
        <v>179</v>
      </c>
      <c r="F109" s="30">
        <v>108</v>
      </c>
      <c r="G109" s="1264"/>
      <c r="H109" s="30"/>
      <c r="I109" s="2" t="s">
        <v>895</v>
      </c>
      <c r="J109" s="2" t="s">
        <v>114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1"/>
      <c r="B110" s="1">
        <v>318</v>
      </c>
      <c r="C110" s="8">
        <v>43326</v>
      </c>
      <c r="D110" s="17" t="s">
        <v>896</v>
      </c>
      <c r="E110" s="2" t="s">
        <v>897</v>
      </c>
      <c r="F110" s="30">
        <v>109</v>
      </c>
      <c r="G110" s="1264"/>
      <c r="H110" s="30"/>
      <c r="I110" s="2" t="s">
        <v>898</v>
      </c>
      <c r="J110" s="2" t="s">
        <v>39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1"/>
      <c r="B111" s="1">
        <v>323</v>
      </c>
      <c r="C111" s="8">
        <v>43332</v>
      </c>
      <c r="D111" s="17"/>
      <c r="E111" s="2" t="s">
        <v>899</v>
      </c>
      <c r="F111" s="30">
        <v>110</v>
      </c>
      <c r="G111" s="1264"/>
      <c r="H111" s="30"/>
      <c r="I111" s="2" t="s">
        <v>900</v>
      </c>
      <c r="J111" s="2" t="s">
        <v>39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1"/>
      <c r="B112" s="1">
        <v>319</v>
      </c>
      <c r="C112" s="8">
        <v>43332</v>
      </c>
      <c r="D112" s="17"/>
      <c r="E112" s="2" t="s">
        <v>901</v>
      </c>
      <c r="F112" s="30">
        <v>111</v>
      </c>
      <c r="G112" s="1264"/>
      <c r="H112" s="30"/>
      <c r="I112" s="2" t="s">
        <v>902</v>
      </c>
      <c r="J112" s="2" t="s">
        <v>39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1"/>
      <c r="B113" s="1">
        <v>322</v>
      </c>
      <c r="C113" s="8">
        <v>43332</v>
      </c>
      <c r="D113" s="17" t="s">
        <v>903</v>
      </c>
      <c r="E113" s="2" t="s">
        <v>904</v>
      </c>
      <c r="F113" s="30">
        <v>112</v>
      </c>
      <c r="G113" s="1264"/>
      <c r="H113" s="30"/>
      <c r="I113" s="2" t="s">
        <v>905</v>
      </c>
      <c r="J113" s="2" t="s">
        <v>39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1"/>
      <c r="B114" s="1">
        <v>321</v>
      </c>
      <c r="C114" s="8">
        <v>43332</v>
      </c>
      <c r="D114" s="17"/>
      <c r="E114" s="2" t="s">
        <v>906</v>
      </c>
      <c r="F114" s="30">
        <v>113</v>
      </c>
      <c r="G114" s="1264"/>
      <c r="H114" s="30"/>
      <c r="I114" s="2" t="s">
        <v>907</v>
      </c>
      <c r="J114" s="2" t="s">
        <v>77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1"/>
      <c r="B115" s="1">
        <v>324</v>
      </c>
      <c r="C115" s="8">
        <v>43333</v>
      </c>
      <c r="D115" s="17" t="s">
        <v>908</v>
      </c>
      <c r="E115" s="2" t="s">
        <v>909</v>
      </c>
      <c r="F115" s="30">
        <v>114</v>
      </c>
      <c r="G115" s="1264"/>
      <c r="H115" s="30"/>
      <c r="I115" s="2" t="s">
        <v>910</v>
      </c>
      <c r="J115" s="2" t="s">
        <v>77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1"/>
      <c r="B116" s="1">
        <v>325</v>
      </c>
      <c r="C116" s="8">
        <v>43336</v>
      </c>
      <c r="D116" s="17" t="s">
        <v>911</v>
      </c>
      <c r="E116" s="2" t="s">
        <v>50</v>
      </c>
      <c r="F116" s="30">
        <v>115</v>
      </c>
      <c r="G116" s="1264"/>
      <c r="H116" s="30"/>
      <c r="I116" s="2" t="s">
        <v>912</v>
      </c>
      <c r="J116" s="2" t="s">
        <v>77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1"/>
      <c r="B117" s="1">
        <v>334</v>
      </c>
      <c r="C117" s="8">
        <v>43336</v>
      </c>
      <c r="D117" s="17" t="s">
        <v>913</v>
      </c>
      <c r="E117" s="2" t="s">
        <v>914</v>
      </c>
      <c r="F117" s="30">
        <v>116</v>
      </c>
      <c r="G117" s="1264"/>
      <c r="H117" s="30"/>
      <c r="I117" s="2" t="s">
        <v>915</v>
      </c>
      <c r="J117" s="2" t="s">
        <v>114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1"/>
      <c r="B118" s="1"/>
      <c r="C118" s="8">
        <v>43337</v>
      </c>
      <c r="D118" s="17" t="s">
        <v>916</v>
      </c>
      <c r="E118" s="2" t="s">
        <v>642</v>
      </c>
      <c r="F118" s="30"/>
      <c r="G118" s="1264"/>
      <c r="H118" s="30"/>
      <c r="I118" s="2" t="s">
        <v>917</v>
      </c>
      <c r="J118" s="2" t="s">
        <v>39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1"/>
      <c r="B119" s="1">
        <v>342</v>
      </c>
      <c r="C119" s="8">
        <v>43341</v>
      </c>
      <c r="D119" s="17" t="s">
        <v>918</v>
      </c>
      <c r="E119" s="2" t="s">
        <v>602</v>
      </c>
      <c r="F119" s="30">
        <v>117</v>
      </c>
      <c r="G119" s="1264"/>
      <c r="H119" s="30"/>
      <c r="I119" s="2" t="s">
        <v>919</v>
      </c>
      <c r="J119" s="2" t="s">
        <v>191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1"/>
      <c r="B120" s="1">
        <v>345</v>
      </c>
      <c r="C120" s="8">
        <v>43342</v>
      </c>
      <c r="D120" s="17" t="s">
        <v>762</v>
      </c>
      <c r="E120" s="2" t="s">
        <v>763</v>
      </c>
      <c r="F120" s="30">
        <v>118</v>
      </c>
      <c r="G120" s="1264"/>
      <c r="H120" s="30"/>
      <c r="I120" s="2" t="s">
        <v>920</v>
      </c>
      <c r="J120" s="2" t="s">
        <v>39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1"/>
      <c r="B121" s="1">
        <v>346</v>
      </c>
      <c r="C121" s="8">
        <v>43346</v>
      </c>
      <c r="D121" s="17" t="s">
        <v>921</v>
      </c>
      <c r="E121" s="2" t="s">
        <v>597</v>
      </c>
      <c r="F121" s="30">
        <v>119</v>
      </c>
      <c r="G121" s="1264"/>
      <c r="H121" s="30"/>
      <c r="I121" s="2" t="s">
        <v>922</v>
      </c>
      <c r="J121" s="2" t="s">
        <v>39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1"/>
      <c r="B122" s="1">
        <v>347</v>
      </c>
      <c r="C122" s="8">
        <v>43346</v>
      </c>
      <c r="D122" s="17" t="s">
        <v>921</v>
      </c>
      <c r="E122" s="2" t="s">
        <v>923</v>
      </c>
      <c r="F122" s="30">
        <v>120</v>
      </c>
      <c r="G122" s="1264"/>
      <c r="H122" s="30"/>
      <c r="I122" s="2" t="s">
        <v>924</v>
      </c>
      <c r="J122" s="2" t="s">
        <v>39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1"/>
      <c r="B123" s="1">
        <v>352</v>
      </c>
      <c r="C123" s="8">
        <v>43351</v>
      </c>
      <c r="D123" s="17" t="s">
        <v>925</v>
      </c>
      <c r="E123" s="2" t="s">
        <v>926</v>
      </c>
      <c r="F123" s="30">
        <v>121</v>
      </c>
      <c r="G123" s="1264"/>
      <c r="H123" s="30"/>
      <c r="I123" s="2" t="s">
        <v>927</v>
      </c>
      <c r="J123" s="2" t="s">
        <v>36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1"/>
      <c r="B124" s="1">
        <v>358</v>
      </c>
      <c r="C124" s="8">
        <v>43355</v>
      </c>
      <c r="D124" s="17" t="s">
        <v>928</v>
      </c>
      <c r="E124" s="2" t="s">
        <v>210</v>
      </c>
      <c r="F124" s="30">
        <v>122</v>
      </c>
      <c r="G124" s="1264"/>
      <c r="H124" s="30"/>
      <c r="I124" s="2" t="s">
        <v>929</v>
      </c>
      <c r="J124" s="2" t="s">
        <v>77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1"/>
      <c r="B125" s="1">
        <v>360</v>
      </c>
      <c r="C125" s="8">
        <v>43356</v>
      </c>
      <c r="D125" s="17" t="s">
        <v>930</v>
      </c>
      <c r="E125" s="2" t="s">
        <v>931</v>
      </c>
      <c r="F125" s="30">
        <v>123</v>
      </c>
      <c r="G125" s="1264"/>
      <c r="H125" s="30"/>
      <c r="I125" s="2" t="s">
        <v>932</v>
      </c>
      <c r="J125" s="2" t="s">
        <v>39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1"/>
      <c r="B126" s="1">
        <v>361</v>
      </c>
      <c r="C126" s="8">
        <v>43359</v>
      </c>
      <c r="D126" s="17" t="s">
        <v>933</v>
      </c>
      <c r="E126" s="2" t="s">
        <v>934</v>
      </c>
      <c r="F126" s="30">
        <v>124</v>
      </c>
      <c r="G126" s="1264"/>
      <c r="H126" s="30"/>
      <c r="I126" s="2" t="s">
        <v>935</v>
      </c>
      <c r="J126" s="2" t="s">
        <v>39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1"/>
      <c r="B127" s="1">
        <v>362</v>
      </c>
      <c r="C127" s="8">
        <v>43359</v>
      </c>
      <c r="D127" s="17" t="s">
        <v>936</v>
      </c>
      <c r="E127" s="2" t="s">
        <v>937</v>
      </c>
      <c r="F127" s="30">
        <v>125</v>
      </c>
      <c r="G127" s="1264"/>
      <c r="H127" s="30"/>
      <c r="I127" s="2" t="s">
        <v>938</v>
      </c>
      <c r="J127" s="11" t="s">
        <v>92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1"/>
      <c r="B128" s="1">
        <v>365</v>
      </c>
      <c r="C128" s="8">
        <v>43367</v>
      </c>
      <c r="D128" s="17"/>
      <c r="E128" s="2" t="s">
        <v>939</v>
      </c>
      <c r="F128" s="30">
        <v>126</v>
      </c>
      <c r="G128" s="1264"/>
      <c r="H128" s="30"/>
      <c r="I128" s="2" t="s">
        <v>940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1"/>
      <c r="B129" s="1">
        <v>369</v>
      </c>
      <c r="C129" s="8">
        <v>43371</v>
      </c>
      <c r="D129" s="17" t="s">
        <v>941</v>
      </c>
      <c r="E129" s="2" t="s">
        <v>942</v>
      </c>
      <c r="F129" s="30">
        <v>127</v>
      </c>
      <c r="G129" s="1264"/>
      <c r="H129" s="30"/>
      <c r="I129" s="2" t="s">
        <v>943</v>
      </c>
      <c r="J129" s="2" t="s">
        <v>39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1"/>
      <c r="B130" s="1"/>
      <c r="C130" s="8">
        <v>43359</v>
      </c>
      <c r="D130" s="17"/>
      <c r="E130" s="2" t="s">
        <v>944</v>
      </c>
      <c r="F130" s="30"/>
      <c r="G130" s="1264"/>
      <c r="H130" s="30"/>
      <c r="I130" s="2" t="s">
        <v>945</v>
      </c>
      <c r="J130" s="2" t="s">
        <v>528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1"/>
      <c r="B131" s="1">
        <v>373</v>
      </c>
      <c r="C131" s="8">
        <v>43375</v>
      </c>
      <c r="D131" s="17" t="s">
        <v>946</v>
      </c>
      <c r="E131" s="2" t="s">
        <v>947</v>
      </c>
      <c r="F131" s="30">
        <v>129</v>
      </c>
      <c r="G131" s="1264"/>
      <c r="H131" s="30"/>
      <c r="I131" s="2" t="s">
        <v>948</v>
      </c>
      <c r="J131" s="2" t="s">
        <v>60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1"/>
      <c r="B132" s="1">
        <v>377</v>
      </c>
      <c r="C132" s="8">
        <v>43377</v>
      </c>
      <c r="D132" s="17" t="s">
        <v>949</v>
      </c>
      <c r="E132" s="2" t="s">
        <v>216</v>
      </c>
      <c r="F132" s="30">
        <v>130</v>
      </c>
      <c r="G132" s="1264"/>
      <c r="H132" s="30"/>
      <c r="I132" s="2" t="s">
        <v>950</v>
      </c>
      <c r="J132" s="2" t="s">
        <v>77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1"/>
      <c r="B133" s="1">
        <v>379</v>
      </c>
      <c r="C133" s="8">
        <v>43377</v>
      </c>
      <c r="D133" s="17"/>
      <c r="E133" s="2" t="s">
        <v>951</v>
      </c>
      <c r="F133" s="30">
        <v>131</v>
      </c>
      <c r="G133" s="1264"/>
      <c r="H133" s="30"/>
      <c r="I133" s="2" t="s">
        <v>952</v>
      </c>
      <c r="J133" s="2" t="s">
        <v>39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1"/>
      <c r="B134" s="1">
        <v>382</v>
      </c>
      <c r="C134" s="8">
        <v>43377</v>
      </c>
      <c r="D134" s="17" t="s">
        <v>953</v>
      </c>
      <c r="E134" s="2" t="s">
        <v>954</v>
      </c>
      <c r="F134" s="30">
        <v>132</v>
      </c>
      <c r="G134" s="1264"/>
      <c r="H134" s="30"/>
      <c r="I134" s="2" t="s">
        <v>955</v>
      </c>
      <c r="J134" s="2" t="s">
        <v>39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1"/>
      <c r="B135" s="1">
        <v>383</v>
      </c>
      <c r="C135" s="8">
        <v>43377</v>
      </c>
      <c r="D135" s="17" t="s">
        <v>956</v>
      </c>
      <c r="E135" s="2" t="s">
        <v>957</v>
      </c>
      <c r="F135" s="30">
        <v>133</v>
      </c>
      <c r="G135" s="1264"/>
      <c r="H135" s="30"/>
      <c r="I135" s="39" t="s">
        <v>958</v>
      </c>
      <c r="J135" s="2" t="s">
        <v>39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1"/>
      <c r="B136" s="1">
        <v>384</v>
      </c>
      <c r="C136" s="8">
        <v>43381</v>
      </c>
      <c r="D136" s="17" t="s">
        <v>959</v>
      </c>
      <c r="E136" s="2" t="s">
        <v>960</v>
      </c>
      <c r="F136" s="30">
        <v>134</v>
      </c>
      <c r="G136" s="1264"/>
      <c r="H136" s="30"/>
      <c r="I136" s="39" t="s">
        <v>961</v>
      </c>
      <c r="J136" s="2" t="s">
        <v>39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1"/>
      <c r="B137" s="1">
        <v>385</v>
      </c>
      <c r="C137" s="8">
        <v>43382</v>
      </c>
      <c r="D137" s="17" t="s">
        <v>962</v>
      </c>
      <c r="E137" s="2" t="s">
        <v>963</v>
      </c>
      <c r="F137" s="30">
        <v>135</v>
      </c>
      <c r="G137" s="1264"/>
      <c r="H137" s="30"/>
      <c r="I137" s="39" t="s">
        <v>964</v>
      </c>
      <c r="J137" s="2" t="s">
        <v>39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1"/>
      <c r="B138" s="1">
        <v>392</v>
      </c>
      <c r="C138" s="8">
        <v>43394</v>
      </c>
      <c r="D138" s="17" t="s">
        <v>965</v>
      </c>
      <c r="E138" s="2" t="s">
        <v>966</v>
      </c>
      <c r="F138" s="30">
        <v>136</v>
      </c>
      <c r="G138" s="1264"/>
      <c r="H138" s="30"/>
      <c r="I138" s="39" t="s">
        <v>967</v>
      </c>
      <c r="J138" s="2" t="s">
        <v>39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1"/>
      <c r="B139" s="1">
        <v>393</v>
      </c>
      <c r="C139" s="8">
        <v>43394</v>
      </c>
      <c r="D139" s="17" t="s">
        <v>968</v>
      </c>
      <c r="E139" s="2" t="s">
        <v>969</v>
      </c>
      <c r="F139" s="30">
        <v>137</v>
      </c>
      <c r="G139" s="1264"/>
      <c r="H139" s="30"/>
      <c r="I139" s="25" t="s">
        <v>970</v>
      </c>
      <c r="J139" s="2" t="s">
        <v>39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1"/>
      <c r="B140" s="1">
        <v>394</v>
      </c>
      <c r="C140" s="8">
        <v>43394</v>
      </c>
      <c r="D140" s="17" t="s">
        <v>971</v>
      </c>
      <c r="E140" s="2" t="s">
        <v>972</v>
      </c>
      <c r="F140" s="30">
        <v>138</v>
      </c>
      <c r="G140" s="1264"/>
      <c r="H140" s="30"/>
      <c r="I140" s="39" t="s">
        <v>973</v>
      </c>
      <c r="J140" s="2" t="s">
        <v>114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1"/>
      <c r="B141" s="1">
        <v>395</v>
      </c>
      <c r="C141" s="8">
        <v>43398</v>
      </c>
      <c r="D141" s="17" t="s">
        <v>974</v>
      </c>
      <c r="E141" s="2" t="s">
        <v>975</v>
      </c>
      <c r="F141" s="30">
        <v>139</v>
      </c>
      <c r="G141" s="1264"/>
      <c r="H141" s="30"/>
      <c r="I141" s="39" t="s">
        <v>976</v>
      </c>
      <c r="J141" s="2" t="s">
        <v>114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1"/>
      <c r="B142" s="1">
        <v>400</v>
      </c>
      <c r="C142" s="8">
        <v>43414</v>
      </c>
      <c r="D142" s="17" t="s">
        <v>977</v>
      </c>
      <c r="E142" s="2" t="s">
        <v>978</v>
      </c>
      <c r="F142" s="30">
        <v>140</v>
      </c>
      <c r="G142" s="1264"/>
      <c r="H142" s="30"/>
      <c r="I142" s="40" t="s">
        <v>979</v>
      </c>
      <c r="J142" s="2" t="s">
        <v>39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1"/>
      <c r="B143" s="1">
        <v>402</v>
      </c>
      <c r="C143" s="8">
        <v>43423</v>
      </c>
      <c r="D143" s="17"/>
      <c r="E143" s="2" t="s">
        <v>980</v>
      </c>
      <c r="F143" s="30">
        <v>141</v>
      </c>
      <c r="G143" s="1264"/>
      <c r="H143" s="30"/>
      <c r="I143" s="40" t="s">
        <v>981</v>
      </c>
      <c r="J143" s="2" t="s">
        <v>39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1"/>
      <c r="B144" s="1">
        <v>406</v>
      </c>
      <c r="C144" s="1"/>
      <c r="D144" s="17"/>
      <c r="E144" s="2" t="s">
        <v>982</v>
      </c>
      <c r="F144" s="30" t="s">
        <v>983</v>
      </c>
      <c r="G144" s="1264"/>
      <c r="H144" s="30"/>
      <c r="I144" s="2" t="s">
        <v>984</v>
      </c>
      <c r="J144" s="2" t="s">
        <v>507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1" t="s">
        <v>165</v>
      </c>
      <c r="B145" s="1">
        <v>411</v>
      </c>
      <c r="C145" s="8">
        <v>43449</v>
      </c>
      <c r="D145" s="17" t="s">
        <v>908</v>
      </c>
      <c r="E145" s="2" t="s">
        <v>985</v>
      </c>
      <c r="F145" s="30">
        <v>142</v>
      </c>
      <c r="G145" s="1264"/>
      <c r="H145" s="30"/>
      <c r="I145" s="40" t="s">
        <v>986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1" t="s">
        <v>165</v>
      </c>
      <c r="B146" s="1">
        <v>413</v>
      </c>
      <c r="C146" s="8">
        <v>43459</v>
      </c>
      <c r="D146" s="17" t="s">
        <v>987</v>
      </c>
      <c r="E146" s="2" t="s">
        <v>988</v>
      </c>
      <c r="F146" s="30">
        <v>143</v>
      </c>
      <c r="G146" s="1264"/>
      <c r="H146" s="30"/>
      <c r="I146" s="39" t="s">
        <v>989</v>
      </c>
      <c r="J146" s="2" t="s">
        <v>39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1" t="s">
        <v>990</v>
      </c>
      <c r="B147" s="1">
        <v>415</v>
      </c>
      <c r="C147" s="8">
        <v>43459</v>
      </c>
      <c r="D147" s="17" t="s">
        <v>908</v>
      </c>
      <c r="E147" s="2" t="s">
        <v>985</v>
      </c>
      <c r="F147" s="30">
        <v>144</v>
      </c>
      <c r="G147" s="1264"/>
      <c r="H147" s="30"/>
      <c r="I147" s="39" t="s">
        <v>991</v>
      </c>
      <c r="J147" s="2" t="s">
        <v>39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1"/>
      <c r="B148" s="1">
        <v>416</v>
      </c>
      <c r="C148" s="8">
        <v>43461</v>
      </c>
      <c r="D148" s="17" t="s">
        <v>992</v>
      </c>
      <c r="E148" s="2" t="s">
        <v>993</v>
      </c>
      <c r="F148" s="30">
        <v>145</v>
      </c>
      <c r="G148" s="1264"/>
      <c r="H148" s="30"/>
      <c r="I148" s="39" t="s">
        <v>994</v>
      </c>
      <c r="J148" s="2" t="s">
        <v>39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1"/>
      <c r="B149" s="1">
        <v>417</v>
      </c>
      <c r="C149" s="8">
        <v>43461</v>
      </c>
      <c r="D149" s="17" t="s">
        <v>995</v>
      </c>
      <c r="E149" s="2" t="s">
        <v>996</v>
      </c>
      <c r="F149" s="30">
        <v>146</v>
      </c>
      <c r="G149" s="1264"/>
      <c r="H149" s="30"/>
      <c r="I149" s="39" t="s">
        <v>997</v>
      </c>
      <c r="J149" s="2" t="s">
        <v>507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1"/>
      <c r="B150" s="1">
        <v>420</v>
      </c>
      <c r="C150" s="8">
        <v>43463</v>
      </c>
      <c r="D150" s="17"/>
      <c r="E150" s="2" t="s">
        <v>998</v>
      </c>
      <c r="F150" s="30">
        <v>147</v>
      </c>
      <c r="G150" s="1264"/>
      <c r="H150" s="30"/>
      <c r="I150" s="39" t="s">
        <v>999</v>
      </c>
      <c r="J150" s="2" t="s">
        <v>507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1"/>
      <c r="B151" s="1">
        <v>421</v>
      </c>
      <c r="C151" s="8">
        <v>43465</v>
      </c>
      <c r="D151" s="17" t="s">
        <v>1000</v>
      </c>
      <c r="E151" s="2" t="s">
        <v>1001</v>
      </c>
      <c r="F151" s="30">
        <v>148</v>
      </c>
      <c r="G151" s="1264"/>
      <c r="H151" s="30"/>
      <c r="I151" s="39" t="s">
        <v>1002</v>
      </c>
      <c r="J151" s="2" t="s">
        <v>507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1"/>
      <c r="B152" s="1">
        <v>422</v>
      </c>
      <c r="C152" s="8">
        <v>43465</v>
      </c>
      <c r="D152" s="17"/>
      <c r="E152" s="2" t="s">
        <v>1003</v>
      </c>
      <c r="F152" s="30">
        <v>149</v>
      </c>
      <c r="G152" s="1264"/>
      <c r="H152" s="30"/>
      <c r="I152" s="39" t="s">
        <v>1004</v>
      </c>
      <c r="J152" s="2" t="s">
        <v>1005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1"/>
      <c r="B153" s="1">
        <v>423</v>
      </c>
      <c r="C153" s="8">
        <v>43465</v>
      </c>
      <c r="D153" s="17" t="s">
        <v>1006</v>
      </c>
      <c r="E153" s="2" t="s">
        <v>1007</v>
      </c>
      <c r="F153" s="30">
        <v>150</v>
      </c>
      <c r="G153" s="1264"/>
      <c r="H153" s="30"/>
      <c r="I153" s="39" t="s">
        <v>1008</v>
      </c>
      <c r="J153" s="2" t="s">
        <v>507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1"/>
      <c r="B154" s="1">
        <v>424</v>
      </c>
      <c r="C154" s="8">
        <v>43465</v>
      </c>
      <c r="D154" s="17" t="s">
        <v>1009</v>
      </c>
      <c r="E154" s="2" t="s">
        <v>1010</v>
      </c>
      <c r="F154" s="30">
        <v>151</v>
      </c>
      <c r="G154" s="1264"/>
      <c r="H154" s="30"/>
      <c r="I154" s="39" t="s">
        <v>1011</v>
      </c>
      <c r="J154" s="2" t="s">
        <v>1005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1"/>
      <c r="B155" s="1">
        <v>425</v>
      </c>
      <c r="C155" s="8">
        <v>43465</v>
      </c>
      <c r="D155" s="17" t="s">
        <v>1009</v>
      </c>
      <c r="E155" s="2" t="s">
        <v>1012</v>
      </c>
      <c r="F155" s="30">
        <v>152</v>
      </c>
      <c r="G155" s="1264"/>
      <c r="H155" s="30"/>
      <c r="I155" s="39" t="s">
        <v>1013</v>
      </c>
      <c r="J155" s="2" t="s">
        <v>39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1"/>
      <c r="B156" s="1">
        <v>426</v>
      </c>
      <c r="C156" s="8">
        <v>43465</v>
      </c>
      <c r="D156" s="17" t="s">
        <v>1009</v>
      </c>
      <c r="E156" s="2" t="s">
        <v>821</v>
      </c>
      <c r="F156" s="30">
        <v>153</v>
      </c>
      <c r="G156" s="1264"/>
      <c r="H156" s="30"/>
      <c r="I156" s="39" t="s">
        <v>1014</v>
      </c>
      <c r="J156" s="2" t="s">
        <v>1005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1"/>
      <c r="B157" s="1">
        <v>427</v>
      </c>
      <c r="C157" s="8">
        <v>43465</v>
      </c>
      <c r="D157" s="17" t="s">
        <v>1009</v>
      </c>
      <c r="E157" s="2" t="s">
        <v>1015</v>
      </c>
      <c r="F157" s="30">
        <v>154</v>
      </c>
      <c r="G157" s="1264"/>
      <c r="H157" s="30"/>
      <c r="I157" s="39" t="s">
        <v>1016</v>
      </c>
      <c r="J157" s="2" t="s">
        <v>1005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1"/>
      <c r="B158" s="1">
        <v>428</v>
      </c>
      <c r="C158" s="8">
        <v>43465</v>
      </c>
      <c r="D158" s="17" t="s">
        <v>1009</v>
      </c>
      <c r="E158" s="2" t="s">
        <v>1017</v>
      </c>
      <c r="F158" s="30">
        <v>155</v>
      </c>
      <c r="G158" s="1264"/>
      <c r="H158" s="30"/>
      <c r="I158" s="39" t="s">
        <v>1018</v>
      </c>
      <c r="J158" s="2" t="s">
        <v>39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1"/>
      <c r="B159" s="1">
        <v>429</v>
      </c>
      <c r="C159" s="8">
        <v>43465</v>
      </c>
      <c r="D159" s="17" t="s">
        <v>1009</v>
      </c>
      <c r="E159" s="2" t="s">
        <v>1019</v>
      </c>
      <c r="F159" s="30">
        <v>156</v>
      </c>
      <c r="G159" s="1264"/>
      <c r="H159" s="30"/>
      <c r="I159" s="39" t="s">
        <v>1020</v>
      </c>
      <c r="J159" s="2" t="s">
        <v>692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1"/>
      <c r="B160" s="1">
        <v>430</v>
      </c>
      <c r="C160" s="8">
        <v>43465</v>
      </c>
      <c r="D160" s="17" t="s">
        <v>1009</v>
      </c>
      <c r="E160" s="2" t="s">
        <v>1021</v>
      </c>
      <c r="F160" s="30">
        <v>157</v>
      </c>
      <c r="G160" s="1264"/>
      <c r="H160" s="30"/>
      <c r="I160" s="39" t="s">
        <v>1022</v>
      </c>
      <c r="J160" s="2" t="s">
        <v>1005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1"/>
      <c r="B161" s="1">
        <v>438</v>
      </c>
      <c r="C161" s="8">
        <v>43486</v>
      </c>
      <c r="D161" s="17" t="s">
        <v>1023</v>
      </c>
      <c r="E161" s="2" t="s">
        <v>262</v>
      </c>
      <c r="F161" s="30">
        <v>158</v>
      </c>
      <c r="G161" s="1264"/>
      <c r="H161" s="30"/>
      <c r="I161" s="39" t="s">
        <v>1024</v>
      </c>
      <c r="J161" s="2" t="s">
        <v>507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1" t="s">
        <v>125</v>
      </c>
      <c r="B162" s="1">
        <v>442</v>
      </c>
      <c r="C162" s="8">
        <v>43489</v>
      </c>
      <c r="D162" s="17" t="s">
        <v>1025</v>
      </c>
      <c r="E162" s="2" t="s">
        <v>1026</v>
      </c>
      <c r="F162" s="30">
        <v>159</v>
      </c>
      <c r="G162" s="1264"/>
      <c r="H162" s="30"/>
      <c r="I162" s="39" t="s">
        <v>1027</v>
      </c>
      <c r="J162" s="2" t="s">
        <v>39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1" t="s">
        <v>125</v>
      </c>
      <c r="B163" s="1">
        <v>443</v>
      </c>
      <c r="C163" s="8">
        <v>43489</v>
      </c>
      <c r="D163" s="17" t="s">
        <v>1025</v>
      </c>
      <c r="E163" s="2" t="s">
        <v>1028</v>
      </c>
      <c r="F163" s="30">
        <v>160</v>
      </c>
      <c r="G163" s="1264"/>
      <c r="H163" s="30"/>
      <c r="I163" s="39" t="s">
        <v>1029</v>
      </c>
      <c r="J163" s="2" t="s">
        <v>39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1" t="s">
        <v>125</v>
      </c>
      <c r="B164" s="1">
        <v>444</v>
      </c>
      <c r="C164" s="8">
        <v>43489</v>
      </c>
      <c r="D164" s="17" t="s">
        <v>1025</v>
      </c>
      <c r="E164" s="2" t="s">
        <v>1030</v>
      </c>
      <c r="F164" s="30">
        <v>161</v>
      </c>
      <c r="G164" s="1264"/>
      <c r="H164" s="30"/>
      <c r="I164" s="39" t="s">
        <v>1031</v>
      </c>
      <c r="J164" s="2" t="s">
        <v>39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1" t="s">
        <v>125</v>
      </c>
      <c r="B165" s="1">
        <v>445</v>
      </c>
      <c r="C165" s="8">
        <v>43489</v>
      </c>
      <c r="D165" s="17" t="s">
        <v>1025</v>
      </c>
      <c r="E165" s="2" t="s">
        <v>1032</v>
      </c>
      <c r="F165" s="30">
        <v>162</v>
      </c>
      <c r="G165" s="1264"/>
      <c r="H165" s="30"/>
      <c r="I165" s="39" t="s">
        <v>1033</v>
      </c>
      <c r="J165" s="2" t="s">
        <v>39</v>
      </c>
      <c r="K165" s="2">
        <v>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1"/>
      <c r="B166" s="1">
        <v>490</v>
      </c>
      <c r="C166" s="9">
        <v>43501</v>
      </c>
      <c r="D166" s="17" t="s">
        <v>1025</v>
      </c>
      <c r="E166" s="2" t="s">
        <v>1028</v>
      </c>
      <c r="F166" s="30">
        <v>163</v>
      </c>
      <c r="G166" s="1264"/>
      <c r="H166" s="30"/>
      <c r="I166" s="39" t="s">
        <v>1034</v>
      </c>
      <c r="J166" s="2" t="s">
        <v>39</v>
      </c>
      <c r="K166" s="2">
        <v>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1"/>
      <c r="B167" s="1">
        <v>491</v>
      </c>
      <c r="C167" s="9">
        <v>43501</v>
      </c>
      <c r="D167" s="17" t="s">
        <v>1025</v>
      </c>
      <c r="E167" s="2" t="s">
        <v>1035</v>
      </c>
      <c r="F167" s="30">
        <v>164</v>
      </c>
      <c r="G167" s="1264"/>
      <c r="H167" s="30"/>
      <c r="I167" s="39" t="s">
        <v>1036</v>
      </c>
      <c r="J167" s="2" t="s">
        <v>39</v>
      </c>
      <c r="K167" s="2">
        <v>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1"/>
      <c r="B168" s="1">
        <v>492</v>
      </c>
      <c r="C168" s="9">
        <v>43501</v>
      </c>
      <c r="D168" s="17" t="s">
        <v>1025</v>
      </c>
      <c r="E168" s="2" t="s">
        <v>1032</v>
      </c>
      <c r="F168" s="30">
        <v>165</v>
      </c>
      <c r="G168" s="1264"/>
      <c r="H168" s="30"/>
      <c r="I168" s="39" t="s">
        <v>1037</v>
      </c>
      <c r="J168" s="2" t="s">
        <v>39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1"/>
      <c r="B169" s="1">
        <v>493</v>
      </c>
      <c r="C169" s="9">
        <v>43501</v>
      </c>
      <c r="D169" s="17" t="s">
        <v>1025</v>
      </c>
      <c r="E169" s="2" t="s">
        <v>1030</v>
      </c>
      <c r="F169" s="30">
        <v>166</v>
      </c>
      <c r="G169" s="1264"/>
      <c r="H169" s="30"/>
      <c r="I169" s="39" t="s">
        <v>1038</v>
      </c>
      <c r="J169" s="2" t="s">
        <v>39</v>
      </c>
      <c r="K169" s="2">
        <v>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1"/>
      <c r="B170" s="1">
        <v>494</v>
      </c>
      <c r="C170" s="9">
        <v>43501</v>
      </c>
      <c r="D170" s="17" t="s">
        <v>1025</v>
      </c>
      <c r="E170" s="2" t="s">
        <v>1039</v>
      </c>
      <c r="F170" s="30">
        <v>167</v>
      </c>
      <c r="G170" s="1264"/>
      <c r="H170" s="30"/>
      <c r="I170" s="39" t="s">
        <v>1040</v>
      </c>
      <c r="J170" s="2" t="s">
        <v>39</v>
      </c>
      <c r="K170" s="2">
        <v>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1"/>
      <c r="B171" s="1">
        <v>495</v>
      </c>
      <c r="C171" s="9">
        <v>43501</v>
      </c>
      <c r="D171" s="17" t="s">
        <v>1025</v>
      </c>
      <c r="E171" s="2" t="s">
        <v>1041</v>
      </c>
      <c r="F171" s="30">
        <v>168</v>
      </c>
      <c r="G171" s="1264"/>
      <c r="H171" s="30"/>
      <c r="I171" s="39" t="s">
        <v>1042</v>
      </c>
      <c r="J171" s="2" t="s">
        <v>39</v>
      </c>
      <c r="K171" s="2">
        <v>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1"/>
      <c r="B172" s="1">
        <v>496</v>
      </c>
      <c r="C172" s="9">
        <v>43501</v>
      </c>
      <c r="D172" s="17" t="s">
        <v>1025</v>
      </c>
      <c r="E172" s="2" t="s">
        <v>1043</v>
      </c>
      <c r="F172" s="30">
        <v>169</v>
      </c>
      <c r="G172" s="1264"/>
      <c r="H172" s="30"/>
      <c r="I172" s="39" t="s">
        <v>1044</v>
      </c>
      <c r="J172" s="2" t="s">
        <v>39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1"/>
      <c r="B173" s="1">
        <v>497</v>
      </c>
      <c r="C173" s="9">
        <v>43501</v>
      </c>
      <c r="D173" s="17" t="s">
        <v>1025</v>
      </c>
      <c r="E173" s="2" t="s">
        <v>1045</v>
      </c>
      <c r="F173" s="30">
        <v>170</v>
      </c>
      <c r="G173" s="1264"/>
      <c r="H173" s="30"/>
      <c r="I173" s="39" t="s">
        <v>1046</v>
      </c>
      <c r="J173" s="2" t="s">
        <v>39</v>
      </c>
      <c r="K173" s="2">
        <v>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1"/>
      <c r="B174" s="1">
        <v>505</v>
      </c>
      <c r="C174" s="9">
        <v>43505</v>
      </c>
      <c r="D174" s="17" t="s">
        <v>1047</v>
      </c>
      <c r="E174" s="2" t="s">
        <v>1048</v>
      </c>
      <c r="F174" s="30">
        <v>171</v>
      </c>
      <c r="G174" s="1264"/>
      <c r="H174" s="30"/>
      <c r="I174" s="40" t="s">
        <v>1049</v>
      </c>
      <c r="J174" s="2" t="s">
        <v>39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1"/>
      <c r="B175" s="1">
        <v>506</v>
      </c>
      <c r="C175" s="9">
        <v>43505</v>
      </c>
      <c r="D175" s="17" t="s">
        <v>1050</v>
      </c>
      <c r="E175" s="2" t="s">
        <v>1051</v>
      </c>
      <c r="F175" s="30">
        <v>172</v>
      </c>
      <c r="G175" s="1264"/>
      <c r="H175" s="30"/>
      <c r="I175" s="39" t="s">
        <v>1052</v>
      </c>
      <c r="J175" s="2" t="s">
        <v>39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1"/>
      <c r="B176" s="1">
        <v>510</v>
      </c>
      <c r="C176" s="9">
        <v>43510</v>
      </c>
      <c r="D176" s="17" t="s">
        <v>1025</v>
      </c>
      <c r="E176" s="2" t="s">
        <v>1053</v>
      </c>
      <c r="F176" s="30">
        <v>173</v>
      </c>
      <c r="G176" s="1264"/>
      <c r="H176" s="30"/>
      <c r="I176" s="39" t="s">
        <v>1054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1"/>
      <c r="B177" s="1">
        <v>511</v>
      </c>
      <c r="C177" s="9">
        <v>43510</v>
      </c>
      <c r="D177" s="17" t="s">
        <v>1025</v>
      </c>
      <c r="E177" s="2" t="s">
        <v>1055</v>
      </c>
      <c r="F177" s="30">
        <v>174</v>
      </c>
      <c r="G177" s="1264"/>
      <c r="H177" s="30"/>
      <c r="I177" s="39" t="s">
        <v>1056</v>
      </c>
      <c r="J177" s="2" t="s">
        <v>39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1"/>
      <c r="B178" s="1">
        <v>512</v>
      </c>
      <c r="C178" s="9">
        <v>43510</v>
      </c>
      <c r="D178" s="17" t="s">
        <v>1000</v>
      </c>
      <c r="E178" s="2" t="s">
        <v>1001</v>
      </c>
      <c r="F178" s="30">
        <v>175</v>
      </c>
      <c r="G178" s="1264"/>
      <c r="H178" s="30"/>
      <c r="I178" s="39" t="s">
        <v>1057</v>
      </c>
      <c r="J178" s="2" t="s">
        <v>39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1"/>
      <c r="B179" s="1">
        <v>513</v>
      </c>
      <c r="C179" s="9">
        <v>43510</v>
      </c>
      <c r="D179" s="17" t="s">
        <v>1006</v>
      </c>
      <c r="E179" s="2" t="s">
        <v>1007</v>
      </c>
      <c r="F179" s="30">
        <v>176</v>
      </c>
      <c r="G179" s="1264"/>
      <c r="H179" s="30"/>
      <c r="I179" s="39" t="s">
        <v>1058</v>
      </c>
      <c r="J179" s="2" t="s">
        <v>39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1"/>
      <c r="B180" s="1">
        <v>512</v>
      </c>
      <c r="C180" s="24">
        <v>43510</v>
      </c>
      <c r="D180" s="16"/>
      <c r="E180" s="11" t="s">
        <v>1001</v>
      </c>
      <c r="F180" s="38">
        <v>177</v>
      </c>
      <c r="G180" s="1266"/>
      <c r="H180" s="38"/>
      <c r="I180" s="41" t="s">
        <v>1057</v>
      </c>
      <c r="J180" s="2" t="s">
        <v>1059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1"/>
      <c r="B181" s="1">
        <v>513</v>
      </c>
      <c r="C181" s="9">
        <v>43530</v>
      </c>
      <c r="D181" s="17" t="s">
        <v>1006</v>
      </c>
      <c r="E181" s="2" t="s">
        <v>963</v>
      </c>
      <c r="F181" s="30">
        <v>178</v>
      </c>
      <c r="G181" s="1264"/>
      <c r="H181" s="30"/>
      <c r="I181" s="39" t="s">
        <v>1060</v>
      </c>
      <c r="J181" s="2" t="s">
        <v>39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1"/>
      <c r="B182" s="1">
        <v>517</v>
      </c>
      <c r="C182" s="9">
        <v>43519</v>
      </c>
      <c r="D182" s="17" t="s">
        <v>962</v>
      </c>
      <c r="E182" s="2" t="s">
        <v>860</v>
      </c>
      <c r="F182" s="30" t="s">
        <v>1061</v>
      </c>
      <c r="G182" s="1264"/>
      <c r="H182" s="30"/>
      <c r="I182" s="39" t="s">
        <v>1062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1"/>
      <c r="B183" s="1">
        <v>516</v>
      </c>
      <c r="C183" s="9">
        <v>43519</v>
      </c>
      <c r="D183" s="17" t="s">
        <v>1063</v>
      </c>
      <c r="E183" s="2" t="s">
        <v>1064</v>
      </c>
      <c r="F183" s="30"/>
      <c r="G183" s="1264"/>
      <c r="H183" s="30"/>
      <c r="I183" s="39" t="s">
        <v>1065</v>
      </c>
      <c r="J183" s="2" t="s">
        <v>507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1"/>
      <c r="B184" s="1">
        <v>518</v>
      </c>
      <c r="C184" s="9">
        <v>43519</v>
      </c>
      <c r="D184" s="17" t="s">
        <v>1066</v>
      </c>
      <c r="E184" s="2" t="s">
        <v>1067</v>
      </c>
      <c r="F184" s="30" t="s">
        <v>1068</v>
      </c>
      <c r="G184" s="1264"/>
      <c r="H184" s="30"/>
      <c r="I184" s="39" t="s">
        <v>1069</v>
      </c>
      <c r="J184" s="2" t="s">
        <v>39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1"/>
      <c r="B185" s="1">
        <v>519</v>
      </c>
      <c r="C185" s="9">
        <v>43519</v>
      </c>
      <c r="D185" s="17" t="s">
        <v>866</v>
      </c>
      <c r="E185" s="2" t="s">
        <v>867</v>
      </c>
      <c r="F185" s="30" t="s">
        <v>1070</v>
      </c>
      <c r="G185" s="1264"/>
      <c r="H185" s="30"/>
      <c r="I185" s="39" t="s">
        <v>1071</v>
      </c>
      <c r="J185" s="2" t="s">
        <v>268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1"/>
      <c r="B186" s="1">
        <v>520</v>
      </c>
      <c r="C186" s="9">
        <v>43520</v>
      </c>
      <c r="D186" s="17" t="s">
        <v>1072</v>
      </c>
      <c r="E186" s="2" t="s">
        <v>1073</v>
      </c>
      <c r="F186" s="30" t="s">
        <v>1074</v>
      </c>
      <c r="G186" s="1264"/>
      <c r="H186" s="30"/>
      <c r="I186" s="39" t="s">
        <v>1075</v>
      </c>
      <c r="J186" s="2" t="s">
        <v>39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1"/>
      <c r="B187" s="1">
        <v>522</v>
      </c>
      <c r="C187" s="9">
        <v>43531</v>
      </c>
      <c r="D187" s="17" t="s">
        <v>1025</v>
      </c>
      <c r="E187" s="2" t="s">
        <v>1076</v>
      </c>
      <c r="F187" s="30">
        <v>184</v>
      </c>
      <c r="G187" s="1264"/>
      <c r="H187" s="30"/>
      <c r="I187" s="39" t="s">
        <v>1077</v>
      </c>
      <c r="J187" s="2" t="s">
        <v>39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1"/>
      <c r="B188" s="1">
        <v>523</v>
      </c>
      <c r="C188" s="9">
        <v>43531</v>
      </c>
      <c r="D188" s="17" t="s">
        <v>1025</v>
      </c>
      <c r="E188" s="2" t="s">
        <v>1078</v>
      </c>
      <c r="F188" s="30">
        <v>185</v>
      </c>
      <c r="G188" s="1264"/>
      <c r="H188" s="30"/>
      <c r="I188" s="39" t="s">
        <v>1079</v>
      </c>
      <c r="J188" s="2" t="s">
        <v>39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1"/>
      <c r="B189" s="1">
        <v>524</v>
      </c>
      <c r="C189" s="9">
        <v>43538</v>
      </c>
      <c r="D189" s="17" t="s">
        <v>1080</v>
      </c>
      <c r="E189" s="2" t="s">
        <v>1081</v>
      </c>
      <c r="F189" s="30">
        <v>186</v>
      </c>
      <c r="G189" s="1264"/>
      <c r="H189" s="30"/>
      <c r="I189" s="39" t="s">
        <v>1082</v>
      </c>
      <c r="J189" s="2" t="s">
        <v>77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1"/>
      <c r="B190" s="1">
        <v>525</v>
      </c>
      <c r="C190" s="9">
        <v>43538</v>
      </c>
      <c r="D190" s="17"/>
      <c r="E190" s="2" t="s">
        <v>1083</v>
      </c>
      <c r="F190" s="30">
        <v>187</v>
      </c>
      <c r="G190" s="1264"/>
      <c r="H190" s="30"/>
      <c r="I190" s="39" t="s">
        <v>1084</v>
      </c>
      <c r="J190" s="2" t="s">
        <v>528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1"/>
      <c r="B191" s="1">
        <v>526</v>
      </c>
      <c r="C191" s="9">
        <v>43539</v>
      </c>
      <c r="D191" s="17"/>
      <c r="E191" s="2" t="s">
        <v>1085</v>
      </c>
      <c r="F191" s="30">
        <v>188</v>
      </c>
      <c r="G191" s="1264"/>
      <c r="H191" s="30"/>
      <c r="I191" s="39" t="s">
        <v>1086</v>
      </c>
      <c r="J191" s="2" t="s">
        <v>77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1"/>
      <c r="B192" s="1">
        <v>529</v>
      </c>
      <c r="C192" s="9">
        <v>43551</v>
      </c>
      <c r="D192" s="17" t="s">
        <v>1087</v>
      </c>
      <c r="E192" s="2" t="s">
        <v>860</v>
      </c>
      <c r="F192" s="30">
        <v>189</v>
      </c>
      <c r="G192" s="1264"/>
      <c r="H192" s="30"/>
      <c r="I192" s="39" t="s">
        <v>1088</v>
      </c>
      <c r="J192" s="2" t="s">
        <v>77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1"/>
      <c r="B193" s="1">
        <v>530</v>
      </c>
      <c r="C193" s="9">
        <v>43549</v>
      </c>
      <c r="D193" s="17" t="s">
        <v>1089</v>
      </c>
      <c r="E193" s="2" t="s">
        <v>1090</v>
      </c>
      <c r="F193" s="30">
        <v>190</v>
      </c>
      <c r="G193" s="1264"/>
      <c r="H193" s="30"/>
      <c r="I193" s="39" t="s">
        <v>1091</v>
      </c>
      <c r="J193" s="2" t="s">
        <v>39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1"/>
      <c r="B194" s="1">
        <v>531</v>
      </c>
      <c r="C194" s="9">
        <v>43549</v>
      </c>
      <c r="D194" s="17" t="s">
        <v>1089</v>
      </c>
      <c r="E194" s="2" t="s">
        <v>1092</v>
      </c>
      <c r="F194" s="30">
        <v>191</v>
      </c>
      <c r="G194" s="1264"/>
      <c r="H194" s="30"/>
      <c r="I194" s="39" t="s">
        <v>1093</v>
      </c>
      <c r="J194" s="2" t="s">
        <v>39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1"/>
      <c r="B195" s="1">
        <v>532</v>
      </c>
      <c r="C195" s="9">
        <v>43549</v>
      </c>
      <c r="D195" s="17" t="s">
        <v>1094</v>
      </c>
      <c r="E195" s="2" t="s">
        <v>1095</v>
      </c>
      <c r="F195" s="30">
        <v>192</v>
      </c>
      <c r="G195" s="1264"/>
      <c r="H195" s="30"/>
      <c r="I195" s="39" t="s">
        <v>1096</v>
      </c>
      <c r="J195" s="2" t="s">
        <v>39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1"/>
      <c r="B196" s="1">
        <v>533</v>
      </c>
      <c r="C196" s="9">
        <v>43551</v>
      </c>
      <c r="D196" s="17" t="s">
        <v>1097</v>
      </c>
      <c r="E196" s="2" t="s">
        <v>1098</v>
      </c>
      <c r="F196" s="30">
        <v>193</v>
      </c>
      <c r="G196" s="1264"/>
      <c r="H196" s="30"/>
      <c r="I196" s="39" t="s">
        <v>1099</v>
      </c>
      <c r="J196" s="2" t="s">
        <v>39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1"/>
      <c r="B197" s="1">
        <v>534</v>
      </c>
      <c r="C197" s="9">
        <v>43551</v>
      </c>
      <c r="D197" s="17" t="s">
        <v>1097</v>
      </c>
      <c r="E197" s="2" t="s">
        <v>1100</v>
      </c>
      <c r="F197" s="30">
        <v>194</v>
      </c>
      <c r="G197" s="1264"/>
      <c r="H197" s="30"/>
      <c r="I197" s="39" t="s">
        <v>1101</v>
      </c>
      <c r="J197" s="2" t="s">
        <v>39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1" t="s">
        <v>165</v>
      </c>
      <c r="B198" s="1">
        <v>537</v>
      </c>
      <c r="C198" s="9">
        <v>43557</v>
      </c>
      <c r="D198" s="17"/>
      <c r="E198" s="2" t="s">
        <v>283</v>
      </c>
      <c r="F198" s="30">
        <v>195</v>
      </c>
      <c r="G198" s="1264"/>
      <c r="H198" s="30"/>
      <c r="I198" s="39" t="s">
        <v>1102</v>
      </c>
      <c r="J198" s="2" t="s">
        <v>39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1"/>
      <c r="B199" s="1">
        <v>538</v>
      </c>
      <c r="C199" s="9">
        <v>43556</v>
      </c>
      <c r="D199" s="17" t="s">
        <v>1097</v>
      </c>
      <c r="E199" s="2" t="s">
        <v>1053</v>
      </c>
      <c r="F199" s="30">
        <v>196</v>
      </c>
      <c r="G199" s="1264"/>
      <c r="H199" s="30"/>
      <c r="I199" s="39" t="s">
        <v>1103</v>
      </c>
      <c r="J199" s="2" t="s">
        <v>39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1"/>
      <c r="B200" s="1">
        <v>539</v>
      </c>
      <c r="C200" s="9">
        <v>43558</v>
      </c>
      <c r="D200" s="17"/>
      <c r="E200" s="2" t="s">
        <v>756</v>
      </c>
      <c r="F200" s="30">
        <v>197</v>
      </c>
      <c r="G200" s="1264"/>
      <c r="H200" s="30"/>
      <c r="I200" s="40" t="s">
        <v>1104</v>
      </c>
      <c r="J200" s="2" t="s">
        <v>39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1" t="s">
        <v>165</v>
      </c>
      <c r="B201" s="1">
        <v>542</v>
      </c>
      <c r="C201" s="9">
        <v>43563</v>
      </c>
      <c r="D201" s="17" t="s">
        <v>1105</v>
      </c>
      <c r="E201" s="2" t="s">
        <v>291</v>
      </c>
      <c r="F201" s="30">
        <v>198</v>
      </c>
      <c r="G201" s="1264"/>
      <c r="H201" s="30"/>
      <c r="I201" s="40" t="s">
        <v>1106</v>
      </c>
      <c r="J201" s="2" t="s">
        <v>39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1" t="s">
        <v>165</v>
      </c>
      <c r="B202" s="1">
        <v>546</v>
      </c>
      <c r="C202" s="9">
        <v>43574</v>
      </c>
      <c r="D202" s="17" t="s">
        <v>1107</v>
      </c>
      <c r="E202" s="2" t="s">
        <v>1108</v>
      </c>
      <c r="F202" s="30">
        <v>199</v>
      </c>
      <c r="G202" s="1264"/>
      <c r="H202" s="30"/>
      <c r="I202" s="39" t="s">
        <v>1109</v>
      </c>
      <c r="J202" s="2" t="s">
        <v>39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1" t="s">
        <v>165</v>
      </c>
      <c r="B203" s="1">
        <v>547</v>
      </c>
      <c r="C203" s="9">
        <v>43574</v>
      </c>
      <c r="D203" s="17" t="s">
        <v>1110</v>
      </c>
      <c r="E203" s="2" t="s">
        <v>1055</v>
      </c>
      <c r="F203" s="30">
        <v>200</v>
      </c>
      <c r="G203" s="1264"/>
      <c r="H203" s="30"/>
      <c r="I203" s="39" t="s">
        <v>1111</v>
      </c>
      <c r="J203" s="2" t="s">
        <v>39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1" t="s">
        <v>165</v>
      </c>
      <c r="B204" s="1">
        <v>548</v>
      </c>
      <c r="C204" s="9">
        <v>43574</v>
      </c>
      <c r="D204" s="17"/>
      <c r="E204" s="2" t="s">
        <v>1112</v>
      </c>
      <c r="F204" s="30">
        <v>201</v>
      </c>
      <c r="G204" s="1264"/>
      <c r="H204" s="30"/>
      <c r="I204" s="39" t="s">
        <v>1113</v>
      </c>
      <c r="J204" s="2" t="s">
        <v>39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13" t="s">
        <v>165</v>
      </c>
      <c r="B205" s="13">
        <v>549</v>
      </c>
      <c r="C205" s="24">
        <v>43576</v>
      </c>
      <c r="D205" s="16" t="s">
        <v>1114</v>
      </c>
      <c r="E205" s="11" t="s">
        <v>639</v>
      </c>
      <c r="F205" s="38">
        <v>202</v>
      </c>
      <c r="G205" s="1266"/>
      <c r="H205" s="38"/>
      <c r="I205" s="41" t="s">
        <v>1115</v>
      </c>
      <c r="J205" s="1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1"/>
      <c r="B206" s="1">
        <v>550</v>
      </c>
      <c r="C206" s="9">
        <v>43587</v>
      </c>
      <c r="D206" s="17" t="s">
        <v>1116</v>
      </c>
      <c r="E206" s="2" t="s">
        <v>1117</v>
      </c>
      <c r="F206" s="30">
        <v>203</v>
      </c>
      <c r="G206" s="1264"/>
      <c r="H206" s="30"/>
      <c r="I206" s="39" t="s">
        <v>1118</v>
      </c>
      <c r="J206" s="2" t="s">
        <v>39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1"/>
      <c r="B207" s="1">
        <v>551</v>
      </c>
      <c r="C207" s="9">
        <v>43587</v>
      </c>
      <c r="D207" s="17" t="s">
        <v>1116</v>
      </c>
      <c r="E207" s="2" t="s">
        <v>1119</v>
      </c>
      <c r="F207" s="30">
        <v>204</v>
      </c>
      <c r="G207" s="1264"/>
      <c r="H207" s="30"/>
      <c r="I207" s="39" t="s">
        <v>1120</v>
      </c>
      <c r="J207" s="2" t="s">
        <v>39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1"/>
      <c r="B208" s="1">
        <v>559</v>
      </c>
      <c r="C208" s="9">
        <v>43591</v>
      </c>
      <c r="D208" s="17" t="s">
        <v>1121</v>
      </c>
      <c r="E208" s="2" t="s">
        <v>1122</v>
      </c>
      <c r="F208" s="30">
        <v>205</v>
      </c>
      <c r="G208" s="1264"/>
      <c r="H208" s="30"/>
      <c r="I208" s="39" t="s">
        <v>1123</v>
      </c>
      <c r="J208" s="11" t="s">
        <v>92</v>
      </c>
      <c r="K208" s="2" t="s">
        <v>1124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1"/>
      <c r="B209" s="1">
        <v>561</v>
      </c>
      <c r="C209" s="9">
        <v>43592</v>
      </c>
      <c r="D209" s="17"/>
      <c r="E209" s="2" t="s">
        <v>339</v>
      </c>
      <c r="F209" s="30">
        <v>206</v>
      </c>
      <c r="G209" s="1264"/>
      <c r="H209" s="30"/>
      <c r="I209" s="39" t="s">
        <v>1125</v>
      </c>
      <c r="J209" s="2" t="s">
        <v>39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1" t="s">
        <v>161</v>
      </c>
      <c r="B210" s="1">
        <v>564</v>
      </c>
      <c r="C210" s="9">
        <v>43595</v>
      </c>
      <c r="D210" s="17" t="s">
        <v>1126</v>
      </c>
      <c r="E210" s="2" t="s">
        <v>1127</v>
      </c>
      <c r="F210" s="30">
        <v>207</v>
      </c>
      <c r="G210" s="1264"/>
      <c r="H210" s="30"/>
      <c r="I210" s="39" t="s">
        <v>1128</v>
      </c>
      <c r="J210" s="2" t="s">
        <v>39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1"/>
      <c r="B211" s="1">
        <v>566</v>
      </c>
      <c r="C211" s="9">
        <v>43596</v>
      </c>
      <c r="D211" s="17"/>
      <c r="E211" s="2" t="s">
        <v>1129</v>
      </c>
      <c r="F211" s="30">
        <v>208</v>
      </c>
      <c r="G211" s="1264"/>
      <c r="H211" s="30"/>
      <c r="I211" s="39" t="s">
        <v>1130</v>
      </c>
      <c r="J211" s="2" t="s">
        <v>77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1" t="s">
        <v>165</v>
      </c>
      <c r="B212" s="1">
        <v>571</v>
      </c>
      <c r="C212" s="9">
        <v>43622</v>
      </c>
      <c r="D212" s="17" t="s">
        <v>1131</v>
      </c>
      <c r="E212" s="2" t="s">
        <v>1132</v>
      </c>
      <c r="F212" s="30">
        <v>209</v>
      </c>
      <c r="G212" s="1264"/>
      <c r="H212" s="30"/>
      <c r="I212" s="40" t="s">
        <v>1133</v>
      </c>
      <c r="J212" s="11" t="s">
        <v>92</v>
      </c>
      <c r="K212" s="2" t="s">
        <v>1124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1"/>
      <c r="B213" s="1">
        <v>572</v>
      </c>
      <c r="C213" s="9">
        <v>43622</v>
      </c>
      <c r="D213" s="17" t="s">
        <v>1114</v>
      </c>
      <c r="E213" s="2" t="s">
        <v>1134</v>
      </c>
      <c r="F213" s="30">
        <v>210</v>
      </c>
      <c r="G213" s="1264"/>
      <c r="H213" s="30"/>
      <c r="I213" s="40" t="s">
        <v>1135</v>
      </c>
      <c r="J213" s="2" t="s">
        <v>39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1" t="s">
        <v>161</v>
      </c>
      <c r="B214" s="1">
        <v>574</v>
      </c>
      <c r="C214" s="9">
        <v>43623</v>
      </c>
      <c r="D214" s="17" t="s">
        <v>1136</v>
      </c>
      <c r="E214" s="2" t="s">
        <v>1137</v>
      </c>
      <c r="F214" s="30">
        <v>211</v>
      </c>
      <c r="G214" s="1264"/>
      <c r="H214" s="30"/>
      <c r="I214" s="39" t="s">
        <v>1138</v>
      </c>
      <c r="J214" s="2" t="s">
        <v>77</v>
      </c>
      <c r="K214" s="2"/>
      <c r="L214" s="2"/>
      <c r="M214" s="2" t="s">
        <v>1139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1" t="s">
        <v>161</v>
      </c>
      <c r="B215" s="1">
        <v>575</v>
      </c>
      <c r="C215" s="9">
        <v>43623</v>
      </c>
      <c r="D215" s="17" t="s">
        <v>1140</v>
      </c>
      <c r="E215" s="2" t="s">
        <v>1141</v>
      </c>
      <c r="F215" s="30">
        <v>212</v>
      </c>
      <c r="G215" s="1264"/>
      <c r="H215" s="30"/>
      <c r="I215" s="39" t="s">
        <v>1142</v>
      </c>
      <c r="J215" s="2" t="s">
        <v>39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1" t="s">
        <v>161</v>
      </c>
      <c r="B216" s="1">
        <v>576</v>
      </c>
      <c r="C216" s="9">
        <v>43625</v>
      </c>
      <c r="D216" s="17" t="s">
        <v>1143</v>
      </c>
      <c r="E216" s="2" t="s">
        <v>1144</v>
      </c>
      <c r="F216" s="30">
        <v>213</v>
      </c>
      <c r="G216" s="1264"/>
      <c r="H216" s="30"/>
      <c r="I216" s="39" t="s">
        <v>1145</v>
      </c>
      <c r="J216" s="2" t="s">
        <v>39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1" t="s">
        <v>161</v>
      </c>
      <c r="B217" s="1">
        <v>577</v>
      </c>
      <c r="C217" s="9">
        <v>43625</v>
      </c>
      <c r="D217" s="17" t="s">
        <v>1146</v>
      </c>
      <c r="E217" s="2" t="s">
        <v>1147</v>
      </c>
      <c r="F217" s="30">
        <v>214</v>
      </c>
      <c r="G217" s="1264"/>
      <c r="H217" s="30"/>
      <c r="I217" s="39" t="s">
        <v>1148</v>
      </c>
      <c r="J217" s="2" t="s">
        <v>39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1"/>
      <c r="B218" s="1">
        <v>588</v>
      </c>
      <c r="C218" s="9">
        <v>43628</v>
      </c>
      <c r="D218" s="17" t="s">
        <v>1121</v>
      </c>
      <c r="E218" s="2" t="s">
        <v>1122</v>
      </c>
      <c r="F218" s="30">
        <v>215</v>
      </c>
      <c r="G218" s="1264"/>
      <c r="H218" s="30"/>
      <c r="I218" s="39" t="s">
        <v>1149</v>
      </c>
      <c r="J218" s="2" t="s">
        <v>39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1" t="s">
        <v>161</v>
      </c>
      <c r="B219" s="1">
        <v>587</v>
      </c>
      <c r="C219" s="9">
        <v>43630</v>
      </c>
      <c r="D219" s="17" t="s">
        <v>1150</v>
      </c>
      <c r="E219" s="2" t="s">
        <v>1151</v>
      </c>
      <c r="F219" s="30">
        <v>216</v>
      </c>
      <c r="G219" s="1264"/>
      <c r="H219" s="30"/>
      <c r="I219" s="39" t="s">
        <v>1152</v>
      </c>
      <c r="J219" s="2" t="s">
        <v>39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1" t="s">
        <v>161</v>
      </c>
      <c r="B220" s="1">
        <v>595</v>
      </c>
      <c r="C220" s="9">
        <v>43632</v>
      </c>
      <c r="D220" s="17" t="s">
        <v>1153</v>
      </c>
      <c r="E220" s="2" t="s">
        <v>1154</v>
      </c>
      <c r="F220" s="30">
        <v>217</v>
      </c>
      <c r="G220" s="1264"/>
      <c r="H220" s="30"/>
      <c r="I220" s="39" t="s">
        <v>1155</v>
      </c>
      <c r="J220" s="2" t="s">
        <v>77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1" t="s">
        <v>165</v>
      </c>
      <c r="B221" s="1">
        <v>597</v>
      </c>
      <c r="C221" s="9">
        <v>43634</v>
      </c>
      <c r="D221" s="17" t="s">
        <v>1156</v>
      </c>
      <c r="E221" s="2" t="s">
        <v>1157</v>
      </c>
      <c r="F221" s="30">
        <v>218</v>
      </c>
      <c r="G221" s="1264"/>
      <c r="H221" s="30"/>
      <c r="I221" s="39" t="s">
        <v>1158</v>
      </c>
      <c r="J221" s="2" t="s">
        <v>77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1" t="s">
        <v>165</v>
      </c>
      <c r="B222" s="1">
        <v>598</v>
      </c>
      <c r="C222" s="9">
        <v>43633</v>
      </c>
      <c r="D222" s="17" t="s">
        <v>1159</v>
      </c>
      <c r="E222" s="2" t="s">
        <v>1160</v>
      </c>
      <c r="F222" s="30">
        <v>219</v>
      </c>
      <c r="G222" s="1264"/>
      <c r="H222" s="30"/>
      <c r="I222" s="39" t="s">
        <v>1161</v>
      </c>
      <c r="J222" s="2" t="s">
        <v>39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1" t="s">
        <v>161</v>
      </c>
      <c r="B223" s="1">
        <v>604</v>
      </c>
      <c r="C223" s="9">
        <v>43641</v>
      </c>
      <c r="D223" s="17" t="s">
        <v>1162</v>
      </c>
      <c r="E223" s="2" t="s">
        <v>242</v>
      </c>
      <c r="F223" s="30">
        <v>220</v>
      </c>
      <c r="G223" s="1264"/>
      <c r="H223" s="30"/>
      <c r="I223" s="39" t="s">
        <v>1163</v>
      </c>
      <c r="J223" s="2" t="s">
        <v>39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1" t="s">
        <v>165</v>
      </c>
      <c r="B224" s="1">
        <v>605</v>
      </c>
      <c r="C224" s="9">
        <v>43641</v>
      </c>
      <c r="D224" s="17" t="s">
        <v>1164</v>
      </c>
      <c r="E224" s="2" t="s">
        <v>1165</v>
      </c>
      <c r="F224" s="30">
        <v>221</v>
      </c>
      <c r="G224" s="1264"/>
      <c r="H224" s="30"/>
      <c r="I224" s="39" t="s">
        <v>1166</v>
      </c>
      <c r="J224" s="2" t="s">
        <v>77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1" t="s">
        <v>165</v>
      </c>
      <c r="B225" s="1">
        <v>606</v>
      </c>
      <c r="C225" s="9">
        <v>43643</v>
      </c>
      <c r="D225" s="17"/>
      <c r="E225" s="2" t="s">
        <v>1132</v>
      </c>
      <c r="F225" s="30">
        <v>222</v>
      </c>
      <c r="G225" s="1264"/>
      <c r="H225" s="30"/>
      <c r="I225" s="39" t="s">
        <v>1167</v>
      </c>
      <c r="J225" s="2" t="s">
        <v>39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1" t="s">
        <v>165</v>
      </c>
      <c r="B226" s="1">
        <v>609</v>
      </c>
      <c r="C226" s="9">
        <v>43647</v>
      </c>
      <c r="D226" s="17"/>
      <c r="E226" s="2" t="s">
        <v>1168</v>
      </c>
      <c r="F226" s="30">
        <v>223</v>
      </c>
      <c r="G226" s="1264"/>
      <c r="H226" s="30"/>
      <c r="I226" s="39" t="s">
        <v>1169</v>
      </c>
      <c r="J226" s="2" t="s">
        <v>39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42" t="s">
        <v>165</v>
      </c>
      <c r="B227" s="1">
        <v>611</v>
      </c>
      <c r="C227" s="9">
        <v>43648</v>
      </c>
      <c r="D227" s="17" t="s">
        <v>1170</v>
      </c>
      <c r="E227" s="2" t="s">
        <v>1171</v>
      </c>
      <c r="F227" s="30">
        <v>224</v>
      </c>
      <c r="G227" s="1264"/>
      <c r="H227" s="30"/>
      <c r="I227" s="39" t="s">
        <v>1172</v>
      </c>
      <c r="J227" s="2" t="s">
        <v>77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1" t="s">
        <v>161</v>
      </c>
      <c r="B228" s="1">
        <v>615</v>
      </c>
      <c r="C228" s="9">
        <v>43649</v>
      </c>
      <c r="D228" s="17" t="s">
        <v>1173</v>
      </c>
      <c r="E228" s="2" t="s">
        <v>1174</v>
      </c>
      <c r="F228" s="30">
        <v>225</v>
      </c>
      <c r="G228" s="1264"/>
      <c r="H228" s="30"/>
      <c r="I228" s="39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1"/>
      <c r="B229" s="1">
        <v>616</v>
      </c>
      <c r="C229" s="9">
        <v>43649</v>
      </c>
      <c r="D229" s="17" t="s">
        <v>1175</v>
      </c>
      <c r="E229" s="2" t="s">
        <v>299</v>
      </c>
      <c r="F229" s="30">
        <v>226</v>
      </c>
      <c r="G229" s="1264"/>
      <c r="H229" s="30"/>
      <c r="I229" s="39" t="s">
        <v>1176</v>
      </c>
      <c r="J229" s="2" t="s">
        <v>39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1"/>
      <c r="B230" s="1"/>
      <c r="C230" s="1"/>
      <c r="D230" s="17"/>
      <c r="E230" s="2" t="s">
        <v>1177</v>
      </c>
      <c r="F230" s="30">
        <v>227</v>
      </c>
      <c r="G230" s="1264"/>
      <c r="H230" s="30"/>
      <c r="I230" s="2" t="s">
        <v>1178</v>
      </c>
      <c r="J230" s="2" t="s">
        <v>39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1" t="s">
        <v>161</v>
      </c>
      <c r="B231" s="1">
        <v>624</v>
      </c>
      <c r="C231" s="9">
        <v>43654</v>
      </c>
      <c r="D231" s="17" t="s">
        <v>1179</v>
      </c>
      <c r="E231" s="2" t="s">
        <v>1180</v>
      </c>
      <c r="F231" s="30">
        <v>228</v>
      </c>
      <c r="G231" s="1264"/>
      <c r="H231" s="30"/>
      <c r="I231" s="39" t="s">
        <v>1181</v>
      </c>
      <c r="J231" s="2" t="s">
        <v>39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1"/>
      <c r="B232" s="1">
        <v>625</v>
      </c>
      <c r="C232" s="9">
        <v>43654</v>
      </c>
      <c r="D232" s="17" t="s">
        <v>1182</v>
      </c>
      <c r="E232" s="2" t="s">
        <v>1183</v>
      </c>
      <c r="F232" s="30">
        <v>229</v>
      </c>
      <c r="G232" s="1264"/>
      <c r="H232" s="30"/>
      <c r="I232" s="39" t="s">
        <v>1184</v>
      </c>
      <c r="J232" s="2" t="s">
        <v>114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1" t="s">
        <v>161</v>
      </c>
      <c r="B233" s="1">
        <v>626</v>
      </c>
      <c r="C233" s="9">
        <v>43654</v>
      </c>
      <c r="D233" s="17" t="s">
        <v>1185</v>
      </c>
      <c r="E233" s="2" t="s">
        <v>1186</v>
      </c>
      <c r="F233" s="30">
        <v>230</v>
      </c>
      <c r="G233" s="1264"/>
      <c r="H233" s="30"/>
      <c r="I233" s="39" t="s">
        <v>1187</v>
      </c>
      <c r="J233" s="2" t="s">
        <v>39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42" t="s">
        <v>161</v>
      </c>
      <c r="B234" s="1">
        <v>627</v>
      </c>
      <c r="C234" s="9">
        <v>43655</v>
      </c>
      <c r="D234" s="17" t="s">
        <v>1188</v>
      </c>
      <c r="E234" s="2" t="s">
        <v>1189</v>
      </c>
      <c r="F234" s="30">
        <v>231</v>
      </c>
      <c r="G234" s="1264"/>
      <c r="H234" s="30"/>
      <c r="I234" s="39" t="s">
        <v>1190</v>
      </c>
      <c r="J234" s="11" t="s">
        <v>1191</v>
      </c>
      <c r="K234" s="2" t="s">
        <v>1124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1"/>
      <c r="B235" s="1">
        <v>632</v>
      </c>
      <c r="C235" s="9">
        <v>43656</v>
      </c>
      <c r="D235" s="17"/>
      <c r="E235" s="2" t="s">
        <v>311</v>
      </c>
      <c r="F235" s="30">
        <v>232</v>
      </c>
      <c r="G235" s="1264"/>
      <c r="H235" s="30" t="s">
        <v>1192</v>
      </c>
      <c r="I235" s="39" t="s">
        <v>1193</v>
      </c>
      <c r="J235" s="2" t="s">
        <v>77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42" t="s">
        <v>161</v>
      </c>
      <c r="B236" s="1">
        <v>633</v>
      </c>
      <c r="C236" s="9">
        <v>43656</v>
      </c>
      <c r="D236" s="17"/>
      <c r="E236" s="2" t="s">
        <v>1189</v>
      </c>
      <c r="F236" s="30">
        <v>233</v>
      </c>
      <c r="G236" s="1264"/>
      <c r="H236" s="30"/>
      <c r="I236" s="39" t="s">
        <v>1194</v>
      </c>
      <c r="J236" s="2" t="s">
        <v>39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1" t="s">
        <v>161</v>
      </c>
      <c r="B237" s="1">
        <v>639</v>
      </c>
      <c r="C237" s="9">
        <v>43664</v>
      </c>
      <c r="D237" s="17" t="s">
        <v>1195</v>
      </c>
      <c r="E237" s="2" t="s">
        <v>1196</v>
      </c>
      <c r="F237" s="30">
        <v>234</v>
      </c>
      <c r="G237" s="1264"/>
      <c r="H237" s="30"/>
      <c r="I237" s="39" t="s">
        <v>1197</v>
      </c>
      <c r="J237" s="2" t="s">
        <v>39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1" t="s">
        <v>161</v>
      </c>
      <c r="B238" s="1">
        <v>640</v>
      </c>
      <c r="C238" s="9">
        <v>43664</v>
      </c>
      <c r="D238" s="17" t="s">
        <v>1195</v>
      </c>
      <c r="E238" s="2" t="s">
        <v>1198</v>
      </c>
      <c r="F238" s="30">
        <v>235</v>
      </c>
      <c r="G238" s="1264"/>
      <c r="H238" s="30"/>
      <c r="I238" s="39" t="s">
        <v>1199</v>
      </c>
      <c r="J238" s="2" t="s">
        <v>39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1"/>
      <c r="B239" s="1">
        <v>641</v>
      </c>
      <c r="C239" s="9">
        <v>43664</v>
      </c>
      <c r="D239" s="17" t="s">
        <v>1200</v>
      </c>
      <c r="E239" s="2" t="s">
        <v>1201</v>
      </c>
      <c r="F239" s="30">
        <v>236</v>
      </c>
      <c r="G239" s="1264"/>
      <c r="H239" s="30"/>
      <c r="I239" s="39" t="s">
        <v>1202</v>
      </c>
      <c r="J239" s="2" t="s">
        <v>39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1"/>
      <c r="B240" s="1">
        <v>642</v>
      </c>
      <c r="C240" s="9">
        <v>43664</v>
      </c>
      <c r="D240" s="17"/>
      <c r="E240" s="2" t="s">
        <v>1203</v>
      </c>
      <c r="F240" s="30">
        <v>237</v>
      </c>
      <c r="G240" s="1264"/>
      <c r="H240" s="30"/>
      <c r="I240" s="39" t="s">
        <v>1204</v>
      </c>
      <c r="J240" s="2" t="s">
        <v>39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1"/>
      <c r="B241" s="1">
        <v>644</v>
      </c>
      <c r="C241" s="9">
        <v>43668</v>
      </c>
      <c r="D241" s="17" t="s">
        <v>1205</v>
      </c>
      <c r="E241" s="2" t="s">
        <v>1206</v>
      </c>
      <c r="F241" s="30">
        <v>238</v>
      </c>
      <c r="G241" s="1264"/>
      <c r="H241" s="30" t="s">
        <v>1207</v>
      </c>
      <c r="I241" s="39" t="s">
        <v>1208</v>
      </c>
      <c r="J241" s="2" t="s">
        <v>77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1"/>
      <c r="B242" s="1">
        <v>645</v>
      </c>
      <c r="C242" s="9">
        <v>43668</v>
      </c>
      <c r="D242" s="17" t="s">
        <v>1209</v>
      </c>
      <c r="E242" s="2" t="s">
        <v>1210</v>
      </c>
      <c r="F242" s="30">
        <v>239</v>
      </c>
      <c r="G242" s="1264"/>
      <c r="H242" s="30" t="s">
        <v>1211</v>
      </c>
      <c r="I242" s="39" t="s">
        <v>1212</v>
      </c>
      <c r="J242" s="2" t="s">
        <v>77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1"/>
      <c r="B243" s="1">
        <v>646</v>
      </c>
      <c r="C243" s="9">
        <v>43669</v>
      </c>
      <c r="D243" s="17" t="s">
        <v>762</v>
      </c>
      <c r="E243" s="2" t="s">
        <v>1213</v>
      </c>
      <c r="F243" s="30">
        <v>240</v>
      </c>
      <c r="G243" s="1264"/>
      <c r="H243" s="30"/>
      <c r="I243" s="39" t="s">
        <v>1214</v>
      </c>
      <c r="J243" s="11" t="s">
        <v>168</v>
      </c>
      <c r="K243" s="2" t="s">
        <v>1124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1"/>
      <c r="B244" s="1">
        <v>647</v>
      </c>
      <c r="C244" s="9">
        <v>43669</v>
      </c>
      <c r="D244" s="17" t="s">
        <v>1215</v>
      </c>
      <c r="E244" s="2" t="s">
        <v>901</v>
      </c>
      <c r="F244" s="30">
        <v>241</v>
      </c>
      <c r="G244" s="1264"/>
      <c r="H244" s="30" t="s">
        <v>1216</v>
      </c>
      <c r="I244" s="39" t="s">
        <v>1217</v>
      </c>
      <c r="J244" s="2" t="s">
        <v>39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1"/>
      <c r="B245" s="1">
        <v>648</v>
      </c>
      <c r="C245" s="9">
        <v>43669</v>
      </c>
      <c r="D245" s="17" t="s">
        <v>1215</v>
      </c>
      <c r="E245" s="2" t="s">
        <v>906</v>
      </c>
      <c r="F245" s="30">
        <v>242</v>
      </c>
      <c r="G245" s="1264"/>
      <c r="H245" s="30" t="s">
        <v>1216</v>
      </c>
      <c r="I245" s="39" t="s">
        <v>1218</v>
      </c>
      <c r="J245" s="2" t="s">
        <v>39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1"/>
      <c r="B246" s="1"/>
      <c r="C246" s="9">
        <v>43677</v>
      </c>
      <c r="D246" s="17"/>
      <c r="E246" s="2" t="s">
        <v>993</v>
      </c>
      <c r="F246" s="30">
        <v>243</v>
      </c>
      <c r="G246" s="1264"/>
      <c r="H246" s="30" t="s">
        <v>1219</v>
      </c>
      <c r="I246" s="39" t="s">
        <v>1220</v>
      </c>
      <c r="J246" s="2" t="s">
        <v>39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1" t="s">
        <v>1221</v>
      </c>
      <c r="B247" s="1">
        <v>657</v>
      </c>
      <c r="C247" s="9">
        <v>43677</v>
      </c>
      <c r="D247" s="17" t="s">
        <v>1222</v>
      </c>
      <c r="E247" s="2" t="s">
        <v>1223</v>
      </c>
      <c r="F247" s="30">
        <v>244</v>
      </c>
      <c r="G247" s="1264"/>
      <c r="H247" s="30"/>
      <c r="I247" s="39" t="s">
        <v>1224</v>
      </c>
      <c r="J247" s="2" t="s">
        <v>39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1"/>
      <c r="B248" s="1">
        <v>658</v>
      </c>
      <c r="C248" s="9">
        <v>43678</v>
      </c>
      <c r="D248" s="17" t="s">
        <v>1225</v>
      </c>
      <c r="E248" s="2" t="s">
        <v>1226</v>
      </c>
      <c r="F248" s="30">
        <v>245</v>
      </c>
      <c r="G248" s="1264"/>
      <c r="H248" s="30" t="s">
        <v>1227</v>
      </c>
      <c r="I248" s="39" t="s">
        <v>1228</v>
      </c>
      <c r="J248" s="2" t="s">
        <v>77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1"/>
      <c r="B249" s="1">
        <v>659</v>
      </c>
      <c r="C249" s="9">
        <v>43678</v>
      </c>
      <c r="D249" s="17"/>
      <c r="E249" s="2" t="s">
        <v>1229</v>
      </c>
      <c r="F249" s="30">
        <v>246</v>
      </c>
      <c r="G249" s="1264"/>
      <c r="H249" s="30" t="s">
        <v>1227</v>
      </c>
      <c r="I249" s="39" t="s">
        <v>1230</v>
      </c>
      <c r="J249" s="2" t="s">
        <v>39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1"/>
      <c r="B250" s="1">
        <v>660</v>
      </c>
      <c r="C250" s="9">
        <v>43678</v>
      </c>
      <c r="D250" s="17" t="s">
        <v>1231</v>
      </c>
      <c r="E250" s="2" t="s">
        <v>1232</v>
      </c>
      <c r="F250" s="30">
        <v>247</v>
      </c>
      <c r="G250" s="1264"/>
      <c r="H250" s="30" t="s">
        <v>1227</v>
      </c>
      <c r="I250" s="39" t="s">
        <v>1233</v>
      </c>
      <c r="J250" s="2" t="s">
        <v>77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1"/>
      <c r="B251" s="1">
        <v>661</v>
      </c>
      <c r="C251" s="9">
        <v>43678</v>
      </c>
      <c r="D251" s="17" t="s">
        <v>1234</v>
      </c>
      <c r="E251" s="2" t="s">
        <v>1235</v>
      </c>
      <c r="F251" s="30">
        <v>248</v>
      </c>
      <c r="G251" s="1264"/>
      <c r="H251" s="30" t="s">
        <v>1236</v>
      </c>
      <c r="I251" s="39" t="s">
        <v>1237</v>
      </c>
      <c r="J251" s="2" t="s">
        <v>39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1" t="s">
        <v>1221</v>
      </c>
      <c r="B252" s="1">
        <v>666</v>
      </c>
      <c r="C252" s="9">
        <v>43678</v>
      </c>
      <c r="D252" s="17" t="s">
        <v>1238</v>
      </c>
      <c r="E252" s="2" t="s">
        <v>1239</v>
      </c>
      <c r="F252" s="30">
        <v>249</v>
      </c>
      <c r="G252" s="1264"/>
      <c r="H252" s="30" t="s">
        <v>1240</v>
      </c>
      <c r="I252" s="39" t="s">
        <v>1241</v>
      </c>
      <c r="J252" s="2" t="s">
        <v>39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1"/>
      <c r="B253" s="1">
        <v>668</v>
      </c>
      <c r="C253" s="9">
        <v>43678</v>
      </c>
      <c r="D253" s="17" t="s">
        <v>1195</v>
      </c>
      <c r="E253" s="2" t="s">
        <v>1242</v>
      </c>
      <c r="F253" s="30">
        <v>250</v>
      </c>
      <c r="G253" s="1264"/>
      <c r="H253" s="30" t="s">
        <v>1236</v>
      </c>
      <c r="I253" s="39" t="s">
        <v>1243</v>
      </c>
      <c r="J253" s="2" t="s">
        <v>39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1"/>
      <c r="B254" s="1">
        <v>670</v>
      </c>
      <c r="C254" s="9">
        <v>43680</v>
      </c>
      <c r="D254" s="17" t="s">
        <v>1244</v>
      </c>
      <c r="E254" s="2" t="s">
        <v>1245</v>
      </c>
      <c r="F254" s="30">
        <v>251</v>
      </c>
      <c r="G254" s="1264"/>
      <c r="H254" s="30"/>
      <c r="I254" s="39" t="s">
        <v>1246</v>
      </c>
      <c r="J254" s="2" t="s">
        <v>77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1" t="s">
        <v>1221</v>
      </c>
      <c r="B255" s="1">
        <v>671</v>
      </c>
      <c r="C255" s="9">
        <v>43680</v>
      </c>
      <c r="D255" s="17" t="s">
        <v>1247</v>
      </c>
      <c r="E255" s="2" t="s">
        <v>1248</v>
      </c>
      <c r="F255" s="30">
        <v>252</v>
      </c>
      <c r="G255" s="1264"/>
      <c r="H255" s="30"/>
      <c r="I255" s="39" t="s">
        <v>1249</v>
      </c>
      <c r="J255" s="2" t="s">
        <v>39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1"/>
      <c r="B256" s="1">
        <v>672</v>
      </c>
      <c r="C256" s="9">
        <v>43680</v>
      </c>
      <c r="D256" s="17" t="s">
        <v>1250</v>
      </c>
      <c r="E256" s="2" t="s">
        <v>1251</v>
      </c>
      <c r="F256" s="30">
        <v>253</v>
      </c>
      <c r="G256" s="1264"/>
      <c r="H256" s="30" t="s">
        <v>1252</v>
      </c>
      <c r="I256" s="39" t="s">
        <v>1253</v>
      </c>
      <c r="J256" s="2" t="s">
        <v>77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1"/>
      <c r="B257" s="1">
        <v>673</v>
      </c>
      <c r="C257" s="9">
        <v>43680</v>
      </c>
      <c r="D257" s="17" t="s">
        <v>1254</v>
      </c>
      <c r="E257" s="2" t="s">
        <v>1255</v>
      </c>
      <c r="F257" s="30">
        <v>254</v>
      </c>
      <c r="G257" s="1264"/>
      <c r="H257" s="30"/>
      <c r="I257" s="39" t="s">
        <v>1256</v>
      </c>
      <c r="J257" s="2" t="s">
        <v>39</v>
      </c>
      <c r="K257" s="2">
        <f>300*24*12</f>
        <v>86400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1"/>
      <c r="B258" s="1">
        <v>674</v>
      </c>
      <c r="C258" s="9">
        <v>43680</v>
      </c>
      <c r="D258" s="17" t="s">
        <v>1257</v>
      </c>
      <c r="E258" s="2" t="s">
        <v>533</v>
      </c>
      <c r="F258" s="30">
        <v>255</v>
      </c>
      <c r="G258" s="1264"/>
      <c r="H258" s="30"/>
      <c r="I258" s="39" t="s">
        <v>1258</v>
      </c>
      <c r="J258" s="2" t="s">
        <v>77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1"/>
      <c r="B259" s="1">
        <v>676</v>
      </c>
      <c r="C259" s="9">
        <v>43680</v>
      </c>
      <c r="D259" s="17"/>
      <c r="E259" s="2" t="s">
        <v>1259</v>
      </c>
      <c r="F259" s="30">
        <v>256</v>
      </c>
      <c r="G259" s="1264"/>
      <c r="H259" s="30"/>
      <c r="I259" s="39" t="s">
        <v>1260</v>
      </c>
      <c r="J259" s="2" t="s">
        <v>77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1"/>
      <c r="B260" s="1">
        <v>681</v>
      </c>
      <c r="C260" s="9">
        <v>43680</v>
      </c>
      <c r="D260" s="17"/>
      <c r="E260" s="2" t="s">
        <v>1261</v>
      </c>
      <c r="F260" s="30">
        <v>257</v>
      </c>
      <c r="G260" s="1264"/>
      <c r="H260" s="30" t="s">
        <v>1262</v>
      </c>
      <c r="I260" s="39" t="s">
        <v>1263</v>
      </c>
      <c r="J260" s="2" t="s">
        <v>77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1"/>
      <c r="B261" s="1">
        <v>682</v>
      </c>
      <c r="C261" s="9">
        <v>43680</v>
      </c>
      <c r="D261" s="17"/>
      <c r="E261" s="2" t="s">
        <v>1213</v>
      </c>
      <c r="F261" s="30" t="s">
        <v>1264</v>
      </c>
      <c r="G261" s="1264"/>
      <c r="H261" s="30" t="s">
        <v>1265</v>
      </c>
      <c r="I261" s="39" t="s">
        <v>1266</v>
      </c>
      <c r="J261" s="2" t="s">
        <v>39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1" t="s">
        <v>1221</v>
      </c>
      <c r="B262" s="1">
        <v>683</v>
      </c>
      <c r="C262" s="9">
        <v>43682</v>
      </c>
      <c r="D262" s="17" t="s">
        <v>1267</v>
      </c>
      <c r="E262" s="2" t="s">
        <v>689</v>
      </c>
      <c r="F262" s="30">
        <v>259</v>
      </c>
      <c r="G262" s="1264"/>
      <c r="H262" s="30" t="s">
        <v>1268</v>
      </c>
      <c r="I262" s="39" t="s">
        <v>1269</v>
      </c>
      <c r="J262" s="2" t="s">
        <v>39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1"/>
      <c r="B263" s="1">
        <v>684</v>
      </c>
      <c r="C263" s="9">
        <v>43682</v>
      </c>
      <c r="D263" s="17" t="s">
        <v>1270</v>
      </c>
      <c r="E263" s="2" t="s">
        <v>50</v>
      </c>
      <c r="F263" s="30">
        <v>260</v>
      </c>
      <c r="G263" s="1264"/>
      <c r="H263" s="30" t="s">
        <v>1271</v>
      </c>
      <c r="I263" s="39" t="s">
        <v>1272</v>
      </c>
      <c r="J263" s="2" t="s">
        <v>39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1"/>
      <c r="B264" s="1">
        <v>685</v>
      </c>
      <c r="C264" s="9">
        <v>43682</v>
      </c>
      <c r="D264" s="17" t="s">
        <v>1273</v>
      </c>
      <c r="E264" s="2" t="s">
        <v>1274</v>
      </c>
      <c r="F264" s="30">
        <v>261</v>
      </c>
      <c r="G264" s="1264"/>
      <c r="H264" s="30" t="s">
        <v>1275</v>
      </c>
      <c r="I264" s="39" t="s">
        <v>1276</v>
      </c>
      <c r="J264" s="2" t="s">
        <v>39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1"/>
      <c r="B265" s="1">
        <v>686</v>
      </c>
      <c r="C265" s="9">
        <v>43682</v>
      </c>
      <c r="D265" s="17" t="s">
        <v>1277</v>
      </c>
      <c r="E265" s="2" t="s">
        <v>1278</v>
      </c>
      <c r="F265" s="30">
        <v>262</v>
      </c>
      <c r="G265" s="1264"/>
      <c r="H265" s="30" t="s">
        <v>1192</v>
      </c>
      <c r="I265" s="39" t="s">
        <v>1279</v>
      </c>
      <c r="J265" s="2" t="s">
        <v>77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1"/>
      <c r="B266" s="1">
        <v>687</v>
      </c>
      <c r="C266" s="9">
        <v>43682</v>
      </c>
      <c r="D266" s="17" t="s">
        <v>1280</v>
      </c>
      <c r="E266" s="2" t="s">
        <v>798</v>
      </c>
      <c r="F266" s="30">
        <v>263</v>
      </c>
      <c r="G266" s="1264"/>
      <c r="H266" s="30" t="s">
        <v>1281</v>
      </c>
      <c r="I266" s="39" t="s">
        <v>1282</v>
      </c>
      <c r="J266" s="2" t="s">
        <v>77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1" t="s">
        <v>1221</v>
      </c>
      <c r="B267" s="1">
        <v>688</v>
      </c>
      <c r="C267" s="9">
        <v>43682</v>
      </c>
      <c r="D267" s="17" t="s">
        <v>1097</v>
      </c>
      <c r="E267" s="2" t="s">
        <v>1283</v>
      </c>
      <c r="F267" s="30">
        <v>264</v>
      </c>
      <c r="G267" s="1264" t="s">
        <v>7759</v>
      </c>
      <c r="H267" s="30" t="s">
        <v>1284</v>
      </c>
      <c r="I267" s="39" t="s">
        <v>1285</v>
      </c>
      <c r="J267" s="2" t="s">
        <v>39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1"/>
      <c r="B268" s="1">
        <v>689</v>
      </c>
      <c r="C268" s="9">
        <v>43682</v>
      </c>
      <c r="D268" s="17" t="s">
        <v>1286</v>
      </c>
      <c r="E268" s="2" t="s">
        <v>1287</v>
      </c>
      <c r="F268" s="30">
        <v>265</v>
      </c>
      <c r="G268" s="1264"/>
      <c r="H268" s="30" t="s">
        <v>1252</v>
      </c>
      <c r="I268" s="39" t="s">
        <v>1288</v>
      </c>
      <c r="J268" s="2" t="s">
        <v>77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1"/>
      <c r="B269" s="1">
        <v>690</v>
      </c>
      <c r="C269" s="9">
        <v>43682</v>
      </c>
      <c r="D269" s="17" t="s">
        <v>742</v>
      </c>
      <c r="E269" s="2" t="s">
        <v>1289</v>
      </c>
      <c r="F269" s="30">
        <v>266</v>
      </c>
      <c r="G269" s="1264"/>
      <c r="H269" s="30" t="s">
        <v>1290</v>
      </c>
      <c r="I269" s="39" t="s">
        <v>1291</v>
      </c>
      <c r="J269" s="2" t="s">
        <v>77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1" t="s">
        <v>1221</v>
      </c>
      <c r="B270" s="1">
        <v>691</v>
      </c>
      <c r="C270" s="9">
        <v>43682</v>
      </c>
      <c r="D270" s="17" t="s">
        <v>1097</v>
      </c>
      <c r="E270" s="2" t="s">
        <v>1292</v>
      </c>
      <c r="F270" s="30">
        <v>267</v>
      </c>
      <c r="G270" s="1264"/>
      <c r="H270" s="30" t="s">
        <v>1293</v>
      </c>
      <c r="I270" s="39" t="s">
        <v>1294</v>
      </c>
      <c r="J270" s="2" t="s">
        <v>39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1" t="s">
        <v>1221</v>
      </c>
      <c r="B271" s="1">
        <v>692</v>
      </c>
      <c r="C271" s="9">
        <v>43682</v>
      </c>
      <c r="D271" s="17" t="s">
        <v>1097</v>
      </c>
      <c r="E271" s="2" t="s">
        <v>1295</v>
      </c>
      <c r="F271" s="30">
        <v>268</v>
      </c>
      <c r="G271" s="1264"/>
      <c r="H271" s="30" t="s">
        <v>1293</v>
      </c>
      <c r="I271" s="39" t="s">
        <v>1296</v>
      </c>
      <c r="J271" s="2" t="s">
        <v>39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1"/>
      <c r="B272" s="1">
        <v>693</v>
      </c>
      <c r="C272" s="9">
        <v>43682</v>
      </c>
      <c r="D272" s="17" t="s">
        <v>1297</v>
      </c>
      <c r="E272" s="2" t="s">
        <v>1298</v>
      </c>
      <c r="F272" s="30">
        <v>269</v>
      </c>
      <c r="G272" s="1264"/>
      <c r="H272" s="30" t="s">
        <v>1299</v>
      </c>
      <c r="I272" s="39" t="s">
        <v>1300</v>
      </c>
      <c r="J272" s="2" t="s">
        <v>77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1"/>
      <c r="B273" s="1">
        <v>694</v>
      </c>
      <c r="C273" s="9">
        <v>43682</v>
      </c>
      <c r="D273" s="17" t="s">
        <v>1301</v>
      </c>
      <c r="E273" s="2" t="s">
        <v>1302</v>
      </c>
      <c r="F273" s="30">
        <v>270</v>
      </c>
      <c r="G273" s="1264"/>
      <c r="H273" s="30" t="s">
        <v>1303</v>
      </c>
      <c r="I273" s="39" t="s">
        <v>1304</v>
      </c>
      <c r="J273" s="2" t="s">
        <v>39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1"/>
      <c r="B274" s="1">
        <v>695</v>
      </c>
      <c r="C274" s="9">
        <v>43684</v>
      </c>
      <c r="D274" s="17" t="s">
        <v>1305</v>
      </c>
      <c r="E274" s="2" t="s">
        <v>1306</v>
      </c>
      <c r="F274" s="30">
        <v>271</v>
      </c>
      <c r="G274" s="1264"/>
      <c r="H274" s="30" t="s">
        <v>1307</v>
      </c>
      <c r="I274" s="39" t="s">
        <v>1308</v>
      </c>
      <c r="J274" s="2" t="s">
        <v>39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1"/>
      <c r="B275" s="1">
        <v>696</v>
      </c>
      <c r="C275" s="9">
        <v>43684</v>
      </c>
      <c r="D275" s="17" t="s">
        <v>1309</v>
      </c>
      <c r="E275" s="2" t="s">
        <v>1310</v>
      </c>
      <c r="F275" s="30">
        <v>272</v>
      </c>
      <c r="G275" s="1264"/>
      <c r="H275" s="30" t="s">
        <v>1311</v>
      </c>
      <c r="I275" s="39" t="s">
        <v>1312</v>
      </c>
      <c r="J275" s="2" t="s">
        <v>39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1"/>
      <c r="B276" s="1">
        <v>697</v>
      </c>
      <c r="C276" s="9">
        <v>43683</v>
      </c>
      <c r="D276" s="17" t="s">
        <v>1313</v>
      </c>
      <c r="E276" s="43" t="s">
        <v>1314</v>
      </c>
      <c r="F276" s="30">
        <v>273</v>
      </c>
      <c r="G276" s="1264"/>
      <c r="H276" s="30" t="s">
        <v>1227</v>
      </c>
      <c r="I276" s="39" t="s">
        <v>1315</v>
      </c>
      <c r="J276" s="2" t="s">
        <v>92</v>
      </c>
      <c r="K276" s="2" t="s">
        <v>1316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1"/>
      <c r="B277" s="1">
        <v>698</v>
      </c>
      <c r="C277" s="9">
        <v>43683</v>
      </c>
      <c r="D277" s="17" t="s">
        <v>1317</v>
      </c>
      <c r="E277" s="2" t="s">
        <v>1318</v>
      </c>
      <c r="F277" s="30">
        <v>274</v>
      </c>
      <c r="G277" s="1264"/>
      <c r="H277" s="30" t="s">
        <v>1307</v>
      </c>
      <c r="I277" s="39" t="s">
        <v>1319</v>
      </c>
      <c r="J277" s="2" t="s">
        <v>39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1" t="s">
        <v>1221</v>
      </c>
      <c r="B278" s="1">
        <v>699</v>
      </c>
      <c r="C278" s="9">
        <v>43684</v>
      </c>
      <c r="D278" s="17" t="s">
        <v>1320</v>
      </c>
      <c r="E278" s="2" t="s">
        <v>1321</v>
      </c>
      <c r="F278" s="30">
        <v>275</v>
      </c>
      <c r="G278" s="1264"/>
      <c r="H278" s="30" t="s">
        <v>1192</v>
      </c>
      <c r="I278" s="39" t="s">
        <v>1322</v>
      </c>
      <c r="J278" s="2" t="s">
        <v>39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1" t="s">
        <v>1221</v>
      </c>
      <c r="B279" s="1">
        <v>700</v>
      </c>
      <c r="C279" s="9">
        <v>43684</v>
      </c>
      <c r="D279" s="17" t="s">
        <v>1323</v>
      </c>
      <c r="E279" s="2" t="s">
        <v>1324</v>
      </c>
      <c r="F279" s="30">
        <v>276</v>
      </c>
      <c r="G279" s="1264"/>
      <c r="H279" s="30" t="s">
        <v>1219</v>
      </c>
      <c r="I279" s="39" t="s">
        <v>1325</v>
      </c>
      <c r="J279" s="2" t="s">
        <v>77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1" t="s">
        <v>1221</v>
      </c>
      <c r="B280" s="1">
        <v>701</v>
      </c>
      <c r="C280" s="9">
        <v>43684</v>
      </c>
      <c r="D280" s="17" t="s">
        <v>1326</v>
      </c>
      <c r="E280" s="2" t="s">
        <v>1327</v>
      </c>
      <c r="F280" s="30">
        <v>277</v>
      </c>
      <c r="G280" s="1264"/>
      <c r="H280" s="30" t="s">
        <v>1219</v>
      </c>
      <c r="I280" s="39" t="s">
        <v>1328</v>
      </c>
      <c r="J280" s="2" t="s">
        <v>39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1"/>
      <c r="B281" s="1">
        <v>702</v>
      </c>
      <c r="C281" s="9">
        <v>43684</v>
      </c>
      <c r="D281" s="17" t="s">
        <v>1329</v>
      </c>
      <c r="E281" s="2" t="s">
        <v>1330</v>
      </c>
      <c r="F281" s="30">
        <v>278</v>
      </c>
      <c r="G281" s="1264"/>
      <c r="H281" s="30" t="s">
        <v>1331</v>
      </c>
      <c r="I281" s="39" t="s">
        <v>1332</v>
      </c>
      <c r="J281" s="2" t="s">
        <v>39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1"/>
      <c r="B282" s="1">
        <v>703</v>
      </c>
      <c r="C282" s="9">
        <v>43684</v>
      </c>
      <c r="D282" s="17" t="s">
        <v>1333</v>
      </c>
      <c r="E282" s="2" t="s">
        <v>1334</v>
      </c>
      <c r="F282" s="30">
        <v>279</v>
      </c>
      <c r="G282" s="1264"/>
      <c r="H282" s="30" t="s">
        <v>1192</v>
      </c>
      <c r="I282" s="39" t="s">
        <v>1335</v>
      </c>
      <c r="J282" s="2" t="s">
        <v>39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1"/>
      <c r="B283" s="1">
        <v>704</v>
      </c>
      <c r="C283" s="9">
        <v>43684</v>
      </c>
      <c r="D283" s="17"/>
      <c r="E283" s="2" t="s">
        <v>1336</v>
      </c>
      <c r="F283" s="30">
        <v>280</v>
      </c>
      <c r="G283" s="1264"/>
      <c r="H283" s="30" t="s">
        <v>1337</v>
      </c>
      <c r="I283" s="39" t="s">
        <v>1338</v>
      </c>
      <c r="J283" s="2" t="s">
        <v>77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1"/>
      <c r="B284" s="1">
        <v>705</v>
      </c>
      <c r="C284" s="9">
        <v>43684</v>
      </c>
      <c r="D284" s="17" t="s">
        <v>1339</v>
      </c>
      <c r="E284" s="2" t="s">
        <v>1340</v>
      </c>
      <c r="F284" s="30">
        <v>281</v>
      </c>
      <c r="G284" s="1264"/>
      <c r="H284" s="30" t="s">
        <v>1192</v>
      </c>
      <c r="I284" s="39" t="s">
        <v>1341</v>
      </c>
      <c r="J284" s="2" t="s">
        <v>39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1" t="s">
        <v>1221</v>
      </c>
      <c r="B285" s="1">
        <v>706</v>
      </c>
      <c r="C285" s="9">
        <v>43684</v>
      </c>
      <c r="D285" s="17" t="s">
        <v>1342</v>
      </c>
      <c r="E285" s="2" t="s">
        <v>1343</v>
      </c>
      <c r="F285" s="30">
        <v>282</v>
      </c>
      <c r="G285" s="1264"/>
      <c r="H285" s="30" t="s">
        <v>1344</v>
      </c>
      <c r="I285" s="39" t="s">
        <v>1345</v>
      </c>
      <c r="J285" s="2" t="s">
        <v>39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1"/>
      <c r="B286" s="1">
        <v>707</v>
      </c>
      <c r="C286" s="9">
        <v>43684</v>
      </c>
      <c r="D286" s="17"/>
      <c r="E286" s="2" t="s">
        <v>1346</v>
      </c>
      <c r="F286" s="30">
        <v>283</v>
      </c>
      <c r="G286" s="1264"/>
      <c r="H286" s="30" t="s">
        <v>1347</v>
      </c>
      <c r="I286" s="39" t="s">
        <v>1348</v>
      </c>
      <c r="J286" s="2" t="s">
        <v>77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1" t="s">
        <v>1221</v>
      </c>
      <c r="B287" s="1">
        <v>708</v>
      </c>
      <c r="C287" s="9">
        <v>43684</v>
      </c>
      <c r="D287" s="17" t="s">
        <v>1349</v>
      </c>
      <c r="E287" s="2" t="s">
        <v>1350</v>
      </c>
      <c r="F287" s="30">
        <v>284</v>
      </c>
      <c r="G287" s="1264"/>
      <c r="H287" s="30" t="s">
        <v>1351</v>
      </c>
      <c r="I287" s="39" t="s">
        <v>1352</v>
      </c>
      <c r="J287" s="2" t="s">
        <v>39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1"/>
      <c r="B288" s="1">
        <v>709</v>
      </c>
      <c r="C288" s="9">
        <v>43685</v>
      </c>
      <c r="D288" s="17"/>
      <c r="E288" s="2" t="s">
        <v>1327</v>
      </c>
      <c r="F288" s="30">
        <v>285</v>
      </c>
      <c r="G288" s="1264"/>
      <c r="H288" s="30" t="s">
        <v>1219</v>
      </c>
      <c r="I288" s="39" t="s">
        <v>1353</v>
      </c>
      <c r="J288" s="2" t="s">
        <v>77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1"/>
      <c r="B289" s="1">
        <v>710</v>
      </c>
      <c r="C289" s="9">
        <v>43685</v>
      </c>
      <c r="D289" s="17"/>
      <c r="E289" s="2" t="s">
        <v>1354</v>
      </c>
      <c r="F289" s="30">
        <v>286</v>
      </c>
      <c r="G289" s="1264"/>
      <c r="H289" s="30" t="s">
        <v>1355</v>
      </c>
      <c r="I289" s="39" t="s">
        <v>1356</v>
      </c>
      <c r="J289" s="2" t="s">
        <v>77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1"/>
      <c r="B290" s="1">
        <v>711</v>
      </c>
      <c r="C290" s="9">
        <v>43686</v>
      </c>
      <c r="D290" s="17" t="s">
        <v>1357</v>
      </c>
      <c r="E290" s="2" t="s">
        <v>1358</v>
      </c>
      <c r="F290" s="30">
        <v>287</v>
      </c>
      <c r="G290" s="1264"/>
      <c r="H290" s="30" t="s">
        <v>1307</v>
      </c>
      <c r="I290" s="39" t="s">
        <v>1359</v>
      </c>
      <c r="J290" s="2" t="s">
        <v>39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1"/>
      <c r="B291" s="1">
        <v>754</v>
      </c>
      <c r="C291" s="9">
        <v>43687</v>
      </c>
      <c r="D291" s="17" t="s">
        <v>1360</v>
      </c>
      <c r="E291" s="2" t="s">
        <v>1361</v>
      </c>
      <c r="F291" s="30" t="s">
        <v>1362</v>
      </c>
      <c r="G291" s="1264"/>
      <c r="H291" s="30" t="s">
        <v>1275</v>
      </c>
      <c r="I291" s="39" t="s">
        <v>1363</v>
      </c>
      <c r="J291" s="2" t="s">
        <v>39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1"/>
      <c r="B292" s="1">
        <v>753</v>
      </c>
      <c r="C292" s="9">
        <v>43687</v>
      </c>
      <c r="D292" s="17" t="s">
        <v>1364</v>
      </c>
      <c r="E292" s="2" t="s">
        <v>1365</v>
      </c>
      <c r="F292" s="30" t="s">
        <v>1366</v>
      </c>
      <c r="G292" s="1264"/>
      <c r="H292" s="30" t="s">
        <v>1367</v>
      </c>
      <c r="I292" s="39" t="s">
        <v>1368</v>
      </c>
      <c r="J292" s="2" t="s">
        <v>39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1" t="s">
        <v>1221</v>
      </c>
      <c r="B293" s="1">
        <v>752</v>
      </c>
      <c r="C293" s="9">
        <v>43687</v>
      </c>
      <c r="D293" s="17" t="s">
        <v>1369</v>
      </c>
      <c r="E293" s="2" t="s">
        <v>1370</v>
      </c>
      <c r="F293" s="30" t="s">
        <v>1371</v>
      </c>
      <c r="G293" s="1264"/>
      <c r="H293" s="30" t="s">
        <v>1372</v>
      </c>
      <c r="I293" s="39" t="s">
        <v>1373</v>
      </c>
      <c r="J293" s="2" t="s">
        <v>39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1"/>
      <c r="B294" s="1">
        <v>750</v>
      </c>
      <c r="C294" s="9">
        <v>43685</v>
      </c>
      <c r="D294" s="17" t="s">
        <v>1374</v>
      </c>
      <c r="E294" s="2" t="s">
        <v>1375</v>
      </c>
      <c r="F294" s="30">
        <v>300</v>
      </c>
      <c r="G294" s="1264"/>
      <c r="H294" s="30" t="s">
        <v>1275</v>
      </c>
      <c r="I294" s="39" t="s">
        <v>1376</v>
      </c>
      <c r="J294" s="2" t="s">
        <v>77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1" t="s">
        <v>1377</v>
      </c>
      <c r="B295" s="1">
        <v>751</v>
      </c>
      <c r="C295" s="9">
        <v>43685</v>
      </c>
      <c r="D295" s="17"/>
      <c r="E295" s="2" t="s">
        <v>1378</v>
      </c>
      <c r="F295" s="30">
        <v>301</v>
      </c>
      <c r="G295" s="1264"/>
      <c r="H295" s="30" t="s">
        <v>1275</v>
      </c>
      <c r="I295" s="39" t="s">
        <v>1379</v>
      </c>
      <c r="J295" s="2" t="s">
        <v>39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1"/>
      <c r="B296" s="1">
        <v>755</v>
      </c>
      <c r="C296" s="9">
        <v>43688</v>
      </c>
      <c r="D296" s="17" t="s">
        <v>1380</v>
      </c>
      <c r="E296" s="2" t="s">
        <v>1381</v>
      </c>
      <c r="F296" s="30" t="s">
        <v>1382</v>
      </c>
      <c r="G296" s="1264"/>
      <c r="H296" s="30" t="s">
        <v>1383</v>
      </c>
      <c r="I296" s="39" t="s">
        <v>1384</v>
      </c>
      <c r="J296" s="2" t="s">
        <v>39</v>
      </c>
      <c r="K296" s="2" t="s">
        <v>345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1"/>
      <c r="B297" s="1">
        <v>756</v>
      </c>
      <c r="C297" s="9">
        <v>43688</v>
      </c>
      <c r="D297" s="17" t="s">
        <v>1380</v>
      </c>
      <c r="E297" s="2" t="s">
        <v>1385</v>
      </c>
      <c r="F297" s="30" t="s">
        <v>1386</v>
      </c>
      <c r="G297" s="1264"/>
      <c r="H297" s="30" t="s">
        <v>1387</v>
      </c>
      <c r="I297" s="39" t="s">
        <v>1388</v>
      </c>
      <c r="J297" s="2" t="s">
        <v>39</v>
      </c>
      <c r="K297" s="2" t="s">
        <v>1389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1"/>
      <c r="B298" s="1">
        <v>757</v>
      </c>
      <c r="C298" s="9">
        <v>43688</v>
      </c>
      <c r="D298" s="17" t="s">
        <v>1390</v>
      </c>
      <c r="E298" s="2" t="s">
        <v>1391</v>
      </c>
      <c r="F298" s="30">
        <v>308</v>
      </c>
      <c r="G298" s="1264"/>
      <c r="H298" s="30" t="s">
        <v>1392</v>
      </c>
      <c r="I298" s="39" t="s">
        <v>1393</v>
      </c>
      <c r="J298" s="2" t="s">
        <v>39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1" t="s">
        <v>1221</v>
      </c>
      <c r="B299" s="1">
        <v>758</v>
      </c>
      <c r="C299" s="9">
        <v>43689</v>
      </c>
      <c r="D299" s="17" t="s">
        <v>1394</v>
      </c>
      <c r="E299" s="2" t="s">
        <v>1395</v>
      </c>
      <c r="F299" s="30">
        <v>309</v>
      </c>
      <c r="G299" s="1264"/>
      <c r="H299" s="30" t="s">
        <v>1307</v>
      </c>
      <c r="I299" s="39" t="s">
        <v>1396</v>
      </c>
      <c r="J299" s="2" t="s">
        <v>39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1"/>
      <c r="B300" s="1">
        <v>759</v>
      </c>
      <c r="C300" s="9">
        <v>43689</v>
      </c>
      <c r="D300" s="17" t="s">
        <v>1397</v>
      </c>
      <c r="E300" s="2" t="s">
        <v>1398</v>
      </c>
      <c r="F300" s="30">
        <v>310</v>
      </c>
      <c r="G300" s="1264"/>
      <c r="H300" s="30" t="s">
        <v>1392</v>
      </c>
      <c r="I300" s="39" t="s">
        <v>1399</v>
      </c>
      <c r="J300" s="11" t="s">
        <v>92</v>
      </c>
      <c r="K300" s="2" t="s">
        <v>345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1"/>
      <c r="B301" s="1">
        <v>760</v>
      </c>
      <c r="C301" s="9">
        <v>43689</v>
      </c>
      <c r="D301" s="17" t="s">
        <v>1400</v>
      </c>
      <c r="E301" s="2" t="s">
        <v>1401</v>
      </c>
      <c r="F301" s="30">
        <v>312</v>
      </c>
      <c r="G301" s="1264"/>
      <c r="H301" s="30" t="s">
        <v>1402</v>
      </c>
      <c r="I301" s="39" t="s">
        <v>1403</v>
      </c>
      <c r="J301" s="2" t="s">
        <v>39</v>
      </c>
      <c r="K301" s="2" t="s">
        <v>1389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1" t="s">
        <v>1221</v>
      </c>
      <c r="B302" s="1">
        <v>761</v>
      </c>
      <c r="C302" s="9">
        <v>43693</v>
      </c>
      <c r="D302" s="17" t="s">
        <v>1404</v>
      </c>
      <c r="E302" s="2" t="s">
        <v>1405</v>
      </c>
      <c r="F302" s="30" t="s">
        <v>1406</v>
      </c>
      <c r="G302" s="1264"/>
      <c r="H302" s="30" t="s">
        <v>1311</v>
      </c>
      <c r="I302" s="39" t="s">
        <v>1407</v>
      </c>
      <c r="J302" s="2" t="s">
        <v>39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1" t="s">
        <v>1221</v>
      </c>
      <c r="B303" s="1">
        <v>762</v>
      </c>
      <c r="C303" s="9">
        <v>43694</v>
      </c>
      <c r="D303" s="17" t="s">
        <v>1408</v>
      </c>
      <c r="E303" s="2" t="s">
        <v>1409</v>
      </c>
      <c r="F303" s="30" t="s">
        <v>1410</v>
      </c>
      <c r="G303" s="1264"/>
      <c r="H303" s="30" t="s">
        <v>1392</v>
      </c>
      <c r="I303" s="39" t="s">
        <v>1411</v>
      </c>
      <c r="J303" s="2" t="s">
        <v>77</v>
      </c>
      <c r="K303" s="2" t="s">
        <v>1389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1"/>
      <c r="B304" s="1">
        <v>763</v>
      </c>
      <c r="C304" s="9">
        <v>43695</v>
      </c>
      <c r="D304" s="17" t="s">
        <v>1412</v>
      </c>
      <c r="E304" s="2" t="s">
        <v>1413</v>
      </c>
      <c r="F304" s="30">
        <v>313</v>
      </c>
      <c r="G304" s="1264"/>
      <c r="H304" s="30" t="s">
        <v>1414</v>
      </c>
      <c r="I304" s="39" t="s">
        <v>1415</v>
      </c>
      <c r="J304" s="2" t="s">
        <v>39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1"/>
      <c r="B305" s="1">
        <v>764</v>
      </c>
      <c r="C305" s="9">
        <v>43698</v>
      </c>
      <c r="D305" s="17"/>
      <c r="E305" s="2" t="s">
        <v>1416</v>
      </c>
      <c r="F305" s="30" t="s">
        <v>1417</v>
      </c>
      <c r="G305" s="1264"/>
      <c r="H305" s="30" t="s">
        <v>1392</v>
      </c>
      <c r="I305" s="39" t="s">
        <v>1418</v>
      </c>
      <c r="J305" s="2" t="s">
        <v>77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1"/>
      <c r="B306" s="1">
        <v>765</v>
      </c>
      <c r="C306" s="9">
        <v>43698</v>
      </c>
      <c r="D306" s="17" t="s">
        <v>1397</v>
      </c>
      <c r="E306" s="2" t="s">
        <v>1398</v>
      </c>
      <c r="F306" s="30" t="s">
        <v>1419</v>
      </c>
      <c r="G306" s="1264"/>
      <c r="H306" s="30" t="s">
        <v>1392</v>
      </c>
      <c r="I306" s="39" t="s">
        <v>1420</v>
      </c>
      <c r="J306" s="2" t="s">
        <v>1421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1"/>
      <c r="B307" s="18">
        <v>766</v>
      </c>
      <c r="C307" s="44">
        <v>43697</v>
      </c>
      <c r="D307" s="45" t="s">
        <v>1422</v>
      </c>
      <c r="E307" s="20" t="s">
        <v>1423</v>
      </c>
      <c r="F307" s="46">
        <v>316</v>
      </c>
      <c r="G307" s="1267"/>
      <c r="H307" s="46" t="s">
        <v>1307</v>
      </c>
      <c r="I307" s="47" t="s">
        <v>1424</v>
      </c>
      <c r="J307" s="20" t="s">
        <v>77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1"/>
      <c r="B308" s="1">
        <v>767</v>
      </c>
      <c r="C308" s="9">
        <v>43699</v>
      </c>
      <c r="D308" s="17" t="s">
        <v>1425</v>
      </c>
      <c r="E308" s="2" t="s">
        <v>1426</v>
      </c>
      <c r="F308" s="30" t="s">
        <v>1427</v>
      </c>
      <c r="G308" s="1264"/>
      <c r="H308" s="30" t="s">
        <v>1372</v>
      </c>
      <c r="I308" s="39" t="s">
        <v>1428</v>
      </c>
      <c r="J308" s="2" t="s">
        <v>77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1"/>
      <c r="B309" s="1">
        <v>768</v>
      </c>
      <c r="C309" s="9">
        <v>43699</v>
      </c>
      <c r="D309" s="17" t="s">
        <v>1429</v>
      </c>
      <c r="E309" s="2" t="s">
        <v>1430</v>
      </c>
      <c r="F309" s="30" t="s">
        <v>1431</v>
      </c>
      <c r="G309" s="1264"/>
      <c r="H309" s="30" t="s">
        <v>1432</v>
      </c>
      <c r="I309" s="39" t="s">
        <v>1433</v>
      </c>
      <c r="J309" s="2" t="s">
        <v>77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1"/>
      <c r="B310" s="1">
        <v>769</v>
      </c>
      <c r="C310" s="9">
        <v>43699</v>
      </c>
      <c r="D310" s="17" t="s">
        <v>1434</v>
      </c>
      <c r="E310" s="2" t="s">
        <v>1435</v>
      </c>
      <c r="F310" s="30">
        <v>319</v>
      </c>
      <c r="G310" s="1264"/>
      <c r="H310" s="30" t="s">
        <v>1432</v>
      </c>
      <c r="I310" s="39" t="s">
        <v>1436</v>
      </c>
      <c r="J310" s="2" t="s">
        <v>77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1"/>
      <c r="B311" s="1">
        <v>770</v>
      </c>
      <c r="C311" s="9">
        <v>43698</v>
      </c>
      <c r="D311" s="17" t="s">
        <v>1425</v>
      </c>
      <c r="E311" s="2" t="s">
        <v>1437</v>
      </c>
      <c r="F311" s="30">
        <v>320</v>
      </c>
      <c r="G311" s="1264"/>
      <c r="H311" s="30" t="s">
        <v>1438</v>
      </c>
      <c r="I311" s="39" t="s">
        <v>1439</v>
      </c>
      <c r="J311" s="2" t="s">
        <v>77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1"/>
      <c r="B312" s="1">
        <v>771</v>
      </c>
      <c r="C312" s="9">
        <v>43698</v>
      </c>
      <c r="D312" s="17" t="s">
        <v>1440</v>
      </c>
      <c r="E312" s="2" t="s">
        <v>1441</v>
      </c>
      <c r="F312" s="30">
        <v>321</v>
      </c>
      <c r="G312" s="1264"/>
      <c r="H312" s="30" t="s">
        <v>1438</v>
      </c>
      <c r="I312" s="39" t="s">
        <v>1442</v>
      </c>
      <c r="J312" s="2" t="s">
        <v>77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1"/>
      <c r="B313" s="1">
        <v>772</v>
      </c>
      <c r="C313" s="9">
        <v>43699</v>
      </c>
      <c r="D313" s="17" t="s">
        <v>1313</v>
      </c>
      <c r="E313" s="2" t="s">
        <v>1314</v>
      </c>
      <c r="F313" s="30">
        <v>322</v>
      </c>
      <c r="G313" s="1264"/>
      <c r="H313" s="30" t="s">
        <v>1275</v>
      </c>
      <c r="I313" s="39" t="s">
        <v>1443</v>
      </c>
      <c r="J313" s="2" t="s">
        <v>39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1"/>
      <c r="B314" s="1">
        <v>773</v>
      </c>
      <c r="C314" s="9">
        <v>43699</v>
      </c>
      <c r="D314" s="17" t="s">
        <v>1404</v>
      </c>
      <c r="E314" s="2" t="s">
        <v>1405</v>
      </c>
      <c r="F314" s="30">
        <v>323</v>
      </c>
      <c r="G314" s="1264"/>
      <c r="H314" s="30" t="s">
        <v>1293</v>
      </c>
      <c r="I314" s="39" t="s">
        <v>1444</v>
      </c>
      <c r="J314" s="2" t="s">
        <v>39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1"/>
      <c r="B315" s="1">
        <v>775</v>
      </c>
      <c r="C315" s="9">
        <v>43703</v>
      </c>
      <c r="D315" s="17" t="s">
        <v>1445</v>
      </c>
      <c r="E315" s="2" t="s">
        <v>1446</v>
      </c>
      <c r="F315" s="30">
        <v>324</v>
      </c>
      <c r="G315" s="1264"/>
      <c r="H315" s="30" t="s">
        <v>1219</v>
      </c>
      <c r="I315" s="39" t="s">
        <v>1447</v>
      </c>
      <c r="J315" s="2" t="s">
        <v>39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1"/>
      <c r="B316" s="1">
        <v>776</v>
      </c>
      <c r="C316" s="9">
        <v>43703</v>
      </c>
      <c r="D316" s="17" t="s">
        <v>1448</v>
      </c>
      <c r="E316" s="2" t="s">
        <v>963</v>
      </c>
      <c r="F316" s="30">
        <v>325</v>
      </c>
      <c r="G316" s="1264"/>
      <c r="H316" s="30" t="s">
        <v>1383</v>
      </c>
      <c r="I316" s="39" t="s">
        <v>1449</v>
      </c>
      <c r="J316" s="2" t="s">
        <v>39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1"/>
      <c r="B317" s="1">
        <v>777</v>
      </c>
      <c r="C317" s="9">
        <v>43705</v>
      </c>
      <c r="D317" s="17" t="s">
        <v>1450</v>
      </c>
      <c r="E317" s="2" t="s">
        <v>1451</v>
      </c>
      <c r="F317" s="30" t="s">
        <v>1452</v>
      </c>
      <c r="G317" s="1264"/>
      <c r="H317" s="30" t="s">
        <v>1227</v>
      </c>
      <c r="I317" s="39" t="s">
        <v>1453</v>
      </c>
      <c r="J317" s="2" t="s">
        <v>39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1"/>
      <c r="B318" s="1">
        <v>779</v>
      </c>
      <c r="C318" s="9">
        <v>43709</v>
      </c>
      <c r="D318" s="17"/>
      <c r="E318" s="2" t="s">
        <v>1454</v>
      </c>
      <c r="F318" s="30">
        <v>327</v>
      </c>
      <c r="G318" s="1264"/>
      <c r="H318" s="30" t="s">
        <v>1271</v>
      </c>
      <c r="I318" s="39" t="s">
        <v>1455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1"/>
      <c r="B319" s="1">
        <v>780</v>
      </c>
      <c r="C319" s="9">
        <v>43709</v>
      </c>
      <c r="D319" s="17" t="s">
        <v>1456</v>
      </c>
      <c r="E319" s="2" t="s">
        <v>1457</v>
      </c>
      <c r="F319" s="30">
        <v>328</v>
      </c>
      <c r="G319" s="1264"/>
      <c r="H319" s="30" t="s">
        <v>1383</v>
      </c>
      <c r="I319" s="39" t="s">
        <v>1458</v>
      </c>
      <c r="J319" s="2" t="s">
        <v>114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1"/>
      <c r="B320" s="1">
        <v>781</v>
      </c>
      <c r="C320" s="9">
        <v>43712</v>
      </c>
      <c r="D320" s="17" t="s">
        <v>1459</v>
      </c>
      <c r="E320" s="2" t="s">
        <v>1460</v>
      </c>
      <c r="F320" s="30">
        <v>329</v>
      </c>
      <c r="G320" s="1264"/>
      <c r="H320" s="30" t="s">
        <v>1219</v>
      </c>
      <c r="I320" s="39" t="s">
        <v>1461</v>
      </c>
      <c r="J320" s="2" t="s">
        <v>39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1"/>
      <c r="B321" s="1">
        <v>783</v>
      </c>
      <c r="C321" s="9">
        <v>43716</v>
      </c>
      <c r="D321" s="17" t="s">
        <v>1462</v>
      </c>
      <c r="E321" s="2" t="s">
        <v>1463</v>
      </c>
      <c r="F321" s="30" t="s">
        <v>1464</v>
      </c>
      <c r="G321" s="1264"/>
      <c r="H321" s="30" t="s">
        <v>1465</v>
      </c>
      <c r="I321" s="39" t="s">
        <v>1466</v>
      </c>
      <c r="J321" s="2" t="s">
        <v>39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1"/>
      <c r="B322" s="1">
        <v>780</v>
      </c>
      <c r="C322" s="9">
        <v>43716</v>
      </c>
      <c r="D322" s="17" t="s">
        <v>1467</v>
      </c>
      <c r="E322" s="2" t="s">
        <v>1468</v>
      </c>
      <c r="F322" s="30" t="s">
        <v>1264</v>
      </c>
      <c r="G322" s="1264"/>
      <c r="H322" s="30" t="s">
        <v>1227</v>
      </c>
      <c r="I322" s="39" t="s">
        <v>1469</v>
      </c>
      <c r="J322" s="2" t="s">
        <v>39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1"/>
      <c r="B323" s="1">
        <v>782</v>
      </c>
      <c r="C323" s="9">
        <v>43716</v>
      </c>
      <c r="D323" s="17" t="s">
        <v>1470</v>
      </c>
      <c r="E323" s="2" t="s">
        <v>1471</v>
      </c>
      <c r="F323" s="30" t="s">
        <v>1472</v>
      </c>
      <c r="G323" s="1264"/>
      <c r="H323" s="30" t="s">
        <v>1473</v>
      </c>
      <c r="I323" s="39" t="s">
        <v>1474</v>
      </c>
      <c r="J323" s="2" t="s">
        <v>39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1"/>
      <c r="B324" s="1">
        <v>784</v>
      </c>
      <c r="C324" s="9">
        <v>43719</v>
      </c>
      <c r="D324" s="17" t="s">
        <v>862</v>
      </c>
      <c r="E324" s="2" t="s">
        <v>156</v>
      </c>
      <c r="F324" s="30" t="s">
        <v>1475</v>
      </c>
      <c r="G324" s="1264"/>
      <c r="H324" s="30" t="s">
        <v>1219</v>
      </c>
      <c r="I324" s="39" t="s">
        <v>1476</v>
      </c>
      <c r="J324" s="2" t="s">
        <v>39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1"/>
      <c r="B325" s="1">
        <v>789</v>
      </c>
      <c r="C325" s="9">
        <v>43719</v>
      </c>
      <c r="D325" s="17"/>
      <c r="E325" s="2" t="s">
        <v>1477</v>
      </c>
      <c r="F325" s="30">
        <v>333</v>
      </c>
      <c r="G325" s="1264"/>
      <c r="H325" s="30" t="s">
        <v>1478</v>
      </c>
      <c r="I325" s="39" t="s">
        <v>1479</v>
      </c>
      <c r="J325" s="2" t="s">
        <v>39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1"/>
      <c r="B326" s="1">
        <v>790</v>
      </c>
      <c r="C326" s="9">
        <v>43719</v>
      </c>
      <c r="D326" s="17" t="s">
        <v>1480</v>
      </c>
      <c r="E326" s="2" t="s">
        <v>1481</v>
      </c>
      <c r="F326" s="30" t="s">
        <v>1482</v>
      </c>
      <c r="G326" s="1264"/>
      <c r="H326" s="30" t="s">
        <v>1483</v>
      </c>
      <c r="I326" s="39" t="s">
        <v>1484</v>
      </c>
      <c r="J326" s="2" t="s">
        <v>77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1"/>
      <c r="B327" s="1">
        <v>791</v>
      </c>
      <c r="C327" s="9">
        <v>43719</v>
      </c>
      <c r="D327" s="17" t="s">
        <v>1485</v>
      </c>
      <c r="E327" s="2" t="s">
        <v>931</v>
      </c>
      <c r="F327" s="30">
        <v>335</v>
      </c>
      <c r="G327" s="1264"/>
      <c r="H327" s="30" t="s">
        <v>1347</v>
      </c>
      <c r="I327" s="39" t="s">
        <v>1486</v>
      </c>
      <c r="J327" s="2" t="s">
        <v>39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1"/>
      <c r="B328" s="1">
        <v>792</v>
      </c>
      <c r="C328" s="9">
        <v>43720</v>
      </c>
      <c r="D328" s="17" t="s">
        <v>1487</v>
      </c>
      <c r="E328" s="2" t="s">
        <v>1488</v>
      </c>
      <c r="F328" s="30" t="s">
        <v>1489</v>
      </c>
      <c r="G328" s="1264"/>
      <c r="H328" s="30" t="s">
        <v>1347</v>
      </c>
      <c r="I328" s="39" t="s">
        <v>1490</v>
      </c>
      <c r="J328" s="2" t="s">
        <v>39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1"/>
      <c r="B329" s="1">
        <v>793</v>
      </c>
      <c r="C329" s="9">
        <v>43724</v>
      </c>
      <c r="D329" s="17" t="s">
        <v>1491</v>
      </c>
      <c r="E329" s="2" t="s">
        <v>1492</v>
      </c>
      <c r="F329" s="30" t="s">
        <v>1493</v>
      </c>
      <c r="G329" s="1264"/>
      <c r="H329" s="30" t="s">
        <v>1347</v>
      </c>
      <c r="I329" s="39" t="s">
        <v>1494</v>
      </c>
      <c r="J329" s="2" t="s">
        <v>39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1" t="s">
        <v>1221</v>
      </c>
      <c r="B330" s="1">
        <v>794</v>
      </c>
      <c r="C330" s="9">
        <v>43726</v>
      </c>
      <c r="D330" s="17" t="s">
        <v>1495</v>
      </c>
      <c r="E330" s="2" t="s">
        <v>1496</v>
      </c>
      <c r="F330" s="30">
        <v>338</v>
      </c>
      <c r="G330" s="1264"/>
      <c r="H330" s="30" t="s">
        <v>1337</v>
      </c>
      <c r="I330" s="39" t="s">
        <v>1497</v>
      </c>
      <c r="J330" s="2" t="s">
        <v>39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1" t="s">
        <v>1221</v>
      </c>
      <c r="B331" s="1">
        <v>795</v>
      </c>
      <c r="C331" s="9">
        <v>43726</v>
      </c>
      <c r="D331" s="17" t="s">
        <v>1495</v>
      </c>
      <c r="E331" s="2" t="s">
        <v>1498</v>
      </c>
      <c r="F331" s="30">
        <v>339</v>
      </c>
      <c r="G331" s="1264"/>
      <c r="H331" s="30" t="s">
        <v>1499</v>
      </c>
      <c r="I331" s="39" t="s">
        <v>1500</v>
      </c>
      <c r="J331" s="2" t="s">
        <v>39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1"/>
      <c r="B332" s="1">
        <v>796</v>
      </c>
      <c r="C332" s="9">
        <v>43726</v>
      </c>
      <c r="D332" s="17" t="s">
        <v>1501</v>
      </c>
      <c r="E332" s="2" t="s">
        <v>1502</v>
      </c>
      <c r="F332" s="30">
        <v>340</v>
      </c>
      <c r="G332" s="1264"/>
      <c r="H332" s="30" t="s">
        <v>1503</v>
      </c>
      <c r="I332" s="2" t="s">
        <v>1504</v>
      </c>
      <c r="J332" s="2" t="s">
        <v>39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1"/>
      <c r="B333" s="1">
        <v>798</v>
      </c>
      <c r="C333" s="9">
        <v>43731</v>
      </c>
      <c r="D333" s="17" t="s">
        <v>894</v>
      </c>
      <c r="E333" s="2" t="s">
        <v>179</v>
      </c>
      <c r="F333" s="30">
        <v>341</v>
      </c>
      <c r="G333" s="1264"/>
      <c r="H333" s="30" t="s">
        <v>1307</v>
      </c>
      <c r="I333" s="39" t="s">
        <v>1505</v>
      </c>
      <c r="J333" s="2" t="s">
        <v>39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1"/>
      <c r="B334" s="1">
        <v>799</v>
      </c>
      <c r="C334" s="9">
        <v>43731</v>
      </c>
      <c r="D334" s="17" t="s">
        <v>1506</v>
      </c>
      <c r="E334" s="2" t="s">
        <v>1507</v>
      </c>
      <c r="F334" s="30">
        <v>342</v>
      </c>
      <c r="G334" s="1264"/>
      <c r="H334" s="30" t="s">
        <v>1508</v>
      </c>
      <c r="I334" s="39" t="s">
        <v>1509</v>
      </c>
      <c r="J334" s="2" t="s">
        <v>39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1"/>
      <c r="B335" s="1">
        <v>800</v>
      </c>
      <c r="C335" s="9">
        <v>43731</v>
      </c>
      <c r="D335" s="17" t="s">
        <v>1510</v>
      </c>
      <c r="E335" s="2" t="s">
        <v>1511</v>
      </c>
      <c r="F335" s="30">
        <v>344</v>
      </c>
      <c r="G335" s="1264"/>
      <c r="H335" s="30" t="s">
        <v>1337</v>
      </c>
      <c r="I335" s="39" t="s">
        <v>1512</v>
      </c>
      <c r="J335" s="2" t="s">
        <v>39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1"/>
      <c r="B336" s="1">
        <v>801</v>
      </c>
      <c r="C336" s="9">
        <v>43731</v>
      </c>
      <c r="D336" s="17" t="s">
        <v>1513</v>
      </c>
      <c r="E336" s="2" t="s">
        <v>1514</v>
      </c>
      <c r="F336" s="30">
        <v>345</v>
      </c>
      <c r="G336" s="1264"/>
      <c r="H336" s="30" t="s">
        <v>1383</v>
      </c>
      <c r="I336" s="39" t="s">
        <v>1515</v>
      </c>
      <c r="J336" s="2" t="s">
        <v>77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1"/>
      <c r="B337" s="1">
        <v>803</v>
      </c>
      <c r="C337" s="9">
        <v>43731</v>
      </c>
      <c r="D337" s="17" t="s">
        <v>946</v>
      </c>
      <c r="E337" s="2" t="s">
        <v>947</v>
      </c>
      <c r="F337" s="30">
        <v>346</v>
      </c>
      <c r="G337" s="1264"/>
      <c r="H337" s="30" t="s">
        <v>1347</v>
      </c>
      <c r="I337" s="39" t="s">
        <v>1516</v>
      </c>
      <c r="J337" s="2" t="s">
        <v>77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1"/>
      <c r="B338" s="1">
        <v>804</v>
      </c>
      <c r="C338" s="9">
        <v>43731</v>
      </c>
      <c r="D338" s="17" t="s">
        <v>1517</v>
      </c>
      <c r="E338" s="2" t="s">
        <v>1518</v>
      </c>
      <c r="F338" s="30">
        <v>347</v>
      </c>
      <c r="G338" s="1264"/>
      <c r="H338" s="30" t="s">
        <v>1383</v>
      </c>
      <c r="I338" s="39" t="s">
        <v>1519</v>
      </c>
      <c r="J338" s="2" t="s">
        <v>77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1"/>
      <c r="B339" s="1">
        <v>805</v>
      </c>
      <c r="C339" s="9">
        <v>43731</v>
      </c>
      <c r="D339" s="17"/>
      <c r="E339" s="2" t="s">
        <v>1520</v>
      </c>
      <c r="F339" s="30">
        <v>348</v>
      </c>
      <c r="G339" s="1264"/>
      <c r="H339" s="30" t="s">
        <v>1521</v>
      </c>
      <c r="I339" s="39" t="s">
        <v>1522</v>
      </c>
      <c r="J339" s="2" t="s">
        <v>39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1" t="s">
        <v>1523</v>
      </c>
      <c r="B340" s="1">
        <v>806</v>
      </c>
      <c r="C340" s="9">
        <v>43731</v>
      </c>
      <c r="D340" s="17" t="s">
        <v>1495</v>
      </c>
      <c r="E340" s="2" t="s">
        <v>1524</v>
      </c>
      <c r="F340" s="30">
        <v>349</v>
      </c>
      <c r="G340" s="1264"/>
      <c r="H340" s="30" t="s">
        <v>1525</v>
      </c>
      <c r="I340" s="39" t="s">
        <v>1526</v>
      </c>
      <c r="J340" s="2" t="s">
        <v>39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1"/>
      <c r="B341" s="1">
        <v>807</v>
      </c>
      <c r="C341" s="9">
        <v>43735</v>
      </c>
      <c r="D341" s="17"/>
      <c r="E341" s="2" t="s">
        <v>1527</v>
      </c>
      <c r="F341" s="30">
        <v>350</v>
      </c>
      <c r="G341" s="1264"/>
      <c r="H341" s="30" t="s">
        <v>1347</v>
      </c>
      <c r="I341" s="39" t="s">
        <v>1528</v>
      </c>
      <c r="J341" s="2" t="s">
        <v>77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1"/>
      <c r="B342" s="1">
        <v>808</v>
      </c>
      <c r="C342" s="9">
        <v>43735</v>
      </c>
      <c r="D342" s="1">
        <v>9031702049</v>
      </c>
      <c r="E342" s="2" t="s">
        <v>1529</v>
      </c>
      <c r="F342" s="30">
        <v>351</v>
      </c>
      <c r="G342" s="1264"/>
      <c r="H342" s="30" t="s">
        <v>1530</v>
      </c>
      <c r="I342" s="39" t="s">
        <v>1531</v>
      </c>
      <c r="J342" s="2" t="s">
        <v>77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1" t="s">
        <v>1532</v>
      </c>
      <c r="B343" s="1">
        <v>809</v>
      </c>
      <c r="C343" s="9">
        <v>43735</v>
      </c>
      <c r="D343" s="1">
        <v>9031702049</v>
      </c>
      <c r="E343" s="2" t="s">
        <v>1533</v>
      </c>
      <c r="F343" s="30">
        <v>352</v>
      </c>
      <c r="G343" s="1264"/>
      <c r="H343" s="30" t="s">
        <v>1530</v>
      </c>
      <c r="I343" s="39" t="s">
        <v>1534</v>
      </c>
      <c r="J343" s="2" t="s">
        <v>77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1" t="s">
        <v>1221</v>
      </c>
      <c r="B344" s="1">
        <v>810</v>
      </c>
      <c r="C344" s="9">
        <v>43736</v>
      </c>
      <c r="D344" s="1" t="s">
        <v>1535</v>
      </c>
      <c r="E344" s="2" t="s">
        <v>1536</v>
      </c>
      <c r="F344" s="30">
        <v>353</v>
      </c>
      <c r="G344" s="1264"/>
      <c r="H344" s="30" t="s">
        <v>1347</v>
      </c>
      <c r="I344" s="39" t="s">
        <v>1537</v>
      </c>
      <c r="J344" s="2" t="s">
        <v>77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1" t="s">
        <v>1532</v>
      </c>
      <c r="B345" s="1">
        <v>811</v>
      </c>
      <c r="C345" s="9">
        <v>43739</v>
      </c>
      <c r="D345" s="17" t="s">
        <v>1047</v>
      </c>
      <c r="E345" s="2" t="s">
        <v>1048</v>
      </c>
      <c r="F345" s="30">
        <v>354</v>
      </c>
      <c r="G345" s="1264"/>
      <c r="H345" s="30" t="s">
        <v>1367</v>
      </c>
      <c r="I345" s="39" t="s">
        <v>1538</v>
      </c>
      <c r="J345" s="2" t="s">
        <v>39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1"/>
      <c r="B346" s="1">
        <v>812</v>
      </c>
      <c r="C346" s="9">
        <v>43736</v>
      </c>
      <c r="D346" s="17" t="s">
        <v>1539</v>
      </c>
      <c r="E346" s="2" t="s">
        <v>1540</v>
      </c>
      <c r="F346" s="30">
        <v>355</v>
      </c>
      <c r="G346" s="1264"/>
      <c r="H346" s="30" t="s">
        <v>1541</v>
      </c>
      <c r="I346" s="39" t="s">
        <v>1542</v>
      </c>
      <c r="J346" s="2" t="s">
        <v>39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1"/>
      <c r="B347" s="1">
        <v>813</v>
      </c>
      <c r="C347" s="9">
        <v>43740</v>
      </c>
      <c r="D347" s="17" t="s">
        <v>1539</v>
      </c>
      <c r="E347" s="2" t="s">
        <v>1543</v>
      </c>
      <c r="F347" s="30">
        <v>356</v>
      </c>
      <c r="G347" s="1264"/>
      <c r="H347" s="30" t="s">
        <v>1465</v>
      </c>
      <c r="I347" s="39" t="s">
        <v>1544</v>
      </c>
      <c r="J347" s="2" t="s">
        <v>39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2" t="s">
        <v>1545</v>
      </c>
      <c r="B348" s="1">
        <v>815</v>
      </c>
      <c r="C348" s="9">
        <v>43737</v>
      </c>
      <c r="D348" s="1" t="s">
        <v>1535</v>
      </c>
      <c r="E348" s="2" t="s">
        <v>1546</v>
      </c>
      <c r="F348" s="30" t="s">
        <v>1547</v>
      </c>
      <c r="G348" s="1264"/>
      <c r="H348" s="30" t="s">
        <v>1331</v>
      </c>
      <c r="I348" s="39" t="s">
        <v>1548</v>
      </c>
      <c r="J348" s="2" t="s">
        <v>39</v>
      </c>
      <c r="K348" s="2" t="s">
        <v>1523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2" t="s">
        <v>1545</v>
      </c>
      <c r="B349" s="1">
        <v>816</v>
      </c>
      <c r="C349" s="9">
        <v>43737</v>
      </c>
      <c r="D349" s="1" t="s">
        <v>1535</v>
      </c>
      <c r="E349" s="2" t="s">
        <v>1549</v>
      </c>
      <c r="F349" s="30" t="s">
        <v>1550</v>
      </c>
      <c r="G349" s="1264"/>
      <c r="H349" s="30" t="s">
        <v>1331</v>
      </c>
      <c r="I349" s="39" t="s">
        <v>1551</v>
      </c>
      <c r="J349" s="2" t="s">
        <v>39</v>
      </c>
      <c r="K349" s="2" t="s">
        <v>1523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1"/>
      <c r="B350" s="1">
        <v>817</v>
      </c>
      <c r="C350" s="9">
        <v>43740</v>
      </c>
      <c r="D350" s="17"/>
      <c r="E350" s="2" t="s">
        <v>1454</v>
      </c>
      <c r="F350" s="30" t="s">
        <v>1552</v>
      </c>
      <c r="G350" s="1264"/>
      <c r="H350" s="30" t="s">
        <v>1271</v>
      </c>
      <c r="I350" s="39" t="s">
        <v>1553</v>
      </c>
      <c r="J350" s="2" t="s">
        <v>39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1"/>
      <c r="B351" s="1">
        <v>818</v>
      </c>
      <c r="C351" s="9">
        <v>43738</v>
      </c>
      <c r="D351" s="17" t="s">
        <v>1554</v>
      </c>
      <c r="E351" s="2" t="s">
        <v>1555</v>
      </c>
      <c r="F351" s="30">
        <v>361</v>
      </c>
      <c r="G351" s="1264"/>
      <c r="H351" s="30" t="s">
        <v>1347</v>
      </c>
      <c r="I351" s="39" t="s">
        <v>1556</v>
      </c>
      <c r="J351" s="2" t="s">
        <v>77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1"/>
      <c r="B352" s="1">
        <v>820</v>
      </c>
      <c r="C352" s="9">
        <v>43739</v>
      </c>
      <c r="D352" s="17" t="s">
        <v>401</v>
      </c>
      <c r="E352" s="2" t="s">
        <v>1557</v>
      </c>
      <c r="F352" s="30">
        <v>362</v>
      </c>
      <c r="G352" s="1264"/>
      <c r="H352" s="30" t="s">
        <v>1337</v>
      </c>
      <c r="I352" s="39" t="s">
        <v>1558</v>
      </c>
      <c r="J352" s="2" t="s">
        <v>39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1"/>
      <c r="B353" s="1">
        <v>821</v>
      </c>
      <c r="C353" s="9">
        <v>43739</v>
      </c>
      <c r="D353" s="17" t="s">
        <v>401</v>
      </c>
      <c r="E353" s="2" t="s">
        <v>1559</v>
      </c>
      <c r="F353" s="30">
        <v>363</v>
      </c>
      <c r="G353" s="1264"/>
      <c r="H353" s="30" t="s">
        <v>1560</v>
      </c>
      <c r="I353" s="39" t="s">
        <v>1561</v>
      </c>
      <c r="J353" s="2" t="s">
        <v>39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1"/>
      <c r="B354" s="1">
        <v>822</v>
      </c>
      <c r="C354" s="9">
        <v>43741</v>
      </c>
      <c r="D354" s="17" t="s">
        <v>1562</v>
      </c>
      <c r="E354" s="2" t="s">
        <v>1563</v>
      </c>
      <c r="F354" s="30" t="s">
        <v>1564</v>
      </c>
      <c r="G354" s="1264"/>
      <c r="H354" s="30"/>
      <c r="I354" s="39" t="s">
        <v>1565</v>
      </c>
      <c r="J354" s="2" t="s">
        <v>77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1"/>
      <c r="B355" s="1">
        <v>823</v>
      </c>
      <c r="C355" s="9">
        <v>43741</v>
      </c>
      <c r="D355" s="17" t="s">
        <v>1566</v>
      </c>
      <c r="E355" s="2" t="s">
        <v>1567</v>
      </c>
      <c r="F355" s="30" t="s">
        <v>1568</v>
      </c>
      <c r="G355" s="1264"/>
      <c r="H355" s="30" t="s">
        <v>1392</v>
      </c>
      <c r="I355" s="39" t="s">
        <v>1569</v>
      </c>
      <c r="J355" s="2" t="s">
        <v>39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1"/>
      <c r="B356" s="1">
        <v>824</v>
      </c>
      <c r="C356" s="9">
        <v>43741</v>
      </c>
      <c r="D356" s="17"/>
      <c r="E356" s="2" t="s">
        <v>1570</v>
      </c>
      <c r="F356" s="30" t="s">
        <v>1571</v>
      </c>
      <c r="G356" s="1264"/>
      <c r="H356" s="30" t="s">
        <v>1478</v>
      </c>
      <c r="I356" s="39" t="s">
        <v>1572</v>
      </c>
      <c r="J356" s="2" t="s">
        <v>77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1"/>
      <c r="B357" s="1">
        <v>825</v>
      </c>
      <c r="C357" s="9">
        <v>43743</v>
      </c>
      <c r="D357" s="17" t="s">
        <v>1573</v>
      </c>
      <c r="E357" s="2" t="s">
        <v>939</v>
      </c>
      <c r="F357" s="30" t="s">
        <v>1574</v>
      </c>
      <c r="G357" s="1264"/>
      <c r="H357" s="30" t="s">
        <v>1478</v>
      </c>
      <c r="I357" s="39" t="s">
        <v>1575</v>
      </c>
      <c r="J357" s="2" t="s">
        <v>39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1"/>
      <c r="B358" s="1">
        <v>826</v>
      </c>
      <c r="C358" s="9">
        <v>43743</v>
      </c>
      <c r="D358" s="17" t="s">
        <v>1576</v>
      </c>
      <c r="E358" s="2" t="s">
        <v>689</v>
      </c>
      <c r="F358" s="30" t="s">
        <v>1577</v>
      </c>
      <c r="G358" s="1264"/>
      <c r="H358" s="30" t="s">
        <v>1473</v>
      </c>
      <c r="I358" s="39" t="s">
        <v>1578</v>
      </c>
      <c r="J358" s="2" t="s">
        <v>39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1"/>
      <c r="B359" s="1">
        <v>827</v>
      </c>
      <c r="C359" s="1"/>
      <c r="D359" s="17" t="s">
        <v>1579</v>
      </c>
      <c r="E359" s="2" t="s">
        <v>1580</v>
      </c>
      <c r="F359" s="30" t="s">
        <v>1581</v>
      </c>
      <c r="G359" s="1264"/>
      <c r="H359" s="30" t="s">
        <v>1465</v>
      </c>
      <c r="I359" s="39" t="s">
        <v>1582</v>
      </c>
      <c r="J359" s="2" t="s">
        <v>39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1"/>
      <c r="B360" s="1">
        <v>828</v>
      </c>
      <c r="C360" s="9">
        <v>43748</v>
      </c>
      <c r="D360" s="17" t="s">
        <v>1583</v>
      </c>
      <c r="E360" s="2" t="s">
        <v>1584</v>
      </c>
      <c r="F360" s="30" t="s">
        <v>1585</v>
      </c>
      <c r="G360" s="1264"/>
      <c r="H360" s="30" t="s">
        <v>1586</v>
      </c>
      <c r="I360" s="39" t="s">
        <v>1587</v>
      </c>
      <c r="J360" s="2" t="s">
        <v>39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1" t="s">
        <v>1545</v>
      </c>
      <c r="B361" s="1">
        <v>829</v>
      </c>
      <c r="C361" s="9">
        <v>43749</v>
      </c>
      <c r="D361" s="17" t="s">
        <v>1588</v>
      </c>
      <c r="E361" s="2" t="s">
        <v>1589</v>
      </c>
      <c r="F361" s="30" t="s">
        <v>1590</v>
      </c>
      <c r="G361" s="1264"/>
      <c r="H361" s="30" t="s">
        <v>1591</v>
      </c>
      <c r="I361" s="2" t="s">
        <v>1592</v>
      </c>
      <c r="J361" s="2" t="s">
        <v>77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1"/>
      <c r="B362" s="1">
        <v>834</v>
      </c>
      <c r="C362" s="9">
        <v>43754</v>
      </c>
      <c r="D362" s="17"/>
      <c r="E362" s="2" t="s">
        <v>1593</v>
      </c>
      <c r="F362" s="30">
        <v>372</v>
      </c>
      <c r="G362" s="1264"/>
      <c r="H362" s="30" t="s">
        <v>1594</v>
      </c>
      <c r="I362" s="39" t="s">
        <v>1595</v>
      </c>
      <c r="J362" s="2" t="s">
        <v>39</v>
      </c>
      <c r="K362" s="2"/>
      <c r="L362" s="2"/>
      <c r="M362" s="2">
        <f>36*3+60</f>
        <v>168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1"/>
      <c r="B363" s="1">
        <v>835</v>
      </c>
      <c r="C363" s="9">
        <v>43754</v>
      </c>
      <c r="D363" s="17" t="s">
        <v>1596</v>
      </c>
      <c r="E363" s="2" t="s">
        <v>1001</v>
      </c>
      <c r="F363" s="30">
        <v>373</v>
      </c>
      <c r="G363" s="1264"/>
      <c r="H363" s="30" t="s">
        <v>1337</v>
      </c>
      <c r="I363" s="39" t="s">
        <v>1597</v>
      </c>
      <c r="J363" s="2" t="s">
        <v>77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1"/>
      <c r="B364" s="1">
        <v>836</v>
      </c>
      <c r="C364" s="9">
        <v>43754</v>
      </c>
      <c r="D364" s="17" t="s">
        <v>1539</v>
      </c>
      <c r="E364" s="2" t="s">
        <v>1598</v>
      </c>
      <c r="F364" s="30">
        <v>374</v>
      </c>
      <c r="G364" s="1264"/>
      <c r="H364" s="30" t="s">
        <v>1599</v>
      </c>
      <c r="I364" s="39" t="s">
        <v>1600</v>
      </c>
      <c r="J364" s="2" t="s">
        <v>77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1"/>
      <c r="B365" s="1">
        <v>837</v>
      </c>
      <c r="C365" s="9">
        <v>43757</v>
      </c>
      <c r="D365" s="17" t="s">
        <v>1539</v>
      </c>
      <c r="E365" s="2" t="s">
        <v>1601</v>
      </c>
      <c r="F365" s="30">
        <v>375</v>
      </c>
      <c r="G365" s="1264"/>
      <c r="H365" s="30" t="s">
        <v>1602</v>
      </c>
      <c r="I365" s="39" t="s">
        <v>1603</v>
      </c>
      <c r="J365" s="2" t="s">
        <v>77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1"/>
      <c r="B366" s="1">
        <v>840</v>
      </c>
      <c r="C366" s="9">
        <v>43757</v>
      </c>
      <c r="D366" s="17" t="s">
        <v>1072</v>
      </c>
      <c r="E366" s="2" t="s">
        <v>1604</v>
      </c>
      <c r="F366" s="30">
        <v>376</v>
      </c>
      <c r="G366" s="1264"/>
      <c r="H366" s="30" t="s">
        <v>1605</v>
      </c>
      <c r="I366" s="39" t="s">
        <v>1606</v>
      </c>
      <c r="J366" s="2" t="s">
        <v>77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1" t="s">
        <v>1221</v>
      </c>
      <c r="B367" s="1">
        <v>841</v>
      </c>
      <c r="C367" s="9">
        <v>43757</v>
      </c>
      <c r="D367" s="17" t="s">
        <v>1072</v>
      </c>
      <c r="E367" s="2" t="s">
        <v>1607</v>
      </c>
      <c r="F367" s="30">
        <v>377</v>
      </c>
      <c r="G367" s="1264"/>
      <c r="H367" s="30" t="s">
        <v>1347</v>
      </c>
      <c r="I367" s="39" t="s">
        <v>1608</v>
      </c>
      <c r="J367" s="2" t="s">
        <v>77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1"/>
      <c r="B368" s="1">
        <v>842</v>
      </c>
      <c r="C368" s="9">
        <v>43764</v>
      </c>
      <c r="D368" s="17" t="s">
        <v>1609</v>
      </c>
      <c r="E368" s="2" t="s">
        <v>1610</v>
      </c>
      <c r="F368" s="30">
        <v>378</v>
      </c>
      <c r="G368" s="1264"/>
      <c r="H368" s="30" t="s">
        <v>1383</v>
      </c>
      <c r="I368" s="39" t="s">
        <v>1611</v>
      </c>
      <c r="J368" s="2" t="s">
        <v>77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1"/>
      <c r="B369" s="1">
        <v>843</v>
      </c>
      <c r="C369" s="9">
        <v>43768</v>
      </c>
      <c r="D369" s="17" t="s">
        <v>1173</v>
      </c>
      <c r="E369" s="2" t="s">
        <v>1612</v>
      </c>
      <c r="F369" s="30" t="s">
        <v>1613</v>
      </c>
      <c r="G369" s="1264"/>
      <c r="H369" s="30" t="s">
        <v>1478</v>
      </c>
      <c r="I369" s="39" t="s">
        <v>1614</v>
      </c>
      <c r="J369" s="2" t="s">
        <v>77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1"/>
      <c r="B370" s="1">
        <v>844</v>
      </c>
      <c r="C370" s="9">
        <v>43768</v>
      </c>
      <c r="D370" s="17" t="s">
        <v>1615</v>
      </c>
      <c r="E370" s="2" t="s">
        <v>1460</v>
      </c>
      <c r="F370" s="30" t="s">
        <v>1616</v>
      </c>
      <c r="G370" s="1264"/>
      <c r="H370" s="30" t="s">
        <v>1473</v>
      </c>
      <c r="I370" s="39" t="s">
        <v>1617</v>
      </c>
      <c r="J370" s="2" t="s">
        <v>77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1"/>
      <c r="B371" s="1">
        <v>845</v>
      </c>
      <c r="C371" s="9">
        <v>43768</v>
      </c>
      <c r="D371" s="17" t="s">
        <v>1173</v>
      </c>
      <c r="E371" s="2" t="s">
        <v>1612</v>
      </c>
      <c r="F371" s="30" t="s">
        <v>1613</v>
      </c>
      <c r="G371" s="1264"/>
      <c r="H371" s="30" t="s">
        <v>1478</v>
      </c>
      <c r="I371" s="39" t="s">
        <v>1618</v>
      </c>
      <c r="J371" s="2" t="s">
        <v>77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1"/>
      <c r="B372" s="1">
        <v>846</v>
      </c>
      <c r="C372" s="9">
        <v>43775</v>
      </c>
      <c r="D372" s="17" t="s">
        <v>1619</v>
      </c>
      <c r="E372" s="2" t="s">
        <v>1620</v>
      </c>
      <c r="F372" s="30" t="s">
        <v>1616</v>
      </c>
      <c r="G372" s="1264"/>
      <c r="H372" s="30" t="s">
        <v>1337</v>
      </c>
      <c r="I372" s="39" t="s">
        <v>1621</v>
      </c>
      <c r="J372" s="2" t="s">
        <v>39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1"/>
      <c r="B373" s="1">
        <v>849</v>
      </c>
      <c r="C373" s="9">
        <v>43775</v>
      </c>
      <c r="D373" s="17" t="s">
        <v>1622</v>
      </c>
      <c r="E373" s="2" t="s">
        <v>1623</v>
      </c>
      <c r="F373" s="30">
        <v>381</v>
      </c>
      <c r="G373" s="1264"/>
      <c r="H373" s="30" t="s">
        <v>1307</v>
      </c>
      <c r="I373" s="2" t="s">
        <v>1624</v>
      </c>
      <c r="J373" s="2" t="s">
        <v>77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1"/>
      <c r="B374" s="1">
        <v>851</v>
      </c>
      <c r="C374" s="9">
        <v>43780</v>
      </c>
      <c r="D374" s="17" t="s">
        <v>1625</v>
      </c>
      <c r="E374" s="2" t="s">
        <v>1626</v>
      </c>
      <c r="F374" s="30">
        <v>382</v>
      </c>
      <c r="G374" s="1264"/>
      <c r="H374" s="30" t="s">
        <v>1627</v>
      </c>
      <c r="I374" s="39" t="s">
        <v>1628</v>
      </c>
      <c r="J374" s="2" t="s">
        <v>39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1"/>
      <c r="B375" s="1">
        <v>852</v>
      </c>
      <c r="C375" s="9">
        <v>43781</v>
      </c>
      <c r="D375" s="17"/>
      <c r="E375" s="2" t="s">
        <v>1629</v>
      </c>
      <c r="F375" s="30" t="s">
        <v>1630</v>
      </c>
      <c r="G375" s="1264"/>
      <c r="H375" s="30" t="s">
        <v>1227</v>
      </c>
      <c r="I375" s="39" t="s">
        <v>1631</v>
      </c>
      <c r="J375" s="2" t="s">
        <v>1632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1"/>
      <c r="B376" s="1">
        <v>853</v>
      </c>
      <c r="C376" s="9">
        <v>43782</v>
      </c>
      <c r="D376" s="17" t="s">
        <v>1633</v>
      </c>
      <c r="E376" s="2" t="s">
        <v>1634</v>
      </c>
      <c r="F376" s="30" t="s">
        <v>1635</v>
      </c>
      <c r="G376" s="1264"/>
      <c r="H376" s="30" t="s">
        <v>1473</v>
      </c>
      <c r="I376" s="39" t="s">
        <v>1636</v>
      </c>
      <c r="J376" s="2" t="s">
        <v>39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1"/>
      <c r="B377" s="1">
        <v>854</v>
      </c>
      <c r="C377" s="9">
        <v>43783</v>
      </c>
      <c r="D377" s="17" t="s">
        <v>1637</v>
      </c>
      <c r="E377" s="2" t="s">
        <v>388</v>
      </c>
      <c r="F377" s="30" t="s">
        <v>1638</v>
      </c>
      <c r="G377" s="1264"/>
      <c r="H377" s="30" t="s">
        <v>1560</v>
      </c>
      <c r="I377" s="39" t="s">
        <v>1639</v>
      </c>
      <c r="J377" s="2" t="s">
        <v>39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1"/>
      <c r="B378" s="1">
        <v>855</v>
      </c>
      <c r="C378" s="9">
        <v>43789</v>
      </c>
      <c r="D378" s="17" t="s">
        <v>1640</v>
      </c>
      <c r="E378" s="2" t="s">
        <v>1641</v>
      </c>
      <c r="F378" s="30" t="s">
        <v>1642</v>
      </c>
      <c r="G378" s="1264"/>
      <c r="H378" s="30" t="s">
        <v>1383</v>
      </c>
      <c r="I378" s="39" t="s">
        <v>1643</v>
      </c>
      <c r="J378" s="2" t="s">
        <v>507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1" t="s">
        <v>1221</v>
      </c>
      <c r="B379" s="1">
        <v>856</v>
      </c>
      <c r="C379" s="9">
        <v>43789</v>
      </c>
      <c r="D379" s="17" t="s">
        <v>1495</v>
      </c>
      <c r="E379" s="2" t="s">
        <v>1644</v>
      </c>
      <c r="F379" s="30">
        <v>387</v>
      </c>
      <c r="G379" s="1264"/>
      <c r="H379" s="30" t="s">
        <v>1281</v>
      </c>
      <c r="I379" s="39" t="s">
        <v>1645</v>
      </c>
      <c r="J379" s="2" t="s">
        <v>507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1" t="s">
        <v>1221</v>
      </c>
      <c r="B380" s="1">
        <v>857</v>
      </c>
      <c r="C380" s="9">
        <v>43789</v>
      </c>
      <c r="D380" s="17" t="s">
        <v>1495</v>
      </c>
      <c r="E380" s="2" t="s">
        <v>1646</v>
      </c>
      <c r="F380" s="30">
        <v>388</v>
      </c>
      <c r="G380" s="1264"/>
      <c r="H380" s="30" t="s">
        <v>1383</v>
      </c>
      <c r="I380" s="39" t="s">
        <v>1647</v>
      </c>
      <c r="J380" s="2" t="s">
        <v>39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1"/>
      <c r="B381" s="1">
        <v>858</v>
      </c>
      <c r="C381" s="9">
        <v>43789</v>
      </c>
      <c r="D381" s="17" t="s">
        <v>1495</v>
      </c>
      <c r="E381" s="2" t="s">
        <v>1648</v>
      </c>
      <c r="F381" s="30">
        <v>389</v>
      </c>
      <c r="G381" s="1264"/>
      <c r="H381" s="30" t="s">
        <v>1281</v>
      </c>
      <c r="I381" s="39" t="s">
        <v>1649</v>
      </c>
      <c r="J381" s="2" t="s">
        <v>507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1"/>
      <c r="B382" s="1">
        <v>859</v>
      </c>
      <c r="C382" s="9">
        <v>43789</v>
      </c>
      <c r="D382" s="17" t="s">
        <v>1495</v>
      </c>
      <c r="E382" s="2" t="s">
        <v>1650</v>
      </c>
      <c r="F382" s="30">
        <v>390</v>
      </c>
      <c r="G382" s="1264"/>
      <c r="H382" s="30" t="s">
        <v>1281</v>
      </c>
      <c r="I382" s="39" t="s">
        <v>1651</v>
      </c>
      <c r="J382" s="2" t="s">
        <v>507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1"/>
      <c r="B383" s="1">
        <v>860</v>
      </c>
      <c r="C383" s="9">
        <v>43789</v>
      </c>
      <c r="D383" s="17" t="s">
        <v>1495</v>
      </c>
      <c r="E383" s="20" t="s">
        <v>1652</v>
      </c>
      <c r="F383" s="30">
        <v>391</v>
      </c>
      <c r="G383" s="1264"/>
      <c r="H383" s="30" t="s">
        <v>1281</v>
      </c>
      <c r="I383" s="39" t="s">
        <v>1653</v>
      </c>
      <c r="J383" s="2" t="s">
        <v>507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1"/>
      <c r="B384" s="1">
        <v>865</v>
      </c>
      <c r="C384" s="9">
        <v>43796</v>
      </c>
      <c r="D384" s="17" t="s">
        <v>1495</v>
      </c>
      <c r="E384" s="2" t="s">
        <v>1648</v>
      </c>
      <c r="F384" s="30">
        <v>392</v>
      </c>
      <c r="G384" s="1264"/>
      <c r="H384" s="30"/>
      <c r="I384" s="39" t="s">
        <v>1654</v>
      </c>
      <c r="J384" s="2" t="s">
        <v>39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1"/>
      <c r="B385" s="1">
        <v>866</v>
      </c>
      <c r="C385" s="9">
        <v>43796</v>
      </c>
      <c r="D385" s="17" t="s">
        <v>1495</v>
      </c>
      <c r="E385" s="2" t="s">
        <v>1650</v>
      </c>
      <c r="F385" s="30">
        <v>393</v>
      </c>
      <c r="G385" s="1264"/>
      <c r="H385" s="30"/>
      <c r="I385" s="39" t="s">
        <v>1655</v>
      </c>
      <c r="J385" s="2" t="s">
        <v>39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1"/>
      <c r="B386" s="1">
        <v>867</v>
      </c>
      <c r="C386" s="9">
        <v>43796</v>
      </c>
      <c r="D386" s="17" t="s">
        <v>1495</v>
      </c>
      <c r="E386" s="2" t="s">
        <v>1652</v>
      </c>
      <c r="F386" s="30">
        <v>394</v>
      </c>
      <c r="G386" s="1264"/>
      <c r="H386" s="30"/>
      <c r="I386" s="39" t="s">
        <v>1656</v>
      </c>
      <c r="J386" s="2">
        <v>72000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1"/>
      <c r="B387" s="1">
        <v>868</v>
      </c>
      <c r="C387" s="9">
        <v>43796</v>
      </c>
      <c r="D387" s="17" t="s">
        <v>1495</v>
      </c>
      <c r="E387" s="2" t="s">
        <v>1644</v>
      </c>
      <c r="F387" s="30">
        <v>395</v>
      </c>
      <c r="G387" s="1264"/>
      <c r="H387" s="30"/>
      <c r="I387" s="39" t="s">
        <v>1657</v>
      </c>
      <c r="J387" s="2" t="s">
        <v>39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1"/>
      <c r="B388" s="1">
        <v>871</v>
      </c>
      <c r="C388" s="9">
        <v>43808</v>
      </c>
      <c r="D388" s="17" t="s">
        <v>1495</v>
      </c>
      <c r="E388" s="2" t="s">
        <v>1652</v>
      </c>
      <c r="F388" s="30">
        <v>396</v>
      </c>
      <c r="G388" s="1264"/>
      <c r="H388" s="30"/>
      <c r="I388" s="39" t="s">
        <v>1658</v>
      </c>
      <c r="J388" s="2" t="s">
        <v>39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1"/>
      <c r="B389" s="1">
        <v>875</v>
      </c>
      <c r="C389" s="9">
        <v>43814</v>
      </c>
      <c r="D389" s="17" t="s">
        <v>1539</v>
      </c>
      <c r="E389" s="2" t="s">
        <v>1659</v>
      </c>
      <c r="F389" s="30">
        <v>397</v>
      </c>
      <c r="G389" s="1264"/>
      <c r="H389" s="30"/>
      <c r="I389" s="2" t="s">
        <v>1660</v>
      </c>
      <c r="J389" s="2" t="s">
        <v>39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1"/>
      <c r="B390" s="1">
        <v>877</v>
      </c>
      <c r="C390" s="9">
        <v>43816</v>
      </c>
      <c r="D390" s="17" t="s">
        <v>1661</v>
      </c>
      <c r="E390" s="2" t="s">
        <v>1662</v>
      </c>
      <c r="F390" s="30" t="s">
        <v>1663</v>
      </c>
      <c r="G390" s="1264"/>
      <c r="H390" s="30" t="s">
        <v>1275</v>
      </c>
      <c r="I390" s="39" t="s">
        <v>1664</v>
      </c>
      <c r="J390" s="2" t="s">
        <v>77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1"/>
      <c r="B391" s="1">
        <v>881</v>
      </c>
      <c r="C391" s="9">
        <v>43819</v>
      </c>
      <c r="D391" s="17" t="s">
        <v>1665</v>
      </c>
      <c r="E391" s="2" t="s">
        <v>322</v>
      </c>
      <c r="F391" s="30" t="s">
        <v>1666</v>
      </c>
      <c r="G391" s="1264"/>
      <c r="H391" s="30" t="s">
        <v>1275</v>
      </c>
      <c r="I391" s="39" t="s">
        <v>1667</v>
      </c>
      <c r="J391" s="2" t="s">
        <v>39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1"/>
      <c r="B392" s="1">
        <v>883</v>
      </c>
      <c r="C392" s="9">
        <v>43819</v>
      </c>
      <c r="D392" s="17" t="s">
        <v>1665</v>
      </c>
      <c r="E392" s="2" t="s">
        <v>329</v>
      </c>
      <c r="F392" s="30">
        <v>400</v>
      </c>
      <c r="G392" s="1264"/>
      <c r="H392" s="30"/>
      <c r="I392" s="39" t="s">
        <v>1668</v>
      </c>
      <c r="J392" s="2" t="s">
        <v>39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1"/>
      <c r="B393" s="1">
        <v>884</v>
      </c>
      <c r="C393" s="9">
        <v>43819</v>
      </c>
      <c r="D393" s="17" t="s">
        <v>1665</v>
      </c>
      <c r="E393" s="2" t="s">
        <v>326</v>
      </c>
      <c r="F393" s="30">
        <v>401</v>
      </c>
      <c r="G393" s="1264"/>
      <c r="H393" s="30"/>
      <c r="I393" s="39" t="s">
        <v>1669</v>
      </c>
      <c r="J393" s="2" t="s">
        <v>39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1"/>
      <c r="B394" s="1"/>
      <c r="C394" s="9">
        <v>43818</v>
      </c>
      <c r="D394" s="17" t="s">
        <v>1670</v>
      </c>
      <c r="E394" s="2" t="s">
        <v>1671</v>
      </c>
      <c r="F394" s="30"/>
      <c r="G394" s="1264"/>
      <c r="H394" s="30"/>
      <c r="I394" s="2" t="s">
        <v>1672</v>
      </c>
      <c r="J394" s="2" t="s">
        <v>39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1"/>
      <c r="B395" s="1">
        <v>886</v>
      </c>
      <c r="C395" s="9">
        <v>43824</v>
      </c>
      <c r="D395" s="17" t="s">
        <v>1673</v>
      </c>
      <c r="E395" s="2" t="s">
        <v>372</v>
      </c>
      <c r="F395" s="30" t="s">
        <v>1674</v>
      </c>
      <c r="G395" s="1264"/>
      <c r="H395" s="30"/>
      <c r="I395" s="2" t="s">
        <v>1675</v>
      </c>
      <c r="J395" s="2" t="s">
        <v>39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1"/>
      <c r="B396" s="1"/>
      <c r="C396" s="1"/>
      <c r="D396" s="17"/>
      <c r="E396" s="2" t="s">
        <v>1676</v>
      </c>
      <c r="F396" s="30"/>
      <c r="G396" s="1264"/>
      <c r="H396" s="30"/>
      <c r="I396" s="2" t="s">
        <v>1677</v>
      </c>
      <c r="J396" s="2" t="s">
        <v>39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1"/>
      <c r="B397" s="1">
        <v>892</v>
      </c>
      <c r="C397" s="9">
        <v>43840</v>
      </c>
      <c r="D397" s="17" t="s">
        <v>1670</v>
      </c>
      <c r="E397" s="2" t="s">
        <v>1678</v>
      </c>
      <c r="F397" s="30">
        <v>403</v>
      </c>
      <c r="G397" s="1264"/>
      <c r="H397" s="30"/>
      <c r="I397" s="2" t="s">
        <v>1679</v>
      </c>
      <c r="J397" s="2" t="s">
        <v>92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1"/>
      <c r="B398" s="1">
        <v>893</v>
      </c>
      <c r="C398" s="9">
        <v>43841</v>
      </c>
      <c r="D398" s="17" t="s">
        <v>1495</v>
      </c>
      <c r="E398" s="2" t="s">
        <v>1680</v>
      </c>
      <c r="F398" s="30">
        <v>404</v>
      </c>
      <c r="G398" s="1264"/>
      <c r="H398" s="30"/>
      <c r="I398" s="2" t="s">
        <v>1681</v>
      </c>
      <c r="J398" s="2" t="s">
        <v>92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1"/>
      <c r="B399" s="1">
        <v>894</v>
      </c>
      <c r="C399" s="9">
        <v>43841</v>
      </c>
      <c r="D399" s="17" t="s">
        <v>1495</v>
      </c>
      <c r="E399" s="2" t="s">
        <v>1682</v>
      </c>
      <c r="F399" s="30">
        <v>405</v>
      </c>
      <c r="G399" s="1264"/>
      <c r="H399" s="30"/>
      <c r="I399" s="2" t="s">
        <v>1683</v>
      </c>
      <c r="J399" s="2">
        <v>73000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1"/>
      <c r="B400" s="1">
        <v>895</v>
      </c>
      <c r="C400" s="9">
        <v>43841</v>
      </c>
      <c r="D400" s="17" t="s">
        <v>1495</v>
      </c>
      <c r="E400" s="2" t="s">
        <v>1684</v>
      </c>
      <c r="F400" s="30">
        <v>406</v>
      </c>
      <c r="G400" s="1264"/>
      <c r="H400" s="30"/>
      <c r="I400" s="2" t="s">
        <v>1685</v>
      </c>
      <c r="J400" s="2" t="s">
        <v>39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1"/>
      <c r="B401" s="1">
        <v>896</v>
      </c>
      <c r="C401" s="9">
        <v>43841</v>
      </c>
      <c r="D401" s="1">
        <v>9934486281</v>
      </c>
      <c r="E401" s="2" t="s">
        <v>1686</v>
      </c>
      <c r="F401" s="30">
        <v>407</v>
      </c>
      <c r="G401" s="1264"/>
      <c r="H401" s="30"/>
      <c r="I401" s="2" t="s">
        <v>1687</v>
      </c>
      <c r="J401" s="2">
        <v>72000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1"/>
      <c r="B402" s="1">
        <v>901</v>
      </c>
      <c r="C402" s="9">
        <v>43845</v>
      </c>
      <c r="D402" s="17"/>
      <c r="E402" s="2" t="s">
        <v>1680</v>
      </c>
      <c r="F402" s="30">
        <v>408</v>
      </c>
      <c r="G402" s="1264"/>
      <c r="H402" s="30"/>
      <c r="I402" s="2" t="s">
        <v>1688</v>
      </c>
      <c r="J402" s="2" t="s">
        <v>39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1"/>
      <c r="B403" s="1">
        <v>902</v>
      </c>
      <c r="C403" s="9">
        <v>43845</v>
      </c>
      <c r="D403" s="17"/>
      <c r="E403" s="2" t="s">
        <v>1682</v>
      </c>
      <c r="F403" s="30">
        <v>409</v>
      </c>
      <c r="G403" s="1264"/>
      <c r="H403" s="30"/>
      <c r="I403" s="2" t="s">
        <v>1689</v>
      </c>
      <c r="J403" s="2" t="s">
        <v>39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1"/>
      <c r="B404" s="1">
        <v>903</v>
      </c>
      <c r="C404" s="9">
        <v>43845</v>
      </c>
      <c r="D404" s="17"/>
      <c r="E404" s="2" t="s">
        <v>1678</v>
      </c>
      <c r="F404" s="30">
        <v>410</v>
      </c>
      <c r="G404" s="1264"/>
      <c r="H404" s="30"/>
      <c r="I404" s="2" t="s">
        <v>1690</v>
      </c>
      <c r="J404" s="2" t="s">
        <v>39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1"/>
      <c r="B405" s="1">
        <v>905</v>
      </c>
      <c r="C405" s="9">
        <v>43851</v>
      </c>
      <c r="D405" s="17" t="s">
        <v>1691</v>
      </c>
      <c r="E405" s="2" t="s">
        <v>1692</v>
      </c>
      <c r="F405" s="30">
        <v>411</v>
      </c>
      <c r="G405" s="1264"/>
      <c r="H405" s="30"/>
      <c r="I405" s="2" t="s">
        <v>1693</v>
      </c>
      <c r="J405" s="2" t="s">
        <v>39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1"/>
      <c r="B406" s="1">
        <v>906</v>
      </c>
      <c r="C406" s="9">
        <v>43851</v>
      </c>
      <c r="D406" s="17" t="s">
        <v>1025</v>
      </c>
      <c r="E406" s="2" t="s">
        <v>1030</v>
      </c>
      <c r="F406" s="30">
        <v>412</v>
      </c>
      <c r="G406" s="1264"/>
      <c r="H406" s="30"/>
      <c r="I406" s="2" t="s">
        <v>1694</v>
      </c>
      <c r="J406" s="2" t="s">
        <v>77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1"/>
      <c r="B407" s="1">
        <v>907</v>
      </c>
      <c r="C407" s="9">
        <v>43851</v>
      </c>
      <c r="D407" s="17" t="s">
        <v>1025</v>
      </c>
      <c r="E407" s="2" t="s">
        <v>1695</v>
      </c>
      <c r="F407" s="30">
        <v>414</v>
      </c>
      <c r="G407" s="1264"/>
      <c r="H407" s="30"/>
      <c r="I407" s="2" t="s">
        <v>1696</v>
      </c>
      <c r="J407" s="2" t="s">
        <v>77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1"/>
      <c r="B408" s="1">
        <v>908</v>
      </c>
      <c r="C408" s="9">
        <v>43850</v>
      </c>
      <c r="D408" s="17" t="s">
        <v>1697</v>
      </c>
      <c r="E408" s="2" t="s">
        <v>1698</v>
      </c>
      <c r="F408" s="30">
        <v>413</v>
      </c>
      <c r="G408" s="1264"/>
      <c r="H408" s="30"/>
      <c r="I408" s="2" t="s">
        <v>1699</v>
      </c>
      <c r="J408" s="2" t="s">
        <v>77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1"/>
      <c r="B409" s="1">
        <v>909</v>
      </c>
      <c r="C409" s="9">
        <v>43851</v>
      </c>
      <c r="D409" s="17" t="s">
        <v>1025</v>
      </c>
      <c r="E409" s="2" t="s">
        <v>1700</v>
      </c>
      <c r="F409" s="30">
        <v>415</v>
      </c>
      <c r="G409" s="1264"/>
      <c r="H409" s="30"/>
      <c r="I409" s="2" t="s">
        <v>1701</v>
      </c>
      <c r="J409" s="2" t="s">
        <v>77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1"/>
      <c r="B410" s="1">
        <v>910</v>
      </c>
      <c r="C410" s="9">
        <v>43851</v>
      </c>
      <c r="D410" s="17" t="s">
        <v>1025</v>
      </c>
      <c r="E410" s="2" t="s">
        <v>1702</v>
      </c>
      <c r="F410" s="30">
        <v>416</v>
      </c>
      <c r="G410" s="1264"/>
      <c r="H410" s="30"/>
      <c r="I410" s="2" t="s">
        <v>1703</v>
      </c>
      <c r="J410" s="2" t="s">
        <v>77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1"/>
      <c r="B411" s="1">
        <v>911</v>
      </c>
      <c r="C411" s="9">
        <v>43851</v>
      </c>
      <c r="D411" s="17" t="s">
        <v>1025</v>
      </c>
      <c r="E411" s="2" t="s">
        <v>1704</v>
      </c>
      <c r="F411" s="30">
        <v>417</v>
      </c>
      <c r="G411" s="1264"/>
      <c r="H411" s="30"/>
      <c r="I411" s="2" t="s">
        <v>1705</v>
      </c>
      <c r="J411" s="2" t="s">
        <v>77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1"/>
      <c r="B412" s="1">
        <v>913</v>
      </c>
      <c r="C412" s="9">
        <v>43853</v>
      </c>
      <c r="D412" s="17" t="s">
        <v>1706</v>
      </c>
      <c r="E412" s="2" t="s">
        <v>1520</v>
      </c>
      <c r="F412" s="30">
        <v>418</v>
      </c>
      <c r="G412" s="1264"/>
      <c r="H412" s="30"/>
      <c r="I412" s="2" t="s">
        <v>1707</v>
      </c>
      <c r="J412" s="2" t="s">
        <v>39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1"/>
      <c r="B413" s="1">
        <v>914</v>
      </c>
      <c r="C413" s="9">
        <v>43853</v>
      </c>
      <c r="D413" s="17" t="s">
        <v>1495</v>
      </c>
      <c r="E413" s="2" t="s">
        <v>1708</v>
      </c>
      <c r="F413" s="30">
        <v>419</v>
      </c>
      <c r="G413" s="1264"/>
      <c r="H413" s="30"/>
      <c r="I413" s="2" t="s">
        <v>1709</v>
      </c>
      <c r="J413" s="2" t="s">
        <v>39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1" t="s">
        <v>1221</v>
      </c>
      <c r="B414" s="1">
        <v>916</v>
      </c>
      <c r="C414" s="9">
        <v>43855</v>
      </c>
      <c r="D414" s="17" t="s">
        <v>1025</v>
      </c>
      <c r="E414" s="2" t="s">
        <v>1710</v>
      </c>
      <c r="F414" s="30">
        <v>420</v>
      </c>
      <c r="G414" s="1264"/>
      <c r="H414" s="30"/>
      <c r="I414" s="2" t="s">
        <v>1711</v>
      </c>
      <c r="J414" s="2" t="s">
        <v>39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1" t="s">
        <v>1221</v>
      </c>
      <c r="B415" s="1">
        <v>915</v>
      </c>
      <c r="C415" s="9">
        <v>43855</v>
      </c>
      <c r="D415" s="17" t="s">
        <v>1025</v>
      </c>
      <c r="E415" s="2" t="s">
        <v>1712</v>
      </c>
      <c r="F415" s="30">
        <v>421</v>
      </c>
      <c r="G415" s="1264"/>
      <c r="H415" s="30"/>
      <c r="I415" s="2" t="s">
        <v>1713</v>
      </c>
      <c r="J415" s="2" t="s">
        <v>39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1" t="s">
        <v>1221</v>
      </c>
      <c r="B416" s="1">
        <v>917</v>
      </c>
      <c r="C416" s="9">
        <v>43857</v>
      </c>
      <c r="D416" s="17" t="s">
        <v>1714</v>
      </c>
      <c r="E416" s="2" t="s">
        <v>1715</v>
      </c>
      <c r="F416" s="30">
        <v>422</v>
      </c>
      <c r="G416" s="1264"/>
      <c r="H416" s="30" t="s">
        <v>1541</v>
      </c>
      <c r="I416" s="2" t="s">
        <v>1716</v>
      </c>
      <c r="J416" s="2" t="s">
        <v>114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1" t="s">
        <v>1221</v>
      </c>
      <c r="B417" s="1">
        <v>921</v>
      </c>
      <c r="C417" s="9">
        <v>43858</v>
      </c>
      <c r="D417" s="17"/>
      <c r="E417" s="2" t="s">
        <v>1717</v>
      </c>
      <c r="F417" s="30">
        <v>423</v>
      </c>
      <c r="G417" s="1264"/>
      <c r="H417" s="30"/>
      <c r="I417" s="2" t="s">
        <v>1718</v>
      </c>
      <c r="J417" s="2" t="s">
        <v>114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1"/>
      <c r="B418" s="1">
        <v>922</v>
      </c>
      <c r="C418" s="9">
        <v>43859</v>
      </c>
      <c r="D418" s="17"/>
      <c r="E418" s="20" t="s">
        <v>1719</v>
      </c>
      <c r="F418" s="30">
        <v>424</v>
      </c>
      <c r="G418" s="1264"/>
      <c r="H418" s="30"/>
      <c r="I418" s="2" t="s">
        <v>1720</v>
      </c>
      <c r="J418" s="2" t="s">
        <v>507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1"/>
      <c r="B419" s="1">
        <v>924</v>
      </c>
      <c r="C419" s="9">
        <v>43865</v>
      </c>
      <c r="D419" s="17" t="s">
        <v>1721</v>
      </c>
      <c r="E419" s="2" t="s">
        <v>1722</v>
      </c>
      <c r="F419" s="30">
        <v>425</v>
      </c>
      <c r="G419" s="1264"/>
      <c r="H419" s="30"/>
      <c r="I419" s="48" t="s">
        <v>1723</v>
      </c>
      <c r="J419" s="2" t="s">
        <v>39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1"/>
      <c r="B420" s="1">
        <v>925</v>
      </c>
      <c r="C420" s="9">
        <v>43864</v>
      </c>
      <c r="D420" s="17" t="s">
        <v>1724</v>
      </c>
      <c r="E420" s="2" t="s">
        <v>1725</v>
      </c>
      <c r="F420" s="30">
        <v>426</v>
      </c>
      <c r="G420" s="1264"/>
      <c r="H420" s="30"/>
      <c r="I420" s="48" t="s">
        <v>1726</v>
      </c>
      <c r="J420" s="2" t="s">
        <v>114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1"/>
      <c r="B421" s="1">
        <v>926</v>
      </c>
      <c r="C421" s="9">
        <v>43869</v>
      </c>
      <c r="D421" s="17" t="s">
        <v>1495</v>
      </c>
      <c r="E421" s="2" t="s">
        <v>1719</v>
      </c>
      <c r="F421" s="30" t="s">
        <v>1727</v>
      </c>
      <c r="G421" s="1264"/>
      <c r="H421" s="30"/>
      <c r="I421" s="2" t="s">
        <v>1728</v>
      </c>
      <c r="J421" s="2" t="s">
        <v>39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1"/>
      <c r="B422" s="1">
        <v>927</v>
      </c>
      <c r="C422" s="9">
        <v>43869</v>
      </c>
      <c r="D422" s="17" t="s">
        <v>1495</v>
      </c>
      <c r="E422" s="2" t="s">
        <v>1652</v>
      </c>
      <c r="F422" s="30" t="s">
        <v>1729</v>
      </c>
      <c r="G422" s="1264"/>
      <c r="H422" s="30"/>
      <c r="I422" s="2" t="s">
        <v>1730</v>
      </c>
      <c r="J422" s="2" t="s">
        <v>39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1"/>
      <c r="B423" s="1">
        <v>929</v>
      </c>
      <c r="C423" s="1"/>
      <c r="D423" s="17"/>
      <c r="E423" s="2" t="s">
        <v>1652</v>
      </c>
      <c r="F423" s="30">
        <v>429</v>
      </c>
      <c r="G423" s="1264"/>
      <c r="H423" s="30"/>
      <c r="I423" s="2">
        <v>54997</v>
      </c>
      <c r="J423" s="2" t="s">
        <v>39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1"/>
      <c r="B424" s="1">
        <v>931</v>
      </c>
      <c r="C424" s="9">
        <v>43874</v>
      </c>
      <c r="D424" s="17" t="s">
        <v>856</v>
      </c>
      <c r="E424" s="2" t="s">
        <v>1731</v>
      </c>
      <c r="F424" s="30">
        <v>430</v>
      </c>
      <c r="G424" s="1264"/>
      <c r="H424" s="30"/>
      <c r="I424" s="48" t="s">
        <v>1732</v>
      </c>
      <c r="J424" s="2" t="s">
        <v>39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1"/>
      <c r="B425" s="1"/>
      <c r="C425" s="1"/>
      <c r="D425" s="17"/>
      <c r="E425" s="2" t="s">
        <v>1733</v>
      </c>
      <c r="F425" s="30"/>
      <c r="G425" s="1264"/>
      <c r="H425" s="30"/>
      <c r="I425" s="2"/>
      <c r="J425" s="2" t="s">
        <v>39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1"/>
      <c r="B426" s="1">
        <v>932</v>
      </c>
      <c r="C426" s="9">
        <v>43878</v>
      </c>
      <c r="D426" s="17" t="s">
        <v>1734</v>
      </c>
      <c r="E426" s="2" t="s">
        <v>1735</v>
      </c>
      <c r="F426" s="30" t="s">
        <v>1736</v>
      </c>
      <c r="G426" s="1264"/>
      <c r="H426" s="30"/>
      <c r="I426" s="2" t="s">
        <v>1737</v>
      </c>
      <c r="J426" s="2" t="s">
        <v>77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1"/>
      <c r="B427" s="1">
        <v>933</v>
      </c>
      <c r="C427" s="9">
        <v>43878</v>
      </c>
      <c r="D427" s="17"/>
      <c r="E427" s="2" t="s">
        <v>1738</v>
      </c>
      <c r="F427" s="30">
        <v>432</v>
      </c>
      <c r="G427" s="1264"/>
      <c r="H427" s="30"/>
      <c r="I427" s="2" t="s">
        <v>1739</v>
      </c>
      <c r="J427" s="2" t="s">
        <v>39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1"/>
      <c r="B428" s="1">
        <v>934</v>
      </c>
      <c r="C428" s="9">
        <v>43878</v>
      </c>
      <c r="D428" s="17" t="s">
        <v>1740</v>
      </c>
      <c r="E428" s="2" t="s">
        <v>1741</v>
      </c>
      <c r="F428" s="30">
        <v>433</v>
      </c>
      <c r="G428" s="1264"/>
      <c r="H428" s="30"/>
      <c r="I428" s="2" t="s">
        <v>1742</v>
      </c>
      <c r="J428" s="2" t="s">
        <v>39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1"/>
      <c r="B429" s="1">
        <v>937</v>
      </c>
      <c r="C429" s="9">
        <v>43878</v>
      </c>
      <c r="D429" s="17" t="s">
        <v>1743</v>
      </c>
      <c r="E429" s="2" t="s">
        <v>1744</v>
      </c>
      <c r="F429" s="30">
        <v>434</v>
      </c>
      <c r="G429" s="1264"/>
      <c r="H429" s="30"/>
      <c r="I429" s="2" t="s">
        <v>1745</v>
      </c>
      <c r="J429" s="2" t="s">
        <v>39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1"/>
      <c r="B430" s="1">
        <v>938</v>
      </c>
      <c r="C430" s="9">
        <v>43878</v>
      </c>
      <c r="D430" s="17" t="s">
        <v>1746</v>
      </c>
      <c r="E430" s="2" t="s">
        <v>1747</v>
      </c>
      <c r="F430" s="30">
        <v>435</v>
      </c>
      <c r="G430" s="1264"/>
      <c r="H430" s="30"/>
      <c r="I430" s="2" t="s">
        <v>1748</v>
      </c>
      <c r="J430" s="2" t="s">
        <v>39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1"/>
      <c r="B431" s="1">
        <v>939</v>
      </c>
      <c r="C431" s="9">
        <v>43881</v>
      </c>
      <c r="D431" s="17"/>
      <c r="E431" s="2" t="s">
        <v>1749</v>
      </c>
      <c r="F431" s="30">
        <v>436</v>
      </c>
      <c r="G431" s="1264"/>
      <c r="H431" s="30"/>
      <c r="I431" s="2" t="s">
        <v>1750</v>
      </c>
      <c r="J431" s="2" t="s">
        <v>77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1"/>
      <c r="B432" s="1">
        <v>940</v>
      </c>
      <c r="C432" s="9">
        <v>43883</v>
      </c>
      <c r="D432" s="17" t="s">
        <v>1751</v>
      </c>
      <c r="E432" s="2" t="s">
        <v>234</v>
      </c>
      <c r="F432" s="30">
        <v>437</v>
      </c>
      <c r="G432" s="1264"/>
      <c r="H432" s="30"/>
      <c r="I432" s="2" t="s">
        <v>1752</v>
      </c>
      <c r="J432" s="2" t="s">
        <v>39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1"/>
      <c r="B433" s="1">
        <v>944</v>
      </c>
      <c r="C433" s="9">
        <v>43893</v>
      </c>
      <c r="D433" s="17" t="s">
        <v>1753</v>
      </c>
      <c r="E433" s="2" t="s">
        <v>1754</v>
      </c>
      <c r="F433" s="30">
        <v>438</v>
      </c>
      <c r="G433" s="1264"/>
      <c r="H433" s="30"/>
      <c r="I433" s="2" t="s">
        <v>1755</v>
      </c>
      <c r="J433" s="2" t="s">
        <v>39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1"/>
      <c r="B434" s="1">
        <v>948</v>
      </c>
      <c r="C434" s="9">
        <v>43897</v>
      </c>
      <c r="D434" s="17" t="s">
        <v>1756</v>
      </c>
      <c r="E434" s="2" t="s">
        <v>1757</v>
      </c>
      <c r="F434" s="30">
        <v>439</v>
      </c>
      <c r="G434" s="1264"/>
      <c r="H434" s="30"/>
      <c r="I434" s="2" t="s">
        <v>1758</v>
      </c>
      <c r="J434" s="2" t="s">
        <v>77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1"/>
      <c r="B435" s="1">
        <v>950</v>
      </c>
      <c r="C435" s="9">
        <v>43899</v>
      </c>
      <c r="D435" s="17" t="s">
        <v>1759</v>
      </c>
      <c r="E435" s="2" t="s">
        <v>1760</v>
      </c>
      <c r="F435" s="30">
        <v>440</v>
      </c>
      <c r="G435" s="1264"/>
      <c r="H435" s="30"/>
      <c r="I435" s="2" t="s">
        <v>1761</v>
      </c>
      <c r="J435" s="2" t="s">
        <v>77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1"/>
      <c r="B436" s="1">
        <v>954</v>
      </c>
      <c r="C436" s="9">
        <v>43907</v>
      </c>
      <c r="D436" s="17" t="s">
        <v>1762</v>
      </c>
      <c r="E436" s="2" t="s">
        <v>1763</v>
      </c>
      <c r="F436" s="30">
        <v>441</v>
      </c>
      <c r="G436" s="1264"/>
      <c r="H436" s="30"/>
      <c r="I436" s="2" t="s">
        <v>1764</v>
      </c>
      <c r="J436" s="2" t="s">
        <v>39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1"/>
      <c r="B437" s="1">
        <v>955</v>
      </c>
      <c r="C437" s="9">
        <v>43915</v>
      </c>
      <c r="D437" s="17" t="s">
        <v>1765</v>
      </c>
      <c r="E437" s="2" t="s">
        <v>1766</v>
      </c>
      <c r="F437" s="30">
        <v>442</v>
      </c>
      <c r="G437" s="1264"/>
      <c r="H437" s="30"/>
      <c r="I437" s="2" t="s">
        <v>1767</v>
      </c>
      <c r="J437" s="2" t="s">
        <v>39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1"/>
      <c r="B438" s="1">
        <v>964</v>
      </c>
      <c r="C438" s="9">
        <v>43982</v>
      </c>
      <c r="D438" s="17" t="s">
        <v>1768</v>
      </c>
      <c r="E438" s="2" t="s">
        <v>1769</v>
      </c>
      <c r="F438" s="30">
        <v>443</v>
      </c>
      <c r="G438" s="1264"/>
      <c r="H438" s="30" t="s">
        <v>1367</v>
      </c>
      <c r="I438" s="2" t="s">
        <v>1770</v>
      </c>
      <c r="J438" s="2" t="s">
        <v>39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1"/>
      <c r="B439" s="1">
        <v>967</v>
      </c>
      <c r="C439" s="9">
        <v>43982</v>
      </c>
      <c r="D439" s="17" t="s">
        <v>1771</v>
      </c>
      <c r="E439" s="2" t="s">
        <v>1772</v>
      </c>
      <c r="F439" s="30">
        <v>444</v>
      </c>
      <c r="G439" s="1264"/>
      <c r="H439" s="30" t="s">
        <v>1367</v>
      </c>
      <c r="I439" s="2" t="s">
        <v>1773</v>
      </c>
      <c r="J439" s="2" t="s">
        <v>39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1"/>
      <c r="B440" s="1">
        <v>969</v>
      </c>
      <c r="C440" s="9">
        <v>43989</v>
      </c>
      <c r="D440" s="17" t="s">
        <v>1774</v>
      </c>
      <c r="E440" s="2" t="s">
        <v>1775</v>
      </c>
      <c r="F440" s="30">
        <v>445</v>
      </c>
      <c r="G440" s="1264"/>
      <c r="H440" s="30" t="s">
        <v>1307</v>
      </c>
      <c r="I440" s="2" t="s">
        <v>1776</v>
      </c>
      <c r="J440" s="2" t="s">
        <v>39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1"/>
      <c r="B441" s="1">
        <v>970</v>
      </c>
      <c r="C441" s="9">
        <v>43989</v>
      </c>
      <c r="D441" s="17" t="s">
        <v>1777</v>
      </c>
      <c r="E441" s="2" t="s">
        <v>1778</v>
      </c>
      <c r="F441" s="30">
        <v>446</v>
      </c>
      <c r="G441" s="1264"/>
      <c r="H441" s="30" t="s">
        <v>1347</v>
      </c>
      <c r="I441" s="2" t="s">
        <v>1779</v>
      </c>
      <c r="J441" s="2" t="s">
        <v>77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1"/>
      <c r="B442" s="1">
        <v>972</v>
      </c>
      <c r="C442" s="9">
        <v>43992</v>
      </c>
      <c r="D442" s="17"/>
      <c r="E442" s="2" t="s">
        <v>1780</v>
      </c>
      <c r="F442" s="30">
        <v>447</v>
      </c>
      <c r="G442" s="1264"/>
      <c r="H442" s="30" t="s">
        <v>1781</v>
      </c>
      <c r="I442" s="2" t="s">
        <v>1782</v>
      </c>
      <c r="J442" s="2" t="s">
        <v>39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1"/>
      <c r="B443" s="1">
        <v>973</v>
      </c>
      <c r="C443" s="9">
        <v>43992</v>
      </c>
      <c r="D443" s="17"/>
      <c r="E443" s="2" t="s">
        <v>1783</v>
      </c>
      <c r="F443" s="30">
        <v>448</v>
      </c>
      <c r="G443" s="1264"/>
      <c r="H443" s="30" t="s">
        <v>1781</v>
      </c>
      <c r="I443" s="2" t="s">
        <v>1784</v>
      </c>
      <c r="J443" s="2" t="s">
        <v>39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1"/>
      <c r="B444" s="1">
        <v>978</v>
      </c>
      <c r="C444" s="9">
        <v>44001</v>
      </c>
      <c r="D444" s="17" t="s">
        <v>1159</v>
      </c>
      <c r="E444" s="2" t="s">
        <v>1160</v>
      </c>
      <c r="F444" s="30">
        <v>449</v>
      </c>
      <c r="G444" s="1264"/>
      <c r="H444" s="30" t="s">
        <v>1785</v>
      </c>
      <c r="I444" s="2" t="s">
        <v>1786</v>
      </c>
      <c r="J444" s="2" t="s">
        <v>507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1"/>
      <c r="B445" s="1">
        <v>979</v>
      </c>
      <c r="C445" s="9">
        <v>44001</v>
      </c>
      <c r="D445" s="17" t="s">
        <v>1787</v>
      </c>
      <c r="E445" s="2" t="s">
        <v>756</v>
      </c>
      <c r="F445" s="30">
        <v>450</v>
      </c>
      <c r="G445" s="1264"/>
      <c r="H445" s="30" t="s">
        <v>1271</v>
      </c>
      <c r="I445" s="2" t="s">
        <v>1788</v>
      </c>
      <c r="J445" s="2" t="s">
        <v>507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1"/>
      <c r="B446" s="1">
        <v>981</v>
      </c>
      <c r="C446" s="9">
        <v>44005</v>
      </c>
      <c r="D446" s="17" t="s">
        <v>1789</v>
      </c>
      <c r="E446" s="2" t="s">
        <v>396</v>
      </c>
      <c r="F446" s="30">
        <v>449</v>
      </c>
      <c r="G446" s="1264"/>
      <c r="H446" s="30" t="s">
        <v>1790</v>
      </c>
      <c r="I446" s="2" t="s">
        <v>1791</v>
      </c>
      <c r="J446" s="2" t="s">
        <v>39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1" t="s">
        <v>1792</v>
      </c>
      <c r="B447" s="1">
        <v>982</v>
      </c>
      <c r="C447" s="9">
        <v>44005</v>
      </c>
      <c r="D447" s="17" t="s">
        <v>1793</v>
      </c>
      <c r="E447" s="2" t="s">
        <v>1794</v>
      </c>
      <c r="F447" s="30">
        <v>450</v>
      </c>
      <c r="G447" s="1264"/>
      <c r="H447" s="30" t="s">
        <v>1281</v>
      </c>
      <c r="I447" s="2" t="s">
        <v>1795</v>
      </c>
      <c r="J447" s="2" t="s">
        <v>77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1"/>
      <c r="B448" s="1">
        <v>983</v>
      </c>
      <c r="C448" s="9">
        <v>44005</v>
      </c>
      <c r="D448" s="17" t="s">
        <v>401</v>
      </c>
      <c r="E448" s="2" t="s">
        <v>1796</v>
      </c>
      <c r="F448" s="30">
        <v>451</v>
      </c>
      <c r="G448" s="1264"/>
      <c r="H448" s="30" t="s">
        <v>1268</v>
      </c>
      <c r="I448" s="2" t="s">
        <v>1797</v>
      </c>
      <c r="J448" s="2" t="s">
        <v>39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1"/>
      <c r="B449" s="1">
        <v>984</v>
      </c>
      <c r="C449" s="9">
        <v>44005</v>
      </c>
      <c r="D449" s="17" t="s">
        <v>401</v>
      </c>
      <c r="E449" s="2" t="s">
        <v>1798</v>
      </c>
      <c r="F449" s="30">
        <v>452</v>
      </c>
      <c r="G449" s="1264"/>
      <c r="H449" s="30" t="s">
        <v>1785</v>
      </c>
      <c r="I449" s="2" t="s">
        <v>1799</v>
      </c>
      <c r="J449" s="2" t="s">
        <v>39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1"/>
      <c r="B450" s="1">
        <v>985</v>
      </c>
      <c r="C450" s="9">
        <v>44005</v>
      </c>
      <c r="D450" s="17" t="s">
        <v>401</v>
      </c>
      <c r="E450" s="2" t="s">
        <v>1800</v>
      </c>
      <c r="F450" s="30">
        <v>453</v>
      </c>
      <c r="G450" s="1264"/>
      <c r="H450" s="30" t="s">
        <v>1785</v>
      </c>
      <c r="I450" s="2" t="s">
        <v>1801</v>
      </c>
      <c r="J450" s="2" t="s">
        <v>39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1"/>
      <c r="B451" s="1">
        <v>986</v>
      </c>
      <c r="C451" s="9">
        <v>44005</v>
      </c>
      <c r="D451" s="17" t="s">
        <v>401</v>
      </c>
      <c r="E451" s="2" t="s">
        <v>1802</v>
      </c>
      <c r="F451" s="30">
        <v>454</v>
      </c>
      <c r="G451" s="1264"/>
      <c r="H451" s="30" t="s">
        <v>1785</v>
      </c>
      <c r="I451" s="2" t="s">
        <v>1803</v>
      </c>
      <c r="J451" s="2" t="s">
        <v>39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1"/>
      <c r="B452" s="1">
        <v>987</v>
      </c>
      <c r="C452" s="9">
        <v>44005</v>
      </c>
      <c r="D452" s="17" t="s">
        <v>401</v>
      </c>
      <c r="E452" s="2" t="s">
        <v>1804</v>
      </c>
      <c r="F452" s="30">
        <v>455</v>
      </c>
      <c r="G452" s="1264"/>
      <c r="H452" s="30" t="s">
        <v>1785</v>
      </c>
      <c r="I452" s="2" t="s">
        <v>1805</v>
      </c>
      <c r="J452" s="2" t="s">
        <v>39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1"/>
      <c r="B453" s="1">
        <v>988</v>
      </c>
      <c r="C453" s="9">
        <v>44005</v>
      </c>
      <c r="D453" s="17" t="s">
        <v>401</v>
      </c>
      <c r="E453" s="2" t="s">
        <v>1806</v>
      </c>
      <c r="F453" s="30">
        <v>455</v>
      </c>
      <c r="G453" s="1264"/>
      <c r="H453" s="30" t="s">
        <v>1785</v>
      </c>
      <c r="I453" s="2" t="s">
        <v>1807</v>
      </c>
      <c r="J453" s="2" t="s">
        <v>39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1"/>
      <c r="B454" s="1">
        <v>989</v>
      </c>
      <c r="C454" s="9">
        <v>44005</v>
      </c>
      <c r="D454" s="17" t="s">
        <v>401</v>
      </c>
      <c r="E454" s="2" t="s">
        <v>1559</v>
      </c>
      <c r="F454" s="30">
        <v>455</v>
      </c>
      <c r="G454" s="1264"/>
      <c r="H454" s="30" t="s">
        <v>1785</v>
      </c>
      <c r="I454" s="2" t="s">
        <v>1808</v>
      </c>
      <c r="J454" s="2" t="s">
        <v>39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1"/>
      <c r="B455" s="1">
        <v>990</v>
      </c>
      <c r="C455" s="9">
        <v>44005</v>
      </c>
      <c r="D455" s="17" t="s">
        <v>401</v>
      </c>
      <c r="E455" s="2" t="s">
        <v>1809</v>
      </c>
      <c r="F455" s="30">
        <v>455</v>
      </c>
      <c r="G455" s="1264"/>
      <c r="H455" s="30" t="s">
        <v>1810</v>
      </c>
      <c r="I455" s="2" t="s">
        <v>1811</v>
      </c>
      <c r="J455" s="2" t="s">
        <v>39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1"/>
      <c r="B456" s="1">
        <v>991</v>
      </c>
      <c r="C456" s="9">
        <v>44005</v>
      </c>
      <c r="D456" s="17" t="s">
        <v>401</v>
      </c>
      <c r="E456" s="2" t="s">
        <v>1812</v>
      </c>
      <c r="F456" s="30">
        <v>456</v>
      </c>
      <c r="G456" s="1264"/>
      <c r="H456" s="30"/>
      <c r="I456" s="2" t="s">
        <v>1813</v>
      </c>
      <c r="J456" s="2" t="s">
        <v>39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1"/>
      <c r="B457" s="1">
        <v>992</v>
      </c>
      <c r="C457" s="9">
        <v>44005</v>
      </c>
      <c r="D457" s="17" t="s">
        <v>401</v>
      </c>
      <c r="E457" s="2" t="s">
        <v>1814</v>
      </c>
      <c r="F457" s="30">
        <v>457</v>
      </c>
      <c r="G457" s="1264"/>
      <c r="H457" s="30"/>
      <c r="I457" s="2" t="s">
        <v>1815</v>
      </c>
      <c r="J457" s="2" t="s">
        <v>39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1"/>
      <c r="B458" s="1">
        <v>994</v>
      </c>
      <c r="C458" s="9">
        <v>44008</v>
      </c>
      <c r="D458" s="17" t="s">
        <v>470</v>
      </c>
      <c r="E458" s="2" t="s">
        <v>1496</v>
      </c>
      <c r="F458" s="30">
        <v>458</v>
      </c>
      <c r="G458" s="1264"/>
      <c r="H458" s="30" t="s">
        <v>1816</v>
      </c>
      <c r="I458" s="2" t="s">
        <v>1817</v>
      </c>
      <c r="J458" s="2" t="s">
        <v>39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1"/>
      <c r="B459" s="1">
        <v>999</v>
      </c>
      <c r="C459" s="9">
        <v>44011</v>
      </c>
      <c r="D459" s="17" t="s">
        <v>401</v>
      </c>
      <c r="E459" s="2" t="s">
        <v>1818</v>
      </c>
      <c r="F459" s="30">
        <v>459</v>
      </c>
      <c r="G459" s="1264"/>
      <c r="H459" s="30" t="s">
        <v>1591</v>
      </c>
      <c r="I459" s="2" t="s">
        <v>1819</v>
      </c>
      <c r="J459" s="2" t="s">
        <v>36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1"/>
      <c r="B460" s="1">
        <v>995</v>
      </c>
      <c r="C460" s="9">
        <v>44011</v>
      </c>
      <c r="D460" s="17" t="s">
        <v>401</v>
      </c>
      <c r="E460" s="2" t="s">
        <v>1820</v>
      </c>
      <c r="F460" s="30">
        <v>460</v>
      </c>
      <c r="G460" s="1264"/>
      <c r="H460" s="30" t="s">
        <v>1785</v>
      </c>
      <c r="I460" s="2" t="s">
        <v>1821</v>
      </c>
      <c r="J460" s="2" t="s">
        <v>77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1"/>
      <c r="B461" s="1">
        <v>996</v>
      </c>
      <c r="C461" s="9">
        <v>44011</v>
      </c>
      <c r="D461" s="17" t="s">
        <v>401</v>
      </c>
      <c r="E461" s="2" t="s">
        <v>1822</v>
      </c>
      <c r="F461" s="30">
        <v>461</v>
      </c>
      <c r="G461" s="1264"/>
      <c r="H461" s="30" t="s">
        <v>1816</v>
      </c>
      <c r="I461" s="2" t="s">
        <v>1823</v>
      </c>
      <c r="J461" s="2" t="s">
        <v>77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1"/>
      <c r="B462" s="1">
        <v>997</v>
      </c>
      <c r="C462" s="9">
        <v>44011</v>
      </c>
      <c r="D462" s="17" t="s">
        <v>401</v>
      </c>
      <c r="E462" s="2" t="s">
        <v>1824</v>
      </c>
      <c r="F462" s="30">
        <v>462</v>
      </c>
      <c r="G462" s="1264"/>
      <c r="H462" s="30" t="s">
        <v>1825</v>
      </c>
      <c r="I462" s="2" t="s">
        <v>1826</v>
      </c>
      <c r="J462" s="2" t="s">
        <v>77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1"/>
      <c r="B463" s="1">
        <v>998</v>
      </c>
      <c r="C463" s="9">
        <v>44011</v>
      </c>
      <c r="D463" s="17" t="s">
        <v>401</v>
      </c>
      <c r="E463" s="2" t="s">
        <v>1827</v>
      </c>
      <c r="F463" s="30">
        <v>463</v>
      </c>
      <c r="G463" s="1264"/>
      <c r="H463" s="30" t="s">
        <v>1825</v>
      </c>
      <c r="I463" s="2" t="s">
        <v>1828</v>
      </c>
      <c r="J463" s="2" t="s">
        <v>77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1"/>
      <c r="B464" s="1">
        <v>1000</v>
      </c>
      <c r="C464" s="9">
        <v>44013</v>
      </c>
      <c r="D464" s="17" t="s">
        <v>1829</v>
      </c>
      <c r="E464" s="2" t="s">
        <v>1830</v>
      </c>
      <c r="F464" s="30">
        <v>464</v>
      </c>
      <c r="G464" s="1264"/>
      <c r="H464" s="30" t="s">
        <v>1383</v>
      </c>
      <c r="I464" s="2" t="s">
        <v>1831</v>
      </c>
      <c r="J464" s="2" t="s">
        <v>39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1"/>
      <c r="B465" s="1">
        <v>1002</v>
      </c>
      <c r="C465" s="9">
        <v>44014</v>
      </c>
      <c r="D465" s="17" t="s">
        <v>1832</v>
      </c>
      <c r="E465" s="2" t="s">
        <v>1833</v>
      </c>
      <c r="F465" s="30">
        <v>465</v>
      </c>
      <c r="G465" s="1264"/>
      <c r="H465" s="30" t="s">
        <v>1347</v>
      </c>
      <c r="I465" s="2" t="s">
        <v>1834</v>
      </c>
      <c r="J465" s="2" t="s">
        <v>77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1"/>
      <c r="B466" s="1">
        <v>1006</v>
      </c>
      <c r="C466" s="9">
        <v>44021</v>
      </c>
      <c r="D466" s="17" t="s">
        <v>1835</v>
      </c>
      <c r="E466" s="2" t="s">
        <v>1836</v>
      </c>
      <c r="F466" s="30">
        <v>466</v>
      </c>
      <c r="G466" s="1264"/>
      <c r="H466" s="30" t="s">
        <v>1602</v>
      </c>
      <c r="I466" s="2" t="s">
        <v>1837</v>
      </c>
      <c r="J466" s="2" t="s">
        <v>507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1"/>
      <c r="B467" s="1">
        <v>1007</v>
      </c>
      <c r="C467" s="9">
        <v>44021</v>
      </c>
      <c r="D467" s="17" t="s">
        <v>1089</v>
      </c>
      <c r="E467" s="2" t="s">
        <v>1090</v>
      </c>
      <c r="F467" s="30">
        <v>467</v>
      </c>
      <c r="G467" s="1264"/>
      <c r="H467" s="30" t="s">
        <v>1602</v>
      </c>
      <c r="I467" s="2" t="s">
        <v>1838</v>
      </c>
      <c r="J467" s="2" t="s">
        <v>507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1"/>
      <c r="B468" s="1">
        <v>1008</v>
      </c>
      <c r="C468" s="9">
        <v>44022</v>
      </c>
      <c r="D468" s="17" t="s">
        <v>1839</v>
      </c>
      <c r="E468" s="2" t="s">
        <v>1840</v>
      </c>
      <c r="F468" s="30">
        <v>468</v>
      </c>
      <c r="G468" s="1264"/>
      <c r="H468" s="30" t="s">
        <v>1841</v>
      </c>
      <c r="I468" s="2" t="s">
        <v>1842</v>
      </c>
      <c r="J468" s="2" t="s">
        <v>77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1"/>
      <c r="B469" s="1">
        <v>1009</v>
      </c>
      <c r="C469" s="9">
        <v>44023</v>
      </c>
      <c r="D469" s="17" t="s">
        <v>1843</v>
      </c>
      <c r="E469" s="2" t="s">
        <v>1844</v>
      </c>
      <c r="F469" s="30">
        <v>469</v>
      </c>
      <c r="G469" s="1264"/>
      <c r="H469" s="30" t="s">
        <v>1383</v>
      </c>
      <c r="I469" s="2" t="s">
        <v>1845</v>
      </c>
      <c r="J469" s="2" t="s">
        <v>77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1"/>
      <c r="B470" s="1">
        <v>1012</v>
      </c>
      <c r="C470" s="9">
        <v>44023</v>
      </c>
      <c r="D470" s="17" t="s">
        <v>1846</v>
      </c>
      <c r="E470" s="2" t="s">
        <v>1847</v>
      </c>
      <c r="F470" s="30">
        <v>470</v>
      </c>
      <c r="G470" s="1264"/>
      <c r="H470" s="30" t="s">
        <v>1508</v>
      </c>
      <c r="I470" s="2" t="s">
        <v>1848</v>
      </c>
      <c r="J470" s="2" t="s">
        <v>507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1"/>
      <c r="B471" s="1">
        <v>1014</v>
      </c>
      <c r="C471" s="9">
        <v>44025</v>
      </c>
      <c r="D471" s="17" t="s">
        <v>401</v>
      </c>
      <c r="E471" s="2" t="s">
        <v>1849</v>
      </c>
      <c r="F471" s="30">
        <v>471</v>
      </c>
      <c r="G471" s="1264"/>
      <c r="H471" s="30" t="s">
        <v>1785</v>
      </c>
      <c r="I471" s="2" t="s">
        <v>1850</v>
      </c>
      <c r="J471" s="2" t="s">
        <v>77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1"/>
      <c r="B472" s="1">
        <v>1015</v>
      </c>
      <c r="C472" s="9">
        <v>44025</v>
      </c>
      <c r="D472" s="17" t="s">
        <v>401</v>
      </c>
      <c r="E472" s="2" t="s">
        <v>1851</v>
      </c>
      <c r="F472" s="30">
        <v>472</v>
      </c>
      <c r="G472" s="1264"/>
      <c r="H472" s="30" t="s">
        <v>1785</v>
      </c>
      <c r="I472" s="2" t="s">
        <v>1852</v>
      </c>
      <c r="J472" s="2" t="s">
        <v>77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1"/>
      <c r="B473" s="1">
        <v>1016</v>
      </c>
      <c r="C473" s="9">
        <v>44026</v>
      </c>
      <c r="D473" s="17" t="s">
        <v>946</v>
      </c>
      <c r="E473" s="2" t="s">
        <v>947</v>
      </c>
      <c r="F473" s="30">
        <v>473</v>
      </c>
      <c r="G473" s="1264"/>
      <c r="H473" s="30" t="s">
        <v>1331</v>
      </c>
      <c r="I473" s="2" t="s">
        <v>1853</v>
      </c>
      <c r="J473" s="2" t="s">
        <v>77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1"/>
      <c r="B474" s="1">
        <v>1019</v>
      </c>
      <c r="C474" s="9">
        <v>44032</v>
      </c>
      <c r="D474" s="17">
        <v>7903857726</v>
      </c>
      <c r="E474" s="2" t="s">
        <v>1180</v>
      </c>
      <c r="F474" s="30">
        <v>474</v>
      </c>
      <c r="G474" s="1264"/>
      <c r="H474" s="30" t="s">
        <v>1383</v>
      </c>
      <c r="I474" s="2" t="s">
        <v>1854</v>
      </c>
      <c r="J474" s="2" t="s">
        <v>39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1"/>
      <c r="B475" s="1">
        <v>1025</v>
      </c>
      <c r="C475" s="9">
        <v>44037</v>
      </c>
      <c r="D475" s="17">
        <v>8092876766</v>
      </c>
      <c r="E475" s="2" t="s">
        <v>1855</v>
      </c>
      <c r="F475" s="30">
        <v>475</v>
      </c>
      <c r="G475" s="1264"/>
      <c r="H475" s="30" t="s">
        <v>1347</v>
      </c>
      <c r="I475" s="2" t="s">
        <v>1856</v>
      </c>
      <c r="J475" s="2" t="s">
        <v>507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1"/>
      <c r="B476" s="1">
        <v>1026</v>
      </c>
      <c r="C476" s="9">
        <v>44037</v>
      </c>
      <c r="D476" s="17" t="s">
        <v>1857</v>
      </c>
      <c r="E476" s="2" t="s">
        <v>1858</v>
      </c>
      <c r="F476" s="30">
        <v>476</v>
      </c>
      <c r="G476" s="1264"/>
      <c r="H476" s="30" t="s">
        <v>1859</v>
      </c>
      <c r="I476" s="2" t="s">
        <v>1860</v>
      </c>
      <c r="J476" s="2" t="s">
        <v>507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1"/>
      <c r="B477" s="1">
        <v>1027</v>
      </c>
      <c r="C477" s="9">
        <v>44038</v>
      </c>
      <c r="D477" s="17" t="s">
        <v>1861</v>
      </c>
      <c r="E477" s="2" t="s">
        <v>1862</v>
      </c>
      <c r="F477" s="30">
        <v>477</v>
      </c>
      <c r="G477" s="1264"/>
      <c r="H477" s="30" t="s">
        <v>1863</v>
      </c>
      <c r="I477" s="2" t="s">
        <v>1864</v>
      </c>
      <c r="J477" s="2" t="s">
        <v>77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1"/>
      <c r="B478" s="1">
        <v>1028</v>
      </c>
      <c r="C478" s="9">
        <v>44043</v>
      </c>
      <c r="D478" s="17" t="s">
        <v>1865</v>
      </c>
      <c r="E478" s="2" t="s">
        <v>1866</v>
      </c>
      <c r="F478" s="30">
        <v>478</v>
      </c>
      <c r="G478" s="1264"/>
      <c r="H478" s="30" t="s">
        <v>1307</v>
      </c>
      <c r="I478" s="2" t="s">
        <v>1867</v>
      </c>
      <c r="J478" s="2" t="s">
        <v>92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1"/>
      <c r="B479" s="1">
        <v>1031</v>
      </c>
      <c r="C479" s="9">
        <v>44048</v>
      </c>
      <c r="D479" s="17" t="s">
        <v>1539</v>
      </c>
      <c r="E479" s="2" t="s">
        <v>1868</v>
      </c>
      <c r="F479" s="30">
        <v>479</v>
      </c>
      <c r="G479" s="1264"/>
      <c r="H479" s="30" t="s">
        <v>1869</v>
      </c>
      <c r="I479" s="2" t="s">
        <v>1870</v>
      </c>
      <c r="J479" s="2" t="s">
        <v>507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1"/>
      <c r="B480" s="1">
        <v>1032</v>
      </c>
      <c r="C480" s="9">
        <v>44048</v>
      </c>
      <c r="D480" s="17"/>
      <c r="E480" s="2" t="s">
        <v>1871</v>
      </c>
      <c r="F480" s="30">
        <v>489</v>
      </c>
      <c r="G480" s="1264"/>
      <c r="H480" s="30"/>
      <c r="I480" s="2" t="s">
        <v>1872</v>
      </c>
      <c r="J480" s="2" t="s">
        <v>39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1"/>
      <c r="B481" s="1">
        <v>1036</v>
      </c>
      <c r="C481" s="9">
        <v>44057</v>
      </c>
      <c r="D481" s="17"/>
      <c r="E481" s="2"/>
      <c r="F481" s="30">
        <v>490</v>
      </c>
      <c r="G481" s="1264"/>
      <c r="H481" s="30" t="s">
        <v>1873</v>
      </c>
      <c r="I481" s="2" t="s">
        <v>1874</v>
      </c>
      <c r="J481" s="2" t="s">
        <v>507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1"/>
      <c r="B482" s="1">
        <v>1037</v>
      </c>
      <c r="C482" s="9">
        <v>44060</v>
      </c>
      <c r="D482" s="17" t="s">
        <v>1875</v>
      </c>
      <c r="E482" s="49" t="s">
        <v>1502</v>
      </c>
      <c r="F482" s="30">
        <v>491</v>
      </c>
      <c r="G482" s="1264"/>
      <c r="H482" s="30" t="s">
        <v>1876</v>
      </c>
      <c r="I482" s="2" t="s">
        <v>1877</v>
      </c>
      <c r="J482" s="2" t="s">
        <v>507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1"/>
      <c r="B483" s="1">
        <v>1047</v>
      </c>
      <c r="C483" s="9">
        <v>44081</v>
      </c>
      <c r="D483" s="17" t="s">
        <v>1878</v>
      </c>
      <c r="E483" s="2" t="s">
        <v>1879</v>
      </c>
      <c r="F483" s="30">
        <v>492</v>
      </c>
      <c r="G483" s="1264"/>
      <c r="H483" s="30" t="s">
        <v>1275</v>
      </c>
      <c r="I483" s="48" t="s">
        <v>1880</v>
      </c>
      <c r="J483" s="2" t="s">
        <v>39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1"/>
      <c r="B484" s="1">
        <v>1048</v>
      </c>
      <c r="C484" s="9">
        <v>44080</v>
      </c>
      <c r="D484" s="17" t="s">
        <v>1865</v>
      </c>
      <c r="E484" s="2" t="s">
        <v>1866</v>
      </c>
      <c r="F484" s="30">
        <v>493</v>
      </c>
      <c r="G484" s="1264"/>
      <c r="H484" s="30" t="s">
        <v>1307</v>
      </c>
      <c r="I484" s="48" t="s">
        <v>1881</v>
      </c>
      <c r="J484" s="2" t="s">
        <v>39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1"/>
      <c r="B485" s="1">
        <v>1049</v>
      </c>
      <c r="C485" s="9">
        <v>44082</v>
      </c>
      <c r="D485" s="17"/>
      <c r="E485" s="2" t="s">
        <v>1882</v>
      </c>
      <c r="F485" s="30">
        <v>494</v>
      </c>
      <c r="G485" s="1264"/>
      <c r="H485" s="30" t="s">
        <v>1347</v>
      </c>
      <c r="I485" s="2" t="s">
        <v>1883</v>
      </c>
      <c r="J485" s="2" t="s">
        <v>507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1"/>
      <c r="B486" s="1">
        <v>1053</v>
      </c>
      <c r="C486" s="1"/>
      <c r="D486" s="17"/>
      <c r="E486" s="2" t="s">
        <v>931</v>
      </c>
      <c r="F486" s="30">
        <v>495</v>
      </c>
      <c r="G486" s="1264"/>
      <c r="H486" s="30" t="s">
        <v>1281</v>
      </c>
      <c r="I486" s="2" t="s">
        <v>1884</v>
      </c>
      <c r="J486" s="2" t="s">
        <v>39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1"/>
      <c r="B487" s="1">
        <v>1054</v>
      </c>
      <c r="C487" s="1"/>
      <c r="D487" s="17"/>
      <c r="E487" s="2" t="s">
        <v>1477</v>
      </c>
      <c r="F487" s="30">
        <v>496</v>
      </c>
      <c r="G487" s="1264"/>
      <c r="H487" s="30" t="s">
        <v>1347</v>
      </c>
      <c r="I487" s="2" t="s">
        <v>1885</v>
      </c>
      <c r="J487" s="2" t="s">
        <v>39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1"/>
      <c r="B488" s="1">
        <v>1055</v>
      </c>
      <c r="C488" s="1"/>
      <c r="D488" s="17" t="s">
        <v>1724</v>
      </c>
      <c r="E488" s="2" t="s">
        <v>1886</v>
      </c>
      <c r="F488" s="30">
        <v>497</v>
      </c>
      <c r="G488" s="1264"/>
      <c r="H488" s="30" t="s">
        <v>1307</v>
      </c>
      <c r="I488" s="2" t="s">
        <v>1887</v>
      </c>
      <c r="J488" s="2" t="s">
        <v>507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1" t="s">
        <v>1221</v>
      </c>
      <c r="B489" s="1">
        <v>1058</v>
      </c>
      <c r="C489" s="9">
        <v>44088</v>
      </c>
      <c r="D489" s="17"/>
      <c r="E489" s="2" t="s">
        <v>639</v>
      </c>
      <c r="F489" s="30">
        <v>496</v>
      </c>
      <c r="G489" s="1264"/>
      <c r="H489" s="30" t="s">
        <v>1307</v>
      </c>
      <c r="I489" s="2" t="s">
        <v>1888</v>
      </c>
      <c r="J489" s="2" t="s">
        <v>39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1" t="s">
        <v>1221</v>
      </c>
      <c r="B490" s="1">
        <v>1059</v>
      </c>
      <c r="C490" s="9">
        <v>44088</v>
      </c>
      <c r="D490" s="17"/>
      <c r="E490" s="2" t="s">
        <v>1889</v>
      </c>
      <c r="F490" s="30">
        <v>497</v>
      </c>
      <c r="G490" s="1264"/>
      <c r="H490" s="30" t="s">
        <v>1307</v>
      </c>
      <c r="I490" s="2" t="s">
        <v>1890</v>
      </c>
      <c r="J490" s="2" t="s">
        <v>39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1" t="s">
        <v>1221</v>
      </c>
      <c r="B491" s="1">
        <v>1061</v>
      </c>
      <c r="C491" s="9">
        <v>44089</v>
      </c>
      <c r="D491" s="17" t="s">
        <v>1891</v>
      </c>
      <c r="E491" s="2" t="s">
        <v>767</v>
      </c>
      <c r="F491" s="30">
        <v>498</v>
      </c>
      <c r="G491" s="1264"/>
      <c r="H491" s="30" t="s">
        <v>1892</v>
      </c>
      <c r="I491" s="2" t="s">
        <v>1893</v>
      </c>
      <c r="J491" s="2" t="s">
        <v>77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1"/>
      <c r="B492" s="1">
        <v>1062</v>
      </c>
      <c r="C492" s="9">
        <v>44089</v>
      </c>
      <c r="D492" s="17" t="s">
        <v>1894</v>
      </c>
      <c r="E492" s="2" t="s">
        <v>939</v>
      </c>
      <c r="F492" s="30" t="s">
        <v>1895</v>
      </c>
      <c r="G492" s="1264"/>
      <c r="H492" s="30" t="s">
        <v>1347</v>
      </c>
      <c r="I492" s="2" t="s">
        <v>1896</v>
      </c>
      <c r="J492" s="2" t="s">
        <v>39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1"/>
      <c r="B493" s="1">
        <v>1066</v>
      </c>
      <c r="C493" s="9">
        <v>44090</v>
      </c>
      <c r="D493" s="17" t="s">
        <v>1897</v>
      </c>
      <c r="E493" s="2" t="s">
        <v>1898</v>
      </c>
      <c r="F493" s="30">
        <v>500</v>
      </c>
      <c r="G493" s="1264"/>
      <c r="H493" s="30" t="s">
        <v>1347</v>
      </c>
      <c r="I493" s="2" t="s">
        <v>1899</v>
      </c>
      <c r="J493" s="2" t="s">
        <v>39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1"/>
      <c r="B494" s="1">
        <v>1069</v>
      </c>
      <c r="C494" s="9">
        <v>44093</v>
      </c>
      <c r="D494" s="17" t="s">
        <v>1900</v>
      </c>
      <c r="E494" s="2" t="s">
        <v>1901</v>
      </c>
      <c r="F494" s="30">
        <v>501</v>
      </c>
      <c r="G494" s="1264"/>
      <c r="H494" s="30" t="s">
        <v>1347</v>
      </c>
      <c r="I494" s="2" t="s">
        <v>1902</v>
      </c>
      <c r="J494" s="2" t="s">
        <v>39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1"/>
      <c r="B495" s="1">
        <v>1070</v>
      </c>
      <c r="C495" s="9">
        <v>44093</v>
      </c>
      <c r="D495" s="17" t="s">
        <v>1903</v>
      </c>
      <c r="E495" s="2" t="s">
        <v>1904</v>
      </c>
      <c r="F495" s="30">
        <v>502</v>
      </c>
      <c r="G495" s="1264"/>
      <c r="H495" s="30" t="s">
        <v>1905</v>
      </c>
      <c r="I495" s="2" t="s">
        <v>1906</v>
      </c>
      <c r="J495" s="2" t="s">
        <v>39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1"/>
      <c r="B496" s="1">
        <v>1071</v>
      </c>
      <c r="C496" s="9">
        <v>44094</v>
      </c>
      <c r="D496" s="17"/>
      <c r="E496" s="2" t="s">
        <v>1907</v>
      </c>
      <c r="F496" s="30">
        <v>503</v>
      </c>
      <c r="G496" s="1264"/>
      <c r="H496" s="30" t="s">
        <v>1307</v>
      </c>
      <c r="I496" s="2" t="s">
        <v>1908</v>
      </c>
      <c r="J496" s="2" t="s">
        <v>39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1"/>
      <c r="B497" s="1">
        <v>1072</v>
      </c>
      <c r="C497" s="9">
        <v>44094</v>
      </c>
      <c r="D497" s="17" t="s">
        <v>1909</v>
      </c>
      <c r="E497" s="2" t="s">
        <v>1910</v>
      </c>
      <c r="F497" s="30">
        <v>504</v>
      </c>
      <c r="G497" s="1264"/>
      <c r="H497" s="30"/>
      <c r="I497" s="2" t="s">
        <v>1911</v>
      </c>
      <c r="J497" s="2" t="s">
        <v>39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1" t="s">
        <v>1912</v>
      </c>
      <c r="B498" s="1">
        <v>1073</v>
      </c>
      <c r="C498" s="9">
        <v>44094</v>
      </c>
      <c r="D498" s="17" t="s">
        <v>1913</v>
      </c>
      <c r="E498" s="2" t="s">
        <v>1914</v>
      </c>
      <c r="F498" s="30">
        <v>505</v>
      </c>
      <c r="G498" s="1264"/>
      <c r="H498" s="30" t="s">
        <v>1347</v>
      </c>
      <c r="I498" s="2" t="s">
        <v>1915</v>
      </c>
      <c r="J498" s="2" t="s">
        <v>77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1"/>
      <c r="B499" s="1">
        <v>1074</v>
      </c>
      <c r="C499" s="9">
        <v>44095</v>
      </c>
      <c r="D499" s="17"/>
      <c r="E499" s="2" t="s">
        <v>1916</v>
      </c>
      <c r="F499" s="30">
        <v>506</v>
      </c>
      <c r="G499" s="1264"/>
      <c r="H499" s="30"/>
      <c r="I499" s="2" t="s">
        <v>1917</v>
      </c>
      <c r="J499" s="2" t="s">
        <v>39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1"/>
      <c r="B500" s="1">
        <v>1075</v>
      </c>
      <c r="C500" s="9">
        <v>44096</v>
      </c>
      <c r="D500" s="1">
        <v>7061825685</v>
      </c>
      <c r="E500" s="2" t="s">
        <v>148</v>
      </c>
      <c r="F500" s="30">
        <v>507</v>
      </c>
      <c r="G500" s="1264"/>
      <c r="H500" s="30" t="s">
        <v>1825</v>
      </c>
      <c r="I500" s="2" t="s">
        <v>1918</v>
      </c>
      <c r="J500" s="2" t="s">
        <v>39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1"/>
      <c r="B501" s="1"/>
      <c r="C501" s="9">
        <v>44101</v>
      </c>
      <c r="D501" s="1">
        <v>9263295637</v>
      </c>
      <c r="E501" s="2" t="s">
        <v>1919</v>
      </c>
      <c r="F501" s="30">
        <v>508</v>
      </c>
      <c r="G501" s="1264"/>
      <c r="H501" s="30" t="s">
        <v>1876</v>
      </c>
      <c r="I501" s="2" t="s">
        <v>1920</v>
      </c>
      <c r="J501" s="2" t="s">
        <v>507</v>
      </c>
      <c r="K501" s="2">
        <v>1104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1"/>
      <c r="B502" s="1"/>
      <c r="C502" s="9">
        <v>44101</v>
      </c>
      <c r="D502" s="1">
        <v>6207849965</v>
      </c>
      <c r="E502" s="2" t="s">
        <v>1921</v>
      </c>
      <c r="F502" s="30">
        <v>507</v>
      </c>
      <c r="G502" s="1264"/>
      <c r="H502" s="30" t="s">
        <v>1825</v>
      </c>
      <c r="I502" s="2" t="s">
        <v>1922</v>
      </c>
      <c r="J502" s="2" t="s">
        <v>39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1"/>
      <c r="B503" s="1"/>
      <c r="C503" s="9">
        <v>44099</v>
      </c>
      <c r="D503" s="17" t="s">
        <v>1923</v>
      </c>
      <c r="E503" s="2" t="s">
        <v>1924</v>
      </c>
      <c r="F503" s="30"/>
      <c r="G503" s="1264"/>
      <c r="H503" s="30" t="s">
        <v>1227</v>
      </c>
      <c r="I503" s="2" t="s">
        <v>1925</v>
      </c>
      <c r="J503" s="2" t="s">
        <v>39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1" t="s">
        <v>265</v>
      </c>
      <c r="B504" s="1">
        <v>1076</v>
      </c>
      <c r="C504" s="9">
        <v>44105</v>
      </c>
      <c r="D504" s="17" t="s">
        <v>1923</v>
      </c>
      <c r="E504" s="2" t="s">
        <v>1924</v>
      </c>
      <c r="F504" s="30">
        <v>510</v>
      </c>
      <c r="G504" s="1264"/>
      <c r="H504" s="30" t="s">
        <v>1281</v>
      </c>
      <c r="I504" s="2" t="s">
        <v>1926</v>
      </c>
      <c r="J504" s="2" t="s">
        <v>92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1"/>
      <c r="B505" s="1"/>
      <c r="C505" s="9">
        <v>44103</v>
      </c>
      <c r="D505" s="17" t="s">
        <v>1927</v>
      </c>
      <c r="E505" s="2" t="s">
        <v>1928</v>
      </c>
      <c r="F505" s="30" t="s">
        <v>1929</v>
      </c>
      <c r="G505" s="1264"/>
      <c r="H505" s="30" t="s">
        <v>1236</v>
      </c>
      <c r="I505" s="2" t="s">
        <v>1930</v>
      </c>
      <c r="J505" s="2" t="s">
        <v>39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1"/>
      <c r="B506" s="1">
        <v>1079</v>
      </c>
      <c r="C506" s="9">
        <v>44106</v>
      </c>
      <c r="D506" s="17" t="s">
        <v>1931</v>
      </c>
      <c r="E506" s="2" t="s">
        <v>1932</v>
      </c>
      <c r="F506" s="30">
        <v>511</v>
      </c>
      <c r="G506" s="1264"/>
      <c r="H506" s="30" t="s">
        <v>1933</v>
      </c>
      <c r="I506" s="2" t="s">
        <v>1934</v>
      </c>
      <c r="J506" s="2" t="s">
        <v>39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1" t="s">
        <v>265</v>
      </c>
      <c r="B507" s="1">
        <v>1081</v>
      </c>
      <c r="C507" s="9">
        <v>44109</v>
      </c>
      <c r="D507" s="17" t="s">
        <v>1935</v>
      </c>
      <c r="E507" s="2" t="s">
        <v>1936</v>
      </c>
      <c r="F507" s="30">
        <v>512</v>
      </c>
      <c r="G507" s="1264"/>
      <c r="H507" s="30" t="s">
        <v>1602</v>
      </c>
      <c r="I507" s="39" t="s">
        <v>1937</v>
      </c>
      <c r="J507" s="2" t="s">
        <v>39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1"/>
      <c r="B508" s="1">
        <v>1084</v>
      </c>
      <c r="C508" s="9">
        <v>44109</v>
      </c>
      <c r="D508" s="17"/>
      <c r="E508" s="2" t="s">
        <v>1938</v>
      </c>
      <c r="F508" s="30">
        <v>513</v>
      </c>
      <c r="G508" s="1264"/>
      <c r="H508" s="30" t="s">
        <v>1478</v>
      </c>
      <c r="I508" s="39" t="s">
        <v>1939</v>
      </c>
      <c r="J508" s="2" t="s">
        <v>39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1" t="s">
        <v>265</v>
      </c>
      <c r="B509" s="1">
        <v>1087</v>
      </c>
      <c r="C509" s="9">
        <v>44109</v>
      </c>
      <c r="D509" s="17" t="s">
        <v>1940</v>
      </c>
      <c r="E509" s="2" t="s">
        <v>1941</v>
      </c>
      <c r="F509" s="30">
        <v>514</v>
      </c>
      <c r="G509" s="1264"/>
      <c r="H509" s="30" t="s">
        <v>1275</v>
      </c>
      <c r="I509" s="39" t="s">
        <v>1942</v>
      </c>
      <c r="J509" s="2" t="s">
        <v>39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1"/>
      <c r="B510" s="1">
        <v>1088</v>
      </c>
      <c r="C510" s="9">
        <v>44109</v>
      </c>
      <c r="D510" s="17" t="s">
        <v>1943</v>
      </c>
      <c r="E510" s="2" t="s">
        <v>1944</v>
      </c>
      <c r="F510" s="30">
        <v>515</v>
      </c>
      <c r="G510" s="1264"/>
      <c r="H510" s="30" t="s">
        <v>1499</v>
      </c>
      <c r="I510" s="39" t="s">
        <v>1945</v>
      </c>
      <c r="J510" s="2" t="s">
        <v>39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1"/>
      <c r="B511" s="1">
        <v>1089</v>
      </c>
      <c r="C511" s="9">
        <v>44112</v>
      </c>
      <c r="D511" s="17" t="s">
        <v>1946</v>
      </c>
      <c r="E511" s="2" t="s">
        <v>1947</v>
      </c>
      <c r="F511" s="30">
        <v>516</v>
      </c>
      <c r="G511" s="1264"/>
      <c r="H511" s="30" t="s">
        <v>1948</v>
      </c>
      <c r="I511" s="39" t="s">
        <v>1949</v>
      </c>
      <c r="J511" s="2" t="s">
        <v>507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1"/>
      <c r="B512" s="1">
        <v>1090</v>
      </c>
      <c r="C512" s="9">
        <v>44112</v>
      </c>
      <c r="D512" s="17" t="s">
        <v>1946</v>
      </c>
      <c r="E512" s="2" t="s">
        <v>1950</v>
      </c>
      <c r="F512" s="30">
        <v>517</v>
      </c>
      <c r="G512" s="1264"/>
      <c r="H512" s="30" t="s">
        <v>1948</v>
      </c>
      <c r="I512" s="39" t="s">
        <v>1951</v>
      </c>
      <c r="J512" s="2" t="s">
        <v>39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1"/>
      <c r="B513" s="1">
        <v>1092</v>
      </c>
      <c r="C513" s="9">
        <v>44114</v>
      </c>
      <c r="D513" s="17" t="s">
        <v>859</v>
      </c>
      <c r="E513" s="2" t="s">
        <v>1952</v>
      </c>
      <c r="F513" s="30">
        <v>518</v>
      </c>
      <c r="G513" s="1264"/>
      <c r="H513" s="30" t="s">
        <v>1271</v>
      </c>
      <c r="I513" s="39" t="s">
        <v>1953</v>
      </c>
      <c r="J513" s="2" t="s">
        <v>39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1"/>
      <c r="B514" s="1">
        <v>1093</v>
      </c>
      <c r="C514" s="9">
        <v>44116</v>
      </c>
      <c r="D514" s="17"/>
      <c r="E514" s="2" t="s">
        <v>1954</v>
      </c>
      <c r="F514" s="30">
        <v>519</v>
      </c>
      <c r="G514" s="1264"/>
      <c r="H514" s="30" t="s">
        <v>1955</v>
      </c>
      <c r="I514" s="39" t="s">
        <v>1956</v>
      </c>
      <c r="J514" s="2" t="s">
        <v>39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1"/>
      <c r="B515" s="1">
        <v>1094</v>
      </c>
      <c r="C515" s="9">
        <v>44116</v>
      </c>
      <c r="D515" s="17" t="s">
        <v>1487</v>
      </c>
      <c r="E515" s="2" t="s">
        <v>1957</v>
      </c>
      <c r="F515" s="30">
        <v>520</v>
      </c>
      <c r="G515" s="1264"/>
      <c r="H515" s="30" t="s">
        <v>1347</v>
      </c>
      <c r="I515" s="39" t="s">
        <v>1958</v>
      </c>
      <c r="J515" s="2" t="s">
        <v>507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1"/>
      <c r="B516" s="1">
        <v>1095</v>
      </c>
      <c r="C516" s="9">
        <v>44116</v>
      </c>
      <c r="D516" s="17" t="s">
        <v>1959</v>
      </c>
      <c r="E516" s="2" t="s">
        <v>1960</v>
      </c>
      <c r="F516" s="30">
        <v>521</v>
      </c>
      <c r="G516" s="1264"/>
      <c r="H516" s="30" t="s">
        <v>1961</v>
      </c>
      <c r="I516" s="39" t="s">
        <v>1962</v>
      </c>
      <c r="J516" s="2" t="s">
        <v>39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1"/>
      <c r="B517" s="1">
        <v>1096</v>
      </c>
      <c r="C517" s="9">
        <v>44116</v>
      </c>
      <c r="D517" s="17" t="s">
        <v>1923</v>
      </c>
      <c r="E517" s="2" t="s">
        <v>1924</v>
      </c>
      <c r="F517" s="30">
        <v>522</v>
      </c>
      <c r="G517" s="1264"/>
      <c r="H517" s="30" t="s">
        <v>1281</v>
      </c>
      <c r="I517" s="39" t="s">
        <v>1963</v>
      </c>
      <c r="J517" s="2" t="s">
        <v>39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1"/>
      <c r="B518" s="1"/>
      <c r="C518" s="1"/>
      <c r="D518" s="17" t="s">
        <v>1846</v>
      </c>
      <c r="E518" s="2" t="s">
        <v>1964</v>
      </c>
      <c r="F518" s="30">
        <v>523</v>
      </c>
      <c r="G518" s="1264"/>
      <c r="H518" s="30"/>
      <c r="I518" s="39" t="s">
        <v>1848</v>
      </c>
      <c r="J518" s="2" t="s">
        <v>39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1"/>
      <c r="B519" s="1">
        <v>1097</v>
      </c>
      <c r="C519" s="9">
        <v>44123</v>
      </c>
      <c r="D519" s="17">
        <v>9031215064</v>
      </c>
      <c r="E519" s="2" t="s">
        <v>1965</v>
      </c>
      <c r="F519" s="30">
        <v>524</v>
      </c>
      <c r="G519" s="1264"/>
      <c r="H519" s="30" t="s">
        <v>1307</v>
      </c>
      <c r="I519" s="39" t="s">
        <v>1966</v>
      </c>
      <c r="J519" s="2" t="s">
        <v>39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1"/>
      <c r="B520" s="1">
        <v>1098</v>
      </c>
      <c r="C520" s="9">
        <v>44123</v>
      </c>
      <c r="D520" s="17" t="s">
        <v>1967</v>
      </c>
      <c r="E520" s="2" t="s">
        <v>1968</v>
      </c>
      <c r="F520" s="30">
        <v>525</v>
      </c>
      <c r="G520" s="1264"/>
      <c r="H520" s="30" t="s">
        <v>1383</v>
      </c>
      <c r="I520" s="39" t="s">
        <v>1969</v>
      </c>
      <c r="J520" s="2" t="s">
        <v>39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1"/>
      <c r="B521" s="1">
        <v>1101</v>
      </c>
      <c r="C521" s="9">
        <v>44123</v>
      </c>
      <c r="D521" s="17" t="s">
        <v>859</v>
      </c>
      <c r="E521" s="2" t="s">
        <v>1952</v>
      </c>
      <c r="F521" s="30">
        <v>526</v>
      </c>
      <c r="G521" s="1264"/>
      <c r="H521" s="30" t="s">
        <v>1271</v>
      </c>
      <c r="I521" s="39" t="s">
        <v>1970</v>
      </c>
      <c r="J521" s="2" t="s">
        <v>507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1"/>
      <c r="B522" s="1">
        <v>1100</v>
      </c>
      <c r="C522" s="9">
        <v>44123</v>
      </c>
      <c r="D522" s="17" t="s">
        <v>1971</v>
      </c>
      <c r="E522" s="2" t="s">
        <v>1972</v>
      </c>
      <c r="F522" s="30">
        <v>527</v>
      </c>
      <c r="G522" s="1264"/>
      <c r="H522" s="30" t="s">
        <v>1275</v>
      </c>
      <c r="I522" s="39" t="s">
        <v>1973</v>
      </c>
      <c r="J522" s="2" t="s">
        <v>39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1"/>
      <c r="B523" s="1">
        <v>1102</v>
      </c>
      <c r="C523" s="9">
        <v>44123</v>
      </c>
      <c r="D523" s="17" t="s">
        <v>1974</v>
      </c>
      <c r="E523" s="2" t="s">
        <v>1975</v>
      </c>
      <c r="F523" s="30">
        <v>528</v>
      </c>
      <c r="G523" s="1264"/>
      <c r="H523" s="30" t="s">
        <v>1347</v>
      </c>
      <c r="I523" s="39" t="s">
        <v>1976</v>
      </c>
      <c r="J523" s="2" t="s">
        <v>39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1"/>
      <c r="B524" s="1">
        <v>1103</v>
      </c>
      <c r="C524" s="9">
        <v>44124</v>
      </c>
      <c r="D524" s="17" t="s">
        <v>1977</v>
      </c>
      <c r="E524" s="2" t="s">
        <v>1978</v>
      </c>
      <c r="F524" s="30">
        <v>529</v>
      </c>
      <c r="G524" s="1264"/>
      <c r="H524" s="30"/>
      <c r="I524" s="39" t="s">
        <v>1979</v>
      </c>
      <c r="J524" s="2" t="s">
        <v>39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1"/>
      <c r="B525" s="1">
        <v>1104</v>
      </c>
      <c r="C525" s="9">
        <v>44124</v>
      </c>
      <c r="D525" s="17" t="s">
        <v>1980</v>
      </c>
      <c r="E525" s="2" t="s">
        <v>1981</v>
      </c>
      <c r="F525" s="30">
        <v>530</v>
      </c>
      <c r="G525" s="1264"/>
      <c r="H525" s="30" t="s">
        <v>1591</v>
      </c>
      <c r="I525" s="39" t="s">
        <v>1982</v>
      </c>
      <c r="J525" s="2" t="s">
        <v>77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1"/>
      <c r="B526" s="1">
        <v>1106</v>
      </c>
      <c r="C526" s="9">
        <v>44130</v>
      </c>
      <c r="D526" s="17" t="s">
        <v>1983</v>
      </c>
      <c r="E526" s="2" t="s">
        <v>1984</v>
      </c>
      <c r="F526" s="30">
        <v>531</v>
      </c>
      <c r="G526" s="1264"/>
      <c r="H526" s="30" t="s">
        <v>1948</v>
      </c>
      <c r="I526" s="39" t="s">
        <v>1985</v>
      </c>
      <c r="J526" s="2" t="s">
        <v>39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1" t="s">
        <v>1221</v>
      </c>
      <c r="B527" s="1">
        <v>1107</v>
      </c>
      <c r="C527" s="9">
        <v>44130</v>
      </c>
      <c r="D527" s="17"/>
      <c r="E527" s="2" t="s">
        <v>1986</v>
      </c>
      <c r="F527" s="30">
        <v>532</v>
      </c>
      <c r="G527" s="1264"/>
      <c r="H527" s="30" t="s">
        <v>1347</v>
      </c>
      <c r="I527" s="39" t="s">
        <v>1987</v>
      </c>
      <c r="J527" s="2" t="s">
        <v>39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1" t="s">
        <v>1221</v>
      </c>
      <c r="B528" s="1">
        <v>1108</v>
      </c>
      <c r="C528" s="9">
        <v>44131</v>
      </c>
      <c r="D528" s="17" t="s">
        <v>1988</v>
      </c>
      <c r="E528" s="2" t="s">
        <v>1989</v>
      </c>
      <c r="F528" s="30">
        <v>533</v>
      </c>
      <c r="G528" s="1264"/>
      <c r="H528" s="30" t="s">
        <v>1219</v>
      </c>
      <c r="I528" s="39" t="s">
        <v>1990</v>
      </c>
      <c r="J528" s="2" t="s">
        <v>39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1"/>
      <c r="B529" s="1">
        <v>1109</v>
      </c>
      <c r="C529" s="9">
        <v>44132</v>
      </c>
      <c r="D529" s="17" t="s">
        <v>423</v>
      </c>
      <c r="E529" s="2" t="s">
        <v>390</v>
      </c>
      <c r="F529" s="30">
        <v>534</v>
      </c>
      <c r="G529" s="1264"/>
      <c r="H529" s="30" t="s">
        <v>1367</v>
      </c>
      <c r="I529" s="2" t="s">
        <v>1991</v>
      </c>
      <c r="J529" s="2" t="s">
        <v>39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1"/>
      <c r="B530" s="1">
        <v>1110</v>
      </c>
      <c r="C530" s="9">
        <v>44132</v>
      </c>
      <c r="D530" s="17" t="s">
        <v>1992</v>
      </c>
      <c r="E530" s="2" t="s">
        <v>349</v>
      </c>
      <c r="F530" s="30">
        <v>535</v>
      </c>
      <c r="G530" s="1264"/>
      <c r="H530" s="30" t="s">
        <v>1367</v>
      </c>
      <c r="I530" s="39" t="s">
        <v>1993</v>
      </c>
      <c r="J530" s="2" t="s">
        <v>39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1"/>
      <c r="B531" s="1">
        <v>1111</v>
      </c>
      <c r="C531" s="9">
        <v>44132</v>
      </c>
      <c r="D531" s="17" t="s">
        <v>1994</v>
      </c>
      <c r="E531" s="2" t="s">
        <v>1995</v>
      </c>
      <c r="F531" s="30">
        <v>536</v>
      </c>
      <c r="G531" s="1264"/>
      <c r="H531" s="30" t="s">
        <v>1367</v>
      </c>
      <c r="I531" s="39" t="s">
        <v>1996</v>
      </c>
      <c r="J531" s="2" t="s">
        <v>507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1"/>
      <c r="B532" s="1">
        <v>1112</v>
      </c>
      <c r="C532" s="9">
        <v>44132</v>
      </c>
      <c r="D532" s="17" t="s">
        <v>209</v>
      </c>
      <c r="E532" s="2" t="s">
        <v>1997</v>
      </c>
      <c r="F532" s="30">
        <v>537</v>
      </c>
      <c r="G532" s="1264"/>
      <c r="H532" s="30" t="s">
        <v>1281</v>
      </c>
      <c r="I532" s="39" t="s">
        <v>1998</v>
      </c>
      <c r="J532" s="2" t="s">
        <v>507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1"/>
      <c r="B533" s="1">
        <v>1113</v>
      </c>
      <c r="C533" s="9">
        <v>44135</v>
      </c>
      <c r="D533" s="17" t="s">
        <v>1517</v>
      </c>
      <c r="E533" s="2" t="s">
        <v>1999</v>
      </c>
      <c r="F533" s="30">
        <v>538</v>
      </c>
      <c r="G533" s="1264"/>
      <c r="H533" s="30" t="s">
        <v>1955</v>
      </c>
      <c r="I533" s="39" t="s">
        <v>2000</v>
      </c>
      <c r="J533" s="2" t="s">
        <v>39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1"/>
      <c r="B534" s="1">
        <v>1114</v>
      </c>
      <c r="C534" s="9">
        <v>44139</v>
      </c>
      <c r="D534" s="17" t="s">
        <v>2001</v>
      </c>
      <c r="E534" s="2" t="s">
        <v>2002</v>
      </c>
      <c r="F534" s="30">
        <v>539</v>
      </c>
      <c r="G534" s="1264"/>
      <c r="H534" s="30" t="s">
        <v>1541</v>
      </c>
      <c r="I534" s="39" t="s">
        <v>2003</v>
      </c>
      <c r="J534" s="2" t="s">
        <v>507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1"/>
      <c r="B535" s="1">
        <v>1115</v>
      </c>
      <c r="C535" s="9">
        <v>44139</v>
      </c>
      <c r="D535" s="17" t="s">
        <v>1072</v>
      </c>
      <c r="E535" s="2" t="s">
        <v>2004</v>
      </c>
      <c r="F535" s="30">
        <v>540</v>
      </c>
      <c r="G535" s="1264"/>
      <c r="H535" s="30" t="s">
        <v>1948</v>
      </c>
      <c r="I535" s="39" t="s">
        <v>2005</v>
      </c>
      <c r="J535" s="2" t="s">
        <v>507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1"/>
      <c r="B536" s="1">
        <v>1116</v>
      </c>
      <c r="C536" s="9">
        <v>44139</v>
      </c>
      <c r="D536" s="17" t="s">
        <v>1072</v>
      </c>
      <c r="E536" s="2" t="s">
        <v>2006</v>
      </c>
      <c r="F536" s="30">
        <v>541</v>
      </c>
      <c r="G536" s="1264"/>
      <c r="H536" s="30" t="s">
        <v>1948</v>
      </c>
      <c r="I536" s="39" t="s">
        <v>2007</v>
      </c>
      <c r="J536" s="2" t="s">
        <v>507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1"/>
      <c r="B537" s="1">
        <v>1117</v>
      </c>
      <c r="C537" s="9">
        <v>44139</v>
      </c>
      <c r="D537" s="17"/>
      <c r="E537" s="2" t="s">
        <v>2008</v>
      </c>
      <c r="F537" s="30">
        <v>542</v>
      </c>
      <c r="G537" s="1264"/>
      <c r="H537" s="30" t="s">
        <v>1948</v>
      </c>
      <c r="I537" s="39" t="s">
        <v>2009</v>
      </c>
      <c r="J537" s="2" t="s">
        <v>507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1"/>
      <c r="B538" s="1">
        <v>1123</v>
      </c>
      <c r="C538" s="9">
        <v>44151</v>
      </c>
      <c r="D538" s="17" t="s">
        <v>1756</v>
      </c>
      <c r="E538" s="2" t="s">
        <v>1757</v>
      </c>
      <c r="F538" s="30">
        <v>543</v>
      </c>
      <c r="G538" s="1264"/>
      <c r="H538" s="30" t="s">
        <v>1869</v>
      </c>
      <c r="I538" s="39" t="s">
        <v>2010</v>
      </c>
      <c r="J538" s="2" t="s">
        <v>507</v>
      </c>
      <c r="K538" s="2" t="s">
        <v>209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1"/>
      <c r="B539" s="1">
        <v>1121</v>
      </c>
      <c r="C539" s="9">
        <v>44145</v>
      </c>
      <c r="D539" s="17" t="s">
        <v>2011</v>
      </c>
      <c r="E539" s="2" t="s">
        <v>2012</v>
      </c>
      <c r="F539" s="50">
        <v>402</v>
      </c>
      <c r="G539" s="1268"/>
      <c r="H539" s="1" t="s">
        <v>1892</v>
      </c>
      <c r="I539" s="39" t="s">
        <v>2013</v>
      </c>
      <c r="J539" s="2" t="s">
        <v>39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1"/>
      <c r="B540" s="1">
        <v>1122</v>
      </c>
      <c r="C540" s="9">
        <v>44145</v>
      </c>
      <c r="D540" s="17" t="s">
        <v>2011</v>
      </c>
      <c r="E540" s="2" t="s">
        <v>2014</v>
      </c>
      <c r="F540" s="50">
        <v>403</v>
      </c>
      <c r="G540" s="1268"/>
      <c r="H540" s="1" t="s">
        <v>1785</v>
      </c>
      <c r="I540" s="39" t="s">
        <v>2015</v>
      </c>
      <c r="J540" s="2" t="s">
        <v>39</v>
      </c>
      <c r="K540" s="2"/>
      <c r="L540" s="2">
        <f>799-219*3</f>
        <v>142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1"/>
      <c r="B541" s="1">
        <v>1124</v>
      </c>
      <c r="C541" s="9">
        <v>44151</v>
      </c>
      <c r="D541" s="17" t="s">
        <v>2016</v>
      </c>
      <c r="E541" s="2" t="s">
        <v>2017</v>
      </c>
      <c r="F541" s="30">
        <v>544</v>
      </c>
      <c r="G541" s="1264"/>
      <c r="H541" s="30" t="s">
        <v>2018</v>
      </c>
      <c r="I541" s="39" t="s">
        <v>2019</v>
      </c>
      <c r="J541" s="2" t="s">
        <v>77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1"/>
      <c r="B542" s="1">
        <v>1125</v>
      </c>
      <c r="C542" s="9">
        <v>44153</v>
      </c>
      <c r="D542" s="17" t="s">
        <v>665</v>
      </c>
      <c r="E542" s="11" t="s">
        <v>2020</v>
      </c>
      <c r="F542" s="30">
        <v>545</v>
      </c>
      <c r="G542" s="1264"/>
      <c r="H542" s="30" t="s">
        <v>1307</v>
      </c>
      <c r="I542" s="39" t="s">
        <v>2021</v>
      </c>
      <c r="J542" s="2" t="s">
        <v>2022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1"/>
      <c r="B543" s="1">
        <v>1126</v>
      </c>
      <c r="C543" s="9">
        <v>44153</v>
      </c>
      <c r="D543" s="17" t="s">
        <v>665</v>
      </c>
      <c r="E543" s="11" t="s">
        <v>2023</v>
      </c>
      <c r="F543" s="30">
        <v>546</v>
      </c>
      <c r="G543" s="1264"/>
      <c r="H543" s="30" t="s">
        <v>2024</v>
      </c>
      <c r="I543" s="39" t="s">
        <v>2025</v>
      </c>
      <c r="J543" s="2" t="s">
        <v>2022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1"/>
      <c r="B544" s="1">
        <v>1127</v>
      </c>
      <c r="C544" s="9">
        <v>44153</v>
      </c>
      <c r="D544" s="17" t="s">
        <v>665</v>
      </c>
      <c r="E544" s="11" t="s">
        <v>2026</v>
      </c>
      <c r="F544" s="30">
        <v>547</v>
      </c>
      <c r="G544" s="1264"/>
      <c r="H544" s="30" t="s">
        <v>1816</v>
      </c>
      <c r="I544" s="39" t="s">
        <v>2027</v>
      </c>
      <c r="J544" s="2" t="s">
        <v>2022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1"/>
      <c r="B545" s="1"/>
      <c r="C545" s="9">
        <v>44160</v>
      </c>
      <c r="D545" s="17" t="s">
        <v>2028</v>
      </c>
      <c r="E545" s="2" t="s">
        <v>1907</v>
      </c>
      <c r="F545" s="30" t="s">
        <v>2029</v>
      </c>
      <c r="G545" s="1264"/>
      <c r="H545" s="30" t="s">
        <v>1602</v>
      </c>
      <c r="I545" s="51" t="s">
        <v>2030</v>
      </c>
      <c r="J545" s="2" t="s">
        <v>39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1"/>
      <c r="B546" s="1"/>
      <c r="C546" s="9">
        <v>44160</v>
      </c>
      <c r="D546" s="17"/>
      <c r="E546" s="2" t="s">
        <v>1446</v>
      </c>
      <c r="F546" s="30" t="s">
        <v>2029</v>
      </c>
      <c r="G546" s="1264"/>
      <c r="H546" s="30" t="s">
        <v>1275</v>
      </c>
      <c r="I546" s="51" t="s">
        <v>2031</v>
      </c>
      <c r="J546" s="2" t="s">
        <v>77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1"/>
      <c r="B547" s="1"/>
      <c r="C547" s="9">
        <v>44160</v>
      </c>
      <c r="D547" s="17" t="s">
        <v>1789</v>
      </c>
      <c r="E547" s="2" t="s">
        <v>396</v>
      </c>
      <c r="F547" s="30" t="s">
        <v>2029</v>
      </c>
      <c r="G547" s="1264"/>
      <c r="H547" s="30" t="s">
        <v>2024</v>
      </c>
      <c r="I547" s="51" t="s">
        <v>2032</v>
      </c>
      <c r="J547" s="2" t="s">
        <v>507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1"/>
      <c r="B548" s="1"/>
      <c r="C548" s="9">
        <v>44160</v>
      </c>
      <c r="D548" s="17" t="s">
        <v>2033</v>
      </c>
      <c r="E548" s="2" t="s">
        <v>2034</v>
      </c>
      <c r="F548" s="30" t="s">
        <v>2029</v>
      </c>
      <c r="G548" s="1264"/>
      <c r="H548" s="30" t="s">
        <v>2018</v>
      </c>
      <c r="I548" s="51" t="s">
        <v>2035</v>
      </c>
      <c r="J548" s="2" t="s">
        <v>39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1"/>
      <c r="B549" s="1"/>
      <c r="C549" s="9">
        <v>44164</v>
      </c>
      <c r="D549" s="1">
        <v>9608115812</v>
      </c>
      <c r="E549" s="2" t="s">
        <v>392</v>
      </c>
      <c r="F549" s="30" t="s">
        <v>2029</v>
      </c>
      <c r="G549" s="1264"/>
      <c r="H549" s="30" t="s">
        <v>418</v>
      </c>
      <c r="I549" s="51" t="s">
        <v>2036</v>
      </c>
      <c r="J549" s="2" t="s">
        <v>507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1"/>
      <c r="B550" s="1"/>
      <c r="C550" s="9">
        <v>44165</v>
      </c>
      <c r="D550" s="17" t="s">
        <v>2037</v>
      </c>
      <c r="E550" s="2" t="s">
        <v>2038</v>
      </c>
      <c r="F550" s="30" t="s">
        <v>2029</v>
      </c>
      <c r="G550" s="1264"/>
      <c r="H550" s="30" t="s">
        <v>1275</v>
      </c>
      <c r="I550" s="51" t="s">
        <v>2039</v>
      </c>
      <c r="J550" s="2" t="s">
        <v>39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1"/>
      <c r="B551" s="1"/>
      <c r="C551" s="9">
        <v>44165</v>
      </c>
      <c r="D551" s="17" t="s">
        <v>665</v>
      </c>
      <c r="E551" s="2" t="s">
        <v>2020</v>
      </c>
      <c r="F551" s="30" t="s">
        <v>2029</v>
      </c>
      <c r="G551" s="1264"/>
      <c r="H551" s="30" t="s">
        <v>1307</v>
      </c>
      <c r="I551" s="51" t="s">
        <v>2040</v>
      </c>
      <c r="J551" s="2" t="s">
        <v>507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1"/>
      <c r="B552" s="1"/>
      <c r="C552" s="9">
        <v>44165</v>
      </c>
      <c r="D552" s="17" t="s">
        <v>665</v>
      </c>
      <c r="E552" s="2" t="s">
        <v>2023</v>
      </c>
      <c r="F552" s="30" t="s">
        <v>2029</v>
      </c>
      <c r="G552" s="1264"/>
      <c r="H552" s="30" t="s">
        <v>2024</v>
      </c>
      <c r="I552" s="51" t="s">
        <v>2041</v>
      </c>
      <c r="J552" s="2" t="s">
        <v>507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1"/>
      <c r="B553" s="1"/>
      <c r="C553" s="9">
        <v>44165</v>
      </c>
      <c r="D553" s="17" t="s">
        <v>665</v>
      </c>
      <c r="E553" s="2" t="s">
        <v>2026</v>
      </c>
      <c r="F553" s="30" t="s">
        <v>2029</v>
      </c>
      <c r="G553" s="1264"/>
      <c r="H553" s="30" t="s">
        <v>1816</v>
      </c>
      <c r="I553" s="51" t="s">
        <v>2042</v>
      </c>
      <c r="J553" s="2" t="s">
        <v>507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1"/>
      <c r="B554" s="1"/>
      <c r="C554" s="1"/>
      <c r="D554" s="1">
        <v>9608115812</v>
      </c>
      <c r="E554" s="2" t="s">
        <v>392</v>
      </c>
      <c r="F554" s="30">
        <v>548</v>
      </c>
      <c r="G554" s="1264"/>
      <c r="H554" s="30" t="s">
        <v>1816</v>
      </c>
      <c r="I554" s="51" t="s">
        <v>2043</v>
      </c>
      <c r="J554" s="2" t="s">
        <v>507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1"/>
      <c r="B555" s="1"/>
      <c r="C555" s="9">
        <v>44168</v>
      </c>
      <c r="D555" s="17" t="s">
        <v>2044</v>
      </c>
      <c r="E555" s="2" t="s">
        <v>2045</v>
      </c>
      <c r="F555" s="30">
        <v>549</v>
      </c>
      <c r="G555" s="1264"/>
      <c r="H555" s="30" t="s">
        <v>1602</v>
      </c>
      <c r="I555" s="51" t="s">
        <v>2046</v>
      </c>
      <c r="J555" s="2" t="s">
        <v>39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1"/>
      <c r="B556" s="1"/>
      <c r="C556" s="9"/>
      <c r="D556" s="17" t="s">
        <v>434</v>
      </c>
      <c r="E556" s="2" t="s">
        <v>133</v>
      </c>
      <c r="F556" s="50"/>
      <c r="G556" s="1268"/>
      <c r="H556" s="1" t="s">
        <v>2047</v>
      </c>
      <c r="I556" s="51" t="s">
        <v>2048</v>
      </c>
      <c r="J556" s="2" t="s">
        <v>39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1"/>
      <c r="B557" s="1"/>
      <c r="C557" s="1"/>
      <c r="D557" s="17" t="s">
        <v>432</v>
      </c>
      <c r="E557" s="2" t="s">
        <v>131</v>
      </c>
      <c r="F557" s="50"/>
      <c r="G557" s="1268"/>
      <c r="H557" s="1" t="s">
        <v>2047</v>
      </c>
      <c r="I557" s="51" t="s">
        <v>2049</v>
      </c>
      <c r="J557" s="2" t="s">
        <v>39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1"/>
      <c r="B558" s="1"/>
      <c r="C558" s="1"/>
      <c r="D558" s="17">
        <v>9031215064</v>
      </c>
      <c r="E558" s="2" t="s">
        <v>1965</v>
      </c>
      <c r="F558" s="30"/>
      <c r="G558" s="1264"/>
      <c r="H558" s="30" t="s">
        <v>2024</v>
      </c>
      <c r="I558" s="51" t="s">
        <v>2050</v>
      </c>
      <c r="J558" s="2" t="s">
        <v>507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1"/>
      <c r="B559" s="1"/>
      <c r="C559" s="9">
        <v>44170</v>
      </c>
      <c r="D559" s="17"/>
      <c r="E559" s="2" t="s">
        <v>2051</v>
      </c>
      <c r="F559" s="30"/>
      <c r="G559" s="1264"/>
      <c r="H559" s="30" t="s">
        <v>2052</v>
      </c>
      <c r="I559" s="39" t="s">
        <v>2053</v>
      </c>
      <c r="J559" s="2" t="s">
        <v>39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1"/>
      <c r="B560" s="1"/>
      <c r="C560" s="9">
        <v>44170</v>
      </c>
      <c r="D560" s="17" t="s">
        <v>2054</v>
      </c>
      <c r="E560" s="2" t="s">
        <v>2055</v>
      </c>
      <c r="F560" s="30"/>
      <c r="G560" s="1264"/>
      <c r="H560" s="30" t="s">
        <v>2056</v>
      </c>
      <c r="I560" s="39" t="s">
        <v>2057</v>
      </c>
      <c r="J560" s="2" t="s">
        <v>39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1"/>
      <c r="B561" s="1"/>
      <c r="C561" s="9">
        <v>44171</v>
      </c>
      <c r="D561" s="17" t="s">
        <v>2058</v>
      </c>
      <c r="E561" s="2" t="s">
        <v>2059</v>
      </c>
      <c r="F561" s="30"/>
      <c r="G561" s="1264"/>
      <c r="H561" s="30" t="s">
        <v>2060</v>
      </c>
      <c r="I561" s="39" t="s">
        <v>2061</v>
      </c>
      <c r="J561" s="2" t="s">
        <v>39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1"/>
      <c r="B562" s="1"/>
      <c r="C562" s="9">
        <v>44174</v>
      </c>
      <c r="D562" s="17"/>
      <c r="E562" s="2" t="s">
        <v>2051</v>
      </c>
      <c r="F562" s="30"/>
      <c r="G562" s="1264"/>
      <c r="H562" s="30" t="s">
        <v>2052</v>
      </c>
      <c r="I562" s="39" t="s">
        <v>2062</v>
      </c>
      <c r="J562" s="2" t="s">
        <v>39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1"/>
      <c r="B563" s="1"/>
      <c r="C563" s="9">
        <v>44174</v>
      </c>
      <c r="D563" s="17" t="s">
        <v>2063</v>
      </c>
      <c r="E563" s="2" t="s">
        <v>436</v>
      </c>
      <c r="F563" s="30"/>
      <c r="G563" s="1264"/>
      <c r="H563" s="30" t="s">
        <v>1367</v>
      </c>
      <c r="I563" s="39" t="s">
        <v>2064</v>
      </c>
      <c r="J563" s="2" t="s">
        <v>507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1"/>
      <c r="B564" s="1"/>
      <c r="C564" s="9">
        <v>44175</v>
      </c>
      <c r="D564" s="17" t="s">
        <v>2065</v>
      </c>
      <c r="E564" s="2" t="s">
        <v>2066</v>
      </c>
      <c r="F564" s="30"/>
      <c r="G564" s="1264"/>
      <c r="H564" s="30" t="s">
        <v>2067</v>
      </c>
      <c r="I564" s="39" t="s">
        <v>2068</v>
      </c>
      <c r="J564" s="2" t="s">
        <v>39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1"/>
      <c r="B565" s="1"/>
      <c r="C565" s="1"/>
      <c r="D565" s="17" t="s">
        <v>2069</v>
      </c>
      <c r="E565" s="2" t="s">
        <v>2070</v>
      </c>
      <c r="F565" s="30"/>
      <c r="G565" s="1264"/>
      <c r="H565" s="30" t="s">
        <v>2071</v>
      </c>
      <c r="I565" s="51" t="s">
        <v>2072</v>
      </c>
      <c r="J565" s="2" t="s">
        <v>39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1"/>
      <c r="B566" s="1"/>
      <c r="C566" s="1"/>
      <c r="D566" s="17"/>
      <c r="E566" s="2" t="s">
        <v>1965</v>
      </c>
      <c r="F566" s="30"/>
      <c r="G566" s="1264"/>
      <c r="H566" s="30"/>
      <c r="I566" s="39" t="s">
        <v>2073</v>
      </c>
      <c r="J566" s="2" t="s">
        <v>507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1"/>
      <c r="B567" s="1"/>
      <c r="C567" s="1"/>
      <c r="D567" s="17" t="s">
        <v>2074</v>
      </c>
      <c r="E567" s="2" t="s">
        <v>2075</v>
      </c>
      <c r="F567" s="30"/>
      <c r="G567" s="1264"/>
      <c r="H567" s="30" t="s">
        <v>2076</v>
      </c>
      <c r="I567" s="39" t="s">
        <v>2077</v>
      </c>
      <c r="J567" s="2" t="s">
        <v>39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1"/>
      <c r="B568" s="1"/>
      <c r="C568" s="9">
        <v>44184</v>
      </c>
      <c r="D568" s="17"/>
      <c r="E568" s="2" t="s">
        <v>1520</v>
      </c>
      <c r="F568" s="30"/>
      <c r="G568" s="1264"/>
      <c r="H568" s="30" t="s">
        <v>2071</v>
      </c>
      <c r="I568" s="39" t="s">
        <v>2078</v>
      </c>
      <c r="J568" s="2" t="s">
        <v>39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1"/>
      <c r="B569" s="1"/>
      <c r="C569" s="1"/>
      <c r="D569" s="17" t="s">
        <v>2079</v>
      </c>
      <c r="E569" s="2" t="s">
        <v>2080</v>
      </c>
      <c r="F569" s="30"/>
      <c r="G569" s="1264"/>
      <c r="H569" s="30" t="s">
        <v>1275</v>
      </c>
      <c r="I569" s="51" t="s">
        <v>2081</v>
      </c>
      <c r="J569" s="2" t="s">
        <v>39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1"/>
      <c r="B570" s="1"/>
      <c r="C570" s="9">
        <v>44187</v>
      </c>
      <c r="D570" s="17" t="s">
        <v>2082</v>
      </c>
      <c r="E570" s="2" t="s">
        <v>2083</v>
      </c>
      <c r="F570" s="30"/>
      <c r="G570" s="1264"/>
      <c r="H570" s="30" t="s">
        <v>2052</v>
      </c>
      <c r="I570" s="51" t="s">
        <v>2084</v>
      </c>
      <c r="J570" s="2" t="s">
        <v>39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1"/>
      <c r="B571" s="1"/>
      <c r="C571" s="9">
        <v>44188</v>
      </c>
      <c r="D571" s="17" t="s">
        <v>2085</v>
      </c>
      <c r="E571" s="2" t="s">
        <v>2086</v>
      </c>
      <c r="F571" s="30"/>
      <c r="G571" s="1264"/>
      <c r="H571" s="30" t="s">
        <v>2067</v>
      </c>
      <c r="I571" s="39" t="s">
        <v>2087</v>
      </c>
      <c r="J571" s="2" t="s">
        <v>39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1"/>
      <c r="B572" s="1"/>
      <c r="C572" s="9">
        <v>44188</v>
      </c>
      <c r="D572" s="17" t="s">
        <v>2088</v>
      </c>
      <c r="E572" s="2" t="s">
        <v>2089</v>
      </c>
      <c r="F572" s="30"/>
      <c r="G572" s="1264"/>
      <c r="H572" s="30" t="s">
        <v>2076</v>
      </c>
      <c r="I572" s="39" t="s">
        <v>2090</v>
      </c>
      <c r="J572" s="2" t="s">
        <v>39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1"/>
      <c r="B573" s="1"/>
      <c r="C573" s="9">
        <v>44189</v>
      </c>
      <c r="D573" s="17" t="s">
        <v>2091</v>
      </c>
      <c r="E573" s="2" t="s">
        <v>2092</v>
      </c>
      <c r="F573" s="30"/>
      <c r="G573" s="1264"/>
      <c r="H573" s="30" t="s">
        <v>2067</v>
      </c>
      <c r="I573" s="39" t="s">
        <v>2093</v>
      </c>
      <c r="J573" s="2" t="s">
        <v>39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1"/>
      <c r="B574" s="1"/>
      <c r="C574" s="9">
        <v>44189</v>
      </c>
      <c r="D574" s="17" t="s">
        <v>2094</v>
      </c>
      <c r="E574" s="2" t="s">
        <v>2095</v>
      </c>
      <c r="F574" s="30"/>
      <c r="G574" s="1264"/>
      <c r="H574" s="30" t="s">
        <v>2096</v>
      </c>
      <c r="I574" s="39" t="s">
        <v>2097</v>
      </c>
      <c r="J574" s="2" t="s">
        <v>77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1"/>
      <c r="B575" s="1"/>
      <c r="C575" s="9">
        <v>44190</v>
      </c>
      <c r="D575" s="17" t="s">
        <v>2094</v>
      </c>
      <c r="E575" s="2" t="s">
        <v>2098</v>
      </c>
      <c r="F575" s="30"/>
      <c r="G575" s="1264"/>
      <c r="H575" s="30" t="s">
        <v>2099</v>
      </c>
      <c r="I575" s="39" t="s">
        <v>2100</v>
      </c>
      <c r="J575" s="2" t="s">
        <v>77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1"/>
      <c r="B576" s="1"/>
      <c r="C576" s="9">
        <v>44190</v>
      </c>
      <c r="D576" s="17" t="s">
        <v>2101</v>
      </c>
      <c r="E576" s="2" t="s">
        <v>2102</v>
      </c>
      <c r="F576" s="30"/>
      <c r="G576" s="1264"/>
      <c r="H576" s="30" t="s">
        <v>2067</v>
      </c>
      <c r="I576" s="39" t="s">
        <v>2103</v>
      </c>
      <c r="J576" s="2" t="s">
        <v>39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1"/>
      <c r="B577" s="1"/>
      <c r="C577" s="9">
        <v>44190</v>
      </c>
      <c r="D577" s="17" t="s">
        <v>1238</v>
      </c>
      <c r="E577" s="2" t="s">
        <v>1239</v>
      </c>
      <c r="F577" s="30"/>
      <c r="G577" s="1264"/>
      <c r="H577" s="30" t="s">
        <v>2076</v>
      </c>
      <c r="I577" s="39" t="s">
        <v>2104</v>
      </c>
      <c r="J577" s="2" t="s">
        <v>39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1"/>
      <c r="B578" s="1"/>
      <c r="C578" s="9">
        <v>44192</v>
      </c>
      <c r="D578" s="17" t="s">
        <v>2105</v>
      </c>
      <c r="E578" s="2" t="s">
        <v>1593</v>
      </c>
      <c r="F578" s="30"/>
      <c r="G578" s="1264"/>
      <c r="H578" s="30" t="s">
        <v>1785</v>
      </c>
      <c r="I578" s="39" t="s">
        <v>2106</v>
      </c>
      <c r="J578" s="2" t="s">
        <v>39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1"/>
      <c r="B579" s="1"/>
      <c r="C579" s="9">
        <v>44195</v>
      </c>
      <c r="D579" s="17" t="s">
        <v>2107</v>
      </c>
      <c r="E579" s="2" t="s">
        <v>2108</v>
      </c>
      <c r="F579" s="30"/>
      <c r="G579" s="1264"/>
      <c r="H579" s="30" t="s">
        <v>2109</v>
      </c>
      <c r="I579" s="39" t="s">
        <v>2110</v>
      </c>
      <c r="J579" s="2" t="s">
        <v>39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1"/>
      <c r="B580" s="1"/>
      <c r="C580" s="9">
        <v>44195</v>
      </c>
      <c r="D580" s="17" t="s">
        <v>2107</v>
      </c>
      <c r="E580" s="2" t="s">
        <v>2111</v>
      </c>
      <c r="F580" s="30"/>
      <c r="G580" s="1264"/>
      <c r="H580" s="30" t="s">
        <v>2109</v>
      </c>
      <c r="I580" s="39" t="s">
        <v>2112</v>
      </c>
      <c r="J580" s="2" t="s">
        <v>39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1"/>
      <c r="B581" s="1"/>
      <c r="C581" s="9">
        <v>44195</v>
      </c>
      <c r="D581" s="1">
        <v>6207140331</v>
      </c>
      <c r="E581" s="2" t="s">
        <v>2113</v>
      </c>
      <c r="F581" s="30"/>
      <c r="G581" s="1264"/>
      <c r="H581" s="30" t="s">
        <v>1275</v>
      </c>
      <c r="I581" s="39" t="s">
        <v>2114</v>
      </c>
      <c r="J581" s="2" t="s">
        <v>39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1"/>
      <c r="B582" s="1"/>
      <c r="C582" s="9">
        <v>44195</v>
      </c>
      <c r="D582" s="17" t="s">
        <v>2115</v>
      </c>
      <c r="E582" s="2" t="s">
        <v>426</v>
      </c>
      <c r="F582" s="30"/>
      <c r="G582" s="1264"/>
      <c r="H582" s="30" t="s">
        <v>2116</v>
      </c>
      <c r="I582" s="39" t="s">
        <v>2117</v>
      </c>
      <c r="J582" s="2" t="s">
        <v>39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1"/>
      <c r="B583" s="1"/>
      <c r="C583" s="9">
        <v>44195</v>
      </c>
      <c r="D583" s="17" t="s">
        <v>2118</v>
      </c>
      <c r="E583" s="2" t="s">
        <v>1081</v>
      </c>
      <c r="F583" s="30"/>
      <c r="G583" s="1264"/>
      <c r="H583" s="30" t="s">
        <v>1347</v>
      </c>
      <c r="I583" s="39" t="s">
        <v>2119</v>
      </c>
      <c r="J583" s="2" t="s">
        <v>39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1"/>
      <c r="B584" s="1"/>
      <c r="C584" s="9">
        <v>44198</v>
      </c>
      <c r="D584" s="17" t="s">
        <v>2120</v>
      </c>
      <c r="E584" s="2" t="s">
        <v>2121</v>
      </c>
      <c r="F584" s="30"/>
      <c r="G584" s="1264"/>
      <c r="H584" s="30" t="s">
        <v>2122</v>
      </c>
      <c r="I584" s="39" t="s">
        <v>2123</v>
      </c>
      <c r="J584" s="2" t="s">
        <v>507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1"/>
      <c r="B585" s="1"/>
      <c r="C585" s="9">
        <v>44198</v>
      </c>
      <c r="D585" s="17" t="s">
        <v>2124</v>
      </c>
      <c r="E585" s="2" t="s">
        <v>2125</v>
      </c>
      <c r="F585" s="30"/>
      <c r="G585" s="1264"/>
      <c r="H585" s="30" t="s">
        <v>1781</v>
      </c>
      <c r="I585" s="39" t="s">
        <v>2126</v>
      </c>
      <c r="J585" s="2" t="s">
        <v>39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1"/>
      <c r="B586" s="1"/>
      <c r="C586" s="9">
        <v>44198</v>
      </c>
      <c r="D586" s="17">
        <v>7632916848</v>
      </c>
      <c r="E586" s="2" t="s">
        <v>2127</v>
      </c>
      <c r="F586" s="30"/>
      <c r="G586" s="1264"/>
      <c r="H586" s="30" t="s">
        <v>1275</v>
      </c>
      <c r="I586" s="39" t="s">
        <v>2128</v>
      </c>
      <c r="J586" s="2" t="s">
        <v>507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1"/>
      <c r="B587" s="1"/>
      <c r="C587" s="9">
        <v>44198</v>
      </c>
      <c r="D587" s="17" t="s">
        <v>2129</v>
      </c>
      <c r="E587" s="2" t="s">
        <v>2130</v>
      </c>
      <c r="F587" s="30"/>
      <c r="G587" s="1264"/>
      <c r="H587" s="30" t="s">
        <v>2076</v>
      </c>
      <c r="I587" s="39" t="s">
        <v>2131</v>
      </c>
      <c r="J587" s="2" t="s">
        <v>507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1"/>
      <c r="B588" s="1"/>
      <c r="C588" s="9">
        <v>44198</v>
      </c>
      <c r="D588" s="17" t="s">
        <v>2132</v>
      </c>
      <c r="E588" s="2" t="s">
        <v>2133</v>
      </c>
      <c r="F588" s="30"/>
      <c r="G588" s="1264"/>
      <c r="H588" s="30" t="s">
        <v>2134</v>
      </c>
      <c r="I588" s="39" t="s">
        <v>2135</v>
      </c>
      <c r="J588" s="2" t="s">
        <v>39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1"/>
      <c r="B589" s="1"/>
      <c r="C589" s="9">
        <v>43832</v>
      </c>
      <c r="D589" s="17" t="s">
        <v>2136</v>
      </c>
      <c r="E589" s="2" t="s">
        <v>2137</v>
      </c>
      <c r="F589" s="30"/>
      <c r="G589" s="1264"/>
      <c r="H589" s="30" t="s">
        <v>1290</v>
      </c>
      <c r="I589" s="39" t="s">
        <v>2138</v>
      </c>
      <c r="J589" s="2" t="s">
        <v>92</v>
      </c>
      <c r="K589" s="2" t="s">
        <v>2139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1"/>
      <c r="B590" s="1"/>
      <c r="C590" s="9">
        <v>44198</v>
      </c>
      <c r="D590" s="17" t="s">
        <v>2140</v>
      </c>
      <c r="E590" s="2" t="s">
        <v>2141</v>
      </c>
      <c r="F590" s="30"/>
      <c r="G590" s="1264"/>
      <c r="H590" s="30" t="s">
        <v>1392</v>
      </c>
      <c r="I590" s="39" t="s">
        <v>2142</v>
      </c>
      <c r="J590" s="2" t="s">
        <v>507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1"/>
      <c r="B591" s="1"/>
      <c r="C591" s="9">
        <v>44199</v>
      </c>
      <c r="D591" s="17" t="s">
        <v>2143</v>
      </c>
      <c r="E591" s="2" t="s">
        <v>2144</v>
      </c>
      <c r="F591" s="30"/>
      <c r="G591" s="1264"/>
      <c r="H591" s="30" t="s">
        <v>2122</v>
      </c>
      <c r="I591" s="39" t="s">
        <v>2145</v>
      </c>
      <c r="J591" s="2" t="s">
        <v>39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1"/>
      <c r="B592" s="1"/>
      <c r="C592" s="9">
        <v>44199</v>
      </c>
      <c r="D592" s="17" t="s">
        <v>2146</v>
      </c>
      <c r="E592" s="2" t="s">
        <v>2147</v>
      </c>
      <c r="F592" s="30"/>
      <c r="G592" s="1264"/>
      <c r="H592" s="30" t="s">
        <v>1275</v>
      </c>
      <c r="I592" s="39" t="s">
        <v>2148</v>
      </c>
      <c r="J592" s="2" t="s">
        <v>507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1"/>
      <c r="B593" s="1"/>
      <c r="C593" s="9">
        <v>44199</v>
      </c>
      <c r="D593" s="17" t="s">
        <v>2101</v>
      </c>
      <c r="E593" s="2" t="s">
        <v>2102</v>
      </c>
      <c r="F593" s="30"/>
      <c r="G593" s="1264"/>
      <c r="H593" s="30" t="s">
        <v>2067</v>
      </c>
      <c r="I593" s="39" t="s">
        <v>2149</v>
      </c>
      <c r="J593" s="2" t="s">
        <v>39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1"/>
      <c r="B594" s="1"/>
      <c r="C594" s="9">
        <v>44200</v>
      </c>
      <c r="D594" s="17" t="s">
        <v>209</v>
      </c>
      <c r="E594" s="2" t="s">
        <v>2150</v>
      </c>
      <c r="F594" s="30"/>
      <c r="G594" s="1264"/>
      <c r="H594" s="30" t="s">
        <v>2071</v>
      </c>
      <c r="I594" s="2" t="s">
        <v>2151</v>
      </c>
      <c r="J594" s="2" t="s">
        <v>39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1"/>
      <c r="B595" s="1"/>
      <c r="C595" s="9">
        <v>44200</v>
      </c>
      <c r="D595" s="17" t="s">
        <v>209</v>
      </c>
      <c r="E595" s="2" t="s">
        <v>2152</v>
      </c>
      <c r="F595" s="30"/>
      <c r="G595" s="1264"/>
      <c r="H595" s="30" t="s">
        <v>2071</v>
      </c>
      <c r="I595" s="39" t="s">
        <v>2153</v>
      </c>
      <c r="J595" s="2" t="s">
        <v>39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1"/>
      <c r="B596" s="1"/>
      <c r="C596" s="9">
        <v>43836</v>
      </c>
      <c r="D596" s="17" t="s">
        <v>209</v>
      </c>
      <c r="E596" s="2" t="s">
        <v>2154</v>
      </c>
      <c r="F596" s="30"/>
      <c r="G596" s="1264"/>
      <c r="H596" s="30" t="s">
        <v>1869</v>
      </c>
      <c r="I596" s="39" t="s">
        <v>2155</v>
      </c>
      <c r="J596" s="2" t="s">
        <v>39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1"/>
      <c r="B597" s="1"/>
      <c r="C597" s="9">
        <v>44203</v>
      </c>
      <c r="D597" s="1">
        <v>9504540715</v>
      </c>
      <c r="E597" s="2" t="s">
        <v>2156</v>
      </c>
      <c r="F597" s="30"/>
      <c r="G597" s="1264"/>
      <c r="H597" s="30" t="s">
        <v>2067</v>
      </c>
      <c r="I597" s="39" t="s">
        <v>2157</v>
      </c>
      <c r="J597" s="2" t="s">
        <v>77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1"/>
      <c r="B598" s="1"/>
      <c r="C598" s="9">
        <v>44204</v>
      </c>
      <c r="D598" s="17" t="s">
        <v>2158</v>
      </c>
      <c r="E598" s="2" t="s">
        <v>2159</v>
      </c>
      <c r="F598" s="30"/>
      <c r="G598" s="1264"/>
      <c r="H598" s="30" t="s">
        <v>2071</v>
      </c>
      <c r="I598" s="39" t="s">
        <v>2160</v>
      </c>
      <c r="J598" s="2" t="s">
        <v>39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1"/>
      <c r="B599" s="1"/>
      <c r="C599" s="9">
        <v>44204</v>
      </c>
      <c r="D599" s="17" t="s">
        <v>2161</v>
      </c>
      <c r="E599" s="2" t="s">
        <v>2162</v>
      </c>
      <c r="F599" s="30"/>
      <c r="G599" s="1264"/>
      <c r="H599" s="30" t="s">
        <v>1892</v>
      </c>
      <c r="I599" s="39" t="s">
        <v>2163</v>
      </c>
      <c r="J599" s="2" t="s">
        <v>39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1"/>
      <c r="B600" s="1"/>
      <c r="C600" s="9">
        <v>44204</v>
      </c>
      <c r="D600" s="17" t="s">
        <v>962</v>
      </c>
      <c r="E600" s="2" t="s">
        <v>90</v>
      </c>
      <c r="F600" s="30"/>
      <c r="G600" s="1264"/>
      <c r="H600" s="30" t="s">
        <v>1955</v>
      </c>
      <c r="I600" s="39" t="s">
        <v>2164</v>
      </c>
      <c r="J600" s="2" t="s">
        <v>39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1"/>
      <c r="B601" s="1"/>
      <c r="C601" s="9">
        <v>44205</v>
      </c>
      <c r="D601" s="17" t="s">
        <v>862</v>
      </c>
      <c r="E601" s="2" t="s">
        <v>156</v>
      </c>
      <c r="F601" s="30"/>
      <c r="G601" s="1264"/>
      <c r="H601" s="30" t="s">
        <v>1275</v>
      </c>
      <c r="I601" s="39" t="s">
        <v>2165</v>
      </c>
      <c r="J601" s="2" t="s">
        <v>39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1"/>
      <c r="B602" s="1"/>
      <c r="C602" s="9">
        <v>44205</v>
      </c>
      <c r="D602" s="17" t="s">
        <v>1491</v>
      </c>
      <c r="E602" s="2" t="s">
        <v>1492</v>
      </c>
      <c r="F602" s="30"/>
      <c r="G602" s="1264"/>
      <c r="H602" s="30" t="s">
        <v>1869</v>
      </c>
      <c r="I602" s="39" t="s">
        <v>2166</v>
      </c>
      <c r="J602" s="2" t="s">
        <v>39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1"/>
      <c r="B603" s="1"/>
      <c r="C603" s="9">
        <v>44205</v>
      </c>
      <c r="D603" s="17" t="s">
        <v>2136</v>
      </c>
      <c r="E603" s="2" t="s">
        <v>2137</v>
      </c>
      <c r="F603" s="30"/>
      <c r="G603" s="1264"/>
      <c r="H603" s="30" t="s">
        <v>1290</v>
      </c>
      <c r="I603" s="39" t="s">
        <v>2167</v>
      </c>
      <c r="J603" s="2" t="s">
        <v>507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1"/>
      <c r="B604" s="1"/>
      <c r="C604" s="9">
        <v>44207</v>
      </c>
      <c r="D604" s="52" t="s">
        <v>2168</v>
      </c>
      <c r="E604" s="2" t="s">
        <v>1722</v>
      </c>
      <c r="F604" s="30"/>
      <c r="G604" s="1264"/>
      <c r="H604" s="30" t="s">
        <v>1275</v>
      </c>
      <c r="I604" s="2" t="s">
        <v>2169</v>
      </c>
      <c r="J604" s="2" t="s">
        <v>39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1"/>
      <c r="B605" s="1"/>
      <c r="C605" s="9">
        <v>44207</v>
      </c>
      <c r="D605" s="17"/>
      <c r="E605" s="2" t="s">
        <v>1520</v>
      </c>
      <c r="F605" s="30"/>
      <c r="G605" s="1264"/>
      <c r="H605" s="30" t="s">
        <v>2071</v>
      </c>
      <c r="I605" s="39" t="s">
        <v>2170</v>
      </c>
      <c r="J605" s="2" t="s">
        <v>507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1"/>
      <c r="B606" s="1"/>
      <c r="C606" s="9">
        <v>44207</v>
      </c>
      <c r="D606" s="17"/>
      <c r="E606" s="2" t="s">
        <v>2171</v>
      </c>
      <c r="F606" s="30"/>
      <c r="G606" s="1264"/>
      <c r="H606" s="30" t="s">
        <v>2071</v>
      </c>
      <c r="I606" s="39" t="s">
        <v>2172</v>
      </c>
      <c r="J606" s="2" t="s">
        <v>39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1"/>
      <c r="B607" s="1"/>
      <c r="C607" s="9">
        <v>44207</v>
      </c>
      <c r="D607" s="17"/>
      <c r="E607" s="2" t="s">
        <v>1965</v>
      </c>
      <c r="F607" s="30"/>
      <c r="G607" s="1264"/>
      <c r="H607" s="30" t="s">
        <v>2067</v>
      </c>
      <c r="I607" s="2" t="s">
        <v>2173</v>
      </c>
      <c r="J607" s="2" t="s">
        <v>507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1"/>
      <c r="B608" s="1"/>
      <c r="C608" s="1"/>
      <c r="D608" s="17" t="s">
        <v>665</v>
      </c>
      <c r="E608" s="2" t="s">
        <v>2020</v>
      </c>
      <c r="F608" s="30"/>
      <c r="G608" s="1264"/>
      <c r="H608" s="30" t="s">
        <v>1307</v>
      </c>
      <c r="I608" s="39" t="s">
        <v>2174</v>
      </c>
      <c r="J608" s="2" t="s">
        <v>507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1"/>
      <c r="B609" s="1"/>
      <c r="C609" s="1"/>
      <c r="D609" s="17" t="s">
        <v>665</v>
      </c>
      <c r="E609" s="2" t="s">
        <v>2023</v>
      </c>
      <c r="F609" s="30"/>
      <c r="G609" s="1264"/>
      <c r="H609" s="30" t="s">
        <v>2024</v>
      </c>
      <c r="I609" s="39" t="s">
        <v>2175</v>
      </c>
      <c r="J609" s="2" t="s">
        <v>507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1"/>
      <c r="B610" s="1"/>
      <c r="C610" s="9">
        <v>44208</v>
      </c>
      <c r="D610" s="17" t="s">
        <v>665</v>
      </c>
      <c r="E610" s="2" t="s">
        <v>2026</v>
      </c>
      <c r="F610" s="30"/>
      <c r="G610" s="1264"/>
      <c r="H610" s="30" t="s">
        <v>1816</v>
      </c>
      <c r="I610" s="39" t="s">
        <v>2176</v>
      </c>
      <c r="J610" s="2" t="s">
        <v>39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1"/>
      <c r="B611" s="1"/>
      <c r="C611" s="9">
        <v>44208</v>
      </c>
      <c r="D611" s="17" t="s">
        <v>2177</v>
      </c>
      <c r="E611" s="2" t="s">
        <v>2178</v>
      </c>
      <c r="F611" s="30"/>
      <c r="G611" s="1264"/>
      <c r="H611" s="30" t="s">
        <v>1955</v>
      </c>
      <c r="I611" s="39" t="s">
        <v>2179</v>
      </c>
      <c r="J611" s="2" t="s">
        <v>507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1"/>
      <c r="B612" s="1"/>
      <c r="C612" s="9">
        <v>44208</v>
      </c>
      <c r="D612" s="17" t="s">
        <v>2180</v>
      </c>
      <c r="E612" s="2" t="s">
        <v>2181</v>
      </c>
      <c r="F612" s="30"/>
      <c r="G612" s="1264"/>
      <c r="H612" s="30" t="s">
        <v>2099</v>
      </c>
      <c r="I612" s="39" t="s">
        <v>2182</v>
      </c>
      <c r="J612" s="2" t="s">
        <v>507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1"/>
      <c r="B613" s="1"/>
      <c r="C613" s="9">
        <v>44209</v>
      </c>
      <c r="D613" s="17" t="s">
        <v>2183</v>
      </c>
      <c r="E613" s="2" t="s">
        <v>2184</v>
      </c>
      <c r="F613" s="30"/>
      <c r="G613" s="1264"/>
      <c r="H613" s="30" t="s">
        <v>1602</v>
      </c>
      <c r="I613" s="39" t="s">
        <v>2185</v>
      </c>
      <c r="J613" s="2" t="s">
        <v>39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1"/>
      <c r="B614" s="1"/>
      <c r="C614" s="9">
        <v>44209</v>
      </c>
      <c r="D614" s="17" t="s">
        <v>2186</v>
      </c>
      <c r="E614" s="2" t="s">
        <v>2187</v>
      </c>
      <c r="F614" s="30"/>
      <c r="G614" s="1264"/>
      <c r="H614" s="30" t="s">
        <v>1955</v>
      </c>
      <c r="I614" s="39" t="s">
        <v>2188</v>
      </c>
      <c r="J614" s="2" t="s">
        <v>507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1"/>
      <c r="B615" s="1"/>
      <c r="C615" s="9">
        <v>44209</v>
      </c>
      <c r="D615" s="17"/>
      <c r="E615" s="2" t="s">
        <v>1965</v>
      </c>
      <c r="F615" s="30"/>
      <c r="G615" s="1264"/>
      <c r="H615" s="30" t="s">
        <v>2067</v>
      </c>
      <c r="I615" s="39" t="s">
        <v>2189</v>
      </c>
      <c r="J615" s="2" t="s">
        <v>39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1"/>
      <c r="B616" s="1"/>
      <c r="C616" s="9">
        <v>44209</v>
      </c>
      <c r="D616" s="17" t="s">
        <v>2190</v>
      </c>
      <c r="E616" s="2" t="s">
        <v>546</v>
      </c>
      <c r="F616" s="30"/>
      <c r="G616" s="1264"/>
      <c r="H616" s="30" t="s">
        <v>1810</v>
      </c>
      <c r="I616" s="39" t="s">
        <v>2191</v>
      </c>
      <c r="J616" s="2" t="s">
        <v>39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1"/>
      <c r="B617" s="1"/>
      <c r="C617" s="9">
        <v>44211</v>
      </c>
      <c r="D617" s="17" t="s">
        <v>2192</v>
      </c>
      <c r="E617" s="2" t="s">
        <v>2193</v>
      </c>
      <c r="F617" s="30"/>
      <c r="G617" s="1264"/>
      <c r="H617" s="30"/>
      <c r="I617" s="39" t="s">
        <v>2194</v>
      </c>
      <c r="J617" s="2" t="s">
        <v>39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1"/>
      <c r="B618" s="1"/>
      <c r="C618" s="9">
        <v>44211</v>
      </c>
      <c r="D618" s="17" t="s">
        <v>665</v>
      </c>
      <c r="E618" s="2" t="s">
        <v>2195</v>
      </c>
      <c r="F618" s="30"/>
      <c r="G618" s="1264"/>
      <c r="H618" s="30" t="s">
        <v>1955</v>
      </c>
      <c r="I618" s="39" t="s">
        <v>2196</v>
      </c>
      <c r="J618" s="2" t="s">
        <v>39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1"/>
      <c r="B619" s="1"/>
      <c r="C619" s="9">
        <v>44211</v>
      </c>
      <c r="D619" s="17" t="s">
        <v>665</v>
      </c>
      <c r="E619" s="2" t="s">
        <v>2197</v>
      </c>
      <c r="F619" s="30"/>
      <c r="G619" s="1264"/>
      <c r="H619" s="30" t="s">
        <v>2067</v>
      </c>
      <c r="I619" s="39" t="s">
        <v>2198</v>
      </c>
      <c r="J619" s="2" t="s">
        <v>507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1"/>
      <c r="B620" s="1"/>
      <c r="C620" s="9">
        <v>44211</v>
      </c>
      <c r="D620" s="17" t="s">
        <v>665</v>
      </c>
      <c r="E620" s="2" t="s">
        <v>2199</v>
      </c>
      <c r="F620" s="30"/>
      <c r="G620" s="1264"/>
      <c r="H620" s="30" t="s">
        <v>2047</v>
      </c>
      <c r="I620" s="39" t="s">
        <v>2200</v>
      </c>
      <c r="J620" s="2" t="s">
        <v>507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1"/>
      <c r="B621" s="1"/>
      <c r="C621" s="9">
        <v>44211</v>
      </c>
      <c r="D621" s="17" t="s">
        <v>665</v>
      </c>
      <c r="E621" s="2" t="s">
        <v>447</v>
      </c>
      <c r="F621" s="30"/>
      <c r="G621" s="1264"/>
      <c r="H621" s="30" t="s">
        <v>2201</v>
      </c>
      <c r="I621" s="39" t="s">
        <v>2202</v>
      </c>
      <c r="J621" s="2" t="s">
        <v>39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1"/>
      <c r="B622" s="1"/>
      <c r="C622" s="1"/>
      <c r="D622" s="17"/>
      <c r="E622" s="2" t="s">
        <v>2156</v>
      </c>
      <c r="F622" s="30"/>
      <c r="G622" s="1264"/>
      <c r="H622" s="30"/>
      <c r="I622" s="39" t="s">
        <v>2203</v>
      </c>
      <c r="J622" s="2" t="s">
        <v>507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1"/>
      <c r="B623" s="1"/>
      <c r="C623" s="9">
        <v>44214</v>
      </c>
      <c r="D623" s="17" t="s">
        <v>2204</v>
      </c>
      <c r="E623" s="2" t="s">
        <v>2205</v>
      </c>
      <c r="F623" s="30"/>
      <c r="G623" s="1264"/>
      <c r="H623" s="30" t="s">
        <v>1275</v>
      </c>
      <c r="I623" s="39" t="s">
        <v>2206</v>
      </c>
      <c r="J623" s="2" t="s">
        <v>39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1"/>
      <c r="B624" s="1"/>
      <c r="C624" s="9">
        <v>44215</v>
      </c>
      <c r="D624" s="17" t="s">
        <v>1121</v>
      </c>
      <c r="E624" s="2" t="s">
        <v>1122</v>
      </c>
      <c r="F624" s="30"/>
      <c r="G624" s="1264"/>
      <c r="H624" s="30" t="s">
        <v>2207</v>
      </c>
      <c r="I624" s="39" t="s">
        <v>2208</v>
      </c>
      <c r="J624" s="2" t="s">
        <v>507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1"/>
      <c r="B625" s="1"/>
      <c r="C625" s="9">
        <v>44215</v>
      </c>
      <c r="D625" s="17" t="s">
        <v>1195</v>
      </c>
      <c r="E625" s="2" t="s">
        <v>1196</v>
      </c>
      <c r="F625" s="30"/>
      <c r="G625" s="1264"/>
      <c r="H625" s="30" t="s">
        <v>1271</v>
      </c>
      <c r="I625" s="39" t="s">
        <v>2209</v>
      </c>
      <c r="J625" s="2" t="s">
        <v>507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1"/>
      <c r="B626" s="1"/>
      <c r="C626" s="9">
        <v>44215</v>
      </c>
      <c r="D626" s="17" t="s">
        <v>1195</v>
      </c>
      <c r="E626" s="2" t="s">
        <v>1198</v>
      </c>
      <c r="F626" s="30"/>
      <c r="G626" s="1264"/>
      <c r="H626" s="30" t="s">
        <v>1271</v>
      </c>
      <c r="I626" s="39" t="s">
        <v>2210</v>
      </c>
      <c r="J626" s="2" t="s">
        <v>507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1"/>
      <c r="B627" s="1"/>
      <c r="C627" s="9">
        <v>44215</v>
      </c>
      <c r="D627" s="17" t="s">
        <v>2211</v>
      </c>
      <c r="E627" s="2" t="s">
        <v>2212</v>
      </c>
      <c r="F627" s="30"/>
      <c r="G627" s="1264"/>
      <c r="H627" s="30" t="s">
        <v>1955</v>
      </c>
      <c r="I627" s="39" t="s">
        <v>2213</v>
      </c>
      <c r="J627" s="2" t="s">
        <v>39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1"/>
      <c r="B628" s="1"/>
      <c r="C628" s="9">
        <v>44215</v>
      </c>
      <c r="D628" s="17" t="s">
        <v>2214</v>
      </c>
      <c r="E628" s="2" t="s">
        <v>2215</v>
      </c>
      <c r="F628" s="30"/>
      <c r="G628" s="1264"/>
      <c r="H628" s="30" t="s">
        <v>1275</v>
      </c>
      <c r="I628" s="39" t="s">
        <v>2216</v>
      </c>
      <c r="J628" s="2" t="s">
        <v>39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1"/>
      <c r="B629" s="1"/>
      <c r="C629" s="9">
        <v>44215</v>
      </c>
      <c r="D629" s="17" t="s">
        <v>2217</v>
      </c>
      <c r="E629" s="2" t="s">
        <v>2218</v>
      </c>
      <c r="F629" s="30"/>
      <c r="G629" s="1264"/>
      <c r="H629" s="30" t="s">
        <v>2219</v>
      </c>
      <c r="I629" s="39" t="s">
        <v>2220</v>
      </c>
      <c r="J629" s="2" t="s">
        <v>507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1"/>
      <c r="B630" s="1"/>
      <c r="C630" s="9">
        <v>44215</v>
      </c>
      <c r="D630" s="17"/>
      <c r="E630" s="2" t="s">
        <v>1717</v>
      </c>
      <c r="F630" s="30"/>
      <c r="G630" s="1264"/>
      <c r="H630" s="30" t="s">
        <v>1499</v>
      </c>
      <c r="I630" s="39" t="s">
        <v>2221</v>
      </c>
      <c r="J630" s="2" t="s">
        <v>39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1"/>
      <c r="B631" s="1"/>
      <c r="C631" s="9">
        <v>44216</v>
      </c>
      <c r="D631" s="17" t="s">
        <v>2222</v>
      </c>
      <c r="E631" s="2" t="s">
        <v>2223</v>
      </c>
      <c r="F631" s="30"/>
      <c r="G631" s="1264"/>
      <c r="H631" s="30" t="s">
        <v>2224</v>
      </c>
      <c r="I631" s="39" t="s">
        <v>2225</v>
      </c>
      <c r="J631" s="2" t="s">
        <v>39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1"/>
      <c r="B632" s="1"/>
      <c r="C632" s="9">
        <v>44216</v>
      </c>
      <c r="D632" s="17" t="s">
        <v>2226</v>
      </c>
      <c r="E632" s="2" t="s">
        <v>2227</v>
      </c>
      <c r="F632" s="30"/>
      <c r="G632" s="1264"/>
      <c r="H632" s="30" t="s">
        <v>1281</v>
      </c>
      <c r="I632" s="39" t="s">
        <v>2228</v>
      </c>
      <c r="J632" s="2" t="s">
        <v>92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1"/>
      <c r="B633" s="1"/>
      <c r="C633" s="9">
        <v>44216</v>
      </c>
      <c r="D633" s="17" t="s">
        <v>2214</v>
      </c>
      <c r="E633" s="2" t="s">
        <v>2215</v>
      </c>
      <c r="F633" s="30"/>
      <c r="G633" s="1264"/>
      <c r="H633" s="30" t="s">
        <v>1275</v>
      </c>
      <c r="I633" s="39" t="s">
        <v>2229</v>
      </c>
      <c r="J633" s="2" t="s">
        <v>39</v>
      </c>
      <c r="K633" s="2" t="s">
        <v>2230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1"/>
      <c r="B634" s="1"/>
      <c r="C634" s="9">
        <v>44216</v>
      </c>
      <c r="D634" s="1" t="s">
        <v>2231</v>
      </c>
      <c r="E634" s="2" t="s">
        <v>2232</v>
      </c>
      <c r="F634" s="30"/>
      <c r="G634" s="1264"/>
      <c r="H634" s="30" t="s">
        <v>1331</v>
      </c>
      <c r="I634" s="39" t="s">
        <v>2233</v>
      </c>
      <c r="J634" s="2" t="s">
        <v>507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1"/>
      <c r="B635" s="1"/>
      <c r="C635" s="9">
        <v>44216</v>
      </c>
      <c r="D635" s="1" t="s">
        <v>2231</v>
      </c>
      <c r="E635" s="2" t="s">
        <v>2234</v>
      </c>
      <c r="F635" s="30"/>
      <c r="G635" s="1264"/>
      <c r="H635" s="30" t="s">
        <v>1331</v>
      </c>
      <c r="I635" s="39" t="s">
        <v>2235</v>
      </c>
      <c r="J635" s="2" t="s">
        <v>39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1"/>
      <c r="B636" s="1"/>
      <c r="C636" s="9">
        <v>44216</v>
      </c>
      <c r="D636" s="1" t="s">
        <v>2231</v>
      </c>
      <c r="E636" s="2" t="s">
        <v>2236</v>
      </c>
      <c r="F636" s="30"/>
      <c r="G636" s="1264"/>
      <c r="H636" s="30" t="s">
        <v>1331</v>
      </c>
      <c r="I636" s="39" t="s">
        <v>2237</v>
      </c>
      <c r="J636" s="2" t="s">
        <v>39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1"/>
      <c r="B637" s="1"/>
      <c r="C637" s="9">
        <v>44216</v>
      </c>
      <c r="D637" s="1" t="s">
        <v>470</v>
      </c>
      <c r="E637" s="2" t="s">
        <v>2238</v>
      </c>
      <c r="F637" s="30"/>
      <c r="G637" s="1264"/>
      <c r="H637" s="30" t="s">
        <v>1331</v>
      </c>
      <c r="I637" s="10" t="s">
        <v>2239</v>
      </c>
      <c r="J637" s="2" t="s">
        <v>39</v>
      </c>
      <c r="K637" s="2" t="s">
        <v>2240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1"/>
      <c r="B638" s="1"/>
      <c r="C638" s="9">
        <v>44216</v>
      </c>
      <c r="D638" s="1" t="s">
        <v>2231</v>
      </c>
      <c r="E638" s="2" t="s">
        <v>1039</v>
      </c>
      <c r="F638" s="30"/>
      <c r="G638" s="1264"/>
      <c r="H638" s="30" t="s">
        <v>324</v>
      </c>
      <c r="I638" s="39" t="s">
        <v>2241</v>
      </c>
      <c r="J638" s="2" t="s">
        <v>39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1"/>
      <c r="B639" s="1"/>
      <c r="C639" s="9">
        <v>44216</v>
      </c>
      <c r="D639" s="1" t="s">
        <v>2231</v>
      </c>
      <c r="E639" s="2" t="s">
        <v>2242</v>
      </c>
      <c r="F639" s="30"/>
      <c r="G639" s="1264"/>
      <c r="H639" s="30" t="s">
        <v>2243</v>
      </c>
      <c r="I639" s="39" t="s">
        <v>2244</v>
      </c>
      <c r="J639" s="2" t="s">
        <v>39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1"/>
      <c r="B640" s="1"/>
      <c r="C640" s="9">
        <v>44216</v>
      </c>
      <c r="D640" s="1" t="s">
        <v>2231</v>
      </c>
      <c r="E640" s="2" t="s">
        <v>2245</v>
      </c>
      <c r="F640" s="30"/>
      <c r="G640" s="1264"/>
      <c r="H640" s="30" t="s">
        <v>2067</v>
      </c>
      <c r="I640" s="39" t="s">
        <v>2246</v>
      </c>
      <c r="J640" s="2" t="s">
        <v>39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1"/>
      <c r="B641" s="1"/>
      <c r="C641" s="9">
        <v>44216</v>
      </c>
      <c r="D641" s="1" t="s">
        <v>2231</v>
      </c>
      <c r="E641" s="2" t="s">
        <v>2247</v>
      </c>
      <c r="F641" s="30"/>
      <c r="G641" s="1264"/>
      <c r="H641" s="30" t="s">
        <v>1810</v>
      </c>
      <c r="I641" s="39" t="s">
        <v>2248</v>
      </c>
      <c r="J641" s="2" t="s">
        <v>39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1"/>
      <c r="B642" s="1"/>
      <c r="C642" s="9">
        <v>44216</v>
      </c>
      <c r="D642" s="1" t="s">
        <v>2231</v>
      </c>
      <c r="E642" s="2" t="s">
        <v>1520</v>
      </c>
      <c r="F642" s="30"/>
      <c r="G642" s="1264"/>
      <c r="H642" s="30" t="s">
        <v>2071</v>
      </c>
      <c r="I642" s="39" t="s">
        <v>2249</v>
      </c>
      <c r="J642" s="2" t="s">
        <v>39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1"/>
      <c r="B643" s="1"/>
      <c r="C643" s="1"/>
      <c r="D643" s="17" t="s">
        <v>665</v>
      </c>
      <c r="E643" s="2" t="s">
        <v>2020</v>
      </c>
      <c r="F643" s="30"/>
      <c r="G643" s="1264"/>
      <c r="H643" s="30" t="s">
        <v>1307</v>
      </c>
      <c r="I643" s="39" t="s">
        <v>2250</v>
      </c>
      <c r="J643" s="2" t="s">
        <v>39</v>
      </c>
      <c r="K643" s="2" t="s">
        <v>2240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1"/>
      <c r="B644" s="1"/>
      <c r="C644" s="1"/>
      <c r="D644" s="17" t="s">
        <v>665</v>
      </c>
      <c r="E644" s="2" t="s">
        <v>2023</v>
      </c>
      <c r="F644" s="30"/>
      <c r="G644" s="1264"/>
      <c r="H644" s="30" t="s">
        <v>2024</v>
      </c>
      <c r="I644" s="39" t="s">
        <v>2251</v>
      </c>
      <c r="J644" s="2" t="s">
        <v>39</v>
      </c>
      <c r="K644" s="2" t="s">
        <v>2240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1"/>
      <c r="B645" s="1"/>
      <c r="C645" s="1"/>
      <c r="D645" s="17" t="s">
        <v>665</v>
      </c>
      <c r="E645" s="2" t="s">
        <v>2026</v>
      </c>
      <c r="F645" s="30"/>
      <c r="G645" s="1264"/>
      <c r="H645" s="30" t="s">
        <v>1816</v>
      </c>
      <c r="I645" s="39" t="s">
        <v>2252</v>
      </c>
      <c r="J645" s="2" t="s">
        <v>39</v>
      </c>
      <c r="K645" s="2" t="s">
        <v>2240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1"/>
      <c r="B646" s="1"/>
      <c r="C646" s="9">
        <v>44217</v>
      </c>
      <c r="D646" s="17" t="s">
        <v>209</v>
      </c>
      <c r="E646" s="2" t="s">
        <v>2253</v>
      </c>
      <c r="F646" s="30"/>
      <c r="G646" s="1264"/>
      <c r="H646" s="30" t="s">
        <v>1955</v>
      </c>
      <c r="I646" s="39" t="s">
        <v>2254</v>
      </c>
      <c r="J646" s="2" t="s">
        <v>507</v>
      </c>
      <c r="K646" s="2" t="s">
        <v>209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1"/>
      <c r="B647" s="1"/>
      <c r="C647" s="9">
        <v>44217</v>
      </c>
      <c r="D647" s="17" t="s">
        <v>209</v>
      </c>
      <c r="E647" s="2" t="s">
        <v>2255</v>
      </c>
      <c r="F647" s="30"/>
      <c r="G647" s="1264"/>
      <c r="H647" s="30" t="s">
        <v>2256</v>
      </c>
      <c r="I647" s="53" t="s">
        <v>2257</v>
      </c>
      <c r="J647" s="2" t="s">
        <v>507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1"/>
      <c r="B648" s="1"/>
      <c r="C648" s="9">
        <v>44217</v>
      </c>
      <c r="D648" s="17" t="s">
        <v>2258</v>
      </c>
      <c r="E648" s="2" t="s">
        <v>2259</v>
      </c>
      <c r="F648" s="30"/>
      <c r="G648" s="1264"/>
      <c r="H648" s="30" t="s">
        <v>1275</v>
      </c>
      <c r="I648" s="53" t="s">
        <v>2260</v>
      </c>
      <c r="J648" s="2" t="s">
        <v>39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1"/>
      <c r="B649" s="1"/>
      <c r="C649" s="9">
        <v>44217</v>
      </c>
      <c r="D649" s="17" t="s">
        <v>2261</v>
      </c>
      <c r="E649" s="2" t="s">
        <v>2262</v>
      </c>
      <c r="F649" s="30"/>
      <c r="G649" s="1264"/>
      <c r="H649" s="30" t="s">
        <v>1414</v>
      </c>
      <c r="I649" s="53" t="s">
        <v>2263</v>
      </c>
      <c r="J649" s="2" t="s">
        <v>507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1"/>
      <c r="B650" s="1"/>
      <c r="C650" s="9">
        <v>44217</v>
      </c>
      <c r="D650" s="17" t="s">
        <v>2264</v>
      </c>
      <c r="E650" s="2" t="s">
        <v>2265</v>
      </c>
      <c r="F650" s="30"/>
      <c r="G650" s="1264"/>
      <c r="H650" s="30" t="s">
        <v>1602</v>
      </c>
      <c r="I650" s="53" t="s">
        <v>2266</v>
      </c>
      <c r="J650" s="2" t="s">
        <v>39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1"/>
      <c r="B651" s="1"/>
      <c r="C651" s="9">
        <v>44218</v>
      </c>
      <c r="D651" s="17" t="s">
        <v>2267</v>
      </c>
      <c r="E651" s="2" t="s">
        <v>462</v>
      </c>
      <c r="F651" s="30"/>
      <c r="G651" s="1264"/>
      <c r="H651" s="30" t="s">
        <v>2268</v>
      </c>
      <c r="I651" s="53" t="s">
        <v>2269</v>
      </c>
      <c r="J651" s="2" t="s">
        <v>39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1"/>
      <c r="B652" s="1"/>
      <c r="C652" s="9">
        <v>44218</v>
      </c>
      <c r="D652" s="17" t="s">
        <v>2270</v>
      </c>
      <c r="E652" s="2" t="s">
        <v>2271</v>
      </c>
      <c r="F652" s="30"/>
      <c r="G652" s="1264"/>
      <c r="H652" s="30" t="s">
        <v>1602</v>
      </c>
      <c r="I652" s="53" t="s">
        <v>2272</v>
      </c>
      <c r="J652" s="2" t="s">
        <v>39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1"/>
      <c r="B653" s="1"/>
      <c r="C653" s="9">
        <v>44218</v>
      </c>
      <c r="D653" s="17" t="s">
        <v>2273</v>
      </c>
      <c r="E653" s="2" t="s">
        <v>1702</v>
      </c>
      <c r="F653" s="30"/>
      <c r="G653" s="1264"/>
      <c r="H653" s="30" t="s">
        <v>2274</v>
      </c>
      <c r="I653" s="53" t="s">
        <v>2275</v>
      </c>
      <c r="J653" s="2" t="s">
        <v>39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1"/>
      <c r="B654" s="1"/>
      <c r="C654" s="9">
        <v>44219</v>
      </c>
      <c r="D654" s="17" t="s">
        <v>2276</v>
      </c>
      <c r="E654" s="2" t="s">
        <v>2277</v>
      </c>
      <c r="F654" s="30"/>
      <c r="G654" s="1264"/>
      <c r="H654" s="30" t="s">
        <v>1392</v>
      </c>
      <c r="I654" s="39" t="s">
        <v>2278</v>
      </c>
      <c r="J654" s="2" t="s">
        <v>39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1"/>
      <c r="B655" s="1"/>
      <c r="C655" s="9">
        <v>44221</v>
      </c>
      <c r="D655" s="17" t="s">
        <v>2279</v>
      </c>
      <c r="E655" s="2" t="s">
        <v>2280</v>
      </c>
      <c r="F655" s="30"/>
      <c r="G655" s="1264"/>
      <c r="H655" s="30" t="s">
        <v>2268</v>
      </c>
      <c r="I655" s="51" t="s">
        <v>2281</v>
      </c>
      <c r="J655" s="2" t="s">
        <v>39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1"/>
      <c r="B656" s="1"/>
      <c r="C656" s="9">
        <v>44223</v>
      </c>
      <c r="D656" s="17" t="s">
        <v>2282</v>
      </c>
      <c r="E656" s="2" t="s">
        <v>2283</v>
      </c>
      <c r="F656" s="30"/>
      <c r="G656" s="1264"/>
      <c r="H656" s="30" t="s">
        <v>2284</v>
      </c>
      <c r="I656" s="53" t="s">
        <v>2285</v>
      </c>
      <c r="J656" s="2" t="s">
        <v>507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1"/>
      <c r="B657" s="1"/>
      <c r="C657" s="9">
        <v>44223</v>
      </c>
      <c r="D657" s="17" t="s">
        <v>2286</v>
      </c>
      <c r="E657" s="2" t="s">
        <v>2287</v>
      </c>
      <c r="F657" s="30"/>
      <c r="G657" s="1264"/>
      <c r="H657" s="30" t="s">
        <v>2109</v>
      </c>
      <c r="I657" s="39" t="s">
        <v>2288</v>
      </c>
      <c r="J657" s="2" t="s">
        <v>507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1"/>
      <c r="B658" s="1"/>
      <c r="C658" s="9">
        <v>44224</v>
      </c>
      <c r="D658" s="17" t="s">
        <v>859</v>
      </c>
      <c r="E658" s="2" t="s">
        <v>2289</v>
      </c>
      <c r="F658" s="30"/>
      <c r="G658" s="1264"/>
      <c r="H658" s="30" t="s">
        <v>2284</v>
      </c>
      <c r="I658" s="39" t="s">
        <v>2290</v>
      </c>
      <c r="J658" s="2" t="s">
        <v>507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1" t="s">
        <v>2291</v>
      </c>
      <c r="B659" s="1"/>
      <c r="C659" s="9">
        <v>44224</v>
      </c>
      <c r="D659" s="17"/>
      <c r="E659" s="2" t="s">
        <v>2292</v>
      </c>
      <c r="F659" s="30"/>
      <c r="G659" s="1264"/>
      <c r="H659" s="30" t="s">
        <v>1392</v>
      </c>
      <c r="I659" s="39" t="s">
        <v>2293</v>
      </c>
      <c r="J659" s="2" t="s">
        <v>507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1"/>
      <c r="B660" s="1"/>
      <c r="C660" s="9">
        <v>44224</v>
      </c>
      <c r="D660" s="17" t="s">
        <v>962</v>
      </c>
      <c r="E660" s="2" t="s">
        <v>2294</v>
      </c>
      <c r="F660" s="30"/>
      <c r="G660" s="1264"/>
      <c r="H660" s="30" t="s">
        <v>1392</v>
      </c>
      <c r="I660" s="39" t="s">
        <v>2295</v>
      </c>
      <c r="J660" s="2" t="s">
        <v>39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1"/>
      <c r="B661" s="1"/>
      <c r="C661" s="9">
        <v>44226</v>
      </c>
      <c r="D661" s="17" t="s">
        <v>859</v>
      </c>
      <c r="E661" s="2" t="s">
        <v>2296</v>
      </c>
      <c r="F661" s="30"/>
      <c r="G661" s="1264"/>
      <c r="H661" s="30"/>
      <c r="I661" s="51" t="s">
        <v>2297</v>
      </c>
      <c r="J661" s="2" t="s">
        <v>92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1"/>
      <c r="B662" s="1"/>
      <c r="C662" s="9">
        <v>44228</v>
      </c>
      <c r="D662" s="17" t="s">
        <v>2298</v>
      </c>
      <c r="E662" s="2" t="s">
        <v>2299</v>
      </c>
      <c r="F662" s="30"/>
      <c r="G662" s="1264"/>
      <c r="H662" s="30" t="s">
        <v>1219</v>
      </c>
      <c r="I662" s="2" t="s">
        <v>2300</v>
      </c>
      <c r="J662" s="2" t="s">
        <v>507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1"/>
      <c r="B663" s="1"/>
      <c r="C663" s="9">
        <v>44229</v>
      </c>
      <c r="D663" s="17" t="s">
        <v>2301</v>
      </c>
      <c r="E663" s="2" t="s">
        <v>2302</v>
      </c>
      <c r="F663" s="30"/>
      <c r="G663" s="1264"/>
      <c r="H663" s="30" t="s">
        <v>1473</v>
      </c>
      <c r="I663" s="51" t="s">
        <v>2303</v>
      </c>
      <c r="J663" s="2" t="s">
        <v>507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1"/>
      <c r="B664" s="1"/>
      <c r="C664" s="1"/>
      <c r="D664" s="17" t="s">
        <v>2304</v>
      </c>
      <c r="E664" s="2" t="s">
        <v>2305</v>
      </c>
      <c r="F664" s="1"/>
      <c r="G664" s="1269"/>
      <c r="H664" s="1" t="s">
        <v>1392</v>
      </c>
      <c r="I664" s="51" t="s">
        <v>2306</v>
      </c>
      <c r="J664" s="2" t="s">
        <v>39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1"/>
      <c r="B665" s="1"/>
      <c r="C665" s="9">
        <v>44230</v>
      </c>
      <c r="D665" s="17" t="s">
        <v>2307</v>
      </c>
      <c r="E665" s="2" t="s">
        <v>2308</v>
      </c>
      <c r="F665" s="30"/>
      <c r="G665" s="1264"/>
      <c r="H665" s="30" t="s">
        <v>1392</v>
      </c>
      <c r="I665" s="51" t="s">
        <v>2309</v>
      </c>
      <c r="J665" s="2" t="s">
        <v>507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1"/>
      <c r="B666" s="1"/>
      <c r="C666" s="9">
        <v>44230</v>
      </c>
      <c r="D666" s="17" t="s">
        <v>2286</v>
      </c>
      <c r="E666" s="2" t="s">
        <v>2310</v>
      </c>
      <c r="F666" s="30"/>
      <c r="G666" s="1264"/>
      <c r="H666" s="30" t="s">
        <v>1392</v>
      </c>
      <c r="I666" s="51" t="s">
        <v>2311</v>
      </c>
      <c r="J666" s="2" t="s">
        <v>507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1"/>
      <c r="B667" s="1"/>
      <c r="C667" s="9">
        <v>44231</v>
      </c>
      <c r="D667" s="17" t="s">
        <v>2312</v>
      </c>
      <c r="E667" s="2" t="s">
        <v>2313</v>
      </c>
      <c r="F667" s="30"/>
      <c r="G667" s="1264"/>
      <c r="H667" s="30" t="s">
        <v>2018</v>
      </c>
      <c r="I667" s="39" t="s">
        <v>2314</v>
      </c>
      <c r="J667" s="2" t="s">
        <v>39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1" t="s">
        <v>1523</v>
      </c>
      <c r="B668" s="1"/>
      <c r="C668" s="9">
        <v>44232</v>
      </c>
      <c r="D668" s="17" t="s">
        <v>859</v>
      </c>
      <c r="E668" s="2" t="s">
        <v>2232</v>
      </c>
      <c r="F668" s="30"/>
      <c r="G668" s="1264"/>
      <c r="H668" s="30" t="s">
        <v>1347</v>
      </c>
      <c r="I668" s="39" t="s">
        <v>2315</v>
      </c>
      <c r="J668" s="2" t="s">
        <v>39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1" t="s">
        <v>1523</v>
      </c>
      <c r="B669" s="1"/>
      <c r="C669" s="9">
        <v>44232</v>
      </c>
      <c r="D669" s="17" t="s">
        <v>859</v>
      </c>
      <c r="E669" s="2" t="s">
        <v>2296</v>
      </c>
      <c r="F669" s="30"/>
      <c r="G669" s="1264"/>
      <c r="H669" s="30" t="s">
        <v>1591</v>
      </c>
      <c r="I669" s="39" t="s">
        <v>2316</v>
      </c>
      <c r="J669" s="2" t="s">
        <v>39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1"/>
      <c r="B670" s="1"/>
      <c r="C670" s="9">
        <v>44232</v>
      </c>
      <c r="D670" s="17" t="s">
        <v>209</v>
      </c>
      <c r="E670" s="2" t="s">
        <v>1997</v>
      </c>
      <c r="F670" s="30"/>
      <c r="G670" s="1264"/>
      <c r="H670" s="30" t="s">
        <v>1219</v>
      </c>
      <c r="I670" s="39" t="s">
        <v>2317</v>
      </c>
      <c r="J670" s="2" t="s">
        <v>2318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1"/>
      <c r="B671" s="1"/>
      <c r="C671" s="9">
        <v>44232</v>
      </c>
      <c r="D671" s="17" t="s">
        <v>209</v>
      </c>
      <c r="E671" s="2" t="s">
        <v>2319</v>
      </c>
      <c r="F671" s="30"/>
      <c r="G671" s="1264"/>
      <c r="H671" s="30" t="s">
        <v>1873</v>
      </c>
      <c r="I671" s="51" t="s">
        <v>2320</v>
      </c>
      <c r="J671" s="2" t="s">
        <v>2318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1"/>
      <c r="B672" s="1"/>
      <c r="C672" s="9">
        <v>44233</v>
      </c>
      <c r="D672" s="17" t="s">
        <v>859</v>
      </c>
      <c r="E672" s="2" t="s">
        <v>2289</v>
      </c>
      <c r="F672" s="30"/>
      <c r="G672" s="1264"/>
      <c r="H672" s="30" t="s">
        <v>2284</v>
      </c>
      <c r="I672" s="51" t="s">
        <v>2321</v>
      </c>
      <c r="J672" s="2" t="s">
        <v>39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1"/>
      <c r="B673" s="1"/>
      <c r="C673" s="9">
        <v>44235</v>
      </c>
      <c r="D673" s="17" t="s">
        <v>2322</v>
      </c>
      <c r="E673" s="2" t="s">
        <v>2323</v>
      </c>
      <c r="F673" s="30"/>
      <c r="G673" s="1264"/>
      <c r="H673" s="30" t="s">
        <v>2109</v>
      </c>
      <c r="I673" s="39" t="s">
        <v>2324</v>
      </c>
      <c r="J673" s="2" t="s">
        <v>507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1"/>
      <c r="B674" s="1"/>
      <c r="C674" s="9">
        <v>44235</v>
      </c>
      <c r="D674" s="17" t="s">
        <v>2325</v>
      </c>
      <c r="E674" s="39" t="s">
        <v>2326</v>
      </c>
      <c r="F674" s="30"/>
      <c r="G674" s="1264"/>
      <c r="H674" s="30" t="s">
        <v>1392</v>
      </c>
      <c r="I674" s="39" t="s">
        <v>2327</v>
      </c>
      <c r="J674" s="2" t="s">
        <v>39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1"/>
      <c r="B675" s="1"/>
      <c r="C675" s="9">
        <v>44235</v>
      </c>
      <c r="D675" s="17" t="s">
        <v>2286</v>
      </c>
      <c r="E675" s="2" t="s">
        <v>2328</v>
      </c>
      <c r="F675" s="30"/>
      <c r="G675" s="1264"/>
      <c r="H675" s="30" t="s">
        <v>1392</v>
      </c>
      <c r="I675" s="39" t="s">
        <v>2329</v>
      </c>
      <c r="J675" s="2" t="s">
        <v>507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1"/>
      <c r="B676" s="1"/>
      <c r="C676" s="9">
        <v>44235</v>
      </c>
      <c r="D676" s="17" t="s">
        <v>2286</v>
      </c>
      <c r="E676" s="2" t="s">
        <v>1370</v>
      </c>
      <c r="F676" s="30" t="s">
        <v>9170</v>
      </c>
      <c r="G676" s="1264"/>
      <c r="H676" s="30" t="s">
        <v>2330</v>
      </c>
      <c r="I676" s="39" t="s">
        <v>2331</v>
      </c>
      <c r="J676" s="2" t="s">
        <v>507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1"/>
      <c r="B677" s="1"/>
      <c r="C677" s="9">
        <v>44235</v>
      </c>
      <c r="D677" s="17" t="s">
        <v>2332</v>
      </c>
      <c r="E677" s="2" t="s">
        <v>2333</v>
      </c>
      <c r="F677" s="30"/>
      <c r="G677" s="1264"/>
      <c r="H677" s="30" t="s">
        <v>1227</v>
      </c>
      <c r="I677" s="39" t="s">
        <v>2334</v>
      </c>
      <c r="J677" s="2" t="s">
        <v>507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1"/>
      <c r="B678" s="1"/>
      <c r="C678" s="9">
        <v>44235</v>
      </c>
      <c r="D678" s="17" t="s">
        <v>2332</v>
      </c>
      <c r="E678" s="2" t="s">
        <v>2335</v>
      </c>
      <c r="F678" s="30"/>
      <c r="G678" s="1264"/>
      <c r="H678" s="30" t="s">
        <v>2336</v>
      </c>
      <c r="I678" s="39" t="s">
        <v>2337</v>
      </c>
      <c r="J678" s="2" t="s">
        <v>507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1"/>
      <c r="B679" s="1"/>
      <c r="C679" s="9">
        <v>44235</v>
      </c>
      <c r="D679" s="17" t="s">
        <v>2338</v>
      </c>
      <c r="E679" s="2" t="s">
        <v>2339</v>
      </c>
      <c r="F679" s="30"/>
      <c r="G679" s="1264"/>
      <c r="H679" s="30" t="s">
        <v>2336</v>
      </c>
      <c r="I679" s="39" t="s">
        <v>2340</v>
      </c>
      <c r="J679" s="2" t="s">
        <v>507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1"/>
      <c r="B680" s="1"/>
      <c r="C680" s="9">
        <v>44239</v>
      </c>
      <c r="D680" s="17" t="s">
        <v>2341</v>
      </c>
      <c r="E680" s="2" t="s">
        <v>2342</v>
      </c>
      <c r="F680" s="30"/>
      <c r="G680" s="1264"/>
      <c r="H680" s="30" t="s">
        <v>1473</v>
      </c>
      <c r="I680" s="51" t="s">
        <v>2343</v>
      </c>
      <c r="J680" s="2" t="s">
        <v>39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1"/>
      <c r="B681" s="1"/>
      <c r="C681" s="9">
        <v>44240</v>
      </c>
      <c r="D681" s="17" t="s">
        <v>2344</v>
      </c>
      <c r="E681" s="2" t="s">
        <v>453</v>
      </c>
      <c r="F681" s="30"/>
      <c r="G681" s="1264"/>
      <c r="H681" s="30" t="s">
        <v>2134</v>
      </c>
      <c r="I681" s="2" t="s">
        <v>2345</v>
      </c>
      <c r="J681" s="2" t="s">
        <v>39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1"/>
      <c r="B682" s="1"/>
      <c r="C682" s="9">
        <v>44241</v>
      </c>
      <c r="D682" s="17" t="s">
        <v>2346</v>
      </c>
      <c r="E682" s="2" t="s">
        <v>2347</v>
      </c>
      <c r="F682" s="30"/>
      <c r="G682" s="1264"/>
      <c r="H682" s="30" t="s">
        <v>2134</v>
      </c>
      <c r="I682" s="39" t="s">
        <v>2348</v>
      </c>
      <c r="J682" s="2" t="s">
        <v>507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1"/>
      <c r="B683" s="1"/>
      <c r="C683" s="1"/>
      <c r="D683" s="17" t="s">
        <v>2346</v>
      </c>
      <c r="E683" s="2" t="s">
        <v>2349</v>
      </c>
      <c r="F683" s="30"/>
      <c r="G683" s="1264"/>
      <c r="H683" s="30" t="s">
        <v>2134</v>
      </c>
      <c r="I683" s="39" t="s">
        <v>2350</v>
      </c>
      <c r="J683" s="2" t="s">
        <v>507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1"/>
      <c r="B684" s="1"/>
      <c r="C684" s="1"/>
      <c r="D684" s="17"/>
      <c r="E684" s="2" t="s">
        <v>993</v>
      </c>
      <c r="F684" s="30"/>
      <c r="G684" s="1264"/>
      <c r="H684" s="30" t="s">
        <v>1955</v>
      </c>
      <c r="I684" s="39" t="s">
        <v>2351</v>
      </c>
      <c r="J684" s="2" t="s">
        <v>39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1"/>
      <c r="B685" s="1"/>
      <c r="C685" s="1"/>
      <c r="D685" s="17" t="s">
        <v>2352</v>
      </c>
      <c r="E685" s="2" t="s">
        <v>2353</v>
      </c>
      <c r="F685" s="30"/>
      <c r="G685" s="1264"/>
      <c r="H685" s="30" t="s">
        <v>2354</v>
      </c>
      <c r="I685" s="39" t="s">
        <v>2355</v>
      </c>
      <c r="J685" s="2" t="s">
        <v>507</v>
      </c>
      <c r="K685" s="2" t="s">
        <v>2356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1"/>
      <c r="B686" s="1"/>
      <c r="C686" s="9">
        <v>44246</v>
      </c>
      <c r="D686" s="17" t="s">
        <v>2357</v>
      </c>
      <c r="E686" s="2" t="s">
        <v>2358</v>
      </c>
      <c r="F686" s="30"/>
      <c r="G686" s="1264"/>
      <c r="H686" s="30" t="s">
        <v>1473</v>
      </c>
      <c r="I686" s="51" t="s">
        <v>2359</v>
      </c>
      <c r="J686" s="2" t="s">
        <v>507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1"/>
      <c r="B687" s="1"/>
      <c r="C687" s="9">
        <v>44246</v>
      </c>
      <c r="D687" s="17" t="s">
        <v>1793</v>
      </c>
      <c r="E687" s="2" t="s">
        <v>1794</v>
      </c>
      <c r="F687" s="30"/>
      <c r="G687" s="1264"/>
      <c r="H687" s="30" t="s">
        <v>1473</v>
      </c>
      <c r="I687" s="39" t="s">
        <v>2360</v>
      </c>
      <c r="J687" s="2" t="s">
        <v>507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1"/>
      <c r="B688" s="1"/>
      <c r="C688" s="9">
        <v>44219</v>
      </c>
      <c r="D688" s="17" t="s">
        <v>2361</v>
      </c>
      <c r="E688" s="2" t="s">
        <v>2362</v>
      </c>
      <c r="F688" s="30"/>
      <c r="G688" s="1264"/>
      <c r="H688" s="30" t="s">
        <v>1347</v>
      </c>
      <c r="I688" s="39" t="s">
        <v>2363</v>
      </c>
      <c r="J688" s="2" t="s">
        <v>507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1"/>
      <c r="B689" s="1" t="s">
        <v>2364</v>
      </c>
      <c r="C689" s="9">
        <v>44254</v>
      </c>
      <c r="D689" s="17" t="s">
        <v>2183</v>
      </c>
      <c r="E689" s="2" t="s">
        <v>2365</v>
      </c>
      <c r="F689" s="30"/>
      <c r="G689" s="1264"/>
      <c r="H689" s="30" t="s">
        <v>2366</v>
      </c>
      <c r="I689" s="39" t="s">
        <v>2367</v>
      </c>
      <c r="J689" s="2" t="s">
        <v>507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1"/>
      <c r="B690" s="1"/>
      <c r="C690" s="9">
        <v>44254</v>
      </c>
      <c r="D690" s="17" t="s">
        <v>2368</v>
      </c>
      <c r="E690" s="2" t="s">
        <v>2369</v>
      </c>
      <c r="F690" s="30"/>
      <c r="G690" s="1264"/>
      <c r="H690" s="30" t="s">
        <v>1392</v>
      </c>
      <c r="I690" s="39" t="s">
        <v>2370</v>
      </c>
      <c r="J690" s="2" t="s">
        <v>507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1"/>
      <c r="B691" s="1"/>
      <c r="C691" s="9">
        <v>44257</v>
      </c>
      <c r="D691" s="17" t="s">
        <v>2371</v>
      </c>
      <c r="E691" s="2" t="s">
        <v>2372</v>
      </c>
      <c r="F691" s="30"/>
      <c r="G691" s="1264"/>
      <c r="H691" s="30" t="s">
        <v>1473</v>
      </c>
      <c r="I691" s="51" t="s">
        <v>2373</v>
      </c>
      <c r="J691" s="2" t="s">
        <v>39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1"/>
      <c r="B692" s="1"/>
      <c r="C692" s="9">
        <v>44259</v>
      </c>
      <c r="D692" s="17" t="s">
        <v>2374</v>
      </c>
      <c r="E692" s="2" t="s">
        <v>2375</v>
      </c>
      <c r="F692" s="30"/>
      <c r="G692" s="1264"/>
      <c r="H692" s="30" t="s">
        <v>1873</v>
      </c>
      <c r="I692" s="39" t="s">
        <v>2376</v>
      </c>
      <c r="J692" s="2" t="s">
        <v>39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1"/>
      <c r="B693" s="1"/>
      <c r="C693" s="9">
        <v>44259</v>
      </c>
      <c r="D693" s="17" t="s">
        <v>2377</v>
      </c>
      <c r="E693" s="2" t="s">
        <v>2378</v>
      </c>
      <c r="F693" s="30"/>
      <c r="G693" s="1264"/>
      <c r="H693" s="30" t="s">
        <v>2379</v>
      </c>
      <c r="I693" s="39" t="s">
        <v>2380</v>
      </c>
      <c r="J693" s="2" t="s">
        <v>77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1"/>
      <c r="B694" s="1"/>
      <c r="C694" s="24">
        <v>44264</v>
      </c>
      <c r="D694" s="16" t="s">
        <v>2381</v>
      </c>
      <c r="E694" s="11" t="s">
        <v>2382</v>
      </c>
      <c r="F694" s="38"/>
      <c r="G694" s="1266"/>
      <c r="H694" s="38" t="s">
        <v>1392</v>
      </c>
      <c r="I694" s="41" t="s">
        <v>2383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1"/>
      <c r="B695" s="1"/>
      <c r="C695" s="9">
        <v>44264</v>
      </c>
      <c r="D695" s="17" t="s">
        <v>2384</v>
      </c>
      <c r="E695" s="2" t="s">
        <v>2385</v>
      </c>
      <c r="F695" s="30"/>
      <c r="G695" s="1264"/>
      <c r="H695" s="30" t="s">
        <v>1392</v>
      </c>
      <c r="I695" s="51" t="s">
        <v>2386</v>
      </c>
      <c r="J695" s="2" t="s">
        <v>39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1"/>
      <c r="B696" s="1"/>
      <c r="C696" s="9">
        <v>44264</v>
      </c>
      <c r="D696" s="17" t="s">
        <v>2387</v>
      </c>
      <c r="E696" s="2" t="s">
        <v>2388</v>
      </c>
      <c r="F696" s="30"/>
      <c r="G696" s="1264"/>
      <c r="H696" s="30" t="s">
        <v>2389</v>
      </c>
      <c r="I696" s="39" t="s">
        <v>2390</v>
      </c>
      <c r="J696" s="2" t="s">
        <v>507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1"/>
      <c r="B697" s="1"/>
      <c r="C697" s="1"/>
      <c r="D697" s="17" t="s">
        <v>2377</v>
      </c>
      <c r="E697" s="2" t="s">
        <v>2378</v>
      </c>
      <c r="F697" s="30"/>
      <c r="G697" s="1264"/>
      <c r="H697" s="30" t="s">
        <v>2379</v>
      </c>
      <c r="I697" s="39" t="s">
        <v>2391</v>
      </c>
      <c r="J697" s="2" t="s">
        <v>92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1"/>
      <c r="B698" s="1"/>
      <c r="C698" s="9">
        <v>44265</v>
      </c>
      <c r="D698" s="17" t="s">
        <v>2392</v>
      </c>
      <c r="E698" s="2" t="s">
        <v>2393</v>
      </c>
      <c r="F698" s="30"/>
      <c r="G698" s="1264"/>
      <c r="H698" s="30" t="s">
        <v>1473</v>
      </c>
      <c r="I698" s="39" t="s">
        <v>2394</v>
      </c>
      <c r="J698" s="2" t="s">
        <v>39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1"/>
      <c r="B699" s="1"/>
      <c r="C699" s="9">
        <v>44266</v>
      </c>
      <c r="D699" s="17" t="s">
        <v>2395</v>
      </c>
      <c r="E699" s="2" t="s">
        <v>2396</v>
      </c>
      <c r="F699" s="30"/>
      <c r="G699" s="1264"/>
      <c r="H699" s="30" t="s">
        <v>2284</v>
      </c>
      <c r="I699" s="51" t="s">
        <v>2397</v>
      </c>
      <c r="J699" s="2" t="s">
        <v>39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1"/>
      <c r="B700" s="1"/>
      <c r="C700" s="9">
        <v>44266</v>
      </c>
      <c r="D700" s="17" t="s">
        <v>2398</v>
      </c>
      <c r="E700" s="2" t="s">
        <v>2399</v>
      </c>
      <c r="F700" s="30"/>
      <c r="G700" s="1264"/>
      <c r="H700" s="30" t="s">
        <v>2366</v>
      </c>
      <c r="I700" s="39" t="s">
        <v>2400</v>
      </c>
      <c r="J700" s="2" t="s">
        <v>2401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1"/>
      <c r="B701" s="1"/>
      <c r="C701" s="9">
        <v>44268</v>
      </c>
      <c r="D701" s="17" t="s">
        <v>2377</v>
      </c>
      <c r="E701" s="2" t="s">
        <v>2378</v>
      </c>
      <c r="F701" s="30"/>
      <c r="G701" s="1264"/>
      <c r="H701" s="30" t="s">
        <v>2379</v>
      </c>
      <c r="I701" s="51" t="s">
        <v>2402</v>
      </c>
      <c r="J701" s="2" t="s">
        <v>92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1"/>
      <c r="B702" s="1"/>
      <c r="C702" s="9">
        <v>44268</v>
      </c>
      <c r="D702" s="17" t="s">
        <v>2403</v>
      </c>
      <c r="E702" s="2" t="s">
        <v>2404</v>
      </c>
      <c r="F702" s="30"/>
      <c r="G702" s="1264"/>
      <c r="H702" s="30" t="s">
        <v>1473</v>
      </c>
      <c r="I702" s="51" t="s">
        <v>2405</v>
      </c>
      <c r="J702" s="2" t="s">
        <v>39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1"/>
      <c r="B703" s="1"/>
      <c r="C703" s="9">
        <v>44268</v>
      </c>
      <c r="D703" s="17" t="s">
        <v>2406</v>
      </c>
      <c r="E703" s="2" t="s">
        <v>593</v>
      </c>
      <c r="F703" s="30"/>
      <c r="G703" s="1264"/>
      <c r="H703" s="30" t="s">
        <v>1473</v>
      </c>
      <c r="I703" s="51" t="s">
        <v>2407</v>
      </c>
      <c r="J703" s="2" t="s">
        <v>39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1"/>
      <c r="B704" s="1"/>
      <c r="C704" s="9">
        <v>44268</v>
      </c>
      <c r="D704" s="17" t="s">
        <v>2408</v>
      </c>
      <c r="E704" s="2" t="s">
        <v>2409</v>
      </c>
      <c r="F704" s="30"/>
      <c r="G704" s="1264"/>
      <c r="H704" s="30" t="s">
        <v>1478</v>
      </c>
      <c r="I704" s="51" t="s">
        <v>2410</v>
      </c>
      <c r="J704" s="2" t="s">
        <v>39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1"/>
      <c r="B705" s="1"/>
      <c r="C705" s="9">
        <v>44270</v>
      </c>
      <c r="D705" s="17" t="s">
        <v>2411</v>
      </c>
      <c r="E705" s="2" t="s">
        <v>2412</v>
      </c>
      <c r="F705" s="30"/>
      <c r="G705" s="1264"/>
      <c r="H705" s="30" t="s">
        <v>1873</v>
      </c>
      <c r="I705" s="51" t="s">
        <v>2413</v>
      </c>
      <c r="J705" s="2" t="s">
        <v>39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1"/>
      <c r="B706" s="1"/>
      <c r="C706" s="9">
        <v>44271</v>
      </c>
      <c r="D706" s="17" t="s">
        <v>2414</v>
      </c>
      <c r="E706" s="2" t="s">
        <v>2415</v>
      </c>
      <c r="F706" s="30"/>
      <c r="G706" s="1264"/>
      <c r="H706" s="30" t="s">
        <v>1392</v>
      </c>
      <c r="I706" s="51" t="s">
        <v>2416</v>
      </c>
      <c r="J706" s="2" t="s">
        <v>39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1"/>
      <c r="B707" s="1"/>
      <c r="C707" s="9">
        <v>44272</v>
      </c>
      <c r="D707" s="17"/>
      <c r="E707" s="51" t="s">
        <v>2417</v>
      </c>
      <c r="F707" s="30"/>
      <c r="G707" s="1264"/>
      <c r="H707" s="30" t="s">
        <v>1392</v>
      </c>
      <c r="I707" s="51" t="s">
        <v>2418</v>
      </c>
      <c r="J707" s="2" t="s">
        <v>39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1"/>
      <c r="B708" s="1"/>
      <c r="C708" s="9">
        <v>44276</v>
      </c>
      <c r="D708" s="17" t="s">
        <v>2419</v>
      </c>
      <c r="E708" s="2" t="s">
        <v>2420</v>
      </c>
      <c r="F708" s="30"/>
      <c r="G708" s="1264"/>
      <c r="H708" s="30" t="s">
        <v>1392</v>
      </c>
      <c r="I708" s="39" t="s">
        <v>2421</v>
      </c>
      <c r="J708" s="2" t="s">
        <v>39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1"/>
      <c r="B709" s="1"/>
      <c r="C709" s="9">
        <v>44276</v>
      </c>
      <c r="D709" s="17" t="s">
        <v>2422</v>
      </c>
      <c r="E709" s="2" t="s">
        <v>2423</v>
      </c>
      <c r="F709" s="30"/>
      <c r="G709" s="1264"/>
      <c r="H709" s="30" t="s">
        <v>1275</v>
      </c>
      <c r="I709" s="39" t="s">
        <v>2424</v>
      </c>
      <c r="J709" s="2" t="s">
        <v>39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1"/>
      <c r="B710" s="1"/>
      <c r="C710" s="9">
        <v>44278</v>
      </c>
      <c r="D710" s="17" t="s">
        <v>2425</v>
      </c>
      <c r="E710" s="2" t="s">
        <v>2426</v>
      </c>
      <c r="F710" s="30"/>
      <c r="G710" s="1264"/>
      <c r="H710" s="30" t="s">
        <v>2427</v>
      </c>
      <c r="I710" s="39" t="s">
        <v>2428</v>
      </c>
      <c r="J710" s="2" t="s">
        <v>39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1"/>
      <c r="B711" s="1"/>
      <c r="C711" s="9">
        <v>44278</v>
      </c>
      <c r="D711" s="17" t="s">
        <v>2377</v>
      </c>
      <c r="E711" s="2" t="s">
        <v>2378</v>
      </c>
      <c r="F711" s="30"/>
      <c r="G711" s="1264"/>
      <c r="H711" s="30" t="s">
        <v>2379</v>
      </c>
      <c r="I711" s="51" t="s">
        <v>2429</v>
      </c>
      <c r="J711" s="2" t="s">
        <v>39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1"/>
      <c r="B712" s="1"/>
      <c r="C712" s="9">
        <v>44278</v>
      </c>
      <c r="D712" s="16" t="s">
        <v>2381</v>
      </c>
      <c r="E712" s="11" t="s">
        <v>2382</v>
      </c>
      <c r="F712" s="38"/>
      <c r="G712" s="1266"/>
      <c r="H712" s="30" t="s">
        <v>1392</v>
      </c>
      <c r="I712" s="51" t="s">
        <v>2430</v>
      </c>
      <c r="J712" s="2" t="s">
        <v>39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1"/>
      <c r="B713" s="1"/>
      <c r="C713" s="9">
        <v>44279</v>
      </c>
      <c r="D713" s="17" t="s">
        <v>1746</v>
      </c>
      <c r="E713" s="2" t="s">
        <v>1747</v>
      </c>
      <c r="F713" s="30"/>
      <c r="G713" s="1264"/>
      <c r="H713" s="30" t="s">
        <v>1392</v>
      </c>
      <c r="I713" s="51" t="s">
        <v>2431</v>
      </c>
      <c r="J713" s="2" t="s">
        <v>507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1"/>
      <c r="B714" s="1"/>
      <c r="C714" s="9">
        <v>44282</v>
      </c>
      <c r="D714" s="17" t="s">
        <v>2432</v>
      </c>
      <c r="E714" s="2" t="s">
        <v>2433</v>
      </c>
      <c r="F714" s="30"/>
      <c r="G714" s="1264"/>
      <c r="H714" s="30" t="s">
        <v>1961</v>
      </c>
      <c r="I714" s="39" t="s">
        <v>2434</v>
      </c>
      <c r="J714" s="2" t="s">
        <v>507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1"/>
      <c r="B715" s="1"/>
      <c r="C715" s="1"/>
      <c r="D715" s="17" t="s">
        <v>2377</v>
      </c>
      <c r="E715" s="2" t="s">
        <v>2435</v>
      </c>
      <c r="F715" s="30"/>
      <c r="G715" s="1264"/>
      <c r="H715" s="30" t="s">
        <v>1383</v>
      </c>
      <c r="I715" s="2" t="s">
        <v>2429</v>
      </c>
      <c r="J715" s="2" t="s">
        <v>77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1"/>
      <c r="B716" s="1"/>
      <c r="C716" s="9">
        <v>44286</v>
      </c>
      <c r="D716" s="17"/>
      <c r="E716" s="2" t="s">
        <v>2369</v>
      </c>
      <c r="F716" s="30"/>
      <c r="G716" s="1264"/>
      <c r="H716" s="30" t="s">
        <v>1383</v>
      </c>
      <c r="I716" s="39" t="s">
        <v>2436</v>
      </c>
      <c r="J716" s="2" t="s">
        <v>39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1"/>
      <c r="B717" s="1"/>
      <c r="C717" s="9">
        <v>44290</v>
      </c>
      <c r="D717" s="17" t="s">
        <v>1408</v>
      </c>
      <c r="E717" s="2" t="s">
        <v>1180</v>
      </c>
      <c r="F717" s="30"/>
      <c r="G717" s="1264"/>
      <c r="H717" s="30" t="s">
        <v>2134</v>
      </c>
      <c r="I717" s="39" t="s">
        <v>2437</v>
      </c>
      <c r="J717" s="2" t="s">
        <v>507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1"/>
      <c r="B718" s="1"/>
      <c r="C718" s="9">
        <v>44290</v>
      </c>
      <c r="D718" s="17" t="s">
        <v>2438</v>
      </c>
      <c r="E718" s="2" t="s">
        <v>2439</v>
      </c>
      <c r="F718" s="30"/>
      <c r="G718" s="1264"/>
      <c r="H718" s="30" t="s">
        <v>1392</v>
      </c>
      <c r="I718" s="39" t="s">
        <v>2440</v>
      </c>
      <c r="J718" s="2" t="s">
        <v>2318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1"/>
      <c r="B719" s="1"/>
      <c r="C719" s="9">
        <v>44295</v>
      </c>
      <c r="D719" s="17" t="s">
        <v>2441</v>
      </c>
      <c r="E719" s="51" t="s">
        <v>2442</v>
      </c>
      <c r="F719" s="30"/>
      <c r="G719" s="1264"/>
      <c r="H719" s="30" t="s">
        <v>1392</v>
      </c>
      <c r="I719" s="39" t="s">
        <v>2443</v>
      </c>
      <c r="J719" s="2" t="s">
        <v>2318</v>
      </c>
      <c r="K719" s="2" t="s">
        <v>2444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1"/>
      <c r="B720" s="1"/>
      <c r="C720" s="9">
        <v>44295</v>
      </c>
      <c r="D720" s="17" t="s">
        <v>2445</v>
      </c>
      <c r="E720" s="2" t="s">
        <v>2446</v>
      </c>
      <c r="F720" s="30">
        <v>19</v>
      </c>
      <c r="G720" s="1264"/>
      <c r="H720" s="30" t="s">
        <v>2018</v>
      </c>
      <c r="I720" s="51" t="s">
        <v>2447</v>
      </c>
      <c r="J720" s="2" t="s">
        <v>507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1"/>
      <c r="B721" s="1"/>
      <c r="C721" s="9">
        <v>44299</v>
      </c>
      <c r="D721" s="17"/>
      <c r="E721" s="2" t="s">
        <v>2448</v>
      </c>
      <c r="F721" s="30"/>
      <c r="G721" s="1264"/>
      <c r="H721" s="30" t="s">
        <v>1392</v>
      </c>
      <c r="I721" s="39" t="s">
        <v>2449</v>
      </c>
      <c r="J721" s="2" t="s">
        <v>39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1"/>
      <c r="B722" s="1"/>
      <c r="C722" s="9">
        <v>44303</v>
      </c>
      <c r="D722" s="17" t="s">
        <v>2450</v>
      </c>
      <c r="E722" s="2" t="s">
        <v>2451</v>
      </c>
      <c r="F722" s="30"/>
      <c r="G722" s="1264"/>
      <c r="H722" s="30" t="s">
        <v>1473</v>
      </c>
      <c r="I722" s="39" t="s">
        <v>2452</v>
      </c>
      <c r="J722" s="2" t="s">
        <v>507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1"/>
      <c r="B723" s="1"/>
      <c r="C723" s="9">
        <v>44311</v>
      </c>
      <c r="D723" s="17" t="s">
        <v>2374</v>
      </c>
      <c r="E723" s="2" t="s">
        <v>2453</v>
      </c>
      <c r="F723" s="30"/>
      <c r="G723" s="1264"/>
      <c r="H723" s="30" t="s">
        <v>1602</v>
      </c>
      <c r="I723" s="39" t="s">
        <v>2454</v>
      </c>
      <c r="J723" s="2" t="s">
        <v>39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1"/>
      <c r="B724" s="1"/>
      <c r="C724" s="1"/>
      <c r="D724" s="17"/>
      <c r="E724" s="2" t="s">
        <v>242</v>
      </c>
      <c r="F724" s="30"/>
      <c r="G724" s="1264"/>
      <c r="H724" s="30" t="s">
        <v>516</v>
      </c>
      <c r="I724" s="39" t="s">
        <v>2455</v>
      </c>
      <c r="J724" s="2" t="s">
        <v>39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1"/>
      <c r="B725" s="1"/>
      <c r="C725" s="9">
        <v>44352</v>
      </c>
      <c r="D725" s="17" t="s">
        <v>2456</v>
      </c>
      <c r="E725" s="2" t="s">
        <v>2457</v>
      </c>
      <c r="F725" s="30"/>
      <c r="G725" s="1264"/>
      <c r="H725" s="30" t="s">
        <v>2458</v>
      </c>
      <c r="I725" s="39" t="s">
        <v>2459</v>
      </c>
      <c r="J725" s="2" t="s">
        <v>39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1"/>
      <c r="B726" s="1"/>
      <c r="C726" s="9">
        <v>44358</v>
      </c>
      <c r="D726" s="17" t="s">
        <v>2460</v>
      </c>
      <c r="E726" s="2" t="s">
        <v>2461</v>
      </c>
      <c r="F726" s="30"/>
      <c r="G726" s="1264"/>
      <c r="H726" s="30" t="s">
        <v>1955</v>
      </c>
      <c r="I726" s="39" t="s">
        <v>2462</v>
      </c>
      <c r="J726" s="2" t="s">
        <v>39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1"/>
      <c r="B727" s="1"/>
      <c r="C727" s="9">
        <v>44359</v>
      </c>
      <c r="D727" s="17" t="s">
        <v>2463</v>
      </c>
      <c r="E727" s="2" t="s">
        <v>2464</v>
      </c>
      <c r="F727" s="30"/>
      <c r="G727" s="1264"/>
      <c r="H727" s="30" t="s">
        <v>2465</v>
      </c>
      <c r="I727" s="39" t="s">
        <v>2466</v>
      </c>
      <c r="J727" s="2" t="s">
        <v>39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1"/>
      <c r="B728" s="1"/>
      <c r="C728" s="9">
        <v>44365</v>
      </c>
      <c r="D728" s="17" t="s">
        <v>1156</v>
      </c>
      <c r="E728" s="2" t="s">
        <v>1157</v>
      </c>
      <c r="F728" s="30"/>
      <c r="G728" s="1264"/>
      <c r="H728" s="30" t="s">
        <v>2284</v>
      </c>
      <c r="I728" s="39" t="s">
        <v>2467</v>
      </c>
      <c r="J728" s="2" t="s">
        <v>507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1"/>
      <c r="B729" s="1"/>
      <c r="C729" s="9">
        <v>44366</v>
      </c>
      <c r="D729" s="17" t="s">
        <v>1865</v>
      </c>
      <c r="E729" s="2" t="s">
        <v>2468</v>
      </c>
      <c r="F729" s="30"/>
      <c r="G729" s="1264"/>
      <c r="H729" s="30" t="s">
        <v>1473</v>
      </c>
      <c r="I729" s="39" t="s">
        <v>2469</v>
      </c>
      <c r="J729" s="2" t="s">
        <v>507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1"/>
      <c r="B730" s="1"/>
      <c r="C730" s="9">
        <v>44373</v>
      </c>
      <c r="D730" s="17" t="s">
        <v>2470</v>
      </c>
      <c r="E730" s="2" t="s">
        <v>2471</v>
      </c>
      <c r="F730" s="30"/>
      <c r="G730" s="1264"/>
      <c r="H730" s="30" t="s">
        <v>2472</v>
      </c>
      <c r="I730" s="39" t="s">
        <v>2473</v>
      </c>
      <c r="J730" s="2" t="s">
        <v>507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1"/>
      <c r="B731" s="1"/>
      <c r="C731" s="9">
        <v>44378</v>
      </c>
      <c r="D731" s="17" t="s">
        <v>2474</v>
      </c>
      <c r="E731" s="2" t="s">
        <v>1783</v>
      </c>
      <c r="F731" s="30"/>
      <c r="G731" s="1264"/>
      <c r="H731" s="30"/>
      <c r="I731" s="39" t="s">
        <v>2475</v>
      </c>
      <c r="J731" s="2" t="s">
        <v>92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1"/>
      <c r="B732" s="1"/>
      <c r="C732" s="9">
        <v>44385</v>
      </c>
      <c r="D732" s="17" t="s">
        <v>2476</v>
      </c>
      <c r="E732" s="2" t="s">
        <v>2477</v>
      </c>
      <c r="F732" s="30"/>
      <c r="G732" s="1264"/>
      <c r="H732" s="30" t="s">
        <v>2047</v>
      </c>
      <c r="I732" s="39" t="s">
        <v>2478</v>
      </c>
      <c r="J732" s="2" t="s">
        <v>507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1"/>
      <c r="B733" s="1"/>
      <c r="C733" s="9">
        <v>44386</v>
      </c>
      <c r="D733" s="17" t="s">
        <v>2479</v>
      </c>
      <c r="E733" s="2" t="s">
        <v>2480</v>
      </c>
      <c r="F733" s="30"/>
      <c r="G733" s="1264"/>
      <c r="H733" s="30" t="s">
        <v>2481</v>
      </c>
      <c r="I733" s="39" t="s">
        <v>2482</v>
      </c>
      <c r="J733" s="2" t="s">
        <v>92</v>
      </c>
      <c r="K733" s="2" t="s">
        <v>2483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1"/>
      <c r="B734" s="1"/>
      <c r="C734" s="9">
        <v>44387</v>
      </c>
      <c r="D734" s="17" t="s">
        <v>2107</v>
      </c>
      <c r="E734" s="2" t="s">
        <v>2014</v>
      </c>
      <c r="F734" s="30"/>
      <c r="G734" s="1264"/>
      <c r="H734" s="30" t="s">
        <v>2484</v>
      </c>
      <c r="I734" s="51" t="s">
        <v>2485</v>
      </c>
      <c r="J734" s="2" t="s">
        <v>39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1"/>
      <c r="B735" s="1"/>
      <c r="C735" s="9">
        <v>44391</v>
      </c>
      <c r="D735" s="17" t="s">
        <v>2107</v>
      </c>
      <c r="E735" s="2" t="s">
        <v>2108</v>
      </c>
      <c r="F735" s="30"/>
      <c r="G735" s="1264"/>
      <c r="H735" s="30" t="s">
        <v>2484</v>
      </c>
      <c r="I735" s="51" t="s">
        <v>2486</v>
      </c>
      <c r="J735" s="2" t="s">
        <v>39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1"/>
      <c r="B736" s="1"/>
      <c r="C736" s="9">
        <v>44391</v>
      </c>
      <c r="D736" s="17" t="s">
        <v>2107</v>
      </c>
      <c r="E736" s="2" t="s">
        <v>2111</v>
      </c>
      <c r="F736" s="30"/>
      <c r="G736" s="1264"/>
      <c r="H736" s="30" t="s">
        <v>2484</v>
      </c>
      <c r="I736" s="51" t="s">
        <v>2487</v>
      </c>
      <c r="J736" s="2" t="s">
        <v>39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1"/>
      <c r="B737" s="1"/>
      <c r="C737" s="9">
        <v>44391</v>
      </c>
      <c r="D737" s="17" t="s">
        <v>2058</v>
      </c>
      <c r="E737" s="2" t="s">
        <v>2488</v>
      </c>
      <c r="F737" s="30"/>
      <c r="G737" s="1264"/>
      <c r="H737" s="30" t="s">
        <v>2067</v>
      </c>
      <c r="I737" s="51" t="s">
        <v>2489</v>
      </c>
      <c r="J737" s="2" t="s">
        <v>39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1"/>
      <c r="B738" s="1"/>
      <c r="C738" s="9">
        <v>44394</v>
      </c>
      <c r="D738" s="17" t="s">
        <v>2490</v>
      </c>
      <c r="E738" s="2" t="s">
        <v>2491</v>
      </c>
      <c r="F738" s="30"/>
      <c r="G738" s="1264"/>
      <c r="H738" s="30" t="s">
        <v>2047</v>
      </c>
      <c r="I738" s="2" t="s">
        <v>2492</v>
      </c>
      <c r="J738" s="2" t="s">
        <v>39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1"/>
      <c r="B739" s="1"/>
      <c r="C739" s="9">
        <v>44393</v>
      </c>
      <c r="D739" s="17" t="s">
        <v>2493</v>
      </c>
      <c r="E739" s="2" t="s">
        <v>2494</v>
      </c>
      <c r="F739" s="30"/>
      <c r="G739" s="1264"/>
      <c r="H739" s="30" t="s">
        <v>1383</v>
      </c>
      <c r="I739" s="39" t="s">
        <v>2495</v>
      </c>
      <c r="J739" s="2" t="s">
        <v>77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1"/>
      <c r="B740" s="1"/>
      <c r="C740" s="9">
        <v>44395</v>
      </c>
      <c r="D740" s="17" t="s">
        <v>2496</v>
      </c>
      <c r="E740" s="2" t="s">
        <v>2497</v>
      </c>
      <c r="F740" s="30"/>
      <c r="G740" s="1264"/>
      <c r="H740" s="30" t="s">
        <v>1347</v>
      </c>
      <c r="I740" s="39" t="s">
        <v>2498</v>
      </c>
      <c r="J740" s="2" t="s">
        <v>77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1"/>
      <c r="B741" s="1"/>
      <c r="C741" s="9">
        <v>44396</v>
      </c>
      <c r="D741" s="17" t="s">
        <v>2499</v>
      </c>
      <c r="E741" s="2" t="s">
        <v>2500</v>
      </c>
      <c r="F741" s="30"/>
      <c r="G741" s="1264"/>
      <c r="H741" s="30" t="s">
        <v>1473</v>
      </c>
      <c r="I741" s="2" t="s">
        <v>2501</v>
      </c>
      <c r="J741" s="2" t="s">
        <v>39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1"/>
      <c r="B742" s="1"/>
      <c r="C742" s="9">
        <v>44400</v>
      </c>
      <c r="D742" s="17" t="s">
        <v>1931</v>
      </c>
      <c r="E742" s="2" t="s">
        <v>1932</v>
      </c>
      <c r="F742" s="30"/>
      <c r="G742" s="1264"/>
      <c r="H742" s="30" t="s">
        <v>1473</v>
      </c>
      <c r="I742" s="2" t="s">
        <v>2502</v>
      </c>
      <c r="J742" s="2" t="s">
        <v>2503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1"/>
      <c r="B743" s="1"/>
      <c r="C743" s="9">
        <v>44400</v>
      </c>
      <c r="D743" s="17" t="s">
        <v>2504</v>
      </c>
      <c r="E743" s="2" t="s">
        <v>2505</v>
      </c>
      <c r="F743" s="30"/>
      <c r="G743" s="1264"/>
      <c r="H743" s="30" t="s">
        <v>2506</v>
      </c>
      <c r="I743" s="51" t="s">
        <v>2507</v>
      </c>
      <c r="J743" s="2" t="s">
        <v>2503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1"/>
      <c r="B744" s="1"/>
      <c r="C744" s="9">
        <v>44404</v>
      </c>
      <c r="D744" s="17" t="s">
        <v>2508</v>
      </c>
      <c r="E744" s="2" t="s">
        <v>2509</v>
      </c>
      <c r="F744" s="30"/>
      <c r="G744" s="1264"/>
      <c r="H744" s="30" t="s">
        <v>2510</v>
      </c>
      <c r="I744" s="2" t="s">
        <v>2511</v>
      </c>
      <c r="J744" s="2" t="s">
        <v>507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1"/>
      <c r="B745" s="1"/>
      <c r="C745" s="9">
        <v>44404</v>
      </c>
      <c r="D745" s="17" t="s">
        <v>432</v>
      </c>
      <c r="E745" s="2" t="s">
        <v>131</v>
      </c>
      <c r="F745" s="30"/>
      <c r="G745" s="1264"/>
      <c r="H745" s="30" t="s">
        <v>2512</v>
      </c>
      <c r="I745" s="2" t="s">
        <v>2513</v>
      </c>
      <c r="J745" s="2" t="s">
        <v>77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1"/>
      <c r="B746" s="1"/>
      <c r="C746" s="9">
        <v>44404</v>
      </c>
      <c r="D746" s="17" t="s">
        <v>432</v>
      </c>
      <c r="E746" s="2" t="s">
        <v>2514</v>
      </c>
      <c r="F746" s="30"/>
      <c r="G746" s="1264"/>
      <c r="H746" s="30" t="s">
        <v>2512</v>
      </c>
      <c r="I746" s="2" t="s">
        <v>2515</v>
      </c>
      <c r="J746" s="2" t="s">
        <v>77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1"/>
      <c r="B747" s="1"/>
      <c r="C747" s="9">
        <v>44404</v>
      </c>
      <c r="D747" s="17" t="s">
        <v>2516</v>
      </c>
      <c r="E747" s="2" t="s">
        <v>931</v>
      </c>
      <c r="F747" s="30"/>
      <c r="G747" s="1264"/>
      <c r="H747" s="30" t="s">
        <v>1478</v>
      </c>
      <c r="I747" s="2" t="s">
        <v>2517</v>
      </c>
      <c r="J747" s="2" t="s">
        <v>77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1"/>
      <c r="B748" s="1"/>
      <c r="C748" s="9">
        <v>37101</v>
      </c>
      <c r="D748" s="17" t="s">
        <v>2518</v>
      </c>
      <c r="E748" s="2" t="s">
        <v>2519</v>
      </c>
      <c r="F748" s="30"/>
      <c r="G748" s="1264"/>
      <c r="H748" s="30" t="s">
        <v>2067</v>
      </c>
      <c r="I748" s="39" t="s">
        <v>2520</v>
      </c>
      <c r="J748" s="2" t="s">
        <v>39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1"/>
      <c r="B749" s="1"/>
      <c r="C749" s="9">
        <v>37101</v>
      </c>
      <c r="D749" s="17" t="s">
        <v>2521</v>
      </c>
      <c r="E749" s="2" t="s">
        <v>2522</v>
      </c>
      <c r="F749" s="30"/>
      <c r="G749" s="1264"/>
      <c r="H749" s="30" t="s">
        <v>2071</v>
      </c>
      <c r="I749" s="39" t="s">
        <v>2523</v>
      </c>
      <c r="J749" s="2" t="s">
        <v>39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1"/>
      <c r="B750" s="1"/>
      <c r="C750" s="9">
        <v>44408</v>
      </c>
      <c r="D750" s="17" t="s">
        <v>2524</v>
      </c>
      <c r="E750" s="2" t="s">
        <v>2525</v>
      </c>
      <c r="F750" s="30"/>
      <c r="G750" s="1264"/>
      <c r="H750" s="30" t="s">
        <v>2526</v>
      </c>
      <c r="I750" s="39" t="s">
        <v>2527</v>
      </c>
      <c r="J750" s="2" t="s">
        <v>507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1"/>
      <c r="B751" s="1"/>
      <c r="C751" s="1"/>
      <c r="D751" s="17" t="s">
        <v>2528</v>
      </c>
      <c r="E751" s="2" t="s">
        <v>2529</v>
      </c>
      <c r="F751" s="30"/>
      <c r="G751" s="1264"/>
      <c r="H751" s="30" t="s">
        <v>1521</v>
      </c>
      <c r="I751" s="39" t="s">
        <v>2530</v>
      </c>
      <c r="J751" s="2" t="s">
        <v>39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1"/>
      <c r="B752" s="1"/>
      <c r="C752" s="9">
        <v>44410</v>
      </c>
      <c r="D752" s="17" t="s">
        <v>2531</v>
      </c>
      <c r="E752" s="2" t="s">
        <v>475</v>
      </c>
      <c r="F752" s="30"/>
      <c r="G752" s="1264"/>
      <c r="H752" s="30" t="s">
        <v>516</v>
      </c>
      <c r="I752" s="39" t="s">
        <v>2532</v>
      </c>
      <c r="J752" s="2" t="s">
        <v>39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1"/>
      <c r="B753" s="1"/>
      <c r="C753" s="1"/>
      <c r="D753" s="17" t="s">
        <v>209</v>
      </c>
      <c r="E753" s="2" t="s">
        <v>2533</v>
      </c>
      <c r="F753" s="2"/>
      <c r="G753" s="1269"/>
      <c r="H753" s="30" t="s">
        <v>516</v>
      </c>
      <c r="I753" s="39" t="s">
        <v>2534</v>
      </c>
      <c r="J753" s="2" t="s">
        <v>2535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1"/>
      <c r="B754" s="1"/>
      <c r="C754" s="1"/>
      <c r="D754" s="17" t="s">
        <v>2536</v>
      </c>
      <c r="E754" s="2" t="s">
        <v>2537</v>
      </c>
      <c r="F754" s="30"/>
      <c r="G754" s="1264"/>
      <c r="H754" s="30" t="s">
        <v>2538</v>
      </c>
      <c r="I754" s="39" t="s">
        <v>2539</v>
      </c>
      <c r="J754" s="2" t="s">
        <v>507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1"/>
      <c r="B755" s="1"/>
      <c r="C755" s="1"/>
      <c r="D755" s="17" t="s">
        <v>2528</v>
      </c>
      <c r="E755" s="2" t="s">
        <v>2540</v>
      </c>
      <c r="F755" s="30"/>
      <c r="G755" s="1264"/>
      <c r="H755" s="30" t="s">
        <v>1521</v>
      </c>
      <c r="I755" s="39" t="s">
        <v>2541</v>
      </c>
      <c r="J755" s="2" t="s">
        <v>2542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1"/>
      <c r="B756" s="1"/>
      <c r="C756" s="1"/>
      <c r="D756" s="17" t="s">
        <v>1878</v>
      </c>
      <c r="E756" s="2" t="s">
        <v>1879</v>
      </c>
      <c r="F756" s="30"/>
      <c r="G756" s="1264"/>
      <c r="H756" s="30" t="s">
        <v>2543</v>
      </c>
      <c r="I756" s="39" t="s">
        <v>2544</v>
      </c>
      <c r="J756" s="2" t="s">
        <v>39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1"/>
      <c r="B757" s="1"/>
      <c r="C757" s="1"/>
      <c r="D757" s="17" t="s">
        <v>2545</v>
      </c>
      <c r="E757" s="2" t="s">
        <v>485</v>
      </c>
      <c r="F757" s="30"/>
      <c r="G757" s="1264"/>
      <c r="H757" s="30" t="s">
        <v>2546</v>
      </c>
      <c r="I757" s="39" t="s">
        <v>2547</v>
      </c>
      <c r="J757" s="2" t="s">
        <v>39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1"/>
      <c r="B758" s="1"/>
      <c r="C758" s="9">
        <v>44412</v>
      </c>
      <c r="D758" s="17" t="s">
        <v>1114</v>
      </c>
      <c r="E758" s="2" t="s">
        <v>639</v>
      </c>
      <c r="F758" s="30"/>
      <c r="G758" s="1264"/>
      <c r="H758" s="30" t="s">
        <v>2067</v>
      </c>
      <c r="I758" s="39" t="s">
        <v>2548</v>
      </c>
      <c r="J758" s="2" t="s">
        <v>507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1"/>
      <c r="B759" s="1"/>
      <c r="C759" s="1"/>
      <c r="D759" s="1">
        <v>9234115639</v>
      </c>
      <c r="E759" s="2" t="s">
        <v>2549</v>
      </c>
      <c r="F759" s="2"/>
      <c r="G759" s="1269"/>
      <c r="H759" s="30" t="s">
        <v>1955</v>
      </c>
      <c r="I759" s="39" t="s">
        <v>2550</v>
      </c>
      <c r="J759" s="2" t="s">
        <v>39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1"/>
      <c r="B760" s="1"/>
      <c r="C760" s="9">
        <v>44412</v>
      </c>
      <c r="D760" s="17"/>
      <c r="E760" s="2" t="s">
        <v>392</v>
      </c>
      <c r="F760" s="30"/>
      <c r="G760" s="1264"/>
      <c r="H760" s="30" t="s">
        <v>2047</v>
      </c>
      <c r="I760" s="39" t="s">
        <v>2551</v>
      </c>
      <c r="J760" s="2" t="s">
        <v>39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1"/>
      <c r="B761" s="1"/>
      <c r="C761" s="9">
        <v>44414</v>
      </c>
      <c r="D761" s="17" t="s">
        <v>2552</v>
      </c>
      <c r="E761" s="2" t="s">
        <v>2553</v>
      </c>
      <c r="F761" s="30" t="s">
        <v>209</v>
      </c>
      <c r="G761" s="1264"/>
      <c r="H761" s="30" t="s">
        <v>1499</v>
      </c>
      <c r="I761" s="39" t="s">
        <v>2554</v>
      </c>
      <c r="J761" s="2" t="s">
        <v>2535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1"/>
      <c r="B762" s="1"/>
      <c r="C762" s="9">
        <v>44414</v>
      </c>
      <c r="D762" s="17" t="s">
        <v>2555</v>
      </c>
      <c r="E762" s="2" t="s">
        <v>2556</v>
      </c>
      <c r="F762" s="30" t="s">
        <v>209</v>
      </c>
      <c r="G762" s="1264"/>
      <c r="H762" s="30" t="s">
        <v>2389</v>
      </c>
      <c r="I762" s="39" t="s">
        <v>2557</v>
      </c>
      <c r="J762" s="2" t="s">
        <v>2535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1"/>
      <c r="B763" s="1"/>
      <c r="C763" s="9">
        <v>44415</v>
      </c>
      <c r="D763" s="17" t="s">
        <v>2558</v>
      </c>
      <c r="E763" s="2" t="s">
        <v>2559</v>
      </c>
      <c r="F763" s="30"/>
      <c r="G763" s="1264"/>
      <c r="H763" s="30" t="s">
        <v>2047</v>
      </c>
      <c r="I763" s="39" t="s">
        <v>2560</v>
      </c>
      <c r="J763" s="2" t="s">
        <v>39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1"/>
      <c r="B764" s="1"/>
      <c r="C764" s="24">
        <v>44415</v>
      </c>
      <c r="D764" s="16" t="s">
        <v>2558</v>
      </c>
      <c r="E764" s="11" t="s">
        <v>462</v>
      </c>
      <c r="F764" s="38"/>
      <c r="G764" s="1266"/>
      <c r="H764" s="38" t="s">
        <v>2047</v>
      </c>
      <c r="I764" s="41" t="s">
        <v>2561</v>
      </c>
      <c r="J764" s="11" t="s">
        <v>2562</v>
      </c>
      <c r="K764" s="1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1"/>
      <c r="B765" s="1"/>
      <c r="C765" s="9">
        <v>44415</v>
      </c>
      <c r="D765" s="17" t="s">
        <v>494</v>
      </c>
      <c r="E765" s="2" t="s">
        <v>2563</v>
      </c>
      <c r="F765" s="30"/>
      <c r="G765" s="1264"/>
      <c r="H765" s="30" t="s">
        <v>2564</v>
      </c>
      <c r="I765" s="39" t="s">
        <v>2565</v>
      </c>
      <c r="J765" s="2" t="s">
        <v>507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1"/>
      <c r="B766" s="1"/>
      <c r="C766" s="9">
        <v>44415</v>
      </c>
      <c r="D766" s="17" t="s">
        <v>2566</v>
      </c>
      <c r="E766" s="2" t="s">
        <v>2567</v>
      </c>
      <c r="F766" s="30"/>
      <c r="G766" s="1264"/>
      <c r="H766" s="30" t="s">
        <v>2568</v>
      </c>
      <c r="I766" s="39" t="s">
        <v>2569</v>
      </c>
      <c r="J766" s="2" t="s">
        <v>39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1"/>
      <c r="B767" s="1"/>
      <c r="C767" s="9">
        <v>44418</v>
      </c>
      <c r="D767" s="17" t="s">
        <v>2570</v>
      </c>
      <c r="E767" s="2" t="s">
        <v>2571</v>
      </c>
      <c r="F767" s="30" t="s">
        <v>209</v>
      </c>
      <c r="G767" s="1264"/>
      <c r="H767" s="30" t="s">
        <v>1560</v>
      </c>
      <c r="I767" s="39" t="s">
        <v>2572</v>
      </c>
      <c r="J767" s="2" t="s">
        <v>2318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1"/>
      <c r="B768" s="1"/>
      <c r="C768" s="9">
        <v>44418</v>
      </c>
      <c r="D768" s="17" t="s">
        <v>2570</v>
      </c>
      <c r="E768" s="2" t="s">
        <v>2573</v>
      </c>
      <c r="F768" s="30" t="s">
        <v>209</v>
      </c>
      <c r="G768" s="1264"/>
      <c r="H768" s="30" t="s">
        <v>1560</v>
      </c>
      <c r="I768" s="39" t="s">
        <v>2574</v>
      </c>
      <c r="J768" s="2" t="s">
        <v>2318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1"/>
      <c r="B769" s="1"/>
      <c r="C769" s="9">
        <v>44418</v>
      </c>
      <c r="D769" s="17" t="s">
        <v>2575</v>
      </c>
      <c r="E769" s="2" t="s">
        <v>2576</v>
      </c>
      <c r="F769" s="30" t="s">
        <v>209</v>
      </c>
      <c r="G769" s="1264"/>
      <c r="H769" s="30" t="s">
        <v>1560</v>
      </c>
      <c r="I769" s="39" t="s">
        <v>2577</v>
      </c>
      <c r="J769" s="2" t="s">
        <v>2318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1"/>
      <c r="B770" s="1"/>
      <c r="C770" s="9">
        <v>44419</v>
      </c>
      <c r="D770" s="17" t="s">
        <v>2578</v>
      </c>
      <c r="E770" s="2" t="s">
        <v>2579</v>
      </c>
      <c r="F770" s="30"/>
      <c r="G770" s="1264"/>
      <c r="H770" s="30" t="s">
        <v>2580</v>
      </c>
      <c r="I770" s="39" t="s">
        <v>2581</v>
      </c>
      <c r="J770" s="2" t="s">
        <v>507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1"/>
      <c r="B771" s="1"/>
      <c r="C771" s="9">
        <v>44421</v>
      </c>
      <c r="D771" s="17"/>
      <c r="E771" s="2" t="s">
        <v>2582</v>
      </c>
      <c r="F771" s="30"/>
      <c r="G771" s="1264"/>
      <c r="H771" s="30" t="s">
        <v>1499</v>
      </c>
      <c r="I771" s="39" t="s">
        <v>2583</v>
      </c>
      <c r="J771" s="2" t="s">
        <v>2584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1"/>
      <c r="B772" s="1"/>
      <c r="C772" s="9">
        <v>44421</v>
      </c>
      <c r="D772" s="17" t="s">
        <v>1313</v>
      </c>
      <c r="E772" s="2" t="s">
        <v>2585</v>
      </c>
      <c r="F772" s="30"/>
      <c r="G772" s="1264"/>
      <c r="H772" s="30" t="s">
        <v>2389</v>
      </c>
      <c r="I772" s="39" t="s">
        <v>2586</v>
      </c>
      <c r="J772" s="2" t="s">
        <v>39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1"/>
      <c r="B773" s="1"/>
      <c r="C773" s="9">
        <v>44421</v>
      </c>
      <c r="D773" s="17" t="s">
        <v>2587</v>
      </c>
      <c r="E773" s="2" t="s">
        <v>388</v>
      </c>
      <c r="F773" s="30"/>
      <c r="G773" s="1264"/>
      <c r="H773" s="30" t="s">
        <v>1560</v>
      </c>
      <c r="I773" s="39" t="s">
        <v>2588</v>
      </c>
      <c r="J773" s="2" t="s">
        <v>2589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1"/>
      <c r="B774" s="1"/>
      <c r="C774" s="9">
        <v>44423</v>
      </c>
      <c r="D774" s="17" t="s">
        <v>2479</v>
      </c>
      <c r="E774" s="2" t="s">
        <v>2480</v>
      </c>
      <c r="F774" s="30"/>
      <c r="G774" s="1264"/>
      <c r="H774" s="30" t="s">
        <v>2481</v>
      </c>
      <c r="I774" s="39" t="s">
        <v>2590</v>
      </c>
      <c r="J774" s="2" t="s">
        <v>39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1"/>
      <c r="B775" s="1"/>
      <c r="C775" s="9">
        <v>44423</v>
      </c>
      <c r="D775" s="17" t="s">
        <v>2524</v>
      </c>
      <c r="E775" s="2" t="s">
        <v>2591</v>
      </c>
      <c r="F775" s="30"/>
      <c r="G775" s="1264"/>
      <c r="H775" s="30" t="s">
        <v>2366</v>
      </c>
      <c r="I775" s="39" t="s">
        <v>2592</v>
      </c>
      <c r="J775" s="2" t="s">
        <v>39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1"/>
      <c r="B776" s="1"/>
      <c r="C776" s="9">
        <v>44425</v>
      </c>
      <c r="D776" s="17"/>
      <c r="E776" s="2" t="s">
        <v>2593</v>
      </c>
      <c r="F776" s="30"/>
      <c r="G776" s="1264"/>
      <c r="H776" s="30" t="s">
        <v>516</v>
      </c>
      <c r="I776" s="39" t="s">
        <v>2594</v>
      </c>
      <c r="J776" s="2" t="s">
        <v>507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1"/>
      <c r="B777" s="1"/>
      <c r="C777" s="9">
        <v>44425</v>
      </c>
      <c r="D777" s="17" t="s">
        <v>2595</v>
      </c>
      <c r="E777" s="2" t="s">
        <v>2596</v>
      </c>
      <c r="F777" s="30"/>
      <c r="G777" s="1264"/>
      <c r="H777" s="30" t="s">
        <v>1355</v>
      </c>
      <c r="I777" s="39" t="s">
        <v>2597</v>
      </c>
      <c r="J777" s="2" t="s">
        <v>39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1"/>
      <c r="B778" s="1"/>
      <c r="C778" s="9">
        <v>44425</v>
      </c>
      <c r="D778" s="17" t="s">
        <v>2598</v>
      </c>
      <c r="E778" s="2" t="s">
        <v>2599</v>
      </c>
      <c r="F778" s="30"/>
      <c r="G778" s="1264"/>
      <c r="H778" s="30" t="s">
        <v>1602</v>
      </c>
      <c r="I778" s="39" t="s">
        <v>2600</v>
      </c>
      <c r="J778" s="2" t="s">
        <v>528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1"/>
      <c r="B779" s="1" t="s">
        <v>2291</v>
      </c>
      <c r="C779" s="9">
        <v>44425</v>
      </c>
      <c r="D779" s="17" t="s">
        <v>2460</v>
      </c>
      <c r="E779" s="2" t="s">
        <v>2601</v>
      </c>
      <c r="F779" s="30"/>
      <c r="G779" s="1264"/>
      <c r="H779" s="30" t="s">
        <v>2602</v>
      </c>
      <c r="I779" s="39" t="s">
        <v>2603</v>
      </c>
      <c r="J779" s="2" t="s">
        <v>528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1"/>
      <c r="B780" s="1"/>
      <c r="C780" s="9">
        <v>44427</v>
      </c>
      <c r="D780" s="17"/>
      <c r="E780" s="2" t="s">
        <v>2604</v>
      </c>
      <c r="F780" s="30"/>
      <c r="G780" s="1264"/>
      <c r="H780" s="30" t="s">
        <v>2067</v>
      </c>
      <c r="I780" s="39" t="s">
        <v>2605</v>
      </c>
      <c r="J780" s="2" t="s">
        <v>39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1"/>
      <c r="B781" s="1"/>
      <c r="C781" s="9">
        <v>44427</v>
      </c>
      <c r="D781" s="17" t="s">
        <v>1195</v>
      </c>
      <c r="E781" s="2" t="s">
        <v>2606</v>
      </c>
      <c r="F781" s="30"/>
      <c r="G781" s="1264"/>
      <c r="H781" s="30" t="s">
        <v>2067</v>
      </c>
      <c r="I781" s="39" t="s">
        <v>2607</v>
      </c>
      <c r="J781" s="2" t="s">
        <v>39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1"/>
      <c r="B782" s="1"/>
      <c r="C782" s="9">
        <v>44427</v>
      </c>
      <c r="D782" s="17" t="s">
        <v>2558</v>
      </c>
      <c r="E782" s="2" t="s">
        <v>462</v>
      </c>
      <c r="F782" s="30"/>
      <c r="G782" s="1264"/>
      <c r="H782" s="30" t="s">
        <v>2047</v>
      </c>
      <c r="I782" s="39" t="s">
        <v>2608</v>
      </c>
      <c r="J782" s="2" t="s">
        <v>39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1"/>
      <c r="B783" s="1"/>
      <c r="C783" s="9">
        <v>44428</v>
      </c>
      <c r="D783" s="17" t="s">
        <v>2609</v>
      </c>
      <c r="E783" s="2" t="s">
        <v>2610</v>
      </c>
      <c r="F783" s="30"/>
      <c r="G783" s="1264"/>
      <c r="H783" s="30" t="s">
        <v>2611</v>
      </c>
      <c r="I783" s="39" t="s">
        <v>2612</v>
      </c>
      <c r="J783" s="2" t="s">
        <v>2318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1"/>
      <c r="B784" s="1"/>
      <c r="C784" s="9">
        <v>44428</v>
      </c>
      <c r="D784" s="17" t="s">
        <v>2613</v>
      </c>
      <c r="E784" s="2" t="s">
        <v>2614</v>
      </c>
      <c r="F784" s="30"/>
      <c r="G784" s="1264"/>
      <c r="H784" s="30" t="s">
        <v>2067</v>
      </c>
      <c r="I784" s="39" t="s">
        <v>2615</v>
      </c>
      <c r="J784" s="2" t="s">
        <v>39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1"/>
      <c r="B785" s="1"/>
      <c r="C785" s="9">
        <v>44428</v>
      </c>
      <c r="D785" s="17" t="s">
        <v>209</v>
      </c>
      <c r="E785" s="2" t="s">
        <v>1078</v>
      </c>
      <c r="F785" s="30"/>
      <c r="G785" s="1264"/>
      <c r="H785" s="30" t="s">
        <v>2018</v>
      </c>
      <c r="I785" s="39" t="s">
        <v>2616</v>
      </c>
      <c r="J785" s="2" t="s">
        <v>2617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1"/>
      <c r="B786" s="1"/>
      <c r="C786" s="1"/>
      <c r="D786" s="17" t="s">
        <v>2618</v>
      </c>
      <c r="E786" s="2" t="s">
        <v>2619</v>
      </c>
      <c r="F786" s="30"/>
      <c r="G786" s="1264"/>
      <c r="H786" s="30" t="s">
        <v>2071</v>
      </c>
      <c r="I786" s="39" t="s">
        <v>2620</v>
      </c>
      <c r="J786" s="2" t="s">
        <v>39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1"/>
      <c r="B787" s="1"/>
      <c r="C787" s="9">
        <v>44431</v>
      </c>
      <c r="D787" s="17" t="s">
        <v>2621</v>
      </c>
      <c r="E787" s="2" t="s">
        <v>2622</v>
      </c>
      <c r="F787" s="30"/>
      <c r="G787" s="1264"/>
      <c r="H787" s="30" t="s">
        <v>2047</v>
      </c>
      <c r="I787" s="39" t="s">
        <v>2623</v>
      </c>
      <c r="J787" s="2" t="s">
        <v>39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1"/>
      <c r="B788" s="1"/>
      <c r="C788" s="1"/>
      <c r="D788" s="17" t="s">
        <v>2624</v>
      </c>
      <c r="E788" s="2" t="s">
        <v>2625</v>
      </c>
      <c r="F788" s="30"/>
      <c r="G788" s="1264"/>
      <c r="H788" s="30" t="s">
        <v>1905</v>
      </c>
      <c r="I788" s="39" t="s">
        <v>2626</v>
      </c>
      <c r="J788" s="2" t="s">
        <v>39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1"/>
      <c r="B789" s="1"/>
      <c r="C789" s="9">
        <v>44431</v>
      </c>
      <c r="D789" s="17" t="s">
        <v>1789</v>
      </c>
      <c r="E789" s="2" t="s">
        <v>396</v>
      </c>
      <c r="F789" s="30"/>
      <c r="G789" s="1264"/>
      <c r="H789" s="30" t="s">
        <v>1227</v>
      </c>
      <c r="I789" s="2" t="s">
        <v>2627</v>
      </c>
      <c r="J789" s="2" t="s">
        <v>528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1"/>
      <c r="B790" s="1"/>
      <c r="C790" s="9">
        <v>44432</v>
      </c>
      <c r="D790" s="17" t="s">
        <v>2628</v>
      </c>
      <c r="E790" s="2" t="s">
        <v>2629</v>
      </c>
      <c r="F790" s="30"/>
      <c r="G790" s="1264"/>
      <c r="H790" s="30" t="s">
        <v>2134</v>
      </c>
      <c r="I790" s="39" t="s">
        <v>2630</v>
      </c>
      <c r="J790" s="2" t="s">
        <v>39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1"/>
      <c r="B791" s="1"/>
      <c r="C791" s="9">
        <v>44432</v>
      </c>
      <c r="D791" s="17" t="s">
        <v>2631</v>
      </c>
      <c r="E791" s="2" t="s">
        <v>1229</v>
      </c>
      <c r="F791" s="30"/>
      <c r="G791" s="1264"/>
      <c r="H791" s="30" t="s">
        <v>2389</v>
      </c>
      <c r="I791" s="39" t="s">
        <v>2632</v>
      </c>
      <c r="J791" s="2" t="s">
        <v>39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1"/>
      <c r="B792" s="1"/>
      <c r="C792" s="9">
        <v>44432</v>
      </c>
      <c r="D792" s="17" t="s">
        <v>2633</v>
      </c>
      <c r="E792" s="2" t="s">
        <v>2634</v>
      </c>
      <c r="F792" s="30"/>
      <c r="G792" s="1264"/>
      <c r="H792" s="30" t="s">
        <v>2389</v>
      </c>
      <c r="I792" s="39" t="s">
        <v>2635</v>
      </c>
      <c r="J792" s="2" t="s">
        <v>39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1"/>
      <c r="B793" s="1"/>
      <c r="C793" s="9">
        <v>44432</v>
      </c>
      <c r="D793" s="17" t="s">
        <v>2636</v>
      </c>
      <c r="E793" s="2" t="s">
        <v>1954</v>
      </c>
      <c r="F793" s="30"/>
      <c r="G793" s="1264"/>
      <c r="H793" s="30" t="s">
        <v>1955</v>
      </c>
      <c r="I793" s="39" t="s">
        <v>2637</v>
      </c>
      <c r="J793" s="2" t="s">
        <v>507</v>
      </c>
      <c r="K793" s="2" t="s">
        <v>2638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1"/>
      <c r="B794" s="1"/>
      <c r="C794" s="9">
        <v>44432</v>
      </c>
      <c r="D794" s="17" t="s">
        <v>2639</v>
      </c>
      <c r="E794" s="2" t="s">
        <v>2640</v>
      </c>
      <c r="F794" s="30"/>
      <c r="G794" s="1264"/>
      <c r="H794" s="30" t="s">
        <v>2389</v>
      </c>
      <c r="I794" s="39" t="s">
        <v>2641</v>
      </c>
      <c r="J794" s="2" t="s">
        <v>39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1"/>
      <c r="B795" s="1"/>
      <c r="C795" s="9">
        <v>44437</v>
      </c>
      <c r="D795" s="17" t="s">
        <v>2642</v>
      </c>
      <c r="E795" s="2" t="s">
        <v>1938</v>
      </c>
      <c r="F795" s="30"/>
      <c r="G795" s="1264"/>
      <c r="H795" s="30" t="s">
        <v>2071</v>
      </c>
      <c r="I795" s="51" t="s">
        <v>2643</v>
      </c>
      <c r="J795" s="2" t="s">
        <v>39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1"/>
      <c r="B796" s="1"/>
      <c r="C796" s="9">
        <v>44440</v>
      </c>
      <c r="D796" s="17" t="s">
        <v>2644</v>
      </c>
      <c r="E796" s="2" t="s">
        <v>2645</v>
      </c>
      <c r="F796" s="30"/>
      <c r="G796" s="1264"/>
      <c r="H796" s="30" t="s">
        <v>2389</v>
      </c>
      <c r="I796" s="51" t="s">
        <v>2646</v>
      </c>
      <c r="J796" s="2" t="s">
        <v>39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1"/>
      <c r="B797" s="1"/>
      <c r="C797" s="9">
        <v>44441</v>
      </c>
      <c r="D797" s="17" t="s">
        <v>2647</v>
      </c>
      <c r="E797" s="2" t="s">
        <v>2648</v>
      </c>
      <c r="F797" s="30"/>
      <c r="G797" s="1264"/>
      <c r="H797" s="30" t="s">
        <v>2071</v>
      </c>
      <c r="I797" s="51" t="s">
        <v>2649</v>
      </c>
      <c r="J797" s="2" t="s">
        <v>39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1"/>
      <c r="B798" s="1"/>
      <c r="C798" s="9">
        <v>44441</v>
      </c>
      <c r="D798" s="17" t="s">
        <v>2650</v>
      </c>
      <c r="E798" s="2" t="s">
        <v>2651</v>
      </c>
      <c r="F798" s="30"/>
      <c r="G798" s="1264"/>
      <c r="H798" s="30" t="s">
        <v>2389</v>
      </c>
      <c r="I798" s="51" t="s">
        <v>2652</v>
      </c>
      <c r="J798" s="2" t="s">
        <v>39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1"/>
      <c r="B799" s="1"/>
      <c r="C799" s="9">
        <v>44441</v>
      </c>
      <c r="D799" s="17" t="s">
        <v>209</v>
      </c>
      <c r="E799" s="2" t="s">
        <v>2653</v>
      </c>
      <c r="F799" s="30"/>
      <c r="G799" s="1264"/>
      <c r="H799" s="30" t="s">
        <v>2071</v>
      </c>
      <c r="I799" s="10" t="s">
        <v>2654</v>
      </c>
      <c r="J799" s="2" t="s">
        <v>2318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1"/>
      <c r="B800" s="1"/>
      <c r="C800" s="9">
        <v>44441</v>
      </c>
      <c r="D800" s="17" t="s">
        <v>2655</v>
      </c>
      <c r="E800" s="2" t="s">
        <v>2656</v>
      </c>
      <c r="F800" s="30"/>
      <c r="G800" s="1264"/>
      <c r="H800" s="30" t="s">
        <v>2071</v>
      </c>
      <c r="I800" s="51" t="s">
        <v>2657</v>
      </c>
      <c r="J800" s="2" t="s">
        <v>39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1"/>
      <c r="B801" s="1"/>
      <c r="C801" s="9">
        <v>44447</v>
      </c>
      <c r="D801" s="17" t="s">
        <v>2658</v>
      </c>
      <c r="E801" s="2" t="s">
        <v>2659</v>
      </c>
      <c r="F801" s="30"/>
      <c r="G801" s="1264"/>
      <c r="H801" s="30"/>
      <c r="I801" s="51" t="s">
        <v>2660</v>
      </c>
      <c r="J801" s="2" t="s">
        <v>39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1"/>
      <c r="B802" s="1"/>
      <c r="C802" s="9">
        <v>44448</v>
      </c>
      <c r="D802" s="17" t="s">
        <v>1829</v>
      </c>
      <c r="E802" s="2" t="s">
        <v>2661</v>
      </c>
      <c r="F802" s="30"/>
      <c r="G802" s="1264"/>
      <c r="H802" s="30" t="s">
        <v>1392</v>
      </c>
      <c r="I802" s="51" t="s">
        <v>2662</v>
      </c>
      <c r="J802" s="2" t="s">
        <v>39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1"/>
      <c r="B803" s="1"/>
      <c r="C803" s="9">
        <v>44448</v>
      </c>
      <c r="D803" s="17" t="s">
        <v>2663</v>
      </c>
      <c r="E803" s="2" t="s">
        <v>2664</v>
      </c>
      <c r="F803" s="30"/>
      <c r="G803" s="1264"/>
      <c r="H803" s="30" t="s">
        <v>2268</v>
      </c>
      <c r="I803" s="51" t="s">
        <v>2665</v>
      </c>
      <c r="J803" s="2" t="s">
        <v>507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1"/>
      <c r="B804" s="1"/>
      <c r="C804" s="9">
        <v>44449</v>
      </c>
      <c r="D804" s="17" t="s">
        <v>1146</v>
      </c>
      <c r="E804" s="2" t="s">
        <v>2666</v>
      </c>
      <c r="F804" s="30"/>
      <c r="G804" s="1264"/>
      <c r="H804" s="30" t="s">
        <v>2067</v>
      </c>
      <c r="I804" s="39" t="s">
        <v>2667</v>
      </c>
      <c r="J804" s="2" t="s">
        <v>39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1"/>
      <c r="B805" s="1"/>
      <c r="C805" s="9">
        <v>44452</v>
      </c>
      <c r="D805" s="17" t="s">
        <v>2668</v>
      </c>
      <c r="E805" s="2" t="s">
        <v>2669</v>
      </c>
      <c r="F805" s="30"/>
      <c r="G805" s="1264"/>
      <c r="H805" s="30" t="s">
        <v>2389</v>
      </c>
      <c r="I805" s="39" t="s">
        <v>2670</v>
      </c>
      <c r="J805" s="2" t="s">
        <v>507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1"/>
      <c r="B806" s="1"/>
      <c r="C806" s="9">
        <v>44453</v>
      </c>
      <c r="D806" s="17" t="s">
        <v>2671</v>
      </c>
      <c r="E806" s="2" t="s">
        <v>2672</v>
      </c>
      <c r="F806" s="30"/>
      <c r="G806" s="1264"/>
      <c r="H806" s="30" t="s">
        <v>1602</v>
      </c>
      <c r="I806" s="39" t="s">
        <v>2673</v>
      </c>
      <c r="J806" s="2" t="s">
        <v>507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1"/>
      <c r="B807" s="1"/>
      <c r="C807" s="9">
        <v>44453</v>
      </c>
      <c r="D807" s="17" t="s">
        <v>2674</v>
      </c>
      <c r="E807" s="2" t="s">
        <v>2675</v>
      </c>
      <c r="F807" s="30"/>
      <c r="G807" s="1264"/>
      <c r="H807" s="30" t="s">
        <v>1602</v>
      </c>
      <c r="I807" s="39" t="s">
        <v>2676</v>
      </c>
      <c r="J807" s="2" t="s">
        <v>39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1"/>
      <c r="B808" s="1"/>
      <c r="C808" s="9">
        <v>44456</v>
      </c>
      <c r="D808" s="17" t="s">
        <v>2085</v>
      </c>
      <c r="E808" s="2" t="s">
        <v>2086</v>
      </c>
      <c r="F808" s="30"/>
      <c r="G808" s="1264"/>
      <c r="H808" s="30" t="s">
        <v>2067</v>
      </c>
      <c r="I808" s="39" t="s">
        <v>2677</v>
      </c>
      <c r="J808" s="2" t="s">
        <v>39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1"/>
      <c r="B809" s="1"/>
      <c r="C809" s="9">
        <v>44456</v>
      </c>
      <c r="D809" s="17" t="s">
        <v>2678</v>
      </c>
      <c r="E809" s="2" t="s">
        <v>2125</v>
      </c>
      <c r="F809" s="30"/>
      <c r="G809" s="1264"/>
      <c r="H809" s="30" t="s">
        <v>1781</v>
      </c>
      <c r="I809" s="39" t="s">
        <v>2679</v>
      </c>
      <c r="J809" s="2" t="s">
        <v>39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1"/>
      <c r="B810" s="1"/>
      <c r="C810" s="9">
        <v>44456</v>
      </c>
      <c r="D810" s="17" t="s">
        <v>2680</v>
      </c>
      <c r="E810" s="2" t="s">
        <v>2681</v>
      </c>
      <c r="F810" s="30"/>
      <c r="G810" s="1264"/>
      <c r="H810" s="30" t="s">
        <v>1602</v>
      </c>
      <c r="I810" s="39" t="s">
        <v>2682</v>
      </c>
      <c r="J810" s="2" t="s">
        <v>39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1"/>
      <c r="B811" s="1"/>
      <c r="C811" s="9">
        <v>44456</v>
      </c>
      <c r="D811" s="17" t="s">
        <v>2683</v>
      </c>
      <c r="E811" s="2" t="s">
        <v>2684</v>
      </c>
      <c r="F811" s="30"/>
      <c r="G811" s="1264"/>
      <c r="H811" s="30" t="s">
        <v>1591</v>
      </c>
      <c r="I811" s="39" t="s">
        <v>2685</v>
      </c>
      <c r="J811" s="2" t="s">
        <v>39</v>
      </c>
      <c r="K811" s="30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1"/>
      <c r="B812" s="1"/>
      <c r="C812" s="9">
        <v>44457</v>
      </c>
      <c r="D812" s="17" t="s">
        <v>2686</v>
      </c>
      <c r="E812" s="2" t="s">
        <v>2687</v>
      </c>
      <c r="F812" s="30"/>
      <c r="G812" s="1264"/>
      <c r="H812" s="30" t="s">
        <v>2071</v>
      </c>
      <c r="I812" s="39" t="s">
        <v>2688</v>
      </c>
      <c r="J812" s="2" t="s">
        <v>507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1"/>
      <c r="B813" s="1"/>
      <c r="C813" s="1"/>
      <c r="D813" s="17" t="s">
        <v>2689</v>
      </c>
      <c r="E813" s="2" t="s">
        <v>2147</v>
      </c>
      <c r="F813" s="30"/>
      <c r="G813" s="1264"/>
      <c r="H813" s="30" t="s">
        <v>2067</v>
      </c>
      <c r="I813" s="39" t="s">
        <v>2690</v>
      </c>
      <c r="J813" s="2" t="s">
        <v>507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1"/>
      <c r="B814" s="1"/>
      <c r="C814" s="9">
        <v>44458</v>
      </c>
      <c r="D814" s="17" t="s">
        <v>2282</v>
      </c>
      <c r="E814" s="2" t="s">
        <v>2283</v>
      </c>
      <c r="F814" s="30"/>
      <c r="G814" s="1264"/>
      <c r="H814" s="30" t="s">
        <v>1955</v>
      </c>
      <c r="I814" s="39" t="s">
        <v>2691</v>
      </c>
      <c r="J814" s="2" t="s">
        <v>507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1"/>
      <c r="B815" s="1"/>
      <c r="C815" s="9">
        <v>44460</v>
      </c>
      <c r="D815" s="17" t="s">
        <v>2683</v>
      </c>
      <c r="E815" s="2" t="s">
        <v>2692</v>
      </c>
      <c r="F815" s="30"/>
      <c r="G815" s="1264"/>
      <c r="H815" s="30" t="s">
        <v>1591</v>
      </c>
      <c r="I815" s="39" t="s">
        <v>2693</v>
      </c>
      <c r="J815" s="2" t="s">
        <v>39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1"/>
      <c r="B816" s="1"/>
      <c r="C816" s="9">
        <v>44461</v>
      </c>
      <c r="D816" s="17" t="s">
        <v>2694</v>
      </c>
      <c r="E816" s="2" t="s">
        <v>2695</v>
      </c>
      <c r="F816" s="30"/>
      <c r="G816" s="1264"/>
      <c r="H816" s="30" t="s">
        <v>2696</v>
      </c>
      <c r="I816" s="39" t="s">
        <v>2697</v>
      </c>
      <c r="J816" s="2" t="s">
        <v>100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1"/>
      <c r="B817" s="1"/>
      <c r="C817" s="9">
        <v>44462</v>
      </c>
      <c r="D817" s="17" t="s">
        <v>2698</v>
      </c>
      <c r="E817" s="2" t="s">
        <v>1957</v>
      </c>
      <c r="F817" s="30"/>
      <c r="G817" s="1264"/>
      <c r="H817" s="30" t="s">
        <v>1478</v>
      </c>
      <c r="I817" s="39" t="s">
        <v>2699</v>
      </c>
      <c r="J817" s="2" t="s">
        <v>39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1"/>
      <c r="B818" s="1"/>
      <c r="C818" s="9">
        <v>44462</v>
      </c>
      <c r="D818" s="17" t="s">
        <v>2700</v>
      </c>
      <c r="E818" s="49" t="s">
        <v>1889</v>
      </c>
      <c r="F818" s="30"/>
      <c r="G818" s="1264"/>
      <c r="H818" s="30" t="s">
        <v>2067</v>
      </c>
      <c r="I818" s="39" t="s">
        <v>2701</v>
      </c>
      <c r="J818" s="2" t="s">
        <v>39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1"/>
      <c r="B819" s="1"/>
      <c r="C819" s="9">
        <v>44463</v>
      </c>
      <c r="D819" s="17" t="s">
        <v>2702</v>
      </c>
      <c r="E819" s="2" t="s">
        <v>2423</v>
      </c>
      <c r="F819" s="30"/>
      <c r="G819" s="1264"/>
      <c r="H819" s="30" t="s">
        <v>2389</v>
      </c>
      <c r="I819" s="39" t="s">
        <v>2703</v>
      </c>
      <c r="J819" s="2" t="s">
        <v>507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1"/>
      <c r="B820" s="1"/>
      <c r="C820" s="9">
        <v>44463</v>
      </c>
      <c r="D820" s="17" t="s">
        <v>2704</v>
      </c>
      <c r="E820" s="2" t="s">
        <v>2705</v>
      </c>
      <c r="F820" s="30"/>
      <c r="G820" s="1264"/>
      <c r="H820" s="30" t="s">
        <v>1275</v>
      </c>
      <c r="I820" s="39" t="s">
        <v>2706</v>
      </c>
      <c r="J820" s="2" t="s">
        <v>39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1"/>
      <c r="B821" s="1"/>
      <c r="C821" s="9">
        <v>44463</v>
      </c>
      <c r="D821" s="17" t="s">
        <v>2707</v>
      </c>
      <c r="E821" s="2" t="s">
        <v>2708</v>
      </c>
      <c r="F821" s="30"/>
      <c r="G821" s="1264"/>
      <c r="H821" s="30" t="s">
        <v>516</v>
      </c>
      <c r="I821" s="39" t="s">
        <v>2709</v>
      </c>
      <c r="J821" s="2" t="s">
        <v>507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1"/>
      <c r="B822" s="1"/>
      <c r="C822" s="9">
        <v>44464</v>
      </c>
      <c r="D822" s="17" t="s">
        <v>2710</v>
      </c>
      <c r="E822" s="2" t="s">
        <v>511</v>
      </c>
      <c r="F822" s="30"/>
      <c r="G822" s="1264"/>
      <c r="H822" s="30" t="s">
        <v>2711</v>
      </c>
      <c r="I822" s="39" t="s">
        <v>2712</v>
      </c>
      <c r="J822" s="2" t="s">
        <v>528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1"/>
      <c r="B823" s="1"/>
      <c r="C823" s="9">
        <v>44464</v>
      </c>
      <c r="D823" s="17" t="s">
        <v>2713</v>
      </c>
      <c r="E823" s="2" t="s">
        <v>2714</v>
      </c>
      <c r="F823" s="30"/>
      <c r="G823" s="1264"/>
      <c r="H823" s="30" t="s">
        <v>1785</v>
      </c>
      <c r="I823" s="39" t="s">
        <v>2715</v>
      </c>
      <c r="J823" s="2" t="s">
        <v>507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1"/>
      <c r="B824" s="1"/>
      <c r="C824" s="9">
        <v>44466</v>
      </c>
      <c r="D824" s="17"/>
      <c r="E824" s="2" t="s">
        <v>2716</v>
      </c>
      <c r="F824" s="30"/>
      <c r="G824" s="1264"/>
      <c r="H824" s="30" t="s">
        <v>2366</v>
      </c>
      <c r="I824" s="39" t="s">
        <v>2717</v>
      </c>
      <c r="J824" s="2" t="s">
        <v>507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1"/>
      <c r="B825" s="1"/>
      <c r="C825" s="9">
        <v>44466</v>
      </c>
      <c r="D825" s="17" t="s">
        <v>2718</v>
      </c>
      <c r="E825" s="2" t="s">
        <v>2719</v>
      </c>
      <c r="F825" s="30"/>
      <c r="G825" s="1264"/>
      <c r="H825" s="30" t="s">
        <v>2366</v>
      </c>
      <c r="I825" s="39" t="s">
        <v>2720</v>
      </c>
      <c r="J825" s="2" t="s">
        <v>39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1"/>
      <c r="B826" s="1"/>
      <c r="C826" s="9">
        <v>44468</v>
      </c>
      <c r="D826" s="17" t="s">
        <v>2721</v>
      </c>
      <c r="E826" s="2" t="s">
        <v>2722</v>
      </c>
      <c r="F826" s="30"/>
      <c r="G826" s="1264"/>
      <c r="H826" s="30" t="s">
        <v>1478</v>
      </c>
      <c r="I826" s="39" t="s">
        <v>2723</v>
      </c>
      <c r="J826" s="2" t="s">
        <v>39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1"/>
      <c r="B827" s="1"/>
      <c r="C827" s="9">
        <v>44468</v>
      </c>
      <c r="D827" s="17" t="s">
        <v>2724</v>
      </c>
      <c r="E827" s="2" t="s">
        <v>2725</v>
      </c>
      <c r="F827" s="30"/>
      <c r="G827" s="1264"/>
      <c r="H827" s="30" t="s">
        <v>1478</v>
      </c>
      <c r="I827" s="39" t="s">
        <v>2726</v>
      </c>
      <c r="J827" s="2" t="s">
        <v>39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1"/>
      <c r="B828" s="1"/>
      <c r="C828" s="9">
        <v>44468</v>
      </c>
      <c r="D828" s="17" t="s">
        <v>2727</v>
      </c>
      <c r="E828" s="2" t="s">
        <v>2728</v>
      </c>
      <c r="F828" s="30"/>
      <c r="G828" s="1264"/>
      <c r="H828" s="30" t="s">
        <v>2611</v>
      </c>
      <c r="I828" s="39" t="s">
        <v>2729</v>
      </c>
      <c r="J828" s="2" t="s">
        <v>507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1"/>
      <c r="B829" s="1"/>
      <c r="C829" s="9">
        <v>44469</v>
      </c>
      <c r="D829" s="17" t="s">
        <v>2730</v>
      </c>
      <c r="E829" s="2" t="s">
        <v>2731</v>
      </c>
      <c r="F829" s="30"/>
      <c r="G829" s="1264"/>
      <c r="H829" s="30" t="s">
        <v>1383</v>
      </c>
      <c r="I829" s="39" t="s">
        <v>2732</v>
      </c>
      <c r="J829" s="2" t="s">
        <v>507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1"/>
      <c r="B830" s="1"/>
      <c r="C830" s="9">
        <v>44469</v>
      </c>
      <c r="D830" s="17" t="s">
        <v>2733</v>
      </c>
      <c r="E830" s="2" t="s">
        <v>2734</v>
      </c>
      <c r="F830" s="30"/>
      <c r="G830" s="1264"/>
      <c r="H830" s="30" t="s">
        <v>1383</v>
      </c>
      <c r="I830" s="39" t="s">
        <v>2735</v>
      </c>
      <c r="J830" s="2" t="s">
        <v>507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1"/>
      <c r="B831" s="1"/>
      <c r="C831" s="9">
        <v>44470</v>
      </c>
      <c r="D831" s="17" t="s">
        <v>2736</v>
      </c>
      <c r="E831" s="2" t="s">
        <v>436</v>
      </c>
      <c r="F831" s="30"/>
      <c r="G831" s="1264"/>
      <c r="H831" s="30" t="s">
        <v>516</v>
      </c>
      <c r="I831" s="39" t="s">
        <v>2737</v>
      </c>
      <c r="J831" s="2" t="s">
        <v>39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1"/>
      <c r="B832" s="1"/>
      <c r="C832" s="9">
        <v>44470</v>
      </c>
      <c r="D832" s="17" t="s">
        <v>2736</v>
      </c>
      <c r="E832" s="2" t="s">
        <v>518</v>
      </c>
      <c r="F832" s="30"/>
      <c r="G832" s="1264"/>
      <c r="H832" s="30" t="s">
        <v>516</v>
      </c>
      <c r="I832" s="39" t="s">
        <v>2738</v>
      </c>
      <c r="J832" s="2" t="s">
        <v>39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1"/>
      <c r="B833" s="1"/>
      <c r="C833" s="9">
        <v>44474</v>
      </c>
      <c r="D833" s="17" t="s">
        <v>2158</v>
      </c>
      <c r="E833" s="2" t="s">
        <v>2739</v>
      </c>
      <c r="F833" s="30"/>
      <c r="G833" s="1264"/>
      <c r="H833" s="30" t="s">
        <v>2071</v>
      </c>
      <c r="I833" s="39" t="s">
        <v>2740</v>
      </c>
      <c r="J833" s="2" t="s">
        <v>39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1"/>
      <c r="B834" s="1"/>
      <c r="C834" s="9">
        <v>44474</v>
      </c>
      <c r="D834" s="17" t="s">
        <v>2741</v>
      </c>
      <c r="E834" s="2" t="s">
        <v>2742</v>
      </c>
      <c r="F834" s="30"/>
      <c r="G834" s="1264"/>
      <c r="H834" s="30" t="s">
        <v>2067</v>
      </c>
      <c r="I834" s="39" t="s">
        <v>2743</v>
      </c>
      <c r="J834" s="2" t="s">
        <v>528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1"/>
      <c r="B835" s="1"/>
      <c r="C835" s="9">
        <v>44474</v>
      </c>
      <c r="D835" s="17" t="s">
        <v>2744</v>
      </c>
      <c r="E835" s="2" t="s">
        <v>2745</v>
      </c>
      <c r="F835" s="30"/>
      <c r="G835" s="1264"/>
      <c r="H835" s="30" t="s">
        <v>1383</v>
      </c>
      <c r="I835" s="2" t="s">
        <v>2746</v>
      </c>
      <c r="J835" s="2" t="s">
        <v>528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1"/>
      <c r="B836" s="1"/>
      <c r="C836" s="9">
        <v>44475</v>
      </c>
      <c r="D836" s="17"/>
      <c r="E836" s="2" t="s">
        <v>901</v>
      </c>
      <c r="F836" s="30"/>
      <c r="G836" s="1264"/>
      <c r="H836" s="30" t="s">
        <v>2067</v>
      </c>
      <c r="I836" s="39" t="s">
        <v>2747</v>
      </c>
      <c r="J836" s="2" t="s">
        <v>39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1"/>
      <c r="B837" s="1"/>
      <c r="C837" s="9">
        <v>44475</v>
      </c>
      <c r="D837" s="17"/>
      <c r="E837" s="2" t="s">
        <v>2008</v>
      </c>
      <c r="F837" s="30"/>
      <c r="G837" s="1264"/>
      <c r="H837" s="30" t="s">
        <v>2071</v>
      </c>
      <c r="I837" s="39" t="s">
        <v>2748</v>
      </c>
      <c r="J837" s="2" t="s">
        <v>507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1"/>
      <c r="B838" s="1"/>
      <c r="C838" s="9">
        <v>44477</v>
      </c>
      <c r="D838" s="17" t="s">
        <v>2749</v>
      </c>
      <c r="E838" s="2" t="s">
        <v>2038</v>
      </c>
      <c r="F838" s="30"/>
      <c r="G838" s="1264"/>
      <c r="H838" s="30" t="s">
        <v>2389</v>
      </c>
      <c r="I838" s="39" t="s">
        <v>2750</v>
      </c>
      <c r="J838" s="2" t="s">
        <v>39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1"/>
      <c r="B839" s="1"/>
      <c r="C839" s="9">
        <v>44477</v>
      </c>
      <c r="D839" s="17" t="s">
        <v>2751</v>
      </c>
      <c r="E839" s="2" t="s">
        <v>2752</v>
      </c>
      <c r="F839" s="30"/>
      <c r="G839" s="1264"/>
      <c r="H839" s="30" t="s">
        <v>1591</v>
      </c>
      <c r="I839" s="39" t="s">
        <v>2753</v>
      </c>
      <c r="J839" s="2" t="s">
        <v>39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1"/>
      <c r="B840" s="1"/>
      <c r="C840" s="9">
        <v>44477</v>
      </c>
      <c r="D840" s="17" t="s">
        <v>2751</v>
      </c>
      <c r="E840" s="2" t="s">
        <v>2754</v>
      </c>
      <c r="F840" s="30"/>
      <c r="G840" s="1264"/>
      <c r="H840" s="30" t="s">
        <v>2207</v>
      </c>
      <c r="I840" s="39" t="s">
        <v>2755</v>
      </c>
      <c r="J840" s="2" t="s">
        <v>39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1"/>
      <c r="B841" s="1"/>
      <c r="C841" s="9">
        <v>44482</v>
      </c>
      <c r="D841" s="17" t="s">
        <v>2105</v>
      </c>
      <c r="E841" s="2" t="s">
        <v>1593</v>
      </c>
      <c r="F841" s="30"/>
      <c r="G841" s="1264"/>
      <c r="H841" s="30" t="s">
        <v>2134</v>
      </c>
      <c r="I841" s="39" t="s">
        <v>2756</v>
      </c>
      <c r="J841" s="2" t="s">
        <v>507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1"/>
      <c r="B842" s="1"/>
      <c r="C842" s="9">
        <v>44482</v>
      </c>
      <c r="D842" s="17">
        <v>9508815848</v>
      </c>
      <c r="E842" s="2" t="s">
        <v>2757</v>
      </c>
      <c r="F842" s="30"/>
      <c r="G842" s="1264"/>
      <c r="H842" s="30" t="s">
        <v>1825</v>
      </c>
      <c r="I842" s="39" t="s">
        <v>2758</v>
      </c>
      <c r="J842" s="2" t="s">
        <v>39</v>
      </c>
      <c r="K842" s="2" t="s">
        <v>2759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1"/>
      <c r="B843" s="1"/>
      <c r="C843" s="1"/>
      <c r="D843" s="17"/>
      <c r="E843" s="2" t="s">
        <v>2760</v>
      </c>
      <c r="F843" s="30"/>
      <c r="G843" s="1264"/>
      <c r="H843" s="30"/>
      <c r="I843" s="39" t="s">
        <v>2761</v>
      </c>
      <c r="J843" s="2" t="s">
        <v>507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1"/>
      <c r="B844" s="1"/>
      <c r="C844" s="9">
        <v>44487</v>
      </c>
      <c r="D844" s="17" t="s">
        <v>2762</v>
      </c>
      <c r="E844" s="2" t="s">
        <v>2763</v>
      </c>
      <c r="F844" s="30"/>
      <c r="G844" s="1264"/>
      <c r="H844" s="30" t="s">
        <v>2764</v>
      </c>
      <c r="I844" s="39" t="s">
        <v>2765</v>
      </c>
      <c r="J844" s="2" t="s">
        <v>39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1"/>
      <c r="B845" s="1"/>
      <c r="C845" s="9">
        <v>44488</v>
      </c>
      <c r="D845" s="17" t="s">
        <v>2766</v>
      </c>
      <c r="E845" s="2" t="s">
        <v>2767</v>
      </c>
      <c r="F845" s="30"/>
      <c r="G845" s="1264"/>
      <c r="H845" s="30" t="s">
        <v>2067</v>
      </c>
      <c r="I845" s="51" t="s">
        <v>2768</v>
      </c>
      <c r="J845" s="2" t="s">
        <v>39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1"/>
      <c r="B846" s="1"/>
      <c r="C846" s="9">
        <v>44489</v>
      </c>
      <c r="D846" s="17" t="s">
        <v>209</v>
      </c>
      <c r="E846" s="2" t="s">
        <v>2769</v>
      </c>
      <c r="F846" s="30"/>
      <c r="G846" s="1264"/>
      <c r="H846" s="30"/>
      <c r="I846" s="51" t="s">
        <v>2770</v>
      </c>
      <c r="J846" s="2" t="s">
        <v>507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1"/>
      <c r="B847" s="1"/>
      <c r="C847" s="1"/>
      <c r="D847" s="17"/>
      <c r="E847" s="2" t="s">
        <v>2771</v>
      </c>
      <c r="F847" s="30"/>
      <c r="G847" s="1264"/>
      <c r="H847" s="30" t="s">
        <v>1825</v>
      </c>
      <c r="I847" s="51" t="s">
        <v>2772</v>
      </c>
      <c r="J847" s="2" t="s">
        <v>507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1"/>
      <c r="B848" s="1"/>
      <c r="C848" s="9">
        <v>44492</v>
      </c>
      <c r="D848" s="17" t="s">
        <v>2773</v>
      </c>
      <c r="E848" s="2" t="s">
        <v>2774</v>
      </c>
      <c r="F848" s="30"/>
      <c r="G848" s="1264"/>
      <c r="H848" s="30" t="s">
        <v>2775</v>
      </c>
      <c r="I848" s="39" t="s">
        <v>2776</v>
      </c>
      <c r="J848" s="2" t="s">
        <v>507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1"/>
      <c r="B849" s="1"/>
      <c r="C849" s="9">
        <v>44494</v>
      </c>
      <c r="D849" s="17" t="s">
        <v>2777</v>
      </c>
      <c r="E849" s="2" t="s">
        <v>2778</v>
      </c>
      <c r="F849" s="30"/>
      <c r="G849" s="1264"/>
      <c r="H849" s="30" t="s">
        <v>2779</v>
      </c>
      <c r="I849" s="39" t="s">
        <v>2780</v>
      </c>
      <c r="J849" s="2" t="s">
        <v>507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1"/>
      <c r="B850" s="1"/>
      <c r="C850" s="9">
        <v>44494</v>
      </c>
      <c r="D850" s="17" t="s">
        <v>2781</v>
      </c>
      <c r="E850" s="2" t="s">
        <v>2782</v>
      </c>
      <c r="F850" s="30"/>
      <c r="G850" s="1264"/>
      <c r="H850" s="30" t="s">
        <v>2783</v>
      </c>
      <c r="I850" s="2" t="s">
        <v>2784</v>
      </c>
      <c r="J850" s="2" t="s">
        <v>507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1"/>
      <c r="B851" s="1"/>
      <c r="C851" s="9">
        <v>44497</v>
      </c>
      <c r="D851" s="17" t="s">
        <v>2105</v>
      </c>
      <c r="E851" s="2" t="s">
        <v>985</v>
      </c>
      <c r="F851" s="30"/>
      <c r="G851" s="1264"/>
      <c r="H851" s="30" t="s">
        <v>2268</v>
      </c>
      <c r="I851" s="2" t="s">
        <v>2756</v>
      </c>
      <c r="J851" s="2" t="s">
        <v>507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1"/>
      <c r="B852" s="1"/>
      <c r="C852" s="9">
        <v>44498</v>
      </c>
      <c r="D852" s="17" t="s">
        <v>2785</v>
      </c>
      <c r="E852" s="2" t="s">
        <v>2786</v>
      </c>
      <c r="F852" s="30"/>
      <c r="G852" s="1264"/>
      <c r="H852" s="30" t="s">
        <v>1392</v>
      </c>
      <c r="I852" s="2" t="s">
        <v>2787</v>
      </c>
      <c r="J852" s="2" t="s">
        <v>100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1"/>
      <c r="B853" s="1"/>
      <c r="C853" s="9">
        <v>44498</v>
      </c>
      <c r="D853" s="17" t="s">
        <v>2788</v>
      </c>
      <c r="E853" s="2" t="s">
        <v>2789</v>
      </c>
      <c r="F853" s="30"/>
      <c r="G853" s="1264"/>
      <c r="H853" s="30" t="s">
        <v>2268</v>
      </c>
      <c r="I853" s="2" t="s">
        <v>2790</v>
      </c>
      <c r="J853" s="2" t="s">
        <v>39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1"/>
      <c r="B854" s="1"/>
      <c r="C854" s="9">
        <v>44498</v>
      </c>
      <c r="D854" s="17" t="s">
        <v>514</v>
      </c>
      <c r="E854" s="2" t="s">
        <v>2791</v>
      </c>
      <c r="F854" s="30"/>
      <c r="G854" s="1264"/>
      <c r="H854" s="30" t="s">
        <v>2268</v>
      </c>
      <c r="I854" s="2" t="s">
        <v>2792</v>
      </c>
      <c r="J854" s="2" t="s">
        <v>507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1"/>
      <c r="B855" s="1"/>
      <c r="C855" s="9">
        <v>44498</v>
      </c>
      <c r="D855" s="17"/>
      <c r="E855" s="2" t="s">
        <v>2793</v>
      </c>
      <c r="F855" s="30"/>
      <c r="G855" s="1264"/>
      <c r="H855" s="30" t="s">
        <v>2268</v>
      </c>
      <c r="I855" s="2" t="s">
        <v>2794</v>
      </c>
      <c r="J855" s="2" t="s">
        <v>507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1"/>
      <c r="B856" s="1"/>
      <c r="C856" s="24">
        <v>44498</v>
      </c>
      <c r="D856" s="16" t="s">
        <v>2795</v>
      </c>
      <c r="E856" s="11" t="s">
        <v>2500</v>
      </c>
      <c r="F856" s="38"/>
      <c r="G856" s="1266"/>
      <c r="H856" s="38" t="s">
        <v>2366</v>
      </c>
      <c r="I856" s="11" t="s">
        <v>2796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1"/>
      <c r="B857" s="1"/>
      <c r="C857" s="9">
        <v>44499</v>
      </c>
      <c r="D857" s="17" t="s">
        <v>2642</v>
      </c>
      <c r="E857" s="2" t="s">
        <v>1938</v>
      </c>
      <c r="F857" s="50"/>
      <c r="G857" s="1268"/>
      <c r="H857" s="1" t="s">
        <v>2071</v>
      </c>
      <c r="I857" s="39" t="s">
        <v>2797</v>
      </c>
      <c r="J857" s="2" t="s">
        <v>39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1"/>
      <c r="B858" s="1"/>
      <c r="C858" s="9">
        <v>44500</v>
      </c>
      <c r="D858" s="17" t="s">
        <v>1066</v>
      </c>
      <c r="E858" s="2" t="s">
        <v>1067</v>
      </c>
      <c r="F858" s="30"/>
      <c r="G858" s="1264"/>
      <c r="H858" s="1" t="s">
        <v>2071</v>
      </c>
      <c r="I858" s="39" t="s">
        <v>2798</v>
      </c>
      <c r="J858" s="2" t="s">
        <v>507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1"/>
      <c r="B859" s="1"/>
      <c r="C859" s="9">
        <v>44501</v>
      </c>
      <c r="D859" s="17" t="s">
        <v>2799</v>
      </c>
      <c r="E859" s="2" t="s">
        <v>2800</v>
      </c>
      <c r="F859" s="30"/>
      <c r="G859" s="1264"/>
      <c r="H859" s="30" t="s">
        <v>2801</v>
      </c>
      <c r="I859" s="2" t="s">
        <v>2802</v>
      </c>
      <c r="J859" s="2" t="s">
        <v>507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1"/>
      <c r="B860" s="1"/>
      <c r="C860" s="9">
        <v>44501</v>
      </c>
      <c r="D860" s="17" t="s">
        <v>2803</v>
      </c>
      <c r="E860" s="2" t="s">
        <v>2804</v>
      </c>
      <c r="F860" s="30"/>
      <c r="G860" s="1264"/>
      <c r="H860" s="30" t="s">
        <v>1392</v>
      </c>
      <c r="I860" s="51" t="s">
        <v>2805</v>
      </c>
      <c r="J860" s="2" t="s">
        <v>39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1"/>
      <c r="B861" s="1"/>
      <c r="C861" s="9">
        <v>44502</v>
      </c>
      <c r="D861" s="17" t="s">
        <v>2806</v>
      </c>
      <c r="E861" s="2" t="s">
        <v>2807</v>
      </c>
      <c r="F861" s="30"/>
      <c r="G861" s="1264"/>
      <c r="H861" s="30" t="s">
        <v>1392</v>
      </c>
      <c r="I861" s="2" t="s">
        <v>2808</v>
      </c>
      <c r="J861" s="2" t="s">
        <v>507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1"/>
      <c r="B862" s="1"/>
      <c r="C862" s="9">
        <v>44503</v>
      </c>
      <c r="D862" s="17" t="s">
        <v>2809</v>
      </c>
      <c r="E862" s="2" t="s">
        <v>2810</v>
      </c>
      <c r="F862" s="30"/>
      <c r="G862" s="1264"/>
      <c r="H862" s="30" t="s">
        <v>1541</v>
      </c>
      <c r="I862" s="39" t="s">
        <v>2811</v>
      </c>
      <c r="J862" s="2" t="s">
        <v>39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1"/>
      <c r="B863" s="1"/>
      <c r="C863" s="9">
        <v>44503</v>
      </c>
      <c r="D863" s="17" t="s">
        <v>2812</v>
      </c>
      <c r="E863" s="2" t="s">
        <v>2813</v>
      </c>
      <c r="F863" s="30"/>
      <c r="G863" s="1264"/>
      <c r="H863" s="30" t="s">
        <v>2071</v>
      </c>
      <c r="I863" s="39" t="s">
        <v>2814</v>
      </c>
      <c r="J863" s="2" t="s">
        <v>39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1"/>
      <c r="B864" s="1"/>
      <c r="C864" s="9">
        <v>44512</v>
      </c>
      <c r="D864" s="17" t="s">
        <v>2795</v>
      </c>
      <c r="E864" s="2" t="s">
        <v>2500</v>
      </c>
      <c r="F864" s="30"/>
      <c r="G864" s="1264"/>
      <c r="H864" s="30" t="s">
        <v>2366</v>
      </c>
      <c r="I864" s="39" t="s">
        <v>2815</v>
      </c>
      <c r="J864" s="2" t="s">
        <v>39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1"/>
      <c r="B865" s="1"/>
      <c r="C865" s="9">
        <v>44512</v>
      </c>
      <c r="D865" s="17" t="s">
        <v>2816</v>
      </c>
      <c r="E865" s="2" t="s">
        <v>2089</v>
      </c>
      <c r="F865" s="30"/>
      <c r="G865" s="1264"/>
      <c r="H865" s="30" t="s">
        <v>324</v>
      </c>
      <c r="I865" s="39" t="s">
        <v>2817</v>
      </c>
      <c r="J865" s="2" t="s">
        <v>39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1"/>
      <c r="B866" s="1"/>
      <c r="C866" s="9">
        <v>44515</v>
      </c>
      <c r="D866" s="17" t="s">
        <v>962</v>
      </c>
      <c r="E866" s="2" t="s">
        <v>90</v>
      </c>
      <c r="F866" s="30"/>
      <c r="G866" s="1264"/>
      <c r="H866" s="30" t="s">
        <v>1383</v>
      </c>
      <c r="I866" s="39" t="s">
        <v>2818</v>
      </c>
      <c r="J866" s="2" t="s">
        <v>39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1"/>
      <c r="B867" s="1"/>
      <c r="C867" s="9">
        <v>44515</v>
      </c>
      <c r="D867" s="17" t="s">
        <v>2819</v>
      </c>
      <c r="E867" s="2" t="s">
        <v>2820</v>
      </c>
      <c r="F867" s="30"/>
      <c r="G867" s="1264"/>
      <c r="H867" s="30" t="s">
        <v>2366</v>
      </c>
      <c r="I867" s="39" t="s">
        <v>2821</v>
      </c>
      <c r="J867" s="2" t="s">
        <v>39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1"/>
      <c r="B868" s="1"/>
      <c r="C868" s="1"/>
      <c r="D868" s="17" t="s">
        <v>2749</v>
      </c>
      <c r="E868" s="2" t="s">
        <v>2822</v>
      </c>
      <c r="F868" s="30"/>
      <c r="G868" s="1264"/>
      <c r="H868" s="30"/>
      <c r="I868" s="39" t="s">
        <v>2823</v>
      </c>
      <c r="J868" s="2" t="s">
        <v>528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1"/>
      <c r="B869" s="1"/>
      <c r="C869" s="9">
        <v>44517</v>
      </c>
      <c r="D869" s="17" t="s">
        <v>2824</v>
      </c>
      <c r="E869" s="2" t="s">
        <v>2825</v>
      </c>
      <c r="F869" s="30"/>
      <c r="G869" s="1264"/>
      <c r="H869" s="30" t="s">
        <v>2071</v>
      </c>
      <c r="I869" s="39" t="s">
        <v>2826</v>
      </c>
      <c r="J869" s="2" t="s">
        <v>528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1"/>
      <c r="B870" s="1"/>
      <c r="C870" s="9">
        <v>44520</v>
      </c>
      <c r="D870" s="17" t="s">
        <v>2827</v>
      </c>
      <c r="E870" s="2" t="s">
        <v>2828</v>
      </c>
      <c r="F870" s="30"/>
      <c r="G870" s="1264"/>
      <c r="H870" s="30" t="s">
        <v>2134</v>
      </c>
      <c r="I870" s="39" t="s">
        <v>2829</v>
      </c>
      <c r="J870" s="2" t="s">
        <v>507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1"/>
      <c r="B871" s="1"/>
      <c r="C871" s="9">
        <v>44523</v>
      </c>
      <c r="D871" s="17" t="s">
        <v>1983</v>
      </c>
      <c r="E871" s="2" t="s">
        <v>1612</v>
      </c>
      <c r="F871" s="30"/>
      <c r="G871" s="1264"/>
      <c r="H871" s="30" t="s">
        <v>2071</v>
      </c>
      <c r="I871" s="39" t="s">
        <v>2830</v>
      </c>
      <c r="J871" s="2" t="s">
        <v>507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1"/>
      <c r="B872" s="1"/>
      <c r="C872" s="9">
        <v>44525</v>
      </c>
      <c r="D872" s="17" t="s">
        <v>2618</v>
      </c>
      <c r="E872" s="2" t="s">
        <v>2831</v>
      </c>
      <c r="F872" s="30"/>
      <c r="G872" s="1264"/>
      <c r="H872" s="30" t="s">
        <v>2071</v>
      </c>
      <c r="I872" s="39" t="s">
        <v>2832</v>
      </c>
      <c r="J872" s="2" t="s">
        <v>39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1"/>
      <c r="B873" s="1"/>
      <c r="C873" s="9">
        <v>44527</v>
      </c>
      <c r="D873" s="17" t="s">
        <v>2833</v>
      </c>
      <c r="E873" s="2" t="s">
        <v>2834</v>
      </c>
      <c r="F873" s="30"/>
      <c r="G873" s="1264"/>
      <c r="H873" s="30" t="s">
        <v>2067</v>
      </c>
      <c r="I873" s="39" t="s">
        <v>2835</v>
      </c>
      <c r="J873" s="2" t="s">
        <v>39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1"/>
      <c r="B874" s="1"/>
      <c r="C874" s="9">
        <v>44531</v>
      </c>
      <c r="D874" s="17" t="s">
        <v>2836</v>
      </c>
      <c r="E874" s="2" t="s">
        <v>2837</v>
      </c>
      <c r="F874" s="30"/>
      <c r="G874" s="1264"/>
      <c r="H874" s="30" t="s">
        <v>1873</v>
      </c>
      <c r="I874" s="39" t="s">
        <v>2838</v>
      </c>
      <c r="J874" s="2" t="s">
        <v>39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1"/>
      <c r="B875" s="1"/>
      <c r="C875" s="9">
        <v>44531</v>
      </c>
      <c r="D875" s="17" t="s">
        <v>2618</v>
      </c>
      <c r="E875" s="2" t="s">
        <v>2839</v>
      </c>
      <c r="F875" s="30"/>
      <c r="G875" s="1264"/>
      <c r="H875" s="30" t="s">
        <v>2071</v>
      </c>
      <c r="I875" s="39" t="s">
        <v>2840</v>
      </c>
      <c r="J875" s="2" t="s">
        <v>507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1"/>
      <c r="B876" s="1"/>
      <c r="C876" s="9">
        <v>44532</v>
      </c>
      <c r="D876" s="17" t="s">
        <v>2368</v>
      </c>
      <c r="E876" s="2" t="s">
        <v>2369</v>
      </c>
      <c r="F876" s="30"/>
      <c r="G876" s="1264"/>
      <c r="H876" s="30" t="s">
        <v>1392</v>
      </c>
      <c r="I876" s="39" t="s">
        <v>2841</v>
      </c>
      <c r="J876" s="2" t="s">
        <v>39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1"/>
      <c r="B877" s="1"/>
      <c r="C877" s="9">
        <v>44532</v>
      </c>
      <c r="D877" s="17" t="s">
        <v>1913</v>
      </c>
      <c r="E877" s="2" t="s">
        <v>1914</v>
      </c>
      <c r="F877" s="30"/>
      <c r="G877" s="1264"/>
      <c r="H877" s="30" t="s">
        <v>2071</v>
      </c>
      <c r="I877" s="39" t="s">
        <v>2842</v>
      </c>
      <c r="J877" s="2" t="s">
        <v>39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1"/>
      <c r="B878" s="1"/>
      <c r="C878" s="9">
        <v>44537</v>
      </c>
      <c r="D878" s="17" t="s">
        <v>2843</v>
      </c>
      <c r="E878" s="2" t="s">
        <v>2844</v>
      </c>
      <c r="F878" s="30"/>
      <c r="G878" s="1264"/>
      <c r="H878" s="30" t="s">
        <v>2071</v>
      </c>
      <c r="I878" s="39" t="s">
        <v>2845</v>
      </c>
      <c r="J878" s="2" t="s">
        <v>39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1"/>
      <c r="B879" s="1"/>
      <c r="C879" s="9">
        <v>44539</v>
      </c>
      <c r="D879" s="17" t="s">
        <v>1753</v>
      </c>
      <c r="E879" s="2" t="s">
        <v>1754</v>
      </c>
      <c r="F879" s="30"/>
      <c r="G879" s="1264"/>
      <c r="H879" s="30" t="s">
        <v>1873</v>
      </c>
      <c r="I879" s="51" t="s">
        <v>2846</v>
      </c>
      <c r="J879" s="2" t="s">
        <v>39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1"/>
      <c r="B880" s="1"/>
      <c r="C880" s="9">
        <v>44539</v>
      </c>
      <c r="D880" s="17" t="s">
        <v>2847</v>
      </c>
      <c r="E880" s="2" t="s">
        <v>2848</v>
      </c>
      <c r="F880" s="30"/>
      <c r="G880" s="1264"/>
      <c r="H880" s="30" t="s">
        <v>2389</v>
      </c>
      <c r="I880" s="39" t="s">
        <v>2849</v>
      </c>
      <c r="J880" s="2" t="s">
        <v>77</v>
      </c>
      <c r="K880" s="2">
        <v>1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1"/>
      <c r="B881" s="1"/>
      <c r="C881" s="9">
        <v>44541</v>
      </c>
      <c r="D881" s="17" t="s">
        <v>2850</v>
      </c>
      <c r="E881" s="2" t="s">
        <v>2851</v>
      </c>
      <c r="F881" s="30"/>
      <c r="G881" s="1264"/>
      <c r="H881" s="30" t="s">
        <v>1955</v>
      </c>
      <c r="I881" s="39" t="s">
        <v>2852</v>
      </c>
      <c r="J881" s="2" t="s">
        <v>77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1"/>
      <c r="B882" s="1"/>
      <c r="C882" s="9">
        <v>44541</v>
      </c>
      <c r="D882" s="17" t="s">
        <v>209</v>
      </c>
      <c r="E882" s="2" t="s">
        <v>2853</v>
      </c>
      <c r="F882" s="30"/>
      <c r="G882" s="1264"/>
      <c r="H882" s="30" t="s">
        <v>1955</v>
      </c>
      <c r="I882" s="39" t="s">
        <v>2854</v>
      </c>
      <c r="J882" s="2" t="s">
        <v>507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1"/>
      <c r="B883" s="1"/>
      <c r="C883" s="9">
        <v>44544</v>
      </c>
      <c r="D883" s="17" t="s">
        <v>2855</v>
      </c>
      <c r="E883" s="2" t="s">
        <v>2856</v>
      </c>
      <c r="F883" s="30"/>
      <c r="G883" s="1264"/>
      <c r="H883" s="30" t="s">
        <v>2071</v>
      </c>
      <c r="I883" s="39" t="s">
        <v>2857</v>
      </c>
      <c r="J883" s="2" t="s">
        <v>528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1"/>
      <c r="B884" s="1"/>
      <c r="C884" s="9">
        <v>44544</v>
      </c>
      <c r="D884" s="17" t="s">
        <v>2855</v>
      </c>
      <c r="E884" s="2" t="s">
        <v>1871</v>
      </c>
      <c r="F884" s="30"/>
      <c r="G884" s="1264"/>
      <c r="H884" s="30" t="s">
        <v>2071</v>
      </c>
      <c r="I884" s="39" t="s">
        <v>2858</v>
      </c>
      <c r="J884" s="2" t="s">
        <v>528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1"/>
      <c r="B885" s="1"/>
      <c r="C885" s="9">
        <v>44544</v>
      </c>
      <c r="D885" s="17" t="s">
        <v>2859</v>
      </c>
      <c r="E885" s="2" t="s">
        <v>2742</v>
      </c>
      <c r="F885" s="30"/>
      <c r="G885" s="1264"/>
      <c r="H885" s="30" t="s">
        <v>2067</v>
      </c>
      <c r="I885" s="39" t="s">
        <v>2860</v>
      </c>
      <c r="J885" s="2" t="s">
        <v>77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1"/>
      <c r="B886" s="1"/>
      <c r="C886" s="9">
        <v>44547</v>
      </c>
      <c r="D886" s="17" t="s">
        <v>2861</v>
      </c>
      <c r="E886" s="2" t="s">
        <v>2862</v>
      </c>
      <c r="F886" s="30"/>
      <c r="G886" s="1264"/>
      <c r="H886" s="30" t="s">
        <v>1955</v>
      </c>
      <c r="I886" s="39" t="s">
        <v>2863</v>
      </c>
      <c r="J886" s="2" t="s">
        <v>39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1"/>
      <c r="B887" s="1"/>
      <c r="C887" s="1"/>
      <c r="D887" s="17"/>
      <c r="E887" s="2" t="s">
        <v>2864</v>
      </c>
      <c r="F887" s="2" t="s">
        <v>2865</v>
      </c>
      <c r="G887" s="1269"/>
      <c r="H887" s="30" t="s">
        <v>1508</v>
      </c>
      <c r="I887" s="54" t="s">
        <v>2866</v>
      </c>
      <c r="J887" s="2" t="s">
        <v>538</v>
      </c>
      <c r="K887" s="2"/>
      <c r="L887" s="54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1"/>
      <c r="B888" s="1"/>
      <c r="C888" s="9">
        <v>44549</v>
      </c>
      <c r="D888" s="17" t="s">
        <v>2867</v>
      </c>
      <c r="E888" s="2" t="s">
        <v>242</v>
      </c>
      <c r="F888" s="30"/>
      <c r="G888" s="1264"/>
      <c r="H888" s="30" t="s">
        <v>516</v>
      </c>
      <c r="I888" s="39" t="s">
        <v>2868</v>
      </c>
      <c r="J888" s="2" t="s">
        <v>39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1"/>
      <c r="B889" s="1"/>
      <c r="C889" s="9">
        <v>44551</v>
      </c>
      <c r="D889" s="17"/>
      <c r="E889" s="2" t="s">
        <v>2869</v>
      </c>
      <c r="F889" s="30"/>
      <c r="G889" s="1264"/>
      <c r="H889" s="30"/>
      <c r="I889" s="39" t="s">
        <v>2870</v>
      </c>
      <c r="J889" s="2" t="s">
        <v>507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1"/>
      <c r="B890" s="1"/>
      <c r="C890" s="9">
        <v>44552</v>
      </c>
      <c r="D890" s="17" t="s">
        <v>2871</v>
      </c>
      <c r="E890" s="2" t="s">
        <v>2872</v>
      </c>
      <c r="F890" s="30"/>
      <c r="G890" s="1264"/>
      <c r="H890" s="30" t="s">
        <v>2873</v>
      </c>
      <c r="I890" s="39" t="s">
        <v>2874</v>
      </c>
      <c r="J890" s="2" t="s">
        <v>39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1"/>
      <c r="B891" s="1"/>
      <c r="C891" s="9">
        <v>44552</v>
      </c>
      <c r="D891" s="17" t="s">
        <v>2875</v>
      </c>
      <c r="E891" s="2" t="s">
        <v>2876</v>
      </c>
      <c r="F891" s="30"/>
      <c r="G891" s="1264"/>
      <c r="H891" s="30" t="s">
        <v>2067</v>
      </c>
      <c r="I891" s="39" t="s">
        <v>2877</v>
      </c>
      <c r="J891" s="2" t="s">
        <v>39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1"/>
      <c r="B892" s="1"/>
      <c r="C892" s="9">
        <v>44552</v>
      </c>
      <c r="D892" s="17" t="s">
        <v>2871</v>
      </c>
      <c r="E892" s="2" t="s">
        <v>2878</v>
      </c>
      <c r="F892" s="30"/>
      <c r="G892" s="1264"/>
      <c r="H892" s="30" t="s">
        <v>1955</v>
      </c>
      <c r="I892" s="39" t="s">
        <v>2879</v>
      </c>
      <c r="J892" s="2" t="s">
        <v>39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1"/>
      <c r="B893" s="1"/>
      <c r="C893" s="9">
        <v>44552</v>
      </c>
      <c r="D893" s="17" t="s">
        <v>2880</v>
      </c>
      <c r="E893" s="2" t="s">
        <v>2147</v>
      </c>
      <c r="F893" s="30"/>
      <c r="G893" s="1264"/>
      <c r="H893" s="30" t="s">
        <v>2047</v>
      </c>
      <c r="I893" s="39" t="s">
        <v>2881</v>
      </c>
      <c r="J893" s="2" t="s">
        <v>528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1"/>
      <c r="B894" s="1"/>
      <c r="C894" s="9">
        <v>44553</v>
      </c>
      <c r="D894" s="17" t="s">
        <v>2882</v>
      </c>
      <c r="E894" s="2" t="s">
        <v>148</v>
      </c>
      <c r="F894" s="30"/>
      <c r="G894" s="1264"/>
      <c r="H894" s="30" t="s">
        <v>516</v>
      </c>
      <c r="I894" s="39" t="s">
        <v>2883</v>
      </c>
      <c r="J894" s="2" t="s">
        <v>528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1"/>
      <c r="B895" s="1"/>
      <c r="C895" s="9">
        <v>44555</v>
      </c>
      <c r="D895" s="17"/>
      <c r="E895" s="2" t="s">
        <v>2834</v>
      </c>
      <c r="F895" s="30"/>
      <c r="G895" s="1264"/>
      <c r="H895" s="30" t="s">
        <v>2067</v>
      </c>
      <c r="I895" s="39" t="s">
        <v>2884</v>
      </c>
      <c r="J895" s="2" t="s">
        <v>39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1"/>
      <c r="B896" s="1"/>
      <c r="C896" s="9">
        <v>44557</v>
      </c>
      <c r="D896" s="17" t="s">
        <v>1829</v>
      </c>
      <c r="E896" s="2" t="s">
        <v>2885</v>
      </c>
      <c r="F896" s="30"/>
      <c r="G896" s="1264"/>
      <c r="H896" s="30" t="s">
        <v>2047</v>
      </c>
      <c r="I896" s="39" t="s">
        <v>2886</v>
      </c>
      <c r="J896" s="2" t="s">
        <v>39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1"/>
      <c r="B897" s="1"/>
      <c r="C897" s="9">
        <v>44558</v>
      </c>
      <c r="D897" s="17" t="s">
        <v>2887</v>
      </c>
      <c r="E897" s="2" t="s">
        <v>2888</v>
      </c>
      <c r="F897" s="30"/>
      <c r="G897" s="1264"/>
      <c r="H897" s="30" t="s">
        <v>2389</v>
      </c>
      <c r="I897" s="39" t="s">
        <v>2889</v>
      </c>
      <c r="J897" s="2" t="s">
        <v>39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1"/>
      <c r="B898" s="1"/>
      <c r="C898" s="9">
        <v>44558</v>
      </c>
      <c r="D898" s="17" t="s">
        <v>2890</v>
      </c>
      <c r="E898" s="2" t="s">
        <v>2891</v>
      </c>
      <c r="F898" s="30"/>
      <c r="G898" s="1264"/>
      <c r="H898" s="30" t="s">
        <v>2067</v>
      </c>
      <c r="I898" s="39" t="s">
        <v>2892</v>
      </c>
      <c r="J898" s="2" t="s">
        <v>39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1"/>
      <c r="B899" s="1"/>
      <c r="C899" s="9">
        <v>44559</v>
      </c>
      <c r="D899" s="17" t="s">
        <v>2893</v>
      </c>
      <c r="E899" s="2" t="s">
        <v>2894</v>
      </c>
      <c r="F899" s="30" t="s">
        <v>2895</v>
      </c>
      <c r="G899" s="1264"/>
      <c r="H899" s="30" t="s">
        <v>2696</v>
      </c>
      <c r="I899" s="39" t="s">
        <v>2896</v>
      </c>
      <c r="J899" s="2" t="s">
        <v>39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1"/>
      <c r="B900" s="1"/>
      <c r="C900" s="9">
        <v>44559</v>
      </c>
      <c r="D900" s="17"/>
      <c r="E900" s="2" t="s">
        <v>2864</v>
      </c>
      <c r="F900" s="2" t="s">
        <v>2865</v>
      </c>
      <c r="G900" s="1269"/>
      <c r="H900" s="30" t="s">
        <v>1508</v>
      </c>
      <c r="I900" s="39" t="s">
        <v>2897</v>
      </c>
      <c r="J900" s="2" t="s">
        <v>100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1"/>
      <c r="B901" s="1"/>
      <c r="C901" s="9">
        <v>44561</v>
      </c>
      <c r="D901" s="17" t="s">
        <v>2898</v>
      </c>
      <c r="E901" s="2" t="s">
        <v>901</v>
      </c>
      <c r="F901" s="30"/>
      <c r="G901" s="1264"/>
      <c r="H901" s="30"/>
      <c r="I901" s="39" t="s">
        <v>2899</v>
      </c>
      <c r="J901" s="2" t="s">
        <v>77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1"/>
      <c r="B902" s="1"/>
      <c r="C902" s="9">
        <v>44562</v>
      </c>
      <c r="D902" s="17" t="s">
        <v>2900</v>
      </c>
      <c r="E902" s="2" t="s">
        <v>2901</v>
      </c>
      <c r="F902" s="30" t="s">
        <v>2902</v>
      </c>
      <c r="G902" s="1264"/>
      <c r="H902" s="30" t="s">
        <v>2903</v>
      </c>
      <c r="I902" s="39" t="s">
        <v>2904</v>
      </c>
      <c r="J902" s="2" t="s">
        <v>39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1"/>
      <c r="B903" s="1"/>
      <c r="C903" s="9">
        <v>44563</v>
      </c>
      <c r="D903" s="17" t="s">
        <v>2905</v>
      </c>
      <c r="E903" s="2" t="s">
        <v>2906</v>
      </c>
      <c r="F903" s="30" t="s">
        <v>2907</v>
      </c>
      <c r="G903" s="1264"/>
      <c r="H903" s="30" t="s">
        <v>2696</v>
      </c>
      <c r="I903" s="39" t="s">
        <v>2908</v>
      </c>
      <c r="J903" s="2" t="s">
        <v>39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1"/>
      <c r="B904" s="1"/>
      <c r="C904" s="9">
        <v>44563</v>
      </c>
      <c r="D904" s="17" t="s">
        <v>2909</v>
      </c>
      <c r="E904" s="2" t="s">
        <v>2910</v>
      </c>
      <c r="F904" s="30" t="s">
        <v>2911</v>
      </c>
      <c r="G904" s="1264"/>
      <c r="H904" s="30" t="s">
        <v>2912</v>
      </c>
      <c r="I904" s="39" t="s">
        <v>2913</v>
      </c>
      <c r="J904" s="2" t="s">
        <v>39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1"/>
      <c r="B905" s="1"/>
      <c r="C905" s="9">
        <v>44201</v>
      </c>
      <c r="D905" s="17" t="s">
        <v>2914</v>
      </c>
      <c r="E905" s="2" t="s">
        <v>2915</v>
      </c>
      <c r="F905" s="30"/>
      <c r="G905" s="1264"/>
      <c r="H905" s="30" t="s">
        <v>2071</v>
      </c>
      <c r="I905" s="39" t="s">
        <v>2916</v>
      </c>
      <c r="J905" s="2" t="s">
        <v>39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1"/>
      <c r="B906" s="1"/>
      <c r="C906" s="9">
        <v>44566</v>
      </c>
      <c r="D906" s="17" t="s">
        <v>2917</v>
      </c>
      <c r="E906" s="2" t="s">
        <v>2918</v>
      </c>
      <c r="F906" s="30"/>
      <c r="G906" s="1264"/>
      <c r="H906" s="30" t="s">
        <v>2919</v>
      </c>
      <c r="I906" s="39" t="s">
        <v>2920</v>
      </c>
      <c r="J906" s="2" t="s">
        <v>77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1"/>
      <c r="B907" s="1"/>
      <c r="C907" s="9">
        <v>44566</v>
      </c>
      <c r="D907" s="17" t="s">
        <v>2921</v>
      </c>
      <c r="E907" s="2" t="s">
        <v>2922</v>
      </c>
      <c r="F907" s="30"/>
      <c r="G907" s="1264"/>
      <c r="H907" s="30" t="s">
        <v>2071</v>
      </c>
      <c r="I907" s="39" t="s">
        <v>2923</v>
      </c>
      <c r="J907" s="2" t="s">
        <v>39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1"/>
      <c r="B908" s="1"/>
      <c r="C908" s="9">
        <v>44567</v>
      </c>
      <c r="D908" s="17" t="s">
        <v>2924</v>
      </c>
      <c r="E908" s="2" t="s">
        <v>2925</v>
      </c>
      <c r="F908" s="30"/>
      <c r="G908" s="1264"/>
      <c r="H908" s="30" t="s">
        <v>2067</v>
      </c>
      <c r="I908" s="39" t="s">
        <v>2926</v>
      </c>
      <c r="J908" s="2" t="s">
        <v>39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1"/>
      <c r="B909" s="1"/>
      <c r="C909" s="9">
        <v>44567</v>
      </c>
      <c r="D909" s="17" t="s">
        <v>2927</v>
      </c>
      <c r="E909" s="2" t="s">
        <v>2928</v>
      </c>
      <c r="F909" s="30"/>
      <c r="G909" s="1264"/>
      <c r="H909" s="30" t="s">
        <v>2929</v>
      </c>
      <c r="I909" s="39" t="s">
        <v>2930</v>
      </c>
      <c r="J909" s="2" t="s">
        <v>77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1"/>
      <c r="B910" s="1"/>
      <c r="C910" s="9">
        <v>44568</v>
      </c>
      <c r="D910" s="17" t="s">
        <v>2931</v>
      </c>
      <c r="E910" s="2" t="s">
        <v>2932</v>
      </c>
      <c r="F910" s="30">
        <v>15</v>
      </c>
      <c r="G910" s="1264"/>
      <c r="H910" s="30" t="s">
        <v>1961</v>
      </c>
      <c r="I910" s="39" t="s">
        <v>2933</v>
      </c>
      <c r="J910" s="2" t="s">
        <v>77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1"/>
      <c r="B911" s="1"/>
      <c r="C911" s="9">
        <v>44568</v>
      </c>
      <c r="D911" s="17" t="s">
        <v>2934</v>
      </c>
      <c r="E911" s="2" t="s">
        <v>2935</v>
      </c>
      <c r="F911" s="30">
        <v>6</v>
      </c>
      <c r="G911" s="1264"/>
      <c r="H911" s="30" t="s">
        <v>2936</v>
      </c>
      <c r="I911" s="39" t="s">
        <v>2937</v>
      </c>
      <c r="J911" s="2" t="s">
        <v>100</v>
      </c>
      <c r="K911" s="2" t="s">
        <v>2938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1"/>
      <c r="B912" s="1"/>
      <c r="C912" s="9">
        <v>44568</v>
      </c>
      <c r="D912" s="17" t="s">
        <v>2939</v>
      </c>
      <c r="E912" s="2" t="s">
        <v>2940</v>
      </c>
      <c r="F912" s="30">
        <v>18</v>
      </c>
      <c r="G912" s="1264"/>
      <c r="H912" s="30" t="s">
        <v>1392</v>
      </c>
      <c r="I912" s="39" t="s">
        <v>2941</v>
      </c>
      <c r="J912" s="2" t="s">
        <v>39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1"/>
      <c r="B913" s="1"/>
      <c r="C913" s="9">
        <v>44568</v>
      </c>
      <c r="D913" s="17" t="s">
        <v>2942</v>
      </c>
      <c r="E913" s="2" t="s">
        <v>2943</v>
      </c>
      <c r="F913" s="30"/>
      <c r="G913" s="1264"/>
      <c r="H913" s="30" t="s">
        <v>1392</v>
      </c>
      <c r="I913" s="39" t="s">
        <v>2944</v>
      </c>
      <c r="J913" s="2" t="s">
        <v>100</v>
      </c>
      <c r="K913" s="2" t="s">
        <v>2945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1"/>
      <c r="B914" s="1"/>
      <c r="C914" s="9">
        <v>44568</v>
      </c>
      <c r="D914" s="17" t="s">
        <v>2946</v>
      </c>
      <c r="E914" s="2" t="s">
        <v>2947</v>
      </c>
      <c r="F914" s="30"/>
      <c r="G914" s="1264"/>
      <c r="H914" s="30"/>
      <c r="I914" s="39" t="s">
        <v>2948</v>
      </c>
      <c r="J914" s="2" t="s">
        <v>39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1"/>
      <c r="B915" s="1"/>
      <c r="C915" s="9">
        <v>44568</v>
      </c>
      <c r="D915" s="17" t="s">
        <v>2949</v>
      </c>
      <c r="E915" s="2" t="s">
        <v>2950</v>
      </c>
      <c r="F915" s="30"/>
      <c r="G915" s="1264"/>
      <c r="H915" s="30"/>
      <c r="I915" s="39" t="s">
        <v>2951</v>
      </c>
      <c r="J915" s="2" t="s">
        <v>39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1"/>
      <c r="B916" s="1"/>
      <c r="C916" s="9">
        <v>44568</v>
      </c>
      <c r="D916" s="17" t="s">
        <v>2952</v>
      </c>
      <c r="E916" s="2" t="s">
        <v>2953</v>
      </c>
      <c r="F916" s="30"/>
      <c r="G916" s="1264"/>
      <c r="H916" s="30" t="s">
        <v>1311</v>
      </c>
      <c r="I916" s="39" t="s">
        <v>2954</v>
      </c>
      <c r="J916" s="2" t="s">
        <v>77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1"/>
      <c r="B917" s="1"/>
      <c r="C917" s="9">
        <v>44571</v>
      </c>
      <c r="D917" s="17" t="s">
        <v>209</v>
      </c>
      <c r="E917" s="2" t="s">
        <v>2955</v>
      </c>
      <c r="F917" s="30"/>
      <c r="G917" s="1264"/>
      <c r="H917" s="30" t="s">
        <v>2956</v>
      </c>
      <c r="I917" s="39" t="s">
        <v>2957</v>
      </c>
      <c r="J917" s="2" t="s">
        <v>77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1"/>
      <c r="B918" s="1"/>
      <c r="C918" s="9">
        <v>44571</v>
      </c>
      <c r="D918" s="17" t="s">
        <v>2958</v>
      </c>
      <c r="E918" s="2" t="s">
        <v>2959</v>
      </c>
      <c r="F918" s="30"/>
      <c r="G918" s="1264"/>
      <c r="H918" s="30" t="s">
        <v>2956</v>
      </c>
      <c r="I918" s="39" t="s">
        <v>2960</v>
      </c>
      <c r="J918" s="2" t="s">
        <v>77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1"/>
      <c r="B919" s="1"/>
      <c r="C919" s="9">
        <v>44572</v>
      </c>
      <c r="D919" s="17" t="s">
        <v>1846</v>
      </c>
      <c r="E919" s="2" t="s">
        <v>2864</v>
      </c>
      <c r="F919" s="2" t="s">
        <v>2865</v>
      </c>
      <c r="G919" s="1269"/>
      <c r="H919" s="30" t="s">
        <v>1508</v>
      </c>
      <c r="I919" s="39" t="s">
        <v>2961</v>
      </c>
      <c r="J919" s="2" t="s">
        <v>100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1"/>
      <c r="B920" s="1"/>
      <c r="C920" s="9">
        <v>44572</v>
      </c>
      <c r="D920" s="17" t="s">
        <v>2962</v>
      </c>
      <c r="E920" s="2" t="s">
        <v>2963</v>
      </c>
      <c r="F920" s="30" t="s">
        <v>2964</v>
      </c>
      <c r="G920" s="1264"/>
      <c r="H920" s="30" t="s">
        <v>1290</v>
      </c>
      <c r="I920" s="39" t="s">
        <v>2965</v>
      </c>
      <c r="J920" s="2" t="s">
        <v>100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1"/>
      <c r="B921" s="1"/>
      <c r="C921" s="9">
        <v>44573</v>
      </c>
      <c r="D921" s="17" t="s">
        <v>545</v>
      </c>
      <c r="E921" s="2" t="s">
        <v>546</v>
      </c>
      <c r="F921" s="30"/>
      <c r="G921" s="1264"/>
      <c r="H921" s="30" t="s">
        <v>1591</v>
      </c>
      <c r="I921" s="39" t="s">
        <v>2966</v>
      </c>
      <c r="J921" s="2" t="s">
        <v>39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1"/>
      <c r="B922" s="1"/>
      <c r="C922" s="9">
        <v>44574</v>
      </c>
      <c r="D922" s="17" t="s">
        <v>2967</v>
      </c>
      <c r="E922" s="2" t="s">
        <v>2968</v>
      </c>
      <c r="F922" s="30"/>
      <c r="G922" s="1264"/>
      <c r="H922" s="30" t="s">
        <v>2969</v>
      </c>
      <c r="I922" s="39" t="s">
        <v>2970</v>
      </c>
      <c r="J922" s="2" t="s">
        <v>39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1"/>
      <c r="B923" s="1"/>
      <c r="C923" s="9">
        <v>44576</v>
      </c>
      <c r="D923" s="17"/>
      <c r="E923" s="2" t="s">
        <v>2971</v>
      </c>
      <c r="F923" s="30"/>
      <c r="G923" s="1264"/>
      <c r="H923" s="30"/>
      <c r="I923" s="39" t="s">
        <v>2972</v>
      </c>
      <c r="J923" s="2" t="s">
        <v>77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1"/>
      <c r="B924" s="1"/>
      <c r="C924" s="9">
        <v>44577</v>
      </c>
      <c r="D924" s="17" t="s">
        <v>2973</v>
      </c>
      <c r="E924" s="2" t="s">
        <v>2974</v>
      </c>
      <c r="F924" s="30"/>
      <c r="G924" s="1264"/>
      <c r="H924" s="30"/>
      <c r="I924" s="39" t="s">
        <v>2975</v>
      </c>
      <c r="J924" s="2" t="s">
        <v>77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1"/>
      <c r="B925" s="1"/>
      <c r="C925" s="9">
        <v>44576</v>
      </c>
      <c r="D925" s="17"/>
      <c r="E925" s="2" t="s">
        <v>2976</v>
      </c>
      <c r="F925" s="30"/>
      <c r="G925" s="1264"/>
      <c r="H925" s="30"/>
      <c r="I925" s="39" t="s">
        <v>2977</v>
      </c>
      <c r="J925" s="2" t="s">
        <v>77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1"/>
      <c r="B926" s="1"/>
      <c r="C926" s="9">
        <v>44578</v>
      </c>
      <c r="D926" s="17" t="s">
        <v>2374</v>
      </c>
      <c r="E926" s="2" t="s">
        <v>2978</v>
      </c>
      <c r="F926" s="30"/>
      <c r="G926" s="1264"/>
      <c r="H926" s="30" t="s">
        <v>1873</v>
      </c>
      <c r="I926" s="39" t="s">
        <v>2979</v>
      </c>
      <c r="J926" s="2" t="s">
        <v>77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1"/>
      <c r="B927" s="1"/>
      <c r="C927" s="9">
        <v>44578</v>
      </c>
      <c r="D927" s="17" t="s">
        <v>2980</v>
      </c>
      <c r="E927" s="2" t="s">
        <v>2981</v>
      </c>
      <c r="F927" s="30" t="s">
        <v>2982</v>
      </c>
      <c r="G927" s="1264"/>
      <c r="H927" s="30" t="s">
        <v>2983</v>
      </c>
      <c r="I927" s="39" t="s">
        <v>2984</v>
      </c>
      <c r="J927" s="2" t="s">
        <v>100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1"/>
      <c r="B928" s="1"/>
      <c r="C928" s="9">
        <v>44579</v>
      </c>
      <c r="D928" s="17" t="s">
        <v>2985</v>
      </c>
      <c r="E928" s="2" t="s">
        <v>2986</v>
      </c>
      <c r="F928" s="30"/>
      <c r="G928" s="1264"/>
      <c r="H928" s="30" t="s">
        <v>2987</v>
      </c>
      <c r="I928" s="39" t="s">
        <v>2988</v>
      </c>
      <c r="J928" s="2" t="s">
        <v>39</v>
      </c>
      <c r="K928" s="2">
        <v>6200356242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1"/>
      <c r="B929" s="1"/>
      <c r="C929" s="9">
        <v>44588</v>
      </c>
      <c r="D929" s="17"/>
      <c r="E929" s="2" t="s">
        <v>2989</v>
      </c>
      <c r="F929" s="30"/>
      <c r="G929" s="1264"/>
      <c r="H929" s="30" t="s">
        <v>2099</v>
      </c>
      <c r="I929" s="39" t="s">
        <v>2990</v>
      </c>
      <c r="J929" s="2" t="s">
        <v>77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1"/>
      <c r="B930" s="1"/>
      <c r="C930" s="9">
        <v>44588</v>
      </c>
      <c r="D930" s="17" t="s">
        <v>2991</v>
      </c>
      <c r="E930" s="2" t="s">
        <v>2992</v>
      </c>
      <c r="F930" s="30"/>
      <c r="G930" s="1264"/>
      <c r="H930" s="30" t="s">
        <v>2071</v>
      </c>
      <c r="I930" s="39" t="s">
        <v>2993</v>
      </c>
      <c r="J930" s="2" t="s">
        <v>528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1"/>
      <c r="B931" s="1"/>
      <c r="C931" s="9">
        <v>44594</v>
      </c>
      <c r="D931" s="17" t="s">
        <v>2994</v>
      </c>
      <c r="E931" s="2" t="s">
        <v>2995</v>
      </c>
      <c r="F931" s="30" t="s">
        <v>2982</v>
      </c>
      <c r="G931" s="1264"/>
      <c r="H931" s="30" t="s">
        <v>2996</v>
      </c>
      <c r="I931" s="39" t="s">
        <v>2997</v>
      </c>
      <c r="J931" s="2" t="s">
        <v>538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1"/>
      <c r="B932" s="1"/>
      <c r="C932" s="9">
        <v>44594</v>
      </c>
      <c r="D932" s="17" t="s">
        <v>2994</v>
      </c>
      <c r="E932" s="2" t="s">
        <v>2998</v>
      </c>
      <c r="F932" s="30" t="s">
        <v>2982</v>
      </c>
      <c r="G932" s="1264"/>
      <c r="H932" s="30" t="s">
        <v>1311</v>
      </c>
      <c r="I932" s="39" t="s">
        <v>2999</v>
      </c>
      <c r="J932" s="2" t="s">
        <v>538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1"/>
      <c r="B933" s="1"/>
      <c r="C933" s="9">
        <v>44595</v>
      </c>
      <c r="D933" s="17"/>
      <c r="E933" s="2" t="s">
        <v>3000</v>
      </c>
      <c r="F933" s="30"/>
      <c r="G933" s="1264"/>
      <c r="H933" s="30" t="s">
        <v>2047</v>
      </c>
      <c r="I933" s="39" t="s">
        <v>3001</v>
      </c>
      <c r="J933" s="2" t="s">
        <v>507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1"/>
      <c r="B934" s="1"/>
      <c r="C934" s="9">
        <v>44597</v>
      </c>
      <c r="D934" s="17" t="s">
        <v>3002</v>
      </c>
      <c r="E934" s="2" t="s">
        <v>616</v>
      </c>
      <c r="F934" s="30"/>
      <c r="G934" s="1264"/>
      <c r="H934" s="30" t="s">
        <v>2071</v>
      </c>
      <c r="I934" s="39" t="s">
        <v>3003</v>
      </c>
      <c r="J934" s="2" t="s">
        <v>77</v>
      </c>
      <c r="K934" s="2">
        <v>0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1"/>
      <c r="B935" s="1"/>
      <c r="C935" s="9">
        <v>44597</v>
      </c>
      <c r="D935" s="17" t="s">
        <v>3004</v>
      </c>
      <c r="E935" s="2" t="s">
        <v>3005</v>
      </c>
      <c r="F935" s="30"/>
      <c r="G935" s="1264"/>
      <c r="H935" s="30" t="s">
        <v>3006</v>
      </c>
      <c r="I935" s="39" t="s">
        <v>3007</v>
      </c>
      <c r="J935" s="2" t="s">
        <v>3008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1"/>
      <c r="B936" s="1"/>
      <c r="C936" s="9">
        <v>44602</v>
      </c>
      <c r="D936" s="17" t="s">
        <v>2694</v>
      </c>
      <c r="E936" s="2" t="s">
        <v>2695</v>
      </c>
      <c r="F936" s="30"/>
      <c r="G936" s="1264"/>
      <c r="H936" s="30" t="s">
        <v>2696</v>
      </c>
      <c r="I936" s="39" t="s">
        <v>3009</v>
      </c>
      <c r="J936" s="2" t="s">
        <v>538</v>
      </c>
      <c r="K936" s="2" t="s">
        <v>2945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1"/>
      <c r="B937" s="1"/>
      <c r="C937" s="9">
        <v>44602</v>
      </c>
      <c r="D937" s="17" t="s">
        <v>1615</v>
      </c>
      <c r="E937" s="2" t="s">
        <v>1460</v>
      </c>
      <c r="F937" s="30"/>
      <c r="G937" s="1264"/>
      <c r="H937" s="30" t="s">
        <v>2071</v>
      </c>
      <c r="I937" s="2" t="s">
        <v>3010</v>
      </c>
      <c r="J937" s="2" t="s">
        <v>39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1"/>
      <c r="B938" s="1"/>
      <c r="C938" s="9">
        <v>44603</v>
      </c>
      <c r="D938" s="17" t="s">
        <v>3011</v>
      </c>
      <c r="E938" s="2" t="s">
        <v>3012</v>
      </c>
      <c r="F938" s="30"/>
      <c r="G938" s="1264"/>
      <c r="H938" s="30" t="s">
        <v>2018</v>
      </c>
      <c r="I938" s="2" t="s">
        <v>3013</v>
      </c>
      <c r="J938" s="2" t="s">
        <v>77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1"/>
      <c r="B939" s="1"/>
      <c r="C939" s="1"/>
      <c r="D939" s="17"/>
      <c r="E939" s="2" t="s">
        <v>2055</v>
      </c>
      <c r="F939" s="30"/>
      <c r="G939" s="1264"/>
      <c r="H939" s="30" t="s">
        <v>2056</v>
      </c>
      <c r="I939" s="39" t="s">
        <v>3014</v>
      </c>
      <c r="J939" s="2" t="s">
        <v>39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1"/>
      <c r="B940" s="1"/>
      <c r="C940" s="9">
        <v>44609</v>
      </c>
      <c r="D940" s="17" t="s">
        <v>3015</v>
      </c>
      <c r="E940" s="2" t="s">
        <v>569</v>
      </c>
      <c r="F940" s="30"/>
      <c r="G940" s="1264"/>
      <c r="H940" s="30" t="s">
        <v>5038</v>
      </c>
      <c r="I940" s="39" t="s">
        <v>3016</v>
      </c>
      <c r="J940" s="2" t="s">
        <v>39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1"/>
      <c r="B941" s="1"/>
      <c r="C941" s="9">
        <v>44611</v>
      </c>
      <c r="D941" s="17" t="s">
        <v>2107</v>
      </c>
      <c r="E941" s="2" t="s">
        <v>2108</v>
      </c>
      <c r="F941" s="30"/>
      <c r="G941" s="1264"/>
      <c r="H941" s="30" t="s">
        <v>2134</v>
      </c>
      <c r="I941" s="39" t="s">
        <v>3017</v>
      </c>
      <c r="J941" s="2" t="s">
        <v>39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1"/>
      <c r="B942" s="1"/>
      <c r="C942" s="9">
        <v>44611</v>
      </c>
      <c r="D942" s="17" t="s">
        <v>2107</v>
      </c>
      <c r="E942" s="2" t="s">
        <v>2111</v>
      </c>
      <c r="F942" s="30"/>
      <c r="G942" s="1264"/>
      <c r="H942" s="30" t="s">
        <v>2134</v>
      </c>
      <c r="I942" s="39" t="s">
        <v>3018</v>
      </c>
      <c r="J942" s="2" t="s">
        <v>39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1"/>
      <c r="B943" s="1"/>
      <c r="C943" s="9">
        <v>44617</v>
      </c>
      <c r="D943" s="17" t="s">
        <v>3019</v>
      </c>
      <c r="E943" s="2" t="s">
        <v>1907</v>
      </c>
      <c r="F943" s="30"/>
      <c r="G943" s="1264"/>
      <c r="H943" s="30" t="s">
        <v>1873</v>
      </c>
      <c r="I943" s="39" t="s">
        <v>3020</v>
      </c>
      <c r="J943" s="2" t="s">
        <v>528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1"/>
      <c r="B944" s="1"/>
      <c r="C944" s="9">
        <v>44617</v>
      </c>
      <c r="D944" s="17" t="s">
        <v>3021</v>
      </c>
      <c r="E944" s="2" t="s">
        <v>3022</v>
      </c>
      <c r="F944" s="30"/>
      <c r="G944" s="1264"/>
      <c r="H944" s="30" t="s">
        <v>2071</v>
      </c>
      <c r="I944" s="39" t="s">
        <v>3023</v>
      </c>
      <c r="J944" s="2" t="s">
        <v>528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1"/>
      <c r="B945" s="1"/>
      <c r="C945" s="9">
        <v>44617</v>
      </c>
      <c r="D945" s="17" t="s">
        <v>3024</v>
      </c>
      <c r="E945" s="2" t="s">
        <v>3025</v>
      </c>
      <c r="F945" s="30"/>
      <c r="G945" s="1264"/>
      <c r="H945" s="30" t="s">
        <v>3026</v>
      </c>
      <c r="I945" s="39" t="s">
        <v>3027</v>
      </c>
      <c r="J945" s="2" t="s">
        <v>538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1"/>
      <c r="B946" s="1"/>
      <c r="C946" s="9">
        <v>44622</v>
      </c>
      <c r="D946" s="17" t="s">
        <v>2618</v>
      </c>
      <c r="E946" s="2" t="s">
        <v>3028</v>
      </c>
      <c r="F946" s="30"/>
      <c r="G946" s="1264"/>
      <c r="H946" s="1" t="s">
        <v>2071</v>
      </c>
      <c r="I946" s="39" t="s">
        <v>3029</v>
      </c>
      <c r="J946" s="2" t="s">
        <v>507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1"/>
      <c r="B947" s="1"/>
      <c r="C947" s="1"/>
      <c r="D947" s="13">
        <v>7004854377</v>
      </c>
      <c r="E947" s="11" t="s">
        <v>576</v>
      </c>
      <c r="F947" s="38"/>
      <c r="G947" s="1266"/>
      <c r="H947" s="38" t="s">
        <v>2506</v>
      </c>
      <c r="I947" s="41" t="s">
        <v>3030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1"/>
      <c r="B948" s="1"/>
      <c r="C948" s="1"/>
      <c r="D948" s="1">
        <v>7004854377</v>
      </c>
      <c r="E948" s="2" t="s">
        <v>576</v>
      </c>
      <c r="F948" s="30"/>
      <c r="G948" s="1264"/>
      <c r="H948" s="30" t="s">
        <v>2506</v>
      </c>
      <c r="I948" s="39" t="s">
        <v>3031</v>
      </c>
      <c r="J948" s="2" t="s">
        <v>77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1"/>
      <c r="B949" s="1"/>
      <c r="C949" s="9">
        <v>44627</v>
      </c>
      <c r="D949" s="17"/>
      <c r="E949" s="2" t="s">
        <v>3032</v>
      </c>
      <c r="F949" s="30"/>
      <c r="G949" s="1264"/>
      <c r="H949" s="30" t="s">
        <v>1508</v>
      </c>
      <c r="I949" s="39" t="s">
        <v>3033</v>
      </c>
      <c r="J949" s="2" t="s">
        <v>39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1"/>
      <c r="B950" s="1"/>
      <c r="C950" s="9">
        <v>44629</v>
      </c>
      <c r="D950" s="17" t="s">
        <v>3034</v>
      </c>
      <c r="E950" s="2" t="s">
        <v>3035</v>
      </c>
      <c r="F950" s="30"/>
      <c r="G950" s="1264"/>
      <c r="H950" s="30" t="s">
        <v>1955</v>
      </c>
      <c r="I950" s="39" t="s">
        <v>3036</v>
      </c>
      <c r="J950" s="2" t="s">
        <v>5683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1"/>
      <c r="B951" s="1"/>
      <c r="C951" s="9">
        <v>44629</v>
      </c>
      <c r="D951" s="17" t="s">
        <v>3037</v>
      </c>
      <c r="E951" s="55" t="s">
        <v>3038</v>
      </c>
      <c r="F951" s="30"/>
      <c r="G951" s="1264"/>
      <c r="H951" s="30" t="s">
        <v>1275</v>
      </c>
      <c r="I951" s="39" t="s">
        <v>3039</v>
      </c>
      <c r="J951" s="2" t="s">
        <v>77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1"/>
      <c r="B952" s="1"/>
      <c r="C952" s="9">
        <v>44629</v>
      </c>
      <c r="D952" s="17" t="s">
        <v>2479</v>
      </c>
      <c r="E952" s="2" t="s">
        <v>2480</v>
      </c>
      <c r="F952" s="30"/>
      <c r="G952" s="1264"/>
      <c r="H952" s="30" t="s">
        <v>2481</v>
      </c>
      <c r="I952" s="39" t="s">
        <v>3040</v>
      </c>
      <c r="J952" s="2" t="s">
        <v>77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1"/>
      <c r="B953" s="1"/>
      <c r="C953" s="9">
        <v>44629</v>
      </c>
      <c r="D953" s="17" t="s">
        <v>1313</v>
      </c>
      <c r="E953" s="2" t="s">
        <v>2585</v>
      </c>
      <c r="F953" s="30"/>
      <c r="G953" s="1264"/>
      <c r="H953" s="30" t="s">
        <v>2389</v>
      </c>
      <c r="I953" s="39" t="s">
        <v>3041</v>
      </c>
      <c r="J953" s="2" t="s">
        <v>39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1"/>
      <c r="B954" s="1"/>
      <c r="C954" s="9">
        <v>44630</v>
      </c>
      <c r="D954" s="17"/>
      <c r="E954" s="2" t="s">
        <v>1907</v>
      </c>
      <c r="F954" s="30"/>
      <c r="G954" s="1264"/>
      <c r="H954" s="30" t="s">
        <v>2067</v>
      </c>
      <c r="I954" s="39" t="s">
        <v>3042</v>
      </c>
      <c r="J954" s="2" t="s">
        <v>77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1"/>
      <c r="B955" s="1"/>
      <c r="C955" s="9">
        <v>44630</v>
      </c>
      <c r="D955" s="17"/>
      <c r="E955" s="2" t="s">
        <v>3043</v>
      </c>
      <c r="F955" s="30" t="s">
        <v>3044</v>
      </c>
      <c r="G955" s="1264"/>
      <c r="H955" s="30" t="s">
        <v>1508</v>
      </c>
      <c r="I955" s="39" t="s">
        <v>3045</v>
      </c>
      <c r="J955" s="2" t="s">
        <v>544</v>
      </c>
      <c r="K955" s="2" t="s">
        <v>5684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1"/>
      <c r="B956" s="1"/>
      <c r="C956" s="9">
        <v>44632</v>
      </c>
      <c r="D956" s="17"/>
      <c r="E956" s="2" t="s">
        <v>3046</v>
      </c>
      <c r="F956" s="30"/>
      <c r="G956" s="1264"/>
      <c r="H956" s="30" t="s">
        <v>2047</v>
      </c>
      <c r="I956" s="39" t="s">
        <v>3047</v>
      </c>
      <c r="J956" s="2" t="s">
        <v>77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1"/>
      <c r="B957" s="1"/>
      <c r="C957" s="9">
        <v>44632</v>
      </c>
      <c r="D957" s="17" t="s">
        <v>3048</v>
      </c>
      <c r="E957" s="2" t="s">
        <v>1717</v>
      </c>
      <c r="F957" s="30"/>
      <c r="G957" s="1264"/>
      <c r="H957" s="30" t="s">
        <v>1955</v>
      </c>
      <c r="I957" s="39" t="s">
        <v>3049</v>
      </c>
      <c r="J957" s="2" t="s">
        <v>528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1"/>
      <c r="B958" s="1"/>
      <c r="C958" s="9">
        <v>44632</v>
      </c>
      <c r="D958" s="17" t="s">
        <v>3050</v>
      </c>
      <c r="E958" s="2" t="s">
        <v>546</v>
      </c>
      <c r="F958" s="30"/>
      <c r="G958" s="1264"/>
      <c r="H958" s="30" t="s">
        <v>2067</v>
      </c>
      <c r="I958" s="39" t="s">
        <v>3051</v>
      </c>
      <c r="J958" s="2" t="s">
        <v>528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1"/>
      <c r="B959" s="1"/>
      <c r="C959" s="9">
        <v>44635</v>
      </c>
      <c r="D959" s="17" t="s">
        <v>5829</v>
      </c>
      <c r="E959" s="2" t="s">
        <v>5830</v>
      </c>
      <c r="F959" s="30"/>
      <c r="G959" s="1264"/>
      <c r="H959" s="30" t="s">
        <v>2067</v>
      </c>
      <c r="I959" s="39" t="s">
        <v>5831</v>
      </c>
      <c r="J959" s="2" t="s">
        <v>528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1"/>
      <c r="B960" s="1"/>
      <c r="C960" s="1" t="s">
        <v>3052</v>
      </c>
      <c r="D960" s="17" t="s">
        <v>3053</v>
      </c>
      <c r="E960" s="2" t="s">
        <v>5512</v>
      </c>
      <c r="F960" s="30" t="s">
        <v>209</v>
      </c>
      <c r="G960" s="1264"/>
      <c r="H960" s="30" t="s">
        <v>1955</v>
      </c>
      <c r="I960" s="56" t="s">
        <v>3054</v>
      </c>
      <c r="J960" s="2" t="s">
        <v>2535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1"/>
      <c r="B961" s="1"/>
      <c r="C961" s="1" t="s">
        <v>3055</v>
      </c>
      <c r="D961" s="17" t="s">
        <v>2663</v>
      </c>
      <c r="E961" s="2" t="s">
        <v>2664</v>
      </c>
      <c r="F961" s="30"/>
      <c r="G961" s="1264"/>
      <c r="H961" s="30" t="s">
        <v>3056</v>
      </c>
      <c r="I961" s="56" t="s">
        <v>3057</v>
      </c>
      <c r="J961" s="2" t="s">
        <v>77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1"/>
      <c r="B962" s="1"/>
      <c r="C962" s="9">
        <v>44646</v>
      </c>
      <c r="D962" s="17" t="s">
        <v>5548</v>
      </c>
      <c r="E962" s="2" t="s">
        <v>1183</v>
      </c>
      <c r="F962" s="30"/>
      <c r="G962" s="1264"/>
      <c r="H962" s="30" t="s">
        <v>2071</v>
      </c>
      <c r="I962" s="56" t="s">
        <v>5549</v>
      </c>
      <c r="J962" s="2" t="s">
        <v>528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1"/>
      <c r="B963" s="1"/>
      <c r="C963" s="9">
        <v>44646</v>
      </c>
      <c r="D963" s="86" t="s">
        <v>5552</v>
      </c>
      <c r="E963" s="85" t="s">
        <v>5551</v>
      </c>
      <c r="F963" s="30"/>
      <c r="G963" s="1264"/>
      <c r="H963" s="30" t="s">
        <v>2071</v>
      </c>
      <c r="I963" s="56" t="s">
        <v>5550</v>
      </c>
      <c r="J963" s="2" t="s">
        <v>528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1"/>
      <c r="B964" s="1"/>
      <c r="C964" s="9">
        <v>44646</v>
      </c>
      <c r="D964" s="17" t="s">
        <v>5560</v>
      </c>
      <c r="E964" s="85" t="s">
        <v>5559</v>
      </c>
      <c r="F964" s="30" t="s">
        <v>5558</v>
      </c>
      <c r="G964" s="1264"/>
      <c r="H964" s="30" t="s">
        <v>2696</v>
      </c>
      <c r="I964" s="2" t="s">
        <v>5557</v>
      </c>
      <c r="J964" s="2" t="s">
        <v>5836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1"/>
      <c r="B965" s="1"/>
      <c r="C965" s="9">
        <v>44646</v>
      </c>
      <c r="D965" s="17"/>
      <c r="E965" s="85" t="s">
        <v>5562</v>
      </c>
      <c r="F965" s="30"/>
      <c r="G965" s="1264"/>
      <c r="H965" s="87" t="s">
        <v>2134</v>
      </c>
      <c r="I965" s="84" t="s">
        <v>5561</v>
      </c>
      <c r="J965" s="2" t="s">
        <v>251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1"/>
      <c r="B966" s="1"/>
      <c r="C966" s="9">
        <v>44646</v>
      </c>
      <c r="D966" s="17">
        <v>8210939550</v>
      </c>
      <c r="E966" s="85" t="s">
        <v>5564</v>
      </c>
      <c r="F966" s="30" t="s">
        <v>5558</v>
      </c>
      <c r="G966" s="1264"/>
      <c r="H966" s="87" t="s">
        <v>5565</v>
      </c>
      <c r="I966" s="84" t="s">
        <v>5563</v>
      </c>
      <c r="J966" s="2" t="s">
        <v>5837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1"/>
      <c r="B967" s="1"/>
      <c r="C967" s="9">
        <v>44649</v>
      </c>
      <c r="D967" s="17" t="s">
        <v>2741</v>
      </c>
      <c r="E967" s="85" t="s">
        <v>5603</v>
      </c>
      <c r="F967" s="30"/>
      <c r="G967" s="1264"/>
      <c r="H967" s="30" t="s">
        <v>2067</v>
      </c>
      <c r="I967" s="84" t="s">
        <v>5604</v>
      </c>
      <c r="J967" s="2" t="s">
        <v>77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1"/>
      <c r="B968" s="1"/>
      <c r="C968" s="9">
        <v>44650</v>
      </c>
      <c r="D968" s="86" t="s">
        <v>5606</v>
      </c>
      <c r="E968" s="85" t="s">
        <v>3120</v>
      </c>
      <c r="F968" s="30"/>
      <c r="G968" s="1264"/>
      <c r="H968" s="30" t="s">
        <v>5605</v>
      </c>
      <c r="I968" s="90" t="s">
        <v>5609</v>
      </c>
      <c r="J968" s="2" t="s">
        <v>39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1"/>
      <c r="B969" s="1"/>
      <c r="C969" s="9">
        <v>44650</v>
      </c>
      <c r="D969" s="86" t="s">
        <v>5608</v>
      </c>
      <c r="E969" s="85" t="s">
        <v>5607</v>
      </c>
      <c r="F969" s="87" t="s">
        <v>209</v>
      </c>
      <c r="G969" s="1270"/>
      <c r="H969" s="87" t="s">
        <v>1876</v>
      </c>
      <c r="I969" s="90" t="s">
        <v>5610</v>
      </c>
      <c r="J969" s="2" t="s">
        <v>2535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1"/>
      <c r="B970" s="1"/>
      <c r="C970" s="9">
        <v>44650</v>
      </c>
      <c r="D970" s="86" t="s">
        <v>5613</v>
      </c>
      <c r="E970" s="85" t="s">
        <v>2822</v>
      </c>
      <c r="F970" s="30"/>
      <c r="G970" s="1264"/>
      <c r="H970" s="87" t="s">
        <v>1955</v>
      </c>
      <c r="I970" s="90" t="s">
        <v>5614</v>
      </c>
      <c r="J970" s="2" t="s">
        <v>39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1"/>
      <c r="B971" s="1"/>
      <c r="C971" s="9">
        <v>44652</v>
      </c>
      <c r="D971" s="17" t="s">
        <v>3034</v>
      </c>
      <c r="E971" s="2" t="s">
        <v>3035</v>
      </c>
      <c r="F971" s="30"/>
      <c r="G971" s="1264"/>
      <c r="H971" s="87" t="s">
        <v>1955</v>
      </c>
      <c r="I971" s="90" t="s">
        <v>5639</v>
      </c>
      <c r="J971" s="2" t="s">
        <v>77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1"/>
      <c r="B972" s="1"/>
      <c r="C972" s="9">
        <v>44652</v>
      </c>
      <c r="D972" s="17" t="s">
        <v>4175</v>
      </c>
      <c r="E972" s="2" t="s">
        <v>2451</v>
      </c>
      <c r="F972" s="30"/>
      <c r="G972" s="1264"/>
      <c r="H972" s="30" t="s">
        <v>2067</v>
      </c>
      <c r="I972" s="39" t="s">
        <v>5685</v>
      </c>
      <c r="J972" s="2" t="s">
        <v>528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1"/>
      <c r="B973" s="1"/>
      <c r="C973" s="9">
        <v>44655</v>
      </c>
      <c r="D973" s="17" t="s">
        <v>4970</v>
      </c>
      <c r="E973" s="2" t="s">
        <v>5728</v>
      </c>
      <c r="F973" s="30"/>
      <c r="G973" s="1264"/>
      <c r="H973" s="30" t="s">
        <v>2389</v>
      </c>
      <c r="I973" s="39" t="s">
        <v>5727</v>
      </c>
      <c r="J973" s="2" t="s">
        <v>528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1"/>
      <c r="B974" s="1"/>
      <c r="C974" s="9">
        <v>44656</v>
      </c>
      <c r="D974" s="17" t="s">
        <v>5774</v>
      </c>
      <c r="E974" s="104" t="s">
        <v>529</v>
      </c>
      <c r="F974" s="30"/>
      <c r="G974" s="1264"/>
      <c r="H974" s="30" t="s">
        <v>2546</v>
      </c>
      <c r="I974" s="39" t="s">
        <v>5776</v>
      </c>
      <c r="J974" s="2" t="s">
        <v>528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1"/>
      <c r="B975" s="1"/>
      <c r="C975" s="9">
        <v>44659</v>
      </c>
      <c r="D975" s="17" t="s">
        <v>2085</v>
      </c>
      <c r="E975" s="106" t="s">
        <v>2086</v>
      </c>
      <c r="F975" s="30"/>
      <c r="G975" s="1264"/>
      <c r="H975" s="30" t="s">
        <v>2067</v>
      </c>
      <c r="I975" s="39" t="s">
        <v>5805</v>
      </c>
      <c r="J975" s="2" t="s">
        <v>528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1"/>
      <c r="B976" s="1"/>
      <c r="C976" s="9">
        <v>44663</v>
      </c>
      <c r="D976" s="17" t="s">
        <v>5810</v>
      </c>
      <c r="E976" s="109" t="s">
        <v>5809</v>
      </c>
      <c r="F976" s="30"/>
      <c r="G976" s="1264"/>
      <c r="H976" s="30" t="s">
        <v>1219</v>
      </c>
      <c r="I976" s="39" t="s">
        <v>5811</v>
      </c>
      <c r="J976" s="2" t="s">
        <v>528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1"/>
      <c r="B977" s="1"/>
      <c r="C977" s="9">
        <v>44663</v>
      </c>
      <c r="D977" s="17" t="s">
        <v>5810</v>
      </c>
      <c r="E977" s="109" t="s">
        <v>5809</v>
      </c>
      <c r="F977" s="30"/>
      <c r="G977" s="1264"/>
      <c r="H977" s="30" t="s">
        <v>1219</v>
      </c>
      <c r="I977" s="39" t="s">
        <v>5823</v>
      </c>
      <c r="J977" s="2" t="s">
        <v>507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1"/>
      <c r="B978" s="1"/>
      <c r="C978" s="9">
        <v>44666</v>
      </c>
      <c r="D978" s="17" t="s">
        <v>5816</v>
      </c>
      <c r="E978" s="111" t="s">
        <v>5817</v>
      </c>
      <c r="F978" s="30" t="s">
        <v>5818</v>
      </c>
      <c r="G978" s="1264"/>
      <c r="H978" s="30" t="s">
        <v>1586</v>
      </c>
      <c r="I978" s="39" t="s">
        <v>5819</v>
      </c>
      <c r="J978" s="2" t="s">
        <v>100</v>
      </c>
      <c r="K978" s="2" t="s">
        <v>2945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1"/>
      <c r="B979" s="1"/>
      <c r="C979" s="9">
        <v>44666</v>
      </c>
      <c r="D979" s="17" t="s">
        <v>5851</v>
      </c>
      <c r="E979" s="112" t="s">
        <v>2205</v>
      </c>
      <c r="F979" s="30"/>
      <c r="G979" s="1264"/>
      <c r="H979" s="30" t="s">
        <v>2389</v>
      </c>
      <c r="I979" s="39" t="s">
        <v>5822</v>
      </c>
      <c r="J979" s="2" t="s">
        <v>528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1"/>
      <c r="B980" s="1"/>
      <c r="C980" s="9">
        <v>44667</v>
      </c>
      <c r="D980" s="17" t="s">
        <v>5850</v>
      </c>
      <c r="E980" s="120" t="s">
        <v>5825</v>
      </c>
      <c r="F980" s="30"/>
      <c r="G980" s="1264"/>
      <c r="H980" s="30" t="s">
        <v>1955</v>
      </c>
      <c r="I980" s="39" t="s">
        <v>5827</v>
      </c>
      <c r="J980" s="2" t="s">
        <v>528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1"/>
      <c r="B981" s="1"/>
      <c r="C981" s="9">
        <v>44667</v>
      </c>
      <c r="D981" s="17" t="s">
        <v>5850</v>
      </c>
      <c r="E981" s="113" t="s">
        <v>5826</v>
      </c>
      <c r="F981" s="30"/>
      <c r="G981" s="1264"/>
      <c r="H981" s="30" t="s">
        <v>1955</v>
      </c>
      <c r="I981" s="39" t="s">
        <v>5828</v>
      </c>
      <c r="J981" s="2" t="s">
        <v>528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1"/>
      <c r="B982" s="1"/>
      <c r="C982" s="9">
        <v>44672</v>
      </c>
      <c r="D982" s="17" t="s">
        <v>5854</v>
      </c>
      <c r="E982" s="119" t="s">
        <v>5838</v>
      </c>
      <c r="F982" s="30"/>
      <c r="G982" s="1264"/>
      <c r="H982" s="30" t="s">
        <v>2047</v>
      </c>
      <c r="I982" s="39" t="s">
        <v>5841</v>
      </c>
      <c r="J982" s="2" t="s">
        <v>39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1"/>
      <c r="B983" s="1"/>
      <c r="C983" s="9">
        <v>44678</v>
      </c>
      <c r="D983" s="17" t="s">
        <v>5853</v>
      </c>
      <c r="E983" s="121" t="s">
        <v>5852</v>
      </c>
      <c r="F983" s="30"/>
      <c r="G983" s="1264"/>
      <c r="H983" s="30" t="s">
        <v>1955</v>
      </c>
      <c r="I983" s="39" t="s">
        <v>5855</v>
      </c>
      <c r="J983" s="2" t="s">
        <v>77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thickBot="1">
      <c r="A984" s="1"/>
      <c r="B984" s="1"/>
      <c r="C984" s="9">
        <v>44685</v>
      </c>
      <c r="D984" s="17" t="s">
        <v>5864</v>
      </c>
      <c r="E984" s="124" t="s">
        <v>392</v>
      </c>
      <c r="F984" s="30"/>
      <c r="G984" s="1264"/>
      <c r="H984" s="30" t="s">
        <v>418</v>
      </c>
      <c r="I984" s="39" t="s">
        <v>5911</v>
      </c>
      <c r="J984" s="2" t="s">
        <v>39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thickBot="1">
      <c r="A985" s="1"/>
      <c r="B985" s="1"/>
      <c r="C985" s="9">
        <v>44690</v>
      </c>
      <c r="D985" s="101">
        <v>9031242400</v>
      </c>
      <c r="E985" s="130" t="s">
        <v>5876</v>
      </c>
      <c r="F985" s="30"/>
      <c r="G985" s="1264"/>
      <c r="H985" s="30" t="s">
        <v>5884</v>
      </c>
      <c r="I985" s="131" t="s">
        <v>5888</v>
      </c>
      <c r="J985" s="2" t="s">
        <v>39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1"/>
      <c r="B986" s="1"/>
      <c r="C986" s="9">
        <v>44690</v>
      </c>
      <c r="D986" s="17" t="s">
        <v>5881</v>
      </c>
      <c r="E986" s="2" t="s">
        <v>2692</v>
      </c>
      <c r="F986" s="30"/>
      <c r="G986" s="1264"/>
      <c r="H986" s="30" t="s">
        <v>5884</v>
      </c>
      <c r="I986" s="39" t="s">
        <v>5890</v>
      </c>
      <c r="J986" s="2" t="s">
        <v>507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1"/>
      <c r="B987" s="1"/>
      <c r="C987" s="9">
        <v>44690</v>
      </c>
      <c r="D987" s="17" t="s">
        <v>5816</v>
      </c>
      <c r="E987" s="2" t="s">
        <v>5817</v>
      </c>
      <c r="F987" s="30"/>
      <c r="G987" s="1264"/>
      <c r="H987" s="30" t="s">
        <v>2047</v>
      </c>
      <c r="I987" s="51" t="s">
        <v>5889</v>
      </c>
      <c r="J987" s="2" t="s">
        <v>528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1"/>
      <c r="B988" s="1"/>
      <c r="C988" s="9">
        <v>44694</v>
      </c>
      <c r="D988" s="17" t="s">
        <v>5896</v>
      </c>
      <c r="E988" s="2" t="s">
        <v>5897</v>
      </c>
      <c r="F988" s="30" t="s">
        <v>2366</v>
      </c>
      <c r="G988" s="1264"/>
      <c r="H988" s="30" t="s">
        <v>5895</v>
      </c>
      <c r="I988" s="51" t="s">
        <v>5894</v>
      </c>
      <c r="J988" s="2" t="s">
        <v>507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1"/>
      <c r="B989" s="1"/>
      <c r="C989" s="9">
        <v>44697</v>
      </c>
      <c r="D989" s="17" t="s">
        <v>5906</v>
      </c>
      <c r="E989" s="2" t="s">
        <v>5905</v>
      </c>
      <c r="F989" s="30" t="s">
        <v>5904</v>
      </c>
      <c r="G989" s="1264"/>
      <c r="H989" s="30" t="s">
        <v>1311</v>
      </c>
      <c r="I989" s="51" t="s">
        <v>5903</v>
      </c>
      <c r="J989" s="2" t="s">
        <v>507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1"/>
      <c r="B990" s="1"/>
      <c r="C990" s="9">
        <v>44699</v>
      </c>
      <c r="D990" s="17" t="s">
        <v>4883</v>
      </c>
      <c r="E990" s="134" t="s">
        <v>4884</v>
      </c>
      <c r="F990" s="30"/>
      <c r="G990" s="1264"/>
      <c r="H990" s="135" t="s">
        <v>5913</v>
      </c>
      <c r="I990" s="51" t="s">
        <v>5912</v>
      </c>
      <c r="J990" s="2" t="s">
        <v>538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1"/>
      <c r="B991" s="1"/>
      <c r="C991" s="9">
        <v>44702</v>
      </c>
      <c r="D991" s="17" t="s">
        <v>5918</v>
      </c>
      <c r="E991" s="2" t="s">
        <v>5917</v>
      </c>
      <c r="F991" s="30"/>
      <c r="G991" s="1264"/>
      <c r="H991" s="30" t="s">
        <v>2071</v>
      </c>
      <c r="I991" s="51" t="s">
        <v>5916</v>
      </c>
      <c r="J991" s="2" t="s">
        <v>39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1"/>
      <c r="B992" s="1"/>
      <c r="C992" s="9">
        <v>44702</v>
      </c>
      <c r="D992" s="17" t="s">
        <v>5926</v>
      </c>
      <c r="E992" s="2" t="s">
        <v>5925</v>
      </c>
      <c r="F992" s="30"/>
      <c r="G992" s="1264"/>
      <c r="H992" s="30" t="s">
        <v>1955</v>
      </c>
      <c r="I992" s="51" t="s">
        <v>5924</v>
      </c>
      <c r="J992" s="2" t="s">
        <v>39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1"/>
      <c r="B993" s="1"/>
      <c r="C993" s="9">
        <v>44706</v>
      </c>
      <c r="D993" s="17" t="s">
        <v>5926</v>
      </c>
      <c r="E993" s="2" t="s">
        <v>2375</v>
      </c>
      <c r="F993" s="30"/>
      <c r="G993" s="1264"/>
      <c r="H993" s="30" t="s">
        <v>5934</v>
      </c>
      <c r="I993" s="51" t="s">
        <v>5940</v>
      </c>
      <c r="J993" s="2" t="s">
        <v>39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1"/>
      <c r="B994" s="1"/>
      <c r="C994" s="9">
        <v>44708</v>
      </c>
      <c r="D994" s="17" t="s">
        <v>5947</v>
      </c>
      <c r="E994" s="2" t="s">
        <v>4450</v>
      </c>
      <c r="F994" s="30"/>
      <c r="G994" s="1264"/>
      <c r="H994" s="30" t="s">
        <v>5884</v>
      </c>
      <c r="I994" s="51" t="s">
        <v>5946</v>
      </c>
      <c r="J994" s="2" t="s">
        <v>39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1"/>
      <c r="B995" s="1"/>
      <c r="C995" s="9">
        <v>44714</v>
      </c>
      <c r="D995" s="17" t="s">
        <v>5964</v>
      </c>
      <c r="E995" s="2" t="s">
        <v>5963</v>
      </c>
      <c r="F995" s="30"/>
      <c r="G995" s="1264"/>
      <c r="H995" s="30" t="s">
        <v>2067</v>
      </c>
      <c r="I995" s="51" t="s">
        <v>5965</v>
      </c>
      <c r="J995" s="2" t="s">
        <v>39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1"/>
      <c r="B996" s="1"/>
      <c r="C996" s="9">
        <v>44717</v>
      </c>
      <c r="D996" s="17" t="s">
        <v>2859</v>
      </c>
      <c r="E996" s="2" t="s">
        <v>5974</v>
      </c>
      <c r="F996" s="30"/>
      <c r="G996" s="1264"/>
      <c r="H996" s="30" t="s">
        <v>2067</v>
      </c>
      <c r="I996" s="51" t="s">
        <v>5975</v>
      </c>
      <c r="J996" s="154" t="s">
        <v>528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1"/>
      <c r="B997" s="1"/>
      <c r="C997" s="9">
        <v>44717</v>
      </c>
      <c r="D997" s="1">
        <v>6200438826</v>
      </c>
      <c r="E997" s="2" t="s">
        <v>5976</v>
      </c>
      <c r="F997" s="30"/>
      <c r="G997" s="1264"/>
      <c r="H997" s="30" t="s">
        <v>1227</v>
      </c>
      <c r="I997" s="51" t="s">
        <v>5998</v>
      </c>
      <c r="J997" s="154" t="s">
        <v>528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1"/>
      <c r="B998" s="1"/>
      <c r="C998" s="162">
        <v>44718</v>
      </c>
      <c r="D998" s="17" t="s">
        <v>4577</v>
      </c>
      <c r="E998" s="2" t="s">
        <v>4578</v>
      </c>
      <c r="F998" s="30"/>
      <c r="G998" s="1264"/>
      <c r="H998" s="30" t="s">
        <v>5977</v>
      </c>
      <c r="I998" s="51" t="s">
        <v>5978</v>
      </c>
      <c r="J998" s="2" t="s">
        <v>77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1"/>
      <c r="B999" s="1"/>
      <c r="C999" s="9">
        <v>44721</v>
      </c>
      <c r="D999" s="17" t="s">
        <v>3939</v>
      </c>
      <c r="E999" s="2" t="s">
        <v>5401</v>
      </c>
      <c r="F999" s="30"/>
      <c r="G999" s="1264"/>
      <c r="H999" s="30" t="s">
        <v>4420</v>
      </c>
      <c r="I999" s="51" t="s">
        <v>5984</v>
      </c>
      <c r="J999" s="2" t="s">
        <v>39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" customHeight="1">
      <c r="C1000" s="9">
        <v>44721</v>
      </c>
      <c r="D1000" s="17" t="s">
        <v>5986</v>
      </c>
      <c r="E1000" s="2" t="s">
        <v>2666</v>
      </c>
      <c r="F1000" s="30"/>
      <c r="G1000" s="1264"/>
      <c r="H1000" s="30" t="s">
        <v>2067</v>
      </c>
      <c r="I1000" s="51" t="s">
        <v>5985</v>
      </c>
      <c r="J1000" s="2" t="s">
        <v>39</v>
      </c>
    </row>
    <row r="1001" spans="1:27" ht="15" customHeight="1">
      <c r="C1001" s="162">
        <v>44723</v>
      </c>
      <c r="D1001" s="101">
        <v>8797353977</v>
      </c>
      <c r="E1001" s="2" t="s">
        <v>5988</v>
      </c>
      <c r="H1001" s="30" t="s">
        <v>2099</v>
      </c>
      <c r="I1001" s="39" t="s">
        <v>5987</v>
      </c>
      <c r="J1001" s="2" t="s">
        <v>39</v>
      </c>
    </row>
    <row r="1002" spans="1:27" ht="15" customHeight="1">
      <c r="C1002" s="162">
        <v>44726</v>
      </c>
      <c r="D1002" s="180">
        <v>6204048447</v>
      </c>
      <c r="E1002" s="2" t="s">
        <v>542</v>
      </c>
      <c r="I1002" s="51" t="s">
        <v>6021</v>
      </c>
      <c r="J1002" s="2" t="s">
        <v>4037</v>
      </c>
    </row>
    <row r="1003" spans="1:27" ht="15" customHeight="1">
      <c r="C1003" s="162">
        <v>44729</v>
      </c>
      <c r="D1003" s="101">
        <v>9031396500</v>
      </c>
      <c r="E1003" s="2" t="s">
        <v>3587</v>
      </c>
      <c r="H1003" s="30" t="s">
        <v>5999</v>
      </c>
      <c r="I1003" s="51" t="s">
        <v>6000</v>
      </c>
      <c r="J1003" s="2" t="s">
        <v>507</v>
      </c>
    </row>
    <row r="1004" spans="1:27" ht="15" customHeight="1">
      <c r="C1004" s="162">
        <v>44732</v>
      </c>
      <c r="D1004" s="101">
        <v>7667676282</v>
      </c>
      <c r="E1004" s="2" t="s">
        <v>6004</v>
      </c>
      <c r="H1004" s="30" t="s">
        <v>2987</v>
      </c>
      <c r="I1004" s="51" t="s">
        <v>6003</v>
      </c>
      <c r="J1004" s="2" t="s">
        <v>6279</v>
      </c>
    </row>
    <row r="1005" spans="1:27" ht="15" customHeight="1">
      <c r="C1005" s="162">
        <v>44695</v>
      </c>
      <c r="E1005" t="s">
        <v>6005</v>
      </c>
      <c r="I1005" s="51" t="s">
        <v>6006</v>
      </c>
      <c r="J1005" s="2" t="s">
        <v>39</v>
      </c>
    </row>
    <row r="1006" spans="1:27" ht="15" customHeight="1">
      <c r="C1006" s="162">
        <v>44734</v>
      </c>
      <c r="D1006" s="101">
        <v>6204075271</v>
      </c>
      <c r="E1006" s="164" t="s">
        <v>2844</v>
      </c>
      <c r="H1006" s="30" t="s">
        <v>2067</v>
      </c>
      <c r="I1006" s="51" t="s">
        <v>6007</v>
      </c>
      <c r="J1006" s="2" t="s">
        <v>77</v>
      </c>
    </row>
    <row r="1007" spans="1:27" ht="15" customHeight="1">
      <c r="C1007" s="162">
        <v>44734</v>
      </c>
      <c r="D1007" s="101">
        <v>9304943280</v>
      </c>
      <c r="E1007" s="164" t="s">
        <v>6010</v>
      </c>
      <c r="H1007" s="30" t="s">
        <v>6009</v>
      </c>
      <c r="I1007" s="51" t="s">
        <v>6008</v>
      </c>
      <c r="J1007" s="2" t="s">
        <v>39</v>
      </c>
    </row>
    <row r="1008" spans="1:27" ht="15" customHeight="1">
      <c r="C1008" s="162">
        <v>44734</v>
      </c>
      <c r="D1008" s="101">
        <v>6207810429</v>
      </c>
      <c r="E1008" s="164" t="s">
        <v>6011</v>
      </c>
      <c r="H1008" s="30" t="s">
        <v>6009</v>
      </c>
      <c r="I1008" s="51" t="s">
        <v>6012</v>
      </c>
      <c r="J1008" s="2" t="s">
        <v>39</v>
      </c>
    </row>
    <row r="1009" spans="3:10" ht="15" customHeight="1">
      <c r="C1009" s="162">
        <v>44736</v>
      </c>
      <c r="D1009" s="101">
        <v>7209413281</v>
      </c>
      <c r="E1009" s="168" t="s">
        <v>6022</v>
      </c>
      <c r="G1009" s="1621" t="s">
        <v>11176</v>
      </c>
      <c r="H1009" s="30" t="s">
        <v>2936</v>
      </c>
      <c r="I1009" s="51" t="s">
        <v>6034</v>
      </c>
      <c r="J1009" s="2" t="s">
        <v>507</v>
      </c>
    </row>
    <row r="1010" spans="3:10" ht="15" customHeight="1">
      <c r="C1010" s="162">
        <v>44707</v>
      </c>
      <c r="D1010" s="101">
        <v>8825143791</v>
      </c>
      <c r="E1010" s="169" t="s">
        <v>6023</v>
      </c>
      <c r="H1010" s="30" t="s">
        <v>2076</v>
      </c>
      <c r="I1010" s="51" t="s">
        <v>6024</v>
      </c>
      <c r="J1010" s="2" t="s">
        <v>507</v>
      </c>
    </row>
    <row r="1011" spans="3:10" ht="15" customHeight="1">
      <c r="C1011" s="162">
        <v>44742</v>
      </c>
      <c r="D1011" s="101">
        <v>8709740474</v>
      </c>
      <c r="E1011" s="173" t="s">
        <v>2995</v>
      </c>
      <c r="F1011" s="173" t="s">
        <v>5904</v>
      </c>
      <c r="G1011" s="1272"/>
      <c r="H1011" s="30" t="s">
        <v>2996</v>
      </c>
      <c r="I1011" s="51" t="s">
        <v>6038</v>
      </c>
      <c r="J1011" s="2" t="s">
        <v>528</v>
      </c>
    </row>
    <row r="1012" spans="3:10" ht="15" customHeight="1">
      <c r="C1012" s="162">
        <v>44742</v>
      </c>
      <c r="D1012" s="101">
        <v>8709740474</v>
      </c>
      <c r="E1012" s="173" t="s">
        <v>2998</v>
      </c>
      <c r="F1012" s="173" t="s">
        <v>5904</v>
      </c>
      <c r="G1012" s="1272"/>
      <c r="H1012" s="30" t="s">
        <v>2996</v>
      </c>
      <c r="I1012" s="51" t="s">
        <v>6039</v>
      </c>
      <c r="J1012" s="2" t="s">
        <v>528</v>
      </c>
    </row>
    <row r="1013" spans="3:10" ht="15" customHeight="1">
      <c r="D1013" s="101">
        <v>6205697508</v>
      </c>
      <c r="E1013" s="173" t="s">
        <v>6041</v>
      </c>
      <c r="H1013" s="30" t="s">
        <v>2047</v>
      </c>
      <c r="I1013" s="51" t="s">
        <v>6040</v>
      </c>
      <c r="J1013" s="2" t="s">
        <v>507</v>
      </c>
    </row>
    <row r="1014" spans="3:10" ht="15" customHeight="1">
      <c r="C1014" s="162">
        <v>44747</v>
      </c>
      <c r="D1014" s="101">
        <v>7260867766</v>
      </c>
      <c r="E1014" s="176" t="s">
        <v>6058</v>
      </c>
      <c r="H1014" s="30" t="s">
        <v>2071</v>
      </c>
      <c r="I1014" s="51" t="s">
        <v>6057</v>
      </c>
      <c r="J1014" s="2" t="s">
        <v>528</v>
      </c>
    </row>
    <row r="1015" spans="3:10" ht="15" customHeight="1">
      <c r="C1015" s="9">
        <v>44748</v>
      </c>
      <c r="D1015" s="17" t="s">
        <v>6063</v>
      </c>
      <c r="E1015" s="2" t="s">
        <v>6060</v>
      </c>
      <c r="H1015" s="30" t="s">
        <v>1810</v>
      </c>
      <c r="I1015" s="51" t="s">
        <v>6065</v>
      </c>
      <c r="J1015" s="2" t="s">
        <v>507</v>
      </c>
    </row>
    <row r="1016" spans="3:10" ht="15" customHeight="1">
      <c r="C1016" s="162">
        <v>44750</v>
      </c>
      <c r="D1016" s="101">
        <v>6287753020</v>
      </c>
      <c r="E1016" s="2" t="s">
        <v>6075</v>
      </c>
      <c r="H1016" s="30" t="s">
        <v>1892</v>
      </c>
      <c r="I1016" s="51" t="s">
        <v>6076</v>
      </c>
      <c r="J1016" s="2" t="s">
        <v>528</v>
      </c>
    </row>
    <row r="1017" spans="3:10" ht="15" customHeight="1">
      <c r="C1017" s="162">
        <v>44750</v>
      </c>
      <c r="D1017" s="101">
        <v>9204024742</v>
      </c>
      <c r="E1017" s="2" t="s">
        <v>1468</v>
      </c>
      <c r="H1017" s="30" t="s">
        <v>2366</v>
      </c>
      <c r="I1017" s="51" t="s">
        <v>6077</v>
      </c>
      <c r="J1017" s="2" t="s">
        <v>77</v>
      </c>
    </row>
    <row r="1018" spans="3:10" ht="15" customHeight="1">
      <c r="C1018" s="162">
        <v>44750</v>
      </c>
      <c r="D1018" s="101">
        <v>6201698769</v>
      </c>
      <c r="E1018" s="2" t="s">
        <v>2910</v>
      </c>
      <c r="H1018" s="30" t="s">
        <v>6078</v>
      </c>
      <c r="I1018" s="51" t="s">
        <v>6082</v>
      </c>
      <c r="J1018" s="2" t="s">
        <v>39</v>
      </c>
    </row>
    <row r="1019" spans="3:10" ht="15" customHeight="1">
      <c r="C1019" s="162">
        <v>44755</v>
      </c>
      <c r="D1019" s="101">
        <v>8804259165</v>
      </c>
      <c r="E1019" s="2" t="s">
        <v>171</v>
      </c>
      <c r="H1019" s="30" t="s">
        <v>2071</v>
      </c>
      <c r="I1019" s="51" t="s">
        <v>6093</v>
      </c>
      <c r="J1019" s="2" t="s">
        <v>39</v>
      </c>
    </row>
    <row r="1020" spans="3:10" ht="15" customHeight="1">
      <c r="C1020" s="162">
        <v>44755</v>
      </c>
      <c r="D1020" s="101">
        <v>7488701792</v>
      </c>
      <c r="E1020" s="2" t="s">
        <v>6094</v>
      </c>
      <c r="H1020" s="30" t="s">
        <v>6095</v>
      </c>
      <c r="I1020" s="51" t="s">
        <v>6096</v>
      </c>
      <c r="J1020" s="2" t="s">
        <v>507</v>
      </c>
    </row>
    <row r="1021" spans="3:10" ht="15" customHeight="1">
      <c r="C1021" s="162">
        <v>44756</v>
      </c>
      <c r="D1021" s="101">
        <v>8235183855</v>
      </c>
      <c r="E1021" s="2" t="s">
        <v>6098</v>
      </c>
      <c r="H1021" s="30" t="s">
        <v>2067</v>
      </c>
      <c r="I1021" s="51" t="s">
        <v>6097</v>
      </c>
      <c r="J1021" s="2" t="s">
        <v>528</v>
      </c>
    </row>
    <row r="1022" spans="3:10" ht="15" customHeight="1">
      <c r="C1022" s="162">
        <v>44756</v>
      </c>
      <c r="D1022" s="101">
        <v>9199171899</v>
      </c>
      <c r="E1022" s="2" t="s">
        <v>1901</v>
      </c>
      <c r="H1022" s="30" t="s">
        <v>2071</v>
      </c>
      <c r="I1022" s="51" t="s">
        <v>6101</v>
      </c>
      <c r="J1022" s="2" t="s">
        <v>39</v>
      </c>
    </row>
    <row r="1023" spans="3:10" ht="15" customHeight="1">
      <c r="C1023" s="162">
        <v>44763</v>
      </c>
      <c r="D1023" s="101">
        <v>7209923486</v>
      </c>
      <c r="E1023" s="2" t="s">
        <v>6122</v>
      </c>
      <c r="H1023" s="30" t="s">
        <v>2047</v>
      </c>
      <c r="I1023" s="51" t="s">
        <v>6121</v>
      </c>
      <c r="J1023" s="2" t="s">
        <v>39</v>
      </c>
    </row>
    <row r="1024" spans="3:10" ht="15" customHeight="1">
      <c r="C1024" s="162">
        <v>44763</v>
      </c>
      <c r="D1024" s="101">
        <v>6205697508</v>
      </c>
      <c r="E1024" s="173" t="s">
        <v>6041</v>
      </c>
      <c r="H1024" s="30" t="s">
        <v>2047</v>
      </c>
      <c r="I1024" s="51" t="s">
        <v>6123</v>
      </c>
      <c r="J1024" s="2" t="s">
        <v>39</v>
      </c>
    </row>
    <row r="1025" spans="2:11" ht="15" customHeight="1">
      <c r="C1025" s="162">
        <v>44766</v>
      </c>
      <c r="D1025" s="101">
        <v>7762938839</v>
      </c>
      <c r="E1025" s="196" t="s">
        <v>3268</v>
      </c>
      <c r="H1025" s="30" t="s">
        <v>1275</v>
      </c>
      <c r="I1025" s="51" t="s">
        <v>6140</v>
      </c>
      <c r="J1025" s="2" t="s">
        <v>100</v>
      </c>
      <c r="K1025" s="25" t="s">
        <v>6241</v>
      </c>
    </row>
    <row r="1026" spans="2:11" ht="15" customHeight="1">
      <c r="C1026" s="162">
        <v>44768</v>
      </c>
      <c r="E1026" s="197" t="s">
        <v>2708</v>
      </c>
      <c r="H1026" s="30" t="s">
        <v>516</v>
      </c>
      <c r="I1026" s="51" t="s">
        <v>6170</v>
      </c>
      <c r="J1026" s="65">
        <v>45166</v>
      </c>
    </row>
    <row r="1027" spans="2:11" ht="15" customHeight="1">
      <c r="C1027" s="162">
        <v>44768</v>
      </c>
      <c r="D1027" s="101">
        <v>8092713108</v>
      </c>
      <c r="E1027" s="197" t="s">
        <v>6126</v>
      </c>
      <c r="H1027" s="30" t="s">
        <v>2067</v>
      </c>
      <c r="I1027" s="51" t="s">
        <v>6143</v>
      </c>
      <c r="J1027" s="2" t="s">
        <v>528</v>
      </c>
    </row>
    <row r="1028" spans="2:11" ht="15" customHeight="1">
      <c r="C1028" s="162">
        <v>44769</v>
      </c>
      <c r="D1028" s="101">
        <v>8102664462</v>
      </c>
      <c r="E1028" s="199" t="s">
        <v>6158</v>
      </c>
      <c r="H1028" s="30" t="s">
        <v>2099</v>
      </c>
      <c r="I1028" s="51" t="s">
        <v>6157</v>
      </c>
      <c r="J1028" s="2" t="s">
        <v>100</v>
      </c>
      <c r="K1028" s="25" t="s">
        <v>6240</v>
      </c>
    </row>
    <row r="1029" spans="2:11" ht="15" customHeight="1">
      <c r="C1029" s="236">
        <v>44773</v>
      </c>
      <c r="D1029" s="237">
        <v>9234353818</v>
      </c>
      <c r="E1029" s="238" t="s">
        <v>2651</v>
      </c>
      <c r="F1029" s="238"/>
      <c r="G1029" s="1273"/>
      <c r="H1029" s="234" t="s">
        <v>1275</v>
      </c>
      <c r="I1029" s="235" t="s">
        <v>6167</v>
      </c>
      <c r="J1029" s="2" t="s">
        <v>100</v>
      </c>
      <c r="K1029" s="2" t="s">
        <v>6276</v>
      </c>
    </row>
    <row r="1030" spans="2:11" ht="15" customHeight="1">
      <c r="C1030" s="162">
        <v>44779</v>
      </c>
      <c r="D1030" s="101">
        <v>9431526395</v>
      </c>
      <c r="E1030" s="204" t="s">
        <v>6175</v>
      </c>
      <c r="H1030" s="30" t="s">
        <v>4220</v>
      </c>
      <c r="I1030" s="51" t="s">
        <v>6174</v>
      </c>
      <c r="J1030" s="2" t="s">
        <v>528</v>
      </c>
    </row>
    <row r="1031" spans="2:11" ht="15" customHeight="1">
      <c r="C1031" s="162">
        <v>44779</v>
      </c>
      <c r="D1031" s="101">
        <v>7004519122</v>
      </c>
      <c r="E1031" s="204" t="s">
        <v>3012</v>
      </c>
      <c r="H1031" s="30" t="s">
        <v>6178</v>
      </c>
      <c r="I1031" s="51" t="s">
        <v>6177</v>
      </c>
      <c r="J1031" s="2" t="s">
        <v>528</v>
      </c>
    </row>
    <row r="1032" spans="2:11" ht="15" customHeight="1">
      <c r="C1032" s="162">
        <v>44782</v>
      </c>
      <c r="D1032" s="101">
        <v>9334834141</v>
      </c>
      <c r="E1032" s="206" t="s">
        <v>6207</v>
      </c>
      <c r="H1032" s="30" t="s">
        <v>2067</v>
      </c>
      <c r="I1032" s="51" t="s">
        <v>6206</v>
      </c>
      <c r="J1032" s="2" t="s">
        <v>528</v>
      </c>
    </row>
    <row r="1033" spans="2:11" ht="15" customHeight="1">
      <c r="C1033" s="162">
        <v>44782</v>
      </c>
      <c r="D1033" s="101">
        <v>9931574566</v>
      </c>
      <c r="E1033" s="206" t="s">
        <v>6209</v>
      </c>
      <c r="H1033" s="30" t="s">
        <v>1541</v>
      </c>
      <c r="I1033" s="51" t="s">
        <v>6208</v>
      </c>
      <c r="J1033" s="65">
        <v>44852</v>
      </c>
    </row>
    <row r="1034" spans="2:11" ht="15" customHeight="1">
      <c r="C1034" s="162">
        <v>44784</v>
      </c>
      <c r="D1034" s="101">
        <v>8873176695</v>
      </c>
      <c r="E1034" s="207" t="s">
        <v>6215</v>
      </c>
      <c r="H1034" s="30" t="s">
        <v>2071</v>
      </c>
      <c r="I1034" s="51" t="s">
        <v>6214</v>
      </c>
      <c r="J1034" s="2" t="s">
        <v>528</v>
      </c>
    </row>
    <row r="1035" spans="2:11" ht="15" customHeight="1">
      <c r="C1035" s="162">
        <v>44792</v>
      </c>
      <c r="D1035" s="101">
        <v>7250111700</v>
      </c>
      <c r="E1035" s="211" t="s">
        <v>2804</v>
      </c>
      <c r="H1035" s="30" t="s">
        <v>1955</v>
      </c>
      <c r="I1035" s="51" t="s">
        <v>6222</v>
      </c>
      <c r="J1035" s="2" t="s">
        <v>39</v>
      </c>
      <c r="K1035" s="211"/>
    </row>
    <row r="1036" spans="2:11" ht="15" customHeight="1">
      <c r="C1036" s="229">
        <v>44792</v>
      </c>
      <c r="D1036" s="225">
        <v>9504504612</v>
      </c>
      <c r="E1036" s="233" t="s">
        <v>1938</v>
      </c>
      <c r="F1036" s="156"/>
      <c r="G1036" s="1274"/>
      <c r="H1036" s="231" t="s">
        <v>2071</v>
      </c>
      <c r="I1036" s="232" t="s">
        <v>6221</v>
      </c>
      <c r="J1036" s="2" t="s">
        <v>100</v>
      </c>
      <c r="K1036" s="215" t="s">
        <v>6242</v>
      </c>
    </row>
    <row r="1037" spans="2:11" ht="15" customHeight="1">
      <c r="C1037" s="162">
        <v>44792</v>
      </c>
      <c r="D1037" s="101">
        <v>9097092026</v>
      </c>
      <c r="E1037" s="211" t="s">
        <v>6220</v>
      </c>
      <c r="H1037" s="30" t="s">
        <v>2071</v>
      </c>
      <c r="I1037" s="51" t="s">
        <v>6224</v>
      </c>
      <c r="J1037" s="2" t="s">
        <v>77</v>
      </c>
    </row>
    <row r="1038" spans="2:11" ht="15" customHeight="1">
      <c r="B1038" s="213"/>
      <c r="C1038" s="229">
        <v>44792</v>
      </c>
      <c r="D1038" s="225">
        <v>7260970178</v>
      </c>
      <c r="E1038" s="230" t="s">
        <v>6282</v>
      </c>
      <c r="F1038" s="156" t="s">
        <v>6283</v>
      </c>
      <c r="G1038" s="1274"/>
      <c r="H1038" s="231" t="s">
        <v>1955</v>
      </c>
      <c r="I1038" s="232" t="s">
        <v>6223</v>
      </c>
      <c r="J1038" s="2" t="s">
        <v>100</v>
      </c>
      <c r="K1038" t="s">
        <v>6239</v>
      </c>
    </row>
    <row r="1039" spans="2:11" ht="15" customHeight="1">
      <c r="B1039" s="212"/>
      <c r="C1039" s="162">
        <v>44793</v>
      </c>
      <c r="D1039" s="101">
        <v>9771913810</v>
      </c>
      <c r="E1039" s="212" t="s">
        <v>6225</v>
      </c>
      <c r="H1039" s="30" t="s">
        <v>2047</v>
      </c>
      <c r="I1039" t="s">
        <v>6227</v>
      </c>
      <c r="J1039" s="2" t="s">
        <v>507</v>
      </c>
    </row>
    <row r="1040" spans="2:11" ht="15" customHeight="1">
      <c r="C1040" s="162">
        <v>44796</v>
      </c>
      <c r="D1040" s="101">
        <v>9771913810</v>
      </c>
      <c r="E1040" s="212" t="s">
        <v>6225</v>
      </c>
      <c r="H1040" s="30" t="s">
        <v>2047</v>
      </c>
      <c r="I1040" t="s">
        <v>6234</v>
      </c>
      <c r="J1040" s="65">
        <v>44861</v>
      </c>
    </row>
    <row r="1041" spans="3:11" ht="15" customHeight="1">
      <c r="C1041" s="162">
        <v>44796</v>
      </c>
      <c r="D1041" s="101">
        <v>9771631353</v>
      </c>
      <c r="E1041" s="216" t="s">
        <v>6237</v>
      </c>
      <c r="H1041" s="30" t="s">
        <v>4942</v>
      </c>
      <c r="I1041" t="s">
        <v>6236</v>
      </c>
      <c r="J1041" s="65" t="s">
        <v>77</v>
      </c>
    </row>
    <row r="1042" spans="3:11" ht="15" customHeight="1">
      <c r="C1042" s="162">
        <v>44797</v>
      </c>
      <c r="D1042" s="101">
        <v>6207991001</v>
      </c>
      <c r="E1042" s="216" t="s">
        <v>6244</v>
      </c>
      <c r="H1042" s="30" t="s">
        <v>516</v>
      </c>
      <c r="I1042" t="s">
        <v>6243</v>
      </c>
      <c r="J1042" s="2" t="s">
        <v>507</v>
      </c>
    </row>
    <row r="1043" spans="3:11" ht="15" customHeight="1">
      <c r="C1043" s="162">
        <v>44797</v>
      </c>
      <c r="D1043" s="101">
        <v>8709596087</v>
      </c>
      <c r="E1043" s="216" t="s">
        <v>6001</v>
      </c>
      <c r="H1043" s="30" t="s">
        <v>6245</v>
      </c>
      <c r="I1043" t="s">
        <v>6267</v>
      </c>
      <c r="J1043" s="65" t="s">
        <v>507</v>
      </c>
    </row>
    <row r="1044" spans="3:11" ht="15" customHeight="1">
      <c r="C1044" s="162">
        <v>44797</v>
      </c>
      <c r="D1044" s="101">
        <v>9471716530</v>
      </c>
      <c r="E1044" s="216" t="s">
        <v>6246</v>
      </c>
      <c r="H1044" s="30" t="s">
        <v>6247</v>
      </c>
      <c r="I1044" t="s">
        <v>6266</v>
      </c>
      <c r="J1044" s="65">
        <v>44861</v>
      </c>
    </row>
    <row r="1045" spans="3:11" ht="15" customHeight="1">
      <c r="C1045" s="162">
        <v>44797</v>
      </c>
      <c r="D1045" s="101">
        <v>8434686043</v>
      </c>
      <c r="E1045" s="216" t="s">
        <v>3305</v>
      </c>
      <c r="H1045" s="30" t="s">
        <v>2067</v>
      </c>
      <c r="I1045" t="s">
        <v>6277</v>
      </c>
      <c r="J1045" s="2" t="s">
        <v>528</v>
      </c>
    </row>
    <row r="1046" spans="3:11" ht="15" customHeight="1">
      <c r="C1046" s="9">
        <v>44796</v>
      </c>
      <c r="D1046" s="17" t="s">
        <v>6238</v>
      </c>
      <c r="E1046" s="214" t="s">
        <v>6237</v>
      </c>
      <c r="F1046" s="50"/>
      <c r="G1046" s="1268"/>
      <c r="H1046" s="1" t="s">
        <v>2047</v>
      </c>
      <c r="I1046" t="s">
        <v>6236</v>
      </c>
      <c r="J1046" s="11" t="s">
        <v>507</v>
      </c>
    </row>
    <row r="1047" spans="3:11" ht="15" customHeight="1">
      <c r="C1047" s="162">
        <v>44799</v>
      </c>
      <c r="D1047" s="101">
        <v>7209602238</v>
      </c>
      <c r="E1047" s="227" t="s">
        <v>6280</v>
      </c>
      <c r="H1047" s="30" t="s">
        <v>1955</v>
      </c>
      <c r="I1047" t="s">
        <v>6278</v>
      </c>
      <c r="J1047" s="65" t="s">
        <v>507</v>
      </c>
    </row>
    <row r="1048" spans="3:11" ht="15" customHeight="1">
      <c r="C1048" s="162">
        <v>44800</v>
      </c>
      <c r="E1048" s="227" t="s">
        <v>1242</v>
      </c>
      <c r="H1048" s="30" t="s">
        <v>2071</v>
      </c>
      <c r="I1048" t="s">
        <v>6293</v>
      </c>
      <c r="J1048" s="65">
        <v>44824</v>
      </c>
    </row>
    <row r="1049" spans="3:11" ht="15" customHeight="1">
      <c r="C1049" s="162">
        <v>44800</v>
      </c>
      <c r="D1049" s="101">
        <v>9504504612</v>
      </c>
      <c r="E1049" s="211" t="s">
        <v>1938</v>
      </c>
      <c r="H1049" s="30" t="s">
        <v>2071</v>
      </c>
      <c r="I1049" t="s">
        <v>6281</v>
      </c>
      <c r="J1049" s="2" t="s">
        <v>39</v>
      </c>
    </row>
    <row r="1050" spans="3:11" ht="15" customHeight="1">
      <c r="C1050" s="162">
        <v>44800</v>
      </c>
      <c r="D1050" s="101">
        <v>7260970178</v>
      </c>
      <c r="E1050" s="228" t="s">
        <v>6282</v>
      </c>
      <c r="F1050" t="s">
        <v>209</v>
      </c>
      <c r="H1050" s="30" t="s">
        <v>1955</v>
      </c>
      <c r="I1050" t="s">
        <v>6284</v>
      </c>
      <c r="J1050" s="2" t="s">
        <v>507</v>
      </c>
    </row>
    <row r="1051" spans="3:11" ht="15" customHeight="1">
      <c r="C1051" s="162">
        <v>44800</v>
      </c>
      <c r="D1051" s="101">
        <v>8789669004</v>
      </c>
      <c r="E1051" s="228" t="s">
        <v>6289</v>
      </c>
      <c r="H1051" s="30" t="s">
        <v>2071</v>
      </c>
      <c r="I1051" s="278" t="s">
        <v>6288</v>
      </c>
      <c r="J1051" s="2" t="s">
        <v>39</v>
      </c>
    </row>
    <row r="1052" spans="3:11" ht="15" customHeight="1">
      <c r="C1052" s="236">
        <v>44803</v>
      </c>
      <c r="D1052" s="237">
        <v>9234353818</v>
      </c>
      <c r="E1052" s="238" t="s">
        <v>2651</v>
      </c>
      <c r="F1052" s="238"/>
      <c r="G1052" s="1273"/>
      <c r="H1052" s="234" t="s">
        <v>1275</v>
      </c>
      <c r="I1052" s="51" t="s">
        <v>6332</v>
      </c>
      <c r="J1052" s="2" t="s">
        <v>39</v>
      </c>
    </row>
    <row r="1053" spans="3:11" ht="15" customHeight="1">
      <c r="C1053" s="236">
        <v>44801</v>
      </c>
      <c r="D1053" s="237" t="s">
        <v>921</v>
      </c>
      <c r="E1053" s="238" t="s">
        <v>6294</v>
      </c>
      <c r="F1053" s="238"/>
      <c r="G1053" s="1273"/>
      <c r="H1053" s="234" t="s">
        <v>2067</v>
      </c>
      <c r="I1053" s="238" t="s">
        <v>6306</v>
      </c>
      <c r="J1053" s="1911" t="s">
        <v>165</v>
      </c>
      <c r="K1053" s="238" t="s">
        <v>6395</v>
      </c>
    </row>
    <row r="1054" spans="3:11" ht="15" customHeight="1">
      <c r="C1054" s="162">
        <v>44801</v>
      </c>
      <c r="D1054" s="240" t="s">
        <v>6299</v>
      </c>
      <c r="E1054" s="239" t="s">
        <v>6298</v>
      </c>
      <c r="F1054" s="239" t="s">
        <v>6296</v>
      </c>
      <c r="G1054" s="1275"/>
      <c r="H1054" s="30" t="s">
        <v>6297</v>
      </c>
      <c r="I1054" t="s">
        <v>6295</v>
      </c>
      <c r="J1054" s="2"/>
      <c r="K1054" s="266" t="s">
        <v>6396</v>
      </c>
    </row>
    <row r="1055" spans="3:11" ht="15" customHeight="1">
      <c r="C1055" s="162">
        <v>44802</v>
      </c>
      <c r="D1055" s="101">
        <v>9234611304</v>
      </c>
      <c r="E1055" s="241" t="s">
        <v>6300</v>
      </c>
      <c r="F1055" t="s">
        <v>6302</v>
      </c>
      <c r="H1055" s="30" t="s">
        <v>6301</v>
      </c>
      <c r="I1055" s="243" t="s">
        <v>6305</v>
      </c>
      <c r="J1055" s="2" t="s">
        <v>507</v>
      </c>
    </row>
    <row r="1056" spans="3:11" ht="15" customHeight="1">
      <c r="C1056" s="162">
        <v>44802</v>
      </c>
      <c r="D1056" s="101">
        <v>8083558968</v>
      </c>
      <c r="E1056" s="241" t="s">
        <v>6303</v>
      </c>
      <c r="I1056" t="s">
        <v>6304</v>
      </c>
      <c r="J1056" s="2"/>
      <c r="K1056" s="275" t="s">
        <v>6424</v>
      </c>
    </row>
    <row r="1057" spans="3:11" ht="15" customHeight="1">
      <c r="C1057" s="162">
        <v>44804</v>
      </c>
      <c r="D1057" s="101">
        <v>8210923124</v>
      </c>
      <c r="E1057" s="244" t="s">
        <v>6335</v>
      </c>
      <c r="H1057" s="30" t="s">
        <v>2071</v>
      </c>
      <c r="I1057" s="271" t="s">
        <v>6334</v>
      </c>
      <c r="J1057" s="2" t="s">
        <v>39</v>
      </c>
    </row>
    <row r="1058" spans="3:11" ht="15" customHeight="1">
      <c r="C1058" s="162">
        <v>44804</v>
      </c>
      <c r="D1058" s="101">
        <v>7488270961</v>
      </c>
      <c r="E1058" s="244" t="s">
        <v>6336</v>
      </c>
      <c r="H1058" s="30" t="s">
        <v>2071</v>
      </c>
      <c r="I1058" s="243" t="s">
        <v>6342</v>
      </c>
      <c r="J1058" s="65">
        <v>44832</v>
      </c>
    </row>
    <row r="1059" spans="3:11" ht="15" customHeight="1">
      <c r="C1059" s="251">
        <v>44774</v>
      </c>
      <c r="D1059" s="252">
        <v>6287749810</v>
      </c>
      <c r="E1059" s="253" t="s">
        <v>1634</v>
      </c>
      <c r="F1059" s="253"/>
      <c r="G1059" s="1276"/>
      <c r="H1059" s="254" t="s">
        <v>2071</v>
      </c>
      <c r="I1059" s="243" t="s">
        <v>6341</v>
      </c>
      <c r="J1059" s="2" t="s">
        <v>39</v>
      </c>
    </row>
    <row r="1060" spans="3:11" ht="15" customHeight="1">
      <c r="C1060" s="9">
        <v>44808</v>
      </c>
      <c r="D1060" s="17" t="s">
        <v>5552</v>
      </c>
      <c r="E1060" s="245" t="s">
        <v>6346</v>
      </c>
      <c r="H1060" s="30" t="s">
        <v>2071</v>
      </c>
      <c r="I1060" s="243" t="s">
        <v>6348</v>
      </c>
      <c r="J1060" s="65">
        <v>44846</v>
      </c>
    </row>
    <row r="1061" spans="3:11" ht="15" customHeight="1">
      <c r="C1061" s="162">
        <v>44808</v>
      </c>
      <c r="D1061" s="101">
        <v>7033537313</v>
      </c>
      <c r="E1061" s="246" t="s">
        <v>6349</v>
      </c>
      <c r="H1061" s="30" t="s">
        <v>2071</v>
      </c>
      <c r="I1061" s="448" t="s">
        <v>6352</v>
      </c>
      <c r="J1061" s="2" t="s">
        <v>507</v>
      </c>
    </row>
    <row r="1062" spans="3:11" ht="15" customHeight="1">
      <c r="C1062" s="9">
        <v>44811</v>
      </c>
      <c r="D1062" s="17" t="s">
        <v>6369</v>
      </c>
      <c r="E1062" s="250" t="s">
        <v>6368</v>
      </c>
      <c r="H1062" s="30" t="s">
        <v>1541</v>
      </c>
      <c r="I1062" s="243" t="s">
        <v>6367</v>
      </c>
      <c r="J1062" s="1912">
        <v>44852</v>
      </c>
    </row>
    <row r="1063" spans="3:11" ht="15" customHeight="1">
      <c r="C1063" s="162">
        <v>44812</v>
      </c>
      <c r="D1063" s="101">
        <v>7488671733</v>
      </c>
      <c r="E1063" s="255" t="s">
        <v>6370</v>
      </c>
      <c r="H1063" s="30" t="s">
        <v>2067</v>
      </c>
      <c r="I1063" s="243" t="s">
        <v>6371</v>
      </c>
      <c r="J1063" s="1913">
        <v>44915</v>
      </c>
    </row>
    <row r="1064" spans="3:11" ht="15" customHeight="1">
      <c r="C1064" s="162">
        <v>44813</v>
      </c>
      <c r="D1064" s="101">
        <v>9508019311</v>
      </c>
      <c r="E1064" s="262" t="s">
        <v>6379</v>
      </c>
      <c r="H1064" s="30" t="s">
        <v>6380</v>
      </c>
      <c r="I1064" s="243" t="s">
        <v>6378</v>
      </c>
      <c r="J1064" s="1914" t="s">
        <v>507</v>
      </c>
    </row>
    <row r="1065" spans="3:11" ht="15" customHeight="1">
      <c r="C1065" s="162">
        <v>44814</v>
      </c>
      <c r="D1065" s="101">
        <v>8797946237</v>
      </c>
      <c r="E1065" s="264" t="s">
        <v>2038</v>
      </c>
      <c r="H1065" s="30" t="s">
        <v>1275</v>
      </c>
      <c r="I1065" s="51" t="s">
        <v>6385</v>
      </c>
      <c r="J1065" s="1913">
        <v>44849</v>
      </c>
    </row>
    <row r="1066" spans="3:11" ht="15" customHeight="1">
      <c r="C1066" s="162">
        <v>44814</v>
      </c>
      <c r="D1066" s="101">
        <v>8797946237</v>
      </c>
      <c r="E1066" s="264" t="s">
        <v>2822</v>
      </c>
      <c r="H1066" s="30" t="s">
        <v>1275</v>
      </c>
      <c r="I1066" s="51" t="s">
        <v>6386</v>
      </c>
      <c r="J1066" s="1913">
        <v>44849</v>
      </c>
    </row>
    <row r="1067" spans="3:11" ht="15" customHeight="1">
      <c r="C1067" s="162">
        <v>44814</v>
      </c>
      <c r="D1067" s="101">
        <v>8619255203</v>
      </c>
      <c r="E1067" s="264" t="s">
        <v>6387</v>
      </c>
      <c r="H1067" s="30" t="s">
        <v>2067</v>
      </c>
      <c r="I1067" s="51" t="s">
        <v>6388</v>
      </c>
      <c r="J1067" s="1913">
        <v>44847</v>
      </c>
    </row>
    <row r="1068" spans="3:11" ht="15" customHeight="1">
      <c r="C1068" s="236">
        <v>44801</v>
      </c>
      <c r="D1068" s="237" t="s">
        <v>921</v>
      </c>
      <c r="E1068" s="238" t="s">
        <v>6294</v>
      </c>
      <c r="F1068" s="238"/>
      <c r="G1068" s="1273"/>
      <c r="H1068" s="234" t="s">
        <v>2067</v>
      </c>
      <c r="I1068" s="51" t="s">
        <v>6400</v>
      </c>
      <c r="J1068" s="1915" t="s">
        <v>100</v>
      </c>
      <c r="K1068" s="268" t="s">
        <v>3395</v>
      </c>
    </row>
    <row r="1069" spans="3:11" ht="15" customHeight="1">
      <c r="C1069" s="162">
        <v>44819</v>
      </c>
      <c r="D1069" s="101" t="s">
        <v>2618</v>
      </c>
      <c r="E1069" s="271" t="s">
        <v>2839</v>
      </c>
      <c r="F1069" t="s">
        <v>2071</v>
      </c>
      <c r="H1069" s="30" t="s">
        <v>6409</v>
      </c>
      <c r="I1069" s="51" t="s">
        <v>6407</v>
      </c>
      <c r="J1069" s="1915" t="s">
        <v>100</v>
      </c>
      <c r="K1069" t="s">
        <v>6408</v>
      </c>
    </row>
    <row r="1070" spans="3:11" ht="15" customHeight="1">
      <c r="C1070" s="162">
        <v>44819</v>
      </c>
      <c r="D1070" s="101">
        <v>9771410924</v>
      </c>
      <c r="E1070" s="271" t="s">
        <v>763</v>
      </c>
      <c r="H1070" s="30" t="s">
        <v>2067</v>
      </c>
      <c r="I1070" s="51" t="s">
        <v>6410</v>
      </c>
      <c r="J1070" s="1916" t="s">
        <v>39</v>
      </c>
    </row>
    <row r="1071" spans="3:11" ht="15" customHeight="1">
      <c r="C1071" s="162">
        <v>44819</v>
      </c>
      <c r="D1071" s="101">
        <v>9110072496</v>
      </c>
      <c r="E1071" s="279" t="s">
        <v>689</v>
      </c>
      <c r="F1071" t="s">
        <v>6412</v>
      </c>
      <c r="H1071" s="30" t="s">
        <v>1268</v>
      </c>
      <c r="I1071" s="51" t="s">
        <v>6411</v>
      </c>
      <c r="J1071" s="1917">
        <v>44917</v>
      </c>
    </row>
    <row r="1072" spans="3:11" ht="15" customHeight="1">
      <c r="C1072" s="162">
        <v>44819</v>
      </c>
      <c r="D1072" s="17" t="s">
        <v>2069</v>
      </c>
      <c r="E1072" s="2" t="s">
        <v>2070</v>
      </c>
      <c r="F1072" s="30"/>
      <c r="G1072" s="1264"/>
      <c r="H1072" s="30" t="s">
        <v>2071</v>
      </c>
      <c r="I1072" s="51" t="s">
        <v>6413</v>
      </c>
      <c r="J1072" s="1918" t="s">
        <v>39</v>
      </c>
      <c r="K1072" s="95">
        <v>44937</v>
      </c>
    </row>
    <row r="1073" spans="3:10" ht="15" customHeight="1">
      <c r="C1073" s="162">
        <v>44820</v>
      </c>
      <c r="D1073" s="101">
        <v>9708668851</v>
      </c>
      <c r="E1073" s="2" t="s">
        <v>6414</v>
      </c>
      <c r="H1073" s="30" t="s">
        <v>2071</v>
      </c>
      <c r="I1073" s="51" t="s">
        <v>6420</v>
      </c>
      <c r="J1073" s="350" t="s">
        <v>507</v>
      </c>
    </row>
    <row r="1074" spans="3:10" ht="15" customHeight="1">
      <c r="C1074" s="162">
        <v>44820</v>
      </c>
      <c r="D1074" s="101">
        <v>9661948452</v>
      </c>
      <c r="E1074" s="2" t="s">
        <v>6416</v>
      </c>
      <c r="H1074">
        <v>18</v>
      </c>
      <c r="I1074" s="51" t="s">
        <v>6415</v>
      </c>
      <c r="J1074" s="1917">
        <v>44911</v>
      </c>
    </row>
    <row r="1075" spans="3:10" ht="15" customHeight="1">
      <c r="C1075" s="162">
        <v>44820</v>
      </c>
      <c r="D1075" s="101">
        <v>8797320801</v>
      </c>
      <c r="E1075" s="2" t="s">
        <v>6124</v>
      </c>
      <c r="H1075" s="30" t="s">
        <v>1873</v>
      </c>
      <c r="I1075" s="51" t="s">
        <v>6417</v>
      </c>
      <c r="J1075" s="95">
        <v>44910</v>
      </c>
    </row>
    <row r="1076" spans="3:10" ht="15" customHeight="1">
      <c r="C1076" s="162">
        <v>44820</v>
      </c>
      <c r="E1076" s="2" t="s">
        <v>6418</v>
      </c>
      <c r="I1076" s="51" t="s">
        <v>6419</v>
      </c>
      <c r="J1076" t="s">
        <v>4073</v>
      </c>
    </row>
    <row r="1077" spans="3:10" ht="15" customHeight="1">
      <c r="C1077" s="162">
        <v>44820</v>
      </c>
      <c r="D1077" s="101">
        <v>6299469608</v>
      </c>
      <c r="E1077" s="2" t="s">
        <v>6421</v>
      </c>
      <c r="H1077" t="s">
        <v>6422</v>
      </c>
      <c r="I1077" s="51" t="s">
        <v>6423</v>
      </c>
      <c r="J1077" s="95">
        <v>44912</v>
      </c>
    </row>
    <row r="1078" spans="3:10" ht="15" customHeight="1">
      <c r="C1078" s="162">
        <v>44824</v>
      </c>
      <c r="D1078" s="101">
        <v>8340387617</v>
      </c>
      <c r="E1078" s="2" t="s">
        <v>6470</v>
      </c>
      <c r="H1078" s="276" t="s">
        <v>6427</v>
      </c>
      <c r="I1078" s="51" t="s">
        <v>6426</v>
      </c>
      <c r="J1078" s="95">
        <v>44911</v>
      </c>
    </row>
    <row r="1079" spans="3:10" ht="15" customHeight="1">
      <c r="C1079" s="162">
        <v>44827</v>
      </c>
      <c r="D1079" s="101">
        <v>7903170630</v>
      </c>
      <c r="E1079" s="2" t="s">
        <v>6431</v>
      </c>
      <c r="H1079" s="280" t="s">
        <v>2067</v>
      </c>
      <c r="I1079" s="51" t="s">
        <v>6430</v>
      </c>
      <c r="J1079" s="95">
        <v>44913</v>
      </c>
    </row>
    <row r="1080" spans="3:10" ht="15" customHeight="1">
      <c r="C1080" s="162">
        <v>44827</v>
      </c>
      <c r="D1080" s="101">
        <v>8603190718</v>
      </c>
      <c r="E1080" s="2" t="s">
        <v>6432</v>
      </c>
      <c r="H1080" s="280" t="s">
        <v>1955</v>
      </c>
      <c r="I1080" s="51" t="s">
        <v>6433</v>
      </c>
      <c r="J1080" t="s">
        <v>4073</v>
      </c>
    </row>
    <row r="1081" spans="3:10" ht="15" customHeight="1">
      <c r="C1081" s="162">
        <v>44827</v>
      </c>
      <c r="D1081" s="101">
        <v>9122824471</v>
      </c>
      <c r="E1081" s="2" t="s">
        <v>518</v>
      </c>
      <c r="H1081" s="281" t="s">
        <v>6439</v>
      </c>
      <c r="I1081" s="51" t="s">
        <v>6440</v>
      </c>
      <c r="J1081" s="95">
        <v>44935</v>
      </c>
    </row>
    <row r="1082" spans="3:10" ht="15" customHeight="1">
      <c r="C1082" s="162">
        <v>44827</v>
      </c>
      <c r="D1082" s="101">
        <v>6200713901</v>
      </c>
      <c r="E1082" s="2" t="s">
        <v>436</v>
      </c>
      <c r="H1082" s="281" t="s">
        <v>6439</v>
      </c>
      <c r="I1082" s="51" t="s">
        <v>6441</v>
      </c>
      <c r="J1082" s="95">
        <v>44935</v>
      </c>
    </row>
    <row r="1083" spans="3:10" ht="15" customHeight="1">
      <c r="C1083" s="162">
        <v>44827</v>
      </c>
      <c r="D1083" s="17" t="s">
        <v>2107</v>
      </c>
      <c r="E1083" s="2" t="s">
        <v>2108</v>
      </c>
      <c r="H1083" s="282" t="s">
        <v>6444</v>
      </c>
      <c r="I1083" s="51" t="s">
        <v>6442</v>
      </c>
      <c r="J1083" s="1919">
        <v>44925</v>
      </c>
    </row>
    <row r="1084" spans="3:10" ht="15" customHeight="1">
      <c r="C1084" s="162">
        <v>44827</v>
      </c>
      <c r="D1084" s="17" t="s">
        <v>2107</v>
      </c>
      <c r="E1084" s="2" t="s">
        <v>2111</v>
      </c>
      <c r="H1084" s="282" t="s">
        <v>6444</v>
      </c>
      <c r="I1084" s="51" t="s">
        <v>6443</v>
      </c>
      <c r="J1084" s="1919">
        <v>44925</v>
      </c>
    </row>
    <row r="1085" spans="3:10" ht="15" customHeight="1">
      <c r="C1085" s="162">
        <v>44830</v>
      </c>
      <c r="D1085" s="101">
        <v>707596498</v>
      </c>
      <c r="E1085" s="2" t="s">
        <v>6462</v>
      </c>
      <c r="H1085" s="285" t="s">
        <v>2071</v>
      </c>
      <c r="I1085" s="51" t="s">
        <v>6461</v>
      </c>
      <c r="J1085" s="95">
        <v>45005</v>
      </c>
    </row>
    <row r="1086" spans="3:10" ht="15" customHeight="1">
      <c r="C1086" s="162">
        <v>44830</v>
      </c>
      <c r="D1086" s="101">
        <v>9097564230</v>
      </c>
      <c r="E1086" s="2" t="s">
        <v>6464</v>
      </c>
      <c r="H1086">
        <v>17</v>
      </c>
      <c r="I1086" s="51" t="s">
        <v>6463</v>
      </c>
      <c r="J1086" s="1920">
        <v>44904</v>
      </c>
    </row>
    <row r="1087" spans="3:10" ht="15" customHeight="1">
      <c r="C1087" s="162">
        <v>44831</v>
      </c>
      <c r="D1087" s="101">
        <v>7209234393</v>
      </c>
      <c r="E1087" s="2" t="s">
        <v>2722</v>
      </c>
      <c r="H1087" t="s">
        <v>2071</v>
      </c>
      <c r="I1087" s="51" t="s">
        <v>6466</v>
      </c>
      <c r="J1087" s="1920">
        <v>44904</v>
      </c>
    </row>
    <row r="1088" spans="3:10" ht="15" customHeight="1">
      <c r="C1088" s="162">
        <v>44831</v>
      </c>
      <c r="D1088" s="101">
        <v>7209234393</v>
      </c>
      <c r="E1088" s="2" t="s">
        <v>2725</v>
      </c>
      <c r="H1088" t="s">
        <v>2071</v>
      </c>
      <c r="I1088" s="51" t="s">
        <v>6465</v>
      </c>
      <c r="J1088" s="1920">
        <v>44904</v>
      </c>
    </row>
    <row r="1089" spans="3:11" ht="15" customHeight="1">
      <c r="C1089" s="162">
        <v>44831</v>
      </c>
      <c r="D1089" s="101">
        <v>8210758522</v>
      </c>
      <c r="E1089" s="2" t="s">
        <v>6467</v>
      </c>
      <c r="H1089" s="286" t="s">
        <v>1355</v>
      </c>
      <c r="I1089" s="51" t="s">
        <v>6468</v>
      </c>
      <c r="J1089" s="1919">
        <v>44925</v>
      </c>
    </row>
    <row r="1090" spans="3:11" ht="15" customHeight="1">
      <c r="C1090" s="162">
        <v>44841</v>
      </c>
      <c r="D1090" s="17" t="s">
        <v>3015</v>
      </c>
      <c r="E1090" s="2" t="s">
        <v>1085</v>
      </c>
      <c r="H1090" s="289" t="s">
        <v>1825</v>
      </c>
      <c r="I1090" s="51" t="s">
        <v>6484</v>
      </c>
      <c r="J1090" s="1919">
        <v>44984</v>
      </c>
    </row>
    <row r="1091" spans="3:11" ht="15" customHeight="1">
      <c r="C1091" s="162">
        <v>44844</v>
      </c>
      <c r="D1091" s="101">
        <v>7209483044</v>
      </c>
      <c r="E1091" s="2" t="s">
        <v>6487</v>
      </c>
      <c r="H1091" s="299" t="s">
        <v>2071</v>
      </c>
      <c r="I1091" s="51" t="s">
        <v>6488</v>
      </c>
      <c r="J1091" s="95">
        <v>44913</v>
      </c>
    </row>
    <row r="1092" spans="3:11" ht="15" customHeight="1">
      <c r="C1092" s="162">
        <v>44846</v>
      </c>
      <c r="D1092" s="101">
        <v>6206692476</v>
      </c>
      <c r="E1092" s="2" t="s">
        <v>6492</v>
      </c>
      <c r="H1092" s="299" t="s">
        <v>2071</v>
      </c>
      <c r="I1092" s="51" t="s">
        <v>6493</v>
      </c>
      <c r="J1092" s="1919">
        <v>44914</v>
      </c>
    </row>
    <row r="1093" spans="3:11" ht="15" customHeight="1">
      <c r="C1093" s="162">
        <v>44847</v>
      </c>
      <c r="D1093" s="101">
        <v>8210049526</v>
      </c>
      <c r="E1093" s="2" t="s">
        <v>6498</v>
      </c>
      <c r="H1093" s="301" t="s">
        <v>1905</v>
      </c>
      <c r="I1093" s="51" t="s">
        <v>6499</v>
      </c>
      <c r="J1093" s="95">
        <v>44928</v>
      </c>
    </row>
    <row r="1094" spans="3:11" ht="15" customHeight="1">
      <c r="C1094" s="162">
        <v>44847</v>
      </c>
      <c r="D1094" s="1">
        <v>9234115639</v>
      </c>
      <c r="E1094" s="2" t="s">
        <v>2549</v>
      </c>
      <c r="H1094" s="30" t="s">
        <v>1955</v>
      </c>
      <c r="I1094" s="51" t="s">
        <v>6500</v>
      </c>
      <c r="J1094" s="95">
        <v>44928</v>
      </c>
    </row>
    <row r="1095" spans="3:11" ht="15" customHeight="1">
      <c r="C1095" s="162">
        <v>44849</v>
      </c>
      <c r="D1095" s="101">
        <v>7209441354</v>
      </c>
      <c r="E1095" s="2" t="s">
        <v>2150</v>
      </c>
      <c r="H1095" s="303" t="s">
        <v>2071</v>
      </c>
      <c r="I1095" s="51" t="s">
        <v>6506</v>
      </c>
      <c r="J1095" s="95">
        <v>44919</v>
      </c>
    </row>
    <row r="1096" spans="3:11" ht="15" customHeight="1">
      <c r="C1096" s="162">
        <v>44849</v>
      </c>
      <c r="D1096" s="101">
        <v>9835610620</v>
      </c>
      <c r="E1096" s="302" t="s">
        <v>6505</v>
      </c>
      <c r="H1096" s="302" t="s">
        <v>2134</v>
      </c>
      <c r="I1096" s="51" t="s">
        <v>6508</v>
      </c>
      <c r="J1096" s="1919">
        <v>44932</v>
      </c>
      <c r="K1096" s="95"/>
    </row>
    <row r="1097" spans="3:11" ht="15" customHeight="1">
      <c r="C1097" s="162">
        <v>44852</v>
      </c>
      <c r="D1097" s="101">
        <v>8804554058</v>
      </c>
      <c r="E1097" s="302" t="s">
        <v>6505</v>
      </c>
      <c r="H1097" s="304" t="s">
        <v>6511</v>
      </c>
      <c r="I1097" s="51" t="s">
        <v>6510</v>
      </c>
      <c r="J1097" s="1921" t="s">
        <v>39</v>
      </c>
      <c r="K1097" s="432">
        <v>45004</v>
      </c>
    </row>
    <row r="1098" spans="3:11" ht="15" customHeight="1">
      <c r="C1098" s="162">
        <v>44852</v>
      </c>
      <c r="D1098" s="101">
        <v>7717747591</v>
      </c>
      <c r="E1098" t="s">
        <v>1134</v>
      </c>
      <c r="H1098" t="s">
        <v>6509</v>
      </c>
      <c r="I1098" s="51" t="s">
        <v>6512</v>
      </c>
      <c r="J1098" s="1919">
        <v>44928</v>
      </c>
      <c r="K1098" s="95"/>
    </row>
    <row r="1099" spans="3:11" ht="15" customHeight="1">
      <c r="C1099" s="162">
        <v>44853</v>
      </c>
      <c r="D1099" s="101">
        <v>7061886518</v>
      </c>
      <c r="E1099" s="305" t="s">
        <v>6516</v>
      </c>
      <c r="H1099" s="305" t="s">
        <v>1905</v>
      </c>
      <c r="I1099" s="51" t="s">
        <v>6517</v>
      </c>
      <c r="J1099" s="1922">
        <v>44918</v>
      </c>
      <c r="K1099" s="95"/>
    </row>
    <row r="1100" spans="3:11" ht="15" customHeight="1">
      <c r="C1100" s="162">
        <v>44853</v>
      </c>
      <c r="D1100" s="101">
        <v>8789963598</v>
      </c>
      <c r="E1100" s="306" t="s">
        <v>6518</v>
      </c>
      <c r="H1100" s="306" t="s">
        <v>1955</v>
      </c>
      <c r="I1100" s="51" t="s">
        <v>6519</v>
      </c>
      <c r="J1100" s="354" t="s">
        <v>4073</v>
      </c>
    </row>
    <row r="1101" spans="3:11" ht="15" customHeight="1">
      <c r="C1101" s="162">
        <v>44855</v>
      </c>
      <c r="D1101" s="101">
        <v>9430754023</v>
      </c>
      <c r="E1101" s="307" t="s">
        <v>6521</v>
      </c>
      <c r="I1101" s="51" t="s">
        <v>6520</v>
      </c>
      <c r="J1101" s="354" t="s">
        <v>4073</v>
      </c>
    </row>
    <row r="1102" spans="3:11" ht="15" customHeight="1">
      <c r="C1102" s="162">
        <v>44861</v>
      </c>
      <c r="D1102" s="101">
        <v>7979654142</v>
      </c>
      <c r="E1102" s="381" t="s">
        <v>6832</v>
      </c>
      <c r="H1102" t="s">
        <v>6439</v>
      </c>
      <c r="I1102" s="39" t="s">
        <v>6526</v>
      </c>
      <c r="J1102" s="1919">
        <v>44938</v>
      </c>
    </row>
    <row r="1103" spans="3:11" ht="15" customHeight="1">
      <c r="C1103" s="162">
        <v>44861</v>
      </c>
      <c r="D1103" s="101">
        <v>7033534402</v>
      </c>
      <c r="E1103" s="308" t="s">
        <v>3975</v>
      </c>
      <c r="H1103" s="308" t="s">
        <v>1347</v>
      </c>
      <c r="I1103" s="51" t="s">
        <v>6527</v>
      </c>
      <c r="J1103" s="354" t="s">
        <v>4073</v>
      </c>
    </row>
    <row r="1104" spans="3:11" ht="15" customHeight="1">
      <c r="C1104" s="162">
        <v>44861</v>
      </c>
      <c r="D1104" s="101">
        <v>8092223582</v>
      </c>
      <c r="E1104" s="308" t="s">
        <v>2856</v>
      </c>
      <c r="H1104" s="308" t="s">
        <v>1347</v>
      </c>
      <c r="I1104" s="51" t="s">
        <v>6528</v>
      </c>
      <c r="J1104" s="354" t="s">
        <v>4073</v>
      </c>
    </row>
    <row r="1105" spans="3:10" ht="15" customHeight="1">
      <c r="C1105" s="162">
        <v>44862</v>
      </c>
      <c r="D1105" s="101">
        <v>7209234393</v>
      </c>
      <c r="E1105" s="309" t="s">
        <v>2722</v>
      </c>
      <c r="H1105" s="309" t="s">
        <v>2506</v>
      </c>
      <c r="I1105" s="51" t="s">
        <v>6536</v>
      </c>
      <c r="J1105" s="51" t="s">
        <v>538</v>
      </c>
    </row>
    <row r="1106" spans="3:10" ht="15" customHeight="1">
      <c r="C1106" s="162">
        <v>44862</v>
      </c>
      <c r="D1106" s="101">
        <v>7209234393</v>
      </c>
      <c r="E1106" s="309" t="s">
        <v>2725</v>
      </c>
      <c r="H1106" s="309" t="s">
        <v>2506</v>
      </c>
      <c r="I1106" s="51" t="s">
        <v>6537</v>
      </c>
      <c r="J1106" s="51" t="s">
        <v>538</v>
      </c>
    </row>
    <row r="1107" spans="3:10" ht="15" customHeight="1">
      <c r="C1107" s="162">
        <v>44862</v>
      </c>
      <c r="D1107" s="101">
        <v>7033299165</v>
      </c>
      <c r="E1107" s="310" t="s">
        <v>6539</v>
      </c>
      <c r="H1107" s="310" t="s">
        <v>6078</v>
      </c>
      <c r="I1107" s="51" t="s">
        <v>6538</v>
      </c>
      <c r="J1107" s="1923">
        <v>44914</v>
      </c>
    </row>
    <row r="1108" spans="3:10" ht="15" customHeight="1">
      <c r="C1108" s="162">
        <v>44862</v>
      </c>
      <c r="D1108" s="101">
        <v>6202252457</v>
      </c>
      <c r="E1108" s="310" t="s">
        <v>1343</v>
      </c>
      <c r="H1108" s="310" t="s">
        <v>1275</v>
      </c>
      <c r="I1108" t="s">
        <v>6542</v>
      </c>
      <c r="J1108" s="1924" t="s">
        <v>6764</v>
      </c>
    </row>
    <row r="1109" spans="3:10" ht="15" customHeight="1">
      <c r="C1109" s="162">
        <v>44863</v>
      </c>
      <c r="D1109" s="101">
        <v>9572744962</v>
      </c>
      <c r="E1109" s="311" t="s">
        <v>6541</v>
      </c>
      <c r="H1109" s="311" t="s">
        <v>2071</v>
      </c>
      <c r="I1109" s="51" t="s">
        <v>6540</v>
      </c>
      <c r="J1109" s="1925" t="s">
        <v>4073</v>
      </c>
    </row>
    <row r="1110" spans="3:10" ht="15" customHeight="1">
      <c r="C1110" s="162">
        <v>44867</v>
      </c>
      <c r="D1110" s="101">
        <v>6202252457</v>
      </c>
      <c r="E1110" s="312" t="s">
        <v>6546</v>
      </c>
      <c r="H1110" s="312" t="s">
        <v>2506</v>
      </c>
      <c r="I1110" s="51" t="s">
        <v>6545</v>
      </c>
      <c r="J1110" s="1924" t="s">
        <v>6764</v>
      </c>
    </row>
    <row r="1111" spans="3:10" ht="15" customHeight="1">
      <c r="C1111" s="162">
        <v>44869</v>
      </c>
      <c r="D1111" s="101">
        <v>7853005772</v>
      </c>
      <c r="E1111" s="313" t="s">
        <v>6550</v>
      </c>
      <c r="H1111" s="313" t="s">
        <v>1591</v>
      </c>
      <c r="I1111" s="51" t="s">
        <v>6549</v>
      </c>
      <c r="J1111" s="1925" t="s">
        <v>4073</v>
      </c>
    </row>
    <row r="1112" spans="3:10" ht="15" customHeight="1">
      <c r="C1112" s="162">
        <v>44869</v>
      </c>
      <c r="D1112" s="101">
        <v>9508352424</v>
      </c>
      <c r="E1112" s="313" t="s">
        <v>6551</v>
      </c>
      <c r="H1112" s="313" t="s">
        <v>6078</v>
      </c>
      <c r="I1112" s="51" t="s">
        <v>6552</v>
      </c>
      <c r="J1112" s="1925" t="s">
        <v>4073</v>
      </c>
    </row>
    <row r="1113" spans="3:10" ht="15" customHeight="1">
      <c r="C1113" s="162">
        <v>44869</v>
      </c>
      <c r="D1113" s="101">
        <v>7979095601</v>
      </c>
      <c r="E1113" s="313" t="s">
        <v>6553</v>
      </c>
      <c r="H1113" s="313" t="s">
        <v>1275</v>
      </c>
      <c r="I1113" s="51" t="s">
        <v>6554</v>
      </c>
      <c r="J1113" s="1925" t="s">
        <v>4073</v>
      </c>
    </row>
    <row r="1114" spans="3:10" ht="15" customHeight="1">
      <c r="C1114" s="162">
        <v>44870</v>
      </c>
      <c r="D1114" s="101">
        <v>7870064254</v>
      </c>
      <c r="E1114" s="314" t="s">
        <v>4389</v>
      </c>
      <c r="H1114" s="313" t="s">
        <v>1275</v>
      </c>
      <c r="I1114" s="51" t="s">
        <v>6557</v>
      </c>
      <c r="J1114" s="1926">
        <v>44923</v>
      </c>
    </row>
    <row r="1115" spans="3:10" ht="15" customHeight="1">
      <c r="C1115" s="162">
        <v>44874</v>
      </c>
      <c r="D1115" s="101">
        <v>7783881172</v>
      </c>
      <c r="E1115" s="315" t="s">
        <v>6005</v>
      </c>
      <c r="H1115" s="315" t="s">
        <v>1275</v>
      </c>
      <c r="I1115" s="51" t="s">
        <v>6561</v>
      </c>
      <c r="J1115" s="1926">
        <v>45037</v>
      </c>
    </row>
    <row r="1116" spans="3:10" ht="15" customHeight="1">
      <c r="C1116" s="162">
        <v>44874</v>
      </c>
      <c r="D1116" s="101">
        <v>7004283446</v>
      </c>
      <c r="E1116" s="315" t="s">
        <v>6563</v>
      </c>
      <c r="F1116" s="315" t="s">
        <v>5904</v>
      </c>
      <c r="G1116" s="1277"/>
      <c r="H1116" s="315" t="s">
        <v>2996</v>
      </c>
      <c r="I1116" s="51" t="s">
        <v>6562</v>
      </c>
      <c r="J1116" t="s">
        <v>268</v>
      </c>
    </row>
    <row r="1117" spans="3:10" ht="15" customHeight="1">
      <c r="C1117" s="162">
        <v>44874</v>
      </c>
      <c r="D1117" s="101">
        <v>7004716667</v>
      </c>
      <c r="E1117" s="315" t="s">
        <v>1907</v>
      </c>
      <c r="H1117" s="315" t="s">
        <v>6078</v>
      </c>
      <c r="I1117" s="51" t="s">
        <v>6564</v>
      </c>
      <c r="J1117" s="194" t="s">
        <v>6774</v>
      </c>
    </row>
    <row r="1118" spans="3:10" ht="15" customHeight="1">
      <c r="C1118" s="162">
        <v>44875</v>
      </c>
      <c r="D1118" s="101">
        <v>7209409631</v>
      </c>
      <c r="E1118" s="316" t="s">
        <v>242</v>
      </c>
      <c r="H1118" s="316" t="s">
        <v>1825</v>
      </c>
      <c r="I1118" s="51" t="s">
        <v>6569</v>
      </c>
      <c r="J1118" s="1927">
        <v>44947</v>
      </c>
    </row>
    <row r="1119" spans="3:10" ht="15" customHeight="1">
      <c r="C1119" s="162">
        <v>44875</v>
      </c>
      <c r="D1119" s="101">
        <v>8434685947</v>
      </c>
      <c r="E1119" s="316" t="s">
        <v>2038</v>
      </c>
      <c r="H1119" s="316" t="s">
        <v>2071</v>
      </c>
      <c r="I1119" s="51" t="s">
        <v>6568</v>
      </c>
      <c r="J1119" s="1928">
        <v>44890</v>
      </c>
    </row>
    <row r="1120" spans="3:10" ht="15" customHeight="1">
      <c r="C1120" s="162">
        <v>44875</v>
      </c>
      <c r="D1120" s="101">
        <v>9693859707</v>
      </c>
      <c r="E1120" s="316" t="s">
        <v>982</v>
      </c>
      <c r="H1120" s="316" t="s">
        <v>1355</v>
      </c>
      <c r="I1120" s="51" t="s">
        <v>6570</v>
      </c>
      <c r="J1120" t="s">
        <v>507</v>
      </c>
    </row>
    <row r="1121" spans="1:15" ht="15" customHeight="1">
      <c r="A1121" t="s">
        <v>6601</v>
      </c>
      <c r="C1121" s="162">
        <v>44875</v>
      </c>
      <c r="D1121" s="101">
        <v>7654213322</v>
      </c>
      <c r="E1121" s="359" t="s">
        <v>6785</v>
      </c>
      <c r="H1121" s="316" t="s">
        <v>1781</v>
      </c>
      <c r="I1121" s="51" t="s">
        <v>6571</v>
      </c>
      <c r="J1121" s="95">
        <v>44918</v>
      </c>
    </row>
    <row r="1122" spans="1:15" ht="15" customHeight="1">
      <c r="C1122" s="162">
        <v>44879</v>
      </c>
      <c r="D1122" s="101">
        <v>6203373637</v>
      </c>
      <c r="E1122" s="327" t="s">
        <v>6620</v>
      </c>
      <c r="H1122" s="317" t="s">
        <v>6588</v>
      </c>
      <c r="I1122" s="51" t="s">
        <v>6589</v>
      </c>
      <c r="J1122" s="95">
        <v>44893</v>
      </c>
    </row>
    <row r="1123" spans="1:15" ht="15" customHeight="1">
      <c r="C1123" s="162">
        <v>44879</v>
      </c>
      <c r="D1123" s="101">
        <v>8521895601</v>
      </c>
      <c r="E1123" s="318" t="s">
        <v>2125</v>
      </c>
      <c r="H1123" s="318" t="s">
        <v>2067</v>
      </c>
      <c r="I1123" s="51" t="s">
        <v>6590</v>
      </c>
      <c r="J1123" s="1929">
        <v>44912</v>
      </c>
    </row>
    <row r="1124" spans="1:15" ht="15" customHeight="1">
      <c r="C1124" s="162">
        <v>44879</v>
      </c>
      <c r="D1124" s="101">
        <v>9771219893</v>
      </c>
      <c r="E1124" s="318" t="s">
        <v>2754</v>
      </c>
      <c r="I1124" s="51" t="s">
        <v>6591</v>
      </c>
      <c r="J1124" s="1930">
        <v>44939</v>
      </c>
    </row>
    <row r="1125" spans="1:15" ht="15" customHeight="1">
      <c r="C1125" s="162">
        <v>44880</v>
      </c>
      <c r="D1125" s="101">
        <v>8210903916</v>
      </c>
      <c r="E1125" s="319" t="s">
        <v>6595</v>
      </c>
      <c r="H1125" s="319" t="s">
        <v>2047</v>
      </c>
      <c r="I1125" s="51" t="s">
        <v>6596</v>
      </c>
      <c r="J1125" s="1931" t="s">
        <v>4073</v>
      </c>
    </row>
    <row r="1126" spans="1:15" ht="15" customHeight="1">
      <c r="C1126" s="162">
        <v>44880</v>
      </c>
      <c r="D1126" s="101">
        <v>9693262217</v>
      </c>
      <c r="E1126" s="319" t="s">
        <v>2388</v>
      </c>
      <c r="H1126" s="319" t="s">
        <v>1275</v>
      </c>
      <c r="I1126" s="51" t="s">
        <v>6597</v>
      </c>
      <c r="J1126" s="1927">
        <v>44919</v>
      </c>
    </row>
    <row r="1127" spans="1:15" ht="15" customHeight="1">
      <c r="C1127" s="162">
        <v>44880</v>
      </c>
      <c r="D1127" s="101">
        <v>9661916107</v>
      </c>
      <c r="E1127" s="319" t="s">
        <v>6598</v>
      </c>
      <c r="H1127" s="319" t="s">
        <v>2047</v>
      </c>
      <c r="I1127" s="51" t="s">
        <v>6599</v>
      </c>
      <c r="J1127" s="1932">
        <v>44939</v>
      </c>
    </row>
    <row r="1128" spans="1:15" ht="15" customHeight="1">
      <c r="C1128" s="162">
        <v>44884</v>
      </c>
      <c r="D1128" s="101">
        <v>9771913810</v>
      </c>
      <c r="E1128" s="321" t="s">
        <v>6602</v>
      </c>
      <c r="H1128" s="319" t="s">
        <v>2047</v>
      </c>
      <c r="I1128" s="51" t="s">
        <v>6603</v>
      </c>
      <c r="J1128" s="1932">
        <v>45000</v>
      </c>
    </row>
    <row r="1129" spans="1:15" ht="15" customHeight="1">
      <c r="C1129" s="162">
        <v>44884</v>
      </c>
      <c r="D1129" s="101">
        <v>8709506312</v>
      </c>
      <c r="E1129" s="321" t="s">
        <v>2978</v>
      </c>
      <c r="H1129" s="321" t="s">
        <v>1602</v>
      </c>
      <c r="I1129" s="51" t="s">
        <v>6604</v>
      </c>
      <c r="J1129" t="s">
        <v>39</v>
      </c>
    </row>
    <row r="1130" spans="1:15" ht="15" customHeight="1">
      <c r="C1130" s="162">
        <v>44885</v>
      </c>
      <c r="D1130" s="101">
        <v>9771219893</v>
      </c>
      <c r="E1130" s="323" t="s">
        <v>6607</v>
      </c>
      <c r="H1130" t="s">
        <v>1392</v>
      </c>
      <c r="I1130" s="51" t="s">
        <v>6611</v>
      </c>
      <c r="J1130" t="s">
        <v>507</v>
      </c>
      <c r="K1130" t="s">
        <v>6764</v>
      </c>
      <c r="L1130" s="95">
        <v>44955</v>
      </c>
    </row>
    <row r="1131" spans="1:15" ht="15" customHeight="1">
      <c r="C1131" s="162">
        <v>44885</v>
      </c>
      <c r="D1131" s="101">
        <v>9771219893</v>
      </c>
      <c r="E1131" s="323" t="s">
        <v>6608</v>
      </c>
      <c r="H1131" t="s">
        <v>1392</v>
      </c>
      <c r="I1131" s="51" t="s">
        <v>6612</v>
      </c>
      <c r="J1131" t="s">
        <v>507</v>
      </c>
    </row>
    <row r="1132" spans="1:15" ht="15" customHeight="1">
      <c r="C1132" s="162">
        <v>44885</v>
      </c>
      <c r="D1132" s="101">
        <v>7992286244</v>
      </c>
      <c r="E1132" s="323" t="s">
        <v>6609</v>
      </c>
      <c r="H1132" t="s">
        <v>1392</v>
      </c>
      <c r="I1132" s="51" t="s">
        <v>6610</v>
      </c>
      <c r="J1132" s="95">
        <v>44918</v>
      </c>
    </row>
    <row r="1133" spans="1:15" ht="15" customHeight="1">
      <c r="C1133" s="162">
        <v>44886</v>
      </c>
      <c r="D1133" s="101">
        <v>8789113141</v>
      </c>
      <c r="E1133" s="324" t="s">
        <v>4256</v>
      </c>
      <c r="F1133" t="s">
        <v>5519</v>
      </c>
      <c r="H1133" t="s">
        <v>2696</v>
      </c>
      <c r="I1133" s="51" t="s">
        <v>6613</v>
      </c>
      <c r="J1133" t="s">
        <v>507</v>
      </c>
    </row>
    <row r="1134" spans="1:15" ht="15" customHeight="1">
      <c r="C1134" s="162">
        <v>44886</v>
      </c>
      <c r="D1134" s="101">
        <v>8789944745</v>
      </c>
      <c r="E1134" s="324" t="s">
        <v>2522</v>
      </c>
      <c r="H1134" t="s">
        <v>2071</v>
      </c>
      <c r="I1134" s="51" t="s">
        <v>6614</v>
      </c>
      <c r="J1134" t="s">
        <v>507</v>
      </c>
    </row>
    <row r="1135" spans="1:15" ht="15" customHeight="1">
      <c r="C1135" s="162">
        <v>44886</v>
      </c>
      <c r="D1135" s="101">
        <v>9771219893</v>
      </c>
      <c r="E1135" s="323" t="s">
        <v>6607</v>
      </c>
      <c r="H1135" t="s">
        <v>1392</v>
      </c>
      <c r="I1135" s="51" t="s">
        <v>6615</v>
      </c>
      <c r="J1135" t="s">
        <v>507</v>
      </c>
      <c r="K1135" t="s">
        <v>6764</v>
      </c>
      <c r="L1135" s="95">
        <v>44955</v>
      </c>
      <c r="O1135">
        <f>3500+1800+2400+1000+9600</f>
        <v>18300</v>
      </c>
    </row>
    <row r="1136" spans="1:15" ht="15" customHeight="1">
      <c r="C1136" s="162">
        <v>44887</v>
      </c>
      <c r="D1136" s="101">
        <v>9835991589</v>
      </c>
      <c r="E1136" s="326" t="s">
        <v>4532</v>
      </c>
      <c r="H1136" t="s">
        <v>1392</v>
      </c>
      <c r="I1136" s="51" t="s">
        <v>6619</v>
      </c>
      <c r="J1136" t="s">
        <v>507</v>
      </c>
    </row>
    <row r="1137" spans="3:15" ht="15" customHeight="1">
      <c r="C1137" s="162">
        <v>44889</v>
      </c>
      <c r="E1137" s="328" t="s">
        <v>6621</v>
      </c>
      <c r="H1137" t="s">
        <v>2067</v>
      </c>
      <c r="I1137" s="51" t="s">
        <v>6622</v>
      </c>
      <c r="J1137" t="s">
        <v>507</v>
      </c>
    </row>
    <row r="1138" spans="3:15" ht="15" customHeight="1">
      <c r="C1138" s="162">
        <v>44890</v>
      </c>
      <c r="D1138" s="101">
        <v>7209409122</v>
      </c>
      <c r="E1138" s="329" t="s">
        <v>6623</v>
      </c>
      <c r="H1138" t="s">
        <v>1311</v>
      </c>
      <c r="I1138" s="51" t="s">
        <v>6624</v>
      </c>
      <c r="J1138" s="95">
        <v>44891</v>
      </c>
    </row>
    <row r="1139" spans="3:15" ht="15" customHeight="1">
      <c r="C1139" s="162">
        <v>37586</v>
      </c>
      <c r="E1139" s="330" t="s">
        <v>2591</v>
      </c>
      <c r="H1139" s="330" t="s">
        <v>1873</v>
      </c>
      <c r="I1139" s="51" t="s">
        <v>6625</v>
      </c>
      <c r="J1139" t="s">
        <v>4073</v>
      </c>
    </row>
    <row r="1140" spans="3:15" ht="15" customHeight="1">
      <c r="C1140" s="162">
        <v>44891</v>
      </c>
      <c r="E1140" s="330" t="s">
        <v>1907</v>
      </c>
      <c r="H1140" s="349" t="s">
        <v>2067</v>
      </c>
      <c r="I1140" s="51" t="s">
        <v>6626</v>
      </c>
      <c r="J1140" s="95">
        <v>44911</v>
      </c>
    </row>
    <row r="1141" spans="3:15" ht="15" customHeight="1">
      <c r="C1141" s="162">
        <v>44893</v>
      </c>
      <c r="D1141" s="101">
        <v>8849769787</v>
      </c>
      <c r="E1141" s="331" t="s">
        <v>6642</v>
      </c>
      <c r="H1141" s="331" t="s">
        <v>2134</v>
      </c>
      <c r="I1141" s="51" t="s">
        <v>6641</v>
      </c>
      <c r="J1141" t="s">
        <v>4073</v>
      </c>
    </row>
    <row r="1142" spans="3:15" ht="15" customHeight="1">
      <c r="C1142" s="162">
        <v>44896</v>
      </c>
      <c r="D1142" s="101">
        <v>8917224508</v>
      </c>
      <c r="E1142" s="335" t="s">
        <v>6648</v>
      </c>
      <c r="H1142" s="335" t="s">
        <v>1275</v>
      </c>
      <c r="I1142" s="51" t="s">
        <v>6647</v>
      </c>
      <c r="J1142" t="s">
        <v>4073</v>
      </c>
    </row>
    <row r="1143" spans="3:15" ht="15" customHeight="1">
      <c r="C1143" s="162">
        <v>44898</v>
      </c>
      <c r="D1143" s="101">
        <v>7903864376</v>
      </c>
      <c r="E1143" s="336" t="s">
        <v>6664</v>
      </c>
      <c r="H1143" s="335" t="s">
        <v>1275</v>
      </c>
      <c r="I1143" s="51" t="s">
        <v>6663</v>
      </c>
      <c r="J1143" t="s">
        <v>4073</v>
      </c>
    </row>
    <row r="1144" spans="3:15" ht="15" customHeight="1">
      <c r="C1144" s="162">
        <v>44903</v>
      </c>
      <c r="D1144" s="101">
        <v>9122497600</v>
      </c>
      <c r="E1144" s="339" t="s">
        <v>6705</v>
      </c>
      <c r="H1144" s="339" t="s">
        <v>2067</v>
      </c>
      <c r="I1144" s="51" t="s">
        <v>6706</v>
      </c>
      <c r="J1144" s="1933">
        <v>44905</v>
      </c>
    </row>
    <row r="1145" spans="3:15" ht="15" customHeight="1">
      <c r="C1145" s="162">
        <v>44903</v>
      </c>
      <c r="D1145" s="101">
        <v>9263167151</v>
      </c>
      <c r="E1145" s="339" t="s">
        <v>6707</v>
      </c>
      <c r="H1145" s="339" t="s">
        <v>2071</v>
      </c>
      <c r="I1145" s="51" t="s">
        <v>6729</v>
      </c>
      <c r="J1145" s="1934">
        <v>44907</v>
      </c>
    </row>
    <row r="1146" spans="3:15" ht="15" customHeight="1">
      <c r="C1146" s="162">
        <v>44903</v>
      </c>
      <c r="D1146" s="101">
        <v>7633970466</v>
      </c>
      <c r="E1146" s="348" t="s">
        <v>6709</v>
      </c>
      <c r="H1146" s="339" t="s">
        <v>2071</v>
      </c>
      <c r="I1146" s="51" t="s">
        <v>6708</v>
      </c>
      <c r="J1146" s="1934">
        <v>44907</v>
      </c>
    </row>
    <row r="1147" spans="3:15" ht="15" customHeight="1">
      <c r="C1147" s="162">
        <v>44903</v>
      </c>
      <c r="E1147" s="339" t="s">
        <v>6710</v>
      </c>
      <c r="H1147" s="339" t="s">
        <v>2071</v>
      </c>
      <c r="I1147" s="51" t="s">
        <v>6708</v>
      </c>
      <c r="J1147" s="348" t="s">
        <v>507</v>
      </c>
    </row>
    <row r="1148" spans="3:15" ht="15" customHeight="1">
      <c r="C1148" s="162">
        <v>44903</v>
      </c>
      <c r="D1148" s="101">
        <v>7488540551</v>
      </c>
      <c r="E1148" s="339" t="s">
        <v>6711</v>
      </c>
      <c r="H1148" s="339" t="s">
        <v>2071</v>
      </c>
      <c r="I1148" s="51" t="s">
        <v>6726</v>
      </c>
      <c r="J1148" s="1924" t="s">
        <v>507</v>
      </c>
      <c r="O1148">
        <f>17*18</f>
        <v>306</v>
      </c>
    </row>
    <row r="1149" spans="3:15" ht="15" customHeight="1">
      <c r="C1149" s="162">
        <v>44903</v>
      </c>
      <c r="D1149" s="101">
        <v>7250517461</v>
      </c>
      <c r="E1149" s="339" t="s">
        <v>6712</v>
      </c>
      <c r="H1149" s="339" t="s">
        <v>2071</v>
      </c>
      <c r="I1149" s="51" t="s">
        <v>6713</v>
      </c>
      <c r="J1149" s="1933">
        <v>44907</v>
      </c>
      <c r="O1149">
        <f>17*20</f>
        <v>340</v>
      </c>
    </row>
    <row r="1150" spans="3:15" ht="15" customHeight="1">
      <c r="C1150" s="162">
        <v>44903</v>
      </c>
      <c r="D1150" s="101">
        <v>7488581509</v>
      </c>
      <c r="E1150" s="339" t="s">
        <v>6714</v>
      </c>
      <c r="H1150" s="339" t="s">
        <v>2071</v>
      </c>
      <c r="I1150" s="51" t="s">
        <v>6715</v>
      </c>
      <c r="J1150" s="1933">
        <v>44907</v>
      </c>
    </row>
    <row r="1151" spans="3:15" ht="15" customHeight="1">
      <c r="C1151" s="162">
        <v>44904</v>
      </c>
      <c r="D1151" s="341" t="s">
        <v>6723</v>
      </c>
      <c r="E1151" s="340" t="s">
        <v>6721</v>
      </c>
      <c r="H1151" s="340" t="s">
        <v>2067</v>
      </c>
      <c r="I1151" s="51" t="s">
        <v>6722</v>
      </c>
      <c r="J1151" s="1933">
        <v>44907</v>
      </c>
    </row>
    <row r="1152" spans="3:15" ht="15" customHeight="1">
      <c r="C1152" s="162">
        <v>44904</v>
      </c>
      <c r="D1152" s="341" t="s">
        <v>6723</v>
      </c>
      <c r="E1152" s="340" t="s">
        <v>6725</v>
      </c>
      <c r="H1152" s="340" t="s">
        <v>2071</v>
      </c>
      <c r="I1152" s="51" t="s">
        <v>6724</v>
      </c>
      <c r="J1152" s="95">
        <v>44907</v>
      </c>
    </row>
    <row r="1153" spans="1:12" ht="15" customHeight="1">
      <c r="C1153" s="162">
        <v>44905</v>
      </c>
      <c r="D1153" s="101">
        <v>9525501108</v>
      </c>
      <c r="E1153" s="347" t="s">
        <v>6735</v>
      </c>
      <c r="H1153" s="347" t="s">
        <v>2067</v>
      </c>
      <c r="I1153" s="51" t="s">
        <v>6736</v>
      </c>
      <c r="J1153" s="1935" t="s">
        <v>507</v>
      </c>
    </row>
    <row r="1154" spans="1:12" ht="15" customHeight="1">
      <c r="C1154" s="162">
        <v>44907</v>
      </c>
      <c r="D1154" s="101">
        <v>943154447</v>
      </c>
      <c r="E1154" s="294" t="s">
        <v>6740</v>
      </c>
      <c r="H1154" s="348" t="s">
        <v>2134</v>
      </c>
      <c r="I1154" s="325" t="s">
        <v>6741</v>
      </c>
      <c r="J1154" t="s">
        <v>165</v>
      </c>
    </row>
    <row r="1155" spans="1:12" ht="15" customHeight="1">
      <c r="C1155" s="162">
        <v>44910</v>
      </c>
      <c r="D1155" s="351" t="s">
        <v>1539</v>
      </c>
      <c r="E1155" s="350" t="s">
        <v>6755</v>
      </c>
      <c r="F1155" s="350" t="s">
        <v>6756</v>
      </c>
      <c r="G1155" s="1278"/>
      <c r="H1155" s="350" t="s">
        <v>2696</v>
      </c>
      <c r="I1155" s="51" t="s">
        <v>6754</v>
      </c>
      <c r="J1155" t="s">
        <v>507</v>
      </c>
    </row>
    <row r="1156" spans="1:12" ht="15" customHeight="1">
      <c r="C1156" s="162">
        <v>44910</v>
      </c>
      <c r="D1156" s="101">
        <v>6205702066</v>
      </c>
      <c r="E1156" s="350" t="s">
        <v>6758</v>
      </c>
      <c r="H1156" s="350" t="s">
        <v>1227</v>
      </c>
      <c r="I1156" s="51" t="s">
        <v>6759</v>
      </c>
      <c r="J1156" s="95">
        <v>44956</v>
      </c>
    </row>
    <row r="1157" spans="1:12" ht="15" customHeight="1">
      <c r="C1157" s="162">
        <v>44911</v>
      </c>
      <c r="D1157" s="101">
        <v>8789942576</v>
      </c>
      <c r="E1157" s="354" t="s">
        <v>6761</v>
      </c>
      <c r="H1157" s="354" t="s">
        <v>6509</v>
      </c>
      <c r="I1157" s="51" t="s">
        <v>6760</v>
      </c>
      <c r="J1157" t="s">
        <v>507</v>
      </c>
    </row>
    <row r="1158" spans="1:12" ht="15" customHeight="1">
      <c r="C1158" s="162">
        <v>44911</v>
      </c>
      <c r="D1158" s="101">
        <v>9142797447</v>
      </c>
      <c r="E1158" s="354" t="s">
        <v>6702</v>
      </c>
      <c r="I1158" s="51" t="s">
        <v>6762</v>
      </c>
      <c r="J1158" s="95">
        <v>44953</v>
      </c>
    </row>
    <row r="1159" spans="1:12" ht="15" customHeight="1">
      <c r="C1159" s="162">
        <v>44915</v>
      </c>
      <c r="E1159" s="357" t="s">
        <v>6771</v>
      </c>
      <c r="H1159" s="357" t="s">
        <v>2071</v>
      </c>
      <c r="I1159" s="51" t="s">
        <v>6770</v>
      </c>
      <c r="J1159" s="95">
        <v>44947</v>
      </c>
      <c r="K1159" s="95"/>
    </row>
    <row r="1160" spans="1:12" ht="15" customHeight="1">
      <c r="C1160" s="162">
        <v>44915</v>
      </c>
      <c r="D1160" s="101">
        <v>9934538514</v>
      </c>
      <c r="E1160" s="357" t="s">
        <v>5833</v>
      </c>
      <c r="H1160" s="357" t="s">
        <v>1627</v>
      </c>
      <c r="I1160" s="51" t="s">
        <v>6772</v>
      </c>
      <c r="J1160" t="s">
        <v>507</v>
      </c>
      <c r="K1160" s="395" t="s">
        <v>39</v>
      </c>
      <c r="L1160" s="95">
        <v>44953</v>
      </c>
    </row>
    <row r="1161" spans="1:12" ht="15" customHeight="1">
      <c r="C1161" s="162">
        <v>44915</v>
      </c>
      <c r="D1161" s="101">
        <v>7209868969</v>
      </c>
      <c r="E1161" s="357" t="s">
        <v>6202</v>
      </c>
      <c r="H1161" s="357" t="s">
        <v>1591</v>
      </c>
      <c r="I1161" s="51" t="s">
        <v>6773</v>
      </c>
      <c r="J1161" t="s">
        <v>507</v>
      </c>
    </row>
    <row r="1162" spans="1:12" ht="15" customHeight="1">
      <c r="C1162" s="162">
        <v>44917</v>
      </c>
      <c r="D1162" s="101">
        <v>7488137995</v>
      </c>
      <c r="E1162" s="358" t="s">
        <v>1932</v>
      </c>
      <c r="H1162" s="358" t="s">
        <v>2071</v>
      </c>
      <c r="I1162" s="51" t="s">
        <v>6776</v>
      </c>
      <c r="J1162" s="95">
        <v>44950</v>
      </c>
    </row>
    <row r="1163" spans="1:12" ht="15" customHeight="1">
      <c r="A1163" s="361"/>
      <c r="B1163" s="361"/>
      <c r="C1163" s="362">
        <v>44917</v>
      </c>
      <c r="D1163" s="363">
        <v>7903762558</v>
      </c>
      <c r="E1163" s="238" t="s">
        <v>5603</v>
      </c>
      <c r="F1163" s="361"/>
      <c r="G1163" s="1279"/>
      <c r="H1163" s="238" t="s">
        <v>2067</v>
      </c>
      <c r="I1163" s="235" t="s">
        <v>6777</v>
      </c>
      <c r="J1163" s="95">
        <v>44950</v>
      </c>
      <c r="K1163" s="238" t="s">
        <v>6790</v>
      </c>
      <c r="L1163" s="361"/>
    </row>
    <row r="1164" spans="1:12" ht="15" customHeight="1">
      <c r="C1164" s="162">
        <v>44917</v>
      </c>
      <c r="D1164" s="101">
        <v>9661504263</v>
      </c>
      <c r="E1164" s="358" t="s">
        <v>4928</v>
      </c>
      <c r="H1164" s="358" t="s">
        <v>2071</v>
      </c>
      <c r="I1164" s="51" t="s">
        <v>6778</v>
      </c>
      <c r="J1164" s="95" t="s">
        <v>39</v>
      </c>
      <c r="K1164" s="95">
        <v>44947</v>
      </c>
    </row>
    <row r="1165" spans="1:12" ht="15" customHeight="1">
      <c r="C1165" s="371">
        <v>44917</v>
      </c>
      <c r="D1165" s="372">
        <v>9661504263</v>
      </c>
      <c r="E1165" s="238" t="s">
        <v>6779</v>
      </c>
      <c r="F1165" s="373"/>
      <c r="G1165" s="1280"/>
      <c r="H1165" s="238" t="s">
        <v>6409</v>
      </c>
      <c r="I1165" s="235" t="s">
        <v>6780</v>
      </c>
      <c r="J1165" s="95" t="s">
        <v>39</v>
      </c>
      <c r="K1165" s="95">
        <v>44947</v>
      </c>
      <c r="L1165" s="373"/>
    </row>
    <row r="1166" spans="1:12" ht="15" customHeight="1">
      <c r="C1166" s="162">
        <v>44917</v>
      </c>
      <c r="D1166" s="101">
        <v>7209950711</v>
      </c>
      <c r="E1166" s="358" t="s">
        <v>1997</v>
      </c>
      <c r="H1166" s="358" t="s">
        <v>2071</v>
      </c>
      <c r="I1166" s="51" t="s">
        <v>6781</v>
      </c>
      <c r="J1166" s="1936" t="s">
        <v>4073</v>
      </c>
    </row>
    <row r="1167" spans="1:12" ht="15" customHeight="1">
      <c r="C1167" s="162">
        <v>44917</v>
      </c>
      <c r="D1167" s="101">
        <v>8083754972</v>
      </c>
      <c r="E1167" s="360" t="s">
        <v>6788</v>
      </c>
      <c r="H1167" s="360" t="s">
        <v>1392</v>
      </c>
      <c r="I1167" s="51" t="s">
        <v>6789</v>
      </c>
      <c r="J1167" s="1937">
        <v>44946</v>
      </c>
    </row>
    <row r="1168" spans="1:12" ht="15" customHeight="1">
      <c r="C1168" s="162">
        <v>44922</v>
      </c>
      <c r="E1168" s="368" t="s">
        <v>2342</v>
      </c>
      <c r="H1168" s="368" t="s">
        <v>4942</v>
      </c>
      <c r="I1168" s="51" t="s">
        <v>6793</v>
      </c>
      <c r="J1168" s="1936" t="s">
        <v>77</v>
      </c>
    </row>
    <row r="1169" spans="3:11" ht="15" customHeight="1">
      <c r="C1169" s="162">
        <v>44922</v>
      </c>
      <c r="D1169" s="101">
        <v>7277207200</v>
      </c>
      <c r="E1169" t="s">
        <v>1134</v>
      </c>
      <c r="H1169" s="368" t="s">
        <v>4942</v>
      </c>
      <c r="I1169" s="51" t="s">
        <v>6794</v>
      </c>
      <c r="J1169" s="1936" t="s">
        <v>77</v>
      </c>
    </row>
    <row r="1170" spans="3:11" ht="15" customHeight="1">
      <c r="C1170" s="162">
        <v>44923</v>
      </c>
      <c r="E1170" s="51" t="s">
        <v>6801</v>
      </c>
      <c r="H1170" s="369" t="s">
        <v>6409</v>
      </c>
      <c r="I1170" s="51" t="s">
        <v>6802</v>
      </c>
      <c r="J1170" s="1936" t="s">
        <v>77</v>
      </c>
    </row>
    <row r="1171" spans="3:11" ht="15" customHeight="1">
      <c r="C1171" s="162">
        <v>44923</v>
      </c>
      <c r="D1171" s="101">
        <v>6204158116</v>
      </c>
      <c r="E1171" s="369" t="s">
        <v>2086</v>
      </c>
      <c r="H1171" s="369" t="s">
        <v>2067</v>
      </c>
      <c r="I1171" s="51" t="s">
        <v>6803</v>
      </c>
      <c r="J1171" s="95">
        <v>44950</v>
      </c>
    </row>
    <row r="1172" spans="3:11" ht="15" customHeight="1">
      <c r="C1172" s="162">
        <v>44923</v>
      </c>
      <c r="D1172" s="101">
        <v>7004512902</v>
      </c>
      <c r="E1172" s="369" t="s">
        <v>6804</v>
      </c>
      <c r="H1172" s="369" t="s">
        <v>2956</v>
      </c>
      <c r="I1172" s="51" t="s">
        <v>6805</v>
      </c>
      <c r="J1172" s="95">
        <v>44926</v>
      </c>
    </row>
    <row r="1173" spans="3:11" ht="15" customHeight="1">
      <c r="C1173" s="162">
        <v>44923</v>
      </c>
      <c r="D1173" s="101">
        <v>8084665221</v>
      </c>
      <c r="E1173" s="370" t="s">
        <v>6806</v>
      </c>
      <c r="I1173" s="51" t="s">
        <v>6866</v>
      </c>
      <c r="J1173" s="1938">
        <v>44987</v>
      </c>
    </row>
    <row r="1174" spans="3:11" ht="15" customHeight="1">
      <c r="C1174" s="162">
        <v>44923</v>
      </c>
      <c r="D1174" s="101">
        <v>8084665221</v>
      </c>
      <c r="E1174" s="370" t="s">
        <v>6807</v>
      </c>
      <c r="I1174" s="51" t="s">
        <v>6865</v>
      </c>
      <c r="J1174" s="1938">
        <v>44987</v>
      </c>
    </row>
    <row r="1175" spans="3:11" ht="15" customHeight="1">
      <c r="C1175" s="162">
        <v>44933</v>
      </c>
      <c r="D1175" s="101">
        <v>9661504263</v>
      </c>
      <c r="E1175" s="358" t="s">
        <v>6779</v>
      </c>
      <c r="H1175" s="358" t="s">
        <v>6409</v>
      </c>
      <c r="I1175" s="51" t="s">
        <v>6812</v>
      </c>
      <c r="J1175" s="1939">
        <v>45320</v>
      </c>
    </row>
    <row r="1176" spans="3:11" ht="15" customHeight="1">
      <c r="C1176" s="162">
        <v>44935</v>
      </c>
      <c r="D1176" s="101">
        <v>8102664462</v>
      </c>
      <c r="E1176" s="375" t="s">
        <v>6814</v>
      </c>
      <c r="H1176" s="376" t="s">
        <v>2096</v>
      </c>
      <c r="I1176" s="51" t="s">
        <v>6816</v>
      </c>
      <c r="J1176" s="1940" t="s">
        <v>114</v>
      </c>
    </row>
    <row r="1177" spans="3:11" ht="15" customHeight="1">
      <c r="C1177" s="162">
        <v>44935</v>
      </c>
      <c r="D1177" s="101">
        <v>9608255547</v>
      </c>
      <c r="E1177" s="294" t="s">
        <v>1229</v>
      </c>
      <c r="H1177" s="377" t="s">
        <v>1873</v>
      </c>
      <c r="I1177" s="51" t="s">
        <v>6817</v>
      </c>
      <c r="J1177" t="s">
        <v>100</v>
      </c>
    </row>
    <row r="1178" spans="3:11" ht="15" customHeight="1">
      <c r="C1178" s="162">
        <v>44935</v>
      </c>
      <c r="D1178" s="101">
        <v>8092876763</v>
      </c>
      <c r="E1178" s="377" t="s">
        <v>2092</v>
      </c>
      <c r="H1178" s="377" t="s">
        <v>1869</v>
      </c>
      <c r="I1178" s="51" t="s">
        <v>6818</v>
      </c>
      <c r="J1178" s="1941">
        <v>44955</v>
      </c>
      <c r="K1178" s="95"/>
    </row>
    <row r="1179" spans="3:11" ht="15" customHeight="1">
      <c r="C1179" s="162">
        <v>44937</v>
      </c>
      <c r="D1179" s="101">
        <v>7903762558</v>
      </c>
      <c r="E1179" s="378" t="s">
        <v>5974</v>
      </c>
      <c r="H1179" s="378" t="s">
        <v>2067</v>
      </c>
      <c r="I1179" s="51" t="s">
        <v>6825</v>
      </c>
      <c r="J1179" s="95">
        <v>44950</v>
      </c>
    </row>
    <row r="1180" spans="3:11" ht="15" customHeight="1">
      <c r="C1180" s="162">
        <v>44937</v>
      </c>
      <c r="D1180" s="101">
        <v>8797876422</v>
      </c>
      <c r="E1180" s="378" t="s">
        <v>6827</v>
      </c>
      <c r="H1180">
        <v>18</v>
      </c>
      <c r="I1180" s="51" t="s">
        <v>6826</v>
      </c>
      <c r="J1180" s="95">
        <v>44950</v>
      </c>
    </row>
    <row r="1181" spans="3:11" ht="15" customHeight="1">
      <c r="C1181" s="162">
        <v>44939</v>
      </c>
      <c r="D1181" s="101">
        <v>8210093022</v>
      </c>
      <c r="E1181" s="382" t="s">
        <v>6833</v>
      </c>
      <c r="I1181" s="51" t="s">
        <v>6834</v>
      </c>
      <c r="J1181" t="s">
        <v>6854</v>
      </c>
    </row>
    <row r="1182" spans="3:11" ht="15" customHeight="1">
      <c r="C1182" s="162">
        <v>44939</v>
      </c>
      <c r="E1182" s="383" t="s">
        <v>4659</v>
      </c>
      <c r="I1182" t="s">
        <v>6839</v>
      </c>
      <c r="J1182" s="1939">
        <v>44968</v>
      </c>
    </row>
    <row r="1183" spans="3:11" ht="15" customHeight="1">
      <c r="C1183" s="162">
        <v>44939</v>
      </c>
      <c r="E1183" s="383" t="s">
        <v>4661</v>
      </c>
      <c r="I1183" t="s">
        <v>6840</v>
      </c>
      <c r="J1183" s="1939">
        <v>44968</v>
      </c>
    </row>
    <row r="1184" spans="3:11" ht="15" customHeight="1">
      <c r="C1184" s="162">
        <v>44941</v>
      </c>
      <c r="D1184" s="101">
        <v>7004010034</v>
      </c>
      <c r="E1184" s="384" t="s">
        <v>2369</v>
      </c>
      <c r="I1184" s="51" t="s">
        <v>6844</v>
      </c>
      <c r="J1184" s="95">
        <v>44947</v>
      </c>
    </row>
    <row r="1185" spans="3:12" ht="15" customHeight="1">
      <c r="C1185" s="162">
        <v>44946</v>
      </c>
      <c r="D1185" s="101">
        <v>7903121089</v>
      </c>
      <c r="E1185" s="386" t="s">
        <v>6853</v>
      </c>
      <c r="H1185" s="386" t="s">
        <v>2071</v>
      </c>
      <c r="I1185" s="51" t="s">
        <v>6852</v>
      </c>
      <c r="J1185" s="1942">
        <v>44953</v>
      </c>
    </row>
    <row r="1186" spans="3:12" ht="15" customHeight="1">
      <c r="C1186" s="162">
        <v>44946</v>
      </c>
      <c r="D1186" s="101">
        <v>9608255547</v>
      </c>
      <c r="E1186" s="294" t="s">
        <v>1229</v>
      </c>
      <c r="H1186" s="377" t="s">
        <v>1873</v>
      </c>
      <c r="I1186" s="51" t="s">
        <v>6855</v>
      </c>
      <c r="J1186" s="392" t="s">
        <v>77</v>
      </c>
    </row>
    <row r="1187" spans="3:12" ht="15" customHeight="1">
      <c r="C1187" s="162">
        <v>44947</v>
      </c>
      <c r="D1187" s="101">
        <v>7903511939</v>
      </c>
      <c r="E1187" s="387" t="s">
        <v>2822</v>
      </c>
      <c r="H1187" s="387" t="s">
        <v>1955</v>
      </c>
      <c r="I1187" s="51" t="s">
        <v>6856</v>
      </c>
      <c r="J1187" s="1942">
        <v>44958</v>
      </c>
    </row>
    <row r="1188" spans="3:12" ht="15" customHeight="1">
      <c r="C1188" s="162">
        <v>44947</v>
      </c>
      <c r="D1188" s="101">
        <v>7992210954</v>
      </c>
      <c r="E1188" s="388" t="s">
        <v>6566</v>
      </c>
      <c r="H1188" s="388" t="s">
        <v>1311</v>
      </c>
      <c r="I1188" s="51" t="s">
        <v>6863</v>
      </c>
      <c r="J1188" s="392" t="s">
        <v>507</v>
      </c>
      <c r="K1188" s="394" t="s">
        <v>6888</v>
      </c>
      <c r="L1188" s="95">
        <v>44953</v>
      </c>
    </row>
    <row r="1189" spans="3:12" ht="15" customHeight="1">
      <c r="C1189" s="162">
        <v>44949</v>
      </c>
      <c r="D1189" s="101">
        <v>8825252445</v>
      </c>
      <c r="E1189" s="389" t="s">
        <v>1924</v>
      </c>
      <c r="H1189" s="389" t="s">
        <v>2067</v>
      </c>
      <c r="I1189" s="51" t="s">
        <v>6868</v>
      </c>
      <c r="J1189" s="1942">
        <v>44965</v>
      </c>
    </row>
    <row r="1190" spans="3:12" ht="15" customHeight="1">
      <c r="C1190" s="162">
        <v>44949</v>
      </c>
      <c r="D1190" s="101">
        <v>9031967169</v>
      </c>
      <c r="E1190" s="389" t="s">
        <v>6864</v>
      </c>
      <c r="H1190" s="389" t="s">
        <v>6869</v>
      </c>
      <c r="I1190" s="51" t="s">
        <v>6870</v>
      </c>
      <c r="J1190" s="1942">
        <v>45023</v>
      </c>
    </row>
    <row r="1191" spans="3:12" ht="15" customHeight="1">
      <c r="C1191" s="162">
        <v>44949</v>
      </c>
      <c r="D1191" s="101">
        <v>9031967169</v>
      </c>
      <c r="E1191" s="389" t="s">
        <v>546</v>
      </c>
      <c r="H1191" s="389" t="s">
        <v>6869</v>
      </c>
      <c r="I1191" s="51" t="s">
        <v>6879</v>
      </c>
      <c r="J1191" s="1942">
        <v>45023</v>
      </c>
    </row>
    <row r="1192" spans="3:12" ht="15" customHeight="1">
      <c r="C1192" s="162">
        <v>44950</v>
      </c>
      <c r="D1192" s="101">
        <v>9835734515</v>
      </c>
      <c r="E1192" s="391" t="s">
        <v>6873</v>
      </c>
      <c r="H1192" s="391" t="s">
        <v>2067</v>
      </c>
      <c r="I1192" s="51" t="s">
        <v>6874</v>
      </c>
      <c r="J1192" s="1942">
        <v>44964</v>
      </c>
    </row>
    <row r="1193" spans="3:12" ht="15" customHeight="1">
      <c r="C1193" s="162">
        <v>44950</v>
      </c>
      <c r="D1193" s="101">
        <v>7979042891</v>
      </c>
      <c r="E1193" s="391" t="s">
        <v>1051</v>
      </c>
      <c r="H1193" s="391" t="s">
        <v>2067</v>
      </c>
      <c r="I1193" s="51" t="s">
        <v>6875</v>
      </c>
      <c r="J1193" s="392" t="s">
        <v>92</v>
      </c>
    </row>
    <row r="1194" spans="3:12" ht="15" customHeight="1">
      <c r="C1194" s="162">
        <v>44953</v>
      </c>
      <c r="D1194" s="101">
        <v>9031137831</v>
      </c>
      <c r="E1194" s="452" t="s">
        <v>7094</v>
      </c>
      <c r="H1194" s="393" t="s">
        <v>2067</v>
      </c>
      <c r="I1194" s="51" t="s">
        <v>6884</v>
      </c>
      <c r="J1194" t="s">
        <v>507</v>
      </c>
      <c r="K1194" s="398" t="s">
        <v>6891</v>
      </c>
    </row>
    <row r="1195" spans="3:12" ht="15" customHeight="1">
      <c r="C1195" s="162">
        <v>44953</v>
      </c>
      <c r="D1195" s="101">
        <v>7979042891</v>
      </c>
      <c r="E1195" s="391" t="s">
        <v>1051</v>
      </c>
      <c r="H1195" s="393" t="s">
        <v>2067</v>
      </c>
      <c r="I1195" s="51" t="s">
        <v>6890</v>
      </c>
      <c r="J1195" t="s">
        <v>507</v>
      </c>
    </row>
    <row r="1196" spans="3:12" ht="15" customHeight="1">
      <c r="C1196" s="162">
        <v>44953</v>
      </c>
      <c r="D1196" s="101">
        <v>9113409588</v>
      </c>
      <c r="E1196" s="393" t="s">
        <v>6885</v>
      </c>
      <c r="H1196" s="393" t="s">
        <v>2071</v>
      </c>
      <c r="I1196" s="51" t="s">
        <v>6886</v>
      </c>
      <c r="J1196" s="95">
        <v>44955</v>
      </c>
      <c r="K1196" s="95"/>
    </row>
    <row r="1197" spans="3:12" ht="15" customHeight="1">
      <c r="C1197" s="162">
        <v>44956</v>
      </c>
      <c r="D1197" s="101">
        <v>926368254</v>
      </c>
      <c r="E1197" s="399" t="s">
        <v>2800</v>
      </c>
      <c r="H1197" s="399" t="s">
        <v>1825</v>
      </c>
      <c r="I1197" s="51" t="s">
        <v>6892</v>
      </c>
      <c r="J1197" s="406" t="s">
        <v>507</v>
      </c>
    </row>
    <row r="1198" spans="3:12" ht="15" customHeight="1">
      <c r="C1198" s="162">
        <v>44958</v>
      </c>
      <c r="D1198" s="101">
        <v>7479569045</v>
      </c>
      <c r="E1198" s="2" t="s">
        <v>6700</v>
      </c>
      <c r="H1198" s="400" t="s">
        <v>2071</v>
      </c>
      <c r="I1198" s="51" t="s">
        <v>6894</v>
      </c>
      <c r="J1198" s="1943">
        <v>44970</v>
      </c>
    </row>
    <row r="1199" spans="3:12" ht="15" customHeight="1">
      <c r="C1199" s="162">
        <v>44958</v>
      </c>
      <c r="D1199" s="101">
        <v>9263309827</v>
      </c>
      <c r="E1199" s="2" t="s">
        <v>2461</v>
      </c>
      <c r="H1199" s="400" t="s">
        <v>2067</v>
      </c>
      <c r="I1199" s="51" t="s">
        <v>6895</v>
      </c>
      <c r="J1199" s="406" t="s">
        <v>507</v>
      </c>
    </row>
    <row r="1200" spans="3:12" ht="15" customHeight="1">
      <c r="C1200" s="162">
        <v>44958</v>
      </c>
      <c r="D1200" s="101">
        <v>9798639367</v>
      </c>
      <c r="E1200" s="2" t="s">
        <v>6897</v>
      </c>
      <c r="H1200" s="400" t="s">
        <v>1825</v>
      </c>
      <c r="I1200" s="51" t="s">
        <v>6896</v>
      </c>
      <c r="J1200" s="406" t="s">
        <v>507</v>
      </c>
    </row>
    <row r="1201" spans="3:11" ht="15" customHeight="1">
      <c r="C1201" s="162">
        <v>44960</v>
      </c>
      <c r="D1201" s="101">
        <v>8210698924</v>
      </c>
      <c r="E1201" s="2" t="s">
        <v>529</v>
      </c>
      <c r="H1201" s="401" t="s">
        <v>2546</v>
      </c>
      <c r="I1201" s="51" t="s">
        <v>6910</v>
      </c>
      <c r="J1201" s="406" t="s">
        <v>507</v>
      </c>
    </row>
    <row r="1202" spans="3:11" ht="15" customHeight="1">
      <c r="C1202" s="162">
        <v>44961</v>
      </c>
      <c r="D1202" s="101">
        <v>9693158481</v>
      </c>
      <c r="E1202" s="2" t="s">
        <v>6912</v>
      </c>
      <c r="H1202" s="402" t="s">
        <v>6078</v>
      </c>
      <c r="I1202" s="51" t="s">
        <v>6913</v>
      </c>
      <c r="J1202" s="406" t="s">
        <v>507</v>
      </c>
    </row>
    <row r="1203" spans="3:11" ht="15" customHeight="1">
      <c r="C1203" s="162">
        <v>44961</v>
      </c>
      <c r="E1203" s="2" t="s">
        <v>6915</v>
      </c>
      <c r="I1203" s="51" t="s">
        <v>6914</v>
      </c>
      <c r="J1203" s="1943">
        <v>44970</v>
      </c>
    </row>
    <row r="1204" spans="3:11" ht="15" customHeight="1">
      <c r="C1204" s="162">
        <v>44966</v>
      </c>
      <c r="D1204" s="101">
        <v>9835393260</v>
      </c>
      <c r="E1204" s="2" t="s">
        <v>3587</v>
      </c>
      <c r="H1204" s="409" t="s">
        <v>1955</v>
      </c>
      <c r="I1204" s="51" t="s">
        <v>6931</v>
      </c>
      <c r="J1204" s="95">
        <v>44994</v>
      </c>
    </row>
    <row r="1205" spans="3:11" ht="15" customHeight="1">
      <c r="C1205" s="162">
        <v>44967</v>
      </c>
      <c r="D1205" s="101">
        <v>7209475288</v>
      </c>
      <c r="E1205" s="2" t="s">
        <v>6932</v>
      </c>
      <c r="H1205" s="409" t="s">
        <v>1955</v>
      </c>
      <c r="I1205" s="51" t="s">
        <v>6937</v>
      </c>
      <c r="J1205" s="95">
        <v>44994</v>
      </c>
    </row>
    <row r="1206" spans="3:11" ht="15" customHeight="1">
      <c r="C1206" s="162">
        <v>44967</v>
      </c>
      <c r="D1206" s="101">
        <v>9835521261</v>
      </c>
      <c r="E1206" s="2" t="s">
        <v>6933</v>
      </c>
      <c r="H1206" s="409" t="s">
        <v>1955</v>
      </c>
      <c r="I1206" s="51" t="s">
        <v>6936</v>
      </c>
      <c r="J1206" s="95">
        <v>44994</v>
      </c>
    </row>
    <row r="1207" spans="3:11" ht="15" customHeight="1">
      <c r="C1207" s="162">
        <v>44971</v>
      </c>
      <c r="D1207" s="101">
        <v>8409926686</v>
      </c>
      <c r="E1207" s="2" t="s">
        <v>6940</v>
      </c>
      <c r="H1207" s="412" t="s">
        <v>4420</v>
      </c>
      <c r="I1207" s="51" t="s">
        <v>6941</v>
      </c>
      <c r="J1207" s="95">
        <v>44986</v>
      </c>
    </row>
    <row r="1208" spans="3:11" ht="15" customHeight="1">
      <c r="C1208" s="162">
        <v>44971</v>
      </c>
      <c r="D1208" s="101">
        <v>9031392582</v>
      </c>
      <c r="E1208" s="2" t="s">
        <v>6942</v>
      </c>
      <c r="H1208" s="412" t="s">
        <v>1268</v>
      </c>
      <c r="I1208" s="51" t="s">
        <v>6943</v>
      </c>
      <c r="J1208" t="s">
        <v>507</v>
      </c>
    </row>
    <row r="1209" spans="3:11" ht="15" customHeight="1">
      <c r="C1209" s="162">
        <v>44973</v>
      </c>
      <c r="D1209" s="101">
        <v>7903108899</v>
      </c>
      <c r="E1209" s="2" t="s">
        <v>2500</v>
      </c>
      <c r="H1209" s="414" t="s">
        <v>1873</v>
      </c>
      <c r="I1209" s="51" t="s">
        <v>6948</v>
      </c>
      <c r="J1209" s="95">
        <v>44987</v>
      </c>
    </row>
    <row r="1210" spans="3:11" ht="15" customHeight="1">
      <c r="C1210" s="415" t="s">
        <v>6951</v>
      </c>
      <c r="D1210" s="101">
        <v>9031359851</v>
      </c>
      <c r="E1210" s="2" t="s">
        <v>6950</v>
      </c>
      <c r="I1210" s="51" t="s">
        <v>6949</v>
      </c>
      <c r="J1210" t="s">
        <v>6764</v>
      </c>
    </row>
    <row r="1211" spans="3:11" ht="15" customHeight="1">
      <c r="C1211" s="162">
        <v>44980</v>
      </c>
      <c r="E1211" s="2" t="s">
        <v>6919</v>
      </c>
      <c r="H1211" s="417" t="s">
        <v>1275</v>
      </c>
      <c r="I1211" s="51" t="s">
        <v>6955</v>
      </c>
      <c r="J1211" t="s">
        <v>4073</v>
      </c>
    </row>
    <row r="1212" spans="3:11" ht="15" customHeight="1">
      <c r="C1212" s="162">
        <v>44980</v>
      </c>
      <c r="E1212" s="2" t="s">
        <v>2739</v>
      </c>
      <c r="I1212" s="51" t="s">
        <v>6956</v>
      </c>
      <c r="J1212" t="s">
        <v>507</v>
      </c>
    </row>
    <row r="1213" spans="3:11" ht="15" customHeight="1">
      <c r="C1213" s="162">
        <v>44980</v>
      </c>
      <c r="D1213" s="101">
        <v>8757096258</v>
      </c>
      <c r="E1213" s="2" t="s">
        <v>4875</v>
      </c>
      <c r="I1213" s="51" t="s">
        <v>6957</v>
      </c>
      <c r="J1213" s="95">
        <v>45000</v>
      </c>
    </row>
    <row r="1214" spans="3:11" ht="15" customHeight="1">
      <c r="C1214" s="162">
        <v>44980</v>
      </c>
      <c r="D1214" s="101">
        <v>7857090899</v>
      </c>
      <c r="E1214" s="2" t="s">
        <v>326</v>
      </c>
      <c r="H1214" s="417" t="s">
        <v>2116</v>
      </c>
      <c r="I1214" s="51" t="s">
        <v>6958</v>
      </c>
      <c r="J1214" s="95">
        <v>44994</v>
      </c>
    </row>
    <row r="1215" spans="3:11" ht="15" customHeight="1">
      <c r="C1215" s="162">
        <v>44981</v>
      </c>
      <c r="D1215" s="101">
        <v>9031392582</v>
      </c>
      <c r="E1215" s="2" t="s">
        <v>6942</v>
      </c>
      <c r="H1215" s="412" t="s">
        <v>1268</v>
      </c>
      <c r="I1215" s="51" t="s">
        <v>6961</v>
      </c>
      <c r="J1215" s="95">
        <v>44987</v>
      </c>
    </row>
    <row r="1216" spans="3:11" ht="15" customHeight="1">
      <c r="C1216" s="162">
        <v>44983</v>
      </c>
      <c r="D1216" s="101">
        <v>9113300794</v>
      </c>
      <c r="E1216" s="2" t="s">
        <v>6963</v>
      </c>
      <c r="H1216" s="419" t="s">
        <v>1355</v>
      </c>
      <c r="I1216" s="51" t="s">
        <v>6962</v>
      </c>
      <c r="J1216" s="95" t="s">
        <v>528</v>
      </c>
      <c r="K1216" s="162">
        <v>44995</v>
      </c>
    </row>
    <row r="1217" spans="3:11" ht="15" customHeight="1">
      <c r="C1217" s="162">
        <v>44987</v>
      </c>
      <c r="E1217" s="2" t="s">
        <v>6968</v>
      </c>
      <c r="H1217" s="422" t="s">
        <v>2071</v>
      </c>
      <c r="I1217" s="51" t="s">
        <v>6967</v>
      </c>
      <c r="J1217" s="427" t="s">
        <v>4073</v>
      </c>
      <c r="K1217" s="440" t="s">
        <v>7041</v>
      </c>
    </row>
    <row r="1218" spans="3:11" ht="15" customHeight="1">
      <c r="C1218" s="162">
        <v>44987</v>
      </c>
      <c r="D1218" s="101">
        <v>7209372585</v>
      </c>
      <c r="E1218" s="2" t="s">
        <v>6970</v>
      </c>
      <c r="F1218" s="422" t="s">
        <v>5535</v>
      </c>
      <c r="G1218" s="1281"/>
      <c r="H1218" s="422" t="s">
        <v>2983</v>
      </c>
      <c r="I1218" s="51" t="s">
        <v>6969</v>
      </c>
      <c r="J1218" s="1944" t="s">
        <v>39</v>
      </c>
      <c r="K1218" s="95">
        <v>45004</v>
      </c>
    </row>
    <row r="1219" spans="3:11" ht="15" customHeight="1">
      <c r="C1219" s="162">
        <v>44987</v>
      </c>
      <c r="E1219" s="2" t="s">
        <v>396</v>
      </c>
      <c r="H1219" s="422" t="s">
        <v>2047</v>
      </c>
      <c r="I1219" s="51" t="s">
        <v>6971</v>
      </c>
      <c r="J1219" s="427" t="s">
        <v>4073</v>
      </c>
    </row>
    <row r="1220" spans="3:11" ht="15" customHeight="1">
      <c r="C1220" s="162">
        <v>44987</v>
      </c>
      <c r="D1220" s="101">
        <v>7543899632</v>
      </c>
      <c r="E1220" s="2" t="s">
        <v>6977</v>
      </c>
      <c r="H1220" s="422" t="s">
        <v>1785</v>
      </c>
      <c r="I1220" s="51" t="s">
        <v>6985</v>
      </c>
      <c r="J1220" s="1945">
        <v>45002</v>
      </c>
    </row>
    <row r="1221" spans="3:11" ht="15" customHeight="1">
      <c r="C1221" s="162">
        <v>44987</v>
      </c>
      <c r="D1221" s="101">
        <v>7543899632</v>
      </c>
      <c r="E1221" s="2" t="s">
        <v>6978</v>
      </c>
      <c r="H1221" s="422" t="s">
        <v>1785</v>
      </c>
      <c r="I1221" s="51" t="s">
        <v>6979</v>
      </c>
      <c r="J1221" s="1945">
        <v>45002</v>
      </c>
    </row>
    <row r="1222" spans="3:11" ht="15" customHeight="1">
      <c r="C1222" s="162">
        <v>44990</v>
      </c>
      <c r="D1222" s="101">
        <v>8797829614</v>
      </c>
      <c r="E1222" s="2" t="s">
        <v>6993</v>
      </c>
      <c r="H1222" s="424" t="s">
        <v>2071</v>
      </c>
      <c r="I1222" s="51" t="s">
        <v>6992</v>
      </c>
      <c r="J1222" t="s">
        <v>4073</v>
      </c>
    </row>
    <row r="1223" spans="3:11" ht="15" customHeight="1">
      <c r="C1223" s="162">
        <v>44990</v>
      </c>
      <c r="D1223" s="101">
        <v>9334834141</v>
      </c>
      <c r="E1223" s="2" t="s">
        <v>6207</v>
      </c>
      <c r="I1223" s="51" t="s">
        <v>6994</v>
      </c>
      <c r="J1223" s="95">
        <v>45017</v>
      </c>
    </row>
    <row r="1224" spans="3:11" ht="15" customHeight="1">
      <c r="C1224" s="162">
        <v>44995</v>
      </c>
      <c r="D1224" s="101">
        <v>7209769708</v>
      </c>
      <c r="E1224" s="2" t="s">
        <v>5897</v>
      </c>
      <c r="H1224" s="425" t="s">
        <v>1873</v>
      </c>
      <c r="I1224" s="51" t="s">
        <v>6995</v>
      </c>
      <c r="J1224" t="s">
        <v>4073</v>
      </c>
    </row>
    <row r="1225" spans="3:11" ht="15" customHeight="1">
      <c r="C1225" s="162">
        <v>44995</v>
      </c>
      <c r="D1225" s="101">
        <v>6206078229</v>
      </c>
      <c r="E1225" s="2" t="s">
        <v>6997</v>
      </c>
      <c r="H1225" s="425" t="s">
        <v>1275</v>
      </c>
      <c r="I1225" s="51" t="s">
        <v>6996</v>
      </c>
      <c r="J1225" s="95">
        <v>45029</v>
      </c>
    </row>
    <row r="1226" spans="3:11" ht="15" customHeight="1">
      <c r="C1226" s="162">
        <v>44998</v>
      </c>
      <c r="D1226" s="101">
        <v>6204048447</v>
      </c>
      <c r="E1226" s="2" t="s">
        <v>542</v>
      </c>
      <c r="H1226" s="426" t="s">
        <v>2047</v>
      </c>
      <c r="I1226" s="51" t="s">
        <v>6998</v>
      </c>
      <c r="J1226" t="s">
        <v>4073</v>
      </c>
    </row>
    <row r="1227" spans="3:11" ht="15" customHeight="1">
      <c r="C1227" s="162">
        <v>44998</v>
      </c>
      <c r="D1227" s="101">
        <v>7632985247</v>
      </c>
      <c r="E1227" s="2" t="s">
        <v>6740</v>
      </c>
      <c r="H1227" s="427" t="s">
        <v>1785</v>
      </c>
      <c r="I1227" s="51" t="s">
        <v>6999</v>
      </c>
      <c r="J1227" t="s">
        <v>4073</v>
      </c>
    </row>
    <row r="1228" spans="3:11" ht="15" customHeight="1">
      <c r="C1228" s="162">
        <v>44999</v>
      </c>
      <c r="D1228" s="101">
        <v>9661916107</v>
      </c>
      <c r="E1228" s="2" t="s">
        <v>2147</v>
      </c>
      <c r="H1228" s="428" t="s">
        <v>2047</v>
      </c>
      <c r="I1228" s="51" t="s">
        <v>7000</v>
      </c>
      <c r="J1228" s="95">
        <v>45013</v>
      </c>
    </row>
    <row r="1229" spans="3:11" ht="15" customHeight="1">
      <c r="C1229" s="162">
        <v>45002</v>
      </c>
      <c r="E1229" s="2" t="s">
        <v>2358</v>
      </c>
      <c r="H1229" s="430" t="s">
        <v>2067</v>
      </c>
      <c r="I1229" s="51" t="s">
        <v>7006</v>
      </c>
      <c r="J1229" s="1946">
        <v>45016</v>
      </c>
    </row>
    <row r="1230" spans="3:11" ht="15" customHeight="1">
      <c r="C1230" s="162">
        <v>45002</v>
      </c>
      <c r="D1230" s="101">
        <v>9110986830</v>
      </c>
      <c r="E1230" s="2" t="s">
        <v>7008</v>
      </c>
      <c r="H1230" s="430" t="s">
        <v>6078</v>
      </c>
      <c r="I1230" s="51" t="s">
        <v>7007</v>
      </c>
      <c r="J1230" s="1946">
        <v>45026</v>
      </c>
    </row>
    <row r="1231" spans="3:11" ht="15" customHeight="1">
      <c r="C1231" s="162">
        <v>45005</v>
      </c>
      <c r="D1231" s="101">
        <v>6204935582</v>
      </c>
      <c r="E1231" s="2" t="s">
        <v>7013</v>
      </c>
      <c r="H1231" s="433" t="s">
        <v>1275</v>
      </c>
      <c r="I1231" s="51" t="s">
        <v>7012</v>
      </c>
      <c r="J1231" s="1946">
        <v>45019</v>
      </c>
    </row>
    <row r="1232" spans="3:11" ht="15" customHeight="1">
      <c r="C1232" s="162">
        <v>45005</v>
      </c>
      <c r="D1232" s="101">
        <v>6201466807</v>
      </c>
      <c r="E1232" s="2" t="s">
        <v>7014</v>
      </c>
      <c r="H1232" t="s">
        <v>1392</v>
      </c>
      <c r="I1232" s="51" t="s">
        <v>7015</v>
      </c>
      <c r="J1232" s="1946">
        <v>45026</v>
      </c>
    </row>
    <row r="1233" spans="3:10" ht="15" customHeight="1">
      <c r="C1233" s="162">
        <v>45008</v>
      </c>
      <c r="D1233" s="101">
        <v>9771349548</v>
      </c>
      <c r="E1233" s="2" t="s">
        <v>7009</v>
      </c>
      <c r="H1233" s="435" t="s">
        <v>1275</v>
      </c>
      <c r="I1233" s="51" t="s">
        <v>7024</v>
      </c>
      <c r="J1233" s="1947">
        <v>45036</v>
      </c>
    </row>
    <row r="1234" spans="3:10" ht="15" customHeight="1">
      <c r="C1234" s="162">
        <v>45008</v>
      </c>
      <c r="D1234" s="101">
        <v>9771913810</v>
      </c>
      <c r="E1234" s="2" t="s">
        <v>6225</v>
      </c>
      <c r="H1234" s="435" t="s">
        <v>2047</v>
      </c>
      <c r="I1234" s="51" t="s">
        <v>7026</v>
      </c>
      <c r="J1234" s="1946">
        <v>45025</v>
      </c>
    </row>
    <row r="1235" spans="3:10" ht="15" customHeight="1">
      <c r="C1235" s="162">
        <v>45010</v>
      </c>
      <c r="D1235" s="101">
        <v>8292199709</v>
      </c>
      <c r="E1235" s="2" t="s">
        <v>7031</v>
      </c>
      <c r="I1235" s="51" t="s">
        <v>7030</v>
      </c>
      <c r="J1235" s="95">
        <v>45115</v>
      </c>
    </row>
    <row r="1236" spans="3:10" ht="15" customHeight="1">
      <c r="C1236" s="162">
        <v>45010</v>
      </c>
      <c r="D1236" s="101">
        <v>9934842435</v>
      </c>
      <c r="E1236" s="2" t="s">
        <v>3339</v>
      </c>
      <c r="H1236" s="437" t="s">
        <v>1873</v>
      </c>
      <c r="I1236" s="51" t="s">
        <v>7032</v>
      </c>
      <c r="J1236" s="95">
        <v>45035</v>
      </c>
    </row>
    <row r="1237" spans="3:10" ht="15" customHeight="1">
      <c r="C1237" s="162">
        <v>45013</v>
      </c>
      <c r="E1237" s="2" t="s">
        <v>7040</v>
      </c>
      <c r="H1237" s="439" t="s">
        <v>1892</v>
      </c>
      <c r="I1237" s="51" t="s">
        <v>7039</v>
      </c>
      <c r="J1237" s="95">
        <v>45024</v>
      </c>
    </row>
    <row r="1238" spans="3:10" ht="15" customHeight="1">
      <c r="C1238" s="162">
        <v>45021</v>
      </c>
      <c r="E1238" s="2" t="s">
        <v>5166</v>
      </c>
      <c r="H1238" s="443" t="s">
        <v>2067</v>
      </c>
      <c r="I1238" s="51" t="s">
        <v>7054</v>
      </c>
      <c r="J1238" s="1948" t="s">
        <v>4073</v>
      </c>
    </row>
    <row r="1239" spans="3:10" ht="15" customHeight="1">
      <c r="C1239" s="162">
        <v>45021</v>
      </c>
      <c r="D1239" s="101">
        <v>9304538696</v>
      </c>
      <c r="E1239" s="2" t="s">
        <v>7055</v>
      </c>
      <c r="H1239" s="443" t="s">
        <v>2071</v>
      </c>
      <c r="I1239" s="51" t="s">
        <v>7056</v>
      </c>
      <c r="J1239" s="1949">
        <v>45125</v>
      </c>
    </row>
    <row r="1240" spans="3:10" ht="15" customHeight="1">
      <c r="C1240" s="162">
        <v>45021</v>
      </c>
      <c r="E1240" s="2" t="s">
        <v>2998</v>
      </c>
      <c r="F1240" s="443" t="s">
        <v>5904</v>
      </c>
      <c r="G1240" s="1282"/>
      <c r="H1240" s="443" t="s">
        <v>2996</v>
      </c>
      <c r="I1240" s="51" t="s">
        <v>7065</v>
      </c>
      <c r="J1240" s="1948" t="s">
        <v>4073</v>
      </c>
    </row>
    <row r="1241" spans="3:10" ht="15" customHeight="1">
      <c r="C1241" s="162">
        <v>45025</v>
      </c>
      <c r="D1241" s="101">
        <v>9263613711</v>
      </c>
      <c r="E1241" s="2" t="s">
        <v>7073</v>
      </c>
      <c r="H1241" s="448" t="s">
        <v>6798</v>
      </c>
      <c r="I1241" s="51" t="s">
        <v>7074</v>
      </c>
      <c r="J1241" s="1950">
        <v>45036</v>
      </c>
    </row>
    <row r="1242" spans="3:10" ht="15" customHeight="1">
      <c r="C1242" s="162">
        <v>45026</v>
      </c>
      <c r="E1242" s="2" t="s">
        <v>6349</v>
      </c>
      <c r="H1242" s="448" t="s">
        <v>6798</v>
      </c>
      <c r="I1242" s="51" t="s">
        <v>7075</v>
      </c>
      <c r="J1242" s="452" t="s">
        <v>507</v>
      </c>
    </row>
    <row r="1243" spans="3:10" ht="15" customHeight="1">
      <c r="C1243" s="162">
        <v>45029</v>
      </c>
      <c r="D1243" s="101">
        <v>8709135729</v>
      </c>
      <c r="E1243" s="2" t="s">
        <v>7078</v>
      </c>
      <c r="H1243" s="449" t="s">
        <v>1873</v>
      </c>
      <c r="I1243" s="51" t="s">
        <v>7079</v>
      </c>
      <c r="J1243" s="452" t="s">
        <v>507</v>
      </c>
    </row>
    <row r="1244" spans="3:10" ht="15" customHeight="1">
      <c r="C1244" s="162">
        <v>45034</v>
      </c>
      <c r="E1244" s="2" t="s">
        <v>7089</v>
      </c>
      <c r="F1244" s="450" t="s">
        <v>7090</v>
      </c>
      <c r="G1244" s="1283"/>
      <c r="H1244" s="450" t="s">
        <v>7091</v>
      </c>
      <c r="I1244" s="51" t="s">
        <v>7088</v>
      </c>
      <c r="J1244" s="452" t="s">
        <v>507</v>
      </c>
    </row>
    <row r="1245" spans="3:10" ht="15" customHeight="1">
      <c r="C1245" s="162">
        <v>45035</v>
      </c>
      <c r="D1245" s="101">
        <v>9430157215</v>
      </c>
      <c r="E1245" s="2" t="s">
        <v>6688</v>
      </c>
      <c r="H1245" s="451" t="s">
        <v>5815</v>
      </c>
      <c r="I1245" s="51" t="s">
        <v>7092</v>
      </c>
      <c r="J1245" s="452" t="s">
        <v>507</v>
      </c>
    </row>
    <row r="1246" spans="3:10" ht="15" customHeight="1">
      <c r="C1246" s="162">
        <v>45037</v>
      </c>
      <c r="D1246" s="101">
        <v>9204427182</v>
      </c>
      <c r="E1246" s="2" t="s">
        <v>7096</v>
      </c>
      <c r="H1246" s="453" t="s">
        <v>516</v>
      </c>
      <c r="I1246" s="51" t="s">
        <v>7097</v>
      </c>
      <c r="J1246" s="452" t="s">
        <v>507</v>
      </c>
    </row>
    <row r="1247" spans="3:10" ht="15" customHeight="1">
      <c r="C1247" s="162">
        <v>45038</v>
      </c>
      <c r="D1247" s="101">
        <v>9204604413</v>
      </c>
      <c r="E1247" s="2" t="s">
        <v>7101</v>
      </c>
      <c r="H1247" s="454" t="s">
        <v>6062</v>
      </c>
      <c r="I1247" s="51" t="s">
        <v>7102</v>
      </c>
      <c r="J1247" s="452" t="s">
        <v>507</v>
      </c>
    </row>
    <row r="1248" spans="3:10" ht="15" customHeight="1">
      <c r="C1248" s="162">
        <v>45041</v>
      </c>
      <c r="D1248" s="101">
        <v>8825230298</v>
      </c>
      <c r="E1248" s="2" t="s">
        <v>2147</v>
      </c>
      <c r="H1248" s="456" t="s">
        <v>2067</v>
      </c>
      <c r="I1248" s="51" t="s">
        <v>7104</v>
      </c>
      <c r="J1248" s="452" t="s">
        <v>507</v>
      </c>
    </row>
    <row r="1249" spans="3:10" ht="15" customHeight="1">
      <c r="C1249" s="162">
        <v>45042</v>
      </c>
      <c r="E1249" s="2" t="s">
        <v>7108</v>
      </c>
      <c r="H1249" s="457" t="s">
        <v>2775</v>
      </c>
      <c r="I1249" s="51" t="s">
        <v>7107</v>
      </c>
      <c r="J1249" s="452" t="s">
        <v>507</v>
      </c>
    </row>
    <row r="1250" spans="3:10" ht="15" customHeight="1">
      <c r="C1250" s="162">
        <v>45045</v>
      </c>
      <c r="D1250" s="101">
        <v>7004414173</v>
      </c>
      <c r="E1250" s="2" t="s">
        <v>3864</v>
      </c>
      <c r="F1250" s="460" t="s">
        <v>3044</v>
      </c>
      <c r="G1250" s="1284"/>
      <c r="H1250" s="460" t="s">
        <v>1293</v>
      </c>
      <c r="I1250" s="51" t="s">
        <v>7115</v>
      </c>
      <c r="J1250" s="1951" t="s">
        <v>7212</v>
      </c>
    </row>
    <row r="1251" spans="3:10" ht="15" customHeight="1">
      <c r="C1251" s="162">
        <v>45045</v>
      </c>
      <c r="D1251" s="17" t="s">
        <v>5986</v>
      </c>
      <c r="E1251" s="2" t="s">
        <v>2666</v>
      </c>
      <c r="H1251" s="460" t="s">
        <v>2067</v>
      </c>
      <c r="I1251" s="51" t="s">
        <v>7119</v>
      </c>
      <c r="J1251" s="1952">
        <v>45056</v>
      </c>
    </row>
    <row r="1252" spans="3:10" ht="15" customHeight="1">
      <c r="C1252" s="162">
        <v>45047</v>
      </c>
      <c r="D1252" s="101">
        <v>8804259165</v>
      </c>
      <c r="E1252" s="2" t="s">
        <v>171</v>
      </c>
      <c r="H1252" s="461" t="s">
        <v>2071</v>
      </c>
      <c r="I1252" s="51" t="s">
        <v>7118</v>
      </c>
      <c r="J1252" s="452" t="s">
        <v>507</v>
      </c>
    </row>
    <row r="1253" spans="3:10" ht="15" customHeight="1">
      <c r="C1253" s="162">
        <v>45049</v>
      </c>
      <c r="D1253" s="101">
        <v>9955198712</v>
      </c>
      <c r="E1253" s="2" t="s">
        <v>7124</v>
      </c>
      <c r="H1253" s="463" t="s">
        <v>2067</v>
      </c>
      <c r="I1253" s="51" t="s">
        <v>7123</v>
      </c>
      <c r="J1253" s="1952">
        <v>45064</v>
      </c>
    </row>
    <row r="1254" spans="3:10" ht="15" customHeight="1">
      <c r="C1254" s="162">
        <v>45050</v>
      </c>
      <c r="D1254" s="101">
        <v>9199171899</v>
      </c>
      <c r="E1254" s="2" t="s">
        <v>1901</v>
      </c>
      <c r="H1254" s="464" t="s">
        <v>2071</v>
      </c>
      <c r="I1254" s="51" t="s">
        <v>7125</v>
      </c>
      <c r="J1254" s="1952">
        <v>45058</v>
      </c>
    </row>
    <row r="1255" spans="3:10" ht="15" customHeight="1">
      <c r="C1255" s="162">
        <v>45050</v>
      </c>
      <c r="D1255" s="101">
        <v>9534039959</v>
      </c>
      <c r="E1255" s="2" t="s">
        <v>7127</v>
      </c>
      <c r="H1255" s="466" t="s">
        <v>1392</v>
      </c>
      <c r="I1255" s="51" t="s">
        <v>7128</v>
      </c>
      <c r="J1255" s="1952">
        <v>45072</v>
      </c>
    </row>
    <row r="1256" spans="3:10" ht="15" customHeight="1">
      <c r="C1256" s="162">
        <v>45053</v>
      </c>
      <c r="D1256" s="101">
        <v>9934566197</v>
      </c>
      <c r="E1256" s="2" t="s">
        <v>7132</v>
      </c>
      <c r="H1256" s="470" t="s">
        <v>2207</v>
      </c>
      <c r="I1256" s="51" t="s">
        <v>7133</v>
      </c>
      <c r="J1256" s="1952">
        <v>45071</v>
      </c>
    </row>
    <row r="1257" spans="3:10" ht="15" customHeight="1">
      <c r="C1257" s="162">
        <v>45055</v>
      </c>
      <c r="E1257" s="2" t="s">
        <v>6993</v>
      </c>
      <c r="H1257" s="471" t="s">
        <v>2071</v>
      </c>
      <c r="I1257" s="51" t="s">
        <v>7135</v>
      </c>
      <c r="J1257" s="452" t="s">
        <v>507</v>
      </c>
    </row>
    <row r="1258" spans="3:10" ht="15" customHeight="1">
      <c r="C1258" s="162">
        <v>45055</v>
      </c>
      <c r="E1258" s="2" t="s">
        <v>7137</v>
      </c>
      <c r="H1258" s="471" t="s">
        <v>2047</v>
      </c>
      <c r="I1258" s="51" t="s">
        <v>7136</v>
      </c>
      <c r="J1258" s="1952">
        <v>45075</v>
      </c>
    </row>
    <row r="1259" spans="3:10" ht="15" customHeight="1">
      <c r="C1259" s="162">
        <v>45056</v>
      </c>
      <c r="D1259" s="101">
        <v>7667550735</v>
      </c>
      <c r="E1259" s="2" t="s">
        <v>7139</v>
      </c>
      <c r="H1259" s="472" t="s">
        <v>1785</v>
      </c>
      <c r="I1259" s="51" t="s">
        <v>7138</v>
      </c>
      <c r="J1259" t="s">
        <v>4073</v>
      </c>
    </row>
    <row r="1260" spans="3:10" ht="15" customHeight="1">
      <c r="C1260" s="162">
        <v>45058</v>
      </c>
      <c r="D1260" s="101">
        <v>8210594655</v>
      </c>
      <c r="E1260" s="2" t="s">
        <v>7142</v>
      </c>
      <c r="H1260" s="473" t="s">
        <v>1355</v>
      </c>
      <c r="I1260" s="51" t="s">
        <v>7144</v>
      </c>
      <c r="J1260" s="95">
        <v>45114</v>
      </c>
    </row>
    <row r="1261" spans="3:10" ht="15" customHeight="1">
      <c r="C1261" s="162">
        <v>45058</v>
      </c>
      <c r="D1261" s="101">
        <v>9955129898</v>
      </c>
      <c r="E1261" s="2" t="s">
        <v>7145</v>
      </c>
      <c r="H1261" s="473" t="s">
        <v>7147</v>
      </c>
      <c r="I1261" s="51" t="s">
        <v>7146</v>
      </c>
      <c r="J1261" t="s">
        <v>4073</v>
      </c>
    </row>
    <row r="1262" spans="3:10" ht="15" customHeight="1">
      <c r="C1262" s="162">
        <v>45058</v>
      </c>
      <c r="D1262" s="101">
        <v>9430754023</v>
      </c>
      <c r="E1262" s="2" t="s">
        <v>7148</v>
      </c>
      <c r="H1262" s="473" t="s">
        <v>1219</v>
      </c>
      <c r="I1262" s="51" t="s">
        <v>7149</v>
      </c>
      <c r="J1262" s="95">
        <v>44703</v>
      </c>
    </row>
    <row r="1263" spans="3:10" ht="15" customHeight="1">
      <c r="C1263" s="162">
        <v>45058</v>
      </c>
      <c r="D1263" s="101">
        <v>9430754023</v>
      </c>
      <c r="E1263" s="2" t="s">
        <v>7151</v>
      </c>
      <c r="H1263" s="473" t="s">
        <v>1219</v>
      </c>
      <c r="I1263" s="51" t="s">
        <v>7152</v>
      </c>
      <c r="J1263" s="95">
        <v>44703</v>
      </c>
    </row>
    <row r="1264" spans="3:10" ht="15" customHeight="1">
      <c r="C1264" s="162">
        <v>45059</v>
      </c>
      <c r="D1264" s="101">
        <v>9341764587</v>
      </c>
      <c r="E1264" s="2" t="s">
        <v>2614</v>
      </c>
      <c r="H1264" s="475" t="s">
        <v>6409</v>
      </c>
      <c r="I1264" s="51" t="s">
        <v>7156</v>
      </c>
      <c r="J1264" s="95">
        <v>45073</v>
      </c>
    </row>
    <row r="1265" spans="2:11" ht="15" customHeight="1">
      <c r="C1265" s="162">
        <v>45063</v>
      </c>
      <c r="D1265" s="101" t="s">
        <v>7161</v>
      </c>
      <c r="E1265" s="2" t="s">
        <v>1391</v>
      </c>
      <c r="F1265" t="s">
        <v>7159</v>
      </c>
      <c r="H1265" s="478" t="s">
        <v>4027</v>
      </c>
      <c r="I1265" s="51" t="s">
        <v>7160</v>
      </c>
      <c r="J1265" t="s">
        <v>4073</v>
      </c>
    </row>
    <row r="1266" spans="2:11" ht="15" customHeight="1">
      <c r="C1266" s="162">
        <v>45066</v>
      </c>
      <c r="D1266" s="101">
        <v>6204179739</v>
      </c>
      <c r="E1266" s="2" t="s">
        <v>7168</v>
      </c>
      <c r="H1266" s="481" t="s">
        <v>1275</v>
      </c>
      <c r="I1266" s="51" t="s">
        <v>7169</v>
      </c>
      <c r="J1266" s="95">
        <v>45083</v>
      </c>
    </row>
    <row r="1267" spans="2:11" ht="15" customHeight="1">
      <c r="C1267" s="162">
        <v>45066</v>
      </c>
      <c r="E1267" s="2" t="s">
        <v>7170</v>
      </c>
      <c r="H1267" s="481" t="s">
        <v>1275</v>
      </c>
      <c r="I1267" s="51" t="s">
        <v>7171</v>
      </c>
      <c r="J1267" s="95">
        <v>45090</v>
      </c>
    </row>
    <row r="1268" spans="2:11" ht="15" customHeight="1">
      <c r="C1268" s="162">
        <v>45069</v>
      </c>
      <c r="D1268" s="101">
        <v>7488040540</v>
      </c>
      <c r="E1268" s="2" t="s">
        <v>7182</v>
      </c>
      <c r="H1268" s="483" t="s">
        <v>2047</v>
      </c>
      <c r="I1268" s="51" t="s">
        <v>7181</v>
      </c>
      <c r="J1268" t="s">
        <v>4073</v>
      </c>
    </row>
    <row r="1269" spans="2:11" ht="15" customHeight="1">
      <c r="C1269" s="162">
        <v>45072</v>
      </c>
      <c r="D1269" s="101">
        <v>8409926686</v>
      </c>
      <c r="E1269" s="2" t="s">
        <v>7191</v>
      </c>
      <c r="I1269" s="51" t="s">
        <v>7195</v>
      </c>
      <c r="J1269" t="s">
        <v>4073</v>
      </c>
    </row>
    <row r="1270" spans="2:11" ht="15" customHeight="1">
      <c r="C1270" s="162">
        <v>45072</v>
      </c>
      <c r="E1270" s="2" t="s">
        <v>7193</v>
      </c>
      <c r="H1270" s="486" t="s">
        <v>1219</v>
      </c>
      <c r="I1270" s="2076" t="s">
        <v>7194</v>
      </c>
      <c r="J1270" t="s">
        <v>4073</v>
      </c>
    </row>
    <row r="1271" spans="2:11" ht="15" customHeight="1">
      <c r="C1271" s="162">
        <v>45075</v>
      </c>
      <c r="D1271" s="101">
        <v>6201732823</v>
      </c>
      <c r="E1271" s="2" t="s">
        <v>3778</v>
      </c>
      <c r="H1271" s="489" t="s">
        <v>2775</v>
      </c>
      <c r="I1271" s="51" t="s">
        <v>7202</v>
      </c>
      <c r="J1271" s="95">
        <v>45096</v>
      </c>
    </row>
    <row r="1272" spans="2:11" ht="15" customHeight="1">
      <c r="C1272" s="162">
        <v>45075</v>
      </c>
      <c r="D1272" s="101">
        <v>8969559837</v>
      </c>
      <c r="E1272" s="2" t="s">
        <v>6952</v>
      </c>
      <c r="H1272" s="489" t="s">
        <v>516</v>
      </c>
      <c r="I1272" s="51" t="s">
        <v>7205</v>
      </c>
      <c r="J1272" t="s">
        <v>4073</v>
      </c>
    </row>
    <row r="1273" spans="2:11" ht="15" customHeight="1">
      <c r="B1273" s="491" t="s">
        <v>265</v>
      </c>
      <c r="C1273" s="162">
        <v>45076</v>
      </c>
      <c r="D1273" s="101">
        <v>6202584496</v>
      </c>
      <c r="E1273" s="2" t="s">
        <v>2666</v>
      </c>
      <c r="H1273" s="491" t="s">
        <v>2067</v>
      </c>
      <c r="I1273" s="51" t="s">
        <v>7208</v>
      </c>
      <c r="J1273" t="s">
        <v>100</v>
      </c>
    </row>
    <row r="1274" spans="2:11" ht="15" customHeight="1">
      <c r="C1274" s="162">
        <v>45080</v>
      </c>
      <c r="D1274" s="101">
        <v>8709506312</v>
      </c>
      <c r="E1274" s="2" t="s">
        <v>2978</v>
      </c>
      <c r="H1274" s="497" t="s">
        <v>6078</v>
      </c>
      <c r="I1274" s="332" t="s">
        <v>7215</v>
      </c>
      <c r="J1274" s="517">
        <v>45084</v>
      </c>
    </row>
    <row r="1275" spans="2:11" ht="15" customHeight="1">
      <c r="C1275" s="9">
        <v>45081</v>
      </c>
      <c r="D1275" s="101">
        <v>8709506312</v>
      </c>
      <c r="E1275" s="497" t="s">
        <v>2375</v>
      </c>
      <c r="F1275" s="30"/>
      <c r="G1275" s="1264"/>
      <c r="H1275" s="497" t="s">
        <v>6078</v>
      </c>
      <c r="I1275" s="51" t="s">
        <v>7216</v>
      </c>
      <c r="J1275" s="517">
        <v>45084</v>
      </c>
    </row>
    <row r="1276" spans="2:11" ht="15" customHeight="1">
      <c r="C1276" s="162">
        <v>45082</v>
      </c>
      <c r="D1276" s="101">
        <v>9304540858</v>
      </c>
      <c r="E1276" s="499" t="s">
        <v>1907</v>
      </c>
      <c r="H1276" s="499" t="s">
        <v>2067</v>
      </c>
      <c r="I1276" s="51" t="s">
        <v>7244</v>
      </c>
      <c r="J1276" s="514" t="s">
        <v>3882</v>
      </c>
    </row>
    <row r="1277" spans="2:11" ht="15" customHeight="1">
      <c r="C1277" s="162">
        <v>45085</v>
      </c>
      <c r="D1277" s="101">
        <v>7779811393</v>
      </c>
      <c r="E1277" s="502" t="s">
        <v>7233</v>
      </c>
      <c r="H1277" s="502" t="s">
        <v>6078</v>
      </c>
      <c r="I1277" s="51" t="s">
        <v>7232</v>
      </c>
      <c r="J1277" s="1953" t="s">
        <v>528</v>
      </c>
      <c r="K1277" s="95">
        <v>45098</v>
      </c>
    </row>
    <row r="1278" spans="2:11" ht="15" customHeight="1">
      <c r="C1278" s="162">
        <v>45085</v>
      </c>
      <c r="D1278" s="101">
        <v>9430754023</v>
      </c>
      <c r="E1278" s="502" t="s">
        <v>7234</v>
      </c>
      <c r="H1278" s="502" t="s">
        <v>1275</v>
      </c>
      <c r="I1278" s="51" t="s">
        <v>7235</v>
      </c>
      <c r="J1278" s="95">
        <v>45091</v>
      </c>
    </row>
    <row r="1279" spans="2:11" ht="15" customHeight="1">
      <c r="C1279" s="162">
        <v>45086</v>
      </c>
      <c r="D1279" s="101">
        <v>6202584496</v>
      </c>
      <c r="E1279" s="2" t="s">
        <v>2666</v>
      </c>
      <c r="H1279" s="506" t="s">
        <v>2067</v>
      </c>
      <c r="I1279" s="51" t="s">
        <v>7243</v>
      </c>
      <c r="J1279" s="1954">
        <v>45092</v>
      </c>
    </row>
    <row r="1280" spans="2:11" ht="15" customHeight="1">
      <c r="C1280" s="162">
        <v>45090</v>
      </c>
      <c r="D1280" s="101">
        <v>9304540858</v>
      </c>
      <c r="E1280" s="499" t="s">
        <v>1907</v>
      </c>
      <c r="H1280" s="499" t="s">
        <v>2067</v>
      </c>
      <c r="I1280" s="51" t="s">
        <v>7250</v>
      </c>
      <c r="J1280" t="s">
        <v>3882</v>
      </c>
    </row>
    <row r="1281" spans="3:12" ht="15" customHeight="1">
      <c r="C1281" s="162">
        <v>45090</v>
      </c>
      <c r="D1281" s="101">
        <v>6260087756</v>
      </c>
      <c r="E1281" s="512" t="s">
        <v>7251</v>
      </c>
      <c r="H1281" s="512" t="s">
        <v>2067</v>
      </c>
      <c r="I1281" s="51" t="s">
        <v>7252</v>
      </c>
      <c r="J1281" t="s">
        <v>7279</v>
      </c>
    </row>
    <row r="1282" spans="3:12" ht="15" customHeight="1">
      <c r="C1282" s="162">
        <v>45094</v>
      </c>
      <c r="E1282" s="519" t="s">
        <v>6207</v>
      </c>
      <c r="H1282" s="512" t="s">
        <v>2067</v>
      </c>
      <c r="I1282" s="51" t="s">
        <v>7268</v>
      </c>
      <c r="J1282" s="1955">
        <v>45112</v>
      </c>
    </row>
    <row r="1283" spans="3:12" ht="15" customHeight="1">
      <c r="C1283" s="162">
        <v>45094</v>
      </c>
      <c r="E1283" s="519" t="s">
        <v>7108</v>
      </c>
      <c r="H1283" s="519" t="s">
        <v>2775</v>
      </c>
      <c r="I1283" s="51" t="s">
        <v>7269</v>
      </c>
      <c r="J1283" s="1956" t="s">
        <v>6764</v>
      </c>
    </row>
    <row r="1284" spans="3:12" ht="15" customHeight="1">
      <c r="C1284" s="162">
        <v>45094</v>
      </c>
      <c r="E1284" s="519" t="s">
        <v>7270</v>
      </c>
      <c r="H1284" s="519" t="s">
        <v>2775</v>
      </c>
      <c r="I1284" s="51" t="s">
        <v>7271</v>
      </c>
      <c r="J1284" s="532" t="s">
        <v>507</v>
      </c>
    </row>
    <row r="1285" spans="3:12" ht="15" customHeight="1">
      <c r="C1285" s="162">
        <v>45099</v>
      </c>
      <c r="D1285" s="101">
        <v>7903109557</v>
      </c>
      <c r="E1285" t="s">
        <v>7281</v>
      </c>
      <c r="H1285" s="524" t="s">
        <v>1275</v>
      </c>
      <c r="I1285" s="39" t="s">
        <v>7280</v>
      </c>
      <c r="J1285" t="s">
        <v>528</v>
      </c>
      <c r="K1285" s="95">
        <v>45111</v>
      </c>
    </row>
    <row r="1286" spans="3:12" ht="15" customHeight="1">
      <c r="C1286" s="162">
        <v>45099</v>
      </c>
      <c r="D1286" s="101">
        <v>9334536985</v>
      </c>
      <c r="E1286" t="s">
        <v>7285</v>
      </c>
      <c r="H1286" s="526" t="s">
        <v>1873</v>
      </c>
      <c r="I1286" s="51" t="s">
        <v>7284</v>
      </c>
      <c r="J1286" t="s">
        <v>507</v>
      </c>
    </row>
    <row r="1287" spans="3:12" ht="15" customHeight="1">
      <c r="C1287" s="162">
        <v>45099</v>
      </c>
      <c r="D1287" s="101">
        <v>9334536985</v>
      </c>
      <c r="E1287" t="s">
        <v>7286</v>
      </c>
      <c r="H1287" s="526" t="s">
        <v>1873</v>
      </c>
      <c r="I1287" s="51" t="s">
        <v>7287</v>
      </c>
      <c r="J1287" t="s">
        <v>507</v>
      </c>
    </row>
    <row r="1288" spans="3:12" ht="15" customHeight="1">
      <c r="C1288" s="162">
        <v>45100</v>
      </c>
      <c r="D1288" s="101">
        <v>6203023049</v>
      </c>
      <c r="E1288" s="528" t="s">
        <v>4465</v>
      </c>
      <c r="H1288" s="528" t="s">
        <v>2047</v>
      </c>
      <c r="I1288" s="51" t="s">
        <v>7290</v>
      </c>
      <c r="J1288" t="s">
        <v>507</v>
      </c>
    </row>
    <row r="1289" spans="3:12" ht="15" customHeight="1">
      <c r="C1289" s="162">
        <v>45100</v>
      </c>
      <c r="D1289" s="101">
        <v>6203023049</v>
      </c>
      <c r="E1289" s="528" t="s">
        <v>1567</v>
      </c>
      <c r="H1289" s="528" t="s">
        <v>2047</v>
      </c>
      <c r="I1289" s="51" t="s">
        <v>7291</v>
      </c>
      <c r="J1289" t="s">
        <v>507</v>
      </c>
    </row>
    <row r="1290" spans="3:12" ht="15" customHeight="1">
      <c r="C1290" s="162">
        <v>45100</v>
      </c>
      <c r="E1290" s="528" t="s">
        <v>5520</v>
      </c>
      <c r="H1290" s="528" t="s">
        <v>2067</v>
      </c>
      <c r="I1290" s="51" t="s">
        <v>7292</v>
      </c>
      <c r="J1290" t="s">
        <v>100</v>
      </c>
      <c r="L1290" t="s">
        <v>7322</v>
      </c>
    </row>
    <row r="1291" spans="3:12" ht="15" customHeight="1">
      <c r="C1291" s="162">
        <v>45101</v>
      </c>
      <c r="D1291" s="101">
        <v>9097004555</v>
      </c>
      <c r="E1291" s="529" t="s">
        <v>1924</v>
      </c>
      <c r="H1291" s="528" t="s">
        <v>2067</v>
      </c>
      <c r="I1291" s="51" t="s">
        <v>7301</v>
      </c>
      <c r="J1291" s="1957">
        <v>45121</v>
      </c>
    </row>
    <row r="1292" spans="3:12" ht="15" customHeight="1">
      <c r="C1292" s="533">
        <v>45104</v>
      </c>
      <c r="D1292" s="101">
        <v>6260087756</v>
      </c>
      <c r="E1292" s="512" t="s">
        <v>7251</v>
      </c>
      <c r="H1292" s="512" t="s">
        <v>2067</v>
      </c>
      <c r="I1292" s="51" t="s">
        <v>7305</v>
      </c>
      <c r="K1292" s="540" t="s">
        <v>6395</v>
      </c>
    </row>
    <row r="1293" spans="3:12" ht="15" customHeight="1">
      <c r="C1293" s="162">
        <v>45106</v>
      </c>
      <c r="D1293" s="101">
        <v>9234469231</v>
      </c>
      <c r="E1293" s="534" t="s">
        <v>7311</v>
      </c>
      <c r="H1293" s="534" t="s">
        <v>7310</v>
      </c>
      <c r="I1293" s="51" t="s">
        <v>7309</v>
      </c>
      <c r="J1293" s="95">
        <v>45147</v>
      </c>
    </row>
    <row r="1294" spans="3:12" ht="15" customHeight="1">
      <c r="C1294" s="162">
        <v>45110</v>
      </c>
      <c r="D1294" s="101">
        <v>9934186445</v>
      </c>
      <c r="E1294" s="538" t="s">
        <v>7277</v>
      </c>
      <c r="H1294" s="538" t="s">
        <v>1219</v>
      </c>
      <c r="I1294" s="51" t="s">
        <v>7367</v>
      </c>
      <c r="J1294" s="1958">
        <v>45118</v>
      </c>
    </row>
    <row r="1295" spans="3:12" ht="15" customHeight="1">
      <c r="C1295" s="162">
        <v>45118</v>
      </c>
      <c r="D1295" s="101">
        <v>7295914524</v>
      </c>
      <c r="E1295" s="551" t="s">
        <v>7351</v>
      </c>
      <c r="H1295" s="551" t="s">
        <v>2067</v>
      </c>
      <c r="I1295" s="51" t="s">
        <v>7374</v>
      </c>
      <c r="J1295" s="594">
        <v>45141</v>
      </c>
    </row>
    <row r="1296" spans="3:12" ht="15" customHeight="1">
      <c r="C1296" s="162">
        <v>45118</v>
      </c>
      <c r="D1296" s="101">
        <v>8825230298</v>
      </c>
      <c r="E1296" s="528" t="s">
        <v>5520</v>
      </c>
      <c r="I1296" s="51" t="s">
        <v>7387</v>
      </c>
      <c r="J1296" s="581" t="s">
        <v>39</v>
      </c>
    </row>
    <row r="1297" spans="3:11" ht="15" customHeight="1">
      <c r="C1297" s="162">
        <v>45118</v>
      </c>
      <c r="D1297" s="101">
        <v>9334536985</v>
      </c>
      <c r="E1297" t="s">
        <v>7286</v>
      </c>
      <c r="I1297" s="51" t="s">
        <v>7376</v>
      </c>
      <c r="J1297" s="554" t="s">
        <v>507</v>
      </c>
    </row>
    <row r="1298" spans="3:11" ht="15" customHeight="1">
      <c r="C1298" s="162">
        <v>45119</v>
      </c>
      <c r="D1298" s="101">
        <v>8987536725</v>
      </c>
      <c r="E1298" t="s">
        <v>7377</v>
      </c>
      <c r="H1298" t="s">
        <v>7378</v>
      </c>
      <c r="I1298" s="51" t="s">
        <v>7379</v>
      </c>
      <c r="J1298" s="554" t="s">
        <v>507</v>
      </c>
    </row>
    <row r="1299" spans="3:11" ht="15" customHeight="1">
      <c r="C1299" s="162">
        <v>45120</v>
      </c>
      <c r="D1299" s="101">
        <v>9122087243</v>
      </c>
      <c r="E1299" s="553" t="s">
        <v>1540</v>
      </c>
      <c r="H1299" s="553" t="s">
        <v>2071</v>
      </c>
      <c r="I1299" s="51" t="s">
        <v>7393</v>
      </c>
      <c r="J1299" s="594">
        <v>45134</v>
      </c>
    </row>
    <row r="1300" spans="3:11" ht="15" customHeight="1">
      <c r="C1300" s="162">
        <v>45120</v>
      </c>
      <c r="D1300" s="101">
        <v>7004038832</v>
      </c>
      <c r="E1300" s="554" t="s">
        <v>827</v>
      </c>
      <c r="H1300" s="554" t="s">
        <v>1873</v>
      </c>
      <c r="I1300" s="51" t="s">
        <v>7397</v>
      </c>
      <c r="J1300" s="554" t="s">
        <v>507</v>
      </c>
    </row>
    <row r="1301" spans="3:11" ht="15" customHeight="1">
      <c r="C1301" s="162">
        <v>45125</v>
      </c>
      <c r="D1301" s="101">
        <v>9771757255</v>
      </c>
      <c r="E1301" s="558" t="s">
        <v>7403</v>
      </c>
      <c r="H1301" s="558" t="s">
        <v>1355</v>
      </c>
      <c r="I1301" s="51" t="s">
        <v>7404</v>
      </c>
      <c r="J1301" s="1959">
        <v>45129</v>
      </c>
    </row>
    <row r="1302" spans="3:11" ht="15" customHeight="1">
      <c r="C1302" s="162">
        <v>45125</v>
      </c>
      <c r="E1302" s="558" t="s">
        <v>7405</v>
      </c>
      <c r="H1302" s="558" t="s">
        <v>2067</v>
      </c>
      <c r="I1302" s="51" t="s">
        <v>7406</v>
      </c>
      <c r="J1302" s="1960">
        <v>45132</v>
      </c>
    </row>
    <row r="1303" spans="3:11" ht="15" customHeight="1">
      <c r="C1303" s="162">
        <v>45125</v>
      </c>
      <c r="E1303" s="558" t="s">
        <v>7407</v>
      </c>
      <c r="H1303" s="558" t="s">
        <v>2067</v>
      </c>
      <c r="I1303" s="51" t="s">
        <v>7415</v>
      </c>
      <c r="J1303" s="568">
        <v>45136</v>
      </c>
      <c r="K1303" s="567"/>
    </row>
    <row r="1304" spans="3:11" ht="15" customHeight="1">
      <c r="C1304" s="162">
        <v>45126</v>
      </c>
      <c r="D1304" s="101">
        <v>8797944753</v>
      </c>
      <c r="E1304" s="561" t="s">
        <v>7413</v>
      </c>
      <c r="H1304" s="558" t="s">
        <v>2067</v>
      </c>
      <c r="I1304" s="51" t="s">
        <v>7412</v>
      </c>
      <c r="J1304" s="568">
        <v>45142</v>
      </c>
    </row>
    <row r="1305" spans="3:11" ht="15" customHeight="1">
      <c r="C1305" s="162">
        <v>45126</v>
      </c>
      <c r="D1305" s="101">
        <v>7209683727</v>
      </c>
      <c r="E1305" s="596" t="s">
        <v>7493</v>
      </c>
      <c r="H1305" s="562" t="s">
        <v>1955</v>
      </c>
      <c r="I1305" s="51" t="s">
        <v>7418</v>
      </c>
      <c r="J1305" s="568">
        <v>45146</v>
      </c>
    </row>
    <row r="1306" spans="3:11" ht="15" customHeight="1">
      <c r="C1306" s="162">
        <v>45126</v>
      </c>
      <c r="D1306" s="101">
        <v>7209683727</v>
      </c>
      <c r="E1306" s="562" t="s">
        <v>7417</v>
      </c>
      <c r="H1306" s="562" t="s">
        <v>1955</v>
      </c>
      <c r="I1306" s="51" t="s">
        <v>7419</v>
      </c>
      <c r="J1306" s="568">
        <v>45146</v>
      </c>
    </row>
    <row r="1307" spans="3:11" ht="15" customHeight="1">
      <c r="C1307" s="162">
        <v>45127</v>
      </c>
      <c r="D1307" s="101">
        <v>6204158116</v>
      </c>
      <c r="E1307" s="563" t="s">
        <v>2086</v>
      </c>
      <c r="H1307" s="563" t="s">
        <v>2067</v>
      </c>
      <c r="I1307" s="51" t="s">
        <v>7420</v>
      </c>
      <c r="J1307" s="568">
        <v>45147</v>
      </c>
    </row>
    <row r="1308" spans="3:11" ht="15" customHeight="1">
      <c r="C1308" s="162">
        <v>45130</v>
      </c>
      <c r="D1308" s="101">
        <v>8825214668</v>
      </c>
      <c r="E1308" s="569" t="s">
        <v>7431</v>
      </c>
      <c r="H1308" s="569" t="s">
        <v>1841</v>
      </c>
      <c r="I1308" s="51" t="s">
        <v>7430</v>
      </c>
      <c r="J1308" s="567" t="s">
        <v>507</v>
      </c>
    </row>
    <row r="1309" spans="3:11" ht="15" customHeight="1">
      <c r="C1309" s="162">
        <v>45131</v>
      </c>
      <c r="E1309" s="571" t="s">
        <v>7263</v>
      </c>
      <c r="I1309" s="51" t="s">
        <v>7432</v>
      </c>
      <c r="J1309" s="567" t="s">
        <v>507</v>
      </c>
    </row>
    <row r="1310" spans="3:11" ht="15" customHeight="1">
      <c r="C1310" s="162">
        <v>45132</v>
      </c>
      <c r="E1310" s="572" t="s">
        <v>7442</v>
      </c>
      <c r="H1310" t="s">
        <v>2067</v>
      </c>
      <c r="I1310" s="51" t="s">
        <v>7443</v>
      </c>
      <c r="J1310" s="583" t="s">
        <v>77</v>
      </c>
    </row>
    <row r="1311" spans="3:11" ht="15" customHeight="1">
      <c r="C1311" s="162">
        <v>45134</v>
      </c>
      <c r="D1311" s="101">
        <v>9334536985</v>
      </c>
      <c r="E1311" s="574" t="s">
        <v>7285</v>
      </c>
      <c r="I1311" s="51" t="s">
        <v>7444</v>
      </c>
      <c r="J1311" s="95">
        <v>45139</v>
      </c>
    </row>
    <row r="1312" spans="3:11" ht="15" customHeight="1">
      <c r="C1312" s="162">
        <v>45136</v>
      </c>
      <c r="D1312" s="101">
        <v>7717747591</v>
      </c>
      <c r="E1312" s="577" t="s">
        <v>1134</v>
      </c>
      <c r="H1312" s="577" t="s">
        <v>6509</v>
      </c>
      <c r="I1312" s="51" t="s">
        <v>7451</v>
      </c>
      <c r="J1312" s="1961">
        <v>45142</v>
      </c>
    </row>
    <row r="1313" spans="3:12" ht="15" customHeight="1">
      <c r="C1313" s="162">
        <v>45139</v>
      </c>
      <c r="D1313" s="101">
        <v>8507443432</v>
      </c>
      <c r="E1313" s="582" t="s">
        <v>7471</v>
      </c>
      <c r="F1313" s="582" t="s">
        <v>7090</v>
      </c>
      <c r="G1313" s="1285"/>
      <c r="H1313" s="582" t="s">
        <v>1262</v>
      </c>
      <c r="I1313" s="51" t="s">
        <v>7473</v>
      </c>
      <c r="J1313" s="1962" t="s">
        <v>4073</v>
      </c>
    </row>
    <row r="1314" spans="3:12" ht="15" customHeight="1">
      <c r="C1314" s="615">
        <v>45140</v>
      </c>
      <c r="D1314" s="616">
        <v>8507443432</v>
      </c>
      <c r="E1314" s="194" t="s">
        <v>7474</v>
      </c>
      <c r="F1314" s="194" t="s">
        <v>7090</v>
      </c>
      <c r="G1314" s="1286"/>
      <c r="H1314" s="194" t="s">
        <v>1262</v>
      </c>
      <c r="I1314" s="41" t="s">
        <v>7502</v>
      </c>
      <c r="J1314" s="617" t="s">
        <v>165</v>
      </c>
      <c r="K1314" s="194"/>
      <c r="L1314" s="617" t="s">
        <v>7528</v>
      </c>
    </row>
    <row r="1315" spans="3:12" ht="15" customHeight="1">
      <c r="C1315" s="162">
        <v>45141</v>
      </c>
      <c r="D1315" s="101">
        <v>7250111700</v>
      </c>
      <c r="E1315" s="589" t="s">
        <v>2804</v>
      </c>
      <c r="H1315" s="589" t="s">
        <v>1869</v>
      </c>
      <c r="I1315" s="51" t="s">
        <v>7477</v>
      </c>
      <c r="J1315" s="95">
        <v>45156</v>
      </c>
    </row>
    <row r="1316" spans="3:12" ht="15" customHeight="1">
      <c r="C1316" s="162">
        <v>45141</v>
      </c>
      <c r="D1316" s="101">
        <v>8797876422</v>
      </c>
      <c r="E1316" s="590" t="s">
        <v>7456</v>
      </c>
      <c r="H1316" s="590" t="s">
        <v>1275</v>
      </c>
      <c r="I1316" s="51" t="s">
        <v>7481</v>
      </c>
      <c r="J1316" s="95">
        <v>45155</v>
      </c>
    </row>
    <row r="1317" spans="3:12" ht="15" customHeight="1">
      <c r="C1317" s="162">
        <v>45145</v>
      </c>
      <c r="D1317" s="101">
        <v>9771231269</v>
      </c>
      <c r="E1317" s="595" t="s">
        <v>7486</v>
      </c>
      <c r="F1317" t="s">
        <v>7487</v>
      </c>
      <c r="H1317" s="595" t="s">
        <v>5977</v>
      </c>
      <c r="I1317" s="51" t="s">
        <v>7485</v>
      </c>
      <c r="J1317" t="s">
        <v>4073</v>
      </c>
    </row>
    <row r="1318" spans="3:12" ht="15" customHeight="1">
      <c r="C1318" s="162">
        <v>45145</v>
      </c>
      <c r="D1318" s="101">
        <v>9905438357</v>
      </c>
      <c r="E1318" s="595" t="s">
        <v>7491</v>
      </c>
      <c r="H1318" s="595" t="s">
        <v>5977</v>
      </c>
      <c r="I1318" s="51" t="s">
        <v>7490</v>
      </c>
      <c r="J1318" t="s">
        <v>4073</v>
      </c>
    </row>
    <row r="1319" spans="3:12" ht="15" customHeight="1">
      <c r="C1319" s="162">
        <v>45145</v>
      </c>
      <c r="D1319" s="101">
        <v>9128727657</v>
      </c>
      <c r="E1319" t="s">
        <v>7489</v>
      </c>
      <c r="H1319" s="595" t="s">
        <v>2071</v>
      </c>
      <c r="I1319" s="51" t="s">
        <v>7488</v>
      </c>
      <c r="J1319" s="95">
        <v>45192</v>
      </c>
    </row>
    <row r="1320" spans="3:12" ht="15" customHeight="1">
      <c r="C1320" s="162">
        <v>45152</v>
      </c>
      <c r="E1320" t="s">
        <v>2108</v>
      </c>
      <c r="H1320" s="605" t="s">
        <v>1785</v>
      </c>
      <c r="I1320" s="51" t="s">
        <v>7499</v>
      </c>
      <c r="J1320" s="95">
        <v>45164</v>
      </c>
    </row>
    <row r="1321" spans="3:12" ht="15" customHeight="1">
      <c r="C1321" s="162">
        <v>45152</v>
      </c>
      <c r="E1321" t="s">
        <v>2111</v>
      </c>
      <c r="H1321" s="605" t="s">
        <v>1785</v>
      </c>
      <c r="I1321" s="51" t="s">
        <v>7500</v>
      </c>
      <c r="J1321" s="95">
        <v>45164</v>
      </c>
    </row>
    <row r="1322" spans="3:12" ht="15" customHeight="1">
      <c r="C1322" s="162">
        <v>45155</v>
      </c>
      <c r="E1322" s="609" t="s">
        <v>7504</v>
      </c>
      <c r="H1322" s="609" t="s">
        <v>2071</v>
      </c>
      <c r="I1322" s="51" t="s">
        <v>7503</v>
      </c>
      <c r="J1322" t="s">
        <v>4073</v>
      </c>
    </row>
    <row r="1323" spans="3:12" ht="15" customHeight="1">
      <c r="C1323" s="162">
        <v>45156</v>
      </c>
      <c r="D1323" s="101">
        <v>9990759762</v>
      </c>
      <c r="E1323" s="610" t="s">
        <v>1775</v>
      </c>
      <c r="H1323" s="610" t="s">
        <v>1955</v>
      </c>
      <c r="I1323" s="51" t="s">
        <v>7506</v>
      </c>
      <c r="J1323" s="95">
        <v>45177</v>
      </c>
    </row>
    <row r="1324" spans="3:12" ht="15" customHeight="1">
      <c r="C1324" s="162">
        <v>45156</v>
      </c>
      <c r="D1324" s="101">
        <v>8092632747</v>
      </c>
      <c r="E1324" s="610" t="s">
        <v>1511</v>
      </c>
      <c r="H1324" s="610" t="s">
        <v>2047</v>
      </c>
      <c r="I1324" s="51" t="s">
        <v>7507</v>
      </c>
      <c r="J1324" s="95">
        <v>45178</v>
      </c>
      <c r="K1324" s="612"/>
    </row>
    <row r="1325" spans="3:12" ht="15" customHeight="1">
      <c r="C1325" s="162">
        <v>45156</v>
      </c>
      <c r="D1325" s="101">
        <v>8092809717</v>
      </c>
      <c r="E1325" s="610" t="s">
        <v>7510</v>
      </c>
      <c r="H1325" s="610" t="s">
        <v>1869</v>
      </c>
      <c r="I1325" s="51" t="s">
        <v>7509</v>
      </c>
      <c r="J1325" t="s">
        <v>4073</v>
      </c>
    </row>
    <row r="1326" spans="3:12" ht="15" customHeight="1">
      <c r="C1326" s="162">
        <v>45163</v>
      </c>
      <c r="D1326" s="101">
        <v>9031906277</v>
      </c>
      <c r="E1326" s="613" t="s">
        <v>7518</v>
      </c>
      <c r="H1326" s="613" t="s">
        <v>1392</v>
      </c>
      <c r="I1326" s="51" t="s">
        <v>7519</v>
      </c>
      <c r="J1326" t="s">
        <v>4073</v>
      </c>
    </row>
    <row r="1327" spans="3:12" ht="15" customHeight="1">
      <c r="C1327" s="162">
        <v>45163</v>
      </c>
      <c r="E1327" s="613" t="s">
        <v>529</v>
      </c>
      <c r="H1327" s="613" t="s">
        <v>2801</v>
      </c>
      <c r="I1327" s="51" t="s">
        <v>7520</v>
      </c>
      <c r="J1327" s="95">
        <v>45254</v>
      </c>
    </row>
    <row r="1328" spans="3:12" ht="15" customHeight="1">
      <c r="C1328" s="615">
        <v>45165</v>
      </c>
      <c r="D1328" s="616">
        <v>8507443432</v>
      </c>
      <c r="E1328" s="194" t="s">
        <v>7474</v>
      </c>
      <c r="F1328" s="194" t="s">
        <v>7090</v>
      </c>
      <c r="G1328" s="1286"/>
      <c r="H1328" s="194" t="s">
        <v>1262</v>
      </c>
      <c r="I1328" s="51" t="s">
        <v>7527</v>
      </c>
      <c r="J1328" t="s">
        <v>4073</v>
      </c>
    </row>
    <row r="1329" spans="3:10" ht="15" customHeight="1">
      <c r="C1329" s="162">
        <v>45165</v>
      </c>
      <c r="D1329" s="101">
        <v>7808482250</v>
      </c>
      <c r="E1329" s="619" t="s">
        <v>7529</v>
      </c>
      <c r="H1329" s="619" t="s">
        <v>2284</v>
      </c>
      <c r="I1329" s="51" t="s">
        <v>7530</v>
      </c>
      <c r="J1329" s="628" t="s">
        <v>100</v>
      </c>
    </row>
    <row r="1330" spans="3:10" ht="15" customHeight="1">
      <c r="C1330" s="162">
        <v>45165</v>
      </c>
      <c r="D1330" s="101">
        <v>9304297560</v>
      </c>
      <c r="E1330" s="620" t="s">
        <v>7531</v>
      </c>
      <c r="H1330" s="620" t="s">
        <v>1392</v>
      </c>
      <c r="I1330" s="51" t="s">
        <v>7532</v>
      </c>
      <c r="J1330" s="1963">
        <v>45214</v>
      </c>
    </row>
    <row r="1331" spans="3:10" ht="15" customHeight="1">
      <c r="C1331" s="162">
        <v>45166</v>
      </c>
      <c r="D1331" s="101">
        <v>6207044747</v>
      </c>
      <c r="E1331" s="622" t="s">
        <v>2708</v>
      </c>
      <c r="I1331" s="51" t="s">
        <v>7533</v>
      </c>
      <c r="J1331" s="628" t="s">
        <v>4073</v>
      </c>
    </row>
    <row r="1332" spans="3:10" ht="15" customHeight="1">
      <c r="C1332" s="162">
        <v>45168</v>
      </c>
      <c r="D1332" s="101">
        <v>9334964342</v>
      </c>
      <c r="E1332" s="623" t="s">
        <v>6005</v>
      </c>
      <c r="H1332" t="s">
        <v>1383</v>
      </c>
      <c r="I1332" s="51" t="s">
        <v>7534</v>
      </c>
      <c r="J1332" s="1963">
        <v>45203</v>
      </c>
    </row>
    <row r="1333" spans="3:10" ht="15" customHeight="1">
      <c r="C1333" s="162">
        <v>45168</v>
      </c>
      <c r="D1333" s="101">
        <v>8294448943</v>
      </c>
      <c r="E1333" s="623" t="s">
        <v>2259</v>
      </c>
      <c r="H1333" t="s">
        <v>1227</v>
      </c>
      <c r="I1333" s="51" t="s">
        <v>7535</v>
      </c>
      <c r="J1333" s="95">
        <v>45189</v>
      </c>
    </row>
    <row r="1334" spans="3:10" ht="15" customHeight="1">
      <c r="C1334" s="162">
        <v>45175</v>
      </c>
      <c r="D1334" s="101">
        <v>8969559837</v>
      </c>
      <c r="E1334" s="627" t="s">
        <v>7539</v>
      </c>
      <c r="H1334" s="627" t="s">
        <v>516</v>
      </c>
      <c r="I1334" s="51" t="s">
        <v>7538</v>
      </c>
      <c r="J1334" s="653" t="s">
        <v>507</v>
      </c>
    </row>
    <row r="1335" spans="3:10" ht="15" customHeight="1">
      <c r="C1335" s="658">
        <v>45176</v>
      </c>
      <c r="D1335" s="659">
        <v>8102237553</v>
      </c>
      <c r="E1335" s="194" t="s">
        <v>7541</v>
      </c>
      <c r="F1335" s="660"/>
      <c r="G1335" s="1287"/>
      <c r="H1335" s="194" t="s">
        <v>2071</v>
      </c>
      <c r="I1335" s="41" t="s">
        <v>7540</v>
      </c>
      <c r="J1335" s="194" t="s">
        <v>7601</v>
      </c>
    </row>
    <row r="1336" spans="3:10" ht="15" customHeight="1">
      <c r="C1336" s="162">
        <v>45176</v>
      </c>
      <c r="E1336" s="628" t="s">
        <v>7545</v>
      </c>
      <c r="H1336" s="628" t="s">
        <v>2071</v>
      </c>
      <c r="I1336" s="51" t="s">
        <v>7544</v>
      </c>
      <c r="J1336" s="1964">
        <v>45199</v>
      </c>
    </row>
    <row r="1337" spans="3:10" ht="15" customHeight="1">
      <c r="C1337" s="162">
        <v>45178</v>
      </c>
      <c r="D1337" s="101">
        <v>7209226277</v>
      </c>
      <c r="E1337" s="632" t="s">
        <v>2313</v>
      </c>
      <c r="H1337" s="632" t="s">
        <v>1591</v>
      </c>
      <c r="I1337" s="51" t="s">
        <v>7548</v>
      </c>
      <c r="J1337" s="653" t="s">
        <v>507</v>
      </c>
    </row>
    <row r="1338" spans="3:10" ht="15" customHeight="1">
      <c r="C1338" s="162">
        <v>45179</v>
      </c>
      <c r="D1338" s="101">
        <v>7209624722</v>
      </c>
      <c r="E1338" s="634" t="s">
        <v>7555</v>
      </c>
      <c r="H1338" s="634" t="s">
        <v>1275</v>
      </c>
      <c r="I1338" s="51" t="s">
        <v>7554</v>
      </c>
      <c r="J1338" s="653" t="s">
        <v>507</v>
      </c>
    </row>
    <row r="1339" spans="3:10" ht="15" customHeight="1">
      <c r="C1339" s="162">
        <v>45181</v>
      </c>
      <c r="D1339" s="101">
        <v>7070138436</v>
      </c>
      <c r="E1339" s="636" t="s">
        <v>2070</v>
      </c>
      <c r="H1339" s="636" t="s">
        <v>2071</v>
      </c>
      <c r="I1339" s="51" t="s">
        <v>7557</v>
      </c>
      <c r="J1339" s="1964">
        <v>45203</v>
      </c>
    </row>
    <row r="1340" spans="3:10" ht="15" customHeight="1">
      <c r="C1340" s="162">
        <v>45181</v>
      </c>
      <c r="D1340" s="101">
        <v>9934326632</v>
      </c>
      <c r="E1340" s="636" t="s">
        <v>1747</v>
      </c>
      <c r="H1340" s="636" t="s">
        <v>2096</v>
      </c>
      <c r="I1340" s="51" t="s">
        <v>7558</v>
      </c>
      <c r="J1340" s="1964">
        <v>45199</v>
      </c>
    </row>
    <row r="1341" spans="3:10" ht="15" customHeight="1">
      <c r="C1341" s="162">
        <v>45187</v>
      </c>
      <c r="D1341" s="101">
        <v>7857846742</v>
      </c>
      <c r="E1341" s="642" t="s">
        <v>1907</v>
      </c>
      <c r="H1341" s="642" t="s">
        <v>1275</v>
      </c>
      <c r="I1341" s="51" t="s">
        <v>7564</v>
      </c>
      <c r="J1341" t="s">
        <v>77</v>
      </c>
    </row>
    <row r="1342" spans="3:10" ht="15" customHeight="1">
      <c r="C1342" s="162">
        <v>45190</v>
      </c>
      <c r="D1342" s="101">
        <v>8789410485</v>
      </c>
      <c r="E1342" s="646" t="s">
        <v>7577</v>
      </c>
      <c r="H1342" s="646" t="s">
        <v>2067</v>
      </c>
      <c r="I1342" s="51" t="s">
        <v>7576</v>
      </c>
      <c r="J1342" s="1965">
        <v>45302</v>
      </c>
    </row>
    <row r="1343" spans="3:10" ht="15" customHeight="1">
      <c r="C1343" s="162">
        <v>45191</v>
      </c>
      <c r="E1343" s="647" t="s">
        <v>7579</v>
      </c>
      <c r="H1343" s="647" t="s">
        <v>2071</v>
      </c>
      <c r="I1343" s="51" t="s">
        <v>7578</v>
      </c>
      <c r="J1343" t="s">
        <v>507</v>
      </c>
    </row>
    <row r="1344" spans="3:10" ht="15" customHeight="1">
      <c r="C1344" s="162">
        <v>45191</v>
      </c>
      <c r="D1344" s="101">
        <v>9709251789</v>
      </c>
      <c r="E1344" s="647" t="s">
        <v>7580</v>
      </c>
      <c r="H1344" s="647" t="s">
        <v>1275</v>
      </c>
      <c r="I1344" s="51" t="s">
        <v>7581</v>
      </c>
      <c r="J1344" t="s">
        <v>77</v>
      </c>
    </row>
    <row r="1345" spans="3:11" ht="15" customHeight="1">
      <c r="C1345" s="162">
        <v>45192</v>
      </c>
      <c r="D1345" s="101">
        <v>7277207200</v>
      </c>
      <c r="E1345" s="648" t="s">
        <v>2342</v>
      </c>
      <c r="H1345" s="648" t="s">
        <v>2067</v>
      </c>
      <c r="I1345" s="51" t="s">
        <v>7582</v>
      </c>
      <c r="J1345" s="95">
        <v>45216</v>
      </c>
    </row>
    <row r="1346" spans="3:11" ht="15" customHeight="1">
      <c r="C1346" s="162">
        <v>45194</v>
      </c>
      <c r="D1346" s="101">
        <v>7677813704</v>
      </c>
      <c r="E1346" s="649" t="s">
        <v>7585</v>
      </c>
      <c r="H1346" s="649" t="s">
        <v>2071</v>
      </c>
      <c r="I1346" s="51" t="s">
        <v>7586</v>
      </c>
      <c r="J1346" s="95">
        <v>45237</v>
      </c>
    </row>
    <row r="1347" spans="3:11" ht="15" customHeight="1">
      <c r="C1347" s="162">
        <v>45194</v>
      </c>
      <c r="E1347" s="649" t="s">
        <v>7588</v>
      </c>
      <c r="H1347" s="649" t="s">
        <v>2067</v>
      </c>
      <c r="I1347" s="51" t="s">
        <v>7587</v>
      </c>
      <c r="J1347" s="1966" t="s">
        <v>528</v>
      </c>
    </row>
    <row r="1348" spans="3:11" ht="15" customHeight="1">
      <c r="C1348" s="162">
        <v>45194</v>
      </c>
      <c r="D1348" s="101">
        <v>8789773883</v>
      </c>
      <c r="E1348" s="649" t="s">
        <v>7590</v>
      </c>
      <c r="H1348" s="649" t="s">
        <v>1591</v>
      </c>
      <c r="I1348" s="51" t="s">
        <v>7589</v>
      </c>
      <c r="J1348" s="1966" t="s">
        <v>39</v>
      </c>
    </row>
    <row r="1349" spans="3:11" ht="15" customHeight="1">
      <c r="C1349" s="162">
        <v>45195</v>
      </c>
      <c r="D1349" s="101">
        <v>7102273112</v>
      </c>
      <c r="E1349" s="652" t="s">
        <v>7593</v>
      </c>
      <c r="H1349" s="652" t="s">
        <v>2067</v>
      </c>
      <c r="I1349" s="51" t="s">
        <v>7594</v>
      </c>
      <c r="J1349" s="1966" t="s">
        <v>39</v>
      </c>
    </row>
    <row r="1350" spans="3:11" ht="15" customHeight="1">
      <c r="C1350" s="162">
        <v>45195</v>
      </c>
      <c r="D1350" s="101">
        <v>6206527132</v>
      </c>
      <c r="E1350" s="652" t="s">
        <v>7596</v>
      </c>
      <c r="H1350" s="652" t="s">
        <v>2047</v>
      </c>
      <c r="I1350" s="51" t="s">
        <v>7595</v>
      </c>
      <c r="J1350" s="1967">
        <v>45231</v>
      </c>
    </row>
    <row r="1351" spans="3:11" ht="15" customHeight="1">
      <c r="C1351" s="162">
        <v>45195</v>
      </c>
      <c r="D1351" s="101">
        <v>7209799539</v>
      </c>
      <c r="E1351" s="652" t="s">
        <v>7597</v>
      </c>
      <c r="H1351" s="652" t="s">
        <v>1392</v>
      </c>
      <c r="I1351" s="51" t="s">
        <v>7598</v>
      </c>
      <c r="J1351" s="1967">
        <v>45219</v>
      </c>
    </row>
    <row r="1352" spans="3:11" ht="15" customHeight="1">
      <c r="C1352" s="162">
        <v>45200</v>
      </c>
      <c r="D1352" s="101">
        <v>7004730374</v>
      </c>
      <c r="E1352" s="662" t="s">
        <v>1232</v>
      </c>
      <c r="H1352" s="662" t="s">
        <v>1219</v>
      </c>
      <c r="I1352" s="51" t="s">
        <v>7608</v>
      </c>
      <c r="J1352" t="s">
        <v>507</v>
      </c>
    </row>
    <row r="1353" spans="3:11" ht="15" customHeight="1">
      <c r="C1353" s="162">
        <v>45201</v>
      </c>
      <c r="D1353" s="101">
        <v>7061046675</v>
      </c>
      <c r="E1353" s="663" t="s">
        <v>7609</v>
      </c>
      <c r="H1353" s="663" t="s">
        <v>2071</v>
      </c>
      <c r="I1353" s="51" t="s">
        <v>7611</v>
      </c>
      <c r="J1353" s="686">
        <v>45285</v>
      </c>
    </row>
    <row r="1354" spans="3:11" ht="15" customHeight="1">
      <c r="C1354" s="162">
        <v>45201</v>
      </c>
      <c r="D1354" s="101">
        <v>7463026440</v>
      </c>
      <c r="E1354" s="663" t="s">
        <v>7610</v>
      </c>
      <c r="H1354" s="663" t="s">
        <v>516</v>
      </c>
      <c r="I1354" s="51" t="s">
        <v>7612</v>
      </c>
      <c r="J1354" s="686">
        <v>45249</v>
      </c>
    </row>
    <row r="1355" spans="3:11" ht="15" customHeight="1">
      <c r="C1355" s="162">
        <v>45202</v>
      </c>
      <c r="D1355" s="101">
        <v>9905907179</v>
      </c>
      <c r="E1355" s="665" t="s">
        <v>7613</v>
      </c>
      <c r="H1355" s="663" t="s">
        <v>516</v>
      </c>
      <c r="I1355" s="51" t="s">
        <v>7614</v>
      </c>
      <c r="J1355" s="686">
        <v>45297</v>
      </c>
    </row>
    <row r="1356" spans="3:11" ht="15" customHeight="1">
      <c r="C1356" s="162">
        <v>45206</v>
      </c>
      <c r="E1356" s="669" t="s">
        <v>7618</v>
      </c>
      <c r="F1356" s="669" t="s">
        <v>5558</v>
      </c>
      <c r="G1356" s="1288"/>
      <c r="H1356" s="669" t="s">
        <v>6297</v>
      </c>
      <c r="I1356" s="51" t="s">
        <v>7620</v>
      </c>
      <c r="J1356" s="1968" t="s">
        <v>4073</v>
      </c>
    </row>
    <row r="1357" spans="3:11" ht="15" customHeight="1">
      <c r="C1357" s="162">
        <v>45208</v>
      </c>
      <c r="E1357" s="672" t="s">
        <v>1997</v>
      </c>
      <c r="H1357" s="672" t="s">
        <v>2071</v>
      </c>
      <c r="I1357" t="s">
        <v>7619</v>
      </c>
      <c r="J1357" s="686">
        <v>45252</v>
      </c>
    </row>
    <row r="1358" spans="3:11" ht="15" customHeight="1">
      <c r="C1358" s="162">
        <v>45208</v>
      </c>
      <c r="D1358" s="101">
        <v>9523678169</v>
      </c>
      <c r="E1358" s="672" t="s">
        <v>542</v>
      </c>
      <c r="H1358" s="672" t="s">
        <v>418</v>
      </c>
      <c r="I1358" s="51" t="s">
        <v>7621</v>
      </c>
      <c r="J1358" t="s">
        <v>100</v>
      </c>
      <c r="K1358" s="847" t="s">
        <v>8171</v>
      </c>
    </row>
    <row r="1359" spans="3:11" ht="15" customHeight="1">
      <c r="C1359" s="162">
        <v>45209</v>
      </c>
      <c r="D1359" s="101">
        <v>8434580766</v>
      </c>
      <c r="E1359" s="673" t="s">
        <v>2494</v>
      </c>
      <c r="H1359" s="673" t="s">
        <v>6509</v>
      </c>
      <c r="I1359" s="51" t="s">
        <v>7626</v>
      </c>
      <c r="J1359" s="695" t="s">
        <v>7677</v>
      </c>
    </row>
    <row r="1360" spans="3:11" ht="15" customHeight="1">
      <c r="C1360" s="162">
        <v>45210</v>
      </c>
      <c r="D1360" s="101">
        <v>7808482250</v>
      </c>
      <c r="E1360" s="674" t="s">
        <v>7529</v>
      </c>
      <c r="I1360" s="51" t="s">
        <v>7633</v>
      </c>
      <c r="J1360" s="1966" t="s">
        <v>100</v>
      </c>
      <c r="K1360" t="s">
        <v>8171</v>
      </c>
    </row>
    <row r="1361" spans="3:11" ht="15" customHeight="1">
      <c r="C1361" s="162">
        <v>45215</v>
      </c>
      <c r="D1361" s="101">
        <v>7903045806</v>
      </c>
      <c r="E1361" s="679" t="s">
        <v>7643</v>
      </c>
      <c r="F1361" s="679" t="s">
        <v>5558</v>
      </c>
      <c r="G1361" s="1289"/>
      <c r="H1361" s="679" t="s">
        <v>2983</v>
      </c>
      <c r="I1361" s="51" t="s">
        <v>7642</v>
      </c>
      <c r="J1361" s="1969" t="s">
        <v>507</v>
      </c>
    </row>
    <row r="1362" spans="3:11" ht="15" customHeight="1">
      <c r="C1362" s="162">
        <v>45215</v>
      </c>
      <c r="D1362" s="101">
        <v>9693785442</v>
      </c>
      <c r="E1362" s="681" t="s">
        <v>7644</v>
      </c>
      <c r="H1362" s="681" t="s">
        <v>1392</v>
      </c>
      <c r="I1362" s="51" t="s">
        <v>7645</v>
      </c>
      <c r="J1362" s="1969" t="s">
        <v>507</v>
      </c>
    </row>
    <row r="1363" spans="3:11" ht="15" customHeight="1">
      <c r="C1363" s="162">
        <v>45215</v>
      </c>
      <c r="D1363" s="101">
        <v>9934296289</v>
      </c>
      <c r="E1363" s="681" t="s">
        <v>7646</v>
      </c>
      <c r="H1363" s="681" t="s">
        <v>2071</v>
      </c>
      <c r="I1363" s="51" t="s">
        <v>7647</v>
      </c>
      <c r="J1363" s="1970">
        <v>45285</v>
      </c>
    </row>
    <row r="1364" spans="3:11" ht="15" customHeight="1">
      <c r="C1364" s="162">
        <v>45216</v>
      </c>
      <c r="D1364" s="101">
        <v>6260087756</v>
      </c>
      <c r="E1364" s="512" t="s">
        <v>7251</v>
      </c>
      <c r="H1364" s="682" t="s">
        <v>2067</v>
      </c>
      <c r="I1364" s="51" t="s">
        <v>7650</v>
      </c>
      <c r="J1364" s="1971">
        <v>45238</v>
      </c>
    </row>
    <row r="1365" spans="3:11" ht="15" customHeight="1">
      <c r="C1365" s="162">
        <v>45216</v>
      </c>
      <c r="D1365" s="101">
        <v>7209107572</v>
      </c>
      <c r="E1365" s="682" t="s">
        <v>7648</v>
      </c>
      <c r="H1365" s="682" t="s">
        <v>1275</v>
      </c>
      <c r="I1365" s="51" t="s">
        <v>7649</v>
      </c>
      <c r="J1365" t="s">
        <v>507</v>
      </c>
    </row>
    <row r="1366" spans="3:11" ht="15" customHeight="1">
      <c r="C1366" s="162">
        <v>45216</v>
      </c>
      <c r="D1366" s="101">
        <v>8789773883</v>
      </c>
      <c r="E1366" s="683" t="s">
        <v>7590</v>
      </c>
      <c r="I1366" s="51" t="s">
        <v>7651</v>
      </c>
      <c r="J1366" t="s">
        <v>528</v>
      </c>
    </row>
    <row r="1367" spans="3:11" ht="15" customHeight="1">
      <c r="C1367" s="162">
        <v>45218</v>
      </c>
      <c r="D1367" s="101">
        <v>8210049526</v>
      </c>
      <c r="E1367" s="685" t="s">
        <v>7652</v>
      </c>
      <c r="H1367" s="685" t="s">
        <v>1905</v>
      </c>
      <c r="I1367" s="51" t="s">
        <v>7653</v>
      </c>
      <c r="J1367" s="1972">
        <v>45266</v>
      </c>
    </row>
    <row r="1368" spans="3:11" ht="15" customHeight="1">
      <c r="C1368" s="162">
        <v>45218</v>
      </c>
      <c r="D1368" s="101">
        <v>9234737216</v>
      </c>
      <c r="E1368" s="685" t="s">
        <v>1540</v>
      </c>
      <c r="H1368" s="685" t="s">
        <v>2071</v>
      </c>
      <c r="I1368" s="51" t="s">
        <v>7654</v>
      </c>
      <c r="J1368" s="1973" t="s">
        <v>100</v>
      </c>
      <c r="K1368" s="847" t="s">
        <v>8170</v>
      </c>
    </row>
    <row r="1369" spans="3:11" ht="15" customHeight="1">
      <c r="C1369" s="162">
        <v>45220</v>
      </c>
      <c r="D1369" s="101">
        <v>8986759425</v>
      </c>
      <c r="E1369" s="687" t="s">
        <v>3753</v>
      </c>
      <c r="H1369" s="687" t="s">
        <v>2067</v>
      </c>
      <c r="I1369" s="51" t="s">
        <v>7655</v>
      </c>
      <c r="J1369" s="1974" t="s">
        <v>77</v>
      </c>
    </row>
    <row r="1370" spans="3:11" ht="15" customHeight="1">
      <c r="C1370" s="162">
        <v>45220</v>
      </c>
      <c r="D1370" s="101">
        <v>7903963175</v>
      </c>
      <c r="E1370" s="687" t="s">
        <v>6598</v>
      </c>
      <c r="H1370" s="687" t="s">
        <v>2047</v>
      </c>
      <c r="I1370" s="51" t="s">
        <v>7656</v>
      </c>
      <c r="J1370" s="1974" t="s">
        <v>77</v>
      </c>
    </row>
    <row r="1371" spans="3:11" ht="15" customHeight="1">
      <c r="C1371" s="162">
        <v>45224</v>
      </c>
      <c r="D1371" s="101">
        <v>6206866164</v>
      </c>
      <c r="E1371" s="688" t="s">
        <v>6225</v>
      </c>
      <c r="H1371" s="687" t="s">
        <v>2047</v>
      </c>
      <c r="I1371" s="51" t="s">
        <v>7659</v>
      </c>
      <c r="J1371" s="1972">
        <v>45251</v>
      </c>
    </row>
    <row r="1372" spans="3:11" ht="15" customHeight="1">
      <c r="C1372" s="162">
        <v>45227</v>
      </c>
      <c r="D1372" s="101">
        <v>9470353182</v>
      </c>
      <c r="E1372" s="691" t="s">
        <v>7663</v>
      </c>
      <c r="H1372" s="691" t="s">
        <v>2071</v>
      </c>
      <c r="I1372" s="51" t="s">
        <v>7662</v>
      </c>
      <c r="J1372" s="1975">
        <v>45251</v>
      </c>
    </row>
    <row r="1373" spans="3:11" ht="15" customHeight="1">
      <c r="C1373" s="162">
        <v>45230</v>
      </c>
      <c r="D1373" s="101">
        <v>993484245</v>
      </c>
      <c r="E1373" s="693" t="s">
        <v>3339</v>
      </c>
      <c r="H1373" s="693" t="s">
        <v>1873</v>
      </c>
      <c r="I1373" s="51" t="s">
        <v>7678</v>
      </c>
      <c r="J1373" s="1972">
        <v>45258</v>
      </c>
    </row>
    <row r="1374" spans="3:11" ht="15" customHeight="1">
      <c r="C1374" s="162">
        <v>45231</v>
      </c>
      <c r="D1374" s="101">
        <v>7903512488</v>
      </c>
      <c r="E1374" s="694" t="s">
        <v>7673</v>
      </c>
      <c r="H1374" s="694" t="s">
        <v>1275</v>
      </c>
      <c r="I1374" s="51" t="s">
        <v>7674</v>
      </c>
      <c r="J1374" s="1974" t="s">
        <v>77</v>
      </c>
    </row>
    <row r="1375" spans="3:11" ht="15" customHeight="1">
      <c r="C1375" s="162">
        <v>45231</v>
      </c>
      <c r="D1375" s="101">
        <v>7209148213</v>
      </c>
      <c r="E1375" s="695" t="s">
        <v>7680</v>
      </c>
      <c r="H1375" s="695" t="s">
        <v>7359</v>
      </c>
      <c r="I1375" s="51" t="s">
        <v>7679</v>
      </c>
      <c r="J1375" s="1972">
        <v>45252</v>
      </c>
    </row>
    <row r="1376" spans="3:11" ht="15" customHeight="1">
      <c r="C1376" s="162">
        <v>45232</v>
      </c>
      <c r="E1376" s="696" t="s">
        <v>7579</v>
      </c>
      <c r="H1376" s="696" t="s">
        <v>1541</v>
      </c>
      <c r="I1376" s="51" t="s">
        <v>7681</v>
      </c>
      <c r="J1376" s="718" t="s">
        <v>507</v>
      </c>
    </row>
    <row r="1377" spans="3:11" ht="15" customHeight="1">
      <c r="C1377" s="162">
        <v>45233</v>
      </c>
      <c r="D1377" s="101">
        <v>9798633482</v>
      </c>
      <c r="E1377" s="697" t="s">
        <v>4578</v>
      </c>
      <c r="H1377" s="697" t="s">
        <v>1869</v>
      </c>
      <c r="I1377" s="51" t="s">
        <v>7682</v>
      </c>
      <c r="J1377" s="709" t="s">
        <v>77</v>
      </c>
    </row>
    <row r="1378" spans="3:11" ht="15" customHeight="1">
      <c r="C1378" s="162">
        <v>45233</v>
      </c>
      <c r="D1378" s="101">
        <v>7808482250</v>
      </c>
      <c r="E1378" s="674" t="s">
        <v>7529</v>
      </c>
      <c r="H1378" s="697" t="s">
        <v>2071</v>
      </c>
      <c r="I1378" s="51" t="s">
        <v>7686</v>
      </c>
      <c r="J1378" s="709" t="s">
        <v>77</v>
      </c>
    </row>
    <row r="1379" spans="3:11" ht="15" customHeight="1">
      <c r="C1379" s="162">
        <v>45234</v>
      </c>
      <c r="D1379" s="101">
        <v>9204604413</v>
      </c>
      <c r="E1379" s="699" t="s">
        <v>7691</v>
      </c>
      <c r="H1379" s="699" t="s">
        <v>7692</v>
      </c>
      <c r="I1379" s="51" t="s">
        <v>7690</v>
      </c>
      <c r="J1379" s="1976" t="s">
        <v>507</v>
      </c>
    </row>
    <row r="1380" spans="3:11" ht="15" customHeight="1">
      <c r="C1380" s="162">
        <v>45234</v>
      </c>
      <c r="D1380" s="101">
        <v>7070152832</v>
      </c>
      <c r="E1380" s="700" t="s">
        <v>7693</v>
      </c>
      <c r="H1380" s="700" t="s">
        <v>1383</v>
      </c>
      <c r="I1380" s="51" t="s">
        <v>7694</v>
      </c>
      <c r="J1380" s="95">
        <v>45251</v>
      </c>
    </row>
    <row r="1381" spans="3:11" ht="15" customHeight="1">
      <c r="C1381" s="162">
        <v>45236</v>
      </c>
      <c r="D1381" s="101">
        <v>7070152832</v>
      </c>
      <c r="E1381" s="701" t="s">
        <v>7696</v>
      </c>
      <c r="H1381" s="700" t="s">
        <v>1383</v>
      </c>
      <c r="I1381" t="s">
        <v>7697</v>
      </c>
      <c r="J1381" s="95">
        <v>45251</v>
      </c>
    </row>
    <row r="1382" spans="3:11" ht="15" customHeight="1">
      <c r="C1382" s="162">
        <v>45237</v>
      </c>
      <c r="D1382">
        <v>8709132540</v>
      </c>
      <c r="E1382" s="701" t="s">
        <v>1580</v>
      </c>
      <c r="H1382" s="701" t="s">
        <v>1268</v>
      </c>
      <c r="I1382" s="51" t="s">
        <v>7698</v>
      </c>
      <c r="J1382" s="1977">
        <v>45270</v>
      </c>
    </row>
    <row r="1383" spans="3:11" ht="15" customHeight="1">
      <c r="C1383" s="162">
        <v>45237</v>
      </c>
      <c r="D1383" s="101">
        <v>7739044155</v>
      </c>
      <c r="E1383" s="701" t="s">
        <v>689</v>
      </c>
      <c r="H1383" s="701" t="s">
        <v>2067</v>
      </c>
      <c r="I1383" s="51" t="s">
        <v>7699</v>
      </c>
      <c r="J1383" s="1977">
        <v>45286</v>
      </c>
    </row>
    <row r="1384" spans="3:11" ht="15" customHeight="1">
      <c r="C1384" s="162">
        <v>45239</v>
      </c>
      <c r="D1384" s="101">
        <v>8210141723</v>
      </c>
      <c r="E1384" s="702" t="s">
        <v>2928</v>
      </c>
      <c r="H1384" s="702" t="s">
        <v>1892</v>
      </c>
      <c r="I1384" s="51" t="s">
        <v>7701</v>
      </c>
      <c r="J1384" s="1978" t="s">
        <v>507</v>
      </c>
    </row>
    <row r="1385" spans="3:11" ht="15" customHeight="1">
      <c r="C1385" s="162">
        <v>45244</v>
      </c>
      <c r="E1385" s="703" t="s">
        <v>7579</v>
      </c>
      <c r="H1385" s="703" t="s">
        <v>2071</v>
      </c>
      <c r="I1385" s="51" t="s">
        <v>7705</v>
      </c>
      <c r="J1385" s="1978" t="s">
        <v>507</v>
      </c>
    </row>
    <row r="1386" spans="3:11" ht="15" customHeight="1">
      <c r="C1386" s="162">
        <v>45247</v>
      </c>
      <c r="D1386" s="101">
        <v>6201010041</v>
      </c>
      <c r="E1386" s="704" t="s">
        <v>7708</v>
      </c>
      <c r="H1386" s="704" t="s">
        <v>1355</v>
      </c>
      <c r="I1386" s="51" t="s">
        <v>7707</v>
      </c>
      <c r="J1386" s="1979" t="s">
        <v>507</v>
      </c>
    </row>
    <row r="1387" spans="3:11" ht="15" customHeight="1">
      <c r="C1387" s="162">
        <v>45251</v>
      </c>
      <c r="D1387" s="101">
        <v>9031904558</v>
      </c>
      <c r="E1387" s="708" t="s">
        <v>7713</v>
      </c>
      <c r="H1387" s="708" t="s">
        <v>7382</v>
      </c>
      <c r="I1387" s="51" t="s">
        <v>7712</v>
      </c>
      <c r="J1387" s="713" t="s">
        <v>77</v>
      </c>
    </row>
    <row r="1388" spans="3:11" ht="15" customHeight="1">
      <c r="C1388" s="162">
        <v>45253</v>
      </c>
      <c r="D1388" s="101">
        <v>9835562528</v>
      </c>
      <c r="E1388" s="710" t="s">
        <v>7716</v>
      </c>
      <c r="H1388" s="710" t="s">
        <v>2071</v>
      </c>
      <c r="I1388" s="332" t="s">
        <v>7717</v>
      </c>
      <c r="J1388" s="738" t="s">
        <v>507</v>
      </c>
    </row>
    <row r="1389" spans="3:11" ht="15" customHeight="1">
      <c r="C1389" s="162">
        <v>45256</v>
      </c>
      <c r="D1389" s="101">
        <v>8294022338</v>
      </c>
      <c r="E1389" s="714" t="s">
        <v>7726</v>
      </c>
      <c r="H1389">
        <v>18</v>
      </c>
      <c r="I1389" s="51" t="s">
        <v>7725</v>
      </c>
      <c r="J1389" s="95">
        <v>45295</v>
      </c>
    </row>
    <row r="1390" spans="3:11" ht="15" customHeight="1">
      <c r="C1390" s="162">
        <v>45259</v>
      </c>
      <c r="D1390" s="101">
        <v>9234737216</v>
      </c>
      <c r="E1390" s="685" t="s">
        <v>1540</v>
      </c>
      <c r="H1390" s="685" t="s">
        <v>2071</v>
      </c>
      <c r="I1390" s="51" t="s">
        <v>7730</v>
      </c>
      <c r="J1390" s="95">
        <v>45272</v>
      </c>
    </row>
    <row r="1391" spans="3:11" ht="15" customHeight="1">
      <c r="C1391" s="162">
        <v>45261</v>
      </c>
      <c r="D1391" s="101">
        <v>8210844873</v>
      </c>
      <c r="E1391" s="716" t="s">
        <v>2305</v>
      </c>
      <c r="H1391" s="716" t="s">
        <v>4220</v>
      </c>
      <c r="I1391" s="51" t="s">
        <v>7733</v>
      </c>
      <c r="J1391" s="1979" t="s">
        <v>507</v>
      </c>
    </row>
    <row r="1392" spans="3:11" ht="15" customHeight="1">
      <c r="C1392" s="162">
        <v>45271</v>
      </c>
      <c r="D1392" s="101">
        <v>7991170521</v>
      </c>
      <c r="E1392" s="796" t="s">
        <v>4659</v>
      </c>
      <c r="I1392" s="724" t="s">
        <v>7741</v>
      </c>
      <c r="J1392" s="723" t="s">
        <v>544</v>
      </c>
      <c r="K1392" s="847" t="s">
        <v>6524</v>
      </c>
    </row>
    <row r="1393" spans="3:12" ht="15" customHeight="1">
      <c r="C1393" s="162">
        <v>45271</v>
      </c>
      <c r="D1393" s="101">
        <v>7991170521</v>
      </c>
      <c r="E1393" s="721" t="s">
        <v>4661</v>
      </c>
      <c r="I1393" s="721" t="s">
        <v>7742</v>
      </c>
      <c r="J1393" s="723" t="s">
        <v>544</v>
      </c>
      <c r="K1393" s="847" t="s">
        <v>6524</v>
      </c>
      <c r="L1393" s="25" t="s">
        <v>7802</v>
      </c>
    </row>
    <row r="1394" spans="3:12" ht="15" customHeight="1">
      <c r="C1394" s="162">
        <v>45277</v>
      </c>
      <c r="D1394" s="101">
        <v>7903338353</v>
      </c>
      <c r="E1394" s="726" t="s">
        <v>1984</v>
      </c>
      <c r="I1394" s="51" t="s">
        <v>7751</v>
      </c>
      <c r="J1394" s="1980">
        <v>45316</v>
      </c>
    </row>
    <row r="1395" spans="3:12" ht="15" customHeight="1">
      <c r="C1395" s="162">
        <v>45278</v>
      </c>
      <c r="D1395" s="101">
        <v>6206068897</v>
      </c>
      <c r="E1395" s="728" t="s">
        <v>5377</v>
      </c>
      <c r="H1395" t="s">
        <v>2067</v>
      </c>
      <c r="I1395" s="51" t="s">
        <v>7754</v>
      </c>
      <c r="J1395" s="1981" t="s">
        <v>507</v>
      </c>
    </row>
    <row r="1396" spans="3:12" ht="15" customHeight="1">
      <c r="C1396" s="162">
        <v>45279</v>
      </c>
      <c r="D1396" s="101">
        <v>9546834348</v>
      </c>
      <c r="E1396" s="729" t="s">
        <v>7755</v>
      </c>
      <c r="H1396" t="s">
        <v>2067</v>
      </c>
      <c r="I1396" s="51" t="s">
        <v>7756</v>
      </c>
      <c r="J1396" s="1982">
        <v>45299</v>
      </c>
    </row>
    <row r="1397" spans="3:12" ht="15" customHeight="1">
      <c r="C1397" s="162">
        <v>45281</v>
      </c>
      <c r="D1397" s="101">
        <v>9234590136</v>
      </c>
      <c r="E1397" s="735" t="s">
        <v>7764</v>
      </c>
      <c r="F1397">
        <v>14</v>
      </c>
      <c r="H1397" s="735">
        <v>14</v>
      </c>
      <c r="I1397" s="51" t="s">
        <v>7763</v>
      </c>
      <c r="J1397" s="758" t="s">
        <v>92</v>
      </c>
      <c r="K1397" s="847" t="s">
        <v>8169</v>
      </c>
    </row>
    <row r="1398" spans="3:12" ht="15" customHeight="1">
      <c r="C1398" s="162">
        <v>45281</v>
      </c>
      <c r="D1398" s="101">
        <v>9234737216</v>
      </c>
      <c r="E1398" s="736" t="s">
        <v>7766</v>
      </c>
      <c r="H1398" s="736" t="s">
        <v>2071</v>
      </c>
      <c r="I1398" s="51" t="s">
        <v>7767</v>
      </c>
      <c r="J1398" s="1983">
        <v>45289</v>
      </c>
    </row>
    <row r="1399" spans="3:12" ht="15" customHeight="1">
      <c r="C1399" s="162">
        <v>45283</v>
      </c>
      <c r="D1399" s="101">
        <v>9771269997</v>
      </c>
      <c r="E1399" s="741" t="s">
        <v>7773</v>
      </c>
      <c r="H1399" s="741" t="s">
        <v>2071</v>
      </c>
      <c r="I1399" s="51" t="s">
        <v>7774</v>
      </c>
      <c r="J1399" s="785" t="s">
        <v>100</v>
      </c>
      <c r="K1399" s="780" t="s">
        <v>7959</v>
      </c>
    </row>
    <row r="1400" spans="3:12" ht="15" customHeight="1">
      <c r="C1400" s="162">
        <v>45283</v>
      </c>
      <c r="D1400" s="101">
        <v>8340447064</v>
      </c>
      <c r="E1400" s="741" t="s">
        <v>6005</v>
      </c>
      <c r="H1400" s="741" t="s">
        <v>2071</v>
      </c>
      <c r="I1400" s="51" t="s">
        <v>7777</v>
      </c>
      <c r="J1400" s="95">
        <v>45288</v>
      </c>
    </row>
    <row r="1401" spans="3:12" ht="15" customHeight="1">
      <c r="C1401" s="162">
        <v>45285</v>
      </c>
      <c r="D1401" s="101">
        <v>8789818079</v>
      </c>
      <c r="E1401" s="742" t="s">
        <v>7780</v>
      </c>
      <c r="H1401" s="741" t="s">
        <v>2071</v>
      </c>
      <c r="I1401" s="51" t="s">
        <v>7783</v>
      </c>
      <c r="J1401" s="780" t="s">
        <v>4073</v>
      </c>
    </row>
    <row r="1402" spans="3:12" ht="15" customHeight="1">
      <c r="C1402" s="162">
        <v>45288</v>
      </c>
      <c r="D1402" s="101">
        <v>9431936774</v>
      </c>
      <c r="E1402" s="744" t="s">
        <v>3515</v>
      </c>
      <c r="H1402" s="744" t="s">
        <v>1275</v>
      </c>
      <c r="I1402" s="51" t="s">
        <v>7784</v>
      </c>
      <c r="J1402" s="780" t="s">
        <v>4073</v>
      </c>
    </row>
    <row r="1403" spans="3:12" ht="15" customHeight="1">
      <c r="C1403" s="162">
        <v>45290</v>
      </c>
      <c r="D1403" s="101">
        <v>7488771385</v>
      </c>
      <c r="E1403" s="746" t="s">
        <v>7790</v>
      </c>
      <c r="H1403" s="746" t="s">
        <v>1785</v>
      </c>
      <c r="I1403" s="51" t="s">
        <v>7791</v>
      </c>
      <c r="J1403" s="785" t="s">
        <v>4073</v>
      </c>
    </row>
    <row r="1404" spans="3:12" ht="15" customHeight="1">
      <c r="C1404" s="162">
        <v>45294</v>
      </c>
      <c r="D1404" s="101">
        <v>6204158116</v>
      </c>
      <c r="E1404" s="750" t="s">
        <v>7799</v>
      </c>
      <c r="H1404" s="750" t="s">
        <v>2067</v>
      </c>
      <c r="I1404" s="51" t="s">
        <v>7798</v>
      </c>
      <c r="J1404" s="1980">
        <v>45317</v>
      </c>
    </row>
    <row r="1405" spans="3:12" ht="15" customHeight="1">
      <c r="C1405" s="162">
        <v>45294</v>
      </c>
      <c r="D1405" s="101">
        <v>8709973464</v>
      </c>
      <c r="E1405" s="750" t="s">
        <v>7800</v>
      </c>
      <c r="H1405" s="750" t="s">
        <v>2047</v>
      </c>
      <c r="I1405" s="51" t="s">
        <v>7801</v>
      </c>
      <c r="J1405" s="785" t="s">
        <v>4073</v>
      </c>
    </row>
    <row r="1406" spans="3:12" ht="15" customHeight="1">
      <c r="C1406" s="162">
        <v>45296</v>
      </c>
      <c r="D1406" s="101">
        <v>9031359851</v>
      </c>
      <c r="E1406" s="752" t="s">
        <v>6950</v>
      </c>
      <c r="H1406" s="752" t="s">
        <v>2047</v>
      </c>
      <c r="I1406" s="51" t="s">
        <v>7803</v>
      </c>
      <c r="J1406" s="785" t="s">
        <v>4073</v>
      </c>
    </row>
    <row r="1407" spans="3:12" ht="15" customHeight="1">
      <c r="C1407" s="162">
        <v>45297</v>
      </c>
      <c r="D1407" s="101">
        <v>8797148853</v>
      </c>
      <c r="E1407" s="758" t="s">
        <v>1794</v>
      </c>
      <c r="H1407" s="754" t="s">
        <v>2067</v>
      </c>
      <c r="I1407" s="51" t="s">
        <v>7887</v>
      </c>
      <c r="J1407" s="1980">
        <v>45363</v>
      </c>
    </row>
    <row r="1408" spans="3:12" ht="15" customHeight="1">
      <c r="C1408" s="162">
        <v>45297</v>
      </c>
      <c r="D1408" s="101">
        <v>8252606838</v>
      </c>
      <c r="E1408" s="754" t="s">
        <v>6779</v>
      </c>
      <c r="H1408" s="754" t="s">
        <v>2067</v>
      </c>
      <c r="I1408" s="325" t="s">
        <v>7807</v>
      </c>
      <c r="J1408" s="785" t="s">
        <v>4073</v>
      </c>
    </row>
    <row r="1409" spans="3:11" ht="15" customHeight="1">
      <c r="C1409" s="162">
        <v>45297</v>
      </c>
      <c r="D1409" s="101">
        <v>8252606838</v>
      </c>
      <c r="E1409" s="754" t="s">
        <v>4928</v>
      </c>
      <c r="H1409" s="754" t="s">
        <v>2067</v>
      </c>
      <c r="I1409" s="325" t="s">
        <v>7808</v>
      </c>
      <c r="J1409" s="785" t="s">
        <v>4073</v>
      </c>
    </row>
    <row r="1410" spans="3:11" ht="15" customHeight="1">
      <c r="C1410" s="162">
        <v>45299</v>
      </c>
      <c r="D1410" s="101">
        <v>9162187354</v>
      </c>
      <c r="E1410" s="757" t="s">
        <v>2739</v>
      </c>
      <c r="H1410" s="757" t="s">
        <v>2071</v>
      </c>
      <c r="I1410" s="51" t="s">
        <v>7826</v>
      </c>
      <c r="J1410" s="1980">
        <v>45319</v>
      </c>
    </row>
    <row r="1411" spans="3:11" ht="15" customHeight="1">
      <c r="C1411" s="162">
        <v>45299</v>
      </c>
      <c r="D1411" s="101">
        <v>9939118591</v>
      </c>
      <c r="E1411" s="101" t="s">
        <v>7828</v>
      </c>
      <c r="H1411" s="757" t="s">
        <v>1892</v>
      </c>
      <c r="I1411" s="51" t="s">
        <v>7827</v>
      </c>
      <c r="J1411" s="785" t="s">
        <v>4073</v>
      </c>
      <c r="K1411" s="818" t="s">
        <v>2483</v>
      </c>
    </row>
    <row r="1412" spans="3:11" ht="15" customHeight="1">
      <c r="C1412" s="162">
        <v>45299</v>
      </c>
      <c r="D1412" s="101">
        <v>9939118591</v>
      </c>
      <c r="E1412" t="s">
        <v>7829</v>
      </c>
      <c r="H1412" s="757" t="s">
        <v>1892</v>
      </c>
      <c r="I1412" s="51" t="s">
        <v>7830</v>
      </c>
      <c r="J1412" s="785" t="s">
        <v>4073</v>
      </c>
      <c r="K1412" s="818" t="s">
        <v>2483</v>
      </c>
    </row>
    <row r="1413" spans="3:11" ht="15" customHeight="1">
      <c r="C1413" s="162">
        <v>45299</v>
      </c>
      <c r="D1413" s="101">
        <v>9234469231</v>
      </c>
      <c r="E1413" s="757" t="s">
        <v>7311</v>
      </c>
      <c r="H1413" s="757" t="s">
        <v>7310</v>
      </c>
      <c r="I1413" s="51" t="s">
        <v>7831</v>
      </c>
      <c r="J1413" s="785" t="s">
        <v>4073</v>
      </c>
    </row>
    <row r="1414" spans="3:11" ht="15" customHeight="1">
      <c r="C1414" s="162">
        <v>45299</v>
      </c>
      <c r="D1414" s="101">
        <v>9430745575</v>
      </c>
      <c r="E1414" s="757" t="s">
        <v>6968</v>
      </c>
      <c r="H1414" s="757" t="s">
        <v>2071</v>
      </c>
      <c r="I1414" s="51" t="s">
        <v>7832</v>
      </c>
      <c r="J1414" s="1980">
        <v>45319</v>
      </c>
    </row>
    <row r="1415" spans="3:11" ht="15" customHeight="1">
      <c r="C1415" s="162">
        <v>45300</v>
      </c>
      <c r="D1415" s="101">
        <v>9308401900</v>
      </c>
      <c r="E1415" s="758" t="s">
        <v>7846</v>
      </c>
      <c r="H1415" s="758" t="s">
        <v>1869</v>
      </c>
      <c r="I1415" s="51" t="s">
        <v>7847</v>
      </c>
      <c r="J1415" s="1980">
        <v>45337</v>
      </c>
    </row>
    <row r="1416" spans="3:11" ht="15" customHeight="1">
      <c r="C1416" s="162">
        <v>45300</v>
      </c>
      <c r="D1416" s="101">
        <v>7808812344</v>
      </c>
      <c r="E1416" s="758" t="s">
        <v>133</v>
      </c>
      <c r="H1416" s="758" t="s">
        <v>516</v>
      </c>
      <c r="I1416" s="51" t="s">
        <v>7881</v>
      </c>
      <c r="J1416" s="785" t="s">
        <v>4073</v>
      </c>
    </row>
    <row r="1417" spans="3:11" ht="15" customHeight="1">
      <c r="C1417" s="162">
        <v>45300</v>
      </c>
      <c r="D1417" s="101">
        <v>6207307057</v>
      </c>
      <c r="E1417" s="758" t="s">
        <v>5817</v>
      </c>
      <c r="H1417" s="758" t="s">
        <v>4942</v>
      </c>
      <c r="I1417" s="51" t="s">
        <v>7850</v>
      </c>
      <c r="J1417" s="1980">
        <v>45318</v>
      </c>
    </row>
    <row r="1418" spans="3:11" ht="15" customHeight="1">
      <c r="C1418" s="162">
        <v>45300</v>
      </c>
      <c r="D1418" s="101">
        <v>8235432063</v>
      </c>
      <c r="E1418" s="758" t="s">
        <v>827</v>
      </c>
      <c r="H1418" s="758" t="s">
        <v>6078</v>
      </c>
      <c r="I1418" s="51" t="s">
        <v>7851</v>
      </c>
      <c r="J1418" s="785" t="s">
        <v>4073</v>
      </c>
    </row>
    <row r="1419" spans="3:11" ht="15" customHeight="1">
      <c r="C1419" s="162">
        <v>45300</v>
      </c>
      <c r="D1419" s="101">
        <v>9234590136</v>
      </c>
      <c r="E1419" s="735" t="s">
        <v>7764</v>
      </c>
      <c r="H1419" s="758" t="s">
        <v>1268</v>
      </c>
      <c r="I1419" s="51" t="s">
        <v>7852</v>
      </c>
      <c r="J1419" s="785" t="s">
        <v>4073</v>
      </c>
    </row>
    <row r="1420" spans="3:11" ht="15" customHeight="1">
      <c r="C1420" s="162">
        <v>45300</v>
      </c>
      <c r="D1420" s="101">
        <v>9263683254</v>
      </c>
      <c r="E1420" s="762" t="s">
        <v>2800</v>
      </c>
      <c r="I1420" s="51" t="s">
        <v>7849</v>
      </c>
      <c r="J1420" s="785" t="s">
        <v>4073</v>
      </c>
    </row>
    <row r="1421" spans="3:11" ht="15" customHeight="1">
      <c r="C1421" s="162">
        <v>45301</v>
      </c>
      <c r="D1421" s="101">
        <v>8757459629</v>
      </c>
      <c r="E1421" s="763" t="s">
        <v>7867</v>
      </c>
      <c r="H1421" t="s">
        <v>2067</v>
      </c>
      <c r="I1421" s="51" t="s">
        <v>7868</v>
      </c>
      <c r="J1421" s="785" t="s">
        <v>4073</v>
      </c>
    </row>
    <row r="1422" spans="3:11" ht="15" customHeight="1">
      <c r="C1422" s="162">
        <v>45302</v>
      </c>
      <c r="D1422" s="101">
        <v>8804259165</v>
      </c>
      <c r="E1422" s="765" t="s">
        <v>171</v>
      </c>
      <c r="H1422" t="s">
        <v>2071</v>
      </c>
      <c r="I1422" s="51" t="s">
        <v>7877</v>
      </c>
      <c r="J1422" s="95">
        <v>45698</v>
      </c>
    </row>
    <row r="1423" spans="3:11" ht="15" customHeight="1">
      <c r="C1423" s="162">
        <v>45302</v>
      </c>
      <c r="D1423" s="101">
        <v>9798497166</v>
      </c>
      <c r="E1423" s="765" t="s">
        <v>508</v>
      </c>
      <c r="H1423" t="s">
        <v>2116</v>
      </c>
      <c r="I1423" s="51" t="s">
        <v>7878</v>
      </c>
      <c r="J1423" s="1980">
        <v>45323</v>
      </c>
    </row>
    <row r="1424" spans="3:11" ht="15" customHeight="1">
      <c r="C1424" s="162">
        <v>45304</v>
      </c>
      <c r="D1424" s="101">
        <v>9534213974</v>
      </c>
      <c r="E1424" s="768" t="s">
        <v>7903</v>
      </c>
      <c r="H1424" s="768" t="s">
        <v>7904</v>
      </c>
      <c r="I1424" t="s">
        <v>7902</v>
      </c>
      <c r="J1424" s="1980">
        <v>45320</v>
      </c>
    </row>
    <row r="1425" spans="3:11" ht="15" customHeight="1">
      <c r="C1425" s="162">
        <v>45304</v>
      </c>
      <c r="D1425" s="101">
        <v>7258955835</v>
      </c>
      <c r="E1425" s="768" t="s">
        <v>7905</v>
      </c>
      <c r="H1425" s="768" t="s">
        <v>2067</v>
      </c>
      <c r="I1425" t="s">
        <v>7906</v>
      </c>
      <c r="J1425" s="785" t="s">
        <v>4073</v>
      </c>
    </row>
    <row r="1426" spans="3:11" ht="15" customHeight="1">
      <c r="C1426" s="162">
        <v>45306</v>
      </c>
      <c r="D1426" s="101">
        <v>9334190959</v>
      </c>
      <c r="E1426" s="772" t="s">
        <v>7921</v>
      </c>
      <c r="H1426" s="772" t="s">
        <v>2067</v>
      </c>
      <c r="I1426" s="51" t="s">
        <v>7922</v>
      </c>
      <c r="J1426" s="1980">
        <v>45330</v>
      </c>
    </row>
    <row r="1427" spans="3:11" ht="15" customHeight="1">
      <c r="C1427" s="162">
        <v>45308</v>
      </c>
      <c r="D1427" s="101">
        <v>7482839115</v>
      </c>
      <c r="E1427" s="777" t="s">
        <v>7947</v>
      </c>
      <c r="H1427" s="777" t="s">
        <v>6078</v>
      </c>
      <c r="I1427" s="51" t="s">
        <v>7951</v>
      </c>
      <c r="J1427" s="1980">
        <v>45351</v>
      </c>
    </row>
    <row r="1428" spans="3:11" ht="15" customHeight="1">
      <c r="C1428" s="162">
        <v>45309</v>
      </c>
      <c r="D1428" s="101">
        <v>8804259165</v>
      </c>
      <c r="E1428" s="780" t="s">
        <v>7957</v>
      </c>
      <c r="H1428" s="780" t="s">
        <v>2047</v>
      </c>
      <c r="I1428" s="51" t="s">
        <v>7958</v>
      </c>
      <c r="J1428" s="1980">
        <v>45319</v>
      </c>
    </row>
    <row r="1429" spans="3:11" ht="15" customHeight="1">
      <c r="C1429" s="162">
        <v>45310</v>
      </c>
      <c r="D1429" s="101">
        <v>9162167282</v>
      </c>
      <c r="E1429" s="781" t="s">
        <v>7193</v>
      </c>
      <c r="H1429" s="781" t="s">
        <v>1275</v>
      </c>
      <c r="I1429" s="39" t="s">
        <v>7963</v>
      </c>
      <c r="J1429" s="1984">
        <v>45387</v>
      </c>
    </row>
    <row r="1430" spans="3:11" ht="15" customHeight="1">
      <c r="C1430" s="162">
        <v>45310</v>
      </c>
      <c r="E1430" s="783" t="s">
        <v>7978</v>
      </c>
      <c r="H1430" s="783" t="s">
        <v>2067</v>
      </c>
      <c r="I1430" t="s">
        <v>7977</v>
      </c>
      <c r="J1430" s="95">
        <v>45311</v>
      </c>
    </row>
    <row r="1431" spans="3:11" ht="15" customHeight="1">
      <c r="C1431" s="162">
        <v>45271</v>
      </c>
      <c r="D1431" s="101">
        <v>7991170521</v>
      </c>
      <c r="E1431" s="721" t="s">
        <v>4659</v>
      </c>
      <c r="H1431" t="s">
        <v>1392</v>
      </c>
      <c r="I1431" s="51" t="s">
        <v>8019</v>
      </c>
      <c r="J1431" s="818" t="s">
        <v>100</v>
      </c>
      <c r="K1431" s="818" t="s">
        <v>2483</v>
      </c>
    </row>
    <row r="1432" spans="3:11" ht="15" customHeight="1">
      <c r="C1432" s="162">
        <v>45271</v>
      </c>
      <c r="D1432" s="101">
        <v>7991170521</v>
      </c>
      <c r="E1432" s="721" t="s">
        <v>4661</v>
      </c>
      <c r="H1432" t="s">
        <v>1392</v>
      </c>
      <c r="I1432" s="796" t="s">
        <v>8018</v>
      </c>
      <c r="J1432" s="818" t="s">
        <v>100</v>
      </c>
      <c r="K1432" s="818" t="s">
        <v>2483</v>
      </c>
    </row>
    <row r="1433" spans="3:11" ht="15" customHeight="1">
      <c r="C1433" s="162">
        <v>45313</v>
      </c>
      <c r="D1433" s="101">
        <v>9102787663</v>
      </c>
      <c r="E1433" s="786" t="s">
        <v>2426</v>
      </c>
      <c r="H1433" s="786" t="s">
        <v>2047</v>
      </c>
      <c r="I1433" s="786" t="s">
        <v>7986</v>
      </c>
      <c r="J1433" s="790" t="s">
        <v>507</v>
      </c>
      <c r="K1433" s="818"/>
    </row>
    <row r="1434" spans="3:11" ht="15" customHeight="1">
      <c r="C1434" s="162">
        <v>45316</v>
      </c>
      <c r="D1434" s="101">
        <v>9334053289</v>
      </c>
      <c r="E1434" s="788" t="s">
        <v>242</v>
      </c>
      <c r="H1434" s="788" t="s">
        <v>516</v>
      </c>
      <c r="I1434" s="51" t="s">
        <v>7992</v>
      </c>
      <c r="J1434" s="790" t="s">
        <v>507</v>
      </c>
      <c r="K1434" s="818"/>
    </row>
    <row r="1435" spans="3:11" ht="15" customHeight="1">
      <c r="C1435" s="162">
        <v>45316</v>
      </c>
      <c r="D1435" s="101">
        <v>8235661799</v>
      </c>
      <c r="E1435" s="788" t="s">
        <v>7993</v>
      </c>
      <c r="F1435" s="788" t="s">
        <v>7994</v>
      </c>
      <c r="G1435" s="1290"/>
      <c r="H1435" s="788" t="s">
        <v>7239</v>
      </c>
      <c r="I1435" s="823" t="s">
        <v>7995</v>
      </c>
      <c r="J1435" s="1985">
        <v>45332</v>
      </c>
      <c r="K1435" s="818"/>
    </row>
    <row r="1436" spans="3:11" ht="15" customHeight="1">
      <c r="C1436" s="162">
        <v>45316</v>
      </c>
      <c r="D1436" s="101">
        <v>7033534402</v>
      </c>
      <c r="E1436" s="788" t="s">
        <v>3975</v>
      </c>
      <c r="H1436" s="788" t="s">
        <v>2071</v>
      </c>
      <c r="I1436" s="51" t="s">
        <v>7996</v>
      </c>
      <c r="J1436" t="s">
        <v>4073</v>
      </c>
      <c r="K1436" s="818"/>
    </row>
    <row r="1437" spans="3:11" ht="15" customHeight="1">
      <c r="C1437" s="162">
        <v>45316</v>
      </c>
      <c r="D1437" s="101">
        <v>8092223582</v>
      </c>
      <c r="E1437" s="788" t="s">
        <v>2856</v>
      </c>
      <c r="H1437" s="788" t="s">
        <v>2071</v>
      </c>
      <c r="I1437" s="51" t="s">
        <v>7997</v>
      </c>
      <c r="J1437" t="s">
        <v>4073</v>
      </c>
      <c r="K1437" s="818"/>
    </row>
    <row r="1438" spans="3:11" ht="15" customHeight="1">
      <c r="C1438" s="162">
        <v>45317</v>
      </c>
      <c r="D1438" s="101">
        <v>6206079843</v>
      </c>
      <c r="E1438" s="790" t="s">
        <v>8001</v>
      </c>
      <c r="F1438" s="790" t="s">
        <v>8003</v>
      </c>
      <c r="G1438" s="1291"/>
      <c r="H1438" s="790" t="s">
        <v>8002</v>
      </c>
      <c r="I1438" s="51" t="s">
        <v>8000</v>
      </c>
      <c r="J1438" t="s">
        <v>4073</v>
      </c>
      <c r="K1438" s="818"/>
    </row>
    <row r="1439" spans="3:11" ht="15" customHeight="1">
      <c r="C1439" s="162">
        <v>45317</v>
      </c>
      <c r="D1439" s="101">
        <v>8789801279</v>
      </c>
      <c r="E1439" s="790" t="s">
        <v>7998</v>
      </c>
      <c r="H1439" s="790" t="s">
        <v>1825</v>
      </c>
      <c r="I1439" s="51" t="s">
        <v>8022</v>
      </c>
      <c r="J1439" t="s">
        <v>4073</v>
      </c>
      <c r="K1439" s="818"/>
    </row>
    <row r="1440" spans="3:11" ht="15" customHeight="1">
      <c r="C1440" s="793">
        <v>45318</v>
      </c>
      <c r="D1440" s="101">
        <v>8235235876</v>
      </c>
      <c r="E1440" s="794" t="s">
        <v>1626</v>
      </c>
      <c r="H1440" s="794" t="s">
        <v>8015</v>
      </c>
      <c r="I1440" s="41" t="s">
        <v>8014</v>
      </c>
      <c r="J1440" t="s">
        <v>100</v>
      </c>
      <c r="K1440" s="847" t="s">
        <v>3395</v>
      </c>
    </row>
    <row r="1441" spans="3:12" ht="15" customHeight="1">
      <c r="C1441" s="162">
        <v>45321</v>
      </c>
      <c r="D1441" s="101">
        <v>9508918090</v>
      </c>
      <c r="E1441" s="792" t="s">
        <v>8012</v>
      </c>
      <c r="H1441" s="792" t="s">
        <v>1955</v>
      </c>
      <c r="I1441" s="51" t="s">
        <v>8027</v>
      </c>
      <c r="J1441" s="834">
        <v>45345</v>
      </c>
      <c r="K1441" s="818"/>
    </row>
    <row r="1442" spans="3:12" ht="15" customHeight="1">
      <c r="C1442" s="162">
        <v>45321</v>
      </c>
      <c r="D1442" s="101">
        <v>7488427353</v>
      </c>
      <c r="E1442" s="797" t="s">
        <v>2108</v>
      </c>
      <c r="H1442" s="797" t="s">
        <v>1785</v>
      </c>
      <c r="I1442" s="51" t="s">
        <v>8028</v>
      </c>
      <c r="J1442" s="95">
        <v>45335</v>
      </c>
      <c r="K1442" s="818"/>
    </row>
    <row r="1443" spans="3:12" ht="15" customHeight="1">
      <c r="C1443" s="162">
        <v>45321</v>
      </c>
      <c r="D1443" s="101">
        <v>7488427353</v>
      </c>
      <c r="E1443" s="797" t="s">
        <v>2111</v>
      </c>
      <c r="H1443" s="797" t="s">
        <v>1785</v>
      </c>
      <c r="I1443" s="51" t="s">
        <v>8029</v>
      </c>
      <c r="J1443" s="95">
        <v>45335</v>
      </c>
      <c r="K1443" s="818"/>
    </row>
    <row r="1444" spans="3:12" ht="15" customHeight="1">
      <c r="C1444" s="162">
        <v>45321</v>
      </c>
      <c r="D1444" s="101">
        <v>7488427353</v>
      </c>
      <c r="E1444" s="797" t="s">
        <v>2014</v>
      </c>
      <c r="H1444" s="797" t="s">
        <v>1785</v>
      </c>
      <c r="I1444" s="51" t="s">
        <v>8030</v>
      </c>
      <c r="J1444" s="95">
        <v>45335</v>
      </c>
      <c r="K1444" s="818"/>
    </row>
    <row r="1445" spans="3:12" ht="15" customHeight="1">
      <c r="C1445" s="162">
        <v>45323</v>
      </c>
      <c r="D1445" s="101">
        <v>6200713901</v>
      </c>
      <c r="E1445" s="801" t="s">
        <v>436</v>
      </c>
      <c r="H1445" s="801" t="s">
        <v>516</v>
      </c>
      <c r="I1445" s="51" t="s">
        <v>8046</v>
      </c>
      <c r="J1445" t="s">
        <v>544</v>
      </c>
      <c r="K1445" s="829" t="s">
        <v>8134</v>
      </c>
      <c r="L1445" s="843" t="s">
        <v>7528</v>
      </c>
    </row>
    <row r="1446" spans="3:12" ht="15" customHeight="1">
      <c r="C1446" s="162">
        <v>45323</v>
      </c>
      <c r="D1446" s="101">
        <v>8252606838</v>
      </c>
      <c r="E1446" s="806" t="s">
        <v>2522</v>
      </c>
      <c r="H1446" s="801" t="s">
        <v>2071</v>
      </c>
      <c r="I1446" s="51" t="s">
        <v>8047</v>
      </c>
      <c r="J1446" s="95">
        <v>45340</v>
      </c>
      <c r="K1446" s="818"/>
    </row>
    <row r="1447" spans="3:12" ht="15" customHeight="1">
      <c r="C1447" s="162">
        <v>45323</v>
      </c>
      <c r="D1447" s="101">
        <v>6287287238</v>
      </c>
      <c r="E1447" s="802" t="s">
        <v>8051</v>
      </c>
      <c r="H1447" s="802" t="s">
        <v>5815</v>
      </c>
      <c r="I1447" s="51" t="s">
        <v>8050</v>
      </c>
      <c r="J1447" s="95">
        <v>45348</v>
      </c>
      <c r="K1447" s="818"/>
    </row>
    <row r="1448" spans="3:12" ht="15" customHeight="1">
      <c r="C1448" s="162">
        <v>45323</v>
      </c>
      <c r="D1448" s="101">
        <v>8002967006</v>
      </c>
      <c r="E1448" s="802" t="s">
        <v>6609</v>
      </c>
      <c r="H1448" s="802" t="s">
        <v>4220</v>
      </c>
      <c r="I1448" s="51" t="s">
        <v>8052</v>
      </c>
      <c r="J1448" s="818" t="s">
        <v>4073</v>
      </c>
      <c r="K1448" s="818"/>
    </row>
    <row r="1449" spans="3:12" ht="15" customHeight="1">
      <c r="C1449" s="162">
        <v>45327</v>
      </c>
      <c r="D1449" s="101">
        <v>8873344410</v>
      </c>
      <c r="E1449" s="813" t="s">
        <v>7810</v>
      </c>
      <c r="H1449" s="813" t="s">
        <v>1785</v>
      </c>
      <c r="I1449" s="51" t="s">
        <v>8084</v>
      </c>
      <c r="J1449" s="852" t="s">
        <v>100</v>
      </c>
      <c r="K1449" s="852" t="s">
        <v>3395</v>
      </c>
      <c r="L1449" s="846" t="s">
        <v>5019</v>
      </c>
    </row>
    <row r="1450" spans="3:12" ht="15" customHeight="1">
      <c r="C1450" s="162">
        <v>45327</v>
      </c>
      <c r="D1450" s="101">
        <v>7992210954</v>
      </c>
      <c r="E1450" s="813" t="s">
        <v>6566</v>
      </c>
      <c r="F1450" s="813" t="s">
        <v>3044</v>
      </c>
      <c r="G1450" s="1292"/>
      <c r="H1450" s="813" t="s">
        <v>2996</v>
      </c>
      <c r="I1450" s="51" t="s">
        <v>8085</v>
      </c>
      <c r="J1450" s="844" t="s">
        <v>507</v>
      </c>
    </row>
    <row r="1451" spans="3:12" ht="15" customHeight="1">
      <c r="C1451" s="162">
        <v>45327</v>
      </c>
      <c r="D1451" s="101">
        <v>8294112304</v>
      </c>
      <c r="E1451" s="818" t="s">
        <v>396</v>
      </c>
      <c r="H1451" s="813" t="s">
        <v>2047</v>
      </c>
      <c r="I1451" s="51" t="s">
        <v>8086</v>
      </c>
      <c r="J1451" s="1986">
        <v>45341</v>
      </c>
    </row>
    <row r="1452" spans="3:12" ht="15" customHeight="1">
      <c r="C1452" s="162">
        <v>45329</v>
      </c>
      <c r="D1452" s="101">
        <v>7061886518</v>
      </c>
      <c r="E1452" s="815" t="s">
        <v>1391</v>
      </c>
      <c r="H1452" s="815" t="s">
        <v>1869</v>
      </c>
      <c r="I1452" s="51" t="s">
        <v>8095</v>
      </c>
      <c r="J1452" s="844" t="s">
        <v>507</v>
      </c>
    </row>
    <row r="1453" spans="3:12" ht="15" customHeight="1">
      <c r="C1453" s="162">
        <v>45329</v>
      </c>
      <c r="D1453" s="101">
        <v>9113383254</v>
      </c>
      <c r="E1453" s="816" t="s">
        <v>7896</v>
      </c>
      <c r="F1453" s="816" t="s">
        <v>8101</v>
      </c>
      <c r="G1453" s="1293"/>
      <c r="H1453" s="816" t="s">
        <v>8100</v>
      </c>
      <c r="I1453" s="51" t="s">
        <v>8099</v>
      </c>
      <c r="J1453" s="844" t="s">
        <v>507</v>
      </c>
    </row>
    <row r="1454" spans="3:12" ht="15" customHeight="1">
      <c r="C1454" s="162">
        <v>45329</v>
      </c>
      <c r="D1454" s="101">
        <v>8340264452</v>
      </c>
      <c r="E1454" s="816" t="s">
        <v>8102</v>
      </c>
      <c r="F1454">
        <v>17</v>
      </c>
      <c r="H1454" s="816" t="s">
        <v>8103</v>
      </c>
      <c r="I1454" s="51" t="s">
        <v>8104</v>
      </c>
      <c r="J1454" s="1986">
        <v>45343</v>
      </c>
    </row>
    <row r="1455" spans="3:12" ht="15" customHeight="1">
      <c r="C1455" s="162">
        <v>45329</v>
      </c>
      <c r="D1455" s="101">
        <v>9525172923</v>
      </c>
      <c r="E1455" s="816" t="s">
        <v>8107</v>
      </c>
      <c r="H1455" s="816" t="s">
        <v>2067</v>
      </c>
      <c r="I1455" s="51" t="s">
        <v>8106</v>
      </c>
      <c r="J1455" s="844" t="s">
        <v>507</v>
      </c>
    </row>
    <row r="1456" spans="3:12" ht="15" customHeight="1">
      <c r="C1456" s="162">
        <v>45330</v>
      </c>
      <c r="D1456" s="101">
        <v>9939118591</v>
      </c>
      <c r="E1456" s="101" t="s">
        <v>7828</v>
      </c>
      <c r="H1456" s="757" t="s">
        <v>1892</v>
      </c>
      <c r="I1456" s="51" t="s">
        <v>8112</v>
      </c>
      <c r="J1456" s="1987">
        <v>45362</v>
      </c>
    </row>
    <row r="1457" spans="3:12" ht="15" customHeight="1">
      <c r="C1457" s="162">
        <v>45330</v>
      </c>
      <c r="D1457" s="101">
        <v>9939118591</v>
      </c>
      <c r="E1457" t="s">
        <v>7829</v>
      </c>
      <c r="H1457" s="757" t="s">
        <v>1892</v>
      </c>
      <c r="I1457" s="51" t="s">
        <v>8114</v>
      </c>
      <c r="J1457" s="1987">
        <v>45362</v>
      </c>
    </row>
    <row r="1458" spans="3:12" ht="15" customHeight="1">
      <c r="C1458" s="162">
        <v>45306</v>
      </c>
      <c r="E1458" s="403" t="s">
        <v>8113</v>
      </c>
      <c r="I1458" s="818" t="s">
        <v>7922</v>
      </c>
      <c r="J1458" t="s">
        <v>507</v>
      </c>
    </row>
    <row r="1459" spans="3:12" ht="15" customHeight="1">
      <c r="C1459" s="162">
        <v>45330</v>
      </c>
      <c r="D1459" s="101">
        <v>8235235876</v>
      </c>
      <c r="E1459" s="794" t="s">
        <v>1626</v>
      </c>
      <c r="H1459" t="s">
        <v>8115</v>
      </c>
      <c r="I1459" s="51" t="s">
        <v>8116</v>
      </c>
      <c r="J1459" s="194" t="s">
        <v>100</v>
      </c>
      <c r="K1459" t="s">
        <v>3395</v>
      </c>
    </row>
    <row r="1460" spans="3:12" ht="15" customHeight="1">
      <c r="C1460" s="162">
        <v>45331</v>
      </c>
      <c r="D1460" s="101">
        <v>6203320498</v>
      </c>
      <c r="E1460" s="822" t="s">
        <v>593</v>
      </c>
      <c r="H1460" s="822" t="s">
        <v>6798</v>
      </c>
      <c r="I1460" s="51" t="s">
        <v>8118</v>
      </c>
      <c r="J1460" s="95">
        <v>45381</v>
      </c>
    </row>
    <row r="1461" spans="3:12" ht="15" customHeight="1">
      <c r="C1461" s="162">
        <v>45334</v>
      </c>
      <c r="D1461" s="101">
        <v>8757096258</v>
      </c>
      <c r="E1461" s="826" t="s">
        <v>8125</v>
      </c>
      <c r="H1461" t="s">
        <v>1227</v>
      </c>
      <c r="I1461" s="51" t="s">
        <v>8118</v>
      </c>
      <c r="J1461" t="s">
        <v>507</v>
      </c>
    </row>
    <row r="1462" spans="3:12" ht="15" customHeight="1">
      <c r="C1462" s="162">
        <v>45335</v>
      </c>
      <c r="D1462" s="101">
        <v>9279146258</v>
      </c>
      <c r="E1462" s="829" t="s">
        <v>1122</v>
      </c>
      <c r="H1462" t="s">
        <v>1227</v>
      </c>
      <c r="I1462" s="51" t="s">
        <v>8140</v>
      </c>
      <c r="J1462" t="s">
        <v>507</v>
      </c>
    </row>
    <row r="1463" spans="3:12" ht="15" customHeight="1">
      <c r="C1463" s="162">
        <v>45336</v>
      </c>
      <c r="D1463" s="101">
        <v>9771187615</v>
      </c>
      <c r="E1463" s="831" t="s">
        <v>8143</v>
      </c>
      <c r="H1463" s="831" t="s">
        <v>8144</v>
      </c>
      <c r="I1463" s="51" t="s">
        <v>8142</v>
      </c>
      <c r="J1463" s="95">
        <v>45357</v>
      </c>
    </row>
    <row r="1464" spans="3:12" ht="15" customHeight="1">
      <c r="C1464" s="162">
        <v>45336</v>
      </c>
      <c r="D1464" s="101">
        <v>7991170521</v>
      </c>
      <c r="E1464" s="721" t="s">
        <v>4661</v>
      </c>
      <c r="H1464" s="833" t="s">
        <v>1785</v>
      </c>
      <c r="I1464" s="51" t="s">
        <v>8147</v>
      </c>
      <c r="J1464" t="s">
        <v>507</v>
      </c>
      <c r="L1464">
        <f>90/5*1000</f>
        <v>18000</v>
      </c>
    </row>
    <row r="1465" spans="3:12" ht="15" customHeight="1">
      <c r="C1465" s="162">
        <v>45332</v>
      </c>
      <c r="D1465" s="101">
        <v>7991170521</v>
      </c>
      <c r="E1465" s="721" t="s">
        <v>4659</v>
      </c>
      <c r="H1465" s="833" t="s">
        <v>1785</v>
      </c>
      <c r="I1465" s="51" t="s">
        <v>8148</v>
      </c>
      <c r="J1465" t="s">
        <v>507</v>
      </c>
    </row>
    <row r="1466" spans="3:12" ht="15" customHeight="1">
      <c r="C1466" s="162">
        <v>45337</v>
      </c>
      <c r="D1466" s="101">
        <v>9771349548</v>
      </c>
      <c r="E1466" s="835" t="s">
        <v>7009</v>
      </c>
      <c r="F1466">
        <v>18</v>
      </c>
      <c r="H1466" s="835" t="s">
        <v>1227</v>
      </c>
      <c r="I1466" s="51" t="s">
        <v>8149</v>
      </c>
      <c r="J1466" t="s">
        <v>507</v>
      </c>
    </row>
    <row r="1467" spans="3:12" ht="15" customHeight="1">
      <c r="C1467" s="162">
        <v>45337</v>
      </c>
      <c r="E1467" s="835" t="s">
        <v>8151</v>
      </c>
      <c r="H1467" s="835" t="s">
        <v>2047</v>
      </c>
      <c r="I1467" s="51" t="s">
        <v>8150</v>
      </c>
      <c r="J1467" t="s">
        <v>507</v>
      </c>
    </row>
    <row r="1468" spans="3:12" ht="15" customHeight="1">
      <c r="C1468" s="162">
        <v>45335</v>
      </c>
      <c r="D1468" s="101">
        <v>6200713901</v>
      </c>
      <c r="E1468" s="801" t="s">
        <v>436</v>
      </c>
      <c r="H1468" s="801" t="s">
        <v>516</v>
      </c>
      <c r="I1468" s="51" t="s">
        <v>8411</v>
      </c>
      <c r="J1468" t="s">
        <v>507</v>
      </c>
      <c r="K1468" s="876"/>
    </row>
    <row r="1469" spans="3:12" ht="15" customHeight="1">
      <c r="C1469" s="162">
        <v>45340</v>
      </c>
      <c r="D1469" s="101">
        <v>8235235876</v>
      </c>
      <c r="E1469" s="794" t="s">
        <v>1626</v>
      </c>
      <c r="H1469" t="s">
        <v>8115</v>
      </c>
      <c r="I1469" s="51" t="s">
        <v>8168</v>
      </c>
      <c r="J1469" s="95">
        <v>45351</v>
      </c>
    </row>
    <row r="1470" spans="3:12" ht="15" customHeight="1">
      <c r="C1470" s="162">
        <v>45342</v>
      </c>
      <c r="D1470" s="101">
        <v>9835732850</v>
      </c>
      <c r="E1470" s="850" t="s">
        <v>8176</v>
      </c>
      <c r="H1470" t="s">
        <v>1275</v>
      </c>
      <c r="I1470" s="51" t="s">
        <v>8177</v>
      </c>
      <c r="J1470" s="95">
        <v>45373</v>
      </c>
    </row>
    <row r="1471" spans="3:12" ht="15" customHeight="1">
      <c r="C1471" s="162">
        <v>45342</v>
      </c>
      <c r="D1471" s="101">
        <v>8092422083</v>
      </c>
      <c r="E1471" s="852" t="s">
        <v>2549</v>
      </c>
      <c r="H1471">
        <v>17</v>
      </c>
      <c r="I1471" s="51" t="s">
        <v>8183</v>
      </c>
      <c r="J1471" s="95">
        <v>45373</v>
      </c>
    </row>
    <row r="1472" spans="3:12" ht="15" customHeight="1">
      <c r="C1472" s="162">
        <v>45342</v>
      </c>
      <c r="D1472" s="101">
        <v>8789989372</v>
      </c>
      <c r="E1472" s="852" t="s">
        <v>2918</v>
      </c>
      <c r="H1472">
        <v>18</v>
      </c>
      <c r="I1472" s="51" t="s">
        <v>8184</v>
      </c>
      <c r="J1472" t="s">
        <v>507</v>
      </c>
    </row>
    <row r="1473" spans="3:10" ht="15" customHeight="1">
      <c r="C1473" s="162">
        <v>45342</v>
      </c>
      <c r="D1473" s="101">
        <v>8873344410</v>
      </c>
      <c r="E1473" s="813" t="s">
        <v>7810</v>
      </c>
      <c r="H1473" s="813">
        <v>17</v>
      </c>
      <c r="I1473" s="51" t="s">
        <v>8410</v>
      </c>
      <c r="J1473" t="s">
        <v>507</v>
      </c>
    </row>
    <row r="1474" spans="3:10" ht="15" customHeight="1">
      <c r="C1474" s="162">
        <v>45342</v>
      </c>
      <c r="D1474" s="101">
        <v>8340212503</v>
      </c>
      <c r="E1474" s="853" t="s">
        <v>8186</v>
      </c>
      <c r="H1474" t="s">
        <v>8187</v>
      </c>
      <c r="I1474" s="51" t="s">
        <v>8188</v>
      </c>
      <c r="J1474" t="s">
        <v>2318</v>
      </c>
    </row>
    <row r="1475" spans="3:10" ht="15" customHeight="1">
      <c r="C1475" s="162">
        <v>45342</v>
      </c>
      <c r="D1475" s="101">
        <v>6204100509</v>
      </c>
      <c r="E1475" s="853" t="s">
        <v>8189</v>
      </c>
      <c r="H1475" t="s">
        <v>2268</v>
      </c>
      <c r="I1475" s="51" t="s">
        <v>8190</v>
      </c>
      <c r="J1475" t="s">
        <v>507</v>
      </c>
    </row>
    <row r="1476" spans="3:10" ht="15" customHeight="1">
      <c r="C1476" s="162">
        <v>45344</v>
      </c>
      <c r="D1476" s="101">
        <v>8292199709</v>
      </c>
      <c r="E1476" s="858" t="s">
        <v>7031</v>
      </c>
      <c r="I1476" s="51" t="s">
        <v>8215</v>
      </c>
      <c r="J1476" s="95">
        <v>45372</v>
      </c>
    </row>
    <row r="1477" spans="3:10" ht="15" customHeight="1">
      <c r="C1477" s="162">
        <v>45347</v>
      </c>
      <c r="D1477" s="101">
        <v>9798639367</v>
      </c>
      <c r="E1477" s="862" t="s">
        <v>390</v>
      </c>
      <c r="H1477" t="s">
        <v>2268</v>
      </c>
      <c r="I1477" s="51" t="s">
        <v>8448</v>
      </c>
      <c r="J1477" s="1988" t="s">
        <v>4073</v>
      </c>
    </row>
    <row r="1478" spans="3:10" ht="15" customHeight="1">
      <c r="C1478" s="162">
        <v>45348</v>
      </c>
      <c r="D1478" s="101">
        <v>8521860784</v>
      </c>
      <c r="E1478" s="870" t="s">
        <v>8249</v>
      </c>
      <c r="F1478" s="870" t="s">
        <v>8254</v>
      </c>
      <c r="G1478" s="1294"/>
      <c r="H1478" t="s">
        <v>8250</v>
      </c>
      <c r="I1478" s="51" t="s">
        <v>8253</v>
      </c>
      <c r="J1478" s="95">
        <v>45389</v>
      </c>
    </row>
    <row r="1479" spans="3:10" ht="15" customHeight="1">
      <c r="C1479" s="162">
        <v>45348</v>
      </c>
      <c r="D1479" s="101">
        <v>8102191556</v>
      </c>
      <c r="E1479" s="870" t="s">
        <v>8251</v>
      </c>
      <c r="H1479" t="s">
        <v>6409</v>
      </c>
      <c r="I1479" s="51" t="s">
        <v>8252</v>
      </c>
      <c r="J1479" s="95">
        <v>45399</v>
      </c>
    </row>
    <row r="1480" spans="3:10" ht="15" customHeight="1">
      <c r="C1480" s="162">
        <v>45350</v>
      </c>
      <c r="D1480" s="101">
        <v>8210698924</v>
      </c>
      <c r="E1480" s="873" t="s">
        <v>529</v>
      </c>
      <c r="H1480" t="s">
        <v>2268</v>
      </c>
      <c r="I1480" s="51" t="s">
        <v>8280</v>
      </c>
      <c r="J1480" s="95">
        <v>45404</v>
      </c>
    </row>
    <row r="1481" spans="3:10" ht="15" customHeight="1">
      <c r="C1481" s="162">
        <v>45353</v>
      </c>
      <c r="D1481" s="101">
        <v>7004010034</v>
      </c>
      <c r="E1481" s="880" t="s">
        <v>2369</v>
      </c>
      <c r="I1481" s="51" t="s">
        <v>8295</v>
      </c>
      <c r="J1481" s="95">
        <v>45374</v>
      </c>
    </row>
    <row r="1482" spans="3:10" ht="15" customHeight="1">
      <c r="C1482" s="162">
        <v>45355</v>
      </c>
      <c r="D1482" s="101">
        <v>7061248700</v>
      </c>
      <c r="E1482" s="882" t="s">
        <v>8308</v>
      </c>
      <c r="H1482" t="s">
        <v>8309</v>
      </c>
      <c r="I1482" s="51" t="s">
        <v>8310</v>
      </c>
      <c r="J1482" t="s">
        <v>507</v>
      </c>
    </row>
    <row r="1483" spans="3:10" ht="15" customHeight="1">
      <c r="C1483" s="162">
        <v>45356</v>
      </c>
      <c r="D1483" s="101">
        <v>7903963175</v>
      </c>
      <c r="E1483" s="884" t="s">
        <v>2147</v>
      </c>
      <c r="H1483" s="884" t="s">
        <v>2047</v>
      </c>
      <c r="I1483" s="51" t="s">
        <v>8313</v>
      </c>
      <c r="J1483" s="95">
        <v>45373</v>
      </c>
    </row>
    <row r="1484" spans="3:10" ht="15" customHeight="1">
      <c r="C1484" s="162">
        <v>45358</v>
      </c>
      <c r="D1484" s="101">
        <v>9934538514</v>
      </c>
      <c r="E1484" s="890" t="s">
        <v>5833</v>
      </c>
      <c r="H1484" s="890" t="s">
        <v>8015</v>
      </c>
      <c r="I1484" s="51" t="s">
        <v>8330</v>
      </c>
      <c r="J1484" t="s">
        <v>100</v>
      </c>
    </row>
    <row r="1485" spans="3:10" ht="15" customHeight="1">
      <c r="C1485" s="162">
        <v>45358</v>
      </c>
      <c r="D1485" s="101">
        <v>9608557261</v>
      </c>
      <c r="E1485" s="890" t="s">
        <v>2664</v>
      </c>
      <c r="H1485" s="890" t="s">
        <v>2047</v>
      </c>
      <c r="I1485" s="51" t="s">
        <v>8331</v>
      </c>
      <c r="J1485" t="s">
        <v>507</v>
      </c>
    </row>
    <row r="1486" spans="3:10" ht="15" customHeight="1">
      <c r="C1486" s="162">
        <v>45358</v>
      </c>
      <c r="D1486" s="101">
        <v>9110986830</v>
      </c>
      <c r="E1486" s="890" t="s">
        <v>7008</v>
      </c>
      <c r="F1486" s="890" t="s">
        <v>2047</v>
      </c>
      <c r="G1486" s="1295"/>
      <c r="H1486" s="890" t="s">
        <v>8332</v>
      </c>
      <c r="I1486" s="51" t="s">
        <v>8333</v>
      </c>
      <c r="J1486" s="95">
        <v>45378</v>
      </c>
    </row>
    <row r="1487" spans="3:10" ht="15" customHeight="1">
      <c r="C1487" s="162">
        <v>45364</v>
      </c>
      <c r="D1487" s="101">
        <v>9304623867</v>
      </c>
      <c r="E1487" s="899" t="s">
        <v>8401</v>
      </c>
      <c r="H1487" s="899" t="s">
        <v>2047</v>
      </c>
      <c r="I1487" s="932" t="s">
        <v>8400</v>
      </c>
      <c r="J1487" s="95">
        <v>45395</v>
      </c>
    </row>
    <row r="1488" spans="3:10" ht="15" customHeight="1">
      <c r="C1488" s="162">
        <v>45364</v>
      </c>
      <c r="D1488" s="101">
        <v>9234590348</v>
      </c>
      <c r="E1488" s="899" t="s">
        <v>8405</v>
      </c>
      <c r="F1488">
        <v>18</v>
      </c>
      <c r="H1488" s="902" t="s">
        <v>8413</v>
      </c>
      <c r="I1488" s="51" t="s">
        <v>8412</v>
      </c>
      <c r="J1488" t="s">
        <v>4073</v>
      </c>
    </row>
    <row r="1489" spans="3:10" ht="15" customHeight="1">
      <c r="C1489" s="162">
        <v>45371</v>
      </c>
      <c r="D1489" s="101">
        <v>8709319617</v>
      </c>
      <c r="E1489" s="904" t="s">
        <v>8416</v>
      </c>
      <c r="H1489" s="904" t="s">
        <v>1955</v>
      </c>
      <c r="I1489" s="51" t="s">
        <v>8417</v>
      </c>
      <c r="J1489" t="s">
        <v>8569</v>
      </c>
    </row>
    <row r="1490" spans="3:10" ht="15" customHeight="1">
      <c r="C1490" s="162">
        <v>45372</v>
      </c>
      <c r="D1490" s="101">
        <v>8084695035</v>
      </c>
      <c r="E1490" s="905" t="s">
        <v>8422</v>
      </c>
      <c r="H1490" s="905" t="s">
        <v>1227</v>
      </c>
      <c r="I1490" s="51" t="s">
        <v>8423</v>
      </c>
      <c r="J1490" s="95">
        <v>45393</v>
      </c>
    </row>
    <row r="1491" spans="3:10" ht="15" customHeight="1">
      <c r="C1491" s="162">
        <v>45373</v>
      </c>
      <c r="D1491" s="101">
        <v>8789854621</v>
      </c>
      <c r="E1491" s="909" t="s">
        <v>8426</v>
      </c>
      <c r="H1491" s="909" t="s">
        <v>8427</v>
      </c>
      <c r="I1491" s="51" t="s">
        <v>8428</v>
      </c>
      <c r="J1491" t="s">
        <v>4073</v>
      </c>
    </row>
    <row r="1492" spans="3:10" ht="15" customHeight="1">
      <c r="C1492" s="162">
        <v>45374</v>
      </c>
      <c r="D1492" s="101">
        <v>8789949531</v>
      </c>
      <c r="E1492" s="910" t="s">
        <v>4041</v>
      </c>
      <c r="H1492" s="910" t="s">
        <v>8433</v>
      </c>
      <c r="I1492" s="51" t="s">
        <v>8432</v>
      </c>
      <c r="J1492" t="s">
        <v>4073</v>
      </c>
    </row>
    <row r="1493" spans="3:10" ht="15" customHeight="1">
      <c r="C1493" s="162">
        <v>45380</v>
      </c>
      <c r="D1493" s="101">
        <v>9508918090</v>
      </c>
      <c r="E1493" s="913" t="s">
        <v>4400</v>
      </c>
      <c r="H1493" s="913" t="s">
        <v>1869</v>
      </c>
      <c r="I1493" s="51" t="s">
        <v>8453</v>
      </c>
      <c r="J1493" s="95">
        <v>45395</v>
      </c>
    </row>
    <row r="1494" spans="3:10" ht="15" customHeight="1">
      <c r="C1494" s="162">
        <v>45385</v>
      </c>
      <c r="D1494" s="101">
        <v>8669240858</v>
      </c>
      <c r="E1494" s="916" t="s">
        <v>8467</v>
      </c>
      <c r="H1494" s="916" t="s">
        <v>2775</v>
      </c>
      <c r="I1494" s="51" t="s">
        <v>8466</v>
      </c>
      <c r="J1494" s="947" t="s">
        <v>4073</v>
      </c>
    </row>
    <row r="1495" spans="3:10" ht="15" customHeight="1">
      <c r="C1495" s="162">
        <v>45386</v>
      </c>
      <c r="D1495" s="101">
        <v>8235430400</v>
      </c>
      <c r="E1495" s="917" t="s">
        <v>8470</v>
      </c>
      <c r="H1495" s="917" t="s">
        <v>2366</v>
      </c>
      <c r="I1495" s="51" t="s">
        <v>8471</v>
      </c>
      <c r="J1495" s="1989">
        <v>45409</v>
      </c>
    </row>
    <row r="1496" spans="3:10" ht="15" customHeight="1">
      <c r="C1496" s="162">
        <v>45386</v>
      </c>
      <c r="D1496" s="101">
        <v>9031392582</v>
      </c>
      <c r="E1496" s="917" t="s">
        <v>6942</v>
      </c>
      <c r="H1496" s="917" t="s">
        <v>1438</v>
      </c>
      <c r="I1496" s="51" t="s">
        <v>8472</v>
      </c>
      <c r="J1496" s="1990">
        <v>45413</v>
      </c>
    </row>
    <row r="1497" spans="3:10" ht="15" customHeight="1">
      <c r="C1497" s="162">
        <v>45392</v>
      </c>
      <c r="D1497" s="101">
        <v>8539817668</v>
      </c>
      <c r="E1497" s="926" t="s">
        <v>533</v>
      </c>
      <c r="H1497" s="30" t="s">
        <v>2018</v>
      </c>
      <c r="I1497" s="325" t="s">
        <v>8502</v>
      </c>
      <c r="J1497" s="947" t="s">
        <v>4073</v>
      </c>
    </row>
    <row r="1498" spans="3:10" ht="15" customHeight="1">
      <c r="C1498" s="162">
        <v>45395</v>
      </c>
      <c r="D1498" s="101">
        <v>9334834141</v>
      </c>
      <c r="E1498" s="932" t="s">
        <v>6207</v>
      </c>
      <c r="H1498" s="932" t="s">
        <v>2067</v>
      </c>
      <c r="I1498" s="51" t="s">
        <v>8524</v>
      </c>
      <c r="J1498" s="1990">
        <v>45413</v>
      </c>
    </row>
    <row r="1499" spans="3:10" ht="15" customHeight="1">
      <c r="C1499" s="162">
        <v>45396</v>
      </c>
      <c r="D1499" s="101">
        <v>8797320801</v>
      </c>
      <c r="E1499" s="933" t="s">
        <v>6124</v>
      </c>
      <c r="F1499" s="933" t="s">
        <v>7994</v>
      </c>
      <c r="G1499" s="1296"/>
      <c r="H1499" s="933" t="s">
        <v>7239</v>
      </c>
      <c r="I1499" s="51" t="s">
        <v>8525</v>
      </c>
      <c r="J1499" s="1989">
        <v>45415</v>
      </c>
    </row>
    <row r="1500" spans="3:10" ht="15" customHeight="1">
      <c r="C1500" s="162">
        <v>45399</v>
      </c>
      <c r="D1500" s="101">
        <v>8797286866</v>
      </c>
      <c r="E1500" s="936" t="s">
        <v>8544</v>
      </c>
      <c r="H1500" s="936" t="s">
        <v>2067</v>
      </c>
      <c r="I1500" s="39" t="s">
        <v>8543</v>
      </c>
      <c r="J1500" s="957" t="s">
        <v>507</v>
      </c>
    </row>
    <row r="1501" spans="3:10" ht="15" customHeight="1">
      <c r="C1501" s="162">
        <v>45406</v>
      </c>
      <c r="E1501" s="946" t="s">
        <v>8567</v>
      </c>
      <c r="H1501" s="944" t="s">
        <v>1392</v>
      </c>
      <c r="I1501" s="51" t="s">
        <v>8574</v>
      </c>
      <c r="J1501" s="957" t="s">
        <v>507</v>
      </c>
    </row>
    <row r="1502" spans="3:10" ht="15" customHeight="1">
      <c r="C1502" s="162">
        <v>45407</v>
      </c>
      <c r="D1502" s="101">
        <v>8083198060</v>
      </c>
      <c r="E1502" s="944" t="s">
        <v>8568</v>
      </c>
      <c r="H1502" s="944" t="s">
        <v>2071</v>
      </c>
      <c r="I1502" s="51" t="s">
        <v>8577</v>
      </c>
      <c r="J1502" s="1991">
        <v>45375</v>
      </c>
    </row>
    <row r="1503" spans="3:10" ht="15" customHeight="1">
      <c r="C1503" s="162">
        <v>45407</v>
      </c>
      <c r="D1503" s="101">
        <v>8210573184</v>
      </c>
      <c r="E1503" s="947" t="s">
        <v>8576</v>
      </c>
      <c r="H1503" s="947" t="s">
        <v>2047</v>
      </c>
      <c r="I1503" s="51" t="s">
        <v>8575</v>
      </c>
      <c r="J1503" s="194" t="s">
        <v>100</v>
      </c>
    </row>
    <row r="1504" spans="3:10" ht="15" customHeight="1">
      <c r="C1504" s="162">
        <v>45409</v>
      </c>
      <c r="D1504" s="101">
        <v>8539817668</v>
      </c>
      <c r="E1504" s="926" t="s">
        <v>533</v>
      </c>
      <c r="I1504" s="51" t="s">
        <v>8588</v>
      </c>
      <c r="J1504" t="s">
        <v>507</v>
      </c>
    </row>
    <row r="1505" spans="3:10" ht="15" customHeight="1">
      <c r="C1505" s="162">
        <v>45413</v>
      </c>
      <c r="D1505" s="101">
        <v>9430368326</v>
      </c>
      <c r="E1505" s="952" t="s">
        <v>8595</v>
      </c>
      <c r="H1505" s="952" t="s">
        <v>2071</v>
      </c>
      <c r="I1505" s="51" t="s">
        <v>8594</v>
      </c>
      <c r="J1505" s="194" t="s">
        <v>100</v>
      </c>
    </row>
    <row r="1506" spans="3:10" ht="15" customHeight="1">
      <c r="C1506" s="162">
        <v>45413</v>
      </c>
      <c r="D1506" s="101">
        <v>9931433698</v>
      </c>
      <c r="E1506" s="952" t="s">
        <v>8599</v>
      </c>
      <c r="H1506" s="952" t="s">
        <v>1955</v>
      </c>
      <c r="I1506" s="51" t="s">
        <v>8598</v>
      </c>
      <c r="J1506" s="1992">
        <v>45435</v>
      </c>
    </row>
    <row r="1507" spans="3:10" ht="15" customHeight="1">
      <c r="C1507" s="162">
        <v>45416</v>
      </c>
      <c r="D1507" s="101">
        <v>9102906139</v>
      </c>
      <c r="E1507" s="954" t="s">
        <v>8602</v>
      </c>
      <c r="F1507" s="156" t="s">
        <v>8603</v>
      </c>
      <c r="G1507" s="1274"/>
      <c r="H1507" s="954" t="s">
        <v>1275</v>
      </c>
      <c r="I1507" s="51" t="s">
        <v>8601</v>
      </c>
      <c r="J1507" s="982" t="s">
        <v>2535</v>
      </c>
    </row>
    <row r="1508" spans="3:10" ht="15" customHeight="1">
      <c r="C1508" s="162">
        <v>45416</v>
      </c>
      <c r="D1508" s="101">
        <v>6206343766</v>
      </c>
      <c r="E1508" s="953" t="s">
        <v>2147</v>
      </c>
      <c r="H1508" s="953" t="s">
        <v>1392</v>
      </c>
      <c r="I1508" s="51" t="s">
        <v>8605</v>
      </c>
      <c r="J1508" s="1993">
        <v>45446</v>
      </c>
    </row>
    <row r="1509" spans="3:10" ht="15" customHeight="1">
      <c r="C1509" s="162">
        <v>45419</v>
      </c>
      <c r="E1509" s="957" t="s">
        <v>6993</v>
      </c>
      <c r="H1509" s="957" t="s">
        <v>2071</v>
      </c>
      <c r="I1509" s="51" t="s">
        <v>8620</v>
      </c>
      <c r="J1509" s="194" t="s">
        <v>100</v>
      </c>
    </row>
    <row r="1510" spans="3:10" ht="15" customHeight="1">
      <c r="C1510" s="162">
        <v>45420</v>
      </c>
      <c r="D1510" s="101">
        <v>9771913810</v>
      </c>
      <c r="E1510" s="959" t="s">
        <v>8623</v>
      </c>
      <c r="H1510" s="959" t="s">
        <v>2047</v>
      </c>
      <c r="I1510" s="51" t="s">
        <v>8622</v>
      </c>
      <c r="J1510" s="973" t="s">
        <v>4073</v>
      </c>
    </row>
    <row r="1511" spans="3:10" ht="15" customHeight="1">
      <c r="C1511" s="162">
        <v>45425</v>
      </c>
      <c r="E1511" s="961" t="s">
        <v>7618</v>
      </c>
      <c r="F1511" s="961" t="s">
        <v>5558</v>
      </c>
      <c r="G1511" s="1297"/>
      <c r="H1511" s="961" t="s">
        <v>6297</v>
      </c>
      <c r="I1511" s="51" t="s">
        <v>8645</v>
      </c>
      <c r="J1511" s="979" t="s">
        <v>4073</v>
      </c>
    </row>
    <row r="1512" spans="3:10" ht="15" customHeight="1">
      <c r="C1512" s="162">
        <v>45425</v>
      </c>
      <c r="D1512" s="101">
        <v>9801486421</v>
      </c>
      <c r="E1512" s="961" t="s">
        <v>8646</v>
      </c>
      <c r="H1512" s="961" t="s">
        <v>6906</v>
      </c>
      <c r="I1512" s="51" t="s">
        <v>8647</v>
      </c>
      <c r="J1512" s="1994">
        <v>45450</v>
      </c>
    </row>
    <row r="1513" spans="3:10" ht="15" customHeight="1">
      <c r="C1513" s="162">
        <v>45428</v>
      </c>
      <c r="D1513" s="101">
        <v>9341764587</v>
      </c>
      <c r="E1513" s="966" t="s">
        <v>8686</v>
      </c>
      <c r="H1513" s="966" t="s">
        <v>2067</v>
      </c>
      <c r="I1513" s="995" t="s">
        <v>8685</v>
      </c>
      <c r="J1513" s="973" t="s">
        <v>4073</v>
      </c>
    </row>
    <row r="1514" spans="3:10" ht="15" customHeight="1">
      <c r="C1514" s="162">
        <v>45428</v>
      </c>
      <c r="D1514" s="101">
        <v>9102787663</v>
      </c>
      <c r="E1514" s="966" t="s">
        <v>1567</v>
      </c>
      <c r="H1514" s="966" t="s">
        <v>2047</v>
      </c>
      <c r="I1514" s="51" t="s">
        <v>8687</v>
      </c>
      <c r="J1514" s="982" t="s">
        <v>2535</v>
      </c>
    </row>
    <row r="1515" spans="3:10" ht="15" customHeight="1">
      <c r="C1515" s="162">
        <v>45428</v>
      </c>
      <c r="D1515" s="101">
        <v>9102787663</v>
      </c>
      <c r="E1515" s="966" t="s">
        <v>4465</v>
      </c>
      <c r="H1515" s="966" t="s">
        <v>2047</v>
      </c>
      <c r="I1515" t="s">
        <v>8689</v>
      </c>
      <c r="J1515" s="973" t="s">
        <v>4073</v>
      </c>
    </row>
    <row r="1516" spans="3:10" ht="15" customHeight="1">
      <c r="C1516" s="162">
        <v>45430</v>
      </c>
      <c r="D1516" s="101">
        <v>9835068392</v>
      </c>
      <c r="E1516" s="968" t="s">
        <v>8695</v>
      </c>
      <c r="H1516" s="968" t="s">
        <v>2071</v>
      </c>
      <c r="I1516" s="51" t="s">
        <v>8694</v>
      </c>
      <c r="J1516" s="1994">
        <v>45472</v>
      </c>
    </row>
    <row r="1517" spans="3:10" ht="15" customHeight="1">
      <c r="C1517" s="162">
        <v>45430</v>
      </c>
      <c r="D1517" s="101">
        <v>9708065194</v>
      </c>
      <c r="E1517" s="968" t="s">
        <v>8696</v>
      </c>
      <c r="H1517" s="968" t="s">
        <v>2071</v>
      </c>
      <c r="I1517" s="51" t="s">
        <v>8697</v>
      </c>
      <c r="J1517" s="1994">
        <v>45472</v>
      </c>
    </row>
    <row r="1518" spans="3:10" ht="15" customHeight="1">
      <c r="C1518" s="162">
        <v>45433</v>
      </c>
      <c r="D1518" s="101">
        <v>9470353182</v>
      </c>
      <c r="E1518" s="969" t="s">
        <v>7663</v>
      </c>
      <c r="H1518" s="968" t="s">
        <v>2071</v>
      </c>
      <c r="I1518" s="51" t="s">
        <v>8699</v>
      </c>
      <c r="J1518" s="973" t="s">
        <v>4073</v>
      </c>
    </row>
    <row r="1519" spans="3:10" ht="15" customHeight="1">
      <c r="C1519" s="162">
        <v>45433</v>
      </c>
      <c r="D1519" s="101">
        <v>8873113939</v>
      </c>
      <c r="E1519" s="969" t="s">
        <v>7726</v>
      </c>
      <c r="H1519" s="969" t="s">
        <v>1275</v>
      </c>
      <c r="I1519" s="51" t="s">
        <v>8698</v>
      </c>
      <c r="J1519" s="973" t="s">
        <v>4073</v>
      </c>
    </row>
    <row r="1520" spans="3:10" ht="15" customHeight="1">
      <c r="C1520" s="162">
        <v>45434</v>
      </c>
      <c r="D1520" s="101">
        <v>9835590961</v>
      </c>
      <c r="E1520" s="952" t="s">
        <v>8595</v>
      </c>
      <c r="H1520" s="952" t="s">
        <v>2071</v>
      </c>
      <c r="I1520" s="51" t="s">
        <v>8704</v>
      </c>
      <c r="J1520" s="973" t="s">
        <v>4073</v>
      </c>
    </row>
    <row r="1521" spans="3:11" ht="15" customHeight="1">
      <c r="C1521" s="162">
        <v>45434</v>
      </c>
      <c r="D1521" s="101">
        <v>8210573184</v>
      </c>
      <c r="E1521" s="947" t="s">
        <v>8576</v>
      </c>
      <c r="H1521" s="971" t="s">
        <v>2047</v>
      </c>
      <c r="I1521" s="51" t="s">
        <v>8705</v>
      </c>
      <c r="J1521" s="1995" t="s">
        <v>8808</v>
      </c>
    </row>
    <row r="1522" spans="3:11" ht="15" customHeight="1">
      <c r="C1522" s="162">
        <v>45437</v>
      </c>
      <c r="D1522" s="101">
        <v>7761075066</v>
      </c>
      <c r="E1522" s="975" t="s">
        <v>1183</v>
      </c>
      <c r="H1522" s="977" t="s">
        <v>2071</v>
      </c>
      <c r="I1522" s="51" t="s">
        <v>8718</v>
      </c>
      <c r="J1522" s="1996">
        <v>45461</v>
      </c>
    </row>
    <row r="1523" spans="3:11" ht="15" customHeight="1">
      <c r="C1523" s="162">
        <v>45439</v>
      </c>
      <c r="D1523" s="101">
        <v>6201195600</v>
      </c>
      <c r="E1523" s="977" t="s">
        <v>3864</v>
      </c>
      <c r="H1523" s="977" t="s">
        <v>2047</v>
      </c>
      <c r="I1523" s="51" t="s">
        <v>8725</v>
      </c>
      <c r="J1523" s="1009" t="s">
        <v>8835</v>
      </c>
    </row>
    <row r="1524" spans="3:11" ht="15" customHeight="1">
      <c r="C1524" s="162">
        <v>45439</v>
      </c>
      <c r="D1524" s="101">
        <v>9304297560</v>
      </c>
      <c r="E1524" s="977" t="s">
        <v>7531</v>
      </c>
      <c r="H1524" s="977" t="s">
        <v>6509</v>
      </c>
      <c r="I1524" s="51" t="s">
        <v>8726</v>
      </c>
      <c r="J1524" s="1009" t="s">
        <v>4073</v>
      </c>
    </row>
    <row r="1525" spans="3:11" ht="15" customHeight="1">
      <c r="C1525" s="162">
        <v>45441</v>
      </c>
      <c r="D1525" s="101">
        <v>7737598448</v>
      </c>
      <c r="E1525" s="981" t="s">
        <v>8743</v>
      </c>
      <c r="H1525" s="981" t="s">
        <v>2067</v>
      </c>
      <c r="I1525" s="39" t="s">
        <v>8742</v>
      </c>
      <c r="J1525" s="1997">
        <v>45468</v>
      </c>
    </row>
    <row r="1526" spans="3:11" ht="15" customHeight="1">
      <c r="C1526" s="162">
        <v>45443</v>
      </c>
      <c r="D1526" s="101">
        <v>6299285261</v>
      </c>
      <c r="E1526" s="985" t="s">
        <v>8759</v>
      </c>
      <c r="H1526" s="985" t="s">
        <v>2047</v>
      </c>
      <c r="I1526" s="51" t="s">
        <v>8758</v>
      </c>
      <c r="J1526" s="1009" t="s">
        <v>4073</v>
      </c>
    </row>
    <row r="1527" spans="3:11" ht="15" customHeight="1">
      <c r="C1527" s="162">
        <v>45450</v>
      </c>
      <c r="D1527" s="101">
        <v>7209683727</v>
      </c>
      <c r="E1527" s="994" t="s">
        <v>7493</v>
      </c>
      <c r="H1527" s="994" t="s">
        <v>1869</v>
      </c>
      <c r="I1527" s="51" t="s">
        <v>8792</v>
      </c>
      <c r="J1527" s="1998" t="s">
        <v>528</v>
      </c>
    </row>
    <row r="1528" spans="3:11" ht="15" customHeight="1">
      <c r="C1528" s="162">
        <v>45450</v>
      </c>
      <c r="D1528" s="101">
        <v>7209683727</v>
      </c>
      <c r="E1528" s="994" t="s">
        <v>7417</v>
      </c>
      <c r="H1528" s="994" t="s">
        <v>1869</v>
      </c>
      <c r="I1528" s="51" t="s">
        <v>8793</v>
      </c>
      <c r="J1528" s="1998" t="s">
        <v>528</v>
      </c>
    </row>
    <row r="1529" spans="3:11" ht="15" customHeight="1">
      <c r="C1529" s="162">
        <v>45450</v>
      </c>
      <c r="D1529" s="101">
        <v>6201244918</v>
      </c>
      <c r="E1529" s="994" t="s">
        <v>8795</v>
      </c>
      <c r="H1529" s="998" t="s">
        <v>2067</v>
      </c>
      <c r="I1529" s="51" t="s">
        <v>8794</v>
      </c>
      <c r="J1529" t="s">
        <v>507</v>
      </c>
    </row>
    <row r="1530" spans="3:11" ht="15" customHeight="1">
      <c r="C1530" s="162">
        <v>45452</v>
      </c>
      <c r="D1530" s="101">
        <v>7079786513</v>
      </c>
      <c r="E1530" s="998" t="s">
        <v>8802</v>
      </c>
      <c r="H1530" s="998" t="s">
        <v>8803</v>
      </c>
      <c r="I1530" s="51" t="s">
        <v>8801</v>
      </c>
      <c r="J1530" s="95">
        <v>45488</v>
      </c>
      <c r="K1530">
        <v>1</v>
      </c>
    </row>
    <row r="1531" spans="3:11" ht="15" customHeight="1">
      <c r="C1531" s="162">
        <v>45452</v>
      </c>
      <c r="D1531" s="101">
        <v>7079786513</v>
      </c>
      <c r="E1531" s="998" t="s">
        <v>8805</v>
      </c>
      <c r="H1531" s="998" t="s">
        <v>8803</v>
      </c>
      <c r="I1531" s="51" t="s">
        <v>8804</v>
      </c>
      <c r="J1531" s="95">
        <v>45488</v>
      </c>
    </row>
    <row r="1532" spans="3:11" ht="15" customHeight="1">
      <c r="C1532" s="162">
        <v>45453</v>
      </c>
      <c r="D1532" s="101">
        <v>7903738919</v>
      </c>
      <c r="E1532" s="1000" t="s">
        <v>8807</v>
      </c>
      <c r="H1532" s="1000" t="s">
        <v>2775</v>
      </c>
      <c r="I1532" s="51" t="s">
        <v>8806</v>
      </c>
      <c r="J1532" t="s">
        <v>507</v>
      </c>
    </row>
    <row r="1533" spans="3:11" ht="15" customHeight="1">
      <c r="C1533" s="162">
        <v>45454</v>
      </c>
      <c r="D1533" s="101">
        <v>9113491119</v>
      </c>
      <c r="E1533" s="1001" t="s">
        <v>8810</v>
      </c>
      <c r="H1533" s="1001" t="s">
        <v>8812</v>
      </c>
      <c r="I1533" s="51" t="s">
        <v>8811</v>
      </c>
      <c r="J1533" s="95">
        <v>45473</v>
      </c>
    </row>
    <row r="1534" spans="3:11" ht="15" customHeight="1">
      <c r="C1534" s="162">
        <v>45454</v>
      </c>
      <c r="D1534" s="101">
        <v>9113491119</v>
      </c>
      <c r="E1534" s="1001" t="s">
        <v>8814</v>
      </c>
      <c r="H1534" s="1001" t="s">
        <v>8812</v>
      </c>
      <c r="I1534" s="51" t="s">
        <v>8813</v>
      </c>
      <c r="J1534" s="95">
        <v>45473</v>
      </c>
    </row>
    <row r="1535" spans="3:11" ht="15" customHeight="1">
      <c r="C1535" s="162">
        <v>45457</v>
      </c>
      <c r="D1535" s="101">
        <v>7209950711</v>
      </c>
      <c r="E1535" s="1002" t="s">
        <v>1997</v>
      </c>
      <c r="H1535" s="1002" t="s">
        <v>2071</v>
      </c>
      <c r="I1535" s="51" t="s">
        <v>8816</v>
      </c>
      <c r="J1535" t="s">
        <v>3882</v>
      </c>
    </row>
    <row r="1536" spans="3:11" ht="15" customHeight="1">
      <c r="C1536" s="162">
        <v>45464</v>
      </c>
      <c r="E1536" s="1007" t="s">
        <v>8829</v>
      </c>
      <c r="I1536" s="51" t="s">
        <v>8832</v>
      </c>
      <c r="J1536" s="95">
        <v>45489</v>
      </c>
    </row>
    <row r="1537" spans="3:11" ht="15" customHeight="1">
      <c r="C1537" s="162">
        <v>45464</v>
      </c>
      <c r="E1537" s="1007" t="s">
        <v>8830</v>
      </c>
      <c r="I1537" s="51" t="s">
        <v>8831</v>
      </c>
      <c r="J1537" s="95">
        <v>45489</v>
      </c>
    </row>
    <row r="1538" spans="3:11" ht="15" customHeight="1">
      <c r="C1538" s="162">
        <v>45466</v>
      </c>
      <c r="D1538" s="101">
        <v>9234754675</v>
      </c>
      <c r="E1538" s="1013" t="s">
        <v>8849</v>
      </c>
      <c r="H1538" s="1013" t="s">
        <v>1627</v>
      </c>
      <c r="I1538" s="51" t="s">
        <v>8851</v>
      </c>
      <c r="J1538" s="1999" t="s">
        <v>4073</v>
      </c>
    </row>
    <row r="1539" spans="3:11" ht="15" customHeight="1">
      <c r="C1539" s="162">
        <v>45468</v>
      </c>
      <c r="D1539" s="101">
        <v>7783881172</v>
      </c>
      <c r="E1539" s="1077" t="s">
        <v>9041</v>
      </c>
      <c r="H1539" s="1018" t="s">
        <v>1275</v>
      </c>
      <c r="I1539" s="51" t="s">
        <v>8864</v>
      </c>
      <c r="J1539" s="2000">
        <v>45498</v>
      </c>
    </row>
    <row r="1540" spans="3:11" ht="15" customHeight="1">
      <c r="C1540" s="162">
        <v>45468</v>
      </c>
      <c r="D1540" s="101">
        <v>9234754675</v>
      </c>
      <c r="E1540" s="1013" t="s">
        <v>8849</v>
      </c>
      <c r="H1540" s="1013" t="s">
        <v>1627</v>
      </c>
      <c r="I1540" s="51" t="s">
        <v>8865</v>
      </c>
      <c r="J1540" s="2001" t="s">
        <v>507</v>
      </c>
    </row>
    <row r="1541" spans="3:11" ht="15" customHeight="1">
      <c r="C1541" s="162">
        <v>45469</v>
      </c>
      <c r="D1541" s="1023" t="s">
        <v>8876</v>
      </c>
      <c r="E1541" s="1022" t="s">
        <v>7442</v>
      </c>
      <c r="H1541" s="1022" t="s">
        <v>2071</v>
      </c>
      <c r="I1541" s="51" t="s">
        <v>8875</v>
      </c>
      <c r="J1541" t="s">
        <v>6764</v>
      </c>
    </row>
    <row r="1542" spans="3:11" ht="15" customHeight="1">
      <c r="C1542" s="162">
        <v>45473</v>
      </c>
      <c r="D1542" s="101">
        <v>9304286546</v>
      </c>
      <c r="E1542" s="1027" t="s">
        <v>2147</v>
      </c>
      <c r="H1542" s="1027" t="s">
        <v>2067</v>
      </c>
      <c r="I1542" s="51" t="s">
        <v>8899</v>
      </c>
      <c r="J1542" s="95">
        <v>45490</v>
      </c>
    </row>
    <row r="1543" spans="3:11" ht="15" customHeight="1">
      <c r="C1543" s="162">
        <v>45474</v>
      </c>
      <c r="D1543" s="101">
        <v>8540957678</v>
      </c>
      <c r="E1543" t="s">
        <v>8900</v>
      </c>
      <c r="H1543" s="1028" t="s">
        <v>2067</v>
      </c>
      <c r="I1543" s="51" t="s">
        <v>8995</v>
      </c>
      <c r="J1543" t="s">
        <v>8989</v>
      </c>
    </row>
    <row r="1544" spans="3:11" ht="15" customHeight="1">
      <c r="C1544" s="162">
        <v>46570</v>
      </c>
      <c r="D1544" s="101">
        <v>9304769204</v>
      </c>
      <c r="E1544" s="1028" t="s">
        <v>8901</v>
      </c>
      <c r="H1544">
        <v>17</v>
      </c>
      <c r="I1544" s="51" t="s">
        <v>8902</v>
      </c>
      <c r="J1544" s="95">
        <v>45511</v>
      </c>
    </row>
    <row r="1545" spans="3:11" ht="15" customHeight="1">
      <c r="C1545" s="162">
        <v>45478</v>
      </c>
      <c r="D1545" s="101">
        <v>8210343102</v>
      </c>
      <c r="E1545" s="1033" t="s">
        <v>131</v>
      </c>
      <c r="H1545" s="1033" t="s">
        <v>2116</v>
      </c>
      <c r="I1545" s="51" t="s">
        <v>8922</v>
      </c>
      <c r="J1545" t="s">
        <v>507</v>
      </c>
    </row>
    <row r="1546" spans="3:11" ht="15" customHeight="1">
      <c r="C1546" s="162">
        <v>45479</v>
      </c>
      <c r="D1546" s="101">
        <v>8797829627</v>
      </c>
      <c r="E1546" s="1034" t="s">
        <v>8924</v>
      </c>
      <c r="H1546" s="1034" t="s">
        <v>1275</v>
      </c>
      <c r="I1546" s="51" t="s">
        <v>8923</v>
      </c>
      <c r="J1546" t="s">
        <v>507</v>
      </c>
      <c r="K1546" s="1077" t="s">
        <v>3395</v>
      </c>
    </row>
    <row r="1547" spans="3:11" ht="15" customHeight="1">
      <c r="C1547" s="162">
        <v>45482</v>
      </c>
      <c r="D1547" s="101">
        <v>8292199709</v>
      </c>
      <c r="E1547" s="1036" t="s">
        <v>8925</v>
      </c>
      <c r="H1547" s="1036" t="s">
        <v>8926</v>
      </c>
      <c r="I1547" s="51" t="s">
        <v>8927</v>
      </c>
      <c r="J1547" s="95">
        <v>45497</v>
      </c>
    </row>
    <row r="1548" spans="3:11" ht="15" customHeight="1">
      <c r="C1548" s="162">
        <v>45482</v>
      </c>
      <c r="D1548" s="101">
        <v>6205046483</v>
      </c>
      <c r="E1548" s="1036" t="s">
        <v>8928</v>
      </c>
      <c r="H1548" s="1036" t="s">
        <v>8929</v>
      </c>
      <c r="I1548" s="51" t="s">
        <v>8930</v>
      </c>
      <c r="J1548" s="95">
        <v>45499</v>
      </c>
    </row>
    <row r="1549" spans="3:11" ht="15" customHeight="1">
      <c r="C1549" s="162">
        <v>45482</v>
      </c>
      <c r="D1549" s="101">
        <v>6203875947</v>
      </c>
      <c r="E1549" s="1036" t="s">
        <v>6920</v>
      </c>
      <c r="H1549">
        <v>18</v>
      </c>
      <c r="I1549" s="51" t="s">
        <v>8931</v>
      </c>
      <c r="J1549" t="s">
        <v>8990</v>
      </c>
    </row>
    <row r="1550" spans="3:11" ht="15" customHeight="1">
      <c r="C1550" s="162">
        <v>45482</v>
      </c>
      <c r="D1550" s="101">
        <v>8220068625</v>
      </c>
      <c r="E1550" s="1036" t="s">
        <v>7193</v>
      </c>
      <c r="H1550">
        <v>18</v>
      </c>
      <c r="I1550" s="51" t="s">
        <v>8932</v>
      </c>
      <c r="J1550" s="95">
        <v>45502</v>
      </c>
    </row>
    <row r="1551" spans="3:11" ht="15" customHeight="1">
      <c r="C1551" s="162">
        <v>45485</v>
      </c>
      <c r="D1551" s="101">
        <v>9955470808</v>
      </c>
      <c r="E1551" s="1043" t="s">
        <v>8950</v>
      </c>
      <c r="I1551" s="51" t="s">
        <v>8949</v>
      </c>
      <c r="J1551" s="95">
        <v>45502</v>
      </c>
    </row>
    <row r="1552" spans="3:11" ht="15" customHeight="1">
      <c r="C1552" s="162">
        <v>45487</v>
      </c>
      <c r="D1552" s="101">
        <v>7209615011</v>
      </c>
      <c r="E1552" t="s">
        <v>8963</v>
      </c>
      <c r="H1552" t="s">
        <v>1869</v>
      </c>
      <c r="I1552" s="51" t="s">
        <v>8967</v>
      </c>
      <c r="J1552" s="95">
        <v>45503</v>
      </c>
    </row>
    <row r="1553" spans="3:11" ht="15" customHeight="1">
      <c r="C1553" s="162">
        <v>45487</v>
      </c>
      <c r="D1553" s="101">
        <v>9835159082</v>
      </c>
      <c r="E1553" s="1091" t="s">
        <v>8966</v>
      </c>
      <c r="H1553" s="1046" t="s">
        <v>6409</v>
      </c>
      <c r="I1553" s="51" t="s">
        <v>8965</v>
      </c>
      <c r="J1553" s="1091" t="s">
        <v>507</v>
      </c>
    </row>
    <row r="1554" spans="3:11" ht="15" customHeight="1">
      <c r="C1554" s="162">
        <v>45489</v>
      </c>
      <c r="D1554" s="101">
        <v>6201034499</v>
      </c>
      <c r="E1554" s="1051" t="s">
        <v>8983</v>
      </c>
      <c r="H1554">
        <v>17</v>
      </c>
      <c r="I1554" s="51" t="s">
        <v>8982</v>
      </c>
      <c r="J1554" s="2002">
        <v>45506</v>
      </c>
    </row>
    <row r="1555" spans="3:11" ht="15" customHeight="1">
      <c r="C1555" s="162">
        <v>45489</v>
      </c>
      <c r="D1555" s="1052" t="s">
        <v>209</v>
      </c>
      <c r="E1555" s="1051" t="s">
        <v>8985</v>
      </c>
      <c r="H1555">
        <v>17</v>
      </c>
      <c r="I1555" s="51" t="s">
        <v>8984</v>
      </c>
      <c r="J1555" s="1091" t="s">
        <v>507</v>
      </c>
    </row>
    <row r="1556" spans="3:11" ht="15" customHeight="1">
      <c r="C1556" s="162">
        <v>45491</v>
      </c>
      <c r="E1556" s="1055" t="s">
        <v>8994</v>
      </c>
      <c r="H1556" s="1056" t="s">
        <v>8997</v>
      </c>
      <c r="I1556" s="51" t="s">
        <v>8996</v>
      </c>
      <c r="J1556" s="2003" t="s">
        <v>9060</v>
      </c>
    </row>
    <row r="1557" spans="3:11" ht="15" customHeight="1">
      <c r="C1557" s="162">
        <v>45492</v>
      </c>
      <c r="D1557" s="101">
        <v>8789700341</v>
      </c>
      <c r="E1557" s="1058" t="s">
        <v>2767</v>
      </c>
      <c r="H1557" s="1058" t="s">
        <v>6798</v>
      </c>
      <c r="I1557" s="51" t="s">
        <v>9004</v>
      </c>
      <c r="J1557" s="1095" t="s">
        <v>507</v>
      </c>
    </row>
    <row r="1558" spans="3:11" ht="15" customHeight="1">
      <c r="C1558" s="162">
        <v>45493</v>
      </c>
      <c r="D1558" s="101">
        <v>8092514008</v>
      </c>
      <c r="E1558" s="1059" t="s">
        <v>9015</v>
      </c>
      <c r="H1558" s="1058" t="s">
        <v>6798</v>
      </c>
      <c r="I1558" s="51" t="s">
        <v>9014</v>
      </c>
      <c r="J1558" s="1095" t="s">
        <v>507</v>
      </c>
    </row>
    <row r="1559" spans="3:11" ht="15" customHeight="1">
      <c r="C1559" s="162">
        <v>45494</v>
      </c>
      <c r="D1559" s="101">
        <v>8603663019</v>
      </c>
      <c r="E1559" s="1062" t="s">
        <v>9024</v>
      </c>
      <c r="H1559" s="1062" t="s">
        <v>1869</v>
      </c>
      <c r="I1559" s="51" t="s">
        <v>9025</v>
      </c>
      <c r="J1559" s="1095" t="s">
        <v>507</v>
      </c>
    </row>
    <row r="1560" spans="3:11" ht="15" customHeight="1">
      <c r="C1560" s="162">
        <v>45496</v>
      </c>
      <c r="D1560" s="101">
        <v>7808482250</v>
      </c>
      <c r="E1560" t="s">
        <v>8760</v>
      </c>
      <c r="H1560" s="1075" t="s">
        <v>2071</v>
      </c>
      <c r="I1560" s="51" t="s">
        <v>9040</v>
      </c>
      <c r="J1560" s="1095" t="s">
        <v>507</v>
      </c>
    </row>
    <row r="1561" spans="3:11" ht="15" customHeight="1">
      <c r="C1561" s="162">
        <v>45498</v>
      </c>
      <c r="D1561" s="101">
        <v>6203373637</v>
      </c>
      <c r="E1561" t="s">
        <v>6643</v>
      </c>
      <c r="H1561" s="1077" t="s">
        <v>6409</v>
      </c>
      <c r="I1561" s="51" t="s">
        <v>9045</v>
      </c>
      <c r="J1561" s="1110" t="s">
        <v>39</v>
      </c>
    </row>
    <row r="1562" spans="3:11" ht="15" customHeight="1">
      <c r="C1562" s="162">
        <v>45498</v>
      </c>
      <c r="D1562" s="101">
        <v>8797829627</v>
      </c>
      <c r="E1562" s="1034" t="s">
        <v>8924</v>
      </c>
      <c r="H1562" s="1034" t="s">
        <v>1275</v>
      </c>
      <c r="I1562" s="51" t="s">
        <v>9046</v>
      </c>
      <c r="J1562" s="1091" t="s">
        <v>507</v>
      </c>
    </row>
    <row r="1563" spans="3:11" ht="15" customHeight="1">
      <c r="C1563" s="162">
        <v>45510</v>
      </c>
      <c r="D1563" s="101">
        <v>6204158116</v>
      </c>
      <c r="E1563" s="1095" t="s">
        <v>2086</v>
      </c>
      <c r="H1563" s="1095" t="s">
        <v>2067</v>
      </c>
      <c r="I1563" s="51" t="s">
        <v>9097</v>
      </c>
      <c r="J1563" s="2004" t="s">
        <v>528</v>
      </c>
      <c r="K1563" s="95">
        <v>45536</v>
      </c>
    </row>
    <row r="1564" spans="3:11" ht="15" customHeight="1">
      <c r="C1564" s="162">
        <v>45510</v>
      </c>
      <c r="D1564" s="101">
        <v>9525172923</v>
      </c>
      <c r="E1564" s="1095" t="s">
        <v>8107</v>
      </c>
      <c r="H1564" s="1095" t="s">
        <v>2067</v>
      </c>
      <c r="I1564" s="51" t="s">
        <v>9098</v>
      </c>
      <c r="J1564" s="2005" t="s">
        <v>528</v>
      </c>
      <c r="K1564" s="95">
        <v>45529</v>
      </c>
    </row>
    <row r="1565" spans="3:11" ht="15" customHeight="1">
      <c r="C1565" s="162">
        <v>45512</v>
      </c>
      <c r="D1565" s="101">
        <v>9304749541</v>
      </c>
      <c r="E1565" s="1099" t="s">
        <v>9106</v>
      </c>
      <c r="H1565" s="1099" t="s">
        <v>2096</v>
      </c>
      <c r="I1565" s="51" t="s">
        <v>9107</v>
      </c>
      <c r="J1565" s="1137" t="s">
        <v>507</v>
      </c>
    </row>
    <row r="1566" spans="3:11" ht="15" customHeight="1">
      <c r="C1566" s="162">
        <v>45513</v>
      </c>
      <c r="D1566" s="101">
        <v>6204935582</v>
      </c>
      <c r="E1566" s="1101" t="s">
        <v>9112</v>
      </c>
      <c r="H1566" s="1101" t="s">
        <v>1275</v>
      </c>
      <c r="I1566" s="51" t="s">
        <v>9111</v>
      </c>
      <c r="J1566" s="1137" t="s">
        <v>507</v>
      </c>
    </row>
    <row r="1567" spans="3:11" ht="15" customHeight="1">
      <c r="C1567" s="162">
        <v>45516</v>
      </c>
      <c r="D1567" s="101">
        <v>8434685947</v>
      </c>
      <c r="E1567" s="1106" t="s">
        <v>2038</v>
      </c>
      <c r="H1567" s="1106" t="s">
        <v>2071</v>
      </c>
      <c r="I1567" s="51" t="s">
        <v>9126</v>
      </c>
      <c r="J1567" s="1137" t="s">
        <v>507</v>
      </c>
    </row>
    <row r="1568" spans="3:11" ht="15" customHeight="1">
      <c r="C1568" s="162">
        <v>45519</v>
      </c>
      <c r="D1568" s="101">
        <v>6200713901</v>
      </c>
      <c r="E1568" s="1109" t="s">
        <v>436</v>
      </c>
      <c r="H1568" s="1109" t="s">
        <v>6439</v>
      </c>
      <c r="I1568" s="51" t="s">
        <v>9131</v>
      </c>
      <c r="J1568" s="2006">
        <v>45561</v>
      </c>
    </row>
    <row r="1569" spans="3:20" ht="15" customHeight="1">
      <c r="C1569" s="162">
        <v>45519</v>
      </c>
      <c r="D1569" s="101" t="s">
        <v>324</v>
      </c>
      <c r="E1569" s="1109" t="s">
        <v>4549</v>
      </c>
      <c r="H1569" s="1109" t="s">
        <v>1275</v>
      </c>
      <c r="I1569" s="51" t="s">
        <v>9140</v>
      </c>
      <c r="J1569" s="1137" t="s">
        <v>507</v>
      </c>
    </row>
    <row r="1570" spans="3:20" ht="15" customHeight="1">
      <c r="C1570" s="162">
        <v>45519</v>
      </c>
      <c r="D1570" s="101">
        <v>7541881972</v>
      </c>
      <c r="E1570" s="1109" t="s">
        <v>8898</v>
      </c>
      <c r="H1570" s="1109" t="s">
        <v>2071</v>
      </c>
      <c r="I1570" s="51" t="s">
        <v>9137</v>
      </c>
      <c r="J1570" s="2006">
        <v>45574</v>
      </c>
    </row>
    <row r="1571" spans="3:20" ht="15" customHeight="1">
      <c r="C1571" s="162">
        <v>45519</v>
      </c>
      <c r="D1571" s="101">
        <v>9204410971</v>
      </c>
      <c r="E1571" s="1109" t="s">
        <v>9138</v>
      </c>
      <c r="H1571" s="1109" t="s">
        <v>1392</v>
      </c>
      <c r="I1571" s="51" t="s">
        <v>9139</v>
      </c>
      <c r="J1571" s="1137" t="s">
        <v>507</v>
      </c>
    </row>
    <row r="1572" spans="3:20" ht="15" customHeight="1">
      <c r="C1572" s="162">
        <v>45526</v>
      </c>
      <c r="E1572" s="1115" t="s">
        <v>9152</v>
      </c>
      <c r="H1572" s="1115" t="s">
        <v>2071</v>
      </c>
      <c r="I1572" s="51" t="s">
        <v>9151</v>
      </c>
      <c r="J1572" s="1137" t="s">
        <v>507</v>
      </c>
    </row>
    <row r="1573" spans="3:20" ht="15" customHeight="1">
      <c r="C1573" s="229">
        <v>45532</v>
      </c>
      <c r="D1573" s="225">
        <v>7764037541</v>
      </c>
      <c r="E1573" s="1176" t="s">
        <v>9179</v>
      </c>
      <c r="F1573" s="156"/>
      <c r="G1573" s="1274"/>
      <c r="H1573" s="156">
        <v>17</v>
      </c>
      <c r="I1573" s="232" t="s">
        <v>9178</v>
      </c>
      <c r="J1573" s="2007" t="s">
        <v>507</v>
      </c>
    </row>
    <row r="1574" spans="3:20" ht="15" customHeight="1">
      <c r="C1574" s="162">
        <v>45534</v>
      </c>
      <c r="D1574" s="101">
        <v>7808482250</v>
      </c>
      <c r="E1574" t="s">
        <v>8760</v>
      </c>
      <c r="H1574" s="1127" t="s">
        <v>2071</v>
      </c>
      <c r="I1574" s="51" t="s">
        <v>9181</v>
      </c>
      <c r="J1574" s="2006">
        <v>45567</v>
      </c>
    </row>
    <row r="1575" spans="3:20" ht="15" customHeight="1">
      <c r="C1575" s="162">
        <v>45535</v>
      </c>
      <c r="D1575" s="101">
        <v>7209274279</v>
      </c>
      <c r="E1575" s="1128" t="s">
        <v>9184</v>
      </c>
      <c r="H1575" s="1128" t="s">
        <v>2047</v>
      </c>
      <c r="I1575" s="51" t="s">
        <v>9185</v>
      </c>
      <c r="J1575" s="95">
        <v>45535</v>
      </c>
    </row>
    <row r="1576" spans="3:20" ht="15" customHeight="1">
      <c r="C1576" s="162">
        <v>45535</v>
      </c>
      <c r="D1576" s="101">
        <v>9204442351</v>
      </c>
      <c r="E1576" s="1128" t="s">
        <v>9186</v>
      </c>
      <c r="H1576">
        <v>17</v>
      </c>
      <c r="I1576" s="51" t="s">
        <v>9187</v>
      </c>
      <c r="J1576" s="2006">
        <v>45554</v>
      </c>
    </row>
    <row r="1577" spans="3:20" ht="15" customHeight="1">
      <c r="C1577" s="162">
        <v>45538</v>
      </c>
      <c r="D1577" s="101">
        <v>9431936774</v>
      </c>
      <c r="E1577" s="1134" t="s">
        <v>9198</v>
      </c>
      <c r="H1577">
        <v>18</v>
      </c>
      <c r="I1577" s="51" t="s">
        <v>9197</v>
      </c>
      <c r="J1577" s="1186" t="s">
        <v>507</v>
      </c>
    </row>
    <row r="1578" spans="3:20" ht="15" customHeight="1">
      <c r="C1578" s="162">
        <v>45539</v>
      </c>
      <c r="D1578" s="101">
        <v>9207374613</v>
      </c>
      <c r="E1578" s="1137" t="s">
        <v>9206</v>
      </c>
      <c r="I1578" s="51" t="s">
        <v>9208</v>
      </c>
      <c r="J1578" s="2008">
        <v>45642</v>
      </c>
    </row>
    <row r="1579" spans="3:20" ht="15" customHeight="1">
      <c r="C1579" s="162">
        <v>45539</v>
      </c>
      <c r="D1579" s="101">
        <v>8804259165</v>
      </c>
      <c r="E1579" s="1137" t="s">
        <v>171</v>
      </c>
      <c r="H1579" s="1137" t="s">
        <v>2071</v>
      </c>
      <c r="I1579" s="51" t="s">
        <v>9207</v>
      </c>
      <c r="J1579" s="1186" t="s">
        <v>9390</v>
      </c>
    </row>
    <row r="1580" spans="3:20" ht="15" customHeight="1">
      <c r="C1580" s="162">
        <v>45545</v>
      </c>
      <c r="D1580" s="101">
        <v>7061886518</v>
      </c>
      <c r="E1580" s="1143" t="s">
        <v>1391</v>
      </c>
      <c r="H1580">
        <v>17</v>
      </c>
      <c r="I1580" s="51" t="s">
        <v>9223</v>
      </c>
      <c r="J1580" s="2009">
        <v>45649</v>
      </c>
      <c r="Q1580">
        <v>3.92</v>
      </c>
      <c r="R1580">
        <v>500</v>
      </c>
      <c r="S1580">
        <f>Q1580*R1580</f>
        <v>1960</v>
      </c>
    </row>
    <row r="1581" spans="3:20" ht="15" customHeight="1">
      <c r="C1581" s="162">
        <v>45545</v>
      </c>
      <c r="D1581" s="101">
        <v>7209483044</v>
      </c>
      <c r="E1581" s="1143" t="s">
        <v>6487</v>
      </c>
      <c r="H1581" t="s">
        <v>2071</v>
      </c>
      <c r="I1581" s="51" t="s">
        <v>9222</v>
      </c>
      <c r="J1581" s="2010" t="s">
        <v>528</v>
      </c>
      <c r="Q1581">
        <v>1.9</v>
      </c>
      <c r="R1581">
        <v>500</v>
      </c>
      <c r="S1581">
        <f>Q1581*R1581</f>
        <v>950</v>
      </c>
    </row>
    <row r="1582" spans="3:20" ht="15" customHeight="1">
      <c r="C1582" s="162">
        <v>45545</v>
      </c>
      <c r="D1582" s="101">
        <v>9508987998</v>
      </c>
      <c r="E1582" s="1143" t="s">
        <v>7299</v>
      </c>
      <c r="H1582" t="s">
        <v>6798</v>
      </c>
      <c r="I1582" s="51" t="s">
        <v>9221</v>
      </c>
      <c r="J1582" s="2009">
        <v>45698</v>
      </c>
      <c r="R1582">
        <f>SUM(R1580:R1581)</f>
        <v>1000</v>
      </c>
      <c r="S1582">
        <f>SUM(S1580:S1581)</f>
        <v>2910</v>
      </c>
      <c r="T1582">
        <f>S1582/R1582</f>
        <v>2.91</v>
      </c>
    </row>
    <row r="1583" spans="3:20" ht="15" customHeight="1">
      <c r="C1583" s="162">
        <v>45547</v>
      </c>
      <c r="D1583" s="101">
        <v>9835562528</v>
      </c>
      <c r="E1583" s="1153" t="s">
        <v>9247</v>
      </c>
      <c r="H1583" t="s">
        <v>2071</v>
      </c>
      <c r="I1583" s="51" t="s">
        <v>9229</v>
      </c>
      <c r="J1583" s="1197" t="s">
        <v>507</v>
      </c>
      <c r="Q1583">
        <v>3.9</v>
      </c>
      <c r="R1583">
        <v>1000</v>
      </c>
      <c r="S1583">
        <f>SUM(S1581:S1582)</f>
        <v>3860</v>
      </c>
    </row>
    <row r="1584" spans="3:20" ht="15" customHeight="1">
      <c r="C1584" s="162">
        <v>45547</v>
      </c>
      <c r="D1584" s="101">
        <v>8521504640</v>
      </c>
      <c r="E1584" s="1146" t="s">
        <v>9232</v>
      </c>
      <c r="H1584" s="1146" t="s">
        <v>9234</v>
      </c>
      <c r="I1584" s="51" t="s">
        <v>9233</v>
      </c>
      <c r="J1584" s="2009">
        <v>45595</v>
      </c>
    </row>
    <row r="1585" spans="3:12" ht="15" customHeight="1">
      <c r="C1585" s="162">
        <v>45547</v>
      </c>
      <c r="D1585" s="101">
        <v>9835562528</v>
      </c>
      <c r="E1585" s="1146" t="s">
        <v>7716</v>
      </c>
      <c r="H1585" s="1146" t="s">
        <v>2071</v>
      </c>
      <c r="I1585" s="51" t="s">
        <v>9235</v>
      </c>
      <c r="J1585" s="1197" t="s">
        <v>507</v>
      </c>
    </row>
    <row r="1586" spans="3:12" ht="15" customHeight="1">
      <c r="C1586" s="162">
        <v>45549</v>
      </c>
      <c r="D1586" s="101">
        <v>8340590402</v>
      </c>
      <c r="E1586" s="1151" t="s">
        <v>5074</v>
      </c>
      <c r="H1586">
        <v>18</v>
      </c>
      <c r="I1586" s="51" t="s">
        <v>9241</v>
      </c>
      <c r="J1586" s="1197" t="s">
        <v>507</v>
      </c>
    </row>
    <row r="1587" spans="3:12" ht="15" customHeight="1">
      <c r="C1587" s="162">
        <v>45549</v>
      </c>
      <c r="D1587" s="101">
        <v>9334248482</v>
      </c>
      <c r="E1587" s="1151" t="s">
        <v>7256</v>
      </c>
      <c r="H1587" t="s">
        <v>2067</v>
      </c>
      <c r="I1587" s="51" t="s">
        <v>9242</v>
      </c>
      <c r="J1587" s="1197" t="s">
        <v>507</v>
      </c>
    </row>
    <row r="1588" spans="3:12" ht="15" customHeight="1">
      <c r="C1588" s="162">
        <v>45549</v>
      </c>
      <c r="D1588" s="101">
        <v>9155210736</v>
      </c>
      <c r="E1588" s="1152" t="s">
        <v>9245</v>
      </c>
      <c r="H1588" t="s">
        <v>9244</v>
      </c>
      <c r="I1588" s="51" t="s">
        <v>9243</v>
      </c>
      <c r="J1588" s="2011" t="s">
        <v>528</v>
      </c>
      <c r="K1588" s="95">
        <v>45598</v>
      </c>
    </row>
    <row r="1589" spans="3:12" ht="15" customHeight="1">
      <c r="C1589" s="162">
        <v>45549</v>
      </c>
      <c r="D1589" s="101">
        <v>9334212730</v>
      </c>
      <c r="E1589" s="1152" t="s">
        <v>7191</v>
      </c>
      <c r="H1589" t="s">
        <v>9244</v>
      </c>
      <c r="I1589" s="51" t="s">
        <v>9246</v>
      </c>
      <c r="J1589" s="1197" t="s">
        <v>507</v>
      </c>
    </row>
    <row r="1590" spans="3:12" ht="15" customHeight="1">
      <c r="C1590" s="162">
        <v>45554</v>
      </c>
      <c r="D1590" s="101">
        <v>9110059572</v>
      </c>
      <c r="E1590" s="1158" t="s">
        <v>9268</v>
      </c>
      <c r="H1590" s="1158" t="s">
        <v>7239</v>
      </c>
      <c r="I1590" s="51" t="s">
        <v>9267</v>
      </c>
      <c r="J1590" s="1197" t="s">
        <v>507</v>
      </c>
    </row>
    <row r="1591" spans="3:12" ht="15" customHeight="1">
      <c r="C1591" s="162">
        <v>45554</v>
      </c>
      <c r="D1591" s="101">
        <v>6203337682</v>
      </c>
      <c r="E1591" s="1158" t="s">
        <v>9270</v>
      </c>
      <c r="H1591" s="1158" t="s">
        <v>1591</v>
      </c>
      <c r="I1591" s="51" t="s">
        <v>9269</v>
      </c>
      <c r="J1591" s="1197" t="s">
        <v>507</v>
      </c>
    </row>
    <row r="1592" spans="3:12" ht="15" customHeight="1">
      <c r="C1592" s="162">
        <v>45556</v>
      </c>
      <c r="D1592" s="101">
        <v>6290248925</v>
      </c>
      <c r="E1592" s="1161" t="s">
        <v>9281</v>
      </c>
      <c r="H1592" s="1161" t="s">
        <v>2047</v>
      </c>
      <c r="I1592" s="51" t="s">
        <v>9280</v>
      </c>
      <c r="J1592" s="2006">
        <v>45565</v>
      </c>
    </row>
    <row r="1593" spans="3:12" ht="15" customHeight="1">
      <c r="C1593" s="162">
        <v>45556</v>
      </c>
      <c r="D1593" s="101">
        <v>7209772218</v>
      </c>
      <c r="E1593" s="1162" t="s">
        <v>9285</v>
      </c>
      <c r="H1593" s="1162" t="s">
        <v>1275</v>
      </c>
      <c r="I1593" t="s">
        <v>9286</v>
      </c>
      <c r="J1593" s="1197" t="s">
        <v>507</v>
      </c>
      <c r="K1593" s="95">
        <v>45656</v>
      </c>
      <c r="L1593" t="s">
        <v>6364</v>
      </c>
    </row>
    <row r="1594" spans="3:12" ht="15" customHeight="1">
      <c r="C1594" s="162">
        <v>45556</v>
      </c>
      <c r="D1594" s="101">
        <v>7209772218</v>
      </c>
      <c r="E1594" s="1162" t="s">
        <v>9284</v>
      </c>
      <c r="H1594" s="1162" t="s">
        <v>1275</v>
      </c>
      <c r="I1594" s="51" t="s">
        <v>9287</v>
      </c>
      <c r="J1594" s="1197" t="s">
        <v>507</v>
      </c>
      <c r="K1594" s="95">
        <v>45656</v>
      </c>
      <c r="L1594" t="s">
        <v>6364</v>
      </c>
    </row>
    <row r="1595" spans="3:12" ht="15" customHeight="1">
      <c r="C1595" s="162">
        <v>45556</v>
      </c>
      <c r="D1595" s="101">
        <v>7209611927</v>
      </c>
      <c r="E1595" s="1164" t="s">
        <v>7708</v>
      </c>
      <c r="F1595" s="1164" t="s">
        <v>9294</v>
      </c>
      <c r="G1595" s="1298"/>
      <c r="H1595">
        <v>18</v>
      </c>
      <c r="I1595" s="51" t="s">
        <v>9293</v>
      </c>
      <c r="J1595" s="2012" t="s">
        <v>39</v>
      </c>
      <c r="K1595" s="95">
        <v>45605</v>
      </c>
    </row>
    <row r="1596" spans="3:12" ht="15" customHeight="1">
      <c r="C1596" s="162">
        <v>45556</v>
      </c>
      <c r="D1596" s="101">
        <v>8851450525</v>
      </c>
      <c r="E1596" s="1164" t="s">
        <v>9295</v>
      </c>
      <c r="H1596">
        <v>17</v>
      </c>
      <c r="I1596" s="51" t="s">
        <v>9296</v>
      </c>
      <c r="J1596" t="s">
        <v>507</v>
      </c>
    </row>
    <row r="1597" spans="3:12" ht="15" customHeight="1">
      <c r="C1597" s="162">
        <v>45557</v>
      </c>
      <c r="D1597" s="101">
        <v>9661916107</v>
      </c>
      <c r="E1597" s="1166" t="s">
        <v>6598</v>
      </c>
      <c r="H1597" s="1166" t="s">
        <v>2047</v>
      </c>
      <c r="I1597" s="51" t="s">
        <v>9302</v>
      </c>
      <c r="J1597" t="s">
        <v>507</v>
      </c>
    </row>
    <row r="1598" spans="3:12" ht="15" customHeight="1">
      <c r="C1598" s="162">
        <v>45562</v>
      </c>
      <c r="D1598" s="101">
        <v>8092441015</v>
      </c>
      <c r="E1598" s="1172" t="s">
        <v>9323</v>
      </c>
      <c r="H1598" s="1172" t="s">
        <v>2067</v>
      </c>
      <c r="I1598" s="51" t="s">
        <v>9322</v>
      </c>
      <c r="J1598" t="s">
        <v>100</v>
      </c>
      <c r="K1598" s="1197" t="s">
        <v>9435</v>
      </c>
    </row>
    <row r="1599" spans="3:12" ht="15" customHeight="1">
      <c r="C1599" s="162">
        <v>45562</v>
      </c>
      <c r="D1599" s="101">
        <v>9204421668</v>
      </c>
      <c r="E1599" s="1172" t="s">
        <v>9324</v>
      </c>
      <c r="H1599">
        <v>17</v>
      </c>
      <c r="I1599" s="51" t="s">
        <v>9325</v>
      </c>
      <c r="J1599" t="s">
        <v>507</v>
      </c>
    </row>
    <row r="1600" spans="3:12" ht="15" customHeight="1">
      <c r="C1600" s="162">
        <v>45562</v>
      </c>
      <c r="D1600" s="101">
        <v>7209807805</v>
      </c>
      <c r="E1600" s="1172" t="s">
        <v>9327</v>
      </c>
      <c r="H1600">
        <v>17</v>
      </c>
      <c r="I1600" s="51" t="s">
        <v>9326</v>
      </c>
      <c r="J1600" t="s">
        <v>507</v>
      </c>
    </row>
    <row r="1601" spans="3:11" ht="15" customHeight="1">
      <c r="C1601" s="162">
        <v>45562</v>
      </c>
      <c r="D1601" s="101">
        <v>9835134920</v>
      </c>
      <c r="E1601" s="1173" t="s">
        <v>2089</v>
      </c>
      <c r="H1601" s="1173" t="s">
        <v>2076</v>
      </c>
      <c r="I1601" s="51" t="s">
        <v>9333</v>
      </c>
      <c r="J1601" s="95">
        <v>45614</v>
      </c>
    </row>
    <row r="1602" spans="3:11" ht="15" customHeight="1">
      <c r="C1602" s="162">
        <v>45563</v>
      </c>
      <c r="D1602" s="101">
        <v>8709506312</v>
      </c>
      <c r="E1602" s="1174" t="s">
        <v>9340</v>
      </c>
      <c r="H1602" s="1174" t="s">
        <v>9341</v>
      </c>
      <c r="I1602" s="51" t="s">
        <v>9339</v>
      </c>
      <c r="J1602" s="95">
        <v>45572</v>
      </c>
    </row>
    <row r="1603" spans="3:11" ht="15" customHeight="1">
      <c r="C1603" s="162">
        <v>45563</v>
      </c>
      <c r="D1603" s="101">
        <v>7209442958</v>
      </c>
      <c r="E1603" s="1174" t="s">
        <v>7799</v>
      </c>
      <c r="H1603" s="1174" t="s">
        <v>2067</v>
      </c>
      <c r="I1603" s="51" t="s">
        <v>9343</v>
      </c>
      <c r="J1603" s="194" t="s">
        <v>100</v>
      </c>
      <c r="K1603" s="1197" t="s">
        <v>9435</v>
      </c>
    </row>
    <row r="1604" spans="3:11" ht="15" customHeight="1">
      <c r="C1604" s="162">
        <v>45565</v>
      </c>
      <c r="D1604" s="101">
        <v>7764037541</v>
      </c>
      <c r="E1604" s="1178" t="s">
        <v>9179</v>
      </c>
      <c r="H1604">
        <v>17</v>
      </c>
      <c r="I1604" s="51" t="s">
        <v>9354</v>
      </c>
      <c r="J1604" t="s">
        <v>507</v>
      </c>
    </row>
    <row r="1605" spans="3:11" ht="15" customHeight="1">
      <c r="C1605" s="162">
        <v>45565</v>
      </c>
      <c r="D1605" s="101">
        <v>6209025812</v>
      </c>
      <c r="E1605" s="1177" t="s">
        <v>9356</v>
      </c>
      <c r="H1605" t="s">
        <v>9357</v>
      </c>
      <c r="I1605" s="51" t="s">
        <v>9355</v>
      </c>
      <c r="J1605" s="95">
        <v>45586</v>
      </c>
    </row>
    <row r="1606" spans="3:11" ht="15" customHeight="1">
      <c r="C1606" s="162">
        <v>45569</v>
      </c>
      <c r="D1606" s="101">
        <v>6204897974</v>
      </c>
      <c r="E1606" s="1182" t="s">
        <v>9373</v>
      </c>
      <c r="H1606" s="1182" t="s">
        <v>2067</v>
      </c>
      <c r="I1606" s="51" t="s">
        <v>9372</v>
      </c>
      <c r="J1606" s="1205" t="s">
        <v>507</v>
      </c>
    </row>
    <row r="1607" spans="3:11" ht="15" customHeight="1">
      <c r="C1607" s="162">
        <v>45571</v>
      </c>
      <c r="D1607" s="101">
        <v>9113752973</v>
      </c>
      <c r="E1607" s="1183" t="s">
        <v>9374</v>
      </c>
      <c r="H1607" s="1183" t="s">
        <v>1869</v>
      </c>
      <c r="I1607" s="51" t="s">
        <v>9375</v>
      </c>
      <c r="J1607" s="2013">
        <v>45612</v>
      </c>
    </row>
    <row r="1608" spans="3:11" ht="15" customHeight="1">
      <c r="C1608" s="162">
        <v>45571</v>
      </c>
      <c r="D1608" s="101">
        <v>8102191556</v>
      </c>
      <c r="E1608" s="1183" t="s">
        <v>8251</v>
      </c>
      <c r="H1608" s="1183" t="s">
        <v>2071</v>
      </c>
      <c r="I1608" s="51" t="s">
        <v>9376</v>
      </c>
      <c r="J1608" s="1224" t="s">
        <v>39</v>
      </c>
      <c r="K1608" s="95">
        <v>45601</v>
      </c>
    </row>
    <row r="1609" spans="3:11" ht="15" customHeight="1">
      <c r="C1609" s="162">
        <v>45572</v>
      </c>
      <c r="D1609" s="101">
        <v>9006324129</v>
      </c>
      <c r="E1609" s="1184" t="s">
        <v>9378</v>
      </c>
      <c r="H1609" s="1184" t="s">
        <v>2067</v>
      </c>
      <c r="I1609" s="51" t="s">
        <v>9377</v>
      </c>
      <c r="J1609" s="1205" t="s">
        <v>507</v>
      </c>
    </row>
    <row r="1610" spans="3:11" ht="15" customHeight="1">
      <c r="C1610" s="162">
        <v>45575</v>
      </c>
      <c r="D1610" s="101">
        <v>8092422083</v>
      </c>
      <c r="E1610" s="1185" t="s">
        <v>9380</v>
      </c>
      <c r="H1610" s="1185" t="s">
        <v>1869</v>
      </c>
      <c r="I1610" s="51" t="s">
        <v>9379</v>
      </c>
      <c r="J1610" s="194" t="s">
        <v>100</v>
      </c>
    </row>
    <row r="1611" spans="3:11" ht="15" customHeight="1">
      <c r="C1611" s="162">
        <v>45579</v>
      </c>
      <c r="D1611" s="101">
        <v>8084017957</v>
      </c>
      <c r="E1611" s="1186" t="s">
        <v>2807</v>
      </c>
      <c r="H1611" s="1186" t="s">
        <v>1219</v>
      </c>
      <c r="I1611" s="51" t="s">
        <v>9388</v>
      </c>
      <c r="J1611" s="95">
        <v>45600</v>
      </c>
    </row>
    <row r="1612" spans="3:11" ht="15" customHeight="1">
      <c r="C1612" s="162">
        <v>45579</v>
      </c>
      <c r="D1612" s="101">
        <v>9234275335</v>
      </c>
      <c r="E1612" s="1186" t="s">
        <v>593</v>
      </c>
      <c r="H1612" s="1186" t="s">
        <v>2067</v>
      </c>
      <c r="I1612" s="51" t="s">
        <v>9389</v>
      </c>
      <c r="J1612" t="s">
        <v>507</v>
      </c>
    </row>
    <row r="1613" spans="3:11" ht="15" customHeight="1">
      <c r="C1613" s="162">
        <v>45581</v>
      </c>
      <c r="D1613" s="101">
        <v>9031989585</v>
      </c>
      <c r="E1613" s="1191" t="s">
        <v>9402</v>
      </c>
      <c r="H1613" s="1191" t="s">
        <v>2071</v>
      </c>
      <c r="I1613" s="332" t="s">
        <v>9408</v>
      </c>
      <c r="J1613" t="s">
        <v>507</v>
      </c>
    </row>
    <row r="1614" spans="3:11" ht="15" customHeight="1">
      <c r="C1614" s="162">
        <v>45582</v>
      </c>
      <c r="D1614" s="101">
        <v>9031989585</v>
      </c>
      <c r="E1614" s="1191" t="s">
        <v>9403</v>
      </c>
      <c r="H1614" s="1191" t="s">
        <v>2071</v>
      </c>
      <c r="I1614" s="51" t="s">
        <v>9409</v>
      </c>
      <c r="J1614" t="s">
        <v>507</v>
      </c>
    </row>
    <row r="1615" spans="3:11" ht="15" customHeight="1">
      <c r="C1615" s="162">
        <v>45582</v>
      </c>
      <c r="D1615" s="101">
        <v>8986640405</v>
      </c>
      <c r="E1615" s="1191" t="s">
        <v>9404</v>
      </c>
      <c r="H1615" s="1191" t="s">
        <v>2047</v>
      </c>
      <c r="I1615" s="51" t="s">
        <v>9410</v>
      </c>
      <c r="J1615" s="95">
        <v>45598</v>
      </c>
    </row>
    <row r="1616" spans="3:11" ht="15" customHeight="1">
      <c r="C1616" s="162">
        <v>45584</v>
      </c>
      <c r="D1616" s="101">
        <v>9771187615</v>
      </c>
      <c r="E1616" s="1195" t="s">
        <v>9427</v>
      </c>
      <c r="F1616" s="1195" t="s">
        <v>8015</v>
      </c>
      <c r="G1616" s="1299"/>
      <c r="H1616" s="51" t="s">
        <v>8144</v>
      </c>
      <c r="I1616" s="51" t="s">
        <v>9428</v>
      </c>
      <c r="J1616" s="2014">
        <v>45613</v>
      </c>
    </row>
    <row r="1617" spans="3:11" ht="15" customHeight="1">
      <c r="C1617" s="162">
        <v>45585</v>
      </c>
      <c r="D1617" s="101">
        <v>9661504263</v>
      </c>
      <c r="E1617" s="1198" t="s">
        <v>4928</v>
      </c>
      <c r="H1617" s="1198" t="s">
        <v>1347</v>
      </c>
      <c r="I1617" s="51" t="s">
        <v>9442</v>
      </c>
      <c r="J1617" s="1211" t="s">
        <v>507</v>
      </c>
    </row>
    <row r="1618" spans="3:11" ht="15" customHeight="1">
      <c r="C1618" s="162">
        <v>45587</v>
      </c>
      <c r="D1618" s="101">
        <v>9334618285</v>
      </c>
      <c r="E1618" s="1200" t="s">
        <v>9440</v>
      </c>
      <c r="H1618" s="1198" t="s">
        <v>1347</v>
      </c>
      <c r="I1618" t="s">
        <v>9441</v>
      </c>
      <c r="J1618" s="1211" t="s">
        <v>507</v>
      </c>
    </row>
    <row r="1619" spans="3:11" ht="15" customHeight="1">
      <c r="C1619" s="162">
        <v>45588</v>
      </c>
      <c r="D1619" s="101">
        <v>8092441015</v>
      </c>
      <c r="E1619" s="1201" t="s">
        <v>9323</v>
      </c>
      <c r="I1619" s="51" t="s">
        <v>9443</v>
      </c>
      <c r="J1619" s="1211" t="s">
        <v>507</v>
      </c>
    </row>
    <row r="1620" spans="3:11" ht="15" customHeight="1">
      <c r="C1620" s="162">
        <v>45588</v>
      </c>
      <c r="E1620" s="1202" t="s">
        <v>1626</v>
      </c>
      <c r="H1620" s="1202" t="s">
        <v>1627</v>
      </c>
      <c r="I1620" s="51" t="s">
        <v>9444</v>
      </c>
      <c r="J1620" s="95">
        <v>45603</v>
      </c>
    </row>
    <row r="1621" spans="3:11" ht="15" customHeight="1">
      <c r="C1621" s="162">
        <v>45590</v>
      </c>
      <c r="D1621" s="17" t="s">
        <v>2107</v>
      </c>
      <c r="E1621" s="1208" t="s">
        <v>2108</v>
      </c>
      <c r="H1621" s="1208" t="s">
        <v>1785</v>
      </c>
      <c r="I1621" s="51" t="s">
        <v>9452</v>
      </c>
      <c r="J1621" s="1211" t="s">
        <v>507</v>
      </c>
    </row>
    <row r="1622" spans="3:11" ht="15" customHeight="1">
      <c r="C1622" s="162">
        <v>45590</v>
      </c>
      <c r="D1622" s="17" t="s">
        <v>2107</v>
      </c>
      <c r="E1622" s="1208" t="s">
        <v>2111</v>
      </c>
      <c r="H1622" s="1208" t="s">
        <v>1785</v>
      </c>
      <c r="I1622" s="51" t="s">
        <v>9453</v>
      </c>
      <c r="J1622" s="1211" t="s">
        <v>507</v>
      </c>
    </row>
    <row r="1623" spans="3:11" ht="15" customHeight="1">
      <c r="C1623" s="162">
        <v>45591</v>
      </c>
      <c r="D1623" s="101">
        <v>8797467889</v>
      </c>
      <c r="E1623" s="1209" t="s">
        <v>9455</v>
      </c>
      <c r="H1623" s="1209" t="s">
        <v>1275</v>
      </c>
      <c r="I1623" s="51" t="s">
        <v>9454</v>
      </c>
      <c r="J1623" s="1238" t="s">
        <v>39</v>
      </c>
      <c r="K1623" s="1232"/>
    </row>
    <row r="1624" spans="3:11" ht="15" customHeight="1">
      <c r="C1624" s="162">
        <v>45592</v>
      </c>
      <c r="D1624" s="101">
        <v>9263683254</v>
      </c>
      <c r="E1624" s="1212" t="s">
        <v>2800</v>
      </c>
      <c r="H1624" s="1212" t="s">
        <v>1825</v>
      </c>
      <c r="I1624" s="51" t="s">
        <v>9467</v>
      </c>
      <c r="J1624" s="2015" t="s">
        <v>507</v>
      </c>
    </row>
    <row r="1625" spans="3:11" ht="15" customHeight="1">
      <c r="C1625" s="162">
        <v>45594</v>
      </c>
      <c r="D1625" s="101">
        <v>9835562528</v>
      </c>
      <c r="E1625" s="1214" t="s">
        <v>9472</v>
      </c>
      <c r="H1625" t="s">
        <v>2071</v>
      </c>
      <c r="I1625" s="51" t="s">
        <v>9471</v>
      </c>
      <c r="J1625" s="2016">
        <v>45722</v>
      </c>
    </row>
    <row r="1626" spans="3:11" ht="15" customHeight="1">
      <c r="C1626" s="162">
        <v>45595</v>
      </c>
      <c r="D1626" s="101">
        <v>9546892202</v>
      </c>
      <c r="E1626" s="1216" t="s">
        <v>9475</v>
      </c>
      <c r="H1626" s="1216" t="s">
        <v>2071</v>
      </c>
      <c r="I1626" s="51" t="s">
        <v>9476</v>
      </c>
      <c r="J1626" s="2015" t="s">
        <v>507</v>
      </c>
    </row>
    <row r="1627" spans="3:11" ht="15" customHeight="1">
      <c r="C1627" s="162">
        <v>45595</v>
      </c>
      <c r="D1627" s="101">
        <v>9162187354</v>
      </c>
      <c r="E1627" s="1216" t="s">
        <v>6968</v>
      </c>
      <c r="H1627" s="1216" t="s">
        <v>2071</v>
      </c>
      <c r="I1627" s="51" t="s">
        <v>9478</v>
      </c>
      <c r="J1627" s="1251" t="s">
        <v>39</v>
      </c>
      <c r="K1627" s="95">
        <v>45627</v>
      </c>
    </row>
    <row r="1628" spans="3:11" ht="15" customHeight="1">
      <c r="C1628" s="162">
        <v>45595</v>
      </c>
      <c r="D1628" s="101">
        <v>9162187354</v>
      </c>
      <c r="E1628" s="1216" t="s">
        <v>7187</v>
      </c>
      <c r="H1628" s="1216" t="s">
        <v>2071</v>
      </c>
      <c r="I1628" s="51" t="s">
        <v>9477</v>
      </c>
      <c r="J1628" s="194" t="s">
        <v>100</v>
      </c>
    </row>
    <row r="1629" spans="3:11" ht="15" customHeight="1">
      <c r="C1629" s="162">
        <v>45595</v>
      </c>
      <c r="D1629" s="101">
        <v>9589737210</v>
      </c>
      <c r="E1629" s="1216" t="s">
        <v>9272</v>
      </c>
      <c r="H1629" s="1216" t="s">
        <v>5878</v>
      </c>
      <c r="I1629" s="51" t="s">
        <v>9479</v>
      </c>
      <c r="J1629" s="2017" t="s">
        <v>507</v>
      </c>
    </row>
    <row r="1630" spans="3:11" ht="15" customHeight="1">
      <c r="C1630" s="162">
        <v>45601</v>
      </c>
      <c r="D1630" s="101">
        <v>9031785291</v>
      </c>
      <c r="E1630" s="1224" t="s">
        <v>8176</v>
      </c>
      <c r="H1630" s="1224" t="s">
        <v>1275</v>
      </c>
      <c r="I1630" s="51" t="s">
        <v>9489</v>
      </c>
      <c r="J1630" s="2017" t="s">
        <v>507</v>
      </c>
    </row>
    <row r="1631" spans="3:11" ht="15" customHeight="1">
      <c r="C1631" s="162">
        <v>45606</v>
      </c>
      <c r="D1631" s="101">
        <v>6206866164</v>
      </c>
      <c r="E1631" s="1226" t="s">
        <v>6225</v>
      </c>
      <c r="H1631" s="1226" t="s">
        <v>1602</v>
      </c>
      <c r="I1631" s="51" t="s">
        <v>9498</v>
      </c>
      <c r="J1631" s="2018">
        <v>45660</v>
      </c>
    </row>
    <row r="1632" spans="3:11" ht="15" customHeight="1">
      <c r="C1632" s="162">
        <v>45610</v>
      </c>
      <c r="D1632" s="101">
        <v>8797946237</v>
      </c>
      <c r="E1632" s="51" t="s">
        <v>9500</v>
      </c>
      <c r="H1632" s="1228" t="s">
        <v>1227</v>
      </c>
      <c r="I1632" s="51" t="s">
        <v>9501</v>
      </c>
      <c r="J1632" s="2017" t="s">
        <v>507</v>
      </c>
    </row>
    <row r="1633" spans="3:11" ht="15" customHeight="1">
      <c r="C1633" s="162">
        <v>45610</v>
      </c>
      <c r="D1633" s="403">
        <v>9234871249</v>
      </c>
      <c r="E1633" s="1228" t="s">
        <v>9502</v>
      </c>
      <c r="H1633" s="1228" t="s">
        <v>1392</v>
      </c>
      <c r="I1633" s="51" t="s">
        <v>9503</v>
      </c>
      <c r="J1633" s="2017" t="s">
        <v>507</v>
      </c>
    </row>
    <row r="1634" spans="3:11" ht="15" customHeight="1">
      <c r="C1634" s="162">
        <v>45610</v>
      </c>
      <c r="D1634" s="101">
        <v>7488349243</v>
      </c>
      <c r="E1634" s="1228" t="s">
        <v>9505</v>
      </c>
      <c r="H1634" s="1228" t="s">
        <v>2696</v>
      </c>
      <c r="I1634" s="51" t="s">
        <v>9504</v>
      </c>
      <c r="J1634" s="1241" t="s">
        <v>39</v>
      </c>
      <c r="K1634" s="95">
        <v>45622</v>
      </c>
    </row>
    <row r="1635" spans="3:11" ht="15" customHeight="1">
      <c r="C1635" s="162">
        <v>45610</v>
      </c>
      <c r="D1635" s="101">
        <v>9279148380</v>
      </c>
      <c r="E1635" s="1228" t="s">
        <v>3753</v>
      </c>
      <c r="H1635" s="1228" t="s">
        <v>9510</v>
      </c>
      <c r="I1635" s="51" t="s">
        <v>9509</v>
      </c>
      <c r="J1635" s="2019" t="s">
        <v>507</v>
      </c>
    </row>
    <row r="1636" spans="3:11" ht="15" customHeight="1">
      <c r="C1636" s="162">
        <v>45610</v>
      </c>
      <c r="D1636" s="101">
        <v>8083198060</v>
      </c>
      <c r="E1636" s="1228" t="s">
        <v>8568</v>
      </c>
      <c r="H1636" s="1228" t="s">
        <v>2071</v>
      </c>
      <c r="I1636" s="51" t="s">
        <v>9511</v>
      </c>
      <c r="J1636" s="2019" t="s">
        <v>507</v>
      </c>
    </row>
    <row r="1637" spans="3:11" ht="15" customHeight="1">
      <c r="C1637" s="162">
        <v>45615</v>
      </c>
      <c r="D1637" s="101">
        <v>8409708058</v>
      </c>
      <c r="E1637" s="1234" t="s">
        <v>5838</v>
      </c>
      <c r="H1637" s="1234" t="s">
        <v>2047</v>
      </c>
      <c r="I1637" s="51" t="s">
        <v>9533</v>
      </c>
      <c r="J1637" s="95">
        <v>45637</v>
      </c>
    </row>
    <row r="1638" spans="3:11" ht="15" customHeight="1">
      <c r="C1638" s="162">
        <v>45616</v>
      </c>
      <c r="E1638" s="1236" t="s">
        <v>9537</v>
      </c>
      <c r="I1638" s="51" t="s">
        <v>9536</v>
      </c>
      <c r="J1638" s="1257" t="s">
        <v>77</v>
      </c>
    </row>
    <row r="1639" spans="3:11" ht="15" customHeight="1">
      <c r="C1639" s="162">
        <v>45616</v>
      </c>
      <c r="D1639" s="101">
        <v>8757096258</v>
      </c>
      <c r="E1639" s="1237" t="s">
        <v>4875</v>
      </c>
      <c r="H1639" s="1237">
        <v>18</v>
      </c>
      <c r="I1639" s="51" t="s">
        <v>9538</v>
      </c>
      <c r="J1639" s="1317" t="s">
        <v>507</v>
      </c>
    </row>
    <row r="1640" spans="3:11" ht="15" customHeight="1">
      <c r="C1640" s="162">
        <v>45618</v>
      </c>
      <c r="D1640" s="101">
        <v>8789801279</v>
      </c>
      <c r="E1640" s="1238" t="s">
        <v>7998</v>
      </c>
      <c r="H1640" s="1238" t="s">
        <v>516</v>
      </c>
      <c r="I1640" s="51" t="s">
        <v>9546</v>
      </c>
      <c r="J1640" s="2020" t="s">
        <v>77</v>
      </c>
    </row>
    <row r="1641" spans="3:11" ht="15" customHeight="1">
      <c r="C1641" s="162">
        <v>45618</v>
      </c>
      <c r="D1641" s="101">
        <v>9122497600</v>
      </c>
      <c r="E1641" s="1238" t="s">
        <v>6705</v>
      </c>
      <c r="H1641" s="1238" t="s">
        <v>2067</v>
      </c>
      <c r="I1641" s="51" t="s">
        <v>9547</v>
      </c>
      <c r="J1641" s="95">
        <v>45624</v>
      </c>
    </row>
    <row r="1642" spans="3:11" ht="15" customHeight="1">
      <c r="C1642" s="162">
        <v>45621</v>
      </c>
      <c r="G1642" s="1271">
        <v>98</v>
      </c>
      <c r="H1642" s="1238" t="s">
        <v>2067</v>
      </c>
      <c r="I1642" t="s">
        <v>9567</v>
      </c>
      <c r="J1642" t="s">
        <v>507</v>
      </c>
    </row>
    <row r="1643" spans="3:11" ht="15" customHeight="1">
      <c r="C1643" s="162">
        <v>45622</v>
      </c>
      <c r="D1643" s="101">
        <v>9955197843</v>
      </c>
      <c r="E1643" s="1243" t="s">
        <v>9561</v>
      </c>
      <c r="H1643" s="1243" t="s">
        <v>2071</v>
      </c>
      <c r="I1643" s="51" t="s">
        <v>9560</v>
      </c>
      <c r="J1643" t="s">
        <v>77</v>
      </c>
    </row>
    <row r="1644" spans="3:11" ht="15" customHeight="1">
      <c r="C1644" s="162">
        <v>45622</v>
      </c>
      <c r="D1644" s="101">
        <v>9431750860</v>
      </c>
      <c r="E1644" s="1243" t="s">
        <v>9563</v>
      </c>
      <c r="H1644" s="1243" t="s">
        <v>1275</v>
      </c>
      <c r="I1644" s="51" t="s">
        <v>9562</v>
      </c>
      <c r="J1644" t="s">
        <v>507</v>
      </c>
    </row>
    <row r="1645" spans="3:11" ht="15" customHeight="1">
      <c r="C1645" s="162">
        <v>45622</v>
      </c>
      <c r="D1645" s="101">
        <v>7739190750</v>
      </c>
      <c r="E1645" s="1243" t="s">
        <v>8113</v>
      </c>
      <c r="H1645" s="1243" t="s">
        <v>2067</v>
      </c>
      <c r="I1645" s="51" t="s">
        <v>9566</v>
      </c>
      <c r="J1645" t="s">
        <v>507</v>
      </c>
    </row>
    <row r="1646" spans="3:11" ht="15" customHeight="1">
      <c r="C1646" s="162">
        <v>45625</v>
      </c>
      <c r="E1646" s="1247" t="s">
        <v>9582</v>
      </c>
      <c r="F1646" s="1248" t="s">
        <v>5558</v>
      </c>
      <c r="G1646" s="1300"/>
      <c r="H1646" s="1248" t="s">
        <v>6297</v>
      </c>
      <c r="I1646" s="51" t="s">
        <v>9588</v>
      </c>
      <c r="J1646" t="s">
        <v>507</v>
      </c>
    </row>
    <row r="1647" spans="3:11" ht="15" customHeight="1">
      <c r="C1647" s="162">
        <v>45627</v>
      </c>
      <c r="D1647" s="101">
        <v>8873113939</v>
      </c>
      <c r="E1647" s="1251" t="s">
        <v>7726</v>
      </c>
      <c r="H1647" s="1251" t="s">
        <v>1219</v>
      </c>
      <c r="I1647" s="51" t="s">
        <v>9604</v>
      </c>
      <c r="J1647" t="s">
        <v>507</v>
      </c>
    </row>
    <row r="1648" spans="3:11" ht="15" customHeight="1">
      <c r="C1648" s="162">
        <v>45628</v>
      </c>
      <c r="D1648" s="101">
        <v>9835764239</v>
      </c>
      <c r="E1648" s="1252" t="s">
        <v>7663</v>
      </c>
      <c r="F1648" s="1247"/>
      <c r="G1648" s="1301"/>
      <c r="I1648" s="51" t="s">
        <v>9606</v>
      </c>
      <c r="J1648" t="s">
        <v>9823</v>
      </c>
    </row>
    <row r="1649" spans="3:10" ht="15" customHeight="1">
      <c r="C1649" s="162">
        <v>45628</v>
      </c>
      <c r="D1649" s="101">
        <v>6207605219</v>
      </c>
      <c r="E1649" s="1241" t="s">
        <v>9556</v>
      </c>
      <c r="I1649" t="s">
        <v>9622</v>
      </c>
      <c r="J1649" s="95">
        <v>45653</v>
      </c>
    </row>
    <row r="1650" spans="3:10" ht="15" customHeight="1">
      <c r="C1650" s="162">
        <v>45629</v>
      </c>
      <c r="D1650" s="101">
        <v>8877019829</v>
      </c>
      <c r="E1650" s="1252" t="s">
        <v>9605</v>
      </c>
      <c r="G1650" s="1271">
        <v>120000</v>
      </c>
      <c r="H1650" s="1257" t="s">
        <v>1219</v>
      </c>
      <c r="I1650" s="51" t="s">
        <v>9631</v>
      </c>
      <c r="J1650" s="2021">
        <v>45639</v>
      </c>
    </row>
    <row r="1651" spans="3:10" ht="15" customHeight="1">
      <c r="C1651" s="162">
        <v>45629</v>
      </c>
      <c r="D1651" s="101">
        <v>8603825128</v>
      </c>
      <c r="E1651" s="1257" t="s">
        <v>9632</v>
      </c>
      <c r="G1651" s="1271">
        <v>80000</v>
      </c>
      <c r="I1651" s="51" t="s">
        <v>9633</v>
      </c>
      <c r="J1651" t="s">
        <v>507</v>
      </c>
    </row>
    <row r="1652" spans="3:10" ht="15" customHeight="1">
      <c r="C1652" s="162">
        <v>45629</v>
      </c>
      <c r="D1652" s="101">
        <v>9931321832</v>
      </c>
      <c r="E1652" s="1257" t="s">
        <v>2358</v>
      </c>
      <c r="G1652" s="1271">
        <v>492240</v>
      </c>
      <c r="H1652" s="1257" t="s">
        <v>2067</v>
      </c>
      <c r="I1652" s="51" t="s">
        <v>9634</v>
      </c>
      <c r="J1652" t="s">
        <v>507</v>
      </c>
    </row>
    <row r="1653" spans="3:10" ht="15" customHeight="1">
      <c r="C1653" s="162">
        <v>45629</v>
      </c>
      <c r="D1653" s="101">
        <v>6207847238</v>
      </c>
      <c r="E1653" s="1257" t="s">
        <v>9636</v>
      </c>
      <c r="G1653" s="1271">
        <v>98000</v>
      </c>
      <c r="H1653" s="1257" t="s">
        <v>2956</v>
      </c>
      <c r="I1653" s="51" t="s">
        <v>9635</v>
      </c>
      <c r="J1653" s="1347" t="s">
        <v>6764</v>
      </c>
    </row>
    <row r="1654" spans="3:10" ht="15" customHeight="1">
      <c r="C1654" s="162">
        <v>45630</v>
      </c>
      <c r="D1654" s="101">
        <v>7488607478</v>
      </c>
      <c r="E1654" s="1258" t="s">
        <v>2156</v>
      </c>
      <c r="G1654" s="1271">
        <v>496330</v>
      </c>
      <c r="H1654" s="1258" t="s">
        <v>2067</v>
      </c>
      <c r="I1654" t="s">
        <v>9642</v>
      </c>
      <c r="J1654" t="s">
        <v>507</v>
      </c>
    </row>
    <row r="1655" spans="3:10" ht="15" customHeight="1">
      <c r="C1655" s="162">
        <v>45630</v>
      </c>
      <c r="E1655" s="1260" t="s">
        <v>7187</v>
      </c>
      <c r="G1655" s="1302" t="s">
        <v>9663</v>
      </c>
      <c r="H1655" s="1260" t="s">
        <v>2071</v>
      </c>
      <c r="I1655" s="332" t="s">
        <v>9643</v>
      </c>
      <c r="J1655" t="s">
        <v>507</v>
      </c>
    </row>
    <row r="1656" spans="3:10" ht="15" customHeight="1">
      <c r="C1656" s="162">
        <v>45631</v>
      </c>
      <c r="D1656" s="101">
        <v>9931746828</v>
      </c>
      <c r="E1656" s="1262" t="s">
        <v>6779</v>
      </c>
      <c r="G1656" s="1271">
        <v>72</v>
      </c>
      <c r="H1656" s="1260" t="s">
        <v>2071</v>
      </c>
      <c r="I1656" s="51" t="s">
        <v>9657</v>
      </c>
      <c r="J1656" t="s">
        <v>507</v>
      </c>
    </row>
    <row r="1657" spans="3:10" ht="15" customHeight="1">
      <c r="C1657" s="162">
        <v>45632</v>
      </c>
      <c r="D1657" s="101">
        <v>9155637208</v>
      </c>
      <c r="E1657" s="1263" t="s">
        <v>9661</v>
      </c>
      <c r="G1657" s="1302" t="s">
        <v>9662</v>
      </c>
      <c r="H1657" s="1312" t="s">
        <v>2047</v>
      </c>
      <c r="I1657" s="51" t="s">
        <v>9660</v>
      </c>
      <c r="J1657" t="s">
        <v>507</v>
      </c>
    </row>
    <row r="1658" spans="3:10" ht="15" customHeight="1">
      <c r="C1658" s="162">
        <v>45632</v>
      </c>
      <c r="D1658" s="101">
        <v>9631587053</v>
      </c>
      <c r="E1658" s="1263" t="s">
        <v>9665</v>
      </c>
      <c r="G1658" s="1302" t="s">
        <v>9666</v>
      </c>
      <c r="H1658" s="1263" t="s">
        <v>1869</v>
      </c>
      <c r="I1658" s="51" t="s">
        <v>9664</v>
      </c>
      <c r="J1658" s="95">
        <v>45664</v>
      </c>
    </row>
    <row r="1659" spans="3:10" ht="15" customHeight="1">
      <c r="C1659" s="162">
        <v>45635</v>
      </c>
      <c r="D1659" s="101">
        <v>9304340818</v>
      </c>
      <c r="E1659" s="1310" t="s">
        <v>9668</v>
      </c>
      <c r="G1659" s="1271">
        <v>1.8</v>
      </c>
      <c r="H1659" s="1312" t="s">
        <v>1275</v>
      </c>
      <c r="I1659" s="51" t="s">
        <v>9683</v>
      </c>
      <c r="J1659" t="s">
        <v>507</v>
      </c>
    </row>
    <row r="1660" spans="3:10" ht="15" customHeight="1">
      <c r="C1660" s="162">
        <v>45635</v>
      </c>
      <c r="D1660" s="101">
        <v>7488560058</v>
      </c>
      <c r="E1660" s="1310" t="s">
        <v>9681</v>
      </c>
      <c r="G1660" s="1271">
        <v>1.5</v>
      </c>
      <c r="H1660" s="1312" t="s">
        <v>1275</v>
      </c>
      <c r="I1660" s="51" t="s">
        <v>9687</v>
      </c>
      <c r="J1660" t="s">
        <v>507</v>
      </c>
    </row>
    <row r="1661" spans="3:10" ht="15" customHeight="1">
      <c r="C1661" s="162">
        <v>45641</v>
      </c>
      <c r="D1661" s="101">
        <v>8804259165</v>
      </c>
      <c r="E1661" s="1137" t="s">
        <v>171</v>
      </c>
      <c r="G1661" s="1271">
        <v>72</v>
      </c>
      <c r="H1661" s="1317" t="s">
        <v>2071</v>
      </c>
      <c r="I1661" s="51" t="s">
        <v>9701</v>
      </c>
      <c r="J1661" s="95">
        <v>45734</v>
      </c>
    </row>
    <row r="1662" spans="3:10" ht="15" customHeight="1">
      <c r="E1662" s="1321" t="s">
        <v>9711</v>
      </c>
      <c r="I1662" s="51" t="s">
        <v>9710</v>
      </c>
      <c r="J1662" s="2022">
        <v>45701</v>
      </c>
    </row>
    <row r="1663" spans="3:10" ht="15" customHeight="1">
      <c r="C1663" s="162">
        <v>45645</v>
      </c>
      <c r="D1663" s="101">
        <v>8210049526</v>
      </c>
      <c r="E1663" s="1324" t="s">
        <v>6498</v>
      </c>
      <c r="G1663" s="1271">
        <v>84</v>
      </c>
      <c r="H1663" t="s">
        <v>1869</v>
      </c>
      <c r="I1663" s="51" t="s">
        <v>9724</v>
      </c>
      <c r="J1663" t="s">
        <v>507</v>
      </c>
    </row>
    <row r="1664" spans="3:10" ht="15" customHeight="1">
      <c r="C1664" s="162">
        <v>45645</v>
      </c>
      <c r="E1664" s="1324" t="s">
        <v>9726</v>
      </c>
      <c r="G1664" s="1271">
        <v>80</v>
      </c>
      <c r="I1664" s="51" t="s">
        <v>9725</v>
      </c>
      <c r="J1664" t="s">
        <v>507</v>
      </c>
    </row>
    <row r="1665" spans="3:12" ht="15" customHeight="1">
      <c r="C1665" s="162">
        <v>45645</v>
      </c>
      <c r="E1665" s="1324" t="s">
        <v>9728</v>
      </c>
      <c r="G1665" s="1271">
        <v>1.5</v>
      </c>
      <c r="H1665" s="1324" t="s">
        <v>1275</v>
      </c>
      <c r="I1665" s="51" t="s">
        <v>9727</v>
      </c>
      <c r="J1665" t="s">
        <v>507</v>
      </c>
    </row>
    <row r="1666" spans="3:12" ht="15" customHeight="1">
      <c r="C1666" s="162">
        <v>45649</v>
      </c>
      <c r="E1666" s="1328" t="s">
        <v>9750</v>
      </c>
      <c r="G1666" s="1271">
        <v>1.2</v>
      </c>
      <c r="I1666" s="51" t="s">
        <v>9765</v>
      </c>
      <c r="J1666" t="s">
        <v>507</v>
      </c>
    </row>
    <row r="1667" spans="3:12" ht="15" customHeight="1">
      <c r="C1667" s="162">
        <v>45655</v>
      </c>
      <c r="D1667" s="101">
        <v>9304085689</v>
      </c>
      <c r="E1667" s="1334" t="s">
        <v>296</v>
      </c>
      <c r="G1667" s="1271">
        <v>607790</v>
      </c>
      <c r="H1667" s="1334" t="s">
        <v>1219</v>
      </c>
      <c r="I1667" s="51" t="s">
        <v>9775</v>
      </c>
      <c r="J1667" s="194" t="s">
        <v>4141</v>
      </c>
      <c r="K1667" t="s">
        <v>9980</v>
      </c>
    </row>
    <row r="1668" spans="3:12" ht="15" customHeight="1">
      <c r="C1668" s="162">
        <v>45655</v>
      </c>
      <c r="D1668" s="200">
        <v>7368034393</v>
      </c>
      <c r="E1668" s="41" t="s">
        <v>9780</v>
      </c>
      <c r="F1668" s="194" t="s">
        <v>9782</v>
      </c>
      <c r="G1668" s="1286">
        <v>372050</v>
      </c>
      <c r="H1668" s="194" t="s">
        <v>5107</v>
      </c>
      <c r="I1668" s="41" t="s">
        <v>9781</v>
      </c>
      <c r="J1668" s="2023">
        <v>45701</v>
      </c>
      <c r="K1668" s="194"/>
      <c r="L1668" s="194"/>
    </row>
    <row r="1669" spans="3:12" ht="15" customHeight="1">
      <c r="C1669" s="162">
        <v>45655</v>
      </c>
      <c r="E1669" s="51" t="s">
        <v>9784</v>
      </c>
      <c r="G1669" s="1286"/>
      <c r="H1669" s="194" t="s">
        <v>5107</v>
      </c>
      <c r="I1669" s="51" t="s">
        <v>9785</v>
      </c>
      <c r="J1669" s="194" t="s">
        <v>36</v>
      </c>
      <c r="K1669" s="194"/>
      <c r="L1669" s="194"/>
    </row>
    <row r="1670" spans="3:12" ht="15" customHeight="1">
      <c r="C1670" s="251">
        <v>45655</v>
      </c>
      <c r="D1670" s="252">
        <v>7061886518</v>
      </c>
      <c r="E1670" s="253" t="s">
        <v>6516</v>
      </c>
      <c r="F1670" s="253"/>
      <c r="G1670" s="1276">
        <v>80</v>
      </c>
      <c r="H1670" s="253">
        <v>17</v>
      </c>
      <c r="I1670" s="51" t="s">
        <v>9783</v>
      </c>
      <c r="J1670" s="587">
        <v>45691</v>
      </c>
      <c r="K1670" s="253"/>
      <c r="L1670" s="253"/>
    </row>
    <row r="1671" spans="3:12" ht="15" customHeight="1">
      <c r="C1671" s="251">
        <v>45672</v>
      </c>
      <c r="D1671" s="252">
        <v>8709074021</v>
      </c>
      <c r="E1671" s="253" t="s">
        <v>9861</v>
      </c>
      <c r="F1671" s="253"/>
      <c r="G1671" s="1276"/>
      <c r="H1671" s="253" t="s">
        <v>2067</v>
      </c>
      <c r="I1671" s="51" t="s">
        <v>9860</v>
      </c>
      <c r="J1671" s="253" t="s">
        <v>4073</v>
      </c>
      <c r="K1671" s="253"/>
      <c r="L1671" s="253"/>
    </row>
    <row r="1672" spans="3:12" ht="15" customHeight="1">
      <c r="C1672" s="251">
        <v>45672</v>
      </c>
      <c r="D1672" s="101">
        <v>9031738197</v>
      </c>
      <c r="E1672" s="1347" t="s">
        <v>9862</v>
      </c>
      <c r="H1672">
        <v>17</v>
      </c>
      <c r="I1672" s="51" t="s">
        <v>9863</v>
      </c>
      <c r="J1672" s="253" t="s">
        <v>4073</v>
      </c>
    </row>
    <row r="1673" spans="3:12" ht="15" customHeight="1">
      <c r="C1673" s="251">
        <v>45672</v>
      </c>
      <c r="E1673" s="1347" t="s">
        <v>7442</v>
      </c>
      <c r="H1673" s="1347" t="s">
        <v>2067</v>
      </c>
      <c r="I1673" s="51" t="s">
        <v>9864</v>
      </c>
      <c r="J1673" s="253" t="s">
        <v>4073</v>
      </c>
    </row>
    <row r="1674" spans="3:12" ht="15" customHeight="1">
      <c r="C1674" s="251">
        <v>45672</v>
      </c>
      <c r="D1674" s="101">
        <v>9508918090</v>
      </c>
      <c r="E1674" s="1347" t="s">
        <v>4400</v>
      </c>
      <c r="H1674">
        <v>17</v>
      </c>
      <c r="I1674" s="51" t="s">
        <v>9865</v>
      </c>
      <c r="J1674" s="95">
        <v>45698</v>
      </c>
    </row>
    <row r="1675" spans="3:12" ht="15" customHeight="1">
      <c r="C1675" s="251">
        <v>45672</v>
      </c>
      <c r="D1675" s="101">
        <v>9508495838</v>
      </c>
      <c r="E1675" s="1347" t="s">
        <v>2614</v>
      </c>
      <c r="H1675" s="1347" t="s">
        <v>6798</v>
      </c>
      <c r="I1675" s="51" t="s">
        <v>9866</v>
      </c>
      <c r="J1675" s="95">
        <v>45699</v>
      </c>
    </row>
    <row r="1676" spans="3:12" ht="15" customHeight="1">
      <c r="C1676" s="162">
        <v>45677</v>
      </c>
      <c r="D1676" s="101">
        <v>7004417173</v>
      </c>
      <c r="E1676" s="1351" t="s">
        <v>4251</v>
      </c>
      <c r="G1676" s="1352" t="s">
        <v>3044</v>
      </c>
      <c r="H1676" s="1351" t="s">
        <v>1293</v>
      </c>
      <c r="I1676" s="51" t="s">
        <v>9884</v>
      </c>
      <c r="J1676" s="95">
        <v>45708</v>
      </c>
    </row>
    <row r="1677" spans="3:12" ht="15" customHeight="1">
      <c r="C1677" s="162">
        <v>45677</v>
      </c>
      <c r="D1677" s="101">
        <v>8252613215</v>
      </c>
      <c r="E1677" s="1351" t="s">
        <v>3864</v>
      </c>
      <c r="G1677" s="1352" t="s">
        <v>3044</v>
      </c>
      <c r="H1677" s="1351" t="s">
        <v>1293</v>
      </c>
      <c r="I1677" s="51" t="s">
        <v>9885</v>
      </c>
      <c r="J1677" s="95">
        <v>45708</v>
      </c>
    </row>
    <row r="1678" spans="3:12" ht="15" customHeight="1">
      <c r="C1678" s="162">
        <v>45677</v>
      </c>
      <c r="D1678" s="101">
        <v>9470949935</v>
      </c>
      <c r="E1678" s="1351" t="s">
        <v>9887</v>
      </c>
      <c r="I1678" s="51" t="s">
        <v>9886</v>
      </c>
      <c r="J1678" t="s">
        <v>4073</v>
      </c>
      <c r="K1678" t="s">
        <v>10090</v>
      </c>
    </row>
    <row r="1679" spans="3:12" ht="15" customHeight="1">
      <c r="C1679" s="162">
        <v>45681</v>
      </c>
      <c r="D1679" s="101">
        <v>9939567520</v>
      </c>
      <c r="E1679" s="1354" t="s">
        <v>9894</v>
      </c>
      <c r="H1679" s="1354" t="s">
        <v>1275</v>
      </c>
      <c r="I1679" s="51" t="s">
        <v>9893</v>
      </c>
      <c r="J1679" s="95">
        <v>45874</v>
      </c>
    </row>
    <row r="1680" spans="3:12" ht="15" customHeight="1">
      <c r="C1680" s="162">
        <v>45681</v>
      </c>
      <c r="E1680" s="1355" t="s">
        <v>9898</v>
      </c>
      <c r="I1680" s="51" t="s">
        <v>9897</v>
      </c>
      <c r="J1680" t="s">
        <v>4073</v>
      </c>
    </row>
    <row r="1681" spans="3:10" ht="15" customHeight="1">
      <c r="C1681" s="162">
        <v>45681</v>
      </c>
      <c r="E1681" s="1355" t="s">
        <v>2453</v>
      </c>
      <c r="I1681" s="51" t="s">
        <v>9899</v>
      </c>
      <c r="J1681" t="s">
        <v>4073</v>
      </c>
    </row>
    <row r="1682" spans="3:10" ht="15" customHeight="1">
      <c r="C1682" s="162">
        <v>45681</v>
      </c>
      <c r="E1682" s="1358" t="s">
        <v>9910</v>
      </c>
      <c r="I1682" s="51" t="s">
        <v>9911</v>
      </c>
      <c r="J1682" s="2024" t="s">
        <v>4073</v>
      </c>
    </row>
    <row r="1683" spans="3:10" ht="15" customHeight="1">
      <c r="C1683" s="162">
        <v>45684</v>
      </c>
      <c r="D1683" s="101">
        <v>8789882083</v>
      </c>
      <c r="E1683" s="1359" t="s">
        <v>2522</v>
      </c>
      <c r="H1683" s="1359" t="s">
        <v>2071</v>
      </c>
      <c r="I1683" s="51" t="s">
        <v>9918</v>
      </c>
      <c r="J1683" s="2024" t="s">
        <v>4073</v>
      </c>
    </row>
    <row r="1684" spans="3:10" ht="15" customHeight="1">
      <c r="C1684" s="162">
        <v>45684</v>
      </c>
      <c r="D1684" s="101">
        <v>6204100509</v>
      </c>
      <c r="E1684" s="1359" t="s">
        <v>8189</v>
      </c>
      <c r="H1684" s="1359" t="s">
        <v>3056</v>
      </c>
      <c r="I1684" s="51" t="s">
        <v>9919</v>
      </c>
      <c r="J1684" s="2024" t="s">
        <v>4073</v>
      </c>
    </row>
    <row r="1685" spans="3:10" ht="15" customHeight="1">
      <c r="C1685" s="162">
        <v>45691</v>
      </c>
      <c r="E1685" s="1365" t="s">
        <v>9954</v>
      </c>
      <c r="I1685" s="51" t="s">
        <v>9955</v>
      </c>
      <c r="J1685" s="2024" t="s">
        <v>4073</v>
      </c>
    </row>
    <row r="1686" spans="3:10" ht="15" customHeight="1">
      <c r="C1686" s="162">
        <v>45692</v>
      </c>
      <c r="D1686" s="17" t="s">
        <v>2063</v>
      </c>
      <c r="E1686" s="1366" t="s">
        <v>436</v>
      </c>
      <c r="I1686" s="51" t="s">
        <v>9957</v>
      </c>
      <c r="J1686" s="2024" t="s">
        <v>4073</v>
      </c>
    </row>
    <row r="1687" spans="3:10" ht="15" customHeight="1">
      <c r="C1687" s="162">
        <v>45336</v>
      </c>
      <c r="D1687" s="101">
        <v>8051114796</v>
      </c>
      <c r="E1687" s="1372" t="s">
        <v>8924</v>
      </c>
      <c r="H1687" s="1372" t="s">
        <v>4942</v>
      </c>
      <c r="I1687" s="51" t="s">
        <v>9996</v>
      </c>
      <c r="J1687" s="2024" t="s">
        <v>4073</v>
      </c>
    </row>
    <row r="1688" spans="3:10" ht="15" customHeight="1">
      <c r="C1688" s="162">
        <v>45336</v>
      </c>
      <c r="D1688" s="101">
        <v>9771338527</v>
      </c>
      <c r="E1688" s="1374" t="s">
        <v>10006</v>
      </c>
      <c r="H1688" s="1374" t="s">
        <v>1785</v>
      </c>
      <c r="I1688" s="51" t="s">
        <v>10005</v>
      </c>
      <c r="J1688" t="s">
        <v>5019</v>
      </c>
    </row>
    <row r="1689" spans="3:10" ht="15" customHeight="1">
      <c r="C1689" s="162">
        <v>45709</v>
      </c>
      <c r="D1689" s="101">
        <v>9608557261</v>
      </c>
      <c r="E1689" s="1379" t="s">
        <v>2664</v>
      </c>
      <c r="H1689" s="1379" t="s">
        <v>3056</v>
      </c>
      <c r="I1689" s="51" t="s">
        <v>10045</v>
      </c>
      <c r="J1689" t="s">
        <v>4073</v>
      </c>
    </row>
    <row r="1690" spans="3:10" ht="15" customHeight="1">
      <c r="C1690" s="162">
        <v>45710</v>
      </c>
      <c r="D1690" s="101">
        <v>7033258388</v>
      </c>
      <c r="E1690" s="1380" t="s">
        <v>2601</v>
      </c>
      <c r="H1690" s="1380" t="s">
        <v>1869</v>
      </c>
      <c r="I1690" s="51" t="s">
        <v>10053</v>
      </c>
      <c r="J1690" t="s">
        <v>4073</v>
      </c>
    </row>
    <row r="1691" spans="3:10" ht="15" customHeight="1">
      <c r="C1691" s="162">
        <v>45710</v>
      </c>
      <c r="D1691" s="1381">
        <v>6203242047</v>
      </c>
      <c r="E1691" s="1380" t="s">
        <v>10055</v>
      </c>
      <c r="H1691" s="1380" t="s">
        <v>5689</v>
      </c>
      <c r="I1691" s="51" t="s">
        <v>10054</v>
      </c>
      <c r="J1691" t="s">
        <v>10089</v>
      </c>
    </row>
    <row r="1692" spans="3:10" ht="15" customHeight="1">
      <c r="C1692" s="162">
        <v>45713</v>
      </c>
      <c r="E1692" s="1384" t="s">
        <v>10074</v>
      </c>
      <c r="H1692" s="1384" t="s">
        <v>2067</v>
      </c>
      <c r="I1692" s="51" t="s">
        <v>10073</v>
      </c>
      <c r="J1692" t="s">
        <v>507</v>
      </c>
    </row>
    <row r="1693" spans="3:10" ht="15" customHeight="1">
      <c r="C1693" s="162">
        <v>45713</v>
      </c>
      <c r="E1693" s="1384" t="s">
        <v>8154</v>
      </c>
      <c r="H1693" s="1384" t="s">
        <v>2067</v>
      </c>
      <c r="I1693" s="51" t="s">
        <v>10075</v>
      </c>
      <c r="J1693" t="s">
        <v>507</v>
      </c>
    </row>
    <row r="1694" spans="3:10" ht="15" customHeight="1">
      <c r="C1694" s="162">
        <v>45713</v>
      </c>
      <c r="D1694" s="101">
        <v>8092422083</v>
      </c>
      <c r="E1694" s="1384" t="s">
        <v>2549</v>
      </c>
      <c r="H1694" s="1384" t="s">
        <v>1869</v>
      </c>
      <c r="I1694" s="51" t="s">
        <v>10076</v>
      </c>
      <c r="J1694" t="s">
        <v>507</v>
      </c>
    </row>
    <row r="1695" spans="3:10" ht="15" customHeight="1">
      <c r="C1695" s="162">
        <v>45714</v>
      </c>
      <c r="D1695" s="101">
        <v>9031000171</v>
      </c>
      <c r="E1695" s="1385" t="s">
        <v>10085</v>
      </c>
      <c r="H1695" s="1385" t="s">
        <v>1275</v>
      </c>
      <c r="I1695" s="51" t="s">
        <v>10084</v>
      </c>
      <c r="J1695" t="s">
        <v>507</v>
      </c>
    </row>
    <row r="1696" spans="3:10" ht="15" customHeight="1">
      <c r="C1696" s="162">
        <v>45717</v>
      </c>
      <c r="D1696" s="101">
        <v>7488560058</v>
      </c>
      <c r="E1696" s="1389" t="s">
        <v>9681</v>
      </c>
      <c r="H1696" s="1389" t="s">
        <v>1275</v>
      </c>
      <c r="I1696" s="51" t="s">
        <v>10095</v>
      </c>
      <c r="J1696" t="s">
        <v>507</v>
      </c>
    </row>
    <row r="1697" spans="3:11" ht="15" customHeight="1">
      <c r="C1697" s="162">
        <v>45718</v>
      </c>
      <c r="D1697" s="101">
        <v>6204158116</v>
      </c>
      <c r="E1697" s="1390" t="s">
        <v>2086</v>
      </c>
      <c r="H1697" s="1390" t="s">
        <v>2067</v>
      </c>
      <c r="I1697" s="51" t="s">
        <v>10101</v>
      </c>
      <c r="J1697" t="s">
        <v>507</v>
      </c>
    </row>
    <row r="1698" spans="3:11" ht="15" customHeight="1">
      <c r="C1698" s="162">
        <v>45722</v>
      </c>
      <c r="D1698" s="101">
        <v>7209868969</v>
      </c>
      <c r="E1698" s="1391" t="s">
        <v>7263</v>
      </c>
      <c r="H1698" s="1391" t="s">
        <v>5884</v>
      </c>
      <c r="I1698" s="51" t="s">
        <v>10154</v>
      </c>
      <c r="J1698" s="1404" t="s">
        <v>100</v>
      </c>
    </row>
    <row r="1699" spans="3:11" ht="15" customHeight="1">
      <c r="C1699" s="162">
        <v>45722</v>
      </c>
      <c r="D1699" s="101">
        <v>6206911689</v>
      </c>
      <c r="E1699" s="1391" t="s">
        <v>5826</v>
      </c>
      <c r="H1699" s="1391" t="s">
        <v>1869</v>
      </c>
      <c r="I1699" s="51" t="s">
        <v>10106</v>
      </c>
      <c r="J1699" s="1408" t="s">
        <v>507</v>
      </c>
    </row>
    <row r="1700" spans="3:11" ht="15" customHeight="1">
      <c r="C1700" s="162">
        <v>45731</v>
      </c>
      <c r="D1700" s="101">
        <v>9973267006</v>
      </c>
      <c r="E1700" s="1404" t="s">
        <v>10156</v>
      </c>
      <c r="H1700" s="1404" t="s">
        <v>2071</v>
      </c>
      <c r="I1700" s="51" t="s">
        <v>10155</v>
      </c>
      <c r="J1700" s="2025">
        <v>45741</v>
      </c>
    </row>
    <row r="1701" spans="3:11" ht="15" customHeight="1">
      <c r="C1701" s="162">
        <v>45734</v>
      </c>
      <c r="E1701" s="1405" t="s">
        <v>10167</v>
      </c>
      <c r="H1701" s="1405" t="s">
        <v>10168</v>
      </c>
      <c r="I1701" s="51" t="s">
        <v>10166</v>
      </c>
      <c r="J1701" s="1408" t="s">
        <v>507</v>
      </c>
    </row>
    <row r="1702" spans="3:11" ht="15" customHeight="1">
      <c r="C1702" s="162">
        <v>45734</v>
      </c>
      <c r="E1702" s="1405" t="s">
        <v>10169</v>
      </c>
      <c r="G1702" s="1406" t="s">
        <v>5535</v>
      </c>
      <c r="H1702" s="1405" t="s">
        <v>2018</v>
      </c>
      <c r="I1702" s="51" t="s">
        <v>10170</v>
      </c>
      <c r="J1702" s="1408" t="s">
        <v>507</v>
      </c>
    </row>
    <row r="1703" spans="3:11" ht="15" customHeight="1">
      <c r="C1703" s="162">
        <v>45735</v>
      </c>
      <c r="E1703" s="1407" t="s">
        <v>10174</v>
      </c>
      <c r="H1703" s="1407" t="s">
        <v>2067</v>
      </c>
      <c r="I1703" s="51" t="s">
        <v>10173</v>
      </c>
      <c r="J1703" s="1411" t="s">
        <v>2535</v>
      </c>
    </row>
    <row r="1704" spans="3:11" ht="15" customHeight="1">
      <c r="C1704" s="162">
        <v>45735</v>
      </c>
      <c r="E1704" s="1407" t="s">
        <v>10175</v>
      </c>
      <c r="H1704" s="1407" t="s">
        <v>2067</v>
      </c>
      <c r="I1704" s="51" t="s">
        <v>10176</v>
      </c>
      <c r="J1704" s="1411" t="s">
        <v>2535</v>
      </c>
    </row>
    <row r="1705" spans="3:11" ht="15" customHeight="1">
      <c r="C1705" s="162">
        <v>45740</v>
      </c>
      <c r="D1705" s="101">
        <v>7979801173</v>
      </c>
      <c r="E1705" s="1408" t="s">
        <v>10187</v>
      </c>
      <c r="I1705" s="51" t="s">
        <v>10186</v>
      </c>
      <c r="J1705" s="2026">
        <v>45765</v>
      </c>
    </row>
    <row r="1706" spans="3:11" ht="15" customHeight="1">
      <c r="C1706" s="162">
        <v>45742</v>
      </c>
      <c r="D1706" s="101">
        <v>8789949531</v>
      </c>
      <c r="E1706" s="1409" t="s">
        <v>4041</v>
      </c>
      <c r="I1706" s="51" t="s">
        <v>10190</v>
      </c>
      <c r="J1706" s="1415" t="s">
        <v>507</v>
      </c>
    </row>
    <row r="1707" spans="3:11" ht="15" customHeight="1">
      <c r="C1707" s="162">
        <v>45745</v>
      </c>
      <c r="D1707" s="101">
        <v>9572873514</v>
      </c>
      <c r="E1707" s="1411" t="s">
        <v>10199</v>
      </c>
      <c r="H1707" s="1411" t="s">
        <v>1785</v>
      </c>
      <c r="I1707" s="51" t="s">
        <v>10198</v>
      </c>
      <c r="J1707" s="1415" t="s">
        <v>507</v>
      </c>
    </row>
    <row r="1708" spans="3:11" ht="15" customHeight="1">
      <c r="C1708" s="162">
        <v>45747</v>
      </c>
      <c r="D1708" s="101">
        <v>9113383254</v>
      </c>
      <c r="E1708" s="1412" t="s">
        <v>10207</v>
      </c>
      <c r="G1708" s="1413" t="s">
        <v>10209</v>
      </c>
      <c r="H1708" s="1412" t="s">
        <v>10208</v>
      </c>
      <c r="I1708" s="51" t="s">
        <v>10211</v>
      </c>
      <c r="J1708" s="95">
        <v>45794</v>
      </c>
    </row>
    <row r="1709" spans="3:11" ht="15" customHeight="1">
      <c r="C1709" s="162">
        <v>45757</v>
      </c>
      <c r="D1709" s="101">
        <v>9334834141</v>
      </c>
      <c r="E1709" s="1419" t="s">
        <v>6207</v>
      </c>
      <c r="F1709" s="1420" t="s">
        <v>10238</v>
      </c>
      <c r="G1709" s="1419" t="s">
        <v>10239</v>
      </c>
      <c r="H1709" s="1419" t="s">
        <v>2067</v>
      </c>
      <c r="I1709" s="51" t="s">
        <v>10237</v>
      </c>
      <c r="J1709" s="95">
        <v>45766</v>
      </c>
      <c r="K1709" s="95"/>
    </row>
    <row r="1710" spans="3:11" ht="15" customHeight="1">
      <c r="C1710" s="162">
        <v>45757</v>
      </c>
      <c r="D1710" s="101">
        <v>7979034610</v>
      </c>
      <c r="E1710" s="1419" t="s">
        <v>9186</v>
      </c>
      <c r="F1710" s="1420" t="s">
        <v>10238</v>
      </c>
      <c r="G1710" s="1419" t="s">
        <v>10239</v>
      </c>
      <c r="H1710" s="1419" t="s">
        <v>1869</v>
      </c>
      <c r="I1710" s="51" t="s">
        <v>10319</v>
      </c>
      <c r="J1710" t="s">
        <v>507</v>
      </c>
    </row>
    <row r="1711" spans="3:11" ht="15" customHeight="1">
      <c r="C1711" s="162">
        <v>45765</v>
      </c>
      <c r="D1711" s="101">
        <v>9097401134</v>
      </c>
      <c r="E1711" s="1907" t="s">
        <v>10318</v>
      </c>
      <c r="H1711" s="1426" t="s">
        <v>2047</v>
      </c>
      <c r="I1711" t="s">
        <v>10317</v>
      </c>
      <c r="J1711" t="s">
        <v>507</v>
      </c>
    </row>
    <row r="1712" spans="3:11" ht="15" customHeight="1">
      <c r="C1712" s="162">
        <v>45772</v>
      </c>
      <c r="D1712" s="101">
        <v>9031398274</v>
      </c>
      <c r="E1712" s="1608" t="s">
        <v>11133</v>
      </c>
      <c r="F1712" t="s">
        <v>209</v>
      </c>
      <c r="H1712" s="1429" t="s">
        <v>2071</v>
      </c>
      <c r="I1712" t="s">
        <v>10347</v>
      </c>
      <c r="J1712" s="95">
        <v>45925</v>
      </c>
    </row>
    <row r="1713" spans="3:11" ht="15" customHeight="1">
      <c r="C1713" s="162">
        <v>45772</v>
      </c>
      <c r="D1713" s="101">
        <v>8207755181</v>
      </c>
      <c r="E1713" s="1429" t="s">
        <v>9491</v>
      </c>
      <c r="H1713" s="1429" t="s">
        <v>2071</v>
      </c>
      <c r="I1713" s="51" t="s">
        <v>10348</v>
      </c>
      <c r="J1713" s="1437" t="s">
        <v>100</v>
      </c>
    </row>
    <row r="1714" spans="3:11" ht="15" customHeight="1">
      <c r="C1714" s="162">
        <v>45772</v>
      </c>
      <c r="E1714" s="1429" t="s">
        <v>10349</v>
      </c>
      <c r="H1714" s="1429" t="s">
        <v>418</v>
      </c>
      <c r="I1714" s="51" t="s">
        <v>10350</v>
      </c>
      <c r="J1714" s="1437" t="s">
        <v>2562</v>
      </c>
    </row>
    <row r="1715" spans="3:11" ht="15" customHeight="1">
      <c r="C1715" s="162">
        <v>45778</v>
      </c>
      <c r="D1715" s="101">
        <v>6207572581</v>
      </c>
      <c r="E1715" s="1434" t="s">
        <v>10377</v>
      </c>
      <c r="H1715" s="1434" t="s">
        <v>2071</v>
      </c>
      <c r="I1715" s="51" t="s">
        <v>10376</v>
      </c>
      <c r="J1715" s="2027" t="s">
        <v>39</v>
      </c>
      <c r="K1715" s="95">
        <v>45790</v>
      </c>
    </row>
    <row r="1716" spans="3:11" ht="15" customHeight="1">
      <c r="C1716" s="162">
        <v>45783</v>
      </c>
      <c r="D1716" s="101">
        <v>7992429668</v>
      </c>
      <c r="E1716" s="1435" t="s">
        <v>9483</v>
      </c>
      <c r="H1716" s="1435" t="s">
        <v>1905</v>
      </c>
      <c r="I1716" t="s">
        <v>10406</v>
      </c>
      <c r="J1716" s="95">
        <v>45842</v>
      </c>
    </row>
    <row r="1717" spans="3:11" ht="15" customHeight="1">
      <c r="C1717" s="162">
        <v>45783</v>
      </c>
      <c r="D1717" s="101">
        <v>9525504927</v>
      </c>
      <c r="E1717" s="1435" t="s">
        <v>10402</v>
      </c>
      <c r="H1717" s="1435" t="s">
        <v>2071</v>
      </c>
      <c r="I1717" t="s">
        <v>10407</v>
      </c>
      <c r="J1717" s="95">
        <v>45796</v>
      </c>
    </row>
    <row r="1718" spans="3:11" ht="15" customHeight="1">
      <c r="C1718" s="162">
        <v>45783</v>
      </c>
      <c r="D1718" s="101">
        <v>6200892963</v>
      </c>
      <c r="E1718" s="1435" t="s">
        <v>8500</v>
      </c>
      <c r="H1718" s="1435" t="s">
        <v>2067</v>
      </c>
      <c r="I1718" t="s">
        <v>10408</v>
      </c>
      <c r="J1718" s="95">
        <v>45842</v>
      </c>
    </row>
    <row r="1719" spans="3:11" ht="15" customHeight="1">
      <c r="C1719" s="162">
        <v>45783</v>
      </c>
      <c r="D1719" s="101">
        <v>9204662668</v>
      </c>
      <c r="E1719" s="1435" t="s">
        <v>10403</v>
      </c>
      <c r="H1719" s="1435" t="s">
        <v>2067</v>
      </c>
      <c r="I1719" s="51" t="s">
        <v>10409</v>
      </c>
      <c r="J1719" s="95">
        <v>45794</v>
      </c>
    </row>
    <row r="1720" spans="3:11" ht="15" customHeight="1">
      <c r="C1720" s="162">
        <v>45783</v>
      </c>
      <c r="D1720" s="101">
        <v>7991170521</v>
      </c>
      <c r="E1720" s="1436" t="s">
        <v>4661</v>
      </c>
      <c r="H1720" s="1437" t="s">
        <v>1785</v>
      </c>
      <c r="I1720" s="51" t="s">
        <v>10410</v>
      </c>
      <c r="J1720" s="95">
        <v>45795</v>
      </c>
    </row>
    <row r="1721" spans="3:11" ht="15" customHeight="1">
      <c r="C1721" s="162">
        <v>45783</v>
      </c>
      <c r="D1721" s="101">
        <v>7991170521</v>
      </c>
      <c r="E1721" s="1436" t="s">
        <v>4659</v>
      </c>
      <c r="H1721" s="1437" t="s">
        <v>1785</v>
      </c>
      <c r="I1721" s="51" t="s">
        <v>10461</v>
      </c>
      <c r="J1721" s="95">
        <v>45795</v>
      </c>
    </row>
    <row r="1722" spans="3:11" ht="15" customHeight="1">
      <c r="C1722" s="162">
        <v>45783</v>
      </c>
      <c r="E1722" s="1437" t="s">
        <v>10412</v>
      </c>
      <c r="F1722" s="1437" t="s">
        <v>209</v>
      </c>
      <c r="H1722" s="1437" t="s">
        <v>2284</v>
      </c>
      <c r="I1722" s="51" t="s">
        <v>10411</v>
      </c>
      <c r="J1722" t="s">
        <v>507</v>
      </c>
    </row>
    <row r="1723" spans="3:11" ht="15" customHeight="1">
      <c r="C1723" s="162">
        <v>45793</v>
      </c>
      <c r="D1723" s="101">
        <v>9204215411</v>
      </c>
      <c r="E1723" s="1441" t="s">
        <v>10460</v>
      </c>
      <c r="H1723" s="1441" t="s">
        <v>2067</v>
      </c>
      <c r="I1723" s="51" t="s">
        <v>10459</v>
      </c>
      <c r="J1723" s="95">
        <v>45806</v>
      </c>
    </row>
    <row r="1724" spans="3:11" ht="15" customHeight="1">
      <c r="C1724" s="162">
        <v>45793</v>
      </c>
      <c r="D1724" s="101">
        <v>8207755181</v>
      </c>
      <c r="E1724" s="1429" t="s">
        <v>9491</v>
      </c>
      <c r="H1724" s="1441" t="s">
        <v>2067</v>
      </c>
      <c r="I1724" t="s">
        <v>10462</v>
      </c>
      <c r="J1724" s="95">
        <v>45812</v>
      </c>
    </row>
    <row r="1725" spans="3:11" ht="15" customHeight="1">
      <c r="C1725" s="162">
        <v>45794</v>
      </c>
      <c r="D1725" s="101">
        <v>7981404296</v>
      </c>
      <c r="E1725" s="1442" t="s">
        <v>10464</v>
      </c>
      <c r="H1725" s="1442" t="s">
        <v>1392</v>
      </c>
      <c r="I1725" s="1442" t="s">
        <v>10463</v>
      </c>
      <c r="J1725" s="95">
        <v>45805</v>
      </c>
    </row>
    <row r="1726" spans="3:11" ht="15" customHeight="1">
      <c r="C1726" s="162">
        <v>45796</v>
      </c>
      <c r="D1726" s="101">
        <v>9263977226</v>
      </c>
      <c r="E1726" s="1446" t="s">
        <v>6598</v>
      </c>
      <c r="H1726" s="1446" t="s">
        <v>2268</v>
      </c>
      <c r="I1726" s="1501" t="s">
        <v>10478</v>
      </c>
      <c r="J1726" s="2028">
        <v>45852</v>
      </c>
    </row>
    <row r="1727" spans="3:11" ht="15" customHeight="1">
      <c r="C1727" s="162">
        <v>45796</v>
      </c>
      <c r="D1727" s="101">
        <v>7482805918</v>
      </c>
      <c r="E1727" s="1446" t="s">
        <v>1680</v>
      </c>
      <c r="H1727" s="1446" t="s">
        <v>2067</v>
      </c>
      <c r="I1727" t="s">
        <v>10479</v>
      </c>
      <c r="J1727" s="1453" t="s">
        <v>507</v>
      </c>
    </row>
    <row r="1728" spans="3:11" ht="15" customHeight="1">
      <c r="C1728" s="162">
        <v>45809</v>
      </c>
      <c r="D1728" s="101">
        <v>8092201640</v>
      </c>
      <c r="E1728" s="1453" t="s">
        <v>10558</v>
      </c>
      <c r="H1728" s="1453" t="s">
        <v>2071</v>
      </c>
      <c r="I1728" t="s">
        <v>10557</v>
      </c>
      <c r="J1728" s="1453" t="s">
        <v>507</v>
      </c>
    </row>
    <row r="1729" spans="3:10" ht="15" customHeight="1">
      <c r="C1729" s="162">
        <v>45814</v>
      </c>
      <c r="D1729" s="101">
        <v>7488349243</v>
      </c>
      <c r="E1729" s="1456" t="s">
        <v>9505</v>
      </c>
      <c r="H1729" s="1456" t="s">
        <v>1961</v>
      </c>
      <c r="I1729" t="s">
        <v>10607</v>
      </c>
      <c r="J1729" s="1453" t="s">
        <v>507</v>
      </c>
    </row>
    <row r="1730" spans="3:10" ht="15" customHeight="1">
      <c r="C1730" s="162">
        <v>45814</v>
      </c>
      <c r="D1730" s="101">
        <v>9234252228</v>
      </c>
      <c r="E1730" s="1459" t="s">
        <v>10608</v>
      </c>
      <c r="H1730" s="1459" t="s">
        <v>2067</v>
      </c>
      <c r="I1730" t="s">
        <v>10609</v>
      </c>
      <c r="J1730" s="1453" t="s">
        <v>507</v>
      </c>
    </row>
    <row r="1731" spans="3:10" ht="15" customHeight="1">
      <c r="C1731" s="162">
        <v>45814</v>
      </c>
      <c r="E1731" s="1459" t="s">
        <v>10610</v>
      </c>
      <c r="H1731" s="1459" t="s">
        <v>2067</v>
      </c>
      <c r="I1731" t="s">
        <v>10611</v>
      </c>
      <c r="J1731" s="1453" t="s">
        <v>507</v>
      </c>
    </row>
    <row r="1732" spans="3:10" ht="15" customHeight="1">
      <c r="C1732" s="162">
        <v>45816</v>
      </c>
      <c r="D1732" s="101">
        <v>9955579391</v>
      </c>
      <c r="E1732" s="1461" t="s">
        <v>10612</v>
      </c>
      <c r="H1732" s="1461" t="s">
        <v>2067</v>
      </c>
      <c r="I1732" s="1515" t="s">
        <v>10613</v>
      </c>
      <c r="J1732" s="2028">
        <v>45855</v>
      </c>
    </row>
    <row r="1733" spans="3:10" ht="15" customHeight="1">
      <c r="C1733" s="162">
        <v>45816</v>
      </c>
      <c r="D1733" s="101">
        <v>8757155096</v>
      </c>
      <c r="E1733" s="1461" t="s">
        <v>10615</v>
      </c>
      <c r="H1733" s="1461" t="s">
        <v>4942</v>
      </c>
      <c r="I1733" s="1614" t="s">
        <v>10614</v>
      </c>
      <c r="J1733" s="1614" t="s">
        <v>11153</v>
      </c>
    </row>
    <row r="1734" spans="3:10" ht="15" customHeight="1">
      <c r="C1734" s="162">
        <v>45816</v>
      </c>
      <c r="D1734" s="101">
        <v>8757155096</v>
      </c>
      <c r="E1734" s="1461" t="s">
        <v>7108</v>
      </c>
      <c r="H1734" s="1461" t="s">
        <v>4942</v>
      </c>
      <c r="I1734" s="1614" t="s">
        <v>10616</v>
      </c>
      <c r="J1734" s="1614" t="s">
        <v>11153</v>
      </c>
    </row>
    <row r="1735" spans="3:10" ht="15" customHeight="1">
      <c r="C1735" s="162"/>
      <c r="E1735" s="1540" t="s">
        <v>1680</v>
      </c>
      <c r="H1735" s="1461"/>
      <c r="I1735" s="1503" t="s">
        <v>10842</v>
      </c>
      <c r="J1735" s="1453"/>
    </row>
    <row r="1736" spans="3:10" ht="15" customHeight="1">
      <c r="C1736" s="162"/>
      <c r="E1736" s="1540" t="s">
        <v>10843</v>
      </c>
      <c r="H1736" s="1461"/>
      <c r="I1736" s="1503" t="s">
        <v>10841</v>
      </c>
      <c r="J1736" s="2028">
        <v>45865</v>
      </c>
    </row>
    <row r="1737" spans="3:10" ht="15" customHeight="1">
      <c r="C1737" s="162">
        <v>45819</v>
      </c>
      <c r="D1737" s="101">
        <v>6395239697</v>
      </c>
      <c r="E1737" s="1464" t="s">
        <v>10639</v>
      </c>
      <c r="H1737" s="1464" t="s">
        <v>2067</v>
      </c>
      <c r="I1737" t="s">
        <v>10692</v>
      </c>
      <c r="J1737" s="1453" t="s">
        <v>507</v>
      </c>
    </row>
    <row r="1738" spans="3:10" ht="15" customHeight="1">
      <c r="C1738" s="162">
        <v>56778</v>
      </c>
      <c r="D1738" s="101">
        <v>7461882885</v>
      </c>
      <c r="E1738" s="1500" t="s">
        <v>10743</v>
      </c>
      <c r="H1738" s="1500" t="s">
        <v>2071</v>
      </c>
      <c r="I1738" s="1500" t="s">
        <v>10745</v>
      </c>
      <c r="J1738" s="2028">
        <v>45851</v>
      </c>
    </row>
    <row r="1739" spans="3:10" ht="15" customHeight="1">
      <c r="C1739" s="162">
        <v>56778</v>
      </c>
      <c r="D1739" s="101">
        <v>7461882885</v>
      </c>
      <c r="E1739" s="1500" t="s">
        <v>10744</v>
      </c>
      <c r="H1739" s="1500" t="s">
        <v>2071</v>
      </c>
      <c r="I1739" t="s">
        <v>10746</v>
      </c>
      <c r="J1739" s="2028">
        <v>45851</v>
      </c>
    </row>
    <row r="1740" spans="3:10" ht="15" customHeight="1">
      <c r="C1740" s="162">
        <v>45830</v>
      </c>
      <c r="E1740" s="1466" t="s">
        <v>10646</v>
      </c>
      <c r="H1740" s="1467" t="s">
        <v>10168</v>
      </c>
      <c r="I1740" t="s">
        <v>10645</v>
      </c>
      <c r="J1740" s="95">
        <v>45836</v>
      </c>
    </row>
    <row r="1741" spans="3:10" ht="15" customHeight="1">
      <c r="C1741" s="162">
        <v>45831</v>
      </c>
      <c r="D1741" s="101">
        <v>7209683727</v>
      </c>
      <c r="E1741" s="1467" t="s">
        <v>10648</v>
      </c>
      <c r="H1741" s="1467" t="s">
        <v>1869</v>
      </c>
      <c r="I1741" t="s">
        <v>10647</v>
      </c>
      <c r="J1741" t="s">
        <v>507</v>
      </c>
    </row>
    <row r="1742" spans="3:10" ht="15" customHeight="1">
      <c r="C1742" s="162">
        <v>45831</v>
      </c>
      <c r="D1742" s="101">
        <v>7209683727</v>
      </c>
      <c r="E1742" s="1467" t="s">
        <v>7493</v>
      </c>
      <c r="H1742" s="1467" t="s">
        <v>1869</v>
      </c>
      <c r="I1742" t="s">
        <v>10649</v>
      </c>
      <c r="J1742" t="s">
        <v>507</v>
      </c>
    </row>
    <row r="1743" spans="3:10" ht="15" customHeight="1">
      <c r="C1743" s="162">
        <v>45831</v>
      </c>
      <c r="D1743" s="101">
        <v>8797312103</v>
      </c>
      <c r="E1743" s="1468" t="s">
        <v>10652</v>
      </c>
      <c r="H1743" s="1468" t="s">
        <v>2096</v>
      </c>
      <c r="I1743" t="s">
        <v>10653</v>
      </c>
      <c r="J1743" t="s">
        <v>507</v>
      </c>
    </row>
    <row r="1744" spans="3:10" ht="15" customHeight="1">
      <c r="C1744" s="162">
        <v>45832</v>
      </c>
      <c r="D1744" s="101">
        <v>9934188901</v>
      </c>
      <c r="E1744" s="1471" t="s">
        <v>10668</v>
      </c>
      <c r="H1744" s="1471" t="s">
        <v>2956</v>
      </c>
      <c r="I1744" t="s">
        <v>10667</v>
      </c>
      <c r="J1744" s="95">
        <v>45841</v>
      </c>
    </row>
    <row r="1745" spans="3:11" ht="15" customHeight="1">
      <c r="C1745" s="162">
        <v>45832</v>
      </c>
      <c r="D1745" s="101">
        <v>6202296940</v>
      </c>
      <c r="E1745" s="1471" t="s">
        <v>10669</v>
      </c>
      <c r="H1745" s="1471" t="s">
        <v>1275</v>
      </c>
      <c r="I1745" t="s">
        <v>10670</v>
      </c>
      <c r="J1745" t="s">
        <v>507</v>
      </c>
    </row>
    <row r="1746" spans="3:11" ht="15" customHeight="1">
      <c r="E1746" s="1473" t="s">
        <v>10674</v>
      </c>
      <c r="I1746" s="1490" t="s">
        <v>10673</v>
      </c>
      <c r="J1746" t="s">
        <v>507</v>
      </c>
    </row>
    <row r="1747" spans="3:11" ht="15" customHeight="1">
      <c r="C1747" s="162">
        <v>45803</v>
      </c>
      <c r="E1747" s="1475" t="s">
        <v>8154</v>
      </c>
      <c r="H1747" s="1475" t="s">
        <v>2067</v>
      </c>
      <c r="I1747" t="s">
        <v>10684</v>
      </c>
      <c r="J1747" s="95">
        <v>45846</v>
      </c>
    </row>
    <row r="1748" spans="3:11" ht="15" customHeight="1">
      <c r="C1748" s="162">
        <v>45803</v>
      </c>
      <c r="E1748" s="1475" t="s">
        <v>8113</v>
      </c>
      <c r="H1748" s="1475" t="s">
        <v>2067</v>
      </c>
      <c r="I1748" t="s">
        <v>10685</v>
      </c>
      <c r="J1748" s="95">
        <v>45846</v>
      </c>
    </row>
    <row r="1749" spans="3:11" ht="15" customHeight="1">
      <c r="C1749" s="162">
        <v>45841</v>
      </c>
      <c r="D1749" s="101">
        <v>6207572581</v>
      </c>
      <c r="E1749" s="1480" t="s">
        <v>10377</v>
      </c>
      <c r="G1749" s="1271" t="s">
        <v>265</v>
      </c>
      <c r="H1749" s="1480" t="s">
        <v>2071</v>
      </c>
      <c r="I1749" t="s">
        <v>10696</v>
      </c>
      <c r="J1749" s="2029" t="s">
        <v>165</v>
      </c>
    </row>
    <row r="1750" spans="3:11" ht="15" customHeight="1">
      <c r="C1750" s="162">
        <v>45841</v>
      </c>
      <c r="D1750" s="101">
        <v>7808482250</v>
      </c>
      <c r="E1750" s="1484" t="s">
        <v>7529</v>
      </c>
      <c r="H1750" s="1480" t="s">
        <v>2071</v>
      </c>
      <c r="I1750" t="s">
        <v>10697</v>
      </c>
      <c r="J1750" s="2030">
        <v>45870</v>
      </c>
    </row>
    <row r="1751" spans="3:11" ht="15" customHeight="1">
      <c r="C1751" s="162">
        <v>45840</v>
      </c>
      <c r="D1751" s="101">
        <v>8340447064</v>
      </c>
      <c r="E1751" s="1484" t="s">
        <v>7551</v>
      </c>
      <c r="H1751" s="1484" t="s">
        <v>1275</v>
      </c>
      <c r="I1751" t="s">
        <v>10698</v>
      </c>
      <c r="J1751" s="2031" t="s">
        <v>507</v>
      </c>
    </row>
    <row r="1752" spans="3:11" ht="15" customHeight="1">
      <c r="C1752" s="162">
        <v>45840</v>
      </c>
      <c r="D1752" s="101">
        <v>7295914524</v>
      </c>
      <c r="E1752" s="1484" t="s">
        <v>7351</v>
      </c>
      <c r="H1752" t="s">
        <v>2067</v>
      </c>
      <c r="I1752" t="s">
        <v>10699</v>
      </c>
      <c r="J1752" s="2030">
        <v>45851</v>
      </c>
    </row>
    <row r="1753" spans="3:11" ht="15" customHeight="1">
      <c r="C1753" s="162">
        <v>45841</v>
      </c>
      <c r="D1753" s="101">
        <v>8340108587</v>
      </c>
      <c r="E1753" s="1484" t="s">
        <v>10702</v>
      </c>
      <c r="G1753" s="1271" t="s">
        <v>2047</v>
      </c>
      <c r="H1753" t="s">
        <v>4773</v>
      </c>
      <c r="I1753" t="s">
        <v>10725</v>
      </c>
      <c r="J1753" s="2030">
        <v>45864</v>
      </c>
    </row>
    <row r="1754" spans="3:11" ht="15" customHeight="1">
      <c r="C1754" s="162">
        <v>45841</v>
      </c>
      <c r="D1754" s="101">
        <v>9204410971</v>
      </c>
      <c r="E1754" s="1484" t="s">
        <v>9138</v>
      </c>
      <c r="H1754">
        <v>17</v>
      </c>
      <c r="I1754" t="s">
        <v>10704</v>
      </c>
      <c r="J1754" s="2032" t="s">
        <v>39</v>
      </c>
      <c r="K1754" s="95">
        <v>45901</v>
      </c>
    </row>
    <row r="1755" spans="3:11" ht="15" customHeight="1">
      <c r="C1755" s="162">
        <v>45842</v>
      </c>
      <c r="D1755" s="101">
        <v>9931059902</v>
      </c>
      <c r="E1755" s="1473" t="s">
        <v>10674</v>
      </c>
      <c r="G1755" s="1271">
        <v>15</v>
      </c>
      <c r="H1755" s="1489" t="s">
        <v>2122</v>
      </c>
      <c r="I1755" s="1515" t="s">
        <v>10711</v>
      </c>
      <c r="J1755" s="2030">
        <v>45855</v>
      </c>
    </row>
    <row r="1756" spans="3:11" ht="15" customHeight="1">
      <c r="C1756" s="162">
        <v>45843</v>
      </c>
      <c r="D1756" s="101">
        <v>7992429668</v>
      </c>
      <c r="E1756" s="1490" t="s">
        <v>10713</v>
      </c>
      <c r="G1756" s="1271">
        <v>17</v>
      </c>
      <c r="H1756" s="1490" t="s">
        <v>1905</v>
      </c>
      <c r="I1756" s="1522" t="s">
        <v>10712</v>
      </c>
      <c r="J1756" s="2030">
        <v>45857</v>
      </c>
    </row>
    <row r="1757" spans="3:11" ht="15" customHeight="1">
      <c r="C1757" s="162">
        <v>45848</v>
      </c>
      <c r="D1757" s="101">
        <v>8797876422</v>
      </c>
      <c r="E1757" s="1495" t="s">
        <v>477</v>
      </c>
      <c r="H1757" s="1495" t="s">
        <v>1275</v>
      </c>
      <c r="I1757" s="1523" t="s">
        <v>10735</v>
      </c>
      <c r="J1757" s="2030">
        <v>45858</v>
      </c>
    </row>
    <row r="1758" spans="3:11" ht="15" customHeight="1">
      <c r="C1758" s="162">
        <v>45848</v>
      </c>
      <c r="D1758" s="101">
        <v>9508758380</v>
      </c>
      <c r="E1758" s="1495" t="s">
        <v>10737</v>
      </c>
      <c r="G1758" s="1271">
        <v>15</v>
      </c>
      <c r="H1758" s="1495" t="s">
        <v>2996</v>
      </c>
      <c r="I1758" t="s">
        <v>10736</v>
      </c>
      <c r="J1758" s="2030">
        <v>45865</v>
      </c>
    </row>
    <row r="1759" spans="3:11" ht="15" customHeight="1">
      <c r="C1759" s="162">
        <v>45848</v>
      </c>
      <c r="D1759" s="101">
        <v>9470393625</v>
      </c>
      <c r="E1759" s="1495" t="s">
        <v>10738</v>
      </c>
      <c r="G1759" s="1496" t="s">
        <v>2047</v>
      </c>
      <c r="H1759" s="1495" t="s">
        <v>5322</v>
      </c>
      <c r="I1759" t="s">
        <v>10739</v>
      </c>
      <c r="J1759" s="1537" t="s">
        <v>2535</v>
      </c>
    </row>
    <row r="1760" spans="3:11" ht="15" customHeight="1">
      <c r="C1760" s="162">
        <v>45851</v>
      </c>
      <c r="D1760" s="101">
        <v>6299425872</v>
      </c>
      <c r="E1760" s="1500" t="s">
        <v>6470</v>
      </c>
      <c r="G1760" s="1271" t="s">
        <v>2067</v>
      </c>
      <c r="H1760" s="1495" t="s">
        <v>5322</v>
      </c>
      <c r="I1760" t="s">
        <v>10742</v>
      </c>
      <c r="J1760" s="1537" t="s">
        <v>2535</v>
      </c>
    </row>
    <row r="1761" spans="3:11" ht="15" customHeight="1">
      <c r="C1761" s="162">
        <v>45851</v>
      </c>
      <c r="D1761" s="101">
        <v>8434597277</v>
      </c>
      <c r="E1761" s="1500" t="s">
        <v>10751</v>
      </c>
      <c r="H1761" s="1501" t="s">
        <v>1869</v>
      </c>
      <c r="I1761" s="1518" t="s">
        <v>10752</v>
      </c>
      <c r="J1761" s="2030">
        <v>45856</v>
      </c>
    </row>
    <row r="1762" spans="3:11" ht="15" customHeight="1">
      <c r="C1762" s="162">
        <v>45854</v>
      </c>
      <c r="D1762" s="101">
        <v>7909044366</v>
      </c>
      <c r="E1762" s="1502" t="s">
        <v>10753</v>
      </c>
      <c r="H1762" s="1507" t="s">
        <v>10356</v>
      </c>
      <c r="I1762" t="s">
        <v>10775</v>
      </c>
      <c r="J1762" s="2030">
        <v>45856</v>
      </c>
    </row>
    <row r="1763" spans="3:11" ht="15" customHeight="1">
      <c r="C1763" s="162">
        <v>45854</v>
      </c>
      <c r="D1763" s="101">
        <v>9934012343</v>
      </c>
      <c r="E1763" s="1509" t="s">
        <v>10780</v>
      </c>
      <c r="F1763" t="s">
        <v>10781</v>
      </c>
      <c r="G1763" s="1271" t="s">
        <v>2047</v>
      </c>
      <c r="I1763" s="1518" t="s">
        <v>10782</v>
      </c>
      <c r="J1763" s="95">
        <v>45856</v>
      </c>
    </row>
    <row r="1764" spans="3:11" ht="15" customHeight="1">
      <c r="C1764" s="162">
        <v>45854</v>
      </c>
      <c r="D1764" s="101">
        <v>7482079989</v>
      </c>
      <c r="E1764" s="1509" t="s">
        <v>10785</v>
      </c>
      <c r="G1764" s="1511" t="s">
        <v>10749</v>
      </c>
      <c r="H1764" s="1509" t="s">
        <v>8812</v>
      </c>
      <c r="I1764" s="1526" t="s">
        <v>10784</v>
      </c>
      <c r="J1764" s="2033">
        <v>45860</v>
      </c>
    </row>
    <row r="1765" spans="3:11" ht="15" customHeight="1">
      <c r="C1765" s="162">
        <v>45855</v>
      </c>
      <c r="D1765" s="101">
        <v>9304342307</v>
      </c>
      <c r="E1765" s="1515" t="s">
        <v>10786</v>
      </c>
      <c r="H1765" s="1515" t="s">
        <v>2067</v>
      </c>
      <c r="I1765" s="1518" t="s">
        <v>10789</v>
      </c>
      <c r="J1765" s="2033">
        <v>45860</v>
      </c>
    </row>
    <row r="1766" spans="3:11" ht="15" customHeight="1">
      <c r="C1766" s="162">
        <v>45855</v>
      </c>
      <c r="D1766" s="101">
        <v>7061165670</v>
      </c>
      <c r="E1766" s="1515" t="s">
        <v>5750</v>
      </c>
      <c r="H1766" s="1515" t="s">
        <v>516</v>
      </c>
      <c r="I1766" s="1622" t="s">
        <v>10790</v>
      </c>
      <c r="J1766" s="1537" t="s">
        <v>2535</v>
      </c>
    </row>
    <row r="1767" spans="3:11" ht="15" customHeight="1">
      <c r="C1767" s="162">
        <v>45855</v>
      </c>
      <c r="D1767" s="101">
        <v>8850510339</v>
      </c>
      <c r="E1767" s="1515" t="s">
        <v>10792</v>
      </c>
      <c r="H1767" s="1515" t="s">
        <v>2071</v>
      </c>
      <c r="I1767" s="1537" t="s">
        <v>10791</v>
      </c>
      <c r="J1767" s="1537" t="s">
        <v>2535</v>
      </c>
    </row>
    <row r="1768" spans="3:11" ht="15" customHeight="1">
      <c r="C1768" s="162">
        <v>45856</v>
      </c>
      <c r="D1768" s="101">
        <v>8658517749</v>
      </c>
      <c r="E1768" s="1518" t="s">
        <v>10797</v>
      </c>
      <c r="H1768" s="1518" t="s">
        <v>1955</v>
      </c>
      <c r="I1768" s="1540" t="s">
        <v>10798</v>
      </c>
      <c r="J1768" s="1537" t="s">
        <v>2535</v>
      </c>
    </row>
    <row r="1769" spans="3:11" ht="15" customHeight="1">
      <c r="C1769" s="162">
        <v>45858</v>
      </c>
      <c r="D1769" s="101">
        <v>7004495456</v>
      </c>
      <c r="E1769" s="1523" t="s">
        <v>10807</v>
      </c>
      <c r="G1769" s="1524" t="s">
        <v>2047</v>
      </c>
      <c r="H1769" s="1523" t="s">
        <v>10808</v>
      </c>
      <c r="I1769" s="1547" t="s">
        <v>10806</v>
      </c>
      <c r="J1769" s="1537" t="s">
        <v>2535</v>
      </c>
    </row>
    <row r="1770" spans="3:11" ht="15" customHeight="1">
      <c r="C1770" s="162">
        <v>45861</v>
      </c>
      <c r="E1770" s="1530" t="s">
        <v>10816</v>
      </c>
      <c r="H1770" s="1530" t="s">
        <v>2067</v>
      </c>
      <c r="I1770" s="1566" t="s">
        <v>10815</v>
      </c>
      <c r="J1770" t="s">
        <v>4073</v>
      </c>
    </row>
    <row r="1771" spans="3:11" ht="15" customHeight="1">
      <c r="C1771" s="162">
        <v>45861</v>
      </c>
      <c r="D1771" s="101">
        <v>8986760779</v>
      </c>
      <c r="E1771" s="1530" t="s">
        <v>1772</v>
      </c>
      <c r="H1771" s="1530" t="s">
        <v>7692</v>
      </c>
      <c r="I1771" t="s">
        <v>10817</v>
      </c>
      <c r="J1771" t="s">
        <v>4073</v>
      </c>
    </row>
    <row r="1772" spans="3:11" ht="15" customHeight="1">
      <c r="C1772" s="162">
        <v>45863</v>
      </c>
      <c r="D1772" s="101">
        <v>7739190759</v>
      </c>
      <c r="E1772" s="1534" t="s">
        <v>10074</v>
      </c>
      <c r="H1772" s="1535" t="s">
        <v>2067</v>
      </c>
      <c r="I1772" t="s">
        <v>10825</v>
      </c>
      <c r="J1772" s="95">
        <v>45920</v>
      </c>
    </row>
    <row r="1773" spans="3:11" ht="15" customHeight="1">
      <c r="C1773" s="162">
        <v>45863</v>
      </c>
      <c r="D1773" s="101">
        <v>7737598448</v>
      </c>
      <c r="E1773" s="1534" t="s">
        <v>8743</v>
      </c>
      <c r="H1773" s="1535" t="s">
        <v>2067</v>
      </c>
      <c r="I1773" s="1483" t="s">
        <v>10826</v>
      </c>
      <c r="J1773" s="95">
        <v>45873</v>
      </c>
    </row>
    <row r="1774" spans="3:11" ht="15" customHeight="1">
      <c r="C1774" s="162">
        <v>45869</v>
      </c>
      <c r="D1774" s="101">
        <v>9835764239</v>
      </c>
      <c r="E1774" s="1549" t="s">
        <v>7663</v>
      </c>
      <c r="H1774" s="1549" t="s">
        <v>2071</v>
      </c>
      <c r="I1774" t="s">
        <v>10856</v>
      </c>
      <c r="J1774" s="1571" t="s">
        <v>4073</v>
      </c>
    </row>
    <row r="1775" spans="3:11" ht="15" customHeight="1">
      <c r="C1775" s="162">
        <v>45878</v>
      </c>
      <c r="D1775" s="101">
        <v>8434040389</v>
      </c>
      <c r="E1775" s="1563" t="s">
        <v>10903</v>
      </c>
      <c r="H1775" s="1563" t="s">
        <v>6798</v>
      </c>
      <c r="I1775" s="1565" t="s">
        <v>10902</v>
      </c>
      <c r="J1775" s="2034" t="s">
        <v>39</v>
      </c>
      <c r="K1775" s="95">
        <v>45897</v>
      </c>
    </row>
    <row r="1776" spans="3:11" ht="15" customHeight="1">
      <c r="C1776" s="162">
        <v>45875</v>
      </c>
      <c r="D1776" s="101">
        <v>9653015713</v>
      </c>
      <c r="E1776" s="1556" t="s">
        <v>10877</v>
      </c>
      <c r="H1776" s="1556" t="s">
        <v>2067</v>
      </c>
      <c r="I1776" t="s">
        <v>10904</v>
      </c>
      <c r="J1776" s="1571" t="s">
        <v>4073</v>
      </c>
      <c r="K1776" t="s">
        <v>11061</v>
      </c>
    </row>
    <row r="1777" spans="3:11" ht="15" customHeight="1">
      <c r="C1777" s="162">
        <v>45878</v>
      </c>
      <c r="D1777" s="101">
        <v>7464096801</v>
      </c>
      <c r="E1777" s="1563" t="s">
        <v>10905</v>
      </c>
      <c r="H1777" s="1563" t="s">
        <v>1275</v>
      </c>
      <c r="I1777" t="s">
        <v>10911</v>
      </c>
      <c r="J1777" s="2035" t="s">
        <v>39</v>
      </c>
      <c r="K1777" s="95">
        <v>45901</v>
      </c>
    </row>
    <row r="1778" spans="3:11" ht="15" customHeight="1">
      <c r="C1778" s="162">
        <v>45878</v>
      </c>
      <c r="D1778" s="101">
        <v>8340350061</v>
      </c>
      <c r="E1778" s="1565" t="s">
        <v>10909</v>
      </c>
      <c r="H1778" s="1565" t="s">
        <v>1869</v>
      </c>
      <c r="I1778" s="1584" t="s">
        <v>10910</v>
      </c>
      <c r="J1778" s="1571" t="s">
        <v>4073</v>
      </c>
    </row>
    <row r="1779" spans="3:11" ht="15" customHeight="1">
      <c r="C1779" s="162">
        <v>45878</v>
      </c>
      <c r="D1779" s="101">
        <v>7209226277</v>
      </c>
      <c r="E1779" s="1565" t="s">
        <v>10914</v>
      </c>
      <c r="H1779" s="1568" t="s">
        <v>2018</v>
      </c>
      <c r="I1779" s="1483" t="s">
        <v>10936</v>
      </c>
      <c r="J1779" s="1571" t="s">
        <v>4073</v>
      </c>
    </row>
    <row r="1780" spans="3:11" ht="15" customHeight="1">
      <c r="C1780" s="162">
        <v>45881</v>
      </c>
      <c r="D1780" s="101">
        <v>9525172923</v>
      </c>
      <c r="E1780" s="1568" t="s">
        <v>8107</v>
      </c>
      <c r="H1780" s="1568" t="s">
        <v>2067</v>
      </c>
      <c r="I1780" s="1601" t="s">
        <v>10931</v>
      </c>
      <c r="J1780" s="1571" t="s">
        <v>4073</v>
      </c>
    </row>
    <row r="1781" spans="3:11" ht="15" customHeight="1">
      <c r="C1781" s="162">
        <v>45881</v>
      </c>
      <c r="D1781" s="101">
        <v>9031308154</v>
      </c>
      <c r="E1781" s="1568" t="s">
        <v>10933</v>
      </c>
      <c r="G1781" s="1569" t="s">
        <v>10935</v>
      </c>
      <c r="H1781" s="1568" t="s">
        <v>10934</v>
      </c>
      <c r="I1781" t="s">
        <v>10932</v>
      </c>
      <c r="J1781" s="1571" t="s">
        <v>4073</v>
      </c>
    </row>
    <row r="1782" spans="3:11" ht="15" customHeight="1">
      <c r="C1782" s="162">
        <v>45884</v>
      </c>
      <c r="D1782" s="101">
        <v>6201698769</v>
      </c>
      <c r="E1782" s="1573" t="s">
        <v>10938</v>
      </c>
      <c r="H1782" s="1573" t="s">
        <v>8812</v>
      </c>
      <c r="I1782" t="s">
        <v>10939</v>
      </c>
      <c r="J1782" s="1571" t="s">
        <v>4073</v>
      </c>
    </row>
    <row r="1783" spans="3:11" ht="15" customHeight="1">
      <c r="C1783" s="162">
        <v>45890</v>
      </c>
      <c r="D1783" s="101">
        <v>7739190759</v>
      </c>
      <c r="E1783" s="1576" t="s">
        <v>10074</v>
      </c>
      <c r="H1783" s="1576" t="s">
        <v>2067</v>
      </c>
      <c r="I1783" s="1635" t="s">
        <v>10961</v>
      </c>
      <c r="J1783" t="s">
        <v>39</v>
      </c>
      <c r="K1783" s="95">
        <v>45905</v>
      </c>
    </row>
    <row r="1784" spans="3:11" ht="15" customHeight="1">
      <c r="C1784" s="162">
        <v>45890</v>
      </c>
      <c r="D1784" s="101">
        <v>9031733929</v>
      </c>
      <c r="E1784" s="1576" t="s">
        <v>5377</v>
      </c>
      <c r="H1784" s="1576" t="s">
        <v>2067</v>
      </c>
      <c r="I1784" t="s">
        <v>10962</v>
      </c>
      <c r="J1784" s="2036">
        <v>45910</v>
      </c>
    </row>
    <row r="1785" spans="3:11" ht="15" customHeight="1">
      <c r="C1785" s="162">
        <v>45893</v>
      </c>
      <c r="D1785" s="101">
        <v>9881293956</v>
      </c>
      <c r="E1785" s="1579" t="s">
        <v>10919</v>
      </c>
      <c r="H1785" s="1579" t="s">
        <v>2067</v>
      </c>
      <c r="I1785" s="1483" t="s">
        <v>10977</v>
      </c>
      <c r="J1785" s="1591" t="s">
        <v>100</v>
      </c>
    </row>
    <row r="1786" spans="3:11" ht="15" customHeight="1">
      <c r="C1786" s="162">
        <v>45893</v>
      </c>
      <c r="D1786" s="101">
        <v>9881293956</v>
      </c>
      <c r="E1786" s="1579" t="s">
        <v>921</v>
      </c>
      <c r="H1786" s="1579" t="s">
        <v>2067</v>
      </c>
      <c r="I1786" s="1483" t="s">
        <v>10977</v>
      </c>
      <c r="J1786" s="1591" t="s">
        <v>100</v>
      </c>
    </row>
    <row r="1787" spans="3:11" ht="15" customHeight="1">
      <c r="C1787" s="162">
        <v>45896</v>
      </c>
      <c r="D1787" s="101">
        <v>8789228843</v>
      </c>
      <c r="E1787" s="1582" t="s">
        <v>10997</v>
      </c>
      <c r="H1787">
        <v>18</v>
      </c>
      <c r="I1787" t="s">
        <v>10996</v>
      </c>
      <c r="J1787" s="2037" t="s">
        <v>4073</v>
      </c>
    </row>
    <row r="1788" spans="3:11" ht="15" customHeight="1">
      <c r="C1788" s="162">
        <v>45896</v>
      </c>
      <c r="D1788" s="101">
        <v>8092252094</v>
      </c>
      <c r="E1788" s="1582" t="s">
        <v>10998</v>
      </c>
      <c r="H1788">
        <v>18</v>
      </c>
      <c r="I1788" s="1483" t="s">
        <v>10999</v>
      </c>
      <c r="J1788" s="2037" t="s">
        <v>39</v>
      </c>
      <c r="K1788" s="95">
        <v>45908</v>
      </c>
    </row>
    <row r="1789" spans="3:11" ht="15" customHeight="1">
      <c r="C1789" s="162">
        <v>45899</v>
      </c>
      <c r="D1789" s="101">
        <v>8603823870</v>
      </c>
      <c r="E1789" s="1583" t="s">
        <v>9887</v>
      </c>
      <c r="H1789" s="1583" t="s">
        <v>4211</v>
      </c>
      <c r="I1789" t="s">
        <v>11015</v>
      </c>
      <c r="J1789" s="2037" t="s">
        <v>4073</v>
      </c>
    </row>
    <row r="1790" spans="3:11" ht="15" customHeight="1">
      <c r="C1790" s="162">
        <v>45905</v>
      </c>
      <c r="D1790" s="101">
        <v>8789949531</v>
      </c>
      <c r="E1790" s="1586" t="s">
        <v>11049</v>
      </c>
      <c r="H1790" s="1586">
        <v>17</v>
      </c>
      <c r="I1790" s="1483" t="s">
        <v>11050</v>
      </c>
      <c r="J1790" s="95">
        <v>45919</v>
      </c>
    </row>
    <row r="1791" spans="3:11" ht="15" customHeight="1">
      <c r="C1791" s="162">
        <v>45905</v>
      </c>
      <c r="D1791" s="101">
        <v>7856918580</v>
      </c>
      <c r="E1791" s="1587" t="s">
        <v>11052</v>
      </c>
      <c r="H1791">
        <v>17</v>
      </c>
      <c r="I1791" t="s">
        <v>11051</v>
      </c>
      <c r="J1791" t="s">
        <v>507</v>
      </c>
    </row>
    <row r="1792" spans="3:11" ht="15" customHeight="1">
      <c r="C1792" s="162">
        <v>45909</v>
      </c>
      <c r="D1792" s="101">
        <v>7061248700</v>
      </c>
      <c r="E1792" s="1594" t="s">
        <v>8785</v>
      </c>
      <c r="H1792" s="1594" t="s">
        <v>11074</v>
      </c>
      <c r="I1792" t="s">
        <v>11071</v>
      </c>
      <c r="J1792" t="s">
        <v>507</v>
      </c>
    </row>
    <row r="1793" spans="3:10" ht="15" customHeight="1">
      <c r="C1793" s="162">
        <v>45909</v>
      </c>
      <c r="D1793" s="101">
        <v>9204518790</v>
      </c>
      <c r="E1793" s="1594" t="s">
        <v>11072</v>
      </c>
      <c r="H1793">
        <v>17</v>
      </c>
      <c r="I1793" s="48" t="s">
        <v>11073</v>
      </c>
      <c r="J1793" t="s">
        <v>507</v>
      </c>
    </row>
    <row r="1794" spans="3:10" ht="15" customHeight="1">
      <c r="C1794" s="162">
        <v>45916</v>
      </c>
      <c r="D1794" s="101">
        <v>6207158601</v>
      </c>
      <c r="E1794" s="1599" t="s">
        <v>11095</v>
      </c>
      <c r="H1794" s="1599" t="s">
        <v>11096</v>
      </c>
      <c r="I1794" t="s">
        <v>11094</v>
      </c>
      <c r="J1794" t="s">
        <v>507</v>
      </c>
    </row>
    <row r="1795" spans="3:10" ht="15" customHeight="1">
      <c r="C1795" s="162">
        <v>45918</v>
      </c>
      <c r="D1795" s="101">
        <v>9546014282</v>
      </c>
      <c r="E1795" s="1600" t="s">
        <v>11104</v>
      </c>
      <c r="H1795" s="1600" t="s">
        <v>1869</v>
      </c>
      <c r="I1795" s="1483" t="s">
        <v>11103</v>
      </c>
      <c r="J1795" s="95">
        <v>45947</v>
      </c>
    </row>
    <row r="1796" spans="3:10" ht="15" customHeight="1">
      <c r="C1796" s="162">
        <v>45918</v>
      </c>
      <c r="D1796" s="101">
        <v>7061248700</v>
      </c>
      <c r="E1796" s="1594" t="s">
        <v>8785</v>
      </c>
      <c r="H1796" s="1594" t="s">
        <v>11074</v>
      </c>
      <c r="I1796" t="s">
        <v>11105</v>
      </c>
      <c r="J1796" s="2038">
        <v>45940</v>
      </c>
    </row>
    <row r="1797" spans="3:10" ht="15" customHeight="1">
      <c r="C1797" s="162">
        <v>45919</v>
      </c>
      <c r="D1797" s="101">
        <v>8540035242</v>
      </c>
      <c r="E1797" s="1601" t="s">
        <v>9518</v>
      </c>
      <c r="H1797" s="1601" t="s">
        <v>2987</v>
      </c>
      <c r="I1797" s="1483" t="s">
        <v>11120</v>
      </c>
      <c r="J1797" s="1627" t="s">
        <v>507</v>
      </c>
    </row>
    <row r="1798" spans="3:10" ht="15" customHeight="1">
      <c r="C1798" s="162">
        <v>45920</v>
      </c>
      <c r="D1798" s="101">
        <v>7857806117</v>
      </c>
      <c r="E1798" s="1602" t="s">
        <v>6820</v>
      </c>
      <c r="G1798" s="1603" t="s">
        <v>8250</v>
      </c>
      <c r="H1798" s="1602" t="s">
        <v>11124</v>
      </c>
      <c r="I1798" t="s">
        <v>11123</v>
      </c>
      <c r="J1798" s="95">
        <v>45936</v>
      </c>
    </row>
    <row r="1799" spans="3:10" ht="15" customHeight="1">
      <c r="C1799" s="162">
        <v>45922</v>
      </c>
      <c r="D1799" s="101">
        <v>9279268766</v>
      </c>
      <c r="E1799" s="1606" t="s">
        <v>11128</v>
      </c>
      <c r="H1799" s="1606" t="s">
        <v>11129</v>
      </c>
      <c r="I1799" s="1483" t="s">
        <v>11127</v>
      </c>
      <c r="J1799" t="s">
        <v>507</v>
      </c>
    </row>
    <row r="1800" spans="3:10" ht="15" customHeight="1">
      <c r="C1800" s="162">
        <v>45927</v>
      </c>
      <c r="D1800" s="101">
        <v>8210926195</v>
      </c>
      <c r="E1800" s="1609" t="s">
        <v>11142</v>
      </c>
      <c r="H1800" s="1609" t="s">
        <v>1869</v>
      </c>
      <c r="I1800" s="1483" t="s">
        <v>11141</v>
      </c>
      <c r="J1800" t="s">
        <v>507</v>
      </c>
    </row>
    <row r="1801" spans="3:10" ht="15" customHeight="1">
      <c r="C1801" s="162">
        <v>45929</v>
      </c>
      <c r="D1801" s="101">
        <v>9470949935</v>
      </c>
      <c r="E1801" s="1610" t="s">
        <v>11144</v>
      </c>
      <c r="H1801" s="1610" t="s">
        <v>11145</v>
      </c>
      <c r="I1801" t="s">
        <v>11143</v>
      </c>
      <c r="J1801" s="1627" t="s">
        <v>161</v>
      </c>
    </row>
    <row r="1802" spans="3:10" ht="15" customHeight="1">
      <c r="C1802" s="162">
        <v>45939</v>
      </c>
      <c r="D1802" s="101">
        <v>9234627817</v>
      </c>
      <c r="E1802" s="1617" t="s">
        <v>11164</v>
      </c>
      <c r="H1802" s="1617" t="s">
        <v>2071</v>
      </c>
      <c r="I1802" t="s">
        <v>11163</v>
      </c>
      <c r="J1802" s="1627" t="s">
        <v>507</v>
      </c>
    </row>
    <row r="1803" spans="3:10" ht="15" customHeight="1">
      <c r="C1803" s="162">
        <v>45942</v>
      </c>
      <c r="D1803" s="101">
        <v>7979034610</v>
      </c>
      <c r="E1803" s="1620" t="s">
        <v>9186</v>
      </c>
      <c r="H1803" s="1620" t="s">
        <v>2956</v>
      </c>
      <c r="I1803" t="s">
        <v>11173</v>
      </c>
      <c r="J1803" s="1627" t="s">
        <v>507</v>
      </c>
    </row>
    <row r="1804" spans="3:10" ht="15" customHeight="1">
      <c r="C1804" s="162">
        <v>45942</v>
      </c>
      <c r="D1804" s="101">
        <v>9334964342</v>
      </c>
      <c r="E1804" s="1620" t="s">
        <v>11174</v>
      </c>
      <c r="H1804" s="1620" t="s">
        <v>1275</v>
      </c>
      <c r="I1804" t="s">
        <v>11175</v>
      </c>
      <c r="J1804" s="2039" t="s">
        <v>3882</v>
      </c>
    </row>
    <row r="1805" spans="3:10" ht="15" customHeight="1">
      <c r="C1805" s="162">
        <v>45942</v>
      </c>
      <c r="D1805" s="101">
        <v>8757680660</v>
      </c>
      <c r="E1805" s="1620" t="s">
        <v>11172</v>
      </c>
      <c r="G1805" s="1621" t="s">
        <v>7566</v>
      </c>
      <c r="H1805" s="1620" t="s">
        <v>1387</v>
      </c>
      <c r="I1805" t="s">
        <v>11177</v>
      </c>
      <c r="J1805" s="2040">
        <v>45963</v>
      </c>
    </row>
    <row r="1806" spans="3:10" ht="15" customHeight="1">
      <c r="C1806" s="162">
        <v>45942</v>
      </c>
      <c r="E1806" s="1620" t="s">
        <v>11179</v>
      </c>
      <c r="H1806" s="1620" t="s">
        <v>2067</v>
      </c>
      <c r="I1806" s="1483" t="s">
        <v>11178</v>
      </c>
      <c r="J1806" s="1627" t="s">
        <v>4073</v>
      </c>
    </row>
    <row r="1807" spans="3:10" ht="15" customHeight="1">
      <c r="C1807" s="162">
        <v>45945</v>
      </c>
      <c r="D1807" s="1624">
        <v>9006406945</v>
      </c>
      <c r="E1807" s="1623" t="s">
        <v>11185</v>
      </c>
      <c r="H1807" s="1623" t="s">
        <v>1275</v>
      </c>
      <c r="I1807" s="1483" t="s">
        <v>11186</v>
      </c>
      <c r="J1807" s="2041">
        <v>45959</v>
      </c>
    </row>
    <row r="1808" spans="3:10" ht="15" customHeight="1">
      <c r="C1808" s="162">
        <v>45948</v>
      </c>
      <c r="D1808" s="101">
        <v>8210364802</v>
      </c>
      <c r="E1808" s="1637" t="s">
        <v>11226</v>
      </c>
      <c r="H1808" s="1623" t="s">
        <v>1275</v>
      </c>
      <c r="I1808" t="s">
        <v>11190</v>
      </c>
      <c r="J1808" s="2042" t="s">
        <v>165</v>
      </c>
    </row>
    <row r="1809" spans="3:10" ht="15" customHeight="1">
      <c r="C1809" s="162">
        <v>45949</v>
      </c>
      <c r="D1809" s="101">
        <v>9334212730</v>
      </c>
      <c r="E1809" s="1627" t="s">
        <v>7191</v>
      </c>
      <c r="G1809" s="1628"/>
      <c r="H1809" s="1627" t="s">
        <v>2018</v>
      </c>
      <c r="I1809" t="s">
        <v>11194</v>
      </c>
      <c r="J1809" s="2043" t="s">
        <v>77</v>
      </c>
    </row>
    <row r="1810" spans="3:10" ht="15" customHeight="1">
      <c r="C1810" s="162">
        <v>45949</v>
      </c>
      <c r="D1810" s="101">
        <v>7070138436</v>
      </c>
      <c r="E1810" s="1627" t="s">
        <v>11204</v>
      </c>
      <c r="H1810" s="1627" t="s">
        <v>2067</v>
      </c>
      <c r="I1810" s="1646" t="s">
        <v>11195</v>
      </c>
      <c r="J1810" s="2044">
        <v>45974</v>
      </c>
    </row>
    <row r="1811" spans="3:10" ht="15" customHeight="1">
      <c r="C1811" s="162">
        <v>45950</v>
      </c>
      <c r="D1811" s="101">
        <v>9155210736</v>
      </c>
      <c r="E1811" s="1627" t="s">
        <v>11201</v>
      </c>
      <c r="G1811" s="1628" t="s">
        <v>11200</v>
      </c>
      <c r="H1811" s="1627" t="s">
        <v>2018</v>
      </c>
      <c r="I1811" t="s">
        <v>11199</v>
      </c>
      <c r="J1811" s="2039" t="s">
        <v>4073</v>
      </c>
    </row>
    <row r="1812" spans="3:10" ht="15" customHeight="1">
      <c r="C1812" s="162">
        <v>45962</v>
      </c>
      <c r="D1812" s="101">
        <v>9155837350</v>
      </c>
      <c r="E1812" s="1635" t="s">
        <v>11223</v>
      </c>
      <c r="H1812" s="1635" t="s">
        <v>11222</v>
      </c>
      <c r="I1812" s="1483" t="s">
        <v>11221</v>
      </c>
      <c r="J1812" s="2039" t="s">
        <v>4073</v>
      </c>
    </row>
    <row r="1813" spans="3:10" ht="15" customHeight="1">
      <c r="C1813" s="162">
        <v>45963</v>
      </c>
      <c r="D1813" s="101">
        <v>9142389706</v>
      </c>
      <c r="E1813" s="1637" t="s">
        <v>11231</v>
      </c>
      <c r="H1813" s="1637" t="s">
        <v>11232</v>
      </c>
      <c r="I1813" t="s">
        <v>11230</v>
      </c>
      <c r="J1813" s="2039" t="s">
        <v>4073</v>
      </c>
    </row>
    <row r="1814" spans="3:10" ht="15" customHeight="1">
      <c r="C1814" s="162">
        <v>45963</v>
      </c>
      <c r="D1814" s="101">
        <v>7992210954</v>
      </c>
      <c r="E1814" s="1637" t="s">
        <v>6566</v>
      </c>
      <c r="G1814" s="1271">
        <v>16</v>
      </c>
      <c r="H1814" s="1637" t="s">
        <v>2996</v>
      </c>
      <c r="I1814" t="s">
        <v>11234</v>
      </c>
      <c r="J1814" t="s">
        <v>507</v>
      </c>
    </row>
    <row r="1815" spans="3:10" ht="15" customHeight="1">
      <c r="C1815" s="162">
        <v>45964</v>
      </c>
      <c r="D1815" s="101">
        <v>7979819496</v>
      </c>
      <c r="E1815" s="1640" t="s">
        <v>7381</v>
      </c>
      <c r="H1815" s="1640" t="s">
        <v>1275</v>
      </c>
      <c r="I1815" t="s">
        <v>11235</v>
      </c>
      <c r="J1815" s="95">
        <v>45985</v>
      </c>
    </row>
    <row r="1816" spans="3:10" ht="15" customHeight="1">
      <c r="C1816" s="162">
        <v>45965</v>
      </c>
      <c r="D1816" s="101">
        <v>6202090809</v>
      </c>
      <c r="E1816" s="1640" t="s">
        <v>1242</v>
      </c>
      <c r="H1816" s="1640" t="s">
        <v>2071</v>
      </c>
      <c r="I1816" t="s">
        <v>11239</v>
      </c>
      <c r="J1816" t="s">
        <v>4073</v>
      </c>
    </row>
    <row r="1817" spans="3:10" ht="15" customHeight="1">
      <c r="C1817" s="162">
        <v>45974</v>
      </c>
      <c r="D1817" s="101">
        <v>8210364802</v>
      </c>
      <c r="E1817" s="1646" t="s">
        <v>11189</v>
      </c>
      <c r="H1817" s="1646" t="s">
        <v>1275</v>
      </c>
      <c r="I1817" s="1483" t="s">
        <v>11248</v>
      </c>
      <c r="J1817" t="s">
        <v>4073</v>
      </c>
    </row>
    <row r="1818" spans="3:10" ht="15" customHeight="1">
      <c r="C1818" s="162">
        <v>45981</v>
      </c>
      <c r="D1818" s="101">
        <v>9304749541</v>
      </c>
      <c r="E1818" s="1651" t="s">
        <v>9106</v>
      </c>
      <c r="H1818" s="1651" t="s">
        <v>2096</v>
      </c>
      <c r="I1818" s="1483" t="s">
        <v>11267</v>
      </c>
      <c r="J1818" t="s">
        <v>4073</v>
      </c>
    </row>
    <row r="1819" spans="3:10" ht="15" customHeight="1">
      <c r="C1819" s="162">
        <v>45981</v>
      </c>
      <c r="D1819" s="101">
        <v>8235141431</v>
      </c>
      <c r="E1819" s="1651" t="s">
        <v>11268</v>
      </c>
      <c r="H1819" s="1651" t="s">
        <v>1869</v>
      </c>
      <c r="I1819" t="s">
        <v>11269</v>
      </c>
      <c r="J1819" s="95">
        <v>46044</v>
      </c>
    </row>
    <row r="1820" spans="3:10" ht="15" customHeight="1">
      <c r="C1820" s="162">
        <v>45982</v>
      </c>
      <c r="D1820" s="101">
        <v>7763088253</v>
      </c>
      <c r="E1820" s="1651" t="s">
        <v>11271</v>
      </c>
      <c r="I1820" s="1667" t="s">
        <v>11270</v>
      </c>
      <c r="J1820" t="s">
        <v>507</v>
      </c>
    </row>
    <row r="1821" spans="3:10" ht="15" customHeight="1">
      <c r="C1821" s="162">
        <v>45983</v>
      </c>
      <c r="D1821" s="101">
        <v>8797151862</v>
      </c>
      <c r="E1821" s="1652" t="s">
        <v>6228</v>
      </c>
      <c r="H1821" s="1652" t="s">
        <v>2071</v>
      </c>
      <c r="I1821" s="1483" t="s">
        <v>11275</v>
      </c>
      <c r="J1821" t="s">
        <v>507</v>
      </c>
    </row>
    <row r="1822" spans="3:10" ht="15" customHeight="1">
      <c r="C1822" s="162">
        <v>45983</v>
      </c>
      <c r="D1822" s="101">
        <v>9534101090</v>
      </c>
      <c r="E1822" s="1652" t="s">
        <v>11277</v>
      </c>
      <c r="H1822" s="1652" t="s">
        <v>2071</v>
      </c>
      <c r="I1822" s="1483" t="s">
        <v>11276</v>
      </c>
      <c r="J1822" t="s">
        <v>507</v>
      </c>
    </row>
    <row r="1823" spans="3:10" ht="15" customHeight="1">
      <c r="C1823" s="162">
        <v>45989</v>
      </c>
      <c r="D1823" s="101">
        <v>8084623147</v>
      </c>
      <c r="E1823" s="1655" t="s">
        <v>11289</v>
      </c>
      <c r="H1823" s="1655" t="s">
        <v>1869</v>
      </c>
      <c r="I1823" s="1483" t="s">
        <v>11288</v>
      </c>
      <c r="J1823" t="s">
        <v>507</v>
      </c>
    </row>
    <row r="1824" spans="3:10" ht="15" customHeight="1">
      <c r="C1824" s="162">
        <v>45996</v>
      </c>
      <c r="D1824" s="1662" t="s">
        <v>11320</v>
      </c>
      <c r="E1824" s="1661" t="s">
        <v>238</v>
      </c>
      <c r="H1824" s="1661" t="s">
        <v>1825</v>
      </c>
      <c r="I1824" s="1692" t="s">
        <v>11319</v>
      </c>
      <c r="J1824" s="95">
        <v>46021</v>
      </c>
    </row>
    <row r="1825" spans="3:11" ht="15" customHeight="1">
      <c r="C1825" s="162">
        <v>45999</v>
      </c>
      <c r="D1825" s="101">
        <v>7209950711</v>
      </c>
      <c r="E1825" s="1663" t="s">
        <v>1997</v>
      </c>
      <c r="H1825" s="1663" t="s">
        <v>2071</v>
      </c>
      <c r="I1825" t="s">
        <v>11327</v>
      </c>
      <c r="J1825" s="95">
        <v>46022</v>
      </c>
    </row>
    <row r="1826" spans="3:11" ht="15" customHeight="1">
      <c r="C1826" s="162">
        <v>46002</v>
      </c>
      <c r="D1826" s="101">
        <v>9931746828</v>
      </c>
      <c r="E1826" s="1667" t="s">
        <v>11345</v>
      </c>
      <c r="H1826" s="1667" t="s">
        <v>2071</v>
      </c>
      <c r="I1826" t="s">
        <v>11344</v>
      </c>
      <c r="J1826" t="s">
        <v>507</v>
      </c>
    </row>
    <row r="1827" spans="3:11" ht="15" customHeight="1">
      <c r="C1827" s="162">
        <v>46002</v>
      </c>
      <c r="D1827" s="101">
        <v>70330678164</v>
      </c>
      <c r="E1827" s="1667" t="s">
        <v>11347</v>
      </c>
      <c r="H1827" s="1667" t="s">
        <v>2071</v>
      </c>
      <c r="I1827" s="1483" t="s">
        <v>11346</v>
      </c>
      <c r="J1827" t="s">
        <v>507</v>
      </c>
    </row>
    <row r="1828" spans="3:11" ht="15" customHeight="1">
      <c r="C1828" s="162">
        <v>46005</v>
      </c>
      <c r="D1828" s="101">
        <v>9939257377</v>
      </c>
      <c r="E1828" s="1672" t="s">
        <v>5931</v>
      </c>
      <c r="G1828" s="1673" t="s">
        <v>5535</v>
      </c>
      <c r="H1828" s="1672" t="s">
        <v>1781</v>
      </c>
      <c r="I1828" s="1730" t="s">
        <v>11379</v>
      </c>
      <c r="J1828" t="s">
        <v>507</v>
      </c>
    </row>
    <row r="1829" spans="3:11" ht="15" customHeight="1">
      <c r="C1829" s="162">
        <v>46006</v>
      </c>
      <c r="D1829" s="101">
        <v>9234501965</v>
      </c>
      <c r="E1829" s="1675" t="s">
        <v>11387</v>
      </c>
      <c r="H1829" s="1675" t="s">
        <v>2071</v>
      </c>
      <c r="I1829" s="1483" t="s">
        <v>11386</v>
      </c>
      <c r="J1829" t="s">
        <v>507</v>
      </c>
    </row>
    <row r="1830" spans="3:11" ht="15" customHeight="1">
      <c r="C1830" s="162">
        <v>46007</v>
      </c>
      <c r="D1830" s="101">
        <v>9546072407</v>
      </c>
      <c r="E1830" s="1677" t="s">
        <v>11391</v>
      </c>
      <c r="H1830" s="1677" t="s">
        <v>2047</v>
      </c>
      <c r="I1830" t="s">
        <v>11390</v>
      </c>
      <c r="J1830" s="95">
        <v>46018</v>
      </c>
    </row>
    <row r="1831" spans="3:11" ht="15" customHeight="1">
      <c r="C1831" s="162">
        <v>46010</v>
      </c>
      <c r="D1831" s="101">
        <v>9234630961</v>
      </c>
      <c r="E1831" s="1680" t="s">
        <v>1318</v>
      </c>
      <c r="H1831" s="1680" t="s">
        <v>2071</v>
      </c>
      <c r="I1831" t="s">
        <v>11415</v>
      </c>
      <c r="J1831" s="2045" t="s">
        <v>39</v>
      </c>
      <c r="K1831" s="95">
        <v>45660</v>
      </c>
    </row>
    <row r="1832" spans="3:11" ht="15" customHeight="1">
      <c r="C1832" s="162">
        <v>46010</v>
      </c>
      <c r="D1832" s="101">
        <v>6204111859</v>
      </c>
      <c r="E1832" s="1680" t="s">
        <v>11416</v>
      </c>
      <c r="H1832" s="1680" t="s">
        <v>1869</v>
      </c>
      <c r="I1832" t="s">
        <v>11417</v>
      </c>
      <c r="J1832" s="2046">
        <v>46049</v>
      </c>
    </row>
    <row r="1833" spans="3:11" ht="15" customHeight="1">
      <c r="C1833" s="162">
        <v>46011</v>
      </c>
      <c r="E1833" s="1683" t="s">
        <v>8829</v>
      </c>
      <c r="H1833" s="1683" t="s">
        <v>5044</v>
      </c>
      <c r="I1833" s="1691" t="s">
        <v>11431</v>
      </c>
      <c r="J1833" s="1687" t="s">
        <v>507</v>
      </c>
    </row>
    <row r="1834" spans="3:11" ht="15" customHeight="1">
      <c r="C1834" s="162">
        <v>46011</v>
      </c>
      <c r="E1834" s="1683" t="s">
        <v>8830</v>
      </c>
      <c r="H1834" s="1683" t="s">
        <v>5044</v>
      </c>
      <c r="I1834" s="1691" t="s">
        <v>11432</v>
      </c>
      <c r="J1834" s="1687" t="s">
        <v>507</v>
      </c>
    </row>
    <row r="1835" spans="3:11" ht="15" customHeight="1">
      <c r="C1835" s="162">
        <v>46011</v>
      </c>
      <c r="D1835" s="101">
        <v>8252666027</v>
      </c>
      <c r="E1835" s="1683" t="s">
        <v>286</v>
      </c>
      <c r="H1835" s="1683" t="s">
        <v>2067</v>
      </c>
      <c r="I1835" t="s">
        <v>11433</v>
      </c>
      <c r="J1835" s="1687" t="s">
        <v>507</v>
      </c>
    </row>
    <row r="1836" spans="3:11" ht="15" customHeight="1">
      <c r="C1836" s="162">
        <v>46011</v>
      </c>
      <c r="D1836" s="101">
        <v>9162187354</v>
      </c>
      <c r="E1836" s="1683" t="s">
        <v>6968</v>
      </c>
      <c r="H1836" s="1683" t="s">
        <v>2071</v>
      </c>
      <c r="I1836" s="1697" t="s">
        <v>11434</v>
      </c>
      <c r="J1836" s="1687" t="s">
        <v>507</v>
      </c>
    </row>
    <row r="1837" spans="3:11" ht="15" customHeight="1">
      <c r="C1837" s="162">
        <v>46013</v>
      </c>
      <c r="D1837" s="101">
        <v>8434705247</v>
      </c>
      <c r="E1837" s="1684" t="s">
        <v>11443</v>
      </c>
      <c r="H1837" s="1684" t="s">
        <v>2067</v>
      </c>
      <c r="I1837" s="1748" t="s">
        <v>11442</v>
      </c>
      <c r="J1837" s="2046">
        <v>46030</v>
      </c>
    </row>
    <row r="1838" spans="3:11" ht="15" customHeight="1">
      <c r="C1838" s="1686">
        <v>46014</v>
      </c>
      <c r="D1838" s="101">
        <v>9431152113</v>
      </c>
      <c r="E1838" s="1685" t="s">
        <v>11445</v>
      </c>
      <c r="H1838" s="1685" t="s">
        <v>8825</v>
      </c>
      <c r="I1838" t="s">
        <v>11449</v>
      </c>
      <c r="J1838" s="1692" t="s">
        <v>36</v>
      </c>
    </row>
    <row r="1839" spans="3:11" ht="15" customHeight="1">
      <c r="C1839" s="1686">
        <v>46014</v>
      </c>
      <c r="D1839" s="101">
        <v>8252606838</v>
      </c>
      <c r="E1839" s="1683" t="s">
        <v>4928</v>
      </c>
      <c r="H1839" s="1685" t="s">
        <v>2071</v>
      </c>
      <c r="I1839" t="s">
        <v>11446</v>
      </c>
      <c r="J1839" s="1692" t="s">
        <v>507</v>
      </c>
    </row>
    <row r="1840" spans="3:11" ht="15" customHeight="1">
      <c r="C1840" s="1686">
        <v>46014</v>
      </c>
      <c r="D1840" s="101">
        <v>7643834767</v>
      </c>
      <c r="E1840" s="1685" t="s">
        <v>11447</v>
      </c>
      <c r="H1840" s="1685" t="s">
        <v>2067</v>
      </c>
      <c r="I1840" t="s">
        <v>11448</v>
      </c>
      <c r="J1840" s="1692" t="s">
        <v>507</v>
      </c>
    </row>
    <row r="1841" spans="3:11" ht="15" customHeight="1">
      <c r="C1841" s="162">
        <v>46017</v>
      </c>
      <c r="D1841" s="101">
        <v>8235439038</v>
      </c>
      <c r="E1841" s="1687" t="s">
        <v>11456</v>
      </c>
      <c r="H1841" s="1687" t="s">
        <v>2071</v>
      </c>
      <c r="I1841" t="s">
        <v>11455</v>
      </c>
      <c r="J1841" s="1692" t="s">
        <v>507</v>
      </c>
    </row>
    <row r="1842" spans="3:11" ht="15" customHeight="1">
      <c r="C1842" s="162">
        <v>46018</v>
      </c>
      <c r="D1842" s="101">
        <v>9204512752</v>
      </c>
      <c r="E1842" s="1688" t="s">
        <v>2092</v>
      </c>
      <c r="H1842" s="1688" t="s">
        <v>11457</v>
      </c>
      <c r="I1842" s="1700" t="s">
        <v>11459</v>
      </c>
      <c r="J1842" s="95">
        <v>46028</v>
      </c>
    </row>
    <row r="1843" spans="3:11" ht="15" customHeight="1">
      <c r="C1843" s="162">
        <v>46018</v>
      </c>
      <c r="D1843" s="101">
        <v>9771579821</v>
      </c>
      <c r="E1843" s="1688" t="s">
        <v>488</v>
      </c>
      <c r="H1843" s="1688" t="s">
        <v>11457</v>
      </c>
      <c r="I1843" s="1728" t="s">
        <v>11458</v>
      </c>
      <c r="J1843" t="s">
        <v>4073</v>
      </c>
    </row>
    <row r="1844" spans="3:11" ht="15" customHeight="1">
      <c r="C1844" s="162">
        <v>46025</v>
      </c>
      <c r="D1844" s="101">
        <v>8092536548</v>
      </c>
      <c r="E1844" s="1693" t="s">
        <v>11467</v>
      </c>
      <c r="H1844" s="1694" t="s">
        <v>1785</v>
      </c>
      <c r="I1844" s="1483" t="s">
        <v>11469</v>
      </c>
      <c r="J1844" s="95">
        <v>46275</v>
      </c>
    </row>
    <row r="1845" spans="3:11" ht="15" customHeight="1">
      <c r="C1845" s="162">
        <v>46025</v>
      </c>
      <c r="D1845" s="101">
        <v>9341764587</v>
      </c>
      <c r="E1845" s="1694" t="s">
        <v>2614</v>
      </c>
      <c r="H1845" s="1694" t="s">
        <v>2067</v>
      </c>
      <c r="I1845" t="s">
        <v>11470</v>
      </c>
      <c r="J1845" t="s">
        <v>4073</v>
      </c>
    </row>
    <row r="1846" spans="3:11" ht="15" customHeight="1">
      <c r="C1846" s="162">
        <v>46028</v>
      </c>
      <c r="D1846" s="101">
        <v>9709119141</v>
      </c>
      <c r="E1846" t="s">
        <v>11466</v>
      </c>
      <c r="H1846" s="1696" t="s">
        <v>10356</v>
      </c>
      <c r="I1846" s="1697" t="s">
        <v>11477</v>
      </c>
      <c r="J1846" t="s">
        <v>4073</v>
      </c>
    </row>
    <row r="1847" spans="3:11" ht="15" customHeight="1">
      <c r="C1847" s="162">
        <v>46028</v>
      </c>
      <c r="D1847" s="101">
        <v>8969559837</v>
      </c>
      <c r="E1847" s="1696" t="s">
        <v>9878</v>
      </c>
      <c r="H1847" s="1696" t="s">
        <v>5038</v>
      </c>
      <c r="I1847" s="1738" t="s">
        <v>11490</v>
      </c>
      <c r="J1847" s="95">
        <v>46044</v>
      </c>
    </row>
    <row r="1848" spans="3:11" ht="15" customHeight="1">
      <c r="C1848" s="162">
        <v>46030</v>
      </c>
      <c r="D1848" s="101">
        <v>8789801279</v>
      </c>
      <c r="E1848" s="1702" t="s">
        <v>7998</v>
      </c>
      <c r="H1848" s="1702" t="s">
        <v>516</v>
      </c>
      <c r="I1848" t="s">
        <v>11495</v>
      </c>
      <c r="J1848" t="s">
        <v>507</v>
      </c>
    </row>
    <row r="1849" spans="3:11" ht="15" customHeight="1">
      <c r="C1849" s="162">
        <v>46030</v>
      </c>
      <c r="D1849" s="101">
        <v>9693293939</v>
      </c>
      <c r="E1849" s="1702" t="s">
        <v>11496</v>
      </c>
      <c r="H1849" s="1702" t="s">
        <v>516</v>
      </c>
      <c r="I1849" s="1483" t="s">
        <v>11498</v>
      </c>
      <c r="J1849" t="s">
        <v>507</v>
      </c>
    </row>
    <row r="1850" spans="3:11" ht="15" customHeight="1">
      <c r="C1850" s="162">
        <v>46030</v>
      </c>
      <c r="D1850" s="101">
        <v>8757212551</v>
      </c>
      <c r="E1850" s="1713" t="s">
        <v>2825</v>
      </c>
      <c r="H1850" s="1705" t="s">
        <v>2071</v>
      </c>
      <c r="I1850" s="1483" t="s">
        <v>11503</v>
      </c>
      <c r="J1850" t="s">
        <v>11520</v>
      </c>
    </row>
    <row r="1851" spans="3:11" ht="15" customHeight="1">
      <c r="C1851" s="162">
        <v>46037</v>
      </c>
      <c r="D1851" s="101">
        <v>9608419384</v>
      </c>
      <c r="E1851" s="1713" t="s">
        <v>4254</v>
      </c>
      <c r="H1851" s="1716" t="s">
        <v>1869</v>
      </c>
      <c r="I1851" s="1715" t="s">
        <v>11527</v>
      </c>
      <c r="J1851" s="2047" t="s">
        <v>4073</v>
      </c>
    </row>
    <row r="1852" spans="3:11" ht="15" customHeight="1">
      <c r="C1852" s="162">
        <v>46037</v>
      </c>
      <c r="D1852" s="101">
        <v>9122172870</v>
      </c>
      <c r="E1852" s="1716" t="s">
        <v>11531</v>
      </c>
      <c r="G1852" s="1717" t="s">
        <v>11530</v>
      </c>
      <c r="H1852" s="1716" t="s">
        <v>11529</v>
      </c>
      <c r="I1852" t="s">
        <v>11528</v>
      </c>
      <c r="J1852" s="2048">
        <v>46087</v>
      </c>
    </row>
    <row r="1853" spans="3:11" ht="15" customHeight="1">
      <c r="C1853" s="162">
        <v>46044</v>
      </c>
      <c r="D1853" s="101">
        <v>7646044590</v>
      </c>
      <c r="E1853" s="1724" t="s">
        <v>9213</v>
      </c>
      <c r="H1853" s="1724" t="s">
        <v>11563</v>
      </c>
      <c r="I1853" t="s">
        <v>11562</v>
      </c>
      <c r="J1853" s="2048">
        <v>46071</v>
      </c>
    </row>
    <row r="1854" spans="3:11" ht="15" customHeight="1">
      <c r="C1854" s="162">
        <v>46044</v>
      </c>
      <c r="D1854" s="101">
        <v>9142590344</v>
      </c>
      <c r="E1854" s="1724" t="s">
        <v>11556</v>
      </c>
      <c r="H1854" s="1724" t="s">
        <v>10916</v>
      </c>
      <c r="I1854" t="s">
        <v>11560</v>
      </c>
      <c r="J1854" s="2047" t="s">
        <v>4073</v>
      </c>
      <c r="K1854" t="s">
        <v>11612</v>
      </c>
    </row>
    <row r="1855" spans="3:11" ht="15" customHeight="1">
      <c r="C1855" s="162">
        <v>46044</v>
      </c>
      <c r="D1855" s="101">
        <v>6202035484</v>
      </c>
      <c r="E1855" s="1724" t="s">
        <v>11557</v>
      </c>
      <c r="G1855" s="1746" t="s">
        <v>11612</v>
      </c>
      <c r="H1855" s="1724" t="s">
        <v>1869</v>
      </c>
      <c r="I1855" s="1745" t="s">
        <v>11561</v>
      </c>
      <c r="J1855" s="1745" t="s">
        <v>100</v>
      </c>
    </row>
    <row r="1856" spans="3:11" ht="15" customHeight="1">
      <c r="C1856" s="162">
        <v>46044</v>
      </c>
      <c r="D1856" s="101">
        <v>9570463298</v>
      </c>
      <c r="E1856" s="1724" t="s">
        <v>11559</v>
      </c>
      <c r="H1856" s="1724" t="s">
        <v>4481</v>
      </c>
      <c r="I1856" s="1483" t="s">
        <v>11558</v>
      </c>
      <c r="J1856" s="1730" t="s">
        <v>3882</v>
      </c>
    </row>
    <row r="1857" spans="3:10" ht="15" customHeight="1">
      <c r="C1857" s="162">
        <v>46045</v>
      </c>
      <c r="D1857" s="101">
        <v>9631348748</v>
      </c>
      <c r="E1857" s="1725" t="s">
        <v>11566</v>
      </c>
      <c r="H1857" s="1725" t="s">
        <v>1275</v>
      </c>
      <c r="I1857" s="1483" t="s">
        <v>11565</v>
      </c>
      <c r="J1857" s="1745" t="s">
        <v>4073</v>
      </c>
    </row>
    <row r="1858" spans="3:10" ht="15" customHeight="1">
      <c r="C1858" s="162">
        <v>46049</v>
      </c>
      <c r="D1858" s="101">
        <v>8252627484</v>
      </c>
      <c r="E1858" s="1724" t="s">
        <v>11555</v>
      </c>
      <c r="F1858">
        <v>9334053289</v>
      </c>
      <c r="H1858" s="1729" t="s">
        <v>5107</v>
      </c>
      <c r="I1858" s="1730" t="s">
        <v>11578</v>
      </c>
      <c r="J1858" s="2049">
        <v>46084</v>
      </c>
    </row>
    <row r="1859" spans="3:10" ht="15" customHeight="1">
      <c r="C1859" s="162">
        <v>46049</v>
      </c>
      <c r="D1859" s="101">
        <v>9508918090</v>
      </c>
      <c r="E1859" s="1729" t="s">
        <v>4400</v>
      </c>
      <c r="H1859" t="s">
        <v>1869</v>
      </c>
      <c r="I1859" s="1737" t="s">
        <v>11579</v>
      </c>
      <c r="J1859" s="1753" t="s">
        <v>507</v>
      </c>
    </row>
    <row r="1860" spans="3:10" ht="15" customHeight="1">
      <c r="C1860" s="162">
        <v>46049</v>
      </c>
      <c r="D1860" s="101">
        <v>8210611534</v>
      </c>
      <c r="E1860" s="1729" t="s">
        <v>11576</v>
      </c>
      <c r="H1860" t="s">
        <v>1227</v>
      </c>
      <c r="I1860" s="1774" t="s">
        <v>11577</v>
      </c>
      <c r="J1860" s="1753" t="s">
        <v>507</v>
      </c>
    </row>
    <row r="1861" spans="3:10" ht="15" customHeight="1">
      <c r="C1861" s="162">
        <v>46050</v>
      </c>
      <c r="D1861" s="101">
        <v>7979801173</v>
      </c>
      <c r="E1861" s="1730" t="s">
        <v>10187</v>
      </c>
      <c r="G1861" s="1732" t="s">
        <v>7930</v>
      </c>
      <c r="H1861" s="1730" t="s">
        <v>1284</v>
      </c>
      <c r="I1861" s="1738" t="s">
        <v>11583</v>
      </c>
      <c r="J1861" s="1753" t="s">
        <v>507</v>
      </c>
    </row>
    <row r="1862" spans="3:10" ht="15" customHeight="1">
      <c r="C1862" s="162">
        <v>46056</v>
      </c>
      <c r="E1862" s="1745" t="s">
        <v>11613</v>
      </c>
      <c r="G1862" s="1732"/>
      <c r="H1862" s="1745" t="s">
        <v>2067</v>
      </c>
      <c r="I1862" s="1764" t="s">
        <v>11616</v>
      </c>
      <c r="J1862" s="1753" t="s">
        <v>507</v>
      </c>
    </row>
    <row r="1863" spans="3:10" ht="15" customHeight="1">
      <c r="C1863" s="162">
        <v>46056</v>
      </c>
      <c r="D1863" s="101">
        <v>9031903095</v>
      </c>
      <c r="E1863" s="1745" t="s">
        <v>11615</v>
      </c>
      <c r="G1863" s="1732"/>
      <c r="H1863" s="1745" t="s">
        <v>2067</v>
      </c>
      <c r="I1863" s="1738" t="s">
        <v>11614</v>
      </c>
      <c r="J1863" s="2050">
        <v>46084</v>
      </c>
    </row>
    <row r="1864" spans="3:10" ht="15" customHeight="1">
      <c r="C1864" s="162">
        <v>46056</v>
      </c>
      <c r="D1864" s="101">
        <v>7781962690</v>
      </c>
      <c r="E1864" s="1745" t="s">
        <v>11618</v>
      </c>
      <c r="G1864" s="1732"/>
      <c r="H1864" s="1745" t="s">
        <v>11620</v>
      </c>
      <c r="I1864" s="1770" t="s">
        <v>11617</v>
      </c>
      <c r="J1864" s="2050">
        <v>46070</v>
      </c>
    </row>
    <row r="1865" spans="3:10" ht="15" customHeight="1">
      <c r="C1865" s="162">
        <v>46056</v>
      </c>
      <c r="D1865" s="101">
        <v>7781962690</v>
      </c>
      <c r="E1865" s="1745" t="s">
        <v>11619</v>
      </c>
      <c r="G1865" s="1732"/>
      <c r="H1865" s="1745" t="s">
        <v>11620</v>
      </c>
      <c r="I1865" s="1770" t="s">
        <v>11621</v>
      </c>
      <c r="J1865" s="2050">
        <v>46070</v>
      </c>
    </row>
    <row r="1866" spans="3:10" ht="15" customHeight="1">
      <c r="C1866" s="162">
        <v>46085</v>
      </c>
      <c r="D1866" s="1747" t="s">
        <v>2618</v>
      </c>
      <c r="E1866" s="1748" t="s">
        <v>11623</v>
      </c>
      <c r="G1866" s="1749" t="s">
        <v>3044</v>
      </c>
      <c r="H1866" s="1748" t="s">
        <v>2996</v>
      </c>
      <c r="I1866" s="1483" t="s">
        <v>11622</v>
      </c>
      <c r="J1866" s="2051" t="s">
        <v>507</v>
      </c>
    </row>
    <row r="1867" spans="3:10" ht="15" customHeight="1">
      <c r="C1867" s="162">
        <v>46057</v>
      </c>
      <c r="D1867" s="101">
        <v>9334085366</v>
      </c>
      <c r="E1867" s="1745" t="s">
        <v>11609</v>
      </c>
      <c r="H1867" s="1745" t="s">
        <v>2047</v>
      </c>
      <c r="I1867" s="1483" t="s">
        <v>11608</v>
      </c>
      <c r="J1867" s="95">
        <v>46062</v>
      </c>
    </row>
    <row r="1868" spans="3:10" ht="15" customHeight="1">
      <c r="C1868" s="162">
        <v>46057</v>
      </c>
      <c r="D1868" s="101">
        <v>8797023745</v>
      </c>
      <c r="E1868" s="1745" t="s">
        <v>11610</v>
      </c>
      <c r="G1868" s="1746" t="s">
        <v>11612</v>
      </c>
      <c r="H1868" s="1745" t="s">
        <v>7382</v>
      </c>
      <c r="I1868" s="1483" t="s">
        <v>11611</v>
      </c>
      <c r="J1868" t="s">
        <v>6888</v>
      </c>
    </row>
    <row r="1869" spans="3:10" ht="15" customHeight="1">
      <c r="C1869" s="162">
        <v>46060</v>
      </c>
      <c r="D1869" s="101">
        <v>8521835899</v>
      </c>
      <c r="E1869" s="1752" t="s">
        <v>392</v>
      </c>
      <c r="H1869" s="1752" t="s">
        <v>418</v>
      </c>
      <c r="I1869" s="1753" t="s">
        <v>11632</v>
      </c>
      <c r="J1869" t="s">
        <v>507</v>
      </c>
    </row>
    <row r="1870" spans="3:10" ht="15" customHeight="1">
      <c r="C1870" s="162">
        <v>46060</v>
      </c>
      <c r="D1870" s="101">
        <v>6207848238</v>
      </c>
      <c r="E1870" s="1752" t="s">
        <v>9636</v>
      </c>
      <c r="H1870" s="1752" t="s">
        <v>1869</v>
      </c>
      <c r="I1870" t="s">
        <v>11631</v>
      </c>
      <c r="J1870" t="s">
        <v>507</v>
      </c>
    </row>
    <row r="1871" spans="3:10" ht="15" customHeight="1">
      <c r="C1871" s="162">
        <v>46066</v>
      </c>
      <c r="D1871" s="101">
        <v>9546530726</v>
      </c>
      <c r="E1871" s="1764" t="s">
        <v>11648</v>
      </c>
      <c r="H1871" s="1752" t="s">
        <v>1869</v>
      </c>
      <c r="I1871" t="s">
        <v>11647</v>
      </c>
      <c r="J1871" t="s">
        <v>507</v>
      </c>
    </row>
    <row r="1872" spans="3:10" ht="15" customHeight="1">
      <c r="C1872" s="162">
        <v>46066</v>
      </c>
      <c r="D1872" s="101">
        <v>9508918090</v>
      </c>
      <c r="E1872" s="1764" t="s">
        <v>11650</v>
      </c>
      <c r="H1872" s="1764" t="s">
        <v>11651</v>
      </c>
      <c r="I1872" t="s">
        <v>11649</v>
      </c>
      <c r="J1872" t="s">
        <v>11676</v>
      </c>
    </row>
    <row r="1873" spans="3:10" ht="15" customHeight="1">
      <c r="C1873" s="1773">
        <v>46066</v>
      </c>
      <c r="D1873" s="101">
        <v>7209000251</v>
      </c>
      <c r="E1873" s="1764" t="s">
        <v>2026</v>
      </c>
      <c r="G1873"/>
      <c r="H1873" s="1751" t="s">
        <v>11193</v>
      </c>
      <c r="I1873" s="1767" t="s">
        <v>11657</v>
      </c>
      <c r="J1873" t="s">
        <v>4073</v>
      </c>
    </row>
    <row r="1874" spans="3:10" ht="15" customHeight="1">
      <c r="C1874" s="1773">
        <v>46066</v>
      </c>
      <c r="D1874" s="101">
        <v>9523175734</v>
      </c>
      <c r="E1874" s="1765" t="s">
        <v>11654</v>
      </c>
      <c r="H1874" s="1765" t="s">
        <v>11655</v>
      </c>
      <c r="I1874" t="s">
        <v>11656</v>
      </c>
      <c r="J1874" s="95">
        <v>46084</v>
      </c>
    </row>
    <row r="1875" spans="3:10" ht="15" customHeight="1">
      <c r="C1875" s="162">
        <v>46070</v>
      </c>
      <c r="D1875" s="101">
        <v>9122824471</v>
      </c>
      <c r="E1875" s="1768" t="s">
        <v>11650</v>
      </c>
      <c r="H1875" s="1768" t="s">
        <v>11662</v>
      </c>
      <c r="I1875" t="s">
        <v>11663</v>
      </c>
      <c r="J1875" s="95">
        <v>46103</v>
      </c>
    </row>
    <row r="1876" spans="3:10" ht="15" customHeight="1">
      <c r="C1876" s="162">
        <v>46076</v>
      </c>
      <c r="D1876" s="101">
        <v>9113383254</v>
      </c>
      <c r="E1876" s="1772" t="s">
        <v>10207</v>
      </c>
      <c r="H1876" s="1772" t="s">
        <v>11672</v>
      </c>
      <c r="I1876" t="s">
        <v>11671</v>
      </c>
      <c r="J1876" t="s">
        <v>4073</v>
      </c>
    </row>
    <row r="1877" spans="3:10" ht="15" customHeight="1">
      <c r="C1877" s="162">
        <v>46076</v>
      </c>
      <c r="D1877" s="101">
        <v>9263977226</v>
      </c>
      <c r="E1877" s="1772" t="s">
        <v>11673</v>
      </c>
      <c r="H1877" s="1772" t="s">
        <v>2047</v>
      </c>
      <c r="I1877" t="s">
        <v>11674</v>
      </c>
      <c r="J1877" s="95">
        <v>46086</v>
      </c>
    </row>
    <row r="1878" spans="3:10" ht="15" customHeight="1">
      <c r="C1878" s="162">
        <v>46083</v>
      </c>
      <c r="D1878" s="101">
        <v>9570463298</v>
      </c>
      <c r="E1878" s="1777" t="s">
        <v>11559</v>
      </c>
      <c r="I1878" t="s">
        <v>11686</v>
      </c>
      <c r="J1878" s="1788" t="s">
        <v>8951</v>
      </c>
    </row>
    <row r="1879" spans="3:10" ht="15" customHeight="1">
      <c r="C1879" s="162">
        <v>46087</v>
      </c>
      <c r="E1879" s="1781" t="s">
        <v>11692</v>
      </c>
      <c r="I1879" s="1483" t="s">
        <v>11691</v>
      </c>
      <c r="J1879" s="2052" t="s">
        <v>4073</v>
      </c>
    </row>
    <row r="1880" spans="3:10" ht="15" customHeight="1">
      <c r="C1880" s="162">
        <v>46100</v>
      </c>
      <c r="D1880" s="101">
        <v>8936076501</v>
      </c>
      <c r="E1880" s="1788" t="s">
        <v>11700</v>
      </c>
      <c r="H1880" s="1788" t="s">
        <v>2071</v>
      </c>
      <c r="I1880" t="s">
        <v>11699</v>
      </c>
      <c r="J1880" s="95">
        <v>46119</v>
      </c>
    </row>
    <row r="1881" spans="3:10" ht="15" customHeight="1">
      <c r="C1881" s="162">
        <v>46101</v>
      </c>
      <c r="E1881" s="1789" t="s">
        <v>8107</v>
      </c>
      <c r="H1881" s="1789" t="s">
        <v>2067</v>
      </c>
      <c r="I1881" t="s">
        <v>11704</v>
      </c>
      <c r="J1881" t="s">
        <v>4073</v>
      </c>
    </row>
    <row r="1882" spans="3:10" ht="15" customHeight="1">
      <c r="C1882" s="162">
        <v>46114</v>
      </c>
      <c r="D1882" s="101">
        <v>7979034610</v>
      </c>
      <c r="E1882" s="1791" t="s">
        <v>9186</v>
      </c>
      <c r="H1882" s="1791" t="s">
        <v>1955</v>
      </c>
      <c r="I1882" t="s">
        <v>11707</v>
      </c>
      <c r="J1882" t="s">
        <v>4073</v>
      </c>
    </row>
    <row r="1883" spans="3:10" ht="15" customHeight="1">
      <c r="C1883" s="162">
        <v>46117</v>
      </c>
      <c r="D1883" s="101">
        <v>9006406945</v>
      </c>
      <c r="E1883" s="1792" t="s">
        <v>11709</v>
      </c>
      <c r="H1883" s="1793" t="s">
        <v>1275</v>
      </c>
      <c r="I1883" t="s">
        <v>11708</v>
      </c>
      <c r="J1883" s="95">
        <v>46133</v>
      </c>
    </row>
    <row r="1884" spans="3:10" ht="15" customHeight="1">
      <c r="C1884" s="162">
        <v>46120</v>
      </c>
      <c r="D1884" s="101">
        <v>8804259165</v>
      </c>
      <c r="E1884" s="1796" t="s">
        <v>11718</v>
      </c>
      <c r="H1884" s="1796" t="s">
        <v>2071</v>
      </c>
      <c r="I1884" s="1483" t="s">
        <v>11717</v>
      </c>
      <c r="J1884" s="1809" t="s">
        <v>92</v>
      </c>
    </row>
    <row r="1885" spans="3:10" ht="15" customHeight="1">
      <c r="C1885" s="162">
        <v>46138</v>
      </c>
      <c r="D1885" s="101">
        <v>6207810429</v>
      </c>
      <c r="E1885" s="1809" t="s">
        <v>11753</v>
      </c>
      <c r="G1885" s="1810" t="s">
        <v>6869</v>
      </c>
      <c r="H1885" s="1809" t="s">
        <v>2122</v>
      </c>
      <c r="I1885" s="1483" t="s">
        <v>11752</v>
      </c>
      <c r="J1885" t="s">
        <v>11820</v>
      </c>
    </row>
    <row r="1886" spans="3:10" ht="15" customHeight="1">
      <c r="C1886" s="162">
        <v>46140</v>
      </c>
      <c r="E1886" s="1811" t="s">
        <v>4659</v>
      </c>
      <c r="I1886" s="1483" t="s">
        <v>11754</v>
      </c>
      <c r="J1886" t="s">
        <v>4073</v>
      </c>
    </row>
    <row r="1887" spans="3:10" ht="15" customHeight="1">
      <c r="C1887" s="162">
        <v>46147</v>
      </c>
      <c r="E1887" s="1819" t="s">
        <v>8143</v>
      </c>
      <c r="H1887" s="1821" t="s">
        <v>1825</v>
      </c>
      <c r="I1887" t="s">
        <v>11777</v>
      </c>
      <c r="J1887" s="95">
        <v>46178</v>
      </c>
    </row>
    <row r="1888" spans="3:10" ht="15" customHeight="1">
      <c r="C1888" s="162">
        <v>46148</v>
      </c>
      <c r="D1888" s="101">
        <v>9517520051</v>
      </c>
      <c r="E1888" s="1826" t="s">
        <v>11789</v>
      </c>
      <c r="H1888" s="1826" t="s">
        <v>1869</v>
      </c>
      <c r="I1888" t="s">
        <v>11788</v>
      </c>
      <c r="J1888" t="s">
        <v>4073</v>
      </c>
    </row>
    <row r="1889" spans="3:10" ht="15" customHeight="1">
      <c r="C1889" s="162">
        <v>46149</v>
      </c>
      <c r="D1889" s="101">
        <v>7488178951</v>
      </c>
      <c r="E1889" s="1828" t="s">
        <v>11793</v>
      </c>
      <c r="H1889" s="1828" t="s">
        <v>2071</v>
      </c>
      <c r="I1889" s="1483" t="s">
        <v>11792</v>
      </c>
      <c r="J1889" t="s">
        <v>3882</v>
      </c>
    </row>
    <row r="1890" spans="3:10" ht="15" customHeight="1">
      <c r="C1890" s="162">
        <v>46151</v>
      </c>
      <c r="D1890" s="101">
        <v>8804259165</v>
      </c>
      <c r="E1890" s="1796" t="s">
        <v>11718</v>
      </c>
      <c r="H1890" s="1828" t="s">
        <v>2071</v>
      </c>
      <c r="I1890" t="s">
        <v>11808</v>
      </c>
      <c r="J1890" t="s">
        <v>4073</v>
      </c>
    </row>
    <row r="1891" spans="3:10" ht="15" customHeight="1">
      <c r="C1891" s="162">
        <v>46151</v>
      </c>
      <c r="D1891" s="101">
        <v>8102406829</v>
      </c>
      <c r="E1891" s="1831" t="s">
        <v>11809</v>
      </c>
      <c r="H1891" s="1831" t="s">
        <v>1275</v>
      </c>
      <c r="I1891" s="1483" t="s">
        <v>11810</v>
      </c>
      <c r="J1891" s="95">
        <v>46177</v>
      </c>
    </row>
    <row r="1892" spans="3:10" ht="15" customHeight="1">
      <c r="C1892" s="162">
        <v>46155</v>
      </c>
      <c r="D1892" s="101">
        <v>7858856395</v>
      </c>
      <c r="E1892" s="1832" t="s">
        <v>11813</v>
      </c>
      <c r="H1892" s="1832" t="s">
        <v>2018</v>
      </c>
      <c r="I1892" s="1849" t="s">
        <v>11812</v>
      </c>
      <c r="J1892" t="s">
        <v>507</v>
      </c>
    </row>
    <row r="1893" spans="3:10" ht="15" customHeight="1">
      <c r="D1893" s="101">
        <v>6202035484</v>
      </c>
      <c r="E1893" s="1724" t="s">
        <v>11557</v>
      </c>
      <c r="H1893" s="1724" t="s">
        <v>10916</v>
      </c>
    </row>
    <row r="1894" spans="3:10" ht="15" customHeight="1">
      <c r="C1894" s="95">
        <v>46165</v>
      </c>
      <c r="D1894" s="101">
        <v>8210664736</v>
      </c>
      <c r="E1894" s="1835" t="s">
        <v>11827</v>
      </c>
      <c r="H1894" s="1835" t="s">
        <v>2067</v>
      </c>
      <c r="I1894" s="1483" t="s">
        <v>11828</v>
      </c>
      <c r="J1894" s="1851" t="s">
        <v>507</v>
      </c>
    </row>
    <row r="1895" spans="3:10" ht="15" customHeight="1">
      <c r="C1895" s="162">
        <v>46168</v>
      </c>
      <c r="D1895" s="101">
        <v>9102307021</v>
      </c>
      <c r="E1895" s="1836" t="s">
        <v>11829</v>
      </c>
      <c r="H1895" s="1836" t="s">
        <v>11830</v>
      </c>
      <c r="I1895" t="s">
        <v>11834</v>
      </c>
      <c r="J1895" s="1851" t="s">
        <v>507</v>
      </c>
    </row>
    <row r="1896" spans="3:10" ht="15" customHeight="1">
      <c r="C1896" s="162">
        <v>46168</v>
      </c>
      <c r="D1896" s="101">
        <v>9102307021</v>
      </c>
      <c r="E1896" s="1836" t="s">
        <v>11831</v>
      </c>
      <c r="H1896" s="1836" t="s">
        <v>11830</v>
      </c>
      <c r="I1896" t="s">
        <v>11835</v>
      </c>
      <c r="J1896" s="1851" t="s">
        <v>507</v>
      </c>
    </row>
    <row r="1897" spans="3:10" ht="15" customHeight="1">
      <c r="C1897" s="162">
        <v>46179</v>
      </c>
      <c r="D1897" s="101">
        <v>9334656587</v>
      </c>
      <c r="E1897" s="1845" t="s">
        <v>10608</v>
      </c>
      <c r="H1897" s="1845" t="s">
        <v>2067</v>
      </c>
      <c r="I1897" t="s">
        <v>11861</v>
      </c>
      <c r="J1897" s="2053">
        <v>46195</v>
      </c>
    </row>
    <row r="1898" spans="3:10" ht="15" customHeight="1">
      <c r="C1898" s="162">
        <v>46181</v>
      </c>
      <c r="D1898" s="101">
        <v>8092588421</v>
      </c>
      <c r="E1898" s="1846" t="s">
        <v>11862</v>
      </c>
      <c r="H1898" s="1846" t="s">
        <v>1869</v>
      </c>
      <c r="I1898" t="s">
        <v>11864</v>
      </c>
      <c r="J1898" s="2055">
        <v>46234</v>
      </c>
    </row>
    <row r="1899" spans="3:10" ht="15" customHeight="1">
      <c r="C1899" s="162">
        <v>46181</v>
      </c>
      <c r="D1899" s="101">
        <v>8603139091</v>
      </c>
      <c r="E1899" s="1848" t="s">
        <v>11866</v>
      </c>
      <c r="H1899" s="1848" t="s">
        <v>11865</v>
      </c>
      <c r="I1899" t="s">
        <v>11868</v>
      </c>
      <c r="J1899" s="2055">
        <v>46204</v>
      </c>
    </row>
    <row r="1900" spans="3:10" ht="15" customHeight="1">
      <c r="C1900" s="162">
        <v>46184</v>
      </c>
      <c r="D1900" s="101">
        <v>8936802279</v>
      </c>
      <c r="E1900" s="1849" t="s">
        <v>11870</v>
      </c>
      <c r="H1900" s="1849" t="s">
        <v>2067</v>
      </c>
      <c r="I1900" t="s">
        <v>11869</v>
      </c>
      <c r="J1900" s="2054" t="s">
        <v>4073</v>
      </c>
    </row>
    <row r="1901" spans="3:10" ht="15" customHeight="1">
      <c r="D1901" s="101">
        <v>9931168271</v>
      </c>
      <c r="E1901" s="1853" t="s">
        <v>11881</v>
      </c>
      <c r="G1901" s="1853" t="s">
        <v>11879</v>
      </c>
      <c r="H1901" s="1853" t="s">
        <v>11880</v>
      </c>
      <c r="I1901" s="1483" t="s">
        <v>11887</v>
      </c>
      <c r="J1901" s="2054" t="s">
        <v>4073</v>
      </c>
    </row>
    <row r="1902" spans="3:10" ht="15" customHeight="1">
      <c r="D1902" s="101">
        <v>9931168271</v>
      </c>
      <c r="E1902" s="1853" t="s">
        <v>11882</v>
      </c>
      <c r="G1902" s="1853" t="s">
        <v>11879</v>
      </c>
      <c r="H1902" s="1853" t="s">
        <v>11880</v>
      </c>
      <c r="I1902" s="1483" t="s">
        <v>11888</v>
      </c>
      <c r="J1902" s="2054" t="s">
        <v>4073</v>
      </c>
    </row>
    <row r="1903" spans="3:10" ht="15" customHeight="1">
      <c r="C1903" s="162">
        <v>46190</v>
      </c>
      <c r="D1903" s="101">
        <v>8864049699</v>
      </c>
      <c r="E1903" s="1854" t="s">
        <v>11884</v>
      </c>
      <c r="H1903" s="1854" t="s">
        <v>2067</v>
      </c>
      <c r="I1903" t="s">
        <v>11883</v>
      </c>
      <c r="J1903" s="2055">
        <v>46237</v>
      </c>
    </row>
    <row r="1904" spans="3:10" ht="15" customHeight="1">
      <c r="C1904" s="162">
        <v>46197</v>
      </c>
      <c r="D1904" s="101">
        <v>8092429962</v>
      </c>
      <c r="E1904" s="1859" t="s">
        <v>11905</v>
      </c>
      <c r="H1904" s="1859" t="s">
        <v>2047</v>
      </c>
      <c r="I1904" t="s">
        <v>11904</v>
      </c>
      <c r="J1904" s="95">
        <v>46218</v>
      </c>
    </row>
    <row r="1905" spans="3:10" ht="15" customHeight="1">
      <c r="C1905" s="162">
        <v>46197</v>
      </c>
      <c r="D1905" s="101">
        <v>8797941479</v>
      </c>
      <c r="E1905" s="1859" t="s">
        <v>11907</v>
      </c>
      <c r="H1905" s="1859" t="s">
        <v>2071</v>
      </c>
      <c r="I1905" t="s">
        <v>11906</v>
      </c>
      <c r="J1905" s="95">
        <v>46251</v>
      </c>
    </row>
    <row r="1906" spans="3:10" ht="15" customHeight="1">
      <c r="C1906" s="95">
        <v>46079</v>
      </c>
      <c r="D1906" s="101">
        <v>7762053271</v>
      </c>
      <c r="E1906" s="1898" t="s">
        <v>11920</v>
      </c>
      <c r="G1906" s="294"/>
      <c r="H1906" s="1898" t="s">
        <v>1955</v>
      </c>
      <c r="I1906" s="1483" t="s">
        <v>11919</v>
      </c>
      <c r="J1906" t="s">
        <v>4073</v>
      </c>
    </row>
    <row r="1907" spans="3:10" ht="15" customHeight="1">
      <c r="C1907" s="162">
        <v>46203</v>
      </c>
      <c r="E1907" s="1903" t="s">
        <v>11943</v>
      </c>
      <c r="H1907" s="1903" t="s">
        <v>2067</v>
      </c>
      <c r="I1907" s="2056" t="s">
        <v>11942</v>
      </c>
      <c r="J1907" s="95">
        <v>46219</v>
      </c>
    </row>
    <row r="1908" spans="3:10" ht="15" customHeight="1">
      <c r="C1908" s="162">
        <v>46204</v>
      </c>
      <c r="D1908" s="101">
        <v>6201034499</v>
      </c>
      <c r="E1908" s="1904" t="s">
        <v>11954</v>
      </c>
      <c r="H1908" s="1904" t="s">
        <v>1955</v>
      </c>
      <c r="I1908" s="2056" t="s">
        <v>11953</v>
      </c>
      <c r="J1908" t="s">
        <v>4073</v>
      </c>
    </row>
    <row r="1909" spans="3:10" ht="15" customHeight="1">
      <c r="C1909" s="1910">
        <v>46218</v>
      </c>
      <c r="E1909" s="1909" t="s">
        <v>7493</v>
      </c>
      <c r="I1909" t="s">
        <v>11960</v>
      </c>
      <c r="J1909" t="s">
        <v>4073</v>
      </c>
    </row>
    <row r="1910" spans="3:10" ht="15" customHeight="1">
      <c r="C1910" s="1910">
        <v>46218</v>
      </c>
      <c r="E1910" s="1909" t="s">
        <v>7417</v>
      </c>
      <c r="I1910" s="1483" t="s">
        <v>11961</v>
      </c>
      <c r="J1910" s="95">
        <v>46238</v>
      </c>
    </row>
    <row r="1911" spans="3:10" ht="15" customHeight="1">
      <c r="C1911" s="1910">
        <v>46218</v>
      </c>
      <c r="D1911" s="101">
        <v>9263435080</v>
      </c>
      <c r="E1911" s="1909" t="s">
        <v>11963</v>
      </c>
      <c r="I1911" t="s">
        <v>11962</v>
      </c>
      <c r="J1911" s="95" t="s">
        <v>4073</v>
      </c>
    </row>
    <row r="1912" spans="3:10" ht="15" customHeight="1">
      <c r="C1912" s="1910">
        <v>46218</v>
      </c>
      <c r="D1912" s="101">
        <v>8797467889</v>
      </c>
      <c r="E1912" s="1909" t="s">
        <v>11965</v>
      </c>
      <c r="I1912" s="2076" t="s">
        <v>11964</v>
      </c>
      <c r="J1912" s="95">
        <v>46235</v>
      </c>
    </row>
    <row r="1913" spans="3:10" ht="15" customHeight="1">
      <c r="C1913" s="1910">
        <v>46218</v>
      </c>
      <c r="D1913" s="101">
        <v>9064533413</v>
      </c>
      <c r="E1913" s="1909" t="s">
        <v>11967</v>
      </c>
      <c r="H1913" s="1909" t="s">
        <v>11971</v>
      </c>
      <c r="I1913" t="s">
        <v>11966</v>
      </c>
      <c r="J1913" s="2079" t="s">
        <v>165</v>
      </c>
    </row>
    <row r="1914" spans="3:10" ht="15" customHeight="1">
      <c r="C1914" s="1910">
        <v>46218</v>
      </c>
      <c r="D1914" s="101">
        <v>8235341941</v>
      </c>
      <c r="E1914" s="1909" t="s">
        <v>11970</v>
      </c>
      <c r="I1914" t="s">
        <v>11969</v>
      </c>
      <c r="J1914" s="2074">
        <v>46234</v>
      </c>
    </row>
    <row r="1915" spans="3:10" ht="15" customHeight="1">
      <c r="C1915" s="162">
        <v>46220</v>
      </c>
      <c r="D1915" s="101">
        <v>7903255523</v>
      </c>
      <c r="E1915" s="2057" t="s">
        <v>11973</v>
      </c>
      <c r="H1915" s="2057" t="s">
        <v>1955</v>
      </c>
      <c r="I1915" t="s">
        <v>11972</v>
      </c>
      <c r="J1915" s="2071" t="s">
        <v>4073</v>
      </c>
    </row>
    <row r="1916" spans="3:10" ht="15" customHeight="1">
      <c r="C1916" s="162">
        <v>46220</v>
      </c>
      <c r="D1916" s="101">
        <v>6201488850</v>
      </c>
      <c r="E1916" s="2057" t="s">
        <v>11975</v>
      </c>
      <c r="H1916" s="2057" t="s">
        <v>1955</v>
      </c>
      <c r="I1916" t="s">
        <v>11974</v>
      </c>
      <c r="J1916" s="2071" t="s">
        <v>4073</v>
      </c>
    </row>
    <row r="1917" spans="3:10" ht="15" customHeight="1">
      <c r="C1917" s="162">
        <v>46225</v>
      </c>
      <c r="D1917" s="101">
        <v>7004519122</v>
      </c>
      <c r="E1917" s="2065" t="s">
        <v>12000</v>
      </c>
      <c r="G1917" s="2066" t="s">
        <v>11200</v>
      </c>
      <c r="H1917" s="2065" t="s">
        <v>2018</v>
      </c>
      <c r="I1917" s="2131" t="s">
        <v>11999</v>
      </c>
      <c r="J1917" s="2074">
        <v>46280</v>
      </c>
    </row>
    <row r="1918" spans="3:10" ht="15" customHeight="1">
      <c r="C1918" s="162">
        <v>46227</v>
      </c>
      <c r="D1918" s="101">
        <v>7209442958</v>
      </c>
      <c r="E1918" s="2068" t="s">
        <v>7799</v>
      </c>
      <c r="H1918" s="2068" t="s">
        <v>2067</v>
      </c>
      <c r="I1918" s="1483" t="s">
        <v>12003</v>
      </c>
      <c r="J1918" s="2071" t="s">
        <v>4073</v>
      </c>
    </row>
    <row r="1919" spans="3:10" ht="15" customHeight="1">
      <c r="C1919" s="162">
        <v>46227</v>
      </c>
      <c r="D1919" s="101">
        <v>9234663417</v>
      </c>
      <c r="E1919" s="2068" t="s">
        <v>12005</v>
      </c>
      <c r="H1919" s="2068" t="s">
        <v>2071</v>
      </c>
      <c r="I1919" t="s">
        <v>12004</v>
      </c>
      <c r="J1919" s="2074">
        <v>46232</v>
      </c>
    </row>
    <row r="1920" spans="3:10" ht="15" customHeight="1">
      <c r="C1920" s="162">
        <v>46227</v>
      </c>
      <c r="D1920" s="101">
        <v>9234663417</v>
      </c>
      <c r="E1920" s="2068" t="s">
        <v>12006</v>
      </c>
      <c r="H1920" s="2068" t="s">
        <v>2071</v>
      </c>
      <c r="I1920" t="s">
        <v>12007</v>
      </c>
      <c r="J1920" s="2074">
        <v>46232</v>
      </c>
    </row>
    <row r="1921" spans="3:11" ht="15" customHeight="1">
      <c r="C1921" s="162">
        <v>46230</v>
      </c>
      <c r="D1921" s="101">
        <v>6205505607</v>
      </c>
      <c r="E1921" s="2069" t="s">
        <v>12008</v>
      </c>
      <c r="H1921" s="2071" t="s">
        <v>1955</v>
      </c>
      <c r="I1921" s="1483" t="s">
        <v>12012</v>
      </c>
      <c r="J1921" s="2088" t="s">
        <v>507</v>
      </c>
    </row>
    <row r="1922" spans="3:11" ht="15" customHeight="1">
      <c r="C1922" s="162">
        <v>46231</v>
      </c>
      <c r="D1922" s="2073" t="s">
        <v>11612</v>
      </c>
      <c r="E1922" s="2072" t="s">
        <v>12014</v>
      </c>
      <c r="H1922" s="2071" t="s">
        <v>1955</v>
      </c>
      <c r="I1922" t="s">
        <v>12013</v>
      </c>
      <c r="J1922" s="2088" t="s">
        <v>507</v>
      </c>
    </row>
    <row r="1923" spans="3:11" ht="15" customHeight="1">
      <c r="C1923" s="162">
        <v>46231</v>
      </c>
      <c r="D1923" s="2073" t="s">
        <v>12015</v>
      </c>
      <c r="E1923" s="2072" t="s">
        <v>11557</v>
      </c>
      <c r="H1923" s="2071" t="s">
        <v>1955</v>
      </c>
      <c r="I1923" s="1483" t="s">
        <v>12016</v>
      </c>
      <c r="J1923" s="2088" t="s">
        <v>507</v>
      </c>
    </row>
    <row r="1924" spans="3:11" ht="15" customHeight="1">
      <c r="C1924" s="162">
        <v>46232</v>
      </c>
      <c r="D1924" s="101">
        <v>6202252457</v>
      </c>
      <c r="E1924" s="2071" t="s">
        <v>1343</v>
      </c>
      <c r="I1924" t="s">
        <v>12019</v>
      </c>
      <c r="J1924" s="2088" t="s">
        <v>507</v>
      </c>
      <c r="K1924" s="2072"/>
    </row>
    <row r="1925" spans="3:11" ht="15" customHeight="1">
      <c r="C1925" s="162">
        <v>46234</v>
      </c>
      <c r="D1925" s="101">
        <v>9709061447</v>
      </c>
      <c r="E1925" s="2075" t="s">
        <v>12022</v>
      </c>
      <c r="H1925" s="2075" t="s">
        <v>2067</v>
      </c>
      <c r="I1925" t="s">
        <v>12021</v>
      </c>
      <c r="J1925" s="2088" t="s">
        <v>507</v>
      </c>
      <c r="K1925" s="2072"/>
    </row>
    <row r="1926" spans="3:11" ht="15" customHeight="1">
      <c r="C1926" s="162">
        <v>46235</v>
      </c>
      <c r="D1926" s="101">
        <v>8210289985</v>
      </c>
      <c r="E1926" s="2096" t="s">
        <v>12064</v>
      </c>
      <c r="I1926" t="s">
        <v>12063</v>
      </c>
      <c r="J1926" s="95">
        <v>46252</v>
      </c>
    </row>
    <row r="1927" spans="3:11" ht="15" customHeight="1">
      <c r="C1927" s="162">
        <v>46245</v>
      </c>
      <c r="D1927" s="101">
        <v>7004855534</v>
      </c>
      <c r="E1927" s="2088" t="s">
        <v>2464</v>
      </c>
      <c r="G1927" s="2089" t="s">
        <v>7090</v>
      </c>
      <c r="H1927" s="2088" t="s">
        <v>1586</v>
      </c>
      <c r="I1927" s="2149" t="s">
        <v>12055</v>
      </c>
      <c r="J1927" s="2149" t="s">
        <v>4073</v>
      </c>
      <c r="K1927" s="95">
        <v>46280</v>
      </c>
    </row>
    <row r="1928" spans="3:11" ht="15" customHeight="1">
      <c r="C1928" s="162">
        <v>46245</v>
      </c>
      <c r="D1928" s="101">
        <v>7209262221</v>
      </c>
      <c r="E1928" s="2088" t="s">
        <v>12057</v>
      </c>
      <c r="H1928" s="2088" t="s">
        <v>1905</v>
      </c>
      <c r="I1928" s="1483" t="s">
        <v>12056</v>
      </c>
      <c r="J1928" s="2149" t="s">
        <v>191</v>
      </c>
      <c r="K1928" s="95">
        <v>46280</v>
      </c>
    </row>
    <row r="1929" spans="3:11" ht="15" customHeight="1">
      <c r="C1929" s="162">
        <v>46245</v>
      </c>
      <c r="D1929" s="101">
        <v>9199371210</v>
      </c>
      <c r="E1929" s="2090" t="s">
        <v>12059</v>
      </c>
      <c r="H1929" s="2090" t="s">
        <v>1275</v>
      </c>
      <c r="I1929" s="2114" t="s">
        <v>12058</v>
      </c>
      <c r="J1929" s="2111" t="s">
        <v>507</v>
      </c>
    </row>
    <row r="1930" spans="3:11" ht="15" customHeight="1">
      <c r="C1930" s="162">
        <v>46247</v>
      </c>
      <c r="D1930" s="101">
        <v>8873113939</v>
      </c>
      <c r="E1930" s="2092" t="s">
        <v>12061</v>
      </c>
      <c r="H1930" s="2090" t="s">
        <v>1275</v>
      </c>
      <c r="I1930" s="2095" t="s">
        <v>12060</v>
      </c>
      <c r="J1930" s="2111" t="s">
        <v>507</v>
      </c>
    </row>
    <row r="1931" spans="3:11" ht="15" customHeight="1">
      <c r="C1931" s="162">
        <v>46252</v>
      </c>
      <c r="D1931" s="101">
        <v>7482032786</v>
      </c>
      <c r="E1931" s="2097" t="s">
        <v>12065</v>
      </c>
      <c r="H1931" s="2097" t="s">
        <v>2071</v>
      </c>
      <c r="I1931" t="s">
        <v>12066</v>
      </c>
      <c r="J1931" t="s">
        <v>100</v>
      </c>
    </row>
    <row r="1932" spans="3:11" ht="15" customHeight="1">
      <c r="C1932" s="162">
        <v>46256</v>
      </c>
      <c r="D1932" s="101">
        <v>8863837424</v>
      </c>
      <c r="E1932" s="2100" t="s">
        <v>12089</v>
      </c>
      <c r="H1932" s="2100" t="s">
        <v>1869</v>
      </c>
      <c r="I1932" t="s">
        <v>12088</v>
      </c>
      <c r="J1932" s="2113">
        <v>46272</v>
      </c>
    </row>
    <row r="1933" spans="3:11" ht="15" customHeight="1">
      <c r="C1933" s="162">
        <v>46256</v>
      </c>
      <c r="D1933" s="101">
        <v>9631515447</v>
      </c>
      <c r="E1933" s="2100" t="s">
        <v>8308</v>
      </c>
      <c r="G1933" s="2101" t="s">
        <v>11530</v>
      </c>
      <c r="H1933" s="2100" t="s">
        <v>11529</v>
      </c>
      <c r="I1933" s="1483" t="s">
        <v>12090</v>
      </c>
      <c r="J1933" s="2111" t="s">
        <v>507</v>
      </c>
    </row>
    <row r="1934" spans="3:11" ht="15" customHeight="1">
      <c r="C1934" s="162">
        <v>46256</v>
      </c>
      <c r="D1934" s="101">
        <v>9631515447</v>
      </c>
      <c r="E1934" s="2100" t="s">
        <v>8785</v>
      </c>
      <c r="G1934" s="2101" t="s">
        <v>11530</v>
      </c>
      <c r="H1934" s="2100" t="s">
        <v>11529</v>
      </c>
      <c r="I1934" s="1483" t="s">
        <v>12091</v>
      </c>
      <c r="J1934" s="2111" t="s">
        <v>507</v>
      </c>
    </row>
    <row r="1935" spans="3:11" ht="15" customHeight="1">
      <c r="C1935" s="162">
        <v>46258</v>
      </c>
      <c r="E1935" s="2102" t="s">
        <v>6566</v>
      </c>
      <c r="G1935" s="1271">
        <v>15</v>
      </c>
      <c r="H1935" s="2103" t="s">
        <v>12095</v>
      </c>
      <c r="I1935" t="s">
        <v>12094</v>
      </c>
      <c r="J1935" s="2111" t="s">
        <v>507</v>
      </c>
    </row>
    <row r="1936" spans="3:11" ht="15" customHeight="1">
      <c r="C1936" s="162">
        <v>46262</v>
      </c>
      <c r="D1936" s="101">
        <v>6201488850</v>
      </c>
      <c r="E1936" s="2106" t="s">
        <v>11618</v>
      </c>
      <c r="G1936" s="1271" t="s">
        <v>12099</v>
      </c>
      <c r="H1936" s="2108" t="s">
        <v>1387</v>
      </c>
      <c r="I1936" t="s">
        <v>12104</v>
      </c>
      <c r="J1936" s="2111" t="s">
        <v>507</v>
      </c>
    </row>
    <row r="1937" spans="3:10" ht="15" customHeight="1">
      <c r="C1937" s="162">
        <v>46262</v>
      </c>
      <c r="D1937" s="101">
        <v>9031000171</v>
      </c>
      <c r="E1937" s="2106" t="s">
        <v>12096</v>
      </c>
      <c r="G1937" s="2109" t="s">
        <v>12101</v>
      </c>
      <c r="H1937" s="2108" t="s">
        <v>1785</v>
      </c>
      <c r="I1937" s="1483" t="s">
        <v>12100</v>
      </c>
      <c r="J1937" s="2163" t="s">
        <v>507</v>
      </c>
    </row>
    <row r="1938" spans="3:10" ht="15" customHeight="1">
      <c r="C1938" s="162">
        <v>46262</v>
      </c>
      <c r="D1938" s="101">
        <v>8797947544</v>
      </c>
      <c r="E1938" s="2106" t="s">
        <v>12097</v>
      </c>
      <c r="G1938" s="2109" t="s">
        <v>12103</v>
      </c>
      <c r="H1938" s="2108" t="s">
        <v>2018</v>
      </c>
      <c r="I1938" s="1483" t="s">
        <v>12102</v>
      </c>
      <c r="J1938" s="2163" t="s">
        <v>100</v>
      </c>
    </row>
    <row r="1939" spans="3:10" ht="15" customHeight="1">
      <c r="C1939" s="162">
        <v>46262</v>
      </c>
      <c r="D1939" s="101">
        <v>6204935582</v>
      </c>
      <c r="E1939" s="2106" t="s">
        <v>12098</v>
      </c>
      <c r="F1939">
        <v>90000</v>
      </c>
      <c r="H1939" s="2108" t="s">
        <v>1275</v>
      </c>
      <c r="I1939" s="1483" t="s">
        <v>12105</v>
      </c>
      <c r="J1939" s="2114" t="s">
        <v>507</v>
      </c>
    </row>
    <row r="1940" spans="3:10" ht="15" customHeight="1">
      <c r="C1940" s="162">
        <v>46262</v>
      </c>
      <c r="D1940" s="101">
        <v>7294820312</v>
      </c>
      <c r="E1940" s="2107" t="s">
        <v>7663</v>
      </c>
      <c r="H1940" s="2108" t="s">
        <v>2071</v>
      </c>
      <c r="I1940" t="s">
        <v>12106</v>
      </c>
      <c r="J1940" s="2114" t="s">
        <v>507</v>
      </c>
    </row>
    <row r="1941" spans="3:10" ht="15" customHeight="1">
      <c r="C1941" s="162">
        <v>46262</v>
      </c>
      <c r="D1941" s="101">
        <v>7209483044</v>
      </c>
      <c r="E1941" s="2108" t="s">
        <v>6487</v>
      </c>
      <c r="H1941" s="2108" t="s">
        <v>2071</v>
      </c>
      <c r="I1941" t="s">
        <v>12107</v>
      </c>
      <c r="J1941" s="2125">
        <v>46279</v>
      </c>
    </row>
    <row r="1942" spans="3:10" ht="15" customHeight="1">
      <c r="C1942" s="162">
        <v>46272</v>
      </c>
      <c r="D1942" s="101">
        <v>8521576444</v>
      </c>
      <c r="E1942" s="2112" t="s">
        <v>12121</v>
      </c>
      <c r="H1942" s="2114" t="s">
        <v>2067</v>
      </c>
      <c r="I1942" t="s">
        <v>12122</v>
      </c>
      <c r="J1942" s="2149" t="s">
        <v>4073</v>
      </c>
    </row>
    <row r="1943" spans="3:10" ht="15" customHeight="1">
      <c r="C1943" s="162">
        <v>46273</v>
      </c>
      <c r="D1943" s="101">
        <v>6201488850</v>
      </c>
      <c r="E1943" s="2111" t="s">
        <v>12120</v>
      </c>
      <c r="H1943" s="2115" t="s">
        <v>1275</v>
      </c>
      <c r="I1943" s="1483" t="s">
        <v>12126</v>
      </c>
      <c r="J1943" s="2156" t="s">
        <v>7583</v>
      </c>
    </row>
    <row r="1944" spans="3:10" ht="15" customHeight="1">
      <c r="E1944" s="2116" t="s">
        <v>3886</v>
      </c>
      <c r="H1944" s="2116" t="s">
        <v>1869</v>
      </c>
      <c r="I1944" s="1483" t="s">
        <v>12134</v>
      </c>
      <c r="J1944" s="2156" t="s">
        <v>7583</v>
      </c>
    </row>
    <row r="1945" spans="3:10" ht="15" customHeight="1">
      <c r="C1945" s="162">
        <v>46277</v>
      </c>
      <c r="D1945" s="101">
        <v>7992279452</v>
      </c>
      <c r="E1945" s="2114" t="s">
        <v>12125</v>
      </c>
      <c r="H1945" s="2114" t="s">
        <v>2047</v>
      </c>
      <c r="I1945" s="1483" t="s">
        <v>12142</v>
      </c>
      <c r="J1945" s="2156" t="s">
        <v>4073</v>
      </c>
    </row>
    <row r="1946" spans="3:10" ht="15" customHeight="1">
      <c r="D1946" s="101">
        <v>8789422787</v>
      </c>
      <c r="E1946" s="2115" t="s">
        <v>12127</v>
      </c>
      <c r="H1946" s="2118" t="s">
        <v>4091</v>
      </c>
      <c r="I1946" s="1483" t="s">
        <v>12135</v>
      </c>
      <c r="J1946" s="2156" t="s">
        <v>4073</v>
      </c>
    </row>
    <row r="1947" spans="3:10" ht="15" customHeight="1">
      <c r="D1947" s="101">
        <v>8603823870</v>
      </c>
      <c r="E1947" s="2119" t="s">
        <v>50</v>
      </c>
      <c r="H1947" s="2121" t="s">
        <v>2047</v>
      </c>
      <c r="I1947" t="s">
        <v>12139</v>
      </c>
      <c r="J1947" s="2156" t="s">
        <v>7583</v>
      </c>
    </row>
    <row r="1948" spans="3:10" ht="15" customHeight="1">
      <c r="C1948" s="162">
        <v>46280</v>
      </c>
      <c r="D1948" s="101">
        <v>7461882885</v>
      </c>
      <c r="E1948" s="2123" t="s">
        <v>10744</v>
      </c>
      <c r="H1948" s="2123" t="s">
        <v>2071</v>
      </c>
      <c r="I1948" s="1483" t="s">
        <v>12146</v>
      </c>
      <c r="J1948" s="2156" t="s">
        <v>4073</v>
      </c>
    </row>
    <row r="1949" spans="3:10" ht="15" customHeight="1">
      <c r="C1949" s="162">
        <v>46284</v>
      </c>
      <c r="D1949" s="101">
        <v>9693898901</v>
      </c>
      <c r="E1949" s="2134" t="s">
        <v>1122</v>
      </c>
      <c r="H1949" s="2137" t="s">
        <v>5884</v>
      </c>
      <c r="I1949" t="s">
        <v>12172</v>
      </c>
      <c r="J1949" s="2156" t="s">
        <v>4073</v>
      </c>
    </row>
    <row r="1950" spans="3:10" ht="15" customHeight="1">
      <c r="C1950" s="162">
        <v>46284</v>
      </c>
      <c r="D1950" s="101">
        <v>6203091749</v>
      </c>
      <c r="E1950" s="2136" t="s">
        <v>12162</v>
      </c>
      <c r="H1950" s="2136" t="s">
        <v>2071</v>
      </c>
      <c r="I1950" s="1483" t="s">
        <v>12163</v>
      </c>
      <c r="J1950" s="2156" t="s">
        <v>4073</v>
      </c>
    </row>
    <row r="1951" spans="3:10" ht="15" customHeight="1">
      <c r="C1951" s="162">
        <v>46285</v>
      </c>
      <c r="D1951" s="101">
        <v>6204742668</v>
      </c>
      <c r="E1951" s="2136" t="s">
        <v>12164</v>
      </c>
      <c r="H1951" s="2137" t="s">
        <v>1869</v>
      </c>
      <c r="I1951" s="1483" t="s">
        <v>12166</v>
      </c>
      <c r="J1951" s="2156" t="s">
        <v>7583</v>
      </c>
    </row>
    <row r="1952" spans="3:10" ht="15" customHeight="1">
      <c r="C1952" s="162">
        <v>46287</v>
      </c>
      <c r="D1952" s="101">
        <v>9279415469</v>
      </c>
      <c r="E1952" s="2139" t="s">
        <v>12174</v>
      </c>
      <c r="H1952" s="2137" t="s">
        <v>1869</v>
      </c>
      <c r="I1952" t="s">
        <v>12173</v>
      </c>
      <c r="J1952" s="2156" t="s">
        <v>7583</v>
      </c>
    </row>
    <row r="1953" spans="3:10" ht="15" customHeight="1">
      <c r="C1953" s="162">
        <v>46289</v>
      </c>
      <c r="D1953" s="101">
        <v>9234252228</v>
      </c>
      <c r="E1953" s="2147" t="s">
        <v>12201</v>
      </c>
      <c r="H1953" s="2147" t="s">
        <v>2067</v>
      </c>
      <c r="I1953" s="1483" t="s">
        <v>12202</v>
      </c>
      <c r="J1953" s="95">
        <v>46293</v>
      </c>
    </row>
    <row r="1954" spans="3:10" ht="15" customHeight="1">
      <c r="C1954" s="162">
        <v>46295</v>
      </c>
      <c r="D1954" s="101">
        <v>8797947544</v>
      </c>
      <c r="E1954" s="2106" t="s">
        <v>12097</v>
      </c>
      <c r="G1954" s="2109" t="s">
        <v>12103</v>
      </c>
      <c r="H1954" s="2108" t="s">
        <v>2018</v>
      </c>
      <c r="I1954" s="1483" t="s">
        <v>12223</v>
      </c>
    </row>
  </sheetData>
  <autoFilter ref="A1:J1149" xr:uid="{00000000-0001-0000-0100-000000000000}"/>
  <customSheetViews>
    <customSheetView guid="{E409D896-73B5-4FCE-A06F-92D6136D2182}" filter="1" showAutoFilter="1">
      <pageMargins left="0.7" right="0.7" top="0.75" bottom="0.75" header="0.3" footer="0.3"/>
      <autoFilter ref="A1:I727" xr:uid="{C78E947D-6ACA-4BFD-A6E7-0B812AAFFC69}"/>
      <extLst>
        <ext uri="GoogleSheetsCustomDataVersion1">
          <go:sheetsCustomData xmlns:go="http://customooxmlschemas.google.com/" filterViewId="1635137292"/>
        </ext>
      </extLst>
    </customSheetView>
    <customSheetView guid="{2A2E44CE-7ABE-4A6F-A32C-C7CC4EA86B70}" filter="1" showAutoFilter="1">
      <pageMargins left="0.7" right="0.7" top="0.75" bottom="0.75" header="0.3" footer="0.3"/>
      <autoFilter ref="A1:I727" xr:uid="{06EFFA79-A987-4ABE-9D45-86C78520769D}"/>
      <extLst>
        <ext uri="GoogleSheetsCustomDataVersion1">
          <go:sheetsCustomData xmlns:go="http://customooxmlschemas.google.com/" filterViewId="2027486252"/>
        </ext>
      </extLst>
    </customSheetView>
    <customSheetView guid="{DBCA2985-35F2-4396-AB82-C941F4730697}" filter="1" showAutoFilter="1">
      <pageMargins left="0.7" right="0.7" top="0.75" bottom="0.75" header="0.3" footer="0.3"/>
      <autoFilter ref="A1:I727" xr:uid="{7FAA4092-AC60-4ADA-BA7C-AB842539BD2F}"/>
      <extLst>
        <ext uri="GoogleSheetsCustomDataVersion1">
          <go:sheetsCustomData xmlns:go="http://customooxmlschemas.google.com/" filterViewId="386012469"/>
        </ext>
      </extLst>
    </customSheetView>
    <customSheetView guid="{C5940691-FD20-41D8-B708-F6F6E60B4EBD}" filter="1" showAutoFilter="1">
      <pageMargins left="0.7" right="0.7" top="0.75" bottom="0.75" header="0.3" footer="0.3"/>
      <autoFilter ref="A1:I727" xr:uid="{86E9E88E-6234-4A24-AF45-16D80E6C358E}"/>
      <extLst>
        <ext uri="GoogleSheetsCustomDataVersion1">
          <go:sheetsCustomData xmlns:go="http://customooxmlschemas.google.com/" filterViewId="72600823"/>
        </ext>
      </extLst>
    </customSheetView>
  </customSheetViews>
  <conditionalFormatting sqref="J1:J1104 J1097:K1097 J1107:J1215 J1222:J1497 J1499:J1708 F1709:F1710 J1713:J1809 J1811:J1850 J1855:J1925 K1924:K1925 J1927:J1048576">
    <cfRule type="cellIs" dxfId="78" priority="1" operator="equal">
      <formula>"Date()"</formula>
    </cfRule>
  </conditionalFormatting>
  <conditionalFormatting sqref="J2:J337 J339:J341 J345:J409 J412:J516 K501 J518:J609 J825:J934 K996">
    <cfRule type="cellIs" dxfId="77" priority="20" operator="equal">
      <formula>"Rejected"</formula>
    </cfRule>
    <cfRule type="cellIs" dxfId="76" priority="21" operator="equal">
      <formula>"delivered"</formula>
    </cfRule>
  </conditionalFormatting>
  <conditionalFormatting sqref="J611:J615 J617:J684">
    <cfRule type="cellIs" dxfId="75" priority="28" operator="equal">
      <formula>"Rejected"</formula>
    </cfRule>
    <cfRule type="cellIs" dxfId="74" priority="29" operator="equal">
      <formula>"delivered"</formula>
    </cfRule>
  </conditionalFormatting>
  <conditionalFormatting sqref="J692">
    <cfRule type="cellIs" dxfId="73" priority="36" operator="equal">
      <formula>"Rejected"</formula>
    </cfRule>
    <cfRule type="cellIs" dxfId="72" priority="37" operator="equal">
      <formula>"delivered"</formula>
    </cfRule>
  </conditionalFormatting>
  <conditionalFormatting sqref="J695">
    <cfRule type="cellIs" dxfId="71" priority="40" operator="equal">
      <formula>"Rejected"</formula>
    </cfRule>
    <cfRule type="cellIs" dxfId="70" priority="41" operator="equal">
      <formula>"delivered"</formula>
    </cfRule>
  </conditionalFormatting>
  <conditionalFormatting sqref="J698:J699">
    <cfRule type="cellIs" dxfId="69" priority="38" operator="equal">
      <formula>"Rejected"</formula>
    </cfRule>
    <cfRule type="cellIs" dxfId="68" priority="39" operator="equal">
      <formula>"delivered"</formula>
    </cfRule>
  </conditionalFormatting>
  <conditionalFormatting sqref="J702:J818">
    <cfRule type="cellIs" dxfId="67" priority="42" operator="equal">
      <formula>"Rejected"</formula>
    </cfRule>
    <cfRule type="cellIs" dxfId="66" priority="43" operator="equal">
      <formula>"delivered"</formula>
    </cfRule>
  </conditionalFormatting>
  <conditionalFormatting sqref="J820">
    <cfRule type="cellIs" dxfId="65" priority="54" operator="equal">
      <formula>"Rejected"</formula>
    </cfRule>
    <cfRule type="cellIs" dxfId="64" priority="55" operator="equal">
      <formula>"delivered"</formula>
    </cfRule>
  </conditionalFormatting>
  <conditionalFormatting sqref="J822">
    <cfRule type="cellIs" dxfId="63" priority="56" operator="equal">
      <formula>"Rejected"</formula>
    </cfRule>
    <cfRule type="cellIs" dxfId="62" priority="57" operator="equal">
      <formula>"delivered"</formula>
    </cfRule>
  </conditionalFormatting>
  <conditionalFormatting sqref="J936:J1045 K1029 J1047:J1061">
    <cfRule type="cellIs" dxfId="61" priority="12" operator="equal">
      <formula>"Rejected"</formula>
    </cfRule>
    <cfRule type="cellIs" dxfId="60" priority="13" operator="equal">
      <formula>"delivered"</formula>
    </cfRule>
  </conditionalFormatting>
  <conditionalFormatting sqref="J1046">
    <cfRule type="cellIs" dxfId="59" priority="2" operator="equal">
      <formula>"Printed"</formula>
    </cfRule>
    <cfRule type="cellIs" dxfId="58" priority="3" operator="equal">
      <formula>"saved"</formula>
    </cfRule>
    <cfRule type="cellIs" dxfId="57" priority="4" operator="equal">
      <formula>569</formula>
    </cfRule>
    <cfRule type="cellIs" dxfId="56" priority="5" operator="equal">
      <formula>"saved"</formula>
    </cfRule>
    <cfRule type="cellIs" dxfId="55" priority="6" operator="equal">
      <formula>"Rejected"</formula>
    </cfRule>
    <cfRule type="cellIs" dxfId="54" priority="7" operator="equal">
      <formula>""""""</formula>
    </cfRule>
    <cfRule type="cellIs" dxfId="53" priority="8" operator="equal">
      <formula>"Delivered"</formula>
    </cfRule>
    <cfRule type="containsText" dxfId="52" priority="9" operator="containsText" text="init">
      <formula>NOT(ISERROR(SEARCH(("init"),(J1046))))</formula>
    </cfRule>
    <cfRule type="cellIs" dxfId="51" priority="10" operator="equal">
      <formula>"Delivered"</formula>
    </cfRule>
    <cfRule type="cellIs" dxfId="50" priority="11" operator="equal">
      <formula>"sent to wht"</formula>
    </cfRule>
  </conditionalFormatting>
  <hyperlinks>
    <hyperlink ref="F1709" r:id="rId1" xr:uid="{9F103897-41AA-4CF4-B909-5AE1098B4157}"/>
    <hyperlink ref="F1710" r:id="rId2" xr:uid="{E25C059E-F3E9-4B41-9D92-9E58DF1C3C13}"/>
  </hyperlinks>
  <pageMargins left="0.7" right="0.7" top="0.75" bottom="0.75" header="0" footer="0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28"/>
  <sheetViews>
    <sheetView topLeftCell="C1" zoomScale="130" zoomScaleNormal="130" workbookViewId="0">
      <pane ySplit="2" topLeftCell="A1600" activePane="bottomLeft" state="frozen"/>
      <selection pane="bottomLeft" activeCell="J1604" sqref="J1604"/>
    </sheetView>
  </sheetViews>
  <sheetFormatPr defaultColWidth="14.44140625" defaultRowHeight="14.25" customHeight="1"/>
  <cols>
    <col min="1" max="1" width="5.88671875" customWidth="1"/>
    <col min="2" max="2" width="15.88671875" customWidth="1"/>
    <col min="3" max="3" width="11.88671875" customWidth="1"/>
    <col min="4" max="4" width="14.5546875" style="101" customWidth="1"/>
    <col min="5" max="5" width="25.109375" customWidth="1"/>
    <col min="6" max="6" width="10.44140625" customWidth="1"/>
    <col min="7" max="7" width="10.5546875" style="294" customWidth="1"/>
    <col min="8" max="8" width="14.6640625" customWidth="1"/>
    <col min="9" max="9" width="24.33203125" customWidth="1"/>
    <col min="10" max="10" width="21.88671875" style="101" customWidth="1"/>
    <col min="11" max="11" width="20" customWidth="1"/>
    <col min="12" max="26" width="8.5546875" customWidth="1"/>
  </cols>
  <sheetData>
    <row r="1" spans="1:15" ht="14.25" customHeight="1">
      <c r="A1" s="1" t="s">
        <v>0</v>
      </c>
      <c r="B1" s="144" t="s">
        <v>3058</v>
      </c>
      <c r="C1" s="144" t="s">
        <v>2</v>
      </c>
      <c r="D1" s="145" t="s">
        <v>3059</v>
      </c>
      <c r="E1" s="144" t="s">
        <v>3060</v>
      </c>
      <c r="F1" s="146" t="s">
        <v>4</v>
      </c>
      <c r="G1" s="1860"/>
      <c r="H1" s="144" t="s">
        <v>3061</v>
      </c>
      <c r="I1" s="147"/>
      <c r="J1" s="31">
        <f>MAX(caste!B2:B1090,income!B2:B1050,B2:B1144,B2:B1144,birth!B2:B1004,death!B2:B999,EWC!B2:B1001)</f>
        <v>1127</v>
      </c>
    </row>
    <row r="2" spans="1:15" ht="14.25" customHeight="1">
      <c r="A2" s="1">
        <v>1</v>
      </c>
      <c r="B2" s="1"/>
      <c r="C2" s="1"/>
      <c r="D2" s="17"/>
      <c r="E2" s="17"/>
      <c r="F2" s="50"/>
      <c r="G2" s="1861"/>
      <c r="H2" s="1"/>
      <c r="I2" s="57" t="s">
        <v>3062</v>
      </c>
      <c r="J2" s="11" t="s">
        <v>3063</v>
      </c>
      <c r="K2" s="57" t="s">
        <v>3064</v>
      </c>
    </row>
    <row r="3" spans="1:15" ht="14.25" customHeight="1">
      <c r="A3" s="1">
        <v>2</v>
      </c>
      <c r="B3" s="1"/>
      <c r="C3" s="1"/>
      <c r="D3" s="17"/>
      <c r="E3" s="57" t="s">
        <v>3065</v>
      </c>
      <c r="F3" s="50" t="s">
        <v>3066</v>
      </c>
      <c r="G3" s="1861"/>
      <c r="H3" s="1"/>
      <c r="I3" s="57" t="s">
        <v>3067</v>
      </c>
      <c r="J3" s="11" t="s">
        <v>191</v>
      </c>
    </row>
    <row r="4" spans="1:15" ht="14.25" customHeight="1">
      <c r="A4" s="1">
        <v>3</v>
      </c>
      <c r="B4" s="1"/>
      <c r="C4" s="1"/>
      <c r="D4" s="17"/>
      <c r="E4" s="57" t="s">
        <v>677</v>
      </c>
      <c r="F4" s="50" t="s">
        <v>3068</v>
      </c>
      <c r="G4" s="1861"/>
      <c r="H4" s="1"/>
      <c r="I4" s="57" t="s">
        <v>3069</v>
      </c>
      <c r="J4" s="11" t="s">
        <v>32</v>
      </c>
    </row>
    <row r="5" spans="1:15" ht="14.25" customHeight="1">
      <c r="A5" s="1">
        <v>4</v>
      </c>
      <c r="B5" s="1"/>
      <c r="C5" s="1"/>
      <c r="D5" s="17"/>
      <c r="E5" s="57" t="s">
        <v>3070</v>
      </c>
      <c r="F5" s="50" t="s">
        <v>3071</v>
      </c>
      <c r="G5" s="1861"/>
      <c r="H5" s="1"/>
      <c r="I5" s="57" t="s">
        <v>3072</v>
      </c>
      <c r="J5" s="11" t="s">
        <v>32</v>
      </c>
    </row>
    <row r="6" spans="1:15" ht="14.25" customHeight="1">
      <c r="A6" s="1">
        <v>5</v>
      </c>
      <c r="B6" s="1"/>
      <c r="C6" s="1"/>
      <c r="D6" s="17"/>
      <c r="E6" s="57" t="s">
        <v>3073</v>
      </c>
      <c r="F6" s="50" t="s">
        <v>3074</v>
      </c>
      <c r="G6" s="1861"/>
      <c r="H6" s="1"/>
      <c r="I6" s="57" t="s">
        <v>3075</v>
      </c>
      <c r="J6" s="11"/>
      <c r="K6" s="57" t="s">
        <v>3076</v>
      </c>
      <c r="L6" s="57" t="s">
        <v>3077</v>
      </c>
      <c r="M6" s="57" t="s">
        <v>92</v>
      </c>
    </row>
    <row r="7" spans="1:15" ht="14.25" customHeight="1">
      <c r="A7" s="1">
        <v>6</v>
      </c>
      <c r="B7" s="1"/>
      <c r="C7" s="1"/>
      <c r="D7" s="17"/>
      <c r="E7" s="57" t="s">
        <v>3078</v>
      </c>
      <c r="F7" s="50" t="s">
        <v>3079</v>
      </c>
      <c r="G7" s="1861"/>
      <c r="H7" s="1"/>
      <c r="I7" s="57" t="s">
        <v>3080</v>
      </c>
      <c r="J7" s="11" t="s">
        <v>191</v>
      </c>
    </row>
    <row r="8" spans="1:15" ht="14.25" customHeight="1">
      <c r="A8" s="1">
        <v>7</v>
      </c>
      <c r="B8" s="1"/>
      <c r="C8" s="1"/>
      <c r="D8" s="17"/>
      <c r="E8" s="57" t="s">
        <v>3081</v>
      </c>
      <c r="F8" s="50" t="s">
        <v>3082</v>
      </c>
      <c r="G8" s="1861"/>
      <c r="H8" s="1"/>
      <c r="I8" s="57" t="s">
        <v>3083</v>
      </c>
      <c r="J8" s="11" t="s">
        <v>191</v>
      </c>
      <c r="K8" s="57" t="s">
        <v>3076</v>
      </c>
    </row>
    <row r="9" spans="1:15" ht="14.25" customHeight="1">
      <c r="A9" s="1">
        <v>8</v>
      </c>
      <c r="B9" s="1"/>
      <c r="C9" s="1"/>
      <c r="D9" s="17"/>
      <c r="E9" s="57" t="s">
        <v>3084</v>
      </c>
      <c r="F9" s="50" t="s">
        <v>3085</v>
      </c>
      <c r="G9" s="1861"/>
      <c r="H9" s="1"/>
      <c r="I9" s="57" t="s">
        <v>3086</v>
      </c>
      <c r="J9" s="11" t="s">
        <v>191</v>
      </c>
    </row>
    <row r="10" spans="1:15" ht="14.25" customHeight="1">
      <c r="A10" s="1">
        <v>9</v>
      </c>
      <c r="B10" s="1"/>
      <c r="C10" s="1"/>
      <c r="D10" s="17"/>
      <c r="E10" s="57" t="s">
        <v>3087</v>
      </c>
      <c r="F10" s="50" t="s">
        <v>3088</v>
      </c>
      <c r="G10" s="1861"/>
      <c r="H10" s="1"/>
      <c r="I10" s="57" t="s">
        <v>3089</v>
      </c>
      <c r="J10" s="11" t="s">
        <v>191</v>
      </c>
      <c r="O10" s="57">
        <f>3625+4185+3890+150</f>
        <v>11850</v>
      </c>
    </row>
    <row r="11" spans="1:15" ht="14.25" customHeight="1">
      <c r="A11" s="1">
        <v>10</v>
      </c>
      <c r="B11" s="1"/>
      <c r="C11" s="1"/>
      <c r="D11" s="17"/>
      <c r="E11" s="57" t="s">
        <v>3090</v>
      </c>
      <c r="F11" s="50" t="s">
        <v>3091</v>
      </c>
      <c r="G11" s="1861"/>
      <c r="H11" s="1"/>
      <c r="J11" s="11" t="s">
        <v>32</v>
      </c>
    </row>
    <row r="12" spans="1:15" ht="14.25" customHeight="1">
      <c r="A12" s="1">
        <v>11</v>
      </c>
      <c r="B12" s="1"/>
      <c r="C12" s="1"/>
      <c r="D12" s="17"/>
      <c r="E12" s="57" t="s">
        <v>3092</v>
      </c>
      <c r="F12" s="50" t="s">
        <v>3093</v>
      </c>
      <c r="G12" s="1861"/>
      <c r="H12" s="1"/>
      <c r="I12" s="57" t="s">
        <v>3094</v>
      </c>
      <c r="J12" s="11" t="s">
        <v>191</v>
      </c>
    </row>
    <row r="13" spans="1:15" ht="14.25" customHeight="1">
      <c r="A13" s="1">
        <v>12</v>
      </c>
      <c r="B13" s="1"/>
      <c r="C13" s="1"/>
      <c r="D13" s="17"/>
      <c r="E13" s="57" t="s">
        <v>18</v>
      </c>
      <c r="F13" s="50" t="s">
        <v>3095</v>
      </c>
      <c r="G13" s="1861"/>
      <c r="H13" s="1"/>
      <c r="I13" s="57" t="s">
        <v>3096</v>
      </c>
      <c r="J13" s="11" t="s">
        <v>191</v>
      </c>
    </row>
    <row r="14" spans="1:15" ht="14.25" customHeight="1">
      <c r="A14" s="1">
        <v>13</v>
      </c>
      <c r="B14" s="1"/>
      <c r="C14" s="1"/>
      <c r="D14" s="17"/>
      <c r="E14" s="57" t="s">
        <v>608</v>
      </c>
      <c r="F14" s="50" t="s">
        <v>3097</v>
      </c>
      <c r="G14" s="1861"/>
      <c r="H14" s="1"/>
      <c r="I14" s="57" t="s">
        <v>3098</v>
      </c>
      <c r="J14" s="11" t="s">
        <v>191</v>
      </c>
    </row>
    <row r="15" spans="1:15" ht="14.25" customHeight="1">
      <c r="A15" s="1">
        <v>14</v>
      </c>
      <c r="B15" s="1"/>
      <c r="C15" s="1"/>
      <c r="D15" s="17"/>
      <c r="E15" s="57" t="s">
        <v>3099</v>
      </c>
      <c r="F15" s="50" t="s">
        <v>3100</v>
      </c>
      <c r="G15" s="1861"/>
      <c r="H15" s="1"/>
      <c r="I15" s="57" t="s">
        <v>3101</v>
      </c>
      <c r="J15" s="11" t="s">
        <v>191</v>
      </c>
    </row>
    <row r="16" spans="1:15" ht="14.25" customHeight="1">
      <c r="A16" s="1">
        <v>15</v>
      </c>
      <c r="B16" s="1"/>
      <c r="C16" s="1"/>
      <c r="D16" s="17"/>
      <c r="E16" s="57" t="s">
        <v>3102</v>
      </c>
      <c r="F16" s="50" t="s">
        <v>3103</v>
      </c>
      <c r="G16" s="1861"/>
      <c r="H16" s="1"/>
      <c r="I16" s="57" t="s">
        <v>3104</v>
      </c>
      <c r="J16" s="11" t="s">
        <v>32</v>
      </c>
    </row>
    <row r="17" spans="1:10" ht="14.25" customHeight="1">
      <c r="A17" s="1">
        <v>16</v>
      </c>
      <c r="B17" s="1"/>
      <c r="C17" s="1"/>
      <c r="D17" s="17"/>
      <c r="E17" s="57" t="s">
        <v>23</v>
      </c>
      <c r="F17" s="50" t="s">
        <v>3105</v>
      </c>
      <c r="G17" s="1861"/>
      <c r="H17" s="1"/>
      <c r="I17" s="57" t="s">
        <v>3106</v>
      </c>
      <c r="J17" s="11" t="s">
        <v>32</v>
      </c>
    </row>
    <row r="18" spans="1:10" ht="14.25" customHeight="1">
      <c r="A18" s="1">
        <v>17</v>
      </c>
      <c r="B18" s="1"/>
      <c r="C18" s="1"/>
      <c r="D18" s="17"/>
      <c r="E18" s="57" t="s">
        <v>3107</v>
      </c>
      <c r="F18" s="50" t="s">
        <v>3108</v>
      </c>
      <c r="G18" s="1861"/>
      <c r="H18" s="1"/>
      <c r="I18" s="57" t="s">
        <v>3109</v>
      </c>
      <c r="J18" s="11" t="s">
        <v>32</v>
      </c>
    </row>
    <row r="19" spans="1:10" ht="14.25" customHeight="1">
      <c r="A19" s="1">
        <v>18</v>
      </c>
      <c r="B19" s="1"/>
      <c r="C19" s="1"/>
      <c r="D19" s="17"/>
      <c r="E19" s="57" t="s">
        <v>3110</v>
      </c>
      <c r="F19" s="50" t="s">
        <v>3111</v>
      </c>
      <c r="G19" s="1861"/>
      <c r="H19" s="1"/>
      <c r="I19" s="57" t="s">
        <v>3112</v>
      </c>
      <c r="J19" s="11" t="s">
        <v>191</v>
      </c>
    </row>
    <row r="20" spans="1:10" ht="14.25" customHeight="1">
      <c r="A20" s="1">
        <v>19</v>
      </c>
      <c r="B20" s="1"/>
      <c r="C20" s="1"/>
      <c r="D20" s="17"/>
      <c r="E20" s="57" t="s">
        <v>616</v>
      </c>
      <c r="F20" s="50" t="s">
        <v>3113</v>
      </c>
      <c r="G20" s="1861"/>
      <c r="H20" s="1"/>
      <c r="I20" s="57" t="s">
        <v>3114</v>
      </c>
      <c r="J20" s="11" t="s">
        <v>191</v>
      </c>
    </row>
    <row r="21" spans="1:10" ht="14.25" customHeight="1">
      <c r="A21" s="1">
        <v>20</v>
      </c>
      <c r="B21" s="1"/>
      <c r="C21" s="1"/>
      <c r="D21" s="17"/>
      <c r="E21" s="57" t="s">
        <v>881</v>
      </c>
      <c r="F21" s="50" t="s">
        <v>3115</v>
      </c>
      <c r="G21" s="1861"/>
      <c r="H21" s="1"/>
      <c r="I21" s="58" t="s">
        <v>3116</v>
      </c>
      <c r="J21" s="11" t="s">
        <v>191</v>
      </c>
    </row>
    <row r="22" spans="1:10" ht="14.25" customHeight="1">
      <c r="A22" s="1">
        <v>21</v>
      </c>
      <c r="B22" s="1"/>
      <c r="C22" s="1"/>
      <c r="D22" s="17"/>
      <c r="E22" s="57" t="s">
        <v>3117</v>
      </c>
      <c r="F22" s="50" t="s">
        <v>3118</v>
      </c>
      <c r="G22" s="1861"/>
      <c r="H22" s="1"/>
      <c r="I22" s="58" t="s">
        <v>3119</v>
      </c>
      <c r="J22" s="11" t="s">
        <v>191</v>
      </c>
    </row>
    <row r="23" spans="1:10" ht="14.25" customHeight="1">
      <c r="A23" s="1">
        <v>22</v>
      </c>
      <c r="B23" s="1">
        <v>42</v>
      </c>
      <c r="C23" s="8"/>
      <c r="D23" s="17"/>
      <c r="E23" s="57" t="s">
        <v>3120</v>
      </c>
      <c r="F23" s="50" t="s">
        <v>3121</v>
      </c>
      <c r="G23" s="1861"/>
      <c r="H23" s="1"/>
      <c r="I23" s="58" t="s">
        <v>3122</v>
      </c>
      <c r="J23" s="11" t="s">
        <v>191</v>
      </c>
    </row>
    <row r="24" spans="1:10" ht="14.25" customHeight="1">
      <c r="A24" s="1">
        <v>23</v>
      </c>
      <c r="B24" s="1">
        <v>43</v>
      </c>
      <c r="C24" s="8"/>
      <c r="D24" s="17"/>
      <c r="E24" s="57" t="s">
        <v>3123</v>
      </c>
      <c r="F24" s="50" t="s">
        <v>3124</v>
      </c>
      <c r="G24" s="1861"/>
      <c r="H24" s="1"/>
      <c r="I24" s="58" t="s">
        <v>3125</v>
      </c>
      <c r="J24" s="11" t="s">
        <v>191</v>
      </c>
    </row>
    <row r="25" spans="1:10" ht="14.25" customHeight="1">
      <c r="A25" s="1">
        <v>24</v>
      </c>
      <c r="B25" s="1">
        <v>45</v>
      </c>
      <c r="C25" s="8">
        <v>42985</v>
      </c>
      <c r="D25" s="17"/>
      <c r="E25" s="57" t="s">
        <v>3126</v>
      </c>
      <c r="F25" s="50" t="s">
        <v>3127</v>
      </c>
      <c r="G25" s="1861"/>
      <c r="H25" s="1"/>
      <c r="I25" s="58" t="s">
        <v>3128</v>
      </c>
      <c r="J25" s="11" t="s">
        <v>191</v>
      </c>
    </row>
    <row r="26" spans="1:10" ht="14.25" customHeight="1">
      <c r="A26" s="1">
        <v>25</v>
      </c>
      <c r="B26" s="1">
        <v>46</v>
      </c>
      <c r="C26" s="8">
        <v>42985</v>
      </c>
      <c r="D26" s="17"/>
      <c r="E26" s="57" t="s">
        <v>3129</v>
      </c>
      <c r="F26" s="50" t="s">
        <v>3130</v>
      </c>
      <c r="G26" s="1861"/>
      <c r="H26" s="1"/>
      <c r="I26" s="58" t="s">
        <v>3131</v>
      </c>
      <c r="J26" s="11" t="s">
        <v>32</v>
      </c>
    </row>
    <row r="27" spans="1:10" ht="14.25" customHeight="1">
      <c r="A27" s="1"/>
      <c r="B27" s="1">
        <v>47</v>
      </c>
      <c r="C27" s="8">
        <v>42991</v>
      </c>
      <c r="D27" s="17"/>
      <c r="E27" s="57" t="s">
        <v>3132</v>
      </c>
      <c r="F27" s="50" t="s">
        <v>3133</v>
      </c>
      <c r="G27" s="1861"/>
      <c r="H27" s="1"/>
      <c r="I27" s="10" t="s">
        <v>3134</v>
      </c>
      <c r="J27" s="11" t="s">
        <v>32</v>
      </c>
    </row>
    <row r="28" spans="1:10" ht="14.25" customHeight="1">
      <c r="A28" s="1"/>
      <c r="B28" s="1">
        <v>48</v>
      </c>
      <c r="C28" s="8"/>
      <c r="D28" s="17"/>
      <c r="E28" s="57" t="s">
        <v>3135</v>
      </c>
      <c r="F28" s="50" t="s">
        <v>3136</v>
      </c>
      <c r="G28" s="1861"/>
      <c r="H28" s="1"/>
      <c r="I28" s="10" t="s">
        <v>3137</v>
      </c>
      <c r="J28" s="11" t="s">
        <v>36</v>
      </c>
    </row>
    <row r="29" spans="1:10" ht="14.25" customHeight="1">
      <c r="A29" s="1"/>
      <c r="B29" s="1">
        <v>49</v>
      </c>
      <c r="C29" s="8"/>
      <c r="D29" s="17"/>
      <c r="E29" s="57" t="s">
        <v>3138</v>
      </c>
      <c r="F29" s="50" t="s">
        <v>3139</v>
      </c>
      <c r="G29" s="1861"/>
      <c r="H29" s="1"/>
      <c r="I29" s="10" t="s">
        <v>3140</v>
      </c>
      <c r="J29" s="11" t="s">
        <v>100</v>
      </c>
    </row>
    <row r="30" spans="1:10" ht="14.25" customHeight="1">
      <c r="A30" s="1"/>
      <c r="B30" s="1">
        <v>50</v>
      </c>
      <c r="C30" s="8">
        <v>42992</v>
      </c>
      <c r="D30" s="17"/>
      <c r="E30" s="57" t="s">
        <v>3141</v>
      </c>
      <c r="F30" s="50" t="s">
        <v>3142</v>
      </c>
      <c r="G30" s="1861"/>
      <c r="H30" s="1"/>
      <c r="I30" s="10" t="s">
        <v>3143</v>
      </c>
      <c r="J30" s="11" t="s">
        <v>32</v>
      </c>
    </row>
    <row r="31" spans="1:10" ht="14.25" customHeight="1">
      <c r="A31" s="1"/>
      <c r="B31" s="1">
        <v>52</v>
      </c>
      <c r="C31" s="8">
        <v>42995</v>
      </c>
      <c r="D31" s="17"/>
      <c r="E31" s="57" t="s">
        <v>3144</v>
      </c>
      <c r="F31" s="50" t="s">
        <v>3145</v>
      </c>
      <c r="G31" s="1861"/>
      <c r="H31" s="1"/>
      <c r="I31" s="10" t="s">
        <v>3146</v>
      </c>
      <c r="J31" s="11" t="s">
        <v>32</v>
      </c>
    </row>
    <row r="32" spans="1:10" ht="14.25" customHeight="1">
      <c r="A32" s="1"/>
      <c r="B32" s="1">
        <v>53</v>
      </c>
      <c r="C32" s="8">
        <v>42995</v>
      </c>
      <c r="D32" s="17"/>
      <c r="E32" s="57" t="s">
        <v>3147</v>
      </c>
      <c r="F32" s="50" t="s">
        <v>3148</v>
      </c>
      <c r="G32" s="1861"/>
      <c r="H32" s="1"/>
      <c r="I32" s="10" t="s">
        <v>3149</v>
      </c>
      <c r="J32" s="11" t="s">
        <v>32</v>
      </c>
    </row>
    <row r="33" spans="1:10" ht="14.25" customHeight="1">
      <c r="A33" s="1"/>
      <c r="B33" s="1">
        <v>55</v>
      </c>
      <c r="C33" s="8">
        <v>42995</v>
      </c>
      <c r="D33" s="17"/>
      <c r="E33" s="57" t="s">
        <v>622</v>
      </c>
      <c r="F33" s="50" t="s">
        <v>3148</v>
      </c>
      <c r="G33" s="1861"/>
      <c r="H33" s="1"/>
      <c r="I33" s="10" t="s">
        <v>3150</v>
      </c>
      <c r="J33" s="11" t="s">
        <v>191</v>
      </c>
    </row>
    <row r="34" spans="1:10" ht="14.25" customHeight="1">
      <c r="A34" s="1"/>
      <c r="B34" s="1">
        <v>56</v>
      </c>
      <c r="C34" s="8">
        <v>42995</v>
      </c>
      <c r="D34" s="17"/>
      <c r="E34" s="57" t="s">
        <v>33</v>
      </c>
      <c r="F34" s="50" t="s">
        <v>3151</v>
      </c>
      <c r="G34" s="1861"/>
      <c r="H34" s="1"/>
      <c r="I34" s="10" t="s">
        <v>3152</v>
      </c>
      <c r="J34" s="11" t="s">
        <v>191</v>
      </c>
    </row>
    <row r="35" spans="1:10" ht="14.25" customHeight="1">
      <c r="A35" s="1"/>
      <c r="B35" s="1">
        <v>61</v>
      </c>
      <c r="C35" s="8">
        <v>43000</v>
      </c>
      <c r="D35" s="17"/>
      <c r="E35" s="57" t="s">
        <v>631</v>
      </c>
      <c r="F35" s="50" t="s">
        <v>3153</v>
      </c>
      <c r="G35" s="1861"/>
      <c r="H35" s="1"/>
      <c r="I35" s="10" t="s">
        <v>3154</v>
      </c>
      <c r="J35" s="11" t="s">
        <v>191</v>
      </c>
    </row>
    <row r="36" spans="1:10" ht="14.25" customHeight="1">
      <c r="A36" s="1"/>
      <c r="B36" s="1">
        <v>62</v>
      </c>
      <c r="C36" s="8">
        <v>43000</v>
      </c>
      <c r="D36" s="17"/>
      <c r="E36" s="57" t="s">
        <v>628</v>
      </c>
      <c r="F36" s="50" t="s">
        <v>3155</v>
      </c>
      <c r="G36" s="1861"/>
      <c r="H36" s="1"/>
      <c r="I36" s="10" t="s">
        <v>3156</v>
      </c>
      <c r="J36" s="11" t="s">
        <v>32</v>
      </c>
    </row>
    <row r="37" spans="1:10" ht="14.25" customHeight="1">
      <c r="A37" s="1"/>
      <c r="B37" s="1">
        <v>63</v>
      </c>
      <c r="C37" s="8">
        <v>43003</v>
      </c>
      <c r="D37" s="17"/>
      <c r="E37" s="57" t="s">
        <v>3141</v>
      </c>
      <c r="F37" s="50" t="s">
        <v>3157</v>
      </c>
      <c r="G37" s="1861"/>
      <c r="H37" s="1"/>
      <c r="I37" s="10" t="s">
        <v>3158</v>
      </c>
      <c r="J37" s="11" t="s">
        <v>3159</v>
      </c>
    </row>
    <row r="38" spans="1:10" ht="14.25" customHeight="1">
      <c r="A38" s="1"/>
      <c r="B38" s="1">
        <v>70</v>
      </c>
      <c r="C38" s="8">
        <v>43014</v>
      </c>
      <c r="D38" s="17"/>
      <c r="E38" s="57" t="s">
        <v>44</v>
      </c>
      <c r="F38" s="50" t="s">
        <v>3160</v>
      </c>
      <c r="G38" s="1861"/>
      <c r="H38" s="1"/>
      <c r="I38" s="10" t="s">
        <v>3161</v>
      </c>
      <c r="J38" s="11" t="s">
        <v>3159</v>
      </c>
    </row>
    <row r="39" spans="1:10" ht="14.25" customHeight="1">
      <c r="A39" s="1"/>
      <c r="B39" s="1">
        <v>74</v>
      </c>
      <c r="C39" s="8">
        <v>43040</v>
      </c>
      <c r="D39" s="17" t="s">
        <v>3162</v>
      </c>
      <c r="E39" s="57" t="s">
        <v>3163</v>
      </c>
      <c r="F39" s="50" t="s">
        <v>3164</v>
      </c>
      <c r="G39" s="1861"/>
      <c r="H39" s="1"/>
      <c r="I39" s="10" t="s">
        <v>3165</v>
      </c>
      <c r="J39" s="11" t="s">
        <v>3159</v>
      </c>
    </row>
    <row r="40" spans="1:10" ht="14.25" customHeight="1">
      <c r="A40" s="1"/>
      <c r="B40" s="1">
        <v>75</v>
      </c>
      <c r="C40" s="8">
        <v>43040</v>
      </c>
      <c r="D40" s="17"/>
      <c r="E40" s="57" t="s">
        <v>3166</v>
      </c>
      <c r="F40" s="50" t="s">
        <v>3167</v>
      </c>
      <c r="G40" s="1861"/>
      <c r="H40" s="1"/>
      <c r="I40" s="10" t="s">
        <v>3168</v>
      </c>
      <c r="J40" s="11" t="s">
        <v>36</v>
      </c>
    </row>
    <row r="41" spans="1:10" ht="14.25" customHeight="1">
      <c r="A41" s="1"/>
      <c r="B41" s="1">
        <v>80</v>
      </c>
      <c r="C41" s="8">
        <v>42927</v>
      </c>
      <c r="D41" s="17" t="s">
        <v>3169</v>
      </c>
      <c r="E41" s="57" t="s">
        <v>3170</v>
      </c>
      <c r="F41" s="50" t="s">
        <v>3171</v>
      </c>
      <c r="G41" s="1861"/>
      <c r="H41" s="1"/>
      <c r="I41" s="10" t="s">
        <v>3172</v>
      </c>
      <c r="J41" s="11" t="s">
        <v>178</v>
      </c>
    </row>
    <row r="42" spans="1:10" ht="14.25" customHeight="1">
      <c r="A42" s="1"/>
      <c r="B42" s="1">
        <v>86</v>
      </c>
      <c r="C42" s="8">
        <v>43063</v>
      </c>
      <c r="D42" s="17" t="s">
        <v>3173</v>
      </c>
      <c r="E42" s="57" t="s">
        <v>3174</v>
      </c>
      <c r="F42" s="50" t="s">
        <v>3175</v>
      </c>
      <c r="G42" s="1861"/>
      <c r="H42" s="1"/>
      <c r="I42" s="10" t="s">
        <v>3176</v>
      </c>
      <c r="J42" s="11" t="s">
        <v>178</v>
      </c>
    </row>
    <row r="43" spans="1:10" ht="14.25" customHeight="1">
      <c r="A43" s="1"/>
      <c r="B43" s="1">
        <v>91</v>
      </c>
      <c r="C43" s="8">
        <v>43071</v>
      </c>
      <c r="D43" s="17" t="s">
        <v>3177</v>
      </c>
      <c r="E43" s="57" t="s">
        <v>533</v>
      </c>
      <c r="F43" s="50" t="s">
        <v>3178</v>
      </c>
      <c r="G43" s="1861"/>
      <c r="H43" s="1"/>
      <c r="I43" s="10" t="s">
        <v>3179</v>
      </c>
      <c r="J43" s="11" t="s">
        <v>178</v>
      </c>
    </row>
    <row r="44" spans="1:10" ht="14.25" customHeight="1">
      <c r="A44" s="1"/>
      <c r="B44" s="1">
        <v>91</v>
      </c>
      <c r="C44" s="8">
        <v>43071</v>
      </c>
      <c r="D44" s="17" t="s">
        <v>3177</v>
      </c>
      <c r="E44" s="57" t="s">
        <v>533</v>
      </c>
      <c r="F44" s="50" t="s">
        <v>3178</v>
      </c>
      <c r="G44" s="1861"/>
      <c r="H44" s="1"/>
      <c r="I44" s="10" t="s">
        <v>3179</v>
      </c>
      <c r="J44" s="11" t="s">
        <v>178</v>
      </c>
    </row>
    <row r="45" spans="1:10" ht="14.25" customHeight="1">
      <c r="A45" s="1"/>
      <c r="B45" s="1">
        <v>93</v>
      </c>
      <c r="C45" s="8">
        <v>43077</v>
      </c>
      <c r="D45" s="17"/>
      <c r="E45" s="57" t="s">
        <v>1151</v>
      </c>
      <c r="F45" s="50"/>
      <c r="G45" s="1861"/>
      <c r="H45" s="1"/>
      <c r="I45" s="10" t="s">
        <v>3180</v>
      </c>
      <c r="J45" s="11" t="s">
        <v>191</v>
      </c>
    </row>
    <row r="46" spans="1:10" ht="14.25" customHeight="1">
      <c r="A46" s="1"/>
      <c r="B46" s="1">
        <v>94</v>
      </c>
      <c r="C46" s="8">
        <v>43079</v>
      </c>
      <c r="D46" s="17" t="s">
        <v>3181</v>
      </c>
      <c r="E46" s="57" t="s">
        <v>3182</v>
      </c>
      <c r="F46" s="50" t="s">
        <v>3178</v>
      </c>
      <c r="G46" s="1861"/>
      <c r="H46" s="1"/>
      <c r="I46" s="10" t="s">
        <v>3183</v>
      </c>
      <c r="J46" s="11" t="s">
        <v>191</v>
      </c>
    </row>
    <row r="47" spans="1:10" ht="14.25" customHeight="1">
      <c r="A47" s="1"/>
      <c r="B47" s="1">
        <v>95</v>
      </c>
      <c r="C47" s="8">
        <v>43082</v>
      </c>
      <c r="D47" s="17">
        <v>8797299934</v>
      </c>
      <c r="E47" s="57" t="s">
        <v>3184</v>
      </c>
      <c r="F47" s="50" t="s">
        <v>3185</v>
      </c>
      <c r="G47" s="1861"/>
      <c r="H47" s="1"/>
      <c r="I47" s="10" t="s">
        <v>3186</v>
      </c>
      <c r="J47" s="11" t="s">
        <v>191</v>
      </c>
    </row>
    <row r="48" spans="1:10" ht="14.25" customHeight="1">
      <c r="A48" s="1"/>
      <c r="B48" s="1">
        <v>97</v>
      </c>
      <c r="C48" s="8">
        <v>43099</v>
      </c>
      <c r="D48" s="17" t="s">
        <v>3187</v>
      </c>
      <c r="E48" s="57" t="s">
        <v>1520</v>
      </c>
      <c r="F48" s="50" t="s">
        <v>3188</v>
      </c>
      <c r="G48" s="1861"/>
      <c r="H48" s="1"/>
      <c r="I48" s="10" t="s">
        <v>3189</v>
      </c>
      <c r="J48" s="11" t="s">
        <v>251</v>
      </c>
    </row>
    <row r="49" spans="1:10" ht="14.25" customHeight="1">
      <c r="A49" s="1"/>
      <c r="B49" s="1">
        <v>100</v>
      </c>
      <c r="C49" s="8" t="s">
        <v>3190</v>
      </c>
      <c r="D49" s="17" t="s">
        <v>3191</v>
      </c>
      <c r="E49" s="57" t="s">
        <v>3192</v>
      </c>
      <c r="F49" s="50" t="s">
        <v>3193</v>
      </c>
      <c r="G49" s="1861"/>
      <c r="H49" s="1"/>
      <c r="I49" s="10" t="s">
        <v>3194</v>
      </c>
      <c r="J49" s="11" t="s">
        <v>191</v>
      </c>
    </row>
    <row r="50" spans="1:10" ht="14.25" customHeight="1">
      <c r="A50" s="1"/>
      <c r="B50" s="1">
        <v>99</v>
      </c>
      <c r="C50" s="8" t="s">
        <v>3190</v>
      </c>
      <c r="D50" s="17" t="s">
        <v>3195</v>
      </c>
      <c r="E50" s="57" t="s">
        <v>3196</v>
      </c>
      <c r="F50" s="50" t="s">
        <v>3197</v>
      </c>
      <c r="G50" s="1861"/>
      <c r="H50" s="1"/>
      <c r="I50" s="10" t="s">
        <v>3198</v>
      </c>
      <c r="J50" s="11" t="s">
        <v>251</v>
      </c>
    </row>
    <row r="51" spans="1:10" ht="14.25" customHeight="1">
      <c r="A51" s="1"/>
      <c r="B51" s="1">
        <v>98</v>
      </c>
      <c r="C51" s="8" t="s">
        <v>3190</v>
      </c>
      <c r="D51" s="17" t="s">
        <v>3195</v>
      </c>
      <c r="E51" s="57" t="s">
        <v>3199</v>
      </c>
      <c r="F51" s="50" t="s">
        <v>3200</v>
      </c>
      <c r="G51" s="1861"/>
      <c r="H51" s="1"/>
      <c r="I51" s="10" t="s">
        <v>3201</v>
      </c>
      <c r="J51" s="11" t="s">
        <v>251</v>
      </c>
    </row>
    <row r="52" spans="1:10" ht="14.25" customHeight="1">
      <c r="A52" s="1"/>
      <c r="B52" s="1"/>
      <c r="C52" s="8">
        <v>42752</v>
      </c>
      <c r="D52" s="17"/>
      <c r="E52" s="57" t="s">
        <v>110</v>
      </c>
      <c r="F52" s="50" t="s">
        <v>3202</v>
      </c>
      <c r="G52" s="1861"/>
      <c r="H52" s="1"/>
      <c r="I52" s="57" t="s">
        <v>3203</v>
      </c>
      <c r="J52" s="11" t="s">
        <v>60</v>
      </c>
    </row>
    <row r="53" spans="1:10" ht="14.25" customHeight="1">
      <c r="A53" s="1"/>
      <c r="B53" s="1">
        <v>110</v>
      </c>
      <c r="C53" s="8">
        <v>43118</v>
      </c>
      <c r="D53" s="17" t="s">
        <v>3204</v>
      </c>
      <c r="E53" s="57" t="s">
        <v>3205</v>
      </c>
      <c r="F53" s="50" t="s">
        <v>3206</v>
      </c>
      <c r="G53" s="1861"/>
      <c r="H53" s="1"/>
      <c r="I53" s="57" t="s">
        <v>3207</v>
      </c>
      <c r="J53" s="11" t="s">
        <v>191</v>
      </c>
    </row>
    <row r="54" spans="1:10" ht="14.25" customHeight="1">
      <c r="A54" s="1"/>
      <c r="B54" s="1">
        <v>112</v>
      </c>
      <c r="C54" s="8">
        <v>43119</v>
      </c>
      <c r="D54" s="17" t="s">
        <v>3208</v>
      </c>
      <c r="E54" s="57" t="s">
        <v>3209</v>
      </c>
      <c r="F54" s="50" t="s">
        <v>3210</v>
      </c>
      <c r="G54" s="1861"/>
      <c r="H54" s="1"/>
      <c r="I54" s="57" t="s">
        <v>3211</v>
      </c>
      <c r="J54" s="11" t="s">
        <v>191</v>
      </c>
    </row>
    <row r="55" spans="1:10" ht="14.25" customHeight="1">
      <c r="A55" s="1"/>
      <c r="B55" s="1">
        <v>111</v>
      </c>
      <c r="C55" s="8">
        <v>43119</v>
      </c>
      <c r="D55" s="17" t="s">
        <v>3212</v>
      </c>
      <c r="E55" s="57" t="s">
        <v>3213</v>
      </c>
      <c r="F55" s="50" t="s">
        <v>3214</v>
      </c>
      <c r="G55" s="1861"/>
      <c r="H55" s="1"/>
      <c r="I55" s="57" t="s">
        <v>3215</v>
      </c>
      <c r="J55" s="11" t="s">
        <v>191</v>
      </c>
    </row>
    <row r="56" spans="1:10" ht="14.25" customHeight="1">
      <c r="A56" s="1"/>
      <c r="B56" s="1">
        <v>115</v>
      </c>
      <c r="C56" s="8">
        <v>43126</v>
      </c>
      <c r="D56" s="17" t="s">
        <v>1126</v>
      </c>
      <c r="E56" s="57" t="s">
        <v>78</v>
      </c>
      <c r="F56" s="50" t="s">
        <v>3216</v>
      </c>
      <c r="G56" s="1861"/>
      <c r="H56" s="1"/>
      <c r="I56" s="57" t="s">
        <v>3217</v>
      </c>
      <c r="J56" s="11" t="s">
        <v>100</v>
      </c>
    </row>
    <row r="57" spans="1:10" ht="14.25" customHeight="1">
      <c r="A57" s="1"/>
      <c r="B57" s="1">
        <v>118</v>
      </c>
      <c r="C57" s="8">
        <v>43127</v>
      </c>
      <c r="D57" s="17" t="s">
        <v>3218</v>
      </c>
      <c r="E57" s="57" t="s">
        <v>3219</v>
      </c>
      <c r="F57" s="50" t="s">
        <v>3220</v>
      </c>
      <c r="G57" s="1861"/>
      <c r="H57" s="1"/>
      <c r="I57" s="57" t="s">
        <v>3221</v>
      </c>
      <c r="J57" s="11" t="s">
        <v>251</v>
      </c>
    </row>
    <row r="58" spans="1:10" ht="14.25" customHeight="1">
      <c r="A58" s="1"/>
      <c r="B58" s="1">
        <v>140</v>
      </c>
      <c r="C58" s="8">
        <v>43147</v>
      </c>
      <c r="D58" s="17"/>
      <c r="E58" s="57" t="s">
        <v>3222</v>
      </c>
      <c r="F58" s="50" t="s">
        <v>3223</v>
      </c>
      <c r="G58" s="1861"/>
      <c r="H58" s="1"/>
      <c r="I58" s="57" t="s">
        <v>3224</v>
      </c>
      <c r="J58" s="11" t="s">
        <v>191</v>
      </c>
    </row>
    <row r="59" spans="1:10" ht="14.25" customHeight="1">
      <c r="A59" s="1"/>
      <c r="B59" s="1">
        <v>141</v>
      </c>
      <c r="C59" s="8">
        <v>43146</v>
      </c>
      <c r="D59" s="17"/>
      <c r="E59" s="57" t="s">
        <v>81</v>
      </c>
      <c r="F59" s="50" t="s">
        <v>3225</v>
      </c>
      <c r="G59" s="1861"/>
      <c r="H59" s="1"/>
      <c r="I59" s="57" t="s">
        <v>3226</v>
      </c>
      <c r="J59" s="11" t="s">
        <v>191</v>
      </c>
    </row>
    <row r="60" spans="1:10" ht="14.25" customHeight="1">
      <c r="A60" s="1"/>
      <c r="B60" s="1">
        <v>139</v>
      </c>
      <c r="C60" s="8">
        <v>43147</v>
      </c>
      <c r="D60" s="17" t="s">
        <v>3227</v>
      </c>
      <c r="E60" s="57" t="s">
        <v>3228</v>
      </c>
      <c r="F60" s="50" t="s">
        <v>3229</v>
      </c>
      <c r="G60" s="1861"/>
      <c r="H60" s="1"/>
      <c r="I60" s="57" t="s">
        <v>3230</v>
      </c>
      <c r="J60" s="11" t="s">
        <v>77</v>
      </c>
    </row>
    <row r="61" spans="1:10" ht="14.25" customHeight="1">
      <c r="A61" s="1"/>
      <c r="B61" s="1">
        <v>146</v>
      </c>
      <c r="C61" s="8">
        <v>43159</v>
      </c>
      <c r="D61" s="17" t="s">
        <v>3231</v>
      </c>
      <c r="E61" s="57" t="s">
        <v>3232</v>
      </c>
      <c r="F61" s="50" t="s">
        <v>3233</v>
      </c>
      <c r="G61" s="1861"/>
      <c r="H61" s="1"/>
      <c r="I61" s="57" t="s">
        <v>3234</v>
      </c>
      <c r="J61" s="11" t="s">
        <v>251</v>
      </c>
    </row>
    <row r="62" spans="1:10" ht="14.25" customHeight="1">
      <c r="A62" s="1"/>
      <c r="B62" s="1">
        <v>152</v>
      </c>
      <c r="C62" s="8">
        <v>43170</v>
      </c>
      <c r="D62" s="17" t="s">
        <v>1126</v>
      </c>
      <c r="E62" s="57" t="s">
        <v>78</v>
      </c>
      <c r="F62" s="50" t="s">
        <v>3235</v>
      </c>
      <c r="G62" s="1861"/>
      <c r="H62" s="1"/>
      <c r="I62" s="57" t="s">
        <v>3236</v>
      </c>
      <c r="J62" s="11" t="s">
        <v>191</v>
      </c>
    </row>
    <row r="63" spans="1:10" ht="14.25" customHeight="1">
      <c r="A63" s="1"/>
      <c r="B63" s="1">
        <v>156</v>
      </c>
      <c r="C63" s="8">
        <v>43172</v>
      </c>
      <c r="D63" s="17" t="s">
        <v>3237</v>
      </c>
      <c r="E63" s="57" t="s">
        <v>3238</v>
      </c>
      <c r="F63" s="50" t="s">
        <v>3239</v>
      </c>
      <c r="G63" s="1861"/>
      <c r="H63" s="1"/>
      <c r="I63" s="57" t="s">
        <v>3240</v>
      </c>
      <c r="J63" s="11" t="s">
        <v>251</v>
      </c>
    </row>
    <row r="64" spans="1:10" ht="14.25" customHeight="1">
      <c r="A64" s="1"/>
      <c r="B64" s="1">
        <v>157</v>
      </c>
      <c r="C64" s="8">
        <v>43172</v>
      </c>
      <c r="D64" s="17" t="s">
        <v>3237</v>
      </c>
      <c r="E64" s="57" t="s">
        <v>3241</v>
      </c>
      <c r="F64" s="50" t="s">
        <v>3242</v>
      </c>
      <c r="G64" s="1861"/>
      <c r="H64" s="1"/>
      <c r="I64" s="57" t="s">
        <v>3243</v>
      </c>
      <c r="J64" s="11" t="s">
        <v>251</v>
      </c>
    </row>
    <row r="65" spans="1:11" ht="14.25" customHeight="1">
      <c r="A65" s="1"/>
      <c r="B65" s="1">
        <v>158</v>
      </c>
      <c r="C65" s="8">
        <v>43172</v>
      </c>
      <c r="D65" s="17"/>
      <c r="E65" s="57" t="s">
        <v>3244</v>
      </c>
      <c r="F65" s="50" t="s">
        <v>3245</v>
      </c>
      <c r="G65" s="1861"/>
      <c r="H65" s="1"/>
      <c r="I65" s="57" t="s">
        <v>3246</v>
      </c>
      <c r="J65" s="11" t="s">
        <v>251</v>
      </c>
    </row>
    <row r="66" spans="1:11" ht="14.25" customHeight="1">
      <c r="A66" s="1"/>
      <c r="B66" s="1">
        <v>161</v>
      </c>
      <c r="C66" s="8">
        <v>43177</v>
      </c>
      <c r="D66" s="17" t="s">
        <v>3247</v>
      </c>
      <c r="E66" s="57" t="s">
        <v>1944</v>
      </c>
      <c r="F66" s="50" t="s">
        <v>3248</v>
      </c>
      <c r="G66" s="1861"/>
      <c r="H66" s="1"/>
      <c r="I66" s="57" t="s">
        <v>3249</v>
      </c>
      <c r="J66" s="11" t="s">
        <v>191</v>
      </c>
    </row>
    <row r="67" spans="1:11" ht="14.25" customHeight="1">
      <c r="A67" s="1"/>
      <c r="B67" s="1">
        <v>164</v>
      </c>
      <c r="C67" s="8">
        <v>43182</v>
      </c>
      <c r="D67" s="17" t="s">
        <v>3250</v>
      </c>
      <c r="E67" s="57" t="s">
        <v>3251</v>
      </c>
      <c r="F67" s="50" t="s">
        <v>3252</v>
      </c>
      <c r="G67" s="1861"/>
      <c r="H67" s="1"/>
      <c r="I67" s="57" t="s">
        <v>3253</v>
      </c>
      <c r="J67" s="28" t="s">
        <v>87</v>
      </c>
      <c r="K67" s="28"/>
    </row>
    <row r="68" spans="1:11" ht="14.25" customHeight="1">
      <c r="A68" s="1"/>
      <c r="B68" s="1">
        <v>166</v>
      </c>
      <c r="C68" s="8">
        <v>43183</v>
      </c>
      <c r="D68" s="17" t="s">
        <v>3254</v>
      </c>
      <c r="E68" s="57" t="s">
        <v>3255</v>
      </c>
      <c r="F68" s="50" t="s">
        <v>3256</v>
      </c>
      <c r="G68" s="1861"/>
      <c r="H68" s="1"/>
      <c r="I68" s="57" t="s">
        <v>3257</v>
      </c>
      <c r="J68" s="28" t="s">
        <v>87</v>
      </c>
      <c r="K68" s="28" t="s">
        <v>3258</v>
      </c>
    </row>
    <row r="69" spans="1:11" ht="14.25" customHeight="1">
      <c r="A69" s="1"/>
      <c r="B69" s="1">
        <v>167</v>
      </c>
      <c r="C69" s="8">
        <v>43186</v>
      </c>
      <c r="D69" s="17"/>
      <c r="E69" s="57" t="s">
        <v>3259</v>
      </c>
      <c r="F69" s="50" t="s">
        <v>3260</v>
      </c>
      <c r="G69" s="1861"/>
      <c r="H69" s="1"/>
      <c r="I69" s="57" t="s">
        <v>3261</v>
      </c>
      <c r="J69" s="28" t="s">
        <v>87</v>
      </c>
      <c r="K69" s="28" t="s">
        <v>3258</v>
      </c>
    </row>
    <row r="70" spans="1:11" ht="14.25" customHeight="1">
      <c r="A70" s="1"/>
      <c r="B70" s="1">
        <v>168</v>
      </c>
      <c r="C70" s="8">
        <v>43186</v>
      </c>
      <c r="D70" s="1">
        <v>7209145688</v>
      </c>
      <c r="E70" s="57" t="s">
        <v>3262</v>
      </c>
      <c r="F70" s="50" t="s">
        <v>3263</v>
      </c>
      <c r="G70" s="1861"/>
      <c r="H70" s="1"/>
      <c r="I70" s="57" t="s">
        <v>3264</v>
      </c>
      <c r="J70" s="11" t="s">
        <v>251</v>
      </c>
    </row>
    <row r="71" spans="1:11" ht="14.25" customHeight="1">
      <c r="A71" s="1"/>
      <c r="B71" s="1">
        <v>176</v>
      </c>
      <c r="C71" s="8">
        <v>43196</v>
      </c>
      <c r="D71" s="17"/>
      <c r="E71" s="57" t="s">
        <v>3265</v>
      </c>
      <c r="F71" s="50" t="s">
        <v>3266</v>
      </c>
      <c r="G71" s="1861"/>
      <c r="H71" s="1"/>
      <c r="I71" s="57" t="s">
        <v>3267</v>
      </c>
      <c r="J71" s="28" t="s">
        <v>251</v>
      </c>
    </row>
    <row r="72" spans="1:11" ht="14.25" customHeight="1">
      <c r="A72" s="1"/>
      <c r="B72" s="1">
        <v>177</v>
      </c>
      <c r="C72" s="8">
        <v>43198</v>
      </c>
      <c r="D72" s="17" t="s">
        <v>1164</v>
      </c>
      <c r="E72" s="57" t="s">
        <v>3268</v>
      </c>
      <c r="F72" s="50" t="s">
        <v>3269</v>
      </c>
      <c r="G72" s="1861"/>
      <c r="H72" s="1"/>
      <c r="I72" s="57" t="s">
        <v>3270</v>
      </c>
      <c r="J72" s="28" t="s">
        <v>191</v>
      </c>
    </row>
    <row r="73" spans="1:11" ht="14.25" customHeight="1">
      <c r="A73" s="1"/>
      <c r="B73" s="1">
        <v>178</v>
      </c>
      <c r="C73" s="8">
        <v>43198</v>
      </c>
      <c r="D73" s="17" t="s">
        <v>3271</v>
      </c>
      <c r="E73" s="57" t="s">
        <v>3272</v>
      </c>
      <c r="F73" s="50">
        <v>69</v>
      </c>
      <c r="G73" s="1861"/>
      <c r="H73" s="50"/>
      <c r="I73" s="57" t="s">
        <v>3273</v>
      </c>
      <c r="J73" s="28" t="s">
        <v>191</v>
      </c>
    </row>
    <row r="74" spans="1:11" ht="14.25" customHeight="1">
      <c r="A74" s="1"/>
      <c r="B74" s="1">
        <v>181</v>
      </c>
      <c r="C74" s="8">
        <v>43203</v>
      </c>
      <c r="D74" s="17" t="s">
        <v>962</v>
      </c>
      <c r="E74" s="57" t="s">
        <v>90</v>
      </c>
      <c r="F74" s="50">
        <v>70</v>
      </c>
      <c r="G74" s="1861"/>
      <c r="H74" s="50"/>
      <c r="I74" s="57" t="s">
        <v>3274</v>
      </c>
      <c r="J74" s="28" t="s">
        <v>100</v>
      </c>
    </row>
    <row r="75" spans="1:11" ht="14.25" customHeight="1">
      <c r="A75" s="1"/>
      <c r="B75" s="1">
        <v>184</v>
      </c>
      <c r="C75" s="8">
        <v>43207</v>
      </c>
      <c r="D75" s="17" t="s">
        <v>2642</v>
      </c>
      <c r="E75" s="57" t="s">
        <v>1938</v>
      </c>
      <c r="F75" s="50">
        <v>71</v>
      </c>
      <c r="G75" s="1861"/>
      <c r="H75" s="50"/>
      <c r="I75" s="57" t="s">
        <v>3275</v>
      </c>
      <c r="J75" s="28" t="s">
        <v>191</v>
      </c>
    </row>
    <row r="76" spans="1:11" ht="14.25" customHeight="1">
      <c r="A76" s="1"/>
      <c r="B76" s="1">
        <v>185</v>
      </c>
      <c r="C76" s="8">
        <v>43207</v>
      </c>
      <c r="D76" s="17" t="s">
        <v>3276</v>
      </c>
      <c r="E76" s="57" t="s">
        <v>3277</v>
      </c>
      <c r="F76" s="50">
        <v>72</v>
      </c>
      <c r="G76" s="1861"/>
      <c r="H76" s="50"/>
      <c r="I76" s="57" t="s">
        <v>3278</v>
      </c>
      <c r="J76" s="28" t="s">
        <v>77</v>
      </c>
    </row>
    <row r="77" spans="1:11" ht="14.25" customHeight="1">
      <c r="A77" s="1"/>
      <c r="B77" s="1">
        <v>189</v>
      </c>
      <c r="C77" s="8">
        <v>43221</v>
      </c>
      <c r="D77" s="17" t="s">
        <v>3279</v>
      </c>
      <c r="E77" s="57" t="s">
        <v>3280</v>
      </c>
      <c r="F77" s="50">
        <v>73</v>
      </c>
      <c r="G77" s="1861"/>
      <c r="H77" s="50"/>
      <c r="I77" s="57" t="s">
        <v>3281</v>
      </c>
      <c r="J77" s="28" t="s">
        <v>39</v>
      </c>
    </row>
    <row r="78" spans="1:11" ht="14.25" customHeight="1">
      <c r="A78" s="1"/>
      <c r="B78" s="1">
        <v>190</v>
      </c>
      <c r="C78" s="8">
        <v>43221</v>
      </c>
      <c r="D78" s="17" t="s">
        <v>3282</v>
      </c>
      <c r="E78" s="57" t="s">
        <v>3283</v>
      </c>
      <c r="F78" s="50">
        <v>74</v>
      </c>
      <c r="G78" s="1861"/>
      <c r="H78" s="50"/>
      <c r="I78" s="57" t="s">
        <v>3284</v>
      </c>
      <c r="J78" s="28" t="s">
        <v>60</v>
      </c>
    </row>
    <row r="79" spans="1:11" ht="14.25" customHeight="1">
      <c r="A79" s="1"/>
      <c r="B79" s="1">
        <v>193</v>
      </c>
      <c r="C79" s="8">
        <v>43227</v>
      </c>
      <c r="D79" s="17" t="s">
        <v>3285</v>
      </c>
      <c r="E79" s="57" t="s">
        <v>3286</v>
      </c>
      <c r="F79" s="50">
        <v>75</v>
      </c>
      <c r="G79" s="1861"/>
      <c r="H79" s="50"/>
      <c r="I79" s="57" t="s">
        <v>3287</v>
      </c>
      <c r="J79" s="28" t="s">
        <v>60</v>
      </c>
    </row>
    <row r="80" spans="1:11" ht="14.25" customHeight="1">
      <c r="A80" s="1"/>
      <c r="B80" s="1">
        <v>191</v>
      </c>
      <c r="C80" s="8">
        <v>43227</v>
      </c>
      <c r="D80" s="17"/>
      <c r="E80" s="57" t="s">
        <v>3288</v>
      </c>
      <c r="F80" s="50">
        <v>76</v>
      </c>
      <c r="G80" s="1861"/>
      <c r="H80" s="50"/>
      <c r="I80" s="57" t="s">
        <v>3289</v>
      </c>
      <c r="J80" s="28" t="s">
        <v>178</v>
      </c>
    </row>
    <row r="81" spans="1:12" ht="14.25" customHeight="1">
      <c r="A81" s="1"/>
      <c r="B81" s="1">
        <v>194</v>
      </c>
      <c r="C81" s="8">
        <v>43227</v>
      </c>
      <c r="D81" s="17" t="s">
        <v>834</v>
      </c>
      <c r="E81" s="57" t="s">
        <v>3290</v>
      </c>
      <c r="F81" s="50">
        <v>77</v>
      </c>
      <c r="G81" s="1861"/>
      <c r="H81" s="50"/>
      <c r="I81" s="57" t="s">
        <v>3291</v>
      </c>
      <c r="J81" s="28" t="s">
        <v>60</v>
      </c>
    </row>
    <row r="82" spans="1:12" ht="14.25" customHeight="1">
      <c r="A82" s="1"/>
      <c r="B82" s="1">
        <v>202</v>
      </c>
      <c r="C82" s="8">
        <v>43236</v>
      </c>
      <c r="D82" s="17" t="s">
        <v>2855</v>
      </c>
      <c r="E82" s="57" t="s">
        <v>2856</v>
      </c>
      <c r="F82" s="50">
        <v>78</v>
      </c>
      <c r="G82" s="1861"/>
      <c r="H82" s="50"/>
      <c r="I82" s="57" t="s">
        <v>3292</v>
      </c>
      <c r="J82" s="28" t="s">
        <v>87</v>
      </c>
    </row>
    <row r="83" spans="1:12" ht="14.25" customHeight="1">
      <c r="A83" s="1"/>
      <c r="B83" s="1">
        <v>206</v>
      </c>
      <c r="C83" s="8">
        <v>43239</v>
      </c>
      <c r="D83" s="17" t="s">
        <v>3293</v>
      </c>
      <c r="E83" s="57" t="s">
        <v>3294</v>
      </c>
      <c r="F83" s="50">
        <v>79</v>
      </c>
      <c r="G83" s="1861"/>
      <c r="H83" s="50"/>
      <c r="I83" s="57" t="s">
        <v>3295</v>
      </c>
      <c r="J83" s="28" t="s">
        <v>77</v>
      </c>
    </row>
    <row r="84" spans="1:12" ht="14.25" customHeight="1">
      <c r="A84" s="1"/>
      <c r="B84" s="1">
        <v>205</v>
      </c>
      <c r="C84" s="8">
        <v>43239</v>
      </c>
      <c r="D84" s="17" t="s">
        <v>3296</v>
      </c>
      <c r="E84" s="57" t="s">
        <v>3297</v>
      </c>
      <c r="F84" s="50">
        <v>80</v>
      </c>
      <c r="G84" s="1861"/>
      <c r="H84" s="50"/>
      <c r="I84" s="57" t="s">
        <v>3298</v>
      </c>
      <c r="J84" s="28" t="s">
        <v>92</v>
      </c>
    </row>
    <row r="85" spans="1:12" ht="14.25" customHeight="1">
      <c r="A85" s="1"/>
      <c r="B85" s="1">
        <v>207</v>
      </c>
      <c r="C85" s="8">
        <v>43240</v>
      </c>
      <c r="D85" s="17" t="s">
        <v>913</v>
      </c>
      <c r="E85" s="57" t="s">
        <v>3299</v>
      </c>
      <c r="F85" s="50">
        <v>81</v>
      </c>
      <c r="G85" s="1861"/>
      <c r="H85" s="50"/>
      <c r="I85" s="57" t="s">
        <v>3300</v>
      </c>
      <c r="J85" s="28" t="s">
        <v>77</v>
      </c>
    </row>
    <row r="86" spans="1:12" ht="14.25" customHeight="1">
      <c r="A86" s="1"/>
      <c r="B86" s="1">
        <v>206</v>
      </c>
      <c r="C86" s="8">
        <v>43240</v>
      </c>
      <c r="D86" s="17" t="s">
        <v>913</v>
      </c>
      <c r="E86" s="57" t="s">
        <v>3301</v>
      </c>
      <c r="F86" s="50">
        <v>82</v>
      </c>
      <c r="G86" s="1861"/>
      <c r="H86" s="50"/>
      <c r="I86" s="57" t="s">
        <v>3302</v>
      </c>
      <c r="J86" s="28" t="s">
        <v>251</v>
      </c>
      <c r="L86" s="57" t="s">
        <v>3303</v>
      </c>
    </row>
    <row r="87" spans="1:12" ht="14.25" customHeight="1">
      <c r="A87" s="1"/>
      <c r="B87" s="1">
        <v>208</v>
      </c>
      <c r="C87" s="8">
        <v>43244</v>
      </c>
      <c r="D87" s="17" t="s">
        <v>3304</v>
      </c>
      <c r="E87" s="57" t="s">
        <v>3305</v>
      </c>
      <c r="F87" s="50">
        <v>83</v>
      </c>
      <c r="G87" s="1861"/>
      <c r="H87" s="50"/>
      <c r="I87" s="57" t="s">
        <v>3306</v>
      </c>
      <c r="J87" s="28" t="s">
        <v>60</v>
      </c>
    </row>
    <row r="88" spans="1:12" ht="14.25" customHeight="1">
      <c r="A88" s="1"/>
      <c r="B88" s="1">
        <v>210</v>
      </c>
      <c r="C88" s="8">
        <v>43248</v>
      </c>
      <c r="D88" s="17" t="s">
        <v>3307</v>
      </c>
      <c r="E88" s="57" t="s">
        <v>3308</v>
      </c>
      <c r="F88" s="50">
        <v>84</v>
      </c>
      <c r="G88" s="1861"/>
      <c r="H88" s="50"/>
      <c r="I88" s="57" t="s">
        <v>3309</v>
      </c>
      <c r="J88" s="28" t="s">
        <v>77</v>
      </c>
    </row>
    <row r="89" spans="1:12" ht="14.25" customHeight="1">
      <c r="A89" s="1"/>
      <c r="B89" s="1">
        <v>212</v>
      </c>
      <c r="C89" s="8">
        <v>43249</v>
      </c>
      <c r="D89" s="17" t="s">
        <v>3310</v>
      </c>
      <c r="E89" s="57" t="s">
        <v>3311</v>
      </c>
      <c r="F89" s="50">
        <v>85</v>
      </c>
      <c r="G89" s="1861"/>
      <c r="H89" s="50"/>
      <c r="I89" s="57" t="s">
        <v>3312</v>
      </c>
      <c r="J89" s="28" t="s">
        <v>191</v>
      </c>
    </row>
    <row r="90" spans="1:12" ht="14.25" customHeight="1">
      <c r="A90" s="1"/>
      <c r="B90" s="1">
        <v>215</v>
      </c>
      <c r="C90" s="8">
        <v>43253</v>
      </c>
      <c r="D90" s="17" t="s">
        <v>3313</v>
      </c>
      <c r="E90" s="57" t="s">
        <v>3314</v>
      </c>
      <c r="F90" s="50">
        <v>86</v>
      </c>
      <c r="G90" s="1861"/>
      <c r="H90" s="50"/>
      <c r="I90" s="57" t="s">
        <v>3315</v>
      </c>
      <c r="J90" s="28" t="s">
        <v>77</v>
      </c>
    </row>
    <row r="91" spans="1:12" ht="14.25" customHeight="1">
      <c r="A91" s="1"/>
      <c r="B91" s="1">
        <v>216</v>
      </c>
      <c r="C91" s="8">
        <v>43256</v>
      </c>
      <c r="D91" s="17" t="s">
        <v>209</v>
      </c>
      <c r="E91" s="57" t="s">
        <v>3316</v>
      </c>
      <c r="F91" s="50">
        <v>87</v>
      </c>
      <c r="G91" s="1861"/>
      <c r="H91" s="50"/>
      <c r="I91" s="57" t="s">
        <v>3317</v>
      </c>
      <c r="J91" s="28" t="s">
        <v>3318</v>
      </c>
    </row>
    <row r="92" spans="1:12" ht="14.25" customHeight="1">
      <c r="A92" s="1"/>
      <c r="B92" s="1">
        <v>217</v>
      </c>
      <c r="C92" s="8">
        <v>43256</v>
      </c>
      <c r="D92" s="17" t="s">
        <v>2680</v>
      </c>
      <c r="E92" s="57" t="s">
        <v>3319</v>
      </c>
      <c r="F92" s="50">
        <v>88</v>
      </c>
      <c r="G92" s="1861"/>
      <c r="H92" s="50"/>
      <c r="I92" s="57" t="s">
        <v>3320</v>
      </c>
      <c r="J92" s="28" t="s">
        <v>191</v>
      </c>
    </row>
    <row r="93" spans="1:12" ht="14.25" customHeight="1">
      <c r="A93" s="1"/>
      <c r="B93" s="1">
        <v>218</v>
      </c>
      <c r="C93" s="8">
        <v>43258</v>
      </c>
      <c r="D93" s="17" t="s">
        <v>3321</v>
      </c>
      <c r="E93" s="57" t="s">
        <v>1151</v>
      </c>
      <c r="F93" s="50">
        <v>89</v>
      </c>
      <c r="G93" s="1861"/>
      <c r="H93" s="50"/>
      <c r="I93" s="57" t="s">
        <v>3322</v>
      </c>
      <c r="J93" s="28" t="s">
        <v>191</v>
      </c>
    </row>
    <row r="94" spans="1:12" ht="14.25" customHeight="1">
      <c r="A94" s="1"/>
      <c r="B94" s="1">
        <v>220</v>
      </c>
      <c r="C94" s="8">
        <v>43258</v>
      </c>
      <c r="D94" s="17" t="s">
        <v>209</v>
      </c>
      <c r="E94" s="57" t="s">
        <v>3316</v>
      </c>
      <c r="F94" s="50">
        <v>90</v>
      </c>
      <c r="G94" s="1861"/>
      <c r="H94" s="50"/>
      <c r="I94" s="57" t="s">
        <v>3323</v>
      </c>
      <c r="J94" s="28" t="s">
        <v>3324</v>
      </c>
    </row>
    <row r="95" spans="1:12" ht="14.25" customHeight="1">
      <c r="A95" s="1"/>
      <c r="B95" s="1">
        <v>222</v>
      </c>
      <c r="C95" s="8">
        <v>43262</v>
      </c>
      <c r="D95" s="17" t="s">
        <v>3325</v>
      </c>
      <c r="E95" s="57" t="s">
        <v>3326</v>
      </c>
      <c r="F95" s="50">
        <v>91</v>
      </c>
      <c r="G95" s="1861"/>
      <c r="H95" s="50"/>
      <c r="I95" s="57" t="s">
        <v>3327</v>
      </c>
      <c r="J95" s="28" t="s">
        <v>191</v>
      </c>
    </row>
    <row r="96" spans="1:12" ht="14.25" customHeight="1">
      <c r="A96" s="1"/>
      <c r="B96" s="1">
        <v>225</v>
      </c>
      <c r="C96" s="8">
        <v>43266</v>
      </c>
      <c r="D96" s="17" t="s">
        <v>1894</v>
      </c>
      <c r="E96" s="57" t="s">
        <v>3328</v>
      </c>
      <c r="F96" s="50">
        <v>92</v>
      </c>
      <c r="G96" s="1861"/>
      <c r="H96" s="50"/>
      <c r="I96" s="57" t="s">
        <v>3329</v>
      </c>
      <c r="J96" s="28" t="s">
        <v>39</v>
      </c>
    </row>
    <row r="97" spans="1:12" ht="14.25" customHeight="1">
      <c r="A97" s="1" t="s">
        <v>125</v>
      </c>
      <c r="B97" s="1">
        <v>226</v>
      </c>
      <c r="C97" s="8">
        <v>43266</v>
      </c>
      <c r="D97" s="17" t="s">
        <v>3330</v>
      </c>
      <c r="E97" s="57" t="s">
        <v>998</v>
      </c>
      <c r="F97" s="50">
        <v>93</v>
      </c>
      <c r="G97" s="1861"/>
      <c r="H97" s="50"/>
      <c r="I97" s="57" t="s">
        <v>3331</v>
      </c>
      <c r="J97" s="11" t="s">
        <v>251</v>
      </c>
    </row>
    <row r="98" spans="1:12" ht="14.25" customHeight="1">
      <c r="A98" s="1"/>
      <c r="B98" s="1">
        <v>232</v>
      </c>
      <c r="C98" s="8">
        <v>43269</v>
      </c>
      <c r="D98" s="17" t="s">
        <v>3332</v>
      </c>
      <c r="E98" s="57" t="s">
        <v>3333</v>
      </c>
      <c r="F98" s="50">
        <v>94</v>
      </c>
      <c r="G98" s="1861"/>
      <c r="H98" s="50"/>
      <c r="I98" s="57" t="s">
        <v>3334</v>
      </c>
      <c r="J98" s="28" t="s">
        <v>3335</v>
      </c>
      <c r="L98" s="57" t="s">
        <v>60</v>
      </c>
    </row>
    <row r="99" spans="1:12" ht="14.25" customHeight="1">
      <c r="A99" s="1"/>
      <c r="B99" s="1">
        <v>230</v>
      </c>
      <c r="C99" s="8">
        <v>43270</v>
      </c>
      <c r="D99" s="17" t="s">
        <v>3336</v>
      </c>
      <c r="E99" s="57" t="s">
        <v>123</v>
      </c>
      <c r="F99" s="50">
        <v>95</v>
      </c>
      <c r="G99" s="1861"/>
      <c r="H99" s="50"/>
      <c r="I99" s="57" t="s">
        <v>3337</v>
      </c>
      <c r="J99" s="28" t="s">
        <v>3335</v>
      </c>
      <c r="L99" s="57" t="s">
        <v>60</v>
      </c>
    </row>
    <row r="100" spans="1:12" ht="14.25" customHeight="1">
      <c r="A100" s="1" t="s">
        <v>125</v>
      </c>
      <c r="B100" s="1">
        <v>232</v>
      </c>
      <c r="C100" s="8">
        <v>43271</v>
      </c>
      <c r="D100" s="17" t="s">
        <v>3338</v>
      </c>
      <c r="E100" s="57" t="s">
        <v>3339</v>
      </c>
      <c r="F100" s="50">
        <v>96</v>
      </c>
      <c r="G100" s="1861"/>
      <c r="H100" s="50"/>
      <c r="I100" s="57" t="s">
        <v>3340</v>
      </c>
      <c r="J100" s="11" t="s">
        <v>191</v>
      </c>
      <c r="K100" s="57">
        <v>7004776822</v>
      </c>
    </row>
    <row r="101" spans="1:12" ht="14.25" customHeight="1">
      <c r="A101" s="1"/>
      <c r="B101" s="1">
        <v>233</v>
      </c>
      <c r="C101" s="8">
        <v>43271</v>
      </c>
      <c r="D101" s="17"/>
      <c r="E101" s="57" t="s">
        <v>1957</v>
      </c>
      <c r="F101" s="50">
        <v>97</v>
      </c>
      <c r="G101" s="1861"/>
      <c r="H101" s="50"/>
      <c r="I101" s="57" t="s">
        <v>3341</v>
      </c>
      <c r="J101" s="11" t="s">
        <v>191</v>
      </c>
    </row>
    <row r="102" spans="1:12" ht="14.25" customHeight="1">
      <c r="A102" s="1"/>
      <c r="B102" s="1">
        <v>236</v>
      </c>
      <c r="C102" s="8">
        <v>43273</v>
      </c>
      <c r="D102" s="17" t="s">
        <v>3342</v>
      </c>
      <c r="E102" s="57" t="s">
        <v>3343</v>
      </c>
      <c r="F102" s="50">
        <v>98</v>
      </c>
      <c r="G102" s="1861"/>
      <c r="H102" s="50"/>
      <c r="I102" s="57" t="s">
        <v>3344</v>
      </c>
      <c r="J102" s="11" t="s">
        <v>3324</v>
      </c>
    </row>
    <row r="103" spans="1:12" ht="14.25" customHeight="1">
      <c r="A103" s="1"/>
      <c r="B103" s="1">
        <v>237</v>
      </c>
      <c r="C103" s="8">
        <v>43273</v>
      </c>
      <c r="D103" s="17"/>
      <c r="E103" s="57" t="s">
        <v>127</v>
      </c>
      <c r="F103" s="50">
        <v>99</v>
      </c>
      <c r="G103" s="1861"/>
      <c r="H103" s="50"/>
      <c r="I103" s="57" t="s">
        <v>3345</v>
      </c>
      <c r="J103" s="11" t="s">
        <v>251</v>
      </c>
    </row>
    <row r="104" spans="1:12" ht="14.25" customHeight="1">
      <c r="A104" s="1" t="s">
        <v>143</v>
      </c>
      <c r="B104" s="1">
        <v>236</v>
      </c>
      <c r="C104" s="8">
        <v>43274</v>
      </c>
      <c r="D104" s="17" t="s">
        <v>3346</v>
      </c>
      <c r="E104" s="57" t="s">
        <v>3347</v>
      </c>
      <c r="F104" s="50">
        <v>100</v>
      </c>
      <c r="G104" s="1861"/>
      <c r="H104" s="50"/>
      <c r="I104" s="57" t="s">
        <v>3348</v>
      </c>
      <c r="J104" s="11" t="s">
        <v>251</v>
      </c>
    </row>
    <row r="105" spans="1:12" ht="14.25" customHeight="1">
      <c r="A105" s="1" t="s">
        <v>125</v>
      </c>
      <c r="B105" s="1">
        <v>241</v>
      </c>
      <c r="C105" s="8">
        <v>43276</v>
      </c>
      <c r="D105" s="17"/>
      <c r="E105" s="57" t="s">
        <v>3349</v>
      </c>
      <c r="F105" s="50">
        <v>101</v>
      </c>
      <c r="G105" s="1861"/>
      <c r="H105" s="50"/>
      <c r="I105" s="57" t="s">
        <v>3350</v>
      </c>
      <c r="J105" s="11" t="s">
        <v>39</v>
      </c>
    </row>
    <row r="106" spans="1:12" ht="14.25" customHeight="1">
      <c r="A106" s="1"/>
      <c r="B106" s="1">
        <v>243</v>
      </c>
      <c r="C106" s="8">
        <v>43276</v>
      </c>
      <c r="D106" s="17" t="s">
        <v>3351</v>
      </c>
      <c r="E106" s="57" t="s">
        <v>3352</v>
      </c>
      <c r="F106" s="50">
        <v>102</v>
      </c>
      <c r="G106" s="1861"/>
      <c r="H106" s="50"/>
      <c r="I106" s="57" t="s">
        <v>3353</v>
      </c>
      <c r="J106" s="11" t="s">
        <v>251</v>
      </c>
    </row>
    <row r="107" spans="1:12" ht="14.25" customHeight="1">
      <c r="A107" s="1"/>
      <c r="B107" s="1">
        <v>247</v>
      </c>
      <c r="C107" s="8">
        <v>43277</v>
      </c>
      <c r="D107" s="17" t="s">
        <v>3354</v>
      </c>
      <c r="E107" s="57" t="s">
        <v>3355</v>
      </c>
      <c r="F107" s="50">
        <v>103</v>
      </c>
      <c r="G107" s="1861"/>
      <c r="H107" s="50"/>
      <c r="I107" s="57" t="s">
        <v>3356</v>
      </c>
      <c r="J107" s="11" t="s">
        <v>251</v>
      </c>
    </row>
    <row r="108" spans="1:12" ht="14.25" customHeight="1">
      <c r="A108" s="1"/>
      <c r="B108" s="1">
        <v>249</v>
      </c>
      <c r="C108" s="8">
        <v>43277</v>
      </c>
      <c r="D108" s="17" t="s">
        <v>137</v>
      </c>
      <c r="E108" s="57" t="s">
        <v>141</v>
      </c>
      <c r="F108" s="50">
        <v>104</v>
      </c>
      <c r="G108" s="1861"/>
      <c r="H108" s="50"/>
      <c r="I108" s="57" t="s">
        <v>3357</v>
      </c>
      <c r="J108" s="11"/>
    </row>
    <row r="109" spans="1:12" ht="14.25" customHeight="1">
      <c r="A109" s="1"/>
      <c r="B109" s="1">
        <v>248</v>
      </c>
      <c r="C109" s="8">
        <v>43278</v>
      </c>
      <c r="D109" s="17" t="s">
        <v>3358</v>
      </c>
      <c r="E109" s="57" t="s">
        <v>533</v>
      </c>
      <c r="F109" s="50">
        <v>105</v>
      </c>
      <c r="G109" s="1861"/>
      <c r="H109" s="50"/>
      <c r="I109" s="57" t="s">
        <v>3359</v>
      </c>
      <c r="J109" s="11"/>
    </row>
    <row r="110" spans="1:12" ht="14.25" customHeight="1">
      <c r="A110" s="1" t="s">
        <v>150</v>
      </c>
      <c r="B110" s="1">
        <v>249</v>
      </c>
      <c r="C110" s="8">
        <v>43278</v>
      </c>
      <c r="D110" s="17" t="s">
        <v>3360</v>
      </c>
      <c r="E110" s="57" t="s">
        <v>3361</v>
      </c>
      <c r="F110" s="50">
        <v>106</v>
      </c>
      <c r="G110" s="1861"/>
      <c r="H110" s="50"/>
      <c r="I110" s="57" t="s">
        <v>3362</v>
      </c>
      <c r="J110" s="11" t="s">
        <v>3363</v>
      </c>
    </row>
    <row r="111" spans="1:12" ht="14.25" customHeight="1">
      <c r="A111" s="1" t="s">
        <v>125</v>
      </c>
      <c r="B111" s="1">
        <v>253</v>
      </c>
      <c r="C111" s="8">
        <v>43283</v>
      </c>
      <c r="D111" s="17"/>
      <c r="E111" s="57" t="s">
        <v>3299</v>
      </c>
      <c r="F111" s="50">
        <v>107</v>
      </c>
      <c r="G111" s="1861"/>
      <c r="H111" s="50"/>
      <c r="I111" s="57" t="s">
        <v>3364</v>
      </c>
      <c r="J111" s="11" t="s">
        <v>60</v>
      </c>
    </row>
    <row r="112" spans="1:12" ht="14.25" customHeight="1">
      <c r="A112" s="1"/>
      <c r="B112" s="1">
        <v>254</v>
      </c>
      <c r="C112" s="8">
        <v>43283</v>
      </c>
      <c r="D112" s="17" t="s">
        <v>3365</v>
      </c>
      <c r="E112" s="57" t="s">
        <v>3366</v>
      </c>
      <c r="F112" s="50">
        <v>108</v>
      </c>
      <c r="G112" s="1861"/>
      <c r="H112" s="50"/>
      <c r="I112" s="57" t="s">
        <v>3367</v>
      </c>
      <c r="J112" s="11" t="s">
        <v>3363</v>
      </c>
    </row>
    <row r="113" spans="1:11" ht="14.25" customHeight="1">
      <c r="A113" s="1"/>
      <c r="B113" s="1">
        <v>255</v>
      </c>
      <c r="C113" s="8">
        <v>43284</v>
      </c>
      <c r="D113" s="17" t="s">
        <v>3368</v>
      </c>
      <c r="E113" s="57" t="s">
        <v>3369</v>
      </c>
      <c r="F113" s="50">
        <v>109</v>
      </c>
      <c r="G113" s="1861"/>
      <c r="H113" s="50"/>
      <c r="I113" s="57" t="s">
        <v>3370</v>
      </c>
      <c r="J113" s="11" t="s">
        <v>3363</v>
      </c>
    </row>
    <row r="114" spans="1:11" ht="14.25" customHeight="1">
      <c r="A114" s="1"/>
      <c r="B114" s="1">
        <v>258</v>
      </c>
      <c r="C114" s="8">
        <v>43287</v>
      </c>
      <c r="D114" s="17" t="s">
        <v>3371</v>
      </c>
      <c r="E114" s="57" t="s">
        <v>3372</v>
      </c>
      <c r="F114" s="50">
        <v>110</v>
      </c>
      <c r="G114" s="1861"/>
      <c r="H114" s="8">
        <v>43496</v>
      </c>
      <c r="I114" s="57" t="s">
        <v>3373</v>
      </c>
      <c r="J114" s="11" t="s">
        <v>3374</v>
      </c>
    </row>
    <row r="115" spans="1:11" ht="14.25" customHeight="1">
      <c r="A115" s="1"/>
      <c r="B115" s="1">
        <v>259</v>
      </c>
      <c r="C115" s="8">
        <v>43288</v>
      </c>
      <c r="D115" s="17"/>
      <c r="E115" s="57" t="s">
        <v>3375</v>
      </c>
      <c r="F115" s="50">
        <v>111</v>
      </c>
      <c r="G115" s="1861"/>
      <c r="H115" s="50"/>
      <c r="I115" s="57" t="s">
        <v>3376</v>
      </c>
      <c r="J115" s="11" t="s">
        <v>3374</v>
      </c>
    </row>
    <row r="116" spans="1:11" ht="14.25" customHeight="1">
      <c r="A116" s="1" t="s">
        <v>125</v>
      </c>
      <c r="B116" s="1">
        <v>260</v>
      </c>
      <c r="C116" s="8">
        <v>43288</v>
      </c>
      <c r="D116" s="17" t="s">
        <v>3377</v>
      </c>
      <c r="E116" s="57" t="s">
        <v>3378</v>
      </c>
      <c r="F116" s="50">
        <v>112</v>
      </c>
      <c r="G116" s="1861"/>
      <c r="H116" s="50"/>
      <c r="I116" s="57" t="s">
        <v>3379</v>
      </c>
      <c r="J116" s="11" t="s">
        <v>60</v>
      </c>
      <c r="K116" s="57">
        <f>2*746</f>
        <v>1492</v>
      </c>
    </row>
    <row r="117" spans="1:11" ht="14.25" customHeight="1">
      <c r="A117" s="1"/>
      <c r="B117" s="1">
        <v>261</v>
      </c>
      <c r="C117" s="8">
        <v>43289</v>
      </c>
      <c r="D117" s="17" t="s">
        <v>3380</v>
      </c>
      <c r="E117" s="57" t="s">
        <v>3381</v>
      </c>
      <c r="F117" s="50">
        <v>113</v>
      </c>
      <c r="G117" s="1861"/>
      <c r="H117" s="50"/>
      <c r="I117" s="57" t="s">
        <v>3382</v>
      </c>
      <c r="J117" s="11" t="s">
        <v>507</v>
      </c>
    </row>
    <row r="118" spans="1:11" ht="14.25" customHeight="1">
      <c r="A118" s="1"/>
      <c r="B118" s="1">
        <v>262</v>
      </c>
      <c r="C118" s="8">
        <v>43289</v>
      </c>
      <c r="D118" s="17" t="s">
        <v>3383</v>
      </c>
      <c r="E118" s="57" t="s">
        <v>1012</v>
      </c>
      <c r="F118" s="50">
        <v>114</v>
      </c>
      <c r="G118" s="1861"/>
      <c r="H118" s="50"/>
      <c r="I118" s="57" t="s">
        <v>3384</v>
      </c>
      <c r="J118" s="11" t="s">
        <v>100</v>
      </c>
    </row>
    <row r="119" spans="1:11" ht="14.25" customHeight="1">
      <c r="A119" s="1"/>
      <c r="B119" s="1">
        <v>263</v>
      </c>
      <c r="C119" s="8">
        <v>43290</v>
      </c>
      <c r="D119" s="17" t="s">
        <v>3385</v>
      </c>
      <c r="E119" s="57" t="s">
        <v>3386</v>
      </c>
      <c r="F119" s="50">
        <v>115</v>
      </c>
      <c r="G119" s="1861"/>
      <c r="H119" s="50"/>
      <c r="I119" s="57" t="s">
        <v>3387</v>
      </c>
      <c r="J119" s="11" t="s">
        <v>507</v>
      </c>
    </row>
    <row r="120" spans="1:11" ht="14.25" customHeight="1">
      <c r="A120" s="1"/>
      <c r="B120" s="1">
        <v>264</v>
      </c>
      <c r="C120" s="8">
        <v>43290</v>
      </c>
      <c r="D120" s="17" t="s">
        <v>209</v>
      </c>
      <c r="E120" s="57" t="s">
        <v>3388</v>
      </c>
      <c r="F120" s="50">
        <v>116</v>
      </c>
      <c r="G120" s="1861"/>
      <c r="H120" s="50"/>
      <c r="I120" s="57" t="s">
        <v>3389</v>
      </c>
      <c r="J120" s="11" t="s">
        <v>3390</v>
      </c>
    </row>
    <row r="121" spans="1:11" ht="14.25" customHeight="1">
      <c r="A121" s="1"/>
      <c r="B121" s="1">
        <v>270</v>
      </c>
      <c r="C121" s="8">
        <v>43291</v>
      </c>
      <c r="D121" s="1">
        <v>9771531634</v>
      </c>
      <c r="E121" s="57" t="s">
        <v>148</v>
      </c>
      <c r="F121" s="50">
        <v>117</v>
      </c>
      <c r="G121" s="1861"/>
      <c r="H121" s="50"/>
      <c r="I121" s="57" t="s">
        <v>870</v>
      </c>
      <c r="J121" s="11" t="s">
        <v>100</v>
      </c>
    </row>
    <row r="122" spans="1:11" ht="14.25" customHeight="1">
      <c r="A122" s="1"/>
      <c r="B122" s="1">
        <v>269</v>
      </c>
      <c r="C122" s="8">
        <v>43291</v>
      </c>
      <c r="D122" s="17" t="s">
        <v>871</v>
      </c>
      <c r="E122" s="57" t="s">
        <v>146</v>
      </c>
      <c r="F122" s="50">
        <v>118</v>
      </c>
      <c r="G122" s="1861"/>
      <c r="H122" s="50"/>
      <c r="I122" s="57" t="s">
        <v>3391</v>
      </c>
      <c r="J122" s="11" t="s">
        <v>507</v>
      </c>
    </row>
    <row r="123" spans="1:11" ht="14.25" customHeight="1">
      <c r="A123" s="1"/>
      <c r="B123" s="1">
        <v>277</v>
      </c>
      <c r="C123" s="8">
        <v>43297</v>
      </c>
      <c r="D123" s="17" t="s">
        <v>3392</v>
      </c>
      <c r="E123" s="57" t="s">
        <v>3393</v>
      </c>
      <c r="F123" s="50">
        <v>119</v>
      </c>
      <c r="G123" s="1861"/>
      <c r="H123" s="50"/>
      <c r="I123" s="57" t="s">
        <v>3394</v>
      </c>
      <c r="J123" s="11" t="s">
        <v>3395</v>
      </c>
    </row>
    <row r="124" spans="1:11" ht="14.25" customHeight="1">
      <c r="A124" s="1"/>
      <c r="B124" s="1">
        <v>278</v>
      </c>
      <c r="C124" s="8">
        <v>43297</v>
      </c>
      <c r="D124" s="17" t="s">
        <v>3396</v>
      </c>
      <c r="E124" s="57" t="s">
        <v>2412</v>
      </c>
      <c r="F124" s="50">
        <v>120</v>
      </c>
      <c r="G124" s="1861"/>
      <c r="H124" s="50"/>
      <c r="I124" s="57" t="s">
        <v>3397</v>
      </c>
      <c r="J124" s="11" t="s">
        <v>3390</v>
      </c>
    </row>
    <row r="125" spans="1:11" ht="14.25" customHeight="1">
      <c r="A125" s="1"/>
      <c r="B125" s="1">
        <v>281</v>
      </c>
      <c r="C125" s="8">
        <v>43298</v>
      </c>
      <c r="D125" s="17" t="s">
        <v>3396</v>
      </c>
      <c r="E125" s="57" t="s">
        <v>2412</v>
      </c>
      <c r="F125" s="50">
        <v>121</v>
      </c>
      <c r="G125" s="1861"/>
      <c r="H125" s="50"/>
      <c r="I125" s="57" t="s">
        <v>3398</v>
      </c>
      <c r="J125" s="11" t="s">
        <v>100</v>
      </c>
    </row>
    <row r="126" spans="1:11" ht="14.25" customHeight="1">
      <c r="A126" s="1"/>
      <c r="B126" s="1">
        <v>282</v>
      </c>
      <c r="C126" s="8">
        <v>43298</v>
      </c>
      <c r="D126" s="17" t="s">
        <v>1114</v>
      </c>
      <c r="E126" s="20" t="s">
        <v>3399</v>
      </c>
      <c r="F126" s="59">
        <v>121</v>
      </c>
      <c r="G126" s="1862"/>
      <c r="H126" s="59"/>
      <c r="I126" s="20" t="s">
        <v>3400</v>
      </c>
      <c r="J126" s="11" t="s">
        <v>100</v>
      </c>
      <c r="K126" s="20"/>
    </row>
    <row r="127" spans="1:11" ht="14.25" customHeight="1">
      <c r="A127" s="1"/>
      <c r="B127" s="1">
        <v>283</v>
      </c>
      <c r="C127" s="8">
        <v>43298</v>
      </c>
      <c r="D127" s="17" t="s">
        <v>1114</v>
      </c>
      <c r="E127" s="20" t="s">
        <v>3401</v>
      </c>
      <c r="F127" s="59">
        <v>122</v>
      </c>
      <c r="G127" s="1862"/>
      <c r="H127" s="59"/>
      <c r="I127" s="20" t="s">
        <v>3402</v>
      </c>
      <c r="J127" s="11" t="s">
        <v>100</v>
      </c>
      <c r="K127" s="20"/>
    </row>
    <row r="128" spans="1:11" ht="14.25" customHeight="1">
      <c r="A128" s="1" t="s">
        <v>125</v>
      </c>
      <c r="B128" s="1">
        <v>289</v>
      </c>
      <c r="C128" s="8">
        <v>43300</v>
      </c>
      <c r="D128" s="17" t="s">
        <v>3403</v>
      </c>
      <c r="E128" s="57" t="s">
        <v>1012</v>
      </c>
      <c r="F128" s="50">
        <v>123</v>
      </c>
      <c r="G128" s="1861"/>
      <c r="H128" s="50"/>
      <c r="I128" s="57" t="s">
        <v>3404</v>
      </c>
      <c r="J128" s="11" t="s">
        <v>100</v>
      </c>
    </row>
    <row r="129" spans="1:13" ht="14.25" customHeight="1">
      <c r="A129" s="1"/>
      <c r="B129" s="1">
        <v>290</v>
      </c>
      <c r="C129" s="8">
        <v>43300</v>
      </c>
      <c r="D129" s="17" t="s">
        <v>3405</v>
      </c>
      <c r="E129" s="57" t="s">
        <v>3406</v>
      </c>
      <c r="F129" s="50">
        <v>124</v>
      </c>
      <c r="G129" s="1861"/>
      <c r="H129" s="50"/>
      <c r="I129" s="57" t="s">
        <v>3407</v>
      </c>
      <c r="J129" s="11" t="s">
        <v>100</v>
      </c>
    </row>
    <row r="130" spans="1:13" ht="14.25" customHeight="1">
      <c r="A130" s="1"/>
      <c r="B130" s="1">
        <v>291</v>
      </c>
      <c r="C130" s="8">
        <v>43300</v>
      </c>
      <c r="D130" s="17" t="s">
        <v>3408</v>
      </c>
      <c r="E130" s="57" t="s">
        <v>3409</v>
      </c>
      <c r="F130" s="50">
        <v>125</v>
      </c>
      <c r="G130" s="1861"/>
      <c r="H130" s="50"/>
      <c r="I130" s="57" t="s">
        <v>3410</v>
      </c>
      <c r="J130" s="11" t="s">
        <v>3390</v>
      </c>
    </row>
    <row r="131" spans="1:13" ht="14.25" customHeight="1">
      <c r="A131" s="1"/>
      <c r="B131" s="1">
        <v>293</v>
      </c>
      <c r="C131" s="8">
        <v>43302</v>
      </c>
      <c r="D131" s="17" t="s">
        <v>3411</v>
      </c>
      <c r="E131" s="57" t="s">
        <v>3412</v>
      </c>
      <c r="F131" s="50">
        <v>126</v>
      </c>
      <c r="G131" s="1861"/>
      <c r="H131" s="50"/>
      <c r="I131" s="57" t="s">
        <v>3413</v>
      </c>
      <c r="J131" s="11" t="s">
        <v>528</v>
      </c>
    </row>
    <row r="132" spans="1:13" ht="14.25" customHeight="1">
      <c r="A132" s="1" t="s">
        <v>125</v>
      </c>
      <c r="B132" s="1">
        <v>294</v>
      </c>
      <c r="C132" s="8">
        <v>43309</v>
      </c>
      <c r="D132" s="17" t="s">
        <v>3414</v>
      </c>
      <c r="E132" s="57" t="s">
        <v>3415</v>
      </c>
      <c r="F132" s="50">
        <v>127</v>
      </c>
      <c r="G132" s="1861"/>
      <c r="H132" s="50"/>
      <c r="I132" s="57" t="s">
        <v>3416</v>
      </c>
      <c r="J132" s="11" t="s">
        <v>60</v>
      </c>
    </row>
    <row r="133" spans="1:13" ht="14.25" customHeight="1">
      <c r="A133" s="1"/>
      <c r="B133" s="1">
        <v>295</v>
      </c>
      <c r="C133" s="8">
        <v>43309</v>
      </c>
      <c r="D133" s="17" t="s">
        <v>3417</v>
      </c>
      <c r="E133" s="57" t="s">
        <v>3418</v>
      </c>
      <c r="F133" s="50">
        <v>128</v>
      </c>
      <c r="G133" s="1861"/>
      <c r="H133" s="8"/>
      <c r="I133" s="57" t="s">
        <v>3419</v>
      </c>
      <c r="J133" s="11" t="s">
        <v>507</v>
      </c>
    </row>
    <row r="134" spans="1:13" ht="14.25" customHeight="1">
      <c r="A134" s="1"/>
      <c r="B134" s="1">
        <v>296</v>
      </c>
      <c r="C134" s="8">
        <v>43309</v>
      </c>
      <c r="D134" s="17" t="s">
        <v>3420</v>
      </c>
      <c r="E134" s="57" t="s">
        <v>881</v>
      </c>
      <c r="F134" s="50">
        <v>129</v>
      </c>
      <c r="G134" s="1861"/>
      <c r="H134" s="8"/>
      <c r="I134" s="57" t="s">
        <v>3421</v>
      </c>
      <c r="J134" s="11" t="s">
        <v>3390</v>
      </c>
    </row>
    <row r="135" spans="1:13" ht="14.25" customHeight="1">
      <c r="A135" s="1"/>
      <c r="B135" s="1">
        <v>297</v>
      </c>
      <c r="C135" s="8">
        <v>43309</v>
      </c>
      <c r="D135" s="17" t="s">
        <v>3422</v>
      </c>
      <c r="E135" s="57" t="s">
        <v>3110</v>
      </c>
      <c r="F135" s="50">
        <v>130</v>
      </c>
      <c r="G135" s="1861"/>
      <c r="H135" s="8"/>
      <c r="I135" s="57" t="s">
        <v>3423</v>
      </c>
      <c r="J135" s="11" t="s">
        <v>92</v>
      </c>
    </row>
    <row r="136" spans="1:13" ht="14.25" customHeight="1">
      <c r="A136" s="1"/>
      <c r="B136" s="1">
        <v>298</v>
      </c>
      <c r="C136" s="8">
        <v>43309</v>
      </c>
      <c r="D136" s="17" t="s">
        <v>3424</v>
      </c>
      <c r="E136" s="57" t="s">
        <v>3425</v>
      </c>
      <c r="F136" s="50">
        <v>131</v>
      </c>
      <c r="G136" s="1861"/>
      <c r="H136" s="8"/>
      <c r="I136" s="57" t="s">
        <v>3423</v>
      </c>
      <c r="J136" s="11" t="s">
        <v>92</v>
      </c>
    </row>
    <row r="137" spans="1:13" ht="14.25" customHeight="1">
      <c r="A137" s="1"/>
      <c r="B137" s="1">
        <v>310</v>
      </c>
      <c r="C137" s="8">
        <v>43313</v>
      </c>
      <c r="D137" s="17" t="s">
        <v>894</v>
      </c>
      <c r="E137" s="57" t="s">
        <v>179</v>
      </c>
      <c r="F137" s="50">
        <v>131</v>
      </c>
      <c r="G137" s="1861"/>
      <c r="H137" s="8"/>
      <c r="I137" s="57" t="s">
        <v>3426</v>
      </c>
      <c r="J137" s="11" t="s">
        <v>507</v>
      </c>
    </row>
    <row r="138" spans="1:13" ht="14.25" customHeight="1">
      <c r="A138" s="1"/>
      <c r="B138" s="1">
        <v>315</v>
      </c>
      <c r="C138" s="8">
        <v>43315</v>
      </c>
      <c r="D138" s="17" t="s">
        <v>209</v>
      </c>
      <c r="E138" s="57" t="s">
        <v>3427</v>
      </c>
      <c r="F138" s="50">
        <v>132</v>
      </c>
      <c r="G138" s="1861"/>
      <c r="H138" s="8"/>
      <c r="I138" s="57" t="s">
        <v>3428</v>
      </c>
      <c r="J138" s="11" t="s">
        <v>507</v>
      </c>
    </row>
    <row r="139" spans="1:13" ht="14.25" customHeight="1">
      <c r="A139" s="1"/>
      <c r="B139" s="1">
        <v>316</v>
      </c>
      <c r="C139" s="8">
        <v>43315</v>
      </c>
      <c r="D139" s="17"/>
      <c r="E139" s="57" t="s">
        <v>3429</v>
      </c>
      <c r="F139" s="50">
        <v>133</v>
      </c>
      <c r="G139" s="1861"/>
      <c r="H139" s="8"/>
      <c r="I139" s="57" t="s">
        <v>3430</v>
      </c>
      <c r="J139" s="11" t="s">
        <v>3390</v>
      </c>
    </row>
    <row r="140" spans="1:13" ht="14.25" customHeight="1">
      <c r="A140" s="1"/>
      <c r="B140" s="1">
        <v>320</v>
      </c>
      <c r="C140" s="8">
        <v>43326</v>
      </c>
      <c r="D140" s="17" t="s">
        <v>896</v>
      </c>
      <c r="E140" s="57" t="s">
        <v>3431</v>
      </c>
      <c r="F140" s="50">
        <v>134</v>
      </c>
      <c r="G140" s="1861"/>
      <c r="H140" s="8"/>
      <c r="I140" s="57" t="s">
        <v>3432</v>
      </c>
      <c r="J140" s="11" t="s">
        <v>507</v>
      </c>
    </row>
    <row r="141" spans="1:13" ht="14.25" customHeight="1">
      <c r="A141" s="1"/>
      <c r="B141" s="1">
        <v>323</v>
      </c>
      <c r="C141" s="8">
        <v>43332</v>
      </c>
      <c r="D141" s="17" t="s">
        <v>941</v>
      </c>
      <c r="E141" s="57" t="s">
        <v>3433</v>
      </c>
      <c r="F141" s="50">
        <v>135</v>
      </c>
      <c r="G141" s="1861"/>
      <c r="H141" s="8"/>
      <c r="I141" s="57" t="s">
        <v>3434</v>
      </c>
      <c r="J141" s="11"/>
      <c r="K141" s="11" t="s">
        <v>3435</v>
      </c>
    </row>
    <row r="142" spans="1:13" ht="14.25" customHeight="1">
      <c r="A142" s="1"/>
      <c r="B142" s="1">
        <v>329</v>
      </c>
      <c r="C142" s="8">
        <v>43336</v>
      </c>
      <c r="D142" s="17" t="s">
        <v>3436</v>
      </c>
      <c r="E142" s="57" t="s">
        <v>3437</v>
      </c>
      <c r="F142" s="50">
        <v>136</v>
      </c>
      <c r="G142" s="1861"/>
      <c r="H142" s="8"/>
      <c r="I142" s="36" t="s">
        <v>3438</v>
      </c>
      <c r="J142" s="11"/>
      <c r="M142" s="57">
        <f>60*3.5</f>
        <v>210</v>
      </c>
    </row>
    <row r="143" spans="1:13" ht="14.25" customHeight="1">
      <c r="A143" s="1" t="s">
        <v>143</v>
      </c>
      <c r="B143" s="1">
        <v>330</v>
      </c>
      <c r="C143" s="8">
        <v>43334</v>
      </c>
      <c r="D143" s="17" t="s">
        <v>941</v>
      </c>
      <c r="E143" s="57" t="s">
        <v>3433</v>
      </c>
      <c r="F143" s="50">
        <v>137</v>
      </c>
      <c r="G143" s="1861"/>
      <c r="H143" s="8"/>
      <c r="I143" s="57" t="s">
        <v>3439</v>
      </c>
      <c r="J143" s="11" t="s">
        <v>191</v>
      </c>
    </row>
    <row r="144" spans="1:13" ht="14.25" customHeight="1">
      <c r="A144" s="1"/>
      <c r="B144" s="1">
        <v>337</v>
      </c>
      <c r="C144" s="8">
        <v>43338</v>
      </c>
      <c r="D144" s="17" t="s">
        <v>1751</v>
      </c>
      <c r="E144" s="57" t="s">
        <v>234</v>
      </c>
      <c r="F144" s="50">
        <v>138</v>
      </c>
      <c r="G144" s="1861"/>
      <c r="H144" s="8"/>
      <c r="I144" s="57" t="s">
        <v>3440</v>
      </c>
      <c r="J144" s="11" t="s">
        <v>528</v>
      </c>
    </row>
    <row r="145" spans="1:10" ht="14.25" customHeight="1">
      <c r="A145" s="17" t="s">
        <v>209</v>
      </c>
      <c r="B145" s="1">
        <v>339</v>
      </c>
      <c r="C145" s="8">
        <v>43339</v>
      </c>
      <c r="D145" s="17" t="s">
        <v>3441</v>
      </c>
      <c r="E145" s="57" t="s">
        <v>210</v>
      </c>
      <c r="F145" s="50">
        <v>139</v>
      </c>
      <c r="G145" s="1861"/>
      <c r="H145" s="8"/>
      <c r="I145" s="57" t="s">
        <v>3442</v>
      </c>
      <c r="J145" s="11"/>
    </row>
    <row r="146" spans="1:10" ht="14.25" customHeight="1">
      <c r="A146" s="17" t="s">
        <v>209</v>
      </c>
      <c r="B146" s="1">
        <v>339</v>
      </c>
      <c r="C146" s="8">
        <v>43339</v>
      </c>
      <c r="D146" s="17" t="s">
        <v>3443</v>
      </c>
      <c r="E146" s="57" t="s">
        <v>3444</v>
      </c>
      <c r="F146" s="50">
        <v>140</v>
      </c>
      <c r="G146" s="1861"/>
      <c r="H146" s="8"/>
      <c r="I146" s="57" t="s">
        <v>3445</v>
      </c>
      <c r="J146" s="11" t="s">
        <v>528</v>
      </c>
    </row>
    <row r="147" spans="1:10" ht="14.25" customHeight="1">
      <c r="A147" s="1" t="s">
        <v>209</v>
      </c>
      <c r="B147" s="1">
        <v>340</v>
      </c>
      <c r="C147" s="8">
        <v>43340</v>
      </c>
      <c r="D147" s="17" t="s">
        <v>3443</v>
      </c>
      <c r="E147" s="57" t="s">
        <v>3444</v>
      </c>
      <c r="F147" s="50">
        <v>141</v>
      </c>
      <c r="G147" s="1861"/>
      <c r="H147" s="8"/>
      <c r="I147" s="36" t="s">
        <v>3446</v>
      </c>
      <c r="J147" s="11" t="s">
        <v>528</v>
      </c>
    </row>
    <row r="148" spans="1:10" ht="14.25" customHeight="1">
      <c r="A148" s="1" t="s">
        <v>209</v>
      </c>
      <c r="B148" s="1">
        <v>340</v>
      </c>
      <c r="C148" s="8">
        <v>43342</v>
      </c>
      <c r="D148" s="17" t="s">
        <v>209</v>
      </c>
      <c r="E148" s="57" t="s">
        <v>3447</v>
      </c>
      <c r="F148" s="50">
        <v>142</v>
      </c>
      <c r="G148" s="1861"/>
      <c r="H148" s="8"/>
      <c r="I148" s="57" t="s">
        <v>3448</v>
      </c>
      <c r="J148" s="11" t="s">
        <v>191</v>
      </c>
    </row>
    <row r="149" spans="1:10" ht="14.25" customHeight="1">
      <c r="A149" s="1" t="s">
        <v>143</v>
      </c>
      <c r="B149" s="1">
        <v>344</v>
      </c>
      <c r="C149" s="8">
        <v>43341</v>
      </c>
      <c r="D149" s="17" t="s">
        <v>3449</v>
      </c>
      <c r="E149" s="57" t="s">
        <v>3450</v>
      </c>
      <c r="F149" s="50">
        <v>143</v>
      </c>
      <c r="G149" s="1861"/>
      <c r="H149" s="8"/>
      <c r="I149" s="57" t="s">
        <v>3451</v>
      </c>
      <c r="J149" s="11" t="s">
        <v>39</v>
      </c>
    </row>
    <row r="150" spans="1:10" ht="14.25" customHeight="1">
      <c r="A150" s="1"/>
      <c r="B150" s="1">
        <v>354</v>
      </c>
      <c r="C150" s="8">
        <v>43351</v>
      </c>
      <c r="D150" s="1">
        <v>8986761085</v>
      </c>
      <c r="E150" s="57" t="s">
        <v>206</v>
      </c>
      <c r="F150" s="50">
        <v>144</v>
      </c>
      <c r="G150" s="1861"/>
      <c r="H150" s="8"/>
      <c r="I150" s="57" t="s">
        <v>3452</v>
      </c>
      <c r="J150" s="11" t="s">
        <v>528</v>
      </c>
    </row>
    <row r="151" spans="1:10" ht="14.25" customHeight="1">
      <c r="A151" s="1"/>
      <c r="B151" s="1">
        <v>363</v>
      </c>
      <c r="C151" s="8">
        <v>43358</v>
      </c>
      <c r="D151" s="17" t="s">
        <v>3453</v>
      </c>
      <c r="E151" s="57" t="s">
        <v>3454</v>
      </c>
      <c r="F151" s="50" t="s">
        <v>3455</v>
      </c>
      <c r="G151" s="1861"/>
      <c r="H151" s="8"/>
      <c r="I151" s="57" t="s">
        <v>3456</v>
      </c>
      <c r="J151" s="11" t="s">
        <v>3390</v>
      </c>
    </row>
    <row r="152" spans="1:10" ht="14.25" customHeight="1">
      <c r="A152" s="1"/>
      <c r="B152" s="1">
        <v>364</v>
      </c>
      <c r="C152" s="8">
        <v>43362</v>
      </c>
      <c r="D152" s="1">
        <v>9204582608</v>
      </c>
      <c r="E152" s="57" t="s">
        <v>3409</v>
      </c>
      <c r="F152" s="50" t="s">
        <v>3455</v>
      </c>
      <c r="G152" s="1861"/>
      <c r="H152" s="8"/>
      <c r="I152" s="57" t="s">
        <v>3457</v>
      </c>
      <c r="J152" s="11" t="s">
        <v>77</v>
      </c>
    </row>
    <row r="153" spans="1:10" ht="14.25" customHeight="1">
      <c r="A153" s="1"/>
      <c r="B153" s="1">
        <v>366</v>
      </c>
      <c r="C153" s="8">
        <v>43372</v>
      </c>
      <c r="D153" s="17" t="s">
        <v>3458</v>
      </c>
      <c r="E153" s="57" t="s">
        <v>3459</v>
      </c>
      <c r="F153" s="50">
        <v>146</v>
      </c>
      <c r="G153" s="1861"/>
      <c r="H153" s="8"/>
      <c r="I153" s="57" t="s">
        <v>3460</v>
      </c>
      <c r="J153" s="11" t="s">
        <v>77</v>
      </c>
    </row>
    <row r="154" spans="1:10" ht="14.25" customHeight="1">
      <c r="A154" s="1" t="s">
        <v>125</v>
      </c>
      <c r="B154" s="1">
        <v>371</v>
      </c>
      <c r="C154" s="8">
        <v>43374</v>
      </c>
      <c r="D154" s="17"/>
      <c r="E154" s="57" t="s">
        <v>33</v>
      </c>
      <c r="F154" s="50">
        <v>147</v>
      </c>
      <c r="G154" s="1861"/>
      <c r="H154" s="8">
        <v>43386</v>
      </c>
      <c r="I154" s="57" t="s">
        <v>3461</v>
      </c>
      <c r="J154" s="11" t="s">
        <v>191</v>
      </c>
    </row>
    <row r="155" spans="1:10" ht="14.25" customHeight="1">
      <c r="A155" s="1" t="s">
        <v>125</v>
      </c>
      <c r="B155" s="1">
        <v>374</v>
      </c>
      <c r="C155" s="8">
        <v>43376</v>
      </c>
      <c r="D155" s="17" t="s">
        <v>3462</v>
      </c>
      <c r="E155" s="57" t="s">
        <v>3463</v>
      </c>
      <c r="F155" s="50">
        <v>148</v>
      </c>
      <c r="G155" s="1861"/>
      <c r="H155" s="8">
        <v>43388</v>
      </c>
      <c r="I155" s="57" t="s">
        <v>3464</v>
      </c>
      <c r="J155" s="11" t="s">
        <v>191</v>
      </c>
    </row>
    <row r="156" spans="1:10" ht="14.25" customHeight="1">
      <c r="A156" s="1" t="s">
        <v>125</v>
      </c>
      <c r="B156" s="1">
        <v>380</v>
      </c>
      <c r="C156" s="8">
        <v>43377</v>
      </c>
      <c r="D156" s="17" t="s">
        <v>3465</v>
      </c>
      <c r="E156" s="57" t="s">
        <v>3466</v>
      </c>
      <c r="F156" s="50">
        <v>149</v>
      </c>
      <c r="G156" s="1861"/>
      <c r="H156" s="1"/>
      <c r="I156" s="57" t="s">
        <v>3467</v>
      </c>
      <c r="J156" s="11" t="s">
        <v>191</v>
      </c>
    </row>
    <row r="157" spans="1:10" ht="14.25" customHeight="1">
      <c r="A157" s="1"/>
      <c r="B157" s="1">
        <v>390</v>
      </c>
      <c r="C157" s="8">
        <v>43387</v>
      </c>
      <c r="D157" s="17" t="s">
        <v>971</v>
      </c>
      <c r="E157" s="57" t="s">
        <v>2839</v>
      </c>
      <c r="F157" s="50">
        <v>150</v>
      </c>
      <c r="G157" s="1861"/>
      <c r="H157" s="1"/>
      <c r="I157" s="57" t="s">
        <v>3468</v>
      </c>
      <c r="J157" s="11" t="s">
        <v>77</v>
      </c>
    </row>
    <row r="158" spans="1:10" ht="14.25" customHeight="1">
      <c r="A158" s="1"/>
      <c r="B158" s="1">
        <v>391</v>
      </c>
      <c r="C158" s="8">
        <v>43393</v>
      </c>
      <c r="D158" s="17" t="s">
        <v>3469</v>
      </c>
      <c r="E158" s="57" t="s">
        <v>194</v>
      </c>
      <c r="F158" s="50">
        <v>151</v>
      </c>
      <c r="G158" s="1861"/>
      <c r="H158" s="1"/>
      <c r="I158" s="57" t="s">
        <v>3470</v>
      </c>
      <c r="J158" s="11" t="s">
        <v>77</v>
      </c>
    </row>
    <row r="159" spans="1:10" ht="14.25" customHeight="1">
      <c r="A159" s="1"/>
      <c r="B159" s="1">
        <v>396</v>
      </c>
      <c r="C159" s="8">
        <v>43406</v>
      </c>
      <c r="D159" s="17" t="s">
        <v>1170</v>
      </c>
      <c r="E159" s="57" t="s">
        <v>3471</v>
      </c>
      <c r="F159" s="50">
        <v>152</v>
      </c>
      <c r="G159" s="1861"/>
      <c r="H159" s="1"/>
      <c r="I159" s="57" t="s">
        <v>3472</v>
      </c>
      <c r="J159" s="11" t="s">
        <v>3473</v>
      </c>
    </row>
    <row r="160" spans="1:10" ht="14.25" customHeight="1">
      <c r="A160" s="1"/>
      <c r="B160" s="1">
        <v>403</v>
      </c>
      <c r="C160" s="9">
        <v>43430</v>
      </c>
      <c r="D160" s="17" t="s">
        <v>3474</v>
      </c>
      <c r="E160" s="57" t="s">
        <v>2856</v>
      </c>
      <c r="F160" s="50">
        <v>153</v>
      </c>
      <c r="G160" s="1861"/>
      <c r="H160" s="1"/>
      <c r="I160" s="57" t="s">
        <v>3475</v>
      </c>
      <c r="J160" s="11" t="s">
        <v>191</v>
      </c>
    </row>
    <row r="161" spans="1:10" ht="14.25" customHeight="1">
      <c r="A161" s="1" t="s">
        <v>125</v>
      </c>
      <c r="B161" s="1">
        <v>404</v>
      </c>
      <c r="C161" s="9">
        <v>43430</v>
      </c>
      <c r="D161" s="17" t="s">
        <v>946</v>
      </c>
      <c r="E161" s="57" t="s">
        <v>1563</v>
      </c>
      <c r="F161" s="50">
        <v>154</v>
      </c>
      <c r="G161" s="1861"/>
      <c r="H161" s="1"/>
      <c r="I161" s="57" t="s">
        <v>3476</v>
      </c>
      <c r="J161" s="11" t="s">
        <v>191</v>
      </c>
    </row>
    <row r="162" spans="1:10" ht="14.25" customHeight="1">
      <c r="A162" s="1"/>
      <c r="B162" s="1">
        <v>405</v>
      </c>
      <c r="C162" s="9">
        <v>43431</v>
      </c>
      <c r="D162" s="17" t="s">
        <v>3477</v>
      </c>
      <c r="E162" s="57" t="s">
        <v>3478</v>
      </c>
      <c r="F162" s="50">
        <v>155</v>
      </c>
      <c r="G162" s="1861"/>
      <c r="H162" s="1"/>
      <c r="I162" s="57" t="s">
        <v>3479</v>
      </c>
      <c r="J162" s="11" t="s">
        <v>507</v>
      </c>
    </row>
    <row r="163" spans="1:10" ht="14.25" customHeight="1">
      <c r="A163" s="1"/>
      <c r="B163" s="1">
        <v>406</v>
      </c>
      <c r="C163" s="1"/>
      <c r="D163" s="17"/>
      <c r="E163" s="57" t="s">
        <v>982</v>
      </c>
      <c r="F163" s="50">
        <v>156</v>
      </c>
      <c r="G163" s="1861"/>
      <c r="H163" s="1"/>
      <c r="J163" s="11"/>
    </row>
    <row r="164" spans="1:10" ht="14.25" customHeight="1">
      <c r="A164" s="1"/>
      <c r="B164" s="1">
        <v>412</v>
      </c>
      <c r="C164" s="9">
        <v>43457</v>
      </c>
      <c r="D164" s="17" t="s">
        <v>3480</v>
      </c>
      <c r="E164" s="57" t="s">
        <v>3481</v>
      </c>
      <c r="F164" s="50" t="s">
        <v>983</v>
      </c>
      <c r="G164" s="1861"/>
      <c r="H164" s="1"/>
      <c r="I164" s="57" t="s">
        <v>3482</v>
      </c>
      <c r="J164" s="11"/>
    </row>
    <row r="165" spans="1:10" ht="14.25" customHeight="1">
      <c r="A165" s="1" t="s">
        <v>125</v>
      </c>
      <c r="B165" s="1">
        <v>414</v>
      </c>
      <c r="C165" s="9">
        <v>43459</v>
      </c>
      <c r="D165" s="17" t="s">
        <v>3477</v>
      </c>
      <c r="E165" s="57" t="s">
        <v>3478</v>
      </c>
      <c r="F165" s="50">
        <v>157</v>
      </c>
      <c r="G165" s="1861"/>
      <c r="H165" s="1"/>
      <c r="I165" s="57" t="s">
        <v>3483</v>
      </c>
      <c r="J165" s="11" t="s">
        <v>92</v>
      </c>
    </row>
    <row r="166" spans="1:10" ht="14.25" customHeight="1">
      <c r="A166" s="1" t="s">
        <v>125</v>
      </c>
      <c r="B166" s="1">
        <v>431</v>
      </c>
      <c r="C166" s="9">
        <v>43469</v>
      </c>
      <c r="D166" s="17" t="s">
        <v>3480</v>
      </c>
      <c r="E166" s="57" t="s">
        <v>3481</v>
      </c>
      <c r="F166" s="50">
        <v>158</v>
      </c>
      <c r="G166" s="1861"/>
      <c r="H166" s="1"/>
      <c r="I166" s="57" t="s">
        <v>3484</v>
      </c>
      <c r="J166" s="11" t="s">
        <v>251</v>
      </c>
    </row>
    <row r="167" spans="1:10" ht="14.25" customHeight="1">
      <c r="A167" s="1"/>
      <c r="B167" s="1">
        <v>431</v>
      </c>
      <c r="C167" s="9">
        <v>43480</v>
      </c>
      <c r="D167" s="17" t="s">
        <v>3485</v>
      </c>
      <c r="E167" s="57" t="s">
        <v>3486</v>
      </c>
      <c r="F167" s="50">
        <v>159</v>
      </c>
      <c r="G167" s="1861"/>
      <c r="H167" s="1"/>
      <c r="I167" s="57" t="s">
        <v>3487</v>
      </c>
      <c r="J167" s="11" t="s">
        <v>268</v>
      </c>
    </row>
    <row r="168" spans="1:10" ht="14.25" customHeight="1">
      <c r="A168" s="1"/>
      <c r="B168" s="1">
        <v>433</v>
      </c>
      <c r="C168" s="9">
        <v>43480</v>
      </c>
      <c r="D168" s="17" t="s">
        <v>3488</v>
      </c>
      <c r="E168" s="57" t="s">
        <v>3489</v>
      </c>
      <c r="F168" s="50">
        <v>160</v>
      </c>
      <c r="G168" s="1861"/>
      <c r="H168" s="1"/>
      <c r="I168" s="57" t="s">
        <v>3490</v>
      </c>
      <c r="J168" s="11" t="s">
        <v>268</v>
      </c>
    </row>
    <row r="169" spans="1:10" ht="14.25" customHeight="1">
      <c r="A169" s="1"/>
      <c r="B169" s="1">
        <v>434</v>
      </c>
      <c r="C169" s="9">
        <v>43481</v>
      </c>
      <c r="D169" s="17" t="s">
        <v>3491</v>
      </c>
      <c r="E169" s="57" t="s">
        <v>3492</v>
      </c>
      <c r="F169" s="50">
        <v>161</v>
      </c>
      <c r="G169" s="1861"/>
      <c r="H169" s="1"/>
      <c r="I169" s="57" t="s">
        <v>3493</v>
      </c>
      <c r="J169" s="11" t="s">
        <v>528</v>
      </c>
    </row>
    <row r="170" spans="1:10" ht="14.25" customHeight="1">
      <c r="A170" s="1" t="s">
        <v>125</v>
      </c>
      <c r="B170" s="1">
        <v>435</v>
      </c>
      <c r="C170" s="9">
        <v>43488</v>
      </c>
      <c r="D170" s="17" t="s">
        <v>1114</v>
      </c>
      <c r="E170" s="57" t="s">
        <v>3494</v>
      </c>
      <c r="F170" s="50">
        <v>162</v>
      </c>
      <c r="G170" s="1861"/>
      <c r="H170" s="1"/>
      <c r="I170" s="57" t="s">
        <v>3495</v>
      </c>
      <c r="J170" s="11" t="s">
        <v>528</v>
      </c>
    </row>
    <row r="171" spans="1:10" ht="14.25" customHeight="1">
      <c r="A171" s="1" t="s">
        <v>125</v>
      </c>
      <c r="B171" s="1">
        <v>436</v>
      </c>
      <c r="C171" s="9">
        <v>43486</v>
      </c>
      <c r="D171" s="17" t="s">
        <v>1114</v>
      </c>
      <c r="E171" s="57" t="s">
        <v>3399</v>
      </c>
      <c r="F171" s="50">
        <v>163</v>
      </c>
      <c r="G171" s="1861"/>
      <c r="H171" s="1"/>
      <c r="I171" s="57" t="s">
        <v>3496</v>
      </c>
      <c r="J171" s="11" t="s">
        <v>528</v>
      </c>
    </row>
    <row r="172" spans="1:10" ht="14.25" customHeight="1">
      <c r="A172" s="1"/>
      <c r="B172" s="1">
        <v>439</v>
      </c>
      <c r="C172" s="9">
        <v>43486</v>
      </c>
      <c r="D172" s="1">
        <v>9430710824</v>
      </c>
      <c r="E172" s="57" t="s">
        <v>256</v>
      </c>
      <c r="F172" s="50">
        <v>164</v>
      </c>
      <c r="G172" s="1861"/>
      <c r="H172" s="1"/>
      <c r="I172" s="57" t="s">
        <v>3497</v>
      </c>
      <c r="J172" s="11" t="s">
        <v>268</v>
      </c>
    </row>
    <row r="173" spans="1:10" ht="14.25" customHeight="1">
      <c r="A173" s="1" t="s">
        <v>125</v>
      </c>
      <c r="B173" s="1">
        <v>441</v>
      </c>
      <c r="C173" s="9">
        <v>43489</v>
      </c>
      <c r="D173" s="17" t="s">
        <v>3498</v>
      </c>
      <c r="E173" s="57" t="s">
        <v>3418</v>
      </c>
      <c r="F173" s="50">
        <v>165</v>
      </c>
      <c r="G173" s="1861"/>
      <c r="H173" s="1"/>
      <c r="I173" s="57" t="s">
        <v>3499</v>
      </c>
      <c r="J173" s="11" t="s">
        <v>528</v>
      </c>
    </row>
    <row r="174" spans="1:10" ht="14.25" customHeight="1">
      <c r="A174" s="1"/>
      <c r="B174" s="1">
        <v>507</v>
      </c>
      <c r="C174" s="9">
        <v>43506</v>
      </c>
      <c r="D174" s="17" t="s">
        <v>3500</v>
      </c>
      <c r="E174" s="57" t="s">
        <v>3501</v>
      </c>
      <c r="F174" s="50">
        <v>166</v>
      </c>
      <c r="G174" s="1861"/>
      <c r="H174" s="1"/>
      <c r="I174" s="57" t="s">
        <v>3502</v>
      </c>
      <c r="J174" s="11" t="s">
        <v>3503</v>
      </c>
    </row>
    <row r="175" spans="1:10" ht="14.25" customHeight="1">
      <c r="A175" s="1" t="s">
        <v>125</v>
      </c>
      <c r="B175" s="1">
        <v>448</v>
      </c>
      <c r="C175" s="9">
        <v>43493</v>
      </c>
      <c r="D175" s="17" t="s">
        <v>3504</v>
      </c>
      <c r="E175" s="57" t="s">
        <v>3505</v>
      </c>
      <c r="F175" s="50">
        <v>167</v>
      </c>
      <c r="G175" s="1861"/>
      <c r="H175" s="1"/>
      <c r="I175" s="25" t="s">
        <v>3506</v>
      </c>
      <c r="J175" s="11" t="s">
        <v>3507</v>
      </c>
    </row>
    <row r="176" spans="1:10" ht="14.25" customHeight="1">
      <c r="A176" s="1" t="s">
        <v>125</v>
      </c>
      <c r="B176" s="1">
        <v>489</v>
      </c>
      <c r="C176" s="9">
        <v>43493</v>
      </c>
      <c r="D176" s="17" t="s">
        <v>3508</v>
      </c>
      <c r="E176" s="57" t="s">
        <v>1589</v>
      </c>
      <c r="F176" s="50">
        <v>168</v>
      </c>
      <c r="G176" s="1861"/>
      <c r="H176" s="1"/>
      <c r="I176" s="25" t="s">
        <v>3509</v>
      </c>
      <c r="J176" s="11" t="s">
        <v>39</v>
      </c>
    </row>
    <row r="177" spans="1:10" ht="14.25" customHeight="1">
      <c r="A177" s="1"/>
      <c r="B177" s="1">
        <v>498</v>
      </c>
      <c r="C177" s="9">
        <v>43504</v>
      </c>
      <c r="D177" s="17" t="s">
        <v>3510</v>
      </c>
      <c r="E177" s="57" t="s">
        <v>266</v>
      </c>
      <c r="F177" s="50">
        <v>169</v>
      </c>
      <c r="G177" s="1861"/>
      <c r="H177" s="1"/>
      <c r="I177" s="57" t="s">
        <v>3511</v>
      </c>
      <c r="J177" s="11" t="s">
        <v>268</v>
      </c>
    </row>
    <row r="178" spans="1:10" ht="14.25" customHeight="1">
      <c r="A178" s="1"/>
      <c r="B178" s="1">
        <v>499</v>
      </c>
      <c r="C178" s="9">
        <v>43504</v>
      </c>
      <c r="D178" s="17" t="s">
        <v>3512</v>
      </c>
      <c r="E178" s="57" t="s">
        <v>269</v>
      </c>
      <c r="F178" s="50">
        <v>170</v>
      </c>
      <c r="G178" s="1861"/>
      <c r="H178" s="1"/>
      <c r="I178" s="57" t="s">
        <v>3513</v>
      </c>
      <c r="J178" s="11" t="s">
        <v>268</v>
      </c>
    </row>
    <row r="179" spans="1:10" ht="14.25" customHeight="1">
      <c r="A179" s="1"/>
      <c r="B179" s="1">
        <v>502</v>
      </c>
      <c r="C179" s="9">
        <v>43504</v>
      </c>
      <c r="D179" s="17" t="s">
        <v>3514</v>
      </c>
      <c r="E179" s="57" t="s">
        <v>3515</v>
      </c>
      <c r="F179" s="50">
        <v>171</v>
      </c>
      <c r="G179" s="1861"/>
      <c r="H179" s="1"/>
      <c r="I179" s="57" t="s">
        <v>3516</v>
      </c>
      <c r="J179" s="11" t="s">
        <v>268</v>
      </c>
    </row>
    <row r="180" spans="1:10" ht="14.25" customHeight="1">
      <c r="A180" s="1"/>
      <c r="B180" s="1">
        <v>503</v>
      </c>
      <c r="C180" s="9">
        <v>43504</v>
      </c>
      <c r="D180" s="17" t="s">
        <v>3517</v>
      </c>
      <c r="E180" s="57" t="s">
        <v>3518</v>
      </c>
      <c r="F180" s="50">
        <v>172</v>
      </c>
      <c r="G180" s="1861"/>
      <c r="H180" s="1"/>
      <c r="I180" s="57" t="s">
        <v>3519</v>
      </c>
      <c r="J180" s="11" t="s">
        <v>528</v>
      </c>
    </row>
    <row r="181" spans="1:10" ht="14.25" customHeight="1">
      <c r="A181" s="1" t="s">
        <v>125</v>
      </c>
      <c r="B181" s="1">
        <v>504</v>
      </c>
      <c r="C181" s="9">
        <v>43504</v>
      </c>
      <c r="D181" s="17" t="s">
        <v>3504</v>
      </c>
      <c r="E181" s="57" t="s">
        <v>3505</v>
      </c>
      <c r="F181" s="50">
        <v>173</v>
      </c>
      <c r="G181" s="1861"/>
      <c r="H181" s="1"/>
      <c r="I181" s="57" t="s">
        <v>3520</v>
      </c>
      <c r="J181" s="11" t="s">
        <v>268</v>
      </c>
    </row>
    <row r="182" spans="1:10" ht="14.25" customHeight="1">
      <c r="A182" s="1"/>
      <c r="B182" s="1">
        <v>508</v>
      </c>
      <c r="C182" s="9">
        <v>43508</v>
      </c>
      <c r="D182" s="17" t="s">
        <v>3521</v>
      </c>
      <c r="E182" s="57" t="s">
        <v>3522</v>
      </c>
      <c r="F182" s="50">
        <v>174</v>
      </c>
      <c r="G182" s="1861"/>
      <c r="H182" s="1"/>
      <c r="I182" s="57" t="s">
        <v>3523</v>
      </c>
      <c r="J182" s="11" t="s">
        <v>3524</v>
      </c>
    </row>
    <row r="183" spans="1:10" ht="14.25" customHeight="1">
      <c r="A183" s="1"/>
      <c r="B183" s="1">
        <v>509</v>
      </c>
      <c r="C183" s="9">
        <v>43509</v>
      </c>
      <c r="D183" s="17" t="s">
        <v>3525</v>
      </c>
      <c r="E183" s="57" t="s">
        <v>3526</v>
      </c>
      <c r="F183" s="50">
        <v>175</v>
      </c>
      <c r="G183" s="1861"/>
      <c r="H183" s="1"/>
      <c r="I183" s="57" t="s">
        <v>3527</v>
      </c>
      <c r="J183" s="11" t="s">
        <v>92</v>
      </c>
    </row>
    <row r="184" spans="1:10" ht="14.25" customHeight="1">
      <c r="A184" s="60"/>
      <c r="B184" s="60">
        <v>535</v>
      </c>
      <c r="C184" s="61">
        <v>43556</v>
      </c>
      <c r="D184" s="62" t="s">
        <v>3528</v>
      </c>
      <c r="E184" s="43" t="s">
        <v>3529</v>
      </c>
      <c r="F184" s="63">
        <v>176</v>
      </c>
      <c r="G184" s="1863"/>
      <c r="H184" s="60"/>
      <c r="I184" s="43" t="s">
        <v>3530</v>
      </c>
      <c r="J184" s="43" t="s">
        <v>3507</v>
      </c>
    </row>
    <row r="185" spans="1:10" ht="14.25" customHeight="1">
      <c r="A185" s="1"/>
      <c r="B185" s="1">
        <v>540</v>
      </c>
      <c r="C185" s="9">
        <v>43557</v>
      </c>
      <c r="D185" s="17" t="s">
        <v>3531</v>
      </c>
      <c r="E185" s="57" t="s">
        <v>286</v>
      </c>
      <c r="F185" s="50">
        <v>177</v>
      </c>
      <c r="G185" s="1861"/>
      <c r="H185" s="1"/>
      <c r="I185" s="57" t="s">
        <v>3532</v>
      </c>
      <c r="J185" s="11" t="s">
        <v>3507</v>
      </c>
    </row>
    <row r="186" spans="1:10" ht="14.25" customHeight="1">
      <c r="A186" s="1"/>
      <c r="B186" s="1">
        <v>552</v>
      </c>
      <c r="C186" s="9">
        <v>43587</v>
      </c>
      <c r="D186" s="17" t="s">
        <v>1121</v>
      </c>
      <c r="E186" s="57" t="s">
        <v>1122</v>
      </c>
      <c r="F186" s="50">
        <v>178</v>
      </c>
      <c r="G186" s="1861"/>
      <c r="H186" s="1"/>
      <c r="I186" s="57" t="s">
        <v>3533</v>
      </c>
      <c r="J186" s="11" t="s">
        <v>3534</v>
      </c>
    </row>
    <row r="187" spans="1:10" ht="14.25" customHeight="1">
      <c r="A187" s="1"/>
      <c r="B187" s="1">
        <v>553</v>
      </c>
      <c r="C187" s="9">
        <v>43589</v>
      </c>
      <c r="D187" s="17" t="s">
        <v>3535</v>
      </c>
      <c r="E187" s="57" t="s">
        <v>3536</v>
      </c>
      <c r="F187" s="50">
        <v>178</v>
      </c>
      <c r="G187" s="1861"/>
      <c r="H187" s="1"/>
      <c r="I187" s="57" t="s">
        <v>3537</v>
      </c>
      <c r="J187" s="11" t="s">
        <v>3538</v>
      </c>
    </row>
    <row r="188" spans="1:10" ht="14.25" customHeight="1">
      <c r="A188" s="13" t="s">
        <v>1545</v>
      </c>
      <c r="B188" s="1">
        <v>554</v>
      </c>
      <c r="C188" s="9">
        <v>43589</v>
      </c>
      <c r="D188" s="17" t="s">
        <v>3535</v>
      </c>
      <c r="E188" s="57" t="s">
        <v>3536</v>
      </c>
      <c r="F188" s="50">
        <v>179</v>
      </c>
      <c r="G188" s="1861"/>
      <c r="H188" s="1"/>
      <c r="I188" s="57" t="s">
        <v>3539</v>
      </c>
      <c r="J188" s="11" t="s">
        <v>251</v>
      </c>
    </row>
    <row r="189" spans="1:10" ht="14.25" customHeight="1">
      <c r="A189" s="13" t="s">
        <v>1545</v>
      </c>
      <c r="B189" s="1">
        <v>555</v>
      </c>
      <c r="C189" s="9">
        <v>43589</v>
      </c>
      <c r="D189" s="17" t="s">
        <v>1121</v>
      </c>
      <c r="E189" s="57" t="s">
        <v>1122</v>
      </c>
      <c r="F189" s="50">
        <v>180</v>
      </c>
      <c r="G189" s="1861"/>
      <c r="H189" s="1"/>
      <c r="I189" s="57" t="s">
        <v>3540</v>
      </c>
      <c r="J189" s="11" t="s">
        <v>528</v>
      </c>
    </row>
    <row r="190" spans="1:10" ht="14.25" customHeight="1">
      <c r="A190" s="13" t="s">
        <v>1545</v>
      </c>
      <c r="B190" s="1">
        <v>556</v>
      </c>
      <c r="C190" s="9">
        <v>43593</v>
      </c>
      <c r="D190" s="17" t="s">
        <v>3541</v>
      </c>
      <c r="E190" s="57" t="s">
        <v>3542</v>
      </c>
      <c r="F190" s="50">
        <v>181</v>
      </c>
      <c r="G190" s="1861"/>
      <c r="H190" s="1"/>
      <c r="I190" s="57" t="s">
        <v>3543</v>
      </c>
      <c r="J190" s="11" t="s">
        <v>528</v>
      </c>
    </row>
    <row r="191" spans="1:10" ht="14.25" customHeight="1">
      <c r="A191" s="13" t="s">
        <v>1545</v>
      </c>
      <c r="B191" s="1">
        <v>557</v>
      </c>
      <c r="C191" s="9">
        <v>43593</v>
      </c>
      <c r="D191" s="17" t="s">
        <v>3541</v>
      </c>
      <c r="E191" s="57" t="s">
        <v>3544</v>
      </c>
      <c r="F191" s="50">
        <v>182</v>
      </c>
      <c r="G191" s="1861"/>
      <c r="H191" s="1"/>
      <c r="I191" s="57" t="s">
        <v>3545</v>
      </c>
      <c r="J191" s="11" t="s">
        <v>528</v>
      </c>
    </row>
    <row r="192" spans="1:10" ht="14.25" customHeight="1">
      <c r="A192" s="1"/>
      <c r="B192" s="1">
        <v>558</v>
      </c>
      <c r="C192" s="9">
        <v>43593</v>
      </c>
      <c r="D192" s="17" t="s">
        <v>3546</v>
      </c>
      <c r="E192" s="57" t="s">
        <v>339</v>
      </c>
      <c r="F192" s="50">
        <v>183</v>
      </c>
      <c r="G192" s="1861"/>
      <c r="H192" s="1"/>
      <c r="I192" s="57" t="s">
        <v>3547</v>
      </c>
      <c r="J192" s="11" t="s">
        <v>528</v>
      </c>
    </row>
    <row r="193" spans="1:10" ht="14.25" customHeight="1">
      <c r="A193" s="13" t="s">
        <v>1545</v>
      </c>
      <c r="B193" s="1">
        <v>560</v>
      </c>
      <c r="C193" s="9">
        <v>43593</v>
      </c>
      <c r="D193" s="17"/>
      <c r="E193" s="57" t="s">
        <v>3548</v>
      </c>
      <c r="F193" s="50">
        <v>184</v>
      </c>
      <c r="G193" s="1861"/>
      <c r="H193" s="1"/>
      <c r="I193" s="57" t="s">
        <v>3549</v>
      </c>
      <c r="J193" s="11" t="s">
        <v>528</v>
      </c>
    </row>
    <row r="194" spans="1:10" ht="14.25" customHeight="1">
      <c r="A194" s="1"/>
      <c r="B194" s="1">
        <v>562</v>
      </c>
      <c r="C194" s="9">
        <v>43593</v>
      </c>
      <c r="D194" s="17" t="s">
        <v>3550</v>
      </c>
      <c r="E194" s="57" t="s">
        <v>3551</v>
      </c>
      <c r="F194" s="50">
        <v>185</v>
      </c>
      <c r="G194" s="1861"/>
      <c r="H194" s="1"/>
      <c r="I194" s="57" t="s">
        <v>3552</v>
      </c>
      <c r="J194" s="11" t="s">
        <v>528</v>
      </c>
    </row>
    <row r="195" spans="1:10" ht="14.25" customHeight="1">
      <c r="A195" s="13" t="s">
        <v>1545</v>
      </c>
      <c r="B195" s="1">
        <v>563</v>
      </c>
      <c r="C195" s="9">
        <v>43593</v>
      </c>
      <c r="D195" s="1">
        <v>9835764776</v>
      </c>
      <c r="E195" s="57" t="s">
        <v>3553</v>
      </c>
      <c r="F195" s="50">
        <v>186</v>
      </c>
      <c r="G195" s="1861"/>
      <c r="H195" s="1"/>
      <c r="I195" s="57" t="s">
        <v>3554</v>
      </c>
      <c r="J195" s="11" t="s">
        <v>528</v>
      </c>
    </row>
    <row r="196" spans="1:10" ht="14.25" customHeight="1">
      <c r="A196" s="1"/>
      <c r="B196" s="1">
        <v>565</v>
      </c>
      <c r="C196" s="9">
        <v>43595</v>
      </c>
      <c r="D196" s="17" t="s">
        <v>1126</v>
      </c>
      <c r="E196" s="57" t="s">
        <v>78</v>
      </c>
      <c r="F196" s="50">
        <v>187</v>
      </c>
      <c r="G196" s="1861"/>
      <c r="H196" s="1"/>
      <c r="I196" s="57" t="s">
        <v>3555</v>
      </c>
      <c r="J196" s="11" t="s">
        <v>528</v>
      </c>
    </row>
    <row r="197" spans="1:10" ht="14.25" customHeight="1">
      <c r="A197" s="1"/>
      <c r="B197" s="1">
        <v>567</v>
      </c>
      <c r="C197" s="9">
        <v>43603</v>
      </c>
      <c r="D197" s="17" t="s">
        <v>3556</v>
      </c>
      <c r="E197" s="57" t="s">
        <v>354</v>
      </c>
      <c r="F197" s="50">
        <v>188</v>
      </c>
      <c r="G197" s="1861"/>
      <c r="H197" s="1"/>
      <c r="I197" s="57" t="s">
        <v>3557</v>
      </c>
      <c r="J197" s="11" t="s">
        <v>528</v>
      </c>
    </row>
    <row r="198" spans="1:10" ht="14.25" customHeight="1">
      <c r="A198" s="1" t="s">
        <v>1545</v>
      </c>
      <c r="B198" s="1">
        <v>568</v>
      </c>
      <c r="C198" s="9">
        <v>43616</v>
      </c>
      <c r="D198" s="17" t="s">
        <v>1170</v>
      </c>
      <c r="E198" s="57" t="s">
        <v>3471</v>
      </c>
      <c r="F198" s="50">
        <v>189</v>
      </c>
      <c r="G198" s="1861"/>
      <c r="H198" s="1"/>
      <c r="I198" s="57" t="s">
        <v>3558</v>
      </c>
      <c r="J198" s="11" t="s">
        <v>528</v>
      </c>
    </row>
    <row r="199" spans="1:10" ht="14.25" customHeight="1">
      <c r="A199" s="1"/>
      <c r="B199" s="1">
        <v>569</v>
      </c>
      <c r="C199" s="9">
        <v>43620</v>
      </c>
      <c r="D199" s="17" t="s">
        <v>3559</v>
      </c>
      <c r="E199" s="57" t="s">
        <v>3560</v>
      </c>
      <c r="F199" s="50">
        <v>190</v>
      </c>
      <c r="G199" s="1861"/>
      <c r="H199" s="1"/>
      <c r="I199" s="57" t="s">
        <v>3561</v>
      </c>
      <c r="J199" s="11" t="s">
        <v>528</v>
      </c>
    </row>
    <row r="200" spans="1:10" ht="14.25" customHeight="1">
      <c r="A200" s="1"/>
      <c r="B200" s="1">
        <v>573</v>
      </c>
      <c r="C200" s="9">
        <v>43623</v>
      </c>
      <c r="D200" s="17" t="s">
        <v>3562</v>
      </c>
      <c r="E200" s="57" t="s">
        <v>3563</v>
      </c>
      <c r="F200" s="50">
        <v>191</v>
      </c>
      <c r="G200" s="1861"/>
      <c r="H200" s="1"/>
      <c r="I200" s="57" t="s">
        <v>3564</v>
      </c>
      <c r="J200" s="11" t="s">
        <v>3565</v>
      </c>
    </row>
    <row r="201" spans="1:10" ht="14.25" customHeight="1">
      <c r="A201" s="1" t="s">
        <v>1545</v>
      </c>
      <c r="B201" s="13">
        <v>578</v>
      </c>
      <c r="C201" s="24">
        <v>43625</v>
      </c>
      <c r="D201" s="16" t="s">
        <v>3541</v>
      </c>
      <c r="E201" s="11" t="s">
        <v>3542</v>
      </c>
      <c r="F201" s="64">
        <v>192</v>
      </c>
      <c r="G201" s="1864"/>
      <c r="H201" s="13"/>
      <c r="I201" s="11" t="s">
        <v>3566</v>
      </c>
      <c r="J201" s="11"/>
    </row>
    <row r="202" spans="1:10" ht="14.25" customHeight="1">
      <c r="A202" s="1" t="s">
        <v>1545</v>
      </c>
      <c r="B202" s="13">
        <v>579</v>
      </c>
      <c r="C202" s="24">
        <v>43625</v>
      </c>
      <c r="D202" s="16" t="s">
        <v>3541</v>
      </c>
      <c r="E202" s="11" t="s">
        <v>3544</v>
      </c>
      <c r="F202" s="64">
        <v>193</v>
      </c>
      <c r="G202" s="1864"/>
      <c r="H202" s="13"/>
      <c r="I202" s="11" t="s">
        <v>3566</v>
      </c>
      <c r="J202" s="11"/>
    </row>
    <row r="203" spans="1:10" ht="14.25" customHeight="1">
      <c r="A203" s="1" t="s">
        <v>1545</v>
      </c>
      <c r="B203" s="1">
        <v>580</v>
      </c>
      <c r="C203" s="9">
        <v>43625</v>
      </c>
      <c r="D203" s="17" t="s">
        <v>1146</v>
      </c>
      <c r="E203" s="57" t="s">
        <v>1147</v>
      </c>
      <c r="F203" s="50">
        <v>194</v>
      </c>
      <c r="G203" s="1861"/>
      <c r="H203" s="1"/>
      <c r="I203" s="57" t="s">
        <v>3567</v>
      </c>
      <c r="J203" s="11" t="s">
        <v>528</v>
      </c>
    </row>
    <row r="204" spans="1:10" ht="14.25" customHeight="1">
      <c r="A204" s="1"/>
      <c r="B204" s="1">
        <v>581</v>
      </c>
      <c r="C204" s="9">
        <v>43625</v>
      </c>
      <c r="D204" s="17" t="s">
        <v>1094</v>
      </c>
      <c r="E204" s="57" t="s">
        <v>1629</v>
      </c>
      <c r="F204" s="50">
        <v>195</v>
      </c>
      <c r="G204" s="1861"/>
      <c r="H204" s="1"/>
      <c r="I204" s="57" t="s">
        <v>3568</v>
      </c>
      <c r="J204" s="11" t="s">
        <v>528</v>
      </c>
    </row>
    <row r="205" spans="1:10" ht="14.25" customHeight="1">
      <c r="A205" s="1"/>
      <c r="B205" s="1">
        <v>582</v>
      </c>
      <c r="C205" s="9">
        <v>43625</v>
      </c>
      <c r="D205" s="17" t="s">
        <v>3569</v>
      </c>
      <c r="E205" s="57" t="s">
        <v>3570</v>
      </c>
      <c r="F205" s="50">
        <v>196</v>
      </c>
      <c r="G205" s="1861"/>
      <c r="H205" s="1"/>
      <c r="I205" s="57" t="s">
        <v>3571</v>
      </c>
      <c r="J205" s="11" t="s">
        <v>528</v>
      </c>
    </row>
    <row r="206" spans="1:10" ht="14.25" customHeight="1">
      <c r="A206" s="1" t="s">
        <v>1545</v>
      </c>
      <c r="B206" s="1">
        <v>583</v>
      </c>
      <c r="C206" s="9">
        <v>43625</v>
      </c>
      <c r="D206" s="17" t="s">
        <v>1195</v>
      </c>
      <c r="E206" s="57" t="s">
        <v>1196</v>
      </c>
      <c r="F206" s="50">
        <v>197</v>
      </c>
      <c r="G206" s="1861"/>
      <c r="H206" s="1"/>
      <c r="I206" s="57" t="s">
        <v>3572</v>
      </c>
      <c r="J206" s="11" t="s">
        <v>528</v>
      </c>
    </row>
    <row r="207" spans="1:10" ht="14.25" customHeight="1">
      <c r="A207" s="1" t="s">
        <v>1545</v>
      </c>
      <c r="B207" s="1">
        <v>584</v>
      </c>
      <c r="C207" s="9">
        <v>43625</v>
      </c>
      <c r="D207" s="17" t="s">
        <v>1195</v>
      </c>
      <c r="E207" s="57" t="s">
        <v>1198</v>
      </c>
      <c r="F207" s="50">
        <v>198</v>
      </c>
      <c r="G207" s="1861"/>
      <c r="H207" s="1"/>
      <c r="I207" s="57" t="s">
        <v>3573</v>
      </c>
      <c r="J207" s="11" t="s">
        <v>528</v>
      </c>
    </row>
    <row r="208" spans="1:10" ht="14.25" customHeight="1">
      <c r="A208" s="1"/>
      <c r="B208" s="1">
        <v>585</v>
      </c>
      <c r="C208" s="9">
        <v>43627</v>
      </c>
      <c r="D208" s="17" t="s">
        <v>1313</v>
      </c>
      <c r="E208" s="57" t="s">
        <v>3574</v>
      </c>
      <c r="F208" s="50">
        <v>199</v>
      </c>
      <c r="G208" s="1861"/>
      <c r="H208" s="1"/>
      <c r="I208" s="57" t="s">
        <v>3575</v>
      </c>
      <c r="J208" s="11" t="s">
        <v>528</v>
      </c>
    </row>
    <row r="209" spans="1:13" ht="14.25" customHeight="1">
      <c r="A209" s="1" t="s">
        <v>1545</v>
      </c>
      <c r="B209" s="1">
        <v>589</v>
      </c>
      <c r="C209" s="9">
        <v>43631</v>
      </c>
      <c r="D209" s="17" t="s">
        <v>3576</v>
      </c>
      <c r="E209" s="57" t="s">
        <v>2412</v>
      </c>
      <c r="F209" s="50">
        <v>200</v>
      </c>
      <c r="G209" s="1861"/>
      <c r="H209" s="1"/>
      <c r="I209" s="57" t="s">
        <v>3577</v>
      </c>
      <c r="J209" s="11" t="s">
        <v>528</v>
      </c>
    </row>
    <row r="210" spans="1:13" ht="14.25" customHeight="1">
      <c r="A210" s="1"/>
      <c r="B210" s="1">
        <v>590</v>
      </c>
      <c r="C210" s="9">
        <v>43631</v>
      </c>
      <c r="D210" s="17" t="s">
        <v>3578</v>
      </c>
      <c r="E210" s="57" t="s">
        <v>3579</v>
      </c>
      <c r="F210" s="50">
        <v>201</v>
      </c>
      <c r="G210" s="1861"/>
      <c r="H210" s="1"/>
      <c r="I210" s="57" t="s">
        <v>3580</v>
      </c>
      <c r="J210" s="11" t="s">
        <v>251</v>
      </c>
    </row>
    <row r="211" spans="1:13" ht="14.25" customHeight="1">
      <c r="A211" s="1"/>
      <c r="B211" s="1">
        <v>591</v>
      </c>
      <c r="C211" s="9">
        <v>43631</v>
      </c>
      <c r="D211" s="17" t="s">
        <v>3581</v>
      </c>
      <c r="E211" s="57" t="s">
        <v>3582</v>
      </c>
      <c r="F211" s="50">
        <v>202</v>
      </c>
      <c r="G211" s="1861"/>
      <c r="H211" s="1"/>
      <c r="I211" s="57" t="s">
        <v>3583</v>
      </c>
      <c r="J211" s="11" t="s">
        <v>251</v>
      </c>
    </row>
    <row r="212" spans="1:13" ht="14.25" customHeight="1">
      <c r="A212" s="1"/>
      <c r="B212" s="1">
        <v>592</v>
      </c>
      <c r="C212" s="9">
        <v>43631</v>
      </c>
      <c r="D212" s="17" t="s">
        <v>3584</v>
      </c>
      <c r="E212" s="57" t="s">
        <v>1907</v>
      </c>
      <c r="F212" s="50">
        <v>203</v>
      </c>
      <c r="G212" s="1861"/>
      <c r="H212" s="1"/>
      <c r="I212" s="57" t="s">
        <v>3585</v>
      </c>
      <c r="J212" s="11" t="s">
        <v>528</v>
      </c>
    </row>
    <row r="213" spans="1:13" ht="14.25" customHeight="1">
      <c r="A213" s="1"/>
      <c r="B213" s="1">
        <v>593</v>
      </c>
      <c r="C213" s="9">
        <v>43631</v>
      </c>
      <c r="D213" s="17" t="s">
        <v>3586</v>
      </c>
      <c r="E213" s="57" t="s">
        <v>3587</v>
      </c>
      <c r="F213" s="50">
        <v>204</v>
      </c>
      <c r="G213" s="1861"/>
      <c r="H213" s="1"/>
      <c r="J213" s="11"/>
      <c r="K213" s="57" t="s">
        <v>3588</v>
      </c>
    </row>
    <row r="214" spans="1:13" ht="14.25" customHeight="1">
      <c r="A214" s="1"/>
      <c r="B214" s="1">
        <v>596</v>
      </c>
      <c r="C214" s="9">
        <v>43632</v>
      </c>
      <c r="D214" s="17" t="s">
        <v>1153</v>
      </c>
      <c r="E214" s="57" t="s">
        <v>1154</v>
      </c>
      <c r="F214" s="50">
        <v>205</v>
      </c>
      <c r="G214" s="1861"/>
      <c r="H214" s="1"/>
      <c r="I214" s="57" t="s">
        <v>3589</v>
      </c>
      <c r="J214" s="11" t="s">
        <v>100</v>
      </c>
    </row>
    <row r="215" spans="1:13" ht="14.25" customHeight="1">
      <c r="A215" s="1"/>
      <c r="B215" s="1">
        <v>600</v>
      </c>
      <c r="C215" s="9">
        <v>43635</v>
      </c>
      <c r="D215" s="17"/>
      <c r="E215" s="57" t="s">
        <v>1754</v>
      </c>
      <c r="F215" s="50">
        <v>206</v>
      </c>
      <c r="G215" s="1861"/>
      <c r="H215" s="1"/>
      <c r="I215" s="57" t="s">
        <v>3590</v>
      </c>
      <c r="J215" s="11" t="s">
        <v>114</v>
      </c>
    </row>
    <row r="216" spans="1:13" ht="14.25" customHeight="1">
      <c r="A216" s="1"/>
      <c r="B216" s="1">
        <v>602</v>
      </c>
      <c r="C216" s="9">
        <v>42545</v>
      </c>
      <c r="D216" s="17" t="s">
        <v>3591</v>
      </c>
      <c r="E216" s="57" t="s">
        <v>2152</v>
      </c>
      <c r="F216" s="50">
        <v>207</v>
      </c>
      <c r="G216" s="1861"/>
      <c r="H216" s="1"/>
      <c r="I216" s="57" t="s">
        <v>3592</v>
      </c>
      <c r="J216" s="11" t="s">
        <v>528</v>
      </c>
    </row>
    <row r="217" spans="1:13" ht="14.25" customHeight="1">
      <c r="A217" s="1"/>
      <c r="B217" s="1">
        <v>603</v>
      </c>
      <c r="C217" s="9">
        <v>42545</v>
      </c>
      <c r="D217" s="17" t="s">
        <v>1162</v>
      </c>
      <c r="E217" s="57" t="s">
        <v>242</v>
      </c>
      <c r="F217" s="50">
        <v>208</v>
      </c>
      <c r="G217" s="1861"/>
      <c r="H217" s="1"/>
      <c r="I217" s="57" t="s">
        <v>3593</v>
      </c>
      <c r="J217" s="11" t="s">
        <v>528</v>
      </c>
    </row>
    <row r="218" spans="1:13" ht="14.25" customHeight="1">
      <c r="A218" s="1"/>
      <c r="B218" s="1">
        <v>608</v>
      </c>
      <c r="C218" s="9">
        <v>43643</v>
      </c>
      <c r="D218" s="17" t="s">
        <v>3594</v>
      </c>
      <c r="E218" s="57" t="s">
        <v>3595</v>
      </c>
      <c r="F218" s="50">
        <v>209</v>
      </c>
      <c r="G218" s="1861"/>
      <c r="H218" s="1"/>
      <c r="I218" s="57" t="s">
        <v>3596</v>
      </c>
      <c r="J218" s="11" t="s">
        <v>92</v>
      </c>
    </row>
    <row r="219" spans="1:13" ht="14.25" customHeight="1">
      <c r="A219" s="1" t="s">
        <v>1545</v>
      </c>
      <c r="B219" s="1">
        <v>610</v>
      </c>
      <c r="C219" s="9">
        <v>43647</v>
      </c>
      <c r="D219" s="17" t="s">
        <v>3597</v>
      </c>
      <c r="E219" s="57" t="s">
        <v>3598</v>
      </c>
      <c r="F219" s="50">
        <v>210</v>
      </c>
      <c r="G219" s="1861"/>
      <c r="H219" s="1"/>
      <c r="I219" s="57" t="s">
        <v>3599</v>
      </c>
      <c r="J219" s="11" t="s">
        <v>528</v>
      </c>
    </row>
    <row r="220" spans="1:13" ht="14.25" customHeight="1">
      <c r="A220" s="1"/>
      <c r="B220" s="1">
        <v>613</v>
      </c>
      <c r="C220" s="9">
        <v>43648</v>
      </c>
      <c r="D220" s="17" t="s">
        <v>3600</v>
      </c>
      <c r="E220" s="57" t="s">
        <v>3601</v>
      </c>
      <c r="F220" s="50">
        <v>212</v>
      </c>
      <c r="G220" s="1861"/>
      <c r="H220" s="1"/>
      <c r="I220" s="57" t="s">
        <v>3602</v>
      </c>
      <c r="J220" s="11" t="s">
        <v>92</v>
      </c>
      <c r="M220" s="57">
        <f>2400*1.05</f>
        <v>2520</v>
      </c>
    </row>
    <row r="221" spans="1:13" ht="14.25" customHeight="1">
      <c r="A221" s="1"/>
      <c r="B221" s="1">
        <v>614</v>
      </c>
      <c r="C221" s="9">
        <v>43648</v>
      </c>
      <c r="D221" s="17" t="s">
        <v>1175</v>
      </c>
      <c r="E221" s="57" t="s">
        <v>299</v>
      </c>
      <c r="F221" s="50">
        <v>213</v>
      </c>
      <c r="G221" s="1861"/>
      <c r="H221" s="1"/>
      <c r="I221" s="57" t="s">
        <v>3603</v>
      </c>
      <c r="J221" s="11">
        <v>11</v>
      </c>
    </row>
    <row r="222" spans="1:13" ht="14.25" customHeight="1">
      <c r="A222" s="1"/>
      <c r="B222" s="1">
        <v>617</v>
      </c>
      <c r="C222" s="9">
        <v>43651</v>
      </c>
      <c r="D222" s="17" t="s">
        <v>3604</v>
      </c>
      <c r="E222" s="57" t="s">
        <v>3605</v>
      </c>
      <c r="F222" s="50">
        <v>214</v>
      </c>
      <c r="G222" s="1861"/>
      <c r="H222" s="1"/>
      <c r="I222" s="57" t="s">
        <v>3606</v>
      </c>
      <c r="J222" s="11" t="s">
        <v>528</v>
      </c>
    </row>
    <row r="223" spans="1:13" ht="14.25" customHeight="1">
      <c r="A223" s="1"/>
      <c r="B223" s="1">
        <v>618</v>
      </c>
      <c r="C223" s="9">
        <v>43649</v>
      </c>
      <c r="D223" s="17" t="s">
        <v>3607</v>
      </c>
      <c r="E223" s="57" t="s">
        <v>286</v>
      </c>
      <c r="F223" s="50">
        <v>215</v>
      </c>
      <c r="G223" s="1861"/>
      <c r="H223" s="1"/>
      <c r="I223" s="57" t="s">
        <v>3608</v>
      </c>
      <c r="J223" s="11" t="s">
        <v>528</v>
      </c>
    </row>
    <row r="224" spans="1:13" ht="14.25" customHeight="1">
      <c r="A224" s="1"/>
      <c r="B224" s="1">
        <v>619</v>
      </c>
      <c r="C224" s="9">
        <v>43650</v>
      </c>
      <c r="D224" s="17" t="s">
        <v>3609</v>
      </c>
      <c r="E224" s="57" t="s">
        <v>3610</v>
      </c>
      <c r="F224" s="50">
        <v>216</v>
      </c>
      <c r="G224" s="1861"/>
      <c r="H224" s="1"/>
      <c r="I224" s="57" t="s">
        <v>3611</v>
      </c>
      <c r="J224" s="11" t="s">
        <v>528</v>
      </c>
    </row>
    <row r="225" spans="1:11" ht="14.25" customHeight="1">
      <c r="A225" s="1"/>
      <c r="B225" s="1">
        <v>620</v>
      </c>
      <c r="C225" s="9">
        <v>43650</v>
      </c>
      <c r="D225" s="17" t="s">
        <v>3612</v>
      </c>
      <c r="E225" s="57" t="s">
        <v>314</v>
      </c>
      <c r="F225" s="50">
        <v>217</v>
      </c>
      <c r="G225" s="1861"/>
      <c r="H225" s="1"/>
      <c r="I225" s="57" t="s">
        <v>3613</v>
      </c>
      <c r="J225" s="11" t="s">
        <v>528</v>
      </c>
    </row>
    <row r="226" spans="1:11" ht="14.25" customHeight="1">
      <c r="A226" s="1" t="s">
        <v>1545</v>
      </c>
      <c r="B226" s="1">
        <v>621</v>
      </c>
      <c r="C226" s="9">
        <v>43654</v>
      </c>
      <c r="D226" s="17" t="s">
        <v>1408</v>
      </c>
      <c r="E226" s="57" t="s">
        <v>1409</v>
      </c>
      <c r="F226" s="50">
        <v>218</v>
      </c>
      <c r="G226" s="1861"/>
      <c r="H226" s="1"/>
      <c r="I226" s="57" t="s">
        <v>3614</v>
      </c>
      <c r="J226" s="11" t="s">
        <v>528</v>
      </c>
    </row>
    <row r="227" spans="1:11" ht="14.25" customHeight="1">
      <c r="A227" s="1"/>
      <c r="B227" s="13">
        <v>622</v>
      </c>
      <c r="C227" s="24">
        <v>43654</v>
      </c>
      <c r="D227" s="16" t="s">
        <v>665</v>
      </c>
      <c r="E227" s="11" t="s">
        <v>2404</v>
      </c>
      <c r="F227" s="64">
        <v>219</v>
      </c>
      <c r="G227" s="1864"/>
      <c r="H227" s="13"/>
      <c r="I227" s="11" t="s">
        <v>3615</v>
      </c>
      <c r="J227" s="11" t="s">
        <v>1107</v>
      </c>
    </row>
    <row r="228" spans="1:11" ht="14.25" customHeight="1">
      <c r="A228" s="1"/>
      <c r="B228" s="13">
        <v>623</v>
      </c>
      <c r="C228" s="24">
        <v>43654</v>
      </c>
      <c r="D228" s="16" t="s">
        <v>665</v>
      </c>
      <c r="E228" s="11" t="s">
        <v>593</v>
      </c>
      <c r="F228" s="64">
        <v>220</v>
      </c>
      <c r="G228" s="1864"/>
      <c r="H228" s="13"/>
      <c r="I228" s="11" t="s">
        <v>3616</v>
      </c>
      <c r="J228" s="11" t="s">
        <v>1107</v>
      </c>
    </row>
    <row r="229" spans="1:11" ht="14.25" customHeight="1">
      <c r="A229" s="1"/>
      <c r="B229" s="1">
        <v>628</v>
      </c>
      <c r="C229" s="9">
        <v>43654</v>
      </c>
      <c r="D229" s="17" t="s">
        <v>3617</v>
      </c>
      <c r="E229" s="2" t="s">
        <v>3618</v>
      </c>
      <c r="F229" s="50">
        <v>221</v>
      </c>
      <c r="G229" s="1861"/>
      <c r="H229" s="1"/>
      <c r="I229" s="2" t="s">
        <v>3619</v>
      </c>
      <c r="J229" s="11" t="s">
        <v>528</v>
      </c>
      <c r="K229" s="2"/>
    </row>
    <row r="230" spans="1:11" ht="14.25" customHeight="1">
      <c r="A230" s="1"/>
      <c r="B230" s="1">
        <v>629</v>
      </c>
      <c r="C230" s="9">
        <v>43654</v>
      </c>
      <c r="D230" s="17" t="s">
        <v>307</v>
      </c>
      <c r="E230" s="57" t="s">
        <v>308</v>
      </c>
      <c r="F230" s="50">
        <v>222</v>
      </c>
      <c r="G230" s="1861"/>
      <c r="H230" s="1"/>
      <c r="I230" s="57" t="s">
        <v>3620</v>
      </c>
      <c r="J230" s="11" t="s">
        <v>528</v>
      </c>
    </row>
    <row r="231" spans="1:11" ht="14.25" customHeight="1">
      <c r="A231" s="1"/>
      <c r="B231" s="1">
        <v>631</v>
      </c>
      <c r="C231" s="9">
        <v>43656</v>
      </c>
      <c r="D231" s="17" t="s">
        <v>3621</v>
      </c>
      <c r="E231" s="57" t="s">
        <v>3622</v>
      </c>
      <c r="F231" s="50">
        <v>223</v>
      </c>
      <c r="G231" s="1861"/>
      <c r="H231" s="1"/>
      <c r="I231" s="57" t="s">
        <v>3623</v>
      </c>
      <c r="J231" s="11" t="s">
        <v>251</v>
      </c>
    </row>
    <row r="232" spans="1:11" ht="14.25" customHeight="1">
      <c r="A232" s="1"/>
      <c r="B232" s="1">
        <v>634</v>
      </c>
      <c r="C232" s="9">
        <v>43656</v>
      </c>
      <c r="D232" s="17" t="s">
        <v>1903</v>
      </c>
      <c r="E232" s="57" t="s">
        <v>2423</v>
      </c>
      <c r="F232" s="50">
        <v>224</v>
      </c>
      <c r="G232" s="1861"/>
      <c r="H232" s="1"/>
      <c r="I232" s="57" t="s">
        <v>3624</v>
      </c>
      <c r="J232" s="11" t="s">
        <v>528</v>
      </c>
    </row>
    <row r="233" spans="1:11" ht="14.25" customHeight="1">
      <c r="A233" s="1"/>
      <c r="B233" s="1">
        <v>636</v>
      </c>
      <c r="C233" s="9">
        <v>43657</v>
      </c>
      <c r="D233" s="17" t="s">
        <v>3625</v>
      </c>
      <c r="E233" s="57" t="s">
        <v>3090</v>
      </c>
      <c r="F233" s="50">
        <v>225</v>
      </c>
      <c r="G233" s="1861"/>
      <c r="H233" s="1"/>
      <c r="I233" s="57" t="s">
        <v>3626</v>
      </c>
      <c r="J233" s="11" t="s">
        <v>39</v>
      </c>
    </row>
    <row r="234" spans="1:11" ht="14.25" customHeight="1">
      <c r="A234" s="1"/>
      <c r="B234" s="1">
        <v>635</v>
      </c>
      <c r="C234" s="9">
        <v>43657</v>
      </c>
      <c r="D234" s="17" t="s">
        <v>1200</v>
      </c>
      <c r="E234" s="57" t="s">
        <v>1201</v>
      </c>
      <c r="F234" s="50">
        <v>226</v>
      </c>
      <c r="G234" s="1861"/>
      <c r="H234" s="1"/>
      <c r="I234" s="57" t="s">
        <v>3627</v>
      </c>
      <c r="J234" s="11" t="s">
        <v>92</v>
      </c>
    </row>
    <row r="235" spans="1:11" ht="14.25" customHeight="1">
      <c r="A235" s="1" t="s">
        <v>1545</v>
      </c>
      <c r="B235" s="1">
        <v>637</v>
      </c>
      <c r="C235" s="9">
        <v>43661</v>
      </c>
      <c r="D235" s="17" t="s">
        <v>3628</v>
      </c>
      <c r="E235" s="57" t="s">
        <v>719</v>
      </c>
      <c r="F235" s="50">
        <v>227</v>
      </c>
      <c r="G235" s="1861"/>
      <c r="H235" s="1"/>
      <c r="I235" s="57" t="s">
        <v>3629</v>
      </c>
      <c r="J235" s="11" t="s">
        <v>114</v>
      </c>
    </row>
    <row r="236" spans="1:11" ht="14.25" customHeight="1">
      <c r="A236" s="1" t="s">
        <v>1545</v>
      </c>
      <c r="B236" s="1">
        <v>638</v>
      </c>
      <c r="C236" s="9">
        <v>43661</v>
      </c>
      <c r="D236" s="17" t="s">
        <v>3628</v>
      </c>
      <c r="E236" s="57" t="s">
        <v>3630</v>
      </c>
      <c r="F236" s="50">
        <v>228</v>
      </c>
      <c r="G236" s="1861"/>
      <c r="H236" s="1"/>
      <c r="I236" s="57" t="s">
        <v>3631</v>
      </c>
      <c r="J236" s="11" t="s">
        <v>114</v>
      </c>
    </row>
    <row r="237" spans="1:11" ht="14.25" customHeight="1">
      <c r="A237" s="1" t="s">
        <v>1545</v>
      </c>
      <c r="B237" s="1">
        <v>643</v>
      </c>
      <c r="C237" s="9">
        <v>43666</v>
      </c>
      <c r="D237" s="17" t="s">
        <v>3632</v>
      </c>
      <c r="E237" s="57" t="s">
        <v>3633</v>
      </c>
      <c r="F237" s="50">
        <v>229</v>
      </c>
      <c r="G237" s="1861"/>
      <c r="H237" s="1"/>
      <c r="I237" s="57" t="s">
        <v>3634</v>
      </c>
      <c r="J237" s="11" t="s">
        <v>3635</v>
      </c>
      <c r="K237" s="57">
        <v>7277779293</v>
      </c>
    </row>
    <row r="238" spans="1:11" ht="14.25" customHeight="1">
      <c r="A238" s="1"/>
      <c r="B238" s="1">
        <v>649</v>
      </c>
      <c r="C238" s="9">
        <v>43671</v>
      </c>
      <c r="D238" s="17" t="s">
        <v>3636</v>
      </c>
      <c r="E238" s="57" t="s">
        <v>533</v>
      </c>
      <c r="F238" s="50">
        <v>230</v>
      </c>
      <c r="G238" s="1861"/>
      <c r="H238" s="1"/>
      <c r="I238" s="57" t="s">
        <v>3637</v>
      </c>
      <c r="J238" s="11" t="s">
        <v>3638</v>
      </c>
      <c r="K238" s="57" t="s">
        <v>3639</v>
      </c>
    </row>
    <row r="239" spans="1:11" ht="14.25" customHeight="1">
      <c r="A239" s="1"/>
      <c r="B239" s="1">
        <v>650</v>
      </c>
      <c r="C239" s="9">
        <v>43671</v>
      </c>
      <c r="D239" s="17" t="s">
        <v>3640</v>
      </c>
      <c r="E239" s="57" t="s">
        <v>2125</v>
      </c>
      <c r="F239" s="50">
        <v>231</v>
      </c>
      <c r="G239" s="1861"/>
      <c r="H239" s="1"/>
      <c r="I239" s="57" t="s">
        <v>3641</v>
      </c>
      <c r="J239" s="11" t="s">
        <v>39</v>
      </c>
    </row>
    <row r="240" spans="1:11" ht="14.25" customHeight="1">
      <c r="A240" s="1" t="s">
        <v>1545</v>
      </c>
      <c r="B240" s="1">
        <v>651</v>
      </c>
      <c r="C240" s="9">
        <v>43670</v>
      </c>
      <c r="D240" s="17" t="s">
        <v>3591</v>
      </c>
      <c r="E240" s="57" t="s">
        <v>3642</v>
      </c>
      <c r="F240" s="50">
        <v>232</v>
      </c>
      <c r="G240" s="1861"/>
      <c r="H240" s="1"/>
      <c r="I240" s="57" t="s">
        <v>3643</v>
      </c>
      <c r="J240" s="11" t="s">
        <v>528</v>
      </c>
    </row>
    <row r="241" spans="1:26" ht="14.25" customHeight="1">
      <c r="A241" s="1"/>
      <c r="B241" s="1">
        <v>652</v>
      </c>
      <c r="C241" s="9">
        <v>43673</v>
      </c>
      <c r="D241" s="17" t="s">
        <v>3644</v>
      </c>
      <c r="E241" s="57" t="s">
        <v>3645</v>
      </c>
      <c r="F241" s="50" t="s">
        <v>3646</v>
      </c>
      <c r="G241" s="1861"/>
      <c r="H241" s="57" t="s">
        <v>1227</v>
      </c>
      <c r="I241" s="57" t="s">
        <v>3647</v>
      </c>
      <c r="J241" s="13" t="s">
        <v>251</v>
      </c>
    </row>
    <row r="242" spans="1:26" ht="14.25" customHeight="1">
      <c r="A242" s="1"/>
      <c r="B242" s="1">
        <v>653</v>
      </c>
      <c r="C242" s="9">
        <v>43673</v>
      </c>
      <c r="D242" s="17" t="s">
        <v>3648</v>
      </c>
      <c r="E242" s="57" t="s">
        <v>3649</v>
      </c>
      <c r="F242" s="50" t="s">
        <v>3650</v>
      </c>
      <c r="G242" s="1861"/>
      <c r="H242" s="1" t="s">
        <v>1227</v>
      </c>
      <c r="I242" s="57" t="s">
        <v>3651</v>
      </c>
      <c r="J242" s="13" t="s">
        <v>251</v>
      </c>
    </row>
    <row r="243" spans="1:26" ht="14.25" customHeight="1">
      <c r="A243" s="1" t="s">
        <v>1545</v>
      </c>
      <c r="B243" s="1">
        <v>654</v>
      </c>
      <c r="C243" s="9">
        <v>43673</v>
      </c>
      <c r="D243" s="17" t="s">
        <v>3652</v>
      </c>
      <c r="E243" s="57" t="s">
        <v>1015</v>
      </c>
      <c r="F243" s="50" t="s">
        <v>3653</v>
      </c>
      <c r="G243" s="1861"/>
      <c r="H243" s="1"/>
      <c r="I243" s="57" t="s">
        <v>3654</v>
      </c>
      <c r="J243" s="11" t="s">
        <v>528</v>
      </c>
    </row>
    <row r="244" spans="1:26" ht="14.25" customHeight="1">
      <c r="A244" s="1" t="s">
        <v>1545</v>
      </c>
      <c r="B244" s="1">
        <v>655</v>
      </c>
      <c r="C244" s="9">
        <v>43673</v>
      </c>
      <c r="D244" s="17"/>
      <c r="E244" s="57" t="s">
        <v>1201</v>
      </c>
      <c r="F244" s="50" t="s">
        <v>3655</v>
      </c>
      <c r="G244" s="1861"/>
      <c r="H244" s="1"/>
      <c r="I244" s="57" t="s">
        <v>3656</v>
      </c>
      <c r="J244" s="11" t="s">
        <v>92</v>
      </c>
    </row>
    <row r="245" spans="1:26" ht="14.25" customHeight="1">
      <c r="A245" s="1"/>
      <c r="B245" s="1">
        <v>656</v>
      </c>
      <c r="C245" s="9">
        <v>43677</v>
      </c>
      <c r="D245" s="17" t="s">
        <v>3657</v>
      </c>
      <c r="E245" s="57" t="s">
        <v>3658</v>
      </c>
      <c r="F245" s="50">
        <v>236</v>
      </c>
      <c r="G245" s="1861"/>
      <c r="H245" s="1"/>
      <c r="I245" s="57" t="s">
        <v>3659</v>
      </c>
      <c r="J245" s="11" t="s">
        <v>39</v>
      </c>
    </row>
    <row r="246" spans="1:26" ht="14.25" customHeight="1">
      <c r="A246" s="1"/>
      <c r="B246" s="1"/>
      <c r="C246" s="9">
        <v>43677</v>
      </c>
      <c r="D246" s="17" t="s">
        <v>2847</v>
      </c>
      <c r="E246" s="57" t="s">
        <v>2848</v>
      </c>
      <c r="F246" s="50">
        <v>237</v>
      </c>
      <c r="G246" s="1861"/>
      <c r="H246" s="1"/>
      <c r="I246" s="57" t="s">
        <v>3660</v>
      </c>
      <c r="J246" s="11" t="s">
        <v>39</v>
      </c>
    </row>
    <row r="247" spans="1:26" ht="14.25" customHeight="1">
      <c r="A247" s="1" t="s">
        <v>1545</v>
      </c>
      <c r="B247" s="1">
        <v>662</v>
      </c>
      <c r="C247" s="9">
        <v>43678</v>
      </c>
      <c r="D247" s="17" t="s">
        <v>3661</v>
      </c>
      <c r="E247" s="57" t="s">
        <v>3662</v>
      </c>
      <c r="F247" s="50">
        <v>238</v>
      </c>
      <c r="G247" s="1861"/>
      <c r="H247" s="1"/>
      <c r="I247" s="57" t="s">
        <v>3663</v>
      </c>
      <c r="J247" s="11" t="s">
        <v>528</v>
      </c>
    </row>
    <row r="248" spans="1:26" ht="14.25" customHeight="1">
      <c r="A248" s="1" t="s">
        <v>1545</v>
      </c>
      <c r="B248" s="1">
        <v>663</v>
      </c>
      <c r="C248" s="9">
        <v>43678</v>
      </c>
      <c r="D248" s="17" t="s">
        <v>3664</v>
      </c>
      <c r="E248" s="57" t="s">
        <v>3665</v>
      </c>
      <c r="F248" s="50">
        <v>239</v>
      </c>
      <c r="G248" s="1861"/>
      <c r="H248" s="1"/>
      <c r="I248" s="57" t="s">
        <v>3666</v>
      </c>
      <c r="J248" s="11" t="s">
        <v>100</v>
      </c>
    </row>
    <row r="249" spans="1:26" ht="14.25" customHeight="1">
      <c r="A249" s="1" t="s">
        <v>1545</v>
      </c>
      <c r="B249" s="1">
        <v>664</v>
      </c>
      <c r="C249" s="9">
        <v>43678</v>
      </c>
      <c r="D249" s="17" t="s">
        <v>2650</v>
      </c>
      <c r="E249" s="57" t="s">
        <v>2651</v>
      </c>
      <c r="F249" s="50">
        <v>240</v>
      </c>
      <c r="G249" s="1861"/>
      <c r="H249" s="1"/>
      <c r="I249" s="57" t="s">
        <v>3667</v>
      </c>
      <c r="J249" s="11" t="s">
        <v>114</v>
      </c>
    </row>
    <row r="250" spans="1:26" ht="14.25" customHeight="1">
      <c r="A250" s="1" t="s">
        <v>1545</v>
      </c>
      <c r="B250" s="1">
        <v>665</v>
      </c>
      <c r="C250" s="9">
        <v>43678</v>
      </c>
      <c r="D250" s="17" t="s">
        <v>3668</v>
      </c>
      <c r="E250" s="57" t="s">
        <v>3669</v>
      </c>
      <c r="F250" s="50">
        <v>241</v>
      </c>
      <c r="G250" s="1861"/>
      <c r="H250" s="1"/>
      <c r="I250" s="57" t="s">
        <v>3670</v>
      </c>
      <c r="J250" s="11" t="s">
        <v>528</v>
      </c>
    </row>
    <row r="251" spans="1:26" ht="14.25" customHeight="1">
      <c r="A251" s="1"/>
      <c r="B251" s="1">
        <v>667</v>
      </c>
      <c r="C251" s="9">
        <v>43678</v>
      </c>
      <c r="D251" s="17" t="s">
        <v>3671</v>
      </c>
      <c r="E251" s="57" t="s">
        <v>3672</v>
      </c>
      <c r="F251" s="50">
        <v>242</v>
      </c>
      <c r="G251" s="1861"/>
      <c r="H251" s="1"/>
      <c r="I251" s="57" t="s">
        <v>3673</v>
      </c>
      <c r="J251" s="11" t="s">
        <v>114</v>
      </c>
    </row>
    <row r="252" spans="1:26" ht="14.25" customHeight="1">
      <c r="A252" s="1" t="s">
        <v>1545</v>
      </c>
      <c r="B252" s="1">
        <v>669</v>
      </c>
      <c r="C252" s="9">
        <v>43678</v>
      </c>
      <c r="D252" s="17" t="s">
        <v>3674</v>
      </c>
      <c r="E252" s="57" t="s">
        <v>3675</v>
      </c>
      <c r="F252" s="50">
        <v>243</v>
      </c>
      <c r="G252" s="1861"/>
      <c r="H252" s="1"/>
      <c r="I252" s="57" t="s">
        <v>3676</v>
      </c>
      <c r="J252" s="11" t="s">
        <v>528</v>
      </c>
    </row>
    <row r="253" spans="1:26" ht="14.25" customHeight="1">
      <c r="A253" s="1"/>
      <c r="B253" s="1">
        <v>675</v>
      </c>
      <c r="C253" s="9">
        <v>43679</v>
      </c>
      <c r="D253" s="17" t="s">
        <v>918</v>
      </c>
      <c r="E253" s="57" t="s">
        <v>3677</v>
      </c>
      <c r="F253" s="50">
        <v>244</v>
      </c>
      <c r="G253" s="1861"/>
      <c r="H253" s="1"/>
      <c r="I253" s="57" t="s">
        <v>3678</v>
      </c>
      <c r="J253" s="11" t="s">
        <v>100</v>
      </c>
    </row>
    <row r="254" spans="1:26" ht="14.25" customHeight="1">
      <c r="A254" s="13"/>
      <c r="B254" s="13">
        <v>677</v>
      </c>
      <c r="C254" s="24">
        <v>43680</v>
      </c>
      <c r="D254" s="16" t="s">
        <v>3679</v>
      </c>
      <c r="E254" s="11" t="s">
        <v>3680</v>
      </c>
      <c r="F254" s="64">
        <v>245</v>
      </c>
      <c r="G254" s="1864"/>
      <c r="H254" s="13"/>
      <c r="I254" s="11" t="s">
        <v>3681</v>
      </c>
      <c r="J254" s="11" t="s">
        <v>100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"/>
      <c r="B255" s="1">
        <v>678</v>
      </c>
      <c r="C255" s="9">
        <v>43680</v>
      </c>
      <c r="D255" s="17" t="s">
        <v>209</v>
      </c>
      <c r="E255" s="57" t="s">
        <v>3682</v>
      </c>
      <c r="F255" s="50">
        <v>246</v>
      </c>
      <c r="G255" s="1861"/>
      <c r="H255" s="1"/>
      <c r="I255" s="57" t="s">
        <v>3683</v>
      </c>
      <c r="J255" s="11" t="s">
        <v>528</v>
      </c>
    </row>
    <row r="256" spans="1:26" ht="14.25" customHeight="1">
      <c r="A256" s="1"/>
      <c r="B256" s="1">
        <v>679</v>
      </c>
      <c r="C256" s="9">
        <v>43680</v>
      </c>
      <c r="D256" s="17" t="s">
        <v>209</v>
      </c>
      <c r="E256" s="57" t="s">
        <v>1928</v>
      </c>
      <c r="F256" s="50">
        <v>247</v>
      </c>
      <c r="G256" s="1861"/>
      <c r="H256" s="1"/>
      <c r="I256" s="57" t="s">
        <v>3684</v>
      </c>
      <c r="J256" s="11" t="s">
        <v>3685</v>
      </c>
      <c r="K256" s="57" t="s">
        <v>3639</v>
      </c>
    </row>
    <row r="257" spans="1:26" ht="14.25" customHeight="1">
      <c r="A257" s="1"/>
      <c r="B257" s="1">
        <v>680</v>
      </c>
      <c r="C257" s="9">
        <v>43680</v>
      </c>
      <c r="D257" s="17" t="s">
        <v>3686</v>
      </c>
      <c r="E257" s="57" t="s">
        <v>3687</v>
      </c>
      <c r="F257" s="50">
        <v>248</v>
      </c>
      <c r="G257" s="1861"/>
      <c r="H257" s="1"/>
      <c r="I257" s="57" t="s">
        <v>3688</v>
      </c>
      <c r="J257" s="11" t="s">
        <v>3507</v>
      </c>
    </row>
    <row r="258" spans="1:26" ht="14.25" customHeight="1">
      <c r="A258" s="1"/>
      <c r="B258" s="1">
        <v>681</v>
      </c>
      <c r="C258" s="9">
        <v>43693</v>
      </c>
      <c r="D258" s="17" t="s">
        <v>3689</v>
      </c>
      <c r="E258" s="57" t="s">
        <v>3690</v>
      </c>
      <c r="F258" s="50" t="s">
        <v>3691</v>
      </c>
      <c r="G258" s="1861"/>
      <c r="H258" s="1"/>
      <c r="I258" s="57" t="s">
        <v>3692</v>
      </c>
      <c r="J258" s="11" t="s">
        <v>39</v>
      </c>
    </row>
    <row r="259" spans="1:26" ht="14.25" customHeight="1">
      <c r="A259" s="1"/>
      <c r="B259" s="1">
        <v>682</v>
      </c>
      <c r="C259" s="9">
        <v>43694</v>
      </c>
      <c r="D259" s="17" t="s">
        <v>3693</v>
      </c>
      <c r="E259" s="57" t="s">
        <v>3694</v>
      </c>
      <c r="F259" s="50" t="s">
        <v>3695</v>
      </c>
      <c r="G259" s="1861"/>
      <c r="H259" s="1"/>
      <c r="I259" s="57" t="s">
        <v>3696</v>
      </c>
      <c r="J259" s="11" t="s">
        <v>39</v>
      </c>
    </row>
    <row r="260" spans="1:26" ht="14.25" customHeight="1">
      <c r="A260" s="1"/>
      <c r="B260" s="1">
        <v>683</v>
      </c>
      <c r="C260" s="9">
        <v>43695</v>
      </c>
      <c r="D260" s="17" t="s">
        <v>3697</v>
      </c>
      <c r="E260" s="57" t="s">
        <v>213</v>
      </c>
      <c r="F260" s="50" t="s">
        <v>3698</v>
      </c>
      <c r="G260" s="1861"/>
      <c r="H260" s="1"/>
      <c r="I260" s="57" t="s">
        <v>3699</v>
      </c>
      <c r="J260" s="11" t="s">
        <v>100</v>
      </c>
    </row>
    <row r="261" spans="1:26" ht="14.25" customHeight="1">
      <c r="A261" s="1"/>
      <c r="B261" s="1">
        <v>684</v>
      </c>
      <c r="C261" s="9">
        <v>43695</v>
      </c>
      <c r="D261" s="17" t="s">
        <v>3697</v>
      </c>
      <c r="E261" s="57" t="s">
        <v>188</v>
      </c>
      <c r="F261" s="50" t="s">
        <v>3700</v>
      </c>
      <c r="G261" s="1861"/>
      <c r="H261" s="1"/>
      <c r="I261" s="57" t="s">
        <v>3701</v>
      </c>
      <c r="J261" s="11" t="s">
        <v>100</v>
      </c>
    </row>
    <row r="262" spans="1:26" ht="14.25" customHeight="1">
      <c r="A262" s="1"/>
      <c r="B262" s="1">
        <v>774</v>
      </c>
      <c r="C262" s="9">
        <v>43701</v>
      </c>
      <c r="D262" s="17" t="s">
        <v>307</v>
      </c>
      <c r="E262" s="57" t="s">
        <v>308</v>
      </c>
      <c r="F262" s="50">
        <v>253</v>
      </c>
      <c r="G262" s="1861"/>
      <c r="H262" s="1"/>
      <c r="I262" s="57" t="s">
        <v>3702</v>
      </c>
      <c r="J262" s="11" t="s">
        <v>528</v>
      </c>
    </row>
    <row r="263" spans="1:26" ht="14.25" customHeight="1">
      <c r="A263" s="1" t="s">
        <v>1545</v>
      </c>
      <c r="B263" s="1">
        <v>777</v>
      </c>
      <c r="C263" s="9">
        <v>43705</v>
      </c>
      <c r="D263" s="17" t="s">
        <v>3703</v>
      </c>
      <c r="E263" s="57" t="s">
        <v>3704</v>
      </c>
      <c r="F263" s="50">
        <v>254</v>
      </c>
      <c r="G263" s="1861"/>
      <c r="H263" s="1"/>
      <c r="I263" s="57" t="s">
        <v>3705</v>
      </c>
      <c r="J263" s="11" t="s">
        <v>39</v>
      </c>
    </row>
    <row r="264" spans="1:26" ht="14.25" customHeight="1">
      <c r="A264" s="1"/>
      <c r="B264" s="1">
        <v>778</v>
      </c>
      <c r="C264" s="9">
        <v>43710</v>
      </c>
      <c r="D264" s="17" t="s">
        <v>3586</v>
      </c>
      <c r="E264" s="57" t="s">
        <v>3587</v>
      </c>
      <c r="F264" s="50" t="s">
        <v>3706</v>
      </c>
      <c r="G264" s="1861"/>
      <c r="H264" s="1"/>
      <c r="I264" s="57" t="s">
        <v>3707</v>
      </c>
      <c r="J264" s="11" t="s">
        <v>100</v>
      </c>
    </row>
    <row r="265" spans="1:26" ht="14.25" customHeight="1">
      <c r="A265" s="1"/>
      <c r="B265" s="1">
        <v>794</v>
      </c>
      <c r="C265" s="9">
        <v>43726</v>
      </c>
      <c r="D265" s="17" t="s">
        <v>3708</v>
      </c>
      <c r="E265" s="57" t="s">
        <v>3709</v>
      </c>
      <c r="F265" s="50">
        <v>256</v>
      </c>
      <c r="G265" s="1861"/>
      <c r="H265" s="1"/>
      <c r="I265" s="57" t="s">
        <v>3710</v>
      </c>
      <c r="J265" s="11" t="s">
        <v>528</v>
      </c>
    </row>
    <row r="266" spans="1:26" ht="14.25" customHeight="1">
      <c r="A266" s="13" t="s">
        <v>1545</v>
      </c>
      <c r="B266" s="13">
        <v>795</v>
      </c>
      <c r="C266" s="24">
        <v>43728</v>
      </c>
      <c r="D266" s="16" t="s">
        <v>3711</v>
      </c>
      <c r="E266" s="11" t="s">
        <v>3712</v>
      </c>
      <c r="F266" s="64">
        <v>257</v>
      </c>
      <c r="G266" s="1864"/>
      <c r="H266" s="13"/>
      <c r="I266" s="11" t="s">
        <v>3713</v>
      </c>
      <c r="J266" s="11" t="s">
        <v>92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" t="s">
        <v>1545</v>
      </c>
      <c r="B267" s="1">
        <v>796</v>
      </c>
      <c r="C267" s="9">
        <v>43728</v>
      </c>
      <c r="D267" s="17" t="s">
        <v>3714</v>
      </c>
      <c r="E267" s="57" t="s">
        <v>3715</v>
      </c>
      <c r="F267" s="50">
        <v>258</v>
      </c>
      <c r="G267" s="1861"/>
      <c r="H267" s="1"/>
      <c r="I267" s="57" t="s">
        <v>3716</v>
      </c>
      <c r="J267" s="11" t="s">
        <v>39</v>
      </c>
    </row>
    <row r="268" spans="1:26" ht="14.25" customHeight="1">
      <c r="A268" s="1"/>
      <c r="B268" s="1">
        <v>797</v>
      </c>
      <c r="C268" s="9">
        <v>43728</v>
      </c>
      <c r="D268" s="17" t="s">
        <v>3717</v>
      </c>
      <c r="E268" s="57" t="s">
        <v>3718</v>
      </c>
      <c r="F268" s="50">
        <v>259</v>
      </c>
      <c r="G268" s="1861"/>
      <c r="H268" s="1"/>
      <c r="I268" s="57" t="s">
        <v>3719</v>
      </c>
      <c r="J268" s="11" t="s">
        <v>528</v>
      </c>
    </row>
    <row r="269" spans="1:26" ht="14.25" customHeight="1">
      <c r="A269" s="1"/>
      <c r="B269" s="1">
        <v>802</v>
      </c>
      <c r="C269" s="9">
        <v>43730</v>
      </c>
      <c r="D269" s="17"/>
      <c r="E269" s="57" t="s">
        <v>533</v>
      </c>
      <c r="F269" s="50">
        <v>260</v>
      </c>
      <c r="G269" s="1861"/>
      <c r="H269" s="1"/>
      <c r="I269" s="57" t="s">
        <v>3720</v>
      </c>
      <c r="J269" s="11" t="s">
        <v>114</v>
      </c>
    </row>
    <row r="270" spans="1:26" ht="14.25" customHeight="1">
      <c r="A270" s="1"/>
      <c r="B270" s="1"/>
      <c r="C270" s="1"/>
      <c r="D270" s="17"/>
      <c r="E270" s="57" t="s">
        <v>1629</v>
      </c>
      <c r="F270" s="50">
        <v>261</v>
      </c>
      <c r="G270" s="1861"/>
      <c r="H270" s="1"/>
      <c r="J270" s="11"/>
    </row>
    <row r="271" spans="1:26" ht="14.25" customHeight="1">
      <c r="A271" s="1" t="s">
        <v>1221</v>
      </c>
      <c r="B271" s="1">
        <v>819</v>
      </c>
      <c r="C271" s="9">
        <v>43739</v>
      </c>
      <c r="D271" s="17" t="s">
        <v>3721</v>
      </c>
      <c r="E271" s="57" t="s">
        <v>3722</v>
      </c>
      <c r="F271" s="50">
        <v>262</v>
      </c>
      <c r="G271" s="1861"/>
      <c r="H271" s="1"/>
      <c r="I271" s="57" t="s">
        <v>3723</v>
      </c>
      <c r="J271" s="11" t="s">
        <v>100</v>
      </c>
    </row>
    <row r="272" spans="1:26" ht="14.25" customHeight="1">
      <c r="A272" s="1" t="s">
        <v>1221</v>
      </c>
      <c r="B272" s="1">
        <v>822</v>
      </c>
      <c r="C272" s="9">
        <v>43739</v>
      </c>
      <c r="D272" s="17" t="s">
        <v>401</v>
      </c>
      <c r="E272" s="57" t="s">
        <v>349</v>
      </c>
      <c r="F272" s="50">
        <v>263</v>
      </c>
      <c r="G272" s="1861"/>
      <c r="H272" s="1"/>
      <c r="I272" s="57" t="s">
        <v>3724</v>
      </c>
      <c r="J272" s="11" t="s">
        <v>39</v>
      </c>
    </row>
    <row r="273" spans="1:11" ht="14.25" customHeight="1">
      <c r="A273" s="1" t="s">
        <v>1221</v>
      </c>
      <c r="B273" s="1">
        <v>823</v>
      </c>
      <c r="C273" s="9">
        <v>43739</v>
      </c>
      <c r="D273" s="17" t="s">
        <v>3725</v>
      </c>
      <c r="E273" s="57" t="s">
        <v>3726</v>
      </c>
      <c r="F273" s="50">
        <v>264</v>
      </c>
      <c r="G273" s="1861"/>
      <c r="H273" s="1"/>
      <c r="I273" s="57" t="s">
        <v>3727</v>
      </c>
      <c r="J273" s="11" t="s">
        <v>39</v>
      </c>
    </row>
    <row r="274" spans="1:11" ht="14.25" customHeight="1">
      <c r="A274" s="1" t="s">
        <v>1221</v>
      </c>
      <c r="B274" s="1">
        <v>824</v>
      </c>
      <c r="C274" s="9">
        <v>43741</v>
      </c>
      <c r="D274" s="17" t="s">
        <v>3721</v>
      </c>
      <c r="E274" s="57" t="s">
        <v>3728</v>
      </c>
      <c r="F274" s="50" t="s">
        <v>3729</v>
      </c>
      <c r="G274" s="1861"/>
      <c r="H274" s="1"/>
      <c r="I274" s="57" t="s">
        <v>3730</v>
      </c>
      <c r="J274" s="11" t="s">
        <v>36</v>
      </c>
      <c r="K274" s="57" t="s">
        <v>3731</v>
      </c>
    </row>
    <row r="275" spans="1:11" ht="14.25" customHeight="1">
      <c r="A275" s="1" t="s">
        <v>1221</v>
      </c>
      <c r="B275" s="1">
        <v>830</v>
      </c>
      <c r="C275" s="9">
        <v>43749</v>
      </c>
      <c r="D275" s="17" t="s">
        <v>1588</v>
      </c>
      <c r="E275" s="57" t="s">
        <v>1589</v>
      </c>
      <c r="F275" s="50" t="s">
        <v>3732</v>
      </c>
      <c r="G275" s="1861"/>
      <c r="H275" s="1"/>
      <c r="I275" s="57" t="s">
        <v>3733</v>
      </c>
      <c r="J275" s="11" t="s">
        <v>77</v>
      </c>
    </row>
    <row r="276" spans="1:11" ht="14.25" customHeight="1">
      <c r="A276" s="1"/>
      <c r="B276" s="1">
        <v>831</v>
      </c>
      <c r="C276" s="9">
        <v>43749</v>
      </c>
      <c r="D276" s="17" t="s">
        <v>3734</v>
      </c>
      <c r="E276" s="57" t="s">
        <v>3735</v>
      </c>
      <c r="F276" s="50" t="s">
        <v>3736</v>
      </c>
      <c r="G276" s="1861"/>
      <c r="H276" s="1"/>
      <c r="I276" s="57" t="s">
        <v>3737</v>
      </c>
      <c r="J276" s="11" t="s">
        <v>538</v>
      </c>
    </row>
    <row r="277" spans="1:11" ht="14.25" customHeight="1">
      <c r="A277" s="1"/>
      <c r="B277" s="1">
        <v>832</v>
      </c>
      <c r="C277" s="9">
        <v>43749</v>
      </c>
      <c r="D277" s="17" t="s">
        <v>3738</v>
      </c>
      <c r="E277" s="57" t="s">
        <v>1570</v>
      </c>
      <c r="F277" s="50">
        <v>268</v>
      </c>
      <c r="G277" s="1861"/>
      <c r="H277" s="1"/>
      <c r="I277" s="57" t="s">
        <v>3739</v>
      </c>
      <c r="J277" s="11" t="s">
        <v>39</v>
      </c>
    </row>
    <row r="278" spans="1:11" ht="14.25" customHeight="1">
      <c r="A278" s="1"/>
      <c r="B278" s="1">
        <v>833</v>
      </c>
      <c r="C278" s="9">
        <v>43753</v>
      </c>
      <c r="D278" s="17" t="s">
        <v>3740</v>
      </c>
      <c r="E278" s="57" t="s">
        <v>3741</v>
      </c>
      <c r="F278" s="50">
        <v>269</v>
      </c>
      <c r="G278" s="1861"/>
      <c r="H278" s="1"/>
      <c r="I278" s="57" t="s">
        <v>3739</v>
      </c>
      <c r="J278" s="11" t="s">
        <v>114</v>
      </c>
    </row>
    <row r="279" spans="1:11" ht="14.25" customHeight="1">
      <c r="A279" s="1" t="s">
        <v>1221</v>
      </c>
      <c r="B279" s="1">
        <v>834</v>
      </c>
      <c r="C279" s="9">
        <v>43757</v>
      </c>
      <c r="D279" s="17" t="s">
        <v>3742</v>
      </c>
      <c r="E279" s="57" t="s">
        <v>3743</v>
      </c>
      <c r="F279" s="50" t="s">
        <v>3744</v>
      </c>
      <c r="G279" s="1861"/>
      <c r="H279" s="1"/>
      <c r="I279" s="57" t="s">
        <v>3745</v>
      </c>
      <c r="J279" s="11" t="s">
        <v>528</v>
      </c>
    </row>
    <row r="280" spans="1:11" ht="14.25" customHeight="1">
      <c r="A280" s="1"/>
      <c r="B280" s="1">
        <v>838</v>
      </c>
      <c r="C280" s="9">
        <v>43757</v>
      </c>
      <c r="D280" s="17" t="s">
        <v>3746</v>
      </c>
      <c r="E280" s="57" t="s">
        <v>3747</v>
      </c>
      <c r="F280" s="50">
        <v>271</v>
      </c>
      <c r="G280" s="1861"/>
      <c r="H280" s="1"/>
      <c r="I280" s="57" t="s">
        <v>3748</v>
      </c>
      <c r="J280" s="11" t="s">
        <v>528</v>
      </c>
    </row>
    <row r="281" spans="1:11" ht="14.25" customHeight="1">
      <c r="A281" s="1"/>
      <c r="B281" s="1">
        <v>839</v>
      </c>
      <c r="C281" s="9">
        <v>43757</v>
      </c>
      <c r="D281" s="17" t="s">
        <v>3749</v>
      </c>
      <c r="E281" s="57" t="s">
        <v>3750</v>
      </c>
      <c r="F281" s="50">
        <v>272</v>
      </c>
      <c r="G281" s="1861"/>
      <c r="H281" s="1"/>
      <c r="I281" s="57" t="s">
        <v>3751</v>
      </c>
      <c r="J281" s="11" t="s">
        <v>528</v>
      </c>
    </row>
    <row r="282" spans="1:11" ht="14.25" customHeight="1">
      <c r="A282" s="1"/>
      <c r="B282" s="1">
        <v>846</v>
      </c>
      <c r="C282" s="9">
        <v>43769</v>
      </c>
      <c r="D282" s="17" t="s">
        <v>3752</v>
      </c>
      <c r="E282" s="57" t="s">
        <v>3753</v>
      </c>
      <c r="F282" s="50">
        <v>273</v>
      </c>
      <c r="G282" s="1861"/>
      <c r="H282" s="1"/>
      <c r="I282" s="57" t="s">
        <v>3754</v>
      </c>
      <c r="J282" s="11" t="s">
        <v>528</v>
      </c>
    </row>
    <row r="283" spans="1:11" ht="14.25" customHeight="1">
      <c r="A283" s="1"/>
      <c r="B283" s="1">
        <v>847</v>
      </c>
      <c r="C283" s="9">
        <v>43769</v>
      </c>
      <c r="D283" s="17" t="s">
        <v>3752</v>
      </c>
      <c r="E283" s="57" t="s">
        <v>2412</v>
      </c>
      <c r="F283" s="50">
        <v>274</v>
      </c>
      <c r="G283" s="1861"/>
      <c r="H283" s="1"/>
      <c r="I283" s="57" t="s">
        <v>3755</v>
      </c>
      <c r="J283" s="11" t="s">
        <v>528</v>
      </c>
    </row>
    <row r="284" spans="1:11" ht="14.25" customHeight="1">
      <c r="A284" s="1"/>
      <c r="B284" s="1">
        <v>848</v>
      </c>
      <c r="C284" s="9">
        <v>43775</v>
      </c>
      <c r="D284" s="17" t="s">
        <v>3756</v>
      </c>
      <c r="E284" s="57" t="s">
        <v>3757</v>
      </c>
      <c r="F284" s="50">
        <v>275</v>
      </c>
      <c r="G284" s="1861"/>
      <c r="H284" s="1"/>
      <c r="I284" s="57" t="s">
        <v>3758</v>
      </c>
      <c r="J284" s="11" t="s">
        <v>3759</v>
      </c>
    </row>
    <row r="285" spans="1:11" ht="14.25" customHeight="1">
      <c r="A285" s="1"/>
      <c r="B285" s="1">
        <v>850</v>
      </c>
      <c r="C285" s="9">
        <v>43775</v>
      </c>
      <c r="D285" s="17" t="s">
        <v>3760</v>
      </c>
      <c r="E285" s="57" t="s">
        <v>3761</v>
      </c>
      <c r="F285" s="50">
        <v>276</v>
      </c>
      <c r="G285" s="1861"/>
      <c r="H285" s="1"/>
      <c r="I285" s="54" t="s">
        <v>3762</v>
      </c>
      <c r="J285" s="11" t="s">
        <v>528</v>
      </c>
    </row>
    <row r="286" spans="1:11" ht="14.25" customHeight="1">
      <c r="A286" s="1"/>
      <c r="B286" s="1">
        <v>852</v>
      </c>
      <c r="C286" s="9">
        <v>43790</v>
      </c>
      <c r="D286" s="17" t="s">
        <v>3763</v>
      </c>
      <c r="E286" s="57" t="s">
        <v>3764</v>
      </c>
      <c r="F286" s="50" t="s">
        <v>3765</v>
      </c>
      <c r="G286" s="1861"/>
      <c r="H286" s="1"/>
      <c r="I286" s="57" t="s">
        <v>3766</v>
      </c>
      <c r="J286" s="11" t="s">
        <v>100</v>
      </c>
    </row>
    <row r="287" spans="1:11" ht="14.25" customHeight="1">
      <c r="A287" s="1"/>
      <c r="B287" s="13">
        <v>853</v>
      </c>
      <c r="C287" s="24">
        <v>43789</v>
      </c>
      <c r="D287" s="16" t="s">
        <v>3767</v>
      </c>
      <c r="E287" s="11" t="s">
        <v>3768</v>
      </c>
      <c r="F287" s="64" t="s">
        <v>3769</v>
      </c>
      <c r="G287" s="1864"/>
      <c r="H287" s="13"/>
      <c r="I287" s="11" t="s">
        <v>3770</v>
      </c>
      <c r="J287" s="11" t="s">
        <v>100</v>
      </c>
    </row>
    <row r="288" spans="1:11" ht="14.25" customHeight="1">
      <c r="A288" s="1"/>
      <c r="B288" s="1"/>
      <c r="C288" s="1"/>
      <c r="D288" s="17"/>
      <c r="E288" s="57" t="s">
        <v>3771</v>
      </c>
      <c r="F288" s="50" t="s">
        <v>3772</v>
      </c>
      <c r="G288" s="1861"/>
      <c r="H288" s="1"/>
      <c r="I288" s="10" t="s">
        <v>3773</v>
      </c>
      <c r="J288" s="13" t="s">
        <v>528</v>
      </c>
    </row>
    <row r="289" spans="1:10" ht="14.25" customHeight="1">
      <c r="A289" s="1"/>
      <c r="B289" s="1"/>
      <c r="C289" s="9">
        <v>43791</v>
      </c>
      <c r="D289" s="17" t="s">
        <v>3774</v>
      </c>
      <c r="E289" s="57" t="s">
        <v>3775</v>
      </c>
      <c r="F289" s="50">
        <v>281</v>
      </c>
      <c r="G289" s="1861"/>
      <c r="H289" s="1"/>
      <c r="I289" s="10" t="s">
        <v>3776</v>
      </c>
      <c r="J289" s="13" t="s">
        <v>39</v>
      </c>
    </row>
    <row r="290" spans="1:10" ht="14.25" customHeight="1">
      <c r="A290" s="1"/>
      <c r="B290" s="1"/>
      <c r="C290" s="9">
        <v>43791</v>
      </c>
      <c r="D290" s="17" t="s">
        <v>3777</v>
      </c>
      <c r="E290" s="57" t="s">
        <v>3778</v>
      </c>
      <c r="F290" s="50">
        <v>282</v>
      </c>
      <c r="G290" s="1861"/>
      <c r="H290" s="1"/>
      <c r="I290" s="10" t="s">
        <v>3779</v>
      </c>
      <c r="J290" s="13" t="s">
        <v>528</v>
      </c>
    </row>
    <row r="291" spans="1:10" ht="14.25" customHeight="1">
      <c r="A291" s="1"/>
      <c r="B291" s="1"/>
      <c r="C291" s="9">
        <v>43791</v>
      </c>
      <c r="D291" s="17" t="s">
        <v>3780</v>
      </c>
      <c r="E291" s="57" t="s">
        <v>3781</v>
      </c>
      <c r="F291" s="50">
        <v>283</v>
      </c>
      <c r="G291" s="1861"/>
      <c r="H291" s="1"/>
      <c r="I291" s="10" t="s">
        <v>3782</v>
      </c>
      <c r="J291" s="13" t="s">
        <v>39</v>
      </c>
    </row>
    <row r="292" spans="1:10" ht="14.25" customHeight="1">
      <c r="A292" s="1"/>
      <c r="B292" s="1"/>
      <c r="C292" s="9">
        <v>43794</v>
      </c>
      <c r="D292" s="17"/>
      <c r="E292" s="57" t="s">
        <v>3783</v>
      </c>
      <c r="F292" s="50">
        <v>284</v>
      </c>
      <c r="G292" s="1861"/>
      <c r="H292" s="1"/>
      <c r="I292" s="10" t="s">
        <v>3784</v>
      </c>
      <c r="J292" s="13" t="s">
        <v>100</v>
      </c>
    </row>
    <row r="293" spans="1:10" ht="14.25" customHeight="1">
      <c r="A293" s="1"/>
      <c r="B293" s="1"/>
      <c r="C293" s="9">
        <v>43794</v>
      </c>
      <c r="D293" s="17" t="s">
        <v>3785</v>
      </c>
      <c r="E293" s="57" t="s">
        <v>3786</v>
      </c>
      <c r="F293" s="50">
        <v>285</v>
      </c>
      <c r="G293" s="1861"/>
      <c r="H293" s="1"/>
      <c r="I293" s="10" t="s">
        <v>3787</v>
      </c>
      <c r="J293" s="13" t="s">
        <v>528</v>
      </c>
    </row>
    <row r="294" spans="1:10" ht="14.25" customHeight="1">
      <c r="A294" s="1"/>
      <c r="B294" s="1"/>
      <c r="C294" s="9">
        <v>43794</v>
      </c>
      <c r="D294" s="17" t="s">
        <v>3788</v>
      </c>
      <c r="E294" s="57" t="s">
        <v>3789</v>
      </c>
      <c r="F294" s="50">
        <v>286</v>
      </c>
      <c r="G294" s="1861"/>
      <c r="H294" s="1"/>
      <c r="I294" s="10" t="s">
        <v>3790</v>
      </c>
      <c r="J294" s="13" t="s">
        <v>528</v>
      </c>
    </row>
    <row r="295" spans="1:10" ht="14.25" customHeight="1">
      <c r="A295" s="1"/>
      <c r="B295" s="1">
        <v>861</v>
      </c>
      <c r="C295" s="9">
        <v>43794</v>
      </c>
      <c r="D295" s="17" t="s">
        <v>3791</v>
      </c>
      <c r="E295" s="57" t="s">
        <v>3792</v>
      </c>
      <c r="F295" s="50">
        <v>287</v>
      </c>
      <c r="G295" s="1861"/>
      <c r="H295" s="1"/>
      <c r="I295" s="57" t="s">
        <v>3793</v>
      </c>
      <c r="J295" s="13" t="s">
        <v>528</v>
      </c>
    </row>
    <row r="296" spans="1:10" ht="14.25" customHeight="1">
      <c r="A296" s="1"/>
      <c r="B296" s="1">
        <v>862</v>
      </c>
      <c r="C296" s="9">
        <v>43794</v>
      </c>
      <c r="D296" s="17" t="s">
        <v>3794</v>
      </c>
      <c r="E296" s="57" t="s">
        <v>3795</v>
      </c>
      <c r="F296" s="50">
        <v>288</v>
      </c>
      <c r="G296" s="1861"/>
      <c r="H296" s="1"/>
      <c r="I296" s="57" t="s">
        <v>3796</v>
      </c>
      <c r="J296" s="13" t="s">
        <v>528</v>
      </c>
    </row>
    <row r="297" spans="1:10" ht="14.25" customHeight="1">
      <c r="A297" s="1"/>
      <c r="B297" s="1">
        <v>863</v>
      </c>
      <c r="C297" s="9">
        <v>43794</v>
      </c>
      <c r="D297" s="17" t="s">
        <v>3797</v>
      </c>
      <c r="E297" s="57" t="s">
        <v>3798</v>
      </c>
      <c r="F297" s="50">
        <v>289</v>
      </c>
      <c r="G297" s="1861"/>
      <c r="H297" s="1"/>
      <c r="I297" s="57" t="s">
        <v>3799</v>
      </c>
      <c r="J297" s="13" t="s">
        <v>528</v>
      </c>
    </row>
    <row r="298" spans="1:10" ht="14.25" customHeight="1">
      <c r="A298" s="1"/>
      <c r="B298" s="1"/>
      <c r="C298" s="9">
        <v>43796</v>
      </c>
      <c r="D298" s="17" t="s">
        <v>3800</v>
      </c>
      <c r="E298" s="57" t="s">
        <v>3801</v>
      </c>
      <c r="F298" s="50">
        <v>290</v>
      </c>
      <c r="G298" s="1861"/>
      <c r="H298" s="1"/>
      <c r="I298" s="10" t="s">
        <v>3802</v>
      </c>
      <c r="J298" s="13" t="s">
        <v>77</v>
      </c>
    </row>
    <row r="299" spans="1:10" ht="14.25" customHeight="1">
      <c r="A299" s="1"/>
      <c r="B299" s="1"/>
      <c r="C299" s="9">
        <v>43796</v>
      </c>
      <c r="D299" s="17" t="s">
        <v>3803</v>
      </c>
      <c r="E299" s="57" t="s">
        <v>3804</v>
      </c>
      <c r="F299" s="50">
        <v>291</v>
      </c>
      <c r="G299" s="1861"/>
      <c r="H299" s="1"/>
      <c r="I299" s="10" t="s">
        <v>3805</v>
      </c>
      <c r="J299" s="13" t="s">
        <v>39</v>
      </c>
    </row>
    <row r="300" spans="1:10" ht="14.25" customHeight="1">
      <c r="A300" s="1"/>
      <c r="B300" s="1"/>
      <c r="C300" s="9">
        <v>43796</v>
      </c>
      <c r="D300" s="17" t="s">
        <v>3806</v>
      </c>
      <c r="E300" s="57" t="s">
        <v>3807</v>
      </c>
      <c r="F300" s="50">
        <v>292</v>
      </c>
      <c r="G300" s="1861"/>
      <c r="H300" s="1"/>
      <c r="I300" s="10" t="s">
        <v>3808</v>
      </c>
      <c r="J300" s="13" t="s">
        <v>39</v>
      </c>
    </row>
    <row r="301" spans="1:10" ht="14.25" customHeight="1">
      <c r="A301" s="1"/>
      <c r="B301" s="1"/>
      <c r="C301" s="9">
        <v>43796</v>
      </c>
      <c r="D301" s="17" t="s">
        <v>3809</v>
      </c>
      <c r="E301" s="57" t="s">
        <v>3810</v>
      </c>
      <c r="F301" s="50">
        <v>293</v>
      </c>
      <c r="G301" s="1861"/>
      <c r="H301" s="1"/>
      <c r="I301" s="10" t="s">
        <v>3811</v>
      </c>
      <c r="J301" s="13" t="s">
        <v>528</v>
      </c>
    </row>
    <row r="302" spans="1:10" ht="14.25" customHeight="1">
      <c r="A302" s="1"/>
      <c r="B302" s="1"/>
      <c r="C302" s="9">
        <v>43796</v>
      </c>
      <c r="D302" s="17" t="s">
        <v>1131</v>
      </c>
      <c r="E302" s="57" t="s">
        <v>3812</v>
      </c>
      <c r="F302" s="50">
        <v>294</v>
      </c>
      <c r="G302" s="1861"/>
      <c r="H302" s="1"/>
      <c r="I302" s="10" t="s">
        <v>3813</v>
      </c>
      <c r="J302" s="13" t="s">
        <v>77</v>
      </c>
    </row>
    <row r="303" spans="1:10" ht="14.25" customHeight="1">
      <c r="A303" s="1"/>
      <c r="B303" s="1">
        <v>864</v>
      </c>
      <c r="C303" s="9">
        <v>43796</v>
      </c>
      <c r="D303" s="17" t="s">
        <v>3734</v>
      </c>
      <c r="E303" s="57" t="s">
        <v>324</v>
      </c>
      <c r="F303" s="50">
        <v>295</v>
      </c>
      <c r="G303" s="1861"/>
      <c r="H303" s="1"/>
      <c r="I303" s="57" t="s">
        <v>3814</v>
      </c>
      <c r="J303" s="13" t="s">
        <v>100</v>
      </c>
    </row>
    <row r="304" spans="1:10" ht="14.25" customHeight="1">
      <c r="A304" s="1"/>
      <c r="B304" s="1">
        <v>865</v>
      </c>
      <c r="C304" s="9">
        <v>43798</v>
      </c>
      <c r="D304" s="17" t="s">
        <v>3815</v>
      </c>
      <c r="E304" s="57" t="s">
        <v>3090</v>
      </c>
      <c r="F304" s="50" t="s">
        <v>3816</v>
      </c>
      <c r="G304" s="1861"/>
      <c r="H304" s="1"/>
      <c r="I304" s="57" t="s">
        <v>3817</v>
      </c>
      <c r="J304" s="13" t="s">
        <v>77</v>
      </c>
    </row>
    <row r="305" spans="1:11" ht="14.25" customHeight="1">
      <c r="A305" s="1"/>
      <c r="B305" s="1">
        <v>866</v>
      </c>
      <c r="C305" s="9">
        <v>43798</v>
      </c>
      <c r="D305" s="17" t="s">
        <v>3815</v>
      </c>
      <c r="E305" s="57" t="s">
        <v>3818</v>
      </c>
      <c r="F305" s="50" t="s">
        <v>3819</v>
      </c>
      <c r="G305" s="1861"/>
      <c r="H305" s="1"/>
      <c r="I305" s="57" t="s">
        <v>3820</v>
      </c>
      <c r="J305" s="13" t="s">
        <v>100</v>
      </c>
    </row>
    <row r="306" spans="1:11" ht="14.25" customHeight="1">
      <c r="A306" s="1"/>
      <c r="B306" s="1">
        <v>867</v>
      </c>
      <c r="C306" s="9">
        <v>43801</v>
      </c>
      <c r="D306" s="17" t="s">
        <v>3821</v>
      </c>
      <c r="E306" s="57" t="s">
        <v>3822</v>
      </c>
      <c r="F306" s="50">
        <v>298</v>
      </c>
      <c r="G306" s="1861"/>
      <c r="H306" s="1"/>
      <c r="I306" s="10" t="s">
        <v>3823</v>
      </c>
      <c r="J306" s="13" t="s">
        <v>528</v>
      </c>
    </row>
    <row r="307" spans="1:11" ht="14.25" customHeight="1">
      <c r="A307" s="1"/>
      <c r="B307" s="1">
        <v>868</v>
      </c>
      <c r="C307" s="9">
        <v>43801</v>
      </c>
      <c r="D307" s="17" t="s">
        <v>3824</v>
      </c>
      <c r="E307" s="57" t="s">
        <v>3825</v>
      </c>
      <c r="F307" s="50" t="s">
        <v>3826</v>
      </c>
      <c r="G307" s="1861"/>
      <c r="H307" s="1"/>
      <c r="I307" s="10" t="s">
        <v>3827</v>
      </c>
      <c r="J307" s="13" t="s">
        <v>528</v>
      </c>
    </row>
    <row r="308" spans="1:11" ht="14.25" customHeight="1">
      <c r="A308" s="1"/>
      <c r="B308" s="1">
        <v>869</v>
      </c>
      <c r="C308" s="9">
        <v>43801</v>
      </c>
      <c r="D308" s="17" t="s">
        <v>1829</v>
      </c>
      <c r="E308" s="57" t="s">
        <v>1830</v>
      </c>
      <c r="F308" s="50" t="s">
        <v>3828</v>
      </c>
      <c r="G308" s="1861"/>
      <c r="H308" s="1"/>
      <c r="I308" s="10" t="s">
        <v>3829</v>
      </c>
      <c r="J308" s="13" t="s">
        <v>528</v>
      </c>
    </row>
    <row r="309" spans="1:11" ht="14.25" customHeight="1">
      <c r="A309" s="1"/>
      <c r="B309" s="1"/>
      <c r="C309" s="9">
        <v>43803</v>
      </c>
      <c r="D309" s="17" t="s">
        <v>1829</v>
      </c>
      <c r="E309" s="57" t="s">
        <v>3830</v>
      </c>
      <c r="F309" s="50">
        <v>301</v>
      </c>
      <c r="G309" s="1861"/>
      <c r="H309" s="1" t="s">
        <v>1602</v>
      </c>
      <c r="I309" s="57" t="s">
        <v>3831</v>
      </c>
      <c r="J309" s="13" t="s">
        <v>538</v>
      </c>
    </row>
    <row r="310" spans="1:11" ht="14.25" customHeight="1">
      <c r="A310" s="1" t="s">
        <v>161</v>
      </c>
      <c r="B310" s="1">
        <v>870</v>
      </c>
      <c r="C310" s="9">
        <v>43807</v>
      </c>
      <c r="D310" s="17" t="s">
        <v>3777</v>
      </c>
      <c r="E310" s="57" t="s">
        <v>3778</v>
      </c>
      <c r="F310" s="50">
        <v>302</v>
      </c>
      <c r="G310" s="1861"/>
      <c r="H310" s="1" t="s">
        <v>3832</v>
      </c>
      <c r="I310" s="57" t="s">
        <v>3833</v>
      </c>
      <c r="J310" s="13" t="s">
        <v>114</v>
      </c>
    </row>
    <row r="311" spans="1:11" ht="14.25" customHeight="1">
      <c r="A311" s="1"/>
      <c r="B311" s="1">
        <v>872</v>
      </c>
      <c r="C311" s="9">
        <v>43809</v>
      </c>
      <c r="D311" s="17" t="s">
        <v>3834</v>
      </c>
      <c r="E311" s="57" t="s">
        <v>3835</v>
      </c>
      <c r="F311" s="50">
        <v>303</v>
      </c>
      <c r="G311" s="1861"/>
      <c r="H311" s="1"/>
      <c r="I311" s="57" t="s">
        <v>3836</v>
      </c>
      <c r="J311" s="13" t="s">
        <v>114</v>
      </c>
    </row>
    <row r="312" spans="1:11" ht="14.25" customHeight="1">
      <c r="A312" s="1"/>
      <c r="B312" s="1">
        <v>873</v>
      </c>
      <c r="C312" s="9">
        <v>43809</v>
      </c>
      <c r="D312" s="17" t="s">
        <v>3834</v>
      </c>
      <c r="E312" s="57" t="s">
        <v>3837</v>
      </c>
      <c r="F312" s="50">
        <v>304</v>
      </c>
      <c r="G312" s="1861"/>
      <c r="H312" s="1"/>
      <c r="I312" s="57" t="s">
        <v>3838</v>
      </c>
      <c r="J312" s="13" t="s">
        <v>528</v>
      </c>
    </row>
    <row r="313" spans="1:11" ht="14.25" customHeight="1">
      <c r="A313" s="1"/>
      <c r="B313" s="1">
        <v>874</v>
      </c>
      <c r="C313" s="9">
        <v>43809</v>
      </c>
      <c r="D313" s="17" t="s">
        <v>3839</v>
      </c>
      <c r="E313" s="57" t="s">
        <v>2947</v>
      </c>
      <c r="F313" s="50">
        <v>305</v>
      </c>
      <c r="G313" s="1861"/>
      <c r="H313" s="1"/>
      <c r="I313" s="57" t="s">
        <v>3840</v>
      </c>
      <c r="J313" s="13" t="s">
        <v>507</v>
      </c>
      <c r="K313" s="57" t="s">
        <v>3841</v>
      </c>
    </row>
    <row r="314" spans="1:11" ht="14.25" customHeight="1">
      <c r="A314" s="1"/>
      <c r="B314" s="1"/>
      <c r="C314" s="9">
        <v>43810</v>
      </c>
      <c r="D314" s="17" t="s">
        <v>3842</v>
      </c>
      <c r="E314" s="57" t="s">
        <v>3843</v>
      </c>
      <c r="F314" s="50">
        <v>306</v>
      </c>
      <c r="G314" s="1861"/>
      <c r="H314" s="1"/>
      <c r="I314" s="10" t="s">
        <v>3844</v>
      </c>
      <c r="J314" s="13" t="s">
        <v>77</v>
      </c>
    </row>
    <row r="315" spans="1:11" ht="14.25" customHeight="1">
      <c r="A315" s="1"/>
      <c r="B315" s="1">
        <v>876</v>
      </c>
      <c r="C315" s="9">
        <v>43816</v>
      </c>
      <c r="D315" s="17" t="s">
        <v>3815</v>
      </c>
      <c r="E315" s="57" t="s">
        <v>3818</v>
      </c>
      <c r="F315" s="50" t="s">
        <v>3845</v>
      </c>
      <c r="G315" s="1861"/>
      <c r="H315" s="1"/>
      <c r="I315" s="57" t="s">
        <v>3846</v>
      </c>
      <c r="J315" s="13" t="s">
        <v>3847</v>
      </c>
    </row>
    <row r="316" spans="1:11" ht="14.25" customHeight="1">
      <c r="A316" s="1"/>
      <c r="B316" s="1">
        <v>878</v>
      </c>
      <c r="C316" s="9">
        <v>43816</v>
      </c>
      <c r="D316" s="17" t="s">
        <v>3848</v>
      </c>
      <c r="E316" s="57" t="s">
        <v>3849</v>
      </c>
      <c r="F316" s="50">
        <v>308</v>
      </c>
      <c r="G316" s="1861"/>
      <c r="H316" s="1"/>
      <c r="I316" s="57" t="s">
        <v>3850</v>
      </c>
      <c r="J316" s="13" t="s">
        <v>528</v>
      </c>
    </row>
    <row r="317" spans="1:11" ht="14.25" customHeight="1">
      <c r="A317" s="1"/>
      <c r="B317" s="1">
        <v>879</v>
      </c>
      <c r="C317" s="9">
        <v>43816</v>
      </c>
      <c r="D317" s="17"/>
      <c r="E317" s="57" t="s">
        <v>360</v>
      </c>
      <c r="F317" s="50">
        <v>309</v>
      </c>
      <c r="G317" s="1861"/>
      <c r="H317" s="1"/>
      <c r="I317" s="57" t="s">
        <v>3851</v>
      </c>
      <c r="J317" s="13" t="s">
        <v>251</v>
      </c>
    </row>
    <row r="318" spans="1:11" ht="14.25" customHeight="1">
      <c r="A318" s="1"/>
      <c r="B318" s="1">
        <v>880</v>
      </c>
      <c r="C318" s="9">
        <v>43816</v>
      </c>
      <c r="D318" s="17"/>
      <c r="E318" s="57" t="s">
        <v>3852</v>
      </c>
      <c r="F318" s="50">
        <v>310</v>
      </c>
      <c r="G318" s="1861"/>
      <c r="H318" s="1"/>
      <c r="I318" s="57" t="s">
        <v>3853</v>
      </c>
      <c r="J318" s="13" t="s">
        <v>251</v>
      </c>
    </row>
    <row r="319" spans="1:11" ht="14.25" customHeight="1">
      <c r="A319" s="1"/>
      <c r="B319" s="1">
        <v>882</v>
      </c>
      <c r="C319" s="9">
        <v>43818</v>
      </c>
      <c r="D319" s="17" t="s">
        <v>3854</v>
      </c>
      <c r="E319" s="57" t="s">
        <v>3855</v>
      </c>
      <c r="F319" s="50">
        <v>311</v>
      </c>
      <c r="G319" s="1861"/>
      <c r="H319" s="1"/>
      <c r="I319" s="57" t="s">
        <v>3856</v>
      </c>
      <c r="J319" s="13" t="s">
        <v>39</v>
      </c>
    </row>
    <row r="320" spans="1:11" ht="14.25" customHeight="1">
      <c r="A320" s="1"/>
      <c r="B320" s="1">
        <v>884</v>
      </c>
      <c r="C320" s="9">
        <v>43819</v>
      </c>
      <c r="D320" s="17" t="s">
        <v>1665</v>
      </c>
      <c r="E320" s="57" t="s">
        <v>329</v>
      </c>
      <c r="F320" s="50">
        <v>312</v>
      </c>
      <c r="G320" s="1861"/>
      <c r="H320" s="1"/>
      <c r="I320" s="57" t="s">
        <v>3857</v>
      </c>
      <c r="J320" s="13" t="s">
        <v>528</v>
      </c>
    </row>
    <row r="321" spans="1:10" ht="14.25" customHeight="1">
      <c r="A321" s="1"/>
      <c r="B321" s="1">
        <v>885</v>
      </c>
      <c r="C321" s="9">
        <v>43819</v>
      </c>
      <c r="D321" s="17" t="s">
        <v>1665</v>
      </c>
      <c r="E321" s="57" t="s">
        <v>326</v>
      </c>
      <c r="F321" s="50">
        <v>313</v>
      </c>
      <c r="G321" s="1861"/>
      <c r="H321" s="1"/>
      <c r="I321" s="57" t="s">
        <v>3858</v>
      </c>
      <c r="J321" s="13" t="s">
        <v>528</v>
      </c>
    </row>
    <row r="322" spans="1:10" ht="14.25" customHeight="1">
      <c r="A322" s="1"/>
      <c r="B322" s="1"/>
      <c r="C322" s="9">
        <v>43826</v>
      </c>
      <c r="D322" s="17" t="s">
        <v>3859</v>
      </c>
      <c r="E322" s="57" t="s">
        <v>370</v>
      </c>
      <c r="F322" s="50">
        <v>314</v>
      </c>
      <c r="G322" s="1861"/>
      <c r="H322" s="1"/>
      <c r="I322" s="57" t="s">
        <v>3860</v>
      </c>
      <c r="J322" s="13" t="s">
        <v>251</v>
      </c>
    </row>
    <row r="323" spans="1:10" ht="14.25" customHeight="1">
      <c r="A323" s="1"/>
      <c r="B323" s="1"/>
      <c r="C323" s="9">
        <v>43826</v>
      </c>
      <c r="D323" s="17" t="s">
        <v>3859</v>
      </c>
      <c r="E323" s="57" t="s">
        <v>368</v>
      </c>
      <c r="F323" s="50">
        <v>315</v>
      </c>
      <c r="G323" s="1861"/>
      <c r="H323" s="1"/>
      <c r="I323" s="57" t="s">
        <v>3861</v>
      </c>
      <c r="J323" s="13" t="s">
        <v>251</v>
      </c>
    </row>
    <row r="324" spans="1:10" ht="14.25" customHeight="1">
      <c r="A324" s="1"/>
      <c r="B324" s="1"/>
      <c r="C324" s="9">
        <v>43826</v>
      </c>
      <c r="D324" s="17" t="s">
        <v>3859</v>
      </c>
      <c r="E324" s="57" t="s">
        <v>366</v>
      </c>
      <c r="F324" s="50">
        <v>316</v>
      </c>
      <c r="G324" s="1861"/>
      <c r="H324" s="1"/>
      <c r="I324" s="57" t="s">
        <v>3862</v>
      </c>
      <c r="J324" s="13" t="s">
        <v>251</v>
      </c>
    </row>
    <row r="325" spans="1:10" ht="14.25" customHeight="1">
      <c r="A325" s="1"/>
      <c r="B325" s="1">
        <v>887</v>
      </c>
      <c r="C325" s="9">
        <v>43831</v>
      </c>
      <c r="D325" s="17"/>
      <c r="E325" s="57" t="s">
        <v>3798</v>
      </c>
      <c r="F325" s="50">
        <v>317</v>
      </c>
      <c r="G325" s="1861"/>
      <c r="H325" s="1"/>
      <c r="I325" s="57" t="s">
        <v>3863</v>
      </c>
      <c r="J325" s="13" t="s">
        <v>39</v>
      </c>
    </row>
    <row r="326" spans="1:10" ht="14.25" customHeight="1">
      <c r="A326" s="1"/>
      <c r="B326" s="1">
        <v>888</v>
      </c>
      <c r="C326" s="9">
        <v>43834</v>
      </c>
      <c r="D326" s="17"/>
      <c r="E326" s="57" t="s">
        <v>3864</v>
      </c>
      <c r="F326" s="50">
        <v>318</v>
      </c>
      <c r="G326" s="1861"/>
      <c r="H326" s="1"/>
      <c r="I326" s="57" t="s">
        <v>3865</v>
      </c>
      <c r="J326" s="13" t="s">
        <v>3866</v>
      </c>
    </row>
    <row r="327" spans="1:10" ht="14.25" customHeight="1">
      <c r="A327" s="1"/>
      <c r="B327" s="1">
        <v>889</v>
      </c>
      <c r="C327" s="9">
        <v>43836</v>
      </c>
      <c r="D327" s="17" t="s">
        <v>3867</v>
      </c>
      <c r="E327" s="57" t="s">
        <v>3868</v>
      </c>
      <c r="F327" s="50">
        <v>319</v>
      </c>
      <c r="G327" s="1861"/>
      <c r="H327" s="1"/>
      <c r="I327" s="57" t="s">
        <v>3869</v>
      </c>
      <c r="J327" s="13" t="s">
        <v>528</v>
      </c>
    </row>
    <row r="328" spans="1:10" ht="14.25" customHeight="1">
      <c r="A328" s="1"/>
      <c r="B328" s="1">
        <v>890</v>
      </c>
      <c r="C328" s="9">
        <v>43840</v>
      </c>
      <c r="D328" s="17" t="s">
        <v>3870</v>
      </c>
      <c r="E328" s="57" t="s">
        <v>3871</v>
      </c>
      <c r="F328" s="50">
        <v>320</v>
      </c>
      <c r="G328" s="1861"/>
      <c r="H328" s="1"/>
      <c r="I328" s="57" t="s">
        <v>3872</v>
      </c>
      <c r="J328" s="13" t="s">
        <v>39</v>
      </c>
    </row>
    <row r="329" spans="1:10" ht="14.25" customHeight="1">
      <c r="A329" s="1"/>
      <c r="B329" s="1">
        <v>891</v>
      </c>
      <c r="C329" s="9">
        <v>43840</v>
      </c>
      <c r="D329" s="17" t="s">
        <v>1072</v>
      </c>
      <c r="E329" s="57" t="s">
        <v>3873</v>
      </c>
      <c r="F329" s="50">
        <v>321</v>
      </c>
      <c r="G329" s="1861"/>
      <c r="H329" s="1"/>
      <c r="I329" s="57" t="s">
        <v>3874</v>
      </c>
      <c r="J329" s="13" t="s">
        <v>528</v>
      </c>
    </row>
    <row r="330" spans="1:10" ht="14.25" customHeight="1">
      <c r="A330" s="1"/>
      <c r="B330" s="1">
        <v>897</v>
      </c>
      <c r="C330" s="9">
        <v>43842</v>
      </c>
      <c r="D330" s="17"/>
      <c r="E330" s="57" t="s">
        <v>3875</v>
      </c>
      <c r="F330" s="50">
        <v>322</v>
      </c>
      <c r="G330" s="1861"/>
      <c r="H330" s="1"/>
      <c r="I330" s="57" t="s">
        <v>3876</v>
      </c>
      <c r="J330" s="13" t="s">
        <v>39</v>
      </c>
    </row>
    <row r="331" spans="1:10" ht="14.25" customHeight="1">
      <c r="A331" s="1"/>
      <c r="B331" s="1">
        <v>898</v>
      </c>
      <c r="C331" s="9">
        <v>43842</v>
      </c>
      <c r="D331" s="17"/>
      <c r="E331" s="57" t="s">
        <v>3792</v>
      </c>
      <c r="F331" s="50">
        <v>323</v>
      </c>
      <c r="G331" s="1861"/>
      <c r="H331" s="1"/>
      <c r="I331" s="57" t="s">
        <v>3877</v>
      </c>
      <c r="J331" s="13" t="s">
        <v>39</v>
      </c>
    </row>
    <row r="332" spans="1:10" ht="14.25" customHeight="1">
      <c r="A332" s="1"/>
      <c r="B332" s="1">
        <v>899</v>
      </c>
      <c r="C332" s="9">
        <v>43842</v>
      </c>
      <c r="D332" s="17"/>
      <c r="E332" s="57" t="s">
        <v>3750</v>
      </c>
      <c r="F332" s="50">
        <v>324</v>
      </c>
      <c r="G332" s="1861"/>
      <c r="H332" s="1"/>
      <c r="I332" s="57" t="s">
        <v>3878</v>
      </c>
      <c r="J332" s="13" t="s">
        <v>39</v>
      </c>
    </row>
    <row r="333" spans="1:10" ht="14.25" customHeight="1">
      <c r="A333" s="1"/>
      <c r="B333" s="1">
        <v>900</v>
      </c>
      <c r="C333" s="9">
        <v>43842</v>
      </c>
      <c r="D333" s="17"/>
      <c r="E333" s="57" t="s">
        <v>3747</v>
      </c>
      <c r="F333" s="50">
        <v>325</v>
      </c>
      <c r="G333" s="1861"/>
      <c r="H333" s="1"/>
      <c r="I333" s="57" t="s">
        <v>3879</v>
      </c>
      <c r="J333" s="13" t="s">
        <v>39</v>
      </c>
    </row>
    <row r="334" spans="1:10" ht="14.25" customHeight="1">
      <c r="A334" s="1"/>
      <c r="B334" s="1">
        <v>904</v>
      </c>
      <c r="C334" s="9">
        <v>43846</v>
      </c>
      <c r="D334" s="17" t="s">
        <v>3880</v>
      </c>
      <c r="E334" s="57" t="s">
        <v>2156</v>
      </c>
      <c r="F334" s="50">
        <v>326</v>
      </c>
      <c r="G334" s="1861"/>
      <c r="H334" s="1"/>
      <c r="I334" s="57" t="s">
        <v>3881</v>
      </c>
      <c r="J334" s="13" t="s">
        <v>3882</v>
      </c>
    </row>
    <row r="335" spans="1:10" ht="14.25" customHeight="1">
      <c r="A335" s="1"/>
      <c r="B335" s="1">
        <v>912</v>
      </c>
      <c r="C335" s="1"/>
      <c r="D335" s="17"/>
      <c r="E335" s="57" t="s">
        <v>3265</v>
      </c>
      <c r="F335" s="50">
        <v>327</v>
      </c>
      <c r="G335" s="1861"/>
      <c r="H335" s="1"/>
      <c r="I335" s="57" t="s">
        <v>3883</v>
      </c>
      <c r="J335" s="13" t="s">
        <v>251</v>
      </c>
    </row>
    <row r="336" spans="1:10" ht="14.25" customHeight="1">
      <c r="A336" s="1" t="s">
        <v>1545</v>
      </c>
      <c r="B336" s="1">
        <v>918</v>
      </c>
      <c r="C336" s="9">
        <v>43857</v>
      </c>
      <c r="D336" s="17" t="s">
        <v>1673</v>
      </c>
      <c r="E336" s="57" t="s">
        <v>372</v>
      </c>
      <c r="F336" s="50">
        <v>328</v>
      </c>
      <c r="G336" s="1861"/>
      <c r="H336" s="1"/>
      <c r="I336" s="57" t="s">
        <v>3884</v>
      </c>
      <c r="J336" s="13" t="s">
        <v>251</v>
      </c>
    </row>
    <row r="337" spans="1:11" ht="14.25" customHeight="1">
      <c r="A337" s="1" t="s">
        <v>1545</v>
      </c>
      <c r="B337" s="1">
        <v>919</v>
      </c>
      <c r="C337" s="9">
        <v>43857</v>
      </c>
      <c r="D337" s="17" t="s">
        <v>3885</v>
      </c>
      <c r="E337" s="57" t="s">
        <v>3886</v>
      </c>
      <c r="F337" s="50">
        <v>329</v>
      </c>
      <c r="G337" s="1861"/>
      <c r="H337" s="1"/>
      <c r="I337" s="57" t="s">
        <v>3887</v>
      </c>
      <c r="J337" s="13" t="s">
        <v>100</v>
      </c>
    </row>
    <row r="338" spans="1:11" ht="14.25" customHeight="1">
      <c r="A338" s="1" t="s">
        <v>1545</v>
      </c>
      <c r="B338" s="1">
        <v>920</v>
      </c>
      <c r="C338" s="9">
        <v>43858</v>
      </c>
      <c r="D338" s="17" t="s">
        <v>3888</v>
      </c>
      <c r="E338" s="57" t="s">
        <v>1717</v>
      </c>
      <c r="F338" s="50">
        <v>330</v>
      </c>
      <c r="G338" s="1861"/>
      <c r="H338" s="1"/>
      <c r="I338" s="57" t="s">
        <v>3889</v>
      </c>
      <c r="J338" s="13" t="s">
        <v>251</v>
      </c>
    </row>
    <row r="339" spans="1:11" ht="14.25" customHeight="1">
      <c r="A339" s="1" t="s">
        <v>1545</v>
      </c>
      <c r="B339" s="1">
        <v>922</v>
      </c>
      <c r="C339" s="9">
        <v>43859</v>
      </c>
      <c r="D339" s="17" t="s">
        <v>3890</v>
      </c>
      <c r="E339" s="57" t="s">
        <v>3891</v>
      </c>
      <c r="F339" s="50">
        <v>331</v>
      </c>
      <c r="G339" s="1861"/>
      <c r="H339" s="1"/>
      <c r="I339" s="57" t="s">
        <v>3892</v>
      </c>
      <c r="J339" s="13" t="s">
        <v>3893</v>
      </c>
    </row>
    <row r="340" spans="1:11" ht="14.25" customHeight="1">
      <c r="A340" s="1"/>
      <c r="B340" s="1">
        <v>923</v>
      </c>
      <c r="C340" s="9">
        <v>43864</v>
      </c>
      <c r="D340" s="17" t="s">
        <v>1724</v>
      </c>
      <c r="E340" s="57" t="s">
        <v>3894</v>
      </c>
      <c r="F340" s="50">
        <v>332</v>
      </c>
      <c r="G340" s="1861"/>
      <c r="H340" s="1"/>
      <c r="I340" s="57" t="s">
        <v>3895</v>
      </c>
      <c r="J340" s="13" t="s">
        <v>77</v>
      </c>
    </row>
    <row r="341" spans="1:11" ht="14.25" customHeight="1">
      <c r="A341" s="1"/>
      <c r="B341" s="1"/>
      <c r="C341" s="1"/>
      <c r="D341" s="17" t="s">
        <v>1724</v>
      </c>
      <c r="E341" s="57" t="s">
        <v>1907</v>
      </c>
      <c r="F341" s="50"/>
      <c r="G341" s="1861"/>
      <c r="H341" s="1"/>
      <c r="I341" s="57" t="s">
        <v>3896</v>
      </c>
      <c r="J341" s="13" t="s">
        <v>39</v>
      </c>
    </row>
    <row r="342" spans="1:11" ht="14.25" customHeight="1">
      <c r="A342" s="1"/>
      <c r="B342" s="1">
        <v>928</v>
      </c>
      <c r="C342" s="9">
        <v>43869</v>
      </c>
      <c r="D342" s="17" t="s">
        <v>3604</v>
      </c>
      <c r="E342" s="57" t="s">
        <v>3605</v>
      </c>
      <c r="F342" s="50" t="s">
        <v>3897</v>
      </c>
      <c r="G342" s="1861"/>
      <c r="H342" s="1"/>
      <c r="I342" s="57" t="s">
        <v>3898</v>
      </c>
      <c r="J342" s="13" t="s">
        <v>268</v>
      </c>
    </row>
    <row r="343" spans="1:11" ht="14.25" customHeight="1">
      <c r="A343" s="1" t="s">
        <v>1545</v>
      </c>
      <c r="B343" s="1">
        <v>930</v>
      </c>
      <c r="C343" s="9">
        <v>43871</v>
      </c>
      <c r="D343" s="17" t="s">
        <v>3899</v>
      </c>
      <c r="E343" s="57" t="s">
        <v>3900</v>
      </c>
      <c r="F343" s="50">
        <v>334</v>
      </c>
      <c r="G343" s="1861"/>
      <c r="H343" s="1"/>
      <c r="I343" s="57" t="s">
        <v>3901</v>
      </c>
      <c r="J343" s="13" t="s">
        <v>268</v>
      </c>
    </row>
    <row r="344" spans="1:11" ht="14.25" customHeight="1">
      <c r="A344" s="1"/>
      <c r="B344" s="1">
        <v>935</v>
      </c>
      <c r="C344" s="9">
        <v>43878</v>
      </c>
      <c r="D344" s="17" t="s">
        <v>3902</v>
      </c>
      <c r="E344" s="57" t="s">
        <v>3903</v>
      </c>
      <c r="F344" s="50">
        <v>335</v>
      </c>
      <c r="G344" s="1861"/>
      <c r="H344" s="1"/>
      <c r="I344" s="57" t="s">
        <v>3904</v>
      </c>
      <c r="J344" s="13" t="s">
        <v>528</v>
      </c>
      <c r="K344" s="65" t="s">
        <v>3731</v>
      </c>
    </row>
    <row r="345" spans="1:11" ht="14.25" customHeight="1">
      <c r="A345" s="1" t="s">
        <v>1545</v>
      </c>
      <c r="B345" s="1">
        <v>936</v>
      </c>
      <c r="C345" s="9">
        <v>43878</v>
      </c>
      <c r="D345" s="17" t="s">
        <v>1740</v>
      </c>
      <c r="E345" s="57" t="s">
        <v>1741</v>
      </c>
      <c r="F345" s="50">
        <v>336</v>
      </c>
      <c r="G345" s="1861"/>
      <c r="H345" s="1"/>
      <c r="I345" s="57" t="s">
        <v>3905</v>
      </c>
      <c r="J345" s="13" t="s">
        <v>3882</v>
      </c>
    </row>
    <row r="346" spans="1:11" ht="14.25" customHeight="1">
      <c r="A346" s="1"/>
      <c r="B346" s="1"/>
      <c r="C346" s="9">
        <v>43880</v>
      </c>
      <c r="D346" s="17" t="s">
        <v>1743</v>
      </c>
      <c r="E346" s="57" t="s">
        <v>1744</v>
      </c>
      <c r="F346" s="50">
        <v>337</v>
      </c>
      <c r="G346" s="1861"/>
      <c r="H346" s="1"/>
      <c r="I346" s="10" t="s">
        <v>3906</v>
      </c>
      <c r="J346" s="13" t="s">
        <v>528</v>
      </c>
    </row>
    <row r="347" spans="1:11" ht="14.25" customHeight="1">
      <c r="A347" s="1"/>
      <c r="B347" s="1"/>
      <c r="C347" s="9">
        <v>43880</v>
      </c>
      <c r="D347" s="17" t="s">
        <v>1777</v>
      </c>
      <c r="E347" s="57" t="s">
        <v>1778</v>
      </c>
      <c r="F347" s="50">
        <v>338</v>
      </c>
      <c r="G347" s="1861"/>
      <c r="H347" s="1"/>
      <c r="I347" s="10" t="s">
        <v>3907</v>
      </c>
      <c r="J347" s="13" t="s">
        <v>268</v>
      </c>
    </row>
    <row r="348" spans="1:11" ht="14.25" customHeight="1">
      <c r="A348" s="1"/>
      <c r="B348" s="1"/>
      <c r="C348" s="9">
        <v>43885</v>
      </c>
      <c r="D348" s="17" t="s">
        <v>3890</v>
      </c>
      <c r="E348" s="57" t="s">
        <v>3891</v>
      </c>
      <c r="F348" s="50">
        <v>339</v>
      </c>
      <c r="G348" s="1861"/>
      <c r="H348" s="1"/>
      <c r="I348" s="10" t="s">
        <v>3908</v>
      </c>
      <c r="J348" s="13" t="s">
        <v>39</v>
      </c>
    </row>
    <row r="349" spans="1:11" ht="14.25" customHeight="1">
      <c r="A349" s="1"/>
      <c r="B349" s="1"/>
      <c r="C349" s="9">
        <v>43889</v>
      </c>
      <c r="D349" s="17" t="s">
        <v>385</v>
      </c>
      <c r="E349" s="57" t="s">
        <v>2494</v>
      </c>
      <c r="F349" s="50">
        <v>340</v>
      </c>
      <c r="G349" s="1861"/>
      <c r="H349" s="1" t="s">
        <v>2936</v>
      </c>
      <c r="I349" s="10" t="s">
        <v>3909</v>
      </c>
      <c r="J349" s="13" t="s">
        <v>92</v>
      </c>
    </row>
    <row r="350" spans="1:11" ht="14.25" customHeight="1">
      <c r="A350" s="1"/>
      <c r="B350" s="1"/>
      <c r="C350" s="9">
        <v>43891</v>
      </c>
      <c r="D350" s="17" t="s">
        <v>385</v>
      </c>
      <c r="E350" s="57" t="s">
        <v>3910</v>
      </c>
      <c r="F350" s="50">
        <v>341</v>
      </c>
      <c r="G350" s="1861"/>
      <c r="H350" s="1"/>
      <c r="I350" s="10" t="s">
        <v>3911</v>
      </c>
      <c r="J350" s="13" t="s">
        <v>39</v>
      </c>
    </row>
    <row r="351" spans="1:11" ht="14.25" customHeight="1">
      <c r="A351" s="1"/>
      <c r="B351" s="1">
        <v>949</v>
      </c>
      <c r="C351" s="9">
        <v>43899</v>
      </c>
      <c r="D351" s="17" t="s">
        <v>3912</v>
      </c>
      <c r="E351" s="57" t="s">
        <v>3913</v>
      </c>
      <c r="F351" s="50">
        <v>342</v>
      </c>
      <c r="G351" s="1861"/>
      <c r="H351" s="1" t="s">
        <v>3914</v>
      </c>
      <c r="I351" s="57" t="s">
        <v>3915</v>
      </c>
      <c r="J351" s="13" t="s">
        <v>39</v>
      </c>
    </row>
    <row r="352" spans="1:11" ht="14.25" customHeight="1">
      <c r="A352" s="1"/>
      <c r="B352" s="1"/>
      <c r="C352" s="9">
        <v>43901</v>
      </c>
      <c r="D352" s="17" t="s">
        <v>3746</v>
      </c>
      <c r="E352" s="57" t="s">
        <v>3916</v>
      </c>
      <c r="F352" s="50">
        <v>343</v>
      </c>
      <c r="G352" s="1861"/>
      <c r="H352" s="1" t="s">
        <v>3914</v>
      </c>
      <c r="I352" s="10" t="s">
        <v>3917</v>
      </c>
      <c r="J352" s="13" t="s">
        <v>39</v>
      </c>
    </row>
    <row r="353" spans="1:10" ht="14.25" customHeight="1">
      <c r="A353" s="1"/>
      <c r="B353" s="1">
        <v>951</v>
      </c>
      <c r="C353" s="9">
        <v>43903</v>
      </c>
      <c r="D353" s="17" t="s">
        <v>3918</v>
      </c>
      <c r="E353" s="57" t="s">
        <v>3919</v>
      </c>
      <c r="F353" s="50">
        <v>344</v>
      </c>
      <c r="G353" s="1861"/>
      <c r="H353" s="1"/>
      <c r="I353" s="57" t="s">
        <v>3920</v>
      </c>
      <c r="J353" s="13" t="s">
        <v>39</v>
      </c>
    </row>
    <row r="354" spans="1:10" ht="14.25" customHeight="1">
      <c r="A354" s="1"/>
      <c r="B354" s="1">
        <v>952</v>
      </c>
      <c r="C354" s="1"/>
      <c r="D354" s="17"/>
      <c r="E354" s="57" t="s">
        <v>3526</v>
      </c>
      <c r="F354" s="50">
        <v>345</v>
      </c>
      <c r="G354" s="1861"/>
      <c r="H354" s="1"/>
      <c r="I354" s="10" t="s">
        <v>3921</v>
      </c>
      <c r="J354" s="13" t="s">
        <v>39</v>
      </c>
    </row>
    <row r="355" spans="1:10" ht="14.25" customHeight="1">
      <c r="A355" s="1"/>
      <c r="B355" s="1">
        <v>953</v>
      </c>
      <c r="C355" s="9">
        <v>43905</v>
      </c>
      <c r="D355" s="17" t="s">
        <v>3922</v>
      </c>
      <c r="E355" s="57" t="s">
        <v>2358</v>
      </c>
      <c r="F355" s="50">
        <v>346</v>
      </c>
      <c r="G355" s="1861"/>
      <c r="H355" s="1"/>
      <c r="I355" s="10" t="s">
        <v>3923</v>
      </c>
      <c r="J355" s="13" t="s">
        <v>39</v>
      </c>
    </row>
    <row r="356" spans="1:10" ht="14.25" customHeight="1">
      <c r="A356" s="1"/>
      <c r="B356" s="1"/>
      <c r="C356" s="9">
        <v>43907</v>
      </c>
      <c r="D356" s="17" t="s">
        <v>3924</v>
      </c>
      <c r="E356" s="57" t="s">
        <v>3925</v>
      </c>
      <c r="F356" s="50">
        <v>347</v>
      </c>
      <c r="G356" s="1861"/>
      <c r="H356" s="1"/>
      <c r="I356" s="10" t="s">
        <v>3926</v>
      </c>
      <c r="J356" s="13" t="s">
        <v>528</v>
      </c>
    </row>
    <row r="357" spans="1:10" ht="14.25" customHeight="1">
      <c r="A357" s="1"/>
      <c r="B357" s="66">
        <v>956</v>
      </c>
      <c r="C357" s="1"/>
      <c r="D357" s="17"/>
      <c r="E357" s="57" t="s">
        <v>3927</v>
      </c>
      <c r="F357" s="50">
        <v>348</v>
      </c>
      <c r="G357" s="1861"/>
      <c r="H357" s="1"/>
      <c r="I357" s="57" t="s">
        <v>3928</v>
      </c>
      <c r="J357" s="13" t="s">
        <v>39</v>
      </c>
    </row>
    <row r="358" spans="1:10" ht="14.25" customHeight="1">
      <c r="A358" s="1"/>
      <c r="B358" s="1"/>
      <c r="C358" s="1"/>
      <c r="D358" s="17" t="s">
        <v>3929</v>
      </c>
      <c r="E358" s="57" t="s">
        <v>3930</v>
      </c>
      <c r="F358" s="50">
        <v>349</v>
      </c>
      <c r="G358" s="1861"/>
      <c r="H358" s="1" t="s">
        <v>1275</v>
      </c>
      <c r="I358" s="10" t="s">
        <v>3931</v>
      </c>
      <c r="J358" s="13" t="s">
        <v>114</v>
      </c>
    </row>
    <row r="359" spans="1:10" ht="14.25" customHeight="1">
      <c r="A359" s="1"/>
      <c r="B359" s="1"/>
      <c r="C359" s="1"/>
      <c r="D359" s="17" t="s">
        <v>3550</v>
      </c>
      <c r="E359" s="57" t="s">
        <v>1580</v>
      </c>
      <c r="F359" s="50" t="s">
        <v>3932</v>
      </c>
      <c r="G359" s="1861"/>
      <c r="H359" s="1" t="s">
        <v>1275</v>
      </c>
      <c r="I359" s="10" t="s">
        <v>3933</v>
      </c>
      <c r="J359" s="13" t="s">
        <v>114</v>
      </c>
    </row>
    <row r="360" spans="1:10" ht="14.25" customHeight="1">
      <c r="A360" s="1"/>
      <c r="B360" s="1"/>
      <c r="C360" s="1"/>
      <c r="D360" s="17" t="s">
        <v>3934</v>
      </c>
      <c r="E360" s="57" t="s">
        <v>390</v>
      </c>
      <c r="F360" s="50">
        <v>351</v>
      </c>
      <c r="G360" s="1861"/>
      <c r="H360" s="1" t="s">
        <v>516</v>
      </c>
      <c r="I360" s="10" t="s">
        <v>3935</v>
      </c>
      <c r="J360" s="13" t="s">
        <v>528</v>
      </c>
    </row>
    <row r="361" spans="1:10" ht="14.25" customHeight="1">
      <c r="A361" s="1"/>
      <c r="B361" s="1"/>
      <c r="C361" s="9">
        <v>44004</v>
      </c>
      <c r="D361" s="17" t="s">
        <v>1793</v>
      </c>
      <c r="E361" s="57" t="s">
        <v>1794</v>
      </c>
      <c r="F361" s="50" t="s">
        <v>3936</v>
      </c>
      <c r="G361" s="1861"/>
      <c r="H361" s="1" t="s">
        <v>1281</v>
      </c>
      <c r="I361" s="10" t="s">
        <v>3937</v>
      </c>
      <c r="J361" s="13" t="s">
        <v>528</v>
      </c>
    </row>
    <row r="362" spans="1:10" ht="14.25" customHeight="1">
      <c r="A362" s="1"/>
      <c r="B362" s="1"/>
      <c r="C362" s="9">
        <v>44005</v>
      </c>
      <c r="D362" s="17" t="s">
        <v>1789</v>
      </c>
      <c r="E362" s="57" t="s">
        <v>396</v>
      </c>
      <c r="F362" s="50">
        <v>352</v>
      </c>
      <c r="G362" s="1861"/>
      <c r="H362" s="1" t="s">
        <v>1281</v>
      </c>
      <c r="I362" s="10" t="s">
        <v>3938</v>
      </c>
      <c r="J362" s="13" t="s">
        <v>114</v>
      </c>
    </row>
    <row r="363" spans="1:10" ht="14.25" customHeight="1">
      <c r="A363" s="1"/>
      <c r="B363" s="1"/>
      <c r="C363" s="1"/>
      <c r="D363" s="17" t="s">
        <v>3939</v>
      </c>
      <c r="E363" s="57" t="s">
        <v>3940</v>
      </c>
      <c r="F363" s="50">
        <v>353</v>
      </c>
      <c r="G363" s="1861"/>
      <c r="H363" s="1" t="s">
        <v>2018</v>
      </c>
      <c r="I363" s="10" t="s">
        <v>3941</v>
      </c>
      <c r="J363" s="13" t="s">
        <v>528</v>
      </c>
    </row>
    <row r="364" spans="1:10" ht="14.25" customHeight="1">
      <c r="A364" s="1"/>
      <c r="B364" s="1"/>
      <c r="C364" s="1"/>
      <c r="D364" s="17" t="s">
        <v>3939</v>
      </c>
      <c r="E364" s="57" t="s">
        <v>3942</v>
      </c>
      <c r="F364" s="50">
        <v>355</v>
      </c>
      <c r="G364" s="1861"/>
      <c r="H364" s="1" t="s">
        <v>2018</v>
      </c>
      <c r="I364" s="10" t="s">
        <v>3943</v>
      </c>
      <c r="J364" s="13" t="s">
        <v>528</v>
      </c>
    </row>
    <row r="365" spans="1:10" ht="14.25" customHeight="1">
      <c r="A365" s="1"/>
      <c r="B365" s="1"/>
      <c r="C365" s="1"/>
      <c r="D365" s="17" t="s">
        <v>1588</v>
      </c>
      <c r="E365" s="57" t="s">
        <v>1122</v>
      </c>
      <c r="F365" s="50">
        <v>356</v>
      </c>
      <c r="G365" s="1861"/>
      <c r="H365" s="1" t="s">
        <v>3944</v>
      </c>
      <c r="I365" s="10" t="s">
        <v>3945</v>
      </c>
      <c r="J365" s="13" t="s">
        <v>39</v>
      </c>
    </row>
    <row r="366" spans="1:10" ht="14.25" customHeight="1">
      <c r="A366" s="1"/>
      <c r="B366" s="1"/>
      <c r="C366" s="9">
        <v>44013</v>
      </c>
      <c r="D366" s="17" t="s">
        <v>3946</v>
      </c>
      <c r="E366" s="57" t="s">
        <v>394</v>
      </c>
      <c r="F366" s="50">
        <v>357</v>
      </c>
      <c r="G366" s="1861"/>
      <c r="H366" s="1" t="s">
        <v>418</v>
      </c>
      <c r="I366" s="10" t="s">
        <v>3947</v>
      </c>
      <c r="J366" s="13" t="s">
        <v>39</v>
      </c>
    </row>
    <row r="367" spans="1:10" ht="14.25" customHeight="1">
      <c r="A367" s="1"/>
      <c r="B367" s="1">
        <v>1010</v>
      </c>
      <c r="C367" s="9">
        <v>44022</v>
      </c>
      <c r="D367" s="67" t="s">
        <v>1588</v>
      </c>
      <c r="E367" s="57" t="s">
        <v>1122</v>
      </c>
      <c r="F367" s="50">
        <v>358</v>
      </c>
      <c r="G367" s="1861"/>
      <c r="H367" s="1" t="s">
        <v>1591</v>
      </c>
      <c r="I367" s="57" t="s">
        <v>3948</v>
      </c>
      <c r="J367" s="13" t="s">
        <v>77</v>
      </c>
    </row>
    <row r="368" spans="1:10" ht="14.25" customHeight="1">
      <c r="A368" s="1"/>
      <c r="B368" s="1">
        <v>1011</v>
      </c>
      <c r="C368" s="9">
        <v>44025</v>
      </c>
      <c r="D368" s="17" t="s">
        <v>3949</v>
      </c>
      <c r="E368" s="57" t="s">
        <v>3950</v>
      </c>
      <c r="F368" s="50">
        <v>359</v>
      </c>
      <c r="G368" s="1861"/>
      <c r="H368" s="1" t="s">
        <v>1275</v>
      </c>
      <c r="I368" s="57" t="s">
        <v>3951</v>
      </c>
      <c r="J368" s="13" t="s">
        <v>3952</v>
      </c>
    </row>
    <row r="369" spans="1:10" ht="14.25" customHeight="1">
      <c r="A369" s="1"/>
      <c r="B369" s="1"/>
      <c r="C369" s="9">
        <v>44025</v>
      </c>
      <c r="D369" s="17" t="s">
        <v>3949</v>
      </c>
      <c r="E369" s="57" t="s">
        <v>3950</v>
      </c>
      <c r="F369" s="50">
        <v>360</v>
      </c>
      <c r="G369" s="1861"/>
      <c r="H369" s="1" t="s">
        <v>1275</v>
      </c>
      <c r="I369" s="10" t="s">
        <v>3953</v>
      </c>
      <c r="J369" s="13" t="s">
        <v>39</v>
      </c>
    </row>
    <row r="370" spans="1:10" ht="14.25" customHeight="1">
      <c r="A370" s="1"/>
      <c r="B370" s="1"/>
      <c r="C370" s="9">
        <v>44025</v>
      </c>
      <c r="D370" s="17" t="s">
        <v>401</v>
      </c>
      <c r="E370" s="57" t="s">
        <v>402</v>
      </c>
      <c r="F370" s="50">
        <v>361</v>
      </c>
      <c r="G370" s="1861"/>
      <c r="H370" s="1" t="s">
        <v>516</v>
      </c>
      <c r="I370" s="10" t="s">
        <v>3954</v>
      </c>
      <c r="J370" s="13" t="s">
        <v>77</v>
      </c>
    </row>
    <row r="371" spans="1:10" ht="14.25" customHeight="1">
      <c r="A371" s="1"/>
      <c r="B371" s="1"/>
      <c r="C371" s="9">
        <v>44025</v>
      </c>
      <c r="D371" s="17" t="s">
        <v>401</v>
      </c>
      <c r="E371" s="57" t="s">
        <v>404</v>
      </c>
      <c r="F371" s="50">
        <v>362</v>
      </c>
      <c r="G371" s="1861"/>
      <c r="H371" s="1" t="s">
        <v>516</v>
      </c>
      <c r="I371" s="10" t="s">
        <v>3955</v>
      </c>
      <c r="J371" s="13" t="s">
        <v>77</v>
      </c>
    </row>
    <row r="372" spans="1:10" ht="14.25" customHeight="1">
      <c r="A372" s="1"/>
      <c r="B372" s="1"/>
      <c r="C372" s="9">
        <v>44025</v>
      </c>
      <c r="D372" s="17" t="s">
        <v>401</v>
      </c>
      <c r="E372" s="57" t="s">
        <v>406</v>
      </c>
      <c r="F372" s="50">
        <v>363</v>
      </c>
      <c r="G372" s="1861"/>
      <c r="H372" s="1" t="s">
        <v>516</v>
      </c>
      <c r="I372" s="10" t="s">
        <v>3956</v>
      </c>
      <c r="J372" s="13" t="s">
        <v>77</v>
      </c>
    </row>
    <row r="373" spans="1:10" ht="14.25" customHeight="1">
      <c r="A373" s="1"/>
      <c r="B373" s="1">
        <v>1018</v>
      </c>
      <c r="C373" s="9">
        <v>44028</v>
      </c>
      <c r="D373" s="17" t="s">
        <v>3957</v>
      </c>
      <c r="E373" s="57" t="s">
        <v>3958</v>
      </c>
      <c r="F373" s="50">
        <v>364</v>
      </c>
      <c r="G373" s="1861"/>
      <c r="H373" s="1" t="s">
        <v>2018</v>
      </c>
      <c r="I373" s="57" t="s">
        <v>3959</v>
      </c>
      <c r="J373" s="13" t="s">
        <v>3952</v>
      </c>
    </row>
    <row r="374" spans="1:10" ht="14.25" customHeight="1">
      <c r="A374" s="1"/>
      <c r="B374" s="1"/>
      <c r="C374" s="9">
        <v>44042</v>
      </c>
      <c r="D374" s="17" t="s">
        <v>3960</v>
      </c>
      <c r="E374" s="57" t="s">
        <v>3961</v>
      </c>
      <c r="F374" s="50">
        <v>365</v>
      </c>
      <c r="G374" s="1861"/>
      <c r="H374" s="1" t="s">
        <v>1347</v>
      </c>
      <c r="I374" s="10" t="s">
        <v>3962</v>
      </c>
      <c r="J374" s="13" t="s">
        <v>77</v>
      </c>
    </row>
    <row r="375" spans="1:10" ht="14.25" customHeight="1">
      <c r="A375" s="1"/>
      <c r="B375" s="1"/>
      <c r="C375" s="9">
        <v>44042</v>
      </c>
      <c r="D375" s="17" t="s">
        <v>3963</v>
      </c>
      <c r="E375" s="57" t="s">
        <v>3964</v>
      </c>
      <c r="F375" s="50">
        <v>366</v>
      </c>
      <c r="G375" s="1861"/>
      <c r="H375" s="1" t="s">
        <v>3965</v>
      </c>
      <c r="I375" s="10" t="s">
        <v>3966</v>
      </c>
      <c r="J375" s="13" t="s">
        <v>39</v>
      </c>
    </row>
    <row r="376" spans="1:10" ht="14.25" customHeight="1">
      <c r="A376" s="1"/>
      <c r="B376" s="1"/>
      <c r="C376" s="9">
        <v>44043</v>
      </c>
      <c r="D376" s="17" t="s">
        <v>1865</v>
      </c>
      <c r="E376" s="57" t="s">
        <v>2468</v>
      </c>
      <c r="F376" s="50">
        <v>367</v>
      </c>
      <c r="G376" s="1861"/>
      <c r="H376" s="1" t="s">
        <v>1307</v>
      </c>
      <c r="I376" s="10" t="s">
        <v>3967</v>
      </c>
      <c r="J376" s="13" t="s">
        <v>39</v>
      </c>
    </row>
    <row r="377" spans="1:10" ht="14.25" customHeight="1">
      <c r="A377" s="1"/>
      <c r="B377" s="1"/>
      <c r="C377" s="9">
        <v>44047</v>
      </c>
      <c r="D377" s="17"/>
      <c r="E377" s="57" t="s">
        <v>3968</v>
      </c>
      <c r="F377" s="50">
        <v>368</v>
      </c>
      <c r="G377" s="1861"/>
      <c r="H377" s="1" t="s">
        <v>3969</v>
      </c>
      <c r="I377" s="10" t="s">
        <v>3970</v>
      </c>
      <c r="J377" s="13" t="s">
        <v>77</v>
      </c>
    </row>
    <row r="378" spans="1:10" ht="14.25" customHeight="1">
      <c r="A378" s="1"/>
      <c r="B378" s="1">
        <v>1029</v>
      </c>
      <c r="C378" s="9">
        <v>44047</v>
      </c>
      <c r="D378" s="17"/>
      <c r="E378" s="57" t="s">
        <v>3971</v>
      </c>
      <c r="F378" s="50">
        <v>369</v>
      </c>
      <c r="G378" s="1861"/>
      <c r="H378" s="1" t="s">
        <v>1892</v>
      </c>
      <c r="I378" s="57" t="s">
        <v>3972</v>
      </c>
      <c r="J378" s="13" t="s">
        <v>528</v>
      </c>
    </row>
    <row r="379" spans="1:10" ht="14.25" customHeight="1">
      <c r="A379" s="1"/>
      <c r="B379" s="1">
        <v>1030</v>
      </c>
      <c r="C379" s="9">
        <v>44047</v>
      </c>
      <c r="D379" s="17"/>
      <c r="E379" s="57" t="s">
        <v>3973</v>
      </c>
      <c r="F379" s="50">
        <v>370</v>
      </c>
      <c r="G379" s="1861"/>
      <c r="H379" s="1" t="s">
        <v>1892</v>
      </c>
      <c r="I379" s="57" t="s">
        <v>3974</v>
      </c>
      <c r="J379" s="13" t="s">
        <v>528</v>
      </c>
    </row>
    <row r="380" spans="1:10" ht="14.25" customHeight="1">
      <c r="A380" s="1"/>
      <c r="B380" s="1"/>
      <c r="C380" s="9">
        <v>44050</v>
      </c>
      <c r="D380" s="17"/>
      <c r="E380" s="57" t="s">
        <v>3975</v>
      </c>
      <c r="F380" s="50">
        <v>371</v>
      </c>
      <c r="G380" s="1861"/>
      <c r="H380" s="1" t="s">
        <v>1347</v>
      </c>
      <c r="I380" s="57" t="s">
        <v>3976</v>
      </c>
      <c r="J380" s="13" t="s">
        <v>77</v>
      </c>
    </row>
    <row r="381" spans="1:10" ht="14.25" customHeight="1">
      <c r="A381" s="1"/>
      <c r="B381" s="1"/>
      <c r="C381" s="9">
        <v>44058</v>
      </c>
      <c r="D381" s="17"/>
      <c r="E381" s="57" t="s">
        <v>411</v>
      </c>
      <c r="F381" s="50" t="s">
        <v>3977</v>
      </c>
      <c r="G381" s="1861"/>
      <c r="H381" s="1" t="s">
        <v>3978</v>
      </c>
      <c r="I381" s="57" t="s">
        <v>3979</v>
      </c>
      <c r="J381" s="13" t="s">
        <v>3893</v>
      </c>
    </row>
    <row r="382" spans="1:10" ht="14.25" customHeight="1">
      <c r="A382" s="1"/>
      <c r="B382" s="1">
        <v>1039</v>
      </c>
      <c r="C382" s="9">
        <v>44073</v>
      </c>
      <c r="D382" s="17" t="s">
        <v>1878</v>
      </c>
      <c r="E382" s="57" t="s">
        <v>3980</v>
      </c>
      <c r="F382" s="50">
        <v>373</v>
      </c>
      <c r="G382" s="1861"/>
      <c r="H382" s="1" t="s">
        <v>1275</v>
      </c>
      <c r="I382" s="57" t="s">
        <v>3981</v>
      </c>
      <c r="J382" s="13" t="s">
        <v>528</v>
      </c>
    </row>
    <row r="383" spans="1:10" ht="14.25" customHeight="1">
      <c r="A383" s="1"/>
      <c r="B383" s="1"/>
      <c r="C383" s="1"/>
      <c r="D383" s="17"/>
      <c r="E383" s="57" t="s">
        <v>2150</v>
      </c>
      <c r="F383" s="50">
        <v>374</v>
      </c>
      <c r="G383" s="1861"/>
      <c r="H383" s="1" t="s">
        <v>1347</v>
      </c>
      <c r="I383" s="57" t="s">
        <v>3982</v>
      </c>
      <c r="J383" s="13" t="s">
        <v>528</v>
      </c>
    </row>
    <row r="384" spans="1:10" ht="14.25" customHeight="1">
      <c r="A384" s="1"/>
      <c r="B384" s="1">
        <v>1052</v>
      </c>
      <c r="C384" s="9">
        <v>44085</v>
      </c>
      <c r="D384" s="17"/>
      <c r="E384" s="57" t="s">
        <v>1160</v>
      </c>
      <c r="F384" s="50">
        <v>375</v>
      </c>
      <c r="G384" s="1861"/>
      <c r="H384" s="1" t="s">
        <v>1785</v>
      </c>
      <c r="I384" s="57" t="s">
        <v>3983</v>
      </c>
      <c r="J384" s="13" t="s">
        <v>528</v>
      </c>
    </row>
    <row r="385" spans="1:10" ht="14.25" customHeight="1">
      <c r="A385" s="1"/>
      <c r="B385" s="1">
        <v>1056</v>
      </c>
      <c r="C385" s="9">
        <v>44085</v>
      </c>
      <c r="D385" s="17" t="s">
        <v>3569</v>
      </c>
      <c r="E385" s="57" t="s">
        <v>3984</v>
      </c>
      <c r="F385" s="50" t="s">
        <v>3985</v>
      </c>
      <c r="G385" s="1861"/>
      <c r="H385" s="1" t="s">
        <v>1392</v>
      </c>
      <c r="I385" s="57" t="s">
        <v>3986</v>
      </c>
      <c r="J385" s="13" t="s">
        <v>39</v>
      </c>
    </row>
    <row r="386" spans="1:10" ht="14.25" customHeight="1">
      <c r="A386" s="1"/>
      <c r="B386" s="1">
        <v>1060</v>
      </c>
      <c r="C386" s="9">
        <v>44089</v>
      </c>
      <c r="D386" s="17"/>
      <c r="E386" s="57" t="s">
        <v>3987</v>
      </c>
      <c r="F386" s="50">
        <v>377</v>
      </c>
      <c r="G386" s="1861"/>
      <c r="H386" s="1" t="s">
        <v>1347</v>
      </c>
      <c r="I386" s="57" t="s">
        <v>3988</v>
      </c>
      <c r="J386" s="13" t="s">
        <v>39</v>
      </c>
    </row>
    <row r="387" spans="1:10" ht="14.25" customHeight="1">
      <c r="A387" s="1"/>
      <c r="B387" s="1">
        <v>1063</v>
      </c>
      <c r="C387" s="9">
        <v>44089</v>
      </c>
      <c r="D387" s="17" t="s">
        <v>3989</v>
      </c>
      <c r="E387" s="57" t="s">
        <v>3990</v>
      </c>
      <c r="F387" s="50">
        <v>378</v>
      </c>
      <c r="G387" s="1861"/>
      <c r="H387" s="1" t="s">
        <v>1347</v>
      </c>
      <c r="I387" s="57" t="s">
        <v>3991</v>
      </c>
      <c r="J387" s="13" t="s">
        <v>507</v>
      </c>
    </row>
    <row r="388" spans="1:10" ht="14.25" customHeight="1">
      <c r="A388" s="1"/>
      <c r="B388" s="1">
        <v>1067</v>
      </c>
      <c r="C388" s="9">
        <v>44090</v>
      </c>
      <c r="D388" s="17" t="s">
        <v>3989</v>
      </c>
      <c r="E388" s="57" t="s">
        <v>3990</v>
      </c>
      <c r="F388" s="50" t="s">
        <v>3992</v>
      </c>
      <c r="G388" s="1861"/>
      <c r="H388" s="1" t="s">
        <v>1347</v>
      </c>
      <c r="I388" s="57" t="s">
        <v>3993</v>
      </c>
      <c r="J388" s="13" t="s">
        <v>507</v>
      </c>
    </row>
    <row r="389" spans="1:10" ht="14.25" customHeight="1">
      <c r="A389" s="1"/>
      <c r="B389" s="1"/>
      <c r="C389" s="9">
        <v>44095</v>
      </c>
      <c r="D389" s="17"/>
      <c r="E389" s="57" t="s">
        <v>3994</v>
      </c>
      <c r="F389" s="50">
        <v>380</v>
      </c>
      <c r="G389" s="1861"/>
      <c r="H389" s="1" t="s">
        <v>3995</v>
      </c>
      <c r="I389" s="2" t="s">
        <v>3996</v>
      </c>
      <c r="J389" s="13" t="s">
        <v>528</v>
      </c>
    </row>
    <row r="390" spans="1:10" ht="14.25" customHeight="1">
      <c r="A390" s="1"/>
      <c r="B390" s="1"/>
      <c r="C390" s="1"/>
      <c r="D390" s="17"/>
      <c r="E390" s="57" t="s">
        <v>1907</v>
      </c>
      <c r="F390" s="50">
        <v>381</v>
      </c>
      <c r="G390" s="1861"/>
      <c r="H390" s="1"/>
      <c r="I390" s="57" t="s">
        <v>3997</v>
      </c>
      <c r="J390" s="13" t="s">
        <v>528</v>
      </c>
    </row>
    <row r="391" spans="1:10" ht="14.25" customHeight="1">
      <c r="A391" s="1"/>
      <c r="B391" s="1">
        <v>1077</v>
      </c>
      <c r="C391" s="1"/>
      <c r="D391" s="17" t="s">
        <v>3998</v>
      </c>
      <c r="E391" s="57" t="s">
        <v>3999</v>
      </c>
      <c r="F391" s="50">
        <v>382</v>
      </c>
      <c r="G391" s="1861"/>
      <c r="H391" s="1" t="s">
        <v>2047</v>
      </c>
      <c r="I391" s="2" t="s">
        <v>4000</v>
      </c>
      <c r="J391" s="13" t="s">
        <v>77</v>
      </c>
    </row>
    <row r="392" spans="1:10" ht="14.25" customHeight="1">
      <c r="A392" s="1"/>
      <c r="B392" s="1">
        <v>1078</v>
      </c>
      <c r="C392" s="1"/>
      <c r="D392" s="17" t="s">
        <v>3998</v>
      </c>
      <c r="E392" s="57" t="s">
        <v>4001</v>
      </c>
      <c r="F392" s="50">
        <v>383</v>
      </c>
      <c r="G392" s="1861"/>
      <c r="H392" s="1" t="s">
        <v>2047</v>
      </c>
      <c r="I392" s="57" t="s">
        <v>4002</v>
      </c>
      <c r="J392" s="13" t="s">
        <v>77</v>
      </c>
    </row>
    <row r="393" spans="1:10" ht="14.25" customHeight="1">
      <c r="A393" s="1"/>
      <c r="B393" s="1">
        <v>1080</v>
      </c>
      <c r="C393" s="9">
        <v>44109</v>
      </c>
      <c r="D393" s="17" t="s">
        <v>1940</v>
      </c>
      <c r="E393" s="57" t="s">
        <v>4003</v>
      </c>
      <c r="F393" s="50">
        <v>384</v>
      </c>
      <c r="G393" s="1861"/>
      <c r="H393" s="1" t="s">
        <v>1219</v>
      </c>
      <c r="I393" s="57" t="s">
        <v>4004</v>
      </c>
      <c r="J393" s="13" t="s">
        <v>39</v>
      </c>
    </row>
    <row r="394" spans="1:10" ht="14.25" customHeight="1">
      <c r="A394" s="1"/>
      <c r="B394" s="1">
        <v>1082</v>
      </c>
      <c r="C394" s="9">
        <v>44109</v>
      </c>
      <c r="D394" s="17" t="s">
        <v>2312</v>
      </c>
      <c r="E394" s="57" t="s">
        <v>4005</v>
      </c>
      <c r="F394" s="50">
        <v>385</v>
      </c>
      <c r="G394" s="1861"/>
      <c r="H394" s="1" t="s">
        <v>2018</v>
      </c>
      <c r="I394" s="57" t="s">
        <v>4006</v>
      </c>
      <c r="J394" s="13" t="s">
        <v>39</v>
      </c>
    </row>
    <row r="395" spans="1:10" ht="14.25" customHeight="1">
      <c r="A395" s="1"/>
      <c r="B395" s="1">
        <v>1083</v>
      </c>
      <c r="C395" s="9">
        <v>44109</v>
      </c>
      <c r="D395" s="17" t="s">
        <v>1977</v>
      </c>
      <c r="E395" s="57" t="s">
        <v>1978</v>
      </c>
      <c r="F395" s="50">
        <v>386</v>
      </c>
      <c r="G395" s="1861"/>
      <c r="H395" s="1" t="s">
        <v>1785</v>
      </c>
      <c r="I395" s="54" t="s">
        <v>4007</v>
      </c>
      <c r="J395" s="13" t="s">
        <v>77</v>
      </c>
    </row>
    <row r="396" spans="1:10" ht="14.25" customHeight="1">
      <c r="A396" s="1"/>
      <c r="B396" s="1">
        <v>1085</v>
      </c>
      <c r="C396" s="9">
        <v>44110</v>
      </c>
      <c r="D396" s="17" t="s">
        <v>4008</v>
      </c>
      <c r="E396" s="57" t="s">
        <v>4009</v>
      </c>
      <c r="F396" s="50">
        <v>387</v>
      </c>
      <c r="G396" s="1861"/>
      <c r="H396" s="1" t="s">
        <v>2047</v>
      </c>
      <c r="I396" s="10" t="s">
        <v>4010</v>
      </c>
      <c r="J396" s="13" t="s">
        <v>528</v>
      </c>
    </row>
    <row r="397" spans="1:10" ht="14.25" customHeight="1">
      <c r="A397" s="1"/>
      <c r="B397" s="1">
        <v>1086</v>
      </c>
      <c r="C397" s="9">
        <v>44110</v>
      </c>
      <c r="D397" s="17" t="s">
        <v>4011</v>
      </c>
      <c r="E397" s="57" t="s">
        <v>4012</v>
      </c>
      <c r="F397" s="50">
        <v>388</v>
      </c>
      <c r="G397" s="1861"/>
      <c r="H397" s="1" t="s">
        <v>2696</v>
      </c>
      <c r="I397" s="57" t="s">
        <v>4013</v>
      </c>
      <c r="J397" s="13" t="s">
        <v>4014</v>
      </c>
    </row>
    <row r="398" spans="1:10" ht="14.25" customHeight="1">
      <c r="A398" s="1"/>
      <c r="B398" s="1">
        <v>1091</v>
      </c>
      <c r="C398" s="9">
        <v>44114</v>
      </c>
      <c r="D398" s="17" t="s">
        <v>4015</v>
      </c>
      <c r="E398" s="57" t="s">
        <v>4016</v>
      </c>
      <c r="F398" s="50">
        <v>389</v>
      </c>
      <c r="G398" s="1861"/>
      <c r="H398" s="1" t="s">
        <v>4017</v>
      </c>
      <c r="I398" s="10" t="s">
        <v>4018</v>
      </c>
      <c r="J398" s="13" t="s">
        <v>507</v>
      </c>
    </row>
    <row r="399" spans="1:10" ht="14.25" customHeight="1">
      <c r="A399" s="1"/>
      <c r="B399" s="1"/>
      <c r="C399" s="9">
        <v>44116</v>
      </c>
      <c r="D399" s="17"/>
      <c r="E399" s="57" t="s">
        <v>4019</v>
      </c>
      <c r="F399" s="50">
        <v>390</v>
      </c>
      <c r="G399" s="1861"/>
      <c r="H399" s="1" t="s">
        <v>1541</v>
      </c>
      <c r="I399" s="10" t="s">
        <v>4020</v>
      </c>
      <c r="J399" s="13" t="s">
        <v>39</v>
      </c>
    </row>
    <row r="400" spans="1:10" ht="14.25" customHeight="1">
      <c r="A400" s="1"/>
      <c r="B400" s="1"/>
      <c r="C400" s="9">
        <v>44123</v>
      </c>
      <c r="D400" s="17" t="s">
        <v>4021</v>
      </c>
      <c r="E400" s="57" t="s">
        <v>2412</v>
      </c>
      <c r="F400" s="50">
        <v>391</v>
      </c>
      <c r="G400" s="1861"/>
      <c r="H400" s="1" t="s">
        <v>1281</v>
      </c>
      <c r="I400" s="10" t="s">
        <v>4022</v>
      </c>
      <c r="J400" s="13" t="s">
        <v>39</v>
      </c>
    </row>
    <row r="401" spans="1:10" ht="14.25" customHeight="1">
      <c r="A401" s="1"/>
      <c r="B401" s="1"/>
      <c r="C401" s="9">
        <v>44123</v>
      </c>
      <c r="D401" s="17" t="s">
        <v>3621</v>
      </c>
      <c r="E401" s="57" t="s">
        <v>3622</v>
      </c>
      <c r="F401" s="50">
        <v>392</v>
      </c>
      <c r="G401" s="1861"/>
      <c r="H401" s="1" t="s">
        <v>1281</v>
      </c>
      <c r="I401" s="10" t="s">
        <v>4023</v>
      </c>
      <c r="J401" s="13" t="s">
        <v>528</v>
      </c>
    </row>
    <row r="402" spans="1:10" ht="14.25" customHeight="1">
      <c r="A402" s="1"/>
      <c r="B402" s="1">
        <v>1099</v>
      </c>
      <c r="C402" s="9">
        <v>44123</v>
      </c>
      <c r="D402" s="17" t="s">
        <v>1412</v>
      </c>
      <c r="E402" s="57" t="s">
        <v>4024</v>
      </c>
      <c r="F402" s="50">
        <v>393</v>
      </c>
      <c r="G402" s="1861"/>
      <c r="H402" s="1" t="s">
        <v>1347</v>
      </c>
      <c r="I402" s="57" t="s">
        <v>4025</v>
      </c>
      <c r="J402" s="13" t="s">
        <v>528</v>
      </c>
    </row>
    <row r="403" spans="1:10" ht="14.25" customHeight="1">
      <c r="A403" s="1"/>
      <c r="B403" s="1">
        <v>1105</v>
      </c>
      <c r="C403" s="9">
        <v>44126</v>
      </c>
      <c r="D403" s="17" t="s">
        <v>4026</v>
      </c>
      <c r="E403" s="57" t="s">
        <v>3761</v>
      </c>
      <c r="F403" s="50">
        <v>394</v>
      </c>
      <c r="G403" s="1861"/>
      <c r="H403" s="1" t="s">
        <v>4027</v>
      </c>
      <c r="I403" s="2" t="s">
        <v>4028</v>
      </c>
      <c r="J403" s="13" t="s">
        <v>507</v>
      </c>
    </row>
    <row r="404" spans="1:10" ht="14.25" customHeight="1">
      <c r="A404" s="1" t="s">
        <v>1221</v>
      </c>
      <c r="B404" s="1"/>
      <c r="C404" s="9">
        <v>44132</v>
      </c>
      <c r="D404" s="17" t="s">
        <v>4029</v>
      </c>
      <c r="E404" s="57" t="s">
        <v>1989</v>
      </c>
      <c r="F404" s="50">
        <v>395</v>
      </c>
      <c r="G404" s="1861"/>
      <c r="H404" s="1" t="s">
        <v>1219</v>
      </c>
      <c r="I404" s="2" t="s">
        <v>4030</v>
      </c>
      <c r="J404" s="13" t="s">
        <v>507</v>
      </c>
    </row>
    <row r="405" spans="1:10" ht="14.25" customHeight="1">
      <c r="A405" s="1"/>
      <c r="B405" s="1"/>
      <c r="C405" s="9">
        <v>44132</v>
      </c>
      <c r="D405" s="17" t="s">
        <v>423</v>
      </c>
      <c r="E405" s="57" t="s">
        <v>390</v>
      </c>
      <c r="F405" s="50">
        <v>396</v>
      </c>
      <c r="G405" s="1861"/>
      <c r="H405" s="1" t="s">
        <v>516</v>
      </c>
      <c r="I405" s="2" t="s">
        <v>4031</v>
      </c>
      <c r="J405" s="13" t="s">
        <v>528</v>
      </c>
    </row>
    <row r="406" spans="1:10" ht="14.25" customHeight="1">
      <c r="A406" s="1"/>
      <c r="B406" s="1"/>
      <c r="C406" s="1"/>
      <c r="D406" s="17" t="s">
        <v>4032</v>
      </c>
      <c r="E406" s="57" t="s">
        <v>2412</v>
      </c>
      <c r="F406" s="50">
        <v>397</v>
      </c>
      <c r="G406" s="1861"/>
      <c r="H406" s="1" t="s">
        <v>1281</v>
      </c>
      <c r="I406" s="2" t="s">
        <v>4033</v>
      </c>
      <c r="J406" s="13" t="s">
        <v>528</v>
      </c>
    </row>
    <row r="407" spans="1:10" ht="14.25" customHeight="1">
      <c r="A407" s="1"/>
      <c r="B407" s="1"/>
      <c r="C407" s="9">
        <v>44139</v>
      </c>
      <c r="D407" s="17"/>
      <c r="E407" s="57" t="s">
        <v>2008</v>
      </c>
      <c r="F407" s="50">
        <v>398</v>
      </c>
      <c r="G407" s="1861"/>
      <c r="H407" s="1" t="s">
        <v>1347</v>
      </c>
      <c r="I407" s="2" t="s">
        <v>4034</v>
      </c>
      <c r="J407" s="13" t="s">
        <v>507</v>
      </c>
    </row>
    <row r="408" spans="1:10" ht="14.25" customHeight="1">
      <c r="A408" s="1"/>
      <c r="B408" s="1">
        <v>1118</v>
      </c>
      <c r="C408" s="9">
        <v>44141</v>
      </c>
      <c r="D408" s="17" t="s">
        <v>4035</v>
      </c>
      <c r="E408" s="57" t="s">
        <v>2002</v>
      </c>
      <c r="F408" s="50">
        <v>399</v>
      </c>
      <c r="G408" s="1861"/>
      <c r="H408" s="1" t="s">
        <v>1541</v>
      </c>
      <c r="I408" s="2" t="s">
        <v>4036</v>
      </c>
      <c r="J408" s="13" t="s">
        <v>4037</v>
      </c>
    </row>
    <row r="409" spans="1:10" ht="14.25" customHeight="1">
      <c r="A409" s="1"/>
      <c r="B409" s="1">
        <v>1119</v>
      </c>
      <c r="C409" s="1"/>
      <c r="D409" s="17"/>
      <c r="E409" s="57" t="s">
        <v>4038</v>
      </c>
      <c r="F409" s="50">
        <v>400</v>
      </c>
      <c r="G409" s="1861"/>
      <c r="H409" s="1" t="s">
        <v>1275</v>
      </c>
      <c r="I409" s="2" t="s">
        <v>4039</v>
      </c>
      <c r="J409" s="13" t="s">
        <v>507</v>
      </c>
    </row>
    <row r="410" spans="1:10" ht="14.25" customHeight="1">
      <c r="A410" s="1"/>
      <c r="B410" s="1">
        <v>1120</v>
      </c>
      <c r="C410" s="9">
        <v>44141</v>
      </c>
      <c r="D410" s="17" t="s">
        <v>4040</v>
      </c>
      <c r="E410" s="57" t="s">
        <v>4041</v>
      </c>
      <c r="F410" s="50">
        <v>401</v>
      </c>
      <c r="G410" s="1861"/>
      <c r="H410" s="1" t="s">
        <v>1275</v>
      </c>
      <c r="I410" s="2" t="s">
        <v>4042</v>
      </c>
      <c r="J410" s="13" t="s">
        <v>39</v>
      </c>
    </row>
    <row r="411" spans="1:10" ht="14.25" customHeight="1">
      <c r="A411" s="1"/>
      <c r="B411" s="1"/>
      <c r="C411" s="9">
        <v>44145</v>
      </c>
      <c r="D411" s="17" t="s">
        <v>4043</v>
      </c>
      <c r="E411" s="57" t="s">
        <v>4044</v>
      </c>
      <c r="F411" s="50">
        <v>402</v>
      </c>
      <c r="G411" s="1861"/>
      <c r="H411" s="1" t="s">
        <v>1955</v>
      </c>
      <c r="I411" s="2" t="s">
        <v>4045</v>
      </c>
      <c r="J411" s="13" t="s">
        <v>100</v>
      </c>
    </row>
    <row r="412" spans="1:10" ht="14.25" customHeight="1">
      <c r="A412" s="1"/>
      <c r="B412" s="1"/>
      <c r="C412" s="9">
        <v>44145</v>
      </c>
      <c r="D412" s="17" t="s">
        <v>4043</v>
      </c>
      <c r="E412" s="57" t="s">
        <v>4046</v>
      </c>
      <c r="F412" s="50">
        <v>403</v>
      </c>
      <c r="G412" s="1861"/>
      <c r="H412" s="1" t="s">
        <v>1955</v>
      </c>
      <c r="I412" s="2" t="s">
        <v>4047</v>
      </c>
      <c r="J412" s="13" t="s">
        <v>100</v>
      </c>
    </row>
    <row r="413" spans="1:10" ht="14.25" customHeight="1">
      <c r="A413" s="1"/>
      <c r="B413" s="1"/>
      <c r="C413" s="9">
        <v>44145</v>
      </c>
      <c r="D413" s="17" t="s">
        <v>4043</v>
      </c>
      <c r="E413" s="57" t="s">
        <v>4048</v>
      </c>
      <c r="F413" s="50">
        <v>404</v>
      </c>
      <c r="G413" s="1861"/>
      <c r="H413" s="1" t="s">
        <v>1955</v>
      </c>
      <c r="I413" s="2" t="s">
        <v>4049</v>
      </c>
      <c r="J413" s="13" t="s">
        <v>100</v>
      </c>
    </row>
    <row r="414" spans="1:10" ht="14.25" customHeight="1">
      <c r="A414" s="1"/>
      <c r="B414" s="1"/>
      <c r="C414" s="9">
        <v>44145</v>
      </c>
      <c r="D414" s="17" t="s">
        <v>2011</v>
      </c>
      <c r="E414" s="57" t="s">
        <v>2014</v>
      </c>
      <c r="F414" s="50">
        <v>405</v>
      </c>
      <c r="G414" s="1861"/>
      <c r="H414" s="1" t="s">
        <v>2134</v>
      </c>
      <c r="I414" s="2" t="s">
        <v>4050</v>
      </c>
      <c r="J414" s="13" t="s">
        <v>528</v>
      </c>
    </row>
    <row r="415" spans="1:10" ht="14.25" customHeight="1">
      <c r="A415" s="1"/>
      <c r="B415" s="1"/>
      <c r="C415" s="9">
        <v>44153</v>
      </c>
      <c r="D415" s="17" t="s">
        <v>4051</v>
      </c>
      <c r="E415" s="57" t="s">
        <v>4052</v>
      </c>
      <c r="F415" s="50">
        <v>406</v>
      </c>
      <c r="G415" s="1861"/>
      <c r="H415" s="1"/>
      <c r="I415" s="2" t="s">
        <v>4053</v>
      </c>
      <c r="J415" s="13" t="s">
        <v>100</v>
      </c>
    </row>
    <row r="416" spans="1:10" ht="14.25" customHeight="1">
      <c r="A416" s="1" t="s">
        <v>1221</v>
      </c>
      <c r="B416" s="1"/>
      <c r="C416" s="9">
        <v>44151</v>
      </c>
      <c r="D416" s="17" t="s">
        <v>4054</v>
      </c>
      <c r="E416" s="57" t="s">
        <v>430</v>
      </c>
      <c r="F416" s="50">
        <v>407</v>
      </c>
      <c r="G416" s="1861"/>
      <c r="H416" s="1" t="s">
        <v>1955</v>
      </c>
      <c r="I416" s="2" t="s">
        <v>4055</v>
      </c>
      <c r="J416" s="13" t="s">
        <v>2584</v>
      </c>
    </row>
    <row r="417" spans="1:10" ht="14.25" customHeight="1">
      <c r="A417" s="1"/>
      <c r="B417" s="1"/>
      <c r="C417" s="9">
        <v>44160</v>
      </c>
      <c r="D417" s="17" t="s">
        <v>843</v>
      </c>
      <c r="E417" s="57" t="s">
        <v>4056</v>
      </c>
      <c r="F417" s="50" t="s">
        <v>2029</v>
      </c>
      <c r="G417" s="1861"/>
      <c r="H417" s="1" t="s">
        <v>4057</v>
      </c>
      <c r="I417" s="2" t="s">
        <v>4058</v>
      </c>
      <c r="J417" s="13" t="s">
        <v>2584</v>
      </c>
    </row>
    <row r="418" spans="1:10" ht="14.25" customHeight="1">
      <c r="A418" s="1" t="s">
        <v>1221</v>
      </c>
      <c r="B418" s="1"/>
      <c r="C418" s="9">
        <v>44160</v>
      </c>
      <c r="D418" s="17" t="s">
        <v>4059</v>
      </c>
      <c r="E418" s="57" t="s">
        <v>4060</v>
      </c>
      <c r="F418" s="50" t="s">
        <v>2029</v>
      </c>
      <c r="G418" s="1861"/>
      <c r="H418" s="1" t="s">
        <v>2099</v>
      </c>
      <c r="I418" s="2" t="s">
        <v>4061</v>
      </c>
      <c r="J418" s="13" t="s">
        <v>77</v>
      </c>
    </row>
    <row r="419" spans="1:10" ht="14.25" customHeight="1">
      <c r="A419" s="1"/>
      <c r="B419" s="1"/>
      <c r="C419" s="9">
        <v>44163</v>
      </c>
      <c r="D419" s="17"/>
      <c r="E419" s="57" t="s">
        <v>4062</v>
      </c>
      <c r="F419" s="50" t="s">
        <v>2029</v>
      </c>
      <c r="G419" s="1861"/>
      <c r="H419" s="1" t="s">
        <v>1892</v>
      </c>
      <c r="I419" s="2" t="s">
        <v>4063</v>
      </c>
      <c r="J419" s="13" t="s">
        <v>39</v>
      </c>
    </row>
    <row r="420" spans="1:10" ht="14.25" customHeight="1">
      <c r="A420" s="1"/>
      <c r="B420" s="1"/>
      <c r="C420" s="9">
        <v>44165</v>
      </c>
      <c r="D420" s="17" t="s">
        <v>2037</v>
      </c>
      <c r="E420" s="2" t="s">
        <v>2038</v>
      </c>
      <c r="F420" s="50" t="s">
        <v>2029</v>
      </c>
      <c r="G420" s="1861"/>
      <c r="H420" s="30" t="s">
        <v>1275</v>
      </c>
      <c r="I420" s="2" t="s">
        <v>4064</v>
      </c>
      <c r="J420" s="13" t="s">
        <v>528</v>
      </c>
    </row>
    <row r="421" spans="1:10" ht="14.25" customHeight="1">
      <c r="A421" s="1"/>
      <c r="B421" s="1"/>
      <c r="C421" s="1"/>
      <c r="D421" s="17" t="s">
        <v>843</v>
      </c>
      <c r="E421" s="2" t="s">
        <v>4056</v>
      </c>
      <c r="F421" s="50">
        <v>405</v>
      </c>
      <c r="G421" s="1861"/>
      <c r="H421" s="1" t="s">
        <v>4057</v>
      </c>
      <c r="I421" s="57" t="s">
        <v>4065</v>
      </c>
      <c r="J421" s="13" t="s">
        <v>100</v>
      </c>
    </row>
    <row r="422" spans="1:10" ht="14.25" customHeight="1">
      <c r="A422" s="1"/>
      <c r="B422" s="1"/>
      <c r="C422" s="9">
        <v>44167</v>
      </c>
      <c r="D422" s="17" t="s">
        <v>2058</v>
      </c>
      <c r="E422" s="57" t="s">
        <v>2488</v>
      </c>
      <c r="F422" s="50">
        <v>408</v>
      </c>
      <c r="G422" s="1861"/>
      <c r="H422" s="1" t="s">
        <v>4066</v>
      </c>
      <c r="I422" s="2" t="s">
        <v>4067</v>
      </c>
      <c r="J422" s="13" t="s">
        <v>507</v>
      </c>
    </row>
    <row r="423" spans="1:10" ht="14.25" customHeight="1">
      <c r="A423" s="1"/>
      <c r="B423" s="1"/>
      <c r="C423" s="9">
        <v>44167</v>
      </c>
      <c r="D423" s="17" t="s">
        <v>4068</v>
      </c>
      <c r="E423" s="57" t="s">
        <v>2045</v>
      </c>
      <c r="F423" s="50">
        <v>409</v>
      </c>
      <c r="G423" s="1861"/>
      <c r="H423" s="1" t="s">
        <v>4057</v>
      </c>
      <c r="I423" s="2" t="s">
        <v>4069</v>
      </c>
      <c r="J423" s="13" t="s">
        <v>39</v>
      </c>
    </row>
    <row r="424" spans="1:10" ht="14.25" customHeight="1">
      <c r="A424" s="1"/>
      <c r="B424" s="1"/>
      <c r="C424" s="9">
        <v>44169</v>
      </c>
      <c r="D424" s="17" t="s">
        <v>434</v>
      </c>
      <c r="E424" s="57" t="s">
        <v>133</v>
      </c>
      <c r="F424" s="50">
        <v>410</v>
      </c>
      <c r="G424" s="1861"/>
      <c r="H424" s="1" t="s">
        <v>516</v>
      </c>
      <c r="I424" s="10" t="s">
        <v>4070</v>
      </c>
      <c r="J424" s="13" t="s">
        <v>39</v>
      </c>
    </row>
    <row r="425" spans="1:10" ht="14.25" customHeight="1">
      <c r="A425" s="1"/>
      <c r="B425" s="1"/>
      <c r="C425" s="9">
        <v>44169</v>
      </c>
      <c r="D425" s="17" t="s">
        <v>432</v>
      </c>
      <c r="E425" s="57" t="s">
        <v>131</v>
      </c>
      <c r="F425" s="50">
        <v>411</v>
      </c>
      <c r="G425" s="1861"/>
      <c r="H425" s="1" t="s">
        <v>516</v>
      </c>
      <c r="I425" s="10" t="s">
        <v>4071</v>
      </c>
      <c r="J425" s="13" t="s">
        <v>39</v>
      </c>
    </row>
    <row r="426" spans="1:10" ht="14.25" customHeight="1">
      <c r="A426" s="1"/>
      <c r="B426" s="1"/>
      <c r="C426" s="9">
        <v>44169</v>
      </c>
      <c r="D426" s="17" t="s">
        <v>1131</v>
      </c>
      <c r="E426" s="57" t="s">
        <v>3812</v>
      </c>
      <c r="F426" s="50">
        <v>412</v>
      </c>
      <c r="G426" s="1861"/>
      <c r="H426" s="1" t="s">
        <v>1602</v>
      </c>
      <c r="I426" s="10" t="s">
        <v>4072</v>
      </c>
      <c r="J426" s="13" t="s">
        <v>4073</v>
      </c>
    </row>
    <row r="427" spans="1:10" ht="14.25" customHeight="1">
      <c r="A427" s="1"/>
      <c r="B427" s="1"/>
      <c r="C427" s="9">
        <v>44170</v>
      </c>
      <c r="D427" s="17" t="s">
        <v>2054</v>
      </c>
      <c r="E427" s="57" t="s">
        <v>2055</v>
      </c>
      <c r="F427" s="50">
        <v>414</v>
      </c>
      <c r="G427" s="1861"/>
      <c r="H427" s="1" t="s">
        <v>2056</v>
      </c>
      <c r="I427" s="10" t="s">
        <v>4074</v>
      </c>
      <c r="J427" s="13" t="s">
        <v>4075</v>
      </c>
    </row>
    <row r="428" spans="1:10" ht="14.25" customHeight="1">
      <c r="A428" s="1"/>
      <c r="B428" s="1"/>
      <c r="C428" s="9">
        <v>44171</v>
      </c>
      <c r="D428" s="17"/>
      <c r="E428" s="57" t="s">
        <v>2051</v>
      </c>
      <c r="F428" s="50">
        <v>415</v>
      </c>
      <c r="G428" s="1861"/>
      <c r="H428" s="1" t="s">
        <v>2052</v>
      </c>
      <c r="I428" s="10" t="s">
        <v>4076</v>
      </c>
      <c r="J428" s="13" t="s">
        <v>39</v>
      </c>
    </row>
    <row r="429" spans="1:10" ht="14.25" customHeight="1">
      <c r="A429" s="1"/>
      <c r="B429" s="1"/>
      <c r="C429" s="9">
        <v>44175</v>
      </c>
      <c r="D429" s="17" t="s">
        <v>4077</v>
      </c>
      <c r="E429" s="57" t="s">
        <v>4078</v>
      </c>
      <c r="F429" s="50"/>
      <c r="G429" s="1861"/>
      <c r="H429" s="1" t="s">
        <v>2047</v>
      </c>
      <c r="I429" s="57" t="s">
        <v>4079</v>
      </c>
      <c r="J429" s="13" t="s">
        <v>100</v>
      </c>
    </row>
    <row r="430" spans="1:10" ht="14.25" customHeight="1">
      <c r="A430" s="1"/>
      <c r="B430" s="1"/>
      <c r="C430" s="9">
        <v>44175</v>
      </c>
      <c r="D430" s="17" t="s">
        <v>2069</v>
      </c>
      <c r="E430" s="57" t="s">
        <v>4080</v>
      </c>
      <c r="F430" s="50" t="s">
        <v>4081</v>
      </c>
      <c r="G430" s="1861"/>
      <c r="H430" s="1" t="s">
        <v>2071</v>
      </c>
      <c r="I430" s="2" t="s">
        <v>4082</v>
      </c>
      <c r="J430" s="13" t="s">
        <v>39</v>
      </c>
    </row>
    <row r="431" spans="1:10" ht="14.25" customHeight="1">
      <c r="A431" s="1"/>
      <c r="B431" s="1"/>
      <c r="C431" s="9">
        <v>44180</v>
      </c>
      <c r="D431" s="17" t="s">
        <v>4043</v>
      </c>
      <c r="E431" s="2" t="s">
        <v>4044</v>
      </c>
      <c r="F431" s="50">
        <v>417</v>
      </c>
      <c r="G431" s="1861"/>
      <c r="H431" s="1" t="s">
        <v>1955</v>
      </c>
      <c r="I431" s="2" t="s">
        <v>4083</v>
      </c>
      <c r="J431" s="13" t="s">
        <v>100</v>
      </c>
    </row>
    <row r="432" spans="1:10" ht="14.25" customHeight="1">
      <c r="A432" s="1"/>
      <c r="B432" s="1"/>
      <c r="C432" s="9">
        <v>44180</v>
      </c>
      <c r="D432" s="17" t="s">
        <v>4043</v>
      </c>
      <c r="E432" s="2" t="s">
        <v>4046</v>
      </c>
      <c r="F432" s="50">
        <v>418</v>
      </c>
      <c r="G432" s="1861"/>
      <c r="H432" s="1" t="s">
        <v>1955</v>
      </c>
      <c r="I432" s="2" t="s">
        <v>4084</v>
      </c>
      <c r="J432" s="13" t="s">
        <v>100</v>
      </c>
    </row>
    <row r="433" spans="1:11" ht="14.25" customHeight="1">
      <c r="A433" s="1"/>
      <c r="B433" s="1"/>
      <c r="C433" s="1"/>
      <c r="D433" s="17" t="s">
        <v>4043</v>
      </c>
      <c r="E433" s="2" t="s">
        <v>4048</v>
      </c>
      <c r="F433" s="50">
        <v>419</v>
      </c>
      <c r="G433" s="1861"/>
      <c r="H433" s="1" t="s">
        <v>1955</v>
      </c>
      <c r="I433" s="10" t="s">
        <v>4085</v>
      </c>
      <c r="J433" s="13" t="s">
        <v>100</v>
      </c>
    </row>
    <row r="434" spans="1:11" ht="14.25" customHeight="1">
      <c r="A434" s="1"/>
      <c r="B434" s="1"/>
      <c r="C434" s="1"/>
      <c r="D434" s="17"/>
      <c r="E434" s="57" t="s">
        <v>4086</v>
      </c>
      <c r="F434" s="50"/>
      <c r="G434" s="1861"/>
      <c r="H434" s="1"/>
      <c r="I434" s="57" t="s">
        <v>4087</v>
      </c>
      <c r="J434" s="13" t="s">
        <v>251</v>
      </c>
    </row>
    <row r="435" spans="1:11" ht="14.25" customHeight="1">
      <c r="A435" s="1"/>
      <c r="B435" s="1"/>
      <c r="C435" s="9">
        <v>44188</v>
      </c>
      <c r="D435" s="17" t="s">
        <v>2085</v>
      </c>
      <c r="E435" s="57" t="s">
        <v>2086</v>
      </c>
      <c r="F435" s="50">
        <v>420</v>
      </c>
      <c r="G435" s="1861"/>
      <c r="H435" s="1" t="s">
        <v>2067</v>
      </c>
      <c r="I435" s="10" t="s">
        <v>4088</v>
      </c>
      <c r="J435" s="13" t="s">
        <v>528</v>
      </c>
    </row>
    <row r="436" spans="1:11" ht="14.25" customHeight="1">
      <c r="A436" s="1"/>
      <c r="B436" s="1"/>
      <c r="C436" s="9">
        <v>44189</v>
      </c>
      <c r="D436" s="17" t="s">
        <v>2091</v>
      </c>
      <c r="E436" s="2" t="s">
        <v>2092</v>
      </c>
      <c r="F436" s="50">
        <v>421</v>
      </c>
      <c r="G436" s="1861"/>
      <c r="H436" s="30" t="s">
        <v>2067</v>
      </c>
      <c r="I436" s="10" t="s">
        <v>4089</v>
      </c>
      <c r="J436" s="13" t="s">
        <v>39</v>
      </c>
    </row>
    <row r="437" spans="1:11" ht="14.25" customHeight="1">
      <c r="A437" s="1"/>
      <c r="B437" s="1"/>
      <c r="C437" s="9">
        <v>44197</v>
      </c>
      <c r="D437" s="17" t="s">
        <v>4090</v>
      </c>
      <c r="E437" s="57" t="s">
        <v>1520</v>
      </c>
      <c r="F437" s="50">
        <v>422</v>
      </c>
      <c r="G437" s="1861"/>
      <c r="H437" s="1" t="s">
        <v>4091</v>
      </c>
      <c r="I437" s="10" t="s">
        <v>4092</v>
      </c>
      <c r="J437" s="13" t="s">
        <v>39</v>
      </c>
    </row>
    <row r="438" spans="1:11" ht="14.25" customHeight="1">
      <c r="A438" s="1"/>
      <c r="B438" s="1"/>
      <c r="C438" s="9">
        <v>44197</v>
      </c>
      <c r="D438" s="17" t="s">
        <v>2132</v>
      </c>
      <c r="E438" s="2" t="s">
        <v>2133</v>
      </c>
      <c r="F438" s="50">
        <v>423</v>
      </c>
      <c r="G438" s="1861"/>
      <c r="H438" s="30" t="s">
        <v>2134</v>
      </c>
      <c r="I438" s="10" t="s">
        <v>4093</v>
      </c>
      <c r="J438" s="13" t="s">
        <v>39</v>
      </c>
    </row>
    <row r="439" spans="1:11" ht="14.25" customHeight="1">
      <c r="A439" s="1"/>
      <c r="B439" s="1"/>
      <c r="C439" s="9">
        <v>44201</v>
      </c>
      <c r="D439" s="17" t="s">
        <v>4094</v>
      </c>
      <c r="E439" s="57" t="s">
        <v>4095</v>
      </c>
      <c r="F439" s="50">
        <v>424</v>
      </c>
      <c r="G439" s="1861"/>
      <c r="H439" s="1" t="s">
        <v>2067</v>
      </c>
      <c r="I439" s="10" t="s">
        <v>4096</v>
      </c>
      <c r="J439" s="13" t="s">
        <v>39</v>
      </c>
    </row>
    <row r="440" spans="1:11" ht="14.25" customHeight="1">
      <c r="A440" s="1"/>
      <c r="B440" s="1"/>
      <c r="C440" s="9">
        <v>44206</v>
      </c>
      <c r="D440" s="17" t="s">
        <v>4097</v>
      </c>
      <c r="E440" s="57" t="s">
        <v>4098</v>
      </c>
      <c r="F440" s="50">
        <v>425</v>
      </c>
      <c r="G440" s="1861"/>
      <c r="H440" s="1" t="s">
        <v>1955</v>
      </c>
      <c r="I440" s="10" t="s">
        <v>4099</v>
      </c>
      <c r="J440" s="13"/>
      <c r="K440" s="2" t="s">
        <v>4100</v>
      </c>
    </row>
    <row r="441" spans="1:11" ht="14.25" customHeight="1">
      <c r="A441" s="1"/>
      <c r="B441" s="1"/>
      <c r="C441" s="1"/>
      <c r="D441" s="17"/>
      <c r="E441" s="57" t="s">
        <v>447</v>
      </c>
      <c r="F441" s="50">
        <v>426</v>
      </c>
      <c r="G441" s="1861"/>
      <c r="H441" s="1" t="s">
        <v>449</v>
      </c>
      <c r="I441" s="10" t="s">
        <v>4101</v>
      </c>
      <c r="J441" s="13" t="s">
        <v>528</v>
      </c>
    </row>
    <row r="442" spans="1:11" ht="14.25" customHeight="1">
      <c r="A442" s="1"/>
      <c r="B442" s="1"/>
      <c r="C442" s="9">
        <v>44212</v>
      </c>
      <c r="D442" s="17" t="s">
        <v>4102</v>
      </c>
      <c r="E442" s="57" t="s">
        <v>4103</v>
      </c>
      <c r="F442" s="50">
        <v>427</v>
      </c>
      <c r="G442" s="1861"/>
      <c r="H442" s="1" t="s">
        <v>2047</v>
      </c>
      <c r="I442" s="10" t="s">
        <v>4104</v>
      </c>
      <c r="J442" s="13" t="s">
        <v>528</v>
      </c>
    </row>
    <row r="443" spans="1:11" ht="14.25" customHeight="1">
      <c r="A443" s="1"/>
      <c r="B443" s="1"/>
      <c r="C443" s="9">
        <v>44212</v>
      </c>
      <c r="D443" s="17" t="s">
        <v>4105</v>
      </c>
      <c r="E443" s="57" t="s">
        <v>3622</v>
      </c>
      <c r="F443" s="50">
        <v>428</v>
      </c>
      <c r="G443" s="1861"/>
      <c r="H443" s="1" t="s">
        <v>4106</v>
      </c>
      <c r="I443" s="10" t="s">
        <v>4107</v>
      </c>
      <c r="J443" s="13" t="s">
        <v>268</v>
      </c>
    </row>
    <row r="444" spans="1:11" ht="14.25" customHeight="1">
      <c r="A444" s="1"/>
      <c r="B444" s="1"/>
      <c r="C444" s="9">
        <v>44212</v>
      </c>
      <c r="D444" s="17" t="s">
        <v>4108</v>
      </c>
      <c r="E444" s="57" t="s">
        <v>4109</v>
      </c>
      <c r="F444" s="50">
        <v>429</v>
      </c>
      <c r="G444" s="1861"/>
      <c r="H444" s="1" t="s">
        <v>1591</v>
      </c>
      <c r="I444" s="10" t="s">
        <v>4110</v>
      </c>
      <c r="J444" s="13" t="s">
        <v>268</v>
      </c>
      <c r="K444" s="57" t="s">
        <v>4111</v>
      </c>
    </row>
    <row r="445" spans="1:11" ht="14.25" customHeight="1">
      <c r="A445" s="1"/>
      <c r="B445" s="1"/>
      <c r="C445" s="9">
        <v>44212</v>
      </c>
      <c r="D445" s="17" t="s">
        <v>2204</v>
      </c>
      <c r="E445" s="57" t="s">
        <v>2205</v>
      </c>
      <c r="F445" s="50">
        <v>430</v>
      </c>
      <c r="G445" s="1861"/>
      <c r="H445" s="1" t="s">
        <v>1275</v>
      </c>
      <c r="I445" s="10" t="s">
        <v>4112</v>
      </c>
      <c r="J445" s="13" t="s">
        <v>528</v>
      </c>
    </row>
    <row r="446" spans="1:11" ht="14.25" customHeight="1">
      <c r="A446" s="1"/>
      <c r="B446" s="1"/>
      <c r="C446" s="9">
        <v>44214</v>
      </c>
      <c r="D446" s="17" t="s">
        <v>2214</v>
      </c>
      <c r="E446" s="57" t="s">
        <v>2215</v>
      </c>
      <c r="F446" s="50">
        <v>431</v>
      </c>
      <c r="G446" s="1861"/>
      <c r="H446" s="1" t="s">
        <v>1275</v>
      </c>
      <c r="I446" s="10" t="s">
        <v>4113</v>
      </c>
      <c r="J446" s="13" t="s">
        <v>528</v>
      </c>
    </row>
    <row r="447" spans="1:11" ht="14.25" customHeight="1">
      <c r="A447" s="1"/>
      <c r="B447" s="1"/>
      <c r="C447" s="1"/>
      <c r="D447" s="17" t="s">
        <v>4114</v>
      </c>
      <c r="E447" s="57" t="s">
        <v>4115</v>
      </c>
      <c r="F447" s="50">
        <v>432</v>
      </c>
      <c r="G447" s="1861"/>
      <c r="H447" s="1"/>
      <c r="I447" s="10" t="s">
        <v>4116</v>
      </c>
      <c r="J447" s="13" t="s">
        <v>507</v>
      </c>
    </row>
    <row r="448" spans="1:11" ht="14.25" customHeight="1">
      <c r="A448" s="1"/>
      <c r="B448" s="1"/>
      <c r="C448" s="9">
        <v>44220</v>
      </c>
      <c r="D448" s="17" t="s">
        <v>4117</v>
      </c>
      <c r="E448" s="57" t="s">
        <v>4118</v>
      </c>
      <c r="F448" s="50"/>
      <c r="G448" s="1861"/>
      <c r="H448" s="1" t="s">
        <v>1281</v>
      </c>
      <c r="I448" s="10" t="s">
        <v>4119</v>
      </c>
      <c r="J448" s="13" t="s">
        <v>39</v>
      </c>
    </row>
    <row r="449" spans="1:11" ht="14.25" customHeight="1">
      <c r="A449" s="1"/>
      <c r="B449" s="1"/>
      <c r="C449" s="9">
        <v>44229</v>
      </c>
      <c r="D449" s="17" t="s">
        <v>4120</v>
      </c>
      <c r="E449" s="57" t="s">
        <v>4121</v>
      </c>
      <c r="F449" s="50" t="s">
        <v>4122</v>
      </c>
      <c r="G449" s="1861"/>
      <c r="H449" s="1" t="s">
        <v>1392</v>
      </c>
      <c r="I449" s="10" t="s">
        <v>4123</v>
      </c>
      <c r="J449" s="13" t="s">
        <v>507</v>
      </c>
    </row>
    <row r="450" spans="1:11" ht="14.25" customHeight="1">
      <c r="A450" s="1"/>
      <c r="B450" s="1"/>
      <c r="C450" s="9">
        <v>44231</v>
      </c>
      <c r="D450" s="17" t="s">
        <v>4124</v>
      </c>
      <c r="E450" s="57" t="s">
        <v>4125</v>
      </c>
      <c r="F450" s="50" t="s">
        <v>4126</v>
      </c>
      <c r="G450" s="1861"/>
      <c r="H450" s="1" t="s">
        <v>2696</v>
      </c>
      <c r="I450" s="10" t="s">
        <v>4127</v>
      </c>
      <c r="J450" s="13" t="s">
        <v>507</v>
      </c>
    </row>
    <row r="451" spans="1:11" ht="14.25" customHeight="1">
      <c r="A451" s="1"/>
      <c r="B451" s="1"/>
      <c r="C451" s="1"/>
      <c r="D451" s="17"/>
      <c r="E451" s="2" t="s">
        <v>4086</v>
      </c>
      <c r="F451" s="50" t="s">
        <v>4128</v>
      </c>
      <c r="G451" s="1861"/>
      <c r="H451" s="1"/>
      <c r="I451" s="10" t="s">
        <v>4129</v>
      </c>
      <c r="J451" s="13" t="s">
        <v>4130</v>
      </c>
    </row>
    <row r="452" spans="1:11" ht="14.25" customHeight="1">
      <c r="A452" s="1"/>
      <c r="B452" s="1"/>
      <c r="C452" s="9">
        <v>44246</v>
      </c>
      <c r="D452" s="17" t="s">
        <v>1793</v>
      </c>
      <c r="E452" s="2" t="s">
        <v>1794</v>
      </c>
      <c r="F452" s="50" t="s">
        <v>4131</v>
      </c>
      <c r="G452" s="1861"/>
      <c r="H452" s="30" t="s">
        <v>1473</v>
      </c>
      <c r="I452" s="10" t="s">
        <v>4132</v>
      </c>
      <c r="J452" s="13" t="s">
        <v>4133</v>
      </c>
    </row>
    <row r="453" spans="1:11" ht="14.25" customHeight="1">
      <c r="A453" s="1"/>
      <c r="B453" s="1"/>
      <c r="C453" s="9">
        <v>44249</v>
      </c>
      <c r="D453" s="17" t="s">
        <v>4134</v>
      </c>
      <c r="E453" s="57" t="s">
        <v>4135</v>
      </c>
      <c r="F453" s="50" t="s">
        <v>4136</v>
      </c>
      <c r="G453" s="1861"/>
      <c r="H453" s="1" t="s">
        <v>1392</v>
      </c>
      <c r="I453" s="10" t="s">
        <v>4137</v>
      </c>
      <c r="J453" s="115" t="s">
        <v>4138</v>
      </c>
    </row>
    <row r="454" spans="1:11" ht="14.25" customHeight="1">
      <c r="A454" s="1"/>
      <c r="B454" s="1"/>
      <c r="C454" s="9">
        <v>44249</v>
      </c>
      <c r="D454" s="17" t="s">
        <v>2361</v>
      </c>
      <c r="E454" s="57" t="s">
        <v>2362</v>
      </c>
      <c r="F454" s="50" t="s">
        <v>4139</v>
      </c>
      <c r="G454" s="1861"/>
      <c r="H454" s="1" t="s">
        <v>1347</v>
      </c>
      <c r="I454" s="10" t="s">
        <v>4140</v>
      </c>
      <c r="J454" s="13" t="s">
        <v>4141</v>
      </c>
    </row>
    <row r="455" spans="1:11" ht="14.25" customHeight="1">
      <c r="A455" s="1"/>
      <c r="B455" s="1"/>
      <c r="C455" s="9">
        <v>44254</v>
      </c>
      <c r="D455" s="17" t="s">
        <v>4142</v>
      </c>
      <c r="E455" s="57" t="s">
        <v>4143</v>
      </c>
      <c r="F455" s="50" t="s">
        <v>4144</v>
      </c>
      <c r="G455" s="1861"/>
      <c r="H455" s="1" t="s">
        <v>1785</v>
      </c>
      <c r="I455" s="10" t="s">
        <v>4145</v>
      </c>
      <c r="J455" s="13" t="s">
        <v>507</v>
      </c>
    </row>
    <row r="456" spans="1:11" ht="14.25" customHeight="1">
      <c r="A456" s="1"/>
      <c r="B456" s="1"/>
      <c r="C456" s="9">
        <v>44254</v>
      </c>
      <c r="D456" s="17" t="s">
        <v>4146</v>
      </c>
      <c r="E456" s="57" t="s">
        <v>4147</v>
      </c>
      <c r="F456" s="50" t="s">
        <v>4148</v>
      </c>
      <c r="G456" s="1861"/>
      <c r="H456" s="1" t="s">
        <v>1478</v>
      </c>
      <c r="I456" s="10" t="s">
        <v>4149</v>
      </c>
      <c r="J456" s="13" t="s">
        <v>507</v>
      </c>
    </row>
    <row r="457" spans="1:11" ht="14.25" customHeight="1">
      <c r="A457" s="1"/>
      <c r="B457" s="1"/>
      <c r="C457" s="9">
        <v>44256</v>
      </c>
      <c r="D457" s="17" t="s">
        <v>4150</v>
      </c>
      <c r="E457" s="57" t="s">
        <v>4151</v>
      </c>
      <c r="F457" s="50" t="s">
        <v>4152</v>
      </c>
      <c r="G457" s="1861"/>
      <c r="H457" s="1" t="s">
        <v>1392</v>
      </c>
      <c r="I457" s="10" t="s">
        <v>4153</v>
      </c>
      <c r="J457" s="13" t="s">
        <v>100</v>
      </c>
      <c r="K457" s="57" t="s">
        <v>4100</v>
      </c>
    </row>
    <row r="458" spans="1:11" ht="14.25" customHeight="1">
      <c r="A458" s="1"/>
      <c r="B458" s="1"/>
      <c r="C458" s="1"/>
      <c r="D458" s="17" t="s">
        <v>4154</v>
      </c>
      <c r="E458" s="57" t="s">
        <v>2500</v>
      </c>
      <c r="F458" s="50" t="s">
        <v>4155</v>
      </c>
      <c r="G458" s="1861"/>
      <c r="H458" s="1" t="s">
        <v>2067</v>
      </c>
      <c r="I458" s="10" t="s">
        <v>4156</v>
      </c>
      <c r="J458" s="13" t="s">
        <v>528</v>
      </c>
    </row>
    <row r="459" spans="1:11" ht="14.25" customHeight="1">
      <c r="A459" s="1"/>
      <c r="B459" s="1"/>
      <c r="C459" s="9">
        <v>44257</v>
      </c>
      <c r="D459" s="17" t="s">
        <v>2371</v>
      </c>
      <c r="E459" s="2" t="s">
        <v>2372</v>
      </c>
      <c r="F459" s="50" t="s">
        <v>4157</v>
      </c>
      <c r="G459" s="1861"/>
      <c r="H459" s="30" t="s">
        <v>1473</v>
      </c>
      <c r="I459" s="10" t="s">
        <v>4158</v>
      </c>
      <c r="J459" s="13" t="s">
        <v>528</v>
      </c>
    </row>
    <row r="460" spans="1:11" ht="14.25" customHeight="1">
      <c r="A460" s="1"/>
      <c r="B460" s="1" t="s">
        <v>265</v>
      </c>
      <c r="C460" s="9">
        <v>44259</v>
      </c>
      <c r="D460" s="17" t="s">
        <v>4159</v>
      </c>
      <c r="E460" s="57" t="s">
        <v>4160</v>
      </c>
      <c r="F460" s="50" t="s">
        <v>4161</v>
      </c>
      <c r="G460" s="1861"/>
      <c r="H460" s="1" t="s">
        <v>2047</v>
      </c>
      <c r="I460" s="10" t="s">
        <v>4162</v>
      </c>
      <c r="J460" s="13" t="s">
        <v>528</v>
      </c>
    </row>
    <row r="461" spans="1:11" ht="14.25" customHeight="1">
      <c r="A461" s="1"/>
      <c r="B461" s="1"/>
      <c r="C461" s="1"/>
      <c r="D461" s="17" t="s">
        <v>2387</v>
      </c>
      <c r="E461" s="2" t="s">
        <v>2388</v>
      </c>
      <c r="F461" s="50" t="s">
        <v>4163</v>
      </c>
      <c r="G461" s="1861"/>
      <c r="H461" s="30" t="s">
        <v>2389</v>
      </c>
      <c r="I461" s="10" t="s">
        <v>4164</v>
      </c>
      <c r="J461" s="13" t="s">
        <v>100</v>
      </c>
    </row>
    <row r="462" spans="1:11" ht="14.25" customHeight="1">
      <c r="A462" s="1"/>
      <c r="B462" s="1"/>
      <c r="C462" s="9">
        <v>44264</v>
      </c>
      <c r="D462" s="17" t="s">
        <v>2361</v>
      </c>
      <c r="E462" s="57" t="s">
        <v>2362</v>
      </c>
      <c r="F462" s="50" t="s">
        <v>4165</v>
      </c>
      <c r="G462" s="1861"/>
      <c r="H462" s="1" t="s">
        <v>1478</v>
      </c>
      <c r="I462" s="10" t="s">
        <v>4166</v>
      </c>
      <c r="J462" s="13" t="s">
        <v>100</v>
      </c>
    </row>
    <row r="463" spans="1:11" ht="14.25" customHeight="1">
      <c r="A463" s="1"/>
      <c r="B463" s="1"/>
      <c r="C463" s="9">
        <v>44265</v>
      </c>
      <c r="D463" s="17" t="s">
        <v>4167</v>
      </c>
      <c r="E463" s="57" t="s">
        <v>4168</v>
      </c>
      <c r="F463" s="50" t="s">
        <v>4169</v>
      </c>
      <c r="G463" s="1861"/>
      <c r="H463" s="1" t="s">
        <v>1392</v>
      </c>
      <c r="I463" s="10" t="s">
        <v>4170</v>
      </c>
      <c r="J463" s="13" t="s">
        <v>39</v>
      </c>
    </row>
    <row r="464" spans="1:11" ht="14.25" customHeight="1">
      <c r="A464" s="1"/>
      <c r="B464" s="1"/>
      <c r="C464" s="9">
        <v>44268</v>
      </c>
      <c r="D464" s="17"/>
      <c r="E464" s="57" t="s">
        <v>2433</v>
      </c>
      <c r="F464" s="50">
        <v>448</v>
      </c>
      <c r="G464" s="1861"/>
      <c r="H464" s="1" t="s">
        <v>1392</v>
      </c>
      <c r="I464" s="10" t="s">
        <v>4171</v>
      </c>
      <c r="J464" s="13" t="s">
        <v>36</v>
      </c>
      <c r="K464" s="57" t="s">
        <v>4172</v>
      </c>
    </row>
    <row r="465" spans="1:26" ht="14.25" customHeight="1">
      <c r="A465" s="1"/>
      <c r="B465" s="1"/>
      <c r="C465" s="9">
        <v>44278</v>
      </c>
      <c r="D465" s="17" t="s">
        <v>2425</v>
      </c>
      <c r="E465" s="2" t="s">
        <v>2426</v>
      </c>
      <c r="F465" s="50" t="s">
        <v>4173</v>
      </c>
      <c r="G465" s="1861"/>
      <c r="H465" s="30" t="s">
        <v>2427</v>
      </c>
      <c r="I465" s="10" t="s">
        <v>4174</v>
      </c>
      <c r="J465" s="13" t="s">
        <v>39</v>
      </c>
    </row>
    <row r="466" spans="1:26" ht="14.25" customHeight="1">
      <c r="A466" s="1"/>
      <c r="B466" s="1"/>
      <c r="C466" s="9">
        <v>44278</v>
      </c>
      <c r="D466" s="17" t="s">
        <v>4175</v>
      </c>
      <c r="E466" s="57" t="s">
        <v>2451</v>
      </c>
      <c r="F466" s="50" t="s">
        <v>4176</v>
      </c>
      <c r="G466" s="1861"/>
      <c r="H466" s="1" t="s">
        <v>1473</v>
      </c>
      <c r="I466" s="10" t="s">
        <v>4177</v>
      </c>
      <c r="J466" s="13" t="s">
        <v>39</v>
      </c>
    </row>
    <row r="467" spans="1:26" ht="14.25" customHeight="1">
      <c r="A467" s="1"/>
      <c r="B467" s="1"/>
      <c r="C467" s="9">
        <v>44280</v>
      </c>
      <c r="D467" s="17" t="s">
        <v>4178</v>
      </c>
      <c r="E467" s="57" t="s">
        <v>4179</v>
      </c>
      <c r="F467" s="50" t="s">
        <v>4180</v>
      </c>
      <c r="G467" s="1861"/>
      <c r="H467" s="1" t="s">
        <v>1392</v>
      </c>
      <c r="I467" s="10" t="s">
        <v>4181</v>
      </c>
      <c r="J467" s="13" t="s">
        <v>507</v>
      </c>
    </row>
    <row r="468" spans="1:26" ht="14.25" customHeight="1">
      <c r="A468" s="1"/>
      <c r="B468" s="1"/>
      <c r="C468" s="9">
        <v>44280</v>
      </c>
      <c r="D468" s="17" t="s">
        <v>2361</v>
      </c>
      <c r="E468" s="2" t="s">
        <v>2362</v>
      </c>
      <c r="F468" s="50" t="s">
        <v>4182</v>
      </c>
      <c r="G468" s="1861"/>
      <c r="H468" s="1" t="s">
        <v>1478</v>
      </c>
      <c r="I468" s="10" t="s">
        <v>4183</v>
      </c>
      <c r="J468" s="13" t="s">
        <v>507</v>
      </c>
    </row>
    <row r="469" spans="1:26" ht="14.25" customHeight="1">
      <c r="A469" s="1"/>
      <c r="B469" s="1"/>
      <c r="C469" s="9">
        <v>44283</v>
      </c>
      <c r="D469" s="17"/>
      <c r="E469" s="2" t="s">
        <v>4086</v>
      </c>
      <c r="F469" s="50" t="s">
        <v>4184</v>
      </c>
      <c r="G469" s="1861"/>
      <c r="H469" s="1" t="s">
        <v>1392</v>
      </c>
      <c r="I469" s="10" t="s">
        <v>4185</v>
      </c>
      <c r="J469" s="13" t="s">
        <v>39</v>
      </c>
    </row>
    <row r="470" spans="1:26" ht="14.25" customHeight="1">
      <c r="A470" s="1"/>
      <c r="B470" s="1"/>
      <c r="C470" s="9">
        <v>44294</v>
      </c>
      <c r="D470" s="17" t="s">
        <v>4186</v>
      </c>
      <c r="E470" s="57" t="s">
        <v>4187</v>
      </c>
      <c r="F470" s="50" t="s">
        <v>4188</v>
      </c>
      <c r="G470" s="1861"/>
      <c r="H470" s="1" t="s">
        <v>1478</v>
      </c>
      <c r="I470" s="10" t="s">
        <v>4189</v>
      </c>
      <c r="J470" s="13" t="s">
        <v>507</v>
      </c>
    </row>
    <row r="471" spans="1:26" ht="14.25" customHeight="1">
      <c r="A471" s="1"/>
      <c r="B471" s="1"/>
      <c r="C471" s="9">
        <v>44300</v>
      </c>
      <c r="D471" s="17" t="s">
        <v>1927</v>
      </c>
      <c r="E471" s="57" t="s">
        <v>1928</v>
      </c>
      <c r="F471" s="50" t="s">
        <v>4190</v>
      </c>
      <c r="G471" s="1861"/>
      <c r="H471" s="1" t="s">
        <v>1392</v>
      </c>
      <c r="I471" s="10" t="s">
        <v>4191</v>
      </c>
      <c r="J471" s="13" t="s">
        <v>39</v>
      </c>
    </row>
    <row r="472" spans="1:26" ht="14.25" customHeight="1">
      <c r="A472" s="1"/>
      <c r="B472" s="1"/>
      <c r="C472" s="9">
        <v>44311</v>
      </c>
      <c r="D472" s="17" t="s">
        <v>4192</v>
      </c>
      <c r="E472" s="2" t="s">
        <v>4193</v>
      </c>
      <c r="F472" s="50" t="s">
        <v>4194</v>
      </c>
      <c r="G472" s="1861"/>
      <c r="H472" s="1" t="s">
        <v>4195</v>
      </c>
      <c r="I472" s="57" t="s">
        <v>4196</v>
      </c>
      <c r="J472" s="13" t="s">
        <v>39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1"/>
      <c r="B473" s="1"/>
      <c r="C473" s="9">
        <v>44358</v>
      </c>
      <c r="D473" s="17" t="s">
        <v>4197</v>
      </c>
      <c r="E473" s="57" t="s">
        <v>4198</v>
      </c>
      <c r="F473" s="50" t="s">
        <v>4199</v>
      </c>
      <c r="G473" s="1861"/>
      <c r="H473" s="1" t="s">
        <v>2067</v>
      </c>
      <c r="I473" s="10" t="s">
        <v>4200</v>
      </c>
      <c r="J473" s="13" t="s">
        <v>77</v>
      </c>
    </row>
    <row r="474" spans="1:26" ht="14.25" customHeight="1">
      <c r="A474" s="1"/>
      <c r="B474" s="1"/>
      <c r="C474" s="9">
        <v>44357</v>
      </c>
      <c r="D474" s="17" t="s">
        <v>2387</v>
      </c>
      <c r="E474" s="2" t="s">
        <v>2388</v>
      </c>
      <c r="F474" s="50" t="s">
        <v>4201</v>
      </c>
      <c r="G474" s="1861"/>
      <c r="H474" s="1" t="s">
        <v>1275</v>
      </c>
      <c r="I474" s="10" t="s">
        <v>4202</v>
      </c>
      <c r="J474" s="13" t="s">
        <v>528</v>
      </c>
    </row>
    <row r="475" spans="1:26" ht="14.25" customHeight="1">
      <c r="A475" s="1"/>
      <c r="B475" s="1"/>
      <c r="C475" s="9">
        <v>44367</v>
      </c>
      <c r="D475" s="17" t="s">
        <v>4203</v>
      </c>
      <c r="E475" s="57" t="s">
        <v>4204</v>
      </c>
      <c r="F475" s="50" t="s">
        <v>4205</v>
      </c>
      <c r="G475" s="1861"/>
      <c r="H475" s="1" t="s">
        <v>4206</v>
      </c>
      <c r="I475" s="10" t="s">
        <v>4207</v>
      </c>
      <c r="J475" s="13" t="s">
        <v>507</v>
      </c>
    </row>
    <row r="476" spans="1:26" ht="14.25" customHeight="1">
      <c r="A476" s="1"/>
      <c r="B476" s="1"/>
      <c r="C476" s="9">
        <v>44367</v>
      </c>
      <c r="D476" s="17" t="s">
        <v>4208</v>
      </c>
      <c r="E476" s="57" t="s">
        <v>4209</v>
      </c>
      <c r="F476" s="50" t="s">
        <v>4210</v>
      </c>
      <c r="G476" s="1861"/>
      <c r="H476" s="1" t="s">
        <v>4211</v>
      </c>
      <c r="I476" s="10" t="s">
        <v>4212</v>
      </c>
      <c r="J476" s="13" t="s">
        <v>77</v>
      </c>
    </row>
    <row r="477" spans="1:26" ht="14.25" customHeight="1">
      <c r="A477" s="1"/>
      <c r="B477" s="1"/>
      <c r="C477" s="9">
        <v>44373</v>
      </c>
      <c r="D477" s="17" t="s">
        <v>4015</v>
      </c>
      <c r="E477" s="57" t="s">
        <v>4213</v>
      </c>
      <c r="F477" s="50" t="s">
        <v>4214</v>
      </c>
      <c r="G477" s="1861"/>
      <c r="H477" s="1" t="s">
        <v>3056</v>
      </c>
      <c r="I477" s="10" t="s">
        <v>4215</v>
      </c>
      <c r="J477" s="13" t="s">
        <v>100</v>
      </c>
    </row>
    <row r="478" spans="1:26" ht="14.25" customHeight="1">
      <c r="A478" s="1"/>
      <c r="B478" s="1"/>
      <c r="C478" s="9">
        <v>44390</v>
      </c>
      <c r="D478" s="17" t="s">
        <v>2493</v>
      </c>
      <c r="E478" s="57" t="s">
        <v>2494</v>
      </c>
      <c r="F478" s="50" t="s">
        <v>4216</v>
      </c>
      <c r="G478" s="1861"/>
      <c r="H478" s="1" t="s">
        <v>1392</v>
      </c>
      <c r="I478" s="10" t="s">
        <v>4217</v>
      </c>
      <c r="J478" s="13" t="s">
        <v>39</v>
      </c>
    </row>
    <row r="479" spans="1:26" ht="14.25" customHeight="1">
      <c r="A479" s="1"/>
      <c r="B479" s="1"/>
      <c r="C479" s="1"/>
      <c r="D479" s="17" t="s">
        <v>470</v>
      </c>
      <c r="E479" s="57" t="s">
        <v>4218</v>
      </c>
      <c r="F479" s="50" t="s">
        <v>4219</v>
      </c>
      <c r="G479" s="1861"/>
      <c r="H479" s="1" t="s">
        <v>4220</v>
      </c>
      <c r="I479" s="10" t="s">
        <v>4221</v>
      </c>
      <c r="J479" s="13" t="s">
        <v>39</v>
      </c>
      <c r="K479" s="57" t="s">
        <v>470</v>
      </c>
    </row>
    <row r="480" spans="1:26" ht="14.25" customHeight="1">
      <c r="A480" s="1"/>
      <c r="B480" s="1"/>
      <c r="C480" s="1"/>
      <c r="D480" s="17"/>
      <c r="E480" s="2" t="s">
        <v>4213</v>
      </c>
      <c r="F480" s="50">
        <v>464</v>
      </c>
      <c r="G480" s="1861"/>
      <c r="H480" s="1"/>
      <c r="I480" s="10" t="s">
        <v>4222</v>
      </c>
      <c r="J480" s="13" t="s">
        <v>4223</v>
      </c>
    </row>
    <row r="481" spans="1:26" ht="14.25" customHeight="1">
      <c r="A481" s="1"/>
      <c r="B481" s="1"/>
      <c r="C481" s="1"/>
      <c r="D481" s="17" t="s">
        <v>4224</v>
      </c>
      <c r="E481" s="2" t="s">
        <v>4225</v>
      </c>
      <c r="F481" s="50"/>
      <c r="G481" s="1861"/>
      <c r="H481" s="1" t="s">
        <v>4226</v>
      </c>
      <c r="I481" s="10" t="s">
        <v>4227</v>
      </c>
      <c r="J481" s="13" t="s">
        <v>528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1"/>
      <c r="B482" s="1"/>
      <c r="C482" s="1"/>
      <c r="D482" s="17"/>
      <c r="E482" s="2" t="s">
        <v>4228</v>
      </c>
      <c r="F482" s="50"/>
      <c r="G482" s="1861"/>
      <c r="H482" s="1" t="s">
        <v>4226</v>
      </c>
      <c r="I482" s="10" t="s">
        <v>4229</v>
      </c>
      <c r="J482" s="13" t="s">
        <v>528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1"/>
      <c r="B483" s="1"/>
      <c r="C483" s="9">
        <v>44399</v>
      </c>
      <c r="D483" s="17" t="s">
        <v>2504</v>
      </c>
      <c r="E483" s="57" t="s">
        <v>4230</v>
      </c>
      <c r="F483" s="50">
        <v>465</v>
      </c>
      <c r="G483" s="1861"/>
      <c r="H483" s="1" t="s">
        <v>4231</v>
      </c>
      <c r="I483" s="10" t="s">
        <v>4232</v>
      </c>
      <c r="J483" s="13" t="s">
        <v>528</v>
      </c>
    </row>
    <row r="484" spans="1:26" ht="14.25" customHeight="1">
      <c r="A484" s="1"/>
      <c r="B484" s="1"/>
      <c r="C484" s="9">
        <v>44399</v>
      </c>
      <c r="D484" s="17" t="s">
        <v>4233</v>
      </c>
      <c r="E484" s="2" t="s">
        <v>4234</v>
      </c>
      <c r="F484" s="50">
        <v>466</v>
      </c>
      <c r="G484" s="1861"/>
      <c r="H484" s="1" t="s">
        <v>2047</v>
      </c>
      <c r="I484" s="10" t="s">
        <v>4235</v>
      </c>
      <c r="J484" s="13" t="s">
        <v>251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1"/>
      <c r="B485" s="1"/>
      <c r="C485" s="9">
        <v>44404</v>
      </c>
      <c r="D485" s="17" t="s">
        <v>4236</v>
      </c>
      <c r="E485" s="57" t="s">
        <v>546</v>
      </c>
      <c r="F485" s="50">
        <v>467</v>
      </c>
      <c r="G485" s="1861"/>
      <c r="H485" s="1" t="s">
        <v>1275</v>
      </c>
      <c r="I485" s="57" t="s">
        <v>4237</v>
      </c>
      <c r="J485" s="13" t="s">
        <v>528</v>
      </c>
    </row>
    <row r="486" spans="1:26" ht="14.25" customHeight="1">
      <c r="A486" s="1"/>
      <c r="B486" s="1"/>
      <c r="C486" s="9">
        <v>44404</v>
      </c>
      <c r="D486" s="17" t="s">
        <v>4238</v>
      </c>
      <c r="E486" s="57" t="s">
        <v>4239</v>
      </c>
      <c r="F486" s="50">
        <v>468</v>
      </c>
      <c r="G486" s="1861"/>
      <c r="H486" s="1" t="s">
        <v>1275</v>
      </c>
      <c r="I486" s="57" t="s">
        <v>4240</v>
      </c>
      <c r="J486" s="13" t="s">
        <v>528</v>
      </c>
    </row>
    <row r="487" spans="1:26" ht="14.25" customHeight="1">
      <c r="A487" s="1"/>
      <c r="B487" s="1"/>
      <c r="C487" s="9">
        <v>44406</v>
      </c>
      <c r="D487" s="17" t="s">
        <v>2521</v>
      </c>
      <c r="E487" s="2" t="s">
        <v>2522</v>
      </c>
      <c r="F487" s="50">
        <v>469</v>
      </c>
      <c r="G487" s="1861"/>
      <c r="H487" s="1" t="s">
        <v>2071</v>
      </c>
      <c r="I487" s="39" t="s">
        <v>4241</v>
      </c>
      <c r="J487" s="13" t="s">
        <v>528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1"/>
      <c r="B488" s="1"/>
      <c r="C488" s="9">
        <v>44405</v>
      </c>
      <c r="D488" s="17" t="s">
        <v>4242</v>
      </c>
      <c r="E488" s="2" t="s">
        <v>4243</v>
      </c>
      <c r="F488" s="50">
        <v>470</v>
      </c>
      <c r="G488" s="1861"/>
      <c r="H488" s="1" t="s">
        <v>1275</v>
      </c>
      <c r="I488" s="10" t="s">
        <v>4244</v>
      </c>
      <c r="J488" s="13" t="s">
        <v>528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1"/>
      <c r="B489" s="1"/>
      <c r="C489" s="9">
        <v>44405</v>
      </c>
      <c r="D489" s="17" t="s">
        <v>4245</v>
      </c>
      <c r="E489" s="2" t="s">
        <v>3930</v>
      </c>
      <c r="F489" s="50">
        <v>471</v>
      </c>
      <c r="G489" s="1861"/>
      <c r="H489" s="1" t="s">
        <v>1275</v>
      </c>
      <c r="I489" s="10" t="s">
        <v>4246</v>
      </c>
      <c r="J489" s="13" t="s">
        <v>39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1"/>
      <c r="B490" s="1"/>
      <c r="C490" s="9">
        <v>44405</v>
      </c>
      <c r="D490" s="17" t="s">
        <v>4247</v>
      </c>
      <c r="E490" s="2" t="s">
        <v>4248</v>
      </c>
      <c r="F490" s="50">
        <v>472</v>
      </c>
      <c r="G490" s="1861"/>
      <c r="H490" s="1" t="s">
        <v>1955</v>
      </c>
      <c r="I490" s="10" t="s">
        <v>4249</v>
      </c>
      <c r="J490" s="13" t="s">
        <v>528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1"/>
      <c r="B491" s="1"/>
      <c r="C491" s="9">
        <v>44405</v>
      </c>
      <c r="D491" s="17" t="s">
        <v>4250</v>
      </c>
      <c r="E491" s="2" t="s">
        <v>4251</v>
      </c>
      <c r="F491" s="50">
        <v>473</v>
      </c>
      <c r="G491" s="1861"/>
      <c r="H491" s="1" t="s">
        <v>1275</v>
      </c>
      <c r="I491" s="10" t="s">
        <v>4252</v>
      </c>
      <c r="J491" s="13" t="s">
        <v>528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1"/>
      <c r="B492" s="1"/>
      <c r="C492" s="9">
        <v>44405</v>
      </c>
      <c r="D492" s="17" t="s">
        <v>4253</v>
      </c>
      <c r="E492" s="2" t="s">
        <v>4254</v>
      </c>
      <c r="F492" s="50">
        <v>474</v>
      </c>
      <c r="G492" s="1861"/>
      <c r="H492" s="1" t="s">
        <v>2047</v>
      </c>
      <c r="I492" s="10" t="s">
        <v>4255</v>
      </c>
      <c r="J492" s="13" t="s">
        <v>528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1"/>
      <c r="B493" s="1"/>
      <c r="C493" s="9">
        <v>44405</v>
      </c>
      <c r="D493" s="17" t="s">
        <v>209</v>
      </c>
      <c r="E493" s="2" t="s">
        <v>4256</v>
      </c>
      <c r="F493" s="50">
        <v>475</v>
      </c>
      <c r="G493" s="1861"/>
      <c r="H493" s="1" t="s">
        <v>2983</v>
      </c>
      <c r="I493" s="10" t="s">
        <v>4257</v>
      </c>
      <c r="J493" s="13" t="s">
        <v>4258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1"/>
      <c r="B494" s="1"/>
      <c r="C494" s="9">
        <v>44405</v>
      </c>
      <c r="D494" s="17" t="s">
        <v>4259</v>
      </c>
      <c r="E494" s="2" t="s">
        <v>4260</v>
      </c>
      <c r="F494" s="50">
        <v>476</v>
      </c>
      <c r="G494" s="1861"/>
      <c r="H494" s="1" t="s">
        <v>2506</v>
      </c>
      <c r="I494" s="10" t="s">
        <v>4261</v>
      </c>
      <c r="J494" s="13" t="s">
        <v>528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1"/>
      <c r="B495" s="1"/>
      <c r="C495" s="9">
        <v>44405</v>
      </c>
      <c r="D495" s="17" t="s">
        <v>4262</v>
      </c>
      <c r="E495" s="2" t="s">
        <v>3515</v>
      </c>
      <c r="F495" s="50">
        <v>477</v>
      </c>
      <c r="G495" s="1861"/>
      <c r="H495" s="1" t="s">
        <v>2067</v>
      </c>
      <c r="I495" s="10" t="s">
        <v>4263</v>
      </c>
      <c r="J495" s="13" t="s">
        <v>528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1"/>
      <c r="B496" s="1"/>
      <c r="C496" s="9">
        <v>44405</v>
      </c>
      <c r="D496" s="17" t="s">
        <v>4264</v>
      </c>
      <c r="E496" s="2" t="s">
        <v>4019</v>
      </c>
      <c r="F496" s="50">
        <v>478</v>
      </c>
      <c r="G496" s="1861"/>
      <c r="H496" s="1" t="s">
        <v>2067</v>
      </c>
      <c r="I496" s="10" t="s">
        <v>4265</v>
      </c>
      <c r="J496" s="13" t="s">
        <v>528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1"/>
      <c r="B497" s="1"/>
      <c r="C497" s="24">
        <v>44405</v>
      </c>
      <c r="D497" s="16" t="s">
        <v>4266</v>
      </c>
      <c r="E497" s="11" t="s">
        <v>3645</v>
      </c>
      <c r="F497" s="64">
        <v>479</v>
      </c>
      <c r="G497" s="1864"/>
      <c r="H497" s="13" t="s">
        <v>1892</v>
      </c>
      <c r="I497" s="28" t="s">
        <v>4267</v>
      </c>
      <c r="J497" s="13" t="s">
        <v>507</v>
      </c>
      <c r="K497" s="2" t="s">
        <v>4268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1"/>
      <c r="B498" s="1"/>
      <c r="C498" s="9">
        <v>44405</v>
      </c>
      <c r="D498" s="17" t="s">
        <v>4269</v>
      </c>
      <c r="E498" s="2" t="s">
        <v>4270</v>
      </c>
      <c r="F498" s="50">
        <v>480</v>
      </c>
      <c r="G498" s="1861"/>
      <c r="H498" s="1" t="s">
        <v>2047</v>
      </c>
      <c r="I498" s="10" t="s">
        <v>4271</v>
      </c>
      <c r="J498" s="13" t="s">
        <v>39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1"/>
      <c r="B499" s="1"/>
      <c r="C499" s="9">
        <v>44405</v>
      </c>
      <c r="D499" s="17" t="s">
        <v>4272</v>
      </c>
      <c r="E499" s="2" t="s">
        <v>4273</v>
      </c>
      <c r="F499" s="50">
        <v>481</v>
      </c>
      <c r="G499" s="1861"/>
      <c r="H499" s="1" t="s">
        <v>2047</v>
      </c>
      <c r="I499" s="10" t="s">
        <v>4274</v>
      </c>
      <c r="J499" s="13" t="s">
        <v>528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1"/>
      <c r="B500" s="1"/>
      <c r="C500" s="9">
        <v>44405</v>
      </c>
      <c r="D500" s="17" t="s">
        <v>4275</v>
      </c>
      <c r="E500" s="2" t="s">
        <v>4276</v>
      </c>
      <c r="F500" s="50">
        <v>482</v>
      </c>
      <c r="G500" s="1861"/>
      <c r="H500" s="1" t="s">
        <v>1275</v>
      </c>
      <c r="I500" s="10" t="s">
        <v>4277</v>
      </c>
      <c r="J500" s="13" t="s">
        <v>528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1"/>
      <c r="B501" s="1"/>
      <c r="C501" s="1"/>
      <c r="D501" s="17" t="s">
        <v>4278</v>
      </c>
      <c r="E501" s="2" t="s">
        <v>4279</v>
      </c>
      <c r="F501" s="50">
        <v>483</v>
      </c>
      <c r="G501" s="1861"/>
      <c r="H501" s="1" t="s">
        <v>1275</v>
      </c>
      <c r="I501" s="10" t="s">
        <v>4280</v>
      </c>
      <c r="J501" s="13" t="s">
        <v>3759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1"/>
      <c r="B502" s="1"/>
      <c r="C502" s="9">
        <v>44041</v>
      </c>
      <c r="D502" s="17" t="s">
        <v>4281</v>
      </c>
      <c r="E502" s="2" t="s">
        <v>4282</v>
      </c>
      <c r="F502" s="50">
        <v>484</v>
      </c>
      <c r="G502" s="1861"/>
      <c r="H502" s="1" t="s">
        <v>2047</v>
      </c>
      <c r="I502" s="10" t="s">
        <v>4283</v>
      </c>
      <c r="J502" s="13" t="s">
        <v>507</v>
      </c>
      <c r="K502" s="2" t="s">
        <v>4268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1"/>
      <c r="B503" s="1"/>
      <c r="C503" s="9">
        <v>44407</v>
      </c>
      <c r="D503" s="17" t="s">
        <v>3679</v>
      </c>
      <c r="E503" s="2" t="s">
        <v>3680</v>
      </c>
      <c r="F503" s="50">
        <v>485</v>
      </c>
      <c r="G503" s="1861"/>
      <c r="H503" s="1" t="s">
        <v>2134</v>
      </c>
      <c r="I503" s="10" t="s">
        <v>4284</v>
      </c>
      <c r="J503" s="13" t="s">
        <v>528</v>
      </c>
      <c r="K503" s="2" t="s">
        <v>4268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1"/>
      <c r="B504" s="1"/>
      <c r="C504" s="9">
        <v>44407</v>
      </c>
      <c r="D504" s="17" t="s">
        <v>209</v>
      </c>
      <c r="E504" s="2" t="s">
        <v>4285</v>
      </c>
      <c r="F504" s="50">
        <v>486</v>
      </c>
      <c r="G504" s="1861"/>
      <c r="H504" s="1" t="s">
        <v>1602</v>
      </c>
      <c r="I504" s="10" t="s">
        <v>4286</v>
      </c>
      <c r="J504" s="13" t="s">
        <v>4258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1"/>
      <c r="B505" s="1"/>
      <c r="C505" s="9">
        <v>44407</v>
      </c>
      <c r="D505" s="17" t="s">
        <v>209</v>
      </c>
      <c r="E505" s="2" t="s">
        <v>4287</v>
      </c>
      <c r="F505" s="50">
        <v>487</v>
      </c>
      <c r="G505" s="1861"/>
      <c r="H505" s="1" t="s">
        <v>1392</v>
      </c>
      <c r="I505" s="10" t="s">
        <v>4288</v>
      </c>
      <c r="J505" s="13" t="s">
        <v>4258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1"/>
      <c r="B506" s="1"/>
      <c r="C506" s="9">
        <v>44407</v>
      </c>
      <c r="D506" s="17" t="s">
        <v>209</v>
      </c>
      <c r="E506" s="2" t="s">
        <v>4289</v>
      </c>
      <c r="F506" s="50">
        <v>488</v>
      </c>
      <c r="G506" s="1861"/>
      <c r="H506" s="1" t="s">
        <v>2076</v>
      </c>
      <c r="I506" s="10" t="s">
        <v>4290</v>
      </c>
      <c r="J506" s="13" t="s">
        <v>4258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1"/>
      <c r="B507" s="1"/>
      <c r="C507" s="9">
        <v>44407</v>
      </c>
      <c r="D507" s="1"/>
      <c r="E507" s="2"/>
      <c r="F507" s="2"/>
      <c r="G507" s="71"/>
      <c r="H507" s="2"/>
      <c r="I507" s="2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1"/>
      <c r="B508" s="1"/>
      <c r="C508" s="9">
        <v>44407</v>
      </c>
      <c r="D508" s="17" t="s">
        <v>4291</v>
      </c>
      <c r="E508" s="2" t="s">
        <v>4292</v>
      </c>
      <c r="F508" s="50">
        <v>490</v>
      </c>
      <c r="G508" s="1861"/>
      <c r="H508" s="1" t="s">
        <v>2996</v>
      </c>
      <c r="I508" s="10" t="s">
        <v>4293</v>
      </c>
      <c r="J508" s="13" t="s">
        <v>528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1"/>
      <c r="B509" s="1"/>
      <c r="C509" s="9">
        <v>44407</v>
      </c>
      <c r="D509" s="17" t="s">
        <v>4294</v>
      </c>
      <c r="E509" s="2" t="s">
        <v>1754</v>
      </c>
      <c r="F509" s="50">
        <v>491</v>
      </c>
      <c r="G509" s="1861"/>
      <c r="H509" s="1" t="s">
        <v>2076</v>
      </c>
      <c r="I509" s="10" t="s">
        <v>4295</v>
      </c>
      <c r="J509" s="13" t="s">
        <v>528</v>
      </c>
      <c r="K509" s="2" t="s">
        <v>4268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1"/>
      <c r="B510" s="1"/>
      <c r="C510" s="1"/>
      <c r="D510" s="17" t="s">
        <v>4296</v>
      </c>
      <c r="E510" s="2" t="s">
        <v>3450</v>
      </c>
      <c r="F510" s="50">
        <v>492</v>
      </c>
      <c r="G510" s="1861"/>
      <c r="H510" s="1" t="s">
        <v>1275</v>
      </c>
      <c r="I510" s="10" t="s">
        <v>4297</v>
      </c>
      <c r="J510" s="13" t="s">
        <v>39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1"/>
      <c r="B511" s="1"/>
      <c r="C511" s="1"/>
      <c r="D511" s="17" t="s">
        <v>4298</v>
      </c>
      <c r="E511" s="2" t="s">
        <v>4299</v>
      </c>
      <c r="F511" s="50" t="s">
        <v>4300</v>
      </c>
      <c r="G511" s="1861"/>
      <c r="H511" s="1" t="s">
        <v>1275</v>
      </c>
      <c r="I511" s="10" t="s">
        <v>4301</v>
      </c>
      <c r="J511" s="13" t="s">
        <v>507</v>
      </c>
      <c r="K511" s="2" t="s">
        <v>4302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1"/>
      <c r="B512" s="1"/>
      <c r="C512" s="1"/>
      <c r="D512" s="17" t="s">
        <v>2528</v>
      </c>
      <c r="E512" s="2" t="s">
        <v>2529</v>
      </c>
      <c r="F512" s="50">
        <v>494</v>
      </c>
      <c r="G512" s="1861"/>
      <c r="H512" s="1" t="s">
        <v>4303</v>
      </c>
      <c r="I512" s="10" t="s">
        <v>4304</v>
      </c>
      <c r="J512" s="13" t="s">
        <v>4305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1"/>
      <c r="B513" s="1"/>
      <c r="C513" s="1"/>
      <c r="D513" s="17" t="s">
        <v>2847</v>
      </c>
      <c r="E513" s="57" t="s">
        <v>2848</v>
      </c>
      <c r="F513" s="50">
        <v>495</v>
      </c>
      <c r="G513" s="1861"/>
      <c r="H513" s="1" t="s">
        <v>1275</v>
      </c>
      <c r="I513" s="10" t="s">
        <v>4306</v>
      </c>
      <c r="J513" s="13" t="s">
        <v>39</v>
      </c>
    </row>
    <row r="514" spans="1:26" ht="14.25" customHeight="1">
      <c r="A514" s="1"/>
      <c r="B514" s="1"/>
      <c r="C514" s="1"/>
      <c r="D514" s="17" t="s">
        <v>4307</v>
      </c>
      <c r="E514" s="2" t="s">
        <v>4308</v>
      </c>
      <c r="F514" s="50">
        <v>496</v>
      </c>
      <c r="G514" s="1861"/>
      <c r="H514" s="1" t="s">
        <v>1347</v>
      </c>
      <c r="I514" s="10" t="s">
        <v>4309</v>
      </c>
      <c r="J514" s="13" t="s">
        <v>77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1"/>
      <c r="B515" s="1"/>
      <c r="C515" s="1"/>
      <c r="D515" s="17" t="s">
        <v>4310</v>
      </c>
      <c r="E515" s="57" t="s">
        <v>2622</v>
      </c>
      <c r="F515" s="50">
        <v>497</v>
      </c>
      <c r="G515" s="1861"/>
      <c r="H515" s="1" t="s">
        <v>2047</v>
      </c>
      <c r="I515" s="10" t="s">
        <v>4311</v>
      </c>
      <c r="J515" s="13" t="s">
        <v>39</v>
      </c>
    </row>
    <row r="516" spans="1:26" ht="14.25" customHeight="1">
      <c r="A516" s="1"/>
      <c r="B516" s="1"/>
      <c r="C516" s="1"/>
      <c r="D516" s="17" t="s">
        <v>4312</v>
      </c>
      <c r="E516" s="2" t="s">
        <v>4313</v>
      </c>
      <c r="F516" s="50">
        <v>498</v>
      </c>
      <c r="G516" s="1861"/>
      <c r="H516" s="1" t="s">
        <v>1602</v>
      </c>
      <c r="I516" s="10" t="s">
        <v>4314</v>
      </c>
      <c r="J516" s="13" t="s">
        <v>39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1"/>
      <c r="B517" s="1"/>
      <c r="C517" s="1"/>
      <c r="D517" s="17" t="s">
        <v>4315</v>
      </c>
      <c r="E517" s="2" t="s">
        <v>4316</v>
      </c>
      <c r="F517" s="50">
        <v>499</v>
      </c>
      <c r="G517" s="1861"/>
      <c r="H517" s="1" t="s">
        <v>1275</v>
      </c>
      <c r="I517" s="10" t="s">
        <v>4317</v>
      </c>
      <c r="J517" s="13" t="s">
        <v>4318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1"/>
      <c r="B518" s="1"/>
      <c r="C518" s="1"/>
      <c r="D518" s="17" t="s">
        <v>4319</v>
      </c>
      <c r="E518" s="2" t="s">
        <v>4320</v>
      </c>
      <c r="F518" s="50">
        <v>500</v>
      </c>
      <c r="G518" s="1861"/>
      <c r="H518" s="1" t="s">
        <v>2067</v>
      </c>
      <c r="I518" s="10" t="s">
        <v>4321</v>
      </c>
      <c r="J518" s="13" t="s">
        <v>77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1"/>
      <c r="B519" s="1"/>
      <c r="C519" s="1"/>
      <c r="D519" s="17" t="s">
        <v>2528</v>
      </c>
      <c r="E519" s="57" t="s">
        <v>2540</v>
      </c>
      <c r="F519" s="50">
        <v>501</v>
      </c>
      <c r="G519" s="1861"/>
      <c r="H519" s="1" t="s">
        <v>4303</v>
      </c>
      <c r="I519" s="10" t="s">
        <v>4322</v>
      </c>
      <c r="J519" s="13" t="s">
        <v>4323</v>
      </c>
    </row>
    <row r="520" spans="1:26" ht="14.25" customHeight="1">
      <c r="A520" s="1"/>
      <c r="B520" s="1"/>
      <c r="C520" s="1"/>
      <c r="D520" s="17" t="s">
        <v>4324</v>
      </c>
      <c r="E520" s="2" t="s">
        <v>3812</v>
      </c>
      <c r="F520" s="50">
        <v>502</v>
      </c>
      <c r="G520" s="1861"/>
      <c r="H520" s="1" t="s">
        <v>2076</v>
      </c>
      <c r="I520" s="10" t="s">
        <v>4325</v>
      </c>
      <c r="J520" s="13" t="s">
        <v>528</v>
      </c>
      <c r="K520" s="2" t="s">
        <v>4268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1"/>
      <c r="B521" s="1"/>
      <c r="C521" s="1"/>
      <c r="D521" s="17" t="s">
        <v>4326</v>
      </c>
      <c r="E521" s="2" t="s">
        <v>4327</v>
      </c>
      <c r="F521" s="50">
        <v>503</v>
      </c>
      <c r="G521" s="1861"/>
      <c r="H521" s="1" t="s">
        <v>2506</v>
      </c>
      <c r="I521" s="10" t="s">
        <v>4328</v>
      </c>
      <c r="J521" s="13" t="s">
        <v>507</v>
      </c>
      <c r="K521" s="2" t="s">
        <v>4302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1"/>
      <c r="B522" s="1"/>
      <c r="C522" s="1"/>
      <c r="D522" s="17" t="s">
        <v>4329</v>
      </c>
      <c r="E522" s="2" t="s">
        <v>3864</v>
      </c>
      <c r="F522" s="50">
        <v>504</v>
      </c>
      <c r="G522" s="1861"/>
      <c r="H522" s="1" t="s">
        <v>1275</v>
      </c>
      <c r="I522" s="10" t="s">
        <v>4330</v>
      </c>
      <c r="J522" s="13" t="s">
        <v>4331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1"/>
      <c r="B523" s="1"/>
      <c r="C523" s="1"/>
      <c r="D523" s="17" t="s">
        <v>4332</v>
      </c>
      <c r="E523" s="57" t="s">
        <v>4019</v>
      </c>
      <c r="F523" s="50">
        <v>505</v>
      </c>
      <c r="G523" s="1861"/>
      <c r="H523" s="1" t="s">
        <v>1602</v>
      </c>
      <c r="I523" s="10" t="s">
        <v>4333</v>
      </c>
      <c r="J523" s="13" t="s">
        <v>77</v>
      </c>
    </row>
    <row r="524" spans="1:26" ht="14.25" customHeight="1">
      <c r="A524" s="1"/>
      <c r="B524" s="1"/>
      <c r="C524" s="1"/>
      <c r="D524" s="17" t="s">
        <v>2759</v>
      </c>
      <c r="E524" s="2" t="s">
        <v>4334</v>
      </c>
      <c r="F524" s="50">
        <v>506</v>
      </c>
      <c r="G524" s="1861"/>
      <c r="H524" s="1" t="s">
        <v>1602</v>
      </c>
      <c r="I524" s="10" t="s">
        <v>4335</v>
      </c>
      <c r="J524" s="13" t="s">
        <v>4258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1"/>
      <c r="B525" s="1"/>
      <c r="C525" s="1"/>
      <c r="D525" s="17" t="s">
        <v>2759</v>
      </c>
      <c r="E525" s="2" t="s">
        <v>4336</v>
      </c>
      <c r="F525" s="50">
        <v>507</v>
      </c>
      <c r="G525" s="1861"/>
      <c r="H525" s="1" t="s">
        <v>2067</v>
      </c>
      <c r="I525" s="10" t="s">
        <v>4337</v>
      </c>
      <c r="J525" s="13" t="s">
        <v>77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1"/>
      <c r="B526" s="1"/>
      <c r="C526" s="1"/>
      <c r="D526" s="17" t="s">
        <v>2759</v>
      </c>
      <c r="E526" s="2" t="s">
        <v>4338</v>
      </c>
      <c r="F526" s="50">
        <v>508</v>
      </c>
      <c r="G526" s="1861"/>
      <c r="H526" s="1" t="s">
        <v>1602</v>
      </c>
      <c r="I526" s="10" t="s">
        <v>4339</v>
      </c>
      <c r="J526" s="13" t="s">
        <v>77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1"/>
      <c r="B527" s="1"/>
      <c r="C527" s="1"/>
      <c r="D527" s="17"/>
      <c r="E527" s="2" t="s">
        <v>4340</v>
      </c>
      <c r="F527" s="50">
        <v>509</v>
      </c>
      <c r="G527" s="1861"/>
      <c r="H527" s="1" t="s">
        <v>2919</v>
      </c>
      <c r="I527" s="10" t="s">
        <v>4341</v>
      </c>
      <c r="J527" s="13" t="s">
        <v>39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1"/>
      <c r="B528" s="1"/>
      <c r="C528" s="1"/>
      <c r="D528" s="17"/>
      <c r="E528" s="2" t="s">
        <v>415</v>
      </c>
      <c r="F528" s="50">
        <v>510</v>
      </c>
      <c r="G528" s="1861"/>
      <c r="H528" s="1" t="s">
        <v>2919</v>
      </c>
      <c r="I528" s="10" t="s">
        <v>4342</v>
      </c>
      <c r="J528" s="13" t="s">
        <v>39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1"/>
      <c r="B529" s="1"/>
      <c r="C529" s="1"/>
      <c r="D529" s="17" t="s">
        <v>4343</v>
      </c>
      <c r="E529" s="2" t="s">
        <v>2393</v>
      </c>
      <c r="F529" s="50"/>
      <c r="G529" s="1861"/>
      <c r="H529" s="1"/>
      <c r="I529" s="10" t="s">
        <v>4344</v>
      </c>
      <c r="J529" s="13" t="s">
        <v>4345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1"/>
      <c r="B530" s="1"/>
      <c r="C530" s="1"/>
      <c r="D530" s="1">
        <v>7903025661</v>
      </c>
      <c r="E530" s="2" t="s">
        <v>4346</v>
      </c>
      <c r="F530" s="50">
        <v>511</v>
      </c>
      <c r="G530" s="1861"/>
      <c r="H530" s="1" t="s">
        <v>1387</v>
      </c>
      <c r="I530" s="10" t="s">
        <v>4347</v>
      </c>
      <c r="J530" s="13" t="s">
        <v>4348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1"/>
      <c r="B531" s="1"/>
      <c r="C531" s="1"/>
      <c r="D531" s="1"/>
      <c r="E531" s="2" t="s">
        <v>4349</v>
      </c>
      <c r="F531" s="50">
        <v>512</v>
      </c>
      <c r="G531" s="1861"/>
      <c r="H531" s="1" t="s">
        <v>1955</v>
      </c>
      <c r="I531" s="10" t="s">
        <v>4350</v>
      </c>
      <c r="J531" s="13" t="s">
        <v>528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1"/>
      <c r="B532" s="1"/>
      <c r="C532" s="1"/>
      <c r="D532" s="1">
        <v>7079185885</v>
      </c>
      <c r="E532" s="2" t="s">
        <v>4351</v>
      </c>
      <c r="F532" s="50">
        <v>513</v>
      </c>
      <c r="G532" s="1861"/>
      <c r="H532" s="1" t="s">
        <v>2071</v>
      </c>
      <c r="I532" s="10" t="s">
        <v>4352</v>
      </c>
      <c r="J532" s="13" t="s">
        <v>528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1"/>
      <c r="B533" s="1"/>
      <c r="C533" s="1"/>
      <c r="D533" s="17" t="s">
        <v>4353</v>
      </c>
      <c r="E533" s="2" t="s">
        <v>4354</v>
      </c>
      <c r="F533" s="50">
        <v>514</v>
      </c>
      <c r="G533" s="1861"/>
      <c r="H533" s="1" t="s">
        <v>1275</v>
      </c>
      <c r="I533" s="10" t="s">
        <v>4355</v>
      </c>
      <c r="J533" s="13" t="s">
        <v>528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1"/>
      <c r="B534" s="1"/>
      <c r="C534" s="1"/>
      <c r="D534" s="17" t="s">
        <v>209</v>
      </c>
      <c r="E534" s="2" t="s">
        <v>4356</v>
      </c>
      <c r="F534" s="50">
        <v>515</v>
      </c>
      <c r="G534" s="1861"/>
      <c r="H534" s="1" t="s">
        <v>1955</v>
      </c>
      <c r="I534" s="10" t="s">
        <v>4357</v>
      </c>
      <c r="J534" s="13" t="s">
        <v>4358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1"/>
      <c r="B535" s="1"/>
      <c r="C535" s="1"/>
      <c r="D535" s="17" t="s">
        <v>4359</v>
      </c>
      <c r="E535" s="2" t="s">
        <v>4360</v>
      </c>
      <c r="F535" s="50">
        <v>516</v>
      </c>
      <c r="G535" s="1861"/>
      <c r="H535" s="1" t="s">
        <v>3965</v>
      </c>
      <c r="I535" s="10" t="s">
        <v>4361</v>
      </c>
      <c r="J535" s="13" t="s">
        <v>4362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1"/>
      <c r="B536" s="1"/>
      <c r="C536" s="1"/>
      <c r="D536" s="17" t="s">
        <v>4363</v>
      </c>
      <c r="E536" s="2" t="s">
        <v>4364</v>
      </c>
      <c r="F536" s="50">
        <v>517</v>
      </c>
      <c r="G536" s="1861"/>
      <c r="H536" s="1" t="s">
        <v>3965</v>
      </c>
      <c r="I536" s="10" t="s">
        <v>4365</v>
      </c>
      <c r="J536" s="13" t="s">
        <v>528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1"/>
      <c r="B537" s="1"/>
      <c r="C537" s="1"/>
      <c r="D537" s="17" t="s">
        <v>4366</v>
      </c>
      <c r="E537" s="2" t="s">
        <v>4367</v>
      </c>
      <c r="F537" s="50">
        <v>518</v>
      </c>
      <c r="G537" s="1861"/>
      <c r="H537" s="1" t="s">
        <v>1275</v>
      </c>
      <c r="I537" s="10" t="s">
        <v>4368</v>
      </c>
      <c r="J537" s="13" t="s">
        <v>4358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1"/>
      <c r="B538" s="1"/>
      <c r="C538" s="1"/>
      <c r="D538" s="17"/>
      <c r="E538" s="2" t="s">
        <v>2125</v>
      </c>
      <c r="F538" s="50">
        <v>519</v>
      </c>
      <c r="G538" s="1861"/>
      <c r="H538" s="1" t="s">
        <v>1392</v>
      </c>
      <c r="I538" s="10" t="s">
        <v>4369</v>
      </c>
      <c r="J538" s="13" t="s">
        <v>4358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1"/>
      <c r="B539" s="1"/>
      <c r="C539" s="1"/>
      <c r="D539" s="17" t="s">
        <v>4370</v>
      </c>
      <c r="E539" s="2" t="s">
        <v>4371</v>
      </c>
      <c r="F539" s="50">
        <v>520</v>
      </c>
      <c r="G539" s="1861"/>
      <c r="H539" s="1" t="s">
        <v>1275</v>
      </c>
      <c r="I539" s="10" t="s">
        <v>4372</v>
      </c>
      <c r="J539" s="13" t="s">
        <v>39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1"/>
      <c r="B540" s="1"/>
      <c r="C540" s="1"/>
      <c r="D540" s="17" t="s">
        <v>4373</v>
      </c>
      <c r="E540" s="2" t="s">
        <v>4374</v>
      </c>
      <c r="F540" s="50">
        <v>521</v>
      </c>
      <c r="G540" s="1861"/>
      <c r="H540" s="1" t="s">
        <v>1392</v>
      </c>
      <c r="I540" s="10" t="s">
        <v>4375</v>
      </c>
      <c r="J540" s="13" t="s">
        <v>4376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1"/>
      <c r="B541" s="1"/>
      <c r="C541" s="1"/>
      <c r="D541" s="17" t="s">
        <v>1878</v>
      </c>
      <c r="E541" s="2" t="s">
        <v>3980</v>
      </c>
      <c r="F541" s="50">
        <v>522</v>
      </c>
      <c r="G541" s="1861"/>
      <c r="H541" s="1" t="s">
        <v>1275</v>
      </c>
      <c r="I541" s="10" t="s">
        <v>4377</v>
      </c>
      <c r="J541" s="13" t="s">
        <v>507</v>
      </c>
      <c r="K541" s="2" t="s">
        <v>4268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1"/>
      <c r="B542" s="1"/>
      <c r="C542" s="1"/>
      <c r="D542" s="17" t="s">
        <v>4378</v>
      </c>
      <c r="E542" s="2" t="s">
        <v>2426</v>
      </c>
      <c r="F542" s="50">
        <v>523</v>
      </c>
      <c r="G542" s="1861"/>
      <c r="H542" s="1" t="s">
        <v>1602</v>
      </c>
      <c r="I542" s="10" t="s">
        <v>4379</v>
      </c>
      <c r="J542" s="13" t="s">
        <v>77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1"/>
      <c r="B543" s="1"/>
      <c r="C543" s="1"/>
      <c r="D543" s="17" t="s">
        <v>4380</v>
      </c>
      <c r="E543" s="2" t="s">
        <v>4260</v>
      </c>
      <c r="F543" s="50">
        <v>524</v>
      </c>
      <c r="G543" s="1861"/>
      <c r="H543" s="1" t="s">
        <v>1392</v>
      </c>
      <c r="I543" s="10" t="s">
        <v>4381</v>
      </c>
      <c r="J543" s="13" t="s">
        <v>4382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1"/>
      <c r="B544" s="1"/>
      <c r="C544" s="1"/>
      <c r="D544" s="17" t="s">
        <v>4383</v>
      </c>
      <c r="E544" s="2" t="s">
        <v>4384</v>
      </c>
      <c r="F544" s="50">
        <v>525</v>
      </c>
      <c r="G544" s="1861"/>
      <c r="H544" s="1" t="s">
        <v>4385</v>
      </c>
      <c r="I544" s="10" t="s">
        <v>4386</v>
      </c>
      <c r="J544" s="13" t="s">
        <v>77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1"/>
      <c r="B545" s="1"/>
      <c r="C545" s="1"/>
      <c r="D545" s="17"/>
      <c r="E545" s="2" t="s">
        <v>4387</v>
      </c>
      <c r="F545" s="50">
        <v>526</v>
      </c>
      <c r="G545" s="1861"/>
      <c r="H545" s="1" t="s">
        <v>1275</v>
      </c>
      <c r="I545" s="10" t="s">
        <v>4388</v>
      </c>
      <c r="J545" s="13" t="s">
        <v>528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1"/>
      <c r="B546" s="1"/>
      <c r="C546" s="1"/>
      <c r="D546" s="17" t="s">
        <v>209</v>
      </c>
      <c r="E546" s="2" t="s">
        <v>4389</v>
      </c>
      <c r="F546" s="50">
        <v>527</v>
      </c>
      <c r="G546" s="1861"/>
      <c r="H546" s="1" t="s">
        <v>1275</v>
      </c>
      <c r="I546" s="10" t="s">
        <v>4390</v>
      </c>
      <c r="J546" s="13" t="s">
        <v>4391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1"/>
      <c r="B547" s="1"/>
      <c r="C547" s="1"/>
      <c r="D547" s="17" t="s">
        <v>209</v>
      </c>
      <c r="E547" s="2" t="s">
        <v>4392</v>
      </c>
      <c r="F547" s="50">
        <v>528</v>
      </c>
      <c r="G547" s="1861"/>
      <c r="H547" s="1" t="s">
        <v>1602</v>
      </c>
      <c r="I547" s="10" t="s">
        <v>4393</v>
      </c>
      <c r="J547" s="13" t="s">
        <v>4394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1"/>
      <c r="B548" s="1"/>
      <c r="C548" s="1"/>
      <c r="D548" s="17" t="s">
        <v>209</v>
      </c>
      <c r="E548" s="57" t="s">
        <v>4395</v>
      </c>
      <c r="F548" s="50">
        <v>529</v>
      </c>
      <c r="G548" s="1861"/>
      <c r="H548" s="1" t="s">
        <v>1275</v>
      </c>
      <c r="I548" s="10" t="s">
        <v>4396</v>
      </c>
      <c r="J548" s="13" t="s">
        <v>4391</v>
      </c>
    </row>
    <row r="549" spans="1:26" ht="14.25" customHeight="1">
      <c r="A549" s="1"/>
      <c r="B549" s="1"/>
      <c r="C549" s="1"/>
      <c r="D549" s="17" t="s">
        <v>209</v>
      </c>
      <c r="E549" s="57" t="s">
        <v>4397</v>
      </c>
      <c r="F549" s="50">
        <v>530</v>
      </c>
      <c r="G549" s="1861"/>
      <c r="H549" s="1" t="s">
        <v>1275</v>
      </c>
      <c r="I549" s="10" t="s">
        <v>4398</v>
      </c>
      <c r="J549" s="13" t="s">
        <v>4399</v>
      </c>
    </row>
    <row r="550" spans="1:26" ht="14.25" customHeight="1">
      <c r="A550" s="1"/>
      <c r="B550" s="1"/>
      <c r="C550" s="1"/>
      <c r="D550" s="17" t="s">
        <v>209</v>
      </c>
      <c r="E550" s="57" t="s">
        <v>4400</v>
      </c>
      <c r="F550" s="50">
        <v>531</v>
      </c>
      <c r="G550" s="1861"/>
      <c r="H550" s="1" t="s">
        <v>1392</v>
      </c>
      <c r="I550" s="10" t="s">
        <v>4401</v>
      </c>
      <c r="J550" s="13" t="s">
        <v>4402</v>
      </c>
    </row>
    <row r="551" spans="1:26" ht="14.25" customHeight="1">
      <c r="A551" s="1"/>
      <c r="B551" s="1"/>
      <c r="C551" s="1"/>
      <c r="D551" s="17" t="s">
        <v>4120</v>
      </c>
      <c r="E551" s="2" t="s">
        <v>4121</v>
      </c>
      <c r="F551" s="50">
        <v>532</v>
      </c>
      <c r="G551" s="1861"/>
      <c r="H551" s="1" t="s">
        <v>1392</v>
      </c>
      <c r="I551" s="10" t="s">
        <v>4403</v>
      </c>
      <c r="J551" s="13" t="s">
        <v>4402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1"/>
      <c r="B552" s="1"/>
      <c r="C552" s="1"/>
      <c r="D552" s="17" t="s">
        <v>2536</v>
      </c>
      <c r="E552" s="2" t="s">
        <v>2537</v>
      </c>
      <c r="F552" s="50">
        <v>533</v>
      </c>
      <c r="G552" s="1861"/>
      <c r="H552" s="1" t="s">
        <v>4404</v>
      </c>
      <c r="I552" s="10" t="s">
        <v>4405</v>
      </c>
      <c r="J552" s="13" t="s">
        <v>2562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1"/>
      <c r="B553" s="1"/>
      <c r="C553" s="1"/>
      <c r="D553" s="17" t="s">
        <v>4406</v>
      </c>
      <c r="E553" s="2" t="s">
        <v>4407</v>
      </c>
      <c r="F553" s="50" t="s">
        <v>4408</v>
      </c>
      <c r="G553" s="1861"/>
      <c r="H553" s="1" t="s">
        <v>1227</v>
      </c>
      <c r="I553" s="10" t="s">
        <v>4409</v>
      </c>
      <c r="J553" s="13" t="s">
        <v>39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1"/>
      <c r="B554" s="1"/>
      <c r="C554" s="1"/>
      <c r="D554" s="17" t="s">
        <v>4410</v>
      </c>
      <c r="E554" s="2" t="s">
        <v>4411</v>
      </c>
      <c r="F554" s="50" t="s">
        <v>4412</v>
      </c>
      <c r="G554" s="1861"/>
      <c r="H554" s="1" t="s">
        <v>1227</v>
      </c>
      <c r="I554" s="10" t="s">
        <v>4413</v>
      </c>
      <c r="J554" s="13" t="s">
        <v>39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1"/>
      <c r="B555" s="1"/>
      <c r="C555" s="1"/>
      <c r="D555" s="17" t="s">
        <v>2545</v>
      </c>
      <c r="E555" s="2" t="s">
        <v>485</v>
      </c>
      <c r="F555" s="50">
        <v>546</v>
      </c>
      <c r="G555" s="1861"/>
      <c r="H555" s="1" t="s">
        <v>2546</v>
      </c>
      <c r="I555" s="10" t="s">
        <v>4414</v>
      </c>
      <c r="J555" s="13" t="s">
        <v>100</v>
      </c>
    </row>
    <row r="556" spans="1:26" ht="14.25" customHeight="1">
      <c r="A556" s="1"/>
      <c r="B556" s="1"/>
      <c r="C556" s="1"/>
      <c r="D556" s="17" t="s">
        <v>4415</v>
      </c>
      <c r="E556" s="2" t="s">
        <v>4416</v>
      </c>
      <c r="F556" s="50">
        <v>547</v>
      </c>
      <c r="G556" s="1861"/>
      <c r="H556" s="1" t="s">
        <v>1387</v>
      </c>
      <c r="I556" s="10" t="s">
        <v>4417</v>
      </c>
      <c r="J556" s="13" t="s">
        <v>507</v>
      </c>
      <c r="K556" s="2" t="s">
        <v>4302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1"/>
      <c r="B557" s="1"/>
      <c r="C557" s="1"/>
      <c r="D557" s="17" t="s">
        <v>209</v>
      </c>
      <c r="E557" s="2" t="s">
        <v>3120</v>
      </c>
      <c r="F557" s="50">
        <v>548</v>
      </c>
      <c r="G557" s="1861"/>
      <c r="H557" s="1" t="s">
        <v>1602</v>
      </c>
      <c r="I557" s="10" t="s">
        <v>4418</v>
      </c>
      <c r="J557" s="13" t="s">
        <v>4391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1"/>
      <c r="B558" s="1"/>
      <c r="C558" s="1"/>
      <c r="D558" s="17" t="s">
        <v>209</v>
      </c>
      <c r="E558" s="57" t="s">
        <v>4419</v>
      </c>
      <c r="F558" s="50">
        <v>549</v>
      </c>
      <c r="G558" s="1861"/>
      <c r="H558" s="1" t="s">
        <v>4420</v>
      </c>
      <c r="I558" s="10" t="s">
        <v>4421</v>
      </c>
      <c r="J558" s="13" t="s">
        <v>4391</v>
      </c>
    </row>
    <row r="559" spans="1:26" ht="14.25" customHeight="1">
      <c r="A559" s="1"/>
      <c r="B559" s="1"/>
      <c r="C559" s="1"/>
      <c r="D559" s="17" t="s">
        <v>4422</v>
      </c>
      <c r="E559" s="2" t="s">
        <v>4423</v>
      </c>
      <c r="F559" s="50">
        <v>550</v>
      </c>
      <c r="G559" s="1861"/>
      <c r="H559" s="1" t="s">
        <v>2018</v>
      </c>
      <c r="I559" s="10" t="s">
        <v>4424</v>
      </c>
      <c r="J559" s="13" t="s">
        <v>4402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1"/>
      <c r="B560" s="1"/>
      <c r="C560" s="9">
        <v>44411</v>
      </c>
      <c r="D560" s="17" t="s">
        <v>4425</v>
      </c>
      <c r="E560" s="2" t="s">
        <v>4426</v>
      </c>
      <c r="F560" s="50">
        <v>551</v>
      </c>
      <c r="G560" s="1861"/>
      <c r="H560" s="1" t="s">
        <v>2696</v>
      </c>
      <c r="I560" s="10" t="s">
        <v>4427</v>
      </c>
      <c r="J560" s="13" t="s">
        <v>39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1"/>
      <c r="B561" s="1"/>
      <c r="C561" s="1"/>
      <c r="D561" s="17" t="s">
        <v>4428</v>
      </c>
      <c r="E561" s="2" t="s">
        <v>4429</v>
      </c>
      <c r="F561" s="50">
        <v>552</v>
      </c>
      <c r="G561" s="1861"/>
      <c r="H561" s="1" t="s">
        <v>1602</v>
      </c>
      <c r="I561" s="10" t="s">
        <v>4430</v>
      </c>
      <c r="J561" s="13" t="s">
        <v>39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1"/>
      <c r="B562" s="1"/>
      <c r="C562" s="1"/>
      <c r="D562" s="17" t="s">
        <v>4431</v>
      </c>
      <c r="E562" s="2" t="s">
        <v>4432</v>
      </c>
      <c r="F562" s="50">
        <v>553</v>
      </c>
      <c r="G562" s="1861"/>
      <c r="H562" s="1" t="s">
        <v>1275</v>
      </c>
      <c r="I562" s="10" t="s">
        <v>4433</v>
      </c>
      <c r="J562" s="13" t="s">
        <v>39</v>
      </c>
      <c r="K562" s="65" t="s">
        <v>4268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1"/>
      <c r="B563" s="1"/>
      <c r="C563" s="1"/>
      <c r="D563" s="17" t="s">
        <v>4434</v>
      </c>
      <c r="E563" s="2" t="s">
        <v>4435</v>
      </c>
      <c r="F563" s="50">
        <v>554</v>
      </c>
      <c r="G563" s="1861"/>
      <c r="H563" s="1" t="s">
        <v>1602</v>
      </c>
      <c r="I563" s="10" t="s">
        <v>4436</v>
      </c>
      <c r="J563" s="13" t="s">
        <v>39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1"/>
      <c r="B564" s="1"/>
      <c r="C564" s="1"/>
      <c r="D564" s="17" t="s">
        <v>4437</v>
      </c>
      <c r="E564" s="2" t="s">
        <v>4438</v>
      </c>
      <c r="F564" s="50">
        <v>555</v>
      </c>
      <c r="G564" s="1861"/>
      <c r="H564" s="1" t="s">
        <v>2067</v>
      </c>
      <c r="I564" s="10" t="s">
        <v>4439</v>
      </c>
      <c r="J564" s="13" t="s">
        <v>39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1"/>
      <c r="B565" s="1"/>
      <c r="C565" s="1"/>
      <c r="D565" s="17" t="s">
        <v>4440</v>
      </c>
      <c r="E565" s="2" t="s">
        <v>4441</v>
      </c>
      <c r="F565" s="50">
        <v>556</v>
      </c>
      <c r="G565" s="1861"/>
      <c r="H565" s="1" t="s">
        <v>2067</v>
      </c>
      <c r="I565" s="10" t="s">
        <v>4442</v>
      </c>
      <c r="J565" s="13" t="s">
        <v>528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1"/>
      <c r="B566" s="1"/>
      <c r="C566" s="1"/>
      <c r="D566" s="17" t="s">
        <v>4443</v>
      </c>
      <c r="E566" s="2" t="s">
        <v>4444</v>
      </c>
      <c r="F566" s="50">
        <v>557</v>
      </c>
      <c r="G566" s="1861"/>
      <c r="H566" s="1" t="s">
        <v>2067</v>
      </c>
      <c r="I566" s="10" t="s">
        <v>4445</v>
      </c>
      <c r="J566" s="13" t="s">
        <v>77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1"/>
      <c r="B567" s="1"/>
      <c r="C567" s="1"/>
      <c r="D567" s="17" t="s">
        <v>4446</v>
      </c>
      <c r="E567" s="2" t="s">
        <v>4447</v>
      </c>
      <c r="F567" s="50">
        <v>558</v>
      </c>
      <c r="G567" s="1861"/>
      <c r="H567" s="1" t="s">
        <v>2047</v>
      </c>
      <c r="I567" s="10" t="s">
        <v>4448</v>
      </c>
      <c r="J567" s="13" t="s">
        <v>77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1"/>
      <c r="B568" s="1"/>
      <c r="C568" s="1"/>
      <c r="D568" s="17" t="s">
        <v>4449</v>
      </c>
      <c r="E568" s="2" t="s">
        <v>4450</v>
      </c>
      <c r="F568" s="50">
        <v>559</v>
      </c>
      <c r="G568" s="1861"/>
      <c r="H568" s="1" t="s">
        <v>2506</v>
      </c>
      <c r="I568" s="10" t="s">
        <v>4451</v>
      </c>
      <c r="J568" s="13" t="s">
        <v>528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1"/>
      <c r="B569" s="1"/>
      <c r="C569" s="1"/>
      <c r="D569" s="17" t="s">
        <v>4452</v>
      </c>
      <c r="E569" s="2" t="s">
        <v>4453</v>
      </c>
      <c r="F569" s="50">
        <v>560</v>
      </c>
      <c r="G569" s="1861"/>
      <c r="H569" s="1" t="s">
        <v>1275</v>
      </c>
      <c r="I569" s="10" t="s">
        <v>4454</v>
      </c>
      <c r="J569" s="13" t="s">
        <v>39</v>
      </c>
      <c r="K569" s="68" t="s">
        <v>4268</v>
      </c>
    </row>
    <row r="570" spans="1:26" ht="14.25" customHeight="1">
      <c r="A570" s="1"/>
      <c r="B570" s="1"/>
      <c r="C570" s="1"/>
      <c r="D570" s="17" t="s">
        <v>4455</v>
      </c>
      <c r="E570" s="2" t="s">
        <v>4456</v>
      </c>
      <c r="F570" s="50">
        <v>561</v>
      </c>
      <c r="G570" s="1861"/>
      <c r="H570" s="1" t="s">
        <v>1602</v>
      </c>
      <c r="I570" s="10" t="s">
        <v>4457</v>
      </c>
      <c r="J570" s="13" t="s">
        <v>507</v>
      </c>
      <c r="K570" s="2" t="s">
        <v>4268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1"/>
      <c r="B571" s="1"/>
      <c r="C571" s="1"/>
      <c r="D571" s="17" t="s">
        <v>4458</v>
      </c>
      <c r="E571" s="2" t="s">
        <v>4459</v>
      </c>
      <c r="F571" s="50">
        <v>562</v>
      </c>
      <c r="G571" s="1861"/>
      <c r="H571" s="1" t="s">
        <v>2067</v>
      </c>
      <c r="I571" s="10" t="s">
        <v>4460</v>
      </c>
      <c r="J571" s="13" t="s">
        <v>528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1"/>
      <c r="B572" s="1"/>
      <c r="C572" s="1"/>
      <c r="D572" s="17" t="s">
        <v>4461</v>
      </c>
      <c r="E572" s="2" t="s">
        <v>4462</v>
      </c>
      <c r="F572" s="50">
        <v>563</v>
      </c>
      <c r="G572" s="1861"/>
      <c r="H572" s="1" t="s">
        <v>1275</v>
      </c>
      <c r="I572" s="10" t="s">
        <v>4463</v>
      </c>
      <c r="J572" s="13" t="s">
        <v>507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1"/>
      <c r="B573" s="1"/>
      <c r="C573" s="1"/>
      <c r="D573" s="17" t="s">
        <v>4464</v>
      </c>
      <c r="E573" s="2" t="s">
        <v>4465</v>
      </c>
      <c r="F573" s="50">
        <v>564</v>
      </c>
      <c r="G573" s="1861"/>
      <c r="H573" s="1" t="s">
        <v>1355</v>
      </c>
      <c r="I573" s="10" t="s">
        <v>4466</v>
      </c>
      <c r="J573" s="13" t="s">
        <v>4402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1"/>
      <c r="B574" s="1"/>
      <c r="C574" s="1"/>
      <c r="D574" s="17" t="s">
        <v>4467</v>
      </c>
      <c r="E574" s="2" t="s">
        <v>4468</v>
      </c>
      <c r="F574" s="50">
        <v>565</v>
      </c>
      <c r="G574" s="1861"/>
      <c r="H574" s="1" t="s">
        <v>1955</v>
      </c>
      <c r="I574" s="10" t="s">
        <v>4469</v>
      </c>
      <c r="J574" s="13" t="s">
        <v>268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1"/>
      <c r="B575" s="1"/>
      <c r="C575" s="1"/>
      <c r="D575" s="17" t="s">
        <v>4264</v>
      </c>
      <c r="E575" s="2" t="s">
        <v>3339</v>
      </c>
      <c r="F575" s="50">
        <v>566</v>
      </c>
      <c r="G575" s="1861"/>
      <c r="H575" s="1" t="s">
        <v>2067</v>
      </c>
      <c r="I575" s="10" t="s">
        <v>4470</v>
      </c>
      <c r="J575" s="13" t="s">
        <v>4471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1"/>
      <c r="B576" s="1"/>
      <c r="C576" s="1"/>
      <c r="D576" s="17" t="s">
        <v>4472</v>
      </c>
      <c r="E576" s="2" t="s">
        <v>4473</v>
      </c>
      <c r="F576" s="50">
        <v>567</v>
      </c>
      <c r="G576" s="1861"/>
      <c r="H576" s="1" t="s">
        <v>1275</v>
      </c>
      <c r="I576" s="10" t="s">
        <v>4474</v>
      </c>
      <c r="J576" s="13" t="s">
        <v>268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1"/>
      <c r="B577" s="1"/>
      <c r="C577" s="9">
        <v>44410</v>
      </c>
      <c r="D577" s="17" t="s">
        <v>209</v>
      </c>
      <c r="E577" s="2" t="s">
        <v>4475</v>
      </c>
      <c r="F577" s="50">
        <v>568</v>
      </c>
      <c r="G577" s="1861"/>
      <c r="H577" s="1" t="s">
        <v>2919</v>
      </c>
      <c r="I577" s="10" t="s">
        <v>4476</v>
      </c>
      <c r="J577" s="13" t="s">
        <v>4258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1"/>
      <c r="B578" s="1"/>
      <c r="C578" s="9">
        <v>44410</v>
      </c>
      <c r="D578" s="17" t="s">
        <v>209</v>
      </c>
      <c r="E578" s="57" t="s">
        <v>4477</v>
      </c>
      <c r="F578" s="50">
        <v>569</v>
      </c>
      <c r="G578" s="1861"/>
      <c r="H578" s="1" t="s">
        <v>1955</v>
      </c>
      <c r="I578" s="10" t="s">
        <v>4478</v>
      </c>
      <c r="J578" s="13" t="s">
        <v>4479</v>
      </c>
    </row>
    <row r="579" spans="1:26" ht="14.25" customHeight="1">
      <c r="A579" s="1"/>
      <c r="B579" s="1"/>
      <c r="C579" s="9">
        <v>44410</v>
      </c>
      <c r="D579" s="17" t="s">
        <v>209</v>
      </c>
      <c r="E579" s="57" t="s">
        <v>4480</v>
      </c>
      <c r="F579" s="50">
        <v>570</v>
      </c>
      <c r="G579" s="1861"/>
      <c r="H579" s="1" t="s">
        <v>4481</v>
      </c>
      <c r="I579" s="10" t="s">
        <v>4482</v>
      </c>
      <c r="J579" s="13" t="s">
        <v>538</v>
      </c>
    </row>
    <row r="580" spans="1:26" ht="14.25" customHeight="1">
      <c r="A580" s="1"/>
      <c r="B580" s="1"/>
      <c r="C580" s="9">
        <v>44410</v>
      </c>
      <c r="D580" s="17" t="s">
        <v>209</v>
      </c>
      <c r="E580" s="57" t="s">
        <v>4483</v>
      </c>
      <c r="F580" s="50">
        <v>571</v>
      </c>
      <c r="G580" s="1861"/>
      <c r="H580" s="1" t="s">
        <v>1275</v>
      </c>
      <c r="I580" s="10" t="s">
        <v>4484</v>
      </c>
      <c r="J580" s="13" t="s">
        <v>4479</v>
      </c>
    </row>
    <row r="581" spans="1:26" ht="14.25" customHeight="1">
      <c r="A581" s="1"/>
      <c r="B581" s="1"/>
      <c r="C581" s="9">
        <v>44410</v>
      </c>
      <c r="D581" s="17" t="s">
        <v>4359</v>
      </c>
      <c r="E581" s="2" t="s">
        <v>4360</v>
      </c>
      <c r="F581" s="50">
        <v>572</v>
      </c>
      <c r="G581" s="1861"/>
      <c r="H581" s="1"/>
      <c r="I581" s="10" t="s">
        <v>4485</v>
      </c>
      <c r="J581" s="13" t="s">
        <v>528</v>
      </c>
    </row>
    <row r="582" spans="1:26" ht="14.25" customHeight="1">
      <c r="A582" s="1"/>
      <c r="B582" s="1"/>
      <c r="C582" s="9">
        <v>44410</v>
      </c>
      <c r="D582" s="17" t="s">
        <v>4486</v>
      </c>
      <c r="E582" s="57" t="s">
        <v>4487</v>
      </c>
      <c r="F582" s="50">
        <v>573</v>
      </c>
      <c r="G582" s="1861"/>
      <c r="H582" s="1" t="s">
        <v>1275</v>
      </c>
      <c r="I582" s="10" t="s">
        <v>4488</v>
      </c>
      <c r="J582" s="13" t="s">
        <v>4489</v>
      </c>
    </row>
    <row r="583" spans="1:26" ht="14.25" customHeight="1">
      <c r="A583" s="1"/>
      <c r="B583" s="1"/>
      <c r="C583" s="9">
        <v>44410</v>
      </c>
      <c r="D583" s="17" t="s">
        <v>4490</v>
      </c>
      <c r="E583" s="57" t="s">
        <v>4491</v>
      </c>
      <c r="F583" s="50">
        <v>574</v>
      </c>
      <c r="G583" s="1861"/>
      <c r="H583" s="1" t="s">
        <v>3965</v>
      </c>
      <c r="I583" s="10" t="s">
        <v>4492</v>
      </c>
      <c r="J583" s="13" t="s">
        <v>507</v>
      </c>
    </row>
    <row r="584" spans="1:26" ht="14.25" customHeight="1">
      <c r="A584" s="1"/>
      <c r="B584" s="1"/>
      <c r="C584" s="9">
        <v>44410</v>
      </c>
      <c r="D584" s="17" t="s">
        <v>4493</v>
      </c>
      <c r="E584" s="57" t="s">
        <v>4494</v>
      </c>
      <c r="F584" s="50">
        <v>575</v>
      </c>
      <c r="G584" s="1861"/>
      <c r="H584" s="1" t="s">
        <v>1275</v>
      </c>
      <c r="I584" s="10" t="s">
        <v>4495</v>
      </c>
      <c r="J584" s="13" t="s">
        <v>528</v>
      </c>
    </row>
    <row r="585" spans="1:26" ht="14.25" customHeight="1">
      <c r="A585" s="1"/>
      <c r="B585" s="1"/>
      <c r="C585" s="9">
        <v>44410</v>
      </c>
      <c r="D585" s="17" t="s">
        <v>4496</v>
      </c>
      <c r="E585" s="57" t="s">
        <v>4497</v>
      </c>
      <c r="F585" s="50">
        <v>576</v>
      </c>
      <c r="G585" s="1861"/>
      <c r="H585" s="1" t="s">
        <v>1392</v>
      </c>
      <c r="I585" s="10" t="s">
        <v>4498</v>
      </c>
      <c r="J585" s="13" t="s">
        <v>528</v>
      </c>
    </row>
    <row r="586" spans="1:26" ht="14.25" customHeight="1">
      <c r="A586" s="1"/>
      <c r="B586" s="1"/>
      <c r="C586" s="9">
        <v>44410</v>
      </c>
      <c r="D586" s="17" t="s">
        <v>4499</v>
      </c>
      <c r="E586" s="57" t="s">
        <v>4500</v>
      </c>
      <c r="F586" s="50">
        <v>577</v>
      </c>
      <c r="G586" s="1861"/>
      <c r="H586" s="1" t="s">
        <v>2047</v>
      </c>
      <c r="I586" s="10" t="s">
        <v>4501</v>
      </c>
      <c r="J586" s="13" t="s">
        <v>39</v>
      </c>
    </row>
    <row r="587" spans="1:26" ht="14.25" customHeight="1">
      <c r="A587" s="1"/>
      <c r="B587" s="1"/>
      <c r="C587" s="9">
        <v>44411</v>
      </c>
      <c r="D587" s="1">
        <v>9102273112</v>
      </c>
      <c r="E587" s="2" t="s">
        <v>4502</v>
      </c>
      <c r="F587" s="50">
        <v>578</v>
      </c>
      <c r="G587" s="1861"/>
      <c r="H587" s="1" t="s">
        <v>2067</v>
      </c>
      <c r="I587" s="10" t="s">
        <v>4503</v>
      </c>
      <c r="J587" s="13" t="s">
        <v>39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1"/>
      <c r="B588" s="1"/>
      <c r="C588" s="9">
        <v>44411</v>
      </c>
      <c r="D588" s="17" t="s">
        <v>2613</v>
      </c>
      <c r="E588" s="2" t="s">
        <v>2614</v>
      </c>
      <c r="F588" s="50">
        <v>579</v>
      </c>
      <c r="G588" s="1861"/>
      <c r="H588" s="1" t="s">
        <v>2067</v>
      </c>
      <c r="I588" s="10" t="s">
        <v>4504</v>
      </c>
      <c r="J588" s="13" t="s">
        <v>507</v>
      </c>
    </row>
    <row r="589" spans="1:26" ht="14.25" customHeight="1">
      <c r="A589" s="1"/>
      <c r="B589" s="1"/>
      <c r="C589" s="9">
        <v>44411</v>
      </c>
      <c r="D589" s="17" t="s">
        <v>4505</v>
      </c>
      <c r="E589" s="2" t="s">
        <v>488</v>
      </c>
      <c r="F589" s="50">
        <v>580</v>
      </c>
      <c r="G589" s="1861"/>
      <c r="H589" s="1" t="s">
        <v>1392</v>
      </c>
      <c r="I589" s="10" t="s">
        <v>4506</v>
      </c>
      <c r="J589" s="13" t="s">
        <v>4507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1"/>
      <c r="B590" s="1"/>
      <c r="C590" s="1"/>
      <c r="D590" s="17" t="s">
        <v>4508</v>
      </c>
      <c r="E590" s="2" t="s">
        <v>4509</v>
      </c>
      <c r="F590" s="50">
        <v>581</v>
      </c>
      <c r="G590" s="1861"/>
      <c r="H590" s="1" t="s">
        <v>2067</v>
      </c>
      <c r="I590" s="10" t="s">
        <v>4510</v>
      </c>
      <c r="J590" s="13" t="s">
        <v>39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1"/>
      <c r="B591" s="1"/>
      <c r="C591" s="1"/>
      <c r="D591" s="1">
        <v>7979043237</v>
      </c>
      <c r="E591" s="49" t="s">
        <v>4511</v>
      </c>
      <c r="F591" s="50">
        <v>582</v>
      </c>
      <c r="G591" s="1861"/>
      <c r="H591" s="1" t="s">
        <v>1275</v>
      </c>
      <c r="I591" s="10" t="s">
        <v>4512</v>
      </c>
      <c r="J591" s="13" t="s">
        <v>4507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1"/>
      <c r="B592" s="1"/>
      <c r="C592" s="1"/>
      <c r="D592" s="17" t="s">
        <v>4513</v>
      </c>
      <c r="E592" s="2" t="s">
        <v>4514</v>
      </c>
      <c r="F592" s="50">
        <v>583</v>
      </c>
      <c r="G592" s="1861"/>
      <c r="H592" s="1" t="s">
        <v>1275</v>
      </c>
      <c r="I592" s="10" t="s">
        <v>4515</v>
      </c>
      <c r="J592" s="13" t="s">
        <v>528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1"/>
      <c r="B593" s="1"/>
      <c r="C593" s="1"/>
      <c r="D593" s="17" t="s">
        <v>4516</v>
      </c>
      <c r="E593" s="2" t="s">
        <v>4465</v>
      </c>
      <c r="F593" s="50">
        <v>584</v>
      </c>
      <c r="G593" s="1861"/>
      <c r="H593" s="1" t="s">
        <v>2067</v>
      </c>
      <c r="I593" s="10" t="s">
        <v>4517</v>
      </c>
      <c r="J593" s="13" t="s">
        <v>507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1"/>
      <c r="B594" s="1"/>
      <c r="C594" s="1"/>
      <c r="D594" s="17" t="s">
        <v>4518</v>
      </c>
      <c r="E594" s="2" t="s">
        <v>4519</v>
      </c>
      <c r="F594" s="50">
        <v>585</v>
      </c>
      <c r="G594" s="1861"/>
      <c r="H594" s="1" t="s">
        <v>1275</v>
      </c>
      <c r="I594" s="10" t="s">
        <v>4520</v>
      </c>
      <c r="J594" s="13" t="s">
        <v>77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1"/>
      <c r="B595" s="1"/>
      <c r="C595" s="1"/>
      <c r="D595" s="17" t="s">
        <v>4521</v>
      </c>
      <c r="E595" s="2" t="s">
        <v>4522</v>
      </c>
      <c r="F595" s="50">
        <v>586</v>
      </c>
      <c r="G595" s="1861"/>
      <c r="H595" s="1" t="s">
        <v>2071</v>
      </c>
      <c r="I595" s="10" t="s">
        <v>4523</v>
      </c>
      <c r="J595" s="13" t="s">
        <v>39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1"/>
      <c r="B596" s="1"/>
      <c r="C596" s="9">
        <v>44411</v>
      </c>
      <c r="D596" s="17" t="s">
        <v>4524</v>
      </c>
      <c r="E596" s="2" t="s">
        <v>4525</v>
      </c>
      <c r="F596" s="50">
        <v>587</v>
      </c>
      <c r="G596" s="1861"/>
      <c r="H596" s="1" t="s">
        <v>1392</v>
      </c>
      <c r="I596" s="10" t="s">
        <v>4526</v>
      </c>
      <c r="J596" s="13" t="s">
        <v>4527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1"/>
      <c r="B597" s="1"/>
      <c r="C597" s="9">
        <v>44412</v>
      </c>
      <c r="D597" s="17" t="s">
        <v>4528</v>
      </c>
      <c r="E597" s="2" t="s">
        <v>4529</v>
      </c>
      <c r="F597" s="50">
        <v>588</v>
      </c>
      <c r="G597" s="1861"/>
      <c r="H597" s="1" t="s">
        <v>1275</v>
      </c>
      <c r="I597" s="10" t="s">
        <v>4530</v>
      </c>
      <c r="J597" s="13" t="s">
        <v>4531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1"/>
      <c r="B598" s="1"/>
      <c r="C598" s="9">
        <v>44412</v>
      </c>
      <c r="D598" s="17" t="s">
        <v>209</v>
      </c>
      <c r="E598" s="2" t="s">
        <v>4532</v>
      </c>
      <c r="F598" s="50">
        <v>589</v>
      </c>
      <c r="G598" s="1861"/>
      <c r="H598" s="1" t="s">
        <v>1275</v>
      </c>
      <c r="I598" s="10" t="s">
        <v>4533</v>
      </c>
      <c r="J598" s="13" t="s">
        <v>4258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1"/>
      <c r="B599" s="1"/>
      <c r="C599" s="9">
        <v>44412</v>
      </c>
      <c r="D599" s="17" t="s">
        <v>209</v>
      </c>
      <c r="E599" s="2" t="s">
        <v>4534</v>
      </c>
      <c r="F599" s="50">
        <v>590</v>
      </c>
      <c r="G599" s="1861"/>
      <c r="H599" s="1" t="s">
        <v>1275</v>
      </c>
      <c r="I599" s="10" t="s">
        <v>4535</v>
      </c>
      <c r="J599" s="13" t="s">
        <v>4258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1"/>
      <c r="B600" s="1"/>
      <c r="C600" s="9">
        <v>44412</v>
      </c>
      <c r="D600" s="17" t="s">
        <v>209</v>
      </c>
      <c r="E600" s="2" t="s">
        <v>4536</v>
      </c>
      <c r="F600" s="50">
        <v>591</v>
      </c>
      <c r="G600" s="1861"/>
      <c r="H600" s="1" t="s">
        <v>2996</v>
      </c>
      <c r="I600" s="10" t="s">
        <v>4537</v>
      </c>
      <c r="J600" s="13" t="s">
        <v>4258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1"/>
      <c r="B601" s="1"/>
      <c r="C601" s="9">
        <v>44412</v>
      </c>
      <c r="D601" s="17" t="s">
        <v>209</v>
      </c>
      <c r="E601" s="2" t="s">
        <v>4538</v>
      </c>
      <c r="F601" s="50">
        <v>592</v>
      </c>
      <c r="G601" s="1861"/>
      <c r="H601" s="1" t="s">
        <v>2047</v>
      </c>
      <c r="I601" s="10" t="s">
        <v>4539</v>
      </c>
      <c r="J601" s="13" t="s">
        <v>4258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1"/>
      <c r="B602" s="1"/>
      <c r="C602" s="9">
        <v>44412</v>
      </c>
      <c r="D602" s="17" t="s">
        <v>209</v>
      </c>
      <c r="E602" s="2" t="s">
        <v>1580</v>
      </c>
      <c r="F602" s="50">
        <v>593</v>
      </c>
      <c r="G602" s="1861"/>
      <c r="H602" s="1" t="s">
        <v>2047</v>
      </c>
      <c r="I602" s="10" t="s">
        <v>4540</v>
      </c>
      <c r="J602" s="13" t="s">
        <v>4541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1"/>
      <c r="B603" s="1"/>
      <c r="C603" s="9">
        <v>44412</v>
      </c>
      <c r="D603" s="17" t="s">
        <v>209</v>
      </c>
      <c r="E603" s="2" t="s">
        <v>4542</v>
      </c>
      <c r="F603" s="50">
        <v>594</v>
      </c>
      <c r="G603" s="1861"/>
      <c r="H603" s="1" t="s">
        <v>2047</v>
      </c>
      <c r="I603" s="10" t="s">
        <v>4543</v>
      </c>
      <c r="J603" s="13" t="s">
        <v>4258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1"/>
      <c r="B604" s="1"/>
      <c r="C604" s="9">
        <v>44412</v>
      </c>
      <c r="D604" s="17" t="s">
        <v>4544</v>
      </c>
      <c r="E604" s="2" t="s">
        <v>4545</v>
      </c>
      <c r="F604" s="50">
        <v>598</v>
      </c>
      <c r="G604" s="1861"/>
      <c r="H604" s="1" t="s">
        <v>2071</v>
      </c>
      <c r="I604" s="2" t="s">
        <v>4546</v>
      </c>
      <c r="J604" s="13" t="s">
        <v>39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1"/>
      <c r="B605" s="1"/>
      <c r="C605" s="9">
        <v>44412</v>
      </c>
      <c r="D605" s="1">
        <v>627267828</v>
      </c>
      <c r="E605" s="2" t="s">
        <v>3980</v>
      </c>
      <c r="F605" s="50">
        <v>599</v>
      </c>
      <c r="G605" s="1861"/>
      <c r="H605" s="1" t="s">
        <v>1602</v>
      </c>
      <c r="I605" s="10" t="s">
        <v>4547</v>
      </c>
      <c r="J605" s="13" t="s">
        <v>507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1"/>
      <c r="B606" s="1"/>
      <c r="C606" s="9">
        <v>44412</v>
      </c>
      <c r="D606" s="17" t="s">
        <v>4548</v>
      </c>
      <c r="E606" s="2" t="s">
        <v>4549</v>
      </c>
      <c r="F606" s="50">
        <v>600</v>
      </c>
      <c r="G606" s="1861"/>
      <c r="H606" s="1" t="s">
        <v>1602</v>
      </c>
      <c r="I606" s="10" t="s">
        <v>4550</v>
      </c>
      <c r="J606" s="13" t="s">
        <v>39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1"/>
      <c r="B607" s="1"/>
      <c r="C607" s="9">
        <v>44412</v>
      </c>
      <c r="D607" s="17" t="s">
        <v>4551</v>
      </c>
      <c r="E607" s="2" t="s">
        <v>2125</v>
      </c>
      <c r="F607" s="50">
        <v>601</v>
      </c>
      <c r="G607" s="1861"/>
      <c r="H607" s="1" t="s">
        <v>1602</v>
      </c>
      <c r="I607" s="10" t="s">
        <v>4552</v>
      </c>
      <c r="J607" s="13" t="s">
        <v>39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1"/>
      <c r="B608" s="1"/>
      <c r="C608" s="9">
        <v>44412</v>
      </c>
      <c r="D608" s="17"/>
      <c r="E608" s="2" t="s">
        <v>4553</v>
      </c>
      <c r="F608" s="50">
        <v>602</v>
      </c>
      <c r="G608" s="1861"/>
      <c r="H608" s="1" t="s">
        <v>1602</v>
      </c>
      <c r="I608" s="10" t="s">
        <v>4554</v>
      </c>
      <c r="J608" s="13" t="s">
        <v>507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1"/>
      <c r="B609" s="1"/>
      <c r="C609" s="9">
        <v>44413</v>
      </c>
      <c r="D609" s="17" t="s">
        <v>4555</v>
      </c>
      <c r="E609" s="2" t="s">
        <v>4556</v>
      </c>
      <c r="F609" s="50">
        <v>603</v>
      </c>
      <c r="G609" s="1861"/>
      <c r="H609" s="1" t="s">
        <v>1275</v>
      </c>
      <c r="I609" s="10" t="s">
        <v>4557</v>
      </c>
      <c r="J609" s="13" t="s">
        <v>4541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1"/>
      <c r="B610" s="1"/>
      <c r="C610" s="9">
        <v>44413</v>
      </c>
      <c r="D610" s="17" t="s">
        <v>4558</v>
      </c>
      <c r="E610" s="2" t="s">
        <v>4559</v>
      </c>
      <c r="F610" s="50">
        <v>604</v>
      </c>
      <c r="G610" s="1861"/>
      <c r="H610" s="1" t="s">
        <v>1275</v>
      </c>
      <c r="I610" s="10" t="s">
        <v>4560</v>
      </c>
      <c r="J610" s="13" t="s">
        <v>39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1"/>
      <c r="B611" s="1"/>
      <c r="C611" s="9">
        <v>44413</v>
      </c>
      <c r="D611" s="17" t="s">
        <v>4021</v>
      </c>
      <c r="E611" s="2" t="s">
        <v>4561</v>
      </c>
      <c r="F611" s="50">
        <v>605</v>
      </c>
      <c r="G611" s="1861"/>
      <c r="H611" s="1" t="s">
        <v>2067</v>
      </c>
      <c r="I611" s="10" t="s">
        <v>4562</v>
      </c>
      <c r="J611" s="13" t="s">
        <v>39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1"/>
      <c r="B612" s="1"/>
      <c r="C612" s="9">
        <v>44413</v>
      </c>
      <c r="D612" s="17" t="s">
        <v>2558</v>
      </c>
      <c r="E612" s="2" t="s">
        <v>2559</v>
      </c>
      <c r="F612" s="50">
        <v>606</v>
      </c>
      <c r="G612" s="1861"/>
      <c r="H612" s="1" t="s">
        <v>2047</v>
      </c>
      <c r="I612" s="10" t="s">
        <v>324</v>
      </c>
      <c r="J612" s="13" t="s">
        <v>39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1"/>
      <c r="B613" s="1"/>
      <c r="C613" s="9">
        <v>44413</v>
      </c>
      <c r="D613" s="17" t="s">
        <v>4563</v>
      </c>
      <c r="E613" s="2" t="s">
        <v>4564</v>
      </c>
      <c r="F613" s="50">
        <v>607</v>
      </c>
      <c r="G613" s="1861"/>
      <c r="H613" s="1" t="s">
        <v>1275</v>
      </c>
      <c r="I613" s="10" t="s">
        <v>4565</v>
      </c>
      <c r="J613" s="13" t="s">
        <v>507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1"/>
      <c r="B614" s="1"/>
      <c r="C614" s="9">
        <v>44413</v>
      </c>
      <c r="D614" s="17" t="s">
        <v>4566</v>
      </c>
      <c r="E614" s="2" t="s">
        <v>4567</v>
      </c>
      <c r="F614" s="50">
        <v>608</v>
      </c>
      <c r="G614" s="1861"/>
      <c r="H614" s="1" t="s">
        <v>1275</v>
      </c>
      <c r="I614" s="10" t="s">
        <v>4568</v>
      </c>
      <c r="J614" s="13" t="s">
        <v>4541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1"/>
      <c r="B615" s="1"/>
      <c r="C615" s="9">
        <v>44413</v>
      </c>
      <c r="D615" s="17" t="s">
        <v>1878</v>
      </c>
      <c r="E615" s="57" t="s">
        <v>4569</v>
      </c>
      <c r="F615" s="50"/>
      <c r="G615" s="1861"/>
      <c r="H615" s="1" t="s">
        <v>1275</v>
      </c>
      <c r="I615" s="57" t="s">
        <v>4570</v>
      </c>
      <c r="J615" s="13" t="s">
        <v>2562</v>
      </c>
    </row>
    <row r="616" spans="1:26" ht="14.25" customHeight="1">
      <c r="A616" s="1"/>
      <c r="B616" s="1"/>
      <c r="C616" s="9">
        <v>44413</v>
      </c>
      <c r="D616" s="17" t="s">
        <v>4571</v>
      </c>
      <c r="E616" s="2" t="s">
        <v>4572</v>
      </c>
      <c r="F616" s="50">
        <v>609</v>
      </c>
      <c r="G616" s="1861"/>
      <c r="H616" s="1" t="s">
        <v>1392</v>
      </c>
      <c r="I616" s="10" t="s">
        <v>4573</v>
      </c>
      <c r="J616" s="13" t="s">
        <v>4541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1"/>
      <c r="B617" s="1"/>
      <c r="C617" s="9">
        <v>44414</v>
      </c>
      <c r="D617" s="17" t="s">
        <v>4574</v>
      </c>
      <c r="E617" s="2" t="s">
        <v>4575</v>
      </c>
      <c r="F617" s="50">
        <v>610</v>
      </c>
      <c r="G617" s="1861"/>
      <c r="H617" s="1" t="s">
        <v>2071</v>
      </c>
      <c r="I617" s="10" t="s">
        <v>4576</v>
      </c>
      <c r="J617" s="13" t="s">
        <v>507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1"/>
      <c r="B618" s="1"/>
      <c r="C618" s="9">
        <v>44414</v>
      </c>
      <c r="D618" s="17" t="s">
        <v>4577</v>
      </c>
      <c r="E618" s="2" t="s">
        <v>4578</v>
      </c>
      <c r="F618" s="50">
        <v>611</v>
      </c>
      <c r="G618" s="1861"/>
      <c r="H618" s="1" t="s">
        <v>1392</v>
      </c>
      <c r="I618" s="10" t="s">
        <v>4579</v>
      </c>
      <c r="J618" s="13" t="s">
        <v>4258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1"/>
      <c r="B619" s="1"/>
      <c r="C619" s="9">
        <v>44414</v>
      </c>
      <c r="D619" s="17" t="s">
        <v>4580</v>
      </c>
      <c r="E619" s="2" t="s">
        <v>4581</v>
      </c>
      <c r="F619" s="50">
        <v>612</v>
      </c>
      <c r="G619" s="1861"/>
      <c r="H619" s="1" t="s">
        <v>1392</v>
      </c>
      <c r="I619" s="10" t="s">
        <v>4582</v>
      </c>
      <c r="J619" s="13" t="s">
        <v>4541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1"/>
      <c r="B620" s="1"/>
      <c r="C620" s="9">
        <v>44414</v>
      </c>
      <c r="D620" s="17" t="s">
        <v>4583</v>
      </c>
      <c r="E620" s="2" t="s">
        <v>4584</v>
      </c>
      <c r="F620" s="50">
        <v>613</v>
      </c>
      <c r="G620" s="1861"/>
      <c r="H620" s="1" t="s">
        <v>1275</v>
      </c>
      <c r="I620" s="10" t="s">
        <v>4585</v>
      </c>
      <c r="J620" s="13" t="s">
        <v>4586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1"/>
      <c r="B621" s="1"/>
      <c r="C621" s="9">
        <v>44414</v>
      </c>
      <c r="D621" s="17" t="s">
        <v>4587</v>
      </c>
      <c r="E621" s="57" t="s">
        <v>4588</v>
      </c>
      <c r="F621" s="50">
        <v>614</v>
      </c>
      <c r="G621" s="1861"/>
      <c r="H621" s="1" t="s">
        <v>1275</v>
      </c>
      <c r="I621" s="10" t="s">
        <v>4589</v>
      </c>
      <c r="J621" s="13" t="s">
        <v>4305</v>
      </c>
    </row>
    <row r="622" spans="1:26" ht="14.25" customHeight="1">
      <c r="A622" s="1"/>
      <c r="B622" s="1"/>
      <c r="C622" s="9">
        <v>44414</v>
      </c>
      <c r="D622" s="17"/>
      <c r="E622" s="2" t="s">
        <v>4590</v>
      </c>
      <c r="F622" s="50">
        <v>615</v>
      </c>
      <c r="G622" s="1861"/>
      <c r="H622" s="1" t="s">
        <v>1392</v>
      </c>
      <c r="I622" s="10" t="s">
        <v>4591</v>
      </c>
      <c r="J622" s="13" t="s">
        <v>4541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1"/>
      <c r="B623" s="1"/>
      <c r="C623" s="9">
        <v>44414</v>
      </c>
      <c r="D623" s="17" t="s">
        <v>4592</v>
      </c>
      <c r="E623" s="57" t="s">
        <v>4593</v>
      </c>
      <c r="F623" s="50" t="s">
        <v>4594</v>
      </c>
      <c r="G623" s="1861"/>
      <c r="H623" s="1" t="s">
        <v>1473</v>
      </c>
      <c r="I623" s="10" t="s">
        <v>4595</v>
      </c>
      <c r="J623" s="13" t="s">
        <v>507</v>
      </c>
    </row>
    <row r="624" spans="1:26" ht="14.25" customHeight="1">
      <c r="A624" s="1"/>
      <c r="B624" s="1"/>
      <c r="C624" s="9">
        <v>44414</v>
      </c>
      <c r="D624" s="17" t="s">
        <v>4596</v>
      </c>
      <c r="E624" s="57" t="s">
        <v>3812</v>
      </c>
      <c r="F624" s="50" t="s">
        <v>4597</v>
      </c>
      <c r="G624" s="1861"/>
      <c r="H624" s="1" t="s">
        <v>4057</v>
      </c>
      <c r="I624" s="10" t="s">
        <v>4598</v>
      </c>
      <c r="J624" s="13" t="s">
        <v>77</v>
      </c>
    </row>
    <row r="625" spans="1:26" ht="14.25" customHeight="1">
      <c r="A625" s="1"/>
      <c r="B625" s="1"/>
      <c r="C625" s="9">
        <v>44414</v>
      </c>
      <c r="D625" s="17" t="s">
        <v>4599</v>
      </c>
      <c r="E625" s="57" t="s">
        <v>4600</v>
      </c>
      <c r="F625" s="50" t="s">
        <v>4601</v>
      </c>
      <c r="G625" s="1861"/>
      <c r="H625" s="1" t="s">
        <v>1227</v>
      </c>
      <c r="I625" s="10" t="s">
        <v>4602</v>
      </c>
      <c r="J625" s="13" t="s">
        <v>528</v>
      </c>
    </row>
    <row r="626" spans="1:26" ht="14.25" customHeight="1">
      <c r="A626" s="1"/>
      <c r="B626" s="1"/>
      <c r="C626" s="9">
        <v>44414</v>
      </c>
      <c r="D626" s="17" t="s">
        <v>4603</v>
      </c>
      <c r="E626" s="57" t="s">
        <v>4604</v>
      </c>
      <c r="F626" s="50" t="s">
        <v>4605</v>
      </c>
      <c r="G626" s="1861"/>
      <c r="H626" s="1" t="s">
        <v>3978</v>
      </c>
      <c r="I626" s="10" t="s">
        <v>4606</v>
      </c>
      <c r="J626" s="13" t="s">
        <v>4607</v>
      </c>
    </row>
    <row r="627" spans="1:26" ht="14.25" customHeight="1">
      <c r="A627" s="1"/>
      <c r="B627" s="1"/>
      <c r="C627" s="9">
        <v>44414</v>
      </c>
      <c r="D627" s="17" t="s">
        <v>4608</v>
      </c>
      <c r="E627" s="2" t="s">
        <v>4609</v>
      </c>
      <c r="F627" s="50" t="s">
        <v>4610</v>
      </c>
      <c r="G627" s="1861"/>
      <c r="H627" s="1" t="s">
        <v>1392</v>
      </c>
      <c r="I627" s="10" t="s">
        <v>4611</v>
      </c>
      <c r="J627" s="42" t="s">
        <v>4258</v>
      </c>
    </row>
    <row r="628" spans="1:26" ht="14.25" customHeight="1">
      <c r="A628" s="1"/>
      <c r="B628" s="1"/>
      <c r="C628" s="9">
        <v>44414</v>
      </c>
      <c r="D628" s="17" t="s">
        <v>4612</v>
      </c>
      <c r="E628" s="57" t="s">
        <v>4613</v>
      </c>
      <c r="F628" s="50" t="s">
        <v>4614</v>
      </c>
      <c r="G628" s="1861"/>
      <c r="H628" s="1" t="s">
        <v>1227</v>
      </c>
      <c r="I628" s="10" t="s">
        <v>4615</v>
      </c>
      <c r="J628" s="42" t="s">
        <v>4258</v>
      </c>
    </row>
    <row r="629" spans="1:26" ht="14.25" customHeight="1">
      <c r="A629" s="1"/>
      <c r="B629" s="1"/>
      <c r="C629" s="9">
        <v>44414</v>
      </c>
      <c r="D629" s="17" t="s">
        <v>4616</v>
      </c>
      <c r="E629" s="2" t="s">
        <v>4617</v>
      </c>
      <c r="F629" s="50" t="s">
        <v>4618</v>
      </c>
      <c r="G629" s="1861"/>
      <c r="H629" s="1" t="s">
        <v>1392</v>
      </c>
      <c r="I629" s="10" t="s">
        <v>4619</v>
      </c>
      <c r="J629" s="13" t="s">
        <v>4541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1"/>
      <c r="B630" s="1"/>
      <c r="C630" s="9">
        <v>44414</v>
      </c>
      <c r="D630" s="17" t="s">
        <v>4620</v>
      </c>
      <c r="E630" s="57" t="s">
        <v>4621</v>
      </c>
      <c r="F630" s="50" t="s">
        <v>4622</v>
      </c>
      <c r="G630" s="1861"/>
      <c r="H630" s="1" t="s">
        <v>1227</v>
      </c>
      <c r="I630" s="10" t="s">
        <v>4623</v>
      </c>
      <c r="J630" s="42" t="s">
        <v>4258</v>
      </c>
    </row>
    <row r="631" spans="1:26" ht="14.25" customHeight="1">
      <c r="A631" s="1"/>
      <c r="B631" s="1"/>
      <c r="C631" s="9">
        <v>44414</v>
      </c>
      <c r="D631" s="17" t="s">
        <v>4624</v>
      </c>
      <c r="E631" s="2" t="s">
        <v>4625</v>
      </c>
      <c r="F631" s="50" t="s">
        <v>4626</v>
      </c>
      <c r="G631" s="1861"/>
      <c r="H631" s="1" t="s">
        <v>1392</v>
      </c>
      <c r="I631" s="10" t="s">
        <v>4627</v>
      </c>
      <c r="J631" s="13" t="s">
        <v>4541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1"/>
      <c r="B632" s="1"/>
      <c r="C632" s="9">
        <v>44415</v>
      </c>
      <c r="D632" s="1">
        <v>7004753346</v>
      </c>
      <c r="E632" s="2" t="s">
        <v>4628</v>
      </c>
      <c r="F632" s="50">
        <v>625</v>
      </c>
      <c r="G632" s="1861"/>
      <c r="H632" s="50" t="s">
        <v>2047</v>
      </c>
      <c r="I632" s="10" t="s">
        <v>4629</v>
      </c>
      <c r="J632" s="13" t="s">
        <v>4630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1"/>
      <c r="B633" s="1"/>
      <c r="C633" s="9">
        <v>44415</v>
      </c>
      <c r="D633" s="1">
        <v>7320809181</v>
      </c>
      <c r="E633" s="2" t="s">
        <v>4631</v>
      </c>
      <c r="F633" s="50">
        <v>626</v>
      </c>
      <c r="G633" s="1861"/>
      <c r="H633" s="50" t="s">
        <v>1392</v>
      </c>
      <c r="I633" s="10" t="s">
        <v>4632</v>
      </c>
      <c r="J633" s="13" t="s">
        <v>4541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1"/>
      <c r="B634" s="1"/>
      <c r="C634" s="9">
        <v>44415</v>
      </c>
      <c r="D634" s="17" t="s">
        <v>4633</v>
      </c>
      <c r="E634" s="57" t="s">
        <v>4634</v>
      </c>
      <c r="F634" s="50">
        <v>627</v>
      </c>
      <c r="G634" s="1861"/>
      <c r="H634" s="50" t="s">
        <v>2067</v>
      </c>
      <c r="I634" s="10" t="s">
        <v>4635</v>
      </c>
      <c r="J634" s="13" t="s">
        <v>507</v>
      </c>
    </row>
    <row r="635" spans="1:26" ht="14.25" customHeight="1">
      <c r="A635" s="1"/>
      <c r="B635" s="1"/>
      <c r="C635" s="9">
        <v>44415</v>
      </c>
      <c r="D635" s="17" t="s">
        <v>4636</v>
      </c>
      <c r="E635" s="57" t="s">
        <v>4637</v>
      </c>
      <c r="F635" s="50">
        <v>628</v>
      </c>
      <c r="G635" s="1861"/>
      <c r="H635" s="50" t="s">
        <v>1392</v>
      </c>
      <c r="I635" s="10" t="s">
        <v>4638</v>
      </c>
      <c r="J635" s="13" t="s">
        <v>4541</v>
      </c>
    </row>
    <row r="636" spans="1:26" ht="14.25" customHeight="1">
      <c r="A636" s="1"/>
      <c r="B636" s="1"/>
      <c r="C636" s="9">
        <v>44415</v>
      </c>
      <c r="D636" s="17" t="s">
        <v>4639</v>
      </c>
      <c r="E636" s="57" t="s">
        <v>4019</v>
      </c>
      <c r="F636" s="50">
        <v>629</v>
      </c>
      <c r="G636" s="1861"/>
      <c r="H636" s="50" t="s">
        <v>1275</v>
      </c>
      <c r="I636" s="10" t="s">
        <v>4640</v>
      </c>
      <c r="J636" s="13" t="s">
        <v>4541</v>
      </c>
    </row>
    <row r="637" spans="1:26" ht="14.25" customHeight="1">
      <c r="A637" s="1"/>
      <c r="B637" s="1"/>
      <c r="C637" s="9">
        <v>44415</v>
      </c>
      <c r="D637" s="17" t="s">
        <v>4641</v>
      </c>
      <c r="E637" s="57" t="s">
        <v>4642</v>
      </c>
      <c r="F637" s="50">
        <v>630</v>
      </c>
      <c r="G637" s="1861"/>
      <c r="H637" s="50" t="s">
        <v>1275</v>
      </c>
      <c r="I637" s="10" t="s">
        <v>4643</v>
      </c>
      <c r="J637" s="13" t="s">
        <v>39</v>
      </c>
    </row>
    <row r="638" spans="1:26" ht="14.25" customHeight="1">
      <c r="A638" s="1"/>
      <c r="B638" s="1"/>
      <c r="C638" s="9">
        <v>44415</v>
      </c>
      <c r="D638" s="17" t="s">
        <v>4644</v>
      </c>
      <c r="E638" s="57" t="s">
        <v>4645</v>
      </c>
      <c r="F638" s="50">
        <v>631</v>
      </c>
      <c r="G638" s="1861"/>
      <c r="H638" s="50" t="s">
        <v>1275</v>
      </c>
      <c r="I638" s="10" t="s">
        <v>4646</v>
      </c>
      <c r="J638" s="13" t="s">
        <v>100</v>
      </c>
      <c r="K638" s="57" t="s">
        <v>4647</v>
      </c>
    </row>
    <row r="639" spans="1:26" ht="14.25" customHeight="1">
      <c r="A639" s="1"/>
      <c r="B639" s="1"/>
      <c r="C639" s="9">
        <v>44415</v>
      </c>
      <c r="D639" s="17" t="s">
        <v>4648</v>
      </c>
      <c r="E639" s="57" t="s">
        <v>4649</v>
      </c>
      <c r="F639" s="50">
        <v>632</v>
      </c>
      <c r="G639" s="1861"/>
      <c r="H639" s="50" t="s">
        <v>1392</v>
      </c>
      <c r="I639" s="10" t="s">
        <v>4650</v>
      </c>
      <c r="J639" s="13" t="s">
        <v>4541</v>
      </c>
    </row>
    <row r="640" spans="1:26" ht="14.25" customHeight="1">
      <c r="A640" s="1"/>
      <c r="B640" s="1"/>
      <c r="C640" s="9">
        <v>44415</v>
      </c>
      <c r="D640" s="17" t="s">
        <v>4651</v>
      </c>
      <c r="E640" s="57" t="s">
        <v>4652</v>
      </c>
      <c r="F640" s="50">
        <v>633</v>
      </c>
      <c r="G640" s="1861"/>
      <c r="H640" s="50" t="s">
        <v>1541</v>
      </c>
      <c r="I640" s="10" t="s">
        <v>4653</v>
      </c>
      <c r="J640" s="13" t="s">
        <v>528</v>
      </c>
    </row>
    <row r="641" spans="1:26" ht="14.25" customHeight="1">
      <c r="A641" s="1"/>
      <c r="B641" s="1"/>
      <c r="C641" s="9">
        <v>44415</v>
      </c>
      <c r="D641" s="17" t="s">
        <v>4654</v>
      </c>
      <c r="E641" s="57" t="s">
        <v>4655</v>
      </c>
      <c r="F641" s="50">
        <v>634</v>
      </c>
      <c r="G641" s="1861"/>
      <c r="H641" s="50" t="s">
        <v>2067</v>
      </c>
      <c r="I641" s="10" t="s">
        <v>4656</v>
      </c>
      <c r="J641" s="13" t="s">
        <v>507</v>
      </c>
    </row>
    <row r="642" spans="1:26" ht="14.25" customHeight="1">
      <c r="A642" s="1"/>
      <c r="B642" s="1"/>
      <c r="C642" s="9">
        <v>44415</v>
      </c>
      <c r="D642" s="17" t="s">
        <v>2639</v>
      </c>
      <c r="E642" s="57" t="s">
        <v>2640</v>
      </c>
      <c r="F642" s="50">
        <v>635</v>
      </c>
      <c r="G642" s="1861"/>
      <c r="H642" s="50" t="s">
        <v>1275</v>
      </c>
      <c r="I642" s="10" t="s">
        <v>4657</v>
      </c>
      <c r="J642" s="13" t="s">
        <v>4541</v>
      </c>
      <c r="K642" s="57" t="s">
        <v>3395</v>
      </c>
    </row>
    <row r="643" spans="1:26" ht="14.25" customHeight="1">
      <c r="A643" s="1"/>
      <c r="B643" s="1"/>
      <c r="C643" s="9">
        <v>44415</v>
      </c>
      <c r="D643" s="17" t="s">
        <v>4658</v>
      </c>
      <c r="E643" s="57" t="s">
        <v>4659</v>
      </c>
      <c r="F643" s="50">
        <v>634</v>
      </c>
      <c r="G643" s="1861"/>
      <c r="H643" s="50" t="s">
        <v>1392</v>
      </c>
      <c r="I643" s="10" t="s">
        <v>4660</v>
      </c>
      <c r="J643" s="13" t="s">
        <v>39</v>
      </c>
    </row>
    <row r="644" spans="1:26" ht="14.25" customHeight="1">
      <c r="A644" s="1"/>
      <c r="B644" s="1"/>
      <c r="C644" s="9">
        <v>44415</v>
      </c>
      <c r="D644" s="17" t="s">
        <v>4658</v>
      </c>
      <c r="E644" s="2" t="s">
        <v>4661</v>
      </c>
      <c r="F644" s="50">
        <v>635</v>
      </c>
      <c r="G644" s="1861"/>
      <c r="H644" s="50" t="s">
        <v>1392</v>
      </c>
      <c r="I644" s="10" t="s">
        <v>4662</v>
      </c>
      <c r="J644" s="13" t="s">
        <v>39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1"/>
      <c r="B645" s="1"/>
      <c r="C645" s="9">
        <v>44415</v>
      </c>
      <c r="D645" s="17" t="s">
        <v>4663</v>
      </c>
      <c r="E645" s="2" t="s">
        <v>4664</v>
      </c>
      <c r="F645" s="50">
        <v>636</v>
      </c>
      <c r="G645" s="1861"/>
      <c r="H645" s="1" t="s">
        <v>2067</v>
      </c>
      <c r="I645" s="10" t="s">
        <v>4665</v>
      </c>
      <c r="J645" s="13" t="s">
        <v>528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1"/>
      <c r="B646" s="1"/>
      <c r="C646" s="9">
        <v>44415</v>
      </c>
      <c r="D646" s="17" t="s">
        <v>4666</v>
      </c>
      <c r="E646" s="57" t="s">
        <v>4667</v>
      </c>
      <c r="F646" s="50">
        <v>637</v>
      </c>
      <c r="G646" s="1861"/>
      <c r="H646" s="1" t="s">
        <v>1392</v>
      </c>
      <c r="I646" s="10" t="s">
        <v>4668</v>
      </c>
      <c r="J646" s="13" t="s">
        <v>507</v>
      </c>
    </row>
    <row r="647" spans="1:26" ht="14.25" customHeight="1">
      <c r="A647" s="1"/>
      <c r="B647" s="1"/>
      <c r="C647" s="9">
        <v>44415</v>
      </c>
      <c r="D647" s="17" t="s">
        <v>4669</v>
      </c>
      <c r="E647" s="2" t="s">
        <v>4670</v>
      </c>
      <c r="F647" s="50">
        <v>638</v>
      </c>
      <c r="G647" s="1861"/>
      <c r="H647" s="1" t="s">
        <v>1392</v>
      </c>
      <c r="I647" s="10" t="s">
        <v>4671</v>
      </c>
      <c r="J647" s="13" t="s">
        <v>507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1"/>
      <c r="B648" s="1"/>
      <c r="C648" s="9">
        <v>44415</v>
      </c>
      <c r="D648" s="17" t="s">
        <v>4672</v>
      </c>
      <c r="E648" s="57" t="s">
        <v>3515</v>
      </c>
      <c r="F648" s="50">
        <v>639</v>
      </c>
      <c r="G648" s="1861"/>
      <c r="H648" s="1" t="s">
        <v>1275</v>
      </c>
      <c r="I648" s="10" t="s">
        <v>4673</v>
      </c>
      <c r="J648" s="13" t="s">
        <v>507</v>
      </c>
    </row>
    <row r="649" spans="1:26" ht="14.25" customHeight="1">
      <c r="A649" s="1"/>
      <c r="B649" s="1"/>
      <c r="C649" s="9">
        <v>44415</v>
      </c>
      <c r="D649" s="17" t="s">
        <v>4674</v>
      </c>
      <c r="E649" s="2" t="s">
        <v>4675</v>
      </c>
      <c r="F649" s="50">
        <v>640</v>
      </c>
      <c r="G649" s="1861"/>
      <c r="H649" s="1" t="s">
        <v>2067</v>
      </c>
      <c r="I649" s="57" t="s">
        <v>4676</v>
      </c>
      <c r="J649" s="13" t="s">
        <v>39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1"/>
      <c r="B650" s="1"/>
      <c r="C650" s="9">
        <v>44416</v>
      </c>
      <c r="D650" s="17" t="s">
        <v>4677</v>
      </c>
      <c r="E650" s="2" t="s">
        <v>4678</v>
      </c>
      <c r="F650" s="50">
        <v>641</v>
      </c>
      <c r="G650" s="1861"/>
      <c r="H650" s="1" t="s">
        <v>2067</v>
      </c>
      <c r="I650" s="10" t="s">
        <v>4679</v>
      </c>
      <c r="J650" s="13" t="s">
        <v>528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1"/>
      <c r="B651" s="1"/>
      <c r="C651" s="9">
        <v>44416</v>
      </c>
      <c r="D651" s="17" t="s">
        <v>4680</v>
      </c>
      <c r="E651" s="2" t="s">
        <v>4681</v>
      </c>
      <c r="F651" s="50">
        <v>642</v>
      </c>
      <c r="G651" s="1861"/>
      <c r="H651" s="1" t="s">
        <v>1275</v>
      </c>
      <c r="I651" s="10" t="s">
        <v>4682</v>
      </c>
      <c r="J651" s="13" t="s">
        <v>507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1"/>
      <c r="B652" s="1"/>
      <c r="C652" s="9">
        <v>44416</v>
      </c>
      <c r="D652" s="17" t="s">
        <v>209</v>
      </c>
      <c r="E652" s="2" t="s">
        <v>4683</v>
      </c>
      <c r="F652" s="50">
        <v>643</v>
      </c>
      <c r="G652" s="1861"/>
      <c r="H652" s="1" t="s">
        <v>2071</v>
      </c>
      <c r="I652" s="10" t="s">
        <v>4684</v>
      </c>
      <c r="J652" s="13" t="s">
        <v>4258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1"/>
      <c r="B653" s="1"/>
      <c r="C653" s="9">
        <v>44416</v>
      </c>
      <c r="D653" s="17" t="s">
        <v>2855</v>
      </c>
      <c r="E653" s="2" t="s">
        <v>4685</v>
      </c>
      <c r="F653" s="50">
        <v>644</v>
      </c>
      <c r="G653" s="1861"/>
      <c r="H653" s="1" t="s">
        <v>2071</v>
      </c>
      <c r="I653" s="10" t="s">
        <v>4686</v>
      </c>
      <c r="J653" s="13" t="s">
        <v>507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1"/>
      <c r="B654" s="1"/>
      <c r="C654" s="9">
        <v>44417</v>
      </c>
      <c r="D654" s="17" t="s">
        <v>4687</v>
      </c>
      <c r="E654" s="2" t="s">
        <v>4688</v>
      </c>
      <c r="F654" s="50">
        <v>645</v>
      </c>
      <c r="G654" s="1861"/>
      <c r="H654" s="1" t="s">
        <v>2071</v>
      </c>
      <c r="I654" s="10" t="s">
        <v>4689</v>
      </c>
      <c r="J654" s="13" t="s">
        <v>4690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1"/>
      <c r="B655" s="1"/>
      <c r="C655" s="9">
        <v>44417</v>
      </c>
      <c r="D655" s="17" t="s">
        <v>4691</v>
      </c>
      <c r="E655" s="2" t="s">
        <v>4692</v>
      </c>
      <c r="F655" s="50">
        <v>646</v>
      </c>
      <c r="G655" s="1861"/>
      <c r="H655" s="1" t="s">
        <v>1602</v>
      </c>
      <c r="I655" s="10" t="s">
        <v>4693</v>
      </c>
      <c r="J655" s="13" t="s">
        <v>39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1"/>
      <c r="B656" s="1"/>
      <c r="C656" s="9">
        <v>44417</v>
      </c>
      <c r="D656" s="17" t="s">
        <v>4694</v>
      </c>
      <c r="E656" s="57" t="s">
        <v>4695</v>
      </c>
      <c r="F656" s="50" t="s">
        <v>4696</v>
      </c>
      <c r="G656" s="1861"/>
      <c r="H656" s="1" t="s">
        <v>1392</v>
      </c>
      <c r="I656" s="10" t="s">
        <v>4697</v>
      </c>
      <c r="J656" s="13" t="s">
        <v>4541</v>
      </c>
    </row>
    <row r="657" spans="1:26" ht="14.25" customHeight="1">
      <c r="A657" s="1"/>
      <c r="B657" s="1"/>
      <c r="C657" s="9">
        <v>44417</v>
      </c>
      <c r="D657" s="17" t="s">
        <v>4698</v>
      </c>
      <c r="E657" s="2" t="s">
        <v>4699</v>
      </c>
      <c r="F657" s="50">
        <v>648</v>
      </c>
      <c r="G657" s="1861"/>
      <c r="H657" s="1" t="s">
        <v>2779</v>
      </c>
      <c r="I657" s="10" t="s">
        <v>4700</v>
      </c>
      <c r="J657" s="13" t="s">
        <v>39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1"/>
      <c r="B658" s="1"/>
      <c r="C658" s="9">
        <v>44417</v>
      </c>
      <c r="D658" s="17" t="s">
        <v>4701</v>
      </c>
      <c r="E658" s="2" t="s">
        <v>4702</v>
      </c>
      <c r="F658" s="50">
        <v>649</v>
      </c>
      <c r="G658" s="1861"/>
      <c r="H658" s="1" t="s">
        <v>1392</v>
      </c>
      <c r="I658" s="10" t="s">
        <v>4703</v>
      </c>
      <c r="J658" s="13" t="s">
        <v>4541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1"/>
      <c r="B659" s="1"/>
      <c r="C659" s="9">
        <v>44417</v>
      </c>
      <c r="D659" s="17" t="s">
        <v>4704</v>
      </c>
      <c r="E659" s="2" t="s">
        <v>4705</v>
      </c>
      <c r="F659" s="50">
        <v>650</v>
      </c>
      <c r="G659" s="1861"/>
      <c r="H659" s="1" t="s">
        <v>2071</v>
      </c>
      <c r="I659" s="10" t="s">
        <v>4706</v>
      </c>
      <c r="J659" s="13" t="s">
        <v>39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1"/>
      <c r="B660" s="1"/>
      <c r="C660" s="9">
        <v>44417</v>
      </c>
      <c r="D660" s="17" t="s">
        <v>4707</v>
      </c>
      <c r="E660" s="2" t="s">
        <v>4708</v>
      </c>
      <c r="F660" s="50">
        <v>651</v>
      </c>
      <c r="G660" s="1861"/>
      <c r="H660" s="1" t="s">
        <v>4027</v>
      </c>
      <c r="I660" s="10" t="s">
        <v>4709</v>
      </c>
      <c r="J660" s="13" t="s">
        <v>507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1"/>
      <c r="B661" s="1"/>
      <c r="C661" s="9">
        <v>44417</v>
      </c>
      <c r="D661" s="17" t="s">
        <v>4710</v>
      </c>
      <c r="E661" s="2" t="s">
        <v>1907</v>
      </c>
      <c r="F661" s="50">
        <v>652</v>
      </c>
      <c r="G661" s="1861"/>
      <c r="H661" s="1" t="s">
        <v>1275</v>
      </c>
      <c r="I661" s="10" t="s">
        <v>4711</v>
      </c>
      <c r="J661" s="13" t="s">
        <v>4541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1"/>
      <c r="B662" s="1"/>
      <c r="C662" s="9">
        <v>44417</v>
      </c>
      <c r="D662" s="17" t="s">
        <v>4712</v>
      </c>
      <c r="E662" s="2" t="s">
        <v>4713</v>
      </c>
      <c r="F662" s="50">
        <v>653</v>
      </c>
      <c r="G662" s="1861"/>
      <c r="H662" s="1" t="s">
        <v>2018</v>
      </c>
      <c r="I662" s="10" t="s">
        <v>4714</v>
      </c>
      <c r="J662" s="13" t="s">
        <v>100</v>
      </c>
      <c r="K662" s="2" t="s">
        <v>4715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1"/>
      <c r="B663" s="1"/>
      <c r="C663" s="9">
        <v>44417</v>
      </c>
      <c r="D663" s="17" t="s">
        <v>4716</v>
      </c>
      <c r="E663" s="2" t="s">
        <v>4717</v>
      </c>
      <c r="F663" s="50">
        <v>654</v>
      </c>
      <c r="G663" s="1861"/>
      <c r="H663" s="1" t="s">
        <v>1602</v>
      </c>
      <c r="I663" s="10" t="s">
        <v>4718</v>
      </c>
      <c r="J663" s="42" t="s">
        <v>4258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1"/>
      <c r="B664" s="1"/>
      <c r="C664" s="9">
        <v>44417</v>
      </c>
      <c r="D664" s="17" t="s">
        <v>4719</v>
      </c>
      <c r="E664" s="2" t="s">
        <v>4720</v>
      </c>
      <c r="F664" s="50">
        <v>655</v>
      </c>
      <c r="G664" s="1861"/>
      <c r="H664" s="1" t="s">
        <v>1602</v>
      </c>
      <c r="I664" s="10" t="s">
        <v>4721</v>
      </c>
      <c r="J664" s="42" t="s">
        <v>4258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1"/>
      <c r="B665" s="1"/>
      <c r="C665" s="9">
        <v>44417</v>
      </c>
      <c r="D665" s="17"/>
      <c r="E665" s="2" t="s">
        <v>4722</v>
      </c>
      <c r="F665" s="50">
        <v>656</v>
      </c>
      <c r="G665" s="1861"/>
      <c r="H665" s="1" t="s">
        <v>1392</v>
      </c>
      <c r="I665" s="10" t="s">
        <v>4723</v>
      </c>
      <c r="J665" s="13" t="s">
        <v>4541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1"/>
      <c r="B666" s="1"/>
      <c r="C666" s="9">
        <v>44417</v>
      </c>
      <c r="D666" s="17"/>
      <c r="E666" s="2" t="s">
        <v>4724</v>
      </c>
      <c r="F666" s="50">
        <v>657</v>
      </c>
      <c r="G666" s="1861"/>
      <c r="H666" s="1" t="s">
        <v>1602</v>
      </c>
      <c r="I666" s="69" t="s">
        <v>4725</v>
      </c>
      <c r="J666" s="42" t="s">
        <v>4258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1"/>
      <c r="B667" s="1"/>
      <c r="C667" s="9">
        <v>44417</v>
      </c>
      <c r="D667" s="17" t="s">
        <v>4726</v>
      </c>
      <c r="E667" s="57" t="s">
        <v>4727</v>
      </c>
      <c r="F667" s="50">
        <v>658</v>
      </c>
      <c r="G667" s="1861"/>
      <c r="H667" s="1" t="s">
        <v>1392</v>
      </c>
      <c r="I667" s="10" t="s">
        <v>4728</v>
      </c>
      <c r="J667" s="13" t="s">
        <v>4729</v>
      </c>
    </row>
    <row r="668" spans="1:26" ht="14.25" customHeight="1">
      <c r="A668" s="1"/>
      <c r="B668" s="1"/>
      <c r="C668" s="9">
        <v>44418</v>
      </c>
      <c r="D668" s="17" t="s">
        <v>494</v>
      </c>
      <c r="E668" s="2" t="s">
        <v>495</v>
      </c>
      <c r="F668" s="50">
        <v>659</v>
      </c>
      <c r="G668" s="1861"/>
      <c r="H668" s="1" t="s">
        <v>2564</v>
      </c>
      <c r="I668" s="10" t="s">
        <v>4730</v>
      </c>
      <c r="J668" s="13" t="s">
        <v>507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1"/>
      <c r="B669" s="1"/>
      <c r="C669" s="9">
        <v>44418</v>
      </c>
      <c r="D669" s="17" t="s">
        <v>209</v>
      </c>
      <c r="E669" s="2" t="s">
        <v>4731</v>
      </c>
      <c r="F669" s="50">
        <v>660</v>
      </c>
      <c r="G669" s="1861"/>
      <c r="H669" s="1" t="s">
        <v>1392</v>
      </c>
      <c r="I669" s="10" t="s">
        <v>4732</v>
      </c>
      <c r="J669" s="13" t="s">
        <v>4541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1"/>
      <c r="B670" s="1"/>
      <c r="C670" s="9">
        <v>44418</v>
      </c>
      <c r="D670" s="17" t="s">
        <v>209</v>
      </c>
      <c r="E670" s="2" t="s">
        <v>4733</v>
      </c>
      <c r="F670" s="50">
        <v>661</v>
      </c>
      <c r="G670" s="1861"/>
      <c r="H670" s="1" t="s">
        <v>1392</v>
      </c>
      <c r="I670" s="10" t="s">
        <v>4734</v>
      </c>
      <c r="J670" s="13" t="s">
        <v>4541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1"/>
      <c r="B671" s="1"/>
      <c r="C671" s="9">
        <v>44418</v>
      </c>
      <c r="D671" s="17" t="s">
        <v>209</v>
      </c>
      <c r="E671" s="2" t="s">
        <v>4735</v>
      </c>
      <c r="F671" s="50">
        <v>662</v>
      </c>
      <c r="G671" s="1861"/>
      <c r="H671" s="1" t="s">
        <v>1275</v>
      </c>
      <c r="I671" s="10" t="s">
        <v>4736</v>
      </c>
      <c r="J671" s="13" t="s">
        <v>538</v>
      </c>
    </row>
    <row r="672" spans="1:26" ht="14.25" customHeight="1">
      <c r="A672" s="1"/>
      <c r="B672" s="1"/>
      <c r="C672" s="9">
        <v>44418</v>
      </c>
      <c r="D672" s="17" t="s">
        <v>209</v>
      </c>
      <c r="E672" s="57" t="s">
        <v>4737</v>
      </c>
      <c r="F672" s="50">
        <v>663</v>
      </c>
      <c r="G672" s="1861"/>
      <c r="H672" s="1" t="s">
        <v>2047</v>
      </c>
      <c r="I672" s="10" t="s">
        <v>4738</v>
      </c>
      <c r="J672" s="42" t="s">
        <v>4258</v>
      </c>
    </row>
    <row r="673" spans="1:26" ht="14.25" customHeight="1">
      <c r="A673" s="1"/>
      <c r="B673" s="1"/>
      <c r="C673" s="9">
        <v>44418</v>
      </c>
      <c r="D673" s="17" t="s">
        <v>209</v>
      </c>
      <c r="E673" s="57" t="s">
        <v>4739</v>
      </c>
      <c r="F673" s="50">
        <v>664</v>
      </c>
      <c r="G673" s="1861"/>
      <c r="H673" s="1" t="s">
        <v>1392</v>
      </c>
      <c r="I673" s="10" t="s">
        <v>4740</v>
      </c>
      <c r="J673" s="13" t="s">
        <v>4541</v>
      </c>
    </row>
    <row r="674" spans="1:26" ht="14.25" customHeight="1">
      <c r="A674" s="1"/>
      <c r="B674" s="1"/>
      <c r="C674" s="9">
        <v>44418</v>
      </c>
      <c r="D674" s="17" t="s">
        <v>4741</v>
      </c>
      <c r="E674" s="2" t="s">
        <v>4742</v>
      </c>
      <c r="F674" s="50">
        <v>665</v>
      </c>
      <c r="G674" s="1861"/>
      <c r="H674" s="1" t="s">
        <v>2067</v>
      </c>
      <c r="I674" s="10" t="s">
        <v>4743</v>
      </c>
      <c r="J674" s="13" t="s">
        <v>39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1"/>
      <c r="B675" s="1"/>
      <c r="C675" s="9">
        <v>44419</v>
      </c>
      <c r="D675" s="17" t="s">
        <v>4744</v>
      </c>
      <c r="E675" s="2" t="s">
        <v>4745</v>
      </c>
      <c r="F675" s="50" t="s">
        <v>4746</v>
      </c>
      <c r="G675" s="1861"/>
      <c r="H675" s="1" t="s">
        <v>1219</v>
      </c>
      <c r="I675" s="10" t="s">
        <v>4747</v>
      </c>
      <c r="J675" s="13" t="s">
        <v>507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1"/>
      <c r="B676" s="1"/>
      <c r="C676" s="9">
        <v>44419</v>
      </c>
      <c r="D676" s="17" t="s">
        <v>4748</v>
      </c>
      <c r="E676" s="2" t="s">
        <v>4749</v>
      </c>
      <c r="F676" s="50" t="s">
        <v>4750</v>
      </c>
      <c r="G676" s="1861"/>
      <c r="H676" s="1" t="s">
        <v>1219</v>
      </c>
      <c r="I676" s="10" t="s">
        <v>4751</v>
      </c>
      <c r="J676" s="13" t="s">
        <v>4752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1"/>
      <c r="B677" s="1"/>
      <c r="C677" s="9">
        <v>44419</v>
      </c>
      <c r="D677" s="17" t="s">
        <v>3834</v>
      </c>
      <c r="E677" s="2" t="s">
        <v>3837</v>
      </c>
      <c r="F677" s="50" t="s">
        <v>4753</v>
      </c>
      <c r="G677" s="1861"/>
      <c r="H677" s="1" t="s">
        <v>1219</v>
      </c>
      <c r="I677" s="10" t="s">
        <v>4754</v>
      </c>
      <c r="J677" s="13" t="s">
        <v>507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1"/>
      <c r="B678" s="1"/>
      <c r="C678" s="9">
        <v>44419</v>
      </c>
      <c r="D678" s="17" t="s">
        <v>4755</v>
      </c>
      <c r="E678" s="2" t="s">
        <v>4019</v>
      </c>
      <c r="F678" s="50" t="s">
        <v>4756</v>
      </c>
      <c r="G678" s="1861"/>
      <c r="H678" s="1" t="s">
        <v>1392</v>
      </c>
      <c r="I678" s="10" t="s">
        <v>4757</v>
      </c>
      <c r="J678" s="13" t="s">
        <v>4758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1"/>
      <c r="B679" s="1"/>
      <c r="C679" s="9">
        <v>44419</v>
      </c>
      <c r="D679" s="17" t="s">
        <v>4759</v>
      </c>
      <c r="E679" s="2" t="s">
        <v>4760</v>
      </c>
      <c r="F679" s="50">
        <v>670</v>
      </c>
      <c r="G679" s="1861"/>
      <c r="H679" s="1" t="s">
        <v>2919</v>
      </c>
      <c r="I679" s="10" t="s">
        <v>4761</v>
      </c>
      <c r="J679" s="13" t="s">
        <v>507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1"/>
      <c r="B680" s="1"/>
      <c r="C680" s="9">
        <v>44419</v>
      </c>
      <c r="D680" s="17" t="s">
        <v>4762</v>
      </c>
      <c r="E680" s="2" t="s">
        <v>4763</v>
      </c>
      <c r="F680" s="50" t="s">
        <v>4764</v>
      </c>
      <c r="G680" s="1861"/>
      <c r="H680" s="1" t="s">
        <v>1227</v>
      </c>
      <c r="I680" s="10" t="s">
        <v>4765</v>
      </c>
      <c r="J680" s="13" t="s">
        <v>507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1"/>
      <c r="B681" s="1"/>
      <c r="C681" s="9">
        <v>44419</v>
      </c>
      <c r="D681" s="17" t="s">
        <v>4766</v>
      </c>
      <c r="E681" s="57" t="s">
        <v>4767</v>
      </c>
      <c r="F681" s="50" t="s">
        <v>4768</v>
      </c>
      <c r="G681" s="1861"/>
      <c r="H681" s="1" t="s">
        <v>1227</v>
      </c>
      <c r="I681" s="10" t="s">
        <v>4769</v>
      </c>
      <c r="J681" s="13" t="s">
        <v>528</v>
      </c>
    </row>
    <row r="682" spans="1:26" ht="14.25" customHeight="1">
      <c r="A682" s="1"/>
      <c r="B682" s="1"/>
      <c r="C682" s="9">
        <v>44419</v>
      </c>
      <c r="D682" s="17" t="s">
        <v>4770</v>
      </c>
      <c r="E682" s="2" t="s">
        <v>2412</v>
      </c>
      <c r="F682" s="50">
        <v>673</v>
      </c>
      <c r="G682" s="1861"/>
      <c r="H682" s="1" t="s">
        <v>1392</v>
      </c>
      <c r="I682" s="10" t="s">
        <v>4771</v>
      </c>
      <c r="J682" s="13" t="s">
        <v>4541</v>
      </c>
      <c r="K682" s="11" t="s">
        <v>2638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1"/>
      <c r="B683" s="1"/>
      <c r="C683" s="9">
        <v>44419</v>
      </c>
      <c r="D683" s="17" t="s">
        <v>209</v>
      </c>
      <c r="E683" s="2" t="s">
        <v>4772</v>
      </c>
      <c r="F683" s="50">
        <v>674</v>
      </c>
      <c r="G683" s="1861"/>
      <c r="H683" s="1" t="s">
        <v>4773</v>
      </c>
      <c r="I683" s="10" t="s">
        <v>4774</v>
      </c>
      <c r="J683" s="13" t="s">
        <v>4775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1"/>
      <c r="B684" s="1"/>
      <c r="C684" s="9">
        <v>44419</v>
      </c>
      <c r="D684" s="17" t="s">
        <v>209</v>
      </c>
      <c r="E684" s="57" t="s">
        <v>4776</v>
      </c>
      <c r="F684" s="50">
        <v>675</v>
      </c>
      <c r="G684" s="1861"/>
      <c r="H684" s="1" t="s">
        <v>1275</v>
      </c>
      <c r="I684" s="10" t="s">
        <v>4777</v>
      </c>
      <c r="J684" s="13" t="s">
        <v>4541</v>
      </c>
    </row>
    <row r="685" spans="1:26" ht="14.25" customHeight="1">
      <c r="A685" s="1"/>
      <c r="B685" s="1"/>
      <c r="C685" s="9">
        <v>44419</v>
      </c>
      <c r="D685" s="17" t="s">
        <v>4778</v>
      </c>
      <c r="E685" s="57" t="s">
        <v>3753</v>
      </c>
      <c r="F685" s="50">
        <v>676</v>
      </c>
      <c r="G685" s="1861"/>
      <c r="H685" s="1" t="s">
        <v>1275</v>
      </c>
      <c r="I685" s="10" t="s">
        <v>4779</v>
      </c>
      <c r="J685" s="13" t="s">
        <v>4541</v>
      </c>
    </row>
    <row r="686" spans="1:26" ht="14.25" customHeight="1">
      <c r="A686" s="1"/>
      <c r="B686" s="1"/>
      <c r="C686" s="9">
        <v>44419</v>
      </c>
      <c r="D686" s="17" t="s">
        <v>4780</v>
      </c>
      <c r="E686" s="57" t="s">
        <v>3994</v>
      </c>
      <c r="F686" s="50">
        <v>677</v>
      </c>
      <c r="G686" s="1861"/>
      <c r="H686" s="1" t="s">
        <v>4781</v>
      </c>
      <c r="I686" s="10" t="s">
        <v>4782</v>
      </c>
      <c r="J686" s="13" t="s">
        <v>100</v>
      </c>
    </row>
    <row r="687" spans="1:26" ht="14.25" customHeight="1">
      <c r="A687" s="1"/>
      <c r="B687" s="1"/>
      <c r="C687" s="9">
        <v>44420</v>
      </c>
      <c r="D687" s="17" t="s">
        <v>4783</v>
      </c>
      <c r="E687" s="57" t="s">
        <v>4784</v>
      </c>
      <c r="F687" s="50" t="s">
        <v>4785</v>
      </c>
      <c r="G687" s="1861"/>
      <c r="H687" s="1" t="s">
        <v>4786</v>
      </c>
      <c r="I687" s="10" t="s">
        <v>4787</v>
      </c>
      <c r="J687" s="13" t="s">
        <v>507</v>
      </c>
    </row>
    <row r="688" spans="1:26" ht="14.25" customHeight="1">
      <c r="A688" s="1"/>
      <c r="B688" s="1"/>
      <c r="C688" s="9">
        <v>44420</v>
      </c>
      <c r="D688" s="17" t="s">
        <v>4788</v>
      </c>
      <c r="E688" s="57" t="s">
        <v>4789</v>
      </c>
      <c r="F688" s="50" t="s">
        <v>4790</v>
      </c>
      <c r="G688" s="1861"/>
      <c r="H688" s="1" t="s">
        <v>4791</v>
      </c>
      <c r="I688" s="10" t="s">
        <v>4792</v>
      </c>
      <c r="J688" s="13" t="s">
        <v>39</v>
      </c>
    </row>
    <row r="689" spans="1:10" ht="14.25" customHeight="1">
      <c r="A689" s="1"/>
      <c r="B689" s="1"/>
      <c r="C689" s="9">
        <v>44420</v>
      </c>
      <c r="D689" s="17" t="s">
        <v>4793</v>
      </c>
      <c r="E689" s="57" t="s">
        <v>520</v>
      </c>
      <c r="F689" s="50" t="s">
        <v>4794</v>
      </c>
      <c r="G689" s="1861"/>
      <c r="H689" s="1" t="s">
        <v>4795</v>
      </c>
      <c r="I689" s="10" t="s">
        <v>4796</v>
      </c>
      <c r="J689" s="13" t="s">
        <v>39</v>
      </c>
    </row>
    <row r="690" spans="1:10" ht="14.25" customHeight="1">
      <c r="A690" s="1"/>
      <c r="B690" s="1"/>
      <c r="C690" s="9">
        <v>44421</v>
      </c>
      <c r="D690" s="17" t="s">
        <v>4687</v>
      </c>
      <c r="E690" s="57" t="s">
        <v>4797</v>
      </c>
      <c r="F690" s="50">
        <v>681</v>
      </c>
      <c r="G690" s="1861"/>
      <c r="H690" s="1" t="s">
        <v>2071</v>
      </c>
      <c r="I690" s="10" t="s">
        <v>4798</v>
      </c>
      <c r="J690" s="13" t="s">
        <v>39</v>
      </c>
    </row>
    <row r="691" spans="1:10" ht="14.25" customHeight="1">
      <c r="A691" s="1"/>
      <c r="B691" s="1"/>
      <c r="C691" s="1"/>
      <c r="D691" s="17"/>
      <c r="E691" s="57" t="s">
        <v>500</v>
      </c>
      <c r="F691" s="50">
        <v>682</v>
      </c>
      <c r="G691" s="1861"/>
      <c r="H691" s="1" t="s">
        <v>4799</v>
      </c>
      <c r="I691" s="10" t="s">
        <v>4800</v>
      </c>
      <c r="J691" s="13" t="s">
        <v>36</v>
      </c>
    </row>
    <row r="692" spans="1:10" ht="14.25" customHeight="1">
      <c r="A692" s="1"/>
      <c r="B692" s="1"/>
      <c r="C692" s="9">
        <v>44424</v>
      </c>
      <c r="D692" s="17" t="s">
        <v>209</v>
      </c>
      <c r="E692" s="57" t="s">
        <v>4801</v>
      </c>
      <c r="F692" s="50">
        <v>683</v>
      </c>
      <c r="G692" s="1861"/>
      <c r="H692" s="1" t="s">
        <v>1275</v>
      </c>
      <c r="I692" s="10" t="s">
        <v>4802</v>
      </c>
      <c r="J692" s="42" t="s">
        <v>4258</v>
      </c>
    </row>
    <row r="693" spans="1:10" ht="14.25" customHeight="1">
      <c r="A693" s="1"/>
      <c r="B693" s="1"/>
      <c r="C693" s="9">
        <v>44425</v>
      </c>
      <c r="D693" s="17" t="s">
        <v>4803</v>
      </c>
      <c r="E693" s="57" t="s">
        <v>4804</v>
      </c>
      <c r="F693" s="50" t="s">
        <v>4805</v>
      </c>
      <c r="G693" s="1861"/>
      <c r="H693" s="1" t="s">
        <v>1275</v>
      </c>
      <c r="I693" s="10" t="s">
        <v>4806</v>
      </c>
      <c r="J693" s="13" t="s">
        <v>507</v>
      </c>
    </row>
    <row r="694" spans="1:10" ht="14.25" customHeight="1">
      <c r="A694" s="1"/>
      <c r="B694" s="1"/>
      <c r="C694" s="9">
        <v>44427</v>
      </c>
      <c r="D694" s="17" t="s">
        <v>2406</v>
      </c>
      <c r="E694" s="57" t="s">
        <v>593</v>
      </c>
      <c r="F694" s="50">
        <v>685</v>
      </c>
      <c r="G694" s="1861"/>
      <c r="H694" s="1" t="s">
        <v>2067</v>
      </c>
      <c r="I694" s="10" t="s">
        <v>4807</v>
      </c>
      <c r="J694" s="13" t="s">
        <v>39</v>
      </c>
    </row>
    <row r="695" spans="1:10" ht="14.25" customHeight="1">
      <c r="A695" s="1"/>
      <c r="B695" s="1"/>
      <c r="C695" s="9">
        <v>44427</v>
      </c>
      <c r="D695" s="17" t="s">
        <v>4808</v>
      </c>
      <c r="E695" s="57" t="s">
        <v>4809</v>
      </c>
      <c r="F695" s="50">
        <v>686</v>
      </c>
      <c r="G695" s="1861"/>
      <c r="H695" s="1" t="s">
        <v>1383</v>
      </c>
      <c r="I695" s="10" t="s">
        <v>4810</v>
      </c>
      <c r="J695" s="13" t="s">
        <v>4541</v>
      </c>
    </row>
    <row r="696" spans="1:10" ht="14.25" customHeight="1">
      <c r="A696" s="1"/>
      <c r="B696" s="1"/>
      <c r="C696" s="9">
        <v>44430</v>
      </c>
      <c r="D696" s="17" t="s">
        <v>4780</v>
      </c>
      <c r="E696" s="2" t="s">
        <v>3994</v>
      </c>
      <c r="F696" s="50">
        <v>687</v>
      </c>
      <c r="G696" s="1861"/>
      <c r="H696" s="1" t="s">
        <v>2047</v>
      </c>
      <c r="I696" s="10" t="s">
        <v>4811</v>
      </c>
      <c r="J696" s="13" t="s">
        <v>4348</v>
      </c>
    </row>
    <row r="697" spans="1:10" ht="14.25" customHeight="1">
      <c r="A697" s="1"/>
      <c r="B697" s="1"/>
      <c r="C697" s="9">
        <v>44432</v>
      </c>
      <c r="D697" s="17" t="s">
        <v>4812</v>
      </c>
      <c r="E697" s="57" t="s">
        <v>4813</v>
      </c>
      <c r="F697" s="50">
        <v>688</v>
      </c>
      <c r="G697" s="1861"/>
      <c r="H697" s="1" t="s">
        <v>1275</v>
      </c>
      <c r="I697" s="10" t="s">
        <v>4814</v>
      </c>
      <c r="J697" s="42" t="s">
        <v>4258</v>
      </c>
    </row>
    <row r="698" spans="1:10" ht="14.25" customHeight="1">
      <c r="A698" s="1"/>
      <c r="B698" s="1"/>
      <c r="C698" s="9">
        <v>44437</v>
      </c>
      <c r="D698" s="17" t="s">
        <v>4815</v>
      </c>
      <c r="E698" s="57" t="s">
        <v>4816</v>
      </c>
      <c r="F698" s="50">
        <v>689</v>
      </c>
      <c r="G698" s="1861"/>
      <c r="H698" s="30" t="s">
        <v>1591</v>
      </c>
      <c r="I698" s="10" t="s">
        <v>4817</v>
      </c>
      <c r="J698" s="13" t="s">
        <v>39</v>
      </c>
    </row>
    <row r="699" spans="1:10" ht="14.25" customHeight="1">
      <c r="A699" s="1"/>
      <c r="B699" s="1"/>
      <c r="C699" s="9">
        <v>44440</v>
      </c>
      <c r="D699" s="17" t="s">
        <v>4818</v>
      </c>
      <c r="E699" s="57" t="s">
        <v>2651</v>
      </c>
      <c r="F699" s="50">
        <v>690</v>
      </c>
      <c r="G699" s="1861"/>
      <c r="H699" s="1" t="s">
        <v>1275</v>
      </c>
      <c r="I699" s="10" t="s">
        <v>4819</v>
      </c>
      <c r="J699" s="13" t="s">
        <v>507</v>
      </c>
    </row>
    <row r="700" spans="1:10" ht="14.25" customHeight="1">
      <c r="A700" s="1"/>
      <c r="B700" s="1"/>
      <c r="C700" s="1"/>
      <c r="D700" s="17"/>
      <c r="F700" s="50"/>
      <c r="G700" s="1861"/>
      <c r="H700" s="1"/>
      <c r="J700" s="13" t="s">
        <v>4820</v>
      </c>
    </row>
    <row r="701" spans="1:10" ht="14.25" customHeight="1">
      <c r="A701" s="1"/>
      <c r="B701" s="1"/>
      <c r="C701" s="9" t="s">
        <v>324</v>
      </c>
      <c r="D701" s="17" t="s">
        <v>4821</v>
      </c>
      <c r="E701" s="57" t="s">
        <v>4822</v>
      </c>
      <c r="F701" s="50" t="s">
        <v>4823</v>
      </c>
      <c r="G701" s="1861"/>
      <c r="H701" s="1" t="s">
        <v>3978</v>
      </c>
      <c r="I701" s="10" t="s">
        <v>4824</v>
      </c>
      <c r="J701" s="13" t="s">
        <v>39</v>
      </c>
    </row>
    <row r="702" spans="1:10" ht="14.25" customHeight="1">
      <c r="A702" s="1"/>
      <c r="B702" s="1"/>
      <c r="C702" s="9">
        <v>44446</v>
      </c>
      <c r="D702" s="17" t="s">
        <v>4825</v>
      </c>
      <c r="E702" s="57" t="s">
        <v>4826</v>
      </c>
      <c r="F702" s="50" t="s">
        <v>4827</v>
      </c>
      <c r="G702" s="1861"/>
      <c r="H702" s="1" t="s">
        <v>1275</v>
      </c>
      <c r="I702" s="10" t="s">
        <v>4828</v>
      </c>
      <c r="J702" s="13" t="s">
        <v>39</v>
      </c>
    </row>
    <row r="703" spans="1:10" ht="14.25" customHeight="1">
      <c r="A703" s="1"/>
      <c r="B703" s="1"/>
      <c r="C703" s="9">
        <v>44446</v>
      </c>
      <c r="D703" s="17" t="s">
        <v>4829</v>
      </c>
      <c r="E703" s="57" t="s">
        <v>4830</v>
      </c>
      <c r="F703" s="50" t="s">
        <v>4831</v>
      </c>
      <c r="G703" s="1861"/>
      <c r="H703" s="1" t="s">
        <v>1473</v>
      </c>
      <c r="I703" s="10" t="s">
        <v>4832</v>
      </c>
      <c r="J703" s="13" t="s">
        <v>507</v>
      </c>
    </row>
    <row r="704" spans="1:10" ht="14.25" customHeight="1">
      <c r="A704" s="1"/>
      <c r="B704" s="1"/>
      <c r="C704" s="9">
        <v>44446</v>
      </c>
      <c r="D704" s="17" t="s">
        <v>4833</v>
      </c>
      <c r="E704" s="57" t="s">
        <v>4834</v>
      </c>
      <c r="F704" s="50" t="s">
        <v>4835</v>
      </c>
      <c r="G704" s="1861"/>
      <c r="H704" s="1" t="s">
        <v>1392</v>
      </c>
      <c r="I704" s="10" t="s">
        <v>4836</v>
      </c>
      <c r="J704" s="13" t="s">
        <v>507</v>
      </c>
    </row>
    <row r="705" spans="1:10" ht="14.25" customHeight="1">
      <c r="A705" s="1"/>
      <c r="B705" s="1"/>
      <c r="C705" s="9">
        <v>44448</v>
      </c>
      <c r="D705" s="17" t="s">
        <v>1829</v>
      </c>
      <c r="E705" s="57" t="s">
        <v>2661</v>
      </c>
      <c r="F705" s="50"/>
      <c r="G705" s="1861"/>
      <c r="H705" s="1" t="s">
        <v>1392</v>
      </c>
      <c r="I705" s="10" t="s">
        <v>4837</v>
      </c>
      <c r="J705" s="13" t="s">
        <v>4630</v>
      </c>
    </row>
    <row r="706" spans="1:10" ht="14.25" customHeight="1">
      <c r="A706" s="1"/>
      <c r="B706" s="1"/>
      <c r="C706" s="9" t="s">
        <v>4838</v>
      </c>
      <c r="D706" s="17" t="s">
        <v>4839</v>
      </c>
      <c r="E706" s="57" t="s">
        <v>4840</v>
      </c>
      <c r="F706" s="50">
        <v>696</v>
      </c>
      <c r="G706" s="1861"/>
      <c r="H706" s="1" t="s">
        <v>1275</v>
      </c>
      <c r="I706" s="10" t="s">
        <v>4841</v>
      </c>
      <c r="J706" s="13" t="s">
        <v>4630</v>
      </c>
    </row>
    <row r="707" spans="1:10" ht="14.25" customHeight="1">
      <c r="A707" s="1"/>
      <c r="B707" s="1"/>
      <c r="C707" s="9">
        <v>44451</v>
      </c>
      <c r="D707" s="17" t="s">
        <v>4842</v>
      </c>
      <c r="E707" s="57" t="s">
        <v>4843</v>
      </c>
      <c r="F707" s="50">
        <v>697</v>
      </c>
      <c r="G707" s="1861"/>
      <c r="H707" s="1" t="s">
        <v>4844</v>
      </c>
      <c r="I707" s="10" t="s">
        <v>4845</v>
      </c>
      <c r="J707" s="13" t="s">
        <v>4630</v>
      </c>
    </row>
    <row r="708" spans="1:10" ht="14.25" customHeight="1">
      <c r="A708" s="1"/>
      <c r="B708" s="1"/>
      <c r="C708" s="9">
        <v>44452</v>
      </c>
      <c r="D708" s="17" t="s">
        <v>2668</v>
      </c>
      <c r="E708" s="57" t="s">
        <v>2669</v>
      </c>
      <c r="F708" s="50">
        <v>698</v>
      </c>
      <c r="G708" s="1861"/>
      <c r="H708" s="1" t="s">
        <v>1275</v>
      </c>
      <c r="I708" s="10" t="s">
        <v>4846</v>
      </c>
      <c r="J708" s="13" t="s">
        <v>507</v>
      </c>
    </row>
    <row r="709" spans="1:10" ht="14.25" customHeight="1">
      <c r="A709" s="1"/>
      <c r="B709" s="1"/>
      <c r="C709" s="9">
        <v>44452</v>
      </c>
      <c r="D709" s="17" t="s">
        <v>2674</v>
      </c>
      <c r="E709" s="2" t="s">
        <v>2675</v>
      </c>
      <c r="F709" s="50">
        <v>699</v>
      </c>
      <c r="G709" s="1861"/>
      <c r="H709" s="1" t="s">
        <v>1602</v>
      </c>
      <c r="I709" s="10" t="s">
        <v>4847</v>
      </c>
      <c r="J709" s="13" t="s">
        <v>4630</v>
      </c>
    </row>
    <row r="710" spans="1:10" ht="14.25" customHeight="1">
      <c r="A710" s="1"/>
      <c r="B710" s="1"/>
      <c r="C710" s="9">
        <v>44452</v>
      </c>
      <c r="D710" s="17" t="s">
        <v>4848</v>
      </c>
      <c r="E710" s="57" t="s">
        <v>2156</v>
      </c>
      <c r="F710" s="50">
        <v>700</v>
      </c>
      <c r="G710" s="1861"/>
      <c r="H710" s="1" t="s">
        <v>1955</v>
      </c>
      <c r="I710" s="10" t="s">
        <v>4849</v>
      </c>
      <c r="J710" s="13" t="s">
        <v>77</v>
      </c>
    </row>
    <row r="711" spans="1:10" ht="14.25" customHeight="1">
      <c r="A711" s="1"/>
      <c r="B711" s="1"/>
      <c r="C711" s="9">
        <v>44452</v>
      </c>
      <c r="D711" s="17" t="s">
        <v>4850</v>
      </c>
      <c r="E711" s="57" t="s">
        <v>4851</v>
      </c>
      <c r="F711" s="50">
        <v>701</v>
      </c>
      <c r="G711" s="1861"/>
      <c r="H711" s="1" t="s">
        <v>1591</v>
      </c>
      <c r="I711" s="10" t="s">
        <v>4852</v>
      </c>
      <c r="J711" s="13" t="s">
        <v>4853</v>
      </c>
    </row>
    <row r="712" spans="1:10" ht="14.25" customHeight="1">
      <c r="A712" s="1"/>
      <c r="B712" s="1"/>
      <c r="C712" s="9">
        <v>44455</v>
      </c>
      <c r="D712" s="17" t="s">
        <v>4854</v>
      </c>
      <c r="E712" s="57" t="s">
        <v>4855</v>
      </c>
      <c r="F712" s="50">
        <v>702</v>
      </c>
      <c r="G712" s="1861"/>
      <c r="H712" s="1" t="s">
        <v>2071</v>
      </c>
      <c r="I712" s="10" t="s">
        <v>4856</v>
      </c>
      <c r="J712" s="13" t="s">
        <v>507</v>
      </c>
    </row>
    <row r="713" spans="1:10" ht="14.25" customHeight="1">
      <c r="A713" s="1"/>
      <c r="B713" s="1"/>
      <c r="C713" s="9">
        <v>44456</v>
      </c>
      <c r="D713" s="17" t="s">
        <v>2689</v>
      </c>
      <c r="E713" s="2" t="s">
        <v>2147</v>
      </c>
      <c r="F713" s="50">
        <v>703</v>
      </c>
      <c r="G713" s="1861"/>
      <c r="H713" s="1" t="s">
        <v>2067</v>
      </c>
      <c r="I713" s="10" t="s">
        <v>4857</v>
      </c>
      <c r="J713" s="13" t="s">
        <v>4630</v>
      </c>
    </row>
    <row r="714" spans="1:10" ht="14.25" customHeight="1">
      <c r="A714" s="1"/>
      <c r="B714" s="1"/>
      <c r="C714" s="9">
        <v>44459</v>
      </c>
      <c r="D714" s="17" t="s">
        <v>4858</v>
      </c>
      <c r="E714" s="57" t="s">
        <v>4859</v>
      </c>
      <c r="F714" s="50" t="s">
        <v>4860</v>
      </c>
      <c r="G714" s="1861"/>
      <c r="H714" s="1" t="s">
        <v>2047</v>
      </c>
      <c r="I714" s="10" t="s">
        <v>4861</v>
      </c>
      <c r="J714" s="13" t="s">
        <v>528</v>
      </c>
    </row>
    <row r="715" spans="1:10" ht="14.25" customHeight="1">
      <c r="A715" s="1"/>
      <c r="B715" s="1"/>
      <c r="C715" s="9">
        <v>44459</v>
      </c>
      <c r="D715" s="17" t="s">
        <v>2704</v>
      </c>
      <c r="E715" s="57" t="s">
        <v>2705</v>
      </c>
      <c r="F715" s="50" t="s">
        <v>4862</v>
      </c>
      <c r="G715" s="1861"/>
      <c r="H715" s="1" t="s">
        <v>2996</v>
      </c>
      <c r="I715" s="10" t="s">
        <v>4863</v>
      </c>
      <c r="J715" s="13" t="s">
        <v>528</v>
      </c>
    </row>
    <row r="716" spans="1:10" ht="14.25" customHeight="1">
      <c r="A716" s="1"/>
      <c r="B716" s="1"/>
      <c r="C716" s="9">
        <v>44461</v>
      </c>
      <c r="D716" s="17" t="s">
        <v>2702</v>
      </c>
      <c r="E716" s="57" t="s">
        <v>2423</v>
      </c>
      <c r="F716" s="50">
        <v>706</v>
      </c>
      <c r="G716" s="1861"/>
      <c r="H716" s="1" t="s">
        <v>1275</v>
      </c>
      <c r="I716" s="10" t="s">
        <v>4864</v>
      </c>
      <c r="J716" s="13" t="s">
        <v>39</v>
      </c>
    </row>
    <row r="717" spans="1:10" ht="14.25" customHeight="1">
      <c r="A717" s="1"/>
      <c r="B717" s="1"/>
      <c r="C717" s="9">
        <v>44462</v>
      </c>
      <c r="D717" s="17" t="s">
        <v>2618</v>
      </c>
      <c r="E717" s="57" t="s">
        <v>4865</v>
      </c>
      <c r="F717" s="50">
        <v>707</v>
      </c>
      <c r="G717" s="1861"/>
      <c r="H717" s="30" t="s">
        <v>2071</v>
      </c>
      <c r="I717" s="10" t="s">
        <v>4866</v>
      </c>
      <c r="J717" s="42" t="s">
        <v>4258</v>
      </c>
    </row>
    <row r="718" spans="1:10" ht="14.25" customHeight="1">
      <c r="A718" s="1"/>
      <c r="B718" s="1"/>
      <c r="C718" s="9">
        <v>44465</v>
      </c>
      <c r="D718" s="17" t="s">
        <v>2710</v>
      </c>
      <c r="E718" s="57" t="s">
        <v>511</v>
      </c>
      <c r="F718" s="50">
        <v>708</v>
      </c>
      <c r="G718" s="1861"/>
      <c r="H718" s="1" t="s">
        <v>2711</v>
      </c>
      <c r="I718" s="10" t="s">
        <v>4867</v>
      </c>
      <c r="J718" s="13" t="s">
        <v>39</v>
      </c>
    </row>
    <row r="719" spans="1:10" ht="14.25" customHeight="1">
      <c r="A719" s="1"/>
      <c r="B719" s="1"/>
      <c r="C719" s="1"/>
      <c r="D719" s="17" t="s">
        <v>4868</v>
      </c>
      <c r="E719" s="57" t="s">
        <v>4869</v>
      </c>
      <c r="F719" s="50">
        <v>709</v>
      </c>
      <c r="G719" s="1861"/>
      <c r="H719" s="1" t="s">
        <v>1275</v>
      </c>
      <c r="I719" s="10" t="s">
        <v>4870</v>
      </c>
      <c r="J719" s="13" t="s">
        <v>507</v>
      </c>
    </row>
    <row r="720" spans="1:10" ht="14.25" customHeight="1">
      <c r="A720" s="1"/>
      <c r="B720" s="1"/>
      <c r="C720" s="9">
        <v>44469</v>
      </c>
      <c r="D720" s="17" t="s">
        <v>4871</v>
      </c>
      <c r="E720" s="57" t="s">
        <v>4872</v>
      </c>
      <c r="F720" s="50">
        <v>710</v>
      </c>
      <c r="G720" s="1861"/>
      <c r="H720" s="1" t="s">
        <v>2696</v>
      </c>
      <c r="I720" s="10" t="s">
        <v>4873</v>
      </c>
      <c r="J720" s="13" t="s">
        <v>77</v>
      </c>
    </row>
    <row r="721" spans="1:10" ht="14.25" customHeight="1">
      <c r="A721" s="1"/>
      <c r="B721" s="1"/>
      <c r="C721" s="9">
        <v>44469</v>
      </c>
      <c r="D721" s="17" t="s">
        <v>4874</v>
      </c>
      <c r="E721" s="57" t="s">
        <v>4875</v>
      </c>
      <c r="F721" s="50" t="s">
        <v>4876</v>
      </c>
      <c r="G721" s="1861"/>
      <c r="H721" s="1" t="s">
        <v>1275</v>
      </c>
      <c r="I721" s="10" t="s">
        <v>4877</v>
      </c>
      <c r="J721" s="13" t="s">
        <v>39</v>
      </c>
    </row>
    <row r="722" spans="1:10" ht="14.25" customHeight="1">
      <c r="A722" s="1"/>
      <c r="B722" s="1"/>
      <c r="C722" s="9">
        <v>44470</v>
      </c>
      <c r="D722" s="1">
        <v>6200713901</v>
      </c>
      <c r="E722" s="2" t="s">
        <v>518</v>
      </c>
      <c r="F722" s="50">
        <v>712</v>
      </c>
      <c r="G722" s="1861"/>
      <c r="H722" s="1" t="s">
        <v>516</v>
      </c>
      <c r="I722" s="10" t="s">
        <v>4878</v>
      </c>
      <c r="J722" s="13" t="s">
        <v>507</v>
      </c>
    </row>
    <row r="723" spans="1:10" ht="14.25" customHeight="1">
      <c r="A723" s="1"/>
      <c r="B723" s="1"/>
      <c r="C723" s="9">
        <v>44473</v>
      </c>
      <c r="D723" s="17" t="s">
        <v>4879</v>
      </c>
      <c r="E723" s="57" t="s">
        <v>2008</v>
      </c>
      <c r="F723" s="50">
        <v>713</v>
      </c>
      <c r="G723" s="1861"/>
      <c r="H723" s="1" t="s">
        <v>1347</v>
      </c>
      <c r="I723" s="10" t="s">
        <v>4880</v>
      </c>
      <c r="J723" s="13" t="s">
        <v>39</v>
      </c>
    </row>
    <row r="724" spans="1:10" ht="14.25" customHeight="1">
      <c r="A724" s="1"/>
      <c r="B724" s="1"/>
      <c r="C724" s="9">
        <v>44475</v>
      </c>
      <c r="D724" s="17" t="s">
        <v>2749</v>
      </c>
      <c r="E724" s="57" t="s">
        <v>2822</v>
      </c>
      <c r="F724" s="50">
        <v>714</v>
      </c>
      <c r="G724" s="1861"/>
      <c r="H724" s="1" t="s">
        <v>1275</v>
      </c>
      <c r="I724" s="10" t="s">
        <v>4881</v>
      </c>
      <c r="J724" s="13" t="s">
        <v>39</v>
      </c>
    </row>
    <row r="725" spans="1:10" ht="14.25" customHeight="1">
      <c r="A725" s="1"/>
      <c r="B725" s="1"/>
      <c r="C725" s="9">
        <v>44479</v>
      </c>
      <c r="D725" s="17" t="s">
        <v>1832</v>
      </c>
      <c r="E725" s="57" t="s">
        <v>1833</v>
      </c>
      <c r="F725" s="50">
        <v>715</v>
      </c>
      <c r="G725" s="1861"/>
      <c r="H725" s="1" t="s">
        <v>2071</v>
      </c>
      <c r="I725" s="10" t="s">
        <v>4882</v>
      </c>
      <c r="J725" s="13" t="s">
        <v>100</v>
      </c>
    </row>
    <row r="726" spans="1:10" ht="14.25" customHeight="1">
      <c r="A726" s="1"/>
      <c r="B726" s="1"/>
      <c r="C726" s="9">
        <v>44481</v>
      </c>
      <c r="D726" s="17" t="s">
        <v>4883</v>
      </c>
      <c r="E726" s="57" t="s">
        <v>4884</v>
      </c>
      <c r="F726" s="50">
        <v>716</v>
      </c>
      <c r="G726" s="1861"/>
      <c r="H726" s="1" t="s">
        <v>4786</v>
      </c>
      <c r="I726" s="10" t="s">
        <v>4885</v>
      </c>
      <c r="J726" s="13" t="s">
        <v>4541</v>
      </c>
    </row>
    <row r="727" spans="1:10" ht="14.25" customHeight="1">
      <c r="A727" s="1"/>
      <c r="B727" s="1"/>
      <c r="C727" s="9">
        <v>44483</v>
      </c>
      <c r="D727" s="17" t="s">
        <v>4886</v>
      </c>
      <c r="E727" s="57" t="s">
        <v>4887</v>
      </c>
      <c r="F727" s="50">
        <v>717</v>
      </c>
      <c r="G727" s="1861"/>
      <c r="H727" s="1" t="s">
        <v>2076</v>
      </c>
      <c r="I727" s="10" t="s">
        <v>4888</v>
      </c>
      <c r="J727" s="13" t="s">
        <v>507</v>
      </c>
    </row>
    <row r="728" spans="1:10" ht="14.25" customHeight="1">
      <c r="A728" s="1"/>
      <c r="B728" s="1"/>
      <c r="C728" s="9">
        <v>44491</v>
      </c>
      <c r="D728" s="17" t="s">
        <v>2744</v>
      </c>
      <c r="E728" s="57" t="s">
        <v>2989</v>
      </c>
      <c r="F728" s="50">
        <v>718</v>
      </c>
      <c r="G728" s="1861"/>
      <c r="H728" s="1" t="s">
        <v>2099</v>
      </c>
      <c r="I728" s="10" t="s">
        <v>4889</v>
      </c>
      <c r="J728" s="13" t="s">
        <v>4541</v>
      </c>
    </row>
    <row r="729" spans="1:10" ht="14.25" customHeight="1">
      <c r="A729" s="1"/>
      <c r="B729" s="1"/>
      <c r="C729" s="9">
        <v>44491</v>
      </c>
      <c r="D729" s="17" t="s">
        <v>4890</v>
      </c>
      <c r="E729" s="57" t="s">
        <v>4891</v>
      </c>
      <c r="F729" s="50">
        <v>719</v>
      </c>
      <c r="G729" s="1861"/>
      <c r="H729" s="1" t="s">
        <v>2047</v>
      </c>
      <c r="I729" s="10" t="s">
        <v>4892</v>
      </c>
      <c r="J729" s="13" t="s">
        <v>507</v>
      </c>
    </row>
    <row r="730" spans="1:10" ht="14.25" customHeight="1">
      <c r="A730" s="1"/>
      <c r="B730" s="1"/>
      <c r="C730" s="9">
        <v>44491</v>
      </c>
      <c r="D730" s="17" t="s">
        <v>2773</v>
      </c>
      <c r="E730" s="57" t="s">
        <v>2774</v>
      </c>
      <c r="F730" s="50">
        <v>720</v>
      </c>
      <c r="G730" s="1861"/>
      <c r="H730" s="1" t="s">
        <v>3832</v>
      </c>
      <c r="I730" s="10" t="s">
        <v>4893</v>
      </c>
      <c r="J730" s="13" t="s">
        <v>4541</v>
      </c>
    </row>
    <row r="731" spans="1:10" ht="14.25" customHeight="1">
      <c r="A731" s="1"/>
      <c r="B731" s="1"/>
      <c r="C731" s="9">
        <v>44491</v>
      </c>
      <c r="D731" s="17" t="s">
        <v>4894</v>
      </c>
      <c r="E731" s="57" t="s">
        <v>4895</v>
      </c>
      <c r="F731" s="50">
        <v>721</v>
      </c>
      <c r="G731" s="1861"/>
      <c r="H731" s="1" t="s">
        <v>2987</v>
      </c>
      <c r="I731" s="10" t="s">
        <v>4896</v>
      </c>
      <c r="J731" s="13" t="s">
        <v>4391</v>
      </c>
    </row>
    <row r="732" spans="1:10" ht="14.25" customHeight="1">
      <c r="A732" s="1"/>
      <c r="B732" s="1"/>
      <c r="C732" s="9">
        <v>44493</v>
      </c>
      <c r="D732" s="17" t="s">
        <v>4897</v>
      </c>
      <c r="E732" s="57" t="s">
        <v>4898</v>
      </c>
      <c r="F732" s="50">
        <v>722</v>
      </c>
      <c r="G732" s="1861"/>
      <c r="H732" s="1" t="s">
        <v>1275</v>
      </c>
      <c r="I732" s="10" t="s">
        <v>4899</v>
      </c>
      <c r="J732" s="13" t="s">
        <v>507</v>
      </c>
    </row>
    <row r="733" spans="1:10" ht="14.25" customHeight="1">
      <c r="A733" s="1"/>
      <c r="B733" s="1"/>
      <c r="C733" s="9">
        <v>44498</v>
      </c>
      <c r="D733" s="17" t="s">
        <v>2795</v>
      </c>
      <c r="E733" s="57" t="s">
        <v>2500</v>
      </c>
      <c r="F733" s="50" t="s">
        <v>4900</v>
      </c>
      <c r="G733" s="1861"/>
      <c r="H733" s="1" t="s">
        <v>4901</v>
      </c>
      <c r="I733" s="10" t="s">
        <v>4902</v>
      </c>
      <c r="J733" s="13" t="s">
        <v>100</v>
      </c>
    </row>
    <row r="734" spans="1:10" ht="14.25" customHeight="1">
      <c r="A734" s="1"/>
      <c r="B734" s="1"/>
      <c r="C734" s="9">
        <v>44497</v>
      </c>
      <c r="D734" s="17" t="s">
        <v>4903</v>
      </c>
      <c r="E734" s="57" t="s">
        <v>4904</v>
      </c>
      <c r="F734" s="50" t="s">
        <v>4905</v>
      </c>
      <c r="G734" s="1861"/>
      <c r="H734" s="1" t="s">
        <v>1473</v>
      </c>
      <c r="I734" s="10" t="s">
        <v>4906</v>
      </c>
      <c r="J734" s="13" t="s">
        <v>39</v>
      </c>
    </row>
    <row r="735" spans="1:10" ht="14.25" customHeight="1">
      <c r="A735" s="1"/>
      <c r="B735" s="1"/>
      <c r="C735" s="9">
        <v>44497</v>
      </c>
      <c r="D735" s="17" t="s">
        <v>4907</v>
      </c>
      <c r="E735" s="57" t="s">
        <v>3855</v>
      </c>
      <c r="F735" s="50" t="s">
        <v>4908</v>
      </c>
      <c r="G735" s="1861"/>
      <c r="H735" s="1" t="s">
        <v>4909</v>
      </c>
      <c r="I735" s="10" t="s">
        <v>4910</v>
      </c>
      <c r="J735" s="13" t="s">
        <v>507</v>
      </c>
    </row>
    <row r="736" spans="1:10" ht="14.25" customHeight="1">
      <c r="A736" s="1"/>
      <c r="B736" s="1"/>
      <c r="C736" s="9">
        <v>44502</v>
      </c>
      <c r="D736" s="17" t="s">
        <v>4911</v>
      </c>
      <c r="E736" s="57" t="s">
        <v>4912</v>
      </c>
      <c r="F736" s="50" t="s">
        <v>4913</v>
      </c>
      <c r="G736" s="1861"/>
      <c r="H736" s="1" t="s">
        <v>1478</v>
      </c>
      <c r="I736" s="10" t="s">
        <v>4914</v>
      </c>
      <c r="J736" s="13" t="s">
        <v>4541</v>
      </c>
    </row>
    <row r="737" spans="1:11" ht="14.25" customHeight="1">
      <c r="A737" s="1"/>
      <c r="B737" s="1"/>
      <c r="C737" s="9">
        <v>44510</v>
      </c>
      <c r="D737" s="17" t="s">
        <v>4915</v>
      </c>
      <c r="E737" s="49" t="s">
        <v>392</v>
      </c>
      <c r="F737" s="50">
        <v>726</v>
      </c>
      <c r="G737" s="1861"/>
      <c r="H737" s="1" t="s">
        <v>2071</v>
      </c>
      <c r="I737" s="57" t="s">
        <v>4916</v>
      </c>
      <c r="J737" s="13" t="s">
        <v>507</v>
      </c>
    </row>
    <row r="738" spans="1:11" ht="14.25" customHeight="1">
      <c r="A738" s="1"/>
      <c r="B738" s="1"/>
      <c r="C738" s="9">
        <v>44512</v>
      </c>
      <c r="D738" s="17" t="s">
        <v>4917</v>
      </c>
      <c r="E738" s="57" t="s">
        <v>4918</v>
      </c>
      <c r="F738" s="50">
        <v>727</v>
      </c>
      <c r="G738" s="1861"/>
      <c r="H738" s="1" t="s">
        <v>2071</v>
      </c>
      <c r="I738" s="2" t="s">
        <v>4919</v>
      </c>
      <c r="J738" s="24">
        <v>44697</v>
      </c>
    </row>
    <row r="739" spans="1:11" ht="14.25" customHeight="1">
      <c r="A739" s="1"/>
      <c r="B739" s="1"/>
      <c r="C739" s="9">
        <v>44512</v>
      </c>
      <c r="D739" s="17" t="s">
        <v>4920</v>
      </c>
      <c r="E739" s="57" t="s">
        <v>3297</v>
      </c>
      <c r="F739" s="50" t="s">
        <v>4921</v>
      </c>
      <c r="G739" s="1861"/>
      <c r="H739" s="1" t="s">
        <v>2071</v>
      </c>
      <c r="I739" s="10" t="s">
        <v>4922</v>
      </c>
      <c r="J739" s="13" t="s">
        <v>4541</v>
      </c>
    </row>
    <row r="740" spans="1:11" ht="14.25" customHeight="1">
      <c r="A740" s="1"/>
      <c r="B740" s="1"/>
      <c r="C740" s="9">
        <v>44514</v>
      </c>
      <c r="D740" s="17" t="s">
        <v>2819</v>
      </c>
      <c r="E740" s="57" t="s">
        <v>4923</v>
      </c>
      <c r="F740" s="50">
        <v>729</v>
      </c>
      <c r="G740" s="1861"/>
      <c r="H740" s="1" t="s">
        <v>1602</v>
      </c>
      <c r="I740" s="10" t="s">
        <v>4924</v>
      </c>
      <c r="J740" s="13" t="s">
        <v>507</v>
      </c>
    </row>
    <row r="741" spans="1:11" ht="14.25" customHeight="1">
      <c r="A741" s="1"/>
      <c r="B741" s="1"/>
      <c r="C741" s="9">
        <v>44516</v>
      </c>
      <c r="D741" s="17" t="s">
        <v>4925</v>
      </c>
      <c r="E741" s="57" t="s">
        <v>3268</v>
      </c>
      <c r="F741" s="50">
        <v>730</v>
      </c>
      <c r="G741" s="1861"/>
      <c r="H741" s="1" t="s">
        <v>1275</v>
      </c>
      <c r="I741" s="10" t="s">
        <v>4926</v>
      </c>
      <c r="J741" s="13" t="s">
        <v>528</v>
      </c>
    </row>
    <row r="742" spans="1:11" ht="14.25" customHeight="1">
      <c r="A742" s="1"/>
      <c r="B742" s="1"/>
      <c r="C742" s="9">
        <v>44519</v>
      </c>
      <c r="D742" s="17" t="s">
        <v>4927</v>
      </c>
      <c r="E742" s="57" t="s">
        <v>4928</v>
      </c>
      <c r="F742" s="50">
        <v>731</v>
      </c>
      <c r="G742" s="1861"/>
      <c r="H742" s="1" t="s">
        <v>2071</v>
      </c>
      <c r="I742" s="10" t="s">
        <v>4929</v>
      </c>
      <c r="J742" s="13" t="s">
        <v>39</v>
      </c>
    </row>
    <row r="743" spans="1:11" ht="14.25" customHeight="1">
      <c r="A743" s="1"/>
      <c r="B743" s="1"/>
      <c r="C743" s="9">
        <v>44522</v>
      </c>
      <c r="D743" s="17" t="s">
        <v>209</v>
      </c>
      <c r="E743" s="57" t="s">
        <v>4930</v>
      </c>
      <c r="F743" s="50">
        <v>691</v>
      </c>
      <c r="G743" s="1861"/>
      <c r="H743" s="1" t="s">
        <v>1955</v>
      </c>
      <c r="I743" s="53" t="s">
        <v>4931</v>
      </c>
      <c r="J743" s="13" t="s">
        <v>39</v>
      </c>
      <c r="K743" s="57" t="s">
        <v>4932</v>
      </c>
    </row>
    <row r="744" spans="1:11" ht="14.25" customHeight="1">
      <c r="A744" s="1"/>
      <c r="B744" s="1"/>
      <c r="C744" s="9">
        <v>44523</v>
      </c>
      <c r="D744" s="17" t="s">
        <v>4933</v>
      </c>
      <c r="E744" s="57" t="s">
        <v>505</v>
      </c>
      <c r="F744" s="50">
        <v>732</v>
      </c>
      <c r="G744" s="1861"/>
      <c r="H744" s="1" t="s">
        <v>1825</v>
      </c>
      <c r="I744" s="10" t="s">
        <v>4934</v>
      </c>
      <c r="J744" s="13" t="s">
        <v>507</v>
      </c>
    </row>
    <row r="745" spans="1:11" ht="14.25" customHeight="1">
      <c r="A745" s="1"/>
      <c r="B745" s="1"/>
      <c r="C745" s="9">
        <v>44525</v>
      </c>
      <c r="D745" s="17" t="s">
        <v>4935</v>
      </c>
      <c r="E745" s="57" t="s">
        <v>4936</v>
      </c>
      <c r="F745" s="50">
        <v>733</v>
      </c>
      <c r="G745" s="1861"/>
      <c r="H745" s="1" t="s">
        <v>4937</v>
      </c>
      <c r="I745" s="10" t="s">
        <v>4938</v>
      </c>
      <c r="J745" s="13" t="s">
        <v>39</v>
      </c>
    </row>
    <row r="746" spans="1:11" ht="14.25" customHeight="1">
      <c r="A746" s="1"/>
      <c r="B746" s="1"/>
      <c r="C746" s="9">
        <v>44530</v>
      </c>
      <c r="D746" s="17" t="s">
        <v>4939</v>
      </c>
      <c r="E746" s="57" t="s">
        <v>4940</v>
      </c>
      <c r="F746" s="50" t="s">
        <v>4941</v>
      </c>
      <c r="G746" s="1861"/>
      <c r="H746" s="1" t="s">
        <v>4942</v>
      </c>
      <c r="I746" s="10" t="s">
        <v>4943</v>
      </c>
      <c r="J746" s="13" t="s">
        <v>39</v>
      </c>
    </row>
    <row r="747" spans="1:11" ht="14.25" customHeight="1">
      <c r="A747" s="1"/>
      <c r="B747" s="1"/>
      <c r="C747" s="1"/>
      <c r="D747" s="17" t="s">
        <v>4944</v>
      </c>
      <c r="E747" s="57" t="s">
        <v>536</v>
      </c>
      <c r="F747" s="50">
        <v>735</v>
      </c>
      <c r="G747" s="1861"/>
      <c r="H747" s="1" t="s">
        <v>1627</v>
      </c>
      <c r="I747" s="10" t="s">
        <v>4945</v>
      </c>
      <c r="J747" s="13" t="s">
        <v>538</v>
      </c>
    </row>
    <row r="748" spans="1:11" ht="14.25" customHeight="1">
      <c r="A748" s="1"/>
      <c r="B748" s="1"/>
      <c r="C748" s="9">
        <v>44541</v>
      </c>
      <c r="D748" s="17" t="s">
        <v>2880</v>
      </c>
      <c r="E748" s="57" t="s">
        <v>2147</v>
      </c>
      <c r="F748" s="50">
        <v>736</v>
      </c>
      <c r="G748" s="1861"/>
      <c r="H748" s="1" t="s">
        <v>2047</v>
      </c>
      <c r="I748" s="10" t="s">
        <v>4946</v>
      </c>
      <c r="J748" s="13" t="s">
        <v>39</v>
      </c>
    </row>
    <row r="749" spans="1:11" ht="14.25" customHeight="1">
      <c r="A749" s="1"/>
      <c r="B749" s="1"/>
      <c r="C749" s="9">
        <v>44541</v>
      </c>
      <c r="D749" s="17" t="s">
        <v>4947</v>
      </c>
      <c r="E749" s="57" t="s">
        <v>4948</v>
      </c>
      <c r="F749" s="50">
        <v>737</v>
      </c>
      <c r="G749" s="1861"/>
      <c r="H749" s="1" t="s">
        <v>2929</v>
      </c>
      <c r="I749" s="10" t="s">
        <v>4949</v>
      </c>
      <c r="J749" s="13" t="s">
        <v>77</v>
      </c>
    </row>
    <row r="750" spans="1:11" ht="14.25" customHeight="1">
      <c r="A750" s="1"/>
      <c r="B750" s="1"/>
      <c r="C750" s="9">
        <v>44543</v>
      </c>
      <c r="D750" s="17" t="s">
        <v>4950</v>
      </c>
      <c r="E750" s="57" t="s">
        <v>1907</v>
      </c>
      <c r="F750" s="50">
        <v>738</v>
      </c>
      <c r="G750" s="1861"/>
      <c r="H750" s="1" t="s">
        <v>1275</v>
      </c>
      <c r="I750" s="10" t="s">
        <v>4951</v>
      </c>
      <c r="J750" s="13" t="s">
        <v>39</v>
      </c>
    </row>
    <row r="751" spans="1:11" ht="14.25" customHeight="1">
      <c r="A751" s="1"/>
      <c r="B751" s="1"/>
      <c r="C751" s="9">
        <v>44544</v>
      </c>
      <c r="D751" s="17" t="s">
        <v>4952</v>
      </c>
      <c r="E751" s="57" t="s">
        <v>4953</v>
      </c>
      <c r="F751" s="50">
        <v>739</v>
      </c>
      <c r="G751" s="1861"/>
      <c r="H751" s="1" t="s">
        <v>4954</v>
      </c>
      <c r="I751" s="10" t="s">
        <v>4955</v>
      </c>
      <c r="J751" s="13" t="s">
        <v>39</v>
      </c>
    </row>
    <row r="752" spans="1:11" ht="14.25" customHeight="1">
      <c r="A752" s="1"/>
      <c r="B752" s="1"/>
      <c r="C752" s="9">
        <v>44544</v>
      </c>
      <c r="D752" s="17" t="s">
        <v>4956</v>
      </c>
      <c r="E752" s="57" t="s">
        <v>4957</v>
      </c>
      <c r="F752" s="50">
        <v>740</v>
      </c>
      <c r="G752" s="1861"/>
      <c r="H752" s="1" t="s">
        <v>1275</v>
      </c>
      <c r="I752" s="10" t="s">
        <v>4958</v>
      </c>
      <c r="J752" s="13" t="s">
        <v>507</v>
      </c>
    </row>
    <row r="753" spans="1:26" ht="14.25" customHeight="1">
      <c r="A753" s="1"/>
      <c r="B753" s="1"/>
      <c r="C753" s="9">
        <v>44552</v>
      </c>
      <c r="D753" s="17" t="s">
        <v>1170</v>
      </c>
      <c r="E753" s="57" t="s">
        <v>4959</v>
      </c>
      <c r="F753" s="50">
        <v>741</v>
      </c>
      <c r="G753" s="1861"/>
      <c r="H753" s="1" t="s">
        <v>1275</v>
      </c>
      <c r="I753" s="10" t="s">
        <v>4960</v>
      </c>
      <c r="J753" s="13" t="s">
        <v>4541</v>
      </c>
    </row>
    <row r="754" spans="1:26" ht="14.25" customHeight="1">
      <c r="A754" s="1"/>
      <c r="B754" s="1"/>
      <c r="C754" s="9">
        <v>44553</v>
      </c>
      <c r="D754" s="17" t="s">
        <v>4961</v>
      </c>
      <c r="E754" s="57" t="s">
        <v>4962</v>
      </c>
      <c r="F754" s="50">
        <v>742</v>
      </c>
      <c r="G754" s="1861"/>
      <c r="H754" s="1" t="s">
        <v>2071</v>
      </c>
      <c r="I754" s="10" t="s">
        <v>4963</v>
      </c>
      <c r="J754" s="13" t="s">
        <v>39</v>
      </c>
    </row>
    <row r="755" spans="1:26" ht="14.25" customHeight="1">
      <c r="A755" s="1"/>
      <c r="B755" s="1"/>
      <c r="C755" s="1"/>
      <c r="D755" s="17" t="s">
        <v>2795</v>
      </c>
      <c r="E755" s="57" t="s">
        <v>2500</v>
      </c>
      <c r="F755" s="50">
        <v>743</v>
      </c>
      <c r="G755" s="1861"/>
      <c r="H755" s="30" t="s">
        <v>1873</v>
      </c>
      <c r="I755" s="10" t="s">
        <v>4964</v>
      </c>
      <c r="J755" s="13" t="s">
        <v>39</v>
      </c>
    </row>
    <row r="756" spans="1:26" ht="14.25" customHeight="1">
      <c r="A756" s="1"/>
      <c r="B756" s="1"/>
      <c r="C756" s="9">
        <v>44555</v>
      </c>
      <c r="D756" s="17" t="s">
        <v>4965</v>
      </c>
      <c r="E756" s="57" t="s">
        <v>4966</v>
      </c>
      <c r="F756" s="50">
        <v>744</v>
      </c>
      <c r="G756" s="1861"/>
      <c r="H756" s="1" t="s">
        <v>2071</v>
      </c>
      <c r="I756" s="10" t="s">
        <v>4967</v>
      </c>
      <c r="J756" s="13" t="s">
        <v>39</v>
      </c>
    </row>
    <row r="757" spans="1:26" ht="14.25" customHeight="1">
      <c r="A757" s="1"/>
      <c r="B757" s="1"/>
      <c r="C757" s="9">
        <v>44555</v>
      </c>
      <c r="D757" s="17" t="s">
        <v>2058</v>
      </c>
      <c r="E757" s="57" t="s">
        <v>2488</v>
      </c>
      <c r="F757" s="50">
        <v>745</v>
      </c>
      <c r="G757" s="1861"/>
      <c r="H757" s="1" t="s">
        <v>2067</v>
      </c>
      <c r="I757" s="10" t="s">
        <v>4968</v>
      </c>
      <c r="J757" s="13" t="s">
        <v>77</v>
      </c>
    </row>
    <row r="758" spans="1:26" ht="14.25" customHeight="1">
      <c r="A758" s="1"/>
      <c r="B758" s="1"/>
      <c r="C758" s="9">
        <v>44558</v>
      </c>
      <c r="D758" s="17" t="s">
        <v>2890</v>
      </c>
      <c r="E758" s="57" t="s">
        <v>2891</v>
      </c>
      <c r="F758" s="50">
        <v>746</v>
      </c>
      <c r="G758" s="1861"/>
      <c r="H758" s="1" t="s">
        <v>2067</v>
      </c>
      <c r="I758" s="10" t="s">
        <v>4969</v>
      </c>
      <c r="J758" s="13" t="s">
        <v>77</v>
      </c>
    </row>
    <row r="759" spans="1:26" ht="14.25" customHeight="1">
      <c r="A759" s="1"/>
      <c r="B759" s="1"/>
      <c r="C759" s="9">
        <v>44562</v>
      </c>
      <c r="D759" s="17" t="s">
        <v>4970</v>
      </c>
      <c r="E759" s="57" t="s">
        <v>4971</v>
      </c>
      <c r="F759" s="50">
        <v>747</v>
      </c>
      <c r="G759" s="1861"/>
      <c r="H759" s="1" t="s">
        <v>1275</v>
      </c>
      <c r="I759" s="10" t="s">
        <v>4972</v>
      </c>
      <c r="J759" s="13" t="s">
        <v>39</v>
      </c>
    </row>
    <row r="760" spans="1:26" ht="14.25" customHeight="1">
      <c r="A760" s="1"/>
      <c r="B760" s="1"/>
      <c r="C760" s="9">
        <v>44563</v>
      </c>
      <c r="D760" s="17" t="s">
        <v>4973</v>
      </c>
      <c r="E760" s="57" t="s">
        <v>2910</v>
      </c>
      <c r="F760" s="50">
        <v>748</v>
      </c>
      <c r="G760" s="1861"/>
      <c r="H760" s="1" t="s">
        <v>2911</v>
      </c>
      <c r="I760" s="1689" t="s">
        <v>4974</v>
      </c>
      <c r="J760" s="13" t="s">
        <v>39</v>
      </c>
    </row>
    <row r="761" spans="1:26" ht="14.25" customHeight="1">
      <c r="A761" s="1"/>
      <c r="B761" s="1"/>
      <c r="C761" s="9">
        <v>44564</v>
      </c>
      <c r="D761" s="17" t="s">
        <v>4975</v>
      </c>
      <c r="E761" s="57" t="s">
        <v>4976</v>
      </c>
      <c r="F761" s="50">
        <v>749</v>
      </c>
      <c r="G761" s="1861"/>
      <c r="H761" s="1" t="s">
        <v>1275</v>
      </c>
      <c r="I761" s="10" t="s">
        <v>4977</v>
      </c>
      <c r="J761" s="13" t="s">
        <v>100</v>
      </c>
      <c r="K761" s="57" t="s">
        <v>4978</v>
      </c>
    </row>
    <row r="762" spans="1:26" ht="14.25" customHeight="1">
      <c r="A762" s="1"/>
      <c r="B762" s="1"/>
      <c r="C762" s="9">
        <v>44564</v>
      </c>
      <c r="D762" s="17" t="s">
        <v>2855</v>
      </c>
      <c r="E762" s="57" t="s">
        <v>2856</v>
      </c>
      <c r="F762" s="50">
        <v>750</v>
      </c>
      <c r="G762" s="1861"/>
      <c r="H762" s="1" t="s">
        <v>2071</v>
      </c>
      <c r="I762" s="10" t="s">
        <v>4979</v>
      </c>
      <c r="J762" s="13" t="s">
        <v>100</v>
      </c>
    </row>
    <row r="763" spans="1:26" ht="14.25" customHeight="1">
      <c r="A763" s="1"/>
      <c r="B763" s="1"/>
      <c r="C763" s="9">
        <v>44566</v>
      </c>
      <c r="D763" s="17" t="s">
        <v>4980</v>
      </c>
      <c r="E763" s="57" t="s">
        <v>4981</v>
      </c>
      <c r="F763" s="50">
        <v>751</v>
      </c>
      <c r="G763" s="1861"/>
      <c r="H763" s="1" t="s">
        <v>2071</v>
      </c>
      <c r="I763" s="10" t="s">
        <v>4982</v>
      </c>
      <c r="J763" s="13" t="s">
        <v>77</v>
      </c>
    </row>
    <row r="764" spans="1:26" ht="14.25" customHeight="1">
      <c r="A764" s="1"/>
      <c r="B764" s="1"/>
      <c r="C764" s="9">
        <v>35616</v>
      </c>
      <c r="D764" s="17" t="s">
        <v>4983</v>
      </c>
      <c r="E764" s="57" t="s">
        <v>2302</v>
      </c>
      <c r="F764" s="50" t="s">
        <v>4913</v>
      </c>
      <c r="G764" s="1861"/>
      <c r="H764" s="1" t="s">
        <v>2071</v>
      </c>
      <c r="I764" s="10" t="s">
        <v>4984</v>
      </c>
      <c r="J764" s="13" t="s">
        <v>4541</v>
      </c>
    </row>
    <row r="765" spans="1:26" ht="14.25" customHeight="1">
      <c r="A765" s="1"/>
      <c r="B765" s="1"/>
      <c r="C765" s="9">
        <v>44571</v>
      </c>
      <c r="D765" s="17" t="s">
        <v>4486</v>
      </c>
      <c r="E765" s="2" t="s">
        <v>4487</v>
      </c>
      <c r="F765" s="50">
        <v>753</v>
      </c>
      <c r="G765" s="1861"/>
      <c r="H765" s="1" t="s">
        <v>2067</v>
      </c>
      <c r="I765" s="10" t="s">
        <v>4985</v>
      </c>
      <c r="J765" s="13" t="s">
        <v>4986</v>
      </c>
    </row>
    <row r="766" spans="1:26" ht="14.25" customHeight="1">
      <c r="A766" s="13"/>
      <c r="B766" s="13"/>
      <c r="C766" s="24">
        <v>44572</v>
      </c>
      <c r="D766" s="16" t="s">
        <v>548</v>
      </c>
      <c r="E766" s="11" t="s">
        <v>549</v>
      </c>
      <c r="F766" s="64">
        <v>754</v>
      </c>
      <c r="G766" s="1864"/>
      <c r="H766" s="13"/>
      <c r="I766" s="28" t="s">
        <v>4987</v>
      </c>
      <c r="J766" s="13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"/>
      <c r="B767" s="1"/>
      <c r="C767" s="9">
        <v>44572</v>
      </c>
      <c r="D767" s="17" t="s">
        <v>545</v>
      </c>
      <c r="E767" s="57" t="s">
        <v>546</v>
      </c>
      <c r="F767" s="50">
        <v>755</v>
      </c>
      <c r="G767" s="1861"/>
      <c r="H767" s="1" t="s">
        <v>2018</v>
      </c>
      <c r="I767" s="10" t="s">
        <v>4988</v>
      </c>
      <c r="J767" s="13" t="s">
        <v>268</v>
      </c>
    </row>
    <row r="768" spans="1:26" ht="14.25" customHeight="1">
      <c r="A768" s="1"/>
      <c r="B768" s="1"/>
      <c r="C768" s="9">
        <v>44572</v>
      </c>
      <c r="D768" s="17" t="s">
        <v>548</v>
      </c>
      <c r="E768" s="2" t="s">
        <v>549</v>
      </c>
      <c r="F768" s="50">
        <v>756</v>
      </c>
      <c r="G768" s="1861"/>
      <c r="H768" s="1" t="s">
        <v>2018</v>
      </c>
      <c r="I768" s="10" t="s">
        <v>4989</v>
      </c>
      <c r="J768" s="13" t="s">
        <v>39</v>
      </c>
    </row>
    <row r="769" spans="1:10" ht="14.25" customHeight="1">
      <c r="A769" s="1"/>
      <c r="B769" s="1"/>
      <c r="C769" s="9">
        <v>44575</v>
      </c>
      <c r="D769" s="17" t="s">
        <v>551</v>
      </c>
      <c r="E769" s="57" t="s">
        <v>552</v>
      </c>
      <c r="F769" s="50">
        <v>757</v>
      </c>
      <c r="G769" s="1861"/>
      <c r="H769" s="1" t="s">
        <v>4990</v>
      </c>
      <c r="I769" s="10" t="s">
        <v>4991</v>
      </c>
      <c r="J769" s="13" t="s">
        <v>39</v>
      </c>
    </row>
    <row r="770" spans="1:10" ht="14.25" customHeight="1">
      <c r="A770" s="1"/>
      <c r="B770" s="1"/>
      <c r="C770" s="1"/>
      <c r="D770" s="17"/>
      <c r="E770" s="57" t="s">
        <v>2302</v>
      </c>
      <c r="F770" s="50">
        <v>758</v>
      </c>
      <c r="G770" s="1861"/>
      <c r="H770" s="1" t="s">
        <v>2987</v>
      </c>
      <c r="I770" s="57" t="s">
        <v>4992</v>
      </c>
      <c r="J770" s="13" t="s">
        <v>77</v>
      </c>
    </row>
    <row r="771" spans="1:10" ht="14.25" customHeight="1">
      <c r="A771" s="1"/>
      <c r="B771" s="1"/>
      <c r="C771" s="9">
        <v>44578</v>
      </c>
      <c r="D771" s="17" t="s">
        <v>4993</v>
      </c>
      <c r="E771" s="57" t="s">
        <v>4254</v>
      </c>
      <c r="F771" s="50">
        <v>759</v>
      </c>
      <c r="G771" s="1861"/>
      <c r="H771" s="1" t="s">
        <v>3056</v>
      </c>
      <c r="I771" s="10" t="s">
        <v>4994</v>
      </c>
      <c r="J771" s="13" t="s">
        <v>77</v>
      </c>
    </row>
    <row r="772" spans="1:10" ht="14.25" customHeight="1">
      <c r="A772" s="1"/>
      <c r="B772" s="1"/>
      <c r="C772" s="9">
        <v>44579</v>
      </c>
      <c r="D772" s="17" t="s">
        <v>4995</v>
      </c>
      <c r="E772" s="57" t="s">
        <v>4996</v>
      </c>
      <c r="F772" s="50">
        <v>760</v>
      </c>
      <c r="G772" s="1861"/>
      <c r="H772" s="1" t="s">
        <v>2506</v>
      </c>
      <c r="I772" s="10" t="s">
        <v>4997</v>
      </c>
      <c r="J772" s="13"/>
    </row>
    <row r="773" spans="1:10" ht="14.25" customHeight="1">
      <c r="A773" s="1"/>
      <c r="B773" s="1"/>
      <c r="C773" s="9">
        <v>44581</v>
      </c>
      <c r="D773" s="17" t="s">
        <v>4998</v>
      </c>
      <c r="E773" s="57" t="s">
        <v>1580</v>
      </c>
      <c r="F773" s="50">
        <v>761</v>
      </c>
      <c r="G773" s="1861"/>
      <c r="H773" s="1" t="s">
        <v>1275</v>
      </c>
      <c r="I773" s="10" t="s">
        <v>4999</v>
      </c>
      <c r="J773" s="13" t="s">
        <v>39</v>
      </c>
    </row>
    <row r="774" spans="1:10" ht="14.25" customHeight="1">
      <c r="A774" s="1"/>
      <c r="B774" s="1"/>
      <c r="C774" s="9">
        <v>44585</v>
      </c>
      <c r="D774" s="17" t="s">
        <v>5000</v>
      </c>
      <c r="E774" s="57" t="s">
        <v>5001</v>
      </c>
      <c r="F774" s="50">
        <v>762</v>
      </c>
      <c r="G774" s="1861"/>
      <c r="H774" s="1" t="s">
        <v>2047</v>
      </c>
      <c r="I774" s="10" t="s">
        <v>5002</v>
      </c>
      <c r="J774" s="13" t="s">
        <v>39</v>
      </c>
    </row>
    <row r="775" spans="1:10" ht="14.25" customHeight="1">
      <c r="A775" s="1"/>
      <c r="B775" s="1"/>
      <c r="C775" s="1"/>
      <c r="D775" s="17" t="s">
        <v>5003</v>
      </c>
      <c r="E775" s="57" t="s">
        <v>5004</v>
      </c>
      <c r="F775" s="50">
        <v>763</v>
      </c>
      <c r="G775" s="1861"/>
      <c r="H775" s="1" t="s">
        <v>1275</v>
      </c>
      <c r="I775" s="10" t="s">
        <v>5005</v>
      </c>
      <c r="J775" s="13" t="s">
        <v>39</v>
      </c>
    </row>
    <row r="776" spans="1:10" ht="14.25" customHeight="1">
      <c r="A776" s="1"/>
      <c r="B776" s="1"/>
      <c r="C776" s="1"/>
      <c r="D776" s="17" t="s">
        <v>5003</v>
      </c>
      <c r="E776" s="57" t="s">
        <v>5006</v>
      </c>
      <c r="F776" s="50">
        <v>764</v>
      </c>
      <c r="G776" s="1861"/>
      <c r="H776" s="1"/>
      <c r="I776" s="10" t="s">
        <v>5007</v>
      </c>
      <c r="J776" s="13" t="s">
        <v>39</v>
      </c>
    </row>
    <row r="777" spans="1:10" ht="14.25" customHeight="1">
      <c r="A777" s="1"/>
      <c r="B777" s="1"/>
      <c r="C777" s="9">
        <v>44588</v>
      </c>
      <c r="D777" s="17" t="s">
        <v>5008</v>
      </c>
      <c r="E777" s="49" t="s">
        <v>5009</v>
      </c>
      <c r="F777" s="50">
        <v>765</v>
      </c>
      <c r="G777" s="1861"/>
      <c r="H777" s="1" t="s">
        <v>5010</v>
      </c>
      <c r="I777" s="10" t="s">
        <v>5011</v>
      </c>
      <c r="J777" s="13" t="s">
        <v>39</v>
      </c>
    </row>
    <row r="778" spans="1:10" ht="14.25" customHeight="1">
      <c r="A778" s="1"/>
      <c r="B778" s="1"/>
      <c r="C778" s="9">
        <v>44588</v>
      </c>
      <c r="D778" s="17" t="s">
        <v>5012</v>
      </c>
      <c r="E778" s="57" t="s">
        <v>5013</v>
      </c>
      <c r="F778" s="50">
        <v>766</v>
      </c>
      <c r="G778" s="1861"/>
      <c r="H778" s="1" t="s">
        <v>2071</v>
      </c>
      <c r="I778" s="10" t="s">
        <v>5014</v>
      </c>
      <c r="J778" s="24">
        <v>44898</v>
      </c>
    </row>
    <row r="779" spans="1:10" ht="14.25" customHeight="1">
      <c r="A779" s="1"/>
      <c r="B779" s="1"/>
      <c r="C779" s="9">
        <v>44594</v>
      </c>
      <c r="D779" s="17" t="s">
        <v>5015</v>
      </c>
      <c r="E779" s="57" t="s">
        <v>5016</v>
      </c>
      <c r="F779" s="50">
        <v>767</v>
      </c>
      <c r="G779" s="1861"/>
      <c r="H779" s="1" t="s">
        <v>1275</v>
      </c>
      <c r="I779" s="10" t="s">
        <v>5017</v>
      </c>
      <c r="J779" s="13" t="s">
        <v>77</v>
      </c>
    </row>
    <row r="780" spans="1:10" ht="14.25" customHeight="1">
      <c r="A780" s="1"/>
      <c r="B780" s="1"/>
      <c r="C780" s="9">
        <v>44593</v>
      </c>
      <c r="D780" s="17" t="s">
        <v>2994</v>
      </c>
      <c r="E780" s="57" t="s">
        <v>2995</v>
      </c>
      <c r="F780" s="50">
        <v>768</v>
      </c>
      <c r="G780" s="1861"/>
      <c r="H780" s="1" t="s">
        <v>1311</v>
      </c>
      <c r="I780" s="10" t="s">
        <v>5018</v>
      </c>
      <c r="J780" s="13" t="s">
        <v>5019</v>
      </c>
    </row>
    <row r="781" spans="1:10" ht="14.25" customHeight="1">
      <c r="A781" s="1"/>
      <c r="B781" s="1"/>
      <c r="C781" s="9">
        <v>44593</v>
      </c>
      <c r="D781" s="17" t="s">
        <v>2994</v>
      </c>
      <c r="E781" s="57" t="s">
        <v>2998</v>
      </c>
      <c r="F781" s="50">
        <v>769</v>
      </c>
      <c r="G781" s="1861"/>
      <c r="H781" s="1" t="s">
        <v>1311</v>
      </c>
      <c r="I781" s="10" t="s">
        <v>5020</v>
      </c>
      <c r="J781" s="13" t="s">
        <v>5019</v>
      </c>
    </row>
    <row r="782" spans="1:10" ht="14.25" customHeight="1">
      <c r="A782" s="1"/>
      <c r="B782" s="1"/>
      <c r="C782" s="9">
        <v>44596</v>
      </c>
      <c r="D782" s="17" t="s">
        <v>5021</v>
      </c>
      <c r="E782" s="57" t="s">
        <v>5022</v>
      </c>
      <c r="F782" s="50">
        <v>770</v>
      </c>
      <c r="G782" s="1861"/>
      <c r="H782" s="1" t="s">
        <v>2067</v>
      </c>
      <c r="I782" s="10" t="s">
        <v>5023</v>
      </c>
      <c r="J782" s="13" t="s">
        <v>77</v>
      </c>
    </row>
    <row r="783" spans="1:10" ht="14.25" customHeight="1">
      <c r="A783" s="1"/>
      <c r="B783" s="1"/>
      <c r="C783" s="9">
        <v>44595</v>
      </c>
      <c r="D783" s="17" t="s">
        <v>558</v>
      </c>
      <c r="E783" s="57" t="s">
        <v>559</v>
      </c>
      <c r="F783" s="50">
        <v>771</v>
      </c>
      <c r="G783" s="1861"/>
      <c r="H783" s="1" t="s">
        <v>4799</v>
      </c>
      <c r="I783" s="10" t="s">
        <v>5024</v>
      </c>
      <c r="J783" s="13" t="s">
        <v>4630</v>
      </c>
    </row>
    <row r="784" spans="1:10" ht="14.25" customHeight="1">
      <c r="A784" s="1"/>
      <c r="B784" s="1"/>
      <c r="C784" s="9">
        <v>44596</v>
      </c>
      <c r="D784" s="17" t="s">
        <v>558</v>
      </c>
      <c r="E784" s="57" t="s">
        <v>561</v>
      </c>
      <c r="F784" s="50">
        <v>772</v>
      </c>
      <c r="G784" s="1861"/>
      <c r="H784" s="1" t="s">
        <v>4799</v>
      </c>
      <c r="I784" s="10" t="s">
        <v>5025</v>
      </c>
      <c r="J784" s="13" t="s">
        <v>4630</v>
      </c>
    </row>
    <row r="785" spans="1:11" ht="14.25" customHeight="1">
      <c r="A785" s="1"/>
      <c r="B785" s="1"/>
      <c r="C785" s="9">
        <v>44596</v>
      </c>
      <c r="D785" s="17" t="s">
        <v>558</v>
      </c>
      <c r="E785" s="57" t="s">
        <v>563</v>
      </c>
      <c r="F785" s="50">
        <v>773</v>
      </c>
      <c r="G785" s="1861"/>
      <c r="H785" s="1" t="s">
        <v>4799</v>
      </c>
      <c r="I785" s="10" t="s">
        <v>5026</v>
      </c>
      <c r="J785" s="13" t="s">
        <v>4630</v>
      </c>
    </row>
    <row r="786" spans="1:11" ht="14.25" customHeight="1">
      <c r="A786" s="1"/>
      <c r="B786" s="1"/>
      <c r="C786" s="9">
        <v>44595</v>
      </c>
      <c r="D786" s="17" t="s">
        <v>5027</v>
      </c>
      <c r="E786" s="57" t="s">
        <v>5028</v>
      </c>
      <c r="F786" s="50">
        <v>774</v>
      </c>
      <c r="G786" s="1861"/>
      <c r="H786" s="1" t="s">
        <v>3026</v>
      </c>
      <c r="I786" s="10" t="s">
        <v>5029</v>
      </c>
      <c r="J786" s="13" t="s">
        <v>3759</v>
      </c>
    </row>
    <row r="787" spans="1:11" ht="14.25" customHeight="1">
      <c r="A787" s="1"/>
      <c r="B787" s="1"/>
      <c r="C787" s="9">
        <v>44597</v>
      </c>
      <c r="D787" s="17" t="s">
        <v>3002</v>
      </c>
      <c r="E787" s="57" t="s">
        <v>616</v>
      </c>
      <c r="F787" s="50">
        <v>775</v>
      </c>
      <c r="G787" s="1861"/>
      <c r="H787" s="1" t="s">
        <v>2071</v>
      </c>
      <c r="I787" s="10" t="s">
        <v>5030</v>
      </c>
      <c r="J787" s="13" t="s">
        <v>77</v>
      </c>
    </row>
    <row r="788" spans="1:11" ht="14.25" customHeight="1">
      <c r="A788" s="1"/>
      <c r="B788" s="1"/>
      <c r="C788" s="1"/>
      <c r="D788" s="17" t="s">
        <v>5031</v>
      </c>
      <c r="E788" s="57" t="s">
        <v>5032</v>
      </c>
      <c r="F788" s="50">
        <v>776</v>
      </c>
      <c r="G788" s="1861"/>
      <c r="H788" s="1" t="s">
        <v>1955</v>
      </c>
      <c r="I788" s="10" t="s">
        <v>5033</v>
      </c>
      <c r="J788" s="13" t="s">
        <v>4541</v>
      </c>
    </row>
    <row r="789" spans="1:11" ht="14.25" customHeight="1">
      <c r="A789" s="1"/>
      <c r="B789" s="1"/>
      <c r="C789" s="1"/>
      <c r="D789" s="17" t="s">
        <v>3015</v>
      </c>
      <c r="E789" s="57" t="s">
        <v>569</v>
      </c>
      <c r="F789" s="50">
        <v>777</v>
      </c>
      <c r="G789" s="1861"/>
      <c r="H789" s="1" t="s">
        <v>1825</v>
      </c>
      <c r="I789" s="10" t="s">
        <v>5034</v>
      </c>
      <c r="J789" s="13" t="s">
        <v>4630</v>
      </c>
    </row>
    <row r="790" spans="1:11" ht="14.25" customHeight="1">
      <c r="A790" s="1"/>
      <c r="B790" s="1"/>
      <c r="C790" s="9">
        <v>44611</v>
      </c>
      <c r="D790" s="17" t="s">
        <v>5035</v>
      </c>
      <c r="E790" s="57" t="s">
        <v>5036</v>
      </c>
      <c r="F790" s="50">
        <v>778</v>
      </c>
      <c r="G790" s="1861"/>
      <c r="H790" s="1" t="s">
        <v>2047</v>
      </c>
      <c r="I790" s="10" t="s">
        <v>5037</v>
      </c>
      <c r="J790" s="24">
        <v>44829</v>
      </c>
    </row>
    <row r="791" spans="1:11" ht="14.25" customHeight="1">
      <c r="A791" s="1"/>
      <c r="B791" s="1"/>
      <c r="C791" s="1"/>
      <c r="D791" s="17" t="s">
        <v>3015</v>
      </c>
      <c r="E791" s="289" t="s">
        <v>6483</v>
      </c>
      <c r="F791" s="50">
        <v>779</v>
      </c>
      <c r="G791" s="1861"/>
      <c r="H791" s="1" t="s">
        <v>5038</v>
      </c>
      <c r="I791" s="10" t="s">
        <v>5039</v>
      </c>
      <c r="J791" s="13" t="s">
        <v>5040</v>
      </c>
    </row>
    <row r="792" spans="1:11" ht="14.25" customHeight="1">
      <c r="A792" s="1"/>
      <c r="B792" s="1"/>
      <c r="C792" s="9">
        <v>44610</v>
      </c>
      <c r="D792" s="17" t="s">
        <v>5041</v>
      </c>
      <c r="E792" s="57" t="s">
        <v>546</v>
      </c>
      <c r="F792" s="50">
        <v>780</v>
      </c>
      <c r="G792" s="1861"/>
      <c r="H792" s="1" t="s">
        <v>2067</v>
      </c>
      <c r="I792" s="10" t="s">
        <v>5857</v>
      </c>
      <c r="J792" s="13" t="s">
        <v>4630</v>
      </c>
      <c r="K792" t="s">
        <v>5847</v>
      </c>
    </row>
    <row r="793" spans="1:11" ht="14.25" customHeight="1">
      <c r="A793" s="1"/>
      <c r="B793" s="1"/>
      <c r="C793" s="9">
        <v>44610</v>
      </c>
      <c r="D793" s="17" t="s">
        <v>5042</v>
      </c>
      <c r="E793" s="57" t="s">
        <v>5043</v>
      </c>
      <c r="F793" s="50">
        <v>781</v>
      </c>
      <c r="G793" s="1861"/>
      <c r="H793" s="1" t="s">
        <v>5044</v>
      </c>
      <c r="I793" s="10" t="s">
        <v>5045</v>
      </c>
      <c r="J793" s="13" t="s">
        <v>4630</v>
      </c>
    </row>
    <row r="794" spans="1:11" ht="14.25" customHeight="1">
      <c r="A794" s="1"/>
      <c r="B794" s="1"/>
      <c r="C794" s="1"/>
      <c r="D794" s="17" t="s">
        <v>209</v>
      </c>
      <c r="E794" s="2" t="s">
        <v>5046</v>
      </c>
      <c r="F794" s="50">
        <v>489</v>
      </c>
      <c r="G794" s="1861"/>
      <c r="H794" s="1" t="s">
        <v>1275</v>
      </c>
      <c r="I794" s="10" t="s">
        <v>5047</v>
      </c>
      <c r="J794" s="13" t="s">
        <v>77</v>
      </c>
    </row>
    <row r="795" spans="1:11" ht="14.25" customHeight="1">
      <c r="A795" s="1"/>
      <c r="B795" s="1"/>
      <c r="C795" s="9">
        <v>44614</v>
      </c>
      <c r="D795" s="17" t="s">
        <v>5048</v>
      </c>
      <c r="E795" s="105" t="s">
        <v>5789</v>
      </c>
      <c r="F795" s="50">
        <v>782</v>
      </c>
      <c r="G795" s="1861"/>
      <c r="H795" s="1" t="s">
        <v>1955</v>
      </c>
      <c r="I795" s="29" t="s">
        <v>5049</v>
      </c>
      <c r="J795" s="13" t="s">
        <v>4630</v>
      </c>
    </row>
    <row r="796" spans="1:11" ht="14.25" customHeight="1">
      <c r="A796" s="1"/>
      <c r="B796" s="1"/>
      <c r="C796" s="9">
        <v>44617</v>
      </c>
      <c r="D796" s="17" t="s">
        <v>4566</v>
      </c>
      <c r="E796" s="57" t="s">
        <v>4567</v>
      </c>
      <c r="F796" s="50">
        <v>783</v>
      </c>
      <c r="G796" s="1861"/>
      <c r="H796" s="1" t="s">
        <v>1275</v>
      </c>
      <c r="I796" s="10" t="s">
        <v>5050</v>
      </c>
      <c r="J796" s="13" t="s">
        <v>4630</v>
      </c>
    </row>
    <row r="797" spans="1:11" ht="14.25" customHeight="1">
      <c r="A797" s="1"/>
      <c r="B797" s="1"/>
      <c r="C797" s="9">
        <v>44619</v>
      </c>
      <c r="D797" s="17" t="s">
        <v>5051</v>
      </c>
      <c r="E797" s="2" t="s">
        <v>1122</v>
      </c>
      <c r="F797" s="50">
        <v>784</v>
      </c>
      <c r="G797" s="1861"/>
      <c r="H797" s="1" t="s">
        <v>1275</v>
      </c>
      <c r="I797" s="10" t="s">
        <v>5052</v>
      </c>
      <c r="J797" s="13" t="s">
        <v>4630</v>
      </c>
    </row>
    <row r="798" spans="1:11" ht="14.25" customHeight="1">
      <c r="A798" s="1"/>
      <c r="B798" s="1"/>
      <c r="C798" s="9">
        <v>44620</v>
      </c>
      <c r="D798" s="17" t="s">
        <v>5053</v>
      </c>
      <c r="E798" s="2" t="s">
        <v>5054</v>
      </c>
      <c r="F798" s="50">
        <v>785</v>
      </c>
      <c r="G798" s="1861"/>
      <c r="H798" s="1" t="s">
        <v>2067</v>
      </c>
      <c r="I798" s="10" t="s">
        <v>5055</v>
      </c>
      <c r="J798" s="13" t="s">
        <v>4630</v>
      </c>
    </row>
    <row r="799" spans="1:11" ht="14.25" customHeight="1">
      <c r="A799" s="1"/>
      <c r="B799" s="1"/>
      <c r="C799" s="9">
        <v>44620</v>
      </c>
      <c r="D799" s="17" t="s">
        <v>5056</v>
      </c>
      <c r="E799" s="2" t="s">
        <v>3087</v>
      </c>
      <c r="F799" s="50">
        <v>786</v>
      </c>
      <c r="G799" s="1861"/>
      <c r="H799" s="1" t="s">
        <v>2067</v>
      </c>
      <c r="I799" s="10" t="s">
        <v>5057</v>
      </c>
      <c r="J799" s="13" t="s">
        <v>4630</v>
      </c>
    </row>
    <row r="800" spans="1:11" ht="14.25" customHeight="1">
      <c r="A800" s="1"/>
      <c r="B800" s="1"/>
      <c r="C800" s="9">
        <v>44620</v>
      </c>
      <c r="D800" s="17" t="s">
        <v>5058</v>
      </c>
      <c r="E800" s="2" t="s">
        <v>5059</v>
      </c>
      <c r="F800" s="50">
        <v>787</v>
      </c>
      <c r="G800" s="1861"/>
      <c r="H800" s="1" t="s">
        <v>2071</v>
      </c>
      <c r="I800" s="10" t="s">
        <v>5060</v>
      </c>
      <c r="J800" s="13" t="s">
        <v>4630</v>
      </c>
    </row>
    <row r="801" spans="1:11" ht="14.25" customHeight="1">
      <c r="A801" s="1"/>
      <c r="B801" s="1"/>
      <c r="C801" s="9">
        <v>44624</v>
      </c>
      <c r="D801" s="17" t="s">
        <v>5061</v>
      </c>
      <c r="E801" s="2" t="s">
        <v>5637</v>
      </c>
      <c r="F801" s="50">
        <v>788</v>
      </c>
      <c r="G801" s="1861"/>
      <c r="H801" s="1" t="s">
        <v>1591</v>
      </c>
      <c r="I801" s="10" t="s">
        <v>5062</v>
      </c>
      <c r="J801" s="13" t="s">
        <v>4630</v>
      </c>
    </row>
    <row r="802" spans="1:11" ht="14.25" customHeight="1">
      <c r="A802" s="1"/>
      <c r="B802" s="1"/>
      <c r="C802" s="9">
        <v>44624</v>
      </c>
      <c r="D802" s="17" t="s">
        <v>5636</v>
      </c>
      <c r="E802" s="2" t="s">
        <v>5063</v>
      </c>
      <c r="F802" s="50">
        <v>789</v>
      </c>
      <c r="G802" s="1861"/>
      <c r="H802" s="1" t="s">
        <v>1591</v>
      </c>
      <c r="I802" s="10" t="s">
        <v>5064</v>
      </c>
      <c r="J802" s="13" t="s">
        <v>4630</v>
      </c>
    </row>
    <row r="803" spans="1:11" ht="14.25" customHeight="1">
      <c r="A803" s="1"/>
      <c r="B803" s="1"/>
      <c r="C803" s="9">
        <v>44627</v>
      </c>
      <c r="D803" s="17" t="s">
        <v>5065</v>
      </c>
      <c r="E803" s="2" t="s">
        <v>5066</v>
      </c>
      <c r="F803" s="50">
        <v>790</v>
      </c>
      <c r="G803" s="1861"/>
      <c r="H803" s="1" t="s">
        <v>1275</v>
      </c>
      <c r="I803" s="10" t="s">
        <v>5067</v>
      </c>
      <c r="J803" s="13" t="s">
        <v>4630</v>
      </c>
    </row>
    <row r="804" spans="1:11" ht="14.25" customHeight="1">
      <c r="A804" s="1"/>
      <c r="B804" s="1"/>
      <c r="C804" s="9">
        <v>44627</v>
      </c>
      <c r="D804" s="17" t="s">
        <v>5068</v>
      </c>
      <c r="E804" s="2" t="s">
        <v>5069</v>
      </c>
      <c r="F804" s="50">
        <v>791</v>
      </c>
      <c r="G804" s="1861"/>
      <c r="H804" s="1" t="s">
        <v>418</v>
      </c>
      <c r="I804" s="10" t="s">
        <v>5070</v>
      </c>
      <c r="J804" s="13" t="s">
        <v>4630</v>
      </c>
    </row>
    <row r="805" spans="1:11" ht="14.25" customHeight="1">
      <c r="A805" s="1"/>
      <c r="B805" s="1"/>
      <c r="C805" s="9">
        <v>44627</v>
      </c>
      <c r="D805" s="17" t="s">
        <v>5071</v>
      </c>
      <c r="E805" s="2" t="s">
        <v>5072</v>
      </c>
      <c r="F805" s="50">
        <v>792</v>
      </c>
      <c r="G805" s="1861"/>
      <c r="H805" s="1" t="s">
        <v>418</v>
      </c>
      <c r="I805" s="10" t="s">
        <v>5073</v>
      </c>
      <c r="J805" s="13" t="s">
        <v>100</v>
      </c>
      <c r="K805" t="s">
        <v>5546</v>
      </c>
    </row>
    <row r="806" spans="1:11" ht="14.25" customHeight="1">
      <c r="A806" s="1"/>
      <c r="B806" s="1"/>
      <c r="C806" s="9">
        <v>44628</v>
      </c>
      <c r="D806" s="70">
        <v>9113703448</v>
      </c>
      <c r="E806" s="57" t="s">
        <v>5074</v>
      </c>
      <c r="F806" s="50"/>
      <c r="G806" s="1861"/>
      <c r="H806" s="1" t="s">
        <v>5075</v>
      </c>
      <c r="I806" s="57" t="s">
        <v>5076</v>
      </c>
      <c r="J806" s="13" t="s">
        <v>528</v>
      </c>
    </row>
    <row r="807" spans="1:11" ht="14.25" customHeight="1">
      <c r="A807" s="1"/>
      <c r="B807" s="1"/>
      <c r="C807" s="9">
        <v>44628</v>
      </c>
      <c r="D807" s="70">
        <v>9470154622</v>
      </c>
      <c r="E807" s="57" t="s">
        <v>5077</v>
      </c>
      <c r="F807" s="50"/>
      <c r="G807" s="1861"/>
      <c r="H807" s="1" t="s">
        <v>5075</v>
      </c>
      <c r="I807" s="57" t="s">
        <v>5078</v>
      </c>
      <c r="J807" s="13" t="s">
        <v>528</v>
      </c>
    </row>
    <row r="808" spans="1:11" ht="14.25" customHeight="1">
      <c r="A808" s="1"/>
      <c r="B808" s="1"/>
      <c r="C808" s="9">
        <v>44630</v>
      </c>
      <c r="D808" s="70">
        <v>6200178524</v>
      </c>
      <c r="E808" s="57" t="s">
        <v>5079</v>
      </c>
      <c r="F808" s="50"/>
      <c r="G808" s="1861"/>
      <c r="H808" s="1" t="s">
        <v>2018</v>
      </c>
      <c r="I808" s="57" t="s">
        <v>5080</v>
      </c>
      <c r="J808" s="13" t="s">
        <v>528</v>
      </c>
    </row>
    <row r="809" spans="1:11" ht="14.25" customHeight="1">
      <c r="A809" s="1"/>
      <c r="B809" s="1"/>
      <c r="C809" s="9">
        <v>44630</v>
      </c>
      <c r="D809" s="70">
        <v>8757642206</v>
      </c>
      <c r="E809" s="57" t="s">
        <v>5072</v>
      </c>
      <c r="F809" s="50"/>
      <c r="G809" s="1861"/>
      <c r="H809" s="1" t="s">
        <v>418</v>
      </c>
      <c r="I809" s="57" t="s">
        <v>5081</v>
      </c>
      <c r="J809" s="13" t="s">
        <v>528</v>
      </c>
    </row>
    <row r="810" spans="1:11" ht="14.25" customHeight="1">
      <c r="A810" s="1"/>
      <c r="B810" s="1"/>
      <c r="C810" s="1"/>
      <c r="D810" s="17"/>
      <c r="F810" s="50"/>
      <c r="G810" s="1861"/>
      <c r="H810" s="1"/>
      <c r="J810" s="13"/>
    </row>
    <row r="811" spans="1:11" ht="14.25" customHeight="1">
      <c r="A811" s="1"/>
      <c r="B811" s="1"/>
      <c r="C811" s="9">
        <v>44636</v>
      </c>
      <c r="D811" s="17" t="s">
        <v>1170</v>
      </c>
      <c r="E811" s="57" t="s">
        <v>4959</v>
      </c>
      <c r="F811" s="50">
        <v>793</v>
      </c>
      <c r="G811" s="1861"/>
      <c r="H811" s="1" t="s">
        <v>1275</v>
      </c>
      <c r="I811" s="10" t="s">
        <v>5082</v>
      </c>
      <c r="J811" s="13" t="s">
        <v>77</v>
      </c>
    </row>
    <row r="812" spans="1:11" ht="14.25" customHeight="1">
      <c r="A812" s="1"/>
      <c r="B812" s="1"/>
      <c r="C812" s="9">
        <v>44634</v>
      </c>
      <c r="D812" s="17" t="s">
        <v>5083</v>
      </c>
      <c r="E812" s="57" t="s">
        <v>5084</v>
      </c>
      <c r="F812" s="50">
        <v>794</v>
      </c>
      <c r="G812" s="1861"/>
      <c r="H812" s="1" t="s">
        <v>5085</v>
      </c>
      <c r="I812" s="10" t="s">
        <v>5086</v>
      </c>
      <c r="J812" s="13" t="s">
        <v>2562</v>
      </c>
    </row>
    <row r="813" spans="1:11" ht="14.25" customHeight="1">
      <c r="A813" s="1"/>
      <c r="B813" s="1"/>
      <c r="C813" s="1" t="s">
        <v>3052</v>
      </c>
      <c r="D813" s="70">
        <v>9102977767</v>
      </c>
      <c r="E813" s="57" t="s">
        <v>5087</v>
      </c>
      <c r="F813" s="50">
        <v>795</v>
      </c>
      <c r="G813" s="1861"/>
      <c r="H813" s="1" t="s">
        <v>2071</v>
      </c>
      <c r="I813" s="664" t="s">
        <v>5088</v>
      </c>
      <c r="J813" s="13" t="s">
        <v>528</v>
      </c>
    </row>
    <row r="814" spans="1:11" ht="14.25" customHeight="1">
      <c r="A814" s="1"/>
      <c r="B814" s="1"/>
      <c r="C814" s="1" t="s">
        <v>3052</v>
      </c>
      <c r="D814" s="17" t="s">
        <v>5089</v>
      </c>
      <c r="E814" s="57" t="s">
        <v>5090</v>
      </c>
      <c r="F814" s="50">
        <v>796</v>
      </c>
      <c r="G814" s="1861"/>
      <c r="H814" s="1" t="s">
        <v>2929</v>
      </c>
      <c r="I814" s="57" t="s">
        <v>5091</v>
      </c>
      <c r="J814" s="13" t="s">
        <v>77</v>
      </c>
    </row>
    <row r="815" spans="1:11" ht="14.25" customHeight="1">
      <c r="A815" s="1"/>
      <c r="B815" s="1"/>
      <c r="C815" s="1" t="s">
        <v>3052</v>
      </c>
      <c r="D815" s="17" t="s">
        <v>5092</v>
      </c>
      <c r="E815" s="57" t="s">
        <v>5093</v>
      </c>
      <c r="F815" s="50">
        <v>797</v>
      </c>
      <c r="G815" s="1861"/>
      <c r="H815" s="1" t="s">
        <v>5094</v>
      </c>
      <c r="I815" s="202" t="s">
        <v>5095</v>
      </c>
      <c r="J815" s="13" t="s">
        <v>528</v>
      </c>
    </row>
    <row r="816" spans="1:11" ht="14.25" customHeight="1">
      <c r="A816" s="1"/>
      <c r="B816" s="1"/>
      <c r="C816" s="1" t="s">
        <v>3052</v>
      </c>
      <c r="D816" s="17" t="s">
        <v>5096</v>
      </c>
      <c r="E816" s="57" t="s">
        <v>5097</v>
      </c>
      <c r="F816" s="50">
        <v>798</v>
      </c>
      <c r="G816" s="1861"/>
      <c r="H816" s="1" t="s">
        <v>5098</v>
      </c>
      <c r="I816" s="57" t="s">
        <v>5099</v>
      </c>
      <c r="J816" s="24">
        <v>44671</v>
      </c>
    </row>
    <row r="817" spans="1:10" ht="14.25" customHeight="1">
      <c r="A817" s="1"/>
      <c r="B817" s="1"/>
      <c r="C817" s="1" t="s">
        <v>3052</v>
      </c>
      <c r="D817" s="17" t="s">
        <v>5100</v>
      </c>
      <c r="E817" s="57" t="s">
        <v>5101</v>
      </c>
      <c r="F817" s="50">
        <v>799</v>
      </c>
      <c r="G817" s="1861"/>
      <c r="H817" s="1" t="s">
        <v>2783</v>
      </c>
      <c r="I817" s="57" t="s">
        <v>5102</v>
      </c>
      <c r="J817" s="24">
        <v>44676</v>
      </c>
    </row>
    <row r="818" spans="1:10" ht="14.25" customHeight="1">
      <c r="A818" s="1"/>
      <c r="B818" s="1"/>
      <c r="C818" s="1" t="s">
        <v>3052</v>
      </c>
      <c r="D818" s="17" t="s">
        <v>5103</v>
      </c>
      <c r="E818" s="57" t="s">
        <v>5104</v>
      </c>
      <c r="F818" s="50">
        <v>800</v>
      </c>
      <c r="G818" s="1861"/>
      <c r="H818" s="1" t="s">
        <v>1955</v>
      </c>
      <c r="I818" s="57" t="s">
        <v>5105</v>
      </c>
      <c r="J818" s="13" t="s">
        <v>77</v>
      </c>
    </row>
    <row r="819" spans="1:10" ht="14.25" customHeight="1">
      <c r="A819" s="1"/>
      <c r="B819" s="1"/>
      <c r="C819" s="1" t="s">
        <v>3052</v>
      </c>
      <c r="D819" s="70">
        <v>9905380804</v>
      </c>
      <c r="E819" s="57" t="s">
        <v>5106</v>
      </c>
      <c r="F819" s="50">
        <v>801</v>
      </c>
      <c r="G819" s="1861"/>
      <c r="H819" s="1" t="s">
        <v>5107</v>
      </c>
      <c r="I819" s="57" t="s">
        <v>5108</v>
      </c>
      <c r="J819" s="13" t="s">
        <v>538</v>
      </c>
    </row>
    <row r="820" spans="1:10" ht="14.25" customHeight="1">
      <c r="A820" s="1"/>
      <c r="B820" s="1"/>
      <c r="C820" s="1" t="s">
        <v>3052</v>
      </c>
      <c r="D820" s="17" t="s">
        <v>5109</v>
      </c>
      <c r="E820" s="57" t="s">
        <v>5110</v>
      </c>
      <c r="F820" s="50">
        <v>802</v>
      </c>
      <c r="G820" s="1861"/>
      <c r="H820" s="1" t="s">
        <v>1268</v>
      </c>
      <c r="I820" s="57" t="s">
        <v>5111</v>
      </c>
      <c r="J820" s="13" t="s">
        <v>4541</v>
      </c>
    </row>
    <row r="821" spans="1:10" ht="14.25" customHeight="1">
      <c r="A821" s="1"/>
      <c r="B821" s="1"/>
      <c r="C821" s="1" t="s">
        <v>3055</v>
      </c>
      <c r="D821" s="17" t="s">
        <v>5112</v>
      </c>
      <c r="E821" s="57" t="s">
        <v>5113</v>
      </c>
      <c r="F821" s="50">
        <v>803</v>
      </c>
      <c r="G821" s="1861"/>
      <c r="H821" s="1" t="s">
        <v>2071</v>
      </c>
      <c r="I821" s="57" t="s">
        <v>5114</v>
      </c>
      <c r="J821" s="13" t="s">
        <v>4541</v>
      </c>
    </row>
    <row r="822" spans="1:10" ht="14.25" customHeight="1">
      <c r="A822" s="1"/>
      <c r="B822" s="1"/>
      <c r="C822" s="1" t="s">
        <v>3055</v>
      </c>
      <c r="D822" s="17" t="s">
        <v>5516</v>
      </c>
      <c r="E822" t="s">
        <v>5515</v>
      </c>
      <c r="F822" s="50">
        <v>804</v>
      </c>
      <c r="G822" s="1861"/>
      <c r="H822" s="1" t="s">
        <v>1275</v>
      </c>
      <c r="I822" s="83" t="s">
        <v>5517</v>
      </c>
      <c r="J822" s="13" t="s">
        <v>77</v>
      </c>
    </row>
    <row r="823" spans="1:10" ht="14.25" customHeight="1">
      <c r="A823" s="1"/>
      <c r="B823" s="1"/>
      <c r="C823" s="1" t="s">
        <v>3055</v>
      </c>
      <c r="D823" s="17" t="s">
        <v>5518</v>
      </c>
      <c r="E823" t="s">
        <v>5522</v>
      </c>
      <c r="F823" s="50">
        <v>805</v>
      </c>
      <c r="G823" s="1861" t="s">
        <v>5519</v>
      </c>
      <c r="H823" s="1" t="s">
        <v>2996</v>
      </c>
      <c r="I823" s="83" t="s">
        <v>5523</v>
      </c>
      <c r="J823" s="13" t="s">
        <v>77</v>
      </c>
    </row>
    <row r="824" spans="1:10" ht="14.25" customHeight="1">
      <c r="A824" s="1"/>
      <c r="B824" s="1"/>
      <c r="C824" s="1" t="s">
        <v>3055</v>
      </c>
      <c r="D824" s="101">
        <v>8797203215</v>
      </c>
      <c r="E824" t="s">
        <v>5520</v>
      </c>
      <c r="F824" s="50">
        <v>806</v>
      </c>
      <c r="G824" s="1861"/>
      <c r="H824" s="1" t="s">
        <v>1275</v>
      </c>
      <c r="I824" s="83" t="s">
        <v>5521</v>
      </c>
      <c r="J824" s="13" t="s">
        <v>4541</v>
      </c>
    </row>
    <row r="825" spans="1:10" ht="14.25" customHeight="1">
      <c r="A825" s="1"/>
      <c r="B825" s="1"/>
      <c r="C825" s="1" t="s">
        <v>3055</v>
      </c>
      <c r="D825" s="17" t="s">
        <v>5524</v>
      </c>
      <c r="E825" t="s">
        <v>5525</v>
      </c>
      <c r="F825" s="50">
        <v>807</v>
      </c>
      <c r="G825" s="1861" t="s">
        <v>5519</v>
      </c>
      <c r="H825" s="1" t="s">
        <v>2996</v>
      </c>
      <c r="I825" s="83" t="s">
        <v>5526</v>
      </c>
      <c r="J825" s="13" t="s">
        <v>77</v>
      </c>
    </row>
    <row r="826" spans="1:10" ht="14.25" customHeight="1">
      <c r="A826" s="1"/>
      <c r="B826" s="1"/>
      <c r="C826" s="9">
        <v>44642</v>
      </c>
      <c r="D826" s="17" t="s">
        <v>2994</v>
      </c>
      <c r="E826" s="57" t="s">
        <v>2995</v>
      </c>
      <c r="F826" s="50">
        <v>809</v>
      </c>
      <c r="G826" s="1861" t="s">
        <v>5519</v>
      </c>
      <c r="H826" s="1" t="s">
        <v>1311</v>
      </c>
      <c r="I826" s="83" t="s">
        <v>5530</v>
      </c>
      <c r="J826" s="13" t="s">
        <v>528</v>
      </c>
    </row>
    <row r="827" spans="1:10" ht="14.25" customHeight="1">
      <c r="A827" s="1"/>
      <c r="B827" s="1"/>
      <c r="C827" s="9">
        <v>44642</v>
      </c>
      <c r="D827" s="17" t="s">
        <v>2994</v>
      </c>
      <c r="E827" s="57" t="s">
        <v>2998</v>
      </c>
      <c r="F827" s="50">
        <v>810</v>
      </c>
      <c r="G827" s="1861" t="s">
        <v>5519</v>
      </c>
      <c r="H827" s="1" t="s">
        <v>1311</v>
      </c>
      <c r="I827" s="83" t="s">
        <v>5531</v>
      </c>
      <c r="J827" s="13" t="s">
        <v>528</v>
      </c>
    </row>
    <row r="828" spans="1:10" ht="14.25" customHeight="1">
      <c r="A828" s="1"/>
      <c r="B828" s="1"/>
      <c r="C828" s="9">
        <v>44643</v>
      </c>
      <c r="D828" s="17" t="s">
        <v>5533</v>
      </c>
      <c r="E828" t="s">
        <v>5532</v>
      </c>
      <c r="F828" s="50">
        <v>811</v>
      </c>
      <c r="G828" s="1861" t="s">
        <v>5535</v>
      </c>
      <c r="H828" s="50" t="s">
        <v>1275</v>
      </c>
      <c r="I828" s="83" t="s">
        <v>5534</v>
      </c>
      <c r="J828" s="13" t="s">
        <v>4541</v>
      </c>
    </row>
    <row r="829" spans="1:10" ht="14.25" customHeight="1">
      <c r="A829" s="1"/>
      <c r="B829" s="1"/>
      <c r="C829" s="9">
        <v>44643</v>
      </c>
      <c r="D829" s="17" t="s">
        <v>5536</v>
      </c>
      <c r="E829" t="s">
        <v>5537</v>
      </c>
      <c r="F829" s="50">
        <v>812</v>
      </c>
      <c r="G829" s="1861"/>
      <c r="H829" s="1" t="s">
        <v>5538</v>
      </c>
      <c r="I829" s="83" t="s">
        <v>5539</v>
      </c>
      <c r="J829" s="13" t="s">
        <v>77</v>
      </c>
    </row>
    <row r="830" spans="1:10" ht="14.25" customHeight="1">
      <c r="A830" s="1"/>
      <c r="B830" s="1"/>
      <c r="C830" s="9">
        <v>44643</v>
      </c>
      <c r="D830" s="17" t="s">
        <v>5541</v>
      </c>
      <c r="E830" t="s">
        <v>5540</v>
      </c>
      <c r="F830" s="50">
        <v>813</v>
      </c>
      <c r="G830" s="1861"/>
      <c r="H830" s="1" t="s">
        <v>1785</v>
      </c>
      <c r="I830" s="83" t="s">
        <v>5542</v>
      </c>
      <c r="J830" s="13" t="s">
        <v>77</v>
      </c>
    </row>
    <row r="831" spans="1:10" ht="14.25" customHeight="1">
      <c r="A831" s="1"/>
      <c r="B831" s="1"/>
      <c r="C831" s="9">
        <v>44645</v>
      </c>
      <c r="D831" s="17"/>
      <c r="E831" t="s">
        <v>5553</v>
      </c>
      <c r="F831" s="50">
        <v>814</v>
      </c>
      <c r="G831" s="1861"/>
      <c r="H831" s="1" t="s">
        <v>1785</v>
      </c>
      <c r="I831" s="83" t="s">
        <v>5554</v>
      </c>
      <c r="J831" s="13" t="s">
        <v>77</v>
      </c>
    </row>
    <row r="832" spans="1:10" ht="14.25" customHeight="1">
      <c r="A832" s="1"/>
      <c r="B832" s="1"/>
      <c r="C832" s="9">
        <v>44650</v>
      </c>
      <c r="D832" s="101">
        <v>8084180689</v>
      </c>
      <c r="E832" s="91" t="s">
        <v>5611</v>
      </c>
      <c r="F832" s="50">
        <v>815</v>
      </c>
      <c r="G832" s="1861"/>
      <c r="H832" s="89" t="s">
        <v>1275</v>
      </c>
      <c r="I832" s="92" t="s">
        <v>5612</v>
      </c>
      <c r="J832" s="13" t="s">
        <v>528</v>
      </c>
    </row>
    <row r="833" spans="1:12" ht="14.25" customHeight="1">
      <c r="A833" s="1"/>
      <c r="B833" s="1"/>
      <c r="C833" s="9">
        <v>44648</v>
      </c>
      <c r="D833" s="86" t="s">
        <v>5615</v>
      </c>
      <c r="E833" s="91" t="s">
        <v>5616</v>
      </c>
      <c r="F833" s="50">
        <v>816</v>
      </c>
      <c r="G833" s="1861"/>
      <c r="H833" s="89" t="s">
        <v>2783</v>
      </c>
      <c r="I833" s="92" t="s">
        <v>5617</v>
      </c>
      <c r="J833" s="13" t="s">
        <v>77</v>
      </c>
    </row>
    <row r="834" spans="1:12" ht="14.25" customHeight="1">
      <c r="A834" s="1"/>
      <c r="B834" s="1"/>
      <c r="C834" s="9">
        <v>44654</v>
      </c>
      <c r="D834" s="17" t="s">
        <v>5725</v>
      </c>
      <c r="E834" s="98" t="s">
        <v>5724</v>
      </c>
      <c r="F834" s="50">
        <v>817</v>
      </c>
      <c r="G834" s="1861"/>
      <c r="H834" s="1" t="s">
        <v>1275</v>
      </c>
      <c r="I834" s="83" t="s">
        <v>5726</v>
      </c>
      <c r="J834" s="13" t="s">
        <v>100</v>
      </c>
    </row>
    <row r="835" spans="1:12" ht="14.25" customHeight="1">
      <c r="A835" s="1"/>
      <c r="B835" s="1"/>
      <c r="C835" s="9">
        <v>44655</v>
      </c>
      <c r="D835" s="101">
        <v>6205266370</v>
      </c>
      <c r="E835" s="100" t="s">
        <v>3973</v>
      </c>
      <c r="F835" s="50">
        <v>818</v>
      </c>
      <c r="H835" s="1" t="s">
        <v>1892</v>
      </c>
      <c r="I835" s="99" t="s">
        <v>5734</v>
      </c>
      <c r="J835" s="13" t="s">
        <v>528</v>
      </c>
    </row>
    <row r="836" spans="1:12" ht="14.25" customHeight="1">
      <c r="A836" s="1"/>
      <c r="B836" s="1"/>
      <c r="C836" s="9">
        <v>44655</v>
      </c>
      <c r="D836" s="101">
        <v>9572923483</v>
      </c>
      <c r="E836" s="100" t="s">
        <v>5735</v>
      </c>
      <c r="F836" s="50">
        <v>819</v>
      </c>
      <c r="H836" s="1" t="s">
        <v>1892</v>
      </c>
      <c r="I836" s="99" t="s">
        <v>5736</v>
      </c>
      <c r="J836" s="13" t="s">
        <v>528</v>
      </c>
    </row>
    <row r="837" spans="1:12" ht="14.25" customHeight="1">
      <c r="A837" s="1"/>
      <c r="B837" s="1"/>
      <c r="C837" s="9">
        <v>44655</v>
      </c>
      <c r="D837" s="101">
        <v>9279030956</v>
      </c>
      <c r="E837" s="100" t="s">
        <v>5737</v>
      </c>
      <c r="F837" s="50">
        <v>820</v>
      </c>
      <c r="H837" s="1" t="s">
        <v>2783</v>
      </c>
      <c r="I837" s="99" t="s">
        <v>5738</v>
      </c>
      <c r="J837" s="13" t="s">
        <v>507</v>
      </c>
      <c r="L837" s="1"/>
    </row>
    <row r="838" spans="1:12" ht="14.25" customHeight="1">
      <c r="A838" s="1"/>
      <c r="B838" s="1"/>
      <c r="C838" s="9">
        <v>44655</v>
      </c>
      <c r="D838" s="17" t="s">
        <v>5739</v>
      </c>
      <c r="E838" s="100" t="s">
        <v>5740</v>
      </c>
      <c r="F838" s="50">
        <v>821</v>
      </c>
      <c r="G838" s="1861"/>
      <c r="H838" s="1" t="s">
        <v>2071</v>
      </c>
      <c r="I838" s="102" t="s">
        <v>5743</v>
      </c>
      <c r="J838" s="13" t="s">
        <v>528</v>
      </c>
    </row>
    <row r="839" spans="1:12" ht="14.25" customHeight="1">
      <c r="A839" s="1"/>
      <c r="B839" s="1"/>
      <c r="C839" s="9">
        <v>44656</v>
      </c>
      <c r="D839" s="17" t="s">
        <v>5774</v>
      </c>
      <c r="E839" s="104" t="s">
        <v>529</v>
      </c>
      <c r="F839" s="50">
        <v>822</v>
      </c>
      <c r="G839" s="1861"/>
      <c r="H839" s="1" t="s">
        <v>2546</v>
      </c>
      <c r="I839" s="103" t="s">
        <v>5775</v>
      </c>
      <c r="J839" s="13" t="s">
        <v>528</v>
      </c>
    </row>
    <row r="840" spans="1:12" ht="14.25" customHeight="1">
      <c r="A840" s="1"/>
      <c r="B840" s="1"/>
      <c r="C840" s="9">
        <v>44663</v>
      </c>
      <c r="D840" s="101">
        <v>8789393543</v>
      </c>
      <c r="E840" s="110" t="s">
        <v>5812</v>
      </c>
      <c r="F840" s="50">
        <v>823</v>
      </c>
      <c r="G840" s="1861"/>
      <c r="H840" s="1" t="s">
        <v>3026</v>
      </c>
      <c r="I840" s="108" t="s">
        <v>5813</v>
      </c>
      <c r="J840" s="13" t="s">
        <v>100</v>
      </c>
    </row>
    <row r="841" spans="1:12" ht="14.25" customHeight="1">
      <c r="A841" s="1"/>
      <c r="B841" s="1"/>
      <c r="C841" s="9">
        <v>44666</v>
      </c>
      <c r="D841" s="17" t="s">
        <v>5810</v>
      </c>
      <c r="E841" s="111" t="s">
        <v>5809</v>
      </c>
      <c r="F841" s="50">
        <v>824</v>
      </c>
      <c r="G841" s="1861"/>
      <c r="H841" s="1" t="s">
        <v>5815</v>
      </c>
      <c r="I841" s="108" t="s">
        <v>5814</v>
      </c>
      <c r="J841" s="13" t="s">
        <v>77</v>
      </c>
    </row>
    <row r="842" spans="1:12" ht="14.25" customHeight="1">
      <c r="A842" s="1"/>
      <c r="B842" s="1"/>
      <c r="C842" s="9">
        <v>44670</v>
      </c>
      <c r="D842" s="17" t="s">
        <v>5834</v>
      </c>
      <c r="E842" s="114" t="s">
        <v>5833</v>
      </c>
      <c r="F842" s="50"/>
      <c r="G842" s="1861"/>
      <c r="H842" s="1" t="s">
        <v>1627</v>
      </c>
      <c r="I842" t="s">
        <v>5832</v>
      </c>
      <c r="J842" s="13" t="s">
        <v>528</v>
      </c>
    </row>
    <row r="843" spans="1:12" ht="14.25" customHeight="1">
      <c r="A843" s="1"/>
      <c r="B843" s="1"/>
      <c r="C843" s="9">
        <v>44670</v>
      </c>
      <c r="D843" s="17" t="s">
        <v>5516</v>
      </c>
      <c r="E843" s="117" t="s">
        <v>5515</v>
      </c>
      <c r="F843" s="50">
        <v>825</v>
      </c>
      <c r="G843" s="1861"/>
      <c r="H843" s="1" t="s">
        <v>1275</v>
      </c>
      <c r="I843" s="116" t="s">
        <v>5835</v>
      </c>
      <c r="J843" s="13" t="s">
        <v>77</v>
      </c>
    </row>
    <row r="844" spans="1:12" ht="14.25" customHeight="1">
      <c r="A844" s="1"/>
      <c r="B844" s="1"/>
      <c r="C844" s="9">
        <v>44672</v>
      </c>
      <c r="D844" s="17" t="s">
        <v>5839</v>
      </c>
      <c r="E844" s="172" t="s">
        <v>5838</v>
      </c>
      <c r="F844" s="50">
        <v>826</v>
      </c>
      <c r="G844" s="1861"/>
      <c r="H844" s="1" t="s">
        <v>2047</v>
      </c>
      <c r="I844" s="118" t="s">
        <v>5840</v>
      </c>
      <c r="J844" s="13" t="s">
        <v>528</v>
      </c>
    </row>
    <row r="845" spans="1:12" ht="14.25" customHeight="1">
      <c r="A845" s="1"/>
      <c r="B845" s="1"/>
      <c r="C845" s="9">
        <v>44673</v>
      </c>
      <c r="D845" s="17" t="s">
        <v>5843</v>
      </c>
      <c r="E845" s="143" t="s">
        <v>5842</v>
      </c>
      <c r="F845" s="140">
        <v>827</v>
      </c>
      <c r="G845" s="1865"/>
      <c r="H845" s="141" t="s">
        <v>2047</v>
      </c>
      <c r="I845" s="142" t="s">
        <v>5844</v>
      </c>
      <c r="J845" s="13" t="s">
        <v>528</v>
      </c>
    </row>
    <row r="846" spans="1:12" ht="14.25" customHeight="1">
      <c r="A846" s="1"/>
      <c r="B846" s="1"/>
      <c r="C846" s="9">
        <v>44677</v>
      </c>
      <c r="D846" s="101">
        <v>9113451477</v>
      </c>
      <c r="E846" s="122" t="s">
        <v>5856</v>
      </c>
      <c r="F846" s="50">
        <v>828</v>
      </c>
      <c r="G846" s="1861"/>
      <c r="H846" s="1" t="s">
        <v>2099</v>
      </c>
      <c r="I846" s="83" t="s">
        <v>5845</v>
      </c>
      <c r="J846" s="13" t="s">
        <v>77</v>
      </c>
    </row>
    <row r="847" spans="1:12" ht="14.25" customHeight="1">
      <c r="A847" s="1"/>
      <c r="B847" s="1"/>
      <c r="C847" s="9">
        <v>44684</v>
      </c>
      <c r="D847" s="17" t="s">
        <v>5862</v>
      </c>
      <c r="E847" s="123" t="s">
        <v>5861</v>
      </c>
      <c r="F847" s="50">
        <v>829</v>
      </c>
      <c r="G847" s="1861"/>
      <c r="H847" s="1" t="s">
        <v>1955</v>
      </c>
      <c r="I847" s="118" t="s">
        <v>5863</v>
      </c>
      <c r="J847" s="13" t="s">
        <v>5910</v>
      </c>
    </row>
    <row r="848" spans="1:12" ht="14.25" customHeight="1">
      <c r="A848" s="1"/>
      <c r="B848" s="1"/>
      <c r="C848" s="1"/>
      <c r="D848" s="17" t="s">
        <v>5864</v>
      </c>
      <c r="E848" s="124" t="s">
        <v>392</v>
      </c>
      <c r="F848" s="50">
        <v>830</v>
      </c>
      <c r="G848" s="1861"/>
      <c r="H848" s="1"/>
      <c r="I848" s="118" t="s">
        <v>5867</v>
      </c>
      <c r="J848" s="13" t="s">
        <v>507</v>
      </c>
    </row>
    <row r="849" spans="1:10" ht="14.25" customHeight="1">
      <c r="A849" s="1"/>
      <c r="B849" s="1"/>
      <c r="C849" s="9">
        <v>44687</v>
      </c>
      <c r="D849" s="17" t="s">
        <v>5871</v>
      </c>
      <c r="E849" s="125" t="s">
        <v>5865</v>
      </c>
      <c r="F849" s="50">
        <v>831</v>
      </c>
      <c r="G849" s="1861"/>
      <c r="H849" s="1"/>
      <c r="I849" s="118" t="s">
        <v>5866</v>
      </c>
      <c r="J849" s="13" t="s">
        <v>528</v>
      </c>
    </row>
    <row r="850" spans="1:10" ht="14.25" customHeight="1">
      <c r="A850" s="1"/>
      <c r="B850" s="1"/>
      <c r="C850" s="9">
        <v>44687</v>
      </c>
      <c r="D850" s="17" t="s">
        <v>5870</v>
      </c>
      <c r="E850" s="126" t="s">
        <v>5868</v>
      </c>
      <c r="F850" s="50">
        <v>832</v>
      </c>
      <c r="G850" s="1861"/>
      <c r="H850" s="1" t="s">
        <v>5869</v>
      </c>
      <c r="I850" s="83" t="s">
        <v>6045</v>
      </c>
      <c r="J850" s="13" t="s">
        <v>528</v>
      </c>
    </row>
    <row r="851" spans="1:10" ht="14.25" customHeight="1">
      <c r="A851" s="1"/>
      <c r="B851" s="1"/>
      <c r="C851" s="9">
        <v>44689</v>
      </c>
      <c r="D851" s="17"/>
      <c r="E851" s="127" t="s">
        <v>5874</v>
      </c>
      <c r="F851" s="50"/>
      <c r="G851" s="1861"/>
      <c r="H851" s="1"/>
      <c r="I851" t="s">
        <v>5873</v>
      </c>
      <c r="J851" s="13" t="s">
        <v>507</v>
      </c>
    </row>
    <row r="852" spans="1:10" ht="14.25" customHeight="1">
      <c r="A852" s="1"/>
      <c r="B852" s="1"/>
      <c r="C852" s="9">
        <v>44689</v>
      </c>
      <c r="D852" s="1">
        <v>6299601171</v>
      </c>
      <c r="E852" s="128" t="s">
        <v>1580</v>
      </c>
      <c r="F852" s="50">
        <v>833</v>
      </c>
      <c r="G852" s="1861"/>
      <c r="H852" t="s">
        <v>2067</v>
      </c>
      <c r="I852" t="s">
        <v>5875</v>
      </c>
      <c r="J852" s="13" t="s">
        <v>528</v>
      </c>
    </row>
    <row r="853" spans="1:10" ht="14.25" customHeight="1">
      <c r="A853" s="1"/>
      <c r="B853" s="1"/>
      <c r="C853" s="9">
        <v>44689</v>
      </c>
      <c r="D853" s="101">
        <v>9031242400</v>
      </c>
      <c r="E853" s="128" t="s">
        <v>5876</v>
      </c>
      <c r="F853" s="50">
        <v>834</v>
      </c>
      <c r="G853" s="1861"/>
      <c r="H853" s="1" t="s">
        <v>5878</v>
      </c>
      <c r="I853" t="s">
        <v>5877</v>
      </c>
      <c r="J853" s="13" t="s">
        <v>77</v>
      </c>
    </row>
    <row r="854" spans="1:10" ht="14.25" customHeight="1">
      <c r="A854" s="1"/>
      <c r="B854" s="1"/>
      <c r="C854" s="9">
        <v>44689</v>
      </c>
      <c r="D854" s="17" t="s">
        <v>5880</v>
      </c>
      <c r="E854" s="129" t="s">
        <v>5879</v>
      </c>
      <c r="F854" s="50">
        <v>835</v>
      </c>
      <c r="G854" s="1861"/>
      <c r="H854" s="1"/>
      <c r="I854" t="s">
        <v>5883</v>
      </c>
      <c r="J854" s="13" t="s">
        <v>4541</v>
      </c>
    </row>
    <row r="855" spans="1:10" ht="14.25" customHeight="1">
      <c r="A855" s="1"/>
      <c r="B855" s="1"/>
      <c r="C855" s="9">
        <v>44689</v>
      </c>
      <c r="D855" s="17" t="s">
        <v>5881</v>
      </c>
      <c r="E855" s="129" t="s">
        <v>2692</v>
      </c>
      <c r="F855" s="50">
        <v>836</v>
      </c>
      <c r="G855" s="1861"/>
      <c r="H855" s="1" t="s">
        <v>5878</v>
      </c>
      <c r="I855" t="s">
        <v>5882</v>
      </c>
      <c r="J855" s="24">
        <v>45152</v>
      </c>
    </row>
    <row r="856" spans="1:10" ht="14.25" customHeight="1">
      <c r="A856" s="1"/>
      <c r="B856" s="1"/>
      <c r="C856" s="9">
        <v>44690</v>
      </c>
      <c r="D856" s="101">
        <v>9334549426</v>
      </c>
      <c r="E856" s="130" t="s">
        <v>5885</v>
      </c>
      <c r="F856" s="50">
        <v>837</v>
      </c>
      <c r="G856" s="1861"/>
      <c r="H856" s="1" t="s">
        <v>5887</v>
      </c>
      <c r="I856" t="s">
        <v>5886</v>
      </c>
      <c r="J856" s="13" t="s">
        <v>4541</v>
      </c>
    </row>
    <row r="857" spans="1:10" ht="14.25" customHeight="1">
      <c r="A857" s="1"/>
      <c r="B857" s="1"/>
      <c r="C857" s="9">
        <v>44691</v>
      </c>
      <c r="D857" s="17" t="s">
        <v>5892</v>
      </c>
      <c r="E857" s="132" t="s">
        <v>5891</v>
      </c>
      <c r="F857" s="50">
        <v>838</v>
      </c>
      <c r="G857" s="1861"/>
      <c r="H857" s="1" t="s">
        <v>5044</v>
      </c>
      <c r="I857" t="s">
        <v>5893</v>
      </c>
      <c r="J857" s="13" t="s">
        <v>77</v>
      </c>
    </row>
    <row r="858" spans="1:10" ht="14.25" customHeight="1">
      <c r="A858" s="1"/>
      <c r="B858" s="1"/>
      <c r="C858" s="9">
        <v>44697</v>
      </c>
      <c r="D858" s="17" t="s">
        <v>5909</v>
      </c>
      <c r="E858" s="133" t="s">
        <v>5907</v>
      </c>
      <c r="F858" s="50">
        <v>839</v>
      </c>
      <c r="G858" s="1861"/>
      <c r="H858" s="1" t="s">
        <v>5878</v>
      </c>
      <c r="I858" t="s">
        <v>5908</v>
      </c>
      <c r="J858" s="13" t="s">
        <v>528</v>
      </c>
    </row>
    <row r="859" spans="1:10" ht="14.25" customHeight="1">
      <c r="A859" s="1"/>
      <c r="B859" s="1"/>
      <c r="C859" s="9">
        <v>44701</v>
      </c>
      <c r="D859" s="17" t="s">
        <v>5920</v>
      </c>
      <c r="E859" s="136" t="s">
        <v>5915</v>
      </c>
      <c r="F859" s="50">
        <v>840</v>
      </c>
      <c r="G859" s="1861"/>
      <c r="H859" s="1" t="s">
        <v>2067</v>
      </c>
      <c r="I859" t="s">
        <v>5919</v>
      </c>
      <c r="J859" s="13" t="s">
        <v>4541</v>
      </c>
    </row>
    <row r="860" spans="1:10" ht="14.25" customHeight="1">
      <c r="A860" s="1"/>
      <c r="B860" s="1"/>
      <c r="C860" s="9">
        <v>44701</v>
      </c>
      <c r="D860" s="17" t="s">
        <v>5922</v>
      </c>
      <c r="E860" s="137" t="s">
        <v>5921</v>
      </c>
      <c r="F860" s="50">
        <v>841</v>
      </c>
      <c r="G860" s="1861"/>
      <c r="H860" s="1" t="s">
        <v>2067</v>
      </c>
      <c r="I860" t="s">
        <v>5923</v>
      </c>
      <c r="J860" s="13" t="s">
        <v>4541</v>
      </c>
    </row>
    <row r="861" spans="1:10" ht="14.25" customHeight="1">
      <c r="A861" s="1"/>
      <c r="B861" s="1"/>
      <c r="C861" s="9">
        <v>44703</v>
      </c>
      <c r="E861" s="138" t="s">
        <v>5929</v>
      </c>
      <c r="F861" s="50">
        <v>842</v>
      </c>
      <c r="G861" s="1861"/>
      <c r="H861" s="1" t="s">
        <v>2929</v>
      </c>
      <c r="I861" t="s">
        <v>5930</v>
      </c>
      <c r="J861" s="221" t="s">
        <v>5996</v>
      </c>
    </row>
    <row r="862" spans="1:10" ht="14.25" customHeight="1">
      <c r="A862" s="1"/>
      <c r="B862" s="1"/>
      <c r="C862" s="247">
        <v>44704</v>
      </c>
      <c r="D862" s="342" t="s">
        <v>5932</v>
      </c>
      <c r="E862" s="343" t="s">
        <v>5931</v>
      </c>
      <c r="F862" s="344">
        <v>843</v>
      </c>
      <c r="G862" s="1866"/>
      <c r="H862" s="345" t="s">
        <v>5538</v>
      </c>
      <c r="I862" s="343" t="s">
        <v>5949</v>
      </c>
      <c r="J862" s="346">
        <v>44904</v>
      </c>
    </row>
    <row r="863" spans="1:10" ht="14.25" customHeight="1">
      <c r="A863" s="1"/>
      <c r="B863" s="1"/>
      <c r="C863" s="9">
        <v>44705</v>
      </c>
      <c r="D863" s="17" t="s">
        <v>5935</v>
      </c>
      <c r="E863" s="148" t="s">
        <v>3110</v>
      </c>
      <c r="F863" s="50">
        <v>844</v>
      </c>
      <c r="G863" s="1861"/>
      <c r="H863" s="1" t="s">
        <v>1275</v>
      </c>
      <c r="I863" t="s">
        <v>5936</v>
      </c>
      <c r="J863" s="25" t="s">
        <v>5996</v>
      </c>
    </row>
    <row r="864" spans="1:10" ht="14.25" customHeight="1">
      <c r="A864" s="1"/>
      <c r="B864" s="1"/>
      <c r="C864" s="9">
        <v>44705</v>
      </c>
      <c r="D864" s="17" t="s">
        <v>5939</v>
      </c>
      <c r="E864" s="148" t="s">
        <v>5937</v>
      </c>
      <c r="F864" s="50">
        <v>845</v>
      </c>
      <c r="G864" s="1861" t="s">
        <v>3044</v>
      </c>
      <c r="H864" s="1" t="s">
        <v>2996</v>
      </c>
      <c r="I864" t="s">
        <v>5938</v>
      </c>
      <c r="J864" s="25" t="s">
        <v>5996</v>
      </c>
    </row>
    <row r="865" spans="1:11" ht="14.25" customHeight="1">
      <c r="A865" s="1"/>
      <c r="B865" s="1"/>
      <c r="C865" s="9">
        <v>44708</v>
      </c>
      <c r="D865" s="17" t="s">
        <v>5951</v>
      </c>
      <c r="E865" s="149" t="s">
        <v>5950</v>
      </c>
      <c r="F865" s="50">
        <v>846</v>
      </c>
      <c r="G865" s="1861"/>
      <c r="H865" s="1" t="s">
        <v>2067</v>
      </c>
      <c r="I865" t="s">
        <v>5952</v>
      </c>
      <c r="J865" s="25" t="s">
        <v>5996</v>
      </c>
    </row>
    <row r="866" spans="1:11" ht="14.25" customHeight="1">
      <c r="A866" s="1"/>
      <c r="B866" s="1"/>
      <c r="C866" s="9">
        <v>44708</v>
      </c>
      <c r="D866" s="17" t="s">
        <v>5953</v>
      </c>
      <c r="E866" s="149" t="s">
        <v>5954</v>
      </c>
      <c r="F866" s="50">
        <v>847</v>
      </c>
      <c r="G866" s="1861"/>
      <c r="H866" s="1" t="s">
        <v>2067</v>
      </c>
      <c r="I866" t="s">
        <v>5955</v>
      </c>
      <c r="J866" s="25" t="s">
        <v>5996</v>
      </c>
    </row>
    <row r="867" spans="1:11" ht="14.25" customHeight="1">
      <c r="A867" s="1"/>
      <c r="B867" s="1"/>
      <c r="C867" s="9">
        <v>44710</v>
      </c>
      <c r="D867" s="17" t="s">
        <v>5957</v>
      </c>
      <c r="E867" s="150" t="s">
        <v>2125</v>
      </c>
      <c r="F867" s="50">
        <v>848</v>
      </c>
      <c r="G867" s="1861"/>
      <c r="H867" s="1" t="s">
        <v>2067</v>
      </c>
      <c r="I867" t="s">
        <v>5958</v>
      </c>
      <c r="J867" s="13" t="s">
        <v>528</v>
      </c>
    </row>
    <row r="868" spans="1:11" ht="14.25" customHeight="1">
      <c r="A868" s="1"/>
      <c r="B868" s="1"/>
      <c r="C868" s="9">
        <v>44713</v>
      </c>
      <c r="D868" s="17" t="s">
        <v>5961</v>
      </c>
      <c r="E868" s="151" t="s">
        <v>5962</v>
      </c>
      <c r="F868" s="50">
        <v>849</v>
      </c>
      <c r="G868" s="1861"/>
      <c r="H868" s="1" t="s">
        <v>5966</v>
      </c>
      <c r="I868" t="s">
        <v>5967</v>
      </c>
      <c r="J868" s="13" t="s">
        <v>528</v>
      </c>
    </row>
    <row r="869" spans="1:11" ht="14.25" customHeight="1">
      <c r="A869" s="1"/>
      <c r="B869" s="1"/>
      <c r="C869" s="9">
        <v>44715</v>
      </c>
      <c r="D869" s="17" t="s">
        <v>5971</v>
      </c>
      <c r="E869" s="152" t="s">
        <v>1567</v>
      </c>
      <c r="F869" s="50">
        <v>850</v>
      </c>
      <c r="G869" s="1861"/>
      <c r="H869" s="1" t="s">
        <v>5970</v>
      </c>
      <c r="I869" t="s">
        <v>5969</v>
      </c>
      <c r="J869" s="13" t="s">
        <v>544</v>
      </c>
      <c r="K869" s="25" t="s">
        <v>5997</v>
      </c>
    </row>
    <row r="870" spans="1:11" ht="14.25" customHeight="1">
      <c r="A870" s="1"/>
      <c r="B870" s="1"/>
      <c r="C870" s="9">
        <v>44719</v>
      </c>
      <c r="D870" s="17" t="s">
        <v>5982</v>
      </c>
      <c r="E870" s="158" t="s">
        <v>5980</v>
      </c>
      <c r="F870" s="50" t="s">
        <v>5981</v>
      </c>
      <c r="G870" s="1861"/>
      <c r="H870" s="1" t="s">
        <v>5620</v>
      </c>
      <c r="I870" t="s">
        <v>5983</v>
      </c>
      <c r="J870" s="13" t="s">
        <v>528</v>
      </c>
    </row>
    <row r="871" spans="1:11" ht="14.25" customHeight="1">
      <c r="A871" s="1"/>
      <c r="B871" s="1"/>
      <c r="C871" s="9">
        <v>44722</v>
      </c>
      <c r="D871" s="17" t="s">
        <v>5990</v>
      </c>
      <c r="E871" s="159" t="s">
        <v>4005</v>
      </c>
      <c r="F871" s="50">
        <v>842</v>
      </c>
      <c r="G871" s="1861"/>
      <c r="H871" s="1" t="s">
        <v>2096</v>
      </c>
      <c r="I871" t="s">
        <v>5989</v>
      </c>
      <c r="J871" s="13" t="s">
        <v>4541</v>
      </c>
    </row>
    <row r="872" spans="1:11" ht="14.25" customHeight="1">
      <c r="A872" s="1"/>
      <c r="B872" s="1"/>
      <c r="C872" s="9">
        <v>44725</v>
      </c>
      <c r="D872" s="17" t="s">
        <v>5991</v>
      </c>
      <c r="E872" s="160" t="s">
        <v>5992</v>
      </c>
      <c r="F872" s="50" t="s">
        <v>5993</v>
      </c>
      <c r="G872" s="1861"/>
      <c r="H872" s="1" t="s">
        <v>2783</v>
      </c>
      <c r="I872" t="s">
        <v>5994</v>
      </c>
      <c r="J872" s="24">
        <v>45127</v>
      </c>
    </row>
    <row r="873" spans="1:11" ht="14.25" customHeight="1">
      <c r="A873" s="1"/>
      <c r="B873" s="1"/>
      <c r="C873" s="9">
        <v>44730</v>
      </c>
      <c r="D873" s="101">
        <v>8709596087</v>
      </c>
      <c r="E873" s="163" t="s">
        <v>6001</v>
      </c>
      <c r="F873" s="50">
        <v>844</v>
      </c>
      <c r="G873" s="1861"/>
      <c r="H873" s="1" t="s">
        <v>1869</v>
      </c>
      <c r="I873" t="s">
        <v>6002</v>
      </c>
      <c r="J873" s="13" t="s">
        <v>100</v>
      </c>
      <c r="K873" s="176" t="s">
        <v>6059</v>
      </c>
    </row>
    <row r="874" spans="1:11" ht="14.25" customHeight="1">
      <c r="A874" s="1"/>
      <c r="B874" s="1"/>
      <c r="C874" s="9">
        <v>44735</v>
      </c>
      <c r="D874" s="17" t="s">
        <v>6015</v>
      </c>
      <c r="E874" s="166" t="s">
        <v>6014</v>
      </c>
      <c r="F874" s="50" t="s">
        <v>6016</v>
      </c>
      <c r="G874" s="1861"/>
      <c r="H874" s="1" t="s">
        <v>1227</v>
      </c>
      <c r="I874" t="s">
        <v>6017</v>
      </c>
      <c r="J874" s="13" t="s">
        <v>36</v>
      </c>
      <c r="K874" t="s">
        <v>6120</v>
      </c>
    </row>
    <row r="875" spans="1:11" ht="14.25" customHeight="1">
      <c r="A875" s="1"/>
      <c r="B875" s="1"/>
      <c r="C875" s="1"/>
      <c r="D875" s="17" t="s">
        <v>7952</v>
      </c>
      <c r="E875" s="170" t="s">
        <v>3622</v>
      </c>
      <c r="F875" s="50">
        <v>846</v>
      </c>
      <c r="G875" s="1861"/>
      <c r="H875" s="1"/>
      <c r="I875" t="s">
        <v>6029</v>
      </c>
      <c r="J875" s="13" t="s">
        <v>36</v>
      </c>
      <c r="K875" t="s">
        <v>6120</v>
      </c>
    </row>
    <row r="876" spans="1:11" ht="14.25" customHeight="1">
      <c r="A876" s="1"/>
      <c r="B876" s="1"/>
      <c r="C876" s="9">
        <v>44740</v>
      </c>
      <c r="D876" s="17" t="s">
        <v>6032</v>
      </c>
      <c r="E876" t="s">
        <v>6030</v>
      </c>
      <c r="F876" s="50" t="s">
        <v>6031</v>
      </c>
      <c r="G876" s="1861"/>
      <c r="H876" s="1" t="s">
        <v>1227</v>
      </c>
      <c r="I876" t="s">
        <v>6033</v>
      </c>
      <c r="J876" s="13" t="s">
        <v>507</v>
      </c>
    </row>
    <row r="877" spans="1:11" ht="14.25" customHeight="1">
      <c r="A877" s="1"/>
      <c r="B877" s="1"/>
      <c r="C877" s="9">
        <v>44740</v>
      </c>
      <c r="D877" s="17" t="s">
        <v>6036</v>
      </c>
      <c r="E877" s="171" t="s">
        <v>6035</v>
      </c>
      <c r="F877" s="50">
        <v>848</v>
      </c>
      <c r="G877" s="1861"/>
      <c r="H877" s="1" t="s">
        <v>1227</v>
      </c>
      <c r="I877" t="s">
        <v>6037</v>
      </c>
      <c r="J877" s="13" t="s">
        <v>36</v>
      </c>
      <c r="K877" t="s">
        <v>6120</v>
      </c>
    </row>
    <row r="878" spans="1:11" ht="14.25" customHeight="1">
      <c r="A878" s="1"/>
      <c r="B878" s="1"/>
      <c r="C878" s="9">
        <v>44742</v>
      </c>
      <c r="D878" s="17" t="s">
        <v>6043</v>
      </c>
      <c r="E878" s="173" t="s">
        <v>6042</v>
      </c>
      <c r="F878" s="50">
        <v>849</v>
      </c>
      <c r="G878" s="1861"/>
      <c r="H878" s="1" t="s">
        <v>1275</v>
      </c>
      <c r="I878" t="s">
        <v>6044</v>
      </c>
      <c r="J878" s="13" t="s">
        <v>528</v>
      </c>
    </row>
    <row r="879" spans="1:11" ht="14.25" customHeight="1">
      <c r="A879" s="1"/>
      <c r="B879" s="1"/>
      <c r="C879" s="9">
        <v>44744</v>
      </c>
      <c r="D879" s="17" t="s">
        <v>6047</v>
      </c>
      <c r="E879" s="174" t="s">
        <v>2412</v>
      </c>
      <c r="F879" s="50" t="s">
        <v>6046</v>
      </c>
      <c r="G879" s="1861"/>
      <c r="H879" s="1" t="s">
        <v>2783</v>
      </c>
      <c r="I879" t="s">
        <v>6048</v>
      </c>
      <c r="J879" s="13" t="s">
        <v>528</v>
      </c>
    </row>
    <row r="880" spans="1:11" ht="14.25" customHeight="1">
      <c r="A880" s="1"/>
      <c r="B880" s="1"/>
      <c r="C880" s="9">
        <v>44744</v>
      </c>
      <c r="D880" s="17" t="s">
        <v>6050</v>
      </c>
      <c r="E880" s="174" t="s">
        <v>6049</v>
      </c>
      <c r="F880" s="50" t="s">
        <v>6051</v>
      </c>
      <c r="G880" s="1861"/>
      <c r="H880" s="1" t="s">
        <v>2783</v>
      </c>
      <c r="I880" t="s">
        <v>6052</v>
      </c>
      <c r="J880" s="13" t="s">
        <v>528</v>
      </c>
    </row>
    <row r="881" spans="1:13" ht="14.25" customHeight="1">
      <c r="A881" s="1"/>
      <c r="B881" s="1"/>
      <c r="C881" s="9">
        <v>44748</v>
      </c>
      <c r="D881" s="17" t="s">
        <v>6063</v>
      </c>
      <c r="E881" s="177" t="s">
        <v>6060</v>
      </c>
      <c r="F881" s="50">
        <v>852</v>
      </c>
      <c r="G881" s="1861"/>
      <c r="H881" s="1" t="s">
        <v>6062</v>
      </c>
      <c r="I881" t="s">
        <v>6061</v>
      </c>
      <c r="J881" s="13" t="s">
        <v>77</v>
      </c>
    </row>
    <row r="882" spans="1:13" ht="14.25" customHeight="1">
      <c r="A882" s="1"/>
      <c r="B882" s="1"/>
      <c r="C882" s="9">
        <v>44748</v>
      </c>
      <c r="D882" s="17" t="s">
        <v>6068</v>
      </c>
      <c r="E882" s="178" t="s">
        <v>6058</v>
      </c>
      <c r="F882" s="50">
        <v>853</v>
      </c>
      <c r="G882" s="1861"/>
      <c r="H882" s="1" t="s">
        <v>2071</v>
      </c>
      <c r="I882" t="s">
        <v>6069</v>
      </c>
      <c r="J882" s="247">
        <v>44809</v>
      </c>
    </row>
    <row r="883" spans="1:13" ht="14.25" customHeight="1">
      <c r="A883" s="1"/>
      <c r="B883" s="1"/>
      <c r="C883" s="9">
        <v>44748</v>
      </c>
      <c r="D883" s="17"/>
      <c r="E883" s="178" t="s">
        <v>6071</v>
      </c>
      <c r="F883" s="50">
        <v>854</v>
      </c>
      <c r="G883" s="1861"/>
      <c r="H883" s="1" t="s">
        <v>1275</v>
      </c>
      <c r="I883" t="s">
        <v>6070</v>
      </c>
      <c r="J883" s="13" t="s">
        <v>507</v>
      </c>
    </row>
    <row r="884" spans="1:13" ht="14.25" customHeight="1">
      <c r="A884" s="1"/>
      <c r="B884" s="1"/>
      <c r="C884" s="9">
        <v>44749</v>
      </c>
      <c r="D884" s="17" t="s">
        <v>6073</v>
      </c>
      <c r="E884" s="179" t="s">
        <v>5807</v>
      </c>
      <c r="F884" s="50" t="s">
        <v>6072</v>
      </c>
      <c r="G884" s="1861"/>
      <c r="H884" s="1" t="s">
        <v>1392</v>
      </c>
      <c r="I884" t="s">
        <v>6074</v>
      </c>
      <c r="J884" s="13" t="s">
        <v>4541</v>
      </c>
      <c r="K884" s="226" t="s">
        <v>5996</v>
      </c>
    </row>
    <row r="885" spans="1:13" ht="14.25" customHeight="1">
      <c r="A885" s="1"/>
      <c r="B885" s="1"/>
      <c r="C885" s="9">
        <v>44751</v>
      </c>
      <c r="D885" s="17" t="s">
        <v>6081</v>
      </c>
      <c r="E885" s="181" t="s">
        <v>6079</v>
      </c>
      <c r="F885" s="50">
        <v>856</v>
      </c>
      <c r="G885" s="1861"/>
      <c r="H885" s="1" t="s">
        <v>1392</v>
      </c>
      <c r="I885" t="s">
        <v>6080</v>
      </c>
      <c r="J885" s="13" t="s">
        <v>92</v>
      </c>
      <c r="K885" s="25" t="s">
        <v>6272</v>
      </c>
    </row>
    <row r="886" spans="1:13" ht="14.25" customHeight="1">
      <c r="A886" s="1"/>
      <c r="B886" s="1"/>
      <c r="C886" s="1"/>
      <c r="D886" s="17" t="s">
        <v>6084</v>
      </c>
      <c r="E886" s="182" t="s">
        <v>6083</v>
      </c>
      <c r="F886" s="50">
        <v>857</v>
      </c>
      <c r="G886" s="1861"/>
      <c r="H886" s="1" t="s">
        <v>6086</v>
      </c>
      <c r="I886" t="s">
        <v>6085</v>
      </c>
      <c r="J886" s="24">
        <v>46052</v>
      </c>
    </row>
    <row r="887" spans="1:13" ht="14.25" customHeight="1">
      <c r="A887" s="1"/>
      <c r="B887" s="1"/>
      <c r="C887" s="9">
        <v>44755</v>
      </c>
      <c r="D887" s="17" t="s">
        <v>6108</v>
      </c>
      <c r="E887" s="186" t="s">
        <v>6107</v>
      </c>
      <c r="F887" s="50">
        <v>858</v>
      </c>
      <c r="G887" s="1861"/>
      <c r="H887" s="1" t="s">
        <v>1275</v>
      </c>
      <c r="I887" s="186" t="s">
        <v>6109</v>
      </c>
      <c r="J887" s="24">
        <v>44877</v>
      </c>
    </row>
    <row r="888" spans="1:13" ht="14.25" customHeight="1">
      <c r="A888" s="1"/>
      <c r="B888" s="1"/>
      <c r="C888" s="9">
        <v>44758</v>
      </c>
      <c r="D888" s="17" t="s">
        <v>6112</v>
      </c>
      <c r="E888" s="187" t="s">
        <v>6110</v>
      </c>
      <c r="F888" s="50" t="s">
        <v>6111</v>
      </c>
      <c r="G888" s="1861"/>
      <c r="H888" s="1" t="s">
        <v>2783</v>
      </c>
      <c r="I888" s="187" t="s">
        <v>6113</v>
      </c>
      <c r="J888" s="13" t="s">
        <v>528</v>
      </c>
    </row>
    <row r="889" spans="1:13" ht="14.25" customHeight="1">
      <c r="A889" s="1"/>
      <c r="B889" s="1"/>
      <c r="C889" s="9">
        <v>44759</v>
      </c>
      <c r="D889" s="17" t="s">
        <v>6114</v>
      </c>
      <c r="E889" s="188" t="s">
        <v>6115</v>
      </c>
      <c r="F889" s="50" t="s">
        <v>6116</v>
      </c>
      <c r="G889" s="1861"/>
      <c r="H889" s="1" t="s">
        <v>2783</v>
      </c>
      <c r="I889" s="188" t="s">
        <v>6117</v>
      </c>
      <c r="J889" s="13" t="s">
        <v>528</v>
      </c>
    </row>
    <row r="890" spans="1:13" ht="14.25" customHeight="1">
      <c r="A890" s="1"/>
      <c r="B890" s="1"/>
      <c r="C890" s="9">
        <v>44762</v>
      </c>
      <c r="D890" s="17" t="s">
        <v>2598</v>
      </c>
      <c r="E890" s="190" t="s">
        <v>6124</v>
      </c>
      <c r="F890" s="50">
        <v>861</v>
      </c>
      <c r="G890" s="1861"/>
      <c r="H890" s="1" t="s">
        <v>2783</v>
      </c>
      <c r="I890" s="192" t="s">
        <v>6125</v>
      </c>
      <c r="J890" s="24">
        <v>44814</v>
      </c>
    </row>
    <row r="891" spans="1:13" ht="14.25" customHeight="1">
      <c r="A891" s="1"/>
      <c r="B891" s="1"/>
      <c r="C891" s="9">
        <v>44762</v>
      </c>
      <c r="D891" s="17" t="s">
        <v>6127</v>
      </c>
      <c r="E891" s="190" t="s">
        <v>6126</v>
      </c>
      <c r="F891" s="50">
        <v>862</v>
      </c>
      <c r="G891" s="1861"/>
      <c r="H891" s="1" t="s">
        <v>2067</v>
      </c>
      <c r="I891" s="193" t="s">
        <v>6131</v>
      </c>
      <c r="J891" s="13" t="s">
        <v>92</v>
      </c>
      <c r="K891" s="226" t="s">
        <v>6273</v>
      </c>
    </row>
    <row r="892" spans="1:13" ht="14.25" customHeight="1">
      <c r="A892" s="1"/>
      <c r="B892" s="1"/>
      <c r="C892" s="9">
        <v>44763</v>
      </c>
      <c r="D892" s="101">
        <v>9102987983</v>
      </c>
      <c r="E892" s="191" t="s">
        <v>3073</v>
      </c>
      <c r="F892" s="50">
        <v>863</v>
      </c>
      <c r="G892" s="1861"/>
      <c r="H892" s="1" t="s">
        <v>6129</v>
      </c>
      <c r="I892" s="198" t="s">
        <v>6149</v>
      </c>
      <c r="J892" s="13" t="s">
        <v>92</v>
      </c>
      <c r="K892" s="226" t="s">
        <v>6274</v>
      </c>
    </row>
    <row r="893" spans="1:13" ht="14.25" customHeight="1">
      <c r="A893" s="1"/>
      <c r="B893" s="1"/>
      <c r="C893" s="9">
        <v>44764</v>
      </c>
      <c r="D893" s="17" t="s">
        <v>6139</v>
      </c>
      <c r="E893" s="191" t="s">
        <v>6130</v>
      </c>
      <c r="F893" s="50">
        <v>864</v>
      </c>
      <c r="G893" s="1861"/>
      <c r="H893" s="1"/>
      <c r="I893" s="418" t="s">
        <v>6150</v>
      </c>
      <c r="J893" s="13" t="s">
        <v>92</v>
      </c>
      <c r="K893" s="25" t="s">
        <v>6273</v>
      </c>
      <c r="M893" s="187"/>
    </row>
    <row r="894" spans="1:13" ht="14.25" customHeight="1">
      <c r="A894" s="1"/>
      <c r="B894" s="1"/>
      <c r="C894" s="1"/>
      <c r="D894" s="17" t="s">
        <v>6135</v>
      </c>
      <c r="E894" s="195" t="s">
        <v>6132</v>
      </c>
      <c r="F894" s="50" t="s">
        <v>6133</v>
      </c>
      <c r="G894" s="1861"/>
      <c r="H894" s="1" t="s">
        <v>1392</v>
      </c>
      <c r="I894" s="187" t="s">
        <v>6138</v>
      </c>
      <c r="J894" s="13" t="s">
        <v>528</v>
      </c>
    </row>
    <row r="895" spans="1:13" ht="14.25" customHeight="1">
      <c r="A895" s="1"/>
      <c r="B895" s="1"/>
      <c r="C895" s="9">
        <v>44764</v>
      </c>
      <c r="D895" s="17" t="s">
        <v>2587</v>
      </c>
      <c r="E895" s="195" t="s">
        <v>539</v>
      </c>
      <c r="F895" s="50" t="s">
        <v>6134</v>
      </c>
      <c r="G895" s="1861"/>
      <c r="H895" s="1" t="s">
        <v>6137</v>
      </c>
      <c r="I895" s="187" t="s">
        <v>6136</v>
      </c>
      <c r="J895" s="13" t="s">
        <v>507</v>
      </c>
      <c r="K895" s="13" t="s">
        <v>6226</v>
      </c>
    </row>
    <row r="896" spans="1:13" ht="14.25" customHeight="1">
      <c r="A896" s="1"/>
      <c r="B896" s="1"/>
      <c r="C896" s="9">
        <v>44768</v>
      </c>
      <c r="D896" s="101">
        <v>9608147384</v>
      </c>
      <c r="E896" s="197" t="s">
        <v>6144</v>
      </c>
      <c r="F896" s="50">
        <v>867</v>
      </c>
      <c r="G896" s="1861"/>
      <c r="H896" s="1" t="s">
        <v>1275</v>
      </c>
      <c r="I896" s="187" t="s">
        <v>6145</v>
      </c>
      <c r="J896" s="13" t="s">
        <v>507</v>
      </c>
    </row>
    <row r="897" spans="1:10" ht="14.25" customHeight="1">
      <c r="A897" s="1"/>
      <c r="B897" s="1"/>
      <c r="C897" s="9">
        <v>44768</v>
      </c>
      <c r="D897" s="17" t="s">
        <v>6148</v>
      </c>
      <c r="E897" s="198" t="s">
        <v>6146</v>
      </c>
      <c r="F897" s="50">
        <v>868</v>
      </c>
      <c r="G897" s="1861"/>
      <c r="H897" s="1"/>
      <c r="I897" s="187" t="s">
        <v>6147</v>
      </c>
      <c r="J897" s="13" t="s">
        <v>528</v>
      </c>
    </row>
    <row r="898" spans="1:10" ht="14.25" customHeight="1">
      <c r="A898" s="1"/>
      <c r="B898" s="1"/>
      <c r="C898" s="9">
        <v>44769</v>
      </c>
      <c r="D898" s="1">
        <v>9199293227</v>
      </c>
      <c r="E898" s="2" t="s">
        <v>3753</v>
      </c>
      <c r="F898" s="50">
        <v>869</v>
      </c>
      <c r="G898" s="1861"/>
      <c r="H898" s="1" t="s">
        <v>1268</v>
      </c>
      <c r="I898" s="298" t="s">
        <v>6153</v>
      </c>
      <c r="J898" s="24">
        <v>44842</v>
      </c>
    </row>
    <row r="899" spans="1:10" ht="14.25" customHeight="1">
      <c r="A899" s="1"/>
      <c r="B899" s="1"/>
      <c r="C899" s="9">
        <v>44769</v>
      </c>
      <c r="D899" s="17" t="s">
        <v>6155</v>
      </c>
      <c r="E899" s="2" t="s">
        <v>6154</v>
      </c>
      <c r="F899" s="50">
        <v>870</v>
      </c>
      <c r="G899" s="1861"/>
      <c r="H899" s="1" t="s">
        <v>5094</v>
      </c>
      <c r="I899" s="202" t="s">
        <v>6156</v>
      </c>
      <c r="J899" s="24">
        <v>44962</v>
      </c>
    </row>
    <row r="900" spans="1:10" ht="14.25" customHeight="1">
      <c r="A900" s="1"/>
      <c r="B900" s="1"/>
      <c r="C900" s="9">
        <v>44770</v>
      </c>
      <c r="D900" s="17" t="s">
        <v>6164</v>
      </c>
      <c r="E900" s="2" t="s">
        <v>6165</v>
      </c>
      <c r="F900" s="50">
        <v>872</v>
      </c>
      <c r="G900" s="1861"/>
      <c r="H900" s="1" t="s">
        <v>1275</v>
      </c>
      <c r="I900" s="187" t="s">
        <v>6166</v>
      </c>
      <c r="J900" s="24">
        <v>44823</v>
      </c>
    </row>
    <row r="901" spans="1:10" ht="14.25" customHeight="1">
      <c r="A901" s="1"/>
      <c r="B901" s="1"/>
      <c r="C901" s="9">
        <v>44774</v>
      </c>
      <c r="D901" s="101">
        <v>9102671433</v>
      </c>
      <c r="E901" s="2" t="s">
        <v>4005</v>
      </c>
      <c r="F901" s="50">
        <v>873</v>
      </c>
      <c r="G901" s="1861"/>
      <c r="H901" s="1" t="s">
        <v>6169</v>
      </c>
      <c r="I901" s="187" t="s">
        <v>6168</v>
      </c>
      <c r="J901" s="13" t="s">
        <v>528</v>
      </c>
    </row>
    <row r="902" spans="1:10" ht="14.25" customHeight="1">
      <c r="A902" s="1"/>
      <c r="B902" s="1"/>
      <c r="C902" s="9">
        <v>44779</v>
      </c>
      <c r="D902" s="101">
        <v>6287750590</v>
      </c>
      <c r="E902" s="2" t="s">
        <v>1780</v>
      </c>
      <c r="F902" s="50"/>
      <c r="G902" s="1861"/>
      <c r="H902" s="1" t="s">
        <v>1268</v>
      </c>
      <c r="I902" s="187" t="s">
        <v>6176</v>
      </c>
      <c r="J902" s="13" t="s">
        <v>528</v>
      </c>
    </row>
    <row r="903" spans="1:10" ht="14.25" customHeight="1">
      <c r="A903" s="1"/>
      <c r="B903" s="1"/>
      <c r="C903" s="9">
        <v>44779</v>
      </c>
      <c r="D903" s="17" t="s">
        <v>5578</v>
      </c>
      <c r="E903" s="2" t="s">
        <v>6180</v>
      </c>
      <c r="F903" s="50"/>
      <c r="G903" s="1861"/>
      <c r="H903" s="1" t="s">
        <v>1275</v>
      </c>
      <c r="I903" s="187" t="s">
        <v>6179</v>
      </c>
      <c r="J903" s="13" t="s">
        <v>538</v>
      </c>
    </row>
    <row r="904" spans="1:10" ht="14.25" customHeight="1">
      <c r="A904" s="1"/>
      <c r="B904" s="1"/>
      <c r="C904" s="9">
        <v>44779</v>
      </c>
      <c r="D904" s="17" t="s">
        <v>5922</v>
      </c>
      <c r="E904" s="2" t="s">
        <v>5921</v>
      </c>
      <c r="F904" s="50">
        <v>874</v>
      </c>
      <c r="G904" s="1861"/>
      <c r="H904" s="1" t="s">
        <v>2067</v>
      </c>
      <c r="I904" s="187" t="s">
        <v>6181</v>
      </c>
      <c r="J904" s="13" t="s">
        <v>507</v>
      </c>
    </row>
    <row r="905" spans="1:10" ht="14.25" customHeight="1">
      <c r="A905" s="1"/>
      <c r="B905" s="1"/>
      <c r="C905" s="9">
        <v>44779</v>
      </c>
      <c r="D905" s="17" t="s">
        <v>6184</v>
      </c>
      <c r="E905" s="2" t="s">
        <v>6182</v>
      </c>
      <c r="F905" s="50">
        <v>875</v>
      </c>
      <c r="G905" s="1861"/>
      <c r="H905" s="1" t="s">
        <v>1275</v>
      </c>
      <c r="I905" s="210" t="s">
        <v>6183</v>
      </c>
      <c r="J905" s="13" t="s">
        <v>507</v>
      </c>
    </row>
    <row r="906" spans="1:10" ht="14.25" customHeight="1">
      <c r="A906" s="1"/>
      <c r="B906" s="1"/>
      <c r="C906" s="9">
        <v>44779</v>
      </c>
      <c r="D906" s="17" t="s">
        <v>6185</v>
      </c>
      <c r="E906" s="2" t="s">
        <v>6186</v>
      </c>
      <c r="F906" s="50">
        <v>876</v>
      </c>
      <c r="G906" s="1861"/>
      <c r="H906" s="1" t="s">
        <v>1275</v>
      </c>
      <c r="I906" s="187" t="s">
        <v>6187</v>
      </c>
      <c r="J906" s="13" t="s">
        <v>507</v>
      </c>
    </row>
    <row r="907" spans="1:10" ht="14.25" customHeight="1">
      <c r="A907" s="1"/>
      <c r="B907" s="1"/>
      <c r="C907" s="9">
        <v>44779</v>
      </c>
      <c r="D907" s="17" t="s">
        <v>6191</v>
      </c>
      <c r="E907" s="2" t="s">
        <v>6188</v>
      </c>
      <c r="F907" s="50" t="s">
        <v>6190</v>
      </c>
      <c r="G907" s="1861"/>
      <c r="H907" s="1" t="s">
        <v>1275</v>
      </c>
      <c r="I907" s="204" t="s">
        <v>6192</v>
      </c>
      <c r="J907" s="13" t="s">
        <v>507</v>
      </c>
    </row>
    <row r="908" spans="1:10" ht="14.25" customHeight="1">
      <c r="A908" s="1"/>
      <c r="B908" s="1"/>
      <c r="C908" s="9">
        <v>44779</v>
      </c>
      <c r="D908" s="101">
        <v>9102785875</v>
      </c>
      <c r="E908" s="2" t="s">
        <v>6193</v>
      </c>
      <c r="F908" s="50" t="s">
        <v>6189</v>
      </c>
      <c r="G908" s="1861"/>
      <c r="H908" s="1" t="s">
        <v>1473</v>
      </c>
      <c r="I908" s="209" t="s">
        <v>6194</v>
      </c>
      <c r="J908" s="13" t="s">
        <v>528</v>
      </c>
    </row>
    <row r="909" spans="1:10" ht="14.25" customHeight="1">
      <c r="A909" s="1"/>
      <c r="B909" s="1"/>
      <c r="C909" s="9">
        <v>44779</v>
      </c>
      <c r="D909" s="17" t="s">
        <v>6195</v>
      </c>
      <c r="E909" s="2" t="s">
        <v>6196</v>
      </c>
      <c r="F909" s="50"/>
      <c r="G909" s="1861"/>
      <c r="H909" s="1" t="s">
        <v>5538</v>
      </c>
      <c r="I909" s="205" t="s">
        <v>6197</v>
      </c>
      <c r="J909" s="24">
        <v>44823</v>
      </c>
    </row>
    <row r="910" spans="1:10" ht="14.25" customHeight="1">
      <c r="A910" s="1"/>
      <c r="B910" s="1"/>
      <c r="C910" s="9">
        <v>44781</v>
      </c>
      <c r="D910" s="17" t="s">
        <v>6201</v>
      </c>
      <c r="E910" s="2" t="s">
        <v>6202</v>
      </c>
      <c r="F910" s="50"/>
      <c r="G910" s="1861"/>
      <c r="H910" s="1" t="s">
        <v>6203</v>
      </c>
      <c r="I910" s="205" t="s">
        <v>6200</v>
      </c>
      <c r="J910" s="13" t="s">
        <v>507</v>
      </c>
    </row>
    <row r="911" spans="1:10" ht="14.25" customHeight="1">
      <c r="A911" s="1"/>
      <c r="B911" s="1"/>
      <c r="C911" s="9">
        <v>44779</v>
      </c>
      <c r="D911" s="17" t="s">
        <v>6184</v>
      </c>
      <c r="E911" s="2" t="s">
        <v>6205</v>
      </c>
      <c r="F911" s="50"/>
      <c r="G911" s="1861"/>
      <c r="H911" s="1" t="s">
        <v>1392</v>
      </c>
      <c r="I911" t="s">
        <v>6183</v>
      </c>
      <c r="J911" s="24">
        <v>44887</v>
      </c>
    </row>
    <row r="912" spans="1:10" ht="14.25" customHeight="1">
      <c r="A912" s="1"/>
      <c r="B912" s="1"/>
      <c r="C912" s="9">
        <v>44783</v>
      </c>
      <c r="D912" s="17" t="s">
        <v>6211</v>
      </c>
      <c r="E912" s="2" t="s">
        <v>6210</v>
      </c>
      <c r="F912" s="50"/>
      <c r="G912" s="1861"/>
      <c r="H912" s="1" t="s">
        <v>2783</v>
      </c>
      <c r="I912" s="205" t="s">
        <v>6212</v>
      </c>
      <c r="J912" s="24">
        <v>44898</v>
      </c>
    </row>
    <row r="913" spans="1:12" ht="14.25" customHeight="1">
      <c r="A913" s="1"/>
      <c r="B913" s="1"/>
      <c r="C913" s="1"/>
      <c r="D913" s="17" t="s">
        <v>6163</v>
      </c>
      <c r="E913" s="2" t="s">
        <v>6161</v>
      </c>
      <c r="F913" s="50"/>
      <c r="G913" s="1861"/>
      <c r="H913" s="1"/>
      <c r="I913" s="205" t="s">
        <v>6213</v>
      </c>
      <c r="J913" s="13" t="s">
        <v>507</v>
      </c>
    </row>
    <row r="914" spans="1:12" ht="14.25" customHeight="1">
      <c r="A914" s="1"/>
      <c r="B914" s="1"/>
      <c r="C914" s="9">
        <v>44789</v>
      </c>
      <c r="D914" s="101">
        <v>6202909788</v>
      </c>
      <c r="E914" s="2" t="s">
        <v>6217</v>
      </c>
      <c r="F914" s="50"/>
      <c r="G914" s="1861"/>
      <c r="H914" s="1" t="s">
        <v>1785</v>
      </c>
      <c r="I914" s="205" t="s">
        <v>6216</v>
      </c>
      <c r="J914" s="13" t="s">
        <v>6219</v>
      </c>
    </row>
    <row r="915" spans="1:12" ht="14.25" customHeight="1">
      <c r="A915" s="1"/>
      <c r="B915" s="1"/>
      <c r="C915" s="1"/>
      <c r="D915" s="17"/>
      <c r="E915" s="2" t="s">
        <v>6182</v>
      </c>
      <c r="F915" s="50"/>
      <c r="G915" s="1861"/>
      <c r="H915" s="1"/>
      <c r="I915" s="205" t="s">
        <v>6218</v>
      </c>
      <c r="J915" s="13" t="s">
        <v>528</v>
      </c>
    </row>
    <row r="916" spans="1:12" ht="14.25" customHeight="1">
      <c r="A916" s="1"/>
      <c r="C916" s="9">
        <v>44770</v>
      </c>
      <c r="D916" s="17" t="s">
        <v>6163</v>
      </c>
      <c r="E916" s="2" t="s">
        <v>6161</v>
      </c>
      <c r="F916" s="50">
        <v>871</v>
      </c>
      <c r="G916" s="1861"/>
      <c r="H916" s="1" t="s">
        <v>6160</v>
      </c>
      <c r="I916" s="205" t="s">
        <v>6159</v>
      </c>
      <c r="J916" s="13" t="s">
        <v>6172</v>
      </c>
    </row>
    <row r="917" spans="1:12" ht="14.25" customHeight="1">
      <c r="A917" s="1"/>
      <c r="B917" s="1"/>
      <c r="C917" s="1"/>
      <c r="D917" s="17" t="s">
        <v>5115</v>
      </c>
      <c r="E917" s="2" t="s">
        <v>4407</v>
      </c>
      <c r="F917" s="50"/>
      <c r="G917" s="1861"/>
      <c r="H917" s="1"/>
      <c r="I917" s="205"/>
      <c r="J917" s="13"/>
    </row>
    <row r="918" spans="1:12" ht="14.25" customHeight="1">
      <c r="A918" s="1"/>
      <c r="B918" s="1"/>
      <c r="C918" s="24">
        <v>44794</v>
      </c>
      <c r="I918" s="194" t="s">
        <v>6232</v>
      </c>
      <c r="J918" s="13" t="s">
        <v>100</v>
      </c>
      <c r="K918" s="226" t="s">
        <v>6275</v>
      </c>
    </row>
    <row r="919" spans="1:12" ht="14.25" customHeight="1">
      <c r="A919" s="1"/>
      <c r="B919" s="1"/>
      <c r="C919" s="1"/>
      <c r="D919" s="17" t="s">
        <v>6231</v>
      </c>
      <c r="E919" s="2" t="s">
        <v>6229</v>
      </c>
      <c r="F919" s="50"/>
      <c r="G919" s="1861"/>
      <c r="H919" s="1" t="s">
        <v>2071</v>
      </c>
      <c r="I919" s="205" t="s">
        <v>6233</v>
      </c>
      <c r="J919" s="13" t="s">
        <v>6291</v>
      </c>
      <c r="K919" s="228" t="s">
        <v>6292</v>
      </c>
    </row>
    <row r="920" spans="1:12" ht="14.25" customHeight="1">
      <c r="A920" s="1"/>
      <c r="B920" s="1"/>
      <c r="C920" s="9">
        <v>44796</v>
      </c>
      <c r="D920" s="101">
        <v>8709596087</v>
      </c>
      <c r="E920" s="163" t="s">
        <v>6001</v>
      </c>
      <c r="F920" s="50"/>
      <c r="G920" s="1861"/>
      <c r="H920" s="1" t="s">
        <v>1955</v>
      </c>
      <c r="I920" s="205" t="s">
        <v>6235</v>
      </c>
      <c r="J920" s="13" t="s">
        <v>528</v>
      </c>
    </row>
    <row r="921" spans="1:12" ht="14.25" customHeight="1">
      <c r="A921" s="1"/>
      <c r="B921" s="1"/>
      <c r="C921" s="9">
        <v>44798</v>
      </c>
      <c r="D921" s="17" t="s">
        <v>6270</v>
      </c>
      <c r="E921" s="226" t="s">
        <v>6269</v>
      </c>
      <c r="F921" s="50"/>
      <c r="G921" s="1861"/>
      <c r="H921" s="1" t="s">
        <v>1785</v>
      </c>
      <c r="I921" s="205" t="s">
        <v>6271</v>
      </c>
      <c r="J921" s="13" t="s">
        <v>507</v>
      </c>
    </row>
    <row r="922" spans="1:12" ht="14.25" customHeight="1">
      <c r="A922" s="1"/>
      <c r="B922" s="1"/>
      <c r="C922" s="9">
        <v>37493</v>
      </c>
      <c r="D922" s="17" t="s">
        <v>6127</v>
      </c>
      <c r="E922" s="190" t="s">
        <v>6126</v>
      </c>
      <c r="F922" s="50">
        <v>862</v>
      </c>
      <c r="G922" s="1861"/>
      <c r="H922" s="1" t="s">
        <v>2067</v>
      </c>
      <c r="I922" s="205" t="s">
        <v>6131</v>
      </c>
      <c r="J922" s="13" t="s">
        <v>6343</v>
      </c>
    </row>
    <row r="923" spans="1:12" ht="14.25" customHeight="1">
      <c r="A923" s="1"/>
      <c r="B923" s="1"/>
      <c r="C923" s="9">
        <v>44800</v>
      </c>
      <c r="D923" s="17" t="s">
        <v>6286</v>
      </c>
      <c r="E923" s="228" t="s">
        <v>6287</v>
      </c>
      <c r="F923" s="50"/>
      <c r="G923" s="1861"/>
      <c r="H923" s="1" t="s">
        <v>2071</v>
      </c>
      <c r="I923" s="205" t="s">
        <v>6285</v>
      </c>
      <c r="J923" s="13" t="s">
        <v>6343</v>
      </c>
    </row>
    <row r="924" spans="1:12" ht="14.25" customHeight="1">
      <c r="A924" s="1"/>
      <c r="B924" s="1"/>
      <c r="C924" s="9">
        <v>44802</v>
      </c>
      <c r="D924" s="17" t="s">
        <v>6309</v>
      </c>
      <c r="E924" s="241" t="s">
        <v>6308</v>
      </c>
      <c r="F924" s="50"/>
      <c r="G924" s="1861"/>
      <c r="H924" s="1" t="s">
        <v>6310</v>
      </c>
      <c r="I924" s="205" t="s">
        <v>6307</v>
      </c>
      <c r="J924" s="24">
        <v>44840</v>
      </c>
    </row>
    <row r="925" spans="1:12" ht="14.25" customHeight="1">
      <c r="A925" s="1"/>
      <c r="B925" s="1"/>
      <c r="C925" s="9">
        <v>44802</v>
      </c>
      <c r="D925" s="17" t="s">
        <v>6312</v>
      </c>
      <c r="E925" s="241" t="s">
        <v>6311</v>
      </c>
      <c r="F925" s="50"/>
      <c r="G925" s="1861"/>
      <c r="H925" s="1" t="s">
        <v>1869</v>
      </c>
      <c r="I925" s="205" t="s">
        <v>6313</v>
      </c>
      <c r="J925" s="13" t="s">
        <v>507</v>
      </c>
    </row>
    <row r="926" spans="1:12" ht="14.25" customHeight="1">
      <c r="A926" s="1"/>
      <c r="B926" s="1"/>
      <c r="C926" s="9">
        <v>44802</v>
      </c>
      <c r="D926" s="17" t="s">
        <v>6315</v>
      </c>
      <c r="E926" s="242" t="s">
        <v>6314</v>
      </c>
      <c r="F926" s="50"/>
      <c r="G926" s="1861"/>
      <c r="H926" s="1" t="s">
        <v>1383</v>
      </c>
      <c r="I926" s="242" t="s">
        <v>6316</v>
      </c>
      <c r="J926" s="13" t="s">
        <v>507</v>
      </c>
      <c r="K926" s="249" t="s">
        <v>6364</v>
      </c>
    </row>
    <row r="927" spans="1:12" ht="14.25" customHeight="1">
      <c r="A927" s="1"/>
      <c r="B927" s="1"/>
      <c r="C927" s="9">
        <v>44802</v>
      </c>
      <c r="D927" s="101">
        <v>8709596087</v>
      </c>
      <c r="E927" s="163" t="s">
        <v>6001</v>
      </c>
      <c r="F927" s="50"/>
      <c r="G927" s="1861"/>
      <c r="H927" s="1" t="s">
        <v>1955</v>
      </c>
      <c r="I927" s="242" t="s">
        <v>6317</v>
      </c>
      <c r="J927" s="13" t="s">
        <v>507</v>
      </c>
    </row>
    <row r="928" spans="1:12" ht="14.25" customHeight="1">
      <c r="A928" s="1"/>
      <c r="B928" s="1"/>
      <c r="C928" s="153">
        <v>44804</v>
      </c>
      <c r="D928" s="272" t="s">
        <v>6333</v>
      </c>
      <c r="E928" s="238" t="s">
        <v>6336</v>
      </c>
      <c r="F928" s="273"/>
      <c r="G928" s="1867"/>
      <c r="H928" s="267" t="s">
        <v>2071</v>
      </c>
      <c r="I928" s="274" t="s">
        <v>6337</v>
      </c>
      <c r="J928" s="267" t="s">
        <v>6525</v>
      </c>
      <c r="K928">
        <v>7903748881</v>
      </c>
      <c r="L928" t="s">
        <v>6524</v>
      </c>
    </row>
    <row r="929" spans="1:11" ht="14.25" customHeight="1">
      <c r="A929" s="1"/>
      <c r="B929" s="1"/>
      <c r="C929" s="9">
        <v>44804</v>
      </c>
      <c r="D929" s="17" t="s">
        <v>6340</v>
      </c>
      <c r="E929" s="244" t="s">
        <v>6339</v>
      </c>
      <c r="F929" s="50"/>
      <c r="G929" s="1861"/>
      <c r="H929" s="1" t="s">
        <v>2067</v>
      </c>
      <c r="I929" s="242" t="s">
        <v>6338</v>
      </c>
      <c r="J929" s="13" t="s">
        <v>538</v>
      </c>
    </row>
    <row r="930" spans="1:11" ht="14.25" customHeight="1">
      <c r="A930" s="1"/>
      <c r="B930" s="1"/>
      <c r="C930" s="9">
        <v>44808</v>
      </c>
      <c r="D930" s="200">
        <v>7759933493</v>
      </c>
      <c r="E930" s="256" t="s">
        <v>6345</v>
      </c>
      <c r="F930" s="64"/>
      <c r="G930" s="1864"/>
      <c r="H930" s="13" t="s">
        <v>2071</v>
      </c>
      <c r="I930" s="245" t="s">
        <v>6344</v>
      </c>
      <c r="J930" s="13" t="s">
        <v>6358</v>
      </c>
      <c r="K930" t="s">
        <v>3395</v>
      </c>
    </row>
    <row r="931" spans="1:11" ht="14.25" customHeight="1">
      <c r="A931" s="1"/>
      <c r="B931" s="1"/>
      <c r="C931" s="9">
        <v>44808</v>
      </c>
      <c r="D931" s="16" t="s">
        <v>5552</v>
      </c>
      <c r="E931" s="194" t="s">
        <v>6346</v>
      </c>
      <c r="F931" s="64"/>
      <c r="G931" s="1864"/>
      <c r="H931" s="13" t="s">
        <v>2071</v>
      </c>
      <c r="I931" s="245" t="s">
        <v>6347</v>
      </c>
      <c r="J931" s="13" t="s">
        <v>6359</v>
      </c>
      <c r="K931" t="s">
        <v>3395</v>
      </c>
    </row>
    <row r="932" spans="1:11" ht="14.25" customHeight="1">
      <c r="A932" s="1"/>
      <c r="B932" s="1"/>
      <c r="C932" s="9">
        <v>44808</v>
      </c>
      <c r="D932" s="17" t="s">
        <v>6351</v>
      </c>
      <c r="E932" s="246" t="s">
        <v>6349</v>
      </c>
      <c r="F932" s="50"/>
      <c r="G932" s="1861"/>
      <c r="H932" s="1" t="s">
        <v>2071</v>
      </c>
      <c r="I932" s="246" t="s">
        <v>6350</v>
      </c>
      <c r="J932" s="13" t="s">
        <v>6482</v>
      </c>
    </row>
    <row r="933" spans="1:11" ht="14.25" customHeight="1">
      <c r="A933" s="1"/>
      <c r="B933" s="1"/>
      <c r="C933" s="9">
        <v>44808</v>
      </c>
      <c r="D933" s="17" t="s">
        <v>6355</v>
      </c>
      <c r="E933" s="246" t="s">
        <v>6356</v>
      </c>
      <c r="F933" s="50"/>
      <c r="G933" s="1861"/>
      <c r="H933" s="1" t="s">
        <v>6354</v>
      </c>
      <c r="I933" s="246" t="s">
        <v>6353</v>
      </c>
      <c r="J933" s="13" t="s">
        <v>507</v>
      </c>
    </row>
    <row r="934" spans="1:11" ht="14.25" customHeight="1">
      <c r="A934" s="1"/>
      <c r="B934" s="1"/>
      <c r="C934" s="9">
        <v>44812</v>
      </c>
      <c r="D934" s="17" t="s">
        <v>6363</v>
      </c>
      <c r="E934" s="249" t="s">
        <v>6361</v>
      </c>
      <c r="F934" s="50"/>
      <c r="G934" s="1861"/>
      <c r="H934" s="1" t="s">
        <v>6362</v>
      </c>
      <c r="I934" s="246" t="s">
        <v>6360</v>
      </c>
      <c r="J934" s="13" t="s">
        <v>507</v>
      </c>
    </row>
    <row r="935" spans="1:11" ht="14.25" customHeight="1">
      <c r="A935" s="1"/>
      <c r="B935" s="1"/>
      <c r="C935" s="9">
        <v>44812</v>
      </c>
      <c r="D935" s="17"/>
      <c r="E935" s="250" t="s">
        <v>6366</v>
      </c>
      <c r="F935" s="50"/>
      <c r="G935" s="1861"/>
      <c r="H935" s="1" t="s">
        <v>1275</v>
      </c>
      <c r="I935" s="246" t="s">
        <v>6365</v>
      </c>
      <c r="J935" s="24">
        <v>44984</v>
      </c>
    </row>
    <row r="936" spans="1:11" ht="14.25" customHeight="1">
      <c r="A936" s="1"/>
      <c r="B936" s="1"/>
      <c r="C936" s="9">
        <v>44812</v>
      </c>
      <c r="D936" s="17" t="s">
        <v>6372</v>
      </c>
      <c r="E936" s="277" t="s">
        <v>6429</v>
      </c>
      <c r="F936" s="50"/>
      <c r="G936" s="1861"/>
      <c r="H936" s="1" t="s">
        <v>2067</v>
      </c>
      <c r="I936" s="260" t="s">
        <v>6373</v>
      </c>
      <c r="J936" s="24">
        <v>44840</v>
      </c>
    </row>
    <row r="937" spans="1:11" ht="14.25" customHeight="1">
      <c r="A937" s="1"/>
      <c r="B937" s="1"/>
      <c r="C937" s="9">
        <v>44812</v>
      </c>
      <c r="D937" s="101">
        <v>7759933493</v>
      </c>
      <c r="E937" s="49" t="s">
        <v>6345</v>
      </c>
      <c r="F937" s="50"/>
      <c r="G937" s="1861"/>
      <c r="H937" s="1" t="s">
        <v>2071</v>
      </c>
      <c r="I937" s="266" t="s">
        <v>6374</v>
      </c>
      <c r="J937" s="24">
        <v>44882</v>
      </c>
    </row>
    <row r="938" spans="1:11" ht="14.25" customHeight="1">
      <c r="A938" s="1"/>
      <c r="B938" s="1"/>
      <c r="C938" s="9">
        <v>44812</v>
      </c>
      <c r="D938" s="17" t="s">
        <v>5552</v>
      </c>
      <c r="E938" s="245" t="s">
        <v>6346</v>
      </c>
      <c r="F938" s="50"/>
      <c r="G938" s="1861"/>
      <c r="H938" s="1" t="s">
        <v>2071</v>
      </c>
      <c r="I938" s="283" t="s">
        <v>6375</v>
      </c>
      <c r="J938" s="13" t="s">
        <v>507</v>
      </c>
    </row>
    <row r="939" spans="1:11" ht="14.25" customHeight="1">
      <c r="A939" s="1"/>
      <c r="B939" s="1"/>
      <c r="C939" s="9">
        <v>44813</v>
      </c>
      <c r="D939" s="17" t="s">
        <v>6376</v>
      </c>
      <c r="E939" s="261" t="s">
        <v>3073</v>
      </c>
      <c r="F939" s="258"/>
      <c r="G939" s="1868"/>
      <c r="H939" s="259" t="s">
        <v>2071</v>
      </c>
      <c r="I939" s="53" t="s">
        <v>6377</v>
      </c>
      <c r="J939" s="24">
        <v>44845</v>
      </c>
    </row>
    <row r="940" spans="1:11" ht="14.25" customHeight="1">
      <c r="A940" s="1"/>
      <c r="B940" s="1"/>
      <c r="C940" s="9">
        <v>44813</v>
      </c>
      <c r="D940" s="101">
        <v>9006835321</v>
      </c>
      <c r="E940" s="261" t="s">
        <v>6217</v>
      </c>
      <c r="F940" s="50"/>
      <c r="G940" s="1861"/>
      <c r="H940" s="1" t="s">
        <v>6382</v>
      </c>
      <c r="I940" s="53" t="s">
        <v>6381</v>
      </c>
      <c r="J940" s="101" t="s">
        <v>507</v>
      </c>
    </row>
    <row r="941" spans="1:11" ht="14.25" customHeight="1">
      <c r="A941" s="1"/>
      <c r="B941" s="1"/>
      <c r="C941" s="9">
        <v>44816</v>
      </c>
      <c r="D941" s="17" t="s">
        <v>6390</v>
      </c>
      <c r="E941" s="265" t="s">
        <v>6389</v>
      </c>
      <c r="F941" s="50"/>
      <c r="G941" s="1861"/>
      <c r="H941" s="1"/>
      <c r="I941" s="29" t="s">
        <v>6394</v>
      </c>
      <c r="J941" s="101" t="s">
        <v>528</v>
      </c>
    </row>
    <row r="942" spans="1:11" ht="14.25" customHeight="1">
      <c r="A942" s="1"/>
      <c r="B942" s="1"/>
      <c r="C942" s="9">
        <v>44816</v>
      </c>
      <c r="D942" s="17" t="s">
        <v>4639</v>
      </c>
      <c r="E942" s="265" t="s">
        <v>4019</v>
      </c>
      <c r="F942" s="50"/>
      <c r="G942" s="1861"/>
      <c r="H942" s="1" t="s">
        <v>1227</v>
      </c>
      <c r="I942" s="53" t="s">
        <v>6392</v>
      </c>
      <c r="J942" s="101" t="s">
        <v>507</v>
      </c>
    </row>
    <row r="943" spans="1:11" ht="14.25" customHeight="1">
      <c r="A943" s="1"/>
      <c r="B943" s="1"/>
      <c r="C943" s="9">
        <v>44816</v>
      </c>
      <c r="D943" s="17" t="s">
        <v>6391</v>
      </c>
      <c r="E943" s="265" t="s">
        <v>1907</v>
      </c>
      <c r="F943" s="50"/>
      <c r="G943" s="1861"/>
      <c r="H943" s="1" t="s">
        <v>1227</v>
      </c>
      <c r="I943" s="53" t="s">
        <v>6393</v>
      </c>
      <c r="J943" s="162">
        <v>44912</v>
      </c>
    </row>
    <row r="944" spans="1:11" ht="14.25" customHeight="1">
      <c r="A944" s="1"/>
      <c r="B944" s="1"/>
      <c r="C944" s="9">
        <v>44816</v>
      </c>
      <c r="D944" s="17" t="s">
        <v>6398</v>
      </c>
      <c r="E944" s="266" t="s">
        <v>4708</v>
      </c>
      <c r="F944" s="50"/>
      <c r="G944" s="1861"/>
      <c r="H944" s="1" t="s">
        <v>1383</v>
      </c>
      <c r="I944" s="53" t="s">
        <v>6397</v>
      </c>
      <c r="J944" s="162">
        <v>44840</v>
      </c>
    </row>
    <row r="945" spans="1:14" ht="14.25" customHeight="1">
      <c r="A945" s="1"/>
      <c r="B945" s="1"/>
      <c r="C945" s="9">
        <v>44816</v>
      </c>
      <c r="D945" s="17" t="s">
        <v>6391</v>
      </c>
      <c r="E945" s="265" t="s">
        <v>1907</v>
      </c>
      <c r="F945" s="50"/>
      <c r="G945" s="1861"/>
      <c r="H945" s="1" t="s">
        <v>1227</v>
      </c>
      <c r="I945" s="53" t="s">
        <v>6399</v>
      </c>
      <c r="J945" s="356">
        <v>44912</v>
      </c>
    </row>
    <row r="946" spans="1:14" ht="14.25" customHeight="1">
      <c r="A946" s="1"/>
      <c r="B946" s="1"/>
      <c r="C946" s="1"/>
      <c r="D946" s="17" t="s">
        <v>4639</v>
      </c>
      <c r="E946" s="265" t="s">
        <v>4019</v>
      </c>
      <c r="F946" s="50"/>
      <c r="G946" s="1861"/>
      <c r="H946" s="1" t="s">
        <v>1227</v>
      </c>
      <c r="I946" s="53" t="s">
        <v>6401</v>
      </c>
      <c r="J946" s="13" t="s">
        <v>507</v>
      </c>
    </row>
    <row r="947" spans="1:14" ht="14.25" customHeight="1">
      <c r="A947" s="1"/>
      <c r="B947" s="1"/>
      <c r="C947" s="1"/>
      <c r="D947" s="16" t="s">
        <v>6230</v>
      </c>
      <c r="E947" s="11" t="s">
        <v>6228</v>
      </c>
      <c r="F947" s="64"/>
      <c r="G947" s="1864"/>
      <c r="H947" s="13" t="s">
        <v>2071</v>
      </c>
      <c r="I947" s="53" t="s">
        <v>6232</v>
      </c>
      <c r="J947" s="13"/>
    </row>
    <row r="948" spans="1:14" ht="14.25" customHeight="1">
      <c r="A948" s="1"/>
      <c r="B948" s="1"/>
      <c r="C948" s="9">
        <v>44818</v>
      </c>
      <c r="D948" s="17" t="s">
        <v>6406</v>
      </c>
      <c r="E948" s="270" t="s">
        <v>6405</v>
      </c>
      <c r="F948" s="50"/>
      <c r="G948" s="1861"/>
      <c r="H948" s="1" t="s">
        <v>2071</v>
      </c>
      <c r="I948" s="53" t="s">
        <v>6404</v>
      </c>
      <c r="J948" s="13" t="s">
        <v>507</v>
      </c>
    </row>
    <row r="949" spans="1:14" ht="14.25" customHeight="1">
      <c r="A949" s="1"/>
      <c r="B949" s="1"/>
      <c r="C949" s="9">
        <v>44819</v>
      </c>
      <c r="D949" s="17" t="s">
        <v>6406</v>
      </c>
      <c r="E949" s="320" t="s">
        <v>6600</v>
      </c>
      <c r="F949" s="50" t="s">
        <v>161</v>
      </c>
      <c r="G949" s="1861"/>
      <c r="H949" s="1" t="s">
        <v>2071</v>
      </c>
      <c r="I949" s="53" t="s">
        <v>6425</v>
      </c>
      <c r="J949" s="13" t="s">
        <v>507</v>
      </c>
    </row>
    <row r="950" spans="1:14" ht="14.25" customHeight="1">
      <c r="A950" s="1"/>
      <c r="B950" s="1"/>
      <c r="C950" s="9">
        <v>44827</v>
      </c>
      <c r="D950" s="17" t="s">
        <v>6436</v>
      </c>
      <c r="E950" s="280" t="s">
        <v>6435</v>
      </c>
      <c r="F950" s="50"/>
      <c r="G950" s="1861"/>
      <c r="H950" s="1" t="s">
        <v>5884</v>
      </c>
      <c r="I950" s="53" t="s">
        <v>6434</v>
      </c>
      <c r="J950" s="13" t="s">
        <v>100</v>
      </c>
      <c r="K950" s="337" t="s">
        <v>6691</v>
      </c>
    </row>
    <row r="951" spans="1:14" ht="14.25" customHeight="1">
      <c r="A951" s="1"/>
      <c r="B951" s="1"/>
      <c r="C951" s="9">
        <v>44827</v>
      </c>
      <c r="D951" s="17" t="s">
        <v>2952</v>
      </c>
      <c r="E951" s="281" t="s">
        <v>6437</v>
      </c>
      <c r="F951" s="50"/>
      <c r="G951" s="1861"/>
      <c r="H951" s="1" t="s">
        <v>2996</v>
      </c>
      <c r="I951" s="53" t="s">
        <v>6438</v>
      </c>
      <c r="J951" s="13" t="s">
        <v>507</v>
      </c>
    </row>
    <row r="952" spans="1:14" ht="14.25" customHeight="1">
      <c r="A952" s="1"/>
      <c r="B952" s="1"/>
      <c r="C952" s="9">
        <v>44829</v>
      </c>
      <c r="D952" s="17" t="s">
        <v>6231</v>
      </c>
      <c r="E952" s="2" t="s">
        <v>6229</v>
      </c>
      <c r="F952" s="50"/>
      <c r="G952" s="1861"/>
      <c r="H952" s="1" t="s">
        <v>2071</v>
      </c>
      <c r="I952" s="53" t="s">
        <v>6457</v>
      </c>
      <c r="J952" s="13" t="s">
        <v>507</v>
      </c>
    </row>
    <row r="953" spans="1:14" ht="14.25" customHeight="1">
      <c r="A953" s="1"/>
      <c r="B953" s="1"/>
      <c r="C953" s="9">
        <v>44830</v>
      </c>
      <c r="D953" s="17" t="s">
        <v>6460</v>
      </c>
      <c r="E953" s="2" t="s">
        <v>6459</v>
      </c>
      <c r="F953" s="50"/>
      <c r="G953" s="1861"/>
      <c r="H953" s="1" t="s">
        <v>1905</v>
      </c>
      <c r="I953" s="53" t="s">
        <v>6458</v>
      </c>
      <c r="J953" s="13" t="s">
        <v>507</v>
      </c>
      <c r="K953" s="337" t="s">
        <v>6692</v>
      </c>
    </row>
    <row r="954" spans="1:14" ht="14.25" customHeight="1">
      <c r="A954" s="1"/>
      <c r="B954" s="1"/>
      <c r="C954" s="9">
        <v>44831</v>
      </c>
      <c r="D954" s="101">
        <v>8210758522</v>
      </c>
      <c r="E954" s="2" t="s">
        <v>6467</v>
      </c>
      <c r="H954" s="286" t="s">
        <v>1355</v>
      </c>
      <c r="I954" s="53" t="s">
        <v>6469</v>
      </c>
      <c r="J954" s="24">
        <v>45085</v>
      </c>
      <c r="K954" s="337" t="s">
        <v>6692</v>
      </c>
    </row>
    <row r="955" spans="1:14" ht="14.25" customHeight="1">
      <c r="A955" s="1"/>
      <c r="B955" s="1"/>
      <c r="C955" s="9">
        <v>44834</v>
      </c>
      <c r="D955" s="17" t="s">
        <v>6230</v>
      </c>
      <c r="E955" s="2" t="s">
        <v>6228</v>
      </c>
      <c r="F955" s="50"/>
      <c r="G955" s="1861"/>
      <c r="H955" s="1"/>
      <c r="I955" s="53" t="s">
        <v>6472</v>
      </c>
      <c r="J955" s="13" t="s">
        <v>528</v>
      </c>
      <c r="K955" s="337" t="s">
        <v>6692</v>
      </c>
    </row>
    <row r="956" spans="1:14" ht="14.25" customHeight="1">
      <c r="A956" s="1"/>
      <c r="B956" s="1"/>
      <c r="C956" s="9">
        <v>44834</v>
      </c>
      <c r="D956" s="17" t="s">
        <v>6474</v>
      </c>
      <c r="E956" s="2" t="s">
        <v>6180</v>
      </c>
      <c r="F956" s="50"/>
      <c r="G956" s="1861"/>
      <c r="H956" s="1" t="s">
        <v>1275</v>
      </c>
      <c r="I956" s="53" t="s">
        <v>6473</v>
      </c>
      <c r="J956" s="24">
        <v>44898</v>
      </c>
    </row>
    <row r="957" spans="1:14" ht="14.25" customHeight="1">
      <c r="A957" s="1"/>
      <c r="B957" s="1"/>
      <c r="C957" s="9">
        <v>44836</v>
      </c>
      <c r="D957" s="17" t="s">
        <v>6478</v>
      </c>
      <c r="E957" s="2" t="s">
        <v>6477</v>
      </c>
      <c r="F957" s="50"/>
      <c r="G957" s="1861"/>
      <c r="H957" s="1" t="s">
        <v>2071</v>
      </c>
      <c r="I957" s="53" t="s">
        <v>6476</v>
      </c>
      <c r="J957" s="13" t="s">
        <v>507</v>
      </c>
    </row>
    <row r="958" spans="1:14" ht="14.25" customHeight="1">
      <c r="A958" s="1"/>
      <c r="B958" s="1"/>
      <c r="C958" s="95">
        <v>44845</v>
      </c>
      <c r="D958" s="101">
        <v>6204065940</v>
      </c>
      <c r="E958" s="2" t="s">
        <v>6491</v>
      </c>
      <c r="H958" s="1" t="s">
        <v>6490</v>
      </c>
      <c r="I958" s="53" t="s">
        <v>6489</v>
      </c>
      <c r="J958" s="24">
        <v>45044</v>
      </c>
      <c r="K958" s="338" t="s">
        <v>6692</v>
      </c>
      <c r="L958" s="300"/>
      <c r="M958" s="300"/>
      <c r="N958" s="300"/>
    </row>
    <row r="959" spans="1:14" ht="14.25" customHeight="1">
      <c r="A959" s="1"/>
      <c r="B959" s="1"/>
      <c r="C959" s="9">
        <v>44846</v>
      </c>
      <c r="D959" s="17" t="s">
        <v>4712</v>
      </c>
      <c r="E959" s="2" t="s">
        <v>6494</v>
      </c>
      <c r="F959" s="50"/>
      <c r="G959" s="1861"/>
      <c r="H959" s="1" t="s">
        <v>4420</v>
      </c>
      <c r="I959" s="53" t="s">
        <v>6495</v>
      </c>
      <c r="J959" s="24">
        <v>44959</v>
      </c>
      <c r="K959" s="338" t="s">
        <v>6692</v>
      </c>
    </row>
    <row r="960" spans="1:14" ht="14.25" customHeight="1">
      <c r="A960" s="1"/>
      <c r="B960" s="1"/>
      <c r="C960" s="9">
        <v>44846</v>
      </c>
      <c r="D960" s="17" t="s">
        <v>6309</v>
      </c>
      <c r="E960" s="2" t="s">
        <v>6496</v>
      </c>
      <c r="F960" s="50"/>
      <c r="G960" s="1861"/>
      <c r="H960" s="1" t="s">
        <v>516</v>
      </c>
      <c r="I960" s="53" t="s">
        <v>6504</v>
      </c>
      <c r="J960" s="13" t="s">
        <v>507</v>
      </c>
      <c r="K960" s="338" t="s">
        <v>6692</v>
      </c>
    </row>
    <row r="961" spans="1:13" ht="14.25" customHeight="1">
      <c r="A961" s="1"/>
      <c r="B961" s="1"/>
      <c r="C961" s="162">
        <v>44841</v>
      </c>
      <c r="D961" s="17" t="s">
        <v>3015</v>
      </c>
      <c r="E961" s="71" t="s">
        <v>1085</v>
      </c>
      <c r="H961" s="289" t="s">
        <v>1825</v>
      </c>
      <c r="I961" s="29" t="s">
        <v>6507</v>
      </c>
      <c r="J961" s="13" t="s">
        <v>538</v>
      </c>
      <c r="K961" s="25" t="s">
        <v>6693</v>
      </c>
    </row>
    <row r="962" spans="1:13" ht="14.25" customHeight="1">
      <c r="A962" s="1"/>
      <c r="B962" s="1"/>
      <c r="C962" s="9">
        <v>44848</v>
      </c>
      <c r="D962" s="17" t="s">
        <v>6503</v>
      </c>
      <c r="E962" s="2" t="s">
        <v>6502</v>
      </c>
      <c r="F962" s="50"/>
      <c r="G962" s="1861"/>
      <c r="H962" s="1" t="s">
        <v>2047</v>
      </c>
      <c r="I962" s="53" t="s">
        <v>6501</v>
      </c>
      <c r="J962" s="24">
        <v>44970</v>
      </c>
      <c r="K962" s="338" t="s">
        <v>6692</v>
      </c>
    </row>
    <row r="963" spans="1:13" ht="14.25" customHeight="1">
      <c r="A963" s="1"/>
      <c r="B963" s="1"/>
      <c r="C963" s="9">
        <v>44856</v>
      </c>
      <c r="D963" s="257" t="s">
        <v>6333</v>
      </c>
      <c r="E963" s="253" t="s">
        <v>6336</v>
      </c>
      <c r="F963" s="50"/>
      <c r="G963" s="1861"/>
      <c r="H963" s="1" t="s">
        <v>2071</v>
      </c>
      <c r="I963" s="53" t="s">
        <v>6523</v>
      </c>
      <c r="J963" s="13" t="s">
        <v>507</v>
      </c>
      <c r="K963" s="338" t="s">
        <v>6692</v>
      </c>
    </row>
    <row r="964" spans="1:13" ht="14.25" customHeight="1">
      <c r="A964" s="1"/>
      <c r="B964" s="1"/>
      <c r="C964" s="9">
        <v>44861</v>
      </c>
      <c r="D964" s="17" t="s">
        <v>6535</v>
      </c>
      <c r="E964" s="2" t="s">
        <v>6532</v>
      </c>
      <c r="F964" s="50"/>
      <c r="G964" s="1861"/>
      <c r="H964" s="1" t="s">
        <v>3056</v>
      </c>
      <c r="I964" s="29" t="s">
        <v>6534</v>
      </c>
      <c r="J964" s="13" t="s">
        <v>538</v>
      </c>
      <c r="K964" s="25" t="s">
        <v>6698</v>
      </c>
    </row>
    <row r="965" spans="1:13" ht="14.25" customHeight="1">
      <c r="A965" s="1"/>
      <c r="B965" s="1"/>
      <c r="C965" s="9">
        <v>44861</v>
      </c>
      <c r="D965" s="17" t="s">
        <v>6535</v>
      </c>
      <c r="E965" s="2" t="s">
        <v>6531</v>
      </c>
      <c r="F965" s="50"/>
      <c r="G965" s="1861"/>
      <c r="H965" s="1" t="s">
        <v>3056</v>
      </c>
      <c r="I965" s="29" t="s">
        <v>6533</v>
      </c>
      <c r="J965" s="13" t="s">
        <v>538</v>
      </c>
      <c r="K965" s="25" t="s">
        <v>6698</v>
      </c>
    </row>
    <row r="966" spans="1:13" ht="14.25" customHeight="1">
      <c r="A966" s="1"/>
      <c r="B966" s="1"/>
      <c r="C966" s="9">
        <v>44867</v>
      </c>
      <c r="D966" s="17" t="s">
        <v>2952</v>
      </c>
      <c r="E966" s="2" t="s">
        <v>6548</v>
      </c>
      <c r="F966" s="50"/>
      <c r="G966" s="1861"/>
      <c r="H966" s="1" t="s">
        <v>2996</v>
      </c>
      <c r="I966" s="29" t="s">
        <v>6547</v>
      </c>
      <c r="J966" s="13" t="s">
        <v>36</v>
      </c>
      <c r="K966" s="25" t="s">
        <v>6699</v>
      </c>
    </row>
    <row r="967" spans="1:13" ht="14.25" customHeight="1">
      <c r="A967" s="1"/>
      <c r="B967" s="1"/>
      <c r="C967" s="95">
        <v>44870</v>
      </c>
      <c r="D967" s="101">
        <v>9608956144</v>
      </c>
      <c r="E967" s="2" t="s">
        <v>6555</v>
      </c>
      <c r="H967" s="1" t="s">
        <v>6556</v>
      </c>
      <c r="I967" s="29" t="s">
        <v>6558</v>
      </c>
      <c r="J967" s="13" t="s">
        <v>507</v>
      </c>
    </row>
    <row r="968" spans="1:13" ht="14.25" customHeight="1">
      <c r="A968" s="1"/>
      <c r="B968" s="1"/>
      <c r="C968" s="9">
        <v>44873</v>
      </c>
      <c r="D968" s="17"/>
      <c r="E968" s="2" t="s">
        <v>539</v>
      </c>
      <c r="F968" s="50"/>
      <c r="G968" s="1861"/>
      <c r="H968" s="1" t="s">
        <v>6560</v>
      </c>
      <c r="I968" s="29" t="s">
        <v>6559</v>
      </c>
      <c r="J968" s="13" t="s">
        <v>507</v>
      </c>
      <c r="K968" s="338"/>
    </row>
    <row r="969" spans="1:13" ht="14.25" customHeight="1">
      <c r="A969" s="1"/>
      <c r="B969" s="1"/>
      <c r="C969" s="9">
        <v>44875</v>
      </c>
      <c r="D969" s="17" t="s">
        <v>6567</v>
      </c>
      <c r="E969" s="2" t="s">
        <v>6566</v>
      </c>
      <c r="F969" s="50"/>
      <c r="G969" s="1861" t="s">
        <v>3044</v>
      </c>
      <c r="H969" s="1" t="s">
        <v>2996</v>
      </c>
      <c r="I969" s="53" t="s">
        <v>6565</v>
      </c>
      <c r="J969" s="13" t="s">
        <v>6587</v>
      </c>
    </row>
    <row r="970" spans="1:13" ht="14.25" customHeight="1">
      <c r="A970" s="1"/>
      <c r="B970" s="1"/>
      <c r="C970" s="9">
        <v>44875</v>
      </c>
      <c r="D970" s="17" t="s">
        <v>6573</v>
      </c>
      <c r="E970" s="2" t="s">
        <v>6574</v>
      </c>
      <c r="F970" s="50"/>
      <c r="G970" s="1861"/>
      <c r="H970" s="1" t="s">
        <v>4220</v>
      </c>
      <c r="I970" s="53" t="s">
        <v>6572</v>
      </c>
      <c r="J970" s="374">
        <v>44934</v>
      </c>
    </row>
    <row r="971" spans="1:13" ht="14.25" customHeight="1">
      <c r="A971" s="1"/>
      <c r="B971" s="1"/>
      <c r="C971" s="9">
        <v>44875</v>
      </c>
      <c r="D971" s="17" t="s">
        <v>6575</v>
      </c>
      <c r="E971" s="2" t="s">
        <v>6576</v>
      </c>
      <c r="F971" s="50"/>
      <c r="G971" s="1861"/>
      <c r="H971" s="1" t="s">
        <v>4220</v>
      </c>
      <c r="I971" s="53" t="s">
        <v>6577</v>
      </c>
      <c r="J971" s="374">
        <v>44934</v>
      </c>
      <c r="K971" s="367"/>
    </row>
    <row r="972" spans="1:13" ht="14.25" customHeight="1">
      <c r="A972" s="1"/>
      <c r="B972" s="1"/>
      <c r="C972" s="9">
        <v>44875</v>
      </c>
      <c r="D972" s="17" t="s">
        <v>6578</v>
      </c>
      <c r="E972" s="2" t="s">
        <v>6579</v>
      </c>
      <c r="F972" s="50"/>
      <c r="G972" s="1861"/>
      <c r="H972" s="1" t="s">
        <v>1275</v>
      </c>
      <c r="I972" s="29" t="s">
        <v>6580</v>
      </c>
      <c r="J972" s="352" t="s">
        <v>507</v>
      </c>
      <c r="K972" s="338"/>
    </row>
    <row r="973" spans="1:13" ht="14.25" customHeight="1">
      <c r="A973" s="1"/>
      <c r="B973" s="1"/>
      <c r="C973" s="9">
        <v>44876</v>
      </c>
      <c r="D973" s="17" t="s">
        <v>6582</v>
      </c>
      <c r="E973" s="2" t="s">
        <v>546</v>
      </c>
      <c r="F973" s="50"/>
      <c r="G973" s="1861"/>
      <c r="H973" s="1" t="s">
        <v>2929</v>
      </c>
      <c r="I973" s="29" t="s">
        <v>6581</v>
      </c>
      <c r="J973" s="352" t="s">
        <v>507</v>
      </c>
      <c r="K973" s="338"/>
      <c r="M973">
        <f>142*1.5</f>
        <v>213</v>
      </c>
    </row>
    <row r="974" spans="1:13" ht="14.25" customHeight="1">
      <c r="A974" s="1"/>
      <c r="B974" s="1"/>
      <c r="C974" s="9">
        <v>44876</v>
      </c>
      <c r="D974" s="17" t="s">
        <v>6716</v>
      </c>
      <c r="E974" s="2" t="s">
        <v>6583</v>
      </c>
      <c r="F974" s="50"/>
      <c r="G974" s="1861"/>
      <c r="H974" s="1" t="s">
        <v>1275</v>
      </c>
      <c r="I974" s="29" t="s">
        <v>6584</v>
      </c>
      <c r="J974" s="352" t="s">
        <v>507</v>
      </c>
      <c r="K974" s="338"/>
    </row>
    <row r="975" spans="1:13" ht="14.25" customHeight="1">
      <c r="A975" s="1"/>
      <c r="B975" s="1"/>
      <c r="C975" s="9">
        <v>44877</v>
      </c>
      <c r="D975" s="17" t="s">
        <v>6586</v>
      </c>
      <c r="E975" s="2" t="s">
        <v>1589</v>
      </c>
      <c r="F975" s="50"/>
      <c r="G975" s="1861"/>
      <c r="H975" s="1" t="s">
        <v>1275</v>
      </c>
      <c r="I975" s="29" t="s">
        <v>6585</v>
      </c>
      <c r="J975" s="374">
        <v>44962</v>
      </c>
      <c r="K975" s="338"/>
    </row>
    <row r="976" spans="1:13" ht="14.25" customHeight="1">
      <c r="A976" s="1"/>
      <c r="B976" s="1"/>
      <c r="C976" s="9">
        <v>44880</v>
      </c>
      <c r="D976" s="17" t="s">
        <v>6593</v>
      </c>
      <c r="E976" s="2" t="s">
        <v>6592</v>
      </c>
      <c r="F976" s="50"/>
      <c r="G976" s="1861"/>
      <c r="H976" s="1" t="s">
        <v>1955</v>
      </c>
      <c r="I976" s="53" t="s">
        <v>6594</v>
      </c>
      <c r="J976" s="374">
        <v>44964</v>
      </c>
    </row>
    <row r="977" spans="1:11" ht="14.25" customHeight="1">
      <c r="A977" s="1"/>
      <c r="B977" s="1"/>
      <c r="C977" s="9">
        <v>44886</v>
      </c>
      <c r="D977" s="17" t="s">
        <v>6618</v>
      </c>
      <c r="E977" s="2" t="s">
        <v>6617</v>
      </c>
      <c r="F977" s="50"/>
      <c r="G977" s="1861"/>
      <c r="H977" s="1" t="s">
        <v>5094</v>
      </c>
      <c r="I977" s="325" t="s">
        <v>6616</v>
      </c>
      <c r="J977" s="374">
        <v>44954</v>
      </c>
      <c r="K977" s="338"/>
    </row>
    <row r="978" spans="1:11" ht="14.25" customHeight="1">
      <c r="A978" s="1"/>
      <c r="B978" s="1"/>
      <c r="C978" s="9">
        <v>44893</v>
      </c>
      <c r="D978" s="17" t="s">
        <v>6633</v>
      </c>
      <c r="E978" s="2" t="s">
        <v>6632</v>
      </c>
      <c r="F978" s="50"/>
      <c r="G978" s="1861"/>
      <c r="H978" s="1" t="s">
        <v>1347</v>
      </c>
      <c r="I978" s="332" t="s">
        <v>6634</v>
      </c>
      <c r="J978" s="352" t="s">
        <v>538</v>
      </c>
    </row>
    <row r="979" spans="1:11" ht="14.25" customHeight="1">
      <c r="A979" s="1"/>
      <c r="B979" s="1"/>
      <c r="C979" s="9">
        <v>44893</v>
      </c>
      <c r="D979" s="17" t="s">
        <v>6185</v>
      </c>
      <c r="E979" s="2" t="s">
        <v>6631</v>
      </c>
      <c r="F979" s="50"/>
      <c r="G979" s="1861"/>
      <c r="H979" s="1" t="s">
        <v>1275</v>
      </c>
      <c r="I979" s="332" t="s">
        <v>6635</v>
      </c>
      <c r="J979" s="352" t="s">
        <v>77</v>
      </c>
    </row>
    <row r="980" spans="1:11" ht="14.25" customHeight="1">
      <c r="A980" s="1"/>
      <c r="B980" s="1"/>
      <c r="C980" s="9">
        <v>44893</v>
      </c>
      <c r="D980" s="17" t="s">
        <v>6639</v>
      </c>
      <c r="E980" s="2" t="s">
        <v>6636</v>
      </c>
      <c r="F980" s="50"/>
      <c r="G980" s="1861"/>
      <c r="H980" s="1" t="s">
        <v>1892</v>
      </c>
      <c r="I980" s="332" t="s">
        <v>6638</v>
      </c>
      <c r="J980" s="374">
        <v>44961</v>
      </c>
    </row>
    <row r="981" spans="1:11" ht="14.25" customHeight="1">
      <c r="A981" s="1"/>
      <c r="B981" s="1"/>
      <c r="C981" s="9">
        <v>44893</v>
      </c>
      <c r="D981" s="17" t="s">
        <v>5433</v>
      </c>
      <c r="E981" s="2" t="s">
        <v>2092</v>
      </c>
      <c r="F981" s="50"/>
      <c r="G981" s="1861"/>
      <c r="H981" s="1" t="s">
        <v>1869</v>
      </c>
      <c r="I981" s="332" t="s">
        <v>6640</v>
      </c>
      <c r="J981" s="374">
        <v>44935</v>
      </c>
    </row>
    <row r="982" spans="1:11" ht="14.25" customHeight="1">
      <c r="A982" s="1"/>
      <c r="B982" s="1"/>
      <c r="C982" s="9">
        <v>44895</v>
      </c>
      <c r="D982" s="17" t="s">
        <v>5452</v>
      </c>
      <c r="E982" s="2" t="s">
        <v>6851</v>
      </c>
      <c r="F982" s="50"/>
      <c r="G982" s="1861"/>
      <c r="H982" s="1" t="s">
        <v>2076</v>
      </c>
      <c r="I982" s="325" t="s">
        <v>6646</v>
      </c>
      <c r="J982" s="13" t="s">
        <v>6815</v>
      </c>
    </row>
    <row r="983" spans="1:11" ht="14.25" customHeight="1">
      <c r="A983" s="1"/>
      <c r="B983" s="1"/>
      <c r="C983" s="9">
        <v>44896</v>
      </c>
      <c r="D983" s="17" t="s">
        <v>6650</v>
      </c>
      <c r="E983" s="2" t="s">
        <v>6649</v>
      </c>
      <c r="F983" s="50"/>
      <c r="G983" s="1861"/>
      <c r="H983" s="1" t="s">
        <v>2018</v>
      </c>
      <c r="I983" s="325" t="s">
        <v>6651</v>
      </c>
      <c r="J983" s="24">
        <v>44984</v>
      </c>
    </row>
    <row r="984" spans="1:11" ht="14.25" customHeight="1">
      <c r="A984" s="1"/>
      <c r="B984" s="1"/>
      <c r="C984" s="9">
        <v>44896</v>
      </c>
      <c r="D984" s="17" t="s">
        <v>5449</v>
      </c>
      <c r="E984" s="2" t="s">
        <v>6652</v>
      </c>
      <c r="F984" s="50"/>
      <c r="G984" s="1861"/>
      <c r="H984" s="1" t="s">
        <v>2076</v>
      </c>
      <c r="I984" s="325" t="s">
        <v>6653</v>
      </c>
      <c r="J984" s="24">
        <v>44963</v>
      </c>
    </row>
    <row r="985" spans="1:11" ht="14.25" customHeight="1">
      <c r="A985" s="1"/>
      <c r="B985" s="1"/>
      <c r="C985" s="9">
        <v>44897</v>
      </c>
      <c r="D985" s="17"/>
      <c r="E985" s="2" t="s">
        <v>6655</v>
      </c>
      <c r="F985" s="50"/>
      <c r="G985" s="1861"/>
      <c r="H985" s="1" t="s">
        <v>2067</v>
      </c>
      <c r="I985" s="332" t="s">
        <v>6654</v>
      </c>
      <c r="J985" s="352" t="s">
        <v>39</v>
      </c>
    </row>
    <row r="986" spans="1:11" ht="14.25" customHeight="1">
      <c r="A986" s="1"/>
      <c r="B986" s="1"/>
      <c r="C986" s="9">
        <v>44898</v>
      </c>
      <c r="D986" s="17" t="s">
        <v>6660</v>
      </c>
      <c r="E986" s="2" t="s">
        <v>6659</v>
      </c>
      <c r="F986" s="50"/>
      <c r="G986" s="1861"/>
      <c r="H986" s="1" t="s">
        <v>1227</v>
      </c>
      <c r="I986" s="325" t="s">
        <v>6658</v>
      </c>
      <c r="J986" s="374">
        <v>44961</v>
      </c>
    </row>
    <row r="987" spans="1:11" ht="14.25" customHeight="1">
      <c r="A987" s="1"/>
      <c r="B987" s="1"/>
      <c r="C987" s="9">
        <v>44898</v>
      </c>
      <c r="D987" s="17" t="s">
        <v>6662</v>
      </c>
      <c r="E987" s="2" t="s">
        <v>3864</v>
      </c>
      <c r="F987" s="50"/>
      <c r="G987" s="1861"/>
      <c r="H987" s="1" t="s">
        <v>1268</v>
      </c>
      <c r="I987" s="325" t="s">
        <v>6661</v>
      </c>
      <c r="J987" s="374">
        <v>44954</v>
      </c>
    </row>
    <row r="988" spans="1:11" ht="14.25" customHeight="1">
      <c r="A988" s="1"/>
      <c r="B988" s="1"/>
      <c r="C988" s="9">
        <v>44898</v>
      </c>
      <c r="D988" s="17" t="s">
        <v>6665</v>
      </c>
      <c r="E988" s="2" t="s">
        <v>6666</v>
      </c>
      <c r="F988" s="50"/>
      <c r="G988" s="1861"/>
      <c r="H988" s="1" t="s">
        <v>1227</v>
      </c>
      <c r="I988" s="325" t="s">
        <v>6667</v>
      </c>
      <c r="J988" s="374">
        <v>44949</v>
      </c>
    </row>
    <row r="989" spans="1:11" ht="14.25" customHeight="1">
      <c r="A989" s="1"/>
      <c r="B989" s="1"/>
      <c r="C989" s="9">
        <v>44900</v>
      </c>
      <c r="D989" s="17" t="s">
        <v>6671</v>
      </c>
      <c r="E989" s="2" t="s">
        <v>6670</v>
      </c>
      <c r="F989" s="50"/>
      <c r="G989" s="1861"/>
      <c r="H989" s="1" t="s">
        <v>1227</v>
      </c>
      <c r="I989" s="325" t="s">
        <v>6669</v>
      </c>
      <c r="J989" s="374">
        <v>44949</v>
      </c>
    </row>
    <row r="990" spans="1:11" ht="14.25" customHeight="1">
      <c r="A990" s="1"/>
      <c r="B990" s="1"/>
      <c r="C990" s="9">
        <v>44900</v>
      </c>
      <c r="D990" s="17" t="s">
        <v>6673</v>
      </c>
      <c r="E990" s="2" t="s">
        <v>5525</v>
      </c>
      <c r="F990" s="50"/>
      <c r="G990" s="1861"/>
      <c r="H990" s="1"/>
      <c r="I990" s="325" t="s">
        <v>6672</v>
      </c>
      <c r="J990" s="352" t="s">
        <v>507</v>
      </c>
    </row>
    <row r="991" spans="1:11" ht="14.25" customHeight="1">
      <c r="A991" s="1"/>
      <c r="B991" s="1"/>
      <c r="C991" s="9">
        <v>44901</v>
      </c>
      <c r="D991" s="17" t="s">
        <v>1225</v>
      </c>
      <c r="E991" s="2" t="s">
        <v>6674</v>
      </c>
      <c r="F991" s="50"/>
      <c r="G991" s="1861"/>
      <c r="H991" s="1" t="s">
        <v>1227</v>
      </c>
      <c r="I991" s="325" t="s">
        <v>6682</v>
      </c>
      <c r="J991" s="352" t="s">
        <v>507</v>
      </c>
    </row>
    <row r="992" spans="1:11" ht="14.25" customHeight="1">
      <c r="A992" s="1"/>
      <c r="B992" s="1"/>
      <c r="C992" s="9">
        <v>44901</v>
      </c>
      <c r="D992" s="17" t="s">
        <v>6676</v>
      </c>
      <c r="E992" s="2" t="s">
        <v>6677</v>
      </c>
      <c r="F992" s="50"/>
      <c r="G992" s="1861"/>
      <c r="H992" s="1" t="s">
        <v>2783</v>
      </c>
      <c r="I992" s="325" t="s">
        <v>6684</v>
      </c>
      <c r="J992" s="352" t="s">
        <v>507</v>
      </c>
      <c r="K992" s="325" t="s">
        <v>6683</v>
      </c>
    </row>
    <row r="993" spans="1:11" ht="14.25" customHeight="1">
      <c r="A993" s="1"/>
      <c r="B993" s="1"/>
      <c r="C993" s="9">
        <v>44901</v>
      </c>
      <c r="D993" s="17" t="s">
        <v>6678</v>
      </c>
      <c r="E993" s="2" t="s">
        <v>6679</v>
      </c>
      <c r="F993" s="50"/>
      <c r="G993" s="1861"/>
      <c r="H993" s="1" t="s">
        <v>1392</v>
      </c>
      <c r="I993" s="325" t="s">
        <v>6685</v>
      </c>
      <c r="J993" s="374">
        <v>45335</v>
      </c>
    </row>
    <row r="994" spans="1:11" ht="14.25" customHeight="1">
      <c r="C994" s="9">
        <v>44901</v>
      </c>
      <c r="D994" s="101">
        <v>6200460134</v>
      </c>
      <c r="E994" s="2" t="s">
        <v>6680</v>
      </c>
      <c r="H994" s="1" t="s">
        <v>5620</v>
      </c>
      <c r="I994" s="325" t="s">
        <v>6686</v>
      </c>
      <c r="J994" s="374">
        <v>44962</v>
      </c>
    </row>
    <row r="995" spans="1:11" ht="14.25" customHeight="1">
      <c r="C995" s="9">
        <v>44901</v>
      </c>
      <c r="D995" s="101">
        <v>8709191664</v>
      </c>
      <c r="E995" s="2" t="s">
        <v>6681</v>
      </c>
      <c r="H995" s="1" t="s">
        <v>5620</v>
      </c>
      <c r="I995" s="325" t="s">
        <v>6687</v>
      </c>
      <c r="J995" s="374">
        <v>44962</v>
      </c>
    </row>
    <row r="996" spans="1:11" ht="14.25" customHeight="1">
      <c r="C996" s="95">
        <v>44901</v>
      </c>
      <c r="D996" s="101">
        <v>9430157215</v>
      </c>
      <c r="E996" s="2" t="s">
        <v>6688</v>
      </c>
      <c r="H996" s="1" t="s">
        <v>1219</v>
      </c>
      <c r="I996" s="325" t="s">
        <v>6694</v>
      </c>
      <c r="J996" s="351" t="s">
        <v>6757</v>
      </c>
      <c r="K996" s="101" t="s">
        <v>6689</v>
      </c>
    </row>
    <row r="997" spans="1:11" ht="14.25" customHeight="1">
      <c r="C997" s="9">
        <v>44901</v>
      </c>
      <c r="D997" s="17" t="s">
        <v>6675</v>
      </c>
      <c r="E997" s="2" t="s">
        <v>4005</v>
      </c>
      <c r="F997" s="50"/>
      <c r="G997" s="1861"/>
      <c r="H997" s="1" t="s">
        <v>5538</v>
      </c>
      <c r="I997" s="325" t="s">
        <v>6690</v>
      </c>
      <c r="J997" s="353" t="s">
        <v>507</v>
      </c>
    </row>
    <row r="998" spans="1:11" ht="14.25" customHeight="1">
      <c r="C998" s="9">
        <v>44901</v>
      </c>
      <c r="D998" s="101">
        <v>9263306461</v>
      </c>
      <c r="E998" s="2" t="s">
        <v>5931</v>
      </c>
      <c r="H998" s="1" t="s">
        <v>1275</v>
      </c>
      <c r="I998" s="325" t="s">
        <v>6696</v>
      </c>
      <c r="J998" s="353" t="s">
        <v>507</v>
      </c>
    </row>
    <row r="999" spans="1:11" ht="14.25" customHeight="1">
      <c r="C999" s="9">
        <v>44901</v>
      </c>
      <c r="D999" s="101">
        <v>8789818079</v>
      </c>
      <c r="E999" s="2" t="s">
        <v>6695</v>
      </c>
      <c r="H999" s="1" t="s">
        <v>1392</v>
      </c>
      <c r="I999" s="325" t="s">
        <v>6697</v>
      </c>
      <c r="J999" s="101" t="s">
        <v>6757</v>
      </c>
    </row>
    <row r="1000" spans="1:11" ht="14.25" customHeight="1">
      <c r="C1000" s="95">
        <v>44902</v>
      </c>
      <c r="D1000" s="101">
        <v>7479569045</v>
      </c>
      <c r="E1000" s="2" t="s">
        <v>6700</v>
      </c>
      <c r="H1000" s="1" t="s">
        <v>2071</v>
      </c>
      <c r="I1000" s="325" t="s">
        <v>6701</v>
      </c>
      <c r="J1000" s="390">
        <v>44949</v>
      </c>
    </row>
    <row r="1001" spans="1:11" ht="14.25" customHeight="1">
      <c r="C1001" s="95">
        <v>44902</v>
      </c>
      <c r="D1001" s="101">
        <v>9142797447</v>
      </c>
      <c r="E1001" s="2" t="s">
        <v>6702</v>
      </c>
      <c r="H1001" s="1" t="s">
        <v>5538</v>
      </c>
      <c r="I1001" s="325" t="s">
        <v>6703</v>
      </c>
      <c r="J1001" s="390">
        <v>44588</v>
      </c>
    </row>
    <row r="1002" spans="1:11" ht="14.25" customHeight="1">
      <c r="C1002" s="95">
        <v>44903</v>
      </c>
      <c r="D1002" s="101">
        <v>8102208557</v>
      </c>
      <c r="E1002" s="2" t="s">
        <v>4019</v>
      </c>
      <c r="H1002" s="1" t="s">
        <v>5094</v>
      </c>
      <c r="I1002" s="325" t="s">
        <v>6704</v>
      </c>
      <c r="J1002" s="353" t="s">
        <v>6965</v>
      </c>
    </row>
    <row r="1003" spans="1:11" ht="14.25" customHeight="1">
      <c r="C1003" s="95">
        <v>44904</v>
      </c>
      <c r="D1003" s="101">
        <v>9525239996</v>
      </c>
      <c r="E1003" s="2" t="s">
        <v>4465</v>
      </c>
      <c r="H1003" s="1" t="s">
        <v>5538</v>
      </c>
      <c r="I1003" s="325" t="s">
        <v>6717</v>
      </c>
      <c r="J1003" s="390">
        <v>44953</v>
      </c>
    </row>
    <row r="1004" spans="1:11" ht="14.25" customHeight="1">
      <c r="C1004" s="95">
        <v>44904</v>
      </c>
      <c r="D1004" s="101">
        <v>9430754023</v>
      </c>
      <c r="E1004" s="2" t="s">
        <v>6718</v>
      </c>
      <c r="H1004" s="1" t="s">
        <v>6719</v>
      </c>
      <c r="I1004" s="325" t="s">
        <v>6720</v>
      </c>
      <c r="J1004" s="390">
        <v>44973</v>
      </c>
    </row>
    <row r="1005" spans="1:11" ht="14.25" customHeight="1">
      <c r="C1005" s="95">
        <v>44904</v>
      </c>
      <c r="D1005" s="101">
        <v>9060437982</v>
      </c>
      <c r="E1005" s="2" t="s">
        <v>6727</v>
      </c>
      <c r="H1005" s="1" t="s">
        <v>2047</v>
      </c>
      <c r="I1005" s="325" t="s">
        <v>6728</v>
      </c>
      <c r="J1005" s="353" t="s">
        <v>528</v>
      </c>
      <c r="K1005" s="95">
        <v>44950</v>
      </c>
    </row>
    <row r="1006" spans="1:11" ht="14.25" customHeight="1">
      <c r="C1006" s="95">
        <v>44905</v>
      </c>
      <c r="D1006" s="101">
        <v>7004652105</v>
      </c>
      <c r="E1006" s="2" t="s">
        <v>3515</v>
      </c>
      <c r="H1006" s="1" t="s">
        <v>5094</v>
      </c>
      <c r="I1006" s="325" t="s">
        <v>6730</v>
      </c>
      <c r="J1006" s="390">
        <v>44953</v>
      </c>
    </row>
    <row r="1007" spans="1:11" ht="14.25" customHeight="1">
      <c r="C1007" s="95">
        <v>44905</v>
      </c>
      <c r="D1007" s="101">
        <v>8252899763</v>
      </c>
      <c r="E1007" s="2" t="s">
        <v>6731</v>
      </c>
      <c r="H1007" s="1" t="s">
        <v>2047</v>
      </c>
      <c r="I1007" s="325" t="s">
        <v>6732</v>
      </c>
      <c r="J1007" s="200" t="s">
        <v>6813</v>
      </c>
    </row>
    <row r="1008" spans="1:11" ht="14.25" customHeight="1">
      <c r="C1008" s="95">
        <v>44905</v>
      </c>
      <c r="D1008" s="101">
        <v>8210985278</v>
      </c>
      <c r="E1008" s="2" t="s">
        <v>6733</v>
      </c>
      <c r="H1008" s="1" t="s">
        <v>1869</v>
      </c>
      <c r="I1008" s="325" t="s">
        <v>6737</v>
      </c>
      <c r="J1008" s="390">
        <v>45021</v>
      </c>
    </row>
    <row r="1009" spans="3:10" ht="14.25" customHeight="1">
      <c r="C1009" s="95">
        <v>44905</v>
      </c>
      <c r="D1009" s="101">
        <v>7903121089</v>
      </c>
      <c r="E1009" s="2" t="s">
        <v>2606</v>
      </c>
      <c r="H1009" s="1" t="s">
        <v>2071</v>
      </c>
      <c r="I1009" s="325" t="s">
        <v>6734</v>
      </c>
      <c r="J1009" s="353" t="s">
        <v>507</v>
      </c>
    </row>
    <row r="1010" spans="3:10" ht="14.25" customHeight="1">
      <c r="C1010" s="95">
        <v>44905</v>
      </c>
      <c r="D1010" s="101">
        <v>7979738994</v>
      </c>
      <c r="E1010" s="2" t="s">
        <v>6738</v>
      </c>
      <c r="H1010" s="1" t="s">
        <v>1785</v>
      </c>
      <c r="I1010" s="325" t="s">
        <v>6739</v>
      </c>
      <c r="J1010" s="390">
        <v>45119</v>
      </c>
    </row>
    <row r="1011" spans="3:10" ht="14.25" customHeight="1">
      <c r="C1011" s="162">
        <v>44907</v>
      </c>
      <c r="D1011" s="101">
        <v>943154447</v>
      </c>
      <c r="E1011" s="294" t="s">
        <v>6740</v>
      </c>
      <c r="H1011" s="348" t="s">
        <v>2134</v>
      </c>
      <c r="I1011" s="325" t="s">
        <v>6741</v>
      </c>
      <c r="J1011" s="353" t="s">
        <v>507</v>
      </c>
    </row>
    <row r="1012" spans="3:10" ht="14.25" customHeight="1">
      <c r="C1012" s="162">
        <v>44907</v>
      </c>
      <c r="D1012" s="101">
        <v>8603253038</v>
      </c>
      <c r="E1012" s="2" t="s">
        <v>6745</v>
      </c>
      <c r="H1012" s="1" t="s">
        <v>1275</v>
      </c>
      <c r="I1012" s="325" t="s">
        <v>6746</v>
      </c>
      <c r="J1012" s="390">
        <v>44972</v>
      </c>
    </row>
    <row r="1013" spans="3:10" ht="14.25" customHeight="1">
      <c r="C1013" s="95">
        <v>44908</v>
      </c>
      <c r="D1013" s="101">
        <v>9431755207</v>
      </c>
      <c r="E1013" s="2" t="s">
        <v>6748</v>
      </c>
      <c r="H1013" s="1" t="s">
        <v>6129</v>
      </c>
      <c r="I1013" s="325" t="s">
        <v>6747</v>
      </c>
      <c r="J1013" s="390">
        <v>44998</v>
      </c>
    </row>
    <row r="1014" spans="3:10" ht="14.25" customHeight="1">
      <c r="C1014" s="95">
        <v>44908</v>
      </c>
      <c r="D1014" s="101">
        <v>8434700045</v>
      </c>
      <c r="E1014" s="2" t="s">
        <v>6750</v>
      </c>
      <c r="H1014" s="1" t="s">
        <v>2018</v>
      </c>
      <c r="I1014" s="325" t="s">
        <v>6749</v>
      </c>
      <c r="J1014" s="353" t="s">
        <v>507</v>
      </c>
    </row>
    <row r="1015" spans="3:10" ht="14.25" customHeight="1">
      <c r="C1015" s="95">
        <v>44911</v>
      </c>
      <c r="D1015" s="101">
        <v>7761815658</v>
      </c>
      <c r="E1015" s="2" t="s">
        <v>6766</v>
      </c>
      <c r="H1015" s="1" t="s">
        <v>2071</v>
      </c>
      <c r="I1015" s="325" t="s">
        <v>6765</v>
      </c>
      <c r="J1015" s="353" t="s">
        <v>507</v>
      </c>
    </row>
    <row r="1016" spans="3:10" ht="14.25" customHeight="1">
      <c r="C1016" s="95">
        <v>44917</v>
      </c>
      <c r="D1016" s="101">
        <v>9431961510</v>
      </c>
      <c r="E1016" s="2" t="s">
        <v>6783</v>
      </c>
      <c r="H1016" s="1" t="s">
        <v>6784</v>
      </c>
      <c r="I1016" s="325" t="s">
        <v>6782</v>
      </c>
      <c r="J1016" s="353" t="s">
        <v>507</v>
      </c>
    </row>
    <row r="1017" spans="3:10" ht="14.25" customHeight="1">
      <c r="C1017" s="95">
        <v>44918</v>
      </c>
      <c r="D1017" s="101">
        <v>6299469608</v>
      </c>
      <c r="E1017" s="2" t="s">
        <v>6421</v>
      </c>
      <c r="H1017" s="1" t="s">
        <v>1627</v>
      </c>
      <c r="I1017" s="325" t="s">
        <v>6786</v>
      </c>
      <c r="J1017" s="390">
        <v>44982</v>
      </c>
    </row>
    <row r="1018" spans="3:10" ht="14.25" customHeight="1">
      <c r="C1018" s="95">
        <v>44921</v>
      </c>
      <c r="D1018" s="101">
        <v>9835188851</v>
      </c>
      <c r="E1018" s="2" t="s">
        <v>3515</v>
      </c>
      <c r="H1018" s="1" t="s">
        <v>1219</v>
      </c>
      <c r="I1018" s="325" t="s">
        <v>6792</v>
      </c>
      <c r="J1018" s="353" t="s">
        <v>507</v>
      </c>
    </row>
    <row r="1019" spans="3:10" ht="14.25" customHeight="1">
      <c r="C1019" s="95">
        <v>44922</v>
      </c>
      <c r="D1019" s="101">
        <v>9155719254</v>
      </c>
      <c r="E1019" s="2" t="s">
        <v>6796</v>
      </c>
      <c r="H1019" s="1" t="s">
        <v>6798</v>
      </c>
      <c r="I1019" s="332" t="s">
        <v>6797</v>
      </c>
      <c r="J1019" s="390">
        <v>45024</v>
      </c>
    </row>
    <row r="1020" spans="3:10" ht="14.25" customHeight="1">
      <c r="C1020" s="95">
        <v>44923</v>
      </c>
      <c r="D1020" s="101">
        <v>8084706521</v>
      </c>
      <c r="E1020" s="2" t="s">
        <v>6807</v>
      </c>
      <c r="H1020" s="1" t="s">
        <v>6809</v>
      </c>
      <c r="I1020" s="325" t="s">
        <v>6808</v>
      </c>
      <c r="J1020" s="390">
        <v>44987</v>
      </c>
    </row>
    <row r="1021" spans="3:10" ht="14.25" customHeight="1">
      <c r="C1021" s="95">
        <v>44965</v>
      </c>
      <c r="D1021" s="101">
        <v>8084706521</v>
      </c>
      <c r="E1021" s="2" t="s">
        <v>6806</v>
      </c>
      <c r="H1021" s="1" t="s">
        <v>6809</v>
      </c>
      <c r="I1021" s="325" t="s">
        <v>6922</v>
      </c>
      <c r="J1021" s="390">
        <v>45008</v>
      </c>
    </row>
    <row r="1022" spans="3:10" ht="14.25" customHeight="1">
      <c r="C1022" s="95">
        <v>44923</v>
      </c>
      <c r="D1022" s="101">
        <v>9142615595</v>
      </c>
      <c r="E1022" s="2" t="s">
        <v>6810</v>
      </c>
      <c r="H1022" s="1" t="s">
        <v>5538</v>
      </c>
      <c r="I1022" s="325" t="s">
        <v>6811</v>
      </c>
      <c r="J1022" s="390">
        <v>44978</v>
      </c>
    </row>
    <row r="1023" spans="3:10" ht="14.25" customHeight="1">
      <c r="C1023" s="95">
        <v>44935</v>
      </c>
      <c r="D1023" s="101">
        <v>7857806117</v>
      </c>
      <c r="E1023" s="2" t="s">
        <v>6820</v>
      </c>
      <c r="H1023" s="1" t="s">
        <v>6821</v>
      </c>
      <c r="I1023" s="325" t="s">
        <v>6819</v>
      </c>
      <c r="J1023" s="162">
        <v>44953</v>
      </c>
    </row>
    <row r="1024" spans="3:10" ht="14.25" customHeight="1">
      <c r="C1024" s="95">
        <v>44936</v>
      </c>
      <c r="D1024" s="101">
        <v>8292063084</v>
      </c>
      <c r="E1024" s="2" t="s">
        <v>6824</v>
      </c>
      <c r="H1024" s="1" t="s">
        <v>5094</v>
      </c>
      <c r="I1024" s="325" t="s">
        <v>6823</v>
      </c>
      <c r="J1024" s="385" t="s">
        <v>6847</v>
      </c>
    </row>
    <row r="1025" spans="2:11" ht="14.25" customHeight="1">
      <c r="B1025" s="156" t="s">
        <v>6830</v>
      </c>
      <c r="C1025" s="379">
        <v>44937</v>
      </c>
      <c r="D1025" s="225">
        <v>7295854883</v>
      </c>
      <c r="E1025" s="154" t="s">
        <v>6828</v>
      </c>
      <c r="F1025" s="156"/>
      <c r="G1025" s="297"/>
      <c r="H1025" s="141" t="s">
        <v>1347</v>
      </c>
      <c r="I1025" s="156" t="s">
        <v>6831</v>
      </c>
      <c r="J1025" s="225"/>
    </row>
    <row r="1026" spans="2:11" ht="14.25" customHeight="1">
      <c r="C1026" s="95">
        <v>44939</v>
      </c>
      <c r="D1026" s="101">
        <v>8210093022</v>
      </c>
      <c r="E1026" s="2" t="s">
        <v>6833</v>
      </c>
      <c r="I1026" s="325" t="s">
        <v>6835</v>
      </c>
      <c r="J1026" s="390">
        <v>44987</v>
      </c>
    </row>
    <row r="1027" spans="2:11" ht="14.25" customHeight="1">
      <c r="C1027" s="95">
        <v>44940</v>
      </c>
      <c r="D1027" s="101">
        <v>8789669004</v>
      </c>
      <c r="E1027" s="2" t="s">
        <v>3825</v>
      </c>
      <c r="H1027" s="1" t="s">
        <v>2071</v>
      </c>
      <c r="I1027" s="332" t="s">
        <v>6841</v>
      </c>
      <c r="J1027" s="200" t="s">
        <v>100</v>
      </c>
    </row>
    <row r="1028" spans="2:11" ht="14.25" customHeight="1">
      <c r="C1028" s="95">
        <v>44943</v>
      </c>
      <c r="D1028" s="101">
        <v>8877136227</v>
      </c>
      <c r="E1028" s="2" t="s">
        <v>6846</v>
      </c>
      <c r="I1028" s="325" t="s">
        <v>6845</v>
      </c>
      <c r="J1028" s="421">
        <v>45024</v>
      </c>
    </row>
    <row r="1029" spans="2:11" ht="14.25" customHeight="1">
      <c r="C1029" s="95">
        <v>44945</v>
      </c>
      <c r="D1029" s="101">
        <v>7739044155</v>
      </c>
      <c r="E1029" s="2" t="s">
        <v>2092</v>
      </c>
      <c r="H1029" t="s">
        <v>2067</v>
      </c>
      <c r="I1029" s="325" t="s">
        <v>6848</v>
      </c>
      <c r="J1029" s="421">
        <v>44989</v>
      </c>
    </row>
    <row r="1030" spans="2:11" ht="14.25" customHeight="1">
      <c r="C1030" s="95">
        <v>44945</v>
      </c>
      <c r="D1030" s="101">
        <v>9031392165</v>
      </c>
      <c r="E1030" s="2" t="s">
        <v>6849</v>
      </c>
      <c r="H1030" t="s">
        <v>2071</v>
      </c>
      <c r="I1030" s="325" t="s">
        <v>6850</v>
      </c>
      <c r="J1030" s="421">
        <v>44996</v>
      </c>
    </row>
    <row r="1031" spans="2:11" ht="14.25" customHeight="1">
      <c r="C1031" s="95">
        <v>44946</v>
      </c>
      <c r="E1031" s="2" t="s">
        <v>6851</v>
      </c>
      <c r="I1031" s="332" t="s">
        <v>6893</v>
      </c>
      <c r="J1031" s="416" t="s">
        <v>507</v>
      </c>
    </row>
    <row r="1032" spans="2:11" ht="14.25" customHeight="1">
      <c r="C1032" s="95">
        <v>44947</v>
      </c>
      <c r="D1032" s="101">
        <v>6209656635</v>
      </c>
      <c r="E1032" s="2" t="s">
        <v>6857</v>
      </c>
      <c r="H1032" s="387" t="s">
        <v>2047</v>
      </c>
      <c r="I1032" s="325" t="s">
        <v>6858</v>
      </c>
      <c r="J1032" s="421">
        <v>44984</v>
      </c>
    </row>
    <row r="1033" spans="2:11" ht="14.25" customHeight="1">
      <c r="C1033" s="95">
        <v>44947</v>
      </c>
      <c r="D1033" s="101">
        <v>8789477875</v>
      </c>
      <c r="E1033" s="2" t="s">
        <v>6859</v>
      </c>
      <c r="G1033" s="294" t="s">
        <v>265</v>
      </c>
      <c r="H1033" s="388" t="s">
        <v>2071</v>
      </c>
      <c r="I1033" s="325" t="s">
        <v>6860</v>
      </c>
      <c r="J1033" s="423">
        <v>44987</v>
      </c>
    </row>
    <row r="1034" spans="2:11" ht="14.25" customHeight="1">
      <c r="C1034" s="95">
        <v>44947</v>
      </c>
      <c r="D1034" s="101">
        <v>7319773658</v>
      </c>
      <c r="E1034" s="2" t="s">
        <v>6861</v>
      </c>
      <c r="G1034" s="294" t="s">
        <v>265</v>
      </c>
      <c r="H1034">
        <v>17</v>
      </c>
      <c r="I1034" s="325" t="s">
        <v>6862</v>
      </c>
      <c r="J1034" s="423">
        <v>45046</v>
      </c>
    </row>
    <row r="1035" spans="2:11" ht="14.25" customHeight="1">
      <c r="C1035" s="95">
        <v>44949</v>
      </c>
      <c r="D1035" s="101">
        <v>6202061213</v>
      </c>
      <c r="E1035" s="2" t="s">
        <v>6871</v>
      </c>
      <c r="G1035" s="1869" t="s">
        <v>265</v>
      </c>
      <c r="H1035" s="389" t="s">
        <v>5535</v>
      </c>
      <c r="I1035" s="332" t="s">
        <v>6872</v>
      </c>
      <c r="J1035" s="200" t="s">
        <v>3882</v>
      </c>
      <c r="K1035" s="400" t="s">
        <v>6899</v>
      </c>
    </row>
    <row r="1036" spans="2:11" ht="14.25" customHeight="1">
      <c r="C1036" s="95">
        <v>44950</v>
      </c>
      <c r="D1036" s="101">
        <v>8197946291</v>
      </c>
      <c r="E1036" s="2" t="s">
        <v>6877</v>
      </c>
      <c r="H1036" s="392" t="s">
        <v>2071</v>
      </c>
      <c r="I1036" s="325" t="s">
        <v>6878</v>
      </c>
      <c r="J1036" s="101" t="s">
        <v>507</v>
      </c>
      <c r="K1036" s="396"/>
    </row>
    <row r="1037" spans="2:11" ht="14.25" customHeight="1">
      <c r="C1037" s="95">
        <v>44953</v>
      </c>
      <c r="D1037" s="101">
        <v>7857806117</v>
      </c>
      <c r="E1037" s="2" t="s">
        <v>6820</v>
      </c>
      <c r="G1037" s="294" t="s">
        <v>265</v>
      </c>
      <c r="H1037" s="1" t="s">
        <v>6821</v>
      </c>
      <c r="I1037" s="332" t="s">
        <v>6881</v>
      </c>
      <c r="J1037" s="101" t="s">
        <v>507</v>
      </c>
    </row>
    <row r="1038" spans="2:11" ht="14.25" customHeight="1">
      <c r="C1038" s="95">
        <v>44953</v>
      </c>
      <c r="D1038" s="101">
        <v>7204530370</v>
      </c>
      <c r="E1038" s="2" t="s">
        <v>6882</v>
      </c>
      <c r="G1038" s="294" t="s">
        <v>158</v>
      </c>
      <c r="H1038" s="393" t="s">
        <v>2071</v>
      </c>
      <c r="I1038" s="332" t="s">
        <v>6883</v>
      </c>
      <c r="J1038" s="162">
        <v>44973</v>
      </c>
    </row>
    <row r="1039" spans="2:11" ht="14.25" customHeight="1">
      <c r="C1039" s="95">
        <v>44958</v>
      </c>
      <c r="D1039" s="101">
        <v>7004038832</v>
      </c>
      <c r="E1039" s="2" t="s">
        <v>827</v>
      </c>
      <c r="H1039" s="400" t="s">
        <v>5094</v>
      </c>
      <c r="I1039" s="325" t="s">
        <v>6898</v>
      </c>
      <c r="J1039" s="162">
        <v>45074</v>
      </c>
    </row>
    <row r="1040" spans="2:11" ht="14.25" customHeight="1">
      <c r="C1040" s="95">
        <v>44959</v>
      </c>
      <c r="D1040" s="101">
        <v>7209649632</v>
      </c>
      <c r="E1040" s="2" t="s">
        <v>6908</v>
      </c>
      <c r="H1040" s="400" t="s">
        <v>3056</v>
      </c>
      <c r="I1040" s="332" t="s">
        <v>6909</v>
      </c>
      <c r="J1040" s="200" t="s">
        <v>100</v>
      </c>
    </row>
    <row r="1041" spans="3:11" ht="14.25" customHeight="1">
      <c r="C1041" s="95">
        <v>44963</v>
      </c>
      <c r="D1041" s="101">
        <v>7209501767</v>
      </c>
      <c r="E1041" s="2" t="s">
        <v>6964</v>
      </c>
      <c r="H1041" s="405" t="s">
        <v>2071</v>
      </c>
      <c r="I1041" t="s">
        <v>6917</v>
      </c>
      <c r="J1041" s="101" t="s">
        <v>165</v>
      </c>
      <c r="K1041" t="s">
        <v>6986</v>
      </c>
    </row>
    <row r="1042" spans="3:11" ht="14.25" customHeight="1">
      <c r="C1042" s="95">
        <v>44965</v>
      </c>
      <c r="D1042" s="101">
        <v>9204000669</v>
      </c>
      <c r="E1042" s="2" t="s">
        <v>6919</v>
      </c>
      <c r="H1042" s="406" t="s">
        <v>1275</v>
      </c>
      <c r="I1042" s="332" t="s">
        <v>6918</v>
      </c>
      <c r="J1042" s="162">
        <v>44979</v>
      </c>
    </row>
    <row r="1043" spans="3:11" ht="14.25" customHeight="1">
      <c r="C1043" s="95">
        <v>44965</v>
      </c>
      <c r="D1043" s="101">
        <v>9472772901</v>
      </c>
      <c r="E1043" s="2" t="s">
        <v>6920</v>
      </c>
      <c r="H1043" s="407" t="s">
        <v>6362</v>
      </c>
      <c r="I1043" s="332" t="s">
        <v>6921</v>
      </c>
      <c r="J1043" s="162">
        <v>45008</v>
      </c>
    </row>
    <row r="1044" spans="3:11" ht="14.25" customHeight="1">
      <c r="C1044" s="95">
        <v>44966</v>
      </c>
      <c r="D1044" s="101">
        <v>7981404296</v>
      </c>
      <c r="E1044" s="2" t="s">
        <v>6926</v>
      </c>
      <c r="H1044" s="408" t="s">
        <v>2929</v>
      </c>
      <c r="I1044" s="325" t="s">
        <v>6929</v>
      </c>
      <c r="J1044" s="101" t="s">
        <v>507</v>
      </c>
    </row>
    <row r="1045" spans="3:11" ht="14.25" customHeight="1">
      <c r="C1045" s="95">
        <v>44966</v>
      </c>
      <c r="D1045" s="101">
        <v>8936803585</v>
      </c>
      <c r="E1045" s="2" t="s">
        <v>6927</v>
      </c>
      <c r="H1045" s="408" t="s">
        <v>1275</v>
      </c>
      <c r="I1045" s="325" t="s">
        <v>6928</v>
      </c>
      <c r="J1045" s="162">
        <v>44989</v>
      </c>
    </row>
    <row r="1046" spans="3:11" ht="14.25" customHeight="1">
      <c r="C1046" s="95">
        <v>44966</v>
      </c>
      <c r="D1046" s="101">
        <v>9835393260</v>
      </c>
      <c r="E1046" s="2" t="s">
        <v>3587</v>
      </c>
      <c r="H1046" s="409" t="s">
        <v>1955</v>
      </c>
      <c r="I1046" s="325" t="s">
        <v>6930</v>
      </c>
      <c r="J1046" s="162">
        <v>44994</v>
      </c>
    </row>
    <row r="1047" spans="3:11" ht="14.25" customHeight="1">
      <c r="C1047" s="95">
        <v>44967</v>
      </c>
      <c r="D1047" s="101">
        <v>7209475288</v>
      </c>
      <c r="E1047" s="2" t="s">
        <v>6932</v>
      </c>
      <c r="H1047" s="409" t="s">
        <v>1955</v>
      </c>
      <c r="I1047" s="332" t="s">
        <v>6934</v>
      </c>
      <c r="J1047" s="162">
        <v>44994</v>
      </c>
    </row>
    <row r="1048" spans="3:11" ht="14.25" customHeight="1">
      <c r="C1048" s="95">
        <v>44967</v>
      </c>
      <c r="D1048" s="101">
        <v>9835521261</v>
      </c>
      <c r="E1048" s="2" t="s">
        <v>6933</v>
      </c>
      <c r="H1048" s="409" t="s">
        <v>1955</v>
      </c>
      <c r="I1048" s="332" t="s">
        <v>6935</v>
      </c>
      <c r="J1048" s="162">
        <v>44994</v>
      </c>
    </row>
    <row r="1049" spans="3:11" ht="14.25" customHeight="1">
      <c r="C1049" s="95">
        <v>44967</v>
      </c>
      <c r="D1049" s="101">
        <v>9110044316</v>
      </c>
      <c r="E1049" s="2" t="s">
        <v>6939</v>
      </c>
      <c r="H1049" s="410" t="s">
        <v>1392</v>
      </c>
      <c r="I1049" s="325" t="s">
        <v>6938</v>
      </c>
      <c r="J1049" s="162">
        <v>45042</v>
      </c>
    </row>
    <row r="1050" spans="3:11" ht="14.25" customHeight="1">
      <c r="C1050" s="95">
        <v>44972</v>
      </c>
      <c r="D1050" s="101">
        <v>7481040176</v>
      </c>
      <c r="E1050" s="2" t="s">
        <v>6435</v>
      </c>
      <c r="H1050" s="413" t="s">
        <v>2018</v>
      </c>
      <c r="I1050" s="325" t="s">
        <v>6945</v>
      </c>
      <c r="J1050" s="101" t="s">
        <v>507</v>
      </c>
    </row>
    <row r="1051" spans="3:11" ht="14.25" customHeight="1">
      <c r="C1051" s="95">
        <v>44973</v>
      </c>
      <c r="D1051" s="101">
        <v>7992288069</v>
      </c>
      <c r="E1051" s="2" t="s">
        <v>6946</v>
      </c>
      <c r="H1051" s="414" t="s">
        <v>4195</v>
      </c>
      <c r="I1051" s="325" t="s">
        <v>6947</v>
      </c>
      <c r="J1051" s="162">
        <v>45041</v>
      </c>
      <c r="K1051" s="95">
        <v>45162</v>
      </c>
    </row>
    <row r="1052" spans="3:11" ht="14.25" customHeight="1">
      <c r="C1052" s="95">
        <v>44978</v>
      </c>
      <c r="E1052" s="2" t="s">
        <v>6954</v>
      </c>
      <c r="I1052" s="325" t="s">
        <v>6953</v>
      </c>
      <c r="J1052" s="101" t="s">
        <v>36</v>
      </c>
    </row>
    <row r="1053" spans="3:11" ht="14.25" customHeight="1">
      <c r="C1053" s="95">
        <v>44980</v>
      </c>
      <c r="D1053" s="101">
        <v>7857090899</v>
      </c>
      <c r="E1053" s="2" t="s">
        <v>326</v>
      </c>
      <c r="H1053" s="417" t="s">
        <v>2116</v>
      </c>
      <c r="I1053" s="325" t="s">
        <v>6959</v>
      </c>
      <c r="J1053" s="162">
        <v>45039</v>
      </c>
    </row>
    <row r="1054" spans="3:11" ht="14.25" customHeight="1">
      <c r="C1054" s="95">
        <v>44987</v>
      </c>
      <c r="D1054" s="101">
        <v>8789669004</v>
      </c>
      <c r="E1054" s="2" t="s">
        <v>3825</v>
      </c>
      <c r="H1054" s="422" t="s">
        <v>2071</v>
      </c>
      <c r="I1054" s="332" t="s">
        <v>6973</v>
      </c>
      <c r="J1054" s="436" t="s">
        <v>507</v>
      </c>
    </row>
    <row r="1055" spans="3:11" ht="14.25" customHeight="1">
      <c r="C1055" s="95">
        <v>44987</v>
      </c>
      <c r="D1055" s="101">
        <v>7543899632</v>
      </c>
      <c r="E1055" s="2" t="s">
        <v>6977</v>
      </c>
      <c r="H1055" s="422" t="s">
        <v>1785</v>
      </c>
      <c r="I1055" s="325" t="s">
        <v>6980</v>
      </c>
      <c r="J1055" s="455">
        <v>45039</v>
      </c>
    </row>
    <row r="1056" spans="3:11" ht="14.25" customHeight="1">
      <c r="C1056" s="95">
        <v>44987</v>
      </c>
      <c r="D1056" s="101">
        <v>7543899632</v>
      </c>
      <c r="E1056" s="2" t="s">
        <v>6978</v>
      </c>
      <c r="H1056" s="422" t="s">
        <v>1785</v>
      </c>
      <c r="I1056" s="325" t="s">
        <v>6981</v>
      </c>
      <c r="J1056" s="455">
        <v>45039</v>
      </c>
    </row>
    <row r="1057" spans="3:12" ht="14.25" customHeight="1">
      <c r="C1057" s="95">
        <v>45000</v>
      </c>
      <c r="D1057" s="101">
        <v>8709728027</v>
      </c>
      <c r="E1057" s="2" t="s">
        <v>7002</v>
      </c>
      <c r="H1057" s="429" t="s">
        <v>7003</v>
      </c>
      <c r="I1057" s="325" t="s">
        <v>7001</v>
      </c>
      <c r="J1057" s="101" t="s">
        <v>7005</v>
      </c>
    </row>
    <row r="1058" spans="3:12" ht="14.25" customHeight="1">
      <c r="C1058" s="95">
        <v>45003</v>
      </c>
      <c r="D1058" s="101">
        <v>9771349548</v>
      </c>
      <c r="E1058" s="2" t="s">
        <v>7009</v>
      </c>
      <c r="H1058" s="431" t="s">
        <v>1275</v>
      </c>
      <c r="I1058" s="325" t="s">
        <v>7011</v>
      </c>
      <c r="J1058" s="162">
        <v>45036</v>
      </c>
    </row>
    <row r="1059" spans="3:12" ht="14.25" customHeight="1">
      <c r="C1059" s="95">
        <v>45003</v>
      </c>
      <c r="D1059" s="101">
        <v>9835376267</v>
      </c>
      <c r="E1059" s="2" t="s">
        <v>1095</v>
      </c>
      <c r="H1059" t="s">
        <v>7010</v>
      </c>
      <c r="I1059" s="325" t="s">
        <v>7025</v>
      </c>
      <c r="J1059" s="101" t="s">
        <v>507</v>
      </c>
    </row>
    <row r="1060" spans="3:12" ht="14.25" customHeight="1">
      <c r="C1060" s="95">
        <v>45006</v>
      </c>
      <c r="D1060" s="101">
        <v>6204200075</v>
      </c>
      <c r="E1060" s="2" t="s">
        <v>7016</v>
      </c>
      <c r="H1060" t="s">
        <v>7017</v>
      </c>
      <c r="I1060" s="325" t="s">
        <v>7018</v>
      </c>
      <c r="J1060" s="200" t="s">
        <v>100</v>
      </c>
    </row>
    <row r="1061" spans="3:12" ht="14.25" customHeight="1">
      <c r="C1061" s="95">
        <v>45008</v>
      </c>
      <c r="D1061" s="101">
        <v>7870838308</v>
      </c>
      <c r="E1061" s="2" t="s">
        <v>3855</v>
      </c>
      <c r="H1061" t="s">
        <v>2067</v>
      </c>
      <c r="I1061" s="325" t="s">
        <v>7027</v>
      </c>
      <c r="J1061" s="101" t="s">
        <v>507</v>
      </c>
    </row>
    <row r="1062" spans="3:12" ht="14.25" customHeight="1">
      <c r="C1062" s="95">
        <v>45009</v>
      </c>
      <c r="D1062" s="101">
        <v>9341816587</v>
      </c>
      <c r="E1062" s="2" t="s">
        <v>7028</v>
      </c>
      <c r="H1062" t="s">
        <v>2047</v>
      </c>
      <c r="I1062" s="325" t="s">
        <v>7029</v>
      </c>
      <c r="J1062" s="101" t="s">
        <v>7114</v>
      </c>
    </row>
    <row r="1063" spans="3:12" ht="14.25" customHeight="1">
      <c r="C1063" s="95">
        <v>45010</v>
      </c>
      <c r="D1063" s="101">
        <v>7903338055</v>
      </c>
      <c r="E1063" s="2" t="s">
        <v>7033</v>
      </c>
      <c r="F1063" t="s">
        <v>7095</v>
      </c>
      <c r="H1063" s="437" t="s">
        <v>2067</v>
      </c>
      <c r="I1063" s="325" t="s">
        <v>7034</v>
      </c>
      <c r="J1063" s="469">
        <v>45042</v>
      </c>
      <c r="K1063" s="194">
        <v>9204605913</v>
      </c>
      <c r="L1063" s="194" t="s">
        <v>7093</v>
      </c>
    </row>
    <row r="1064" spans="3:12" ht="14.25" customHeight="1">
      <c r="C1064" s="95">
        <v>45011</v>
      </c>
      <c r="D1064" s="101">
        <v>7321066080</v>
      </c>
      <c r="E1064" s="2" t="s">
        <v>7036</v>
      </c>
      <c r="H1064" s="437" t="s">
        <v>2067</v>
      </c>
      <c r="I1064" s="325" t="s">
        <v>7035</v>
      </c>
      <c r="J1064" s="162">
        <v>45044</v>
      </c>
    </row>
    <row r="1065" spans="3:12" ht="14.25" customHeight="1">
      <c r="C1065" s="95">
        <v>45011</v>
      </c>
      <c r="D1065" s="101">
        <v>9304031034</v>
      </c>
      <c r="E1065" s="2" t="s">
        <v>7037</v>
      </c>
      <c r="H1065" s="438" t="s">
        <v>1275</v>
      </c>
      <c r="I1065" s="332" t="s">
        <v>7038</v>
      </c>
      <c r="J1065" s="101" t="s">
        <v>6587</v>
      </c>
    </row>
    <row r="1066" spans="3:12" ht="14.25" customHeight="1">
      <c r="C1066" s="162">
        <v>45016</v>
      </c>
      <c r="D1066" s="101">
        <v>9508836536</v>
      </c>
      <c r="E1066" s="2" t="s">
        <v>3675</v>
      </c>
      <c r="H1066" s="441" t="s">
        <v>2134</v>
      </c>
      <c r="I1066" s="325" t="s">
        <v>7043</v>
      </c>
      <c r="J1066" s="162">
        <v>45093</v>
      </c>
    </row>
    <row r="1067" spans="3:12" ht="14.25" customHeight="1">
      <c r="C1067" s="95">
        <v>45020</v>
      </c>
      <c r="D1067" s="101">
        <v>7739990511</v>
      </c>
      <c r="E1067" s="2" t="s">
        <v>7052</v>
      </c>
      <c r="H1067" s="441" t="s">
        <v>2134</v>
      </c>
      <c r="I1067" s="325" t="s">
        <v>7051</v>
      </c>
      <c r="J1067" s="162">
        <v>45043</v>
      </c>
    </row>
    <row r="1068" spans="3:12" ht="14.25" customHeight="1">
      <c r="C1068" s="95">
        <v>45020</v>
      </c>
      <c r="D1068" s="101">
        <v>8709728027</v>
      </c>
      <c r="E1068" s="2" t="s">
        <v>7002</v>
      </c>
      <c r="H1068" s="429" t="s">
        <v>7003</v>
      </c>
      <c r="I1068" s="325" t="s">
        <v>7053</v>
      </c>
      <c r="J1068" s="162">
        <v>45036</v>
      </c>
    </row>
    <row r="1069" spans="3:12" ht="14.25" customHeight="1">
      <c r="C1069" s="95">
        <v>45021</v>
      </c>
      <c r="D1069" s="101">
        <v>9572917820</v>
      </c>
      <c r="E1069" s="2" t="s">
        <v>7058</v>
      </c>
      <c r="H1069" s="444" t="s">
        <v>6129</v>
      </c>
      <c r="I1069" s="325" t="s">
        <v>7057</v>
      </c>
      <c r="J1069" s="101" t="s">
        <v>507</v>
      </c>
    </row>
    <row r="1070" spans="3:12" ht="14.25" customHeight="1">
      <c r="C1070" s="95">
        <v>45021</v>
      </c>
      <c r="D1070" s="101">
        <v>9572917820</v>
      </c>
      <c r="E1070" s="2" t="s">
        <v>7059</v>
      </c>
      <c r="H1070" s="444" t="s">
        <v>6129</v>
      </c>
      <c r="I1070" s="325" t="s">
        <v>7060</v>
      </c>
      <c r="J1070" s="101" t="s">
        <v>507</v>
      </c>
    </row>
    <row r="1071" spans="3:12" ht="14.25" customHeight="1">
      <c r="C1071" s="95">
        <v>45022</v>
      </c>
      <c r="D1071" s="101">
        <v>9508918090</v>
      </c>
      <c r="E1071" s="2" t="s">
        <v>4400</v>
      </c>
      <c r="H1071" s="445" t="s">
        <v>1392</v>
      </c>
      <c r="I1071" s="325" t="s">
        <v>7062</v>
      </c>
      <c r="J1071" s="101" t="s">
        <v>100</v>
      </c>
    </row>
    <row r="1072" spans="3:12" ht="14.25" customHeight="1">
      <c r="C1072" s="95">
        <v>45024</v>
      </c>
      <c r="D1072" s="101">
        <v>6201759443</v>
      </c>
      <c r="E1072" s="2" t="s">
        <v>7067</v>
      </c>
      <c r="H1072" s="446" t="s">
        <v>2018</v>
      </c>
      <c r="I1072" s="332" t="s">
        <v>7066</v>
      </c>
      <c r="J1072" s="162" t="s">
        <v>507</v>
      </c>
    </row>
    <row r="1073" spans="3:11" ht="14.25" customHeight="1">
      <c r="C1073" s="95">
        <v>45034</v>
      </c>
      <c r="D1073" s="101">
        <v>7781805849</v>
      </c>
      <c r="E1073" s="2" t="s">
        <v>7083</v>
      </c>
      <c r="H1073" s="450" t="s">
        <v>1275</v>
      </c>
      <c r="I1073" s="325" t="s">
        <v>7082</v>
      </c>
      <c r="J1073" s="465" t="s">
        <v>100</v>
      </c>
      <c r="K1073" s="464" t="s">
        <v>7126</v>
      </c>
    </row>
    <row r="1074" spans="3:11" ht="14.25" customHeight="1">
      <c r="C1074" s="95">
        <v>45041</v>
      </c>
      <c r="D1074" s="101">
        <v>9934842435</v>
      </c>
      <c r="E1074" s="2" t="s">
        <v>3339</v>
      </c>
      <c r="H1074" s="456" t="s">
        <v>5094</v>
      </c>
      <c r="I1074" s="325" t="s">
        <v>7103</v>
      </c>
      <c r="J1074" s="476" t="s">
        <v>39</v>
      </c>
      <c r="K1074" s="95">
        <v>45059</v>
      </c>
    </row>
    <row r="1075" spans="3:11" ht="14.25" customHeight="1">
      <c r="C1075" s="95">
        <v>45042</v>
      </c>
      <c r="D1075" s="101">
        <v>7209812706</v>
      </c>
      <c r="E1075" s="2" t="s">
        <v>7105</v>
      </c>
      <c r="H1075" s="457" t="s">
        <v>2067</v>
      </c>
      <c r="I1075" s="325" t="s">
        <v>7106</v>
      </c>
      <c r="J1075" s="503" t="s">
        <v>528</v>
      </c>
      <c r="K1075" s="95">
        <v>45085</v>
      </c>
    </row>
    <row r="1076" spans="3:11" ht="14.25" customHeight="1">
      <c r="C1076" s="95">
        <v>45047</v>
      </c>
      <c r="D1076" s="101">
        <v>7667325004</v>
      </c>
      <c r="E1076" s="2" t="s">
        <v>7121</v>
      </c>
      <c r="H1076" s="461" t="s">
        <v>2071</v>
      </c>
      <c r="I1076" s="325" t="s">
        <v>7120</v>
      </c>
      <c r="J1076" s="536">
        <v>45108</v>
      </c>
    </row>
    <row r="1077" spans="3:11" ht="14.25" customHeight="1">
      <c r="C1077" s="95">
        <v>45067</v>
      </c>
      <c r="D1077" s="101">
        <v>9431172662</v>
      </c>
      <c r="E1077" s="2" t="s">
        <v>5931</v>
      </c>
      <c r="H1077" s="471" t="s">
        <v>2047</v>
      </c>
      <c r="I1077" s="325" t="s">
        <v>7172</v>
      </c>
      <c r="J1077" s="490">
        <v>45075</v>
      </c>
    </row>
    <row r="1078" spans="3:11" ht="14.25" customHeight="1">
      <c r="C1078" s="95">
        <v>45056</v>
      </c>
      <c r="D1078" s="101">
        <v>9110097883</v>
      </c>
      <c r="E1078" s="2" t="s">
        <v>7140</v>
      </c>
      <c r="H1078" s="472" t="s">
        <v>2071</v>
      </c>
      <c r="I1078" s="325" t="s">
        <v>7141</v>
      </c>
      <c r="J1078" s="101" t="s">
        <v>39</v>
      </c>
      <c r="K1078" s="95">
        <v>45070</v>
      </c>
    </row>
    <row r="1079" spans="3:11" ht="14.25" customHeight="1">
      <c r="C1079" s="95">
        <v>45058</v>
      </c>
      <c r="D1079" s="101">
        <v>8210594655</v>
      </c>
      <c r="E1079" s="2" t="s">
        <v>7142</v>
      </c>
      <c r="H1079" s="473" t="s">
        <v>1355</v>
      </c>
      <c r="I1079" s="325" t="s">
        <v>7143</v>
      </c>
      <c r="J1079" s="162">
        <v>45114</v>
      </c>
    </row>
    <row r="1080" spans="3:11" ht="14.25" customHeight="1">
      <c r="C1080" s="95">
        <v>45059</v>
      </c>
      <c r="D1080" s="101">
        <v>7677813577</v>
      </c>
      <c r="E1080" s="2" t="s">
        <v>7150</v>
      </c>
      <c r="H1080" s="474" t="s">
        <v>7010</v>
      </c>
      <c r="I1080" s="325" t="s">
        <v>7153</v>
      </c>
      <c r="J1080" s="485" t="s">
        <v>507</v>
      </c>
    </row>
    <row r="1081" spans="3:11" ht="14.25" customHeight="1">
      <c r="C1081" s="95">
        <v>45059</v>
      </c>
      <c r="D1081" s="101">
        <v>6207822819</v>
      </c>
      <c r="E1081" s="2" t="s">
        <v>7155</v>
      </c>
      <c r="H1081" s="475" t="s">
        <v>1268</v>
      </c>
      <c r="I1081" s="325" t="s">
        <v>7154</v>
      </c>
      <c r="J1081" s="485" t="s">
        <v>507</v>
      </c>
    </row>
    <row r="1082" spans="3:11" ht="14.25" customHeight="1">
      <c r="C1082" s="95">
        <v>45063</v>
      </c>
      <c r="D1082" s="101">
        <v>9852143329</v>
      </c>
      <c r="E1082" s="2" t="s">
        <v>7158</v>
      </c>
      <c r="H1082" s="477" t="s">
        <v>1392</v>
      </c>
      <c r="I1082" s="325" t="s">
        <v>7157</v>
      </c>
      <c r="J1082" s="485" t="s">
        <v>507</v>
      </c>
    </row>
    <row r="1083" spans="3:11" ht="14.25" customHeight="1">
      <c r="C1083" s="95">
        <v>45064</v>
      </c>
      <c r="D1083" s="101">
        <v>6205670491</v>
      </c>
      <c r="E1083" s="2" t="s">
        <v>7163</v>
      </c>
      <c r="H1083" s="479" t="s">
        <v>1227</v>
      </c>
      <c r="I1083" s="325" t="s">
        <v>7162</v>
      </c>
      <c r="J1083" s="101" t="s">
        <v>538</v>
      </c>
    </row>
    <row r="1084" spans="3:11" ht="14.25" customHeight="1">
      <c r="C1084" s="95">
        <v>45064</v>
      </c>
      <c r="D1084" s="101">
        <v>9304797411</v>
      </c>
      <c r="E1084" s="2" t="s">
        <v>7164</v>
      </c>
      <c r="H1084" s="480" t="s">
        <v>7165</v>
      </c>
      <c r="I1084" s="325" t="s">
        <v>7166</v>
      </c>
      <c r="J1084" s="492" t="s">
        <v>6587</v>
      </c>
    </row>
    <row r="1085" spans="3:11" ht="14.25" customHeight="1">
      <c r="C1085" s="95">
        <v>45067</v>
      </c>
      <c r="D1085" s="101">
        <v>8651965713</v>
      </c>
      <c r="E1085" s="2" t="s">
        <v>7175</v>
      </c>
      <c r="H1085" s="482" t="s">
        <v>1275</v>
      </c>
      <c r="I1085" s="325" t="s">
        <v>7176</v>
      </c>
      <c r="J1085" s="490">
        <v>45108</v>
      </c>
    </row>
    <row r="1086" spans="3:11" ht="14.25" customHeight="1">
      <c r="C1086" s="95">
        <v>45067</v>
      </c>
      <c r="D1086" s="101">
        <v>8797935614</v>
      </c>
      <c r="E1086" s="2" t="s">
        <v>7178</v>
      </c>
      <c r="H1086" s="482" t="s">
        <v>1275</v>
      </c>
      <c r="I1086" s="325" t="s">
        <v>7177</v>
      </c>
      <c r="J1086" s="500" t="s">
        <v>4541</v>
      </c>
    </row>
    <row r="1087" spans="3:11" ht="14.25" customHeight="1">
      <c r="C1087" s="95">
        <v>45071</v>
      </c>
      <c r="D1087" s="101">
        <v>9162187354</v>
      </c>
      <c r="E1087" s="2" t="s">
        <v>7187</v>
      </c>
      <c r="H1087" s="484" t="s">
        <v>2071</v>
      </c>
      <c r="I1087" s="332" t="s">
        <v>7188</v>
      </c>
      <c r="J1087" s="500" t="s">
        <v>507</v>
      </c>
    </row>
    <row r="1088" spans="3:11" ht="14.25" customHeight="1">
      <c r="C1088" s="95">
        <v>45072</v>
      </c>
      <c r="D1088" s="101">
        <v>9031392582</v>
      </c>
      <c r="E1088" s="2" t="s">
        <v>6942</v>
      </c>
      <c r="H1088" s="486" t="s">
        <v>1268</v>
      </c>
      <c r="I1088" s="332" t="s">
        <v>7189</v>
      </c>
      <c r="J1088" s="101" t="s">
        <v>4541</v>
      </c>
    </row>
    <row r="1089" spans="3:11" ht="14.25" customHeight="1">
      <c r="C1089" s="95">
        <v>45072</v>
      </c>
      <c r="D1089" s="101">
        <v>8409926686</v>
      </c>
      <c r="E1089" s="2" t="s">
        <v>7191</v>
      </c>
      <c r="H1089" s="486" t="s">
        <v>4420</v>
      </c>
      <c r="I1089" s="325" t="s">
        <v>7190</v>
      </c>
      <c r="J1089" s="510">
        <v>45089</v>
      </c>
    </row>
    <row r="1090" spans="3:11" ht="14.25" customHeight="1">
      <c r="C1090" s="95">
        <v>45072</v>
      </c>
      <c r="D1090" s="101">
        <v>7004630547</v>
      </c>
      <c r="E1090" s="2" t="s">
        <v>7192</v>
      </c>
      <c r="H1090" s="486" t="s">
        <v>2067</v>
      </c>
      <c r="I1090" s="325" t="s">
        <v>7248</v>
      </c>
      <c r="J1090" s="511" t="s">
        <v>7249</v>
      </c>
    </row>
    <row r="1091" spans="3:11" ht="14.25" customHeight="1">
      <c r="C1091" s="95">
        <v>45073</v>
      </c>
      <c r="D1091" s="101">
        <v>9708065194</v>
      </c>
      <c r="E1091" s="2" t="s">
        <v>7197</v>
      </c>
      <c r="H1091" s="487" t="s">
        <v>2071</v>
      </c>
      <c r="I1091" s="325" t="s">
        <v>7196</v>
      </c>
      <c r="J1091" s="507" t="s">
        <v>507</v>
      </c>
    </row>
    <row r="1092" spans="3:11" ht="14.25" customHeight="1">
      <c r="C1092" s="95">
        <v>45073</v>
      </c>
      <c r="E1092" s="2" t="s">
        <v>7199</v>
      </c>
      <c r="H1092" s="488" t="s">
        <v>6798</v>
      </c>
      <c r="I1092" s="325" t="s">
        <v>7198</v>
      </c>
      <c r="J1092" s="101" t="s">
        <v>7211</v>
      </c>
    </row>
    <row r="1093" spans="3:11" ht="14.25" customHeight="1">
      <c r="C1093" s="95">
        <v>45075</v>
      </c>
      <c r="D1093" s="101">
        <v>6201732823</v>
      </c>
      <c r="E1093" s="2" t="s">
        <v>3778</v>
      </c>
      <c r="H1093" s="489" t="s">
        <v>2775</v>
      </c>
      <c r="I1093" s="332" t="s">
        <v>7201</v>
      </c>
      <c r="J1093" s="515">
        <v>45096</v>
      </c>
    </row>
    <row r="1094" spans="3:11" ht="14.25" customHeight="1">
      <c r="C1094" s="95">
        <v>45080</v>
      </c>
      <c r="D1094" s="101">
        <v>9279570314</v>
      </c>
      <c r="E1094" s="325" t="s">
        <v>2614</v>
      </c>
      <c r="H1094" s="496" t="s">
        <v>2067</v>
      </c>
      <c r="I1094" s="325" t="s">
        <v>7214</v>
      </c>
      <c r="J1094" s="507" t="s">
        <v>507</v>
      </c>
    </row>
    <row r="1095" spans="3:11" ht="14.25" customHeight="1">
      <c r="C1095" s="95">
        <v>45081</v>
      </c>
      <c r="D1095" s="101">
        <v>8294022338</v>
      </c>
      <c r="E1095" s="2" t="s">
        <v>7218</v>
      </c>
      <c r="H1095" s="498" t="s">
        <v>4195</v>
      </c>
      <c r="I1095" s="325" t="s">
        <v>7217</v>
      </c>
      <c r="J1095" s="516" t="s">
        <v>77</v>
      </c>
    </row>
    <row r="1096" spans="3:11" ht="14.25" customHeight="1">
      <c r="C1096" s="95">
        <v>45081</v>
      </c>
      <c r="D1096" s="101">
        <v>8294022338</v>
      </c>
      <c r="E1096" s="2" t="s">
        <v>7219</v>
      </c>
      <c r="H1096" s="498" t="s">
        <v>4195</v>
      </c>
      <c r="I1096" s="325" t="s">
        <v>7220</v>
      </c>
      <c r="J1096" s="516" t="s">
        <v>77</v>
      </c>
    </row>
    <row r="1097" spans="3:11" ht="14.25" customHeight="1">
      <c r="C1097" s="95">
        <v>45082</v>
      </c>
      <c r="D1097" s="101">
        <v>8271895936</v>
      </c>
      <c r="E1097" s="2" t="s">
        <v>7223</v>
      </c>
      <c r="H1097" s="499" t="s">
        <v>2067</v>
      </c>
      <c r="I1097" s="325" t="s">
        <v>7222</v>
      </c>
      <c r="J1097" s="200" t="s">
        <v>100</v>
      </c>
    </row>
    <row r="1098" spans="3:11" ht="14.25" customHeight="1">
      <c r="C1098" s="95">
        <v>45084</v>
      </c>
      <c r="D1098" s="101">
        <v>9031111911</v>
      </c>
      <c r="E1098" s="2" t="s">
        <v>7224</v>
      </c>
      <c r="H1098" s="501" t="s">
        <v>1275</v>
      </c>
      <c r="I1098" s="332" t="s">
        <v>7225</v>
      </c>
      <c r="J1098" s="516" t="s">
        <v>77</v>
      </c>
    </row>
    <row r="1099" spans="3:11" ht="14.25" customHeight="1">
      <c r="C1099" s="95">
        <v>45084</v>
      </c>
      <c r="D1099" s="101">
        <v>7562854958</v>
      </c>
      <c r="E1099" s="2" t="s">
        <v>7226</v>
      </c>
      <c r="I1099" s="325" t="s">
        <v>7227</v>
      </c>
      <c r="J1099" s="515">
        <v>45093</v>
      </c>
    </row>
    <row r="1100" spans="3:11" ht="14.25" customHeight="1">
      <c r="C1100" s="95">
        <v>45085</v>
      </c>
      <c r="D1100" s="101">
        <v>7209330929</v>
      </c>
      <c r="E1100" s="2" t="s">
        <v>1580</v>
      </c>
      <c r="H1100" t="s">
        <v>5959</v>
      </c>
      <c r="I1100" s="332" t="s">
        <v>7228</v>
      </c>
      <c r="J1100" s="537">
        <v>45110</v>
      </c>
    </row>
    <row r="1101" spans="3:11" ht="14.25" customHeight="1">
      <c r="C1101" s="95">
        <v>45085</v>
      </c>
      <c r="D1101" s="101">
        <v>7209330929</v>
      </c>
      <c r="E1101" s="2" t="s">
        <v>7229</v>
      </c>
      <c r="H1101" t="s">
        <v>5959</v>
      </c>
      <c r="I1101" s="332" t="s">
        <v>7230</v>
      </c>
      <c r="J1101" s="537">
        <v>45110</v>
      </c>
    </row>
    <row r="1102" spans="3:11" ht="14.25" customHeight="1">
      <c r="C1102" s="95">
        <v>45085</v>
      </c>
      <c r="D1102" s="101">
        <v>7209330929</v>
      </c>
      <c r="E1102" s="2" t="s">
        <v>7267</v>
      </c>
      <c r="H1102" t="s">
        <v>5959</v>
      </c>
      <c r="I1102" s="332" t="s">
        <v>7231</v>
      </c>
      <c r="J1102" s="537">
        <v>45110</v>
      </c>
    </row>
    <row r="1103" spans="3:11" ht="14.25" customHeight="1">
      <c r="C1103" s="95">
        <v>45086</v>
      </c>
      <c r="D1103" s="101">
        <v>7779811393</v>
      </c>
      <c r="E1103" s="2" t="s">
        <v>7238</v>
      </c>
      <c r="H1103" s="504" t="s">
        <v>7239</v>
      </c>
      <c r="I1103" s="325" t="s">
        <v>7237</v>
      </c>
      <c r="J1103" s="523" t="s">
        <v>39</v>
      </c>
      <c r="K1103" s="95">
        <v>45098</v>
      </c>
    </row>
    <row r="1104" spans="3:11" ht="14.25" customHeight="1">
      <c r="C1104" s="95">
        <v>45086</v>
      </c>
      <c r="D1104" s="101">
        <v>9973563286</v>
      </c>
      <c r="E1104" s="2" t="s">
        <v>7240</v>
      </c>
      <c r="H1104" s="505" t="s">
        <v>1275</v>
      </c>
      <c r="I1104" s="325" t="s">
        <v>7242</v>
      </c>
      <c r="J1104" s="518" t="s">
        <v>507</v>
      </c>
    </row>
    <row r="1105" spans="3:11" ht="14.25" customHeight="1">
      <c r="C1105" s="95">
        <v>45086</v>
      </c>
      <c r="D1105" s="101">
        <v>7004589952</v>
      </c>
      <c r="E1105" s="2" t="s">
        <v>7241</v>
      </c>
      <c r="H1105" s="505" t="s">
        <v>1275</v>
      </c>
      <c r="I1105" s="325" t="s">
        <v>7247</v>
      </c>
      <c r="J1105" s="521">
        <v>45096</v>
      </c>
    </row>
    <row r="1106" spans="3:11" ht="14.25" customHeight="1">
      <c r="C1106" s="95">
        <v>45089</v>
      </c>
      <c r="D1106" s="101">
        <v>7004218453</v>
      </c>
      <c r="E1106" s="2" t="s">
        <v>2412</v>
      </c>
      <c r="H1106" s="505" t="s">
        <v>1275</v>
      </c>
      <c r="I1106" s="325" t="s">
        <v>7246</v>
      </c>
      <c r="J1106" s="527" t="s">
        <v>507</v>
      </c>
    </row>
    <row r="1107" spans="3:11" ht="14.25" customHeight="1">
      <c r="C1107" s="95">
        <v>45091</v>
      </c>
      <c r="D1107" s="101">
        <v>7764824331</v>
      </c>
      <c r="E1107" s="2" t="s">
        <v>7255</v>
      </c>
      <c r="H1107" s="513" t="s">
        <v>2071</v>
      </c>
      <c r="I1107" s="325" t="s">
        <v>7254</v>
      </c>
      <c r="J1107" s="531">
        <v>45104</v>
      </c>
    </row>
    <row r="1108" spans="3:11" ht="14.25" customHeight="1">
      <c r="C1108" s="95">
        <v>45091</v>
      </c>
      <c r="D1108" s="101">
        <v>9334248482</v>
      </c>
      <c r="E1108" s="2" t="s">
        <v>7256</v>
      </c>
      <c r="H1108" s="513" t="s">
        <v>2067</v>
      </c>
      <c r="I1108" s="325" t="s">
        <v>7257</v>
      </c>
      <c r="J1108" s="101" t="s">
        <v>6757</v>
      </c>
    </row>
    <row r="1109" spans="3:11" ht="14.25" customHeight="1">
      <c r="C1109" s="95">
        <v>45092</v>
      </c>
      <c r="D1109" s="101">
        <v>7209868969</v>
      </c>
      <c r="E1109" s="2" t="s">
        <v>7263</v>
      </c>
      <c r="H1109" s="514" t="s">
        <v>2018</v>
      </c>
      <c r="I1109" s="325" t="s">
        <v>7264</v>
      </c>
      <c r="J1109" s="101" t="s">
        <v>507</v>
      </c>
    </row>
    <row r="1110" spans="3:11" ht="14.25" customHeight="1">
      <c r="C1110" s="95">
        <v>45092</v>
      </c>
      <c r="D1110" s="101">
        <v>6287885003</v>
      </c>
      <c r="E1110" s="2" t="s">
        <v>7265</v>
      </c>
      <c r="H1110" s="514" t="s">
        <v>1785</v>
      </c>
      <c r="I1110" s="325" t="s">
        <v>7266</v>
      </c>
      <c r="J1110" s="162">
        <v>45107</v>
      </c>
    </row>
    <row r="1111" spans="3:11" ht="14.25" customHeight="1">
      <c r="C1111" s="95">
        <v>45095</v>
      </c>
      <c r="D1111" s="101">
        <v>9801486509</v>
      </c>
      <c r="E1111" s="2" t="s">
        <v>7273</v>
      </c>
      <c r="H1111" s="520" t="s">
        <v>1785</v>
      </c>
      <c r="I1111" s="332" t="s">
        <v>7272</v>
      </c>
      <c r="J1111" s="101" t="s">
        <v>538</v>
      </c>
    </row>
    <row r="1112" spans="3:11" ht="14.25" customHeight="1">
      <c r="C1112" s="95">
        <v>45095</v>
      </c>
      <c r="D1112" s="101">
        <v>8271895936</v>
      </c>
      <c r="E1112" s="2" t="s">
        <v>7223</v>
      </c>
      <c r="H1112" s="499" t="s">
        <v>2067</v>
      </c>
      <c r="I1112" s="325" t="s">
        <v>7274</v>
      </c>
      <c r="J1112" s="101" t="s">
        <v>36</v>
      </c>
    </row>
    <row r="1113" spans="3:11" ht="14.25" customHeight="1">
      <c r="C1113" s="95">
        <v>45096</v>
      </c>
      <c r="D1113" s="101">
        <v>8797020249</v>
      </c>
      <c r="E1113" s="2" t="s">
        <v>7276</v>
      </c>
      <c r="H1113" s="522" t="s">
        <v>2071</v>
      </c>
      <c r="I1113" s="325" t="s">
        <v>7275</v>
      </c>
      <c r="J1113" s="162">
        <v>45113</v>
      </c>
    </row>
    <row r="1114" spans="3:11" ht="14.25" customHeight="1">
      <c r="C1114" s="95">
        <v>45096</v>
      </c>
      <c r="D1114" s="101">
        <v>9934186445</v>
      </c>
      <c r="E1114" s="2" t="s">
        <v>7277</v>
      </c>
      <c r="H1114" s="522" t="s">
        <v>1275</v>
      </c>
      <c r="I1114" s="325" t="s">
        <v>7278</v>
      </c>
      <c r="J1114" s="101" t="s">
        <v>507</v>
      </c>
    </row>
    <row r="1115" spans="3:11" ht="14.25" customHeight="1">
      <c r="C1115" s="95">
        <v>45099</v>
      </c>
      <c r="D1115" s="101">
        <v>8797326157</v>
      </c>
      <c r="E1115" s="2" t="s">
        <v>7282</v>
      </c>
      <c r="H1115" s="524" t="s">
        <v>4027</v>
      </c>
      <c r="I1115" s="83" t="s">
        <v>7283</v>
      </c>
      <c r="J1115" s="101" t="s">
        <v>7416</v>
      </c>
    </row>
    <row r="1116" spans="3:11" ht="14.25" customHeight="1">
      <c r="C1116" s="95">
        <v>45100</v>
      </c>
      <c r="D1116" s="101">
        <v>6203320498</v>
      </c>
      <c r="E1116" s="2" t="s">
        <v>7288</v>
      </c>
      <c r="H1116" s="528" t="s">
        <v>2067</v>
      </c>
      <c r="I1116" s="325" t="s">
        <v>7289</v>
      </c>
      <c r="J1116" s="101" t="s">
        <v>7317</v>
      </c>
    </row>
    <row r="1117" spans="3:11" ht="14.25" customHeight="1">
      <c r="C1117" s="95">
        <v>45100</v>
      </c>
      <c r="D1117" s="101">
        <v>8789552082</v>
      </c>
      <c r="E1117" s="2" t="s">
        <v>7293</v>
      </c>
      <c r="H1117" s="528" t="s">
        <v>6798</v>
      </c>
      <c r="I1117" s="325" t="s">
        <v>7294</v>
      </c>
      <c r="J1117" s="101" t="s">
        <v>7316</v>
      </c>
    </row>
    <row r="1118" spans="3:11" ht="14.25" customHeight="1">
      <c r="C1118" s="95">
        <v>45100</v>
      </c>
      <c r="D1118" s="101">
        <v>8797467935</v>
      </c>
      <c r="E1118" s="2" t="s">
        <v>7295</v>
      </c>
      <c r="H1118" s="528" t="s">
        <v>7297</v>
      </c>
      <c r="I1118" s="325" t="s">
        <v>7296</v>
      </c>
      <c r="J1118" s="680">
        <v>45215</v>
      </c>
      <c r="K1118" s="546"/>
    </row>
    <row r="1119" spans="3:11" ht="14.25" customHeight="1">
      <c r="C1119" s="95">
        <v>45100</v>
      </c>
      <c r="D1119" s="101">
        <v>9508987998</v>
      </c>
      <c r="E1119" s="2" t="s">
        <v>7299</v>
      </c>
      <c r="H1119" s="528" t="s">
        <v>2071</v>
      </c>
      <c r="I1119" s="332" t="s">
        <v>7298</v>
      </c>
      <c r="J1119" s="101" t="s">
        <v>7336</v>
      </c>
    </row>
    <row r="1120" spans="3:11" ht="14.25" customHeight="1">
      <c r="C1120" s="95">
        <v>45101</v>
      </c>
      <c r="D1120" s="101">
        <v>8541852567</v>
      </c>
      <c r="E1120" s="2" t="s">
        <v>2038</v>
      </c>
      <c r="H1120" s="529" t="s">
        <v>2696</v>
      </c>
      <c r="I1120" s="325" t="s">
        <v>7300</v>
      </c>
      <c r="J1120" s="101" t="s">
        <v>507</v>
      </c>
    </row>
    <row r="1121" spans="3:11" ht="14.25" customHeight="1">
      <c r="C1121" s="95">
        <v>45102</v>
      </c>
      <c r="D1121" s="101">
        <v>9508356256</v>
      </c>
      <c r="E1121" s="2" t="s">
        <v>7303</v>
      </c>
      <c r="H1121" s="530" t="s">
        <v>1268</v>
      </c>
      <c r="I1121" s="325" t="s">
        <v>7304</v>
      </c>
      <c r="J1121" s="101" t="s">
        <v>6757</v>
      </c>
    </row>
    <row r="1122" spans="3:11" ht="14.25" customHeight="1">
      <c r="C1122" s="95">
        <v>45104</v>
      </c>
      <c r="D1122" s="101">
        <v>6203620715</v>
      </c>
      <c r="E1122" s="2" t="s">
        <v>7306</v>
      </c>
      <c r="H1122" s="532" t="s">
        <v>1275</v>
      </c>
      <c r="I1122" s="332" t="s">
        <v>7307</v>
      </c>
      <c r="J1122" s="101" t="s">
        <v>7315</v>
      </c>
    </row>
    <row r="1123" spans="3:11" ht="14.25" customHeight="1">
      <c r="C1123" s="162">
        <v>45107</v>
      </c>
      <c r="D1123" s="101">
        <v>9234469231</v>
      </c>
      <c r="E1123" s="534" t="s">
        <v>7311</v>
      </c>
      <c r="H1123" s="534" t="s">
        <v>7310</v>
      </c>
      <c r="I1123" s="325" t="s">
        <v>7312</v>
      </c>
      <c r="J1123" s="650" t="s">
        <v>7583</v>
      </c>
    </row>
    <row r="1124" spans="3:11" ht="14.25" customHeight="1">
      <c r="C1124" s="95">
        <v>45108</v>
      </c>
      <c r="D1124" s="101">
        <v>9955197377</v>
      </c>
      <c r="E1124" s="535" t="s">
        <v>7314</v>
      </c>
      <c r="H1124" s="535" t="s">
        <v>1275</v>
      </c>
      <c r="I1124" s="325" t="s">
        <v>7313</v>
      </c>
      <c r="J1124" s="575" t="s">
        <v>507</v>
      </c>
    </row>
    <row r="1125" spans="3:11" ht="14.25" customHeight="1">
      <c r="C1125" s="95">
        <v>45110</v>
      </c>
      <c r="D1125" s="101">
        <v>9934186445</v>
      </c>
      <c r="E1125" s="538" t="s">
        <v>7318</v>
      </c>
      <c r="H1125" s="535" t="s">
        <v>1275</v>
      </c>
      <c r="I1125" s="325" t="s">
        <v>7321</v>
      </c>
      <c r="J1125" s="570" t="s">
        <v>507</v>
      </c>
    </row>
    <row r="1126" spans="3:11" ht="14.25" customHeight="1">
      <c r="C1126" s="95">
        <v>45111</v>
      </c>
      <c r="D1126" s="101">
        <v>9304524195</v>
      </c>
      <c r="E1126" s="539" t="s">
        <v>4477</v>
      </c>
      <c r="H1126" s="539" t="s">
        <v>2330</v>
      </c>
      <c r="I1126" s="325" t="s">
        <v>7319</v>
      </c>
      <c r="K1126" t="s">
        <v>7320</v>
      </c>
    </row>
    <row r="1127" spans="3:11" ht="14.25" customHeight="1">
      <c r="C1127" s="95">
        <v>45112</v>
      </c>
      <c r="D1127" s="101">
        <v>7209410050</v>
      </c>
      <c r="E1127" s="541" t="s">
        <v>7324</v>
      </c>
      <c r="H1127" s="541" t="s">
        <v>1227</v>
      </c>
      <c r="I1127" s="325" t="s">
        <v>7323</v>
      </c>
      <c r="K1127" s="550" t="s">
        <v>7368</v>
      </c>
    </row>
    <row r="1128" spans="3:11" ht="14.25" customHeight="1">
      <c r="C1128" s="95">
        <v>45112</v>
      </c>
      <c r="D1128" s="101">
        <v>9031319506</v>
      </c>
      <c r="E1128" s="542" t="s">
        <v>1589</v>
      </c>
      <c r="H1128" s="542" t="s">
        <v>7325</v>
      </c>
      <c r="I1128" s="325" t="s">
        <v>7326</v>
      </c>
      <c r="K1128" s="550" t="s">
        <v>7368</v>
      </c>
    </row>
    <row r="1129" spans="3:11" ht="14.25" customHeight="1">
      <c r="C1129" s="95">
        <v>45112</v>
      </c>
      <c r="D1129" s="101">
        <v>9162891972</v>
      </c>
      <c r="E1129" s="542" t="s">
        <v>7327</v>
      </c>
      <c r="H1129" s="542" t="s">
        <v>1473</v>
      </c>
      <c r="I1129" s="325" t="s">
        <v>7328</v>
      </c>
      <c r="K1129" s="550" t="s">
        <v>7369</v>
      </c>
    </row>
    <row r="1130" spans="3:11" ht="14.25" customHeight="1">
      <c r="C1130" s="95">
        <v>45112</v>
      </c>
      <c r="D1130" s="101">
        <v>9102828520</v>
      </c>
      <c r="E1130" s="542" t="s">
        <v>7329</v>
      </c>
      <c r="H1130" s="542" t="s">
        <v>1392</v>
      </c>
      <c r="I1130" s="325" t="s">
        <v>7330</v>
      </c>
      <c r="J1130" s="575" t="s">
        <v>507</v>
      </c>
    </row>
    <row r="1131" spans="3:11" ht="14.25" customHeight="1">
      <c r="C1131" s="587">
        <v>45113</v>
      </c>
      <c r="D1131" s="252">
        <v>7209622203</v>
      </c>
      <c r="E1131" s="253" t="s">
        <v>7332</v>
      </c>
      <c r="F1131" s="253"/>
      <c r="G1131" s="1762"/>
      <c r="H1131" s="253" t="s">
        <v>1392</v>
      </c>
      <c r="I1131" s="588" t="s">
        <v>7331</v>
      </c>
      <c r="J1131" s="252" t="s">
        <v>507</v>
      </c>
      <c r="K1131" s="253" t="s">
        <v>6292</v>
      </c>
    </row>
    <row r="1132" spans="3:11" ht="14.25" customHeight="1">
      <c r="C1132" s="95">
        <v>45113</v>
      </c>
      <c r="D1132" s="101">
        <v>9661506141</v>
      </c>
      <c r="E1132" s="543" t="s">
        <v>5611</v>
      </c>
      <c r="H1132" s="543" t="s">
        <v>1227</v>
      </c>
      <c r="I1132" s="325" t="s">
        <v>7333</v>
      </c>
      <c r="J1132" s="575" t="s">
        <v>507</v>
      </c>
    </row>
    <row r="1133" spans="3:11" ht="14.25" customHeight="1">
      <c r="C1133" s="95">
        <v>45113</v>
      </c>
      <c r="D1133" s="101">
        <v>7209436086</v>
      </c>
      <c r="E1133" s="544" t="s">
        <v>7334</v>
      </c>
      <c r="G1133" s="294">
        <v>15</v>
      </c>
      <c r="H1133" s="544" t="s">
        <v>1311</v>
      </c>
      <c r="I1133" s="325" t="s">
        <v>7335</v>
      </c>
      <c r="J1133" s="586">
        <v>45140</v>
      </c>
    </row>
    <row r="1134" spans="3:11" ht="14.25" customHeight="1">
      <c r="C1134" s="95">
        <v>45114</v>
      </c>
      <c r="D1134" s="101">
        <v>7779875105</v>
      </c>
      <c r="E1134" s="545" t="s">
        <v>7337</v>
      </c>
      <c r="H1134" s="545" t="s">
        <v>1392</v>
      </c>
      <c r="I1134" s="325" t="s">
        <v>7338</v>
      </c>
      <c r="J1134" s="575" t="s">
        <v>507</v>
      </c>
    </row>
    <row r="1135" spans="3:11" ht="14.25" customHeight="1">
      <c r="C1135" s="95">
        <v>45114</v>
      </c>
      <c r="D1135" s="101">
        <v>8603847325</v>
      </c>
      <c r="E1135" s="545" t="s">
        <v>4279</v>
      </c>
      <c r="H1135" s="545" t="s">
        <v>1227</v>
      </c>
      <c r="I1135" s="325" t="s">
        <v>7339</v>
      </c>
      <c r="J1135" s="586">
        <v>45147</v>
      </c>
    </row>
    <row r="1136" spans="3:11" ht="14.25" customHeight="1">
      <c r="C1136" s="95">
        <v>45114</v>
      </c>
      <c r="D1136" s="101">
        <v>7209155202</v>
      </c>
      <c r="E1136" s="545" t="s">
        <v>7340</v>
      </c>
      <c r="H1136" s="545" t="s">
        <v>5620</v>
      </c>
      <c r="I1136" s="325" t="s">
        <v>7341</v>
      </c>
      <c r="J1136" s="586">
        <v>45161</v>
      </c>
    </row>
    <row r="1137" spans="3:10" ht="14.25" customHeight="1">
      <c r="C1137" s="95">
        <v>45114</v>
      </c>
      <c r="D1137" s="101">
        <v>7004045990</v>
      </c>
      <c r="E1137" s="545" t="s">
        <v>7343</v>
      </c>
      <c r="H1137" s="545" t="s">
        <v>7344</v>
      </c>
      <c r="I1137" s="325" t="s">
        <v>7342</v>
      </c>
      <c r="J1137" s="570" t="s">
        <v>538</v>
      </c>
    </row>
    <row r="1138" spans="3:10" ht="14.25" customHeight="1">
      <c r="C1138" s="95">
        <v>45115</v>
      </c>
      <c r="D1138" s="101">
        <v>7779875105</v>
      </c>
      <c r="E1138" s="545" t="s">
        <v>7337</v>
      </c>
      <c r="I1138" s="548" t="s">
        <v>7349</v>
      </c>
      <c r="J1138" s="570" t="s">
        <v>507</v>
      </c>
    </row>
    <row r="1139" spans="3:10" ht="14.25" customHeight="1">
      <c r="C1139" s="95">
        <v>45115</v>
      </c>
      <c r="D1139" s="101">
        <v>8235489843</v>
      </c>
      <c r="E1139" s="547" t="s">
        <v>7345</v>
      </c>
      <c r="H1139" s="547" t="s">
        <v>2506</v>
      </c>
      <c r="I1139" s="325" t="s">
        <v>7350</v>
      </c>
      <c r="J1139" s="570" t="s">
        <v>507</v>
      </c>
    </row>
    <row r="1140" spans="3:10" ht="14.25" customHeight="1">
      <c r="C1140" s="95">
        <v>45116</v>
      </c>
      <c r="D1140" s="101">
        <v>725914524</v>
      </c>
      <c r="E1140" s="548" t="s">
        <v>7351</v>
      </c>
      <c r="H1140" s="548" t="s">
        <v>2067</v>
      </c>
      <c r="I1140" t="s">
        <v>7352</v>
      </c>
      <c r="J1140" s="578" t="s">
        <v>7453</v>
      </c>
    </row>
    <row r="1141" spans="3:10" ht="14.25" customHeight="1">
      <c r="C1141" s="95">
        <v>45116</v>
      </c>
      <c r="D1141" s="1">
        <v>9031352982</v>
      </c>
      <c r="E1141" s="548" t="s">
        <v>7353</v>
      </c>
      <c r="H1141" s="548" t="s">
        <v>1785</v>
      </c>
      <c r="I1141" s="332" t="s">
        <v>7354</v>
      </c>
      <c r="J1141" s="570" t="s">
        <v>7433</v>
      </c>
    </row>
    <row r="1142" spans="3:10" ht="14.25" customHeight="1">
      <c r="C1142" s="95">
        <v>45116</v>
      </c>
      <c r="D1142" s="101">
        <v>8340645593</v>
      </c>
      <c r="E1142" s="549" t="s">
        <v>7358</v>
      </c>
      <c r="H1142" s="549" t="s">
        <v>7359</v>
      </c>
      <c r="I1142" s="332" t="s">
        <v>7360</v>
      </c>
      <c r="J1142" s="556">
        <v>45124</v>
      </c>
    </row>
    <row r="1143" spans="3:10" ht="14.25" customHeight="1">
      <c r="C1143" s="95">
        <v>45118</v>
      </c>
      <c r="D1143" s="1">
        <v>9031352982</v>
      </c>
      <c r="E1143" s="551" t="s">
        <v>7370</v>
      </c>
      <c r="G1143" s="294">
        <v>15</v>
      </c>
      <c r="H1143" s="551" t="s">
        <v>6784</v>
      </c>
      <c r="I1143" s="332" t="s">
        <v>7375</v>
      </c>
      <c r="J1143" s="566">
        <v>45134</v>
      </c>
    </row>
    <row r="1144" spans="3:10" ht="14.25" customHeight="1">
      <c r="C1144" s="95">
        <v>45118</v>
      </c>
      <c r="D1144" s="101">
        <v>8797588334</v>
      </c>
      <c r="E1144" s="551" t="s">
        <v>7371</v>
      </c>
      <c r="H1144" s="551" t="s">
        <v>7372</v>
      </c>
      <c r="I1144" s="325" t="s">
        <v>7373</v>
      </c>
      <c r="J1144" s="630">
        <v>45177</v>
      </c>
    </row>
    <row r="1145" spans="3:10" ht="14.25" customHeight="1">
      <c r="C1145" s="95">
        <v>45119</v>
      </c>
      <c r="D1145" s="101">
        <v>9102399329</v>
      </c>
      <c r="E1145" s="552" t="s">
        <v>7381</v>
      </c>
      <c r="H1145" s="552" t="s">
        <v>4195</v>
      </c>
      <c r="I1145" s="325" t="s">
        <v>7380</v>
      </c>
      <c r="J1145" s="578" t="s">
        <v>507</v>
      </c>
    </row>
    <row r="1146" spans="3:10" ht="14.25" customHeight="1">
      <c r="C1146" s="95">
        <v>45119</v>
      </c>
      <c r="D1146" s="101">
        <v>8092766796</v>
      </c>
      <c r="E1146" s="552" t="s">
        <v>7384</v>
      </c>
      <c r="H1146" s="552" t="s">
        <v>7382</v>
      </c>
      <c r="I1146" s="332" t="s">
        <v>7383</v>
      </c>
      <c r="J1146" s="585">
        <v>45182</v>
      </c>
    </row>
    <row r="1147" spans="3:10" ht="14.25" customHeight="1">
      <c r="C1147" s="95">
        <v>45120</v>
      </c>
      <c r="D1147" s="101">
        <v>9709558127</v>
      </c>
      <c r="E1147" s="553" t="s">
        <v>4549</v>
      </c>
      <c r="H1147" s="553" t="s">
        <v>5094</v>
      </c>
      <c r="I1147" s="325" t="s">
        <v>7388</v>
      </c>
      <c r="J1147" s="585">
        <v>45141</v>
      </c>
    </row>
    <row r="1148" spans="3:10" ht="14.25" customHeight="1">
      <c r="C1148" s="95">
        <v>45120</v>
      </c>
      <c r="D1148" s="101">
        <v>7367962510</v>
      </c>
      <c r="E1148" s="577" t="s">
        <v>993</v>
      </c>
      <c r="H1148" s="553" t="s">
        <v>5094</v>
      </c>
      <c r="I1148" s="325" t="s">
        <v>7389</v>
      </c>
      <c r="J1148" s="101" t="s">
        <v>7452</v>
      </c>
    </row>
    <row r="1149" spans="3:10" ht="14.25" customHeight="1">
      <c r="C1149" s="95">
        <v>45120</v>
      </c>
      <c r="D1149" s="101">
        <v>7004038832</v>
      </c>
      <c r="E1149" s="554" t="s">
        <v>7396</v>
      </c>
      <c r="H1149" s="553" t="s">
        <v>5094</v>
      </c>
      <c r="I1149" s="325" t="s">
        <v>7395</v>
      </c>
      <c r="J1149" s="560" t="s">
        <v>7411</v>
      </c>
    </row>
    <row r="1150" spans="3:10" ht="14.25" customHeight="1">
      <c r="C1150" s="95">
        <v>45121</v>
      </c>
      <c r="D1150" s="101">
        <v>8210310778</v>
      </c>
      <c r="E1150" s="555" t="s">
        <v>7399</v>
      </c>
      <c r="H1150" s="553" t="s">
        <v>5094</v>
      </c>
      <c r="I1150" s="325" t="s">
        <v>7398</v>
      </c>
      <c r="J1150" s="585">
        <v>45147</v>
      </c>
    </row>
    <row r="1151" spans="3:10" ht="14.25" customHeight="1">
      <c r="C1151" s="95">
        <v>45124</v>
      </c>
      <c r="D1151" s="101">
        <v>9153990980</v>
      </c>
      <c r="E1151" s="543" t="s">
        <v>7127</v>
      </c>
      <c r="H1151" s="543" t="s">
        <v>1392</v>
      </c>
      <c r="I1151" s="325" t="s">
        <v>7400</v>
      </c>
      <c r="J1151" s="585">
        <v>45140</v>
      </c>
    </row>
    <row r="1152" spans="3:10" ht="14.25" customHeight="1">
      <c r="C1152" s="162">
        <v>45124</v>
      </c>
      <c r="D1152" s="101">
        <v>9199535895</v>
      </c>
      <c r="E1152" s="557" t="s">
        <v>7402</v>
      </c>
      <c r="H1152" s="557" t="s">
        <v>1392</v>
      </c>
      <c r="I1152" s="332" t="s">
        <v>7401</v>
      </c>
      <c r="J1152" s="580" t="s">
        <v>39</v>
      </c>
    </row>
    <row r="1153" spans="3:10" ht="14.25" customHeight="1">
      <c r="C1153" s="95">
        <v>45125</v>
      </c>
      <c r="D1153" s="101">
        <v>9204280126</v>
      </c>
      <c r="E1153" s="559" t="s">
        <v>2591</v>
      </c>
      <c r="H1153" s="559" t="s">
        <v>5094</v>
      </c>
      <c r="I1153" s="325" t="s">
        <v>7408</v>
      </c>
      <c r="J1153" s="570" t="s">
        <v>7434</v>
      </c>
    </row>
    <row r="1154" spans="3:10" ht="14.25" customHeight="1">
      <c r="C1154" s="95">
        <v>45125</v>
      </c>
      <c r="D1154" s="101">
        <v>7903833040</v>
      </c>
      <c r="E1154" s="559" t="s">
        <v>7409</v>
      </c>
      <c r="H1154" s="559" t="s">
        <v>1275</v>
      </c>
      <c r="I1154" s="325" t="s">
        <v>7410</v>
      </c>
      <c r="J1154" s="592">
        <v>45143</v>
      </c>
    </row>
    <row r="1155" spans="3:10" ht="14.25" customHeight="1">
      <c r="C1155" s="95">
        <v>45126</v>
      </c>
      <c r="D1155" s="101">
        <v>6206934873</v>
      </c>
      <c r="E1155" s="561" t="s">
        <v>1198</v>
      </c>
      <c r="H1155" s="561" t="s">
        <v>1275</v>
      </c>
      <c r="I1155" s="325" t="s">
        <v>7414</v>
      </c>
      <c r="J1155" s="584" t="s">
        <v>507</v>
      </c>
    </row>
    <row r="1156" spans="3:10" ht="14.25" customHeight="1">
      <c r="C1156" s="95">
        <v>45127</v>
      </c>
      <c r="D1156" s="101">
        <v>8825230298</v>
      </c>
      <c r="E1156" s="564" t="s">
        <v>7422</v>
      </c>
      <c r="H1156" s="564" t="s">
        <v>2067</v>
      </c>
      <c r="I1156" s="325" t="s">
        <v>7421</v>
      </c>
      <c r="J1156" s="586">
        <v>45151</v>
      </c>
    </row>
    <row r="1157" spans="3:10" ht="14.25" customHeight="1">
      <c r="C1157" s="95">
        <v>45128</v>
      </c>
      <c r="D1157" s="101">
        <v>9608686379</v>
      </c>
      <c r="E1157" s="565" t="s">
        <v>7423</v>
      </c>
      <c r="H1157" s="565" t="s">
        <v>2047</v>
      </c>
      <c r="I1157" s="325" t="s">
        <v>7424</v>
      </c>
      <c r="J1157" s="584" t="s">
        <v>507</v>
      </c>
    </row>
    <row r="1158" spans="3:10" ht="14.25" customHeight="1">
      <c r="C1158" s="95">
        <v>45128</v>
      </c>
      <c r="D1158" s="101">
        <v>8002837099</v>
      </c>
      <c r="E1158" s="565" t="s">
        <v>7425</v>
      </c>
      <c r="H1158" s="565" t="s">
        <v>1541</v>
      </c>
      <c r="I1158" s="325" t="s">
        <v>7426</v>
      </c>
      <c r="J1158" s="707">
        <v>45250</v>
      </c>
    </row>
    <row r="1159" spans="3:10" ht="14.25" customHeight="1">
      <c r="C1159" s="568">
        <v>45129</v>
      </c>
      <c r="D1159" s="101">
        <v>9955660083</v>
      </c>
      <c r="E1159" s="567" t="s">
        <v>7245</v>
      </c>
      <c r="H1159" s="567" t="s">
        <v>1473</v>
      </c>
      <c r="I1159" s="325" t="s">
        <v>7427</v>
      </c>
      <c r="J1159" s="592">
        <v>45144</v>
      </c>
    </row>
    <row r="1160" spans="3:10" ht="14.25" customHeight="1">
      <c r="C1160" s="568">
        <v>45129</v>
      </c>
      <c r="D1160" s="101">
        <v>7079786513</v>
      </c>
      <c r="E1160" s="567" t="s">
        <v>7428</v>
      </c>
      <c r="H1160" s="567" t="s">
        <v>1392</v>
      </c>
      <c r="I1160" t="s">
        <v>7429</v>
      </c>
      <c r="J1160" s="592">
        <v>45146</v>
      </c>
    </row>
    <row r="1161" spans="3:10" ht="14.25" customHeight="1">
      <c r="C1161" s="95">
        <v>45131</v>
      </c>
      <c r="D1161" s="101">
        <v>7209622203</v>
      </c>
      <c r="E1161" s="571" t="s">
        <v>7332</v>
      </c>
      <c r="H1161" s="571" t="s">
        <v>1892</v>
      </c>
      <c r="I1161" s="332" t="s">
        <v>7435</v>
      </c>
      <c r="J1161" s="600" t="s">
        <v>507</v>
      </c>
    </row>
    <row r="1162" spans="3:10" ht="14.25" customHeight="1">
      <c r="C1162" s="95">
        <v>45131</v>
      </c>
      <c r="D1162" s="101">
        <v>9852983637</v>
      </c>
      <c r="E1162" s="571" t="s">
        <v>7437</v>
      </c>
      <c r="H1162" s="571" t="s">
        <v>6490</v>
      </c>
      <c r="I1162" s="325" t="s">
        <v>7436</v>
      </c>
      <c r="J1162" s="200" t="s">
        <v>7454</v>
      </c>
    </row>
    <row r="1163" spans="3:10" ht="14.25" customHeight="1">
      <c r="C1163" s="95">
        <v>45131</v>
      </c>
      <c r="D1163" s="101">
        <v>9122730822</v>
      </c>
      <c r="E1163" s="571" t="s">
        <v>7438</v>
      </c>
      <c r="H1163" s="571" t="s">
        <v>2506</v>
      </c>
      <c r="I1163" s="325" t="s">
        <v>7439</v>
      </c>
      <c r="J1163" s="584" t="s">
        <v>7475</v>
      </c>
    </row>
    <row r="1164" spans="3:10" ht="14.25" customHeight="1">
      <c r="C1164" s="95">
        <v>45131</v>
      </c>
      <c r="D1164" s="101">
        <v>8434564767</v>
      </c>
      <c r="E1164" s="571" t="s">
        <v>7441</v>
      </c>
      <c r="H1164" s="571" t="s">
        <v>2047</v>
      </c>
      <c r="I1164" s="325" t="s">
        <v>7440</v>
      </c>
      <c r="J1164" s="592">
        <v>45146</v>
      </c>
    </row>
    <row r="1165" spans="3:10" ht="14.25" customHeight="1">
      <c r="C1165" s="95">
        <v>45134</v>
      </c>
      <c r="D1165" s="101">
        <v>7004415710</v>
      </c>
      <c r="E1165" s="574" t="s">
        <v>7447</v>
      </c>
      <c r="H1165" s="571" t="s">
        <v>2047</v>
      </c>
      <c r="I1165" s="83" t="s">
        <v>7446</v>
      </c>
      <c r="J1165" s="101" t="s">
        <v>7455</v>
      </c>
    </row>
    <row r="1166" spans="3:10" ht="14.25" customHeight="1">
      <c r="C1166" s="95">
        <v>45135</v>
      </c>
      <c r="D1166" s="101">
        <v>8252741152</v>
      </c>
      <c r="E1166" s="576" t="s">
        <v>7448</v>
      </c>
      <c r="H1166" s="576" t="s">
        <v>1275</v>
      </c>
      <c r="I1166" s="325" t="s">
        <v>7449</v>
      </c>
      <c r="J1166" s="162">
        <v>45146</v>
      </c>
    </row>
    <row r="1167" spans="3:10" ht="14.25" customHeight="1">
      <c r="C1167" s="95">
        <v>45135</v>
      </c>
      <c r="D1167" s="101">
        <v>9431302189</v>
      </c>
      <c r="E1167" s="576" t="s">
        <v>2947</v>
      </c>
      <c r="H1167" s="576" t="s">
        <v>1869</v>
      </c>
      <c r="I1167" s="332" t="s">
        <v>7450</v>
      </c>
      <c r="J1167" s="606" t="s">
        <v>7501</v>
      </c>
    </row>
    <row r="1168" spans="3:10" ht="14.25" customHeight="1">
      <c r="C1168" s="95">
        <v>45136</v>
      </c>
      <c r="D1168" s="101">
        <v>6201851477</v>
      </c>
      <c r="E1168" s="579" t="s">
        <v>7456</v>
      </c>
      <c r="H1168" s="576" t="s">
        <v>1869</v>
      </c>
      <c r="I1168" s="325" t="s">
        <v>7457</v>
      </c>
      <c r="J1168" s="598">
        <v>45147</v>
      </c>
    </row>
    <row r="1169" spans="3:12" ht="14.25" customHeight="1">
      <c r="C1169" s="95">
        <v>45137</v>
      </c>
      <c r="D1169" s="101">
        <v>7050251414</v>
      </c>
      <c r="E1169" s="581" t="s">
        <v>7459</v>
      </c>
      <c r="H1169" s="581" t="s">
        <v>1905</v>
      </c>
      <c r="I1169" s="332" t="s">
        <v>7458</v>
      </c>
      <c r="J1169" s="606" t="s">
        <v>507</v>
      </c>
    </row>
    <row r="1170" spans="3:12" ht="14.25" customHeight="1">
      <c r="C1170" s="95">
        <v>45137</v>
      </c>
      <c r="D1170" s="101">
        <v>7858924632</v>
      </c>
      <c r="E1170" s="581" t="s">
        <v>7466</v>
      </c>
      <c r="H1170" s="581" t="s">
        <v>1869</v>
      </c>
      <c r="I1170" s="325" t="s">
        <v>7476</v>
      </c>
      <c r="J1170" s="101" t="s">
        <v>7494</v>
      </c>
    </row>
    <row r="1171" spans="3:12" ht="14.25" customHeight="1">
      <c r="C1171" s="95">
        <v>45137</v>
      </c>
      <c r="D1171" s="101">
        <v>9955549278</v>
      </c>
      <c r="E1171" s="581" t="s">
        <v>7467</v>
      </c>
      <c r="H1171" s="581" t="s">
        <v>2564</v>
      </c>
      <c r="I1171" s="325" t="s">
        <v>7468</v>
      </c>
      <c r="J1171" s="606" t="s">
        <v>36</v>
      </c>
      <c r="K1171" s="614" t="s">
        <v>7521</v>
      </c>
      <c r="L1171" s="614" t="s">
        <v>7522</v>
      </c>
    </row>
    <row r="1172" spans="3:12" ht="14.25" customHeight="1">
      <c r="C1172" s="95">
        <v>45139</v>
      </c>
      <c r="D1172" s="101">
        <v>7033091455</v>
      </c>
      <c r="E1172" s="582" t="s">
        <v>7470</v>
      </c>
      <c r="H1172" s="582" t="s">
        <v>1275</v>
      </c>
      <c r="I1172" s="325" t="s">
        <v>7469</v>
      </c>
      <c r="J1172" s="635">
        <v>45179</v>
      </c>
    </row>
    <row r="1173" spans="3:12" ht="14.25" customHeight="1">
      <c r="C1173" s="95">
        <v>45141</v>
      </c>
      <c r="D1173" s="101">
        <v>8092522564</v>
      </c>
      <c r="E1173" s="589" t="s">
        <v>7478</v>
      </c>
      <c r="H1173" s="589" t="s">
        <v>2096</v>
      </c>
      <c r="I1173" s="325" t="s">
        <v>7479</v>
      </c>
      <c r="J1173" s="635">
        <v>45205</v>
      </c>
    </row>
    <row r="1174" spans="3:12" ht="14.25" customHeight="1">
      <c r="C1174" s="95">
        <v>45142</v>
      </c>
      <c r="D1174" s="101">
        <v>7033761216</v>
      </c>
      <c r="E1174" s="591" t="s">
        <v>7482</v>
      </c>
      <c r="H1174" s="591" t="s">
        <v>2134</v>
      </c>
      <c r="I1174" s="325" t="s">
        <v>7483</v>
      </c>
      <c r="J1174" s="200" t="s">
        <v>100</v>
      </c>
      <c r="K1174" s="618" t="s">
        <v>3395</v>
      </c>
    </row>
    <row r="1175" spans="3:12" ht="14.25" customHeight="1">
      <c r="C1175" s="162">
        <v>45145</v>
      </c>
      <c r="D1175" s="101">
        <v>9128727657</v>
      </c>
      <c r="E1175" t="s">
        <v>7489</v>
      </c>
      <c r="H1175" s="595" t="s">
        <v>2071</v>
      </c>
      <c r="I1175" s="325" t="s">
        <v>7492</v>
      </c>
      <c r="J1175" s="162">
        <v>45192</v>
      </c>
    </row>
    <row r="1176" spans="3:12" ht="14.25" customHeight="1">
      <c r="C1176" s="95">
        <v>45150</v>
      </c>
      <c r="D1176" s="101">
        <v>9890939614</v>
      </c>
      <c r="E1176" t="s">
        <v>7497</v>
      </c>
      <c r="H1176" s="603" t="s">
        <v>2067</v>
      </c>
      <c r="I1176" s="325" t="s">
        <v>7498</v>
      </c>
      <c r="J1176" s="101" t="s">
        <v>507</v>
      </c>
    </row>
    <row r="1177" spans="3:12" ht="14.25" customHeight="1">
      <c r="C1177" s="95">
        <v>45156</v>
      </c>
      <c r="D1177" s="101">
        <v>9990759762</v>
      </c>
      <c r="E1177" s="610" t="s">
        <v>1775</v>
      </c>
      <c r="H1177" s="610" t="s">
        <v>1955</v>
      </c>
      <c r="I1177" s="325" t="s">
        <v>7508</v>
      </c>
      <c r="J1177" s="629" t="s">
        <v>77</v>
      </c>
    </row>
    <row r="1178" spans="3:12" ht="14.25" customHeight="1">
      <c r="C1178" s="95">
        <v>45164</v>
      </c>
      <c r="D1178" s="101">
        <v>9708588759</v>
      </c>
      <c r="E1178" s="618" t="s">
        <v>7523</v>
      </c>
      <c r="H1178" s="618" t="s">
        <v>1392</v>
      </c>
      <c r="I1178" s="325" t="s">
        <v>7525</v>
      </c>
      <c r="J1178" s="657">
        <v>45216</v>
      </c>
    </row>
    <row r="1179" spans="3:12" ht="14.25" customHeight="1">
      <c r="C1179" s="95">
        <v>45164</v>
      </c>
      <c r="D1179" s="101">
        <v>8709047640</v>
      </c>
      <c r="E1179" s="618" t="s">
        <v>3090</v>
      </c>
      <c r="H1179" s="618" t="s">
        <v>2067</v>
      </c>
      <c r="I1179" s="325" t="s">
        <v>7524</v>
      </c>
      <c r="J1179" s="625" t="s">
        <v>507</v>
      </c>
    </row>
    <row r="1180" spans="3:12" ht="14.25" customHeight="1">
      <c r="C1180" s="95">
        <v>45164</v>
      </c>
      <c r="D1180" s="101">
        <v>7033761216</v>
      </c>
      <c r="E1180" s="591" t="s">
        <v>7482</v>
      </c>
      <c r="H1180" s="591" t="s">
        <v>2134</v>
      </c>
      <c r="I1180" s="325" t="s">
        <v>7526</v>
      </c>
      <c r="J1180" s="200" t="s">
        <v>538</v>
      </c>
    </row>
    <row r="1181" spans="3:12" ht="14.25" customHeight="1">
      <c r="C1181" s="95">
        <v>45174</v>
      </c>
      <c r="D1181" s="101">
        <v>7464055724</v>
      </c>
      <c r="E1181" s="624" t="s">
        <v>7537</v>
      </c>
      <c r="H1181" s="624" t="s">
        <v>1869</v>
      </c>
      <c r="I1181" s="325" t="s">
        <v>7536</v>
      </c>
      <c r="J1181" s="656">
        <v>45198</v>
      </c>
    </row>
    <row r="1182" spans="3:12" ht="14.25" customHeight="1">
      <c r="C1182" s="95">
        <v>45176</v>
      </c>
      <c r="E1182" s="628" t="s">
        <v>7543</v>
      </c>
      <c r="H1182" s="628" t="s">
        <v>2071</v>
      </c>
      <c r="I1182" s="325" t="s">
        <v>7542</v>
      </c>
      <c r="J1182" s="162">
        <v>45199</v>
      </c>
    </row>
    <row r="1183" spans="3:12" ht="14.25" customHeight="1">
      <c r="C1183" s="95">
        <v>45179</v>
      </c>
      <c r="D1183" s="101">
        <v>8210165423</v>
      </c>
      <c r="E1183" s="634" t="s">
        <v>7550</v>
      </c>
      <c r="H1183" s="634" t="s">
        <v>2071</v>
      </c>
      <c r="I1183" s="325" t="s">
        <v>7556</v>
      </c>
      <c r="J1183" s="101" t="s">
        <v>507</v>
      </c>
    </row>
    <row r="1184" spans="3:12" ht="14.25" customHeight="1">
      <c r="C1184" s="95">
        <v>45179</v>
      </c>
      <c r="D1184" s="101">
        <v>8252679991</v>
      </c>
      <c r="E1184" s="634" t="s">
        <v>7551</v>
      </c>
      <c r="H1184" s="634" t="s">
        <v>418</v>
      </c>
      <c r="I1184" s="325" t="s">
        <v>7552</v>
      </c>
      <c r="J1184" s="101" t="s">
        <v>507</v>
      </c>
    </row>
    <row r="1185" spans="3:11" ht="14.25" customHeight="1">
      <c r="C1185" s="95">
        <v>45181</v>
      </c>
      <c r="D1185" s="101">
        <v>9771231269</v>
      </c>
      <c r="E1185" s="637" t="s">
        <v>7486</v>
      </c>
      <c r="H1185" s="637" t="s">
        <v>1955</v>
      </c>
      <c r="I1185" s="325" t="s">
        <v>7559</v>
      </c>
      <c r="J1185" s="101" t="s">
        <v>507</v>
      </c>
    </row>
    <row r="1186" spans="3:11" ht="14.25" customHeight="1">
      <c r="C1186" s="379">
        <v>45034</v>
      </c>
      <c r="D1186" s="225">
        <v>7781805849</v>
      </c>
      <c r="E1186" s="154" t="s">
        <v>7083</v>
      </c>
      <c r="F1186" s="156"/>
      <c r="G1186" s="297"/>
      <c r="H1186" s="638" t="s">
        <v>1275</v>
      </c>
      <c r="I1186" s="607"/>
      <c r="J1186" s="639" t="s">
        <v>7560</v>
      </c>
    </row>
    <row r="1187" spans="3:11" ht="14.25" customHeight="1">
      <c r="C1187" s="95">
        <v>45184</v>
      </c>
      <c r="D1187" s="101">
        <v>9955549278</v>
      </c>
      <c r="E1187" s="640" t="s">
        <v>6154</v>
      </c>
      <c r="H1187" s="640" t="s">
        <v>2564</v>
      </c>
      <c r="I1187" s="325" t="s">
        <v>7561</v>
      </c>
      <c r="J1187" s="101" t="s">
        <v>7572</v>
      </c>
      <c r="K1187" s="661" t="s">
        <v>7607</v>
      </c>
    </row>
    <row r="1188" spans="3:11" ht="14.25" customHeight="1">
      <c r="C1188" s="95">
        <v>45185</v>
      </c>
      <c r="D1188" s="101">
        <v>8092472770</v>
      </c>
      <c r="E1188" s="641" t="s">
        <v>7563</v>
      </c>
      <c r="H1188" s="641" t="s">
        <v>1275</v>
      </c>
      <c r="I1188" s="332" t="s">
        <v>7562</v>
      </c>
      <c r="J1188" s="670" t="s">
        <v>507</v>
      </c>
    </row>
    <row r="1189" spans="3:11" ht="14.25" customHeight="1">
      <c r="C1189" s="95">
        <v>45188</v>
      </c>
      <c r="D1189" s="101">
        <v>7070355134</v>
      </c>
      <c r="E1189" s="643" t="s">
        <v>7565</v>
      </c>
      <c r="G1189" s="1870" t="s">
        <v>7566</v>
      </c>
      <c r="H1189" s="643" t="s">
        <v>1387</v>
      </c>
      <c r="I1189" s="325" t="s">
        <v>7567</v>
      </c>
      <c r="J1189" s="689" t="s">
        <v>507</v>
      </c>
      <c r="K1189" s="661"/>
    </row>
    <row r="1190" spans="3:11" ht="14.25" customHeight="1">
      <c r="C1190" s="95">
        <v>45189</v>
      </c>
      <c r="D1190" s="645" t="s">
        <v>470</v>
      </c>
      <c r="E1190" s="644" t="s">
        <v>7568</v>
      </c>
      <c r="H1190" s="644" t="s">
        <v>1311</v>
      </c>
      <c r="I1190" s="325" t="s">
        <v>7569</v>
      </c>
      <c r="J1190" s="689" t="s">
        <v>507</v>
      </c>
    </row>
    <row r="1191" spans="3:11" ht="14.25" customHeight="1">
      <c r="C1191" s="95">
        <v>45189</v>
      </c>
      <c r="D1191" s="645" t="s">
        <v>470</v>
      </c>
      <c r="E1191" s="644" t="s">
        <v>7570</v>
      </c>
      <c r="H1191" s="644" t="s">
        <v>1311</v>
      </c>
      <c r="I1191" s="325" t="s">
        <v>7571</v>
      </c>
      <c r="J1191" s="689" t="s">
        <v>507</v>
      </c>
    </row>
    <row r="1192" spans="3:11" ht="14.25" customHeight="1">
      <c r="C1192" s="95">
        <v>45194</v>
      </c>
      <c r="D1192" s="101">
        <v>9031225732</v>
      </c>
      <c r="E1192" s="651" t="s">
        <v>7591</v>
      </c>
      <c r="H1192" s="651" t="s">
        <v>1392</v>
      </c>
      <c r="I1192" s="325" t="s">
        <v>7592</v>
      </c>
      <c r="J1192" s="668" t="s">
        <v>7454</v>
      </c>
    </row>
    <row r="1193" spans="3:11" ht="14.25" customHeight="1">
      <c r="C1193" s="95">
        <v>45195</v>
      </c>
      <c r="D1193" s="101">
        <v>8092191361</v>
      </c>
      <c r="E1193" s="653" t="s">
        <v>7600</v>
      </c>
      <c r="H1193" s="653" t="s">
        <v>6798</v>
      </c>
      <c r="I1193" s="332" t="s">
        <v>7599</v>
      </c>
      <c r="J1193" s="684" t="s">
        <v>507</v>
      </c>
    </row>
    <row r="1194" spans="3:11" ht="14.25" customHeight="1">
      <c r="C1194" s="95">
        <v>45196</v>
      </c>
      <c r="D1194" s="101">
        <v>8102054787</v>
      </c>
      <c r="E1194" s="654" t="s">
        <v>7602</v>
      </c>
      <c r="H1194" s="654" t="s">
        <v>2506</v>
      </c>
      <c r="I1194" s="325" t="s">
        <v>7603</v>
      </c>
      <c r="J1194" s="684" t="s">
        <v>507</v>
      </c>
    </row>
    <row r="1195" spans="3:11" ht="14.25" customHeight="1">
      <c r="C1195" s="95">
        <v>45197</v>
      </c>
      <c r="D1195" s="101">
        <v>8789773883</v>
      </c>
      <c r="E1195" s="655" t="s">
        <v>6851</v>
      </c>
      <c r="H1195" s="655" t="s">
        <v>2018</v>
      </c>
      <c r="I1195" s="332" t="s">
        <v>7605</v>
      </c>
      <c r="J1195" s="101" t="s">
        <v>2318</v>
      </c>
    </row>
    <row r="1196" spans="3:11" ht="14.25" customHeight="1">
      <c r="C1196" s="95">
        <v>45203</v>
      </c>
      <c r="D1196" s="101">
        <v>7645960442</v>
      </c>
      <c r="E1196" s="671" t="s">
        <v>3471</v>
      </c>
      <c r="H1196" s="666" t="s">
        <v>1863</v>
      </c>
      <c r="I1196" s="325" t="s">
        <v>7615</v>
      </c>
      <c r="J1196" s="719" t="s">
        <v>507</v>
      </c>
    </row>
    <row r="1197" spans="3:11" ht="14.25" customHeight="1">
      <c r="C1197" s="95">
        <v>45208</v>
      </c>
      <c r="D1197" s="101">
        <v>7209442958</v>
      </c>
      <c r="E1197" s="672" t="s">
        <v>2086</v>
      </c>
      <c r="H1197" s="672" t="s">
        <v>2067</v>
      </c>
      <c r="I1197" s="325" t="s">
        <v>7622</v>
      </c>
      <c r="J1197" s="720">
        <v>45269</v>
      </c>
    </row>
    <row r="1198" spans="3:11" ht="14.25" customHeight="1">
      <c r="C1198" s="95">
        <v>45208</v>
      </c>
      <c r="D1198" s="101">
        <v>9546519426</v>
      </c>
      <c r="E1198" s="672" t="s">
        <v>7624</v>
      </c>
      <c r="I1198" s="325" t="s">
        <v>7623</v>
      </c>
      <c r="J1198" s="706">
        <v>45249</v>
      </c>
      <c r="K1198" s="674"/>
    </row>
    <row r="1199" spans="3:11" ht="14.25" customHeight="1">
      <c r="C1199" s="95">
        <v>45210</v>
      </c>
      <c r="D1199" s="101">
        <v>8651301087</v>
      </c>
      <c r="E1199" s="674" t="s">
        <v>7627</v>
      </c>
      <c r="H1199" t="s">
        <v>2207</v>
      </c>
      <c r="I1199" s="325" t="s">
        <v>7629</v>
      </c>
      <c r="J1199" s="720">
        <v>45296</v>
      </c>
    </row>
    <row r="1200" spans="3:11" ht="14.25" customHeight="1">
      <c r="C1200" s="95">
        <v>45210</v>
      </c>
      <c r="D1200" s="101">
        <v>9608783507</v>
      </c>
      <c r="E1200" s="674" t="s">
        <v>7628</v>
      </c>
      <c r="H1200" s="674" t="s">
        <v>1869</v>
      </c>
      <c r="I1200" t="s">
        <v>7630</v>
      </c>
      <c r="J1200" s="720">
        <v>45426</v>
      </c>
    </row>
    <row r="1201" spans="3:10" ht="14.25" customHeight="1">
      <c r="C1201" s="95">
        <v>45211</v>
      </c>
      <c r="D1201" s="101">
        <v>9608521844</v>
      </c>
      <c r="E1201" s="675" t="s">
        <v>7634</v>
      </c>
      <c r="H1201" s="674" t="s">
        <v>1869</v>
      </c>
      <c r="I1201" s="325" t="s">
        <v>7635</v>
      </c>
      <c r="J1201" s="720">
        <v>45289</v>
      </c>
    </row>
    <row r="1202" spans="3:10" ht="14.25" customHeight="1">
      <c r="C1202" s="95">
        <v>45211</v>
      </c>
      <c r="D1202" s="101">
        <v>9852985637</v>
      </c>
      <c r="E1202" s="675" t="s">
        <v>7437</v>
      </c>
      <c r="H1202" s="674" t="s">
        <v>1869</v>
      </c>
      <c r="I1202" s="325" t="s">
        <v>7636</v>
      </c>
      <c r="J1202" s="720">
        <v>45266</v>
      </c>
    </row>
    <row r="1203" spans="3:10" ht="14.25" customHeight="1">
      <c r="C1203" s="95">
        <v>45212</v>
      </c>
      <c r="D1203" s="676">
        <v>8969685248</v>
      </c>
      <c r="E1203" s="677" t="s">
        <v>475</v>
      </c>
      <c r="H1203" s="677" t="s">
        <v>2116</v>
      </c>
      <c r="I1203" s="325" t="s">
        <v>7637</v>
      </c>
      <c r="J1203" s="719" t="s">
        <v>507</v>
      </c>
    </row>
    <row r="1204" spans="3:10" ht="14.25" customHeight="1">
      <c r="C1204" s="95">
        <v>45213</v>
      </c>
      <c r="D1204" s="101">
        <v>7294863945</v>
      </c>
      <c r="E1204" s="678" t="s">
        <v>7639</v>
      </c>
      <c r="H1204" s="678" t="s">
        <v>2071</v>
      </c>
      <c r="I1204" s="325" t="s">
        <v>7638</v>
      </c>
      <c r="J1204" s="719" t="s">
        <v>507</v>
      </c>
    </row>
    <row r="1205" spans="3:10" ht="14.25" customHeight="1">
      <c r="C1205" s="95">
        <v>45213</v>
      </c>
      <c r="D1205" s="101">
        <v>7667728943</v>
      </c>
      <c r="E1205" s="678" t="s">
        <v>7640</v>
      </c>
      <c r="H1205" s="678" t="s">
        <v>1275</v>
      </c>
      <c r="I1205" s="325" t="s">
        <v>7641</v>
      </c>
      <c r="J1205" s="720">
        <v>45279</v>
      </c>
    </row>
    <row r="1206" spans="3:10" ht="14.25" customHeight="1">
      <c r="C1206" s="95">
        <v>45220</v>
      </c>
      <c r="D1206" s="101">
        <v>6206710942</v>
      </c>
      <c r="E1206" s="687" t="s">
        <v>7657</v>
      </c>
      <c r="H1206" s="687" t="s">
        <v>2067</v>
      </c>
      <c r="I1206" s="325" t="s">
        <v>7658</v>
      </c>
      <c r="J1206" s="720">
        <v>45268</v>
      </c>
    </row>
    <row r="1207" spans="3:10" ht="14.25" customHeight="1">
      <c r="C1207" s="95">
        <v>45226</v>
      </c>
      <c r="D1207" s="101">
        <v>7352717183</v>
      </c>
      <c r="E1207" s="690" t="s">
        <v>7661</v>
      </c>
      <c r="H1207" s="690" t="s">
        <v>7010</v>
      </c>
      <c r="I1207" s="325" t="s">
        <v>7660</v>
      </c>
      <c r="J1207" s="764">
        <v>44956</v>
      </c>
    </row>
    <row r="1208" spans="3:10" ht="14.25" customHeight="1">
      <c r="C1208" s="95">
        <v>45229</v>
      </c>
      <c r="D1208" s="101">
        <v>8539048958</v>
      </c>
      <c r="E1208" s="692" t="s">
        <v>7664</v>
      </c>
      <c r="H1208" s="692" t="s">
        <v>2071</v>
      </c>
      <c r="I1208" s="325" t="s">
        <v>7666</v>
      </c>
      <c r="J1208" s="719" t="s">
        <v>507</v>
      </c>
    </row>
    <row r="1209" spans="3:10" ht="14.25" customHeight="1">
      <c r="C1209" s="95">
        <v>45229</v>
      </c>
      <c r="D1209" s="101">
        <v>8797175883</v>
      </c>
      <c r="E1209" s="692" t="s">
        <v>7665</v>
      </c>
      <c r="H1209" s="692" t="s">
        <v>1268</v>
      </c>
      <c r="I1209" s="325" t="s">
        <v>7667</v>
      </c>
      <c r="J1209" s="719" t="s">
        <v>507</v>
      </c>
    </row>
    <row r="1210" spans="3:10" ht="14.25" customHeight="1">
      <c r="C1210" s="95">
        <v>45229</v>
      </c>
      <c r="D1210" s="101">
        <v>9234745588</v>
      </c>
      <c r="E1210" s="692" t="s">
        <v>7668</v>
      </c>
      <c r="H1210" s="692" t="s">
        <v>2067</v>
      </c>
      <c r="I1210" s="332" t="s">
        <v>7669</v>
      </c>
      <c r="J1210" s="717">
        <v>45264</v>
      </c>
    </row>
    <row r="1211" spans="3:10" ht="14.25" customHeight="1">
      <c r="C1211" s="95">
        <v>45230</v>
      </c>
      <c r="D1211" s="101">
        <v>7979976311</v>
      </c>
      <c r="E1211" s="693" t="s">
        <v>7671</v>
      </c>
      <c r="H1211" s="693" t="s">
        <v>1392</v>
      </c>
      <c r="I1211" s="325" t="s">
        <v>7672</v>
      </c>
      <c r="J1211" s="720">
        <v>45271</v>
      </c>
    </row>
    <row r="1212" spans="3:10" ht="14.25" customHeight="1">
      <c r="C1212" s="95">
        <v>45231</v>
      </c>
      <c r="D1212" s="101">
        <v>9470953490</v>
      </c>
      <c r="E1212" s="694" t="s">
        <v>7675</v>
      </c>
      <c r="H1212" s="694" t="s">
        <v>1275</v>
      </c>
      <c r="I1212" s="325" t="s">
        <v>7676</v>
      </c>
      <c r="J1212" s="719" t="s">
        <v>507</v>
      </c>
    </row>
    <row r="1213" spans="3:10" ht="14.25" customHeight="1">
      <c r="C1213" s="95">
        <v>45233</v>
      </c>
      <c r="D1213" s="101">
        <v>7488194234</v>
      </c>
      <c r="E1213" s="698" t="s">
        <v>7683</v>
      </c>
      <c r="H1213" s="697" t="s">
        <v>6310</v>
      </c>
      <c r="I1213" s="332" t="s">
        <v>7684</v>
      </c>
      <c r="J1213" s="162">
        <v>45261</v>
      </c>
    </row>
    <row r="1214" spans="3:10" ht="14.25" customHeight="1">
      <c r="C1214" s="95">
        <v>45233</v>
      </c>
      <c r="D1214" s="101">
        <v>7209449468</v>
      </c>
      <c r="E1214" s="697" t="s">
        <v>7685</v>
      </c>
      <c r="H1214" s="697" t="s">
        <v>1892</v>
      </c>
      <c r="I1214" t="s">
        <v>7695</v>
      </c>
      <c r="J1214" s="101" t="s">
        <v>7734</v>
      </c>
    </row>
    <row r="1215" spans="3:10" ht="14.25" customHeight="1">
      <c r="C1215" s="95">
        <v>45234</v>
      </c>
      <c r="D1215" s="101">
        <v>8434580766</v>
      </c>
      <c r="E1215" s="699" t="s">
        <v>2494</v>
      </c>
      <c r="H1215" s="699" t="s">
        <v>7688</v>
      </c>
      <c r="I1215" s="332" t="s">
        <v>7689</v>
      </c>
      <c r="J1215" s="720">
        <v>45274</v>
      </c>
    </row>
    <row r="1216" spans="3:10" ht="14.25" customHeight="1">
      <c r="C1216" s="95">
        <v>45237</v>
      </c>
      <c r="D1216" s="101">
        <v>8709132540</v>
      </c>
      <c r="E1216" s="701" t="s">
        <v>1580</v>
      </c>
      <c r="H1216" s="701" t="s">
        <v>1268</v>
      </c>
      <c r="I1216" s="325" t="s">
        <v>7700</v>
      </c>
      <c r="J1216" s="101" t="s">
        <v>7718</v>
      </c>
    </row>
    <row r="1217" spans="3:11" ht="14.25" customHeight="1">
      <c r="C1217" s="95">
        <v>45239</v>
      </c>
      <c r="D1217" s="101">
        <v>703659510</v>
      </c>
      <c r="E1217" s="702" t="s">
        <v>7702</v>
      </c>
      <c r="H1217" s="702" t="s">
        <v>7703</v>
      </c>
      <c r="I1217" s="332" t="s">
        <v>7704</v>
      </c>
      <c r="J1217" s="162">
        <v>45272</v>
      </c>
    </row>
    <row r="1218" spans="3:11" ht="14.25" customHeight="1">
      <c r="C1218" s="95">
        <v>45244</v>
      </c>
      <c r="D1218" s="101">
        <v>9334248482</v>
      </c>
      <c r="E1218" s="703" t="s">
        <v>7256</v>
      </c>
      <c r="H1218" s="703" t="s">
        <v>2067</v>
      </c>
      <c r="I1218" s="332" t="s">
        <v>7706</v>
      </c>
      <c r="J1218" s="101" t="s">
        <v>7719</v>
      </c>
    </row>
    <row r="1219" spans="3:11" ht="14.25" customHeight="1">
      <c r="C1219" s="95">
        <v>45247</v>
      </c>
      <c r="D1219" s="101">
        <v>9031904558</v>
      </c>
      <c r="E1219" s="704" t="s">
        <v>7710</v>
      </c>
      <c r="H1219" s="704" t="s">
        <v>1392</v>
      </c>
      <c r="I1219" s="325" t="s">
        <v>7709</v>
      </c>
      <c r="J1219" s="101" t="s">
        <v>39</v>
      </c>
    </row>
    <row r="1220" spans="3:11" ht="14.25" customHeight="1">
      <c r="C1220" s="95">
        <v>45219</v>
      </c>
      <c r="D1220" s="101">
        <v>8877224772</v>
      </c>
      <c r="E1220" s="705" t="s">
        <v>6851</v>
      </c>
      <c r="H1220" s="705" t="s">
        <v>2018</v>
      </c>
      <c r="I1220" s="332" t="s">
        <v>7711</v>
      </c>
      <c r="J1220" s="101" t="s">
        <v>39</v>
      </c>
    </row>
    <row r="1221" spans="3:11" ht="14.25" customHeight="1">
      <c r="C1221" s="95">
        <v>45252</v>
      </c>
      <c r="D1221" s="101">
        <v>7366998930</v>
      </c>
      <c r="E1221" s="709" t="s">
        <v>7715</v>
      </c>
      <c r="H1221" s="709" t="s">
        <v>4195</v>
      </c>
      <c r="I1221" s="332" t="s">
        <v>7714</v>
      </c>
      <c r="J1221" s="737" t="s">
        <v>507</v>
      </c>
    </row>
    <row r="1222" spans="3:11" ht="14.25" customHeight="1">
      <c r="C1222" s="95">
        <v>45254</v>
      </c>
      <c r="D1222" s="101">
        <v>7209409631</v>
      </c>
      <c r="E1222" s="711" t="s">
        <v>238</v>
      </c>
      <c r="H1222" s="711" t="s">
        <v>1825</v>
      </c>
      <c r="I1222" s="332" t="s">
        <v>7833</v>
      </c>
      <c r="J1222" s="747">
        <v>45299</v>
      </c>
    </row>
    <row r="1223" spans="3:11" ht="14.25" customHeight="1">
      <c r="C1223" s="95">
        <v>45254</v>
      </c>
      <c r="E1223" s="711" t="s">
        <v>7624</v>
      </c>
      <c r="H1223" s="712" t="s">
        <v>7297</v>
      </c>
      <c r="I1223" s="332" t="s">
        <v>7720</v>
      </c>
      <c r="J1223" s="887">
        <v>45357</v>
      </c>
      <c r="K1223" s="738"/>
    </row>
    <row r="1224" spans="3:11" ht="14.25" customHeight="1">
      <c r="C1224" s="95">
        <v>45254</v>
      </c>
      <c r="D1224" s="101">
        <v>7488125121</v>
      </c>
      <c r="E1224" s="712" t="s">
        <v>7311</v>
      </c>
      <c r="H1224" s="712" t="s">
        <v>7310</v>
      </c>
      <c r="I1224" s="325" t="s">
        <v>7721</v>
      </c>
      <c r="J1224" s="739">
        <v>45281</v>
      </c>
    </row>
    <row r="1225" spans="3:11" ht="14.25" customHeight="1">
      <c r="C1225" s="95">
        <v>45261</v>
      </c>
      <c r="D1225" s="101">
        <v>7992210954</v>
      </c>
      <c r="E1225" s="716" t="s">
        <v>6566</v>
      </c>
      <c r="G1225" s="1871" t="s">
        <v>5904</v>
      </c>
      <c r="H1225" s="716" t="s">
        <v>7732</v>
      </c>
      <c r="I1225" s="332" t="s">
        <v>7731</v>
      </c>
      <c r="J1225" s="101" t="s">
        <v>507</v>
      </c>
    </row>
    <row r="1226" spans="3:11" ht="14.25" customHeight="1">
      <c r="C1226" s="95">
        <v>45265</v>
      </c>
      <c r="D1226" s="101">
        <v>7634995577</v>
      </c>
      <c r="E1226" s="718" t="s">
        <v>7736</v>
      </c>
      <c r="H1226" s="718" t="s">
        <v>1955</v>
      </c>
      <c r="I1226" s="325" t="s">
        <v>7735</v>
      </c>
      <c r="J1226" s="162">
        <v>45484</v>
      </c>
      <c r="K1226" s="746"/>
    </row>
    <row r="1227" spans="3:11" ht="14.25" customHeight="1">
      <c r="C1227" s="731">
        <v>45271</v>
      </c>
      <c r="D1227" s="732">
        <v>8797739843</v>
      </c>
      <c r="E1227" s="194" t="s">
        <v>7737</v>
      </c>
      <c r="F1227" s="733"/>
      <c r="G1227" s="1872"/>
      <c r="H1227" s="194" t="s">
        <v>1785</v>
      </c>
      <c r="I1227" s="734" t="s">
        <v>7738</v>
      </c>
      <c r="J1227" s="732" t="s">
        <v>7762</v>
      </c>
    </row>
    <row r="1228" spans="3:11" ht="14.25" customHeight="1">
      <c r="C1228" s="95">
        <v>45271</v>
      </c>
      <c r="D1228" s="101">
        <v>9065216525</v>
      </c>
      <c r="E1228" s="721" t="s">
        <v>7740</v>
      </c>
      <c r="G1228" s="1873" t="s">
        <v>7566</v>
      </c>
      <c r="H1228" s="723" t="s">
        <v>1387</v>
      </c>
      <c r="I1228" s="325" t="s">
        <v>7739</v>
      </c>
      <c r="J1228" s="162">
        <v>45327</v>
      </c>
      <c r="K1228" s="743"/>
    </row>
    <row r="1229" spans="3:11" ht="14.25" customHeight="1">
      <c r="C1229" s="95">
        <v>45272</v>
      </c>
      <c r="D1229" s="101">
        <v>7903890986</v>
      </c>
      <c r="E1229" s="722" t="s">
        <v>7743</v>
      </c>
      <c r="H1229" s="722" t="s">
        <v>2071</v>
      </c>
      <c r="I1229" s="325" t="s">
        <v>7744</v>
      </c>
      <c r="J1229" s="162">
        <v>45323</v>
      </c>
      <c r="K1229" s="743"/>
    </row>
    <row r="1230" spans="3:11" ht="14.25" customHeight="1">
      <c r="C1230" s="162">
        <v>45273</v>
      </c>
      <c r="D1230" s="101">
        <v>9934345948</v>
      </c>
      <c r="E1230" s="723" t="s">
        <v>7746</v>
      </c>
      <c r="H1230" s="722" t="s">
        <v>2071</v>
      </c>
      <c r="I1230" s="325" t="s">
        <v>7745</v>
      </c>
      <c r="J1230" s="200" t="s">
        <v>538</v>
      </c>
      <c r="K1230" s="744" t="s">
        <v>7786</v>
      </c>
    </row>
    <row r="1231" spans="3:11" ht="14.25" customHeight="1">
      <c r="C1231" s="95">
        <v>45277</v>
      </c>
      <c r="D1231" s="101">
        <v>9234947410</v>
      </c>
      <c r="E1231" s="727" t="s">
        <v>7752</v>
      </c>
      <c r="H1231" s="727" t="s">
        <v>4195</v>
      </c>
      <c r="I1231" s="325" t="s">
        <v>7753</v>
      </c>
      <c r="J1231" s="817">
        <v>45329</v>
      </c>
      <c r="K1231" s="751"/>
    </row>
    <row r="1232" spans="3:11" ht="14.25" customHeight="1">
      <c r="C1232" s="95">
        <v>45279</v>
      </c>
      <c r="D1232" s="101">
        <v>8603227166</v>
      </c>
      <c r="E1232" s="729" t="s">
        <v>7757</v>
      </c>
      <c r="G1232" s="294" t="s">
        <v>7759</v>
      </c>
      <c r="H1232" s="729" t="s">
        <v>7758</v>
      </c>
      <c r="I1232" s="325" t="s">
        <v>7760</v>
      </c>
      <c r="J1232" s="773" t="s">
        <v>507</v>
      </c>
    </row>
    <row r="1233" spans="2:11" ht="14.25" customHeight="1">
      <c r="C1233" s="95">
        <v>45271</v>
      </c>
      <c r="D1233" s="101">
        <v>8797739843</v>
      </c>
      <c r="E1233" s="721" t="s">
        <v>7737</v>
      </c>
      <c r="F1233" t="s">
        <v>161</v>
      </c>
      <c r="G1233" s="294" t="s">
        <v>6756</v>
      </c>
      <c r="H1233" s="730" t="s">
        <v>1383</v>
      </c>
      <c r="I1233" s="325" t="s">
        <v>7765</v>
      </c>
      <c r="J1233" s="162">
        <v>45291</v>
      </c>
    </row>
    <row r="1234" spans="2:11" ht="14.25" customHeight="1">
      <c r="C1234" s="95">
        <v>45283</v>
      </c>
      <c r="D1234" s="101">
        <v>9279937856</v>
      </c>
      <c r="E1234" s="741" t="s">
        <v>7776</v>
      </c>
      <c r="G1234" s="294" t="s">
        <v>6756</v>
      </c>
      <c r="H1234" s="730" t="s">
        <v>1383</v>
      </c>
      <c r="I1234" s="325" t="s">
        <v>7775</v>
      </c>
      <c r="J1234" s="200" t="s">
        <v>538</v>
      </c>
      <c r="K1234" s="765" t="s">
        <v>7882</v>
      </c>
    </row>
    <row r="1235" spans="2:11" ht="14.25" customHeight="1">
      <c r="C1235" s="95">
        <v>45285</v>
      </c>
      <c r="D1235" s="101">
        <v>7667039521</v>
      </c>
      <c r="E1235" s="742" t="s">
        <v>7778</v>
      </c>
      <c r="H1235" s="742" t="s">
        <v>2067</v>
      </c>
      <c r="I1235" s="325" t="s">
        <v>7779</v>
      </c>
      <c r="J1235" s="799" t="s">
        <v>507</v>
      </c>
      <c r="K1235" s="765"/>
    </row>
    <row r="1236" spans="2:11" ht="14.25" customHeight="1">
      <c r="C1236" s="95">
        <v>45285</v>
      </c>
      <c r="D1236" s="101">
        <v>8789818079</v>
      </c>
      <c r="E1236" s="742" t="s">
        <v>7780</v>
      </c>
      <c r="G1236" s="294" t="s">
        <v>7781</v>
      </c>
      <c r="H1236" s="742" t="s">
        <v>1392</v>
      </c>
      <c r="I1236" s="325" t="s">
        <v>7782</v>
      </c>
      <c r="J1236" s="200" t="s">
        <v>538</v>
      </c>
      <c r="K1236" s="765" t="s">
        <v>7883</v>
      </c>
    </row>
    <row r="1237" spans="2:11" ht="14.25" customHeight="1">
      <c r="C1237" s="95">
        <v>45288</v>
      </c>
      <c r="D1237" s="101">
        <v>9431936774</v>
      </c>
      <c r="E1237" s="744" t="s">
        <v>3515</v>
      </c>
      <c r="H1237" s="744" t="s">
        <v>1275</v>
      </c>
      <c r="I1237" t="s">
        <v>7785</v>
      </c>
      <c r="J1237" s="803" t="s">
        <v>507</v>
      </c>
    </row>
    <row r="1238" spans="2:11" ht="14.25" customHeight="1">
      <c r="C1238" s="95">
        <v>45290</v>
      </c>
      <c r="D1238" s="101">
        <v>9508987998</v>
      </c>
      <c r="E1238" s="745" t="s">
        <v>7299</v>
      </c>
      <c r="H1238" s="746" t="s">
        <v>2067</v>
      </c>
      <c r="I1238" s="325" t="s">
        <v>7789</v>
      </c>
      <c r="J1238" s="162">
        <v>45342</v>
      </c>
      <c r="K1238" s="765"/>
    </row>
    <row r="1239" spans="2:11" ht="14.25" customHeight="1">
      <c r="C1239" s="95">
        <v>45290</v>
      </c>
      <c r="D1239" s="101">
        <v>8804259165</v>
      </c>
      <c r="E1239" s="746" t="s">
        <v>7792</v>
      </c>
      <c r="H1239" s="746" t="s">
        <v>2071</v>
      </c>
      <c r="I1239" s="325" t="s">
        <v>7793</v>
      </c>
      <c r="J1239" s="101" t="s">
        <v>507</v>
      </c>
    </row>
    <row r="1240" spans="2:11" ht="14.25" customHeight="1">
      <c r="C1240" s="95">
        <v>45290</v>
      </c>
      <c r="D1240" s="101">
        <v>7488261673</v>
      </c>
      <c r="E1240" s="748" t="s">
        <v>6679</v>
      </c>
      <c r="H1240" s="748" t="s">
        <v>1869</v>
      </c>
      <c r="I1240" s="325" t="s">
        <v>7794</v>
      </c>
      <c r="J1240" s="766" t="s">
        <v>7886</v>
      </c>
    </row>
    <row r="1241" spans="2:11" ht="14.25" customHeight="1">
      <c r="C1241" s="95">
        <v>45294</v>
      </c>
      <c r="E1241" t="s">
        <v>7806</v>
      </c>
      <c r="H1241" s="748" t="s">
        <v>1869</v>
      </c>
      <c r="I1241" s="325" t="s">
        <v>7795</v>
      </c>
      <c r="J1241" s="807">
        <v>45530</v>
      </c>
      <c r="K1241" s="765"/>
    </row>
    <row r="1242" spans="2:11" ht="14.25" customHeight="1">
      <c r="C1242" s="162">
        <v>45294</v>
      </c>
      <c r="D1242" s="101">
        <v>8709973464</v>
      </c>
      <c r="E1242" s="750" t="s">
        <v>7800</v>
      </c>
      <c r="H1242" t="s">
        <v>2047</v>
      </c>
      <c r="I1242" s="325" t="s">
        <v>7804</v>
      </c>
      <c r="J1242" s="807">
        <v>45325</v>
      </c>
    </row>
    <row r="1243" spans="2:11" ht="14.25" customHeight="1">
      <c r="C1243" s="865">
        <v>45297</v>
      </c>
      <c r="D1243" s="200">
        <v>6205898852</v>
      </c>
      <c r="E1243" s="194" t="s">
        <v>7810</v>
      </c>
      <c r="F1243" s="194"/>
      <c r="G1243" s="1761"/>
      <c r="H1243" s="194" t="s">
        <v>2134</v>
      </c>
      <c r="I1243" s="734" t="s">
        <v>7809</v>
      </c>
      <c r="J1243" s="200" t="s">
        <v>100</v>
      </c>
      <c r="K1243" s="194" t="s">
        <v>8053</v>
      </c>
    </row>
    <row r="1244" spans="2:11" ht="14.25" customHeight="1">
      <c r="C1244" s="95">
        <v>45297</v>
      </c>
      <c r="D1244" s="101">
        <v>9955474789</v>
      </c>
      <c r="E1244" s="754" t="s">
        <v>7813</v>
      </c>
      <c r="H1244" s="754" t="s">
        <v>4901</v>
      </c>
      <c r="I1244" s="325" t="s">
        <v>7814</v>
      </c>
      <c r="J1244" s="824">
        <v>45336</v>
      </c>
    </row>
    <row r="1245" spans="2:11" ht="14.25" customHeight="1">
      <c r="C1245" s="95">
        <v>45297</v>
      </c>
      <c r="D1245" s="101">
        <v>9546115892</v>
      </c>
      <c r="E1245" s="755" t="s">
        <v>7816</v>
      </c>
      <c r="H1245" s="754" t="s">
        <v>4901</v>
      </c>
      <c r="I1245" s="325" t="s">
        <v>7815</v>
      </c>
      <c r="J1245" s="778">
        <v>45308</v>
      </c>
    </row>
    <row r="1246" spans="2:11" ht="14.25" customHeight="1">
      <c r="C1246" s="95">
        <v>45298</v>
      </c>
      <c r="D1246" s="101">
        <v>9973739032</v>
      </c>
      <c r="E1246" s="756" t="s">
        <v>7817</v>
      </c>
      <c r="H1246" s="754" t="s">
        <v>4901</v>
      </c>
      <c r="I1246" s="325" t="s">
        <v>7819</v>
      </c>
      <c r="J1246" s="819" t="s">
        <v>507</v>
      </c>
    </row>
    <row r="1247" spans="2:11" ht="14.25" customHeight="1">
      <c r="C1247" s="865">
        <v>45298</v>
      </c>
      <c r="D1247" s="200">
        <v>9234977923</v>
      </c>
      <c r="E1247" s="194" t="s">
        <v>7818</v>
      </c>
      <c r="F1247" s="194"/>
      <c r="G1247" s="1761"/>
      <c r="H1247" s="194" t="s">
        <v>1478</v>
      </c>
      <c r="I1247" s="734" t="s">
        <v>7820</v>
      </c>
      <c r="J1247" s="200" t="s">
        <v>538</v>
      </c>
      <c r="K1247" s="194" t="s">
        <v>8123</v>
      </c>
    </row>
    <row r="1248" spans="2:11" ht="14.25" customHeight="1">
      <c r="B1248" t="s">
        <v>7955</v>
      </c>
      <c r="C1248" s="95">
        <v>45299</v>
      </c>
      <c r="D1248" s="101">
        <v>9798901712</v>
      </c>
      <c r="E1248" s="757" t="s">
        <v>4549</v>
      </c>
      <c r="H1248" s="757" t="s">
        <v>1275</v>
      </c>
      <c r="I1248" s="325" t="s">
        <v>7821</v>
      </c>
      <c r="J1248" s="824">
        <v>45339</v>
      </c>
      <c r="K1248" s="765" t="s">
        <v>7885</v>
      </c>
    </row>
    <row r="1249" spans="2:11" ht="14.25" customHeight="1">
      <c r="C1249" s="95">
        <v>45299</v>
      </c>
      <c r="D1249" s="101">
        <v>7970742490</v>
      </c>
      <c r="E1249" s="757" t="s">
        <v>7823</v>
      </c>
      <c r="H1249" s="757" t="s">
        <v>5538</v>
      </c>
      <c r="I1249" s="325" t="s">
        <v>7822</v>
      </c>
      <c r="J1249" s="766" t="s">
        <v>7884</v>
      </c>
      <c r="K1249" s="765" t="s">
        <v>7888</v>
      </c>
    </row>
    <row r="1250" spans="2:11" ht="14.25" customHeight="1">
      <c r="C1250" s="95">
        <v>45299</v>
      </c>
      <c r="D1250" s="101">
        <v>6203882685</v>
      </c>
      <c r="E1250" s="757" t="s">
        <v>7824</v>
      </c>
      <c r="H1250" s="757" t="s">
        <v>1219</v>
      </c>
      <c r="I1250" s="325" t="s">
        <v>7825</v>
      </c>
      <c r="J1250" s="819" t="s">
        <v>507</v>
      </c>
      <c r="K1250" s="765" t="s">
        <v>7885</v>
      </c>
    </row>
    <row r="1251" spans="2:11" ht="14.25" customHeight="1">
      <c r="C1251" s="95">
        <v>45299</v>
      </c>
      <c r="D1251" s="101">
        <v>993434503</v>
      </c>
      <c r="E1251" s="757" t="s">
        <v>5537</v>
      </c>
      <c r="H1251" s="757" t="s">
        <v>1869</v>
      </c>
      <c r="I1251" s="325" t="s">
        <v>7834</v>
      </c>
      <c r="J1251" s="766" t="s">
        <v>7884</v>
      </c>
      <c r="K1251" s="765" t="s">
        <v>7888</v>
      </c>
    </row>
    <row r="1252" spans="2:11" ht="14.25" customHeight="1">
      <c r="B1252" s="194"/>
      <c r="C1252" s="865">
        <v>45299</v>
      </c>
      <c r="D1252" s="200">
        <v>993434503</v>
      </c>
      <c r="E1252" s="194" t="s">
        <v>7836</v>
      </c>
      <c r="F1252" s="194"/>
      <c r="G1252" s="1761"/>
      <c r="H1252" s="194" t="s">
        <v>1869</v>
      </c>
      <c r="I1252" s="734" t="s">
        <v>7835</v>
      </c>
      <c r="J1252" s="200" t="s">
        <v>7884</v>
      </c>
      <c r="K1252" s="194" t="s">
        <v>7888</v>
      </c>
    </row>
    <row r="1253" spans="2:11" ht="14.25" customHeight="1">
      <c r="B1253" s="194"/>
      <c r="C1253" s="865">
        <v>45299</v>
      </c>
      <c r="D1253" s="200">
        <v>9523492184</v>
      </c>
      <c r="E1253" s="194" t="s">
        <v>7837</v>
      </c>
      <c r="F1253" s="194"/>
      <c r="G1253" s="1761"/>
      <c r="H1253" s="194" t="s">
        <v>2067</v>
      </c>
      <c r="I1253" s="734" t="s">
        <v>7838</v>
      </c>
      <c r="J1253" s="200" t="s">
        <v>7889</v>
      </c>
      <c r="K1253" s="194" t="s">
        <v>8093</v>
      </c>
    </row>
    <row r="1254" spans="2:11" ht="14.25" customHeight="1">
      <c r="C1254" s="95">
        <v>45299</v>
      </c>
      <c r="D1254" s="101">
        <v>8825143791</v>
      </c>
      <c r="E1254" s="757" t="s">
        <v>7839</v>
      </c>
      <c r="G1254" s="1874" t="s">
        <v>6756</v>
      </c>
      <c r="H1254" s="757" t="s">
        <v>2018</v>
      </c>
      <c r="I1254" s="325" t="s">
        <v>7840</v>
      </c>
      <c r="J1254" s="819" t="s">
        <v>507</v>
      </c>
      <c r="K1254" s="765" t="s">
        <v>7885</v>
      </c>
    </row>
    <row r="1255" spans="2:11" ht="14.25" customHeight="1">
      <c r="C1255" s="95">
        <v>45300</v>
      </c>
      <c r="D1255" s="101">
        <v>8709615621</v>
      </c>
      <c r="E1255" s="757" t="s">
        <v>7841</v>
      </c>
      <c r="H1255" s="757" t="s">
        <v>1275</v>
      </c>
      <c r="I1255" s="332" t="s">
        <v>7844</v>
      </c>
      <c r="J1255" s="819" t="s">
        <v>507</v>
      </c>
      <c r="K1255" s="765" t="s">
        <v>7885</v>
      </c>
    </row>
    <row r="1256" spans="2:11" ht="14.25" customHeight="1">
      <c r="C1256" s="95">
        <v>45300</v>
      </c>
      <c r="D1256" s="101">
        <v>9504114434</v>
      </c>
      <c r="E1256" s="758" t="s">
        <v>7843</v>
      </c>
      <c r="H1256" s="758" t="s">
        <v>4942</v>
      </c>
      <c r="I1256" s="325" t="s">
        <v>7842</v>
      </c>
      <c r="J1256" s="824">
        <v>45362</v>
      </c>
    </row>
    <row r="1257" spans="2:11" ht="14.25" customHeight="1">
      <c r="C1257" s="865">
        <v>45300</v>
      </c>
      <c r="D1257" s="200">
        <v>8789401522</v>
      </c>
      <c r="E1257" s="194" t="s">
        <v>7845</v>
      </c>
      <c r="F1257" s="194"/>
      <c r="G1257" s="1761"/>
      <c r="H1257" s="194" t="s">
        <v>7010</v>
      </c>
      <c r="I1257" s="734" t="s">
        <v>7848</v>
      </c>
      <c r="J1257" s="200" t="s">
        <v>3882</v>
      </c>
      <c r="K1257" s="194" t="s">
        <v>7893</v>
      </c>
    </row>
    <row r="1258" spans="2:11" ht="14.25" customHeight="1">
      <c r="C1258" s="95">
        <v>45301</v>
      </c>
      <c r="D1258" s="101">
        <v>8797462612</v>
      </c>
      <c r="E1258" s="759" t="s">
        <v>7853</v>
      </c>
      <c r="H1258" s="759" t="s">
        <v>2018</v>
      </c>
      <c r="I1258" s="325" t="s">
        <v>7854</v>
      </c>
      <c r="J1258" s="819" t="s">
        <v>507</v>
      </c>
      <c r="K1258" s="767" t="s">
        <v>7885</v>
      </c>
    </row>
    <row r="1259" spans="2:11" ht="14.25" customHeight="1">
      <c r="C1259" s="865">
        <v>45301</v>
      </c>
      <c r="D1259" s="200">
        <v>8603198336</v>
      </c>
      <c r="E1259" s="194" t="s">
        <v>3753</v>
      </c>
      <c r="F1259" s="194"/>
      <c r="G1259" s="1761"/>
      <c r="H1259" s="194" t="s">
        <v>1227</v>
      </c>
      <c r="I1259" s="734" t="s">
        <v>7866</v>
      </c>
      <c r="J1259" s="200" t="s">
        <v>8235</v>
      </c>
      <c r="K1259" s="194" t="s">
        <v>8236</v>
      </c>
    </row>
    <row r="1260" spans="2:11" ht="14.25" customHeight="1">
      <c r="C1260" s="95">
        <v>45301</v>
      </c>
      <c r="D1260" s="101">
        <v>9523395551</v>
      </c>
      <c r="E1260" s="762" t="s">
        <v>7864</v>
      </c>
      <c r="H1260" t="s">
        <v>6354</v>
      </c>
      <c r="I1260" s="325" t="s">
        <v>7865</v>
      </c>
      <c r="J1260" s="824">
        <v>45337</v>
      </c>
      <c r="K1260" t="s">
        <v>7885</v>
      </c>
    </row>
    <row r="1261" spans="2:11" ht="14.25" customHeight="1">
      <c r="C1261" s="95">
        <v>45302</v>
      </c>
      <c r="D1261" s="101">
        <v>8797788709</v>
      </c>
      <c r="E1261" s="765" t="s">
        <v>7869</v>
      </c>
      <c r="H1261" t="s">
        <v>2047</v>
      </c>
      <c r="I1261" s="325" t="s">
        <v>7870</v>
      </c>
      <c r="J1261" s="819" t="s">
        <v>507</v>
      </c>
      <c r="K1261" s="821" t="s">
        <v>8016</v>
      </c>
    </row>
    <row r="1262" spans="2:11" ht="14.25" customHeight="1">
      <c r="C1262" s="95">
        <v>45302</v>
      </c>
      <c r="D1262" s="101">
        <v>9835115606</v>
      </c>
      <c r="E1262" s="765" t="s">
        <v>7871</v>
      </c>
      <c r="H1262" s="765" t="s">
        <v>1275</v>
      </c>
      <c r="I1262" t="s">
        <v>7872</v>
      </c>
      <c r="J1262" s="824">
        <v>45954</v>
      </c>
      <c r="K1262" s="821" t="s">
        <v>7885</v>
      </c>
    </row>
    <row r="1263" spans="2:11" ht="14.25" customHeight="1">
      <c r="C1263" s="865">
        <v>45302</v>
      </c>
      <c r="D1263" s="200">
        <v>8797592416</v>
      </c>
      <c r="E1263" s="194" t="s">
        <v>1754</v>
      </c>
      <c r="F1263" s="194"/>
      <c r="G1263" s="1761"/>
      <c r="H1263" s="194" t="s">
        <v>2067</v>
      </c>
      <c r="I1263" s="734" t="s">
        <v>8110</v>
      </c>
      <c r="J1263" s="200" t="s">
        <v>8111</v>
      </c>
      <c r="K1263" s="795" t="s">
        <v>8017</v>
      </c>
    </row>
    <row r="1264" spans="2:11" ht="14.25" customHeight="1">
      <c r="C1264" s="95">
        <v>45302</v>
      </c>
      <c r="D1264" s="101">
        <v>6203980032</v>
      </c>
      <c r="E1264" s="765" t="s">
        <v>7873</v>
      </c>
      <c r="H1264" s="765" t="s">
        <v>2506</v>
      </c>
      <c r="I1264" s="325" t="s">
        <v>7875</v>
      </c>
      <c r="J1264" s="820" t="s">
        <v>507</v>
      </c>
      <c r="K1264" s="821" t="s">
        <v>7885</v>
      </c>
    </row>
    <row r="1265" spans="3:12" ht="14.25" customHeight="1">
      <c r="C1265" s="95">
        <v>45302</v>
      </c>
      <c r="D1265" s="101">
        <v>9570011415</v>
      </c>
      <c r="E1265" s="765" t="s">
        <v>7874</v>
      </c>
      <c r="H1265" s="765" t="s">
        <v>1275</v>
      </c>
      <c r="I1265" s="325" t="s">
        <v>7876</v>
      </c>
      <c r="J1265" s="1196" t="s">
        <v>39</v>
      </c>
      <c r="K1265" s="825">
        <v>45586</v>
      </c>
    </row>
    <row r="1266" spans="3:12" ht="14.25" customHeight="1">
      <c r="C1266" s="95">
        <v>45302</v>
      </c>
      <c r="D1266" s="101">
        <v>8340467676</v>
      </c>
      <c r="E1266" s="765" t="s">
        <v>4542</v>
      </c>
      <c r="H1266" s="765" t="s">
        <v>1275</v>
      </c>
      <c r="I1266" s="325" t="s">
        <v>7880</v>
      </c>
      <c r="J1266" s="820" t="s">
        <v>507</v>
      </c>
      <c r="K1266" s="825">
        <v>45333</v>
      </c>
    </row>
    <row r="1267" spans="3:12" ht="14.25" customHeight="1">
      <c r="C1267" s="162">
        <v>45302</v>
      </c>
      <c r="D1267" s="101">
        <v>8235432063</v>
      </c>
      <c r="E1267" s="765" t="s">
        <v>827</v>
      </c>
      <c r="H1267" s="765" t="s">
        <v>6078</v>
      </c>
      <c r="I1267" s="51" t="s">
        <v>7879</v>
      </c>
      <c r="J1267" s="820" t="s">
        <v>507</v>
      </c>
      <c r="K1267" s="785" t="s">
        <v>7885</v>
      </c>
    </row>
    <row r="1268" spans="3:12" ht="14.25" customHeight="1">
      <c r="C1268" s="867">
        <v>45302</v>
      </c>
      <c r="D1268" s="200">
        <v>9031059999</v>
      </c>
      <c r="E1268" s="194" t="s">
        <v>1160</v>
      </c>
      <c r="F1268" s="194"/>
      <c r="G1268" s="1761"/>
      <c r="H1268" s="194" t="s">
        <v>1785</v>
      </c>
      <c r="I1268" s="734" t="s">
        <v>7890</v>
      </c>
      <c r="J1268" s="200" t="s">
        <v>8037</v>
      </c>
    </row>
    <row r="1269" spans="3:12" ht="14.25" customHeight="1">
      <c r="C1269" s="95">
        <v>45303</v>
      </c>
      <c r="D1269" s="101">
        <v>9955482314</v>
      </c>
      <c r="E1269" t="s">
        <v>7892</v>
      </c>
      <c r="H1269" t="s">
        <v>1392</v>
      </c>
      <c r="I1269" s="325" t="s">
        <v>7891</v>
      </c>
      <c r="J1269" s="828" t="s">
        <v>507</v>
      </c>
      <c r="K1269" s="785" t="s">
        <v>7885</v>
      </c>
    </row>
    <row r="1270" spans="3:12" ht="14.25" customHeight="1">
      <c r="C1270" s="865">
        <v>45304</v>
      </c>
      <c r="D1270" s="200">
        <v>9709154681</v>
      </c>
      <c r="E1270" s="194" t="s">
        <v>7895</v>
      </c>
      <c r="F1270" s="194"/>
      <c r="G1270" s="1761"/>
      <c r="H1270" s="194" t="s">
        <v>7382</v>
      </c>
      <c r="I1270" s="734" t="s">
        <v>7894</v>
      </c>
      <c r="J1270" s="200" t="s">
        <v>100</v>
      </c>
      <c r="K1270" s="194" t="s">
        <v>7886</v>
      </c>
    </row>
    <row r="1271" spans="3:12" ht="14.25" customHeight="1">
      <c r="C1271" s="95">
        <v>45304</v>
      </c>
      <c r="D1271" s="101">
        <v>9113383254</v>
      </c>
      <c r="E1271" s="768" t="s">
        <v>7896</v>
      </c>
      <c r="G1271" s="1875" t="s">
        <v>2067</v>
      </c>
      <c r="H1271" s="816" t="s">
        <v>8098</v>
      </c>
      <c r="I1271" s="325" t="s">
        <v>7899</v>
      </c>
      <c r="J1271" s="820" t="s">
        <v>507</v>
      </c>
      <c r="K1271" s="785" t="s">
        <v>7885</v>
      </c>
    </row>
    <row r="1272" spans="3:12" ht="14.25" customHeight="1">
      <c r="C1272" s="865">
        <v>45304</v>
      </c>
      <c r="D1272" s="200">
        <v>8789270834</v>
      </c>
      <c r="E1272" s="194" t="s">
        <v>7897</v>
      </c>
      <c r="F1272" s="194"/>
      <c r="G1272" s="1761"/>
      <c r="H1272" s="194" t="s">
        <v>1392</v>
      </c>
      <c r="I1272" s="734" t="s">
        <v>7900</v>
      </c>
      <c r="J1272" s="200" t="s">
        <v>100</v>
      </c>
      <c r="K1272" s="785" t="s">
        <v>7886</v>
      </c>
    </row>
    <row r="1273" spans="3:12" ht="14.25" customHeight="1">
      <c r="C1273" s="95">
        <v>45304</v>
      </c>
      <c r="D1273" s="101">
        <v>9142937361</v>
      </c>
      <c r="E1273" s="768" t="s">
        <v>7898</v>
      </c>
      <c r="H1273" s="768" t="s">
        <v>2067</v>
      </c>
      <c r="I1273" s="325" t="s">
        <v>7901</v>
      </c>
      <c r="J1273" s="841">
        <v>45338</v>
      </c>
      <c r="K1273" s="813" t="s">
        <v>7885</v>
      </c>
    </row>
    <row r="1274" spans="3:12" ht="14.25" customHeight="1">
      <c r="C1274" s="95">
        <v>45304</v>
      </c>
      <c r="D1274" s="101">
        <v>7004106179</v>
      </c>
      <c r="E1274" s="769" t="s">
        <v>7907</v>
      </c>
      <c r="H1274" s="769" t="s">
        <v>5689</v>
      </c>
      <c r="I1274" s="325" t="s">
        <v>7908</v>
      </c>
      <c r="J1274" s="901" t="s">
        <v>7080</v>
      </c>
    </row>
    <row r="1275" spans="3:12" ht="14.25" customHeight="1">
      <c r="C1275" s="865">
        <v>45304</v>
      </c>
      <c r="D1275" s="200">
        <v>9031120549</v>
      </c>
      <c r="E1275" s="194" t="s">
        <v>7909</v>
      </c>
      <c r="F1275" s="194"/>
      <c r="G1275" s="1761"/>
      <c r="H1275" s="194" t="s">
        <v>1275</v>
      </c>
      <c r="I1275" s="734" t="s">
        <v>7910</v>
      </c>
      <c r="J1275" s="200" t="s">
        <v>100</v>
      </c>
      <c r="K1275" s="194" t="s">
        <v>7886</v>
      </c>
    </row>
    <row r="1276" spans="3:12" ht="14.25" customHeight="1">
      <c r="C1276" s="95">
        <v>45305</v>
      </c>
      <c r="D1276" s="101">
        <v>9113383254</v>
      </c>
      <c r="E1276" s="771" t="s">
        <v>7914</v>
      </c>
      <c r="H1276" s="771" t="s">
        <v>1869</v>
      </c>
      <c r="I1276" s="83" t="s">
        <v>7915</v>
      </c>
      <c r="J1276" s="1035">
        <v>45481</v>
      </c>
      <c r="K1276" s="813" t="s">
        <v>7885</v>
      </c>
    </row>
    <row r="1277" spans="3:12" ht="14.25" customHeight="1">
      <c r="C1277" s="95">
        <v>45305</v>
      </c>
      <c r="D1277" s="101">
        <v>8092303029</v>
      </c>
      <c r="E1277" s="771" t="s">
        <v>7916</v>
      </c>
      <c r="H1277" s="771" t="s">
        <v>1275</v>
      </c>
      <c r="I1277" s="83" t="s">
        <v>7917</v>
      </c>
      <c r="J1277" s="848" t="s">
        <v>507</v>
      </c>
      <c r="K1277" s="813" t="s">
        <v>7885</v>
      </c>
    </row>
    <row r="1278" spans="3:12" ht="14.25" customHeight="1">
      <c r="C1278" s="95">
        <v>45305</v>
      </c>
      <c r="D1278" s="101">
        <v>9234531676</v>
      </c>
      <c r="E1278" s="771" t="s">
        <v>7918</v>
      </c>
      <c r="H1278" s="771" t="s">
        <v>7919</v>
      </c>
      <c r="I1278" s="83" t="s">
        <v>7920</v>
      </c>
      <c r="J1278" s="875">
        <v>45367</v>
      </c>
    </row>
    <row r="1279" spans="3:12" ht="14.25" customHeight="1">
      <c r="C1279" s="95">
        <v>45306</v>
      </c>
      <c r="D1279" s="101">
        <v>8603227166</v>
      </c>
      <c r="E1279" s="775" t="s">
        <v>7757</v>
      </c>
      <c r="G1279" s="1876" t="s">
        <v>7930</v>
      </c>
      <c r="H1279" s="775" t="s">
        <v>1414</v>
      </c>
      <c r="I1279" s="332" t="s">
        <v>7929</v>
      </c>
      <c r="J1279" s="863" t="s">
        <v>507</v>
      </c>
      <c r="K1279" s="870" t="s">
        <v>507</v>
      </c>
    </row>
    <row r="1280" spans="3:12" ht="14.25" customHeight="1">
      <c r="C1280" s="95">
        <v>45307</v>
      </c>
      <c r="D1280" s="101">
        <v>9234784101</v>
      </c>
      <c r="E1280" s="776" t="s">
        <v>7845</v>
      </c>
      <c r="H1280" s="776" t="s">
        <v>1869</v>
      </c>
      <c r="I1280" s="325" t="s">
        <v>7935</v>
      </c>
      <c r="J1280" s="200" t="s">
        <v>3882</v>
      </c>
      <c r="K1280" s="785" t="s">
        <v>7886</v>
      </c>
      <c r="L1280" s="836" t="s">
        <v>7315</v>
      </c>
    </row>
    <row r="1281" spans="3:12" ht="14.25" customHeight="1">
      <c r="C1281" s="95">
        <v>45307</v>
      </c>
      <c r="D1281" s="101">
        <v>7482839115</v>
      </c>
      <c r="E1281" s="776" t="s">
        <v>7937</v>
      </c>
      <c r="H1281" s="776" t="s">
        <v>7938</v>
      </c>
      <c r="I1281" s="325" t="s">
        <v>7936</v>
      </c>
      <c r="J1281" s="875">
        <v>45351</v>
      </c>
      <c r="K1281" s="813" t="s">
        <v>7885</v>
      </c>
    </row>
    <row r="1282" spans="3:12" ht="14.25" customHeight="1">
      <c r="C1282" s="95">
        <v>45307</v>
      </c>
      <c r="D1282" s="101">
        <v>6201882675</v>
      </c>
      <c r="E1282" s="777" t="s">
        <v>1944</v>
      </c>
      <c r="H1282" s="777" t="s">
        <v>2018</v>
      </c>
      <c r="I1282" s="325" t="s">
        <v>7948</v>
      </c>
      <c r="J1282" s="924" t="s">
        <v>507</v>
      </c>
      <c r="K1282" s="918"/>
    </row>
    <row r="1283" spans="3:12" ht="14.25" customHeight="1">
      <c r="C1283" s="95">
        <v>45307</v>
      </c>
      <c r="D1283" s="162">
        <v>38780</v>
      </c>
      <c r="E1283" s="777" t="s">
        <v>7949</v>
      </c>
      <c r="H1283" s="777" t="s">
        <v>1275</v>
      </c>
      <c r="I1283" s="325" t="s">
        <v>7950</v>
      </c>
      <c r="J1283" s="948">
        <v>45407</v>
      </c>
      <c r="K1283" s="918"/>
    </row>
    <row r="1284" spans="3:12" ht="14.25" customHeight="1">
      <c r="C1284" s="95">
        <v>45308</v>
      </c>
      <c r="D1284" s="101">
        <v>7480052189</v>
      </c>
      <c r="E1284" s="779" t="s">
        <v>7953</v>
      </c>
      <c r="G1284" s="1876"/>
      <c r="H1284" s="779" t="s">
        <v>2047</v>
      </c>
      <c r="I1284" s="332" t="s">
        <v>7954</v>
      </c>
      <c r="J1284" s="927" t="s">
        <v>507</v>
      </c>
      <c r="K1284" s="795" t="s">
        <v>8016</v>
      </c>
    </row>
    <row r="1285" spans="3:12" ht="14.25" customHeight="1">
      <c r="C1285" s="865">
        <v>45309</v>
      </c>
      <c r="D1285" s="200">
        <v>9835245015</v>
      </c>
      <c r="E1285" s="194" t="s">
        <v>7962</v>
      </c>
      <c r="F1285" s="194"/>
      <c r="G1285" s="1761" t="s">
        <v>7930</v>
      </c>
      <c r="H1285" s="194" t="s">
        <v>7961</v>
      </c>
      <c r="I1285" s="866" t="s">
        <v>7960</v>
      </c>
      <c r="J1285" s="200" t="s">
        <v>8230</v>
      </c>
      <c r="K1285" s="194" t="s">
        <v>8016</v>
      </c>
      <c r="L1285" s="194" t="s">
        <v>8229</v>
      </c>
    </row>
    <row r="1286" spans="3:12" ht="14.25" customHeight="1">
      <c r="C1286" s="865">
        <v>45311</v>
      </c>
      <c r="D1286" s="200">
        <v>9508987998</v>
      </c>
      <c r="E1286" s="194" t="s">
        <v>7299</v>
      </c>
      <c r="F1286" s="194"/>
      <c r="G1286" s="1761"/>
      <c r="H1286" s="194" t="s">
        <v>6798</v>
      </c>
      <c r="I1286" s="866" t="s">
        <v>7983</v>
      </c>
      <c r="J1286" s="200" t="s">
        <v>8230</v>
      </c>
      <c r="K1286" s="194" t="s">
        <v>8016</v>
      </c>
      <c r="L1286" s="864" t="s">
        <v>8231</v>
      </c>
    </row>
    <row r="1287" spans="3:12" ht="14.25" customHeight="1">
      <c r="C1287" s="95">
        <v>45314</v>
      </c>
      <c r="D1287" s="101">
        <v>9939027264</v>
      </c>
      <c r="E1287" s="925" t="s">
        <v>8500</v>
      </c>
      <c r="H1287" s="785" t="s">
        <v>6798</v>
      </c>
      <c r="I1287" s="325" t="s">
        <v>7987</v>
      </c>
      <c r="J1287" s="948">
        <v>45633</v>
      </c>
      <c r="K1287" s="795" t="s">
        <v>8016</v>
      </c>
    </row>
    <row r="1288" spans="3:12" ht="14.25" customHeight="1">
      <c r="C1288" s="95">
        <v>45317</v>
      </c>
      <c r="D1288" s="101">
        <v>8789801279</v>
      </c>
      <c r="E1288" s="789" t="s">
        <v>7998</v>
      </c>
      <c r="H1288" s="789" t="s">
        <v>1825</v>
      </c>
      <c r="I1288" s="325" t="s">
        <v>8004</v>
      </c>
      <c r="J1288" s="924" t="s">
        <v>507</v>
      </c>
      <c r="K1288" s="918" t="s">
        <v>507</v>
      </c>
    </row>
    <row r="1289" spans="3:12" ht="14.25" customHeight="1">
      <c r="C1289" s="95">
        <v>45317</v>
      </c>
      <c r="D1289" s="101">
        <v>9113495941</v>
      </c>
      <c r="E1289" s="789" t="s">
        <v>7999</v>
      </c>
      <c r="G1289" s="1877" t="s">
        <v>7487</v>
      </c>
      <c r="H1289" s="789" t="s">
        <v>5538</v>
      </c>
      <c r="I1289" s="325" t="s">
        <v>8005</v>
      </c>
      <c r="J1289" s="924" t="s">
        <v>507</v>
      </c>
      <c r="K1289" s="795" t="s">
        <v>8016</v>
      </c>
    </row>
    <row r="1290" spans="3:12" ht="14.25" customHeight="1">
      <c r="C1290" s="162">
        <v>45319</v>
      </c>
      <c r="D1290" s="101">
        <v>7004751992</v>
      </c>
      <c r="E1290" s="796" t="s">
        <v>8021</v>
      </c>
      <c r="H1290" s="796" t="s">
        <v>6798</v>
      </c>
      <c r="I1290" s="325" t="s">
        <v>8020</v>
      </c>
      <c r="J1290" s="948">
        <v>45472</v>
      </c>
      <c r="K1290" s="795" t="s">
        <v>8016</v>
      </c>
    </row>
    <row r="1291" spans="3:12" ht="14.25" customHeight="1">
      <c r="C1291" s="95">
        <v>45321</v>
      </c>
      <c r="D1291" s="101">
        <v>8340516489</v>
      </c>
      <c r="E1291" s="797" t="s">
        <v>8026</v>
      </c>
      <c r="H1291" s="797" t="s">
        <v>1869</v>
      </c>
      <c r="I1291" t="s">
        <v>8025</v>
      </c>
      <c r="J1291" s="948">
        <v>46034</v>
      </c>
      <c r="K1291" s="795" t="s">
        <v>8016</v>
      </c>
    </row>
    <row r="1292" spans="3:12" ht="14.25" customHeight="1">
      <c r="C1292" s="95">
        <v>45323</v>
      </c>
      <c r="D1292" s="101">
        <v>8825381146</v>
      </c>
      <c r="E1292" s="801" t="s">
        <v>8048</v>
      </c>
      <c r="H1292" s="801" t="s">
        <v>5538</v>
      </c>
      <c r="I1292" s="325" t="s">
        <v>8049</v>
      </c>
      <c r="J1292" s="200" t="s">
        <v>4348</v>
      </c>
      <c r="K1292" s="194" t="s">
        <v>8088</v>
      </c>
    </row>
    <row r="1293" spans="3:12" ht="14.25" customHeight="1">
      <c r="C1293" s="95">
        <v>45324</v>
      </c>
      <c r="D1293" s="101">
        <v>9304221855</v>
      </c>
      <c r="E1293" s="806" t="s">
        <v>8070</v>
      </c>
      <c r="H1293">
        <v>17</v>
      </c>
      <c r="I1293" s="325" t="s">
        <v>8069</v>
      </c>
      <c r="J1293" s="927" t="s">
        <v>507</v>
      </c>
      <c r="K1293" s="813" t="s">
        <v>7885</v>
      </c>
    </row>
    <row r="1294" spans="3:12" ht="14.25" customHeight="1">
      <c r="C1294" s="95">
        <v>45325</v>
      </c>
      <c r="D1294" s="101">
        <v>9234510320</v>
      </c>
      <c r="E1294" s="808" t="s">
        <v>8072</v>
      </c>
      <c r="G1294" s="1878" t="s">
        <v>3044</v>
      </c>
      <c r="H1294" s="808" t="s">
        <v>6784</v>
      </c>
      <c r="I1294" s="332" t="s">
        <v>8071</v>
      </c>
      <c r="J1294" s="895">
        <v>45362</v>
      </c>
    </row>
    <row r="1295" spans="3:12" ht="14.25" customHeight="1">
      <c r="C1295" s="865">
        <v>45328</v>
      </c>
      <c r="D1295" s="200">
        <v>9031733929</v>
      </c>
      <c r="E1295" s="194" t="s">
        <v>5377</v>
      </c>
      <c r="F1295" s="194"/>
      <c r="G1295" s="1761"/>
      <c r="H1295" s="194" t="s">
        <v>2067</v>
      </c>
      <c r="I1295" s="734" t="s">
        <v>8087</v>
      </c>
      <c r="J1295" s="200" t="s">
        <v>100</v>
      </c>
      <c r="K1295" s="194" t="s">
        <v>8152</v>
      </c>
    </row>
    <row r="1296" spans="3:12" ht="14.25" customHeight="1">
      <c r="C1296" s="95">
        <v>45299</v>
      </c>
      <c r="D1296" s="101">
        <v>9523492184</v>
      </c>
      <c r="E1296" s="757" t="s">
        <v>7837</v>
      </c>
      <c r="H1296" s="757" t="s">
        <v>2067</v>
      </c>
      <c r="I1296" s="325" t="s">
        <v>8094</v>
      </c>
      <c r="J1296" s="940" t="s">
        <v>507</v>
      </c>
      <c r="K1296" s="890" t="s">
        <v>8016</v>
      </c>
    </row>
    <row r="1297" spans="2:12" ht="14.25" customHeight="1">
      <c r="C1297" s="837">
        <v>45329</v>
      </c>
      <c r="D1297" s="838">
        <v>8340264452</v>
      </c>
      <c r="E1297" s="194" t="s">
        <v>8102</v>
      </c>
      <c r="F1297" s="839"/>
      <c r="G1297" s="1879">
        <v>17</v>
      </c>
      <c r="H1297" s="194" t="s">
        <v>8103</v>
      </c>
      <c r="I1297" s="734" t="s">
        <v>8105</v>
      </c>
      <c r="J1297" s="200" t="s">
        <v>100</v>
      </c>
      <c r="K1297" s="194" t="s">
        <v>8088</v>
      </c>
      <c r="L1297" s="194" t="s">
        <v>3395</v>
      </c>
    </row>
    <row r="1298" spans="2:12" ht="14.25" customHeight="1">
      <c r="C1298" s="95">
        <v>45299</v>
      </c>
      <c r="D1298" s="101">
        <v>9852201976</v>
      </c>
      <c r="E1298" s="818" t="s">
        <v>8109</v>
      </c>
      <c r="H1298" s="818" t="s">
        <v>1892</v>
      </c>
      <c r="I1298" s="325" t="s">
        <v>8108</v>
      </c>
      <c r="J1298" s="940" t="s">
        <v>507</v>
      </c>
      <c r="K1298" s="813" t="s">
        <v>7885</v>
      </c>
    </row>
    <row r="1299" spans="2:12" ht="14.25" customHeight="1">
      <c r="C1299" s="95">
        <v>45331</v>
      </c>
      <c r="D1299" s="101">
        <v>9508918090</v>
      </c>
      <c r="E1299" s="822" t="s">
        <v>4400</v>
      </c>
      <c r="H1299" s="822" t="s">
        <v>1869</v>
      </c>
      <c r="I1299" s="325" t="s">
        <v>8117</v>
      </c>
      <c r="J1299" s="841">
        <v>45364</v>
      </c>
      <c r="K1299" s="829" t="s">
        <v>8016</v>
      </c>
    </row>
    <row r="1300" spans="2:12" ht="14.25" customHeight="1">
      <c r="C1300" s="840">
        <v>45332</v>
      </c>
      <c r="D1300" s="838">
        <v>6201111314</v>
      </c>
      <c r="E1300" s="194" t="s">
        <v>8122</v>
      </c>
      <c r="F1300" s="839"/>
      <c r="G1300" s="1879">
        <v>15</v>
      </c>
      <c r="H1300" s="194" t="s">
        <v>1465</v>
      </c>
      <c r="I1300" s="734" t="s">
        <v>8121</v>
      </c>
      <c r="J1300" s="200" t="s">
        <v>8111</v>
      </c>
      <c r="K1300" s="194" t="s">
        <v>5019</v>
      </c>
      <c r="L1300" s="194" t="s">
        <v>3395</v>
      </c>
    </row>
    <row r="1301" spans="2:12" ht="14.25" customHeight="1">
      <c r="C1301" s="95">
        <v>45332</v>
      </c>
      <c r="D1301" s="101">
        <v>9234977923</v>
      </c>
      <c r="E1301" s="756" t="s">
        <v>7818</v>
      </c>
      <c r="H1301" s="756" t="s">
        <v>1478</v>
      </c>
      <c r="I1301" s="325" t="s">
        <v>8124</v>
      </c>
      <c r="J1301" s="940" t="s">
        <v>507</v>
      </c>
      <c r="K1301" s="835" t="s">
        <v>8016</v>
      </c>
    </row>
    <row r="1302" spans="2:12" ht="14.25" customHeight="1">
      <c r="C1302" s="865">
        <v>45334</v>
      </c>
      <c r="D1302" s="200">
        <v>7644894117</v>
      </c>
      <c r="E1302" s="194" t="s">
        <v>8131</v>
      </c>
      <c r="F1302" s="194"/>
      <c r="G1302" s="1761">
        <v>15</v>
      </c>
      <c r="H1302" s="194" t="s">
        <v>8132</v>
      </c>
      <c r="I1302" s="734" t="s">
        <v>8133</v>
      </c>
      <c r="J1302" s="200" t="s">
        <v>100</v>
      </c>
      <c r="K1302" s="194" t="s">
        <v>8232</v>
      </c>
      <c r="L1302" s="194" t="s">
        <v>8233</v>
      </c>
    </row>
    <row r="1303" spans="2:12" ht="14.25" customHeight="1">
      <c r="C1303" s="867">
        <v>45329</v>
      </c>
      <c r="D1303" s="200">
        <v>8340264452</v>
      </c>
      <c r="E1303" s="194" t="s">
        <v>8155</v>
      </c>
      <c r="F1303" s="194"/>
      <c r="G1303" s="1761">
        <v>17</v>
      </c>
      <c r="H1303" s="194" t="s">
        <v>8103</v>
      </c>
      <c r="I1303" s="194" t="s">
        <v>8156</v>
      </c>
      <c r="J1303" s="200" t="s">
        <v>100</v>
      </c>
      <c r="K1303" s="194" t="s">
        <v>8274</v>
      </c>
      <c r="L1303" s="194"/>
    </row>
    <row r="1304" spans="2:12" ht="14.25" customHeight="1">
      <c r="C1304" s="587">
        <v>45332</v>
      </c>
      <c r="D1304" s="252">
        <v>6201111314</v>
      </c>
      <c r="E1304" s="253" t="s">
        <v>8122</v>
      </c>
      <c r="F1304" s="253"/>
      <c r="G1304" s="1762">
        <v>11</v>
      </c>
      <c r="H1304" s="253" t="s">
        <v>1465</v>
      </c>
      <c r="I1304" s="253" t="s">
        <v>8160</v>
      </c>
      <c r="J1304" s="934">
        <v>45398</v>
      </c>
      <c r="K1304" s="890" t="s">
        <v>8016</v>
      </c>
    </row>
    <row r="1305" spans="2:12" ht="14.25" customHeight="1">
      <c r="C1305" s="95">
        <v>45337</v>
      </c>
      <c r="D1305" s="101">
        <v>8851450525</v>
      </c>
      <c r="E1305" s="862" t="s">
        <v>6649</v>
      </c>
      <c r="G1305" s="294">
        <v>17</v>
      </c>
      <c r="H1305" s="836" t="s">
        <v>1392</v>
      </c>
      <c r="I1305" s="1162" t="s">
        <v>8159</v>
      </c>
      <c r="J1305" s="938" t="s">
        <v>507</v>
      </c>
      <c r="K1305" s="890" t="s">
        <v>8016</v>
      </c>
    </row>
    <row r="1306" spans="2:12" ht="14.25" customHeight="1">
      <c r="C1306" s="95">
        <v>45337</v>
      </c>
      <c r="D1306" s="101">
        <v>9334190759</v>
      </c>
      <c r="E1306" s="836" t="s">
        <v>8153</v>
      </c>
      <c r="H1306" s="836" t="s">
        <v>2067</v>
      </c>
      <c r="I1306" s="836" t="s">
        <v>8158</v>
      </c>
      <c r="J1306" s="888">
        <v>45357</v>
      </c>
      <c r="K1306" s="881"/>
    </row>
    <row r="1307" spans="2:12" ht="14.25" customHeight="1">
      <c r="C1307" s="95">
        <v>45337</v>
      </c>
      <c r="D1307" s="101">
        <v>9334190759</v>
      </c>
      <c r="E1307" s="836" t="s">
        <v>8154</v>
      </c>
      <c r="H1307" s="836" t="s">
        <v>2067</v>
      </c>
      <c r="I1307" s="836" t="s">
        <v>8157</v>
      </c>
      <c r="J1307" s="888">
        <v>45357</v>
      </c>
      <c r="K1307" s="881"/>
    </row>
    <row r="1308" spans="2:12" ht="14.25" customHeight="1">
      <c r="B1308" s="194"/>
      <c r="C1308" s="865">
        <v>45337</v>
      </c>
      <c r="D1308" s="200">
        <v>7644894117</v>
      </c>
      <c r="E1308" s="194" t="s">
        <v>8131</v>
      </c>
      <c r="F1308" s="194"/>
      <c r="G1308" s="1761">
        <v>15</v>
      </c>
      <c r="H1308" s="194" t="s">
        <v>8132</v>
      </c>
      <c r="I1308" s="194" t="s">
        <v>8161</v>
      </c>
      <c r="J1308" s="200" t="s">
        <v>100</v>
      </c>
      <c r="K1308" s="194" t="s">
        <v>8274</v>
      </c>
      <c r="L1308" s="194" t="s">
        <v>8234</v>
      </c>
    </row>
    <row r="1309" spans="2:12" ht="14.25" customHeight="1">
      <c r="C1309" s="95">
        <v>45338</v>
      </c>
      <c r="D1309" s="101">
        <v>7992430628</v>
      </c>
      <c r="E1309" s="843" t="s">
        <v>8166</v>
      </c>
      <c r="G1309" s="294">
        <v>17</v>
      </c>
      <c r="H1309" s="843" t="s">
        <v>5977</v>
      </c>
      <c r="I1309" s="325" t="s">
        <v>8167</v>
      </c>
      <c r="J1309" s="939">
        <v>45417</v>
      </c>
      <c r="K1309" s="884" t="s">
        <v>8016</v>
      </c>
    </row>
    <row r="1310" spans="2:12" ht="14.25" customHeight="1">
      <c r="C1310" s="95">
        <v>45341</v>
      </c>
      <c r="D1310" s="101">
        <v>9945215509</v>
      </c>
      <c r="E1310" s="849" t="s">
        <v>8174</v>
      </c>
      <c r="H1310" s="849" t="s">
        <v>2067</v>
      </c>
      <c r="I1310" s="332" t="s">
        <v>8175</v>
      </c>
      <c r="J1310" s="939">
        <v>45402</v>
      </c>
      <c r="K1310" s="884" t="s">
        <v>8016</v>
      </c>
    </row>
    <row r="1311" spans="2:12" ht="14.25" customHeight="1">
      <c r="C1311" s="95">
        <v>45341</v>
      </c>
      <c r="D1311" s="101">
        <v>8951261817</v>
      </c>
      <c r="E1311" s="849" t="s">
        <v>8173</v>
      </c>
      <c r="H1311" s="849" t="s">
        <v>2067</v>
      </c>
      <c r="I1311" s="325" t="s">
        <v>8172</v>
      </c>
      <c r="J1311" s="939">
        <v>45402</v>
      </c>
      <c r="K1311" s="884" t="s">
        <v>8016</v>
      </c>
    </row>
    <row r="1312" spans="2:12" ht="14.25" customHeight="1">
      <c r="C1312" s="865">
        <v>45342</v>
      </c>
      <c r="D1312" s="200">
        <v>9608361917</v>
      </c>
      <c r="E1312" s="194" t="s">
        <v>8421</v>
      </c>
      <c r="F1312" s="194"/>
      <c r="G1312" s="1761">
        <v>18</v>
      </c>
      <c r="H1312" s="194"/>
      <c r="I1312" s="194" t="s">
        <v>8185</v>
      </c>
      <c r="J1312" s="200" t="s">
        <v>100</v>
      </c>
      <c r="K1312" s="25" t="s">
        <v>8555</v>
      </c>
    </row>
    <row r="1313" spans="3:11" ht="14.25" customHeight="1">
      <c r="C1313" s="95">
        <v>45344</v>
      </c>
      <c r="D1313" s="101">
        <v>9771589220</v>
      </c>
      <c r="E1313" s="858" t="s">
        <v>8206</v>
      </c>
      <c r="G1313" s="294">
        <v>18</v>
      </c>
      <c r="H1313" t="s">
        <v>1275</v>
      </c>
      <c r="I1313" s="332" t="s">
        <v>8216</v>
      </c>
      <c r="J1313" s="939">
        <v>45455</v>
      </c>
    </row>
    <row r="1314" spans="3:11" ht="14.25" customHeight="1">
      <c r="C1314" s="865">
        <v>45344</v>
      </c>
      <c r="D1314" s="200">
        <v>9204483966</v>
      </c>
      <c r="E1314" s="194" t="s">
        <v>8217</v>
      </c>
      <c r="F1314" s="194"/>
      <c r="G1314" s="1761"/>
      <c r="H1314" s="194" t="s">
        <v>2071</v>
      </c>
      <c r="I1314" s="866" t="s">
        <v>8218</v>
      </c>
      <c r="J1314" s="200" t="s">
        <v>100</v>
      </c>
      <c r="K1314" s="25" t="s">
        <v>8556</v>
      </c>
    </row>
    <row r="1315" spans="3:11" ht="14.25" customHeight="1">
      <c r="C1315" s="95">
        <v>45344</v>
      </c>
      <c r="D1315" s="101">
        <v>7250980141</v>
      </c>
      <c r="E1315" s="860" t="s">
        <v>8219</v>
      </c>
      <c r="H1315" s="860" t="s">
        <v>2956</v>
      </c>
      <c r="I1315" s="332" t="s">
        <v>8222</v>
      </c>
      <c r="J1315" s="915">
        <v>45383</v>
      </c>
    </row>
    <row r="1316" spans="3:11" ht="14.25" customHeight="1">
      <c r="C1316" s="865">
        <v>45345</v>
      </c>
      <c r="D1316" s="200">
        <v>9534213974</v>
      </c>
      <c r="E1316" s="194" t="s">
        <v>8221</v>
      </c>
      <c r="F1316" s="194"/>
      <c r="G1316" s="1761"/>
      <c r="H1316" s="194" t="s">
        <v>1869</v>
      </c>
      <c r="I1316" s="734" t="s">
        <v>8220</v>
      </c>
      <c r="J1316" s="200" t="s">
        <v>165</v>
      </c>
      <c r="K1316" s="194" t="s">
        <v>8554</v>
      </c>
    </row>
    <row r="1317" spans="3:11" ht="14.25" customHeight="1">
      <c r="C1317" s="95">
        <v>45348</v>
      </c>
      <c r="D1317" s="101">
        <v>7209990714</v>
      </c>
      <c r="E1317" s="870" t="s">
        <v>8256</v>
      </c>
      <c r="H1317">
        <v>18</v>
      </c>
      <c r="I1317" s="332" t="s">
        <v>8255</v>
      </c>
      <c r="J1317" s="915">
        <v>45402</v>
      </c>
    </row>
    <row r="1318" spans="3:11" ht="14.25" customHeight="1">
      <c r="C1318" s="95">
        <v>45350</v>
      </c>
      <c r="D1318" s="101">
        <v>6207410696</v>
      </c>
      <c r="E1318" s="872" t="s">
        <v>8273</v>
      </c>
      <c r="H1318" s="872" t="s">
        <v>1275</v>
      </c>
      <c r="I1318" s="332" t="s">
        <v>8275</v>
      </c>
      <c r="J1318" s="162">
        <v>45389</v>
      </c>
    </row>
    <row r="1319" spans="3:11" ht="14.25" customHeight="1">
      <c r="C1319" s="587">
        <v>45311</v>
      </c>
      <c r="D1319" s="252">
        <v>9508987998</v>
      </c>
      <c r="E1319" s="253" t="s">
        <v>7299</v>
      </c>
      <c r="F1319" s="253"/>
      <c r="G1319" s="1762"/>
      <c r="H1319" s="253" t="s">
        <v>6798</v>
      </c>
      <c r="I1319" s="877" t="s">
        <v>8288</v>
      </c>
      <c r="J1319" s="162">
        <v>45402</v>
      </c>
    </row>
    <row r="1320" spans="3:11" ht="14.25" customHeight="1">
      <c r="C1320" s="883">
        <v>45356</v>
      </c>
      <c r="D1320" s="879">
        <v>9135071956</v>
      </c>
      <c r="E1320" s="253" t="s">
        <v>8589</v>
      </c>
      <c r="F1320" s="878"/>
      <c r="G1320" s="1880"/>
      <c r="H1320" s="878" t="s">
        <v>8312</v>
      </c>
      <c r="I1320" s="253" t="s">
        <v>8311</v>
      </c>
      <c r="J1320" s="940" t="s">
        <v>507</v>
      </c>
    </row>
    <row r="1321" spans="3:11" ht="14.25" customHeight="1">
      <c r="C1321" s="95">
        <v>45357</v>
      </c>
      <c r="E1321" s="889" t="s">
        <v>5377</v>
      </c>
      <c r="I1321" s="325" t="s">
        <v>8318</v>
      </c>
      <c r="J1321" s="101" t="s">
        <v>39</v>
      </c>
    </row>
    <row r="1322" spans="3:11" ht="14.25" customHeight="1">
      <c r="C1322" s="95">
        <v>45358</v>
      </c>
      <c r="D1322" s="101">
        <v>9110986830</v>
      </c>
      <c r="E1322" s="890" t="s">
        <v>7008</v>
      </c>
      <c r="G1322" s="1881" t="s">
        <v>2047</v>
      </c>
      <c r="H1322" s="890" t="s">
        <v>8332</v>
      </c>
      <c r="I1322" s="325" t="s">
        <v>8334</v>
      </c>
      <c r="J1322" s="162">
        <v>45511</v>
      </c>
    </row>
    <row r="1323" spans="3:11" ht="14.25" customHeight="1">
      <c r="C1323" s="95">
        <v>45358</v>
      </c>
      <c r="D1323" s="101">
        <v>9234947410</v>
      </c>
      <c r="E1323" s="886" t="s">
        <v>7752</v>
      </c>
      <c r="I1323" s="325" t="s">
        <v>8335</v>
      </c>
      <c r="J1323" s="101" t="s">
        <v>507</v>
      </c>
    </row>
    <row r="1324" spans="3:11" ht="14.25" customHeight="1">
      <c r="C1324" s="95">
        <v>45363</v>
      </c>
      <c r="D1324" s="101">
        <v>7004415710</v>
      </c>
      <c r="E1324" s="896" t="s">
        <v>7447</v>
      </c>
      <c r="H1324" t="s">
        <v>2047</v>
      </c>
      <c r="I1324" s="325" t="s">
        <v>8393</v>
      </c>
      <c r="J1324" s="101" t="s">
        <v>507</v>
      </c>
    </row>
    <row r="1325" spans="3:11" ht="14.25" customHeight="1">
      <c r="C1325" s="865">
        <v>45364</v>
      </c>
      <c r="D1325" s="200">
        <v>9523994660</v>
      </c>
      <c r="E1325" s="194" t="s">
        <v>8392</v>
      </c>
      <c r="F1325" s="194"/>
      <c r="G1325" s="1761"/>
      <c r="H1325" s="194" t="s">
        <v>2067</v>
      </c>
      <c r="I1325" s="194" t="s">
        <v>8406</v>
      </c>
      <c r="J1325" s="2159" t="s">
        <v>8407</v>
      </c>
      <c r="K1325" s="2159"/>
    </row>
    <row r="1326" spans="3:11" ht="14.25" customHeight="1">
      <c r="C1326" s="95">
        <v>45370</v>
      </c>
      <c r="D1326" s="101">
        <v>9835749790</v>
      </c>
      <c r="E1326" s="903" t="s">
        <v>8414</v>
      </c>
      <c r="H1326" t="s">
        <v>1275</v>
      </c>
      <c r="I1326" s="332" t="s">
        <v>8415</v>
      </c>
      <c r="J1326" s="101" t="s">
        <v>39</v>
      </c>
      <c r="K1326" s="95">
        <v>45497</v>
      </c>
    </row>
    <row r="1327" spans="3:11" ht="14.25" customHeight="1">
      <c r="C1327" s="867">
        <v>45371</v>
      </c>
      <c r="D1327" s="200">
        <v>8709319617</v>
      </c>
      <c r="E1327" s="194" t="s">
        <v>8416</v>
      </c>
      <c r="F1327" s="194"/>
      <c r="G1327" s="1761"/>
      <c r="H1327" s="194" t="s">
        <v>1869</v>
      </c>
      <c r="I1327" s="734" t="s">
        <v>8418</v>
      </c>
      <c r="J1327" s="200" t="s">
        <v>538</v>
      </c>
    </row>
    <row r="1328" spans="3:11" ht="14.25" customHeight="1">
      <c r="C1328" s="865">
        <v>45374</v>
      </c>
      <c r="D1328" s="200">
        <v>7903221231</v>
      </c>
      <c r="E1328" s="194" t="s">
        <v>8431</v>
      </c>
      <c r="F1328" s="194"/>
      <c r="G1328" s="1761"/>
      <c r="H1328" s="194" t="s">
        <v>1869</v>
      </c>
      <c r="I1328" s="734" t="s">
        <v>8430</v>
      </c>
      <c r="J1328" s="200" t="s">
        <v>7734</v>
      </c>
    </row>
    <row r="1329" spans="2:11" ht="14.25" customHeight="1">
      <c r="C1329" s="95">
        <v>45374</v>
      </c>
      <c r="D1329" s="101">
        <v>8340177925</v>
      </c>
      <c r="E1329" s="910" t="s">
        <v>8434</v>
      </c>
      <c r="H1329" s="910" t="s">
        <v>1355</v>
      </c>
      <c r="I1329" s="325" t="s">
        <v>8435</v>
      </c>
      <c r="J1329" s="1129" t="s">
        <v>39</v>
      </c>
      <c r="K1329" s="1130">
        <v>45535</v>
      </c>
    </row>
    <row r="1330" spans="2:11" ht="14.25" customHeight="1">
      <c r="C1330" s="95">
        <v>45374</v>
      </c>
      <c r="D1330" s="101">
        <v>8709860293</v>
      </c>
      <c r="E1330" s="910" t="s">
        <v>8436</v>
      </c>
      <c r="H1330" s="910" t="s">
        <v>1355</v>
      </c>
      <c r="I1330" s="325" t="s">
        <v>8437</v>
      </c>
      <c r="J1330" s="1129" t="s">
        <v>39</v>
      </c>
      <c r="K1330" s="1130">
        <v>45535</v>
      </c>
    </row>
    <row r="1331" spans="2:11" ht="14.25" customHeight="1">
      <c r="C1331" s="95">
        <v>45380</v>
      </c>
      <c r="D1331" s="101">
        <v>9431381305</v>
      </c>
      <c r="E1331" s="913" t="s">
        <v>8456</v>
      </c>
      <c r="H1331" s="913" t="s">
        <v>1275</v>
      </c>
      <c r="I1331" s="325" t="s">
        <v>8457</v>
      </c>
      <c r="J1331" s="951" t="s">
        <v>507</v>
      </c>
      <c r="K1331" s="937" t="s">
        <v>8016</v>
      </c>
    </row>
    <row r="1332" spans="2:11" ht="14.25" customHeight="1">
      <c r="C1332" s="95">
        <v>45383</v>
      </c>
      <c r="D1332" s="101">
        <v>9031056527</v>
      </c>
      <c r="E1332" s="914" t="s">
        <v>8459</v>
      </c>
      <c r="H1332" s="914" t="s">
        <v>2067</v>
      </c>
      <c r="I1332" s="325" t="s">
        <v>8458</v>
      </c>
      <c r="J1332" s="951" t="s">
        <v>507</v>
      </c>
      <c r="K1332" s="937" t="s">
        <v>8016</v>
      </c>
    </row>
    <row r="1333" spans="2:11" ht="14.25" customHeight="1">
      <c r="C1333" s="95">
        <v>45388</v>
      </c>
      <c r="D1333" s="101">
        <v>8709047640</v>
      </c>
      <c r="E1333" s="921" t="s">
        <v>3818</v>
      </c>
      <c r="H1333" s="914" t="s">
        <v>2067</v>
      </c>
      <c r="I1333" s="325" t="s">
        <v>8487</v>
      </c>
      <c r="J1333" s="1005">
        <v>45463</v>
      </c>
      <c r="K1333" s="937" t="s">
        <v>8016</v>
      </c>
    </row>
    <row r="1334" spans="2:11" ht="14.25" customHeight="1">
      <c r="B1334" s="930" t="s">
        <v>6830</v>
      </c>
      <c r="C1334" s="95">
        <v>45394</v>
      </c>
      <c r="D1334" s="101">
        <v>6201313755</v>
      </c>
      <c r="E1334" s="930" t="s">
        <v>8518</v>
      </c>
      <c r="I1334" s="325" t="s">
        <v>8519</v>
      </c>
      <c r="J1334" s="958" t="s">
        <v>165</v>
      </c>
    </row>
    <row r="1335" spans="2:11" ht="14.25" customHeight="1">
      <c r="C1335" s="95">
        <v>45394</v>
      </c>
      <c r="D1335" s="101">
        <v>9031393545</v>
      </c>
      <c r="E1335" s="931" t="s">
        <v>8520</v>
      </c>
      <c r="H1335" t="s">
        <v>6444</v>
      </c>
      <c r="I1335" s="325" t="s">
        <v>8521</v>
      </c>
      <c r="J1335" s="941" t="s">
        <v>8557</v>
      </c>
    </row>
    <row r="1336" spans="2:11" ht="14.25" customHeight="1">
      <c r="B1336" t="s">
        <v>6830</v>
      </c>
      <c r="C1336" s="95">
        <v>45394</v>
      </c>
      <c r="D1336" s="101">
        <v>7903891765</v>
      </c>
      <c r="E1336" s="931" t="s">
        <v>2947</v>
      </c>
      <c r="H1336" t="s">
        <v>8522</v>
      </c>
      <c r="I1336" s="325" t="s">
        <v>8523</v>
      </c>
      <c r="J1336" s="200" t="s">
        <v>8621</v>
      </c>
    </row>
    <row r="1337" spans="2:11" ht="14.25" customHeight="1">
      <c r="C1337" s="95">
        <v>45399</v>
      </c>
      <c r="D1337" s="101">
        <v>8092876766</v>
      </c>
      <c r="E1337" s="935" t="s">
        <v>3961</v>
      </c>
      <c r="H1337" s="935" t="s">
        <v>2071</v>
      </c>
      <c r="I1337" s="325" t="s">
        <v>8532</v>
      </c>
      <c r="J1337" s="945" t="s">
        <v>8578</v>
      </c>
    </row>
    <row r="1338" spans="2:11" ht="14.25" customHeight="1">
      <c r="C1338" s="95">
        <v>45401</v>
      </c>
      <c r="D1338" s="101">
        <v>6200043632</v>
      </c>
      <c r="E1338" s="937" t="s">
        <v>4465</v>
      </c>
      <c r="H1338" s="937" t="s">
        <v>2067</v>
      </c>
      <c r="I1338" s="325" t="s">
        <v>8551</v>
      </c>
      <c r="J1338" s="945" t="s">
        <v>8579</v>
      </c>
    </row>
    <row r="1339" spans="2:11" ht="14.25" customHeight="1">
      <c r="C1339" s="95">
        <v>45408</v>
      </c>
      <c r="D1339" s="941">
        <v>9608361917</v>
      </c>
      <c r="E1339" s="942" t="s">
        <v>8421</v>
      </c>
      <c r="F1339" s="942"/>
      <c r="G1339" s="1882">
        <v>18</v>
      </c>
      <c r="H1339" s="949" t="s">
        <v>1275</v>
      </c>
      <c r="I1339" s="325" t="s">
        <v>8580</v>
      </c>
      <c r="J1339" s="965" t="s">
        <v>507</v>
      </c>
    </row>
    <row r="1340" spans="2:11" ht="14.25" customHeight="1">
      <c r="C1340" s="95">
        <v>45413</v>
      </c>
      <c r="D1340" s="101">
        <v>6203463253</v>
      </c>
      <c r="E1340" s="952" t="s">
        <v>8597</v>
      </c>
      <c r="H1340" s="952" t="s">
        <v>1955</v>
      </c>
      <c r="I1340" s="325" t="s">
        <v>8596</v>
      </c>
      <c r="J1340" s="200" t="s">
        <v>7494</v>
      </c>
    </row>
    <row r="1341" spans="2:11" ht="14.25" customHeight="1">
      <c r="C1341" s="95">
        <v>45416</v>
      </c>
      <c r="D1341" s="101">
        <v>7542895414</v>
      </c>
      <c r="E1341" s="954" t="s">
        <v>2205</v>
      </c>
      <c r="H1341" s="954" t="s">
        <v>1275</v>
      </c>
      <c r="I1341" s="332" t="s">
        <v>8604</v>
      </c>
      <c r="J1341" s="970" t="s">
        <v>507</v>
      </c>
    </row>
    <row r="1342" spans="2:11" ht="14.25" customHeight="1">
      <c r="C1342" s="95">
        <v>45416</v>
      </c>
      <c r="D1342" s="101">
        <v>6299282253</v>
      </c>
      <c r="E1342" s="954" t="s">
        <v>8607</v>
      </c>
      <c r="H1342" s="954" t="s">
        <v>1275</v>
      </c>
      <c r="I1342" s="325" t="s">
        <v>8606</v>
      </c>
      <c r="J1342" s="200" t="s">
        <v>8700</v>
      </c>
    </row>
    <row r="1343" spans="2:11" ht="14.25" customHeight="1">
      <c r="C1343" s="95">
        <v>45417</v>
      </c>
      <c r="D1343" s="101">
        <v>8092468457</v>
      </c>
      <c r="E1343" s="955" t="s">
        <v>3812</v>
      </c>
      <c r="H1343" s="955" t="s">
        <v>1392</v>
      </c>
      <c r="I1343" s="325" t="s">
        <v>8615</v>
      </c>
      <c r="J1343" s="101" t="s">
        <v>6757</v>
      </c>
    </row>
    <row r="1344" spans="2:11" ht="14.25" customHeight="1">
      <c r="C1344" s="95">
        <v>45422</v>
      </c>
      <c r="D1344" s="101">
        <v>7061100483</v>
      </c>
      <c r="E1344" s="960" t="s">
        <v>8631</v>
      </c>
      <c r="H1344" s="960" t="s">
        <v>1392</v>
      </c>
      <c r="I1344" s="325" t="s">
        <v>8632</v>
      </c>
      <c r="J1344" s="996" t="s">
        <v>8796</v>
      </c>
    </row>
    <row r="1345" spans="2:12" ht="14.25" customHeight="1">
      <c r="C1345" s="95">
        <v>45422</v>
      </c>
      <c r="D1345" s="101">
        <v>9661275295</v>
      </c>
      <c r="E1345" s="960" t="s">
        <v>8634</v>
      </c>
      <c r="H1345" s="960" t="s">
        <v>6129</v>
      </c>
      <c r="I1345" s="325" t="s">
        <v>8633</v>
      </c>
      <c r="J1345" s="996" t="s">
        <v>8797</v>
      </c>
      <c r="K1345" s="964" t="s">
        <v>8016</v>
      </c>
    </row>
    <row r="1346" spans="2:12" ht="14.25" customHeight="1">
      <c r="C1346" s="95">
        <v>45425</v>
      </c>
      <c r="D1346" s="101">
        <v>8862802222</v>
      </c>
      <c r="E1346" s="961" t="s">
        <v>8649</v>
      </c>
      <c r="H1346" s="961" t="s">
        <v>1355</v>
      </c>
      <c r="I1346" s="325" t="s">
        <v>8648</v>
      </c>
      <c r="J1346" s="970" t="s">
        <v>100</v>
      </c>
    </row>
    <row r="1347" spans="2:12" ht="14.25" customHeight="1">
      <c r="C1347" s="95">
        <v>45425</v>
      </c>
      <c r="D1347" s="101">
        <v>8252678690</v>
      </c>
      <c r="E1347" s="961" t="s">
        <v>4005</v>
      </c>
      <c r="H1347" s="961" t="s">
        <v>5538</v>
      </c>
      <c r="I1347" s="325" t="s">
        <v>8650</v>
      </c>
      <c r="J1347" s="970" t="s">
        <v>100</v>
      </c>
    </row>
    <row r="1348" spans="2:12" ht="14.25" customHeight="1">
      <c r="C1348" s="95">
        <v>45426</v>
      </c>
      <c r="D1348" s="101">
        <v>7903551190</v>
      </c>
      <c r="E1348" s="962" t="s">
        <v>8653</v>
      </c>
      <c r="G1348" s="294">
        <v>12</v>
      </c>
      <c r="H1348" s="962" t="s">
        <v>8654</v>
      </c>
      <c r="I1348" s="325" t="s">
        <v>8652</v>
      </c>
      <c r="J1348" s="978" t="s">
        <v>8731</v>
      </c>
      <c r="K1348" s="979" t="s">
        <v>8732</v>
      </c>
    </row>
    <row r="1349" spans="2:12" ht="14.25" customHeight="1">
      <c r="C1349" s="95">
        <v>45427</v>
      </c>
      <c r="D1349" s="101">
        <v>9801486421</v>
      </c>
      <c r="E1349" s="964" t="s">
        <v>8646</v>
      </c>
      <c r="H1349" s="964" t="s">
        <v>7239</v>
      </c>
      <c r="I1349" s="325" t="s">
        <v>8673</v>
      </c>
      <c r="J1349" s="972">
        <v>45449</v>
      </c>
    </row>
    <row r="1350" spans="2:12" ht="14.25" customHeight="1">
      <c r="C1350" s="95">
        <v>45427</v>
      </c>
      <c r="D1350" s="101">
        <v>8210360960</v>
      </c>
      <c r="E1350" s="964" t="s">
        <v>8674</v>
      </c>
      <c r="H1350" s="964" t="s">
        <v>1275</v>
      </c>
      <c r="I1350" s="325" t="s">
        <v>8675</v>
      </c>
      <c r="J1350" s="972">
        <v>45448</v>
      </c>
    </row>
    <row r="1351" spans="2:12" ht="14.25" customHeight="1">
      <c r="C1351" s="95">
        <v>45427</v>
      </c>
      <c r="D1351" s="101">
        <v>8252118244</v>
      </c>
      <c r="E1351" s="964" t="s">
        <v>8676</v>
      </c>
      <c r="H1351" s="964" t="s">
        <v>8677</v>
      </c>
      <c r="I1351" s="325" t="s">
        <v>8678</v>
      </c>
      <c r="J1351" s="990" t="s">
        <v>507</v>
      </c>
    </row>
    <row r="1352" spans="2:12" ht="14.25" customHeight="1">
      <c r="C1352" s="95">
        <v>45427</v>
      </c>
      <c r="D1352" s="101">
        <v>9279593391</v>
      </c>
      <c r="E1352" s="964" t="s">
        <v>8679</v>
      </c>
      <c r="H1352" s="964" t="s">
        <v>7919</v>
      </c>
      <c r="I1352" s="325" t="s">
        <v>8680</v>
      </c>
      <c r="J1352" s="990" t="s">
        <v>36</v>
      </c>
      <c r="K1352" s="991" t="s">
        <v>8780</v>
      </c>
    </row>
    <row r="1353" spans="2:12" ht="14.25" customHeight="1">
      <c r="C1353" s="95">
        <v>45427</v>
      </c>
      <c r="D1353" s="101">
        <v>9031308154</v>
      </c>
      <c r="E1353" s="964" t="s">
        <v>8681</v>
      </c>
      <c r="H1353" s="964" t="s">
        <v>1344</v>
      </c>
      <c r="I1353" s="325" t="s">
        <v>8682</v>
      </c>
      <c r="J1353" s="990" t="s">
        <v>507</v>
      </c>
    </row>
    <row r="1354" spans="2:12" ht="14.25" customHeight="1">
      <c r="C1354" s="95">
        <v>45427</v>
      </c>
      <c r="D1354" s="101">
        <v>9939414400</v>
      </c>
      <c r="E1354" s="964" t="s">
        <v>8683</v>
      </c>
      <c r="H1354" s="964" t="s">
        <v>1275</v>
      </c>
      <c r="I1354" s="325" t="s">
        <v>8684</v>
      </c>
      <c r="J1354" s="200" t="s">
        <v>8701</v>
      </c>
      <c r="K1354" s="25" t="s">
        <v>8733</v>
      </c>
    </row>
    <row r="1355" spans="2:12" ht="14.25" customHeight="1">
      <c r="C1355" s="95">
        <v>45428</v>
      </c>
      <c r="D1355" s="101">
        <v>9931260514</v>
      </c>
      <c r="E1355" s="966" t="s">
        <v>8691</v>
      </c>
      <c r="H1355" s="966" t="s">
        <v>2071</v>
      </c>
      <c r="I1355" t="s">
        <v>8690</v>
      </c>
      <c r="J1355" s="999" t="s">
        <v>507</v>
      </c>
      <c r="K1355">
        <v>9931265377</v>
      </c>
    </row>
    <row r="1356" spans="2:12" ht="14.25" customHeight="1">
      <c r="C1356" s="95">
        <v>45428</v>
      </c>
      <c r="D1356" s="101">
        <v>9931260514</v>
      </c>
      <c r="E1356" s="1015" t="s">
        <v>8692</v>
      </c>
      <c r="H1356" s="966" t="s">
        <v>1869</v>
      </c>
      <c r="I1356" s="325" t="s">
        <v>8702</v>
      </c>
      <c r="J1356" s="1008" t="s">
        <v>8836</v>
      </c>
    </row>
    <row r="1357" spans="2:12" ht="14.25" customHeight="1">
      <c r="B1357" s="1063"/>
      <c r="C1357" s="1064">
        <v>45435</v>
      </c>
      <c r="D1357" s="1065">
        <v>7209594407</v>
      </c>
      <c r="E1357" s="238" t="s">
        <v>8713</v>
      </c>
      <c r="F1357" s="1063"/>
      <c r="G1357" s="1883"/>
      <c r="H1357" s="238" t="s">
        <v>1591</v>
      </c>
      <c r="I1357" s="1066" t="s">
        <v>8712</v>
      </c>
      <c r="J1357" s="237" t="s">
        <v>507</v>
      </c>
    </row>
    <row r="1358" spans="2:12" ht="14.25" customHeight="1">
      <c r="C1358" s="95">
        <v>45436</v>
      </c>
      <c r="D1358" s="101">
        <v>9263499819</v>
      </c>
      <c r="E1358" s="974" t="s">
        <v>8717</v>
      </c>
      <c r="H1358" s="974" t="s">
        <v>2071</v>
      </c>
      <c r="I1358" s="325" t="s">
        <v>8716</v>
      </c>
      <c r="J1358" s="1017">
        <v>45469</v>
      </c>
    </row>
    <row r="1359" spans="2:12" ht="14.25" customHeight="1">
      <c r="C1359" s="95">
        <v>45437</v>
      </c>
      <c r="D1359" s="101">
        <v>9546112006</v>
      </c>
      <c r="E1359" s="975" t="s">
        <v>8720</v>
      </c>
      <c r="H1359" s="975" t="s">
        <v>1892</v>
      </c>
      <c r="I1359" s="325" t="s">
        <v>8719</v>
      </c>
      <c r="J1359" s="1008" t="s">
        <v>8836</v>
      </c>
    </row>
    <row r="1360" spans="2:12" ht="14.25" customHeight="1">
      <c r="B1360" s="1063"/>
      <c r="C1360" s="1064">
        <v>45437</v>
      </c>
      <c r="D1360" s="1065">
        <v>8862802222</v>
      </c>
      <c r="E1360" s="238" t="s">
        <v>8649</v>
      </c>
      <c r="F1360" s="1063"/>
      <c r="G1360" s="1883"/>
      <c r="H1360" s="238" t="s">
        <v>1355</v>
      </c>
      <c r="I1360" s="1066" t="s">
        <v>8721</v>
      </c>
      <c r="J1360" s="237" t="s">
        <v>5910</v>
      </c>
      <c r="K1360" s="238" t="s">
        <v>7572</v>
      </c>
      <c r="L1360" s="238" t="s">
        <v>9026</v>
      </c>
    </row>
    <row r="1361" spans="3:11" ht="14.25" customHeight="1">
      <c r="C1361" s="95">
        <v>45438</v>
      </c>
      <c r="D1361" s="101">
        <v>8797929110</v>
      </c>
      <c r="E1361" s="976" t="s">
        <v>8724</v>
      </c>
      <c r="H1361" s="976" t="s">
        <v>2071</v>
      </c>
      <c r="I1361" s="325" t="s">
        <v>8723</v>
      </c>
      <c r="J1361" s="1017">
        <v>45665</v>
      </c>
    </row>
    <row r="1362" spans="3:11" ht="14.25" customHeight="1">
      <c r="C1362" s="95">
        <v>45412</v>
      </c>
      <c r="D1362" s="101">
        <v>6281410604</v>
      </c>
      <c r="E1362" s="982" t="s">
        <v>8744</v>
      </c>
      <c r="H1362" s="982" t="s">
        <v>2071</v>
      </c>
      <c r="I1362" s="325" t="s">
        <v>8747</v>
      </c>
      <c r="J1362" s="1025" t="s">
        <v>8796</v>
      </c>
      <c r="K1362" s="1009" t="s">
        <v>7885</v>
      </c>
    </row>
    <row r="1363" spans="3:11" ht="14.25" customHeight="1">
      <c r="C1363" s="95">
        <v>45412</v>
      </c>
      <c r="D1363" s="101">
        <v>8092270646</v>
      </c>
      <c r="E1363" s="982" t="s">
        <v>8745</v>
      </c>
      <c r="H1363" s="982" t="s">
        <v>2067</v>
      </c>
      <c r="I1363" s="325" t="s">
        <v>8746</v>
      </c>
      <c r="J1363" s="101" t="s">
        <v>8837</v>
      </c>
    </row>
    <row r="1364" spans="3:11" ht="14.25" customHeight="1">
      <c r="C1364" s="95">
        <v>45444</v>
      </c>
      <c r="D1364" s="101">
        <v>8292381941</v>
      </c>
      <c r="E1364" s="987" t="s">
        <v>6287</v>
      </c>
      <c r="H1364" s="987" t="s">
        <v>2071</v>
      </c>
      <c r="I1364" s="325" t="s">
        <v>8773</v>
      </c>
      <c r="J1364" s="101" t="s">
        <v>8837</v>
      </c>
    </row>
    <row r="1365" spans="3:11" ht="14.25" customHeight="1">
      <c r="C1365" s="95">
        <v>45450</v>
      </c>
      <c r="D1365" s="101">
        <v>9113414940</v>
      </c>
      <c r="E1365" s="994" t="s">
        <v>8790</v>
      </c>
      <c r="H1365" s="994" t="s">
        <v>2071</v>
      </c>
      <c r="I1365" s="325" t="s">
        <v>8791</v>
      </c>
      <c r="J1365" s="101" t="s">
        <v>100</v>
      </c>
      <c r="K1365" s="1042" t="s">
        <v>8947</v>
      </c>
    </row>
    <row r="1366" spans="3:11" ht="14.25" customHeight="1">
      <c r="C1366" s="95">
        <v>45453</v>
      </c>
      <c r="D1366" s="101">
        <v>9572559987</v>
      </c>
      <c r="E1366" s="1001" t="s">
        <v>2947</v>
      </c>
      <c r="H1366" s="1001" t="s">
        <v>1905</v>
      </c>
      <c r="I1366" t="s">
        <v>8809</v>
      </c>
      <c r="J1366" s="101" t="s">
        <v>8837</v>
      </c>
    </row>
    <row r="1367" spans="3:11" ht="14.25" customHeight="1">
      <c r="C1367" s="95">
        <v>45457</v>
      </c>
      <c r="D1367" s="101">
        <v>7903551190</v>
      </c>
      <c r="E1367" s="962" t="s">
        <v>8653</v>
      </c>
      <c r="G1367" s="294">
        <v>12</v>
      </c>
      <c r="H1367" s="962" t="s">
        <v>8654</v>
      </c>
      <c r="I1367" s="332" t="s">
        <v>8815</v>
      </c>
      <c r="J1367" s="101" t="s">
        <v>8946</v>
      </c>
    </row>
    <row r="1368" spans="3:11" ht="14.25" customHeight="1">
      <c r="C1368" s="95">
        <v>45463</v>
      </c>
      <c r="E1368" s="1004" t="s">
        <v>8823</v>
      </c>
      <c r="I1368" s="325" t="s">
        <v>8822</v>
      </c>
      <c r="J1368" s="1096" t="s">
        <v>9096</v>
      </c>
    </row>
    <row r="1369" spans="3:11" ht="14.25" customHeight="1">
      <c r="C1369" s="95">
        <v>45464</v>
      </c>
      <c r="D1369" s="101">
        <v>6200157578</v>
      </c>
      <c r="E1369" s="1007" t="s">
        <v>8833</v>
      </c>
      <c r="H1369" s="1007" t="s">
        <v>2071</v>
      </c>
      <c r="I1369" s="325" t="s">
        <v>8834</v>
      </c>
      <c r="J1369" s="101" t="s">
        <v>8948</v>
      </c>
    </row>
    <row r="1370" spans="3:11" ht="14.25" customHeight="1">
      <c r="C1370" s="95">
        <v>45466</v>
      </c>
      <c r="D1370" s="101">
        <v>9234754675</v>
      </c>
      <c r="E1370" s="1013" t="s">
        <v>8849</v>
      </c>
      <c r="H1370" s="1013" t="s">
        <v>1627</v>
      </c>
      <c r="I1370" s="325" t="s">
        <v>8848</v>
      </c>
      <c r="J1370" s="101" t="s">
        <v>507</v>
      </c>
    </row>
    <row r="1371" spans="3:11" ht="14.25" customHeight="1">
      <c r="C1371" s="95">
        <v>45469</v>
      </c>
      <c r="D1371" s="101">
        <v>8083198060</v>
      </c>
      <c r="E1371" s="1019" t="s">
        <v>8568</v>
      </c>
      <c r="H1371" s="1019" t="s">
        <v>2071</v>
      </c>
      <c r="I1371" s="325" t="s">
        <v>8870</v>
      </c>
      <c r="J1371" s="101" t="s">
        <v>8948</v>
      </c>
    </row>
    <row r="1372" spans="3:11" ht="14.25" customHeight="1">
      <c r="C1372" s="95">
        <v>45475</v>
      </c>
      <c r="D1372" s="101">
        <v>9572729793</v>
      </c>
      <c r="E1372" s="1027" t="s">
        <v>8892</v>
      </c>
      <c r="H1372" s="1027" t="s">
        <v>1627</v>
      </c>
      <c r="I1372" s="325" t="s">
        <v>8904</v>
      </c>
      <c r="J1372" s="162">
        <v>45485</v>
      </c>
    </row>
    <row r="1373" spans="3:11" ht="14.25" customHeight="1">
      <c r="C1373" s="95">
        <v>45475</v>
      </c>
      <c r="D1373" s="101">
        <v>9939220547</v>
      </c>
      <c r="E1373" s="1028" t="s">
        <v>7226</v>
      </c>
      <c r="H1373">
        <v>18</v>
      </c>
      <c r="I1373" s="325" t="s">
        <v>8903</v>
      </c>
      <c r="J1373" s="101" t="s">
        <v>8948</v>
      </c>
    </row>
    <row r="1374" spans="3:11" ht="14.25" customHeight="1">
      <c r="C1374" s="95">
        <v>45475</v>
      </c>
      <c r="D1374" s="101">
        <v>9572729793</v>
      </c>
      <c r="E1374" s="1029" t="s">
        <v>8906</v>
      </c>
      <c r="H1374" s="1029" t="s">
        <v>1627</v>
      </c>
      <c r="I1374" s="325" t="s">
        <v>8905</v>
      </c>
      <c r="J1374" s="162">
        <v>45485</v>
      </c>
    </row>
    <row r="1375" spans="3:11" ht="14.25" customHeight="1">
      <c r="C1375" s="95">
        <v>45476</v>
      </c>
      <c r="D1375" s="101">
        <v>9031929021</v>
      </c>
      <c r="E1375" s="1030" t="s">
        <v>8908</v>
      </c>
      <c r="H1375" s="1030" t="s">
        <v>1275</v>
      </c>
      <c r="I1375" s="325" t="s">
        <v>8907</v>
      </c>
      <c r="J1375" s="101" t="s">
        <v>8948</v>
      </c>
    </row>
    <row r="1376" spans="3:11" ht="14.25" customHeight="1">
      <c r="C1376" s="95">
        <v>45476</v>
      </c>
      <c r="E1376" s="1030" t="s">
        <v>8912</v>
      </c>
      <c r="H1376" s="1030" t="s">
        <v>1627</v>
      </c>
      <c r="I1376" s="325" t="s">
        <v>9001</v>
      </c>
      <c r="J1376" s="101" t="s">
        <v>507</v>
      </c>
    </row>
    <row r="1377" spans="2:12" ht="14.25" customHeight="1">
      <c r="C1377" s="95">
        <v>45478</v>
      </c>
      <c r="D1377" s="101">
        <v>7992242327</v>
      </c>
      <c r="E1377" s="1031" t="s">
        <v>8918</v>
      </c>
      <c r="I1377" s="1225" t="s">
        <v>8917</v>
      </c>
      <c r="J1377" s="101" t="s">
        <v>507</v>
      </c>
    </row>
    <row r="1378" spans="2:12" ht="14.25" customHeight="1">
      <c r="C1378" s="95">
        <v>45485</v>
      </c>
      <c r="D1378" s="101">
        <v>8252678690</v>
      </c>
      <c r="E1378" s="1043" t="s">
        <v>4005</v>
      </c>
      <c r="H1378" s="1043" t="s">
        <v>5538</v>
      </c>
      <c r="I1378" s="325" t="s">
        <v>8999</v>
      </c>
      <c r="J1378" s="1082" t="s">
        <v>9057</v>
      </c>
    </row>
    <row r="1379" spans="2:12" ht="14.25" customHeight="1">
      <c r="C1379" s="95">
        <v>45486</v>
      </c>
      <c r="D1379" s="101">
        <v>8797204894</v>
      </c>
      <c r="E1379" s="1045" t="s">
        <v>8961</v>
      </c>
      <c r="H1379" s="1045" t="s">
        <v>2071</v>
      </c>
      <c r="I1379" s="325" t="s">
        <v>8998</v>
      </c>
      <c r="J1379" s="1082" t="s">
        <v>9058</v>
      </c>
    </row>
    <row r="1380" spans="2:12" ht="14.25" customHeight="1">
      <c r="C1380" s="95">
        <v>45486</v>
      </c>
      <c r="D1380" s="101">
        <v>8797204894</v>
      </c>
      <c r="E1380" s="1045" t="s">
        <v>8962</v>
      </c>
      <c r="H1380" s="1045" t="s">
        <v>2071</v>
      </c>
      <c r="I1380" s="325" t="s">
        <v>9000</v>
      </c>
      <c r="J1380" s="1126" t="s">
        <v>39</v>
      </c>
      <c r="K1380" s="95">
        <v>45533</v>
      </c>
    </row>
    <row r="1381" spans="2:12" ht="14.25" customHeight="1">
      <c r="C1381" s="95">
        <v>45486</v>
      </c>
      <c r="D1381" s="101">
        <v>9523994660</v>
      </c>
      <c r="E1381" s="1045" t="s">
        <v>8392</v>
      </c>
      <c r="H1381" s="1045" t="s">
        <v>2067</v>
      </c>
      <c r="I1381" s="325" t="s">
        <v>8964</v>
      </c>
      <c r="J1381" s="1105">
        <v>45516</v>
      </c>
    </row>
    <row r="1382" spans="2:12" ht="14.25" customHeight="1">
      <c r="C1382" s="95">
        <v>45491</v>
      </c>
      <c r="D1382" s="101">
        <v>9693953545</v>
      </c>
      <c r="E1382" s="1057" t="s">
        <v>9003</v>
      </c>
      <c r="H1382" s="1057" t="s">
        <v>1275</v>
      </c>
      <c r="I1382" s="325" t="s">
        <v>9002</v>
      </c>
      <c r="J1382" s="1087">
        <v>45502</v>
      </c>
    </row>
    <row r="1383" spans="2:12" ht="14.25" customHeight="1">
      <c r="C1383" s="95">
        <v>45492</v>
      </c>
      <c r="D1383" s="101">
        <v>7858856395</v>
      </c>
      <c r="E1383" s="1058" t="s">
        <v>9005</v>
      </c>
      <c r="H1383" t="s">
        <v>9006</v>
      </c>
      <c r="I1383" s="325" t="s">
        <v>9009</v>
      </c>
      <c r="J1383" s="1120" t="s">
        <v>507</v>
      </c>
      <c r="K1383" s="1058"/>
    </row>
    <row r="1384" spans="2:12" ht="14.25" customHeight="1">
      <c r="C1384" s="95">
        <v>45492</v>
      </c>
      <c r="D1384" s="101">
        <v>9572729793</v>
      </c>
      <c r="E1384" s="1058" t="s">
        <v>9007</v>
      </c>
      <c r="H1384" s="1059" t="s">
        <v>1627</v>
      </c>
      <c r="I1384" s="325" t="s">
        <v>9011</v>
      </c>
      <c r="J1384" s="1520" t="s">
        <v>10800</v>
      </c>
    </row>
    <row r="1385" spans="2:12" ht="14.25" customHeight="1">
      <c r="C1385" s="95">
        <v>45492</v>
      </c>
      <c r="D1385" s="101">
        <v>8340792128</v>
      </c>
      <c r="E1385" s="1058" t="s">
        <v>9008</v>
      </c>
      <c r="H1385">
        <v>17</v>
      </c>
      <c r="I1385" s="325" t="s">
        <v>9010</v>
      </c>
      <c r="J1385" s="1082" t="s">
        <v>9059</v>
      </c>
    </row>
    <row r="1386" spans="2:12" ht="14.25" customHeight="1">
      <c r="C1386" s="95">
        <v>45493</v>
      </c>
      <c r="D1386" s="101">
        <v>6203897476</v>
      </c>
      <c r="E1386" s="1059" t="s">
        <v>9017</v>
      </c>
      <c r="H1386" s="1059" t="s">
        <v>2071</v>
      </c>
      <c r="I1386" s="325" t="s">
        <v>9016</v>
      </c>
      <c r="J1386" s="1171">
        <v>45560</v>
      </c>
    </row>
    <row r="1387" spans="2:12" ht="14.25" customHeight="1">
      <c r="C1387" s="95">
        <v>45493</v>
      </c>
      <c r="D1387" s="101">
        <v>6207040439</v>
      </c>
      <c r="E1387" s="1059" t="s">
        <v>9018</v>
      </c>
      <c r="H1387" s="1059" t="s">
        <v>2071</v>
      </c>
      <c r="I1387" s="325" t="s">
        <v>9019</v>
      </c>
      <c r="J1387" s="1171">
        <v>45560</v>
      </c>
    </row>
    <row r="1388" spans="2:12" ht="14.25" customHeight="1">
      <c r="C1388" s="1069">
        <v>45435</v>
      </c>
      <c r="D1388" s="1070">
        <v>7209594407</v>
      </c>
      <c r="E1388" s="1071" t="s">
        <v>8713</v>
      </c>
      <c r="F1388" s="1071"/>
      <c r="G1388" s="1884"/>
      <c r="H1388" s="1071" t="s">
        <v>1591</v>
      </c>
      <c r="I1388" s="1072" t="s">
        <v>9030</v>
      </c>
      <c r="J1388" s="1210" t="s">
        <v>507</v>
      </c>
    </row>
    <row r="1389" spans="2:12" ht="14.25" customHeight="1">
      <c r="C1389" s="95">
        <v>45498</v>
      </c>
      <c r="D1389" s="101">
        <v>8434341441</v>
      </c>
      <c r="E1389" s="1080" t="s">
        <v>9047</v>
      </c>
      <c r="H1389" s="1080" t="s">
        <v>2071</v>
      </c>
      <c r="I1389" s="325" t="s">
        <v>9048</v>
      </c>
      <c r="J1389" s="1082" t="s">
        <v>4541</v>
      </c>
    </row>
    <row r="1390" spans="2:12" ht="14.25" customHeight="1">
      <c r="B1390" s="1068"/>
      <c r="C1390" s="95">
        <v>45505</v>
      </c>
      <c r="D1390" s="101">
        <v>9279134980</v>
      </c>
      <c r="E1390" s="1089" t="s">
        <v>9068</v>
      </c>
      <c r="H1390" s="1089" t="s">
        <v>2775</v>
      </c>
      <c r="I1390" s="325" t="s">
        <v>9067</v>
      </c>
      <c r="J1390" s="1120" t="s">
        <v>100</v>
      </c>
      <c r="K1390" s="194" t="s">
        <v>9164</v>
      </c>
    </row>
    <row r="1391" spans="2:12" ht="14.25" customHeight="1">
      <c r="C1391" s="95">
        <v>45510</v>
      </c>
      <c r="D1391" s="101">
        <v>9304071446</v>
      </c>
      <c r="E1391" s="1095" t="s">
        <v>9095</v>
      </c>
      <c r="H1391" s="1095" t="s">
        <v>2071</v>
      </c>
      <c r="I1391" s="325" t="s">
        <v>9094</v>
      </c>
      <c r="J1391" s="1120" t="s">
        <v>100</v>
      </c>
      <c r="K1391" s="1119" t="s">
        <v>8017</v>
      </c>
    </row>
    <row r="1392" spans="2:12" ht="14.25" customHeight="1">
      <c r="B1392" s="156" t="s">
        <v>6830</v>
      </c>
      <c r="C1392" s="95">
        <v>45515</v>
      </c>
      <c r="D1392" s="101">
        <v>9709739119</v>
      </c>
      <c r="E1392" s="1104" t="s">
        <v>9121</v>
      </c>
      <c r="H1392" s="1104" t="s">
        <v>1465</v>
      </c>
      <c r="I1392" s="325" t="s">
        <v>9124</v>
      </c>
      <c r="J1392" s="380" t="s">
        <v>6829</v>
      </c>
      <c r="K1392" s="380" t="s">
        <v>9123</v>
      </c>
      <c r="L1392" s="156"/>
    </row>
    <row r="1393" spans="2:12" ht="14.25" customHeight="1">
      <c r="B1393" s="156" t="s">
        <v>6830</v>
      </c>
      <c r="C1393" s="95">
        <v>45515</v>
      </c>
      <c r="D1393" s="101">
        <v>6202335836</v>
      </c>
      <c r="E1393" s="1104" t="s">
        <v>9122</v>
      </c>
      <c r="H1393" s="1104" t="s">
        <v>3056</v>
      </c>
      <c r="I1393" s="325" t="s">
        <v>9125</v>
      </c>
      <c r="J1393" s="380" t="s">
        <v>6829</v>
      </c>
      <c r="K1393" s="380" t="s">
        <v>9123</v>
      </c>
    </row>
    <row r="1394" spans="2:12" ht="14.25" customHeight="1">
      <c r="C1394" s="95">
        <v>45519</v>
      </c>
      <c r="D1394" s="101">
        <v>9955643529</v>
      </c>
      <c r="E1394" s="1109" t="s">
        <v>9132</v>
      </c>
      <c r="H1394" s="1109" t="s">
        <v>1392</v>
      </c>
      <c r="I1394" s="325" t="s">
        <v>9133</v>
      </c>
      <c r="J1394" s="1210" t="s">
        <v>8946</v>
      </c>
    </row>
    <row r="1395" spans="2:12" ht="14.25" customHeight="1">
      <c r="C1395" s="95">
        <v>45519</v>
      </c>
      <c r="D1395" s="101">
        <v>7070994527</v>
      </c>
      <c r="E1395" s="1123" t="s">
        <v>9173</v>
      </c>
      <c r="G1395" s="1885"/>
      <c r="H1395" s="1109" t="s">
        <v>1591</v>
      </c>
      <c r="I1395" s="325" t="s">
        <v>9134</v>
      </c>
      <c r="J1395" s="1210" t="s">
        <v>100</v>
      </c>
      <c r="K1395" s="1211" t="s">
        <v>9462</v>
      </c>
    </row>
    <row r="1396" spans="2:12" ht="14.25" customHeight="1">
      <c r="B1396" s="156" t="s">
        <v>6830</v>
      </c>
      <c r="C1396" s="95">
        <v>45519</v>
      </c>
      <c r="D1396" s="101">
        <v>7979017604</v>
      </c>
      <c r="E1396" s="1109" t="s">
        <v>9135</v>
      </c>
      <c r="H1396" s="1109" t="s">
        <v>7010</v>
      </c>
      <c r="I1396" s="325" t="s">
        <v>9136</v>
      </c>
      <c r="J1396" s="380" t="s">
        <v>6829</v>
      </c>
      <c r="K1396" s="380" t="s">
        <v>9123</v>
      </c>
    </row>
    <row r="1397" spans="2:12" ht="14.25" customHeight="1">
      <c r="B1397" s="156" t="s">
        <v>6830</v>
      </c>
      <c r="C1397" s="95">
        <v>45519</v>
      </c>
      <c r="D1397" s="101">
        <v>9304870839</v>
      </c>
      <c r="E1397" s="1110" t="s">
        <v>9141</v>
      </c>
      <c r="H1397" s="1110" t="s">
        <v>1591</v>
      </c>
      <c r="I1397" s="325" t="s">
        <v>9142</v>
      </c>
      <c r="J1397" s="380" t="s">
        <v>6829</v>
      </c>
      <c r="K1397" s="380" t="s">
        <v>9123</v>
      </c>
    </row>
    <row r="1398" spans="2:12" ht="14.25" customHeight="1">
      <c r="C1398" s="95">
        <v>45523</v>
      </c>
      <c r="D1398" s="101">
        <v>9304031034</v>
      </c>
      <c r="E1398" s="1111" t="s">
        <v>9144</v>
      </c>
      <c r="H1398" s="1111" t="s">
        <v>1275</v>
      </c>
      <c r="I1398" t="s">
        <v>9143</v>
      </c>
      <c r="J1398" s="1210" t="s">
        <v>8946</v>
      </c>
    </row>
    <row r="1399" spans="2:12" ht="14.25" customHeight="1">
      <c r="C1399" s="95">
        <v>45523</v>
      </c>
      <c r="D1399" s="101">
        <v>9835749353</v>
      </c>
      <c r="E1399" s="1111" t="s">
        <v>9146</v>
      </c>
      <c r="H1399" s="1111" t="s">
        <v>1275</v>
      </c>
      <c r="I1399" s="332" t="s">
        <v>9145</v>
      </c>
      <c r="J1399" s="1207" t="s">
        <v>39</v>
      </c>
      <c r="K1399" s="95">
        <v>45586</v>
      </c>
    </row>
    <row r="1400" spans="2:12" ht="14.25" customHeight="1">
      <c r="C1400" s="95">
        <v>45529</v>
      </c>
      <c r="D1400" s="101">
        <v>7903255834</v>
      </c>
      <c r="E1400" s="1119" t="s">
        <v>9162</v>
      </c>
      <c r="H1400" s="1119" t="s">
        <v>2067</v>
      </c>
      <c r="I1400" s="332" t="s">
        <v>9163</v>
      </c>
      <c r="J1400" s="1136" t="s">
        <v>100</v>
      </c>
      <c r="K1400" s="1137" t="s">
        <v>8017</v>
      </c>
    </row>
    <row r="1401" spans="2:12" ht="14.25" customHeight="1">
      <c r="B1401" s="156" t="s">
        <v>6830</v>
      </c>
      <c r="C1401" s="95">
        <v>45529</v>
      </c>
      <c r="D1401" s="101">
        <v>8651354845</v>
      </c>
      <c r="E1401" s="1122" t="s">
        <v>9171</v>
      </c>
      <c r="H1401" s="1122" t="s">
        <v>2067</v>
      </c>
      <c r="I1401" t="s">
        <v>9172</v>
      </c>
      <c r="J1401" s="380" t="s">
        <v>6829</v>
      </c>
      <c r="K1401" s="380" t="s">
        <v>9123</v>
      </c>
    </row>
    <row r="1402" spans="2:12" ht="14.25" customHeight="1">
      <c r="C1402" s="95">
        <v>45470</v>
      </c>
      <c r="D1402" s="101">
        <v>9431521846</v>
      </c>
      <c r="E1402" s="1124" t="s">
        <v>9174</v>
      </c>
      <c r="H1402" s="1124" t="s">
        <v>1275</v>
      </c>
      <c r="I1402" t="s">
        <v>9532</v>
      </c>
      <c r="J1402" s="162">
        <v>45614</v>
      </c>
    </row>
    <row r="1403" spans="2:12" ht="14.25" customHeight="1">
      <c r="C1403" s="95">
        <v>45532</v>
      </c>
      <c r="D1403" s="101">
        <v>9031381932</v>
      </c>
      <c r="E1403" s="1125" t="s">
        <v>9176</v>
      </c>
      <c r="H1403" s="1125" t="s">
        <v>1227</v>
      </c>
      <c r="I1403" t="s">
        <v>9177</v>
      </c>
      <c r="J1403" s="200" t="s">
        <v>100</v>
      </c>
      <c r="K1403" s="1137" t="s">
        <v>8017</v>
      </c>
    </row>
    <row r="1404" spans="2:12" ht="14.25" customHeight="1">
      <c r="C1404" s="95">
        <v>45533</v>
      </c>
      <c r="D1404" s="101">
        <v>9608830368</v>
      </c>
      <c r="E1404" s="1134" t="s">
        <v>9196</v>
      </c>
      <c r="H1404" s="1128" t="s">
        <v>2071</v>
      </c>
      <c r="I1404" s="325" t="s">
        <v>9180</v>
      </c>
      <c r="J1404" s="101" t="s">
        <v>39</v>
      </c>
      <c r="K1404" s="95">
        <v>45538</v>
      </c>
    </row>
    <row r="1405" spans="2:12" ht="14.25" customHeight="1">
      <c r="C1405" s="95">
        <v>45535</v>
      </c>
      <c r="D1405" s="101">
        <v>7209274279</v>
      </c>
      <c r="E1405" s="1128" t="s">
        <v>9183</v>
      </c>
      <c r="H1405" s="1128" t="s">
        <v>2047</v>
      </c>
      <c r="I1405" s="332" t="s">
        <v>9182</v>
      </c>
      <c r="J1405" s="1136" t="s">
        <v>507</v>
      </c>
    </row>
    <row r="1406" spans="2:12" ht="14.25" customHeight="1">
      <c r="C1406" s="95">
        <v>45538</v>
      </c>
      <c r="D1406" s="101">
        <v>9142389706</v>
      </c>
      <c r="E1406" s="1134" t="s">
        <v>533</v>
      </c>
      <c r="H1406" s="1134" t="s">
        <v>9200</v>
      </c>
      <c r="I1406" s="325" t="s">
        <v>9199</v>
      </c>
      <c r="J1406" s="101" t="s">
        <v>8946</v>
      </c>
    </row>
    <row r="1407" spans="2:12" ht="14.25" customHeight="1">
      <c r="B1407" s="156" t="s">
        <v>6830</v>
      </c>
      <c r="C1407" s="95">
        <v>45538</v>
      </c>
      <c r="D1407" s="101">
        <v>6200258754</v>
      </c>
      <c r="E1407" s="1134" t="s">
        <v>9201</v>
      </c>
      <c r="H1407">
        <v>17</v>
      </c>
      <c r="I1407" t="s">
        <v>9203</v>
      </c>
      <c r="J1407" s="1219" t="s">
        <v>100</v>
      </c>
      <c r="K1407" s="380" t="s">
        <v>6829</v>
      </c>
      <c r="L1407" s="380" t="s">
        <v>9123</v>
      </c>
    </row>
    <row r="1408" spans="2:12" ht="14.25" customHeight="1">
      <c r="B1408" s="156" t="s">
        <v>6830</v>
      </c>
      <c r="C1408" s="95">
        <v>45538</v>
      </c>
      <c r="D1408" s="101">
        <v>7488109424</v>
      </c>
      <c r="E1408" s="1135" t="s">
        <v>9202</v>
      </c>
      <c r="H1408" s="1134" t="s">
        <v>9205</v>
      </c>
      <c r="I1408" s="1134" t="s">
        <v>9204</v>
      </c>
      <c r="J1408" s="1219" t="s">
        <v>100</v>
      </c>
      <c r="K1408" s="380" t="s">
        <v>6829</v>
      </c>
      <c r="L1408" s="380" t="s">
        <v>9123</v>
      </c>
    </row>
    <row r="1409" spans="2:12" ht="14.25" customHeight="1">
      <c r="B1409" s="156" t="s">
        <v>6830</v>
      </c>
      <c r="C1409" s="95">
        <v>45543</v>
      </c>
      <c r="D1409" s="101">
        <v>9031128116</v>
      </c>
      <c r="E1409" s="1140" t="s">
        <v>9216</v>
      </c>
      <c r="H1409" s="1140" t="s">
        <v>2071</v>
      </c>
      <c r="I1409" t="s">
        <v>9217</v>
      </c>
      <c r="J1409" s="1219" t="s">
        <v>100</v>
      </c>
      <c r="K1409" s="380" t="s">
        <v>6829</v>
      </c>
      <c r="L1409" s="380" t="s">
        <v>9123</v>
      </c>
    </row>
    <row r="1410" spans="2:12" ht="14.25" customHeight="1">
      <c r="C1410" s="95">
        <v>45544</v>
      </c>
      <c r="D1410" s="1142" t="s">
        <v>6408</v>
      </c>
      <c r="E1410" s="1141" t="s">
        <v>9218</v>
      </c>
      <c r="H1410" s="1140" t="s">
        <v>2071</v>
      </c>
      <c r="I1410" s="325" t="s">
        <v>9219</v>
      </c>
      <c r="J1410" s="101" t="s">
        <v>8946</v>
      </c>
    </row>
    <row r="1411" spans="2:12" ht="14.25" customHeight="1">
      <c r="C1411" s="95">
        <v>45547</v>
      </c>
      <c r="D1411" s="101">
        <v>9470353182</v>
      </c>
      <c r="E1411" s="1146" t="s">
        <v>9230</v>
      </c>
      <c r="H1411" s="1140" t="s">
        <v>2071</v>
      </c>
      <c r="I1411" t="s">
        <v>9231</v>
      </c>
      <c r="J1411" s="101" t="s">
        <v>9338</v>
      </c>
    </row>
    <row r="1412" spans="2:12" ht="14.25" customHeight="1">
      <c r="B1412" s="1147"/>
      <c r="C1412" s="1148"/>
      <c r="D1412" s="1149">
        <v>8083198060</v>
      </c>
      <c r="E1412" s="238" t="s">
        <v>8568</v>
      </c>
      <c r="F1412" s="1147"/>
      <c r="G1412" s="1886"/>
      <c r="H1412" s="238" t="s">
        <v>2071</v>
      </c>
      <c r="I1412" s="1066" t="s">
        <v>8870</v>
      </c>
      <c r="J1412" s="1149" t="s">
        <v>9236</v>
      </c>
      <c r="K1412" s="1147"/>
    </row>
    <row r="1413" spans="2:12" ht="14.25" customHeight="1">
      <c r="C1413" s="95">
        <v>45549</v>
      </c>
      <c r="D1413" s="101">
        <v>7209512146</v>
      </c>
      <c r="E1413" s="1151" t="s">
        <v>9240</v>
      </c>
      <c r="H1413">
        <v>17</v>
      </c>
      <c r="I1413" t="s">
        <v>9239</v>
      </c>
      <c r="J1413" s="1246" t="s">
        <v>507</v>
      </c>
    </row>
    <row r="1414" spans="2:12" ht="14.25" customHeight="1">
      <c r="C1414" s="95">
        <v>45554</v>
      </c>
      <c r="D1414" s="101">
        <v>6299182480</v>
      </c>
      <c r="E1414" s="1158" t="s">
        <v>9257</v>
      </c>
      <c r="H1414" s="1158" t="s">
        <v>2956</v>
      </c>
      <c r="I1414" s="325" t="s">
        <v>9271</v>
      </c>
      <c r="J1414" s="1246" t="s">
        <v>507</v>
      </c>
    </row>
    <row r="1415" spans="2:12" ht="14.25" customHeight="1">
      <c r="C1415" s="95">
        <v>45556</v>
      </c>
      <c r="D1415" s="101">
        <v>9472064014</v>
      </c>
      <c r="E1415" s="1158" t="s">
        <v>9282</v>
      </c>
      <c r="H1415" s="238" t="s">
        <v>1785</v>
      </c>
      <c r="I1415" s="325" t="s">
        <v>9283</v>
      </c>
      <c r="J1415" s="1179" t="s">
        <v>9338</v>
      </c>
    </row>
    <row r="1416" spans="2:12" ht="14.25" customHeight="1">
      <c r="C1416" s="95">
        <v>45556</v>
      </c>
      <c r="D1416" s="101">
        <v>8252484459</v>
      </c>
      <c r="E1416" s="1162" t="s">
        <v>9289</v>
      </c>
      <c r="H1416" s="1162" t="s">
        <v>2047</v>
      </c>
      <c r="I1416" s="332" t="s">
        <v>9288</v>
      </c>
      <c r="J1416" s="1227" t="s">
        <v>100</v>
      </c>
    </row>
    <row r="1417" spans="2:12" ht="14.25" customHeight="1">
      <c r="C1417" s="95">
        <v>45557</v>
      </c>
      <c r="D1417" s="101">
        <v>9204389675</v>
      </c>
      <c r="E1417" s="1166" t="s">
        <v>9303</v>
      </c>
      <c r="H1417" s="238" t="s">
        <v>6798</v>
      </c>
      <c r="I1417" s="325" t="s">
        <v>9304</v>
      </c>
      <c r="J1417" s="1179" t="s">
        <v>9338</v>
      </c>
    </row>
    <row r="1418" spans="2:12" ht="14.25" customHeight="1">
      <c r="C1418" s="95">
        <v>45560</v>
      </c>
      <c r="D1418" s="101">
        <v>9470374709</v>
      </c>
      <c r="E1418" s="1170" t="s">
        <v>9317</v>
      </c>
      <c r="H1418" s="1170" t="s">
        <v>2047</v>
      </c>
      <c r="I1418" s="866" t="s">
        <v>9316</v>
      </c>
      <c r="J1418" s="200" t="s">
        <v>100</v>
      </c>
      <c r="K1418" s="25" t="s">
        <v>9448</v>
      </c>
    </row>
    <row r="1419" spans="2:12" ht="14.25" customHeight="1">
      <c r="C1419" s="95">
        <v>45563</v>
      </c>
      <c r="D1419" s="101">
        <v>8083198060</v>
      </c>
      <c r="E1419" s="294" t="s">
        <v>8568</v>
      </c>
      <c r="F1419" s="101"/>
      <c r="H1419" s="101" t="s">
        <v>2071</v>
      </c>
      <c r="I1419" s="325" t="s">
        <v>9342</v>
      </c>
      <c r="J1419" s="1246" t="s">
        <v>507</v>
      </c>
    </row>
    <row r="1420" spans="2:12" ht="14.25" customHeight="1">
      <c r="C1420" s="95">
        <v>45564</v>
      </c>
      <c r="D1420" s="101">
        <v>8797764449</v>
      </c>
      <c r="E1420" s="1175" t="s">
        <v>8696</v>
      </c>
      <c r="H1420" s="101" t="s">
        <v>2071</v>
      </c>
      <c r="I1420" s="866" t="s">
        <v>9353</v>
      </c>
      <c r="J1420" s="200" t="s">
        <v>92</v>
      </c>
      <c r="K1420" s="25" t="s">
        <v>9449</v>
      </c>
    </row>
    <row r="1421" spans="2:12" ht="14.25" customHeight="1">
      <c r="C1421" s="95">
        <v>45565</v>
      </c>
      <c r="D1421" s="101">
        <v>7991130095</v>
      </c>
      <c r="E1421" s="1177" t="s">
        <v>335</v>
      </c>
      <c r="H1421" s="1177" t="s">
        <v>2481</v>
      </c>
      <c r="I1421" s="325" t="s">
        <v>9463</v>
      </c>
      <c r="J1421" s="25" t="s">
        <v>9558</v>
      </c>
    </row>
    <row r="1422" spans="2:12" ht="14.25" customHeight="1">
      <c r="C1422" s="95">
        <v>45589</v>
      </c>
      <c r="D1422" s="101">
        <v>7319924225</v>
      </c>
      <c r="E1422" s="1205" t="s">
        <v>4661</v>
      </c>
      <c r="I1422" s="325" t="s">
        <v>9447</v>
      </c>
      <c r="J1422" s="1305" t="s">
        <v>507</v>
      </c>
    </row>
    <row r="1423" spans="2:12" ht="14.25" customHeight="1">
      <c r="C1423" s="95">
        <v>45594</v>
      </c>
      <c r="D1423" s="101">
        <v>8789401142</v>
      </c>
      <c r="E1423" s="1216" t="s">
        <v>9474</v>
      </c>
      <c r="H1423" s="1216" t="s">
        <v>1275</v>
      </c>
      <c r="I1423" s="332" t="s">
        <v>9473</v>
      </c>
      <c r="J1423" s="1305" t="s">
        <v>507</v>
      </c>
    </row>
    <row r="1424" spans="2:12" ht="14.25" customHeight="1">
      <c r="C1424" s="95">
        <v>45599</v>
      </c>
      <c r="D1424" s="101">
        <v>9006974749</v>
      </c>
      <c r="E1424" s="1217" t="s">
        <v>9481</v>
      </c>
      <c r="I1424" s="325" t="s">
        <v>9480</v>
      </c>
      <c r="J1424" s="1242" t="s">
        <v>158</v>
      </c>
    </row>
    <row r="1425" spans="3:12" ht="14.25" customHeight="1">
      <c r="C1425" s="95">
        <v>45600</v>
      </c>
      <c r="D1425" s="101">
        <v>7992429668</v>
      </c>
      <c r="E1425" s="1218" t="s">
        <v>9483</v>
      </c>
      <c r="H1425" s="1218" t="s">
        <v>1905</v>
      </c>
      <c r="I1425" s="332" t="s">
        <v>9482</v>
      </c>
      <c r="K1425" s="380" t="s">
        <v>6829</v>
      </c>
      <c r="L1425" s="380" t="s">
        <v>9123</v>
      </c>
    </row>
    <row r="1426" spans="3:12" ht="14.25" customHeight="1">
      <c r="C1426" s="95">
        <v>45601</v>
      </c>
      <c r="D1426" s="101">
        <v>8207755181</v>
      </c>
      <c r="E1426" s="1224" t="s">
        <v>9491</v>
      </c>
      <c r="H1426" s="1224" t="s">
        <v>2071</v>
      </c>
      <c r="I1426" s="325" t="s">
        <v>9490</v>
      </c>
      <c r="J1426" s="25" t="s">
        <v>9559</v>
      </c>
    </row>
    <row r="1427" spans="3:12" ht="14.25" customHeight="1">
      <c r="C1427" s="95">
        <v>45601</v>
      </c>
      <c r="D1427" s="101">
        <v>9793307207</v>
      </c>
      <c r="E1427" s="1224" t="s">
        <v>9492</v>
      </c>
      <c r="H1427" s="1224" t="s">
        <v>1275</v>
      </c>
      <c r="I1427" s="325" t="s">
        <v>9493</v>
      </c>
      <c r="J1427" s="101" t="s">
        <v>100</v>
      </c>
      <c r="K1427" s="1354" t="s">
        <v>8017</v>
      </c>
    </row>
    <row r="1428" spans="3:12" ht="14.25" customHeight="1">
      <c r="C1428" s="95">
        <v>45606</v>
      </c>
      <c r="D1428" s="101">
        <v>9934345074</v>
      </c>
      <c r="E1428" s="1226" t="s">
        <v>9495</v>
      </c>
      <c r="H1428" s="1226" t="s">
        <v>1227</v>
      </c>
      <c r="I1428" s="325" t="s">
        <v>9497</v>
      </c>
      <c r="J1428" s="1329" t="s">
        <v>7249</v>
      </c>
    </row>
    <row r="1429" spans="3:12" ht="14.25" customHeight="1">
      <c r="C1429" s="95">
        <v>45606</v>
      </c>
      <c r="D1429" s="101">
        <v>9934345074</v>
      </c>
      <c r="E1429" s="1226" t="s">
        <v>9496</v>
      </c>
      <c r="H1429" s="1226" t="s">
        <v>1227</v>
      </c>
      <c r="I1429" s="325" t="s">
        <v>9499</v>
      </c>
      <c r="J1429" s="200" t="s">
        <v>4541</v>
      </c>
    </row>
    <row r="1430" spans="3:12" ht="14.25" customHeight="1">
      <c r="C1430" s="1230">
        <v>45610</v>
      </c>
      <c r="D1430" s="101">
        <v>7488349243</v>
      </c>
      <c r="E1430" s="1228" t="s">
        <v>9505</v>
      </c>
      <c r="G1430" s="294">
        <v>15</v>
      </c>
      <c r="H1430" s="1228" t="s">
        <v>2696</v>
      </c>
      <c r="I1430" s="325" t="s">
        <v>9512</v>
      </c>
      <c r="J1430" s="101" t="s">
        <v>39</v>
      </c>
      <c r="K1430" s="1241" t="s">
        <v>9557</v>
      </c>
    </row>
    <row r="1431" spans="3:12" ht="14.25" customHeight="1">
      <c r="C1431" s="95">
        <v>45615</v>
      </c>
      <c r="D1431" s="101">
        <v>8340350061</v>
      </c>
      <c r="E1431" s="1235" t="s">
        <v>9534</v>
      </c>
      <c r="H1431" s="1235" t="s">
        <v>1392</v>
      </c>
      <c r="I1431" s="332" t="s">
        <v>9535</v>
      </c>
      <c r="K1431" s="380" t="s">
        <v>6829</v>
      </c>
      <c r="L1431" s="380" t="s">
        <v>9123</v>
      </c>
    </row>
    <row r="1432" spans="3:12" ht="14.25" customHeight="1">
      <c r="C1432" s="95">
        <v>45622</v>
      </c>
      <c r="D1432" s="101">
        <v>9263040244</v>
      </c>
      <c r="E1432" s="1241" t="s">
        <v>9555</v>
      </c>
      <c r="H1432" s="1241" t="s">
        <v>1275</v>
      </c>
      <c r="I1432" s="332" t="s">
        <v>9554</v>
      </c>
      <c r="J1432" s="1342">
        <v>45661</v>
      </c>
    </row>
    <row r="1433" spans="3:12" ht="14.25" customHeight="1">
      <c r="C1433" s="95">
        <v>45625</v>
      </c>
      <c r="D1433" s="101">
        <v>9508019311</v>
      </c>
      <c r="E1433" s="1248" t="s">
        <v>6379</v>
      </c>
      <c r="H1433" s="1248" t="s">
        <v>4385</v>
      </c>
      <c r="I1433" s="325" t="s">
        <v>9589</v>
      </c>
      <c r="J1433" s="1357">
        <v>45684</v>
      </c>
    </row>
    <row r="1434" spans="3:12" ht="14.25" customHeight="1">
      <c r="C1434" s="95">
        <v>45627</v>
      </c>
      <c r="D1434" s="101">
        <v>8873113939</v>
      </c>
      <c r="E1434" s="1251" t="s">
        <v>7726</v>
      </c>
      <c r="H1434" s="1251" t="s">
        <v>1227</v>
      </c>
      <c r="I1434" s="325" t="s">
        <v>9602</v>
      </c>
      <c r="J1434" s="101" t="s">
        <v>100</v>
      </c>
      <c r="K1434" s="1343" t="s">
        <v>9462</v>
      </c>
    </row>
    <row r="1435" spans="3:12" ht="14.25" customHeight="1">
      <c r="C1435" s="95">
        <v>45627</v>
      </c>
      <c r="D1435" s="101">
        <v>9031907120</v>
      </c>
      <c r="E1435" s="1251" t="s">
        <v>9162</v>
      </c>
      <c r="H1435" s="1251" t="s">
        <v>4942</v>
      </c>
      <c r="I1435" s="734" t="s">
        <v>9603</v>
      </c>
      <c r="J1435" s="1307" t="s">
        <v>4348</v>
      </c>
      <c r="K1435" s="1304" t="s">
        <v>9678</v>
      </c>
    </row>
    <row r="1436" spans="3:12" ht="14.25" customHeight="1">
      <c r="C1436" s="95">
        <v>45631</v>
      </c>
      <c r="D1436" s="101">
        <v>8603825128</v>
      </c>
      <c r="E1436" s="1262" t="s">
        <v>9658</v>
      </c>
      <c r="H1436" s="1262" t="s">
        <v>2067</v>
      </c>
      <c r="I1436" s="332" t="s">
        <v>9659</v>
      </c>
      <c r="J1436" s="101" t="s">
        <v>100</v>
      </c>
      <c r="K1436" s="1343" t="s">
        <v>9462</v>
      </c>
    </row>
    <row r="1437" spans="3:12" ht="14.25" customHeight="1">
      <c r="C1437" s="95">
        <v>45632</v>
      </c>
      <c r="D1437" s="101">
        <v>9693081994</v>
      </c>
      <c r="E1437" s="1263" t="s">
        <v>5931</v>
      </c>
      <c r="H1437" s="1263" t="s">
        <v>2047</v>
      </c>
      <c r="I1437" s="325" t="s">
        <v>9667</v>
      </c>
      <c r="J1437" s="101" t="s">
        <v>100</v>
      </c>
      <c r="K1437" s="1343" t="s">
        <v>9462</v>
      </c>
    </row>
    <row r="1438" spans="3:12" ht="14.25" customHeight="1">
      <c r="C1438" s="95">
        <v>45632</v>
      </c>
      <c r="D1438" s="101">
        <v>9523016115</v>
      </c>
      <c r="E1438" s="1263" t="s">
        <v>9668</v>
      </c>
      <c r="H1438" s="1263" t="s">
        <v>2067</v>
      </c>
      <c r="I1438" s="325" t="s">
        <v>9669</v>
      </c>
      <c r="J1438" s="101" t="s">
        <v>100</v>
      </c>
      <c r="K1438" s="1343" t="s">
        <v>9462</v>
      </c>
    </row>
    <row r="1439" spans="3:12" ht="14.25" customHeight="1">
      <c r="C1439" s="95">
        <v>45633</v>
      </c>
      <c r="D1439" s="101">
        <v>9835503633</v>
      </c>
      <c r="E1439" s="1304" t="s">
        <v>9679</v>
      </c>
      <c r="H1439" s="1304" t="s">
        <v>2122</v>
      </c>
      <c r="I1439" s="1309" t="s">
        <v>9672</v>
      </c>
      <c r="J1439" s="162">
        <v>45640</v>
      </c>
    </row>
    <row r="1440" spans="3:12" ht="14.25" customHeight="1">
      <c r="C1440" s="95">
        <v>45635</v>
      </c>
      <c r="D1440" s="101">
        <v>7488560058</v>
      </c>
      <c r="E1440" s="1310" t="s">
        <v>9681</v>
      </c>
      <c r="H1440" s="1310" t="s">
        <v>1275</v>
      </c>
      <c r="I1440" s="325" t="s">
        <v>9682</v>
      </c>
      <c r="J1440" s="101" t="s">
        <v>9813</v>
      </c>
    </row>
    <row r="1441" spans="2:12" ht="14.25" customHeight="1">
      <c r="C1441" s="95">
        <v>45645</v>
      </c>
      <c r="D1441" s="101">
        <v>7091392757</v>
      </c>
      <c r="E1441" s="1346" t="s">
        <v>9720</v>
      </c>
      <c r="H1441" s="1" t="s">
        <v>9721</v>
      </c>
      <c r="I1441" s="325" t="s">
        <v>9715</v>
      </c>
      <c r="J1441" s="101" t="s">
        <v>507</v>
      </c>
    </row>
    <row r="1442" spans="2:12" ht="14.25" customHeight="1">
      <c r="C1442" s="95">
        <v>45645</v>
      </c>
      <c r="D1442" s="101">
        <v>8434770794</v>
      </c>
      <c r="E1442" s="1324" t="s">
        <v>9722</v>
      </c>
      <c r="H1442" s="1324" t="s">
        <v>1869</v>
      </c>
      <c r="I1442" s="325" t="s">
        <v>9723</v>
      </c>
      <c r="J1442" s="101" t="s">
        <v>9816</v>
      </c>
      <c r="K1442" s="1345" t="s">
        <v>9462</v>
      </c>
    </row>
    <row r="1443" spans="2:12" ht="14.25" customHeight="1">
      <c r="C1443" s="95">
        <v>45646</v>
      </c>
      <c r="D1443" s="101">
        <v>9304103847</v>
      </c>
      <c r="E1443" s="1325" t="s">
        <v>9730</v>
      </c>
      <c r="H1443" s="1325" t="s">
        <v>1275</v>
      </c>
      <c r="I1443" s="332" t="s">
        <v>9729</v>
      </c>
      <c r="J1443" s="101" t="s">
        <v>507</v>
      </c>
    </row>
    <row r="1444" spans="2:12" ht="14.25" customHeight="1">
      <c r="B1444" s="101" t="s">
        <v>9768</v>
      </c>
      <c r="C1444" s="95">
        <v>45652</v>
      </c>
      <c r="D1444" s="101">
        <v>7903429796</v>
      </c>
      <c r="E1444" s="1332" t="s">
        <v>9767</v>
      </c>
      <c r="H1444" s="1332" t="s">
        <v>7382</v>
      </c>
      <c r="I1444" t="s">
        <v>9766</v>
      </c>
      <c r="J1444" s="101" t="s">
        <v>100</v>
      </c>
      <c r="K1444" t="s">
        <v>9922</v>
      </c>
    </row>
    <row r="1445" spans="2:12" ht="14.25" customHeight="1">
      <c r="C1445" s="95">
        <v>45654</v>
      </c>
      <c r="D1445" s="101">
        <v>9234194585</v>
      </c>
      <c r="E1445" s="1333" t="s">
        <v>9769</v>
      </c>
      <c r="H1445" s="1333" t="s">
        <v>9770</v>
      </c>
      <c r="I1445" t="s">
        <v>9771</v>
      </c>
      <c r="J1445" s="101" t="s">
        <v>507</v>
      </c>
    </row>
    <row r="1446" spans="2:12" ht="14.25" customHeight="1">
      <c r="C1446" s="95">
        <v>45655</v>
      </c>
      <c r="D1446" s="101">
        <v>7463042968</v>
      </c>
      <c r="E1446" s="1334" t="s">
        <v>9772</v>
      </c>
      <c r="H1446" s="1334" t="s">
        <v>1785</v>
      </c>
      <c r="I1446" t="s">
        <v>9773</v>
      </c>
      <c r="K1446" s="380" t="s">
        <v>6829</v>
      </c>
      <c r="L1446" s="380" t="s">
        <v>9123</v>
      </c>
    </row>
    <row r="1447" spans="2:12" ht="14.25" customHeight="1">
      <c r="C1447" s="95">
        <v>45655</v>
      </c>
      <c r="D1447" s="101">
        <v>9304085689</v>
      </c>
      <c r="E1447" s="1334" t="s">
        <v>296</v>
      </c>
      <c r="H1447" s="1334" t="s">
        <v>1227</v>
      </c>
      <c r="I1447" s="325" t="s">
        <v>9774</v>
      </c>
      <c r="J1447" s="101" t="s">
        <v>100</v>
      </c>
    </row>
    <row r="1448" spans="2:12" ht="14.25" customHeight="1">
      <c r="C1448" s="95">
        <v>45655</v>
      </c>
      <c r="D1448" s="101">
        <v>6206550840</v>
      </c>
      <c r="E1448" s="1337" t="s">
        <v>9796</v>
      </c>
      <c r="H1448" s="1337" t="s">
        <v>1227</v>
      </c>
      <c r="I1448" s="325" t="s">
        <v>9797</v>
      </c>
      <c r="J1448" s="101" t="s">
        <v>100</v>
      </c>
      <c r="K1448" s="1361" t="s">
        <v>8088</v>
      </c>
    </row>
    <row r="1449" spans="2:12" ht="14.25" customHeight="1">
      <c r="C1449" s="95">
        <v>45657</v>
      </c>
      <c r="D1449" s="101">
        <v>8825143791</v>
      </c>
      <c r="E1449" s="325" t="s">
        <v>9779</v>
      </c>
      <c r="I1449" s="325" t="s">
        <v>9798</v>
      </c>
      <c r="J1449" s="101" t="s">
        <v>507</v>
      </c>
    </row>
    <row r="1450" spans="2:12" ht="14.25" customHeight="1">
      <c r="C1450" s="95">
        <v>45677</v>
      </c>
      <c r="D1450" s="101">
        <v>8797119160</v>
      </c>
      <c r="E1450" s="1349" t="s">
        <v>9878</v>
      </c>
      <c r="H1450" s="1349" t="s">
        <v>9879</v>
      </c>
      <c r="I1450" s="325" t="s">
        <v>9880</v>
      </c>
      <c r="J1450" s="101" t="s">
        <v>100</v>
      </c>
    </row>
    <row r="1451" spans="2:12" ht="14.25" customHeight="1">
      <c r="C1451" s="95">
        <v>45680</v>
      </c>
      <c r="D1451" s="101">
        <v>7488020225</v>
      </c>
      <c r="E1451" s="1353" t="s">
        <v>9892</v>
      </c>
      <c r="I1451" s="325" t="s">
        <v>9891</v>
      </c>
      <c r="J1451" s="1381" t="s">
        <v>507</v>
      </c>
    </row>
    <row r="1452" spans="2:12" ht="14.25" customHeight="1">
      <c r="C1452" s="95">
        <v>45682</v>
      </c>
      <c r="D1452" s="101">
        <v>7488607478</v>
      </c>
      <c r="E1452" s="1354" t="s">
        <v>2156</v>
      </c>
      <c r="I1452" s="332" t="s">
        <v>9908</v>
      </c>
      <c r="J1452" s="1381" t="s">
        <v>100</v>
      </c>
    </row>
    <row r="1453" spans="2:12" ht="14.25" customHeight="1">
      <c r="C1453" s="95">
        <v>45684</v>
      </c>
      <c r="D1453" s="101">
        <v>9122595593</v>
      </c>
      <c r="E1453" s="1360" t="s">
        <v>9917</v>
      </c>
      <c r="H1453" s="1359" t="s">
        <v>1275</v>
      </c>
      <c r="I1453" s="332" t="s">
        <v>9937</v>
      </c>
      <c r="J1453" s="1381" t="s">
        <v>507</v>
      </c>
    </row>
    <row r="1454" spans="2:12" ht="14.25" customHeight="1">
      <c r="C1454" s="95">
        <v>45689</v>
      </c>
      <c r="D1454" s="101">
        <v>9470353182</v>
      </c>
      <c r="E1454" s="1363" t="s">
        <v>9945</v>
      </c>
      <c r="H1454" s="1363" t="s">
        <v>2071</v>
      </c>
      <c r="I1454" s="325" t="s">
        <v>9944</v>
      </c>
      <c r="J1454" s="1403">
        <v>45729</v>
      </c>
    </row>
    <row r="1455" spans="2:12" ht="14.25" customHeight="1">
      <c r="C1455" s="95">
        <v>45689</v>
      </c>
      <c r="D1455" s="101">
        <v>9470353182</v>
      </c>
      <c r="E1455" s="1363" t="s">
        <v>9230</v>
      </c>
      <c r="H1455" s="1363" t="s">
        <v>2071</v>
      </c>
      <c r="I1455" s="325" t="s">
        <v>9946</v>
      </c>
      <c r="J1455" s="1392" t="s">
        <v>507</v>
      </c>
    </row>
    <row r="1456" spans="2:12" ht="14.25" customHeight="1">
      <c r="C1456" s="95">
        <v>45689</v>
      </c>
      <c r="D1456" s="101">
        <v>9031971235</v>
      </c>
      <c r="E1456" s="1363" t="s">
        <v>9947</v>
      </c>
      <c r="H1456" s="1363" t="s">
        <v>1219</v>
      </c>
      <c r="I1456" s="325" t="s">
        <v>9948</v>
      </c>
      <c r="J1456" s="1392" t="s">
        <v>39</v>
      </c>
    </row>
    <row r="1457" spans="3:11" ht="14.25" customHeight="1">
      <c r="C1457" s="95">
        <v>45691</v>
      </c>
      <c r="D1457" s="101">
        <v>8340351317</v>
      </c>
      <c r="E1457" s="1364" t="s">
        <v>9949</v>
      </c>
      <c r="I1457" s="325" t="s">
        <v>9953</v>
      </c>
      <c r="J1457" s="1392" t="s">
        <v>39</v>
      </c>
    </row>
    <row r="1458" spans="3:11" ht="14.25" customHeight="1">
      <c r="C1458" s="95">
        <v>45692</v>
      </c>
      <c r="D1458" s="101">
        <v>7903741314</v>
      </c>
      <c r="E1458" s="1367" t="s">
        <v>9959</v>
      </c>
      <c r="I1458" s="325" t="s">
        <v>9958</v>
      </c>
      <c r="J1458" s="101" t="s">
        <v>100</v>
      </c>
      <c r="K1458" s="1375" t="s">
        <v>10007</v>
      </c>
    </row>
    <row r="1459" spans="3:11" ht="14.25" customHeight="1">
      <c r="C1459" s="95">
        <v>45693</v>
      </c>
      <c r="D1459" s="101">
        <v>7488560058</v>
      </c>
      <c r="E1459" s="1364" t="s">
        <v>9681</v>
      </c>
      <c r="I1459" s="325" t="s">
        <v>9960</v>
      </c>
      <c r="J1459" s="162">
        <v>45716</v>
      </c>
    </row>
    <row r="1460" spans="3:11" ht="14.25" customHeight="1">
      <c r="C1460" s="95">
        <v>45693</v>
      </c>
      <c r="D1460" s="101">
        <v>9031907011</v>
      </c>
      <c r="E1460" s="1368" t="s">
        <v>9962</v>
      </c>
      <c r="H1460" s="1368" t="s">
        <v>7382</v>
      </c>
      <c r="I1460" s="325" t="s">
        <v>9961</v>
      </c>
      <c r="J1460" s="1381" t="s">
        <v>10059</v>
      </c>
    </row>
    <row r="1461" spans="3:11" ht="14.25" customHeight="1">
      <c r="C1461" s="95">
        <v>45694</v>
      </c>
      <c r="E1461" s="1421" t="s">
        <v>10261</v>
      </c>
      <c r="H1461" s="1421" t="s">
        <v>8654</v>
      </c>
      <c r="I1461" s="325" t="s">
        <v>10262</v>
      </c>
      <c r="J1461" s="1422">
        <v>45760</v>
      </c>
    </row>
    <row r="1462" spans="3:11" ht="14.25" customHeight="1">
      <c r="C1462" s="95">
        <v>45696</v>
      </c>
      <c r="D1462" s="101">
        <v>9939143002</v>
      </c>
      <c r="E1462" s="1369" t="s">
        <v>4005</v>
      </c>
      <c r="H1462" t="s">
        <v>1275</v>
      </c>
      <c r="I1462" s="325" t="s">
        <v>9977</v>
      </c>
      <c r="J1462" s="1392" t="s">
        <v>100</v>
      </c>
      <c r="K1462" s="1393" t="s">
        <v>10109</v>
      </c>
    </row>
    <row r="1463" spans="3:11" ht="14.25" customHeight="1">
      <c r="C1463" s="95">
        <v>45698</v>
      </c>
      <c r="E1463" s="1370" t="s">
        <v>9979</v>
      </c>
      <c r="I1463" s="325" t="s">
        <v>9978</v>
      </c>
      <c r="J1463" s="101" t="s">
        <v>10059</v>
      </c>
    </row>
    <row r="1464" spans="3:11" ht="14.25" customHeight="1">
      <c r="C1464" s="95">
        <v>45700</v>
      </c>
      <c r="D1464" s="101">
        <v>9279943697</v>
      </c>
      <c r="E1464" s="1371" t="s">
        <v>9985</v>
      </c>
      <c r="H1464" t="s">
        <v>2071</v>
      </c>
      <c r="I1464" s="325" t="s">
        <v>9987</v>
      </c>
      <c r="J1464" s="1403">
        <v>45727</v>
      </c>
    </row>
    <row r="1465" spans="3:11" ht="14.25" customHeight="1">
      <c r="C1465" s="95">
        <v>45700</v>
      </c>
      <c r="D1465" s="101">
        <v>7970979595</v>
      </c>
      <c r="E1465" s="1371" t="s">
        <v>9986</v>
      </c>
      <c r="H1465" t="s">
        <v>2071</v>
      </c>
      <c r="I1465" s="325" t="s">
        <v>9988</v>
      </c>
      <c r="J1465" s="1392" t="s">
        <v>507</v>
      </c>
    </row>
    <row r="1466" spans="3:11" ht="14.25" customHeight="1">
      <c r="C1466" s="95">
        <v>45703</v>
      </c>
      <c r="D1466" s="101">
        <v>9572265603</v>
      </c>
      <c r="E1466" s="1376" t="s">
        <v>10012</v>
      </c>
      <c r="H1466" t="s">
        <v>2481</v>
      </c>
      <c r="I1466" s="325" t="s">
        <v>10013</v>
      </c>
      <c r="J1466" s="1399" t="s">
        <v>39</v>
      </c>
      <c r="K1466" s="95">
        <v>45878</v>
      </c>
    </row>
    <row r="1467" spans="3:11" ht="14.25" customHeight="1">
      <c r="C1467" s="95">
        <v>45705</v>
      </c>
      <c r="D1467" s="101">
        <v>7879176178</v>
      </c>
      <c r="E1467" s="1378" t="s">
        <v>3182</v>
      </c>
      <c r="G1467" s="294" t="s">
        <v>7930</v>
      </c>
      <c r="H1467" t="s">
        <v>10021</v>
      </c>
      <c r="I1467" t="s">
        <v>10020</v>
      </c>
      <c r="J1467" s="101" t="s">
        <v>507</v>
      </c>
    </row>
    <row r="1468" spans="3:11" ht="14.25" customHeight="1">
      <c r="C1468" s="95">
        <v>45709</v>
      </c>
      <c r="D1468" s="101">
        <v>8092877355</v>
      </c>
      <c r="E1468" s="1379" t="s">
        <v>10044</v>
      </c>
      <c r="H1468" s="1379" t="s">
        <v>1892</v>
      </c>
      <c r="I1468" s="325" t="s">
        <v>10043</v>
      </c>
      <c r="J1468" s="101" t="s">
        <v>77</v>
      </c>
    </row>
    <row r="1469" spans="3:11" ht="14.25" customHeight="1">
      <c r="C1469" s="95">
        <v>45710</v>
      </c>
      <c r="D1469" s="101">
        <v>9229570211</v>
      </c>
      <c r="E1469" s="1380" t="s">
        <v>10056</v>
      </c>
      <c r="H1469" s="1380" t="s">
        <v>7010</v>
      </c>
      <c r="I1469" s="332" t="s">
        <v>10057</v>
      </c>
      <c r="J1469" s="101" t="s">
        <v>507</v>
      </c>
    </row>
    <row r="1470" spans="3:11" ht="14.25" customHeight="1">
      <c r="C1470" s="95">
        <v>45710</v>
      </c>
      <c r="D1470" s="101">
        <v>7667039521</v>
      </c>
      <c r="E1470" s="1380" t="s">
        <v>7778</v>
      </c>
      <c r="H1470" s="1380" t="s">
        <v>2067</v>
      </c>
      <c r="I1470" s="332" t="s">
        <v>10058</v>
      </c>
      <c r="J1470" s="101" t="s">
        <v>39</v>
      </c>
    </row>
    <row r="1471" spans="3:11" ht="14.25" customHeight="1">
      <c r="C1471" s="95">
        <v>45712</v>
      </c>
      <c r="D1471" s="101">
        <v>6202410165</v>
      </c>
      <c r="E1471" s="1382" t="s">
        <v>10066</v>
      </c>
      <c r="H1471" s="1382" t="s">
        <v>1275</v>
      </c>
      <c r="I1471" s="325" t="s">
        <v>10065</v>
      </c>
      <c r="J1471" s="1416" t="s">
        <v>10221</v>
      </c>
    </row>
    <row r="1472" spans="3:11" ht="14.25" customHeight="1">
      <c r="C1472" s="95">
        <v>45712</v>
      </c>
      <c r="D1472" s="101">
        <v>9430481903</v>
      </c>
      <c r="E1472" s="1382" t="s">
        <v>10068</v>
      </c>
      <c r="H1472" s="1382" t="s">
        <v>2047</v>
      </c>
      <c r="I1472" s="325" t="s">
        <v>10067</v>
      </c>
      <c r="J1472" s="162">
        <v>45732</v>
      </c>
    </row>
    <row r="1473" spans="3:11" ht="14.25" customHeight="1">
      <c r="C1473" s="95">
        <v>45714</v>
      </c>
      <c r="D1473" s="101">
        <v>8521219268</v>
      </c>
      <c r="E1473" s="1385" t="s">
        <v>10087</v>
      </c>
      <c r="H1473" s="1385" t="s">
        <v>2067</v>
      </c>
      <c r="I1473" s="325" t="s">
        <v>10086</v>
      </c>
      <c r="J1473" s="101" t="s">
        <v>10157</v>
      </c>
    </row>
    <row r="1474" spans="3:11" ht="14.25" customHeight="1">
      <c r="C1474" s="95">
        <v>45716</v>
      </c>
      <c r="D1474" s="101">
        <v>7209926715</v>
      </c>
      <c r="E1474" s="1388" t="s">
        <v>9047</v>
      </c>
      <c r="H1474" s="1388" t="s">
        <v>2071</v>
      </c>
      <c r="I1474" t="s">
        <v>10094</v>
      </c>
      <c r="J1474" s="101" t="s">
        <v>507</v>
      </c>
    </row>
    <row r="1475" spans="3:11" ht="14.25" customHeight="1">
      <c r="C1475" s="95">
        <v>45694</v>
      </c>
      <c r="D1475" s="101">
        <v>9031393864</v>
      </c>
      <c r="E1475" s="1391" t="s">
        <v>10104</v>
      </c>
      <c r="H1475" s="1391" t="s">
        <v>1275</v>
      </c>
      <c r="I1475" t="s">
        <v>10105</v>
      </c>
      <c r="J1475" s="101" t="s">
        <v>507</v>
      </c>
    </row>
    <row r="1476" spans="3:11" ht="14.25" customHeight="1">
      <c r="C1476" s="95">
        <v>45694</v>
      </c>
      <c r="D1476" s="101">
        <v>7209779655</v>
      </c>
      <c r="E1476" s="1391" t="s">
        <v>10107</v>
      </c>
      <c r="H1476" s="1391" t="s">
        <v>1785</v>
      </c>
      <c r="I1476" t="s">
        <v>10108</v>
      </c>
      <c r="J1476" s="101" t="s">
        <v>507</v>
      </c>
    </row>
    <row r="1477" spans="3:11" ht="14.25" customHeight="1">
      <c r="C1477" s="95">
        <v>45632</v>
      </c>
      <c r="D1477" s="101">
        <v>9430719969</v>
      </c>
      <c r="E1477" s="1400" t="s">
        <v>10121</v>
      </c>
      <c r="I1477" s="325" t="s">
        <v>9667</v>
      </c>
      <c r="J1477" s="101" t="s">
        <v>10158</v>
      </c>
    </row>
    <row r="1478" spans="3:11" ht="14.25" customHeight="1">
      <c r="C1478" s="95">
        <v>45735</v>
      </c>
      <c r="E1478" s="1407" t="s">
        <v>10178</v>
      </c>
      <c r="H1478" s="1407" t="s">
        <v>2919</v>
      </c>
      <c r="I1478" s="1434" t="s">
        <v>10177</v>
      </c>
      <c r="J1478" s="1416" t="s">
        <v>507</v>
      </c>
    </row>
    <row r="1479" spans="3:11" ht="14.25" customHeight="1">
      <c r="C1479" s="95">
        <v>45740</v>
      </c>
      <c r="D1479" s="101">
        <v>9142247808</v>
      </c>
      <c r="E1479" s="1408" t="s">
        <v>10183</v>
      </c>
      <c r="H1479" s="1408" t="s">
        <v>1275</v>
      </c>
      <c r="I1479" s="325" t="s">
        <v>10184</v>
      </c>
      <c r="J1479" s="1416" t="s">
        <v>10222</v>
      </c>
    </row>
    <row r="1480" spans="3:11" ht="14.25" customHeight="1">
      <c r="C1480" s="95">
        <v>45740</v>
      </c>
      <c r="D1480" s="101">
        <v>8969455803</v>
      </c>
      <c r="E1480" s="1408" t="s">
        <v>6025</v>
      </c>
      <c r="H1480" s="1408" t="s">
        <v>1275</v>
      </c>
      <c r="I1480" s="325" t="s">
        <v>10185</v>
      </c>
      <c r="J1480" s="1416" t="s">
        <v>8701</v>
      </c>
    </row>
    <row r="1481" spans="3:11" ht="14.25" customHeight="1">
      <c r="C1481" s="95">
        <v>45747</v>
      </c>
      <c r="D1481" s="101">
        <v>9787161675</v>
      </c>
      <c r="E1481" s="1412" t="s">
        <v>10203</v>
      </c>
      <c r="G1481" s="1887" t="s">
        <v>5818</v>
      </c>
      <c r="H1481" s="1412" t="s">
        <v>4027</v>
      </c>
      <c r="I1481" t="s">
        <v>10202</v>
      </c>
      <c r="J1481" s="101" t="s">
        <v>4073</v>
      </c>
    </row>
    <row r="1482" spans="3:11" ht="14.25" customHeight="1">
      <c r="C1482" s="95">
        <v>45747</v>
      </c>
      <c r="D1482" s="101">
        <v>9708593811</v>
      </c>
      <c r="E1482" s="1412" t="s">
        <v>10204</v>
      </c>
      <c r="H1482" s="1412" t="s">
        <v>2067</v>
      </c>
      <c r="I1482" t="s">
        <v>10205</v>
      </c>
      <c r="J1482" s="162">
        <v>45770</v>
      </c>
    </row>
    <row r="1483" spans="3:11" ht="14.25" customHeight="1">
      <c r="C1483" s="95">
        <v>45747</v>
      </c>
      <c r="D1483" s="101">
        <v>9113383254</v>
      </c>
      <c r="E1483" s="1412" t="s">
        <v>10207</v>
      </c>
      <c r="G1483" s="1887" t="s">
        <v>10210</v>
      </c>
      <c r="H1483" s="1412" t="s">
        <v>10208</v>
      </c>
      <c r="I1483" s="325" t="s">
        <v>10206</v>
      </c>
      <c r="J1483" s="101" t="s">
        <v>10345</v>
      </c>
    </row>
    <row r="1484" spans="3:11" ht="14.25" customHeight="1">
      <c r="C1484" s="95">
        <v>45749</v>
      </c>
      <c r="D1484" s="101">
        <v>9508495838</v>
      </c>
      <c r="E1484" s="1415" t="s">
        <v>10219</v>
      </c>
      <c r="H1484" s="1415" t="s">
        <v>2067</v>
      </c>
      <c r="I1484" t="s">
        <v>10220</v>
      </c>
      <c r="J1484" s="101" t="s">
        <v>10346</v>
      </c>
    </row>
    <row r="1485" spans="3:11" ht="14.25" customHeight="1">
      <c r="C1485" s="95">
        <v>45764</v>
      </c>
      <c r="D1485" s="101">
        <v>6206710942</v>
      </c>
      <c r="E1485" s="1424" t="s">
        <v>7657</v>
      </c>
      <c r="F1485" t="s">
        <v>10298</v>
      </c>
      <c r="H1485" s="1415" t="s">
        <v>2067</v>
      </c>
      <c r="I1485" s="1478" t="s">
        <v>10308</v>
      </c>
      <c r="J1485" s="101" t="s">
        <v>10346</v>
      </c>
    </row>
    <row r="1486" spans="3:11" ht="14.25" customHeight="1">
      <c r="C1486" s="95">
        <v>45764</v>
      </c>
      <c r="D1486" s="101">
        <v>7979003069</v>
      </c>
      <c r="E1486" s="1425" t="s">
        <v>10307</v>
      </c>
      <c r="H1486">
        <v>17</v>
      </c>
      <c r="I1486" t="s">
        <v>10306</v>
      </c>
      <c r="J1486" s="101" t="s">
        <v>39</v>
      </c>
      <c r="K1486" s="95">
        <v>45802</v>
      </c>
    </row>
    <row r="1487" spans="3:11" ht="14.25" customHeight="1">
      <c r="C1487" s="95">
        <v>45764</v>
      </c>
      <c r="D1487" s="101">
        <v>8210098294</v>
      </c>
      <c r="E1487" s="1426" t="s">
        <v>10315</v>
      </c>
      <c r="H1487" s="1426" t="s">
        <v>1275</v>
      </c>
      <c r="I1487" t="s">
        <v>10314</v>
      </c>
      <c r="J1487" s="1393" t="s">
        <v>10437</v>
      </c>
    </row>
    <row r="1488" spans="3:11" ht="14.25" customHeight="1">
      <c r="C1488" s="1427">
        <v>45765</v>
      </c>
      <c r="D1488" s="101">
        <v>8084623147</v>
      </c>
      <c r="E1488" s="1426" t="s">
        <v>2640</v>
      </c>
      <c r="H1488" s="1426" t="s">
        <v>1392</v>
      </c>
      <c r="I1488" t="s">
        <v>10316</v>
      </c>
      <c r="J1488" s="1455">
        <v>45810</v>
      </c>
    </row>
    <row r="1489" spans="3:11" ht="14.25" customHeight="1">
      <c r="C1489" s="95">
        <v>45774</v>
      </c>
      <c r="D1489" s="101">
        <v>9934514540</v>
      </c>
      <c r="E1489" s="1431" t="s">
        <v>10355</v>
      </c>
      <c r="H1489" s="1431" t="s">
        <v>10356</v>
      </c>
      <c r="I1489" t="s">
        <v>10354</v>
      </c>
      <c r="J1489" s="1460" t="s">
        <v>39</v>
      </c>
      <c r="K1489" s="95">
        <v>45815</v>
      </c>
    </row>
    <row r="1490" spans="3:11" ht="14.25" customHeight="1">
      <c r="C1490" s="95">
        <v>45774</v>
      </c>
      <c r="D1490" s="101">
        <v>8092429960</v>
      </c>
      <c r="E1490" s="1431" t="s">
        <v>10357</v>
      </c>
      <c r="H1490" s="1431" t="s">
        <v>2071</v>
      </c>
      <c r="I1490" s="325" t="s">
        <v>10358</v>
      </c>
      <c r="J1490" s="1393" t="s">
        <v>10438</v>
      </c>
    </row>
    <row r="1491" spans="3:11" ht="14.25" customHeight="1">
      <c r="C1491" s="95">
        <v>45775</v>
      </c>
      <c r="D1491" s="101">
        <v>6291927721</v>
      </c>
      <c r="E1491" s="1432" t="s">
        <v>10359</v>
      </c>
      <c r="H1491" s="1432" t="s">
        <v>1392</v>
      </c>
      <c r="I1491" t="s">
        <v>10363</v>
      </c>
      <c r="J1491" s="380" t="s">
        <v>6829</v>
      </c>
      <c r="K1491" s="380" t="s">
        <v>10364</v>
      </c>
    </row>
    <row r="1492" spans="3:11" ht="14.25" customHeight="1">
      <c r="C1492" s="95">
        <v>45778</v>
      </c>
      <c r="D1492" s="101">
        <v>8252613215</v>
      </c>
      <c r="E1492" s="1434" t="s">
        <v>3864</v>
      </c>
      <c r="G1492" s="1888" t="s">
        <v>3044</v>
      </c>
      <c r="H1492" s="1434" t="s">
        <v>1293</v>
      </c>
      <c r="I1492" t="s">
        <v>10385</v>
      </c>
      <c r="J1492" s="1447" t="s">
        <v>507</v>
      </c>
    </row>
    <row r="1493" spans="3:11" ht="14.25" customHeight="1">
      <c r="C1493" s="95">
        <v>45778</v>
      </c>
      <c r="E1493" s="1434" t="s">
        <v>10386</v>
      </c>
      <c r="G1493" s="1888" t="s">
        <v>3044</v>
      </c>
      <c r="H1493" s="1434" t="s">
        <v>1293</v>
      </c>
      <c r="I1493" s="325" t="s">
        <v>10387</v>
      </c>
      <c r="J1493" s="1447" t="s">
        <v>10484</v>
      </c>
    </row>
    <row r="1494" spans="3:11" ht="14.25" customHeight="1">
      <c r="C1494" s="95">
        <v>45778</v>
      </c>
      <c r="D1494" s="101">
        <v>7321952986</v>
      </c>
      <c r="E1494" s="1434" t="s">
        <v>10389</v>
      </c>
      <c r="H1494" s="1434" t="s">
        <v>2071</v>
      </c>
      <c r="I1494" t="s">
        <v>10388</v>
      </c>
      <c r="J1494" s="1393" t="s">
        <v>10439</v>
      </c>
    </row>
    <row r="1495" spans="3:11" ht="14.25" customHeight="1">
      <c r="C1495" s="95">
        <v>45779</v>
      </c>
      <c r="E1495" s="1489" t="s">
        <v>10709</v>
      </c>
      <c r="H1495" s="1434" t="s">
        <v>2071</v>
      </c>
      <c r="I1495" s="1488" t="s">
        <v>10708</v>
      </c>
      <c r="J1495" s="1489" t="s">
        <v>10710</v>
      </c>
    </row>
    <row r="1496" spans="3:11" ht="14.25" customHeight="1">
      <c r="C1496" s="95">
        <v>45783</v>
      </c>
      <c r="D1496" s="101">
        <v>9031361508</v>
      </c>
      <c r="E1496" s="1436" t="s">
        <v>10405</v>
      </c>
      <c r="H1496" s="1436" t="s">
        <v>2018</v>
      </c>
      <c r="I1496" s="1454" t="s">
        <v>10404</v>
      </c>
      <c r="J1496" s="95">
        <v>45810</v>
      </c>
    </row>
    <row r="1497" spans="3:11" ht="14.25" customHeight="1">
      <c r="C1497" s="95">
        <v>45786</v>
      </c>
      <c r="D1497" s="101">
        <v>8789747562</v>
      </c>
      <c r="E1497" s="1438" t="s">
        <v>10426</v>
      </c>
      <c r="H1497" s="1438" t="s">
        <v>9200</v>
      </c>
      <c r="I1497" s="1439" t="s">
        <v>10436</v>
      </c>
      <c r="J1497" s="1447" t="s">
        <v>507</v>
      </c>
    </row>
    <row r="1498" spans="3:11" ht="14.25" customHeight="1">
      <c r="C1498" s="95">
        <v>45792</v>
      </c>
      <c r="D1498" s="101">
        <v>7004203787</v>
      </c>
      <c r="E1498" s="1440" t="s">
        <v>10450</v>
      </c>
      <c r="H1498" s="1440" t="s">
        <v>10451</v>
      </c>
      <c r="I1498" s="325" t="s">
        <v>10449</v>
      </c>
      <c r="J1498" s="1447" t="s">
        <v>507</v>
      </c>
    </row>
    <row r="1499" spans="3:11" ht="14.25" customHeight="1">
      <c r="C1499" s="95">
        <v>45792</v>
      </c>
      <c r="D1499" s="101">
        <v>9031057322</v>
      </c>
      <c r="E1499" s="1440" t="s">
        <v>10452</v>
      </c>
      <c r="H1499" s="1440" t="s">
        <v>1275</v>
      </c>
      <c r="I1499" s="325" t="s">
        <v>10453</v>
      </c>
      <c r="J1499" s="1447" t="s">
        <v>507</v>
      </c>
    </row>
    <row r="1500" spans="3:11" ht="14.25" customHeight="1">
      <c r="C1500" s="95">
        <v>45792</v>
      </c>
      <c r="D1500" s="101">
        <v>6200373017</v>
      </c>
      <c r="E1500" s="1440" t="s">
        <v>10454</v>
      </c>
      <c r="H1500" s="1440" t="s">
        <v>1275</v>
      </c>
      <c r="I1500" t="s">
        <v>10455</v>
      </c>
      <c r="J1500" s="101" t="s">
        <v>10605</v>
      </c>
    </row>
    <row r="1501" spans="3:11" ht="14.25" customHeight="1">
      <c r="C1501" s="95">
        <v>45792</v>
      </c>
      <c r="D1501" s="101">
        <v>6205066695</v>
      </c>
      <c r="E1501" s="1440" t="s">
        <v>10456</v>
      </c>
      <c r="H1501" s="1440" t="s">
        <v>2067</v>
      </c>
      <c r="I1501" s="325" t="s">
        <v>10457</v>
      </c>
      <c r="J1501" s="101" t="s">
        <v>11053</v>
      </c>
    </row>
    <row r="1502" spans="3:11" ht="14.25" customHeight="1">
      <c r="C1502" s="95">
        <v>45794</v>
      </c>
      <c r="D1502" s="101">
        <v>8102296229</v>
      </c>
      <c r="E1502" s="1442" t="s">
        <v>10466</v>
      </c>
      <c r="H1502" s="1440" t="s">
        <v>2067</v>
      </c>
      <c r="I1502" t="s">
        <v>10465</v>
      </c>
      <c r="J1502" s="1476">
        <v>45848</v>
      </c>
    </row>
    <row r="1503" spans="3:11" ht="14.25" customHeight="1">
      <c r="C1503" s="95">
        <v>45795</v>
      </c>
      <c r="D1503" s="101">
        <v>6201779897</v>
      </c>
      <c r="E1503" s="1443" t="s">
        <v>10467</v>
      </c>
      <c r="H1503">
        <v>18</v>
      </c>
      <c r="I1503" t="s">
        <v>10468</v>
      </c>
      <c r="J1503" s="101" t="s">
        <v>507</v>
      </c>
    </row>
    <row r="1504" spans="3:11" ht="14.25" customHeight="1">
      <c r="C1504" s="95">
        <v>45795</v>
      </c>
      <c r="D1504" s="101">
        <v>923460915</v>
      </c>
      <c r="E1504" s="1443" t="s">
        <v>10470</v>
      </c>
      <c r="H1504">
        <v>18</v>
      </c>
      <c r="I1504" s="325" t="s">
        <v>10469</v>
      </c>
      <c r="J1504" s="101" t="s">
        <v>10620</v>
      </c>
    </row>
    <row r="1505" spans="3:10" ht="14.25" customHeight="1">
      <c r="C1505" s="95">
        <v>45800</v>
      </c>
      <c r="D1505" s="101">
        <v>8797020245</v>
      </c>
      <c r="E1505" s="1448" t="s">
        <v>10486</v>
      </c>
      <c r="H1505" s="1448" t="s">
        <v>2067</v>
      </c>
      <c r="I1505" s="325" t="s">
        <v>10485</v>
      </c>
      <c r="J1505" s="1479">
        <v>45839</v>
      </c>
    </row>
    <row r="1506" spans="3:10" ht="14.25" customHeight="1">
      <c r="C1506" s="95">
        <v>45804</v>
      </c>
      <c r="D1506" s="101">
        <v>9472064014</v>
      </c>
      <c r="E1506" s="1451" t="s">
        <v>9282</v>
      </c>
      <c r="H1506" s="1451" t="s">
        <v>1785</v>
      </c>
      <c r="I1506" s="325" t="s">
        <v>10532</v>
      </c>
      <c r="J1506" s="101" t="s">
        <v>10621</v>
      </c>
    </row>
    <row r="1507" spans="3:10" ht="14.25" customHeight="1">
      <c r="C1507" s="95">
        <v>45806</v>
      </c>
      <c r="D1507" s="101">
        <v>9534791743</v>
      </c>
      <c r="E1507" s="1452" t="s">
        <v>10544</v>
      </c>
      <c r="H1507" s="1452" t="s">
        <v>2067</v>
      </c>
      <c r="I1507" s="325" t="s">
        <v>10545</v>
      </c>
      <c r="J1507" s="101" t="s">
        <v>77</v>
      </c>
    </row>
    <row r="1508" spans="3:10" ht="14.25" customHeight="1">
      <c r="C1508" s="95">
        <v>45806</v>
      </c>
      <c r="D1508" s="101">
        <v>9097576871</v>
      </c>
      <c r="E1508" s="1452" t="s">
        <v>6933</v>
      </c>
      <c r="G1508" s="1889" t="s">
        <v>10547</v>
      </c>
      <c r="H1508" s="1452" t="s">
        <v>10548</v>
      </c>
      <c r="I1508" t="s">
        <v>10546</v>
      </c>
      <c r="J1508" s="1476">
        <v>46201</v>
      </c>
    </row>
    <row r="1509" spans="3:10" ht="14.25" customHeight="1">
      <c r="C1509" s="95">
        <v>45810</v>
      </c>
      <c r="D1509" s="101">
        <v>9431393604</v>
      </c>
      <c r="E1509" t="s">
        <v>10585</v>
      </c>
      <c r="H1509" s="1456" t="s">
        <v>2071</v>
      </c>
      <c r="I1509" t="s">
        <v>10593</v>
      </c>
      <c r="J1509" s="1469" t="s">
        <v>507</v>
      </c>
    </row>
    <row r="1510" spans="3:10" ht="14.25" customHeight="1">
      <c r="C1510" s="95">
        <v>45810</v>
      </c>
      <c r="D1510" s="101">
        <v>9431393604</v>
      </c>
      <c r="E1510" t="s">
        <v>10586</v>
      </c>
      <c r="H1510" s="1456" t="s">
        <v>2071</v>
      </c>
      <c r="I1510" t="s">
        <v>10594</v>
      </c>
      <c r="J1510" s="1469" t="s">
        <v>507</v>
      </c>
    </row>
    <row r="1511" spans="3:10" ht="14.25" customHeight="1">
      <c r="C1511" s="95">
        <v>45810</v>
      </c>
      <c r="D1511" s="101">
        <v>9771913912</v>
      </c>
      <c r="E1511" t="s">
        <v>10587</v>
      </c>
      <c r="H1511" s="1456" t="s">
        <v>2071</v>
      </c>
      <c r="I1511" t="s">
        <v>10595</v>
      </c>
      <c r="J1511" s="1469" t="s">
        <v>507</v>
      </c>
    </row>
    <row r="1512" spans="3:10" ht="14.25" customHeight="1">
      <c r="C1512" s="95">
        <v>45810</v>
      </c>
      <c r="D1512" s="101">
        <v>9431393604</v>
      </c>
      <c r="E1512" t="s">
        <v>10588</v>
      </c>
      <c r="H1512" s="1456" t="s">
        <v>2071</v>
      </c>
      <c r="I1512" t="s">
        <v>10596</v>
      </c>
      <c r="J1512" s="1469" t="s">
        <v>507</v>
      </c>
    </row>
    <row r="1513" spans="3:10" ht="14.25" customHeight="1">
      <c r="C1513" s="95">
        <v>45810</v>
      </c>
      <c r="D1513" s="101">
        <v>7260031160</v>
      </c>
      <c r="E1513" t="s">
        <v>10589</v>
      </c>
      <c r="H1513" s="1456" t="s">
        <v>2071</v>
      </c>
      <c r="I1513" t="s">
        <v>10597</v>
      </c>
      <c r="J1513" s="1469" t="s">
        <v>507</v>
      </c>
    </row>
    <row r="1514" spans="3:10" ht="14.25" customHeight="1">
      <c r="C1514" s="95">
        <v>45810</v>
      </c>
      <c r="D1514" s="101">
        <v>9771913912</v>
      </c>
      <c r="E1514" t="s">
        <v>10590</v>
      </c>
      <c r="H1514" s="1456" t="s">
        <v>2071</v>
      </c>
      <c r="I1514" t="s">
        <v>10598</v>
      </c>
      <c r="J1514" s="1469" t="s">
        <v>507</v>
      </c>
    </row>
    <row r="1515" spans="3:10" ht="14.25" customHeight="1">
      <c r="C1515" s="95">
        <v>45810</v>
      </c>
      <c r="D1515" s="101">
        <v>9771913912</v>
      </c>
      <c r="E1515" t="s">
        <v>10591</v>
      </c>
      <c r="H1515" s="1456" t="s">
        <v>2071</v>
      </c>
      <c r="I1515" t="s">
        <v>10468</v>
      </c>
      <c r="J1515" s="1469" t="s">
        <v>507</v>
      </c>
    </row>
    <row r="1516" spans="3:10" ht="14.25" customHeight="1">
      <c r="C1516" s="95">
        <v>45810</v>
      </c>
      <c r="D1516" s="101">
        <v>9771913912</v>
      </c>
      <c r="E1516" t="s">
        <v>10592</v>
      </c>
      <c r="H1516" s="1456" t="s">
        <v>2071</v>
      </c>
      <c r="I1516" t="s">
        <v>10599</v>
      </c>
      <c r="J1516" s="1469" t="s">
        <v>507</v>
      </c>
    </row>
    <row r="1517" spans="3:10" ht="14.25" customHeight="1">
      <c r="C1517" s="95">
        <v>45811</v>
      </c>
      <c r="D1517" s="101">
        <v>9279885854</v>
      </c>
      <c r="E1517" t="s">
        <v>10640</v>
      </c>
      <c r="H1517" s="1457" t="s">
        <v>1275</v>
      </c>
    </row>
    <row r="1518" spans="3:10" ht="14.25" customHeight="1">
      <c r="C1518" s="1458">
        <v>45812</v>
      </c>
      <c r="D1518" s="101">
        <v>6200677690</v>
      </c>
      <c r="E1518" t="s">
        <v>10600</v>
      </c>
      <c r="H1518" s="1457" t="s">
        <v>1905</v>
      </c>
      <c r="I1518" s="325" t="s">
        <v>10601</v>
      </c>
      <c r="J1518" s="101" t="s">
        <v>507</v>
      </c>
    </row>
    <row r="1519" spans="3:10" ht="14.25" customHeight="1">
      <c r="C1519" s="1458">
        <v>45812</v>
      </c>
      <c r="D1519" s="101">
        <v>9110941581</v>
      </c>
      <c r="E1519" s="1457" t="s">
        <v>10603</v>
      </c>
      <c r="H1519" s="1457" t="s">
        <v>2067</v>
      </c>
      <c r="I1519" s="1512" t="s">
        <v>10602</v>
      </c>
      <c r="J1519" s="162">
        <v>45855</v>
      </c>
    </row>
    <row r="1520" spans="3:10" ht="14.25" customHeight="1">
      <c r="C1520" s="95">
        <v>45819</v>
      </c>
      <c r="D1520" s="101">
        <v>6207810429</v>
      </c>
      <c r="E1520" s="1464" t="s">
        <v>6011</v>
      </c>
      <c r="H1520" s="1464">
        <v>13</v>
      </c>
      <c r="I1520" t="s">
        <v>10638</v>
      </c>
      <c r="J1520" s="162">
        <v>45839</v>
      </c>
    </row>
    <row r="1521" spans="3:10" ht="14.25" customHeight="1">
      <c r="C1521" s="95">
        <v>45820</v>
      </c>
      <c r="E1521" s="1465" t="s">
        <v>10386</v>
      </c>
      <c r="G1521" s="1890" t="s">
        <v>3044</v>
      </c>
      <c r="H1521" s="1465" t="s">
        <v>1293</v>
      </c>
      <c r="I1521" t="s">
        <v>10641</v>
      </c>
      <c r="J1521" s="162">
        <v>45833</v>
      </c>
    </row>
    <row r="1522" spans="3:10" ht="14.25" customHeight="1">
      <c r="C1522" s="95">
        <v>45820</v>
      </c>
      <c r="E1522" s="1465" t="s">
        <v>3864</v>
      </c>
      <c r="G1522" s="1890" t="s">
        <v>3044</v>
      </c>
      <c r="H1522" s="1465" t="s">
        <v>1293</v>
      </c>
      <c r="I1522" t="s">
        <v>10642</v>
      </c>
      <c r="J1522" s="162">
        <v>45833</v>
      </c>
    </row>
    <row r="1523" spans="3:10" ht="14.25" customHeight="1">
      <c r="C1523" s="95">
        <v>45822</v>
      </c>
      <c r="E1523" s="1502" t="s">
        <v>10755</v>
      </c>
      <c r="G1523" s="1890"/>
      <c r="H1523" s="1502" t="s">
        <v>1869</v>
      </c>
      <c r="I1523" t="s">
        <v>10754</v>
      </c>
      <c r="J1523" s="1504" t="s">
        <v>10706</v>
      </c>
    </row>
    <row r="1524" spans="3:10" ht="14.25" customHeight="1">
      <c r="C1524" s="95">
        <v>45825</v>
      </c>
      <c r="E1524" s="1502" t="s">
        <v>10757</v>
      </c>
      <c r="G1524" s="1890"/>
      <c r="H1524" s="1502" t="s">
        <v>2067</v>
      </c>
      <c r="I1524" t="s">
        <v>10756</v>
      </c>
      <c r="J1524" s="1514" t="s">
        <v>507</v>
      </c>
    </row>
    <row r="1525" spans="3:10" ht="14.25" customHeight="1">
      <c r="C1525" s="95">
        <v>45825</v>
      </c>
      <c r="E1525" s="1502" t="s">
        <v>10759</v>
      </c>
      <c r="G1525" s="1890"/>
      <c r="H1525" s="1465"/>
      <c r="I1525" t="s">
        <v>10758</v>
      </c>
      <c r="J1525" s="1514" t="s">
        <v>10606</v>
      </c>
    </row>
    <row r="1526" spans="3:10" ht="14.25" customHeight="1">
      <c r="C1526" s="95">
        <v>45831</v>
      </c>
      <c r="D1526" s="101">
        <v>7970743490</v>
      </c>
      <c r="E1526" s="1468" t="s">
        <v>10655</v>
      </c>
      <c r="H1526" s="1470" t="s">
        <v>5538</v>
      </c>
      <c r="I1526" s="57" t="s">
        <v>10654</v>
      </c>
      <c r="J1526" s="162">
        <v>45856</v>
      </c>
    </row>
    <row r="1527" spans="3:10" ht="14.25" customHeight="1">
      <c r="C1527" s="95">
        <v>45833</v>
      </c>
      <c r="D1527" s="101">
        <v>8935973311</v>
      </c>
      <c r="E1527" s="1472" t="s">
        <v>10671</v>
      </c>
      <c r="H1527" s="1472" t="s">
        <v>2067</v>
      </c>
      <c r="I1527" s="57" t="s">
        <v>10672</v>
      </c>
      <c r="J1527" s="101" t="s">
        <v>10706</v>
      </c>
    </row>
    <row r="1528" spans="3:10" ht="14.25" customHeight="1">
      <c r="C1528" s="95">
        <v>45837</v>
      </c>
      <c r="D1528" s="101">
        <v>6260447345</v>
      </c>
      <c r="E1528" s="1477" t="s">
        <v>533</v>
      </c>
      <c r="H1528">
        <v>17</v>
      </c>
      <c r="I1528" s="57" t="s">
        <v>10693</v>
      </c>
      <c r="J1528" s="101" t="s">
        <v>10706</v>
      </c>
    </row>
    <row r="1529" spans="3:10" ht="14.25" customHeight="1">
      <c r="C1529" s="95">
        <v>45840</v>
      </c>
      <c r="D1529" s="101">
        <v>9234844299</v>
      </c>
      <c r="E1529" s="1519" t="s">
        <v>10700</v>
      </c>
      <c r="H1529" t="s">
        <v>1785</v>
      </c>
      <c r="I1529" s="1518" t="s">
        <v>10701</v>
      </c>
      <c r="J1529" s="1514">
        <v>45856</v>
      </c>
    </row>
    <row r="1530" spans="3:10" ht="14.25" customHeight="1">
      <c r="C1530" s="95">
        <v>45840</v>
      </c>
      <c r="D1530" s="101">
        <v>9204644207</v>
      </c>
      <c r="E1530" s="1484" t="s">
        <v>13</v>
      </c>
      <c r="H1530" t="s">
        <v>1785</v>
      </c>
      <c r="I1530" s="1518" t="s">
        <v>10707</v>
      </c>
      <c r="J1530" s="1514">
        <v>45856</v>
      </c>
    </row>
    <row r="1531" spans="3:10" ht="14.25" customHeight="1">
      <c r="C1531" s="95">
        <v>45840</v>
      </c>
      <c r="D1531" s="101" t="s">
        <v>10763</v>
      </c>
      <c r="E1531" s="1502" t="s">
        <v>10762</v>
      </c>
      <c r="H1531" s="1502" t="s">
        <v>2067</v>
      </c>
      <c r="I1531" s="57" t="s">
        <v>10761</v>
      </c>
      <c r="J1531" s="1513" t="s">
        <v>3882</v>
      </c>
    </row>
    <row r="1532" spans="3:10" ht="14.25" customHeight="1">
      <c r="C1532" s="95">
        <v>45841</v>
      </c>
      <c r="D1532" s="101">
        <v>7654022010</v>
      </c>
      <c r="E1532" s="1484" t="s">
        <v>10703</v>
      </c>
      <c r="H1532" t="s">
        <v>2071</v>
      </c>
      <c r="I1532" s="57" t="s">
        <v>10724</v>
      </c>
      <c r="J1532" s="1514">
        <v>45856</v>
      </c>
    </row>
    <row r="1533" spans="3:10" ht="14.25" customHeight="1">
      <c r="C1533" s="95">
        <v>45851</v>
      </c>
      <c r="D1533" s="101">
        <v>9234330378</v>
      </c>
      <c r="E1533" s="1500" t="s">
        <v>10748</v>
      </c>
      <c r="G1533" s="1891" t="s">
        <v>10749</v>
      </c>
      <c r="H1533" s="1500" t="s">
        <v>7239</v>
      </c>
      <c r="I1533" s="57" t="s">
        <v>10747</v>
      </c>
      <c r="J1533" s="1514">
        <v>45860</v>
      </c>
    </row>
    <row r="1534" spans="3:10" ht="14.25" customHeight="1">
      <c r="C1534" s="95">
        <v>45851</v>
      </c>
      <c r="D1534" s="101">
        <v>8434597277</v>
      </c>
      <c r="E1534" s="1500" t="s">
        <v>10751</v>
      </c>
      <c r="H1534" s="1500" t="s">
        <v>1869</v>
      </c>
      <c r="I1534" s="57" t="s">
        <v>10750</v>
      </c>
      <c r="J1534" s="200" t="s">
        <v>10832</v>
      </c>
    </row>
    <row r="1535" spans="3:10" ht="14.25" customHeight="1">
      <c r="C1535" s="95">
        <v>45853</v>
      </c>
      <c r="D1535" s="101">
        <v>9693607910</v>
      </c>
      <c r="E1535" s="1502" t="s">
        <v>10760</v>
      </c>
      <c r="H1535" s="1502" t="s">
        <v>2067</v>
      </c>
      <c r="I1535" s="57" t="s">
        <v>10764</v>
      </c>
      <c r="J1535" s="101" t="s">
        <v>10857</v>
      </c>
    </row>
    <row r="1536" spans="3:10" ht="14.25" customHeight="1">
      <c r="C1536" s="95">
        <v>45855</v>
      </c>
      <c r="D1536" s="101">
        <v>7061165670</v>
      </c>
      <c r="E1536" s="1515" t="s">
        <v>10794</v>
      </c>
      <c r="H1536" s="1515" t="s">
        <v>2116</v>
      </c>
      <c r="I1536" t="s">
        <v>10793</v>
      </c>
      <c r="J1536" s="162">
        <v>45943</v>
      </c>
    </row>
    <row r="1537" spans="3:11" ht="14.25" customHeight="1">
      <c r="C1537" s="95">
        <v>45855</v>
      </c>
      <c r="D1537" s="101">
        <v>8235430835</v>
      </c>
      <c r="E1537" s="1515" t="s">
        <v>2412</v>
      </c>
      <c r="H1537" s="1515" t="s">
        <v>2067</v>
      </c>
      <c r="I1537" s="57" t="s">
        <v>10796</v>
      </c>
      <c r="J1537" s="101" t="s">
        <v>10858</v>
      </c>
    </row>
    <row r="1538" spans="3:11" ht="14.25" customHeight="1">
      <c r="C1538" s="95">
        <v>45856</v>
      </c>
      <c r="D1538" s="101">
        <v>8002207414</v>
      </c>
      <c r="E1538" s="1518" t="s">
        <v>6946</v>
      </c>
      <c r="H1538" s="1518" t="s">
        <v>2071</v>
      </c>
      <c r="I1538" s="57" t="s">
        <v>10799</v>
      </c>
      <c r="J1538" s="101" t="s">
        <v>10606</v>
      </c>
      <c r="K1538" s="1577" t="s">
        <v>10975</v>
      </c>
    </row>
    <row r="1539" spans="3:11" ht="14.25" customHeight="1">
      <c r="C1539" s="95">
        <v>45866</v>
      </c>
      <c r="D1539" s="101">
        <v>9835111074</v>
      </c>
      <c r="E1539" s="1543" t="s">
        <v>10845</v>
      </c>
      <c r="H1539" s="1543" t="s">
        <v>2067</v>
      </c>
      <c r="I1539" s="57" t="s">
        <v>10846</v>
      </c>
      <c r="J1539" s="1578" t="s">
        <v>507</v>
      </c>
    </row>
    <row r="1540" spans="3:11" ht="14.25" customHeight="1">
      <c r="C1540" s="95">
        <v>45868</v>
      </c>
      <c r="D1540" s="101">
        <v>8266002988</v>
      </c>
      <c r="E1540" s="1546" t="s">
        <v>1283</v>
      </c>
      <c r="H1540" s="1546" t="s">
        <v>1785</v>
      </c>
      <c r="I1540" s="57" t="s">
        <v>10851</v>
      </c>
      <c r="J1540" s="1572" t="s">
        <v>8701</v>
      </c>
    </row>
    <row r="1541" spans="3:11" ht="14.25" customHeight="1">
      <c r="C1541" s="95">
        <v>45875</v>
      </c>
      <c r="D1541" s="101">
        <v>6200157578</v>
      </c>
      <c r="E1541" s="1555" t="s">
        <v>8833</v>
      </c>
      <c r="H1541" s="1555" t="s">
        <v>2071</v>
      </c>
      <c r="I1541" s="57" t="s">
        <v>10876</v>
      </c>
      <c r="J1541" s="1572" t="s">
        <v>10606</v>
      </c>
      <c r="K1541" s="1659" t="s">
        <v>11309</v>
      </c>
    </row>
    <row r="1542" spans="3:11" ht="14.25" customHeight="1">
      <c r="C1542" s="95">
        <v>45876</v>
      </c>
      <c r="D1542" s="101">
        <v>8102595802</v>
      </c>
      <c r="E1542" s="1557" t="s">
        <v>10879</v>
      </c>
      <c r="H1542" s="1557" t="s">
        <v>9006</v>
      </c>
      <c r="I1542" s="57" t="s">
        <v>10878</v>
      </c>
      <c r="J1542" s="1578" t="s">
        <v>507</v>
      </c>
    </row>
    <row r="1543" spans="3:11" ht="14.25" customHeight="1">
      <c r="C1543" s="95">
        <v>45876</v>
      </c>
      <c r="D1543" s="101">
        <v>7464096801</v>
      </c>
      <c r="E1543" s="1557" t="s">
        <v>10881</v>
      </c>
      <c r="H1543" s="1557" t="s">
        <v>1275</v>
      </c>
      <c r="I1543" s="57" t="s">
        <v>10880</v>
      </c>
      <c r="J1543" s="1578" t="s">
        <v>507</v>
      </c>
    </row>
    <row r="1544" spans="3:11" ht="14.25" customHeight="1">
      <c r="C1544" s="95">
        <v>45877</v>
      </c>
      <c r="D1544" s="101">
        <v>7992429668</v>
      </c>
      <c r="E1544" s="1561" t="s">
        <v>9483</v>
      </c>
      <c r="H1544" s="1561" t="s">
        <v>1905</v>
      </c>
      <c r="I1544" s="1584" t="s">
        <v>10895</v>
      </c>
      <c r="J1544" s="1578" t="s">
        <v>507</v>
      </c>
    </row>
    <row r="1545" spans="3:11" ht="14.25" customHeight="1">
      <c r="C1545" s="95">
        <v>45878</v>
      </c>
      <c r="D1545" s="101">
        <v>8434040389</v>
      </c>
      <c r="E1545" s="1563" t="s">
        <v>10901</v>
      </c>
      <c r="H1545" s="1563" t="s">
        <v>2067</v>
      </c>
      <c r="I1545" s="57" t="s">
        <v>10900</v>
      </c>
      <c r="J1545" s="101" t="s">
        <v>10346</v>
      </c>
    </row>
    <row r="1546" spans="3:11" ht="14.25" customHeight="1">
      <c r="C1546" s="95">
        <v>45878</v>
      </c>
      <c r="D1546" s="101">
        <v>7737598448</v>
      </c>
      <c r="E1546" s="1565" t="s">
        <v>8743</v>
      </c>
      <c r="H1546" s="1565" t="s">
        <v>2067</v>
      </c>
      <c r="I1546" t="s">
        <v>10912</v>
      </c>
      <c r="J1546" s="101" t="s">
        <v>507</v>
      </c>
    </row>
    <row r="1547" spans="3:11" ht="14.25" customHeight="1">
      <c r="C1547" s="95">
        <v>45878</v>
      </c>
      <c r="D1547" s="101">
        <v>9241690747</v>
      </c>
      <c r="E1547" s="1565" t="s">
        <v>10913</v>
      </c>
      <c r="H1547" s="1565" t="s">
        <v>2987</v>
      </c>
      <c r="I1547" t="s">
        <v>10915</v>
      </c>
      <c r="J1547" s="162">
        <v>45924</v>
      </c>
    </row>
    <row r="1548" spans="3:11" ht="14.25" customHeight="1">
      <c r="C1548" s="95">
        <v>45878</v>
      </c>
      <c r="D1548" s="101">
        <v>7209442923</v>
      </c>
      <c r="E1548" s="1570" t="s">
        <v>1580</v>
      </c>
      <c r="H1548" s="1565" t="s">
        <v>10916</v>
      </c>
      <c r="I1548" t="s">
        <v>10917</v>
      </c>
      <c r="J1548" s="101" t="s">
        <v>507</v>
      </c>
    </row>
    <row r="1549" spans="3:11" ht="14.25" customHeight="1">
      <c r="C1549" s="95">
        <v>45882</v>
      </c>
      <c r="D1549" s="101">
        <v>9304744103</v>
      </c>
      <c r="E1549" s="1577" t="s">
        <v>10976</v>
      </c>
      <c r="H1549" s="1571" t="s">
        <v>6509</v>
      </c>
      <c r="I1549" s="57" t="s">
        <v>10937</v>
      </c>
      <c r="J1549" s="1578" t="s">
        <v>10221</v>
      </c>
    </row>
    <row r="1550" spans="3:11" ht="14.25" customHeight="1">
      <c r="D1550" s="101">
        <v>7209000251</v>
      </c>
      <c r="E1550" s="1577" t="s">
        <v>10974</v>
      </c>
      <c r="H1550" s="1577" t="s">
        <v>4773</v>
      </c>
      <c r="I1550" s="57" t="s">
        <v>10952</v>
      </c>
      <c r="J1550" s="101" t="s">
        <v>6587</v>
      </c>
    </row>
    <row r="1551" spans="3:11" ht="14.25" customHeight="1">
      <c r="C1551" s="95">
        <v>45892</v>
      </c>
      <c r="D1551" s="101">
        <v>9234986129</v>
      </c>
      <c r="E1551" s="1577" t="s">
        <v>7845</v>
      </c>
      <c r="H1551" s="1577" t="s">
        <v>9006</v>
      </c>
      <c r="I1551" s="57" t="s">
        <v>10973</v>
      </c>
      <c r="J1551" s="1592" t="s">
        <v>507</v>
      </c>
    </row>
    <row r="1552" spans="3:11" ht="14.25" customHeight="1">
      <c r="C1552" s="95">
        <v>45903</v>
      </c>
      <c r="D1552" s="101">
        <v>8092629167</v>
      </c>
      <c r="E1552" s="1585" t="s">
        <v>11046</v>
      </c>
      <c r="F1552">
        <v>8434052619</v>
      </c>
      <c r="H1552" s="1585" t="s">
        <v>1275</v>
      </c>
      <c r="I1552" s="1617" t="s">
        <v>11045</v>
      </c>
      <c r="J1552" s="1604" t="s">
        <v>6587</v>
      </c>
    </row>
    <row r="1553" spans="3:10" ht="14.25" customHeight="1">
      <c r="C1553" s="95">
        <v>45903</v>
      </c>
      <c r="D1553" s="101">
        <v>6201735047</v>
      </c>
      <c r="E1553" s="1585" t="s">
        <v>4542</v>
      </c>
      <c r="H1553" s="1585" t="s">
        <v>11048</v>
      </c>
      <c r="I1553" s="1485" t="s">
        <v>11047</v>
      </c>
      <c r="J1553" s="1592" t="s">
        <v>11058</v>
      </c>
    </row>
    <row r="1554" spans="3:10" ht="14.25" customHeight="1">
      <c r="C1554" s="95">
        <v>45919</v>
      </c>
      <c r="E1554" s="1601" t="s">
        <v>11122</v>
      </c>
      <c r="H1554" s="1601" t="s">
        <v>2067</v>
      </c>
      <c r="I1554" s="1485" t="s">
        <v>11121</v>
      </c>
      <c r="J1554" s="101" t="s">
        <v>100</v>
      </c>
    </row>
    <row r="1555" spans="3:10" ht="14.25" customHeight="1">
      <c r="C1555" s="95">
        <v>45921</v>
      </c>
      <c r="D1555" s="101">
        <v>8434681997</v>
      </c>
      <c r="E1555" s="1605" t="s">
        <v>11126</v>
      </c>
      <c r="H1555" s="1605" t="s">
        <v>2071</v>
      </c>
      <c r="I1555" t="s">
        <v>11125</v>
      </c>
      <c r="J1555" s="101" t="s">
        <v>11168</v>
      </c>
    </row>
    <row r="1556" spans="3:10" ht="14.25" customHeight="1">
      <c r="C1556" s="95">
        <v>45923</v>
      </c>
      <c r="D1556" s="101">
        <v>9835189726</v>
      </c>
      <c r="E1556" s="1607" t="s">
        <v>11131</v>
      </c>
      <c r="G1556" s="294">
        <v>12</v>
      </c>
      <c r="H1556" s="1607" t="s">
        <v>11132</v>
      </c>
      <c r="I1556" s="1485" t="s">
        <v>11130</v>
      </c>
      <c r="J1556" s="101" t="s">
        <v>11154</v>
      </c>
    </row>
    <row r="1557" spans="3:10" ht="14.25" customHeight="1">
      <c r="C1557" s="95">
        <v>45938</v>
      </c>
      <c r="D1557" s="101">
        <v>8298093438</v>
      </c>
      <c r="E1557" s="1616" t="s">
        <v>11159</v>
      </c>
      <c r="I1557" s="1503" t="s">
        <v>11158</v>
      </c>
      <c r="J1557" s="1629" t="s">
        <v>100</v>
      </c>
    </row>
    <row r="1558" spans="3:10" ht="14.25" customHeight="1">
      <c r="C1558" s="95">
        <v>45939</v>
      </c>
      <c r="E1558" s="1618" t="s">
        <v>11166</v>
      </c>
      <c r="H1558" s="1618" t="s">
        <v>1275</v>
      </c>
      <c r="I1558" t="s">
        <v>11165</v>
      </c>
      <c r="J1558" s="1629" t="s">
        <v>507</v>
      </c>
    </row>
    <row r="1559" spans="3:10" ht="14.25" customHeight="1">
      <c r="C1559" s="95">
        <v>45946</v>
      </c>
      <c r="E1559" s="1618" t="s">
        <v>11167</v>
      </c>
      <c r="H1559" s="1618" t="s">
        <v>1275</v>
      </c>
      <c r="I1559" s="1485" t="s">
        <v>11187</v>
      </c>
      <c r="J1559" s="1629" t="s">
        <v>11202</v>
      </c>
    </row>
    <row r="1560" spans="3:10" ht="14.25" customHeight="1">
      <c r="C1560" s="95">
        <v>45945</v>
      </c>
      <c r="D1560" s="1624">
        <v>9006406945</v>
      </c>
      <c r="E1560" s="1623" t="s">
        <v>11185</v>
      </c>
      <c r="H1560" s="1618" t="s">
        <v>1275</v>
      </c>
      <c r="I1560" t="s">
        <v>11184</v>
      </c>
      <c r="J1560" s="1629" t="s">
        <v>507</v>
      </c>
    </row>
    <row r="1561" spans="3:10" ht="14.25" customHeight="1">
      <c r="C1561" s="95">
        <v>45948</v>
      </c>
      <c r="D1561" s="101">
        <v>8210364802</v>
      </c>
      <c r="E1561" s="1625" t="s">
        <v>11189</v>
      </c>
      <c r="H1561" s="1618" t="s">
        <v>1275</v>
      </c>
      <c r="I1561" t="s">
        <v>11188</v>
      </c>
      <c r="J1561" s="1636">
        <v>45975</v>
      </c>
    </row>
    <row r="1562" spans="3:10" ht="14.25" customHeight="1">
      <c r="C1562" s="95">
        <v>45948</v>
      </c>
      <c r="D1562" s="101">
        <v>7209000251</v>
      </c>
      <c r="E1562" s="1625" t="s">
        <v>11192</v>
      </c>
      <c r="H1562" s="1625" t="s">
        <v>11193</v>
      </c>
      <c r="I1562" s="1485" t="s">
        <v>11191</v>
      </c>
      <c r="J1562" s="1660" t="s">
        <v>3882</v>
      </c>
    </row>
    <row r="1563" spans="3:10" ht="14.25" customHeight="1">
      <c r="C1563" s="95">
        <v>45962</v>
      </c>
      <c r="E1563" s="1634" t="s">
        <v>11220</v>
      </c>
      <c r="I1563" s="1485" t="s">
        <v>11219</v>
      </c>
      <c r="J1563" s="101" t="s">
        <v>507</v>
      </c>
    </row>
    <row r="1564" spans="3:10" ht="14.25" customHeight="1">
      <c r="C1564" s="95">
        <v>45963</v>
      </c>
      <c r="E1564" s="1637" t="s">
        <v>11233</v>
      </c>
      <c r="I1564" t="s">
        <v>11283</v>
      </c>
      <c r="J1564" s="101" t="s">
        <v>507</v>
      </c>
    </row>
    <row r="1565" spans="3:10" ht="14.25" customHeight="1">
      <c r="C1565" s="95">
        <v>45981</v>
      </c>
      <c r="D1565" s="101">
        <v>7909040047</v>
      </c>
      <c r="E1565" s="1649" t="s">
        <v>11263</v>
      </c>
      <c r="H1565" s="1649" t="s">
        <v>1275</v>
      </c>
      <c r="I1565" s="1485" t="s">
        <v>11262</v>
      </c>
      <c r="J1565" s="101" t="s">
        <v>10221</v>
      </c>
    </row>
    <row r="1566" spans="3:10" ht="14.25" customHeight="1">
      <c r="C1566" s="95">
        <v>45983</v>
      </c>
      <c r="D1566" s="101">
        <v>8797151862</v>
      </c>
      <c r="E1566" s="1652" t="s">
        <v>6228</v>
      </c>
      <c r="H1566" s="1652" t="s">
        <v>2071</v>
      </c>
      <c r="I1566" s="1652" t="s">
        <v>11274</v>
      </c>
      <c r="J1566" s="101" t="s">
        <v>3882</v>
      </c>
    </row>
    <row r="1567" spans="3:10" ht="14.25" customHeight="1">
      <c r="C1567" s="95">
        <v>45996</v>
      </c>
      <c r="D1567" s="101">
        <v>9835757469</v>
      </c>
      <c r="E1567" s="1661" t="s">
        <v>11318</v>
      </c>
      <c r="H1567" s="1652" t="s">
        <v>2071</v>
      </c>
      <c r="I1567" t="s">
        <v>11317</v>
      </c>
      <c r="J1567" s="1703" t="s">
        <v>507</v>
      </c>
    </row>
    <row r="1568" spans="3:10" ht="14.25" customHeight="1">
      <c r="C1568" s="95">
        <v>46001</v>
      </c>
      <c r="D1568" s="101">
        <v>9608419384</v>
      </c>
      <c r="E1568" s="1664" t="s">
        <v>11340</v>
      </c>
      <c r="H1568" s="1664" t="s">
        <v>1869</v>
      </c>
      <c r="I1568" t="s">
        <v>11339</v>
      </c>
      <c r="J1568" s="1709">
        <v>46032</v>
      </c>
    </row>
    <row r="1569" spans="3:10" ht="14.25" customHeight="1">
      <c r="C1569" s="95"/>
      <c r="E1569" s="1664"/>
      <c r="H1569" s="1664"/>
      <c r="I1569" s="1716" t="s">
        <v>11461</v>
      </c>
      <c r="J1569" s="1709"/>
    </row>
    <row r="1570" spans="3:10" ht="14.25" customHeight="1">
      <c r="C1570" s="95">
        <v>46002</v>
      </c>
      <c r="D1570" s="101">
        <v>6207614411</v>
      </c>
      <c r="E1570" s="1667" t="s">
        <v>11350</v>
      </c>
      <c r="H1570" s="1667" t="s">
        <v>11349</v>
      </c>
      <c r="I1570" s="1485" t="s">
        <v>11348</v>
      </c>
      <c r="J1570" s="1681" t="s">
        <v>10221</v>
      </c>
    </row>
    <row r="1571" spans="3:10" ht="14.25" customHeight="1">
      <c r="C1571" s="95">
        <v>46007</v>
      </c>
      <c r="D1571" s="101">
        <v>9234501965</v>
      </c>
      <c r="E1571" s="1677" t="s">
        <v>11387</v>
      </c>
      <c r="H1571" s="1677" t="s">
        <v>2071</v>
      </c>
      <c r="I1571" s="1485" t="s">
        <v>11389</v>
      </c>
      <c r="J1571" s="1703" t="s">
        <v>11497</v>
      </c>
    </row>
    <row r="1572" spans="3:10" ht="14.25" customHeight="1">
      <c r="C1572" s="95">
        <v>46012</v>
      </c>
      <c r="D1572" s="101">
        <v>8434705247</v>
      </c>
      <c r="E1572" s="1683" t="s">
        <v>11435</v>
      </c>
      <c r="H1572" s="1683" t="s">
        <v>2067</v>
      </c>
      <c r="I1572" s="1748" t="s">
        <v>11436</v>
      </c>
      <c r="J1572" s="1731" t="s">
        <v>4073</v>
      </c>
    </row>
    <row r="1573" spans="3:10" ht="14.25" customHeight="1">
      <c r="C1573" s="95">
        <v>46021</v>
      </c>
      <c r="D1573" s="101">
        <v>9031733929</v>
      </c>
      <c r="E1573" s="1716" t="s">
        <v>639</v>
      </c>
      <c r="H1573" s="1683" t="s">
        <v>2067</v>
      </c>
      <c r="I1573" s="1485" t="s">
        <v>11461</v>
      </c>
      <c r="J1573" s="1731" t="s">
        <v>3882</v>
      </c>
    </row>
    <row r="1574" spans="3:10" ht="14.25" customHeight="1">
      <c r="C1574" s="95">
        <v>46025</v>
      </c>
      <c r="D1574" s="101">
        <v>8092536548</v>
      </c>
      <c r="E1574" s="1693" t="s">
        <v>11467</v>
      </c>
      <c r="H1574" s="1693" t="s">
        <v>1785</v>
      </c>
      <c r="I1574" s="1485" t="s">
        <v>11468</v>
      </c>
      <c r="J1574" s="1731" t="s">
        <v>3882</v>
      </c>
    </row>
    <row r="1575" spans="3:10" ht="14.25" customHeight="1">
      <c r="C1575" s="95">
        <v>46025</v>
      </c>
      <c r="D1575" s="101">
        <v>9801398968</v>
      </c>
      <c r="E1575" s="1694" t="s">
        <v>11472</v>
      </c>
      <c r="H1575" s="1694" t="s">
        <v>11222</v>
      </c>
      <c r="I1575" s="1485" t="s">
        <v>11471</v>
      </c>
      <c r="J1575" s="1731" t="s">
        <v>3882</v>
      </c>
    </row>
    <row r="1576" spans="3:10" ht="14.25" customHeight="1">
      <c r="C1576" s="95">
        <v>45664</v>
      </c>
      <c r="D1576" s="101">
        <v>8969559837</v>
      </c>
      <c r="E1576" s="1696" t="s">
        <v>9878</v>
      </c>
      <c r="H1576" s="1697" t="s">
        <v>2116</v>
      </c>
      <c r="I1576" t="s">
        <v>11478</v>
      </c>
      <c r="J1576" s="162">
        <v>46044</v>
      </c>
    </row>
    <row r="1577" spans="3:10" ht="14.25" customHeight="1">
      <c r="C1577" s="95">
        <v>46030</v>
      </c>
      <c r="D1577" s="101">
        <v>6260447345</v>
      </c>
      <c r="E1577" s="1708" t="s">
        <v>533</v>
      </c>
      <c r="I1577" s="1485" t="s">
        <v>11505</v>
      </c>
      <c r="J1577" s="101" t="s">
        <v>507</v>
      </c>
    </row>
    <row r="1578" spans="3:10" ht="14.25" customHeight="1">
      <c r="C1578" s="1710" t="s">
        <v>11509</v>
      </c>
      <c r="D1578" s="101">
        <v>7282097830</v>
      </c>
      <c r="E1578" s="1710" t="s">
        <v>11508</v>
      </c>
      <c r="H1578" s="1710" t="s">
        <v>2071</v>
      </c>
      <c r="I1578" s="1485" t="s">
        <v>11507</v>
      </c>
      <c r="J1578" s="101" t="s">
        <v>100</v>
      </c>
    </row>
    <row r="1579" spans="3:10" ht="14.25" customHeight="1">
      <c r="C1579" s="95">
        <v>46032</v>
      </c>
      <c r="D1579" s="101">
        <v>7644894117</v>
      </c>
      <c r="E1579" s="1711" t="s">
        <v>11512</v>
      </c>
      <c r="G1579" s="1892" t="s">
        <v>3044</v>
      </c>
      <c r="H1579" s="1711" t="s">
        <v>11511</v>
      </c>
      <c r="I1579" s="1485" t="s">
        <v>11510</v>
      </c>
      <c r="J1579" s="101" t="s">
        <v>100</v>
      </c>
    </row>
    <row r="1580" spans="3:10" ht="14.25" customHeight="1">
      <c r="C1580" s="95">
        <v>46037</v>
      </c>
      <c r="D1580" s="101">
        <v>6204742668</v>
      </c>
      <c r="E1580" s="1716" t="s">
        <v>11532</v>
      </c>
      <c r="H1580" s="1716" t="s">
        <v>1383</v>
      </c>
      <c r="I1580" t="s">
        <v>11533</v>
      </c>
      <c r="J1580" s="101" t="s">
        <v>11580</v>
      </c>
    </row>
    <row r="1581" spans="3:10" ht="14.25" customHeight="1">
      <c r="C1581" s="95">
        <v>46037</v>
      </c>
      <c r="D1581" s="101">
        <v>7982389969</v>
      </c>
      <c r="E1581" s="1716" t="s">
        <v>11534</v>
      </c>
      <c r="H1581" s="1716" t="s">
        <v>6062</v>
      </c>
      <c r="I1581" s="1485" t="s">
        <v>11535</v>
      </c>
      <c r="J1581" s="101" t="s">
        <v>11580</v>
      </c>
    </row>
    <row r="1582" spans="3:10" ht="14.25" customHeight="1">
      <c r="C1582" s="95">
        <v>46037</v>
      </c>
      <c r="D1582" s="101">
        <v>7209752202</v>
      </c>
      <c r="E1582" s="1718" t="s">
        <v>11537</v>
      </c>
      <c r="H1582" s="1716" t="s">
        <v>2071</v>
      </c>
      <c r="I1582" t="s">
        <v>11536</v>
      </c>
      <c r="J1582" s="101" t="s">
        <v>11580</v>
      </c>
    </row>
    <row r="1583" spans="3:10" ht="14.25" customHeight="1">
      <c r="C1583" s="95">
        <v>46039</v>
      </c>
      <c r="D1583" s="101">
        <v>6200269938</v>
      </c>
      <c r="E1583" s="1718" t="s">
        <v>4940</v>
      </c>
      <c r="H1583" s="1718" t="s">
        <v>1275</v>
      </c>
      <c r="I1583" t="s">
        <v>11544</v>
      </c>
      <c r="J1583" s="101" t="s">
        <v>11580</v>
      </c>
    </row>
    <row r="1584" spans="3:10" ht="14.25" customHeight="1">
      <c r="C1584" s="95">
        <v>46050</v>
      </c>
      <c r="D1584" s="101">
        <v>7644894117</v>
      </c>
      <c r="E1584" s="1711" t="s">
        <v>11512</v>
      </c>
      <c r="G1584" s="1892" t="s">
        <v>3044</v>
      </c>
      <c r="H1584" s="1711" t="s">
        <v>11511</v>
      </c>
      <c r="I1584" s="1485" t="s">
        <v>11581</v>
      </c>
      <c r="J1584" s="1784">
        <v>46093</v>
      </c>
    </row>
    <row r="1585" spans="3:11" ht="14.25" customHeight="1">
      <c r="C1585" s="95">
        <v>46051</v>
      </c>
      <c r="D1585" s="101">
        <v>6202035484</v>
      </c>
      <c r="E1585" s="1729" t="s">
        <v>11575</v>
      </c>
      <c r="H1585" s="1735" t="s">
        <v>1869</v>
      </c>
      <c r="I1585" s="1835" t="s">
        <v>11586</v>
      </c>
      <c r="J1585" s="1785" t="s">
        <v>507</v>
      </c>
      <c r="K1585" s="1745" t="s">
        <v>11612</v>
      </c>
    </row>
    <row r="1586" spans="3:11" ht="14.25" customHeight="1">
      <c r="C1586" s="95">
        <v>46051</v>
      </c>
      <c r="D1586" s="101">
        <v>7783818819</v>
      </c>
      <c r="E1586" s="1730" t="s">
        <v>11582</v>
      </c>
      <c r="H1586" s="1735" t="s">
        <v>7382</v>
      </c>
      <c r="I1586" s="1745" t="s">
        <v>11587</v>
      </c>
      <c r="J1586" s="1782" t="s">
        <v>8701</v>
      </c>
      <c r="K1586" s="1745" t="s">
        <v>11612</v>
      </c>
    </row>
    <row r="1587" spans="3:11" ht="14.25" customHeight="1">
      <c r="C1587" s="95">
        <v>46058</v>
      </c>
      <c r="D1587" s="101">
        <v>7992301536</v>
      </c>
      <c r="E1587" s="1750" t="s">
        <v>4432</v>
      </c>
      <c r="H1587" s="1750" t="s">
        <v>1275</v>
      </c>
      <c r="I1587" s="1503" t="s">
        <v>11624</v>
      </c>
      <c r="J1587" s="1782" t="s">
        <v>100</v>
      </c>
    </row>
    <row r="1588" spans="3:11" ht="14.25" customHeight="1">
      <c r="C1588" s="95">
        <v>46059</v>
      </c>
      <c r="D1588" s="101">
        <v>9031965944</v>
      </c>
      <c r="E1588" s="1751" t="s">
        <v>10974</v>
      </c>
      <c r="H1588" s="1751" t="s">
        <v>11193</v>
      </c>
      <c r="I1588" s="1788" t="s">
        <v>11625</v>
      </c>
      <c r="J1588" s="1782" t="s">
        <v>507</v>
      </c>
    </row>
    <row r="1589" spans="3:11" ht="14.25" customHeight="1">
      <c r="C1589" s="1783">
        <v>46066</v>
      </c>
      <c r="D1589" s="101">
        <v>7209000251</v>
      </c>
      <c r="E1589" s="1764" t="s">
        <v>2026</v>
      </c>
      <c r="H1589" s="1751" t="s">
        <v>11193</v>
      </c>
      <c r="I1589" s="1767" t="s">
        <v>11652</v>
      </c>
      <c r="J1589" s="1782" t="s">
        <v>507</v>
      </c>
    </row>
    <row r="1590" spans="3:11" ht="14.25" customHeight="1">
      <c r="C1590" s="1783">
        <v>46066</v>
      </c>
      <c r="D1590" s="101">
        <v>7209000251</v>
      </c>
      <c r="E1590" s="1764" t="s">
        <v>11192</v>
      </c>
      <c r="H1590" s="1751" t="s">
        <v>11193</v>
      </c>
      <c r="I1590" s="1767" t="s">
        <v>11653</v>
      </c>
      <c r="J1590" s="1782" t="s">
        <v>507</v>
      </c>
    </row>
    <row r="1591" spans="3:11" ht="14.25" customHeight="1">
      <c r="C1591" s="95">
        <v>46074</v>
      </c>
      <c r="E1591" s="1771" t="s">
        <v>11670</v>
      </c>
      <c r="H1591" s="1771" t="s">
        <v>1275</v>
      </c>
      <c r="I1591" s="1767" t="s">
        <v>11669</v>
      </c>
      <c r="J1591" s="101" t="s">
        <v>8701</v>
      </c>
    </row>
    <row r="1592" spans="3:11" ht="14.25" customHeight="1">
      <c r="C1592" s="95">
        <v>46088</v>
      </c>
      <c r="D1592" s="101">
        <v>7992301536</v>
      </c>
      <c r="E1592" s="1750" t="s">
        <v>4432</v>
      </c>
      <c r="H1592" s="1750" t="s">
        <v>1275</v>
      </c>
      <c r="I1592" s="1767" t="s">
        <v>11693</v>
      </c>
      <c r="J1592" s="1804" t="s">
        <v>507</v>
      </c>
    </row>
    <row r="1593" spans="3:11" ht="14.25" customHeight="1">
      <c r="C1593" s="95">
        <v>46100</v>
      </c>
      <c r="D1593" s="101">
        <v>9570463298</v>
      </c>
      <c r="E1593" s="1788" t="s">
        <v>11701</v>
      </c>
      <c r="H1593" s="1788" t="s">
        <v>11702</v>
      </c>
      <c r="I1593" s="1844" t="s">
        <v>11857</v>
      </c>
      <c r="J1593" s="162">
        <v>46111</v>
      </c>
    </row>
    <row r="1594" spans="3:11" ht="14.25" customHeight="1">
      <c r="C1594" s="95">
        <v>46125</v>
      </c>
      <c r="D1594" s="101">
        <v>6207774695</v>
      </c>
      <c r="E1594" s="1803" t="s">
        <v>11731</v>
      </c>
      <c r="H1594" s="1803" t="s">
        <v>11730</v>
      </c>
      <c r="I1594" s="1767" t="s">
        <v>11729</v>
      </c>
      <c r="J1594" s="101" t="s">
        <v>11821</v>
      </c>
    </row>
    <row r="1595" spans="3:11" ht="14.25" customHeight="1">
      <c r="C1595" s="95">
        <v>46142</v>
      </c>
      <c r="D1595" s="101">
        <v>8709564611</v>
      </c>
      <c r="E1595" s="1814" t="s">
        <v>8143</v>
      </c>
      <c r="H1595" s="1814" t="s">
        <v>1825</v>
      </c>
      <c r="I1595" s="1767" t="s">
        <v>11771</v>
      </c>
      <c r="J1595" s="101" t="s">
        <v>11822</v>
      </c>
    </row>
    <row r="1596" spans="3:11" ht="14.25" customHeight="1">
      <c r="C1596" s="95">
        <v>46142</v>
      </c>
      <c r="D1596" s="101">
        <v>9229691785</v>
      </c>
      <c r="E1596" s="1814" t="s">
        <v>11767</v>
      </c>
      <c r="H1596" s="1814" t="s">
        <v>1825</v>
      </c>
      <c r="I1596" s="1767" t="s">
        <v>11772</v>
      </c>
      <c r="J1596" s="101" t="s">
        <v>11822</v>
      </c>
    </row>
    <row r="1597" spans="3:11" ht="14.25" customHeight="1">
      <c r="C1597" s="95">
        <v>46164</v>
      </c>
      <c r="D1597" s="101">
        <v>9031977168</v>
      </c>
      <c r="E1597" s="1834" t="s">
        <v>11825</v>
      </c>
      <c r="H1597" s="1834" t="s">
        <v>11824</v>
      </c>
      <c r="I1597" s="1767" t="s">
        <v>11823</v>
      </c>
      <c r="J1597" s="101" t="s">
        <v>5019</v>
      </c>
    </row>
    <row r="1598" spans="3:11" ht="14.25" customHeight="1">
      <c r="C1598" s="95">
        <v>46165</v>
      </c>
      <c r="D1598" s="101">
        <v>8210664736</v>
      </c>
      <c r="E1598" s="1835" t="s">
        <v>11827</v>
      </c>
      <c r="H1598" s="1835" t="s">
        <v>2067</v>
      </c>
      <c r="I1598" s="1767" t="s">
        <v>11826</v>
      </c>
      <c r="J1598" s="101" t="s">
        <v>10787</v>
      </c>
    </row>
    <row r="1599" spans="3:11" ht="14.25" customHeight="1">
      <c r="C1599" s="95">
        <v>46168</v>
      </c>
      <c r="D1599" s="1837" t="s">
        <v>11612</v>
      </c>
      <c r="E1599" s="1836" t="s">
        <v>11833</v>
      </c>
      <c r="G1599" s="1893" t="s">
        <v>7566</v>
      </c>
      <c r="H1599" s="1836" t="s">
        <v>1387</v>
      </c>
      <c r="I1599" s="1767" t="s">
        <v>11832</v>
      </c>
      <c r="J1599" s="101" t="s">
        <v>11856</v>
      </c>
    </row>
    <row r="1600" spans="3:11" ht="14.25" customHeight="1">
      <c r="C1600" s="95">
        <v>46183</v>
      </c>
      <c r="D1600" s="101">
        <v>8210664736</v>
      </c>
      <c r="E1600" s="1835" t="s">
        <v>11827</v>
      </c>
      <c r="H1600" s="1835" t="s">
        <v>2067</v>
      </c>
      <c r="I1600" s="1485" t="s">
        <v>11867</v>
      </c>
      <c r="J1600" s="101" t="s">
        <v>39</v>
      </c>
    </row>
    <row r="1601" spans="3:11" ht="14.25" customHeight="1">
      <c r="C1601" s="95">
        <v>46186</v>
      </c>
      <c r="D1601" s="101">
        <v>8877884659</v>
      </c>
      <c r="E1601" s="1849" t="s">
        <v>11871</v>
      </c>
      <c r="H1601" s="1850" t="s">
        <v>1219</v>
      </c>
      <c r="I1601" s="1485" t="s">
        <v>11872</v>
      </c>
      <c r="J1601" s="101" t="s">
        <v>507</v>
      </c>
    </row>
    <row r="1602" spans="3:11" ht="14.25" customHeight="1">
      <c r="C1602" s="95">
        <v>46189</v>
      </c>
      <c r="D1602" s="101">
        <v>8102151646</v>
      </c>
      <c r="E1602" s="1851" t="s">
        <v>11873</v>
      </c>
      <c r="H1602" s="1851" t="s">
        <v>7239</v>
      </c>
      <c r="I1602" s="1485" t="s">
        <v>11874</v>
      </c>
      <c r="J1602" s="101" t="s">
        <v>12023</v>
      </c>
    </row>
    <row r="1603" spans="3:11" ht="14.25" customHeight="1">
      <c r="C1603" s="95">
        <v>46189</v>
      </c>
      <c r="D1603" s="101">
        <v>8235841724</v>
      </c>
      <c r="E1603" s="1851" t="s">
        <v>11876</v>
      </c>
      <c r="H1603" s="1851" t="s">
        <v>2071</v>
      </c>
      <c r="I1603" s="2162" t="s">
        <v>11875</v>
      </c>
      <c r="J1603" s="162">
        <v>46295</v>
      </c>
    </row>
    <row r="1604" spans="3:11" ht="14.25" customHeight="1">
      <c r="C1604" s="95">
        <v>46189</v>
      </c>
      <c r="D1604" s="101">
        <v>9031977168</v>
      </c>
      <c r="E1604" s="1852" t="s">
        <v>11825</v>
      </c>
      <c r="G1604" s="1894" t="s">
        <v>11878</v>
      </c>
      <c r="H1604" s="1852" t="s">
        <v>11824</v>
      </c>
      <c r="I1604" s="1485" t="s">
        <v>11877</v>
      </c>
      <c r="J1604" s="101" t="s">
        <v>12024</v>
      </c>
    </row>
    <row r="1605" spans="3:11" ht="14.25" customHeight="1">
      <c r="C1605" s="95">
        <v>46190</v>
      </c>
      <c r="D1605" s="101">
        <v>9931168271</v>
      </c>
      <c r="E1605" s="1853" t="s">
        <v>11881</v>
      </c>
      <c r="G1605" s="1895" t="s">
        <v>11886</v>
      </c>
      <c r="H1605" s="1855" t="s">
        <v>2912</v>
      </c>
      <c r="I1605" s="1485" t="s">
        <v>11885</v>
      </c>
      <c r="J1605" s="2080" t="s">
        <v>10222</v>
      </c>
    </row>
    <row r="1606" spans="3:11" ht="14.25" customHeight="1">
      <c r="C1606" s="95">
        <v>46197</v>
      </c>
      <c r="D1606" s="101">
        <v>9234611638</v>
      </c>
      <c r="E1606" s="1859" t="s">
        <v>11899</v>
      </c>
      <c r="G1606" s="1896" t="s">
        <v>11901</v>
      </c>
      <c r="H1606" s="1859" t="s">
        <v>11900</v>
      </c>
      <c r="I1606" s="1485" t="s">
        <v>11898</v>
      </c>
      <c r="J1606" s="2080" t="s">
        <v>4073</v>
      </c>
    </row>
    <row r="1607" spans="3:11" ht="14.25" customHeight="1">
      <c r="C1607" s="95">
        <v>46197</v>
      </c>
      <c r="D1607" s="101">
        <v>9308026109</v>
      </c>
      <c r="E1607" s="1859" t="s">
        <v>11902</v>
      </c>
      <c r="H1607" s="1859" t="s">
        <v>2047</v>
      </c>
      <c r="I1607" s="1485" t="s">
        <v>11903</v>
      </c>
      <c r="J1607" s="101" t="s">
        <v>8701</v>
      </c>
    </row>
    <row r="1608" spans="3:11" ht="14.25" customHeight="1">
      <c r="C1608" s="95">
        <v>46198</v>
      </c>
      <c r="D1608" s="101">
        <v>9507533517</v>
      </c>
      <c r="E1608" s="1897" t="s">
        <v>11910</v>
      </c>
      <c r="H1608" s="1897" t="s">
        <v>11909</v>
      </c>
      <c r="I1608" s="1899" t="s">
        <v>11908</v>
      </c>
      <c r="J1608" s="101" t="s">
        <v>507</v>
      </c>
    </row>
    <row r="1609" spans="3:11" ht="14.25" customHeight="1">
      <c r="C1609" s="95">
        <v>46199</v>
      </c>
      <c r="D1609" s="101">
        <v>6204261988</v>
      </c>
      <c r="E1609" s="1898" t="s">
        <v>11922</v>
      </c>
      <c r="H1609" s="1898" t="s">
        <v>2116</v>
      </c>
      <c r="I1609" s="1485" t="s">
        <v>11921</v>
      </c>
      <c r="J1609" s="101" t="s">
        <v>11822</v>
      </c>
    </row>
    <row r="1610" spans="3:11" ht="14.25" customHeight="1">
      <c r="C1610" s="95">
        <v>46199</v>
      </c>
      <c r="D1610" s="101">
        <v>9939861646</v>
      </c>
      <c r="E1610" s="1899" t="s">
        <v>11925</v>
      </c>
      <c r="H1610" s="1899" t="s">
        <v>1869</v>
      </c>
      <c r="I1610" s="1485" t="s">
        <v>11924</v>
      </c>
      <c r="J1610" s="2080" t="s">
        <v>10221</v>
      </c>
    </row>
    <row r="1611" spans="3:11" ht="14.25" customHeight="1">
      <c r="C1611" s="95">
        <v>46205</v>
      </c>
      <c r="D1611" s="101">
        <v>6202417341</v>
      </c>
      <c r="E1611" s="1906" t="s">
        <v>11956</v>
      </c>
      <c r="H1611" s="1906" t="s">
        <v>2116</v>
      </c>
      <c r="I1611" s="1503" t="s">
        <v>11955</v>
      </c>
      <c r="J1611" s="101" t="s">
        <v>100</v>
      </c>
    </row>
    <row r="1612" spans="3:11" ht="14.25" customHeight="1">
      <c r="C1612" s="95">
        <v>46218</v>
      </c>
      <c r="D1612" s="101">
        <v>6395239697</v>
      </c>
      <c r="E1612" s="1909" t="s">
        <v>10639</v>
      </c>
      <c r="H1612" s="1909" t="s">
        <v>2071</v>
      </c>
      <c r="I1612" s="1485" t="s">
        <v>11968</v>
      </c>
      <c r="J1612" s="2073" t="s">
        <v>165</v>
      </c>
      <c r="K1612" s="2115" t="s">
        <v>36</v>
      </c>
    </row>
    <row r="1613" spans="3:11" ht="14.25" customHeight="1">
      <c r="C1613" s="95">
        <v>46220</v>
      </c>
      <c r="E1613" s="2060" t="s">
        <v>11980</v>
      </c>
      <c r="H1613" s="2060" t="s">
        <v>2067</v>
      </c>
      <c r="I1613" s="2065" t="s">
        <v>11979</v>
      </c>
      <c r="J1613" s="2080" t="s">
        <v>3882</v>
      </c>
    </row>
    <row r="1614" spans="3:11" ht="14.25" customHeight="1">
      <c r="C1614" s="95">
        <v>46220</v>
      </c>
      <c r="D1614" s="101">
        <v>6200373017</v>
      </c>
      <c r="E1614" s="2060" t="s">
        <v>10454</v>
      </c>
      <c r="H1614" s="2060" t="s">
        <v>1275</v>
      </c>
      <c r="I1614" s="1485" t="s">
        <v>11981</v>
      </c>
      <c r="J1614" s="2105">
        <v>46261</v>
      </c>
    </row>
    <row r="1615" spans="3:11" ht="14.25" customHeight="1">
      <c r="C1615" s="162">
        <v>46225</v>
      </c>
      <c r="D1615" s="101">
        <v>7004519122</v>
      </c>
      <c r="E1615" s="2065" t="s">
        <v>12000</v>
      </c>
      <c r="G1615" s="2067" t="s">
        <v>12001</v>
      </c>
      <c r="H1615" s="2065" t="s">
        <v>2018</v>
      </c>
      <c r="I1615" s="2131" t="s">
        <v>12002</v>
      </c>
      <c r="J1615" s="2127">
        <v>46280</v>
      </c>
      <c r="K1615" s="2115"/>
    </row>
    <row r="1616" spans="3:11" ht="14.25" customHeight="1">
      <c r="C1616" s="95">
        <v>46230</v>
      </c>
      <c r="D1616" s="101">
        <v>6204742668</v>
      </c>
      <c r="E1616" s="2071" t="s">
        <v>11532</v>
      </c>
      <c r="H1616" s="2071" t="s">
        <v>1869</v>
      </c>
      <c r="I1616" s="1485" t="s">
        <v>12011</v>
      </c>
      <c r="J1616" s="2122" t="s">
        <v>12141</v>
      </c>
      <c r="K1616" s="2115" t="s">
        <v>36</v>
      </c>
    </row>
    <row r="1617" spans="3:10" ht="14.25" customHeight="1">
      <c r="C1617" s="95">
        <v>46232</v>
      </c>
      <c r="D1617" s="101">
        <v>9142997004</v>
      </c>
      <c r="E1617" s="2072" t="s">
        <v>12017</v>
      </c>
      <c r="H1617" s="2072" t="s">
        <v>1275</v>
      </c>
      <c r="I1617" t="s">
        <v>12018</v>
      </c>
      <c r="J1617" s="101" t="s">
        <v>3882</v>
      </c>
    </row>
    <row r="1618" spans="3:10" ht="14.25" customHeight="1">
      <c r="C1618" s="95">
        <v>46258</v>
      </c>
      <c r="D1618" s="101">
        <v>9031733440</v>
      </c>
      <c r="E1618" s="2103" t="s">
        <v>12093</v>
      </c>
      <c r="G1618" s="2104" t="s">
        <v>11530</v>
      </c>
      <c r="H1618" s="2103" t="s">
        <v>8332</v>
      </c>
      <c r="I1618" s="1485" t="s">
        <v>12092</v>
      </c>
      <c r="J1618" s="101" t="s">
        <v>8701</v>
      </c>
    </row>
    <row r="1619" spans="3:10" ht="14.25" customHeight="1">
      <c r="C1619" s="95">
        <v>46270</v>
      </c>
      <c r="E1619" s="2115" t="s">
        <v>3886</v>
      </c>
      <c r="G1619" s="2104"/>
      <c r="H1619" s="2103"/>
      <c r="I1619" s="1488" t="s">
        <v>12129</v>
      </c>
      <c r="J1619" s="101" t="s">
        <v>158</v>
      </c>
    </row>
    <row r="1620" spans="3:10" ht="14.25" customHeight="1">
      <c r="C1620" s="95">
        <v>46273</v>
      </c>
      <c r="E1620" s="2114" t="s">
        <v>12123</v>
      </c>
      <c r="I1620" s="2131" t="s">
        <v>12128</v>
      </c>
      <c r="J1620" s="101" t="s">
        <v>158</v>
      </c>
    </row>
    <row r="1621" spans="3:10" ht="14.25" customHeight="1">
      <c r="C1621" s="95">
        <v>46273</v>
      </c>
      <c r="D1621" s="101">
        <v>9334883777</v>
      </c>
      <c r="E1621" s="2114" t="s">
        <v>12124</v>
      </c>
      <c r="H1621" s="2115" t="s">
        <v>2067</v>
      </c>
      <c r="I1621" s="1503" t="s">
        <v>12130</v>
      </c>
      <c r="J1621" s="2143" t="s">
        <v>100</v>
      </c>
    </row>
    <row r="1622" spans="3:10" ht="14.25" customHeight="1">
      <c r="C1622" s="95">
        <v>46273</v>
      </c>
      <c r="D1622" s="101">
        <v>6299775466</v>
      </c>
      <c r="E1622" s="2115" t="s">
        <v>12131</v>
      </c>
      <c r="H1622" s="2115" t="s">
        <v>1869</v>
      </c>
      <c r="I1622" s="1485" t="s">
        <v>12132</v>
      </c>
      <c r="J1622" s="2143" t="s">
        <v>165</v>
      </c>
    </row>
    <row r="1623" spans="3:10" ht="14.25" customHeight="1">
      <c r="C1623" s="95">
        <v>46276</v>
      </c>
      <c r="D1623" s="101">
        <v>8603565022</v>
      </c>
      <c r="E1623" s="2121" t="s">
        <v>2947</v>
      </c>
      <c r="H1623" s="2121" t="s">
        <v>2071</v>
      </c>
      <c r="I1623" s="1503" t="s">
        <v>12140</v>
      </c>
      <c r="J1623" s="2143" t="s">
        <v>165</v>
      </c>
    </row>
    <row r="1624" spans="3:10" ht="14.25" customHeight="1">
      <c r="C1624" s="95">
        <v>46278</v>
      </c>
      <c r="D1624" s="101">
        <v>8207755181</v>
      </c>
      <c r="E1624" s="2124" t="s">
        <v>9491</v>
      </c>
      <c r="H1624" s="1485"/>
      <c r="I1624" t="s">
        <v>12143</v>
      </c>
      <c r="J1624" s="2157" t="s">
        <v>39</v>
      </c>
    </row>
    <row r="1625" spans="3:10" ht="14.25" customHeight="1">
      <c r="C1625" s="95">
        <v>46285</v>
      </c>
      <c r="D1625" s="101">
        <v>7482032786</v>
      </c>
      <c r="E1625" s="2136" t="s">
        <v>12165</v>
      </c>
      <c r="H1625" s="2137" t="s">
        <v>2071</v>
      </c>
      <c r="I1625" s="1485" t="s">
        <v>12171</v>
      </c>
      <c r="J1625" s="101" t="s">
        <v>165</v>
      </c>
    </row>
    <row r="1626" spans="3:10" ht="14.25" customHeight="1">
      <c r="C1626" s="95">
        <v>46293</v>
      </c>
      <c r="D1626" s="101">
        <v>9608647909</v>
      </c>
      <c r="E1626" s="2153" t="s">
        <v>488</v>
      </c>
      <c r="H1626" s="2153" t="s">
        <v>8825</v>
      </c>
      <c r="I1626" s="1485" t="s">
        <v>12210</v>
      </c>
    </row>
    <row r="1627" spans="3:10" ht="14.25" customHeight="1">
      <c r="C1627" s="95">
        <v>46293</v>
      </c>
      <c r="D1627" s="101">
        <v>9608647909</v>
      </c>
      <c r="E1627" s="2153" t="s">
        <v>12214</v>
      </c>
      <c r="H1627" s="2153" t="s">
        <v>8825</v>
      </c>
      <c r="I1627" s="1485" t="s">
        <v>12212</v>
      </c>
    </row>
    <row r="1628" spans="3:10" ht="14.25" customHeight="1">
      <c r="C1628" s="95">
        <v>46293</v>
      </c>
      <c r="D1628" s="101">
        <v>9608647909</v>
      </c>
      <c r="E1628" s="2153" t="s">
        <v>12211</v>
      </c>
      <c r="H1628" s="2153" t="s">
        <v>8825</v>
      </c>
      <c r="I1628" s="1485" t="s">
        <v>12213</v>
      </c>
    </row>
  </sheetData>
  <customSheetViews>
    <customSheetView guid="{DBCA2985-35F2-4396-AB82-C941F4730697}" filter="1" showAutoFilter="1">
      <pageMargins left="0.7" right="0.7" top="0.75" bottom="0.75" header="0.3" footer="0.3"/>
      <autoFilter ref="A1:K287" xr:uid="{426E4BD8-565A-4AED-AE72-47669D37885B}"/>
      <extLst>
        <ext uri="GoogleSheetsCustomDataVersion1">
          <go:sheetsCustomData xmlns:go="http://customooxmlschemas.google.com/" filterViewId="1506110175"/>
        </ext>
      </extLst>
    </customSheetView>
    <customSheetView guid="{2A2E44CE-7ABE-4A6F-A32C-C7CC4EA86B70}" filter="1" showAutoFilter="1">
      <pageMargins left="0.7" right="0.7" top="0.75" bottom="0.75" header="0.3" footer="0.3"/>
      <autoFilter ref="A1:K287" xr:uid="{C0B2C11A-7E69-4115-8416-4F18D472D6B8}"/>
      <extLst>
        <ext uri="GoogleSheetsCustomDataVersion1">
          <go:sheetsCustomData xmlns:go="http://customooxmlschemas.google.com/" filterViewId="1987386560"/>
        </ext>
      </extLst>
    </customSheetView>
    <customSheetView guid="{C5940691-FD20-41D8-B708-F6F6E60B4EBD}" filter="1" showAutoFilter="1">
      <pageMargins left="0.7" right="0.7" top="0.75" bottom="0.75" header="0.3" footer="0.3"/>
      <autoFilter ref="A1:K287" xr:uid="{9075B614-5703-40D7-9E2B-40306823ABFF}"/>
      <extLst>
        <ext uri="GoogleSheetsCustomDataVersion1">
          <go:sheetsCustomData xmlns:go="http://customooxmlschemas.google.com/" filterViewId="2082991928"/>
        </ext>
      </extLst>
    </customSheetView>
    <customSheetView guid="{E409D896-73B5-4FCE-A06F-92D6136D2182}" filter="1" showAutoFilter="1">
      <pageMargins left="0.7" right="0.7" top="0.75" bottom="0.75" header="0.3" footer="0.3"/>
      <autoFilter ref="A1:K287" xr:uid="{BD9B8F5A-289E-4D79-8A4C-F2C1AC4BB512}"/>
      <extLst>
        <ext uri="GoogleSheetsCustomDataVersion1">
          <go:sheetsCustomData xmlns:go="http://customooxmlschemas.google.com/" filterViewId="953678236"/>
        </ext>
      </extLst>
    </customSheetView>
  </customSheetViews>
  <mergeCells count="1">
    <mergeCell ref="J1325:K1325"/>
  </mergeCells>
  <conditionalFormatting sqref="J1">
    <cfRule type="cellIs" dxfId="49" priority="60" operator="equal">
      <formula>"Send to wht"</formula>
    </cfRule>
  </conditionalFormatting>
  <conditionalFormatting sqref="J1:J506 J508:J860 J867:J939 J946:J995">
    <cfRule type="cellIs" dxfId="48" priority="59" operator="equal">
      <formula>"sent to wht"</formula>
    </cfRule>
  </conditionalFormatting>
  <conditionalFormatting sqref="J1:J506 J508:J860 K682 J867:J939 J946:J995">
    <cfRule type="cellIs" dxfId="47" priority="45" operator="equal">
      <formula>"saved"</formula>
    </cfRule>
    <cfRule type="cellIs" dxfId="46" priority="44" operator="equal">
      <formula>569</formula>
    </cfRule>
    <cfRule type="cellIs" dxfId="45" priority="43" operator="equal">
      <formula>"saved"</formula>
    </cfRule>
    <cfRule type="cellIs" dxfId="44" priority="50" operator="equal">
      <formula>"Delivered"</formula>
    </cfRule>
    <cfRule type="containsText" dxfId="43" priority="49" operator="containsText" text="init">
      <formula>NOT(ISERROR(SEARCH(("init"),(J1))))</formula>
    </cfRule>
    <cfRule type="cellIs" dxfId="42" priority="48" operator="equal">
      <formula>"Delivered"</formula>
    </cfRule>
    <cfRule type="cellIs" dxfId="41" priority="47" operator="equal">
      <formula>""""""</formula>
    </cfRule>
    <cfRule type="cellIs" dxfId="40" priority="46" operator="equal">
      <formula>"Rejected"</formula>
    </cfRule>
  </conditionalFormatting>
  <conditionalFormatting sqref="J1:J939 J946:J995 K996 J997:J1338 J1340:J1389 J1392:J1406 K1407:K1409 J1410:J1420 J1422:J1424 K1425 J1427:J1430 J1432:J1443 B1444 J1445:J1457 K1458">
    <cfRule type="cellIs" dxfId="39" priority="18" operator="equal">
      <formula>"Printed"</formula>
    </cfRule>
  </conditionalFormatting>
  <conditionalFormatting sqref="J1:J1338 J1340:J1389 J1392:J1406 K1407:K1409 J1410:J1420 J1422:J1424 K1425 J1427:J1430 J1432:J1443 B1444 J1445:J1457 K1458">
    <cfRule type="cellIs" dxfId="38" priority="7" operator="equal">
      <formula>"CO"</formula>
    </cfRule>
  </conditionalFormatting>
  <conditionalFormatting sqref="J113:J236 K214 K229 K232 J237:K237 K238 J238:J240 J315:J342 J344:J413 J415 J418 J427:J439 J441:J452 J454:J472">
    <cfRule type="cellIs" dxfId="37" priority="19" operator="equal">
      <formula>"Rejected"</formula>
    </cfRule>
    <cfRule type="cellIs" dxfId="36" priority="20" operator="equal">
      <formula>"delivered"</formula>
    </cfRule>
  </conditionalFormatting>
  <conditionalFormatting sqref="J242:J244 J246:J313 K256 K262 K274 K313">
    <cfRule type="cellIs" dxfId="35" priority="21" operator="equal">
      <formula>"Rejected"</formula>
    </cfRule>
    <cfRule type="cellIs" dxfId="34" priority="22" operator="equal">
      <formula>"delivered"</formula>
    </cfRule>
  </conditionalFormatting>
  <conditionalFormatting sqref="J423:J425">
    <cfRule type="cellIs" dxfId="33" priority="39" operator="equal">
      <formula>"Rejected"</formula>
    </cfRule>
    <cfRule type="cellIs" dxfId="32" priority="40" operator="equal">
      <formula>"delivered"</formula>
    </cfRule>
  </conditionalFormatting>
  <conditionalFormatting sqref="J1459:J1486 J1488:J1489 J1491:J1493 J1497:J1626 J1628:J1048576">
    <cfRule type="cellIs" dxfId="31" priority="2" operator="equal">
      <formula>"Printed"</formula>
    </cfRule>
    <cfRule type="cellIs" dxfId="30" priority="1" operator="equal">
      <formula>"CO"</formula>
    </cfRule>
  </conditionalFormatting>
  <conditionalFormatting sqref="J241:K241">
    <cfRule type="cellIs" dxfId="29" priority="25" operator="equal">
      <formula>"Rejected"</formula>
    </cfRule>
    <cfRule type="cellIs" dxfId="28" priority="26" operator="equal">
      <formula>"delivered"</formula>
    </cfRule>
  </conditionalFormatting>
  <conditionalFormatting sqref="J245:K245">
    <cfRule type="cellIs" dxfId="27" priority="29" operator="equal">
      <formula>"Rejected"</formula>
    </cfRule>
    <cfRule type="cellIs" dxfId="26" priority="30" operator="equal">
      <formula>"delivered"</formula>
    </cfRule>
  </conditionalFormatting>
  <conditionalFormatting sqref="K242">
    <cfRule type="cellIs" dxfId="25" priority="27" operator="equal">
      <formula>"Rejected"</formula>
    </cfRule>
    <cfRule type="cellIs" dxfId="24" priority="28" operator="equal">
      <formula>"delivered"</formula>
    </cfRule>
  </conditionalFormatting>
  <conditionalFormatting sqref="K895">
    <cfRule type="cellIs" dxfId="23" priority="8" operator="equal">
      <formula>"Printed"</formula>
    </cfRule>
    <cfRule type="cellIs" dxfId="22" priority="17" operator="equal">
      <formula>"sent to wht"</formula>
    </cfRule>
    <cfRule type="cellIs" dxfId="21" priority="16" operator="equal">
      <formula>"Delivered"</formula>
    </cfRule>
    <cfRule type="containsText" dxfId="20" priority="15" operator="containsText" text="init">
      <formula>NOT(ISERROR(SEARCH(("init"),(K895))))</formula>
    </cfRule>
    <cfRule type="cellIs" dxfId="19" priority="14" operator="equal">
      <formula>"Delivered"</formula>
    </cfRule>
    <cfRule type="cellIs" dxfId="18" priority="13" operator="equal">
      <formula>""""""</formula>
    </cfRule>
    <cfRule type="cellIs" dxfId="17" priority="12" operator="equal">
      <formula>"Rejected"</formula>
    </cfRule>
    <cfRule type="cellIs" dxfId="16" priority="11" operator="equal">
      <formula>"saved"</formula>
    </cfRule>
    <cfRule type="cellIs" dxfId="15" priority="10" operator="equal">
      <formula>569</formula>
    </cfRule>
    <cfRule type="cellIs" dxfId="14" priority="9" operator="equal">
      <formula>"saved"</formula>
    </cfRule>
  </conditionalFormatting>
  <conditionalFormatting sqref="K1431">
    <cfRule type="cellIs" dxfId="13" priority="5" operator="equal">
      <formula>"CO"</formula>
    </cfRule>
    <cfRule type="cellIs" dxfId="12" priority="6" operator="equal">
      <formula>"Printed"</formula>
    </cfRule>
  </conditionalFormatting>
  <conditionalFormatting sqref="K1446">
    <cfRule type="cellIs" dxfId="11" priority="3" operator="equal">
      <formula>"CO"</formula>
    </cfRule>
    <cfRule type="cellIs" dxfId="10" priority="4" operator="equal">
      <formula>"Printed"</formula>
    </cfRule>
  </conditionalFormatting>
  <hyperlinks>
    <hyperlink ref="J1392" r:id="rId1" xr:uid="{B0A76A52-74D4-4BF3-8B0B-F1B884EF41C6}"/>
    <hyperlink ref="K1392" r:id="rId2" display="Gungun@2002" xr:uid="{E916F2B7-3DAC-4925-A888-48300947FB01}"/>
    <hyperlink ref="J1393" r:id="rId3" xr:uid="{49F5CAF8-6F21-41F2-AFB7-6A4F10CD5B77}"/>
    <hyperlink ref="K1393" r:id="rId4" display="Gungun@2002" xr:uid="{DDC177B8-B1A5-4871-817D-756D08B01873}"/>
    <hyperlink ref="J1396" r:id="rId5" xr:uid="{57E225A9-26DF-481D-B3C3-22E7164F0AAD}"/>
    <hyperlink ref="K1396" r:id="rId6" display="Gungun@2002" xr:uid="{96BF31E3-8484-4A7B-AB6A-BD9D7329665B}"/>
    <hyperlink ref="J1397" r:id="rId7" xr:uid="{C9F9A155-B54B-4715-A422-03B30A410D8A}"/>
    <hyperlink ref="K1397" r:id="rId8" display="Gungun@2002" xr:uid="{28DF9C3F-6C1B-41E9-A9B2-7001654AFFA4}"/>
    <hyperlink ref="J1401" r:id="rId9" xr:uid="{AD0B9BCE-1226-4F42-8678-9BE3C65E7BE2}"/>
    <hyperlink ref="K1401" r:id="rId10" display="Gungun@2002" xr:uid="{588EE5DA-2BC1-44E5-815F-A601E9073932}"/>
    <hyperlink ref="K1407" r:id="rId11" xr:uid="{3274859C-27F4-448C-B546-AF50C90D79F0}"/>
    <hyperlink ref="K1408" r:id="rId12" xr:uid="{25905348-CF38-4000-A989-0C6BD48DEFA9}"/>
    <hyperlink ref="L1407" r:id="rId13" display="Gungun@2002" xr:uid="{025B9C7D-844C-44A7-9DB1-020421839A1A}"/>
    <hyperlink ref="L1408" r:id="rId14" display="Gungun@2002" xr:uid="{18A57D9C-7D3E-440E-B408-BAA6F9E30EDA}"/>
    <hyperlink ref="K1409" r:id="rId15" xr:uid="{AE17E86F-B720-45EA-A08B-BF882E5FC954}"/>
    <hyperlink ref="L1409" r:id="rId16" display="Gungun@2002" xr:uid="{1CD48768-85F3-40F5-AAC8-013D3C37AC31}"/>
    <hyperlink ref="K1425" r:id="rId17" xr:uid="{DA26FC70-500E-4A7D-9DAA-E88FC4879F7A}"/>
    <hyperlink ref="L1425" r:id="rId18" display="Gungun@2002" xr:uid="{C464B7BB-7B28-4A5D-B962-96458565A9C2}"/>
    <hyperlink ref="K1431" r:id="rId19" xr:uid="{9167F0CE-1493-4CE0-8A5C-6C0816BBA39D}"/>
    <hyperlink ref="L1431" r:id="rId20" display="Gungun@2002" xr:uid="{1DC867B1-A146-43A9-BEF5-99CA966C8785}"/>
    <hyperlink ref="K1446" r:id="rId21" xr:uid="{E895DA28-F2EA-4D06-96BB-A614E7BEA28D}"/>
    <hyperlink ref="L1446" r:id="rId22" display="Gungun@2002" xr:uid="{322113D3-8921-4EE0-A712-58C8077AD35E}"/>
    <hyperlink ref="J1491" r:id="rId23" xr:uid="{2D3E2524-223B-461D-B755-8DF36EA79401}"/>
    <hyperlink ref="K1491" r:id="rId24" xr:uid="{919AF61A-94CC-40F1-8943-F9AFF98B899D}"/>
  </hyperlinks>
  <pageMargins left="0.7" right="0.7" top="0.75" bottom="0.75" header="0" footer="0"/>
  <pageSetup paperSize="9" orientation="portrait"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0" activePane="bottomLeft" state="frozen"/>
      <selection pane="bottomLeft" activeCell="G44" sqref="G44"/>
    </sheetView>
  </sheetViews>
  <sheetFormatPr defaultColWidth="14.44140625" defaultRowHeight="15" customHeight="1"/>
  <cols>
    <col min="1" max="2" width="8.5546875" customWidth="1"/>
    <col min="3" max="3" width="12.88671875" customWidth="1"/>
    <col min="4" max="4" width="12.6640625" customWidth="1"/>
    <col min="5" max="5" width="23" customWidth="1"/>
    <col min="6" max="6" width="9.109375" customWidth="1"/>
    <col min="7" max="7" width="17.33203125" customWidth="1"/>
    <col min="8" max="8" width="14.6640625" customWidth="1"/>
    <col min="9" max="9" width="13.44140625" customWidth="1"/>
    <col min="10" max="26" width="8.5546875" customWidth="1"/>
  </cols>
  <sheetData>
    <row r="1" spans="2:10" ht="14.25" customHeight="1">
      <c r="C1" s="71"/>
      <c r="D1" s="71" t="s">
        <v>5116</v>
      </c>
      <c r="E1" s="57" t="s">
        <v>3</v>
      </c>
      <c r="F1" s="71"/>
      <c r="I1" s="57" t="s">
        <v>586</v>
      </c>
      <c r="J1" s="3">
        <f>MAX(caste!B2:B1090,income!B2:B1050,local!B2:B1144,B2:B1004,B2:B1004,death!B2:B999,EWC!B2:B1001)</f>
        <v>1127</v>
      </c>
    </row>
    <row r="2" spans="2:10" ht="14.25" customHeight="1">
      <c r="B2" s="57">
        <v>51</v>
      </c>
      <c r="C2" s="71"/>
      <c r="D2" s="71"/>
      <c r="E2" s="57" t="s">
        <v>5117</v>
      </c>
      <c r="F2" s="72">
        <v>1</v>
      </c>
      <c r="G2" s="57" t="s">
        <v>5118</v>
      </c>
      <c r="I2" s="57" t="s">
        <v>39</v>
      </c>
    </row>
    <row r="3" spans="2:10" ht="14.25" customHeight="1">
      <c r="B3" s="57">
        <v>143</v>
      </c>
      <c r="C3" s="71" t="s">
        <v>5119</v>
      </c>
      <c r="D3" s="71"/>
      <c r="E3" s="57" t="s">
        <v>110</v>
      </c>
      <c r="F3" s="72">
        <v>2</v>
      </c>
      <c r="G3" s="57" t="s">
        <v>5120</v>
      </c>
      <c r="I3" s="57" t="s">
        <v>39</v>
      </c>
    </row>
    <row r="4" spans="2:10" ht="14.25" customHeight="1">
      <c r="B4" s="57">
        <v>144</v>
      </c>
      <c r="C4" s="73"/>
      <c r="D4" s="71"/>
      <c r="E4" s="57" t="s">
        <v>5121</v>
      </c>
      <c r="F4" s="72">
        <v>3</v>
      </c>
      <c r="G4" s="57" t="s">
        <v>5122</v>
      </c>
      <c r="I4" s="57" t="s">
        <v>39</v>
      </c>
    </row>
    <row r="5" spans="2:10" ht="14.25" customHeight="1">
      <c r="B5" s="57">
        <v>174</v>
      </c>
      <c r="C5" s="73">
        <v>43193</v>
      </c>
      <c r="D5" s="71"/>
      <c r="E5" s="57" t="s">
        <v>5123</v>
      </c>
      <c r="F5" s="72">
        <v>4</v>
      </c>
      <c r="G5" s="57" t="s">
        <v>5124</v>
      </c>
      <c r="I5" s="57" t="s">
        <v>39</v>
      </c>
    </row>
    <row r="6" spans="2:10" ht="14.25" customHeight="1">
      <c r="B6" s="57">
        <v>179</v>
      </c>
      <c r="C6" s="73">
        <v>43199</v>
      </c>
      <c r="D6" s="71"/>
      <c r="E6" s="57" t="s">
        <v>286</v>
      </c>
      <c r="F6" s="72">
        <v>5</v>
      </c>
      <c r="G6" s="57" t="s">
        <v>5125</v>
      </c>
    </row>
    <row r="7" spans="2:10" ht="14.25" customHeight="1">
      <c r="B7" s="57">
        <v>224</v>
      </c>
      <c r="C7" s="73">
        <v>43262</v>
      </c>
      <c r="D7" s="71">
        <v>8092223582</v>
      </c>
      <c r="E7" s="57" t="s">
        <v>2856</v>
      </c>
      <c r="F7" s="72">
        <v>6</v>
      </c>
      <c r="G7" s="57" t="s">
        <v>5126</v>
      </c>
      <c r="I7" s="57" t="s">
        <v>87</v>
      </c>
    </row>
    <row r="8" spans="2:10" ht="14.25" customHeight="1">
      <c r="B8" s="57">
        <v>280</v>
      </c>
      <c r="C8" s="73">
        <v>43297</v>
      </c>
      <c r="D8" s="71">
        <v>9204244471</v>
      </c>
      <c r="E8" s="57" t="s">
        <v>286</v>
      </c>
      <c r="F8" s="72">
        <v>7</v>
      </c>
      <c r="G8" s="57" t="s">
        <v>5127</v>
      </c>
    </row>
    <row r="9" spans="2:10" ht="14.25" customHeight="1">
      <c r="C9" s="73">
        <v>43309</v>
      </c>
      <c r="D9" s="71">
        <v>9934188032</v>
      </c>
      <c r="E9" s="57" t="s">
        <v>4959</v>
      </c>
      <c r="F9" s="72">
        <v>8</v>
      </c>
      <c r="G9" s="57" t="s">
        <v>5128</v>
      </c>
    </row>
    <row r="10" spans="2:10" ht="14.25" customHeight="1">
      <c r="B10" s="57">
        <v>335</v>
      </c>
      <c r="C10" s="73">
        <v>43338</v>
      </c>
      <c r="D10" s="71">
        <v>9234768322</v>
      </c>
      <c r="E10" s="57" t="s">
        <v>5129</v>
      </c>
      <c r="F10" s="72">
        <v>9</v>
      </c>
      <c r="G10" s="57" t="s">
        <v>5130</v>
      </c>
      <c r="I10" s="57" t="s">
        <v>87</v>
      </c>
    </row>
    <row r="11" spans="2:10" ht="14.25" customHeight="1">
      <c r="B11" s="57">
        <v>336</v>
      </c>
      <c r="C11" s="73">
        <v>43338</v>
      </c>
      <c r="D11" s="71">
        <v>9234768322</v>
      </c>
      <c r="E11" s="57" t="s">
        <v>5131</v>
      </c>
      <c r="F11" s="72">
        <v>10</v>
      </c>
      <c r="G11" s="57" t="s">
        <v>5132</v>
      </c>
      <c r="I11" s="57" t="s">
        <v>87</v>
      </c>
    </row>
    <row r="12" spans="2:10" ht="14.25" customHeight="1">
      <c r="B12" s="57">
        <v>353</v>
      </c>
      <c r="C12" s="73">
        <v>43351</v>
      </c>
      <c r="D12" s="71">
        <v>9939168227</v>
      </c>
      <c r="E12" s="57" t="s">
        <v>5133</v>
      </c>
      <c r="F12" s="72">
        <v>11</v>
      </c>
      <c r="G12" s="57" t="s">
        <v>5134</v>
      </c>
      <c r="I12" s="57" t="s">
        <v>77</v>
      </c>
    </row>
    <row r="13" spans="2:10" ht="14.25" customHeight="1">
      <c r="B13" s="57">
        <v>368</v>
      </c>
      <c r="C13" s="74">
        <v>43366</v>
      </c>
      <c r="D13" s="71">
        <v>8092524722</v>
      </c>
      <c r="E13" s="57" t="s">
        <v>5135</v>
      </c>
      <c r="F13" s="72">
        <v>13</v>
      </c>
      <c r="G13" s="57" t="s">
        <v>5136</v>
      </c>
      <c r="I13" s="57" t="s">
        <v>39</v>
      </c>
    </row>
    <row r="14" spans="2:10" ht="14.25" customHeight="1">
      <c r="B14" s="57">
        <v>388</v>
      </c>
      <c r="C14" s="74">
        <v>43383</v>
      </c>
      <c r="D14" s="71">
        <v>9608810854</v>
      </c>
      <c r="E14" s="57" t="s">
        <v>1563</v>
      </c>
      <c r="F14" s="72">
        <v>14</v>
      </c>
      <c r="G14" s="57" t="s">
        <v>5137</v>
      </c>
      <c r="I14" s="57" t="s">
        <v>39</v>
      </c>
    </row>
    <row r="15" spans="2:10" ht="14.25" customHeight="1">
      <c r="B15" s="57">
        <v>407</v>
      </c>
      <c r="C15" s="74">
        <v>43437</v>
      </c>
      <c r="D15" s="71">
        <v>9939168227</v>
      </c>
      <c r="E15" s="57" t="s">
        <v>5133</v>
      </c>
      <c r="F15" s="72">
        <v>15</v>
      </c>
    </row>
    <row r="16" spans="2:10" ht="14.25" customHeight="1">
      <c r="C16" s="74">
        <v>43704</v>
      </c>
      <c r="D16" s="71">
        <v>8092196979</v>
      </c>
      <c r="E16" s="57" t="s">
        <v>5138</v>
      </c>
      <c r="F16" s="72">
        <v>16</v>
      </c>
      <c r="G16" s="57" t="s">
        <v>5139</v>
      </c>
      <c r="I16" s="57" t="s">
        <v>39</v>
      </c>
    </row>
    <row r="17" spans="1:9" ht="14.25" customHeight="1">
      <c r="C17" s="74">
        <v>43704</v>
      </c>
      <c r="D17" s="71">
        <v>9955844105</v>
      </c>
      <c r="E17" s="57" t="s">
        <v>5140</v>
      </c>
      <c r="F17" s="72">
        <v>17</v>
      </c>
      <c r="G17" s="57" t="s">
        <v>5141</v>
      </c>
      <c r="I17" s="57" t="s">
        <v>39</v>
      </c>
    </row>
    <row r="18" spans="1:9" ht="14.25" customHeight="1">
      <c r="C18" s="74">
        <v>43795</v>
      </c>
      <c r="D18" s="71">
        <v>9939168227</v>
      </c>
      <c r="E18" s="57" t="s">
        <v>5133</v>
      </c>
      <c r="F18" s="72">
        <v>18</v>
      </c>
      <c r="G18" s="57" t="s">
        <v>5142</v>
      </c>
    </row>
    <row r="19" spans="1:9" ht="14.25" customHeight="1">
      <c r="C19" s="74">
        <v>43835</v>
      </c>
      <c r="D19" s="71">
        <v>9939168227</v>
      </c>
      <c r="E19" s="57" t="s">
        <v>5133</v>
      </c>
      <c r="F19" s="72">
        <v>19</v>
      </c>
      <c r="G19" s="75" t="s">
        <v>5143</v>
      </c>
      <c r="I19" s="57" t="s">
        <v>39</v>
      </c>
    </row>
    <row r="20" spans="1:9" ht="14.25" customHeight="1">
      <c r="C20" s="74">
        <v>43891</v>
      </c>
      <c r="D20" s="71">
        <v>9955212502</v>
      </c>
      <c r="E20" s="57" t="s">
        <v>5144</v>
      </c>
      <c r="F20" s="72">
        <v>20</v>
      </c>
      <c r="G20" s="57" t="s">
        <v>5145</v>
      </c>
      <c r="I20" s="57" t="s">
        <v>39</v>
      </c>
    </row>
    <row r="21" spans="1:9" ht="14.25" customHeight="1">
      <c r="C21" s="74">
        <v>43891</v>
      </c>
      <c r="D21" s="71">
        <v>9955212502</v>
      </c>
      <c r="E21" s="57" t="s">
        <v>5146</v>
      </c>
      <c r="F21" s="72">
        <v>21</v>
      </c>
      <c r="G21" s="57" t="s">
        <v>5147</v>
      </c>
      <c r="I21" s="57" t="s">
        <v>39</v>
      </c>
    </row>
    <row r="22" spans="1:9" ht="14.25" customHeight="1">
      <c r="C22" s="74">
        <v>43899</v>
      </c>
      <c r="D22" s="71">
        <v>8092524722</v>
      </c>
      <c r="E22" s="57" t="s">
        <v>5148</v>
      </c>
      <c r="F22" s="72">
        <v>22</v>
      </c>
      <c r="G22" s="57" t="s">
        <v>5149</v>
      </c>
      <c r="I22" s="57" t="s">
        <v>77</v>
      </c>
    </row>
    <row r="23" spans="1:9" ht="14.25" customHeight="1">
      <c r="B23" s="57">
        <v>959</v>
      </c>
      <c r="C23" s="74">
        <v>43948</v>
      </c>
      <c r="D23" s="71" t="s">
        <v>5150</v>
      </c>
      <c r="E23" s="57" t="s">
        <v>5151</v>
      </c>
      <c r="F23" s="72">
        <v>23</v>
      </c>
      <c r="G23" s="75" t="s">
        <v>5152</v>
      </c>
      <c r="I23" s="57" t="s">
        <v>39</v>
      </c>
    </row>
    <row r="24" spans="1:9" ht="14.25" customHeight="1">
      <c r="B24" s="57">
        <v>958</v>
      </c>
      <c r="C24" s="74">
        <v>43948</v>
      </c>
      <c r="D24" s="71" t="s">
        <v>5150</v>
      </c>
      <c r="E24" s="57" t="s">
        <v>5153</v>
      </c>
      <c r="F24" s="72">
        <v>24</v>
      </c>
      <c r="G24" s="75" t="s">
        <v>5154</v>
      </c>
      <c r="I24" s="57" t="s">
        <v>39</v>
      </c>
    </row>
    <row r="25" spans="1:9" ht="14.25" customHeight="1">
      <c r="A25" s="57" t="s">
        <v>1523</v>
      </c>
      <c r="B25" s="76">
        <v>960</v>
      </c>
      <c r="C25" s="74">
        <v>43948</v>
      </c>
      <c r="D25" s="71" t="s">
        <v>5150</v>
      </c>
      <c r="E25" s="57" t="s">
        <v>5155</v>
      </c>
      <c r="F25" s="72">
        <v>25</v>
      </c>
      <c r="G25" s="75" t="s">
        <v>5156</v>
      </c>
      <c r="I25" s="57" t="s">
        <v>77</v>
      </c>
    </row>
    <row r="26" spans="1:9" ht="14.25" customHeight="1">
      <c r="A26" s="57" t="s">
        <v>1523</v>
      </c>
      <c r="B26" s="76">
        <v>961</v>
      </c>
      <c r="C26" s="74">
        <v>43948</v>
      </c>
      <c r="D26" s="71" t="s">
        <v>5150</v>
      </c>
      <c r="E26" s="57" t="s">
        <v>5157</v>
      </c>
      <c r="F26" s="72">
        <v>26</v>
      </c>
      <c r="G26" s="75" t="s">
        <v>5158</v>
      </c>
      <c r="I26" s="57" t="s">
        <v>77</v>
      </c>
    </row>
    <row r="27" spans="1:9" ht="14.25" customHeight="1">
      <c r="B27" s="57">
        <v>971</v>
      </c>
      <c r="C27" s="74">
        <v>43989</v>
      </c>
      <c r="D27" s="71">
        <v>9771229898</v>
      </c>
      <c r="E27" s="57" t="s">
        <v>5159</v>
      </c>
      <c r="F27" s="72">
        <v>27</v>
      </c>
      <c r="G27" s="75" t="s">
        <v>5160</v>
      </c>
      <c r="I27" s="57" t="s">
        <v>77</v>
      </c>
    </row>
    <row r="28" spans="1:9" ht="14.25" customHeight="1">
      <c r="B28" s="57">
        <v>973</v>
      </c>
      <c r="C28" s="74">
        <v>43990</v>
      </c>
      <c r="D28" s="71">
        <v>9771229898</v>
      </c>
      <c r="E28" s="57" t="s">
        <v>5161</v>
      </c>
      <c r="F28" s="72">
        <v>28</v>
      </c>
      <c r="G28" s="75" t="s">
        <v>5162</v>
      </c>
      <c r="I28" s="57" t="s">
        <v>5163</v>
      </c>
    </row>
    <row r="29" spans="1:9" ht="14.25" customHeight="1">
      <c r="B29" s="57">
        <v>974</v>
      </c>
      <c r="C29" s="74">
        <v>43990</v>
      </c>
      <c r="D29" s="71">
        <v>9504986952</v>
      </c>
      <c r="E29" s="57" t="s">
        <v>5164</v>
      </c>
      <c r="F29" s="72">
        <v>29</v>
      </c>
      <c r="G29" s="75" t="s">
        <v>5165</v>
      </c>
      <c r="I29" s="57" t="s">
        <v>77</v>
      </c>
    </row>
    <row r="30" spans="1:9" ht="14.25" customHeight="1">
      <c r="B30" s="57">
        <v>1001</v>
      </c>
      <c r="C30" s="74">
        <v>44011</v>
      </c>
      <c r="D30" s="71"/>
      <c r="E30" s="57" t="s">
        <v>5166</v>
      </c>
      <c r="F30" s="72">
        <v>30</v>
      </c>
      <c r="G30" s="75" t="s">
        <v>5167</v>
      </c>
      <c r="I30" s="57" t="s">
        <v>39</v>
      </c>
    </row>
    <row r="31" spans="1:9" ht="14.25" customHeight="1">
      <c r="B31" s="57">
        <v>1005</v>
      </c>
      <c r="C31" s="74">
        <v>44021</v>
      </c>
      <c r="D31" s="71">
        <v>7033871059</v>
      </c>
      <c r="E31" s="57" t="s">
        <v>5168</v>
      </c>
      <c r="F31" s="72">
        <v>31</v>
      </c>
      <c r="G31" s="75" t="s">
        <v>5169</v>
      </c>
      <c r="I31" s="57" t="s">
        <v>39</v>
      </c>
    </row>
    <row r="32" spans="1:9" ht="14.25" customHeight="1">
      <c r="B32" s="76">
        <v>1020</v>
      </c>
      <c r="C32" s="74">
        <v>44034</v>
      </c>
      <c r="D32" s="71">
        <v>6204270295</v>
      </c>
      <c r="E32" s="57" t="s">
        <v>5170</v>
      </c>
      <c r="F32" s="72">
        <v>32</v>
      </c>
      <c r="G32" s="75" t="s">
        <v>5171</v>
      </c>
      <c r="I32" s="57" t="s">
        <v>39</v>
      </c>
    </row>
    <row r="33" spans="1:9" ht="14.25" customHeight="1">
      <c r="B33" s="76">
        <v>1021</v>
      </c>
      <c r="C33" s="74">
        <v>44034</v>
      </c>
      <c r="D33" s="71">
        <v>6204270295</v>
      </c>
      <c r="E33" s="57" t="s">
        <v>5172</v>
      </c>
      <c r="F33" s="72">
        <v>33</v>
      </c>
      <c r="G33" s="57" t="s">
        <v>5173</v>
      </c>
    </row>
    <row r="34" spans="1:9" ht="14.25" customHeight="1">
      <c r="B34" s="57">
        <v>1033</v>
      </c>
      <c r="C34" s="74">
        <v>44055</v>
      </c>
      <c r="D34" s="71">
        <v>9931781344</v>
      </c>
      <c r="E34" s="57" t="s">
        <v>5174</v>
      </c>
      <c r="F34" s="72">
        <v>34</v>
      </c>
      <c r="G34" s="75" t="s">
        <v>5175</v>
      </c>
      <c r="I34" s="57" t="s">
        <v>39</v>
      </c>
    </row>
    <row r="35" spans="1:9" ht="14.25" customHeight="1">
      <c r="B35" s="57">
        <v>1034</v>
      </c>
      <c r="C35" s="74">
        <v>44055</v>
      </c>
      <c r="D35" s="71">
        <v>8603251790</v>
      </c>
      <c r="E35" s="57" t="s">
        <v>5176</v>
      </c>
      <c r="F35" s="72">
        <v>35</v>
      </c>
      <c r="G35" s="75" t="s">
        <v>5177</v>
      </c>
      <c r="I35" s="57" t="s">
        <v>39</v>
      </c>
    </row>
    <row r="36" spans="1:9" ht="14.25" customHeight="1">
      <c r="B36" s="57">
        <v>1038</v>
      </c>
      <c r="C36" s="71" t="s">
        <v>5178</v>
      </c>
      <c r="D36" s="71">
        <v>9204337111</v>
      </c>
      <c r="E36" s="57" t="s">
        <v>5179</v>
      </c>
      <c r="F36" s="72">
        <v>36</v>
      </c>
      <c r="G36" s="75" t="s">
        <v>5180</v>
      </c>
      <c r="H36" s="57" t="s">
        <v>1347</v>
      </c>
      <c r="I36" s="57" t="s">
        <v>39</v>
      </c>
    </row>
    <row r="37" spans="1:9" ht="14.25" customHeight="1">
      <c r="B37" s="57">
        <v>1040</v>
      </c>
      <c r="C37" s="74">
        <v>44074</v>
      </c>
      <c r="D37" s="71">
        <v>9625015209</v>
      </c>
      <c r="E37" s="57" t="s">
        <v>3990</v>
      </c>
      <c r="F37" s="72">
        <v>37</v>
      </c>
      <c r="G37" s="75" t="s">
        <v>5181</v>
      </c>
      <c r="H37" s="57" t="s">
        <v>1347</v>
      </c>
      <c r="I37" s="57" t="s">
        <v>39</v>
      </c>
    </row>
    <row r="38" spans="1:9" ht="14.25" customHeight="1">
      <c r="A38" s="57">
        <v>300</v>
      </c>
      <c r="B38" s="11">
        <v>1044</v>
      </c>
      <c r="C38" s="74">
        <v>44074</v>
      </c>
      <c r="D38" s="71">
        <v>7033643966</v>
      </c>
      <c r="E38" s="57" t="s">
        <v>5182</v>
      </c>
      <c r="F38" s="72">
        <v>38</v>
      </c>
      <c r="G38" s="75" t="s">
        <v>5183</v>
      </c>
      <c r="H38" s="57" t="s">
        <v>5184</v>
      </c>
      <c r="I38" s="57" t="s">
        <v>39</v>
      </c>
    </row>
    <row r="39" spans="1:9" ht="14.25" customHeight="1">
      <c r="A39" s="57">
        <v>300</v>
      </c>
      <c r="B39" s="11">
        <v>1045</v>
      </c>
      <c r="C39" s="74">
        <v>44074</v>
      </c>
      <c r="D39" s="71">
        <v>7033643966</v>
      </c>
      <c r="E39" s="57" t="s">
        <v>5185</v>
      </c>
      <c r="F39" s="72">
        <v>39</v>
      </c>
      <c r="G39" s="75" t="s">
        <v>5186</v>
      </c>
      <c r="H39" s="57" t="s">
        <v>5184</v>
      </c>
      <c r="I39" s="57" t="s">
        <v>5187</v>
      </c>
    </row>
    <row r="40" spans="1:9" ht="14.25" customHeight="1">
      <c r="B40" s="57">
        <v>1051</v>
      </c>
      <c r="C40" s="74">
        <v>44084</v>
      </c>
      <c r="D40" s="71">
        <v>9334141809</v>
      </c>
      <c r="E40" s="57" t="s">
        <v>5188</v>
      </c>
      <c r="F40" s="72">
        <v>40</v>
      </c>
      <c r="G40" s="75" t="s">
        <v>5189</v>
      </c>
      <c r="I40" s="57" t="s">
        <v>39</v>
      </c>
    </row>
    <row r="41" spans="1:9" ht="14.25" customHeight="1">
      <c r="C41" s="71"/>
      <c r="D41" s="71"/>
    </row>
    <row r="42" spans="1:9" ht="14.25" customHeight="1">
      <c r="C42" s="71"/>
      <c r="D42" s="71"/>
    </row>
    <row r="43" spans="1:9" ht="14.25" customHeight="1">
      <c r="C43" s="71"/>
      <c r="D43" s="71"/>
    </row>
    <row r="44" spans="1:9" ht="14.25" customHeight="1">
      <c r="C44" s="71"/>
      <c r="D44" s="71"/>
    </row>
    <row r="45" spans="1:9" ht="14.25" customHeight="1">
      <c r="C45" s="71"/>
      <c r="D45" s="71"/>
    </row>
    <row r="46" spans="1:9" ht="14.25" customHeight="1">
      <c r="C46" s="71"/>
      <c r="D46" s="71"/>
      <c r="G46" s="75"/>
    </row>
    <row r="47" spans="1:9" ht="14.25" customHeight="1">
      <c r="C47" s="71"/>
      <c r="D47" s="71"/>
      <c r="G47" s="75"/>
    </row>
    <row r="48" spans="1:9" ht="14.25" customHeight="1">
      <c r="C48" s="71"/>
      <c r="D48" s="71"/>
      <c r="G48" s="75"/>
    </row>
    <row r="49" spans="3:4" ht="14.25" customHeight="1">
      <c r="C49" s="71"/>
      <c r="D49" s="71"/>
    </row>
    <row r="50" spans="3:4" ht="14.25" customHeight="1">
      <c r="C50" s="71"/>
      <c r="D50" s="71"/>
    </row>
    <row r="51" spans="3:4" ht="14.25" customHeight="1">
      <c r="C51" s="71"/>
      <c r="D51" s="71"/>
    </row>
    <row r="52" spans="3:4" ht="14.25" customHeight="1">
      <c r="C52" s="71"/>
      <c r="D52" s="71"/>
    </row>
    <row r="53" spans="3:4" ht="14.25" customHeight="1">
      <c r="C53" s="71"/>
      <c r="D53" s="71"/>
    </row>
    <row r="54" spans="3:4" ht="14.25" customHeight="1">
      <c r="C54" s="71"/>
      <c r="D54" s="71"/>
    </row>
    <row r="55" spans="3:4" ht="14.25" customHeight="1">
      <c r="C55" s="71"/>
      <c r="D55" s="71"/>
    </row>
    <row r="56" spans="3:4" ht="14.25" customHeight="1">
      <c r="C56" s="71"/>
      <c r="D56" s="71"/>
    </row>
    <row r="57" spans="3:4" ht="14.25" customHeight="1">
      <c r="C57" s="71"/>
      <c r="D57" s="71"/>
    </row>
    <row r="58" spans="3:4" ht="14.25" customHeight="1">
      <c r="C58" s="71"/>
      <c r="D58" s="71"/>
    </row>
    <row r="59" spans="3:4" ht="14.25" customHeight="1">
      <c r="C59" s="71"/>
      <c r="D59" s="71"/>
    </row>
    <row r="60" spans="3:4" ht="14.25" customHeight="1">
      <c r="C60" s="71"/>
      <c r="D60" s="71"/>
    </row>
    <row r="61" spans="3:4" ht="14.25" customHeight="1">
      <c r="C61" s="71"/>
      <c r="D61" s="71"/>
    </row>
    <row r="62" spans="3:4" ht="14.25" customHeight="1">
      <c r="C62" s="71"/>
      <c r="D62" s="71"/>
    </row>
    <row r="63" spans="3:4" ht="14.25" customHeight="1">
      <c r="C63" s="71"/>
      <c r="D63" s="71"/>
    </row>
    <row r="64" spans="3:4" ht="14.25" customHeight="1">
      <c r="C64" s="71"/>
      <c r="D64" s="71"/>
    </row>
    <row r="65" spans="3:4" ht="14.25" customHeight="1">
      <c r="C65" s="71"/>
      <c r="D65" s="71"/>
    </row>
    <row r="66" spans="3:4" ht="14.25" customHeight="1">
      <c r="C66" s="71"/>
      <c r="D66" s="71"/>
    </row>
    <row r="67" spans="3:4" ht="14.25" customHeight="1">
      <c r="C67" s="71"/>
      <c r="D67" s="71"/>
    </row>
    <row r="68" spans="3:4" ht="14.25" customHeight="1">
      <c r="C68" s="71"/>
      <c r="D68" s="71"/>
    </row>
    <row r="69" spans="3:4" ht="14.25" customHeight="1">
      <c r="C69" s="71"/>
      <c r="D69" s="71"/>
    </row>
    <row r="70" spans="3:4" ht="14.25" customHeight="1">
      <c r="C70" s="71"/>
      <c r="D70" s="71"/>
    </row>
    <row r="71" spans="3:4" ht="14.25" customHeight="1">
      <c r="C71" s="71"/>
      <c r="D71" s="71"/>
    </row>
    <row r="72" spans="3:4" ht="14.25" customHeight="1">
      <c r="C72" s="71"/>
      <c r="D72" s="71"/>
    </row>
    <row r="73" spans="3:4" ht="14.25" customHeight="1">
      <c r="C73" s="71"/>
      <c r="D73" s="71"/>
    </row>
    <row r="74" spans="3:4" ht="14.25" customHeight="1">
      <c r="C74" s="71"/>
      <c r="D74" s="71"/>
    </row>
    <row r="75" spans="3:4" ht="14.25" customHeight="1">
      <c r="C75" s="71"/>
      <c r="D75" s="71"/>
    </row>
    <row r="76" spans="3:4" ht="14.25" customHeight="1">
      <c r="C76" s="71"/>
      <c r="D76" s="71"/>
    </row>
    <row r="77" spans="3:4" ht="14.25" customHeight="1">
      <c r="C77" s="71"/>
      <c r="D77" s="71"/>
    </row>
    <row r="78" spans="3:4" ht="14.25" customHeight="1">
      <c r="C78" s="71"/>
      <c r="D78" s="71"/>
    </row>
    <row r="79" spans="3:4" ht="14.25" customHeight="1">
      <c r="C79" s="71"/>
      <c r="D79" s="71"/>
    </row>
    <row r="80" spans="3:4" ht="14.25" customHeight="1">
      <c r="C80" s="71"/>
      <c r="D80" s="71"/>
    </row>
    <row r="81" spans="3:4" ht="14.25" customHeight="1">
      <c r="C81" s="71"/>
      <c r="D81" s="71"/>
    </row>
    <row r="82" spans="3:4" ht="14.25" customHeight="1">
      <c r="C82" s="71"/>
      <c r="D82" s="71"/>
    </row>
    <row r="83" spans="3:4" ht="14.25" customHeight="1">
      <c r="C83" s="71"/>
      <c r="D83" s="71"/>
    </row>
    <row r="84" spans="3:4" ht="14.25" customHeight="1">
      <c r="C84" s="71"/>
      <c r="D84" s="71"/>
    </row>
    <row r="85" spans="3:4" ht="14.25" customHeight="1">
      <c r="C85" s="71"/>
      <c r="D85" s="71"/>
    </row>
    <row r="86" spans="3:4" ht="14.25" customHeight="1">
      <c r="C86" s="71"/>
      <c r="D86" s="71"/>
    </row>
    <row r="87" spans="3:4" ht="14.25" customHeight="1">
      <c r="C87" s="71"/>
      <c r="D87" s="71"/>
    </row>
    <row r="88" spans="3:4" ht="14.25" customHeight="1">
      <c r="C88" s="71"/>
      <c r="D88" s="71"/>
    </row>
    <row r="89" spans="3:4" ht="14.25" customHeight="1">
      <c r="C89" s="71"/>
      <c r="D89" s="71"/>
    </row>
    <row r="90" spans="3:4" ht="14.25" customHeight="1">
      <c r="C90" s="71"/>
      <c r="D90" s="71"/>
    </row>
    <row r="91" spans="3:4" ht="14.25" customHeight="1">
      <c r="C91" s="71"/>
      <c r="D91" s="71"/>
    </row>
    <row r="92" spans="3:4" ht="14.25" customHeight="1">
      <c r="C92" s="71"/>
      <c r="D92" s="71"/>
    </row>
    <row r="93" spans="3:4" ht="14.25" customHeight="1">
      <c r="C93" s="71"/>
      <c r="D93" s="71"/>
    </row>
    <row r="94" spans="3:4" ht="14.25" customHeight="1">
      <c r="C94" s="71"/>
      <c r="D94" s="71"/>
    </row>
    <row r="95" spans="3:4" ht="14.25" customHeight="1">
      <c r="C95" s="71"/>
      <c r="D95" s="71"/>
    </row>
    <row r="96" spans="3:4" ht="14.25" customHeight="1">
      <c r="C96" s="71"/>
      <c r="D96" s="71"/>
    </row>
    <row r="97" spans="3:4" ht="14.25" customHeight="1">
      <c r="C97" s="71"/>
      <c r="D97" s="71"/>
    </row>
    <row r="98" spans="3:4" ht="14.25" customHeight="1">
      <c r="C98" s="71"/>
      <c r="D98" s="71"/>
    </row>
    <row r="99" spans="3:4" ht="14.25" customHeight="1">
      <c r="C99" s="71"/>
      <c r="D99" s="71"/>
    </row>
    <row r="100" spans="3:4" ht="14.25" customHeight="1">
      <c r="C100" s="71"/>
      <c r="D100" s="71"/>
    </row>
    <row r="101" spans="3:4" ht="14.25" customHeight="1">
      <c r="C101" s="71"/>
      <c r="D101" s="71"/>
    </row>
    <row r="102" spans="3:4" ht="14.25" customHeight="1">
      <c r="C102" s="71"/>
      <c r="D102" s="71"/>
    </row>
    <row r="103" spans="3:4" ht="14.25" customHeight="1">
      <c r="C103" s="71"/>
      <c r="D103" s="71"/>
    </row>
    <row r="104" spans="3:4" ht="14.25" customHeight="1">
      <c r="C104" s="71"/>
      <c r="D104" s="71"/>
    </row>
    <row r="105" spans="3:4" ht="14.25" customHeight="1">
      <c r="C105" s="71"/>
      <c r="D105" s="71"/>
    </row>
    <row r="106" spans="3:4" ht="14.25" customHeight="1">
      <c r="C106" s="71"/>
      <c r="D106" s="71"/>
    </row>
    <row r="107" spans="3:4" ht="14.25" customHeight="1">
      <c r="C107" s="71"/>
      <c r="D107" s="71"/>
    </row>
    <row r="108" spans="3:4" ht="14.25" customHeight="1">
      <c r="C108" s="71"/>
      <c r="D108" s="71"/>
    </row>
    <row r="109" spans="3:4" ht="14.25" customHeight="1">
      <c r="C109" s="71"/>
      <c r="D109" s="71"/>
    </row>
    <row r="110" spans="3:4" ht="14.25" customHeight="1">
      <c r="C110" s="71"/>
      <c r="D110" s="71"/>
    </row>
    <row r="111" spans="3:4" ht="14.25" customHeight="1">
      <c r="C111" s="71"/>
      <c r="D111" s="71"/>
    </row>
    <row r="112" spans="3:4" ht="14.25" customHeight="1">
      <c r="C112" s="71"/>
      <c r="D112" s="71"/>
    </row>
    <row r="113" spans="3:4" ht="14.25" customHeight="1">
      <c r="C113" s="71"/>
      <c r="D113" s="71"/>
    </row>
    <row r="114" spans="3:4" ht="14.25" customHeight="1">
      <c r="C114" s="71"/>
      <c r="D114" s="71"/>
    </row>
    <row r="115" spans="3:4" ht="14.25" customHeight="1">
      <c r="C115" s="71"/>
      <c r="D115" s="71"/>
    </row>
    <row r="116" spans="3:4" ht="14.25" customHeight="1">
      <c r="C116" s="71"/>
      <c r="D116" s="71"/>
    </row>
    <row r="117" spans="3:4" ht="14.25" customHeight="1">
      <c r="C117" s="71"/>
      <c r="D117" s="71"/>
    </row>
    <row r="118" spans="3:4" ht="14.25" customHeight="1">
      <c r="C118" s="71"/>
      <c r="D118" s="71"/>
    </row>
    <row r="119" spans="3:4" ht="14.25" customHeight="1">
      <c r="C119" s="71"/>
      <c r="D119" s="71"/>
    </row>
    <row r="120" spans="3:4" ht="14.25" customHeight="1">
      <c r="C120" s="71"/>
      <c r="D120" s="71"/>
    </row>
    <row r="121" spans="3:4" ht="14.25" customHeight="1">
      <c r="C121" s="71"/>
      <c r="D121" s="71"/>
    </row>
    <row r="122" spans="3:4" ht="14.25" customHeight="1">
      <c r="C122" s="71"/>
      <c r="D122" s="71"/>
    </row>
    <row r="123" spans="3:4" ht="14.25" customHeight="1">
      <c r="C123" s="71"/>
      <c r="D123" s="71"/>
    </row>
    <row r="124" spans="3:4" ht="14.25" customHeight="1">
      <c r="C124" s="71"/>
      <c r="D124" s="71"/>
    </row>
    <row r="125" spans="3:4" ht="14.25" customHeight="1">
      <c r="C125" s="71"/>
      <c r="D125" s="71"/>
    </row>
    <row r="126" spans="3:4" ht="14.25" customHeight="1">
      <c r="C126" s="71"/>
      <c r="D126" s="71"/>
    </row>
    <row r="127" spans="3:4" ht="14.25" customHeight="1">
      <c r="C127" s="71"/>
      <c r="D127" s="71"/>
    </row>
    <row r="128" spans="3:4" ht="14.25" customHeight="1">
      <c r="C128" s="71"/>
      <c r="D128" s="71"/>
    </row>
    <row r="129" spans="3:4" ht="14.25" customHeight="1">
      <c r="C129" s="71"/>
      <c r="D129" s="71"/>
    </row>
    <row r="130" spans="3:4" ht="14.25" customHeight="1">
      <c r="C130" s="71"/>
      <c r="D130" s="71"/>
    </row>
    <row r="131" spans="3:4" ht="14.25" customHeight="1">
      <c r="C131" s="71"/>
      <c r="D131" s="71"/>
    </row>
    <row r="132" spans="3:4" ht="14.25" customHeight="1">
      <c r="C132" s="71"/>
      <c r="D132" s="71"/>
    </row>
    <row r="133" spans="3:4" ht="14.25" customHeight="1">
      <c r="C133" s="71"/>
      <c r="D133" s="71"/>
    </row>
    <row r="134" spans="3:4" ht="14.25" customHeight="1">
      <c r="C134" s="71"/>
      <c r="D134" s="71"/>
    </row>
    <row r="135" spans="3:4" ht="14.25" customHeight="1">
      <c r="C135" s="71"/>
      <c r="D135" s="71"/>
    </row>
    <row r="136" spans="3:4" ht="14.25" customHeight="1">
      <c r="C136" s="71"/>
      <c r="D136" s="71"/>
    </row>
    <row r="137" spans="3:4" ht="14.25" customHeight="1">
      <c r="C137" s="71"/>
      <c r="D137" s="71"/>
    </row>
    <row r="138" spans="3:4" ht="14.25" customHeight="1">
      <c r="C138" s="71"/>
      <c r="D138" s="71"/>
    </row>
    <row r="139" spans="3:4" ht="14.25" customHeight="1">
      <c r="C139" s="71"/>
      <c r="D139" s="71"/>
    </row>
    <row r="140" spans="3:4" ht="14.25" customHeight="1">
      <c r="C140" s="71"/>
      <c r="D140" s="71"/>
    </row>
    <row r="141" spans="3:4" ht="14.25" customHeight="1">
      <c r="C141" s="71"/>
      <c r="D141" s="71"/>
    </row>
    <row r="142" spans="3:4" ht="14.25" customHeight="1">
      <c r="C142" s="71"/>
      <c r="D142" s="71"/>
    </row>
    <row r="143" spans="3:4" ht="14.25" customHeight="1">
      <c r="C143" s="71"/>
      <c r="D143" s="71"/>
    </row>
    <row r="144" spans="3:4" ht="14.25" customHeight="1">
      <c r="C144" s="71"/>
      <c r="D144" s="71"/>
    </row>
    <row r="145" spans="3:4" ht="14.25" customHeight="1">
      <c r="C145" s="71"/>
      <c r="D145" s="71"/>
    </row>
    <row r="146" spans="3:4" ht="14.25" customHeight="1">
      <c r="C146" s="71"/>
      <c r="D146" s="71"/>
    </row>
    <row r="147" spans="3:4" ht="14.25" customHeight="1">
      <c r="C147" s="71"/>
      <c r="D147" s="71"/>
    </row>
    <row r="148" spans="3:4" ht="14.25" customHeight="1">
      <c r="C148" s="71"/>
      <c r="D148" s="71"/>
    </row>
    <row r="149" spans="3:4" ht="14.25" customHeight="1">
      <c r="C149" s="71"/>
      <c r="D149" s="71"/>
    </row>
    <row r="150" spans="3:4" ht="14.25" customHeight="1">
      <c r="C150" s="71"/>
      <c r="D150" s="71"/>
    </row>
    <row r="151" spans="3:4" ht="14.25" customHeight="1">
      <c r="C151" s="71"/>
      <c r="D151" s="71"/>
    </row>
    <row r="152" spans="3:4" ht="14.25" customHeight="1">
      <c r="C152" s="71"/>
      <c r="D152" s="71"/>
    </row>
    <row r="153" spans="3:4" ht="14.25" customHeight="1">
      <c r="C153" s="71"/>
      <c r="D153" s="71"/>
    </row>
    <row r="154" spans="3:4" ht="14.25" customHeight="1">
      <c r="C154" s="71"/>
      <c r="D154" s="71"/>
    </row>
    <row r="155" spans="3:4" ht="14.25" customHeight="1">
      <c r="C155" s="71"/>
      <c r="D155" s="71"/>
    </row>
    <row r="156" spans="3:4" ht="14.25" customHeight="1">
      <c r="C156" s="71"/>
      <c r="D156" s="71"/>
    </row>
    <row r="157" spans="3:4" ht="14.25" customHeight="1">
      <c r="C157" s="71"/>
      <c r="D157" s="71"/>
    </row>
    <row r="158" spans="3:4" ht="14.25" customHeight="1">
      <c r="C158" s="71"/>
      <c r="D158" s="71"/>
    </row>
    <row r="159" spans="3:4" ht="14.25" customHeight="1">
      <c r="C159" s="71"/>
      <c r="D159" s="71"/>
    </row>
    <row r="160" spans="3:4" ht="14.25" customHeight="1">
      <c r="C160" s="71"/>
      <c r="D160" s="71"/>
    </row>
    <row r="161" spans="3:4" ht="14.25" customHeight="1">
      <c r="C161" s="71"/>
      <c r="D161" s="71"/>
    </row>
    <row r="162" spans="3:4" ht="14.25" customHeight="1">
      <c r="C162" s="71"/>
      <c r="D162" s="71"/>
    </row>
    <row r="163" spans="3:4" ht="14.25" customHeight="1">
      <c r="C163" s="71"/>
      <c r="D163" s="71"/>
    </row>
    <row r="164" spans="3:4" ht="14.25" customHeight="1">
      <c r="C164" s="71"/>
      <c r="D164" s="71"/>
    </row>
    <row r="165" spans="3:4" ht="14.25" customHeight="1">
      <c r="C165" s="71"/>
      <c r="D165" s="71"/>
    </row>
    <row r="166" spans="3:4" ht="14.25" customHeight="1">
      <c r="C166" s="71"/>
      <c r="D166" s="71"/>
    </row>
    <row r="167" spans="3:4" ht="14.25" customHeight="1">
      <c r="C167" s="71"/>
      <c r="D167" s="71"/>
    </row>
    <row r="168" spans="3:4" ht="14.25" customHeight="1">
      <c r="C168" s="71"/>
      <c r="D168" s="71"/>
    </row>
    <row r="169" spans="3:4" ht="14.25" customHeight="1">
      <c r="C169" s="71"/>
      <c r="D169" s="71"/>
    </row>
    <row r="170" spans="3:4" ht="14.25" customHeight="1">
      <c r="C170" s="71"/>
      <c r="D170" s="71"/>
    </row>
    <row r="171" spans="3:4" ht="14.25" customHeight="1">
      <c r="C171" s="71"/>
      <c r="D171" s="71"/>
    </row>
    <row r="172" spans="3:4" ht="14.25" customHeight="1">
      <c r="C172" s="71"/>
      <c r="D172" s="71"/>
    </row>
    <row r="173" spans="3:4" ht="14.25" customHeight="1">
      <c r="C173" s="71"/>
      <c r="D173" s="71"/>
    </row>
    <row r="174" spans="3:4" ht="14.25" customHeight="1">
      <c r="C174" s="71"/>
      <c r="D174" s="71"/>
    </row>
    <row r="175" spans="3:4" ht="14.25" customHeight="1">
      <c r="C175" s="71"/>
      <c r="D175" s="71"/>
    </row>
    <row r="176" spans="3:4" ht="14.25" customHeight="1">
      <c r="C176" s="71"/>
      <c r="D176" s="71"/>
    </row>
    <row r="177" spans="3:4" ht="14.25" customHeight="1">
      <c r="C177" s="71"/>
      <c r="D177" s="71"/>
    </row>
    <row r="178" spans="3:4" ht="14.25" customHeight="1">
      <c r="C178" s="71"/>
      <c r="D178" s="71"/>
    </row>
    <row r="179" spans="3:4" ht="14.25" customHeight="1">
      <c r="C179" s="71"/>
      <c r="D179" s="71"/>
    </row>
    <row r="180" spans="3:4" ht="14.25" customHeight="1">
      <c r="C180" s="71"/>
      <c r="D180" s="71"/>
    </row>
    <row r="181" spans="3:4" ht="14.25" customHeight="1">
      <c r="C181" s="71"/>
      <c r="D181" s="71"/>
    </row>
    <row r="182" spans="3:4" ht="14.25" customHeight="1">
      <c r="C182" s="71"/>
      <c r="D182" s="71"/>
    </row>
    <row r="183" spans="3:4" ht="14.25" customHeight="1">
      <c r="C183" s="71"/>
      <c r="D183" s="71"/>
    </row>
    <row r="184" spans="3:4" ht="14.25" customHeight="1">
      <c r="C184" s="71"/>
      <c r="D184" s="71"/>
    </row>
    <row r="185" spans="3:4" ht="14.25" customHeight="1">
      <c r="C185" s="71"/>
      <c r="D185" s="71"/>
    </row>
    <row r="186" spans="3:4" ht="14.25" customHeight="1">
      <c r="C186" s="71"/>
      <c r="D186" s="71"/>
    </row>
    <row r="187" spans="3:4" ht="14.25" customHeight="1">
      <c r="C187" s="71"/>
      <c r="D187" s="71"/>
    </row>
    <row r="188" spans="3:4" ht="14.25" customHeight="1">
      <c r="C188" s="71"/>
      <c r="D188" s="71"/>
    </row>
    <row r="189" spans="3:4" ht="14.25" customHeight="1">
      <c r="C189" s="71"/>
      <c r="D189" s="71"/>
    </row>
    <row r="190" spans="3:4" ht="14.25" customHeight="1">
      <c r="C190" s="71"/>
      <c r="D190" s="71"/>
    </row>
    <row r="191" spans="3:4" ht="14.25" customHeight="1">
      <c r="C191" s="71"/>
      <c r="D191" s="71"/>
    </row>
    <row r="192" spans="3:4" ht="14.25" customHeight="1">
      <c r="C192" s="71"/>
      <c r="D192" s="71"/>
    </row>
    <row r="193" spans="3:4" ht="14.25" customHeight="1">
      <c r="C193" s="71"/>
      <c r="D193" s="71"/>
    </row>
    <row r="194" spans="3:4" ht="14.25" customHeight="1">
      <c r="C194" s="71"/>
      <c r="D194" s="71"/>
    </row>
    <row r="195" spans="3:4" ht="14.25" customHeight="1">
      <c r="C195" s="71"/>
      <c r="D195" s="71"/>
    </row>
    <row r="196" spans="3:4" ht="14.25" customHeight="1">
      <c r="C196" s="71"/>
      <c r="D196" s="71"/>
    </row>
    <row r="197" spans="3:4" ht="14.25" customHeight="1">
      <c r="C197" s="71"/>
      <c r="D197" s="71"/>
    </row>
    <row r="198" spans="3:4" ht="14.25" customHeight="1">
      <c r="C198" s="71"/>
      <c r="D198" s="71"/>
    </row>
    <row r="199" spans="3:4" ht="14.25" customHeight="1">
      <c r="C199" s="71"/>
      <c r="D199" s="71"/>
    </row>
    <row r="200" spans="3:4" ht="14.25" customHeight="1">
      <c r="C200" s="71"/>
      <c r="D200" s="71"/>
    </row>
    <row r="201" spans="3:4" ht="14.25" customHeight="1">
      <c r="C201" s="71"/>
      <c r="D201" s="71"/>
    </row>
    <row r="202" spans="3:4" ht="14.25" customHeight="1">
      <c r="C202" s="71"/>
      <c r="D202" s="71"/>
    </row>
    <row r="203" spans="3:4" ht="14.25" customHeight="1">
      <c r="C203" s="71"/>
      <c r="D203" s="71"/>
    </row>
    <row r="204" spans="3:4" ht="14.25" customHeight="1">
      <c r="C204" s="71"/>
      <c r="D204" s="71"/>
    </row>
    <row r="205" spans="3:4" ht="14.25" customHeight="1">
      <c r="C205" s="71"/>
      <c r="D205" s="71"/>
    </row>
    <row r="206" spans="3:4" ht="14.25" customHeight="1">
      <c r="C206" s="71"/>
      <c r="D206" s="71"/>
    </row>
    <row r="207" spans="3:4" ht="14.25" customHeight="1">
      <c r="C207" s="71"/>
      <c r="D207" s="71"/>
    </row>
    <row r="208" spans="3:4" ht="14.25" customHeight="1">
      <c r="C208" s="71"/>
      <c r="D208" s="71"/>
    </row>
    <row r="209" spans="3:4" ht="14.25" customHeight="1">
      <c r="C209" s="71"/>
      <c r="D209" s="71"/>
    </row>
    <row r="210" spans="3:4" ht="14.25" customHeight="1">
      <c r="C210" s="71"/>
      <c r="D210" s="71"/>
    </row>
    <row r="211" spans="3:4" ht="14.25" customHeight="1">
      <c r="C211" s="71"/>
      <c r="D211" s="71"/>
    </row>
    <row r="212" spans="3:4" ht="14.25" customHeight="1">
      <c r="C212" s="71"/>
      <c r="D212" s="71"/>
    </row>
    <row r="213" spans="3:4" ht="14.25" customHeight="1">
      <c r="C213" s="71"/>
      <c r="D213" s="71"/>
    </row>
    <row r="214" spans="3:4" ht="14.25" customHeight="1">
      <c r="C214" s="71"/>
      <c r="D214" s="71"/>
    </row>
    <row r="215" spans="3:4" ht="14.25" customHeight="1">
      <c r="C215" s="71"/>
      <c r="D215" s="71"/>
    </row>
    <row r="216" spans="3:4" ht="14.25" customHeight="1">
      <c r="C216" s="71"/>
      <c r="D216" s="71"/>
    </row>
    <row r="217" spans="3:4" ht="14.25" customHeight="1">
      <c r="C217" s="71"/>
      <c r="D217" s="71"/>
    </row>
    <row r="218" spans="3:4" ht="14.25" customHeight="1">
      <c r="C218" s="71"/>
      <c r="D218" s="71"/>
    </row>
    <row r="219" spans="3:4" ht="14.25" customHeight="1">
      <c r="C219" s="71"/>
      <c r="D219" s="71"/>
    </row>
    <row r="220" spans="3:4" ht="14.25" customHeight="1">
      <c r="C220" s="71"/>
      <c r="D220" s="71"/>
    </row>
    <row r="221" spans="3:4" ht="14.25" customHeight="1">
      <c r="C221" s="71"/>
      <c r="D221" s="71"/>
    </row>
    <row r="222" spans="3:4" ht="14.25" customHeight="1">
      <c r="C222" s="71"/>
      <c r="D222" s="71"/>
    </row>
    <row r="223" spans="3:4" ht="14.25" customHeight="1">
      <c r="C223" s="71"/>
      <c r="D223" s="71"/>
    </row>
    <row r="224" spans="3:4" ht="14.25" customHeight="1">
      <c r="C224" s="71"/>
      <c r="D224" s="71"/>
    </row>
    <row r="225" spans="3:4" ht="14.25" customHeight="1">
      <c r="C225" s="71"/>
      <c r="D225" s="71"/>
    </row>
    <row r="226" spans="3:4" ht="14.25" customHeight="1">
      <c r="C226" s="71"/>
      <c r="D226" s="71"/>
    </row>
    <row r="227" spans="3:4" ht="14.25" customHeight="1">
      <c r="C227" s="71"/>
      <c r="D227" s="71"/>
    </row>
    <row r="228" spans="3:4" ht="14.25" customHeight="1">
      <c r="C228" s="71"/>
      <c r="D228" s="71"/>
    </row>
    <row r="229" spans="3:4" ht="14.25" customHeight="1">
      <c r="C229" s="71"/>
      <c r="D229" s="71"/>
    </row>
    <row r="230" spans="3:4" ht="14.25" customHeight="1">
      <c r="C230" s="71"/>
      <c r="D230" s="71"/>
    </row>
    <row r="231" spans="3:4" ht="14.25" customHeight="1">
      <c r="C231" s="71"/>
      <c r="D231" s="71"/>
    </row>
    <row r="232" spans="3:4" ht="14.25" customHeight="1">
      <c r="C232" s="71"/>
      <c r="D232" s="71"/>
    </row>
    <row r="233" spans="3:4" ht="14.25" customHeight="1">
      <c r="C233" s="71"/>
      <c r="D233" s="71"/>
    </row>
    <row r="234" spans="3:4" ht="14.25" customHeight="1">
      <c r="C234" s="71"/>
      <c r="D234" s="71"/>
    </row>
    <row r="235" spans="3:4" ht="14.25" customHeight="1">
      <c r="C235" s="71"/>
      <c r="D235" s="71"/>
    </row>
    <row r="236" spans="3:4" ht="14.25" customHeight="1">
      <c r="C236" s="71"/>
      <c r="D236" s="71"/>
    </row>
    <row r="237" spans="3:4" ht="14.25" customHeight="1">
      <c r="C237" s="71"/>
      <c r="D237" s="71"/>
    </row>
    <row r="238" spans="3:4" ht="14.25" customHeight="1">
      <c r="C238" s="71"/>
      <c r="D238" s="71"/>
    </row>
    <row r="239" spans="3:4" ht="14.25" customHeight="1">
      <c r="C239" s="71"/>
      <c r="D239" s="71"/>
    </row>
    <row r="240" spans="3:4" ht="14.25" customHeight="1">
      <c r="C240" s="71"/>
      <c r="D240" s="71"/>
    </row>
    <row r="241" spans="3:4" ht="14.25" customHeight="1">
      <c r="C241" s="71"/>
      <c r="D241" s="71"/>
    </row>
    <row r="242" spans="3:4" ht="14.25" customHeight="1">
      <c r="C242" s="71"/>
      <c r="D242" s="71"/>
    </row>
    <row r="243" spans="3:4" ht="14.25" customHeight="1">
      <c r="C243" s="71"/>
      <c r="D243" s="71"/>
    </row>
    <row r="244" spans="3:4" ht="14.25" customHeight="1">
      <c r="C244" s="71"/>
      <c r="D244" s="71"/>
    </row>
    <row r="245" spans="3:4" ht="14.25" customHeight="1">
      <c r="C245" s="71"/>
      <c r="D245" s="71"/>
    </row>
    <row r="246" spans="3:4" ht="14.25" customHeight="1">
      <c r="C246" s="71"/>
      <c r="D246" s="71"/>
    </row>
    <row r="247" spans="3:4" ht="14.25" customHeight="1">
      <c r="C247" s="71"/>
      <c r="D247" s="71"/>
    </row>
    <row r="248" spans="3:4" ht="14.25" customHeight="1">
      <c r="C248" s="71"/>
      <c r="D248" s="71"/>
    </row>
    <row r="249" spans="3:4" ht="14.25" customHeight="1">
      <c r="C249" s="71"/>
      <c r="D249" s="71"/>
    </row>
    <row r="250" spans="3:4" ht="14.25" customHeight="1">
      <c r="C250" s="71"/>
      <c r="D250" s="71"/>
    </row>
    <row r="251" spans="3:4" ht="14.25" customHeight="1">
      <c r="C251" s="71"/>
      <c r="D251" s="71"/>
    </row>
    <row r="252" spans="3:4" ht="14.25" customHeight="1">
      <c r="C252" s="71"/>
      <c r="D252" s="71"/>
    </row>
    <row r="253" spans="3:4" ht="14.25" customHeight="1">
      <c r="C253" s="71"/>
      <c r="D253" s="71"/>
    </row>
    <row r="254" spans="3:4" ht="14.25" customHeight="1">
      <c r="C254" s="71"/>
      <c r="D254" s="71"/>
    </row>
    <row r="255" spans="3:4" ht="14.25" customHeight="1">
      <c r="C255" s="71"/>
      <c r="D255" s="71"/>
    </row>
    <row r="256" spans="3:4" ht="14.25" customHeight="1">
      <c r="C256" s="71"/>
      <c r="D256" s="71"/>
    </row>
    <row r="257" spans="3:4" ht="14.25" customHeight="1">
      <c r="C257" s="71"/>
      <c r="D257" s="71"/>
    </row>
    <row r="258" spans="3:4" ht="14.25" customHeight="1">
      <c r="C258" s="71"/>
      <c r="D258" s="71"/>
    </row>
    <row r="259" spans="3:4" ht="14.25" customHeight="1">
      <c r="C259" s="71"/>
      <c r="D259" s="71"/>
    </row>
    <row r="260" spans="3:4" ht="14.25" customHeight="1">
      <c r="C260" s="71"/>
      <c r="D260" s="71"/>
    </row>
    <row r="261" spans="3:4" ht="14.25" customHeight="1">
      <c r="C261" s="71"/>
      <c r="D261" s="71"/>
    </row>
    <row r="262" spans="3:4" ht="14.25" customHeight="1">
      <c r="C262" s="71"/>
      <c r="D262" s="71"/>
    </row>
    <row r="263" spans="3:4" ht="14.25" customHeight="1">
      <c r="C263" s="71"/>
      <c r="D263" s="71"/>
    </row>
    <row r="264" spans="3:4" ht="14.25" customHeight="1">
      <c r="C264" s="71"/>
      <c r="D264" s="71"/>
    </row>
    <row r="265" spans="3:4" ht="14.25" customHeight="1">
      <c r="C265" s="71"/>
      <c r="D265" s="71"/>
    </row>
    <row r="266" spans="3:4" ht="14.25" customHeight="1">
      <c r="C266" s="71"/>
      <c r="D266" s="71"/>
    </row>
    <row r="267" spans="3:4" ht="14.25" customHeight="1">
      <c r="C267" s="71"/>
      <c r="D267" s="71"/>
    </row>
    <row r="268" spans="3:4" ht="14.25" customHeight="1">
      <c r="C268" s="71"/>
      <c r="D268" s="71"/>
    </row>
    <row r="269" spans="3:4" ht="14.25" customHeight="1">
      <c r="C269" s="71"/>
      <c r="D269" s="71"/>
    </row>
    <row r="270" spans="3:4" ht="14.25" customHeight="1">
      <c r="C270" s="71"/>
      <c r="D270" s="71"/>
    </row>
    <row r="271" spans="3:4" ht="14.25" customHeight="1">
      <c r="C271" s="71"/>
      <c r="D271" s="71"/>
    </row>
    <row r="272" spans="3:4" ht="14.25" customHeight="1">
      <c r="C272" s="71"/>
      <c r="D272" s="71"/>
    </row>
    <row r="273" spans="3:4" ht="14.25" customHeight="1">
      <c r="C273" s="71"/>
      <c r="D273" s="71"/>
    </row>
    <row r="274" spans="3:4" ht="14.25" customHeight="1">
      <c r="C274" s="71"/>
      <c r="D274" s="71"/>
    </row>
    <row r="275" spans="3:4" ht="14.25" customHeight="1">
      <c r="C275" s="71"/>
      <c r="D275" s="71"/>
    </row>
    <row r="276" spans="3:4" ht="14.25" customHeight="1">
      <c r="C276" s="71"/>
      <c r="D276" s="71"/>
    </row>
    <row r="277" spans="3:4" ht="14.25" customHeight="1">
      <c r="C277" s="71"/>
      <c r="D277" s="71"/>
    </row>
    <row r="278" spans="3:4" ht="14.25" customHeight="1">
      <c r="C278" s="71"/>
      <c r="D278" s="71"/>
    </row>
    <row r="279" spans="3:4" ht="14.25" customHeight="1">
      <c r="C279" s="71"/>
      <c r="D279" s="71"/>
    </row>
    <row r="280" spans="3:4" ht="14.25" customHeight="1">
      <c r="C280" s="71"/>
      <c r="D280" s="71"/>
    </row>
    <row r="281" spans="3:4" ht="14.25" customHeight="1">
      <c r="C281" s="71"/>
      <c r="D281" s="71"/>
    </row>
    <row r="282" spans="3:4" ht="14.25" customHeight="1">
      <c r="C282" s="71"/>
      <c r="D282" s="71"/>
    </row>
    <row r="283" spans="3:4" ht="14.25" customHeight="1">
      <c r="C283" s="71"/>
      <c r="D283" s="71"/>
    </row>
    <row r="284" spans="3:4" ht="14.25" customHeight="1">
      <c r="C284" s="71"/>
      <c r="D284" s="71"/>
    </row>
    <row r="285" spans="3:4" ht="14.25" customHeight="1">
      <c r="C285" s="71"/>
      <c r="D285" s="71"/>
    </row>
    <row r="286" spans="3:4" ht="14.25" customHeight="1">
      <c r="C286" s="71"/>
      <c r="D286" s="71"/>
    </row>
    <row r="287" spans="3:4" ht="14.25" customHeight="1">
      <c r="C287" s="71"/>
      <c r="D287" s="71"/>
    </row>
    <row r="288" spans="3:4" ht="14.25" customHeight="1">
      <c r="C288" s="71"/>
      <c r="D288" s="71"/>
    </row>
    <row r="289" spans="3:4" ht="14.25" customHeight="1">
      <c r="C289" s="71"/>
      <c r="D289" s="71"/>
    </row>
    <row r="290" spans="3:4" ht="14.25" customHeight="1">
      <c r="C290" s="71"/>
      <c r="D290" s="71"/>
    </row>
    <row r="291" spans="3:4" ht="14.25" customHeight="1">
      <c r="C291" s="71"/>
      <c r="D291" s="71"/>
    </row>
    <row r="292" spans="3:4" ht="14.25" customHeight="1">
      <c r="C292" s="71"/>
      <c r="D292" s="71"/>
    </row>
    <row r="293" spans="3:4" ht="14.25" customHeight="1">
      <c r="C293" s="71"/>
      <c r="D293" s="71"/>
    </row>
    <row r="294" spans="3:4" ht="14.25" customHeight="1">
      <c r="C294" s="71"/>
      <c r="D294" s="71"/>
    </row>
    <row r="295" spans="3:4" ht="14.25" customHeight="1">
      <c r="C295" s="71"/>
      <c r="D295" s="71"/>
    </row>
    <row r="296" spans="3:4" ht="14.25" customHeight="1">
      <c r="C296" s="71"/>
      <c r="D296" s="71"/>
    </row>
    <row r="297" spans="3:4" ht="14.25" customHeight="1">
      <c r="C297" s="71"/>
      <c r="D297" s="71"/>
    </row>
    <row r="298" spans="3:4" ht="14.25" customHeight="1">
      <c r="C298" s="71"/>
      <c r="D298" s="71"/>
    </row>
    <row r="299" spans="3:4" ht="14.25" customHeight="1">
      <c r="C299" s="71"/>
      <c r="D299" s="71"/>
    </row>
    <row r="300" spans="3:4" ht="14.25" customHeight="1">
      <c r="C300" s="71"/>
      <c r="D300" s="71"/>
    </row>
    <row r="301" spans="3:4" ht="14.25" customHeight="1">
      <c r="C301" s="71"/>
      <c r="D301" s="71"/>
    </row>
    <row r="302" spans="3:4" ht="14.25" customHeight="1">
      <c r="C302" s="71"/>
      <c r="D302" s="71"/>
    </row>
    <row r="303" spans="3:4" ht="14.25" customHeight="1">
      <c r="C303" s="71"/>
      <c r="D303" s="71"/>
    </row>
    <row r="304" spans="3:4" ht="14.25" customHeight="1">
      <c r="C304" s="71"/>
      <c r="D304" s="71"/>
    </row>
    <row r="305" spans="3:4" ht="14.25" customHeight="1">
      <c r="C305" s="71"/>
      <c r="D305" s="71"/>
    </row>
    <row r="306" spans="3:4" ht="14.25" customHeight="1">
      <c r="C306" s="71"/>
      <c r="D306" s="71"/>
    </row>
    <row r="307" spans="3:4" ht="14.25" customHeight="1">
      <c r="C307" s="71"/>
      <c r="D307" s="71"/>
    </row>
    <row r="308" spans="3:4" ht="14.25" customHeight="1">
      <c r="C308" s="71"/>
      <c r="D308" s="71"/>
    </row>
    <row r="309" spans="3:4" ht="14.25" customHeight="1">
      <c r="C309" s="71"/>
      <c r="D309" s="71"/>
    </row>
    <row r="310" spans="3:4" ht="14.25" customHeight="1">
      <c r="C310" s="71"/>
      <c r="D310" s="71"/>
    </row>
    <row r="311" spans="3:4" ht="14.25" customHeight="1">
      <c r="C311" s="71"/>
      <c r="D311" s="71"/>
    </row>
    <row r="312" spans="3:4" ht="14.25" customHeight="1">
      <c r="C312" s="71"/>
      <c r="D312" s="71"/>
    </row>
    <row r="313" spans="3:4" ht="14.25" customHeight="1">
      <c r="C313" s="71"/>
      <c r="D313" s="71"/>
    </row>
    <row r="314" spans="3:4" ht="14.25" customHeight="1">
      <c r="C314" s="71"/>
      <c r="D314" s="71"/>
    </row>
    <row r="315" spans="3:4" ht="14.25" customHeight="1">
      <c r="C315" s="71"/>
      <c r="D315" s="71"/>
    </row>
    <row r="316" spans="3:4" ht="14.25" customHeight="1">
      <c r="C316" s="71"/>
      <c r="D316" s="71"/>
    </row>
    <row r="317" spans="3:4" ht="14.25" customHeight="1">
      <c r="C317" s="71"/>
      <c r="D317" s="71"/>
    </row>
    <row r="318" spans="3:4" ht="14.25" customHeight="1">
      <c r="C318" s="71"/>
      <c r="D318" s="71"/>
    </row>
    <row r="319" spans="3:4" ht="14.25" customHeight="1">
      <c r="C319" s="71"/>
      <c r="D319" s="71"/>
    </row>
    <row r="320" spans="3:4" ht="14.25" customHeight="1">
      <c r="C320" s="71"/>
      <c r="D320" s="71"/>
    </row>
    <row r="321" spans="3:4" ht="14.25" customHeight="1">
      <c r="C321" s="71"/>
      <c r="D321" s="71"/>
    </row>
    <row r="322" spans="3:4" ht="14.25" customHeight="1">
      <c r="C322" s="71"/>
      <c r="D322" s="71"/>
    </row>
    <row r="323" spans="3:4" ht="14.25" customHeight="1">
      <c r="C323" s="71"/>
      <c r="D323" s="71"/>
    </row>
    <row r="324" spans="3:4" ht="14.25" customHeight="1">
      <c r="C324" s="71"/>
      <c r="D324" s="71"/>
    </row>
    <row r="325" spans="3:4" ht="14.25" customHeight="1">
      <c r="C325" s="71"/>
      <c r="D325" s="71"/>
    </row>
    <row r="326" spans="3:4" ht="14.25" customHeight="1">
      <c r="C326" s="71"/>
      <c r="D326" s="71"/>
    </row>
    <row r="327" spans="3:4" ht="14.25" customHeight="1">
      <c r="C327" s="71"/>
      <c r="D327" s="71"/>
    </row>
    <row r="328" spans="3:4" ht="14.25" customHeight="1">
      <c r="C328" s="71"/>
      <c r="D328" s="71"/>
    </row>
    <row r="329" spans="3:4" ht="14.25" customHeight="1">
      <c r="C329" s="71"/>
      <c r="D329" s="71"/>
    </row>
    <row r="330" spans="3:4" ht="14.25" customHeight="1">
      <c r="C330" s="71"/>
      <c r="D330" s="71"/>
    </row>
    <row r="331" spans="3:4" ht="14.25" customHeight="1">
      <c r="C331" s="71"/>
      <c r="D331" s="71"/>
    </row>
    <row r="332" spans="3:4" ht="14.25" customHeight="1">
      <c r="C332" s="71"/>
      <c r="D332" s="71"/>
    </row>
    <row r="333" spans="3:4" ht="14.25" customHeight="1">
      <c r="C333" s="71"/>
      <c r="D333" s="71"/>
    </row>
    <row r="334" spans="3:4" ht="14.25" customHeight="1">
      <c r="C334" s="71"/>
      <c r="D334" s="71"/>
    </row>
    <row r="335" spans="3:4" ht="14.25" customHeight="1">
      <c r="C335" s="71"/>
      <c r="D335" s="71"/>
    </row>
    <row r="336" spans="3:4" ht="14.25" customHeight="1">
      <c r="C336" s="71"/>
      <c r="D336" s="71"/>
    </row>
    <row r="337" spans="3:4" ht="14.25" customHeight="1">
      <c r="C337" s="71"/>
      <c r="D337" s="71"/>
    </row>
    <row r="338" spans="3:4" ht="14.25" customHeight="1">
      <c r="C338" s="71"/>
      <c r="D338" s="71"/>
    </row>
    <row r="339" spans="3:4" ht="14.25" customHeight="1">
      <c r="C339" s="71"/>
      <c r="D339" s="71"/>
    </row>
    <row r="340" spans="3:4" ht="14.25" customHeight="1">
      <c r="C340" s="71"/>
      <c r="D340" s="71"/>
    </row>
    <row r="341" spans="3:4" ht="14.25" customHeight="1">
      <c r="C341" s="71"/>
      <c r="D341" s="71"/>
    </row>
    <row r="342" spans="3:4" ht="14.25" customHeight="1">
      <c r="C342" s="71"/>
      <c r="D342" s="71"/>
    </row>
    <row r="343" spans="3:4" ht="14.25" customHeight="1">
      <c r="C343" s="71"/>
      <c r="D343" s="71"/>
    </row>
    <row r="344" spans="3:4" ht="14.25" customHeight="1">
      <c r="C344" s="71"/>
      <c r="D344" s="71"/>
    </row>
    <row r="345" spans="3:4" ht="14.25" customHeight="1">
      <c r="C345" s="71"/>
      <c r="D345" s="71"/>
    </row>
    <row r="346" spans="3:4" ht="14.25" customHeight="1">
      <c r="C346" s="71"/>
      <c r="D346" s="71"/>
    </row>
    <row r="347" spans="3:4" ht="14.25" customHeight="1">
      <c r="C347" s="71"/>
      <c r="D347" s="71"/>
    </row>
    <row r="348" spans="3:4" ht="14.25" customHeight="1">
      <c r="C348" s="71"/>
      <c r="D348" s="71"/>
    </row>
    <row r="349" spans="3:4" ht="14.25" customHeight="1">
      <c r="C349" s="71"/>
      <c r="D349" s="71"/>
    </row>
    <row r="350" spans="3:4" ht="14.25" customHeight="1">
      <c r="C350" s="71"/>
      <c r="D350" s="71"/>
    </row>
    <row r="351" spans="3:4" ht="14.25" customHeight="1">
      <c r="C351" s="71"/>
      <c r="D351" s="71"/>
    </row>
    <row r="352" spans="3:4" ht="14.25" customHeight="1">
      <c r="C352" s="71"/>
      <c r="D352" s="71"/>
    </row>
    <row r="353" spans="3:4" ht="14.25" customHeight="1">
      <c r="C353" s="71"/>
      <c r="D353" s="71"/>
    </row>
    <row r="354" spans="3:4" ht="14.25" customHeight="1">
      <c r="C354" s="71"/>
      <c r="D354" s="71"/>
    </row>
    <row r="355" spans="3:4" ht="14.25" customHeight="1">
      <c r="C355" s="71"/>
      <c r="D355" s="71"/>
    </row>
    <row r="356" spans="3:4" ht="14.25" customHeight="1">
      <c r="C356" s="71"/>
      <c r="D356" s="71"/>
    </row>
    <row r="357" spans="3:4" ht="14.25" customHeight="1">
      <c r="C357" s="71"/>
      <c r="D357" s="71"/>
    </row>
    <row r="358" spans="3:4" ht="14.25" customHeight="1">
      <c r="C358" s="71"/>
      <c r="D358" s="71"/>
    </row>
    <row r="359" spans="3:4" ht="14.25" customHeight="1">
      <c r="C359" s="71"/>
      <c r="D359" s="71"/>
    </row>
    <row r="360" spans="3:4" ht="14.25" customHeight="1">
      <c r="C360" s="71"/>
      <c r="D360" s="71"/>
    </row>
    <row r="361" spans="3:4" ht="14.25" customHeight="1">
      <c r="C361" s="71"/>
      <c r="D361" s="71"/>
    </row>
    <row r="362" spans="3:4" ht="14.25" customHeight="1">
      <c r="C362" s="71"/>
      <c r="D362" s="71"/>
    </row>
    <row r="363" spans="3:4" ht="14.25" customHeight="1">
      <c r="C363" s="71"/>
      <c r="D363" s="71"/>
    </row>
    <row r="364" spans="3:4" ht="14.25" customHeight="1">
      <c r="C364" s="71"/>
      <c r="D364" s="71"/>
    </row>
    <row r="365" spans="3:4" ht="14.25" customHeight="1">
      <c r="C365" s="71"/>
      <c r="D365" s="71"/>
    </row>
    <row r="366" spans="3:4" ht="14.25" customHeight="1">
      <c r="C366" s="71"/>
      <c r="D366" s="71"/>
    </row>
    <row r="367" spans="3:4" ht="14.25" customHeight="1">
      <c r="C367" s="71"/>
      <c r="D367" s="71"/>
    </row>
    <row r="368" spans="3:4" ht="14.25" customHeight="1">
      <c r="C368" s="71"/>
      <c r="D368" s="71"/>
    </row>
    <row r="369" spans="3:4" ht="14.25" customHeight="1">
      <c r="C369" s="71"/>
      <c r="D369" s="71"/>
    </row>
    <row r="370" spans="3:4" ht="14.25" customHeight="1">
      <c r="C370" s="71"/>
      <c r="D370" s="71"/>
    </row>
    <row r="371" spans="3:4" ht="14.25" customHeight="1">
      <c r="C371" s="71"/>
      <c r="D371" s="71"/>
    </row>
    <row r="372" spans="3:4" ht="14.25" customHeight="1">
      <c r="C372" s="71"/>
      <c r="D372" s="71"/>
    </row>
    <row r="373" spans="3:4" ht="14.25" customHeight="1">
      <c r="C373" s="71"/>
      <c r="D373" s="71"/>
    </row>
    <row r="374" spans="3:4" ht="14.25" customHeight="1">
      <c r="C374" s="71"/>
      <c r="D374" s="71"/>
    </row>
    <row r="375" spans="3:4" ht="14.25" customHeight="1">
      <c r="C375" s="71"/>
      <c r="D375" s="71"/>
    </row>
    <row r="376" spans="3:4" ht="14.25" customHeight="1">
      <c r="C376" s="71"/>
      <c r="D376" s="71"/>
    </row>
    <row r="377" spans="3:4" ht="14.25" customHeight="1">
      <c r="C377" s="71"/>
      <c r="D377" s="71"/>
    </row>
    <row r="378" spans="3:4" ht="14.25" customHeight="1">
      <c r="C378" s="71"/>
      <c r="D378" s="71"/>
    </row>
    <row r="379" spans="3:4" ht="14.25" customHeight="1">
      <c r="C379" s="71"/>
      <c r="D379" s="71"/>
    </row>
    <row r="380" spans="3:4" ht="14.25" customHeight="1">
      <c r="C380" s="71"/>
      <c r="D380" s="71"/>
    </row>
    <row r="381" spans="3:4" ht="14.25" customHeight="1">
      <c r="C381" s="71"/>
      <c r="D381" s="71"/>
    </row>
    <row r="382" spans="3:4" ht="14.25" customHeight="1">
      <c r="C382" s="71"/>
      <c r="D382" s="71"/>
    </row>
    <row r="383" spans="3:4" ht="14.25" customHeight="1">
      <c r="C383" s="71"/>
      <c r="D383" s="71"/>
    </row>
    <row r="384" spans="3:4" ht="14.25" customHeight="1">
      <c r="C384" s="71"/>
      <c r="D384" s="71"/>
    </row>
    <row r="385" spans="3:4" ht="14.25" customHeight="1">
      <c r="C385" s="71"/>
      <c r="D385" s="71"/>
    </row>
    <row r="386" spans="3:4" ht="14.25" customHeight="1">
      <c r="C386" s="71"/>
      <c r="D386" s="71"/>
    </row>
    <row r="387" spans="3:4" ht="14.25" customHeight="1">
      <c r="C387" s="71"/>
      <c r="D387" s="71"/>
    </row>
    <row r="388" spans="3:4" ht="14.25" customHeight="1">
      <c r="C388" s="71"/>
      <c r="D388" s="71"/>
    </row>
    <row r="389" spans="3:4" ht="14.25" customHeight="1">
      <c r="C389" s="71"/>
      <c r="D389" s="71"/>
    </row>
    <row r="390" spans="3:4" ht="14.25" customHeight="1">
      <c r="C390" s="71"/>
      <c r="D390" s="71"/>
    </row>
    <row r="391" spans="3:4" ht="14.25" customHeight="1">
      <c r="C391" s="71"/>
      <c r="D391" s="71"/>
    </row>
    <row r="392" spans="3:4" ht="14.25" customHeight="1">
      <c r="C392" s="71"/>
      <c r="D392" s="71"/>
    </row>
    <row r="393" spans="3:4" ht="14.25" customHeight="1">
      <c r="C393" s="71"/>
      <c r="D393" s="71"/>
    </row>
    <row r="394" spans="3:4" ht="14.25" customHeight="1">
      <c r="C394" s="71"/>
      <c r="D394" s="71"/>
    </row>
    <row r="395" spans="3:4" ht="14.25" customHeight="1">
      <c r="C395" s="71"/>
      <c r="D395" s="71"/>
    </row>
    <row r="396" spans="3:4" ht="14.25" customHeight="1">
      <c r="C396" s="71"/>
      <c r="D396" s="71"/>
    </row>
    <row r="397" spans="3:4" ht="14.25" customHeight="1">
      <c r="C397" s="71"/>
      <c r="D397" s="71"/>
    </row>
    <row r="398" spans="3:4" ht="14.25" customHeight="1">
      <c r="C398" s="71"/>
      <c r="D398" s="71"/>
    </row>
    <row r="399" spans="3:4" ht="14.25" customHeight="1">
      <c r="C399" s="71"/>
      <c r="D399" s="71"/>
    </row>
    <row r="400" spans="3:4" ht="14.25" customHeight="1">
      <c r="C400" s="71"/>
      <c r="D400" s="71"/>
    </row>
    <row r="401" spans="3:4" ht="14.25" customHeight="1">
      <c r="C401" s="71"/>
      <c r="D401" s="71"/>
    </row>
    <row r="402" spans="3:4" ht="14.25" customHeight="1">
      <c r="C402" s="71"/>
      <c r="D402" s="71"/>
    </row>
    <row r="403" spans="3:4" ht="14.25" customHeight="1">
      <c r="C403" s="71"/>
      <c r="D403" s="71"/>
    </row>
    <row r="404" spans="3:4" ht="14.25" customHeight="1">
      <c r="C404" s="71"/>
      <c r="D404" s="71"/>
    </row>
    <row r="405" spans="3:4" ht="14.25" customHeight="1">
      <c r="C405" s="71"/>
      <c r="D405" s="71"/>
    </row>
    <row r="406" spans="3:4" ht="14.25" customHeight="1">
      <c r="C406" s="71"/>
      <c r="D406" s="71"/>
    </row>
    <row r="407" spans="3:4" ht="14.25" customHeight="1">
      <c r="C407" s="71"/>
      <c r="D407" s="71"/>
    </row>
    <row r="408" spans="3:4" ht="14.25" customHeight="1">
      <c r="C408" s="71"/>
      <c r="D408" s="71"/>
    </row>
    <row r="409" spans="3:4" ht="14.25" customHeight="1">
      <c r="C409" s="71"/>
      <c r="D409" s="71"/>
    </row>
    <row r="410" spans="3:4" ht="14.25" customHeight="1">
      <c r="C410" s="71"/>
      <c r="D410" s="71"/>
    </row>
    <row r="411" spans="3:4" ht="14.25" customHeight="1">
      <c r="C411" s="71"/>
      <c r="D411" s="71"/>
    </row>
    <row r="412" spans="3:4" ht="14.25" customHeight="1">
      <c r="C412" s="71"/>
      <c r="D412" s="71"/>
    </row>
    <row r="413" spans="3:4" ht="14.25" customHeight="1">
      <c r="C413" s="71"/>
      <c r="D413" s="71"/>
    </row>
    <row r="414" spans="3:4" ht="14.25" customHeight="1">
      <c r="C414" s="71"/>
      <c r="D414" s="71"/>
    </row>
    <row r="415" spans="3:4" ht="14.25" customHeight="1">
      <c r="C415" s="71"/>
      <c r="D415" s="71"/>
    </row>
    <row r="416" spans="3:4" ht="14.25" customHeight="1">
      <c r="C416" s="71"/>
      <c r="D416" s="71"/>
    </row>
    <row r="417" spans="3:4" ht="14.25" customHeight="1">
      <c r="C417" s="71"/>
      <c r="D417" s="71"/>
    </row>
    <row r="418" spans="3:4" ht="14.25" customHeight="1">
      <c r="C418" s="71"/>
      <c r="D418" s="71"/>
    </row>
    <row r="419" spans="3:4" ht="14.25" customHeight="1">
      <c r="C419" s="71"/>
      <c r="D419" s="71"/>
    </row>
    <row r="420" spans="3:4" ht="14.25" customHeight="1">
      <c r="C420" s="71"/>
      <c r="D420" s="71"/>
    </row>
    <row r="421" spans="3:4" ht="14.25" customHeight="1">
      <c r="C421" s="71"/>
      <c r="D421" s="71"/>
    </row>
    <row r="422" spans="3:4" ht="14.25" customHeight="1">
      <c r="C422" s="71"/>
      <c r="D422" s="71"/>
    </row>
    <row r="423" spans="3:4" ht="14.25" customHeight="1">
      <c r="C423" s="71"/>
      <c r="D423" s="71"/>
    </row>
    <row r="424" spans="3:4" ht="14.25" customHeight="1">
      <c r="C424" s="71"/>
      <c r="D424" s="71"/>
    </row>
    <row r="425" spans="3:4" ht="14.25" customHeight="1">
      <c r="C425" s="71"/>
      <c r="D425" s="71"/>
    </row>
    <row r="426" spans="3:4" ht="14.25" customHeight="1">
      <c r="C426" s="71"/>
      <c r="D426" s="71"/>
    </row>
    <row r="427" spans="3:4" ht="14.25" customHeight="1">
      <c r="C427" s="71"/>
      <c r="D427" s="71"/>
    </row>
    <row r="428" spans="3:4" ht="14.25" customHeight="1">
      <c r="C428" s="71"/>
      <c r="D428" s="71"/>
    </row>
    <row r="429" spans="3:4" ht="14.25" customHeight="1">
      <c r="C429" s="71"/>
      <c r="D429" s="71"/>
    </row>
    <row r="430" spans="3:4" ht="14.25" customHeight="1">
      <c r="C430" s="71"/>
      <c r="D430" s="71"/>
    </row>
    <row r="431" spans="3:4" ht="14.25" customHeight="1">
      <c r="C431" s="71"/>
      <c r="D431" s="71"/>
    </row>
    <row r="432" spans="3:4" ht="14.25" customHeight="1">
      <c r="C432" s="71"/>
      <c r="D432" s="71"/>
    </row>
    <row r="433" spans="3:4" ht="14.25" customHeight="1">
      <c r="C433" s="71"/>
      <c r="D433" s="71"/>
    </row>
    <row r="434" spans="3:4" ht="14.25" customHeight="1">
      <c r="C434" s="71"/>
      <c r="D434" s="71"/>
    </row>
    <row r="435" spans="3:4" ht="14.25" customHeight="1">
      <c r="C435" s="71"/>
      <c r="D435" s="71"/>
    </row>
    <row r="436" spans="3:4" ht="14.25" customHeight="1">
      <c r="C436" s="71"/>
      <c r="D436" s="71"/>
    </row>
    <row r="437" spans="3:4" ht="14.25" customHeight="1">
      <c r="C437" s="71"/>
      <c r="D437" s="71"/>
    </row>
    <row r="438" spans="3:4" ht="14.25" customHeight="1">
      <c r="C438" s="71"/>
      <c r="D438" s="71"/>
    </row>
    <row r="439" spans="3:4" ht="14.25" customHeight="1">
      <c r="C439" s="71"/>
      <c r="D439" s="71"/>
    </row>
    <row r="440" spans="3:4" ht="14.25" customHeight="1">
      <c r="C440" s="71"/>
      <c r="D440" s="71"/>
    </row>
    <row r="441" spans="3:4" ht="14.25" customHeight="1">
      <c r="C441" s="71"/>
      <c r="D441" s="71"/>
    </row>
    <row r="442" spans="3:4" ht="14.25" customHeight="1">
      <c r="C442" s="71"/>
      <c r="D442" s="71"/>
    </row>
    <row r="443" spans="3:4" ht="14.25" customHeight="1">
      <c r="C443" s="71"/>
      <c r="D443" s="71"/>
    </row>
    <row r="444" spans="3:4" ht="14.25" customHeight="1">
      <c r="C444" s="71"/>
      <c r="D444" s="71"/>
    </row>
    <row r="445" spans="3:4" ht="14.25" customHeight="1">
      <c r="C445" s="71"/>
      <c r="D445" s="71"/>
    </row>
    <row r="446" spans="3:4" ht="14.25" customHeight="1">
      <c r="C446" s="71"/>
      <c r="D446" s="71"/>
    </row>
    <row r="447" spans="3:4" ht="14.25" customHeight="1">
      <c r="C447" s="71"/>
      <c r="D447" s="71"/>
    </row>
    <row r="448" spans="3:4" ht="14.25" customHeight="1">
      <c r="C448" s="71"/>
      <c r="D448" s="71"/>
    </row>
    <row r="449" spans="3:4" ht="14.25" customHeight="1">
      <c r="C449" s="71"/>
      <c r="D449" s="71"/>
    </row>
    <row r="450" spans="3:4" ht="14.25" customHeight="1">
      <c r="C450" s="71"/>
      <c r="D450" s="71"/>
    </row>
    <row r="451" spans="3:4" ht="14.25" customHeight="1">
      <c r="C451" s="71"/>
      <c r="D451" s="71"/>
    </row>
    <row r="452" spans="3:4" ht="14.25" customHeight="1">
      <c r="C452" s="71"/>
      <c r="D452" s="71"/>
    </row>
    <row r="453" spans="3:4" ht="14.25" customHeight="1">
      <c r="C453" s="71"/>
      <c r="D453" s="71"/>
    </row>
    <row r="454" spans="3:4" ht="14.25" customHeight="1">
      <c r="C454" s="71"/>
      <c r="D454" s="71"/>
    </row>
    <row r="455" spans="3:4" ht="14.25" customHeight="1">
      <c r="C455" s="71"/>
      <c r="D455" s="71"/>
    </row>
    <row r="456" spans="3:4" ht="14.25" customHeight="1">
      <c r="C456" s="71"/>
      <c r="D456" s="71"/>
    </row>
    <row r="457" spans="3:4" ht="14.25" customHeight="1">
      <c r="C457" s="71"/>
      <c r="D457" s="71"/>
    </row>
    <row r="458" spans="3:4" ht="14.25" customHeight="1">
      <c r="C458" s="71"/>
      <c r="D458" s="71"/>
    </row>
    <row r="459" spans="3:4" ht="14.25" customHeight="1">
      <c r="C459" s="71"/>
      <c r="D459" s="71"/>
    </row>
    <row r="460" spans="3:4" ht="14.25" customHeight="1">
      <c r="C460" s="71"/>
      <c r="D460" s="71"/>
    </row>
    <row r="461" spans="3:4" ht="14.25" customHeight="1">
      <c r="C461" s="71"/>
      <c r="D461" s="71"/>
    </row>
    <row r="462" spans="3:4" ht="14.25" customHeight="1">
      <c r="C462" s="71"/>
      <c r="D462" s="71"/>
    </row>
    <row r="463" spans="3:4" ht="14.25" customHeight="1">
      <c r="C463" s="71"/>
      <c r="D463" s="71"/>
    </row>
    <row r="464" spans="3:4" ht="14.25" customHeight="1">
      <c r="C464" s="71"/>
      <c r="D464" s="71"/>
    </row>
    <row r="465" spans="3:4" ht="14.25" customHeight="1">
      <c r="C465" s="71"/>
      <c r="D465" s="71"/>
    </row>
    <row r="466" spans="3:4" ht="14.25" customHeight="1">
      <c r="C466" s="71"/>
      <c r="D466" s="71"/>
    </row>
    <row r="467" spans="3:4" ht="14.25" customHeight="1">
      <c r="C467" s="71"/>
      <c r="D467" s="71"/>
    </row>
    <row r="468" spans="3:4" ht="14.25" customHeight="1">
      <c r="C468" s="71"/>
      <c r="D468" s="71"/>
    </row>
    <row r="469" spans="3:4" ht="14.25" customHeight="1">
      <c r="C469" s="71"/>
      <c r="D469" s="71"/>
    </row>
    <row r="470" spans="3:4" ht="14.25" customHeight="1">
      <c r="C470" s="71"/>
      <c r="D470" s="71"/>
    </row>
    <row r="471" spans="3:4" ht="14.25" customHeight="1">
      <c r="C471" s="71"/>
      <c r="D471" s="71"/>
    </row>
    <row r="472" spans="3:4" ht="14.25" customHeight="1">
      <c r="C472" s="71"/>
      <c r="D472" s="71"/>
    </row>
    <row r="473" spans="3:4" ht="14.25" customHeight="1">
      <c r="C473" s="71"/>
      <c r="D473" s="71"/>
    </row>
    <row r="474" spans="3:4" ht="14.25" customHeight="1">
      <c r="C474" s="71"/>
      <c r="D474" s="71"/>
    </row>
    <row r="475" spans="3:4" ht="14.25" customHeight="1">
      <c r="C475" s="71"/>
      <c r="D475" s="71"/>
    </row>
    <row r="476" spans="3:4" ht="14.25" customHeight="1">
      <c r="C476" s="71"/>
      <c r="D476" s="71"/>
    </row>
    <row r="477" spans="3:4" ht="14.25" customHeight="1">
      <c r="C477" s="71"/>
      <c r="D477" s="71"/>
    </row>
    <row r="478" spans="3:4" ht="14.25" customHeight="1">
      <c r="C478" s="71"/>
      <c r="D478" s="71"/>
    </row>
    <row r="479" spans="3:4" ht="14.25" customHeight="1">
      <c r="C479" s="71"/>
      <c r="D479" s="71"/>
    </row>
    <row r="480" spans="3:4" ht="14.25" customHeight="1">
      <c r="C480" s="71"/>
      <c r="D480" s="71"/>
    </row>
    <row r="481" spans="3:4" ht="14.25" customHeight="1">
      <c r="C481" s="71"/>
      <c r="D481" s="71"/>
    </row>
    <row r="482" spans="3:4" ht="14.25" customHeight="1">
      <c r="C482" s="71"/>
      <c r="D482" s="71"/>
    </row>
    <row r="483" spans="3:4" ht="14.25" customHeight="1">
      <c r="C483" s="71"/>
      <c r="D483" s="71"/>
    </row>
    <row r="484" spans="3:4" ht="14.25" customHeight="1">
      <c r="C484" s="71"/>
      <c r="D484" s="71"/>
    </row>
    <row r="485" spans="3:4" ht="14.25" customHeight="1">
      <c r="C485" s="71"/>
      <c r="D485" s="71"/>
    </row>
    <row r="486" spans="3:4" ht="14.25" customHeight="1">
      <c r="C486" s="71"/>
      <c r="D486" s="71"/>
    </row>
    <row r="487" spans="3:4" ht="14.25" customHeight="1">
      <c r="C487" s="71"/>
      <c r="D487" s="71"/>
    </row>
    <row r="488" spans="3:4" ht="14.25" customHeight="1">
      <c r="C488" s="71"/>
      <c r="D488" s="71"/>
    </row>
    <row r="489" spans="3:4" ht="14.25" customHeight="1">
      <c r="C489" s="71"/>
      <c r="D489" s="71"/>
    </row>
    <row r="490" spans="3:4" ht="14.25" customHeight="1">
      <c r="C490" s="71"/>
      <c r="D490" s="71"/>
    </row>
    <row r="491" spans="3:4" ht="14.25" customHeight="1">
      <c r="C491" s="71"/>
      <c r="D491" s="71"/>
    </row>
    <row r="492" spans="3:4" ht="14.25" customHeight="1">
      <c r="C492" s="71"/>
      <c r="D492" s="71"/>
    </row>
    <row r="493" spans="3:4" ht="14.25" customHeight="1">
      <c r="C493" s="71"/>
      <c r="D493" s="71"/>
    </row>
    <row r="494" spans="3:4" ht="14.25" customHeight="1">
      <c r="C494" s="71"/>
      <c r="D494" s="71"/>
    </row>
    <row r="495" spans="3:4" ht="14.25" customHeight="1">
      <c r="C495" s="71"/>
      <c r="D495" s="71"/>
    </row>
    <row r="496" spans="3:4" ht="14.25" customHeight="1">
      <c r="C496" s="71"/>
      <c r="D496" s="71"/>
    </row>
    <row r="497" spans="3:4" ht="14.25" customHeight="1">
      <c r="C497" s="71"/>
      <c r="D497" s="71"/>
    </row>
    <row r="498" spans="3:4" ht="14.25" customHeight="1">
      <c r="C498" s="71"/>
      <c r="D498" s="71"/>
    </row>
    <row r="499" spans="3:4" ht="14.25" customHeight="1">
      <c r="C499" s="71"/>
      <c r="D499" s="71"/>
    </row>
    <row r="500" spans="3:4" ht="14.25" customHeight="1">
      <c r="C500" s="71"/>
      <c r="D500" s="71"/>
    </row>
    <row r="501" spans="3:4" ht="14.25" customHeight="1">
      <c r="C501" s="71"/>
      <c r="D501" s="71"/>
    </row>
    <row r="502" spans="3:4" ht="14.25" customHeight="1">
      <c r="C502" s="71"/>
      <c r="D502" s="71"/>
    </row>
    <row r="503" spans="3:4" ht="14.25" customHeight="1">
      <c r="C503" s="71"/>
      <c r="D503" s="71"/>
    </row>
    <row r="504" spans="3:4" ht="14.25" customHeight="1">
      <c r="C504" s="71"/>
      <c r="D504" s="71"/>
    </row>
    <row r="505" spans="3:4" ht="14.25" customHeight="1">
      <c r="C505" s="71"/>
      <c r="D505" s="71"/>
    </row>
    <row r="506" spans="3:4" ht="14.25" customHeight="1">
      <c r="C506" s="71"/>
      <c r="D506" s="71"/>
    </row>
    <row r="507" spans="3:4" ht="14.25" customHeight="1">
      <c r="C507" s="71"/>
      <c r="D507" s="71"/>
    </row>
    <row r="508" spans="3:4" ht="14.25" customHeight="1">
      <c r="C508" s="71"/>
      <c r="D508" s="71"/>
    </row>
    <row r="509" spans="3:4" ht="14.25" customHeight="1">
      <c r="C509" s="71"/>
      <c r="D509" s="71"/>
    </row>
    <row r="510" spans="3:4" ht="14.25" customHeight="1">
      <c r="C510" s="71"/>
      <c r="D510" s="71"/>
    </row>
    <row r="511" spans="3:4" ht="14.25" customHeight="1">
      <c r="C511" s="71"/>
      <c r="D511" s="71"/>
    </row>
    <row r="512" spans="3:4" ht="14.25" customHeight="1">
      <c r="C512" s="71"/>
      <c r="D512" s="71"/>
    </row>
    <row r="513" spans="3:4" ht="14.25" customHeight="1">
      <c r="C513" s="71"/>
      <c r="D513" s="71"/>
    </row>
    <row r="514" spans="3:4" ht="14.25" customHeight="1">
      <c r="C514" s="71"/>
      <c r="D514" s="71"/>
    </row>
    <row r="515" spans="3:4" ht="14.25" customHeight="1">
      <c r="C515" s="71"/>
      <c r="D515" s="71"/>
    </row>
    <row r="516" spans="3:4" ht="14.25" customHeight="1">
      <c r="C516" s="71"/>
      <c r="D516" s="71"/>
    </row>
    <row r="517" spans="3:4" ht="14.25" customHeight="1">
      <c r="C517" s="71"/>
      <c r="D517" s="71"/>
    </row>
    <row r="518" spans="3:4" ht="14.25" customHeight="1">
      <c r="C518" s="71"/>
      <c r="D518" s="71"/>
    </row>
    <row r="519" spans="3:4" ht="14.25" customHeight="1">
      <c r="C519" s="71"/>
      <c r="D519" s="71"/>
    </row>
    <row r="520" spans="3:4" ht="14.25" customHeight="1">
      <c r="C520" s="71"/>
      <c r="D520" s="71"/>
    </row>
    <row r="521" spans="3:4" ht="14.25" customHeight="1">
      <c r="C521" s="71"/>
      <c r="D521" s="71"/>
    </row>
    <row r="522" spans="3:4" ht="14.25" customHeight="1">
      <c r="C522" s="71"/>
      <c r="D522" s="71"/>
    </row>
    <row r="523" spans="3:4" ht="14.25" customHeight="1">
      <c r="C523" s="71"/>
      <c r="D523" s="71"/>
    </row>
    <row r="524" spans="3:4" ht="14.25" customHeight="1">
      <c r="C524" s="71"/>
      <c r="D524" s="71"/>
    </row>
    <row r="525" spans="3:4" ht="14.25" customHeight="1">
      <c r="C525" s="71"/>
      <c r="D525" s="71"/>
    </row>
    <row r="526" spans="3:4" ht="14.25" customHeight="1">
      <c r="C526" s="71"/>
      <c r="D526" s="71"/>
    </row>
    <row r="527" spans="3:4" ht="14.25" customHeight="1">
      <c r="C527" s="71"/>
      <c r="D527" s="71"/>
    </row>
    <row r="528" spans="3:4" ht="14.25" customHeight="1">
      <c r="C528" s="71"/>
      <c r="D528" s="71"/>
    </row>
    <row r="529" spans="3:4" ht="14.25" customHeight="1">
      <c r="C529" s="71"/>
      <c r="D529" s="71"/>
    </row>
    <row r="530" spans="3:4" ht="14.25" customHeight="1">
      <c r="C530" s="71"/>
      <c r="D530" s="71"/>
    </row>
    <row r="531" spans="3:4" ht="14.25" customHeight="1">
      <c r="C531" s="71"/>
      <c r="D531" s="71"/>
    </row>
    <row r="532" spans="3:4" ht="14.25" customHeight="1">
      <c r="C532" s="71"/>
      <c r="D532" s="71"/>
    </row>
    <row r="533" spans="3:4" ht="14.25" customHeight="1">
      <c r="C533" s="71"/>
      <c r="D533" s="71"/>
    </row>
    <row r="534" spans="3:4" ht="14.25" customHeight="1">
      <c r="C534" s="71"/>
      <c r="D534" s="71"/>
    </row>
    <row r="535" spans="3:4" ht="14.25" customHeight="1">
      <c r="C535" s="71"/>
      <c r="D535" s="71"/>
    </row>
    <row r="536" spans="3:4" ht="14.25" customHeight="1">
      <c r="C536" s="71"/>
      <c r="D536" s="71"/>
    </row>
    <row r="537" spans="3:4" ht="14.25" customHeight="1">
      <c r="C537" s="71"/>
      <c r="D537" s="71"/>
    </row>
    <row r="538" spans="3:4" ht="14.25" customHeight="1">
      <c r="C538" s="71"/>
      <c r="D538" s="71"/>
    </row>
    <row r="539" spans="3:4" ht="14.25" customHeight="1">
      <c r="C539" s="71"/>
      <c r="D539" s="71"/>
    </row>
    <row r="540" spans="3:4" ht="14.25" customHeight="1">
      <c r="C540" s="71"/>
      <c r="D540" s="71"/>
    </row>
    <row r="541" spans="3:4" ht="14.25" customHeight="1">
      <c r="C541" s="71"/>
      <c r="D541" s="71"/>
    </row>
    <row r="542" spans="3:4" ht="14.25" customHeight="1">
      <c r="C542" s="71"/>
      <c r="D542" s="71"/>
    </row>
    <row r="543" spans="3:4" ht="14.25" customHeight="1">
      <c r="C543" s="71"/>
      <c r="D543" s="71"/>
    </row>
    <row r="544" spans="3:4" ht="14.25" customHeight="1">
      <c r="C544" s="71"/>
      <c r="D544" s="71"/>
    </row>
    <row r="545" spans="3:4" ht="14.25" customHeight="1">
      <c r="C545" s="71"/>
      <c r="D545" s="71"/>
    </row>
    <row r="546" spans="3:4" ht="14.25" customHeight="1">
      <c r="C546" s="71"/>
      <c r="D546" s="71"/>
    </row>
    <row r="547" spans="3:4" ht="14.25" customHeight="1">
      <c r="C547" s="71"/>
      <c r="D547" s="71"/>
    </row>
    <row r="548" spans="3:4" ht="14.25" customHeight="1">
      <c r="C548" s="71"/>
      <c r="D548" s="71"/>
    </row>
    <row r="549" spans="3:4" ht="14.25" customHeight="1">
      <c r="C549" s="71"/>
      <c r="D549" s="71"/>
    </row>
    <row r="550" spans="3:4" ht="14.25" customHeight="1">
      <c r="C550" s="71"/>
      <c r="D550" s="71"/>
    </row>
    <row r="551" spans="3:4" ht="14.25" customHeight="1">
      <c r="C551" s="71"/>
      <c r="D551" s="71"/>
    </row>
    <row r="552" spans="3:4" ht="14.25" customHeight="1">
      <c r="C552" s="71"/>
      <c r="D552" s="71"/>
    </row>
    <row r="553" spans="3:4" ht="14.25" customHeight="1">
      <c r="C553" s="71"/>
      <c r="D553" s="71"/>
    </row>
    <row r="554" spans="3:4" ht="14.25" customHeight="1">
      <c r="C554" s="71"/>
      <c r="D554" s="71"/>
    </row>
    <row r="555" spans="3:4" ht="14.25" customHeight="1">
      <c r="C555" s="71"/>
      <c r="D555" s="71"/>
    </row>
    <row r="556" spans="3:4" ht="14.25" customHeight="1">
      <c r="C556" s="71"/>
      <c r="D556" s="71"/>
    </row>
    <row r="557" spans="3:4" ht="14.25" customHeight="1">
      <c r="C557" s="71"/>
      <c r="D557" s="71"/>
    </row>
    <row r="558" spans="3:4" ht="14.25" customHeight="1">
      <c r="C558" s="71"/>
      <c r="D558" s="71"/>
    </row>
    <row r="559" spans="3:4" ht="14.25" customHeight="1">
      <c r="C559" s="71"/>
      <c r="D559" s="71"/>
    </row>
    <row r="560" spans="3:4" ht="14.25" customHeight="1">
      <c r="C560" s="71"/>
      <c r="D560" s="71"/>
    </row>
    <row r="561" spans="3:4" ht="14.25" customHeight="1">
      <c r="C561" s="71"/>
      <c r="D561" s="71"/>
    </row>
    <row r="562" spans="3:4" ht="14.25" customHeight="1">
      <c r="C562" s="71"/>
      <c r="D562" s="71"/>
    </row>
    <row r="563" spans="3:4" ht="14.25" customHeight="1">
      <c r="C563" s="71"/>
      <c r="D563" s="71"/>
    </row>
    <row r="564" spans="3:4" ht="14.25" customHeight="1">
      <c r="C564" s="71"/>
      <c r="D564" s="71"/>
    </row>
    <row r="565" spans="3:4" ht="14.25" customHeight="1">
      <c r="C565" s="71"/>
      <c r="D565" s="71"/>
    </row>
    <row r="566" spans="3:4" ht="14.25" customHeight="1">
      <c r="C566" s="71"/>
      <c r="D566" s="71"/>
    </row>
    <row r="567" spans="3:4" ht="14.25" customHeight="1">
      <c r="C567" s="71"/>
      <c r="D567" s="71"/>
    </row>
    <row r="568" spans="3:4" ht="14.25" customHeight="1">
      <c r="C568" s="71"/>
      <c r="D568" s="71"/>
    </row>
    <row r="569" spans="3:4" ht="14.25" customHeight="1">
      <c r="C569" s="71"/>
      <c r="D569" s="71"/>
    </row>
    <row r="570" spans="3:4" ht="14.25" customHeight="1">
      <c r="C570" s="71"/>
      <c r="D570" s="71"/>
    </row>
    <row r="571" spans="3:4" ht="14.25" customHeight="1">
      <c r="C571" s="71"/>
      <c r="D571" s="71"/>
    </row>
    <row r="572" spans="3:4" ht="14.25" customHeight="1">
      <c r="C572" s="71"/>
      <c r="D572" s="71"/>
    </row>
    <row r="573" spans="3:4" ht="14.25" customHeight="1">
      <c r="C573" s="71"/>
      <c r="D573" s="71"/>
    </row>
    <row r="574" spans="3:4" ht="14.25" customHeight="1">
      <c r="C574" s="71"/>
      <c r="D574" s="71"/>
    </row>
    <row r="575" spans="3:4" ht="14.25" customHeight="1">
      <c r="C575" s="71"/>
      <c r="D575" s="71"/>
    </row>
    <row r="576" spans="3:4" ht="14.25" customHeight="1">
      <c r="C576" s="71"/>
      <c r="D576" s="71"/>
    </row>
    <row r="577" spans="3:4" ht="14.25" customHeight="1">
      <c r="C577" s="71"/>
      <c r="D577" s="71"/>
    </row>
    <row r="578" spans="3:4" ht="14.25" customHeight="1">
      <c r="C578" s="71"/>
      <c r="D578" s="71"/>
    </row>
    <row r="579" spans="3:4" ht="14.25" customHeight="1">
      <c r="C579" s="71"/>
      <c r="D579" s="71"/>
    </row>
    <row r="580" spans="3:4" ht="14.25" customHeight="1">
      <c r="C580" s="71"/>
      <c r="D580" s="71"/>
    </row>
    <row r="581" spans="3:4" ht="14.25" customHeight="1">
      <c r="C581" s="71"/>
      <c r="D581" s="71"/>
    </row>
    <row r="582" spans="3:4" ht="14.25" customHeight="1">
      <c r="C582" s="71"/>
      <c r="D582" s="71"/>
    </row>
    <row r="583" spans="3:4" ht="14.25" customHeight="1">
      <c r="C583" s="71"/>
      <c r="D583" s="71"/>
    </row>
    <row r="584" spans="3:4" ht="14.25" customHeight="1">
      <c r="C584" s="71"/>
      <c r="D584" s="71"/>
    </row>
    <row r="585" spans="3:4" ht="14.25" customHeight="1">
      <c r="C585" s="71"/>
      <c r="D585" s="71"/>
    </row>
    <row r="586" spans="3:4" ht="14.25" customHeight="1">
      <c r="C586" s="71"/>
      <c r="D586" s="71"/>
    </row>
    <row r="587" spans="3:4" ht="14.25" customHeight="1">
      <c r="C587" s="71"/>
      <c r="D587" s="71"/>
    </row>
    <row r="588" spans="3:4" ht="14.25" customHeight="1">
      <c r="C588" s="71"/>
      <c r="D588" s="71"/>
    </row>
    <row r="589" spans="3:4" ht="14.25" customHeight="1">
      <c r="C589" s="71"/>
      <c r="D589" s="71"/>
    </row>
    <row r="590" spans="3:4" ht="14.25" customHeight="1">
      <c r="C590" s="71"/>
      <c r="D590" s="71"/>
    </row>
    <row r="591" spans="3:4" ht="14.25" customHeight="1">
      <c r="C591" s="71"/>
      <c r="D591" s="71"/>
    </row>
    <row r="592" spans="3:4" ht="14.25" customHeight="1">
      <c r="C592" s="71"/>
      <c r="D592" s="71"/>
    </row>
    <row r="593" spans="3:4" ht="14.25" customHeight="1">
      <c r="C593" s="71"/>
      <c r="D593" s="71"/>
    </row>
    <row r="594" spans="3:4" ht="14.25" customHeight="1">
      <c r="C594" s="71"/>
      <c r="D594" s="71"/>
    </row>
    <row r="595" spans="3:4" ht="14.25" customHeight="1">
      <c r="C595" s="71"/>
      <c r="D595" s="71"/>
    </row>
    <row r="596" spans="3:4" ht="14.25" customHeight="1">
      <c r="C596" s="71"/>
      <c r="D596" s="71"/>
    </row>
    <row r="597" spans="3:4" ht="14.25" customHeight="1">
      <c r="C597" s="71"/>
      <c r="D597" s="71"/>
    </row>
    <row r="598" spans="3:4" ht="14.25" customHeight="1">
      <c r="C598" s="71"/>
      <c r="D598" s="71"/>
    </row>
    <row r="599" spans="3:4" ht="14.25" customHeight="1">
      <c r="C599" s="71"/>
      <c r="D599" s="71"/>
    </row>
    <row r="600" spans="3:4" ht="14.25" customHeight="1">
      <c r="C600" s="71"/>
      <c r="D600" s="71"/>
    </row>
    <row r="601" spans="3:4" ht="14.25" customHeight="1">
      <c r="C601" s="71"/>
      <c r="D601" s="71"/>
    </row>
    <row r="602" spans="3:4" ht="14.25" customHeight="1">
      <c r="C602" s="71"/>
      <c r="D602" s="71"/>
    </row>
    <row r="603" spans="3:4" ht="14.25" customHeight="1">
      <c r="C603" s="71"/>
      <c r="D603" s="71"/>
    </row>
    <row r="604" spans="3:4" ht="14.25" customHeight="1">
      <c r="C604" s="71"/>
      <c r="D604" s="71"/>
    </row>
    <row r="605" spans="3:4" ht="14.25" customHeight="1">
      <c r="C605" s="71"/>
      <c r="D605" s="71"/>
    </row>
    <row r="606" spans="3:4" ht="14.25" customHeight="1">
      <c r="C606" s="71"/>
      <c r="D606" s="71"/>
    </row>
    <row r="607" spans="3:4" ht="14.25" customHeight="1">
      <c r="C607" s="71"/>
      <c r="D607" s="71"/>
    </row>
    <row r="608" spans="3:4" ht="14.25" customHeight="1">
      <c r="C608" s="71"/>
      <c r="D608" s="71"/>
    </row>
    <row r="609" spans="3:4" ht="14.25" customHeight="1">
      <c r="C609" s="71"/>
      <c r="D609" s="71"/>
    </row>
    <row r="610" spans="3:4" ht="14.25" customHeight="1">
      <c r="C610" s="71"/>
      <c r="D610" s="71"/>
    </row>
    <row r="611" spans="3:4" ht="14.25" customHeight="1">
      <c r="C611" s="71"/>
      <c r="D611" s="71"/>
    </row>
    <row r="612" spans="3:4" ht="14.25" customHeight="1">
      <c r="C612" s="71"/>
      <c r="D612" s="71"/>
    </row>
    <row r="613" spans="3:4" ht="14.25" customHeight="1">
      <c r="C613" s="71"/>
      <c r="D613" s="71"/>
    </row>
    <row r="614" spans="3:4" ht="14.25" customHeight="1">
      <c r="C614" s="71"/>
      <c r="D614" s="71"/>
    </row>
    <row r="615" spans="3:4" ht="14.25" customHeight="1">
      <c r="C615" s="71"/>
      <c r="D615" s="71"/>
    </row>
    <row r="616" spans="3:4" ht="14.25" customHeight="1">
      <c r="C616" s="71"/>
      <c r="D616" s="71"/>
    </row>
    <row r="617" spans="3:4" ht="14.25" customHeight="1">
      <c r="C617" s="71"/>
      <c r="D617" s="71"/>
    </row>
    <row r="618" spans="3:4" ht="14.25" customHeight="1">
      <c r="C618" s="71"/>
      <c r="D618" s="71"/>
    </row>
    <row r="619" spans="3:4" ht="14.25" customHeight="1">
      <c r="C619" s="71"/>
      <c r="D619" s="71"/>
    </row>
    <row r="620" spans="3:4" ht="14.25" customHeight="1">
      <c r="C620" s="71"/>
      <c r="D620" s="71"/>
    </row>
    <row r="621" spans="3:4" ht="14.25" customHeight="1">
      <c r="C621" s="71"/>
      <c r="D621" s="71"/>
    </row>
    <row r="622" spans="3:4" ht="14.25" customHeight="1">
      <c r="C622" s="71"/>
      <c r="D622" s="71"/>
    </row>
    <row r="623" spans="3:4" ht="14.25" customHeight="1">
      <c r="C623" s="71"/>
      <c r="D623" s="71"/>
    </row>
    <row r="624" spans="3:4" ht="14.25" customHeight="1">
      <c r="C624" s="71"/>
      <c r="D624" s="71"/>
    </row>
    <row r="625" spans="3:4" ht="14.25" customHeight="1">
      <c r="C625" s="71"/>
      <c r="D625" s="71"/>
    </row>
    <row r="626" spans="3:4" ht="14.25" customHeight="1">
      <c r="C626" s="71"/>
      <c r="D626" s="71"/>
    </row>
    <row r="627" spans="3:4" ht="14.25" customHeight="1">
      <c r="C627" s="71"/>
      <c r="D627" s="71"/>
    </row>
    <row r="628" spans="3:4" ht="14.25" customHeight="1">
      <c r="C628" s="71"/>
      <c r="D628" s="71"/>
    </row>
    <row r="629" spans="3:4" ht="14.25" customHeight="1">
      <c r="C629" s="71"/>
      <c r="D629" s="71"/>
    </row>
    <row r="630" spans="3:4" ht="14.25" customHeight="1">
      <c r="C630" s="71"/>
      <c r="D630" s="71"/>
    </row>
    <row r="631" spans="3:4" ht="14.25" customHeight="1">
      <c r="C631" s="71"/>
      <c r="D631" s="71"/>
    </row>
    <row r="632" spans="3:4" ht="14.25" customHeight="1">
      <c r="C632" s="71"/>
      <c r="D632" s="71"/>
    </row>
    <row r="633" spans="3:4" ht="14.25" customHeight="1">
      <c r="C633" s="71"/>
      <c r="D633" s="71"/>
    </row>
    <row r="634" spans="3:4" ht="14.25" customHeight="1">
      <c r="C634" s="71"/>
      <c r="D634" s="71"/>
    </row>
    <row r="635" spans="3:4" ht="14.25" customHeight="1">
      <c r="C635" s="71"/>
      <c r="D635" s="71"/>
    </row>
    <row r="636" spans="3:4" ht="14.25" customHeight="1">
      <c r="C636" s="71"/>
      <c r="D636" s="71"/>
    </row>
    <row r="637" spans="3:4" ht="14.25" customHeight="1">
      <c r="C637" s="71"/>
      <c r="D637" s="71"/>
    </row>
    <row r="638" spans="3:4" ht="14.25" customHeight="1">
      <c r="C638" s="71"/>
      <c r="D638" s="71"/>
    </row>
    <row r="639" spans="3:4" ht="14.25" customHeight="1">
      <c r="C639" s="71"/>
      <c r="D639" s="71"/>
    </row>
    <row r="640" spans="3:4" ht="14.25" customHeight="1">
      <c r="C640" s="71"/>
      <c r="D640" s="71"/>
    </row>
    <row r="641" spans="3:4" ht="14.25" customHeight="1">
      <c r="C641" s="71"/>
      <c r="D641" s="71"/>
    </row>
    <row r="642" spans="3:4" ht="14.25" customHeight="1">
      <c r="C642" s="71"/>
      <c r="D642" s="71"/>
    </row>
    <row r="643" spans="3:4" ht="14.25" customHeight="1">
      <c r="C643" s="71"/>
      <c r="D643" s="71"/>
    </row>
    <row r="644" spans="3:4" ht="14.25" customHeight="1">
      <c r="C644" s="71"/>
      <c r="D644" s="71"/>
    </row>
    <row r="645" spans="3:4" ht="14.25" customHeight="1">
      <c r="C645" s="71"/>
      <c r="D645" s="71"/>
    </row>
    <row r="646" spans="3:4" ht="14.25" customHeight="1">
      <c r="C646" s="71"/>
      <c r="D646" s="71"/>
    </row>
    <row r="647" spans="3:4" ht="14.25" customHeight="1">
      <c r="C647" s="71"/>
      <c r="D647" s="71"/>
    </row>
    <row r="648" spans="3:4" ht="14.25" customHeight="1">
      <c r="C648" s="71"/>
      <c r="D648" s="71"/>
    </row>
    <row r="649" spans="3:4" ht="14.25" customHeight="1">
      <c r="C649" s="71"/>
      <c r="D649" s="71"/>
    </row>
    <row r="650" spans="3:4" ht="14.25" customHeight="1">
      <c r="C650" s="71"/>
      <c r="D650" s="71"/>
    </row>
    <row r="651" spans="3:4" ht="14.25" customHeight="1">
      <c r="C651" s="71"/>
      <c r="D651" s="71"/>
    </row>
    <row r="652" spans="3:4" ht="14.25" customHeight="1">
      <c r="C652" s="71"/>
      <c r="D652" s="71"/>
    </row>
    <row r="653" spans="3:4" ht="14.25" customHeight="1">
      <c r="C653" s="71"/>
      <c r="D653" s="71"/>
    </row>
    <row r="654" spans="3:4" ht="14.25" customHeight="1">
      <c r="C654" s="71"/>
      <c r="D654" s="71"/>
    </row>
    <row r="655" spans="3:4" ht="14.25" customHeight="1">
      <c r="C655" s="71"/>
      <c r="D655" s="71"/>
    </row>
    <row r="656" spans="3:4" ht="14.25" customHeight="1">
      <c r="C656" s="71"/>
      <c r="D656" s="71"/>
    </row>
    <row r="657" spans="3:4" ht="14.25" customHeight="1">
      <c r="C657" s="71"/>
      <c r="D657" s="71"/>
    </row>
    <row r="658" spans="3:4" ht="14.25" customHeight="1">
      <c r="C658" s="71"/>
      <c r="D658" s="71"/>
    </row>
    <row r="659" spans="3:4" ht="14.25" customHeight="1">
      <c r="C659" s="71"/>
      <c r="D659" s="71"/>
    </row>
    <row r="660" spans="3:4" ht="14.25" customHeight="1">
      <c r="C660" s="71"/>
      <c r="D660" s="71"/>
    </row>
    <row r="661" spans="3:4" ht="14.25" customHeight="1">
      <c r="C661" s="71"/>
      <c r="D661" s="71"/>
    </row>
    <row r="662" spans="3:4" ht="14.25" customHeight="1">
      <c r="C662" s="71"/>
      <c r="D662" s="71"/>
    </row>
    <row r="663" spans="3:4" ht="14.25" customHeight="1">
      <c r="C663" s="71"/>
      <c r="D663" s="71"/>
    </row>
    <row r="664" spans="3:4" ht="14.25" customHeight="1">
      <c r="C664" s="71"/>
      <c r="D664" s="71"/>
    </row>
    <row r="665" spans="3:4" ht="14.25" customHeight="1">
      <c r="C665" s="71"/>
      <c r="D665" s="71"/>
    </row>
    <row r="666" spans="3:4" ht="14.25" customHeight="1">
      <c r="C666" s="71"/>
      <c r="D666" s="71"/>
    </row>
    <row r="667" spans="3:4" ht="14.25" customHeight="1">
      <c r="C667" s="71"/>
      <c r="D667" s="71"/>
    </row>
    <row r="668" spans="3:4" ht="14.25" customHeight="1">
      <c r="C668" s="71"/>
      <c r="D668" s="71"/>
    </row>
    <row r="669" spans="3:4" ht="14.25" customHeight="1">
      <c r="C669" s="71"/>
      <c r="D669" s="71"/>
    </row>
    <row r="670" spans="3:4" ht="14.25" customHeight="1">
      <c r="C670" s="71"/>
      <c r="D670" s="71"/>
    </row>
    <row r="671" spans="3:4" ht="14.25" customHeight="1">
      <c r="C671" s="71"/>
      <c r="D671" s="71"/>
    </row>
    <row r="672" spans="3:4" ht="14.25" customHeight="1">
      <c r="C672" s="71"/>
      <c r="D672" s="71"/>
    </row>
    <row r="673" spans="3:4" ht="14.25" customHeight="1">
      <c r="C673" s="71"/>
      <c r="D673" s="71"/>
    </row>
    <row r="674" spans="3:4" ht="14.25" customHeight="1">
      <c r="C674" s="71"/>
      <c r="D674" s="71"/>
    </row>
    <row r="675" spans="3:4" ht="14.25" customHeight="1">
      <c r="C675" s="71"/>
      <c r="D675" s="71"/>
    </row>
    <row r="676" spans="3:4" ht="14.25" customHeight="1">
      <c r="C676" s="71"/>
      <c r="D676" s="71"/>
    </row>
    <row r="677" spans="3:4" ht="14.25" customHeight="1">
      <c r="C677" s="71"/>
      <c r="D677" s="71"/>
    </row>
    <row r="678" spans="3:4" ht="14.25" customHeight="1">
      <c r="C678" s="71"/>
      <c r="D678" s="71"/>
    </row>
    <row r="679" spans="3:4" ht="14.25" customHeight="1">
      <c r="C679" s="71"/>
      <c r="D679" s="71"/>
    </row>
    <row r="680" spans="3:4" ht="14.25" customHeight="1">
      <c r="C680" s="71"/>
      <c r="D680" s="71"/>
    </row>
    <row r="681" spans="3:4" ht="14.25" customHeight="1">
      <c r="C681" s="71"/>
      <c r="D681" s="71"/>
    </row>
    <row r="682" spans="3:4" ht="14.25" customHeight="1">
      <c r="C682" s="71"/>
      <c r="D682" s="71"/>
    </row>
    <row r="683" spans="3:4" ht="14.25" customHeight="1">
      <c r="C683" s="71"/>
      <c r="D683" s="71"/>
    </row>
    <row r="684" spans="3:4" ht="14.25" customHeight="1">
      <c r="C684" s="71"/>
      <c r="D684" s="71"/>
    </row>
    <row r="685" spans="3:4" ht="14.25" customHeight="1">
      <c r="C685" s="71"/>
      <c r="D685" s="71"/>
    </row>
    <row r="686" spans="3:4" ht="14.25" customHeight="1">
      <c r="C686" s="71"/>
      <c r="D686" s="71"/>
    </row>
    <row r="687" spans="3:4" ht="14.25" customHeight="1">
      <c r="C687" s="71"/>
      <c r="D687" s="71"/>
    </row>
    <row r="688" spans="3:4" ht="14.25" customHeight="1">
      <c r="C688" s="71"/>
      <c r="D688" s="71"/>
    </row>
    <row r="689" spans="3:4" ht="14.25" customHeight="1">
      <c r="C689" s="71"/>
      <c r="D689" s="71"/>
    </row>
    <row r="690" spans="3:4" ht="14.25" customHeight="1">
      <c r="C690" s="71"/>
      <c r="D690" s="71"/>
    </row>
    <row r="691" spans="3:4" ht="14.25" customHeight="1">
      <c r="C691" s="71"/>
      <c r="D691" s="71"/>
    </row>
    <row r="692" spans="3:4" ht="14.25" customHeight="1">
      <c r="C692" s="71"/>
      <c r="D692" s="71"/>
    </row>
    <row r="693" spans="3:4" ht="14.25" customHeight="1">
      <c r="C693" s="71"/>
      <c r="D693" s="71"/>
    </row>
    <row r="694" spans="3:4" ht="14.25" customHeight="1">
      <c r="C694" s="71"/>
      <c r="D694" s="71"/>
    </row>
    <row r="695" spans="3:4" ht="14.25" customHeight="1">
      <c r="C695" s="71"/>
      <c r="D695" s="71"/>
    </row>
    <row r="696" spans="3:4" ht="14.25" customHeight="1">
      <c r="C696" s="71"/>
      <c r="D696" s="71"/>
    </row>
    <row r="697" spans="3:4" ht="14.25" customHeight="1">
      <c r="C697" s="71"/>
      <c r="D697" s="71"/>
    </row>
    <row r="698" spans="3:4" ht="14.25" customHeight="1">
      <c r="C698" s="71"/>
      <c r="D698" s="71"/>
    </row>
    <row r="699" spans="3:4" ht="14.25" customHeight="1">
      <c r="C699" s="71"/>
      <c r="D699" s="71"/>
    </row>
    <row r="700" spans="3:4" ht="14.25" customHeight="1">
      <c r="C700" s="71"/>
      <c r="D700" s="71"/>
    </row>
    <row r="701" spans="3:4" ht="14.25" customHeight="1">
      <c r="C701" s="71"/>
      <c r="D701" s="71"/>
    </row>
    <row r="702" spans="3:4" ht="14.25" customHeight="1">
      <c r="C702" s="71"/>
      <c r="D702" s="71"/>
    </row>
    <row r="703" spans="3:4" ht="14.25" customHeight="1">
      <c r="C703" s="71"/>
      <c r="D703" s="71"/>
    </row>
    <row r="704" spans="3:4" ht="14.25" customHeight="1">
      <c r="C704" s="71"/>
      <c r="D704" s="71"/>
    </row>
    <row r="705" spans="3:4" ht="14.25" customHeight="1">
      <c r="C705" s="71"/>
      <c r="D705" s="71"/>
    </row>
    <row r="706" spans="3:4" ht="14.25" customHeight="1">
      <c r="C706" s="71"/>
      <c r="D706" s="71"/>
    </row>
    <row r="707" spans="3:4" ht="14.25" customHeight="1">
      <c r="C707" s="71"/>
      <c r="D707" s="71"/>
    </row>
    <row r="708" spans="3:4" ht="14.25" customHeight="1">
      <c r="C708" s="71"/>
      <c r="D708" s="71"/>
    </row>
    <row r="709" spans="3:4" ht="14.25" customHeight="1">
      <c r="C709" s="71"/>
      <c r="D709" s="71"/>
    </row>
    <row r="710" spans="3:4" ht="14.25" customHeight="1">
      <c r="C710" s="71"/>
      <c r="D710" s="71"/>
    </row>
    <row r="711" spans="3:4" ht="14.25" customHeight="1">
      <c r="C711" s="71"/>
      <c r="D711" s="71"/>
    </row>
    <row r="712" spans="3:4" ht="14.25" customHeight="1">
      <c r="C712" s="71"/>
      <c r="D712" s="71"/>
    </row>
    <row r="713" spans="3:4" ht="14.25" customHeight="1">
      <c r="C713" s="71"/>
      <c r="D713" s="71"/>
    </row>
    <row r="714" spans="3:4" ht="14.25" customHeight="1">
      <c r="C714" s="71"/>
      <c r="D714" s="71"/>
    </row>
    <row r="715" spans="3:4" ht="14.25" customHeight="1">
      <c r="C715" s="71"/>
      <c r="D715" s="71"/>
    </row>
    <row r="716" spans="3:4" ht="14.25" customHeight="1">
      <c r="C716" s="71"/>
      <c r="D716" s="71"/>
    </row>
    <row r="717" spans="3:4" ht="14.25" customHeight="1">
      <c r="C717" s="71"/>
      <c r="D717" s="71"/>
    </row>
    <row r="718" spans="3:4" ht="14.25" customHeight="1">
      <c r="C718" s="71"/>
      <c r="D718" s="71"/>
    </row>
    <row r="719" spans="3:4" ht="14.25" customHeight="1">
      <c r="C719" s="71"/>
      <c r="D719" s="71"/>
    </row>
    <row r="720" spans="3:4" ht="14.25" customHeight="1">
      <c r="C720" s="71"/>
      <c r="D720" s="71"/>
    </row>
    <row r="721" spans="3:4" ht="14.25" customHeight="1">
      <c r="C721" s="71"/>
      <c r="D721" s="71"/>
    </row>
    <row r="722" spans="3:4" ht="14.25" customHeight="1">
      <c r="C722" s="71"/>
      <c r="D722" s="71"/>
    </row>
    <row r="723" spans="3:4" ht="14.25" customHeight="1">
      <c r="C723" s="71"/>
      <c r="D723" s="71"/>
    </row>
    <row r="724" spans="3:4" ht="14.25" customHeight="1">
      <c r="C724" s="71"/>
      <c r="D724" s="71"/>
    </row>
    <row r="725" spans="3:4" ht="14.25" customHeight="1">
      <c r="C725" s="71"/>
      <c r="D725" s="71"/>
    </row>
    <row r="726" spans="3:4" ht="14.25" customHeight="1">
      <c r="C726" s="71"/>
      <c r="D726" s="71"/>
    </row>
    <row r="727" spans="3:4" ht="14.25" customHeight="1">
      <c r="C727" s="71"/>
      <c r="D727" s="71"/>
    </row>
    <row r="728" spans="3:4" ht="14.25" customHeight="1">
      <c r="C728" s="71"/>
      <c r="D728" s="71"/>
    </row>
    <row r="729" spans="3:4" ht="14.25" customHeight="1">
      <c r="C729" s="71"/>
      <c r="D729" s="71"/>
    </row>
    <row r="730" spans="3:4" ht="14.25" customHeight="1">
      <c r="C730" s="71"/>
      <c r="D730" s="71"/>
    </row>
    <row r="731" spans="3:4" ht="14.25" customHeight="1">
      <c r="C731" s="71"/>
      <c r="D731" s="71"/>
    </row>
    <row r="732" spans="3:4" ht="14.25" customHeight="1">
      <c r="C732" s="71"/>
      <c r="D732" s="71"/>
    </row>
    <row r="733" spans="3:4" ht="14.25" customHeight="1">
      <c r="C733" s="71"/>
      <c r="D733" s="71"/>
    </row>
    <row r="734" spans="3:4" ht="14.25" customHeight="1">
      <c r="C734" s="71"/>
      <c r="D734" s="71"/>
    </row>
    <row r="735" spans="3:4" ht="14.25" customHeight="1">
      <c r="C735" s="71"/>
      <c r="D735" s="71"/>
    </row>
    <row r="736" spans="3:4" ht="14.25" customHeight="1">
      <c r="C736" s="71"/>
      <c r="D736" s="71"/>
    </row>
    <row r="737" spans="3:4" ht="14.25" customHeight="1">
      <c r="C737" s="71"/>
      <c r="D737" s="71"/>
    </row>
    <row r="738" spans="3:4" ht="14.25" customHeight="1">
      <c r="C738" s="71"/>
      <c r="D738" s="71"/>
    </row>
    <row r="739" spans="3:4" ht="14.25" customHeight="1">
      <c r="C739" s="71"/>
      <c r="D739" s="71"/>
    </row>
    <row r="740" spans="3:4" ht="14.25" customHeight="1">
      <c r="C740" s="71"/>
      <c r="D740" s="71"/>
    </row>
    <row r="741" spans="3:4" ht="14.25" customHeight="1">
      <c r="C741" s="71"/>
      <c r="D741" s="71"/>
    </row>
    <row r="742" spans="3:4" ht="14.25" customHeight="1">
      <c r="C742" s="71"/>
      <c r="D742" s="71"/>
    </row>
    <row r="743" spans="3:4" ht="14.25" customHeight="1">
      <c r="C743" s="71"/>
      <c r="D743" s="71"/>
    </row>
    <row r="744" spans="3:4" ht="14.25" customHeight="1">
      <c r="C744" s="71"/>
      <c r="D744" s="71"/>
    </row>
    <row r="745" spans="3:4" ht="14.25" customHeight="1">
      <c r="C745" s="71"/>
      <c r="D745" s="71"/>
    </row>
    <row r="746" spans="3:4" ht="14.25" customHeight="1">
      <c r="C746" s="71"/>
      <c r="D746" s="71"/>
    </row>
    <row r="747" spans="3:4" ht="14.25" customHeight="1">
      <c r="C747" s="71"/>
      <c r="D747" s="71"/>
    </row>
    <row r="748" spans="3:4" ht="14.25" customHeight="1">
      <c r="C748" s="71"/>
      <c r="D748" s="71"/>
    </row>
    <row r="749" spans="3:4" ht="14.25" customHeight="1">
      <c r="C749" s="71"/>
      <c r="D749" s="71"/>
    </row>
    <row r="750" spans="3:4" ht="14.25" customHeight="1">
      <c r="C750" s="71"/>
      <c r="D750" s="71"/>
    </row>
    <row r="751" spans="3:4" ht="14.25" customHeight="1">
      <c r="C751" s="71"/>
      <c r="D751" s="71"/>
    </row>
    <row r="752" spans="3:4" ht="14.25" customHeight="1">
      <c r="C752" s="71"/>
      <c r="D752" s="71"/>
    </row>
    <row r="753" spans="3:4" ht="14.25" customHeight="1">
      <c r="C753" s="71"/>
      <c r="D753" s="71"/>
    </row>
    <row r="754" spans="3:4" ht="14.25" customHeight="1">
      <c r="C754" s="71"/>
      <c r="D754" s="71"/>
    </row>
    <row r="755" spans="3:4" ht="14.25" customHeight="1">
      <c r="C755" s="71"/>
      <c r="D755" s="71"/>
    </row>
    <row r="756" spans="3:4" ht="14.25" customHeight="1">
      <c r="C756" s="71"/>
      <c r="D756" s="71"/>
    </row>
    <row r="757" spans="3:4" ht="14.25" customHeight="1">
      <c r="C757" s="71"/>
      <c r="D757" s="71"/>
    </row>
    <row r="758" spans="3:4" ht="14.25" customHeight="1">
      <c r="C758" s="71"/>
      <c r="D758" s="71"/>
    </row>
    <row r="759" spans="3:4" ht="14.25" customHeight="1">
      <c r="C759" s="71"/>
      <c r="D759" s="71"/>
    </row>
    <row r="760" spans="3:4" ht="14.25" customHeight="1">
      <c r="C760" s="71"/>
      <c r="D760" s="71"/>
    </row>
    <row r="761" spans="3:4" ht="14.25" customHeight="1">
      <c r="C761" s="71"/>
      <c r="D761" s="71"/>
    </row>
    <row r="762" spans="3:4" ht="14.25" customHeight="1">
      <c r="C762" s="71"/>
      <c r="D762" s="71"/>
    </row>
    <row r="763" spans="3:4" ht="14.25" customHeight="1">
      <c r="C763" s="71"/>
      <c r="D763" s="71"/>
    </row>
    <row r="764" spans="3:4" ht="14.25" customHeight="1">
      <c r="C764" s="71"/>
      <c r="D764" s="71"/>
    </row>
    <row r="765" spans="3:4" ht="14.25" customHeight="1">
      <c r="C765" s="71"/>
      <c r="D765" s="71"/>
    </row>
    <row r="766" spans="3:4" ht="14.25" customHeight="1">
      <c r="C766" s="71"/>
      <c r="D766" s="71"/>
    </row>
    <row r="767" spans="3:4" ht="14.25" customHeight="1">
      <c r="C767" s="71"/>
      <c r="D767" s="71"/>
    </row>
    <row r="768" spans="3:4" ht="14.25" customHeight="1">
      <c r="C768" s="71"/>
      <c r="D768" s="71"/>
    </row>
    <row r="769" spans="3:4" ht="14.25" customHeight="1">
      <c r="C769" s="71"/>
      <c r="D769" s="71"/>
    </row>
    <row r="770" spans="3:4" ht="14.25" customHeight="1">
      <c r="C770" s="71"/>
      <c r="D770" s="71"/>
    </row>
    <row r="771" spans="3:4" ht="14.25" customHeight="1">
      <c r="C771" s="71"/>
      <c r="D771" s="71"/>
    </row>
    <row r="772" spans="3:4" ht="14.25" customHeight="1">
      <c r="C772" s="71"/>
      <c r="D772" s="71"/>
    </row>
    <row r="773" spans="3:4" ht="14.25" customHeight="1">
      <c r="C773" s="71"/>
      <c r="D773" s="71"/>
    </row>
    <row r="774" spans="3:4" ht="14.25" customHeight="1">
      <c r="C774" s="71"/>
      <c r="D774" s="71"/>
    </row>
    <row r="775" spans="3:4" ht="14.25" customHeight="1">
      <c r="C775" s="71"/>
      <c r="D775" s="71"/>
    </row>
    <row r="776" spans="3:4" ht="14.25" customHeight="1">
      <c r="C776" s="71"/>
      <c r="D776" s="71"/>
    </row>
    <row r="777" spans="3:4" ht="14.25" customHeight="1">
      <c r="C777" s="71"/>
      <c r="D777" s="71"/>
    </row>
    <row r="778" spans="3:4" ht="14.25" customHeight="1">
      <c r="C778" s="71"/>
      <c r="D778" s="71"/>
    </row>
    <row r="779" spans="3:4" ht="14.25" customHeight="1">
      <c r="C779" s="71"/>
      <c r="D779" s="71"/>
    </row>
    <row r="780" spans="3:4" ht="14.25" customHeight="1">
      <c r="C780" s="71"/>
      <c r="D780" s="71"/>
    </row>
    <row r="781" spans="3:4" ht="14.25" customHeight="1">
      <c r="C781" s="71"/>
      <c r="D781" s="71"/>
    </row>
    <row r="782" spans="3:4" ht="14.25" customHeight="1">
      <c r="C782" s="71"/>
      <c r="D782" s="71"/>
    </row>
    <row r="783" spans="3:4" ht="14.25" customHeight="1">
      <c r="C783" s="71"/>
      <c r="D783" s="71"/>
    </row>
    <row r="784" spans="3:4" ht="14.25" customHeight="1">
      <c r="C784" s="71"/>
      <c r="D784" s="71"/>
    </row>
    <row r="785" spans="3:4" ht="14.25" customHeight="1">
      <c r="C785" s="71"/>
      <c r="D785" s="71"/>
    </row>
    <row r="786" spans="3:4" ht="14.25" customHeight="1">
      <c r="C786" s="71"/>
      <c r="D786" s="71"/>
    </row>
    <row r="787" spans="3:4" ht="14.25" customHeight="1">
      <c r="C787" s="71"/>
      <c r="D787" s="71"/>
    </row>
    <row r="788" spans="3:4" ht="14.25" customHeight="1">
      <c r="C788" s="71"/>
      <c r="D788" s="71"/>
    </row>
    <row r="789" spans="3:4" ht="14.25" customHeight="1">
      <c r="C789" s="71"/>
      <c r="D789" s="71"/>
    </row>
    <row r="790" spans="3:4" ht="14.25" customHeight="1">
      <c r="C790" s="71"/>
      <c r="D790" s="71"/>
    </row>
    <row r="791" spans="3:4" ht="14.25" customHeight="1">
      <c r="C791" s="71"/>
      <c r="D791" s="71"/>
    </row>
    <row r="792" spans="3:4" ht="14.25" customHeight="1">
      <c r="C792" s="71"/>
      <c r="D792" s="71"/>
    </row>
    <row r="793" spans="3:4" ht="14.25" customHeight="1">
      <c r="C793" s="71"/>
      <c r="D793" s="71"/>
    </row>
    <row r="794" spans="3:4" ht="14.25" customHeight="1">
      <c r="C794" s="71"/>
      <c r="D794" s="71"/>
    </row>
    <row r="795" spans="3:4" ht="14.25" customHeight="1">
      <c r="C795" s="71"/>
      <c r="D795" s="71"/>
    </row>
    <row r="796" spans="3:4" ht="14.25" customHeight="1">
      <c r="C796" s="71"/>
      <c r="D796" s="71"/>
    </row>
    <row r="797" spans="3:4" ht="14.25" customHeight="1">
      <c r="C797" s="71"/>
      <c r="D797" s="71"/>
    </row>
    <row r="798" spans="3:4" ht="14.25" customHeight="1">
      <c r="C798" s="71"/>
      <c r="D798" s="71"/>
    </row>
    <row r="799" spans="3:4" ht="14.25" customHeight="1">
      <c r="C799" s="71"/>
      <c r="D799" s="71"/>
    </row>
    <row r="800" spans="3:4" ht="14.25" customHeight="1">
      <c r="C800" s="71"/>
      <c r="D800" s="71"/>
    </row>
    <row r="801" spans="3:4" ht="14.25" customHeight="1">
      <c r="C801" s="71"/>
      <c r="D801" s="71"/>
    </row>
    <row r="802" spans="3:4" ht="14.25" customHeight="1">
      <c r="C802" s="71"/>
      <c r="D802" s="71"/>
    </row>
    <row r="803" spans="3:4" ht="14.25" customHeight="1">
      <c r="C803" s="71"/>
      <c r="D803" s="71"/>
    </row>
    <row r="804" spans="3:4" ht="14.25" customHeight="1">
      <c r="C804" s="71"/>
      <c r="D804" s="71"/>
    </row>
    <row r="805" spans="3:4" ht="14.25" customHeight="1">
      <c r="C805" s="71"/>
      <c r="D805" s="71"/>
    </row>
    <row r="806" spans="3:4" ht="14.25" customHeight="1">
      <c r="C806" s="71"/>
      <c r="D806" s="71"/>
    </row>
    <row r="807" spans="3:4" ht="14.25" customHeight="1">
      <c r="C807" s="71"/>
      <c r="D807" s="71"/>
    </row>
    <row r="808" spans="3:4" ht="14.25" customHeight="1">
      <c r="C808" s="71"/>
      <c r="D808" s="71"/>
    </row>
    <row r="809" spans="3:4" ht="14.25" customHeight="1">
      <c r="C809" s="71"/>
      <c r="D809" s="71"/>
    </row>
    <row r="810" spans="3:4" ht="14.25" customHeight="1">
      <c r="C810" s="71"/>
      <c r="D810" s="71"/>
    </row>
    <row r="811" spans="3:4" ht="14.25" customHeight="1">
      <c r="C811" s="71"/>
      <c r="D811" s="71"/>
    </row>
    <row r="812" spans="3:4" ht="14.25" customHeight="1">
      <c r="C812" s="71"/>
      <c r="D812" s="71"/>
    </row>
    <row r="813" spans="3:4" ht="14.25" customHeight="1">
      <c r="C813" s="71"/>
      <c r="D813" s="71"/>
    </row>
    <row r="814" spans="3:4" ht="14.25" customHeight="1">
      <c r="C814" s="71"/>
      <c r="D814" s="71"/>
    </row>
    <row r="815" spans="3:4" ht="14.25" customHeight="1">
      <c r="C815" s="71"/>
      <c r="D815" s="71"/>
    </row>
    <row r="816" spans="3:4" ht="14.25" customHeight="1">
      <c r="C816" s="71"/>
      <c r="D816" s="71"/>
    </row>
    <row r="817" spans="3:4" ht="14.25" customHeight="1">
      <c r="C817" s="71"/>
      <c r="D817" s="71"/>
    </row>
    <row r="818" spans="3:4" ht="14.25" customHeight="1">
      <c r="C818" s="71"/>
      <c r="D818" s="71"/>
    </row>
    <row r="819" spans="3:4" ht="14.25" customHeight="1">
      <c r="C819" s="71"/>
      <c r="D819" s="71"/>
    </row>
    <row r="820" spans="3:4" ht="14.25" customHeight="1">
      <c r="C820" s="71"/>
      <c r="D820" s="71"/>
    </row>
    <row r="821" spans="3:4" ht="14.25" customHeight="1">
      <c r="C821" s="71"/>
      <c r="D821" s="71"/>
    </row>
    <row r="822" spans="3:4" ht="14.25" customHeight="1">
      <c r="C822" s="71"/>
      <c r="D822" s="71"/>
    </row>
    <row r="823" spans="3:4" ht="14.25" customHeight="1">
      <c r="C823" s="71"/>
      <c r="D823" s="71"/>
    </row>
    <row r="824" spans="3:4" ht="14.25" customHeight="1">
      <c r="C824" s="71"/>
      <c r="D824" s="71"/>
    </row>
    <row r="825" spans="3:4" ht="14.25" customHeight="1">
      <c r="C825" s="71"/>
      <c r="D825" s="71"/>
    </row>
    <row r="826" spans="3:4" ht="14.25" customHeight="1">
      <c r="C826" s="71"/>
      <c r="D826" s="71"/>
    </row>
    <row r="827" spans="3:4" ht="14.25" customHeight="1">
      <c r="C827" s="71"/>
      <c r="D827" s="71"/>
    </row>
    <row r="828" spans="3:4" ht="14.25" customHeight="1">
      <c r="C828" s="71"/>
      <c r="D828" s="71"/>
    </row>
    <row r="829" spans="3:4" ht="14.25" customHeight="1">
      <c r="C829" s="71"/>
      <c r="D829" s="71"/>
    </row>
    <row r="830" spans="3:4" ht="14.25" customHeight="1">
      <c r="C830" s="71"/>
      <c r="D830" s="71"/>
    </row>
    <row r="831" spans="3:4" ht="14.25" customHeight="1">
      <c r="C831" s="71"/>
      <c r="D831" s="71"/>
    </row>
    <row r="832" spans="3:4" ht="14.25" customHeight="1">
      <c r="C832" s="71"/>
      <c r="D832" s="71"/>
    </row>
    <row r="833" spans="3:4" ht="14.25" customHeight="1">
      <c r="C833" s="71"/>
      <c r="D833" s="71"/>
    </row>
    <row r="834" spans="3:4" ht="14.25" customHeight="1">
      <c r="C834" s="71"/>
      <c r="D834" s="71"/>
    </row>
    <row r="835" spans="3:4" ht="14.25" customHeight="1">
      <c r="C835" s="71"/>
      <c r="D835" s="71"/>
    </row>
    <row r="836" spans="3:4" ht="14.25" customHeight="1">
      <c r="C836" s="71"/>
      <c r="D836" s="71"/>
    </row>
    <row r="837" spans="3:4" ht="14.25" customHeight="1">
      <c r="C837" s="71"/>
      <c r="D837" s="71"/>
    </row>
    <row r="838" spans="3:4" ht="14.25" customHeight="1">
      <c r="C838" s="71"/>
      <c r="D838" s="71"/>
    </row>
    <row r="839" spans="3:4" ht="14.25" customHeight="1">
      <c r="C839" s="71"/>
      <c r="D839" s="71"/>
    </row>
    <row r="840" spans="3:4" ht="14.25" customHeight="1">
      <c r="C840" s="71"/>
      <c r="D840" s="71"/>
    </row>
    <row r="841" spans="3:4" ht="14.25" customHeight="1">
      <c r="C841" s="71"/>
      <c r="D841" s="71"/>
    </row>
    <row r="842" spans="3:4" ht="14.25" customHeight="1">
      <c r="C842" s="71"/>
      <c r="D842" s="71"/>
    </row>
    <row r="843" spans="3:4" ht="14.25" customHeight="1">
      <c r="C843" s="71"/>
      <c r="D843" s="71"/>
    </row>
    <row r="844" spans="3:4" ht="14.25" customHeight="1">
      <c r="C844" s="71"/>
      <c r="D844" s="71"/>
    </row>
    <row r="845" spans="3:4" ht="14.25" customHeight="1">
      <c r="C845" s="71"/>
      <c r="D845" s="71"/>
    </row>
    <row r="846" spans="3:4" ht="14.25" customHeight="1">
      <c r="C846" s="71"/>
      <c r="D846" s="71"/>
    </row>
    <row r="847" spans="3:4" ht="14.25" customHeight="1">
      <c r="C847" s="71"/>
      <c r="D847" s="71"/>
    </row>
    <row r="848" spans="3:4" ht="14.25" customHeight="1">
      <c r="C848" s="71"/>
      <c r="D848" s="71"/>
    </row>
    <row r="849" spans="3:4" ht="14.25" customHeight="1">
      <c r="C849" s="71"/>
      <c r="D849" s="71"/>
    </row>
    <row r="850" spans="3:4" ht="14.25" customHeight="1">
      <c r="C850" s="71"/>
      <c r="D850" s="71"/>
    </row>
    <row r="851" spans="3:4" ht="14.25" customHeight="1">
      <c r="C851" s="71"/>
      <c r="D851" s="71"/>
    </row>
    <row r="852" spans="3:4" ht="14.25" customHeight="1">
      <c r="C852" s="71"/>
      <c r="D852" s="71"/>
    </row>
    <row r="853" spans="3:4" ht="14.25" customHeight="1">
      <c r="C853" s="71"/>
      <c r="D853" s="71"/>
    </row>
    <row r="854" spans="3:4" ht="14.25" customHeight="1">
      <c r="C854" s="71"/>
      <c r="D854" s="71"/>
    </row>
    <row r="855" spans="3:4" ht="14.25" customHeight="1">
      <c r="C855" s="71"/>
      <c r="D855" s="71"/>
    </row>
    <row r="856" spans="3:4" ht="14.25" customHeight="1">
      <c r="C856" s="71"/>
      <c r="D856" s="71"/>
    </row>
    <row r="857" spans="3:4" ht="14.25" customHeight="1">
      <c r="C857" s="71"/>
      <c r="D857" s="71"/>
    </row>
    <row r="858" spans="3:4" ht="14.25" customHeight="1">
      <c r="C858" s="71"/>
      <c r="D858" s="71"/>
    </row>
    <row r="859" spans="3:4" ht="14.25" customHeight="1">
      <c r="C859" s="71"/>
      <c r="D859" s="71"/>
    </row>
    <row r="860" spans="3:4" ht="14.25" customHeight="1">
      <c r="C860" s="71"/>
      <c r="D860" s="71"/>
    </row>
    <row r="861" spans="3:4" ht="14.25" customHeight="1">
      <c r="C861" s="71"/>
      <c r="D861" s="71"/>
    </row>
    <row r="862" spans="3:4" ht="14.25" customHeight="1">
      <c r="C862" s="71"/>
      <c r="D862" s="71"/>
    </row>
    <row r="863" spans="3:4" ht="14.25" customHeight="1">
      <c r="C863" s="71"/>
      <c r="D863" s="71"/>
    </row>
    <row r="864" spans="3:4" ht="14.25" customHeight="1">
      <c r="C864" s="71"/>
      <c r="D864" s="71"/>
    </row>
    <row r="865" spans="3:4" ht="14.25" customHeight="1">
      <c r="C865" s="71"/>
      <c r="D865" s="71"/>
    </row>
    <row r="866" spans="3:4" ht="14.25" customHeight="1">
      <c r="C866" s="71"/>
      <c r="D866" s="71"/>
    </row>
    <row r="867" spans="3:4" ht="14.25" customHeight="1">
      <c r="C867" s="71"/>
      <c r="D867" s="71"/>
    </row>
    <row r="868" spans="3:4" ht="14.25" customHeight="1">
      <c r="C868" s="71"/>
      <c r="D868" s="71"/>
    </row>
    <row r="869" spans="3:4" ht="14.25" customHeight="1">
      <c r="C869" s="71"/>
      <c r="D869" s="71"/>
    </row>
    <row r="870" spans="3:4" ht="14.25" customHeight="1">
      <c r="C870" s="71"/>
      <c r="D870" s="71"/>
    </row>
    <row r="871" spans="3:4" ht="14.25" customHeight="1">
      <c r="C871" s="71"/>
      <c r="D871" s="71"/>
    </row>
    <row r="872" spans="3:4" ht="14.25" customHeight="1">
      <c r="C872" s="71"/>
      <c r="D872" s="71"/>
    </row>
    <row r="873" spans="3:4" ht="14.25" customHeight="1">
      <c r="C873" s="71"/>
      <c r="D873" s="71"/>
    </row>
    <row r="874" spans="3:4" ht="14.25" customHeight="1">
      <c r="C874" s="71"/>
      <c r="D874" s="71"/>
    </row>
    <row r="875" spans="3:4" ht="14.25" customHeight="1">
      <c r="C875" s="71"/>
      <c r="D875" s="71"/>
    </row>
    <row r="876" spans="3:4" ht="14.25" customHeight="1">
      <c r="C876" s="71"/>
      <c r="D876" s="71"/>
    </row>
    <row r="877" spans="3:4" ht="14.25" customHeight="1">
      <c r="C877" s="71"/>
      <c r="D877" s="71"/>
    </row>
    <row r="878" spans="3:4" ht="14.25" customHeight="1">
      <c r="C878" s="71"/>
      <c r="D878" s="71"/>
    </row>
    <row r="879" spans="3:4" ht="14.25" customHeight="1">
      <c r="C879" s="71"/>
      <c r="D879" s="71"/>
    </row>
    <row r="880" spans="3:4" ht="14.25" customHeight="1">
      <c r="C880" s="71"/>
      <c r="D880" s="71"/>
    </row>
    <row r="881" spans="3:4" ht="14.25" customHeight="1">
      <c r="C881" s="71"/>
      <c r="D881" s="71"/>
    </row>
    <row r="882" spans="3:4" ht="14.25" customHeight="1">
      <c r="C882" s="71"/>
      <c r="D882" s="71"/>
    </row>
    <row r="883" spans="3:4" ht="14.25" customHeight="1">
      <c r="C883" s="71"/>
      <c r="D883" s="71"/>
    </row>
    <row r="884" spans="3:4" ht="14.25" customHeight="1">
      <c r="C884" s="71"/>
      <c r="D884" s="71"/>
    </row>
    <row r="885" spans="3:4" ht="14.25" customHeight="1">
      <c r="C885" s="71"/>
      <c r="D885" s="71"/>
    </row>
    <row r="886" spans="3:4" ht="14.25" customHeight="1">
      <c r="C886" s="71"/>
      <c r="D886" s="71"/>
    </row>
    <row r="887" spans="3:4" ht="14.25" customHeight="1">
      <c r="C887" s="71"/>
      <c r="D887" s="71"/>
    </row>
    <row r="888" spans="3:4" ht="14.25" customHeight="1">
      <c r="C888" s="71"/>
      <c r="D888" s="71"/>
    </row>
    <row r="889" spans="3:4" ht="14.25" customHeight="1">
      <c r="C889" s="71"/>
      <c r="D889" s="71"/>
    </row>
    <row r="890" spans="3:4" ht="14.25" customHeight="1">
      <c r="C890" s="71"/>
      <c r="D890" s="71"/>
    </row>
    <row r="891" spans="3:4" ht="14.25" customHeight="1">
      <c r="C891" s="71"/>
      <c r="D891" s="71"/>
    </row>
    <row r="892" spans="3:4" ht="14.25" customHeight="1">
      <c r="C892" s="71"/>
      <c r="D892" s="71"/>
    </row>
    <row r="893" spans="3:4" ht="14.25" customHeight="1">
      <c r="C893" s="71"/>
      <c r="D893" s="71"/>
    </row>
    <row r="894" spans="3:4" ht="14.25" customHeight="1">
      <c r="C894" s="71"/>
      <c r="D894" s="71"/>
    </row>
    <row r="895" spans="3:4" ht="14.25" customHeight="1">
      <c r="C895" s="71"/>
      <c r="D895" s="71"/>
    </row>
    <row r="896" spans="3:4" ht="14.25" customHeight="1">
      <c r="C896" s="71"/>
      <c r="D896" s="71"/>
    </row>
    <row r="897" spans="3:4" ht="14.25" customHeight="1">
      <c r="C897" s="71"/>
      <c r="D897" s="71"/>
    </row>
    <row r="898" spans="3:4" ht="14.25" customHeight="1">
      <c r="C898" s="71"/>
      <c r="D898" s="71"/>
    </row>
    <row r="899" spans="3:4" ht="14.25" customHeight="1">
      <c r="C899" s="71"/>
      <c r="D899" s="71"/>
    </row>
    <row r="900" spans="3:4" ht="14.25" customHeight="1">
      <c r="C900" s="71"/>
      <c r="D900" s="71"/>
    </row>
    <row r="901" spans="3:4" ht="14.25" customHeight="1">
      <c r="C901" s="71"/>
      <c r="D901" s="71"/>
    </row>
    <row r="902" spans="3:4" ht="14.25" customHeight="1">
      <c r="C902" s="71"/>
      <c r="D902" s="71"/>
    </row>
    <row r="903" spans="3:4" ht="14.25" customHeight="1">
      <c r="C903" s="71"/>
      <c r="D903" s="71"/>
    </row>
    <row r="904" spans="3:4" ht="14.25" customHeight="1">
      <c r="C904" s="71"/>
      <c r="D904" s="71"/>
    </row>
    <row r="905" spans="3:4" ht="14.25" customHeight="1">
      <c r="C905" s="71"/>
      <c r="D905" s="71"/>
    </row>
    <row r="906" spans="3:4" ht="14.25" customHeight="1">
      <c r="C906" s="71"/>
      <c r="D906" s="71"/>
    </row>
    <row r="907" spans="3:4" ht="14.25" customHeight="1">
      <c r="C907" s="71"/>
      <c r="D907" s="71"/>
    </row>
    <row r="908" spans="3:4" ht="14.25" customHeight="1">
      <c r="C908" s="71"/>
      <c r="D908" s="71"/>
    </row>
    <row r="909" spans="3:4" ht="14.25" customHeight="1">
      <c r="C909" s="71"/>
      <c r="D909" s="71"/>
    </row>
    <row r="910" spans="3:4" ht="14.25" customHeight="1">
      <c r="C910" s="71"/>
      <c r="D910" s="71"/>
    </row>
    <row r="911" spans="3:4" ht="14.25" customHeight="1">
      <c r="C911" s="71"/>
      <c r="D911" s="71"/>
    </row>
    <row r="912" spans="3:4" ht="14.25" customHeight="1">
      <c r="C912" s="71"/>
      <c r="D912" s="71"/>
    </row>
    <row r="913" spans="3:4" ht="14.25" customHeight="1">
      <c r="C913" s="71"/>
      <c r="D913" s="71"/>
    </row>
    <row r="914" spans="3:4" ht="14.25" customHeight="1">
      <c r="C914" s="71"/>
      <c r="D914" s="71"/>
    </row>
    <row r="915" spans="3:4" ht="14.25" customHeight="1">
      <c r="C915" s="71"/>
      <c r="D915" s="71"/>
    </row>
    <row r="916" spans="3:4" ht="14.25" customHeight="1">
      <c r="C916" s="71"/>
      <c r="D916" s="71"/>
    </row>
    <row r="917" spans="3:4" ht="14.25" customHeight="1">
      <c r="C917" s="71"/>
      <c r="D917" s="71"/>
    </row>
    <row r="918" spans="3:4" ht="14.25" customHeight="1">
      <c r="C918" s="71"/>
      <c r="D918" s="71"/>
    </row>
    <row r="919" spans="3:4" ht="14.25" customHeight="1">
      <c r="C919" s="71"/>
      <c r="D919" s="71"/>
    </row>
    <row r="920" spans="3:4" ht="14.25" customHeight="1">
      <c r="C920" s="71"/>
      <c r="D920" s="71"/>
    </row>
    <row r="921" spans="3:4" ht="14.25" customHeight="1">
      <c r="C921" s="71"/>
      <c r="D921" s="71"/>
    </row>
    <row r="922" spans="3:4" ht="14.25" customHeight="1">
      <c r="C922" s="71"/>
      <c r="D922" s="71"/>
    </row>
    <row r="923" spans="3:4" ht="14.25" customHeight="1">
      <c r="C923" s="71"/>
      <c r="D923" s="71"/>
    </row>
    <row r="924" spans="3:4" ht="14.25" customHeight="1">
      <c r="C924" s="71"/>
      <c r="D924" s="71"/>
    </row>
    <row r="925" spans="3:4" ht="14.25" customHeight="1">
      <c r="C925" s="71"/>
      <c r="D925" s="71"/>
    </row>
    <row r="926" spans="3:4" ht="14.25" customHeight="1">
      <c r="C926" s="71"/>
      <c r="D926" s="71"/>
    </row>
    <row r="927" spans="3:4" ht="14.25" customHeight="1">
      <c r="C927" s="71"/>
      <c r="D927" s="71"/>
    </row>
    <row r="928" spans="3:4" ht="14.25" customHeight="1">
      <c r="C928" s="71"/>
      <c r="D928" s="71"/>
    </row>
    <row r="929" spans="3:4" ht="14.25" customHeight="1">
      <c r="C929" s="71"/>
      <c r="D929" s="71"/>
    </row>
    <row r="930" spans="3:4" ht="14.25" customHeight="1">
      <c r="C930" s="71"/>
      <c r="D930" s="71"/>
    </row>
    <row r="931" spans="3:4" ht="14.25" customHeight="1">
      <c r="C931" s="71"/>
      <c r="D931" s="71"/>
    </row>
    <row r="932" spans="3:4" ht="14.25" customHeight="1">
      <c r="C932" s="71"/>
      <c r="D932" s="71"/>
    </row>
    <row r="933" spans="3:4" ht="14.25" customHeight="1">
      <c r="C933" s="71"/>
      <c r="D933" s="71"/>
    </row>
    <row r="934" spans="3:4" ht="14.25" customHeight="1">
      <c r="C934" s="71"/>
      <c r="D934" s="71"/>
    </row>
    <row r="935" spans="3:4" ht="14.25" customHeight="1">
      <c r="C935" s="71"/>
      <c r="D935" s="71"/>
    </row>
    <row r="936" spans="3:4" ht="14.25" customHeight="1">
      <c r="C936" s="71"/>
      <c r="D936" s="71"/>
    </row>
    <row r="937" spans="3:4" ht="14.25" customHeight="1">
      <c r="C937" s="71"/>
      <c r="D937" s="71"/>
    </row>
    <row r="938" spans="3:4" ht="14.25" customHeight="1">
      <c r="C938" s="71"/>
      <c r="D938" s="71"/>
    </row>
    <row r="939" spans="3:4" ht="14.25" customHeight="1">
      <c r="C939" s="71"/>
      <c r="D939" s="71"/>
    </row>
    <row r="940" spans="3:4" ht="14.25" customHeight="1">
      <c r="C940" s="71"/>
      <c r="D940" s="71"/>
    </row>
    <row r="941" spans="3:4" ht="14.25" customHeight="1">
      <c r="C941" s="71"/>
      <c r="D941" s="71"/>
    </row>
    <row r="942" spans="3:4" ht="14.25" customHeight="1">
      <c r="C942" s="71"/>
      <c r="D942" s="71"/>
    </row>
    <row r="943" spans="3:4" ht="14.25" customHeight="1">
      <c r="C943" s="71"/>
      <c r="D943" s="71"/>
    </row>
    <row r="944" spans="3:4" ht="14.25" customHeight="1">
      <c r="C944" s="71"/>
      <c r="D944" s="71"/>
    </row>
    <row r="945" spans="3:4" ht="14.25" customHeight="1">
      <c r="C945" s="71"/>
      <c r="D945" s="71"/>
    </row>
    <row r="946" spans="3:4" ht="14.25" customHeight="1">
      <c r="C946" s="71"/>
      <c r="D946" s="71"/>
    </row>
    <row r="947" spans="3:4" ht="14.25" customHeight="1">
      <c r="C947" s="71"/>
      <c r="D947" s="71"/>
    </row>
    <row r="948" spans="3:4" ht="14.25" customHeight="1">
      <c r="C948" s="71"/>
      <c r="D948" s="71"/>
    </row>
    <row r="949" spans="3:4" ht="14.25" customHeight="1">
      <c r="C949" s="71"/>
      <c r="D949" s="71"/>
    </row>
    <row r="950" spans="3:4" ht="14.25" customHeight="1">
      <c r="C950" s="71"/>
      <c r="D950" s="71"/>
    </row>
    <row r="951" spans="3:4" ht="14.25" customHeight="1">
      <c r="C951" s="71"/>
      <c r="D951" s="71"/>
    </row>
    <row r="952" spans="3:4" ht="14.25" customHeight="1">
      <c r="C952" s="71"/>
      <c r="D952" s="71"/>
    </row>
    <row r="953" spans="3:4" ht="14.25" customHeight="1">
      <c r="C953" s="71"/>
      <c r="D953" s="71"/>
    </row>
    <row r="954" spans="3:4" ht="14.25" customHeight="1">
      <c r="C954" s="71"/>
      <c r="D954" s="71"/>
    </row>
    <row r="955" spans="3:4" ht="14.25" customHeight="1">
      <c r="C955" s="71"/>
      <c r="D955" s="71"/>
    </row>
    <row r="956" spans="3:4" ht="14.25" customHeight="1">
      <c r="C956" s="71"/>
      <c r="D956" s="71"/>
    </row>
    <row r="957" spans="3:4" ht="14.25" customHeight="1">
      <c r="C957" s="71"/>
      <c r="D957" s="71"/>
    </row>
    <row r="958" spans="3:4" ht="14.25" customHeight="1">
      <c r="C958" s="71"/>
      <c r="D958" s="71"/>
    </row>
    <row r="959" spans="3:4" ht="14.25" customHeight="1">
      <c r="C959" s="71"/>
      <c r="D959" s="71"/>
    </row>
    <row r="960" spans="3:4" ht="14.25" customHeight="1">
      <c r="C960" s="71"/>
      <c r="D960" s="71"/>
    </row>
    <row r="961" spans="3:4" ht="14.25" customHeight="1">
      <c r="C961" s="71"/>
      <c r="D961" s="71"/>
    </row>
    <row r="962" spans="3:4" ht="14.25" customHeight="1">
      <c r="C962" s="71"/>
      <c r="D962" s="71"/>
    </row>
    <row r="963" spans="3:4" ht="14.25" customHeight="1">
      <c r="C963" s="71"/>
      <c r="D963" s="71"/>
    </row>
    <row r="964" spans="3:4" ht="14.25" customHeight="1">
      <c r="C964" s="71"/>
      <c r="D964" s="71"/>
    </row>
    <row r="965" spans="3:4" ht="14.25" customHeight="1">
      <c r="C965" s="71"/>
      <c r="D965" s="71"/>
    </row>
    <row r="966" spans="3:4" ht="14.25" customHeight="1">
      <c r="C966" s="71"/>
      <c r="D966" s="71"/>
    </row>
    <row r="967" spans="3:4" ht="14.25" customHeight="1">
      <c r="C967" s="71"/>
      <c r="D967" s="71"/>
    </row>
    <row r="968" spans="3:4" ht="14.25" customHeight="1">
      <c r="C968" s="71"/>
      <c r="D968" s="71"/>
    </row>
    <row r="969" spans="3:4" ht="14.25" customHeight="1">
      <c r="C969" s="71"/>
      <c r="D969" s="71"/>
    </row>
    <row r="970" spans="3:4" ht="14.25" customHeight="1">
      <c r="C970" s="71"/>
      <c r="D970" s="71"/>
    </row>
    <row r="971" spans="3:4" ht="14.25" customHeight="1">
      <c r="C971" s="71"/>
      <c r="D971" s="71"/>
    </row>
    <row r="972" spans="3:4" ht="14.25" customHeight="1">
      <c r="C972" s="71"/>
      <c r="D972" s="71"/>
    </row>
    <row r="973" spans="3:4" ht="14.25" customHeight="1">
      <c r="C973" s="71"/>
      <c r="D973" s="71"/>
    </row>
    <row r="974" spans="3:4" ht="14.25" customHeight="1">
      <c r="C974" s="71"/>
      <c r="D974" s="71"/>
    </row>
    <row r="975" spans="3:4" ht="14.25" customHeight="1">
      <c r="C975" s="71"/>
      <c r="D975" s="71"/>
    </row>
    <row r="976" spans="3:4" ht="14.25" customHeight="1">
      <c r="C976" s="71"/>
      <c r="D976" s="71"/>
    </row>
    <row r="977" spans="3:4" ht="14.25" customHeight="1">
      <c r="C977" s="71"/>
      <c r="D977" s="71"/>
    </row>
    <row r="978" spans="3:4" ht="14.25" customHeight="1">
      <c r="C978" s="71"/>
      <c r="D978" s="71"/>
    </row>
    <row r="979" spans="3:4" ht="14.25" customHeight="1">
      <c r="C979" s="71"/>
      <c r="D979" s="71"/>
    </row>
    <row r="980" spans="3:4" ht="14.25" customHeight="1">
      <c r="C980" s="71"/>
      <c r="D980" s="71"/>
    </row>
    <row r="981" spans="3:4" ht="14.25" customHeight="1">
      <c r="C981" s="71"/>
      <c r="D981" s="71"/>
    </row>
    <row r="982" spans="3:4" ht="14.25" customHeight="1">
      <c r="C982" s="71"/>
      <c r="D982" s="71"/>
    </row>
    <row r="983" spans="3:4" ht="14.25" customHeight="1">
      <c r="C983" s="71"/>
      <c r="D983" s="71"/>
    </row>
    <row r="984" spans="3:4" ht="14.25" customHeight="1">
      <c r="C984" s="71"/>
      <c r="D984" s="71"/>
    </row>
    <row r="985" spans="3:4" ht="14.25" customHeight="1">
      <c r="C985" s="71"/>
      <c r="D985" s="71"/>
    </row>
    <row r="986" spans="3:4" ht="14.25" customHeight="1">
      <c r="C986" s="71"/>
      <c r="D986" s="71"/>
    </row>
    <row r="987" spans="3:4" ht="14.25" customHeight="1">
      <c r="C987" s="71"/>
      <c r="D987" s="71"/>
    </row>
    <row r="988" spans="3:4" ht="14.25" customHeight="1">
      <c r="C988" s="71"/>
      <c r="D988" s="71"/>
    </row>
    <row r="989" spans="3:4" ht="14.25" customHeight="1">
      <c r="C989" s="71"/>
      <c r="D989" s="71"/>
    </row>
    <row r="990" spans="3:4" ht="14.25" customHeight="1">
      <c r="C990" s="71"/>
      <c r="D990" s="71"/>
    </row>
    <row r="991" spans="3:4" ht="14.25" customHeight="1">
      <c r="C991" s="71"/>
      <c r="D991" s="71"/>
    </row>
    <row r="992" spans="3:4" ht="14.25" customHeight="1">
      <c r="C992" s="71"/>
      <c r="D992" s="71"/>
    </row>
    <row r="993" spans="3:4" ht="14.25" customHeight="1">
      <c r="C993" s="71"/>
      <c r="D993" s="71"/>
    </row>
    <row r="994" spans="3:4" ht="14.25" customHeight="1">
      <c r="C994" s="71"/>
      <c r="D994" s="71"/>
    </row>
    <row r="995" spans="3:4" ht="14.25" customHeight="1">
      <c r="C995" s="71"/>
      <c r="D995" s="71"/>
    </row>
    <row r="996" spans="3:4" ht="14.25" customHeight="1">
      <c r="C996" s="71"/>
      <c r="D996" s="71"/>
    </row>
    <row r="997" spans="3:4" ht="14.25" customHeight="1">
      <c r="C997" s="71"/>
      <c r="D997" s="71"/>
    </row>
    <row r="998" spans="3:4" ht="14.25" customHeight="1">
      <c r="C998" s="71"/>
      <c r="D998" s="71"/>
    </row>
    <row r="999" spans="3:4" ht="14.25" customHeight="1">
      <c r="C999" s="71"/>
      <c r="D999" s="71"/>
    </row>
    <row r="1000" spans="3:4" ht="14.25" customHeight="1">
      <c r="C1000" s="71"/>
      <c r="D1000" s="71"/>
    </row>
  </sheetData>
  <conditionalFormatting sqref="I2:I44">
    <cfRule type="cellIs" dxfId="9" priority="1" operator="equal">
      <formula>"Rejected"</formula>
    </cfRule>
    <cfRule type="cellIs" dxfId="8" priority="2" operator="equal">
      <formula>"delivered"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zoomScale="115" zoomScaleNormal="115" workbookViewId="0">
      <pane ySplit="1" topLeftCell="A62" activePane="bottomLeft" state="frozen"/>
      <selection pane="bottomLeft" activeCell="F1" sqref="F1"/>
    </sheetView>
  </sheetViews>
  <sheetFormatPr defaultColWidth="14.44140625" defaultRowHeight="15" customHeight="1"/>
  <cols>
    <col min="1" max="1" width="9.109375" customWidth="1"/>
    <col min="2" max="2" width="6.44140625" customWidth="1"/>
    <col min="3" max="4" width="11.44140625" customWidth="1"/>
    <col min="5" max="5" width="13.44140625" customWidth="1"/>
    <col min="6" max="6" width="24" customWidth="1"/>
    <col min="7" max="7" width="10.109375" customWidth="1"/>
    <col min="8" max="8" width="13.33203125" customWidth="1"/>
    <col min="9" max="9" width="20.33203125" customWidth="1"/>
    <col min="10" max="10" width="12.33203125" customWidth="1"/>
    <col min="11" max="11" width="13" customWidth="1"/>
    <col min="12" max="26" width="8.554687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5190</v>
      </c>
      <c r="E1" s="1"/>
      <c r="F1" s="57" t="s">
        <v>3</v>
      </c>
      <c r="G1" s="77" t="s">
        <v>4</v>
      </c>
      <c r="H1" s="71" t="s">
        <v>5190</v>
      </c>
      <c r="I1" s="31">
        <f>MAX(caste!B2:B1090,income!B2:B1050,local!B2:B1144,birth!B2:B1004,B2:B999,EWC!B2:B1001)</f>
        <v>1127</v>
      </c>
    </row>
    <row r="2" spans="1:11" ht="14.25" customHeight="1">
      <c r="A2" s="1"/>
      <c r="B2" s="1">
        <v>119</v>
      </c>
      <c r="C2" s="8">
        <v>43128</v>
      </c>
      <c r="D2" s="8"/>
      <c r="E2" s="1"/>
      <c r="G2" s="77" t="s">
        <v>5191</v>
      </c>
      <c r="H2" s="77"/>
      <c r="I2" s="57" t="s">
        <v>5192</v>
      </c>
      <c r="J2" s="57" t="s">
        <v>528</v>
      </c>
    </row>
    <row r="3" spans="1:11" ht="14.25" customHeight="1">
      <c r="A3" s="1"/>
      <c r="B3" s="1">
        <v>160</v>
      </c>
      <c r="C3" s="8">
        <v>43176</v>
      </c>
      <c r="D3" s="8"/>
      <c r="E3" s="1"/>
      <c r="F3" s="57" t="s">
        <v>5193</v>
      </c>
      <c r="G3" s="77" t="s">
        <v>5194</v>
      </c>
      <c r="H3" s="77"/>
      <c r="I3" s="57" t="s">
        <v>5195</v>
      </c>
      <c r="J3" s="57" t="s">
        <v>528</v>
      </c>
    </row>
    <row r="4" spans="1:11" ht="14.25" customHeight="1">
      <c r="A4" s="1"/>
      <c r="B4" s="1">
        <v>180</v>
      </c>
      <c r="C4" s="8">
        <v>43200</v>
      </c>
      <c r="D4" s="8"/>
      <c r="E4" s="1">
        <v>9334424834</v>
      </c>
      <c r="F4" s="57" t="s">
        <v>5196</v>
      </c>
      <c r="G4" s="77">
        <v>3</v>
      </c>
      <c r="H4" s="77"/>
      <c r="I4" s="57" t="s">
        <v>5197</v>
      </c>
      <c r="J4" s="57" t="s">
        <v>528</v>
      </c>
      <c r="K4" s="57">
        <v>7488531332</v>
      </c>
    </row>
    <row r="5" spans="1:11" ht="14.25" customHeight="1">
      <c r="A5" s="1"/>
      <c r="B5" s="1">
        <v>184</v>
      </c>
      <c r="C5" s="8">
        <v>43203</v>
      </c>
      <c r="D5" s="8"/>
      <c r="E5" s="1">
        <v>8797594838</v>
      </c>
      <c r="F5" s="57" t="s">
        <v>5198</v>
      </c>
      <c r="G5" s="77">
        <v>4</v>
      </c>
      <c r="H5" s="77"/>
      <c r="I5" s="57" t="s">
        <v>5199</v>
      </c>
      <c r="J5" s="57" t="s">
        <v>528</v>
      </c>
      <c r="K5" s="57">
        <v>9304588126</v>
      </c>
    </row>
    <row r="6" spans="1:11" ht="14.25" customHeight="1">
      <c r="A6" s="1"/>
      <c r="B6" s="1">
        <v>186</v>
      </c>
      <c r="C6" s="8">
        <v>43209</v>
      </c>
      <c r="D6" s="8"/>
      <c r="E6" s="1"/>
      <c r="F6" s="57" t="s">
        <v>5200</v>
      </c>
      <c r="G6" s="77">
        <v>5</v>
      </c>
      <c r="H6" s="77"/>
      <c r="I6" s="57" t="s">
        <v>5201</v>
      </c>
      <c r="J6" s="57" t="s">
        <v>528</v>
      </c>
    </row>
    <row r="7" spans="1:11" ht="14.25" customHeight="1">
      <c r="A7" s="1"/>
      <c r="B7" s="1">
        <v>188</v>
      </c>
      <c r="C7" s="8">
        <v>43221</v>
      </c>
      <c r="D7" s="8"/>
      <c r="E7" s="1">
        <v>9031392170</v>
      </c>
      <c r="F7" s="57" t="s">
        <v>5202</v>
      </c>
      <c r="G7" s="77">
        <v>6</v>
      </c>
      <c r="H7" s="77"/>
      <c r="I7" s="57" t="s">
        <v>5203</v>
      </c>
      <c r="J7" s="57" t="s">
        <v>528</v>
      </c>
    </row>
    <row r="8" spans="1:11" ht="14.25" customHeight="1">
      <c r="A8" s="1"/>
      <c r="B8" s="1">
        <v>197</v>
      </c>
      <c r="C8" s="8">
        <v>43229</v>
      </c>
      <c r="D8" s="8"/>
      <c r="E8" s="1">
        <v>9279715749</v>
      </c>
      <c r="F8" s="57" t="s">
        <v>5204</v>
      </c>
      <c r="G8" s="77">
        <v>7</v>
      </c>
      <c r="H8" s="77"/>
      <c r="I8" s="57" t="s">
        <v>5205</v>
      </c>
      <c r="J8" s="57" t="s">
        <v>528</v>
      </c>
    </row>
    <row r="9" spans="1:11" ht="14.25" customHeight="1">
      <c r="A9" s="1"/>
      <c r="B9" s="1">
        <v>204</v>
      </c>
      <c r="C9" s="8">
        <v>43239</v>
      </c>
      <c r="D9" s="8"/>
      <c r="E9" s="1">
        <v>9835356289</v>
      </c>
      <c r="F9" s="57" t="s">
        <v>5206</v>
      </c>
      <c r="G9" s="77">
        <v>8</v>
      </c>
      <c r="H9" s="77"/>
      <c r="I9" s="57" t="s">
        <v>5207</v>
      </c>
      <c r="J9" s="57" t="s">
        <v>39</v>
      </c>
    </row>
    <row r="10" spans="1:11" ht="14.25" customHeight="1">
      <c r="A10" s="1"/>
      <c r="B10" s="1">
        <v>213</v>
      </c>
      <c r="C10" s="8">
        <v>43251</v>
      </c>
      <c r="D10" s="8"/>
      <c r="E10" s="1">
        <v>9279062789</v>
      </c>
      <c r="F10" s="57" t="s">
        <v>5208</v>
      </c>
      <c r="G10" s="77">
        <v>9</v>
      </c>
      <c r="H10" s="77"/>
      <c r="I10" s="57" t="s">
        <v>5209</v>
      </c>
      <c r="J10" s="57" t="s">
        <v>528</v>
      </c>
    </row>
    <row r="11" spans="1:11" ht="14.25" customHeight="1">
      <c r="A11" s="1"/>
      <c r="B11" s="1">
        <v>221</v>
      </c>
      <c r="C11" s="8">
        <v>43262</v>
      </c>
      <c r="D11" s="8"/>
      <c r="E11" s="1">
        <v>7762962102</v>
      </c>
      <c r="F11" s="57" t="s">
        <v>5210</v>
      </c>
      <c r="G11" s="77">
        <v>10</v>
      </c>
      <c r="H11" s="77"/>
      <c r="I11" s="57" t="s">
        <v>5211</v>
      </c>
      <c r="J11" s="57" t="s">
        <v>528</v>
      </c>
    </row>
    <row r="12" spans="1:11" ht="14.25" customHeight="1">
      <c r="A12" s="1"/>
      <c r="B12" s="1">
        <v>275</v>
      </c>
      <c r="C12" s="8">
        <v>43295</v>
      </c>
      <c r="D12" s="8"/>
      <c r="E12" s="9"/>
      <c r="F12" s="57" t="s">
        <v>5212</v>
      </c>
      <c r="G12" s="77">
        <v>11</v>
      </c>
      <c r="H12" s="77"/>
      <c r="I12" s="57" t="s">
        <v>5213</v>
      </c>
      <c r="J12" s="57" t="s">
        <v>251</v>
      </c>
    </row>
    <row r="13" spans="1:11" ht="14.25" customHeight="1">
      <c r="A13" s="1"/>
      <c r="B13" s="1">
        <v>284</v>
      </c>
      <c r="C13" s="8">
        <v>43300</v>
      </c>
      <c r="D13" s="8"/>
      <c r="E13" s="1">
        <v>9431617974</v>
      </c>
      <c r="F13" s="57" t="s">
        <v>5214</v>
      </c>
      <c r="G13" s="77">
        <v>12</v>
      </c>
      <c r="H13" s="77"/>
      <c r="I13" s="57" t="s">
        <v>5215</v>
      </c>
      <c r="J13" s="57" t="s">
        <v>528</v>
      </c>
    </row>
    <row r="14" spans="1:11" ht="14.25" customHeight="1">
      <c r="A14" s="1"/>
      <c r="B14" s="1">
        <v>286</v>
      </c>
      <c r="C14" s="8">
        <v>43300</v>
      </c>
      <c r="D14" s="8"/>
      <c r="E14" s="1">
        <v>9334181654</v>
      </c>
      <c r="F14" s="57" t="s">
        <v>5216</v>
      </c>
      <c r="G14" s="77">
        <v>13</v>
      </c>
      <c r="H14" s="77"/>
      <c r="I14" s="57" t="s">
        <v>5217</v>
      </c>
      <c r="J14" s="57" t="s">
        <v>528</v>
      </c>
    </row>
    <row r="15" spans="1:11" ht="14.25" customHeight="1">
      <c r="A15" s="1"/>
      <c r="B15" s="1">
        <v>288</v>
      </c>
      <c r="C15" s="8">
        <v>43300</v>
      </c>
      <c r="D15" s="8"/>
      <c r="E15" s="1"/>
      <c r="F15" s="57" t="s">
        <v>5218</v>
      </c>
      <c r="G15" s="77">
        <v>14</v>
      </c>
      <c r="H15" s="77"/>
      <c r="I15" s="57" t="s">
        <v>5219</v>
      </c>
      <c r="J15" s="57" t="s">
        <v>528</v>
      </c>
    </row>
    <row r="16" spans="1:11" ht="14.25" customHeight="1">
      <c r="A16" s="1"/>
      <c r="B16" s="1">
        <v>313</v>
      </c>
      <c r="C16" s="8">
        <v>43313</v>
      </c>
      <c r="D16" s="8"/>
      <c r="E16" s="1">
        <v>9431617974</v>
      </c>
      <c r="F16" s="57" t="s">
        <v>5220</v>
      </c>
      <c r="G16" s="77">
        <v>15</v>
      </c>
      <c r="H16" s="77"/>
      <c r="I16" s="57" t="s">
        <v>5221</v>
      </c>
      <c r="J16" s="57" t="s">
        <v>528</v>
      </c>
    </row>
    <row r="17" spans="1:10" ht="14.25" customHeight="1">
      <c r="A17" s="1"/>
      <c r="B17" s="1">
        <v>341</v>
      </c>
      <c r="C17" s="8">
        <v>43340</v>
      </c>
      <c r="D17" s="8"/>
      <c r="E17" s="1">
        <v>9304071446</v>
      </c>
      <c r="F17" s="57" t="s">
        <v>5222</v>
      </c>
      <c r="G17" s="77">
        <v>16</v>
      </c>
      <c r="H17" s="77"/>
      <c r="I17" s="57" t="s">
        <v>5223</v>
      </c>
      <c r="J17" s="57" t="s">
        <v>77</v>
      </c>
    </row>
    <row r="18" spans="1:10" ht="14.25" customHeight="1">
      <c r="A18" s="1"/>
      <c r="B18" s="1">
        <v>343</v>
      </c>
      <c r="C18" s="8">
        <v>43341</v>
      </c>
      <c r="D18" s="8"/>
      <c r="E18" s="1">
        <v>9234755812</v>
      </c>
      <c r="F18" s="57" t="s">
        <v>5224</v>
      </c>
      <c r="G18" s="77">
        <v>17</v>
      </c>
      <c r="H18" s="77"/>
      <c r="I18" s="57" t="s">
        <v>5225</v>
      </c>
      <c r="J18" s="57" t="s">
        <v>4075</v>
      </c>
    </row>
    <row r="19" spans="1:10" ht="14.25" customHeight="1">
      <c r="A19" s="1"/>
      <c r="B19" s="1">
        <v>351</v>
      </c>
      <c r="C19" s="8">
        <v>43347</v>
      </c>
      <c r="D19" s="8"/>
      <c r="E19" s="1" t="s">
        <v>5226</v>
      </c>
      <c r="F19" s="57" t="s">
        <v>5227</v>
      </c>
      <c r="G19" s="77">
        <v>18</v>
      </c>
      <c r="H19" s="71"/>
      <c r="I19" s="57" t="s">
        <v>5228</v>
      </c>
      <c r="J19" s="57" t="s">
        <v>528</v>
      </c>
    </row>
    <row r="20" spans="1:10" ht="14.25" customHeight="1">
      <c r="A20" s="1"/>
      <c r="B20" s="1">
        <v>356</v>
      </c>
      <c r="C20" s="8">
        <v>43354</v>
      </c>
      <c r="D20" s="8"/>
      <c r="E20" s="1">
        <v>9204978522</v>
      </c>
      <c r="F20" s="57" t="s">
        <v>5229</v>
      </c>
      <c r="G20" s="77" t="s">
        <v>5230</v>
      </c>
      <c r="H20" s="71"/>
      <c r="I20" s="57" t="s">
        <v>5231</v>
      </c>
      <c r="J20" s="57" t="s">
        <v>528</v>
      </c>
    </row>
    <row r="21" spans="1:10" ht="14.25" customHeight="1">
      <c r="A21" s="1"/>
      <c r="B21" s="1">
        <v>370</v>
      </c>
      <c r="C21" s="8">
        <v>43373</v>
      </c>
      <c r="D21" s="8"/>
      <c r="E21" s="1">
        <v>9234465473</v>
      </c>
      <c r="F21" s="57" t="s">
        <v>5232</v>
      </c>
      <c r="G21" s="77" t="s">
        <v>5233</v>
      </c>
      <c r="H21" s="71"/>
      <c r="I21" s="57" t="s">
        <v>5234</v>
      </c>
      <c r="J21" s="57" t="s">
        <v>528</v>
      </c>
    </row>
    <row r="22" spans="1:10" ht="14.25" customHeight="1">
      <c r="A22" s="1"/>
      <c r="B22" s="1">
        <v>372</v>
      </c>
      <c r="C22" s="8">
        <v>43372</v>
      </c>
      <c r="D22" s="8"/>
      <c r="E22" s="1">
        <v>7870597677</v>
      </c>
      <c r="F22" s="57" t="s">
        <v>5235</v>
      </c>
      <c r="G22" s="77" t="s">
        <v>5236</v>
      </c>
      <c r="H22" s="71"/>
      <c r="I22" s="57" t="s">
        <v>5237</v>
      </c>
      <c r="J22" s="57" t="s">
        <v>528</v>
      </c>
    </row>
    <row r="23" spans="1:10" ht="14.25" customHeight="1">
      <c r="A23" s="1"/>
      <c r="B23" s="1">
        <v>375</v>
      </c>
      <c r="C23" s="8">
        <v>43376</v>
      </c>
      <c r="D23" s="8"/>
      <c r="E23" s="1">
        <v>7033534402</v>
      </c>
      <c r="F23" s="57" t="s">
        <v>5238</v>
      </c>
      <c r="G23" s="77" t="s">
        <v>5239</v>
      </c>
      <c r="H23" s="71"/>
      <c r="I23" s="57" t="s">
        <v>5240</v>
      </c>
      <c r="J23" s="57" t="s">
        <v>528</v>
      </c>
    </row>
    <row r="24" spans="1:10" ht="14.25" customHeight="1">
      <c r="A24" s="1"/>
      <c r="B24" s="1">
        <v>389</v>
      </c>
      <c r="C24" s="8">
        <v>43386</v>
      </c>
      <c r="D24" s="8"/>
      <c r="E24" s="1">
        <v>9910012992</v>
      </c>
      <c r="F24" s="57" t="s">
        <v>5241</v>
      </c>
      <c r="G24" s="77" t="s">
        <v>5242</v>
      </c>
      <c r="H24" s="71"/>
      <c r="I24" s="57" t="s">
        <v>5243</v>
      </c>
      <c r="J24" s="57" t="s">
        <v>528</v>
      </c>
    </row>
    <row r="25" spans="1:10" ht="14.25" customHeight="1">
      <c r="A25" s="1"/>
      <c r="B25" s="1">
        <v>399</v>
      </c>
      <c r="C25" s="8">
        <v>43410</v>
      </c>
      <c r="D25" s="8"/>
      <c r="E25" s="1">
        <v>8918684726</v>
      </c>
      <c r="F25" s="57" t="s">
        <v>5244</v>
      </c>
      <c r="G25" s="77" t="s">
        <v>5245</v>
      </c>
      <c r="H25" s="71"/>
      <c r="I25" s="57" t="s">
        <v>5246</v>
      </c>
      <c r="J25" s="57" t="s">
        <v>528</v>
      </c>
    </row>
    <row r="26" spans="1:10" ht="14.25" customHeight="1">
      <c r="A26" s="1"/>
      <c r="B26" s="1">
        <v>401</v>
      </c>
      <c r="C26" s="8">
        <v>43414</v>
      </c>
      <c r="D26" s="8"/>
      <c r="E26" s="1">
        <v>8092310744</v>
      </c>
      <c r="F26" s="57" t="s">
        <v>5247</v>
      </c>
      <c r="G26" s="77" t="s">
        <v>5248</v>
      </c>
      <c r="H26" s="71"/>
      <c r="I26" s="57" t="s">
        <v>5249</v>
      </c>
      <c r="J26" s="57" t="s">
        <v>507</v>
      </c>
    </row>
    <row r="27" spans="1:10" ht="14.25" customHeight="1">
      <c r="A27" s="1"/>
      <c r="B27" s="1">
        <v>853</v>
      </c>
      <c r="C27" s="8">
        <v>43793</v>
      </c>
      <c r="D27" s="8"/>
      <c r="E27" s="1">
        <v>9334539525</v>
      </c>
      <c r="F27" s="57" t="s">
        <v>5250</v>
      </c>
      <c r="G27" s="77" t="s">
        <v>5251</v>
      </c>
      <c r="H27" s="71"/>
      <c r="I27" s="57" t="s">
        <v>5252</v>
      </c>
      <c r="J27" s="57" t="s">
        <v>528</v>
      </c>
    </row>
    <row r="28" spans="1:10" ht="14.25" customHeight="1">
      <c r="A28" s="1"/>
      <c r="B28" s="1"/>
      <c r="C28" s="9">
        <v>43793</v>
      </c>
      <c r="D28" s="9"/>
      <c r="E28" s="1">
        <v>9334539525</v>
      </c>
      <c r="F28" s="57" t="s">
        <v>5253</v>
      </c>
      <c r="G28" s="77" t="s">
        <v>5254</v>
      </c>
      <c r="H28" s="71"/>
      <c r="I28" s="57" t="s">
        <v>5255</v>
      </c>
      <c r="J28" s="57" t="s">
        <v>528</v>
      </c>
    </row>
    <row r="29" spans="1:10" ht="14.25" customHeight="1">
      <c r="A29" s="1"/>
      <c r="B29" s="1"/>
      <c r="C29" s="9">
        <v>43795</v>
      </c>
      <c r="D29" s="9"/>
      <c r="E29" s="1">
        <v>7260895117</v>
      </c>
      <c r="F29" s="57" t="s">
        <v>982</v>
      </c>
      <c r="G29" s="77" t="s">
        <v>5256</v>
      </c>
      <c r="H29" s="71"/>
      <c r="I29" s="57" t="s">
        <v>5257</v>
      </c>
    </row>
    <row r="30" spans="1:10" ht="14.25" customHeight="1">
      <c r="A30" s="1"/>
      <c r="B30" s="1"/>
      <c r="C30" s="9">
        <v>43827</v>
      </c>
      <c r="D30" s="9"/>
      <c r="E30" s="1">
        <v>8102222910</v>
      </c>
      <c r="F30" s="57" t="s">
        <v>5258</v>
      </c>
      <c r="G30" s="77" t="s">
        <v>5259</v>
      </c>
      <c r="H30" s="71"/>
      <c r="I30" s="75" t="s">
        <v>5260</v>
      </c>
      <c r="J30" s="57" t="s">
        <v>528</v>
      </c>
    </row>
    <row r="31" spans="1:10" ht="14.25" customHeight="1">
      <c r="A31" s="1"/>
      <c r="B31" s="1"/>
      <c r="C31" s="9">
        <v>43836</v>
      </c>
      <c r="D31" s="9"/>
      <c r="E31" s="1">
        <v>9431321730</v>
      </c>
      <c r="F31" s="57" t="s">
        <v>5261</v>
      </c>
      <c r="G31" s="77" t="s">
        <v>5262</v>
      </c>
      <c r="H31" s="71" t="s">
        <v>5263</v>
      </c>
      <c r="I31" s="75" t="s">
        <v>5264</v>
      </c>
      <c r="J31" s="57" t="s">
        <v>528</v>
      </c>
    </row>
    <row r="32" spans="1:10" ht="14.25" customHeight="1">
      <c r="A32" s="1"/>
      <c r="B32" s="1"/>
      <c r="C32" s="9">
        <v>43836</v>
      </c>
      <c r="D32" s="9"/>
      <c r="E32" s="1">
        <v>7368807625</v>
      </c>
      <c r="F32" s="57" t="s">
        <v>5265</v>
      </c>
      <c r="G32" s="77" t="s">
        <v>5266</v>
      </c>
      <c r="H32" s="71" t="s">
        <v>5263</v>
      </c>
      <c r="I32" s="75" t="s">
        <v>5267</v>
      </c>
      <c r="J32" s="57" t="s">
        <v>5268</v>
      </c>
    </row>
    <row r="33" spans="1:13" ht="14.25" customHeight="1">
      <c r="A33" s="1"/>
      <c r="B33" s="1"/>
      <c r="C33" s="9">
        <v>43836</v>
      </c>
      <c r="D33" s="9"/>
      <c r="E33" s="1">
        <v>7765917571</v>
      </c>
      <c r="F33" s="57" t="s">
        <v>5269</v>
      </c>
      <c r="G33" s="77" t="s">
        <v>5270</v>
      </c>
      <c r="H33" s="71" t="s">
        <v>5271</v>
      </c>
      <c r="I33" s="75" t="s">
        <v>5272</v>
      </c>
      <c r="J33" s="57" t="s">
        <v>528</v>
      </c>
    </row>
    <row r="34" spans="1:13" ht="14.25" customHeight="1">
      <c r="A34" s="1"/>
      <c r="B34" s="1"/>
      <c r="C34" s="9">
        <v>43855</v>
      </c>
      <c r="D34" s="9"/>
      <c r="E34" s="1">
        <v>7903343493</v>
      </c>
      <c r="F34" s="57" t="s">
        <v>5273</v>
      </c>
      <c r="G34" s="77" t="s">
        <v>5274</v>
      </c>
      <c r="H34" s="71"/>
      <c r="I34" s="75" t="s">
        <v>5275</v>
      </c>
      <c r="J34" s="57" t="s">
        <v>528</v>
      </c>
    </row>
    <row r="35" spans="1:13" ht="14.25" customHeight="1">
      <c r="A35" s="1"/>
      <c r="B35" s="1"/>
      <c r="C35" s="1"/>
      <c r="D35" s="1"/>
      <c r="E35" s="1">
        <v>7209537701</v>
      </c>
      <c r="F35" s="57" t="s">
        <v>5276</v>
      </c>
      <c r="G35" s="77" t="s">
        <v>5277</v>
      </c>
      <c r="H35" s="71" t="s">
        <v>5278</v>
      </c>
      <c r="I35" s="78" t="s">
        <v>5279</v>
      </c>
      <c r="J35" s="57" t="s">
        <v>528</v>
      </c>
      <c r="K35" s="57" t="s">
        <v>5280</v>
      </c>
    </row>
    <row r="36" spans="1:13" ht="14.25" customHeight="1">
      <c r="A36" s="1"/>
      <c r="B36" s="1">
        <v>939</v>
      </c>
      <c r="C36" s="9">
        <v>43880</v>
      </c>
      <c r="D36" s="9"/>
      <c r="E36" s="1">
        <v>7463905943</v>
      </c>
      <c r="F36" s="57" t="s">
        <v>5281</v>
      </c>
      <c r="G36" s="77" t="s">
        <v>5282</v>
      </c>
      <c r="H36" s="71" t="s">
        <v>5271</v>
      </c>
      <c r="I36" s="75" t="s">
        <v>5283</v>
      </c>
      <c r="J36" s="57" t="s">
        <v>251</v>
      </c>
    </row>
    <row r="37" spans="1:13" ht="14.25" customHeight="1">
      <c r="A37" s="1"/>
      <c r="B37" s="1">
        <v>941</v>
      </c>
      <c r="C37" s="9">
        <v>43883</v>
      </c>
      <c r="D37" s="9"/>
      <c r="E37" s="1">
        <v>8002105678</v>
      </c>
      <c r="F37" s="57" t="s">
        <v>5284</v>
      </c>
      <c r="G37" s="77">
        <v>36</v>
      </c>
      <c r="H37" s="71" t="s">
        <v>5271</v>
      </c>
      <c r="I37" s="75" t="s">
        <v>5285</v>
      </c>
      <c r="J37" s="57" t="s">
        <v>251</v>
      </c>
    </row>
    <row r="38" spans="1:13" ht="14.25" customHeight="1">
      <c r="A38" s="1"/>
      <c r="B38" s="1"/>
      <c r="C38" s="1"/>
      <c r="D38" s="1"/>
      <c r="E38" s="1">
        <v>9006771246</v>
      </c>
      <c r="F38" s="57" t="s">
        <v>5286</v>
      </c>
      <c r="G38" s="77">
        <v>37</v>
      </c>
      <c r="H38" s="71"/>
    </row>
    <row r="39" spans="1:13" ht="14.25" customHeight="1">
      <c r="A39" s="1"/>
      <c r="B39" s="1">
        <v>942</v>
      </c>
      <c r="C39" s="9">
        <v>43885</v>
      </c>
      <c r="D39" s="9"/>
      <c r="E39" s="1">
        <v>9234505168</v>
      </c>
      <c r="F39" s="57" t="s">
        <v>5287</v>
      </c>
      <c r="G39" s="77">
        <v>38</v>
      </c>
      <c r="H39" s="71" t="s">
        <v>5271</v>
      </c>
      <c r="I39" s="75" t="s">
        <v>5288</v>
      </c>
      <c r="J39" s="57" t="s">
        <v>251</v>
      </c>
    </row>
    <row r="40" spans="1:13" ht="14.25" customHeight="1">
      <c r="A40" s="1"/>
      <c r="B40" s="1">
        <v>943</v>
      </c>
      <c r="C40" s="9">
        <v>43888</v>
      </c>
      <c r="D40" s="9"/>
      <c r="E40" s="1">
        <v>9431321730</v>
      </c>
      <c r="F40" s="57" t="s">
        <v>5261</v>
      </c>
      <c r="G40" s="77">
        <v>39</v>
      </c>
      <c r="H40" s="71" t="s">
        <v>5271</v>
      </c>
      <c r="I40" s="75" t="s">
        <v>5289</v>
      </c>
      <c r="J40" s="57" t="s">
        <v>77</v>
      </c>
      <c r="K40" s="57" t="s">
        <v>5290</v>
      </c>
    </row>
    <row r="41" spans="1:13" ht="14.25" customHeight="1">
      <c r="A41" s="1"/>
      <c r="B41" s="1">
        <v>945</v>
      </c>
      <c r="C41" s="9">
        <v>43986</v>
      </c>
      <c r="D41" s="9"/>
      <c r="E41" s="1"/>
      <c r="F41" s="57" t="s">
        <v>5291</v>
      </c>
      <c r="G41" s="77">
        <v>40</v>
      </c>
      <c r="H41" s="71" t="s">
        <v>5278</v>
      </c>
      <c r="I41" s="75" t="s">
        <v>5292</v>
      </c>
      <c r="J41" s="57" t="s">
        <v>5293</v>
      </c>
    </row>
    <row r="42" spans="1:13" ht="14.25" customHeight="1">
      <c r="A42" s="1"/>
      <c r="B42" s="1">
        <v>946</v>
      </c>
      <c r="C42" s="9">
        <v>43986</v>
      </c>
      <c r="D42" s="9"/>
      <c r="E42" s="1">
        <v>7368807625</v>
      </c>
      <c r="F42" s="57" t="s">
        <v>5265</v>
      </c>
      <c r="G42" s="77">
        <v>41</v>
      </c>
      <c r="H42" s="71"/>
      <c r="I42" s="75" t="s">
        <v>5294</v>
      </c>
      <c r="J42" s="57" t="s">
        <v>507</v>
      </c>
    </row>
    <row r="43" spans="1:13" ht="14.25" customHeight="1">
      <c r="A43" s="1"/>
      <c r="B43" s="1">
        <v>947</v>
      </c>
      <c r="C43" s="9">
        <v>43899</v>
      </c>
      <c r="D43" s="9"/>
      <c r="E43" s="71">
        <v>8340490851</v>
      </c>
      <c r="F43" s="57" t="s">
        <v>1242</v>
      </c>
      <c r="G43" s="77">
        <v>42</v>
      </c>
      <c r="H43" s="71" t="s">
        <v>5263</v>
      </c>
      <c r="I43" s="75" t="s">
        <v>5295</v>
      </c>
      <c r="J43" s="57" t="s">
        <v>92</v>
      </c>
    </row>
    <row r="44" spans="1:13" ht="14.25" customHeight="1">
      <c r="A44" s="1"/>
      <c r="B44" s="1">
        <v>43</v>
      </c>
      <c r="C44" s="9">
        <v>43899</v>
      </c>
      <c r="D44" s="9"/>
      <c r="E44" s="71">
        <v>8340490851</v>
      </c>
      <c r="F44" s="57" t="s">
        <v>5296</v>
      </c>
      <c r="G44" s="77">
        <v>43</v>
      </c>
      <c r="H44" s="71" t="s">
        <v>5263</v>
      </c>
      <c r="I44" s="75" t="s">
        <v>5297</v>
      </c>
      <c r="J44" s="57" t="s">
        <v>528</v>
      </c>
    </row>
    <row r="45" spans="1:13" ht="14.25" customHeight="1">
      <c r="A45" s="1"/>
      <c r="B45" s="1">
        <v>957</v>
      </c>
      <c r="C45" s="9">
        <v>43936</v>
      </c>
      <c r="D45" s="9"/>
      <c r="E45" s="1">
        <v>9507188625</v>
      </c>
      <c r="F45" s="57" t="s">
        <v>5298</v>
      </c>
      <c r="G45" s="77">
        <v>44</v>
      </c>
      <c r="H45" s="71" t="s">
        <v>5278</v>
      </c>
      <c r="I45" s="75" t="s">
        <v>5299</v>
      </c>
      <c r="J45" s="57" t="s">
        <v>528</v>
      </c>
    </row>
    <row r="46" spans="1:13" ht="14.25" customHeight="1">
      <c r="A46" s="1"/>
      <c r="B46" s="1">
        <v>962</v>
      </c>
      <c r="C46" s="9">
        <v>43969</v>
      </c>
      <c r="D46" s="9"/>
      <c r="E46" s="1">
        <v>8825391139</v>
      </c>
      <c r="F46" s="57" t="s">
        <v>5300</v>
      </c>
      <c r="G46" s="77">
        <v>45</v>
      </c>
      <c r="H46" s="71" t="s">
        <v>5184</v>
      </c>
      <c r="I46" s="75" t="s">
        <v>5301</v>
      </c>
      <c r="J46" s="57" t="s">
        <v>528</v>
      </c>
    </row>
    <row r="47" spans="1:13" ht="14.25" customHeight="1">
      <c r="A47" s="1"/>
      <c r="B47" s="13">
        <v>963</v>
      </c>
      <c r="C47" s="9">
        <v>43969</v>
      </c>
      <c r="D47" s="9"/>
      <c r="E47" s="1">
        <v>9523410590</v>
      </c>
      <c r="F47" s="57" t="s">
        <v>5302</v>
      </c>
      <c r="G47" s="77">
        <v>46</v>
      </c>
      <c r="H47" s="71" t="s">
        <v>5184</v>
      </c>
      <c r="I47" s="75" t="s">
        <v>5303</v>
      </c>
      <c r="J47" s="57" t="s">
        <v>528</v>
      </c>
    </row>
    <row r="48" spans="1:13" ht="14.25" customHeight="1">
      <c r="A48" s="1"/>
      <c r="B48" s="1">
        <v>966</v>
      </c>
      <c r="C48" s="9">
        <v>43982</v>
      </c>
      <c r="D48" s="9"/>
      <c r="E48" s="1">
        <v>8271860170</v>
      </c>
      <c r="F48" s="57" t="s">
        <v>5304</v>
      </c>
      <c r="G48" s="77">
        <v>47</v>
      </c>
      <c r="H48" s="71" t="s">
        <v>1347</v>
      </c>
      <c r="I48" s="75" t="s">
        <v>5305</v>
      </c>
      <c r="J48" s="57" t="s">
        <v>92</v>
      </c>
      <c r="M48" s="57">
        <f>45*0.8</f>
        <v>36</v>
      </c>
    </row>
    <row r="49" spans="1:10" ht="14.25" customHeight="1">
      <c r="A49" s="1"/>
      <c r="B49" s="1">
        <v>968</v>
      </c>
      <c r="C49" s="9">
        <v>43987</v>
      </c>
      <c r="D49" s="9"/>
      <c r="E49" s="1">
        <v>7857054837</v>
      </c>
      <c r="F49" s="57" t="s">
        <v>5306</v>
      </c>
      <c r="G49" s="77">
        <v>48</v>
      </c>
      <c r="H49" s="71" t="s">
        <v>2546</v>
      </c>
      <c r="I49" s="75" t="s">
        <v>5307</v>
      </c>
      <c r="J49" s="57" t="s">
        <v>507</v>
      </c>
    </row>
    <row r="50" spans="1:10" ht="14.25" customHeight="1">
      <c r="A50" s="1"/>
      <c r="B50" s="1">
        <v>975</v>
      </c>
      <c r="C50" s="9">
        <v>43996</v>
      </c>
      <c r="D50" s="9"/>
      <c r="E50" s="1">
        <v>9693178713</v>
      </c>
      <c r="F50" s="57" t="s">
        <v>5308</v>
      </c>
      <c r="G50" s="77">
        <v>49</v>
      </c>
      <c r="H50" s="71" t="s">
        <v>5263</v>
      </c>
      <c r="I50" s="75" t="s">
        <v>5309</v>
      </c>
      <c r="J50" s="57" t="s">
        <v>5310</v>
      </c>
    </row>
    <row r="51" spans="1:10" ht="14.25" customHeight="1">
      <c r="A51" s="1"/>
      <c r="B51" s="1">
        <v>976</v>
      </c>
      <c r="C51" s="9">
        <v>43999</v>
      </c>
      <c r="D51" s="9"/>
      <c r="E51" s="1">
        <v>9801591287</v>
      </c>
      <c r="F51" s="57" t="s">
        <v>5311</v>
      </c>
      <c r="G51" s="77">
        <v>50</v>
      </c>
      <c r="H51" s="71" t="s">
        <v>1347</v>
      </c>
      <c r="I51" s="75" t="s">
        <v>5312</v>
      </c>
      <c r="J51" s="57" t="s">
        <v>251</v>
      </c>
    </row>
    <row r="52" spans="1:10" ht="14.25" customHeight="1">
      <c r="A52" s="1"/>
      <c r="B52" s="1">
        <v>977</v>
      </c>
      <c r="C52" s="9">
        <v>43999</v>
      </c>
      <c r="D52" s="9"/>
      <c r="E52" s="1">
        <v>8271860170</v>
      </c>
      <c r="F52" s="57" t="s">
        <v>5304</v>
      </c>
      <c r="G52" s="77">
        <v>51</v>
      </c>
      <c r="H52" s="71" t="s">
        <v>1347</v>
      </c>
      <c r="I52" s="75" t="s">
        <v>5313</v>
      </c>
      <c r="J52" s="57" t="s">
        <v>251</v>
      </c>
    </row>
    <row r="53" spans="1:10" ht="14.25" customHeight="1">
      <c r="A53" s="1"/>
      <c r="B53" s="1">
        <v>980</v>
      </c>
      <c r="C53" s="9">
        <v>44003</v>
      </c>
      <c r="D53" s="9"/>
      <c r="E53" s="1">
        <v>9234694118</v>
      </c>
      <c r="F53" s="57" t="s">
        <v>5314</v>
      </c>
      <c r="G53" s="77">
        <v>52</v>
      </c>
      <c r="H53" s="71" t="s">
        <v>5315</v>
      </c>
      <c r="I53" s="75" t="s">
        <v>5316</v>
      </c>
      <c r="J53" s="57" t="s">
        <v>251</v>
      </c>
    </row>
    <row r="54" spans="1:10" ht="14.25" customHeight="1">
      <c r="A54" s="1"/>
      <c r="B54" s="1">
        <v>993</v>
      </c>
      <c r="C54" s="9">
        <v>44006</v>
      </c>
      <c r="D54" s="9"/>
      <c r="E54" s="1">
        <v>9931060967</v>
      </c>
      <c r="F54" s="57" t="s">
        <v>5317</v>
      </c>
      <c r="G54" s="77">
        <v>53</v>
      </c>
      <c r="H54" s="71" t="s">
        <v>5315</v>
      </c>
      <c r="I54" s="57" t="s">
        <v>5318</v>
      </c>
      <c r="J54" s="57" t="s">
        <v>251</v>
      </c>
    </row>
    <row r="55" spans="1:10" ht="14.25" customHeight="1">
      <c r="A55" s="1"/>
      <c r="B55" s="1">
        <v>1003</v>
      </c>
      <c r="C55" s="9">
        <v>44014</v>
      </c>
      <c r="D55" s="9"/>
      <c r="E55" s="1">
        <v>7782852522</v>
      </c>
      <c r="F55" s="57" t="s">
        <v>5319</v>
      </c>
      <c r="G55" s="77">
        <v>54</v>
      </c>
      <c r="H55" s="71" t="s">
        <v>5315</v>
      </c>
      <c r="I55" s="75" t="s">
        <v>5320</v>
      </c>
      <c r="J55" s="57" t="s">
        <v>251</v>
      </c>
    </row>
    <row r="56" spans="1:10" ht="14.25" customHeight="1">
      <c r="A56" s="1"/>
      <c r="B56" s="1">
        <v>1004</v>
      </c>
      <c r="C56" s="9">
        <v>44015</v>
      </c>
      <c r="D56" s="9"/>
      <c r="E56" s="1">
        <v>9852442811</v>
      </c>
      <c r="F56" s="57" t="s">
        <v>5321</v>
      </c>
      <c r="G56" s="77">
        <v>55</v>
      </c>
      <c r="H56" s="71" t="s">
        <v>5322</v>
      </c>
      <c r="I56" s="75" t="s">
        <v>5323</v>
      </c>
      <c r="J56" s="57" t="s">
        <v>528</v>
      </c>
    </row>
    <row r="57" spans="1:10" ht="14.25" customHeight="1">
      <c r="A57" s="1"/>
      <c r="B57" s="1">
        <v>1013</v>
      </c>
      <c r="C57" s="9">
        <v>44025</v>
      </c>
      <c r="D57" s="9"/>
      <c r="E57" s="1">
        <v>7033871059</v>
      </c>
      <c r="F57" s="57" t="s">
        <v>5324</v>
      </c>
      <c r="G57" s="77">
        <v>56</v>
      </c>
      <c r="H57" s="71" t="s">
        <v>5315</v>
      </c>
      <c r="I57" s="75" t="s">
        <v>5325</v>
      </c>
      <c r="J57" s="57" t="s">
        <v>528</v>
      </c>
    </row>
    <row r="58" spans="1:10" ht="14.25" customHeight="1">
      <c r="A58" s="1"/>
      <c r="B58" s="1">
        <v>1017</v>
      </c>
      <c r="C58" s="9">
        <v>44026</v>
      </c>
      <c r="D58" s="9"/>
      <c r="E58" s="1">
        <v>9608920070</v>
      </c>
      <c r="F58" s="57" t="s">
        <v>5326</v>
      </c>
      <c r="G58" s="77">
        <v>57</v>
      </c>
      <c r="H58" s="71" t="s">
        <v>5315</v>
      </c>
      <c r="I58" s="75" t="s">
        <v>5327</v>
      </c>
      <c r="J58" s="57" t="s">
        <v>251</v>
      </c>
    </row>
    <row r="59" spans="1:10" ht="14.25" customHeight="1">
      <c r="A59" s="1"/>
      <c r="B59" s="1">
        <v>1022</v>
      </c>
      <c r="C59" s="9">
        <v>44034</v>
      </c>
      <c r="D59" s="9"/>
      <c r="E59" s="1">
        <v>6203127329</v>
      </c>
      <c r="F59" s="57" t="s">
        <v>5328</v>
      </c>
      <c r="G59" s="77">
        <v>58</v>
      </c>
      <c r="H59" s="71" t="s">
        <v>516</v>
      </c>
      <c r="I59" s="75" t="s">
        <v>5329</v>
      </c>
      <c r="J59" s="57" t="s">
        <v>507</v>
      </c>
    </row>
    <row r="60" spans="1:10" ht="14.25" customHeight="1">
      <c r="A60" s="1"/>
      <c r="B60" s="13">
        <v>1023</v>
      </c>
      <c r="C60" s="9">
        <v>44034</v>
      </c>
      <c r="D60" s="9"/>
      <c r="E60" s="1">
        <v>7480881798</v>
      </c>
      <c r="F60" s="57" t="s">
        <v>5330</v>
      </c>
      <c r="G60" s="77">
        <v>59</v>
      </c>
      <c r="H60" s="71" t="s">
        <v>5184</v>
      </c>
      <c r="I60" s="75" t="s">
        <v>5331</v>
      </c>
      <c r="J60" s="57" t="s">
        <v>3565</v>
      </c>
    </row>
    <row r="61" spans="1:10" ht="14.25" customHeight="1">
      <c r="A61" s="1">
        <v>300</v>
      </c>
      <c r="B61" s="13">
        <v>1024</v>
      </c>
      <c r="C61" s="9">
        <v>44034</v>
      </c>
      <c r="D61" s="9"/>
      <c r="E61" s="1">
        <v>7091269736</v>
      </c>
      <c r="F61" s="57" t="s">
        <v>5332</v>
      </c>
      <c r="G61" s="77">
        <v>60</v>
      </c>
      <c r="H61" s="71" t="s">
        <v>5184</v>
      </c>
      <c r="I61" s="75" t="s">
        <v>5333</v>
      </c>
      <c r="J61" s="57" t="s">
        <v>528</v>
      </c>
    </row>
    <row r="62" spans="1:10" ht="14.25" customHeight="1">
      <c r="A62" s="1"/>
      <c r="B62" s="1">
        <v>1035</v>
      </c>
      <c r="C62" s="9">
        <v>44055</v>
      </c>
      <c r="D62" s="9">
        <v>43890</v>
      </c>
      <c r="E62" s="1">
        <v>9031309115</v>
      </c>
      <c r="F62" s="57" t="s">
        <v>5334</v>
      </c>
      <c r="G62" s="77">
        <v>61</v>
      </c>
      <c r="H62" s="71" t="s">
        <v>5335</v>
      </c>
      <c r="I62" s="75" t="s">
        <v>5336</v>
      </c>
      <c r="J62" s="57" t="s">
        <v>528</v>
      </c>
    </row>
    <row r="63" spans="1:10" ht="14.25" customHeight="1">
      <c r="A63" s="1"/>
      <c r="B63" s="1">
        <v>1037</v>
      </c>
      <c r="C63" s="9">
        <v>44056</v>
      </c>
      <c r="D63" s="9"/>
      <c r="E63" s="1">
        <v>9132776362</v>
      </c>
      <c r="F63" s="57" t="s">
        <v>5337</v>
      </c>
      <c r="G63" s="77">
        <v>62</v>
      </c>
      <c r="H63" s="71" t="s">
        <v>1347</v>
      </c>
      <c r="I63" s="75" t="s">
        <v>5338</v>
      </c>
      <c r="J63" s="57" t="s">
        <v>3882</v>
      </c>
    </row>
    <row r="64" spans="1:10" ht="14.25" customHeight="1">
      <c r="A64" s="1"/>
      <c r="B64" s="1">
        <v>1041</v>
      </c>
      <c r="C64" s="9">
        <v>44073</v>
      </c>
      <c r="D64" s="1"/>
      <c r="E64" s="1">
        <v>9519901275</v>
      </c>
      <c r="F64" s="57" t="s">
        <v>5339</v>
      </c>
      <c r="G64" s="77">
        <v>63</v>
      </c>
      <c r="H64" s="71" t="s">
        <v>1347</v>
      </c>
      <c r="I64" s="75" t="s">
        <v>5340</v>
      </c>
      <c r="J64" s="57" t="s">
        <v>528</v>
      </c>
    </row>
    <row r="65" spans="1:11" ht="14.25" customHeight="1">
      <c r="A65" s="1"/>
      <c r="B65" s="1">
        <v>1043</v>
      </c>
      <c r="C65" s="1"/>
      <c r="D65" s="1"/>
      <c r="E65" s="1"/>
      <c r="F65" s="57" t="s">
        <v>5341</v>
      </c>
      <c r="G65" s="77">
        <v>64</v>
      </c>
      <c r="H65" s="71" t="s">
        <v>1347</v>
      </c>
      <c r="I65" s="75" t="s">
        <v>5342</v>
      </c>
      <c r="J65" s="2" t="s">
        <v>528</v>
      </c>
    </row>
    <row r="66" spans="1:11" ht="14.25" customHeight="1">
      <c r="A66" s="1">
        <v>300</v>
      </c>
      <c r="B66" s="1">
        <v>1042</v>
      </c>
      <c r="C66" s="9">
        <v>44074</v>
      </c>
      <c r="D66" s="1"/>
      <c r="E66" s="1"/>
      <c r="F66" s="57" t="s">
        <v>5343</v>
      </c>
      <c r="G66" s="77">
        <v>65</v>
      </c>
      <c r="H66" s="71" t="s">
        <v>5184</v>
      </c>
      <c r="I66" s="75" t="s">
        <v>5344</v>
      </c>
      <c r="J66" s="57" t="s">
        <v>528</v>
      </c>
    </row>
    <row r="67" spans="1:11" ht="14.25" customHeight="1">
      <c r="A67" s="1"/>
      <c r="B67" s="1">
        <v>1050</v>
      </c>
      <c r="C67" s="1"/>
      <c r="D67" s="1"/>
      <c r="E67" s="1">
        <v>9132776362</v>
      </c>
      <c r="F67" s="57" t="s">
        <v>5337</v>
      </c>
      <c r="G67" s="77">
        <v>67</v>
      </c>
      <c r="H67" s="71" t="s">
        <v>1347</v>
      </c>
      <c r="I67" s="57" t="s">
        <v>5345</v>
      </c>
      <c r="J67" s="57" t="s">
        <v>528</v>
      </c>
    </row>
    <row r="68" spans="1:11" ht="14.25" customHeight="1">
      <c r="A68" s="1"/>
      <c r="B68" s="1">
        <v>1057</v>
      </c>
      <c r="C68" s="1"/>
      <c r="D68" s="1"/>
      <c r="E68" s="1"/>
      <c r="F68" s="57" t="s">
        <v>5346</v>
      </c>
      <c r="G68" s="77">
        <v>68</v>
      </c>
      <c r="H68" s="71" t="s">
        <v>1347</v>
      </c>
      <c r="I68" s="75" t="s">
        <v>5347</v>
      </c>
      <c r="J68" s="57" t="s">
        <v>39</v>
      </c>
    </row>
    <row r="69" spans="1:11" ht="14.25" customHeight="1">
      <c r="A69" s="1"/>
      <c r="B69" s="1">
        <v>1062</v>
      </c>
      <c r="C69" s="9">
        <v>44088</v>
      </c>
      <c r="D69" s="1"/>
      <c r="E69" s="1">
        <v>8051179388</v>
      </c>
      <c r="F69" s="57" t="s">
        <v>5348</v>
      </c>
      <c r="G69" s="77">
        <v>69</v>
      </c>
      <c r="H69" s="71" t="s">
        <v>1347</v>
      </c>
      <c r="I69" s="75" t="s">
        <v>5349</v>
      </c>
      <c r="J69" s="57" t="s">
        <v>251</v>
      </c>
    </row>
    <row r="70" spans="1:11" ht="14.25" customHeight="1">
      <c r="A70" s="1"/>
      <c r="B70" s="1">
        <v>1064</v>
      </c>
      <c r="C70" s="9">
        <v>44089</v>
      </c>
      <c r="D70" s="1"/>
      <c r="E70" s="1">
        <v>9471575512</v>
      </c>
      <c r="F70" s="57" t="s">
        <v>5350</v>
      </c>
      <c r="G70" s="77">
        <v>70</v>
      </c>
      <c r="H70" s="71" t="s">
        <v>1347</v>
      </c>
      <c r="I70" s="75" t="s">
        <v>5351</v>
      </c>
      <c r="J70" s="57" t="s">
        <v>251</v>
      </c>
      <c r="K70" s="57" t="s">
        <v>5352</v>
      </c>
    </row>
    <row r="71" spans="1:11" ht="14.25" customHeight="1">
      <c r="A71" s="1"/>
      <c r="B71" s="1">
        <v>1065</v>
      </c>
      <c r="C71" s="9">
        <v>44090</v>
      </c>
      <c r="D71" s="1"/>
      <c r="E71" s="1">
        <v>9204704921</v>
      </c>
      <c r="F71" s="57" t="s">
        <v>5353</v>
      </c>
      <c r="G71" s="77">
        <v>71</v>
      </c>
      <c r="H71" s="71" t="s">
        <v>1347</v>
      </c>
      <c r="I71" s="75" t="s">
        <v>5354</v>
      </c>
      <c r="J71" s="57" t="s">
        <v>251</v>
      </c>
    </row>
    <row r="72" spans="1:11" ht="14.25" customHeight="1">
      <c r="A72" s="1"/>
      <c r="B72" s="1">
        <v>1068</v>
      </c>
      <c r="C72" s="9">
        <v>44090</v>
      </c>
      <c r="D72" s="1"/>
      <c r="E72" s="1"/>
      <c r="F72" s="57" t="s">
        <v>5355</v>
      </c>
      <c r="G72" s="77">
        <v>72</v>
      </c>
      <c r="H72" s="71" t="s">
        <v>5356</v>
      </c>
      <c r="I72" s="75" t="s">
        <v>5357</v>
      </c>
      <c r="J72" s="57" t="s">
        <v>528</v>
      </c>
    </row>
    <row r="73" spans="1:11" ht="14.25" customHeight="1">
      <c r="A73" s="1"/>
      <c r="B73" s="1"/>
      <c r="C73" s="1"/>
      <c r="D73" s="1"/>
      <c r="E73" s="1">
        <v>6201515585</v>
      </c>
      <c r="F73" s="57" t="s">
        <v>5358</v>
      </c>
      <c r="G73" s="77">
        <v>73</v>
      </c>
      <c r="H73" s="71" t="s">
        <v>5315</v>
      </c>
    </row>
    <row r="74" spans="1:11" ht="14.25" customHeight="1">
      <c r="A74" s="1"/>
      <c r="B74" s="1"/>
      <c r="C74" s="1"/>
      <c r="D74" s="1"/>
      <c r="E74" s="1">
        <v>9279094638</v>
      </c>
      <c r="F74" s="57" t="s">
        <v>5359</v>
      </c>
      <c r="G74" s="77" t="s">
        <v>5360</v>
      </c>
      <c r="H74" s="71" t="s">
        <v>1347</v>
      </c>
      <c r="J74" s="107" t="s">
        <v>39</v>
      </c>
    </row>
    <row r="75" spans="1:11" ht="14.25" customHeight="1">
      <c r="A75" s="1"/>
      <c r="B75" s="1"/>
      <c r="C75" s="1"/>
      <c r="D75" s="1"/>
      <c r="E75" s="1"/>
      <c r="G75" s="77"/>
      <c r="H75" s="71"/>
    </row>
    <row r="76" spans="1:11" ht="14.25" customHeight="1">
      <c r="A76" s="1"/>
      <c r="B76" s="1"/>
      <c r="C76" s="1"/>
      <c r="D76" s="1"/>
      <c r="E76" s="1"/>
      <c r="G76" s="77"/>
      <c r="H76" s="71"/>
    </row>
    <row r="77" spans="1:11" ht="14.25" customHeight="1">
      <c r="A77" s="1"/>
      <c r="B77" s="1"/>
      <c r="C77" s="1"/>
      <c r="D77" s="1"/>
      <c r="E77" s="1"/>
      <c r="G77" s="77"/>
      <c r="H77" s="71"/>
    </row>
    <row r="78" spans="1:11" ht="14.25" customHeight="1">
      <c r="A78" s="1"/>
      <c r="B78" s="1"/>
      <c r="C78" s="1"/>
      <c r="D78" s="1"/>
      <c r="E78" s="1"/>
      <c r="G78" s="77"/>
      <c r="H78" s="71"/>
    </row>
    <row r="79" spans="1:11" ht="14.25" customHeight="1">
      <c r="A79" s="1"/>
      <c r="B79" s="1"/>
      <c r="C79" s="1"/>
      <c r="D79" s="1"/>
      <c r="E79" s="1"/>
      <c r="G79" s="77"/>
      <c r="H79" s="71"/>
    </row>
    <row r="80" spans="1:11" ht="14.25" customHeight="1">
      <c r="A80" s="1"/>
      <c r="B80" s="1"/>
      <c r="C80" s="1"/>
      <c r="D80" s="1"/>
      <c r="E80" s="1"/>
      <c r="G80" s="77"/>
      <c r="H80" s="71"/>
    </row>
    <row r="81" spans="1:8" ht="14.25" customHeight="1">
      <c r="A81" s="1"/>
      <c r="B81" s="1"/>
      <c r="C81" s="1"/>
      <c r="D81" s="1"/>
      <c r="E81" s="1"/>
      <c r="G81" s="77"/>
      <c r="H81" s="71"/>
    </row>
    <row r="82" spans="1:8" ht="14.25" customHeight="1">
      <c r="A82" s="1"/>
      <c r="B82" s="1"/>
      <c r="C82" s="1"/>
      <c r="D82" s="1"/>
      <c r="E82" s="1"/>
      <c r="G82" s="77"/>
      <c r="H82" s="71"/>
    </row>
    <row r="83" spans="1:8" ht="14.25" customHeight="1">
      <c r="A83" s="1"/>
      <c r="B83" s="1"/>
      <c r="C83" s="1"/>
      <c r="D83" s="1"/>
      <c r="E83" s="1"/>
      <c r="G83" s="77"/>
      <c r="H83" s="71"/>
    </row>
    <row r="84" spans="1:8" ht="14.25" customHeight="1">
      <c r="A84" s="1"/>
      <c r="B84" s="1"/>
      <c r="C84" s="1"/>
      <c r="D84" s="1"/>
      <c r="E84" s="1"/>
      <c r="G84" s="77"/>
      <c r="H84" s="71"/>
    </row>
    <row r="85" spans="1:8" ht="14.25" customHeight="1">
      <c r="A85" s="1"/>
      <c r="B85" s="1"/>
      <c r="C85" s="1"/>
      <c r="D85" s="1"/>
      <c r="E85" s="1"/>
      <c r="G85" s="77"/>
      <c r="H85" s="71"/>
    </row>
    <row r="86" spans="1:8" ht="14.25" customHeight="1">
      <c r="A86" s="1"/>
      <c r="B86" s="1"/>
      <c r="C86" s="1"/>
      <c r="D86" s="1"/>
      <c r="E86" s="1"/>
      <c r="G86" s="77"/>
      <c r="H86" s="71"/>
    </row>
    <row r="87" spans="1:8" ht="14.25" customHeight="1">
      <c r="A87" s="1"/>
      <c r="B87" s="1"/>
      <c r="C87" s="1"/>
      <c r="D87" s="1"/>
      <c r="E87" s="1"/>
      <c r="G87" s="77"/>
      <c r="H87" s="71"/>
    </row>
    <row r="88" spans="1:8" ht="14.25" customHeight="1">
      <c r="A88" s="1"/>
      <c r="B88" s="1"/>
      <c r="C88" s="1"/>
      <c r="D88" s="1"/>
      <c r="E88" s="1"/>
      <c r="G88" s="77"/>
      <c r="H88" s="71"/>
    </row>
    <row r="89" spans="1:8" ht="14.25" customHeight="1">
      <c r="A89" s="1"/>
      <c r="B89" s="1"/>
      <c r="C89" s="1"/>
      <c r="D89" s="1"/>
      <c r="E89" s="1"/>
      <c r="G89" s="77"/>
      <c r="H89" s="71"/>
    </row>
    <row r="90" spans="1:8" ht="14.25" customHeight="1">
      <c r="A90" s="1"/>
      <c r="B90" s="1"/>
      <c r="C90" s="1"/>
      <c r="D90" s="1"/>
      <c r="E90" s="1"/>
      <c r="G90" s="77"/>
      <c r="H90" s="71"/>
    </row>
    <row r="91" spans="1:8" ht="14.25" customHeight="1">
      <c r="A91" s="1"/>
      <c r="B91" s="1"/>
      <c r="C91" s="1"/>
      <c r="D91" s="1"/>
      <c r="E91" s="1"/>
      <c r="G91" s="77"/>
      <c r="H91" s="71"/>
    </row>
    <row r="92" spans="1:8" ht="14.25" customHeight="1">
      <c r="A92" s="1"/>
      <c r="B92" s="1"/>
      <c r="C92" s="1"/>
      <c r="D92" s="1"/>
      <c r="E92" s="1"/>
      <c r="G92" s="77"/>
      <c r="H92" s="71"/>
    </row>
    <row r="93" spans="1:8" ht="14.25" customHeight="1">
      <c r="A93" s="1"/>
      <c r="B93" s="1"/>
      <c r="C93" s="1"/>
      <c r="D93" s="1"/>
      <c r="E93" s="1"/>
      <c r="G93" s="77"/>
      <c r="H93" s="71"/>
    </row>
    <row r="94" spans="1:8" ht="14.25" customHeight="1">
      <c r="A94" s="1"/>
      <c r="B94" s="1"/>
      <c r="C94" s="1"/>
      <c r="D94" s="1"/>
      <c r="E94" s="1"/>
      <c r="G94" s="77"/>
      <c r="H94" s="71"/>
    </row>
    <row r="95" spans="1:8" ht="14.25" customHeight="1">
      <c r="A95" s="1"/>
      <c r="B95" s="1"/>
      <c r="C95" s="1"/>
      <c r="D95" s="1"/>
      <c r="E95" s="1"/>
      <c r="G95" s="77"/>
      <c r="H95" s="71"/>
    </row>
    <row r="96" spans="1:8" ht="14.25" customHeight="1">
      <c r="A96" s="1"/>
      <c r="B96" s="1"/>
      <c r="C96" s="1"/>
      <c r="D96" s="1"/>
      <c r="E96" s="1"/>
      <c r="G96" s="77"/>
      <c r="H96" s="71"/>
    </row>
    <row r="97" spans="1:8" ht="14.25" customHeight="1">
      <c r="A97" s="1"/>
      <c r="B97" s="1"/>
      <c r="C97" s="1"/>
      <c r="D97" s="1"/>
      <c r="E97" s="1"/>
      <c r="G97" s="77"/>
      <c r="H97" s="71"/>
    </row>
    <row r="98" spans="1:8" ht="14.25" customHeight="1">
      <c r="A98" s="1"/>
      <c r="B98" s="1"/>
      <c r="C98" s="1"/>
      <c r="D98" s="1"/>
      <c r="E98" s="1"/>
      <c r="G98" s="77"/>
      <c r="H98" s="71"/>
    </row>
    <row r="99" spans="1:8" ht="14.25" customHeight="1">
      <c r="A99" s="1"/>
      <c r="B99" s="1"/>
      <c r="C99" s="1"/>
      <c r="D99" s="1"/>
      <c r="E99" s="1"/>
      <c r="G99" s="77"/>
      <c r="H99" s="71"/>
    </row>
    <row r="100" spans="1:8" ht="14.25" customHeight="1">
      <c r="A100" s="1"/>
      <c r="B100" s="1"/>
      <c r="C100" s="1"/>
      <c r="D100" s="1"/>
      <c r="E100" s="1"/>
      <c r="G100" s="77"/>
      <c r="H100" s="71"/>
    </row>
    <row r="101" spans="1:8" ht="14.25" customHeight="1">
      <c r="A101" s="1"/>
      <c r="B101" s="1"/>
      <c r="C101" s="1"/>
      <c r="D101" s="1"/>
      <c r="E101" s="1"/>
      <c r="G101" s="77"/>
      <c r="H101" s="71"/>
    </row>
    <row r="102" spans="1:8" ht="14.25" customHeight="1">
      <c r="A102" s="1"/>
      <c r="B102" s="1"/>
      <c r="C102" s="1"/>
      <c r="D102" s="1"/>
      <c r="E102" s="1"/>
      <c r="G102" s="77"/>
      <c r="H102" s="71"/>
    </row>
    <row r="103" spans="1:8" ht="14.25" customHeight="1">
      <c r="A103" s="1"/>
      <c r="B103" s="1"/>
      <c r="C103" s="1"/>
      <c r="D103" s="1"/>
      <c r="E103" s="1"/>
      <c r="G103" s="77"/>
      <c r="H103" s="71"/>
    </row>
    <row r="104" spans="1:8" ht="14.25" customHeight="1">
      <c r="A104" s="1"/>
      <c r="B104" s="1"/>
      <c r="C104" s="1"/>
      <c r="D104" s="1"/>
      <c r="E104" s="1"/>
      <c r="G104" s="77"/>
      <c r="H104" s="71"/>
    </row>
    <row r="105" spans="1:8" ht="14.25" customHeight="1">
      <c r="A105" s="1"/>
      <c r="B105" s="1"/>
      <c r="C105" s="1"/>
      <c r="D105" s="1"/>
      <c r="E105" s="1"/>
      <c r="G105" s="77"/>
      <c r="H105" s="71"/>
    </row>
    <row r="106" spans="1:8" ht="14.25" customHeight="1">
      <c r="A106" s="1"/>
      <c r="B106" s="1"/>
      <c r="C106" s="1"/>
      <c r="D106" s="1"/>
      <c r="E106" s="1"/>
      <c r="G106" s="77"/>
      <c r="H106" s="71"/>
    </row>
    <row r="107" spans="1:8" ht="14.25" customHeight="1">
      <c r="A107" s="1"/>
      <c r="B107" s="1"/>
      <c r="C107" s="1"/>
      <c r="D107" s="1"/>
      <c r="E107" s="1"/>
      <c r="G107" s="77"/>
      <c r="H107" s="71"/>
    </row>
    <row r="108" spans="1:8" ht="14.25" customHeight="1">
      <c r="A108" s="1"/>
      <c r="B108" s="1"/>
      <c r="C108" s="1"/>
      <c r="D108" s="1"/>
      <c r="E108" s="1"/>
      <c r="G108" s="77"/>
      <c r="H108" s="71"/>
    </row>
    <row r="109" spans="1:8" ht="14.25" customHeight="1">
      <c r="A109" s="1"/>
      <c r="B109" s="1"/>
      <c r="C109" s="1"/>
      <c r="D109" s="1"/>
      <c r="E109" s="1"/>
      <c r="G109" s="77"/>
      <c r="H109" s="71"/>
    </row>
    <row r="110" spans="1:8" ht="14.25" customHeight="1">
      <c r="A110" s="1"/>
      <c r="B110" s="1"/>
      <c r="C110" s="1"/>
      <c r="D110" s="1"/>
      <c r="E110" s="1"/>
      <c r="G110" s="77"/>
      <c r="H110" s="71"/>
    </row>
    <row r="111" spans="1:8" ht="14.25" customHeight="1">
      <c r="A111" s="1"/>
      <c r="B111" s="1"/>
      <c r="C111" s="1"/>
      <c r="D111" s="1"/>
      <c r="E111" s="1"/>
      <c r="G111" s="77"/>
      <c r="H111" s="71"/>
    </row>
    <row r="112" spans="1:8" ht="14.25" customHeight="1">
      <c r="A112" s="1"/>
      <c r="B112" s="1"/>
      <c r="C112" s="1"/>
      <c r="D112" s="1"/>
      <c r="E112" s="1"/>
      <c r="G112" s="77"/>
      <c r="H112" s="71"/>
    </row>
    <row r="113" spans="1:8" ht="14.25" customHeight="1">
      <c r="A113" s="1"/>
      <c r="B113" s="1"/>
      <c r="C113" s="1"/>
      <c r="D113" s="1"/>
      <c r="E113" s="1"/>
      <c r="G113" s="77"/>
      <c r="H113" s="71"/>
    </row>
    <row r="114" spans="1:8" ht="14.25" customHeight="1">
      <c r="A114" s="1"/>
      <c r="B114" s="1"/>
      <c r="C114" s="1"/>
      <c r="D114" s="1"/>
      <c r="E114" s="1"/>
      <c r="G114" s="77"/>
      <c r="H114" s="71"/>
    </row>
    <row r="115" spans="1:8" ht="14.25" customHeight="1">
      <c r="A115" s="1"/>
      <c r="B115" s="1"/>
      <c r="C115" s="1"/>
      <c r="D115" s="1"/>
      <c r="E115" s="1"/>
      <c r="G115" s="77"/>
      <c r="H115" s="71"/>
    </row>
    <row r="116" spans="1:8" ht="14.25" customHeight="1">
      <c r="A116" s="1"/>
      <c r="B116" s="1"/>
      <c r="C116" s="1"/>
      <c r="D116" s="1"/>
      <c r="E116" s="1"/>
      <c r="G116" s="77"/>
      <c r="H116" s="71"/>
    </row>
    <row r="117" spans="1:8" ht="14.25" customHeight="1">
      <c r="A117" s="1"/>
      <c r="B117" s="1"/>
      <c r="C117" s="1"/>
      <c r="D117" s="1"/>
      <c r="E117" s="1"/>
      <c r="G117" s="77"/>
      <c r="H117" s="71"/>
    </row>
    <row r="118" spans="1:8" ht="14.25" customHeight="1">
      <c r="A118" s="1"/>
      <c r="B118" s="1"/>
      <c r="C118" s="1"/>
      <c r="D118" s="1"/>
      <c r="E118" s="1"/>
      <c r="G118" s="77"/>
      <c r="H118" s="71"/>
    </row>
    <row r="119" spans="1:8" ht="14.25" customHeight="1">
      <c r="A119" s="1"/>
      <c r="B119" s="1"/>
      <c r="C119" s="1"/>
      <c r="D119" s="1"/>
      <c r="E119" s="1"/>
      <c r="G119" s="77"/>
      <c r="H119" s="71"/>
    </row>
    <row r="120" spans="1:8" ht="14.25" customHeight="1">
      <c r="A120" s="1"/>
      <c r="B120" s="1"/>
      <c r="C120" s="1"/>
      <c r="D120" s="1"/>
      <c r="E120" s="1"/>
      <c r="G120" s="77"/>
      <c r="H120" s="71"/>
    </row>
    <row r="121" spans="1:8" ht="14.25" customHeight="1">
      <c r="A121" s="1"/>
      <c r="B121" s="1"/>
      <c r="C121" s="1"/>
      <c r="D121" s="1"/>
      <c r="E121" s="1"/>
      <c r="G121" s="77"/>
      <c r="H121" s="71"/>
    </row>
    <row r="122" spans="1:8" ht="14.25" customHeight="1">
      <c r="A122" s="1"/>
      <c r="B122" s="1"/>
      <c r="C122" s="1"/>
      <c r="D122" s="1"/>
      <c r="E122" s="1"/>
      <c r="G122" s="77"/>
      <c r="H122" s="71"/>
    </row>
    <row r="123" spans="1:8" ht="14.25" customHeight="1">
      <c r="A123" s="1"/>
      <c r="B123" s="1"/>
      <c r="C123" s="1"/>
      <c r="D123" s="1"/>
      <c r="E123" s="1"/>
      <c r="G123" s="77"/>
      <c r="H123" s="71"/>
    </row>
    <row r="124" spans="1:8" ht="14.25" customHeight="1">
      <c r="A124" s="1"/>
      <c r="B124" s="1"/>
      <c r="C124" s="1"/>
      <c r="D124" s="1"/>
      <c r="E124" s="1"/>
      <c r="G124" s="77"/>
      <c r="H124" s="71"/>
    </row>
    <row r="125" spans="1:8" ht="14.25" customHeight="1">
      <c r="A125" s="1"/>
      <c r="B125" s="1"/>
      <c r="C125" s="1"/>
      <c r="D125" s="1"/>
      <c r="E125" s="1"/>
      <c r="G125" s="77"/>
      <c r="H125" s="71"/>
    </row>
    <row r="126" spans="1:8" ht="14.25" customHeight="1">
      <c r="A126" s="1"/>
      <c r="B126" s="1"/>
      <c r="C126" s="1"/>
      <c r="D126" s="1"/>
      <c r="E126" s="1"/>
      <c r="G126" s="77"/>
      <c r="H126" s="71"/>
    </row>
    <row r="127" spans="1:8" ht="14.25" customHeight="1">
      <c r="A127" s="1"/>
      <c r="B127" s="1"/>
      <c r="C127" s="1"/>
      <c r="D127" s="1"/>
      <c r="E127" s="1"/>
      <c r="G127" s="77"/>
      <c r="H127" s="71"/>
    </row>
    <row r="128" spans="1:8" ht="14.25" customHeight="1">
      <c r="A128" s="1"/>
      <c r="B128" s="1"/>
      <c r="C128" s="1"/>
      <c r="D128" s="1"/>
      <c r="E128" s="1"/>
      <c r="G128" s="77"/>
      <c r="H128" s="71"/>
    </row>
    <row r="129" spans="1:8" ht="14.25" customHeight="1">
      <c r="A129" s="1"/>
      <c r="B129" s="1"/>
      <c r="C129" s="1"/>
      <c r="D129" s="1"/>
      <c r="E129" s="1"/>
      <c r="G129" s="77"/>
      <c r="H129" s="71"/>
    </row>
    <row r="130" spans="1:8" ht="14.25" customHeight="1">
      <c r="A130" s="1"/>
      <c r="B130" s="1"/>
      <c r="C130" s="1"/>
      <c r="D130" s="1"/>
      <c r="E130" s="1"/>
      <c r="G130" s="77"/>
      <c r="H130" s="71"/>
    </row>
    <row r="131" spans="1:8" ht="14.25" customHeight="1">
      <c r="A131" s="1"/>
      <c r="B131" s="1"/>
      <c r="C131" s="1"/>
      <c r="D131" s="1"/>
      <c r="E131" s="1"/>
      <c r="G131" s="77"/>
      <c r="H131" s="71"/>
    </row>
    <row r="132" spans="1:8" ht="14.25" customHeight="1">
      <c r="A132" s="1"/>
      <c r="B132" s="1"/>
      <c r="C132" s="1"/>
      <c r="D132" s="1"/>
      <c r="E132" s="1"/>
      <c r="G132" s="77"/>
      <c r="H132" s="71"/>
    </row>
    <row r="133" spans="1:8" ht="14.25" customHeight="1">
      <c r="A133" s="1"/>
      <c r="B133" s="1"/>
      <c r="C133" s="1"/>
      <c r="D133" s="1"/>
      <c r="E133" s="1"/>
      <c r="G133" s="77"/>
      <c r="H133" s="71"/>
    </row>
    <row r="134" spans="1:8" ht="14.25" customHeight="1">
      <c r="A134" s="1"/>
      <c r="B134" s="1"/>
      <c r="C134" s="1"/>
      <c r="D134" s="1"/>
      <c r="E134" s="1"/>
      <c r="G134" s="77"/>
      <c r="H134" s="71"/>
    </row>
    <row r="135" spans="1:8" ht="14.25" customHeight="1">
      <c r="A135" s="1"/>
      <c r="B135" s="1"/>
      <c r="C135" s="1"/>
      <c r="D135" s="1"/>
      <c r="E135" s="1"/>
      <c r="G135" s="77"/>
      <c r="H135" s="71"/>
    </row>
    <row r="136" spans="1:8" ht="14.25" customHeight="1">
      <c r="A136" s="1"/>
      <c r="B136" s="1"/>
      <c r="C136" s="1"/>
      <c r="D136" s="1"/>
      <c r="E136" s="1"/>
      <c r="G136" s="77"/>
      <c r="H136" s="71"/>
    </row>
    <row r="137" spans="1:8" ht="14.25" customHeight="1">
      <c r="A137" s="1"/>
      <c r="B137" s="1"/>
      <c r="C137" s="1"/>
      <c r="D137" s="1"/>
      <c r="E137" s="1"/>
      <c r="G137" s="77"/>
      <c r="H137" s="71"/>
    </row>
    <row r="138" spans="1:8" ht="14.25" customHeight="1">
      <c r="A138" s="1"/>
      <c r="B138" s="1"/>
      <c r="C138" s="1"/>
      <c r="D138" s="1"/>
      <c r="E138" s="1"/>
      <c r="G138" s="77"/>
      <c r="H138" s="71"/>
    </row>
    <row r="139" spans="1:8" ht="14.25" customHeight="1">
      <c r="A139" s="1"/>
      <c r="B139" s="1"/>
      <c r="C139" s="1"/>
      <c r="D139" s="1"/>
      <c r="E139" s="1"/>
      <c r="G139" s="77"/>
      <c r="H139" s="71"/>
    </row>
    <row r="140" spans="1:8" ht="14.25" customHeight="1">
      <c r="A140" s="1"/>
      <c r="B140" s="1"/>
      <c r="C140" s="1"/>
      <c r="D140" s="1"/>
      <c r="E140" s="1"/>
      <c r="G140" s="77"/>
      <c r="H140" s="71"/>
    </row>
    <row r="141" spans="1:8" ht="14.25" customHeight="1">
      <c r="A141" s="1"/>
      <c r="B141" s="1"/>
      <c r="C141" s="1"/>
      <c r="D141" s="1"/>
      <c r="E141" s="1"/>
      <c r="G141" s="77"/>
      <c r="H141" s="71"/>
    </row>
    <row r="142" spans="1:8" ht="14.25" customHeight="1">
      <c r="A142" s="1"/>
      <c r="B142" s="1"/>
      <c r="C142" s="1"/>
      <c r="D142" s="1"/>
      <c r="E142" s="1"/>
      <c r="G142" s="77"/>
      <c r="H142" s="71"/>
    </row>
    <row r="143" spans="1:8" ht="14.25" customHeight="1">
      <c r="A143" s="1"/>
      <c r="B143" s="1"/>
      <c r="C143" s="1"/>
      <c r="D143" s="1"/>
      <c r="E143" s="1"/>
      <c r="G143" s="77"/>
      <c r="H143" s="71"/>
    </row>
    <row r="144" spans="1:8" ht="14.25" customHeight="1">
      <c r="A144" s="1"/>
      <c r="B144" s="1"/>
      <c r="C144" s="1"/>
      <c r="D144" s="1"/>
      <c r="E144" s="1"/>
      <c r="G144" s="77"/>
      <c r="H144" s="71"/>
    </row>
    <row r="145" spans="1:8" ht="14.25" customHeight="1">
      <c r="A145" s="1"/>
      <c r="B145" s="1"/>
      <c r="C145" s="1"/>
      <c r="D145" s="1"/>
      <c r="E145" s="1"/>
      <c r="G145" s="77"/>
      <c r="H145" s="71"/>
    </row>
    <row r="146" spans="1:8" ht="14.25" customHeight="1">
      <c r="A146" s="1"/>
      <c r="B146" s="1"/>
      <c r="C146" s="1"/>
      <c r="D146" s="1"/>
      <c r="E146" s="1"/>
      <c r="G146" s="77"/>
      <c r="H146" s="71"/>
    </row>
    <row r="147" spans="1:8" ht="14.25" customHeight="1">
      <c r="A147" s="1"/>
      <c r="B147" s="1"/>
      <c r="C147" s="1"/>
      <c r="D147" s="1"/>
      <c r="E147" s="1"/>
      <c r="G147" s="77"/>
      <c r="H147" s="71"/>
    </row>
    <row r="148" spans="1:8" ht="14.25" customHeight="1">
      <c r="A148" s="1"/>
      <c r="B148" s="1"/>
      <c r="C148" s="1"/>
      <c r="D148" s="1"/>
      <c r="E148" s="1"/>
      <c r="G148" s="77"/>
      <c r="H148" s="71"/>
    </row>
    <row r="149" spans="1:8" ht="14.25" customHeight="1">
      <c r="A149" s="1"/>
      <c r="B149" s="1"/>
      <c r="C149" s="1"/>
      <c r="D149" s="1"/>
      <c r="E149" s="1"/>
      <c r="G149" s="77"/>
      <c r="H149" s="71"/>
    </row>
    <row r="150" spans="1:8" ht="14.25" customHeight="1">
      <c r="A150" s="1"/>
      <c r="B150" s="1"/>
      <c r="C150" s="1"/>
      <c r="D150" s="1"/>
      <c r="E150" s="1"/>
      <c r="G150" s="77"/>
      <c r="H150" s="71"/>
    </row>
    <row r="151" spans="1:8" ht="14.25" customHeight="1">
      <c r="A151" s="1"/>
      <c r="B151" s="1"/>
      <c r="C151" s="1"/>
      <c r="D151" s="1"/>
      <c r="E151" s="1"/>
      <c r="G151" s="77"/>
      <c r="H151" s="71"/>
    </row>
    <row r="152" spans="1:8" ht="14.25" customHeight="1">
      <c r="A152" s="1"/>
      <c r="B152" s="1"/>
      <c r="C152" s="1"/>
      <c r="D152" s="1"/>
      <c r="E152" s="1"/>
      <c r="G152" s="77"/>
      <c r="H152" s="71"/>
    </row>
    <row r="153" spans="1:8" ht="14.25" customHeight="1">
      <c r="A153" s="1"/>
      <c r="B153" s="1"/>
      <c r="C153" s="1"/>
      <c r="D153" s="1"/>
      <c r="E153" s="1"/>
      <c r="G153" s="77"/>
      <c r="H153" s="71"/>
    </row>
    <row r="154" spans="1:8" ht="14.25" customHeight="1">
      <c r="A154" s="1"/>
      <c r="B154" s="1"/>
      <c r="C154" s="1"/>
      <c r="D154" s="1"/>
      <c r="E154" s="1"/>
      <c r="G154" s="77"/>
      <c r="H154" s="71"/>
    </row>
    <row r="155" spans="1:8" ht="14.25" customHeight="1">
      <c r="A155" s="1"/>
      <c r="B155" s="1"/>
      <c r="C155" s="1"/>
      <c r="D155" s="1"/>
      <c r="E155" s="1"/>
      <c r="G155" s="77"/>
      <c r="H155" s="71"/>
    </row>
    <row r="156" spans="1:8" ht="14.25" customHeight="1">
      <c r="A156" s="1"/>
      <c r="B156" s="1"/>
      <c r="C156" s="1"/>
      <c r="D156" s="1"/>
      <c r="E156" s="1"/>
      <c r="G156" s="77"/>
      <c r="H156" s="71"/>
    </row>
    <row r="157" spans="1:8" ht="14.25" customHeight="1">
      <c r="A157" s="1"/>
      <c r="B157" s="1"/>
      <c r="C157" s="1"/>
      <c r="D157" s="1"/>
      <c r="E157" s="1"/>
      <c r="G157" s="77"/>
      <c r="H157" s="71"/>
    </row>
    <row r="158" spans="1:8" ht="14.25" customHeight="1">
      <c r="A158" s="1"/>
      <c r="B158" s="1"/>
      <c r="C158" s="1"/>
      <c r="D158" s="1"/>
      <c r="E158" s="1"/>
      <c r="G158" s="77"/>
      <c r="H158" s="71"/>
    </row>
    <row r="159" spans="1:8" ht="14.25" customHeight="1">
      <c r="A159" s="1"/>
      <c r="B159" s="1"/>
      <c r="C159" s="1"/>
      <c r="D159" s="1"/>
      <c r="E159" s="1"/>
      <c r="G159" s="77"/>
      <c r="H159" s="71"/>
    </row>
    <row r="160" spans="1:8" ht="14.25" customHeight="1">
      <c r="A160" s="1"/>
      <c r="B160" s="1"/>
      <c r="C160" s="1"/>
      <c r="D160" s="1"/>
      <c r="E160" s="1"/>
      <c r="G160" s="77"/>
      <c r="H160" s="71"/>
    </row>
    <row r="161" spans="1:8" ht="14.25" customHeight="1">
      <c r="A161" s="1"/>
      <c r="B161" s="1"/>
      <c r="C161" s="1"/>
      <c r="D161" s="1"/>
      <c r="E161" s="1"/>
      <c r="G161" s="77"/>
      <c r="H161" s="71"/>
    </row>
    <row r="162" spans="1:8" ht="14.25" customHeight="1">
      <c r="A162" s="1"/>
      <c r="B162" s="1"/>
      <c r="C162" s="1"/>
      <c r="D162" s="1"/>
      <c r="E162" s="1"/>
      <c r="G162" s="77"/>
      <c r="H162" s="71"/>
    </row>
    <row r="163" spans="1:8" ht="14.25" customHeight="1">
      <c r="A163" s="1"/>
      <c r="B163" s="1"/>
      <c r="C163" s="1"/>
      <c r="D163" s="1"/>
      <c r="E163" s="1"/>
      <c r="G163" s="77"/>
      <c r="H163" s="71"/>
    </row>
    <row r="164" spans="1:8" ht="14.25" customHeight="1">
      <c r="A164" s="1"/>
      <c r="B164" s="1"/>
      <c r="C164" s="1"/>
      <c r="D164" s="1"/>
      <c r="E164" s="1"/>
      <c r="G164" s="77"/>
      <c r="H164" s="71"/>
    </row>
    <row r="165" spans="1:8" ht="14.25" customHeight="1">
      <c r="A165" s="1"/>
      <c r="B165" s="1"/>
      <c r="C165" s="1"/>
      <c r="D165" s="1"/>
      <c r="E165" s="1"/>
      <c r="G165" s="77"/>
      <c r="H165" s="71"/>
    </row>
    <row r="166" spans="1:8" ht="14.25" customHeight="1">
      <c r="A166" s="1"/>
      <c r="B166" s="1"/>
      <c r="C166" s="1"/>
      <c r="D166" s="1"/>
      <c r="E166" s="1"/>
      <c r="G166" s="77"/>
      <c r="H166" s="71"/>
    </row>
    <row r="167" spans="1:8" ht="14.25" customHeight="1">
      <c r="A167" s="1"/>
      <c r="B167" s="1"/>
      <c r="C167" s="1"/>
      <c r="D167" s="1"/>
      <c r="E167" s="1"/>
      <c r="G167" s="77"/>
      <c r="H167" s="71"/>
    </row>
    <row r="168" spans="1:8" ht="14.25" customHeight="1">
      <c r="A168" s="1"/>
      <c r="B168" s="1"/>
      <c r="C168" s="1"/>
      <c r="D168" s="1"/>
      <c r="E168" s="1"/>
      <c r="G168" s="77"/>
      <c r="H168" s="71"/>
    </row>
    <row r="169" spans="1:8" ht="14.25" customHeight="1">
      <c r="A169" s="1"/>
      <c r="B169" s="1"/>
      <c r="C169" s="1"/>
      <c r="D169" s="1"/>
      <c r="E169" s="1"/>
      <c r="G169" s="77"/>
      <c r="H169" s="71"/>
    </row>
    <row r="170" spans="1:8" ht="14.25" customHeight="1">
      <c r="A170" s="1"/>
      <c r="B170" s="1"/>
      <c r="C170" s="1"/>
      <c r="D170" s="1"/>
      <c r="E170" s="1"/>
      <c r="G170" s="77"/>
      <c r="H170" s="71"/>
    </row>
    <row r="171" spans="1:8" ht="14.25" customHeight="1">
      <c r="A171" s="1"/>
      <c r="B171" s="1"/>
      <c r="C171" s="1"/>
      <c r="D171" s="1"/>
      <c r="E171" s="1"/>
      <c r="G171" s="77"/>
      <c r="H171" s="71"/>
    </row>
    <row r="172" spans="1:8" ht="14.25" customHeight="1">
      <c r="A172" s="1"/>
      <c r="B172" s="1"/>
      <c r="C172" s="1"/>
      <c r="D172" s="1"/>
      <c r="E172" s="1"/>
      <c r="G172" s="77"/>
      <c r="H172" s="71"/>
    </row>
    <row r="173" spans="1:8" ht="14.25" customHeight="1">
      <c r="A173" s="1"/>
      <c r="B173" s="1"/>
      <c r="C173" s="1"/>
      <c r="D173" s="1"/>
      <c r="E173" s="1"/>
      <c r="G173" s="77"/>
      <c r="H173" s="71"/>
    </row>
    <row r="174" spans="1:8" ht="14.25" customHeight="1">
      <c r="A174" s="1"/>
      <c r="B174" s="1"/>
      <c r="C174" s="1"/>
      <c r="D174" s="1"/>
      <c r="E174" s="1"/>
      <c r="G174" s="77"/>
      <c r="H174" s="71"/>
    </row>
    <row r="175" spans="1:8" ht="14.25" customHeight="1">
      <c r="A175" s="1"/>
      <c r="B175" s="1"/>
      <c r="C175" s="1"/>
      <c r="D175" s="1"/>
      <c r="E175" s="1"/>
      <c r="G175" s="77"/>
      <c r="H175" s="71"/>
    </row>
    <row r="176" spans="1:8" ht="14.25" customHeight="1">
      <c r="A176" s="1"/>
      <c r="B176" s="1"/>
      <c r="C176" s="1"/>
      <c r="D176" s="1"/>
      <c r="E176" s="1"/>
      <c r="G176" s="77"/>
      <c r="H176" s="71"/>
    </row>
    <row r="177" spans="1:8" ht="14.25" customHeight="1">
      <c r="A177" s="1"/>
      <c r="B177" s="1"/>
      <c r="C177" s="1"/>
      <c r="D177" s="1"/>
      <c r="E177" s="1"/>
      <c r="G177" s="77"/>
      <c r="H177" s="71"/>
    </row>
    <row r="178" spans="1:8" ht="14.25" customHeight="1">
      <c r="A178" s="1"/>
      <c r="B178" s="1"/>
      <c r="C178" s="1"/>
      <c r="D178" s="1"/>
      <c r="E178" s="1"/>
      <c r="G178" s="77"/>
      <c r="H178" s="71"/>
    </row>
    <row r="179" spans="1:8" ht="14.25" customHeight="1">
      <c r="A179" s="1"/>
      <c r="B179" s="1"/>
      <c r="C179" s="1"/>
      <c r="D179" s="1"/>
      <c r="E179" s="1"/>
      <c r="G179" s="77"/>
      <c r="H179" s="71"/>
    </row>
    <row r="180" spans="1:8" ht="14.25" customHeight="1">
      <c r="A180" s="1"/>
      <c r="B180" s="1"/>
      <c r="C180" s="1"/>
      <c r="D180" s="1"/>
      <c r="E180" s="1"/>
      <c r="G180" s="77"/>
      <c r="H180" s="71"/>
    </row>
    <row r="181" spans="1:8" ht="14.25" customHeight="1">
      <c r="A181" s="1"/>
      <c r="B181" s="1"/>
      <c r="C181" s="1"/>
      <c r="D181" s="1"/>
      <c r="E181" s="1"/>
      <c r="G181" s="77"/>
      <c r="H181" s="71"/>
    </row>
    <row r="182" spans="1:8" ht="14.25" customHeight="1">
      <c r="A182" s="1"/>
      <c r="B182" s="1"/>
      <c r="C182" s="1"/>
      <c r="D182" s="1"/>
      <c r="E182" s="1"/>
      <c r="G182" s="77"/>
      <c r="H182" s="71"/>
    </row>
    <row r="183" spans="1:8" ht="14.25" customHeight="1">
      <c r="A183" s="1"/>
      <c r="B183" s="1"/>
      <c r="C183" s="1"/>
      <c r="D183" s="1"/>
      <c r="E183" s="1"/>
      <c r="G183" s="77"/>
      <c r="H183" s="71"/>
    </row>
    <row r="184" spans="1:8" ht="14.25" customHeight="1">
      <c r="A184" s="1"/>
      <c r="B184" s="1"/>
      <c r="C184" s="1"/>
      <c r="D184" s="1"/>
      <c r="E184" s="1"/>
      <c r="G184" s="77"/>
      <c r="H184" s="71"/>
    </row>
    <row r="185" spans="1:8" ht="14.25" customHeight="1">
      <c r="A185" s="1"/>
      <c r="B185" s="1"/>
      <c r="C185" s="1"/>
      <c r="D185" s="1"/>
      <c r="E185" s="1"/>
      <c r="G185" s="77"/>
      <c r="H185" s="71"/>
    </row>
    <row r="186" spans="1:8" ht="14.25" customHeight="1">
      <c r="A186" s="1"/>
      <c r="B186" s="1"/>
      <c r="C186" s="1"/>
      <c r="D186" s="1"/>
      <c r="E186" s="1"/>
      <c r="G186" s="77"/>
      <c r="H186" s="71"/>
    </row>
    <row r="187" spans="1:8" ht="14.25" customHeight="1">
      <c r="A187" s="1"/>
      <c r="B187" s="1"/>
      <c r="C187" s="1"/>
      <c r="D187" s="1"/>
      <c r="E187" s="1"/>
      <c r="G187" s="77"/>
      <c r="H187" s="71"/>
    </row>
    <row r="188" spans="1:8" ht="14.25" customHeight="1">
      <c r="A188" s="1"/>
      <c r="B188" s="1"/>
      <c r="C188" s="1"/>
      <c r="D188" s="1"/>
      <c r="E188" s="1"/>
      <c r="G188" s="77"/>
      <c r="H188" s="71"/>
    </row>
    <row r="189" spans="1:8" ht="14.25" customHeight="1">
      <c r="A189" s="1"/>
      <c r="B189" s="1"/>
      <c r="C189" s="1"/>
      <c r="D189" s="1"/>
      <c r="E189" s="1"/>
      <c r="G189" s="77"/>
      <c r="H189" s="71"/>
    </row>
    <row r="190" spans="1:8" ht="14.25" customHeight="1">
      <c r="A190" s="1"/>
      <c r="B190" s="1"/>
      <c r="C190" s="1"/>
      <c r="D190" s="1"/>
      <c r="E190" s="1"/>
      <c r="G190" s="77"/>
      <c r="H190" s="71"/>
    </row>
    <row r="191" spans="1:8" ht="14.25" customHeight="1">
      <c r="A191" s="1"/>
      <c r="B191" s="1"/>
      <c r="C191" s="1"/>
      <c r="D191" s="1"/>
      <c r="E191" s="1"/>
      <c r="G191" s="77"/>
      <c r="H191" s="71"/>
    </row>
    <row r="192" spans="1:8" ht="14.25" customHeight="1">
      <c r="A192" s="1"/>
      <c r="B192" s="1"/>
      <c r="C192" s="1"/>
      <c r="D192" s="1"/>
      <c r="E192" s="1"/>
      <c r="G192" s="77"/>
      <c r="H192" s="71"/>
    </row>
    <row r="193" spans="1:8" ht="14.25" customHeight="1">
      <c r="A193" s="1"/>
      <c r="B193" s="1"/>
      <c r="C193" s="1"/>
      <c r="D193" s="1"/>
      <c r="E193" s="1"/>
      <c r="G193" s="77"/>
      <c r="H193" s="71"/>
    </row>
    <row r="194" spans="1:8" ht="14.25" customHeight="1">
      <c r="A194" s="1"/>
      <c r="B194" s="1"/>
      <c r="C194" s="1"/>
      <c r="D194" s="1"/>
      <c r="E194" s="1"/>
      <c r="G194" s="77"/>
      <c r="H194" s="71"/>
    </row>
    <row r="195" spans="1:8" ht="14.25" customHeight="1">
      <c r="A195" s="1"/>
      <c r="B195" s="1"/>
      <c r="C195" s="1"/>
      <c r="D195" s="1"/>
      <c r="E195" s="1"/>
      <c r="G195" s="77"/>
      <c r="H195" s="71"/>
    </row>
    <row r="196" spans="1:8" ht="14.25" customHeight="1">
      <c r="A196" s="1"/>
      <c r="B196" s="1"/>
      <c r="C196" s="1"/>
      <c r="D196" s="1"/>
      <c r="E196" s="1"/>
      <c r="G196" s="77"/>
      <c r="H196" s="71"/>
    </row>
    <row r="197" spans="1:8" ht="14.25" customHeight="1">
      <c r="A197" s="1"/>
      <c r="B197" s="1"/>
      <c r="C197" s="1"/>
      <c r="D197" s="1"/>
      <c r="E197" s="1"/>
      <c r="G197" s="77"/>
      <c r="H197" s="71"/>
    </row>
    <row r="198" spans="1:8" ht="14.25" customHeight="1">
      <c r="A198" s="1"/>
      <c r="B198" s="1"/>
      <c r="C198" s="1"/>
      <c r="D198" s="1"/>
      <c r="E198" s="1"/>
      <c r="G198" s="77"/>
      <c r="H198" s="71"/>
    </row>
    <row r="199" spans="1:8" ht="14.25" customHeight="1">
      <c r="A199" s="1"/>
      <c r="B199" s="1"/>
      <c r="C199" s="1"/>
      <c r="D199" s="1"/>
      <c r="E199" s="1"/>
      <c r="G199" s="77"/>
      <c r="H199" s="71"/>
    </row>
    <row r="200" spans="1:8" ht="14.25" customHeight="1">
      <c r="A200" s="1"/>
      <c r="B200" s="1"/>
      <c r="C200" s="1"/>
      <c r="D200" s="1"/>
      <c r="E200" s="1"/>
      <c r="G200" s="77"/>
      <c r="H200" s="71"/>
    </row>
    <row r="201" spans="1:8" ht="14.25" customHeight="1">
      <c r="A201" s="1"/>
      <c r="B201" s="1"/>
      <c r="C201" s="1"/>
      <c r="D201" s="1"/>
      <c r="E201" s="1"/>
      <c r="G201" s="77"/>
      <c r="H201" s="71"/>
    </row>
    <row r="202" spans="1:8" ht="14.25" customHeight="1">
      <c r="A202" s="1"/>
      <c r="B202" s="1"/>
      <c r="C202" s="1"/>
      <c r="D202" s="1"/>
      <c r="E202" s="1"/>
      <c r="G202" s="77"/>
      <c r="H202" s="71"/>
    </row>
    <row r="203" spans="1:8" ht="14.25" customHeight="1">
      <c r="A203" s="1"/>
      <c r="B203" s="1"/>
      <c r="C203" s="1"/>
      <c r="D203" s="1"/>
      <c r="E203" s="1"/>
      <c r="G203" s="77"/>
      <c r="H203" s="71"/>
    </row>
    <row r="204" spans="1:8" ht="14.25" customHeight="1">
      <c r="A204" s="1"/>
      <c r="B204" s="1"/>
      <c r="C204" s="1"/>
      <c r="D204" s="1"/>
      <c r="E204" s="1"/>
      <c r="G204" s="77"/>
      <c r="H204" s="71"/>
    </row>
    <row r="205" spans="1:8" ht="14.25" customHeight="1">
      <c r="A205" s="1"/>
      <c r="B205" s="1"/>
      <c r="C205" s="1"/>
      <c r="D205" s="1"/>
      <c r="E205" s="1"/>
      <c r="G205" s="77"/>
      <c r="H205" s="71"/>
    </row>
    <row r="206" spans="1:8" ht="14.25" customHeight="1">
      <c r="A206" s="1"/>
      <c r="B206" s="1"/>
      <c r="C206" s="1"/>
      <c r="D206" s="1"/>
      <c r="E206" s="1"/>
      <c r="G206" s="77"/>
      <c r="H206" s="71"/>
    </row>
    <row r="207" spans="1:8" ht="14.25" customHeight="1">
      <c r="A207" s="1"/>
      <c r="B207" s="1"/>
      <c r="C207" s="1"/>
      <c r="D207" s="1"/>
      <c r="E207" s="1"/>
      <c r="G207" s="77"/>
      <c r="H207" s="71"/>
    </row>
    <row r="208" spans="1:8" ht="14.25" customHeight="1">
      <c r="A208" s="1"/>
      <c r="B208" s="1"/>
      <c r="C208" s="1"/>
      <c r="D208" s="1"/>
      <c r="E208" s="1"/>
      <c r="G208" s="77"/>
      <c r="H208" s="71"/>
    </row>
    <row r="209" spans="1:8" ht="14.25" customHeight="1">
      <c r="A209" s="1"/>
      <c r="B209" s="1"/>
      <c r="C209" s="1"/>
      <c r="D209" s="1"/>
      <c r="E209" s="1"/>
      <c r="G209" s="77"/>
      <c r="H209" s="71"/>
    </row>
    <row r="210" spans="1:8" ht="14.25" customHeight="1">
      <c r="A210" s="1"/>
      <c r="B210" s="1"/>
      <c r="C210" s="1"/>
      <c r="D210" s="1"/>
      <c r="E210" s="1"/>
      <c r="G210" s="77"/>
      <c r="H210" s="71"/>
    </row>
    <row r="211" spans="1:8" ht="14.25" customHeight="1">
      <c r="A211" s="1"/>
      <c r="B211" s="1"/>
      <c r="C211" s="1"/>
      <c r="D211" s="1"/>
      <c r="E211" s="1"/>
      <c r="G211" s="77"/>
      <c r="H211" s="71"/>
    </row>
    <row r="212" spans="1:8" ht="14.25" customHeight="1">
      <c r="A212" s="1"/>
      <c r="B212" s="1"/>
      <c r="C212" s="1"/>
      <c r="D212" s="1"/>
      <c r="E212" s="1"/>
      <c r="G212" s="77"/>
      <c r="H212" s="71"/>
    </row>
    <row r="213" spans="1:8" ht="14.25" customHeight="1">
      <c r="A213" s="1"/>
      <c r="B213" s="1"/>
      <c r="C213" s="1"/>
      <c r="D213" s="1"/>
      <c r="E213" s="1"/>
      <c r="G213" s="77"/>
      <c r="H213" s="71"/>
    </row>
    <row r="214" spans="1:8" ht="14.25" customHeight="1">
      <c r="A214" s="1"/>
      <c r="B214" s="1"/>
      <c r="C214" s="1"/>
      <c r="D214" s="1"/>
      <c r="E214" s="1"/>
      <c r="G214" s="77"/>
      <c r="H214" s="71"/>
    </row>
    <row r="215" spans="1:8" ht="14.25" customHeight="1">
      <c r="A215" s="1"/>
      <c r="B215" s="1"/>
      <c r="C215" s="1"/>
      <c r="D215" s="1"/>
      <c r="E215" s="1"/>
      <c r="G215" s="77"/>
      <c r="H215" s="71"/>
    </row>
    <row r="216" spans="1:8" ht="14.25" customHeight="1">
      <c r="A216" s="1"/>
      <c r="B216" s="1"/>
      <c r="C216" s="1"/>
      <c r="D216" s="1"/>
      <c r="E216" s="1"/>
      <c r="G216" s="77"/>
      <c r="H216" s="71"/>
    </row>
    <row r="217" spans="1:8" ht="14.25" customHeight="1">
      <c r="A217" s="1"/>
      <c r="B217" s="1"/>
      <c r="C217" s="1"/>
      <c r="D217" s="1"/>
      <c r="E217" s="1"/>
      <c r="G217" s="77"/>
      <c r="H217" s="71"/>
    </row>
    <row r="218" spans="1:8" ht="14.25" customHeight="1">
      <c r="A218" s="1"/>
      <c r="B218" s="1"/>
      <c r="C218" s="1"/>
      <c r="D218" s="1"/>
      <c r="E218" s="1"/>
      <c r="G218" s="77"/>
      <c r="H218" s="71"/>
    </row>
    <row r="219" spans="1:8" ht="14.25" customHeight="1">
      <c r="A219" s="1"/>
      <c r="B219" s="1"/>
      <c r="C219" s="1"/>
      <c r="D219" s="1"/>
      <c r="E219" s="1"/>
      <c r="G219" s="77"/>
      <c r="H219" s="71"/>
    </row>
    <row r="220" spans="1:8" ht="14.25" customHeight="1">
      <c r="A220" s="1"/>
      <c r="B220" s="1"/>
      <c r="C220" s="1"/>
      <c r="D220" s="1"/>
      <c r="E220" s="1"/>
      <c r="G220" s="77"/>
      <c r="H220" s="71"/>
    </row>
    <row r="221" spans="1:8" ht="14.25" customHeight="1">
      <c r="A221" s="1"/>
      <c r="B221" s="1"/>
      <c r="C221" s="1"/>
      <c r="D221" s="1"/>
      <c r="E221" s="1"/>
      <c r="G221" s="77"/>
      <c r="H221" s="71"/>
    </row>
    <row r="222" spans="1:8" ht="14.25" customHeight="1">
      <c r="A222" s="1"/>
      <c r="B222" s="1"/>
      <c r="C222" s="1"/>
      <c r="D222" s="1"/>
      <c r="E222" s="1"/>
      <c r="G222" s="77"/>
      <c r="H222" s="71"/>
    </row>
    <row r="223" spans="1:8" ht="14.25" customHeight="1">
      <c r="A223" s="1"/>
      <c r="B223" s="1"/>
      <c r="C223" s="1"/>
      <c r="D223" s="1"/>
      <c r="E223" s="1"/>
      <c r="G223" s="77"/>
      <c r="H223" s="71"/>
    </row>
    <row r="224" spans="1:8" ht="14.25" customHeight="1">
      <c r="A224" s="1"/>
      <c r="B224" s="1"/>
      <c r="C224" s="1"/>
      <c r="D224" s="1"/>
      <c r="E224" s="1"/>
      <c r="G224" s="77"/>
      <c r="H224" s="71"/>
    </row>
    <row r="225" spans="1:8" ht="14.25" customHeight="1">
      <c r="A225" s="1"/>
      <c r="B225" s="1"/>
      <c r="C225" s="1"/>
      <c r="D225" s="1"/>
      <c r="E225" s="1"/>
      <c r="G225" s="77"/>
      <c r="H225" s="71"/>
    </row>
    <row r="226" spans="1:8" ht="14.25" customHeight="1">
      <c r="A226" s="1"/>
      <c r="B226" s="1"/>
      <c r="C226" s="1"/>
      <c r="D226" s="1"/>
      <c r="E226" s="1"/>
      <c r="G226" s="77"/>
      <c r="H226" s="71"/>
    </row>
    <row r="227" spans="1:8" ht="14.25" customHeight="1">
      <c r="A227" s="1"/>
      <c r="B227" s="1"/>
      <c r="C227" s="1"/>
      <c r="D227" s="1"/>
      <c r="E227" s="1"/>
      <c r="G227" s="77"/>
      <c r="H227" s="71"/>
    </row>
    <row r="228" spans="1:8" ht="14.25" customHeight="1">
      <c r="A228" s="1"/>
      <c r="B228" s="1"/>
      <c r="C228" s="1"/>
      <c r="D228" s="1"/>
      <c r="E228" s="1"/>
      <c r="G228" s="77"/>
      <c r="H228" s="71"/>
    </row>
    <row r="229" spans="1:8" ht="14.25" customHeight="1">
      <c r="A229" s="1"/>
      <c r="B229" s="1"/>
      <c r="C229" s="1"/>
      <c r="D229" s="1"/>
      <c r="E229" s="1"/>
      <c r="G229" s="77"/>
      <c r="H229" s="71"/>
    </row>
    <row r="230" spans="1:8" ht="14.25" customHeight="1">
      <c r="A230" s="1"/>
      <c r="B230" s="1"/>
      <c r="C230" s="1"/>
      <c r="D230" s="1"/>
      <c r="E230" s="1"/>
      <c r="G230" s="77"/>
      <c r="H230" s="71"/>
    </row>
    <row r="231" spans="1:8" ht="14.25" customHeight="1">
      <c r="A231" s="1"/>
      <c r="B231" s="1"/>
      <c r="C231" s="1"/>
      <c r="D231" s="1"/>
      <c r="E231" s="1"/>
      <c r="G231" s="77"/>
      <c r="H231" s="71"/>
    </row>
    <row r="232" spans="1:8" ht="14.25" customHeight="1">
      <c r="A232" s="1"/>
      <c r="B232" s="1"/>
      <c r="C232" s="1"/>
      <c r="D232" s="1"/>
      <c r="E232" s="1"/>
      <c r="G232" s="77"/>
      <c r="H232" s="71"/>
    </row>
    <row r="233" spans="1:8" ht="14.25" customHeight="1">
      <c r="A233" s="1"/>
      <c r="B233" s="1"/>
      <c r="C233" s="1"/>
      <c r="D233" s="1"/>
      <c r="E233" s="1"/>
      <c r="G233" s="77"/>
      <c r="H233" s="71"/>
    </row>
    <row r="234" spans="1:8" ht="14.25" customHeight="1">
      <c r="A234" s="1"/>
      <c r="B234" s="1"/>
      <c r="C234" s="1"/>
      <c r="D234" s="1"/>
      <c r="E234" s="1"/>
      <c r="G234" s="77"/>
      <c r="H234" s="71"/>
    </row>
    <row r="235" spans="1:8" ht="14.25" customHeight="1">
      <c r="A235" s="1"/>
      <c r="B235" s="1"/>
      <c r="C235" s="1"/>
      <c r="D235" s="1"/>
      <c r="E235" s="1"/>
      <c r="G235" s="77"/>
      <c r="H235" s="71"/>
    </row>
    <row r="236" spans="1:8" ht="14.25" customHeight="1">
      <c r="A236" s="1"/>
      <c r="B236" s="1"/>
      <c r="C236" s="1"/>
      <c r="D236" s="1"/>
      <c r="E236" s="1"/>
      <c r="G236" s="77"/>
      <c r="H236" s="71"/>
    </row>
    <row r="237" spans="1:8" ht="14.25" customHeight="1">
      <c r="A237" s="1"/>
      <c r="B237" s="1"/>
      <c r="C237" s="1"/>
      <c r="D237" s="1"/>
      <c r="E237" s="1"/>
      <c r="G237" s="77"/>
      <c r="H237" s="71"/>
    </row>
    <row r="238" spans="1:8" ht="14.25" customHeight="1">
      <c r="A238" s="1"/>
      <c r="B238" s="1"/>
      <c r="C238" s="1"/>
      <c r="D238" s="1"/>
      <c r="E238" s="1"/>
      <c r="G238" s="77"/>
      <c r="H238" s="71"/>
    </row>
    <row r="239" spans="1:8" ht="14.25" customHeight="1">
      <c r="A239" s="1"/>
      <c r="B239" s="1"/>
      <c r="C239" s="1"/>
      <c r="D239" s="1"/>
      <c r="E239" s="1"/>
      <c r="G239" s="77"/>
      <c r="H239" s="71"/>
    </row>
    <row r="240" spans="1:8" ht="14.25" customHeight="1">
      <c r="A240" s="1"/>
      <c r="B240" s="1"/>
      <c r="C240" s="1"/>
      <c r="D240" s="1"/>
      <c r="E240" s="1"/>
      <c r="G240" s="77"/>
      <c r="H240" s="71"/>
    </row>
    <row r="241" spans="1:8" ht="14.25" customHeight="1">
      <c r="A241" s="1"/>
      <c r="B241" s="1"/>
      <c r="C241" s="1"/>
      <c r="D241" s="1"/>
      <c r="E241" s="1"/>
      <c r="G241" s="77"/>
      <c r="H241" s="71"/>
    </row>
    <row r="242" spans="1:8" ht="14.25" customHeight="1">
      <c r="A242" s="1"/>
      <c r="B242" s="1"/>
      <c r="C242" s="1"/>
      <c r="D242" s="1"/>
      <c r="E242" s="1"/>
      <c r="G242" s="77"/>
      <c r="H242" s="71"/>
    </row>
    <row r="243" spans="1:8" ht="14.25" customHeight="1">
      <c r="A243" s="1"/>
      <c r="B243" s="1"/>
      <c r="C243" s="1"/>
      <c r="D243" s="1"/>
      <c r="E243" s="1"/>
      <c r="G243" s="77"/>
      <c r="H243" s="71"/>
    </row>
    <row r="244" spans="1:8" ht="14.25" customHeight="1">
      <c r="A244" s="1"/>
      <c r="B244" s="1"/>
      <c r="C244" s="1"/>
      <c r="D244" s="1"/>
      <c r="E244" s="1"/>
      <c r="G244" s="77"/>
      <c r="H244" s="71"/>
    </row>
    <row r="245" spans="1:8" ht="14.25" customHeight="1">
      <c r="A245" s="1"/>
      <c r="B245" s="1"/>
      <c r="C245" s="1"/>
      <c r="D245" s="1"/>
      <c r="E245" s="1"/>
      <c r="G245" s="77"/>
      <c r="H245" s="71"/>
    </row>
    <row r="246" spans="1:8" ht="14.25" customHeight="1">
      <c r="A246" s="1"/>
      <c r="B246" s="1"/>
      <c r="C246" s="1"/>
      <c r="D246" s="1"/>
      <c r="E246" s="1"/>
      <c r="G246" s="77"/>
      <c r="H246" s="71"/>
    </row>
    <row r="247" spans="1:8" ht="14.25" customHeight="1">
      <c r="A247" s="1"/>
      <c r="B247" s="1"/>
      <c r="C247" s="1"/>
      <c r="D247" s="1"/>
      <c r="E247" s="1"/>
      <c r="G247" s="77"/>
      <c r="H247" s="71"/>
    </row>
    <row r="248" spans="1:8" ht="14.25" customHeight="1">
      <c r="A248" s="1"/>
      <c r="B248" s="1"/>
      <c r="C248" s="1"/>
      <c r="D248" s="1"/>
      <c r="E248" s="1"/>
      <c r="G248" s="77"/>
      <c r="H248" s="71"/>
    </row>
    <row r="249" spans="1:8" ht="14.25" customHeight="1">
      <c r="A249" s="1"/>
      <c r="B249" s="1"/>
      <c r="C249" s="1"/>
      <c r="D249" s="1"/>
      <c r="E249" s="1"/>
      <c r="G249" s="77"/>
      <c r="H249" s="71"/>
    </row>
    <row r="250" spans="1:8" ht="14.25" customHeight="1">
      <c r="A250" s="1"/>
      <c r="B250" s="1"/>
      <c r="C250" s="1"/>
      <c r="D250" s="1"/>
      <c r="E250" s="1"/>
      <c r="G250" s="77"/>
      <c r="H250" s="71"/>
    </row>
    <row r="251" spans="1:8" ht="14.25" customHeight="1">
      <c r="A251" s="1"/>
      <c r="B251" s="1"/>
      <c r="C251" s="1"/>
      <c r="D251" s="1"/>
      <c r="E251" s="1"/>
      <c r="G251" s="77"/>
      <c r="H251" s="71"/>
    </row>
    <row r="252" spans="1:8" ht="14.25" customHeight="1">
      <c r="A252" s="1"/>
      <c r="B252" s="1"/>
      <c r="C252" s="1"/>
      <c r="D252" s="1"/>
      <c r="E252" s="1"/>
      <c r="G252" s="77"/>
      <c r="H252" s="71"/>
    </row>
    <row r="253" spans="1:8" ht="14.25" customHeight="1">
      <c r="A253" s="1"/>
      <c r="B253" s="1"/>
      <c r="C253" s="1"/>
      <c r="D253" s="1"/>
      <c r="E253" s="1"/>
      <c r="G253" s="77"/>
      <c r="H253" s="71"/>
    </row>
    <row r="254" spans="1:8" ht="14.25" customHeight="1">
      <c r="A254" s="1"/>
      <c r="B254" s="1"/>
      <c r="C254" s="1"/>
      <c r="D254" s="1"/>
      <c r="E254" s="1"/>
      <c r="G254" s="77"/>
      <c r="H254" s="71"/>
    </row>
    <row r="255" spans="1:8" ht="14.25" customHeight="1">
      <c r="A255" s="1"/>
      <c r="B255" s="1"/>
      <c r="C255" s="1"/>
      <c r="D255" s="1"/>
      <c r="E255" s="1"/>
      <c r="G255" s="77"/>
      <c r="H255" s="71"/>
    </row>
    <row r="256" spans="1:8" ht="14.25" customHeight="1">
      <c r="A256" s="1"/>
      <c r="B256" s="1"/>
      <c r="C256" s="1"/>
      <c r="D256" s="1"/>
      <c r="E256" s="1"/>
      <c r="G256" s="77"/>
      <c r="H256" s="71"/>
    </row>
    <row r="257" spans="1:8" ht="14.25" customHeight="1">
      <c r="A257" s="1"/>
      <c r="B257" s="1"/>
      <c r="C257" s="1"/>
      <c r="D257" s="1"/>
      <c r="E257" s="1"/>
      <c r="G257" s="77"/>
      <c r="H257" s="71"/>
    </row>
    <row r="258" spans="1:8" ht="14.25" customHeight="1">
      <c r="A258" s="1"/>
      <c r="B258" s="1"/>
      <c r="C258" s="1"/>
      <c r="D258" s="1"/>
      <c r="E258" s="1"/>
      <c r="G258" s="77"/>
      <c r="H258" s="71"/>
    </row>
    <row r="259" spans="1:8" ht="14.25" customHeight="1">
      <c r="A259" s="1"/>
      <c r="B259" s="1"/>
      <c r="C259" s="1"/>
      <c r="D259" s="1"/>
      <c r="E259" s="1"/>
      <c r="G259" s="77"/>
      <c r="H259" s="71"/>
    </row>
    <row r="260" spans="1:8" ht="14.25" customHeight="1">
      <c r="A260" s="1"/>
      <c r="B260" s="1"/>
      <c r="C260" s="1"/>
      <c r="D260" s="1"/>
      <c r="E260" s="1"/>
      <c r="G260" s="77"/>
      <c r="H260" s="71"/>
    </row>
    <row r="261" spans="1:8" ht="14.25" customHeight="1">
      <c r="A261" s="1"/>
      <c r="B261" s="1"/>
      <c r="C261" s="1"/>
      <c r="D261" s="1"/>
      <c r="E261" s="1"/>
      <c r="G261" s="77"/>
      <c r="H261" s="71"/>
    </row>
    <row r="262" spans="1:8" ht="14.25" customHeight="1">
      <c r="A262" s="1"/>
      <c r="B262" s="1"/>
      <c r="C262" s="1"/>
      <c r="D262" s="1"/>
      <c r="E262" s="1"/>
      <c r="G262" s="77"/>
      <c r="H262" s="71"/>
    </row>
    <row r="263" spans="1:8" ht="14.25" customHeight="1">
      <c r="A263" s="1"/>
      <c r="B263" s="1"/>
      <c r="C263" s="1"/>
      <c r="D263" s="1"/>
      <c r="E263" s="1"/>
      <c r="G263" s="77"/>
      <c r="H263" s="71"/>
    </row>
    <row r="264" spans="1:8" ht="14.25" customHeight="1">
      <c r="A264" s="1"/>
      <c r="B264" s="1"/>
      <c r="C264" s="1"/>
      <c r="D264" s="1"/>
      <c r="E264" s="1"/>
      <c r="G264" s="77"/>
      <c r="H264" s="71"/>
    </row>
    <row r="265" spans="1:8" ht="14.25" customHeight="1">
      <c r="A265" s="1"/>
      <c r="B265" s="1"/>
      <c r="C265" s="1"/>
      <c r="D265" s="1"/>
      <c r="E265" s="1"/>
      <c r="G265" s="77"/>
      <c r="H265" s="71"/>
    </row>
    <row r="266" spans="1:8" ht="14.25" customHeight="1">
      <c r="A266" s="1"/>
      <c r="B266" s="1"/>
      <c r="C266" s="1"/>
      <c r="D266" s="1"/>
      <c r="E266" s="1"/>
      <c r="G266" s="77"/>
      <c r="H266" s="71"/>
    </row>
    <row r="267" spans="1:8" ht="14.25" customHeight="1">
      <c r="A267" s="1"/>
      <c r="B267" s="1"/>
      <c r="C267" s="1"/>
      <c r="D267" s="1"/>
      <c r="E267" s="1"/>
      <c r="G267" s="77"/>
      <c r="H267" s="71"/>
    </row>
    <row r="268" spans="1:8" ht="14.25" customHeight="1">
      <c r="A268" s="1"/>
      <c r="B268" s="1"/>
      <c r="C268" s="1"/>
      <c r="D268" s="1"/>
      <c r="E268" s="1"/>
      <c r="G268" s="77"/>
      <c r="H268" s="71"/>
    </row>
    <row r="269" spans="1:8" ht="14.25" customHeight="1">
      <c r="A269" s="1"/>
      <c r="B269" s="1"/>
      <c r="C269" s="1"/>
      <c r="D269" s="1"/>
      <c r="E269" s="1"/>
      <c r="G269" s="77"/>
      <c r="H269" s="71"/>
    </row>
    <row r="270" spans="1:8" ht="14.25" customHeight="1">
      <c r="A270" s="1"/>
      <c r="B270" s="1"/>
      <c r="C270" s="1"/>
      <c r="D270" s="1"/>
      <c r="E270" s="1"/>
      <c r="G270" s="77"/>
      <c r="H270" s="71"/>
    </row>
    <row r="271" spans="1:8" ht="14.25" customHeight="1">
      <c r="A271" s="1"/>
      <c r="B271" s="1"/>
      <c r="C271" s="1"/>
      <c r="D271" s="1"/>
      <c r="E271" s="1"/>
      <c r="G271" s="77"/>
      <c r="H271" s="71"/>
    </row>
    <row r="272" spans="1:8" ht="14.25" customHeight="1">
      <c r="A272" s="1"/>
      <c r="B272" s="1"/>
      <c r="C272" s="1"/>
      <c r="D272" s="1"/>
      <c r="E272" s="1"/>
      <c r="G272" s="77"/>
      <c r="H272" s="71"/>
    </row>
    <row r="273" spans="1:8" ht="14.25" customHeight="1">
      <c r="A273" s="1"/>
      <c r="B273" s="1"/>
      <c r="C273" s="1"/>
      <c r="D273" s="1"/>
      <c r="E273" s="1"/>
      <c r="G273" s="77"/>
      <c r="H273" s="71"/>
    </row>
    <row r="274" spans="1:8" ht="14.25" customHeight="1">
      <c r="A274" s="1"/>
      <c r="B274" s="1"/>
      <c r="C274" s="1"/>
      <c r="D274" s="1"/>
      <c r="E274" s="1"/>
      <c r="G274" s="77"/>
      <c r="H274" s="71"/>
    </row>
    <row r="275" spans="1:8" ht="14.25" customHeight="1">
      <c r="A275" s="1"/>
      <c r="B275" s="1"/>
      <c r="C275" s="1"/>
      <c r="D275" s="1"/>
      <c r="E275" s="1"/>
      <c r="G275" s="77"/>
      <c r="H275" s="71"/>
    </row>
    <row r="276" spans="1:8" ht="14.25" customHeight="1">
      <c r="A276" s="1"/>
      <c r="B276" s="1"/>
      <c r="C276" s="1"/>
      <c r="D276" s="1"/>
      <c r="E276" s="1"/>
      <c r="G276" s="77"/>
      <c r="H276" s="71"/>
    </row>
    <row r="277" spans="1:8" ht="14.25" customHeight="1">
      <c r="A277" s="1"/>
      <c r="B277" s="1"/>
      <c r="C277" s="1"/>
      <c r="D277" s="1"/>
      <c r="E277" s="1"/>
      <c r="G277" s="77"/>
      <c r="H277" s="71"/>
    </row>
    <row r="278" spans="1:8" ht="14.25" customHeight="1">
      <c r="A278" s="1"/>
      <c r="B278" s="1"/>
      <c r="C278" s="1"/>
      <c r="D278" s="1"/>
      <c r="E278" s="1"/>
      <c r="G278" s="77"/>
      <c r="H278" s="71"/>
    </row>
    <row r="279" spans="1:8" ht="14.25" customHeight="1">
      <c r="A279" s="1"/>
      <c r="B279" s="1"/>
      <c r="C279" s="1"/>
      <c r="D279" s="1"/>
      <c r="E279" s="1"/>
      <c r="G279" s="77"/>
      <c r="H279" s="71"/>
    </row>
    <row r="280" spans="1:8" ht="14.25" customHeight="1">
      <c r="A280" s="1"/>
      <c r="B280" s="1"/>
      <c r="C280" s="1"/>
      <c r="D280" s="1"/>
      <c r="E280" s="1"/>
      <c r="G280" s="77"/>
      <c r="H280" s="71"/>
    </row>
    <row r="281" spans="1:8" ht="14.25" customHeight="1">
      <c r="A281" s="1"/>
      <c r="B281" s="1"/>
      <c r="C281" s="1"/>
      <c r="D281" s="1"/>
      <c r="E281" s="1"/>
      <c r="G281" s="77"/>
      <c r="H281" s="71"/>
    </row>
    <row r="282" spans="1:8" ht="14.25" customHeight="1">
      <c r="A282" s="1"/>
      <c r="B282" s="1"/>
      <c r="C282" s="1"/>
      <c r="D282" s="1"/>
      <c r="E282" s="1"/>
      <c r="G282" s="77"/>
      <c r="H282" s="71"/>
    </row>
    <row r="283" spans="1:8" ht="14.25" customHeight="1">
      <c r="A283" s="1"/>
      <c r="B283" s="1"/>
      <c r="C283" s="1"/>
      <c r="D283" s="1"/>
      <c r="E283" s="1"/>
      <c r="G283" s="77"/>
      <c r="H283" s="71"/>
    </row>
    <row r="284" spans="1:8" ht="14.25" customHeight="1">
      <c r="A284" s="1"/>
      <c r="B284" s="1"/>
      <c r="C284" s="1"/>
      <c r="D284" s="1"/>
      <c r="E284" s="1"/>
      <c r="G284" s="77"/>
      <c r="H284" s="71"/>
    </row>
    <row r="285" spans="1:8" ht="14.25" customHeight="1">
      <c r="A285" s="1"/>
      <c r="B285" s="1"/>
      <c r="C285" s="1"/>
      <c r="D285" s="1"/>
      <c r="E285" s="1"/>
      <c r="G285" s="77"/>
      <c r="H285" s="71"/>
    </row>
    <row r="286" spans="1:8" ht="14.25" customHeight="1">
      <c r="A286" s="1"/>
      <c r="B286" s="1"/>
      <c r="C286" s="1"/>
      <c r="D286" s="1"/>
      <c r="E286" s="1"/>
      <c r="G286" s="77"/>
      <c r="H286" s="71"/>
    </row>
    <row r="287" spans="1:8" ht="14.25" customHeight="1">
      <c r="A287" s="1"/>
      <c r="B287" s="1"/>
      <c r="C287" s="1"/>
      <c r="D287" s="1"/>
      <c r="E287" s="1"/>
      <c r="G287" s="77"/>
      <c r="H287" s="71"/>
    </row>
    <row r="288" spans="1:8" ht="14.25" customHeight="1">
      <c r="A288" s="1"/>
      <c r="B288" s="1"/>
      <c r="C288" s="1"/>
      <c r="D288" s="1"/>
      <c r="E288" s="1"/>
      <c r="G288" s="77"/>
      <c r="H288" s="71"/>
    </row>
    <row r="289" spans="1:8" ht="14.25" customHeight="1">
      <c r="A289" s="1"/>
      <c r="B289" s="1"/>
      <c r="C289" s="1"/>
      <c r="D289" s="1"/>
      <c r="E289" s="1"/>
      <c r="G289" s="77"/>
      <c r="H289" s="71"/>
    </row>
    <row r="290" spans="1:8" ht="14.25" customHeight="1">
      <c r="A290" s="1"/>
      <c r="B290" s="1"/>
      <c r="C290" s="1"/>
      <c r="D290" s="1"/>
      <c r="E290" s="1"/>
      <c r="G290" s="77"/>
      <c r="H290" s="71"/>
    </row>
    <row r="291" spans="1:8" ht="14.25" customHeight="1">
      <c r="A291" s="1"/>
      <c r="B291" s="1"/>
      <c r="C291" s="1"/>
      <c r="D291" s="1"/>
      <c r="E291" s="1"/>
      <c r="G291" s="77"/>
      <c r="H291" s="71"/>
    </row>
    <row r="292" spans="1:8" ht="14.25" customHeight="1">
      <c r="A292" s="1"/>
      <c r="B292" s="1"/>
      <c r="C292" s="1"/>
      <c r="D292" s="1"/>
      <c r="E292" s="1"/>
      <c r="G292" s="77"/>
      <c r="H292" s="71"/>
    </row>
    <row r="293" spans="1:8" ht="14.25" customHeight="1">
      <c r="A293" s="1"/>
      <c r="B293" s="1"/>
      <c r="C293" s="1"/>
      <c r="D293" s="1"/>
      <c r="E293" s="1"/>
      <c r="G293" s="77"/>
      <c r="H293" s="71"/>
    </row>
    <row r="294" spans="1:8" ht="14.25" customHeight="1">
      <c r="A294" s="1"/>
      <c r="B294" s="1"/>
      <c r="C294" s="1"/>
      <c r="D294" s="1"/>
      <c r="E294" s="1"/>
      <c r="G294" s="77"/>
      <c r="H294" s="71"/>
    </row>
    <row r="295" spans="1:8" ht="14.25" customHeight="1">
      <c r="A295" s="1"/>
      <c r="B295" s="1"/>
      <c r="C295" s="1"/>
      <c r="D295" s="1"/>
      <c r="E295" s="1"/>
      <c r="G295" s="77"/>
      <c r="H295" s="71"/>
    </row>
    <row r="296" spans="1:8" ht="14.25" customHeight="1">
      <c r="A296" s="1"/>
      <c r="B296" s="1"/>
      <c r="C296" s="1"/>
      <c r="D296" s="1"/>
      <c r="E296" s="1"/>
      <c r="G296" s="77"/>
      <c r="H296" s="71"/>
    </row>
    <row r="297" spans="1:8" ht="14.25" customHeight="1">
      <c r="A297" s="1"/>
      <c r="B297" s="1"/>
      <c r="C297" s="1"/>
      <c r="D297" s="1"/>
      <c r="E297" s="1"/>
      <c r="G297" s="77"/>
      <c r="H297" s="71"/>
    </row>
    <row r="298" spans="1:8" ht="14.25" customHeight="1">
      <c r="A298" s="1"/>
      <c r="B298" s="1"/>
      <c r="C298" s="1"/>
      <c r="D298" s="1"/>
      <c r="E298" s="1"/>
      <c r="G298" s="77"/>
      <c r="H298" s="71"/>
    </row>
    <row r="299" spans="1:8" ht="14.25" customHeight="1">
      <c r="A299" s="1"/>
      <c r="B299" s="1"/>
      <c r="C299" s="1"/>
      <c r="D299" s="1"/>
      <c r="E299" s="1"/>
      <c r="G299" s="77"/>
      <c r="H299" s="71"/>
    </row>
    <row r="300" spans="1:8" ht="14.25" customHeight="1">
      <c r="A300" s="1"/>
      <c r="B300" s="1"/>
      <c r="C300" s="1"/>
      <c r="D300" s="1"/>
      <c r="E300" s="1"/>
      <c r="G300" s="77"/>
      <c r="H300" s="71"/>
    </row>
    <row r="301" spans="1:8" ht="14.25" customHeight="1">
      <c r="A301" s="1"/>
      <c r="B301" s="1"/>
      <c r="C301" s="1"/>
      <c r="D301" s="1"/>
      <c r="E301" s="1"/>
      <c r="G301" s="77"/>
      <c r="H301" s="71"/>
    </row>
    <row r="302" spans="1:8" ht="14.25" customHeight="1">
      <c r="A302" s="1"/>
      <c r="B302" s="1"/>
      <c r="C302" s="1"/>
      <c r="D302" s="1"/>
      <c r="E302" s="1"/>
      <c r="G302" s="77"/>
      <c r="H302" s="71"/>
    </row>
    <row r="303" spans="1:8" ht="14.25" customHeight="1">
      <c r="A303" s="1"/>
      <c r="B303" s="1"/>
      <c r="C303" s="1"/>
      <c r="D303" s="1"/>
      <c r="E303" s="1"/>
      <c r="G303" s="77"/>
      <c r="H303" s="71"/>
    </row>
    <row r="304" spans="1:8" ht="14.25" customHeight="1">
      <c r="A304" s="1"/>
      <c r="B304" s="1"/>
      <c r="C304" s="1"/>
      <c r="D304" s="1"/>
      <c r="E304" s="1"/>
      <c r="G304" s="77"/>
      <c r="H304" s="71"/>
    </row>
    <row r="305" spans="1:8" ht="14.25" customHeight="1">
      <c r="A305" s="1"/>
      <c r="B305" s="1"/>
      <c r="C305" s="1"/>
      <c r="D305" s="1"/>
      <c r="E305" s="1"/>
      <c r="G305" s="77"/>
      <c r="H305" s="71"/>
    </row>
    <row r="306" spans="1:8" ht="14.25" customHeight="1">
      <c r="A306" s="1"/>
      <c r="B306" s="1"/>
      <c r="C306" s="1"/>
      <c r="D306" s="1"/>
      <c r="E306" s="1"/>
      <c r="G306" s="77"/>
      <c r="H306" s="71"/>
    </row>
    <row r="307" spans="1:8" ht="14.25" customHeight="1">
      <c r="A307" s="1"/>
      <c r="B307" s="1"/>
      <c r="C307" s="1"/>
      <c r="D307" s="1"/>
      <c r="E307" s="1"/>
      <c r="G307" s="77"/>
      <c r="H307" s="71"/>
    </row>
    <row r="308" spans="1:8" ht="14.25" customHeight="1">
      <c r="A308" s="1"/>
      <c r="B308" s="1"/>
      <c r="C308" s="1"/>
      <c r="D308" s="1"/>
      <c r="E308" s="1"/>
      <c r="G308" s="77"/>
      <c r="H308" s="71"/>
    </row>
    <row r="309" spans="1:8" ht="14.25" customHeight="1">
      <c r="A309" s="1"/>
      <c r="B309" s="1"/>
      <c r="C309" s="1"/>
      <c r="D309" s="1"/>
      <c r="E309" s="1"/>
      <c r="G309" s="77"/>
      <c r="H309" s="71"/>
    </row>
    <row r="310" spans="1:8" ht="14.25" customHeight="1">
      <c r="A310" s="1"/>
      <c r="B310" s="1"/>
      <c r="C310" s="1"/>
      <c r="D310" s="1"/>
      <c r="E310" s="1"/>
      <c r="G310" s="77"/>
      <c r="H310" s="71"/>
    </row>
    <row r="311" spans="1:8" ht="14.25" customHeight="1">
      <c r="A311" s="1"/>
      <c r="B311" s="1"/>
      <c r="C311" s="1"/>
      <c r="D311" s="1"/>
      <c r="E311" s="1"/>
      <c r="G311" s="77"/>
      <c r="H311" s="71"/>
    </row>
    <row r="312" spans="1:8" ht="14.25" customHeight="1">
      <c r="A312" s="1"/>
      <c r="B312" s="1"/>
      <c r="C312" s="1"/>
      <c r="D312" s="1"/>
      <c r="E312" s="1"/>
      <c r="G312" s="77"/>
      <c r="H312" s="71"/>
    </row>
    <row r="313" spans="1:8" ht="14.25" customHeight="1">
      <c r="A313" s="1"/>
      <c r="B313" s="1"/>
      <c r="C313" s="1"/>
      <c r="D313" s="1"/>
      <c r="E313" s="1"/>
      <c r="G313" s="77"/>
      <c r="H313" s="71"/>
    </row>
    <row r="314" spans="1:8" ht="14.25" customHeight="1">
      <c r="A314" s="1"/>
      <c r="B314" s="1"/>
      <c r="C314" s="1"/>
      <c r="D314" s="1"/>
      <c r="E314" s="1"/>
      <c r="G314" s="77"/>
      <c r="H314" s="71"/>
    </row>
    <row r="315" spans="1:8" ht="14.25" customHeight="1">
      <c r="A315" s="1"/>
      <c r="B315" s="1"/>
      <c r="C315" s="1"/>
      <c r="D315" s="1"/>
      <c r="E315" s="1"/>
      <c r="G315" s="77"/>
      <c r="H315" s="71"/>
    </row>
    <row r="316" spans="1:8" ht="14.25" customHeight="1">
      <c r="A316" s="1"/>
      <c r="B316" s="1"/>
      <c r="C316" s="1"/>
      <c r="D316" s="1"/>
      <c r="E316" s="1"/>
      <c r="G316" s="77"/>
      <c r="H316" s="71"/>
    </row>
    <row r="317" spans="1:8" ht="14.25" customHeight="1">
      <c r="A317" s="1"/>
      <c r="B317" s="1"/>
      <c r="C317" s="1"/>
      <c r="D317" s="1"/>
      <c r="E317" s="1"/>
      <c r="G317" s="77"/>
      <c r="H317" s="71"/>
    </row>
    <row r="318" spans="1:8" ht="14.25" customHeight="1">
      <c r="A318" s="1"/>
      <c r="B318" s="1"/>
      <c r="C318" s="1"/>
      <c r="D318" s="1"/>
      <c r="E318" s="1"/>
      <c r="G318" s="77"/>
      <c r="H318" s="71"/>
    </row>
    <row r="319" spans="1:8" ht="14.25" customHeight="1">
      <c r="A319" s="1"/>
      <c r="B319" s="1"/>
      <c r="C319" s="1"/>
      <c r="D319" s="1"/>
      <c r="E319" s="1"/>
      <c r="G319" s="77"/>
      <c r="H319" s="71"/>
    </row>
    <row r="320" spans="1:8" ht="14.25" customHeight="1">
      <c r="A320" s="1"/>
      <c r="B320" s="1"/>
      <c r="C320" s="1"/>
      <c r="D320" s="1"/>
      <c r="E320" s="1"/>
      <c r="G320" s="77"/>
      <c r="H320" s="71"/>
    </row>
    <row r="321" spans="1:8" ht="14.25" customHeight="1">
      <c r="A321" s="1"/>
      <c r="B321" s="1"/>
      <c r="C321" s="1"/>
      <c r="D321" s="1"/>
      <c r="E321" s="1"/>
      <c r="G321" s="77"/>
      <c r="H321" s="71"/>
    </row>
    <row r="322" spans="1:8" ht="14.25" customHeight="1">
      <c r="A322" s="1"/>
      <c r="B322" s="1"/>
      <c r="C322" s="1"/>
      <c r="D322" s="1"/>
      <c r="E322" s="1"/>
      <c r="G322" s="77"/>
      <c r="H322" s="71"/>
    </row>
    <row r="323" spans="1:8" ht="14.25" customHeight="1">
      <c r="A323" s="1"/>
      <c r="B323" s="1"/>
      <c r="C323" s="1"/>
      <c r="D323" s="1"/>
      <c r="E323" s="1"/>
      <c r="G323" s="77"/>
      <c r="H323" s="71"/>
    </row>
    <row r="324" spans="1:8" ht="14.25" customHeight="1">
      <c r="A324" s="1"/>
      <c r="B324" s="1"/>
      <c r="C324" s="1"/>
      <c r="D324" s="1"/>
      <c r="E324" s="1"/>
      <c r="G324" s="77"/>
      <c r="H324" s="71"/>
    </row>
    <row r="325" spans="1:8" ht="14.25" customHeight="1">
      <c r="A325" s="1"/>
      <c r="B325" s="1"/>
      <c r="C325" s="1"/>
      <c r="D325" s="1"/>
      <c r="E325" s="1"/>
      <c r="G325" s="77"/>
      <c r="H325" s="71"/>
    </row>
    <row r="326" spans="1:8" ht="14.25" customHeight="1">
      <c r="A326" s="1"/>
      <c r="B326" s="1"/>
      <c r="C326" s="1"/>
      <c r="D326" s="1"/>
      <c r="E326" s="1"/>
      <c r="G326" s="77"/>
      <c r="H326" s="71"/>
    </row>
    <row r="327" spans="1:8" ht="14.25" customHeight="1">
      <c r="A327" s="1"/>
      <c r="B327" s="1"/>
      <c r="C327" s="1"/>
      <c r="D327" s="1"/>
      <c r="E327" s="1"/>
      <c r="G327" s="77"/>
      <c r="H327" s="71"/>
    </row>
    <row r="328" spans="1:8" ht="14.25" customHeight="1">
      <c r="A328" s="1"/>
      <c r="B328" s="1"/>
      <c r="C328" s="1"/>
      <c r="D328" s="1"/>
      <c r="E328" s="1"/>
      <c r="G328" s="77"/>
      <c r="H328" s="71"/>
    </row>
    <row r="329" spans="1:8" ht="14.25" customHeight="1">
      <c r="A329" s="1"/>
      <c r="B329" s="1"/>
      <c r="C329" s="1"/>
      <c r="D329" s="1"/>
      <c r="E329" s="1"/>
      <c r="G329" s="77"/>
      <c r="H329" s="71"/>
    </row>
    <row r="330" spans="1:8" ht="14.25" customHeight="1">
      <c r="A330" s="1"/>
      <c r="B330" s="1"/>
      <c r="C330" s="1"/>
      <c r="D330" s="1"/>
      <c r="E330" s="1"/>
      <c r="G330" s="77"/>
      <c r="H330" s="71"/>
    </row>
    <row r="331" spans="1:8" ht="14.25" customHeight="1">
      <c r="A331" s="1"/>
      <c r="B331" s="1"/>
      <c r="C331" s="1"/>
      <c r="D331" s="1"/>
      <c r="E331" s="1"/>
      <c r="G331" s="77"/>
      <c r="H331" s="71"/>
    </row>
    <row r="332" spans="1:8" ht="14.25" customHeight="1">
      <c r="A332" s="1"/>
      <c r="B332" s="1"/>
      <c r="C332" s="1"/>
      <c r="D332" s="1"/>
      <c r="E332" s="1"/>
      <c r="G332" s="77"/>
      <c r="H332" s="71"/>
    </row>
    <row r="333" spans="1:8" ht="14.25" customHeight="1">
      <c r="A333" s="1"/>
      <c r="B333" s="1"/>
      <c r="C333" s="1"/>
      <c r="D333" s="1"/>
      <c r="E333" s="1"/>
      <c r="G333" s="77"/>
      <c r="H333" s="71"/>
    </row>
    <row r="334" spans="1:8" ht="14.25" customHeight="1">
      <c r="A334" s="1"/>
      <c r="B334" s="1"/>
      <c r="C334" s="1"/>
      <c r="D334" s="1"/>
      <c r="E334" s="1"/>
      <c r="G334" s="77"/>
      <c r="H334" s="71"/>
    </row>
    <row r="335" spans="1:8" ht="14.25" customHeight="1">
      <c r="A335" s="1"/>
      <c r="B335" s="1"/>
      <c r="C335" s="1"/>
      <c r="D335" s="1"/>
      <c r="E335" s="1"/>
      <c r="G335" s="77"/>
      <c r="H335" s="71"/>
    </row>
    <row r="336" spans="1:8" ht="14.25" customHeight="1">
      <c r="A336" s="1"/>
      <c r="B336" s="1"/>
      <c r="C336" s="1"/>
      <c r="D336" s="1"/>
      <c r="E336" s="1"/>
      <c r="G336" s="77"/>
      <c r="H336" s="71"/>
    </row>
    <row r="337" spans="1:8" ht="14.25" customHeight="1">
      <c r="A337" s="1"/>
      <c r="B337" s="1"/>
      <c r="C337" s="1"/>
      <c r="D337" s="1"/>
      <c r="E337" s="1"/>
      <c r="G337" s="77"/>
      <c r="H337" s="71"/>
    </row>
    <row r="338" spans="1:8" ht="14.25" customHeight="1">
      <c r="A338" s="1"/>
      <c r="B338" s="1"/>
      <c r="C338" s="1"/>
      <c r="D338" s="1"/>
      <c r="E338" s="1"/>
      <c r="G338" s="77"/>
      <c r="H338" s="71"/>
    </row>
    <row r="339" spans="1:8" ht="14.25" customHeight="1">
      <c r="A339" s="1"/>
      <c r="B339" s="1"/>
      <c r="C339" s="1"/>
      <c r="D339" s="1"/>
      <c r="E339" s="1"/>
      <c r="G339" s="77"/>
      <c r="H339" s="71"/>
    </row>
    <row r="340" spans="1:8" ht="14.25" customHeight="1">
      <c r="A340" s="1"/>
      <c r="B340" s="1"/>
      <c r="C340" s="1"/>
      <c r="D340" s="1"/>
      <c r="E340" s="1"/>
      <c r="G340" s="77"/>
      <c r="H340" s="71"/>
    </row>
    <row r="341" spans="1:8" ht="14.25" customHeight="1">
      <c r="A341" s="1"/>
      <c r="B341" s="1"/>
      <c r="C341" s="1"/>
      <c r="D341" s="1"/>
      <c r="E341" s="1"/>
      <c r="G341" s="77"/>
      <c r="H341" s="71"/>
    </row>
    <row r="342" spans="1:8" ht="14.25" customHeight="1">
      <c r="A342" s="1"/>
      <c r="B342" s="1"/>
      <c r="C342" s="1"/>
      <c r="D342" s="1"/>
      <c r="E342" s="1"/>
      <c r="G342" s="77"/>
      <c r="H342" s="71"/>
    </row>
    <row r="343" spans="1:8" ht="14.25" customHeight="1">
      <c r="A343" s="1"/>
      <c r="B343" s="1"/>
      <c r="C343" s="1"/>
      <c r="D343" s="1"/>
      <c r="E343" s="1"/>
      <c r="G343" s="77"/>
      <c r="H343" s="71"/>
    </row>
    <row r="344" spans="1:8" ht="14.25" customHeight="1">
      <c r="A344" s="1"/>
      <c r="B344" s="1"/>
      <c r="C344" s="1"/>
      <c r="D344" s="1"/>
      <c r="E344" s="1"/>
      <c r="G344" s="77"/>
      <c r="H344" s="71"/>
    </row>
    <row r="345" spans="1:8" ht="14.25" customHeight="1">
      <c r="A345" s="1"/>
      <c r="B345" s="1"/>
      <c r="C345" s="1"/>
      <c r="D345" s="1"/>
      <c r="E345" s="1"/>
      <c r="G345" s="77"/>
      <c r="H345" s="71"/>
    </row>
    <row r="346" spans="1:8" ht="14.25" customHeight="1">
      <c r="A346" s="1"/>
      <c r="B346" s="1"/>
      <c r="C346" s="1"/>
      <c r="D346" s="1"/>
      <c r="E346" s="1"/>
      <c r="G346" s="77"/>
      <c r="H346" s="71"/>
    </row>
    <row r="347" spans="1:8" ht="14.25" customHeight="1">
      <c r="A347" s="1"/>
      <c r="B347" s="1"/>
      <c r="C347" s="1"/>
      <c r="D347" s="1"/>
      <c r="E347" s="1"/>
      <c r="G347" s="77"/>
      <c r="H347" s="71"/>
    </row>
    <row r="348" spans="1:8" ht="14.25" customHeight="1">
      <c r="A348" s="1"/>
      <c r="B348" s="1"/>
      <c r="C348" s="1"/>
      <c r="D348" s="1"/>
      <c r="E348" s="1"/>
      <c r="G348" s="77"/>
      <c r="H348" s="71"/>
    </row>
    <row r="349" spans="1:8" ht="14.25" customHeight="1">
      <c r="A349" s="1"/>
      <c r="B349" s="1"/>
      <c r="C349" s="1"/>
      <c r="D349" s="1"/>
      <c r="E349" s="1"/>
      <c r="G349" s="77"/>
      <c r="H349" s="71"/>
    </row>
    <row r="350" spans="1:8" ht="14.25" customHeight="1">
      <c r="A350" s="1"/>
      <c r="B350" s="1"/>
      <c r="C350" s="1"/>
      <c r="D350" s="1"/>
      <c r="E350" s="1"/>
      <c r="G350" s="77"/>
      <c r="H350" s="71"/>
    </row>
    <row r="351" spans="1:8" ht="14.25" customHeight="1">
      <c r="A351" s="1"/>
      <c r="B351" s="1"/>
      <c r="C351" s="1"/>
      <c r="D351" s="1"/>
      <c r="E351" s="1"/>
      <c r="G351" s="77"/>
      <c r="H351" s="71"/>
    </row>
    <row r="352" spans="1:8" ht="14.25" customHeight="1">
      <c r="A352" s="1"/>
      <c r="B352" s="1"/>
      <c r="C352" s="1"/>
      <c r="D352" s="1"/>
      <c r="E352" s="1"/>
      <c r="G352" s="77"/>
      <c r="H352" s="71"/>
    </row>
    <row r="353" spans="1:8" ht="14.25" customHeight="1">
      <c r="A353" s="1"/>
      <c r="B353" s="1"/>
      <c r="C353" s="1"/>
      <c r="D353" s="1"/>
      <c r="E353" s="1"/>
      <c r="G353" s="77"/>
      <c r="H353" s="71"/>
    </row>
    <row r="354" spans="1:8" ht="14.25" customHeight="1">
      <c r="A354" s="1"/>
      <c r="B354" s="1"/>
      <c r="C354" s="1"/>
      <c r="D354" s="1"/>
      <c r="E354" s="1"/>
      <c r="G354" s="77"/>
      <c r="H354" s="71"/>
    </row>
    <row r="355" spans="1:8" ht="14.25" customHeight="1">
      <c r="A355" s="1"/>
      <c r="B355" s="1"/>
      <c r="C355" s="1"/>
      <c r="D355" s="1"/>
      <c r="E355" s="1"/>
      <c r="G355" s="77"/>
      <c r="H355" s="71"/>
    </row>
    <row r="356" spans="1:8" ht="14.25" customHeight="1">
      <c r="A356" s="1"/>
      <c r="B356" s="1"/>
      <c r="C356" s="1"/>
      <c r="D356" s="1"/>
      <c r="E356" s="1"/>
      <c r="G356" s="77"/>
      <c r="H356" s="71"/>
    </row>
    <row r="357" spans="1:8" ht="14.25" customHeight="1">
      <c r="A357" s="1"/>
      <c r="B357" s="1"/>
      <c r="C357" s="1"/>
      <c r="D357" s="1"/>
      <c r="E357" s="1"/>
      <c r="G357" s="77"/>
      <c r="H357" s="71"/>
    </row>
    <row r="358" spans="1:8" ht="14.25" customHeight="1">
      <c r="A358" s="1"/>
      <c r="B358" s="1"/>
      <c r="C358" s="1"/>
      <c r="D358" s="1"/>
      <c r="E358" s="1"/>
      <c r="G358" s="77"/>
      <c r="H358" s="71"/>
    </row>
    <row r="359" spans="1:8" ht="14.25" customHeight="1">
      <c r="A359" s="1"/>
      <c r="B359" s="1"/>
      <c r="C359" s="1"/>
      <c r="D359" s="1"/>
      <c r="E359" s="1"/>
      <c r="G359" s="77"/>
      <c r="H359" s="71"/>
    </row>
    <row r="360" spans="1:8" ht="14.25" customHeight="1">
      <c r="A360" s="1"/>
      <c r="B360" s="1"/>
      <c r="C360" s="1"/>
      <c r="D360" s="1"/>
      <c r="E360" s="1"/>
      <c r="G360" s="77"/>
      <c r="H360" s="71"/>
    </row>
    <row r="361" spans="1:8" ht="14.25" customHeight="1">
      <c r="A361" s="1"/>
      <c r="B361" s="1"/>
      <c r="C361" s="1"/>
      <c r="D361" s="1"/>
      <c r="E361" s="1"/>
      <c r="G361" s="77"/>
      <c r="H361" s="71"/>
    </row>
    <row r="362" spans="1:8" ht="14.25" customHeight="1">
      <c r="A362" s="1"/>
      <c r="B362" s="1"/>
      <c r="C362" s="1"/>
      <c r="D362" s="1"/>
      <c r="E362" s="1"/>
      <c r="G362" s="77"/>
      <c r="H362" s="71"/>
    </row>
    <row r="363" spans="1:8" ht="14.25" customHeight="1">
      <c r="A363" s="1"/>
      <c r="B363" s="1"/>
      <c r="C363" s="1"/>
      <c r="D363" s="1"/>
      <c r="E363" s="1"/>
      <c r="G363" s="77"/>
      <c r="H363" s="71"/>
    </row>
    <row r="364" spans="1:8" ht="14.25" customHeight="1">
      <c r="A364" s="1"/>
      <c r="B364" s="1"/>
      <c r="C364" s="1"/>
      <c r="D364" s="1"/>
      <c r="E364" s="1"/>
      <c r="G364" s="77"/>
      <c r="H364" s="71"/>
    </row>
    <row r="365" spans="1:8" ht="14.25" customHeight="1">
      <c r="A365" s="1"/>
      <c r="B365" s="1"/>
      <c r="C365" s="1"/>
      <c r="D365" s="1"/>
      <c r="E365" s="1"/>
      <c r="G365" s="77"/>
      <c r="H365" s="71"/>
    </row>
    <row r="366" spans="1:8" ht="14.25" customHeight="1">
      <c r="A366" s="1"/>
      <c r="B366" s="1"/>
      <c r="C366" s="1"/>
      <c r="D366" s="1"/>
      <c r="E366" s="1"/>
      <c r="G366" s="77"/>
      <c r="H366" s="71"/>
    </row>
    <row r="367" spans="1:8" ht="14.25" customHeight="1">
      <c r="A367" s="1"/>
      <c r="B367" s="1"/>
      <c r="C367" s="1"/>
      <c r="D367" s="1"/>
      <c r="E367" s="1"/>
      <c r="G367" s="77"/>
      <c r="H367" s="71"/>
    </row>
    <row r="368" spans="1:8" ht="14.25" customHeight="1">
      <c r="A368" s="1"/>
      <c r="B368" s="1"/>
      <c r="C368" s="1"/>
      <c r="D368" s="1"/>
      <c r="E368" s="1"/>
      <c r="G368" s="77"/>
      <c r="H368" s="71"/>
    </row>
    <row r="369" spans="1:8" ht="14.25" customHeight="1">
      <c r="A369" s="1"/>
      <c r="B369" s="1"/>
      <c r="C369" s="1"/>
      <c r="D369" s="1"/>
      <c r="E369" s="1"/>
      <c r="G369" s="77"/>
      <c r="H369" s="71"/>
    </row>
    <row r="370" spans="1:8" ht="14.25" customHeight="1">
      <c r="A370" s="1"/>
      <c r="B370" s="1"/>
      <c r="C370" s="1"/>
      <c r="D370" s="1"/>
      <c r="E370" s="1"/>
      <c r="G370" s="77"/>
      <c r="H370" s="71"/>
    </row>
    <row r="371" spans="1:8" ht="14.25" customHeight="1">
      <c r="A371" s="1"/>
      <c r="B371" s="1"/>
      <c r="C371" s="1"/>
      <c r="D371" s="1"/>
      <c r="E371" s="1"/>
      <c r="G371" s="77"/>
      <c r="H371" s="71"/>
    </row>
    <row r="372" spans="1:8" ht="14.25" customHeight="1">
      <c r="A372" s="1"/>
      <c r="B372" s="1"/>
      <c r="C372" s="1"/>
      <c r="D372" s="1"/>
      <c r="E372" s="1"/>
      <c r="G372" s="77"/>
      <c r="H372" s="71"/>
    </row>
    <row r="373" spans="1:8" ht="14.25" customHeight="1">
      <c r="A373" s="1"/>
      <c r="B373" s="1"/>
      <c r="C373" s="1"/>
      <c r="D373" s="1"/>
      <c r="E373" s="1"/>
      <c r="G373" s="77"/>
      <c r="H373" s="71"/>
    </row>
    <row r="374" spans="1:8" ht="14.25" customHeight="1">
      <c r="A374" s="1"/>
      <c r="B374" s="1"/>
      <c r="C374" s="1"/>
      <c r="D374" s="1"/>
      <c r="E374" s="1"/>
      <c r="G374" s="77"/>
      <c r="H374" s="71"/>
    </row>
    <row r="375" spans="1:8" ht="14.25" customHeight="1">
      <c r="A375" s="1"/>
      <c r="B375" s="1"/>
      <c r="C375" s="1"/>
      <c r="D375" s="1"/>
      <c r="E375" s="1"/>
      <c r="G375" s="77"/>
      <c r="H375" s="71"/>
    </row>
    <row r="376" spans="1:8" ht="14.25" customHeight="1">
      <c r="A376" s="1"/>
      <c r="B376" s="1"/>
      <c r="C376" s="1"/>
      <c r="D376" s="1"/>
      <c r="E376" s="1"/>
      <c r="G376" s="77"/>
      <c r="H376" s="71"/>
    </row>
    <row r="377" spans="1:8" ht="14.25" customHeight="1">
      <c r="A377" s="1"/>
      <c r="B377" s="1"/>
      <c r="C377" s="1"/>
      <c r="D377" s="1"/>
      <c r="E377" s="1"/>
      <c r="G377" s="77"/>
      <c r="H377" s="71"/>
    </row>
    <row r="378" spans="1:8" ht="14.25" customHeight="1">
      <c r="A378" s="1"/>
      <c r="B378" s="1"/>
      <c r="C378" s="1"/>
      <c r="D378" s="1"/>
      <c r="E378" s="1"/>
      <c r="G378" s="77"/>
      <c r="H378" s="71"/>
    </row>
    <row r="379" spans="1:8" ht="14.25" customHeight="1">
      <c r="A379" s="1"/>
      <c r="B379" s="1"/>
      <c r="C379" s="1"/>
      <c r="D379" s="1"/>
      <c r="E379" s="1"/>
      <c r="G379" s="77"/>
      <c r="H379" s="71"/>
    </row>
    <row r="380" spans="1:8" ht="14.25" customHeight="1">
      <c r="A380" s="1"/>
      <c r="B380" s="1"/>
      <c r="C380" s="1"/>
      <c r="D380" s="1"/>
      <c r="E380" s="1"/>
      <c r="G380" s="77"/>
      <c r="H380" s="71"/>
    </row>
    <row r="381" spans="1:8" ht="14.25" customHeight="1">
      <c r="A381" s="1"/>
      <c r="B381" s="1"/>
      <c r="C381" s="1"/>
      <c r="D381" s="1"/>
      <c r="E381" s="1"/>
      <c r="G381" s="77"/>
      <c r="H381" s="71"/>
    </row>
    <row r="382" spans="1:8" ht="14.25" customHeight="1">
      <c r="A382" s="1"/>
      <c r="B382" s="1"/>
      <c r="C382" s="1"/>
      <c r="D382" s="1"/>
      <c r="E382" s="1"/>
      <c r="G382" s="77"/>
      <c r="H382" s="71"/>
    </row>
    <row r="383" spans="1:8" ht="14.25" customHeight="1">
      <c r="A383" s="1"/>
      <c r="B383" s="1"/>
      <c r="C383" s="1"/>
      <c r="D383" s="1"/>
      <c r="E383" s="1"/>
      <c r="G383" s="77"/>
      <c r="H383" s="71"/>
    </row>
    <row r="384" spans="1:8" ht="14.25" customHeight="1">
      <c r="A384" s="1"/>
      <c r="B384" s="1"/>
      <c r="C384" s="1"/>
      <c r="D384" s="1"/>
      <c r="E384" s="1"/>
      <c r="G384" s="77"/>
      <c r="H384" s="71"/>
    </row>
    <row r="385" spans="1:8" ht="14.25" customHeight="1">
      <c r="A385" s="1"/>
      <c r="B385" s="1"/>
      <c r="C385" s="1"/>
      <c r="D385" s="1"/>
      <c r="E385" s="1"/>
      <c r="G385" s="77"/>
      <c r="H385" s="71"/>
    </row>
    <row r="386" spans="1:8" ht="14.25" customHeight="1">
      <c r="A386" s="1"/>
      <c r="B386" s="1"/>
      <c r="C386" s="1"/>
      <c r="D386" s="1"/>
      <c r="E386" s="1"/>
      <c r="G386" s="77"/>
      <c r="H386" s="71"/>
    </row>
    <row r="387" spans="1:8" ht="14.25" customHeight="1">
      <c r="A387" s="1"/>
      <c r="B387" s="1"/>
      <c r="C387" s="1"/>
      <c r="D387" s="1"/>
      <c r="E387" s="1"/>
      <c r="G387" s="77"/>
      <c r="H387" s="71"/>
    </row>
    <row r="388" spans="1:8" ht="14.25" customHeight="1">
      <c r="A388" s="1"/>
      <c r="B388" s="1"/>
      <c r="C388" s="1"/>
      <c r="D388" s="1"/>
      <c r="E388" s="1"/>
      <c r="G388" s="77"/>
      <c r="H388" s="71"/>
    </row>
    <row r="389" spans="1:8" ht="14.25" customHeight="1">
      <c r="A389" s="1"/>
      <c r="B389" s="1"/>
      <c r="C389" s="1"/>
      <c r="D389" s="1"/>
      <c r="E389" s="1"/>
      <c r="G389" s="77"/>
      <c r="H389" s="71"/>
    </row>
    <row r="390" spans="1:8" ht="14.25" customHeight="1">
      <c r="A390" s="1"/>
      <c r="B390" s="1"/>
      <c r="C390" s="1"/>
      <c r="D390" s="1"/>
      <c r="E390" s="1"/>
      <c r="G390" s="77"/>
      <c r="H390" s="71"/>
    </row>
    <row r="391" spans="1:8" ht="14.25" customHeight="1">
      <c r="A391" s="1"/>
      <c r="B391" s="1"/>
      <c r="C391" s="1"/>
      <c r="D391" s="1"/>
      <c r="E391" s="1"/>
      <c r="G391" s="77"/>
      <c r="H391" s="71"/>
    </row>
    <row r="392" spans="1:8" ht="14.25" customHeight="1">
      <c r="A392" s="1"/>
      <c r="B392" s="1"/>
      <c r="C392" s="1"/>
      <c r="D392" s="1"/>
      <c r="E392" s="1"/>
      <c r="G392" s="77"/>
      <c r="H392" s="71"/>
    </row>
    <row r="393" spans="1:8" ht="14.25" customHeight="1">
      <c r="A393" s="1"/>
      <c r="B393" s="1"/>
      <c r="C393" s="1"/>
      <c r="D393" s="1"/>
      <c r="E393" s="1"/>
      <c r="G393" s="77"/>
      <c r="H393" s="71"/>
    </row>
    <row r="394" spans="1:8" ht="14.25" customHeight="1">
      <c r="A394" s="1"/>
      <c r="B394" s="1"/>
      <c r="C394" s="1"/>
      <c r="D394" s="1"/>
      <c r="E394" s="1"/>
      <c r="G394" s="77"/>
      <c r="H394" s="71"/>
    </row>
    <row r="395" spans="1:8" ht="14.25" customHeight="1">
      <c r="A395" s="1"/>
      <c r="B395" s="1"/>
      <c r="C395" s="1"/>
      <c r="D395" s="1"/>
      <c r="E395" s="1"/>
      <c r="G395" s="77"/>
      <c r="H395" s="71"/>
    </row>
    <row r="396" spans="1:8" ht="14.25" customHeight="1">
      <c r="A396" s="1"/>
      <c r="B396" s="1"/>
      <c r="C396" s="1"/>
      <c r="D396" s="1"/>
      <c r="E396" s="1"/>
      <c r="G396" s="77"/>
      <c r="H396" s="71"/>
    </row>
    <row r="397" spans="1:8" ht="14.25" customHeight="1">
      <c r="A397" s="1"/>
      <c r="B397" s="1"/>
      <c r="C397" s="1"/>
      <c r="D397" s="1"/>
      <c r="E397" s="1"/>
      <c r="G397" s="77"/>
      <c r="H397" s="71"/>
    </row>
    <row r="398" spans="1:8" ht="14.25" customHeight="1">
      <c r="A398" s="1"/>
      <c r="B398" s="1"/>
      <c r="C398" s="1"/>
      <c r="D398" s="1"/>
      <c r="E398" s="1"/>
      <c r="G398" s="77"/>
      <c r="H398" s="71"/>
    </row>
    <row r="399" spans="1:8" ht="14.25" customHeight="1">
      <c r="A399" s="1"/>
      <c r="B399" s="1"/>
      <c r="C399" s="1"/>
      <c r="D399" s="1"/>
      <c r="E399" s="1"/>
      <c r="G399" s="77"/>
      <c r="H399" s="71"/>
    </row>
    <row r="400" spans="1:8" ht="14.25" customHeight="1">
      <c r="A400" s="1"/>
      <c r="B400" s="1"/>
      <c r="C400" s="1"/>
      <c r="D400" s="1"/>
      <c r="E400" s="1"/>
      <c r="G400" s="77"/>
      <c r="H400" s="71"/>
    </row>
    <row r="401" spans="1:8" ht="14.25" customHeight="1">
      <c r="A401" s="1"/>
      <c r="B401" s="1"/>
      <c r="C401" s="1"/>
      <c r="D401" s="1"/>
      <c r="E401" s="1"/>
      <c r="G401" s="77"/>
      <c r="H401" s="71"/>
    </row>
    <row r="402" spans="1:8" ht="14.25" customHeight="1">
      <c r="A402" s="1"/>
      <c r="B402" s="1"/>
      <c r="C402" s="1"/>
      <c r="D402" s="1"/>
      <c r="E402" s="1"/>
      <c r="G402" s="77"/>
      <c r="H402" s="71"/>
    </row>
    <row r="403" spans="1:8" ht="14.25" customHeight="1">
      <c r="A403" s="1"/>
      <c r="B403" s="1"/>
      <c r="C403" s="1"/>
      <c r="D403" s="1"/>
      <c r="E403" s="1"/>
      <c r="G403" s="77"/>
      <c r="H403" s="71"/>
    </row>
    <row r="404" spans="1:8" ht="14.25" customHeight="1">
      <c r="A404" s="1"/>
      <c r="B404" s="1"/>
      <c r="C404" s="1"/>
      <c r="D404" s="1"/>
      <c r="E404" s="1"/>
      <c r="G404" s="77"/>
      <c r="H404" s="71"/>
    </row>
    <row r="405" spans="1:8" ht="14.25" customHeight="1">
      <c r="A405" s="1"/>
      <c r="B405" s="1"/>
      <c r="C405" s="1"/>
      <c r="D405" s="1"/>
      <c r="E405" s="1"/>
      <c r="G405" s="77"/>
      <c r="H405" s="71"/>
    </row>
    <row r="406" spans="1:8" ht="14.25" customHeight="1">
      <c r="A406" s="1"/>
      <c r="B406" s="1"/>
      <c r="C406" s="1"/>
      <c r="D406" s="1"/>
      <c r="E406" s="1"/>
      <c r="G406" s="77"/>
      <c r="H406" s="71"/>
    </row>
    <row r="407" spans="1:8" ht="14.25" customHeight="1">
      <c r="A407" s="1"/>
      <c r="B407" s="1"/>
      <c r="C407" s="1"/>
      <c r="D407" s="1"/>
      <c r="E407" s="1"/>
      <c r="G407" s="77"/>
      <c r="H407" s="71"/>
    </row>
    <row r="408" spans="1:8" ht="14.25" customHeight="1">
      <c r="A408" s="1"/>
      <c r="B408" s="1"/>
      <c r="C408" s="1"/>
      <c r="D408" s="1"/>
      <c r="E408" s="1"/>
      <c r="G408" s="77"/>
      <c r="H408" s="71"/>
    </row>
    <row r="409" spans="1:8" ht="14.25" customHeight="1">
      <c r="A409" s="1"/>
      <c r="B409" s="1"/>
      <c r="C409" s="1"/>
      <c r="D409" s="1"/>
      <c r="E409" s="1"/>
      <c r="G409" s="77"/>
      <c r="H409" s="71"/>
    </row>
    <row r="410" spans="1:8" ht="14.25" customHeight="1">
      <c r="A410" s="1"/>
      <c r="B410" s="1"/>
      <c r="C410" s="1"/>
      <c r="D410" s="1"/>
      <c r="E410" s="1"/>
      <c r="G410" s="77"/>
      <c r="H410" s="71"/>
    </row>
    <row r="411" spans="1:8" ht="14.25" customHeight="1">
      <c r="A411" s="1"/>
      <c r="B411" s="1"/>
      <c r="C411" s="1"/>
      <c r="D411" s="1"/>
      <c r="E411" s="1"/>
      <c r="G411" s="77"/>
      <c r="H411" s="71"/>
    </row>
    <row r="412" spans="1:8" ht="14.25" customHeight="1">
      <c r="A412" s="1"/>
      <c r="B412" s="1"/>
      <c r="C412" s="1"/>
      <c r="D412" s="1"/>
      <c r="E412" s="1"/>
      <c r="G412" s="77"/>
      <c r="H412" s="71"/>
    </row>
    <row r="413" spans="1:8" ht="14.25" customHeight="1">
      <c r="A413" s="1"/>
      <c r="B413" s="1"/>
      <c r="C413" s="1"/>
      <c r="D413" s="1"/>
      <c r="E413" s="1"/>
      <c r="G413" s="77"/>
      <c r="H413" s="71"/>
    </row>
    <row r="414" spans="1:8" ht="14.25" customHeight="1">
      <c r="A414" s="1"/>
      <c r="B414" s="1"/>
      <c r="C414" s="1"/>
      <c r="D414" s="1"/>
      <c r="E414" s="1"/>
      <c r="G414" s="77"/>
      <c r="H414" s="71"/>
    </row>
    <row r="415" spans="1:8" ht="14.25" customHeight="1">
      <c r="A415" s="1"/>
      <c r="B415" s="1"/>
      <c r="C415" s="1"/>
      <c r="D415" s="1"/>
      <c r="E415" s="1"/>
      <c r="G415" s="77"/>
      <c r="H415" s="71"/>
    </row>
    <row r="416" spans="1:8" ht="14.25" customHeight="1">
      <c r="A416" s="1"/>
      <c r="B416" s="1"/>
      <c r="C416" s="1"/>
      <c r="D416" s="1"/>
      <c r="E416" s="1"/>
      <c r="G416" s="77"/>
      <c r="H416" s="71"/>
    </row>
    <row r="417" spans="1:8" ht="14.25" customHeight="1">
      <c r="A417" s="1"/>
      <c r="B417" s="1"/>
      <c r="C417" s="1"/>
      <c r="D417" s="1"/>
      <c r="E417" s="1"/>
      <c r="G417" s="77"/>
      <c r="H417" s="71"/>
    </row>
    <row r="418" spans="1:8" ht="14.25" customHeight="1">
      <c r="A418" s="1"/>
      <c r="B418" s="1"/>
      <c r="C418" s="1"/>
      <c r="D418" s="1"/>
      <c r="E418" s="1"/>
      <c r="G418" s="77"/>
      <c r="H418" s="71"/>
    </row>
    <row r="419" spans="1:8" ht="14.25" customHeight="1">
      <c r="A419" s="1"/>
      <c r="B419" s="1"/>
      <c r="C419" s="1"/>
      <c r="D419" s="1"/>
      <c r="E419" s="1"/>
      <c r="G419" s="77"/>
      <c r="H419" s="71"/>
    </row>
    <row r="420" spans="1:8" ht="14.25" customHeight="1">
      <c r="A420" s="1"/>
      <c r="B420" s="1"/>
      <c r="C420" s="1"/>
      <c r="D420" s="1"/>
      <c r="E420" s="1"/>
      <c r="G420" s="77"/>
      <c r="H420" s="71"/>
    </row>
    <row r="421" spans="1:8" ht="14.25" customHeight="1">
      <c r="A421" s="1"/>
      <c r="B421" s="1"/>
      <c r="C421" s="1"/>
      <c r="D421" s="1"/>
      <c r="E421" s="1"/>
      <c r="G421" s="77"/>
      <c r="H421" s="71"/>
    </row>
    <row r="422" spans="1:8" ht="14.25" customHeight="1">
      <c r="A422" s="1"/>
      <c r="B422" s="1"/>
      <c r="C422" s="1"/>
      <c r="D422" s="1"/>
      <c r="E422" s="1"/>
      <c r="G422" s="77"/>
      <c r="H422" s="71"/>
    </row>
    <row r="423" spans="1:8" ht="14.25" customHeight="1">
      <c r="A423" s="1"/>
      <c r="B423" s="1"/>
      <c r="C423" s="1"/>
      <c r="D423" s="1"/>
      <c r="E423" s="1"/>
      <c r="G423" s="77"/>
      <c r="H423" s="71"/>
    </row>
    <row r="424" spans="1:8" ht="14.25" customHeight="1">
      <c r="A424" s="1"/>
      <c r="B424" s="1"/>
      <c r="C424" s="1"/>
      <c r="D424" s="1"/>
      <c r="E424" s="1"/>
      <c r="G424" s="77"/>
      <c r="H424" s="71"/>
    </row>
    <row r="425" spans="1:8" ht="14.25" customHeight="1">
      <c r="A425" s="1"/>
      <c r="B425" s="1"/>
      <c r="C425" s="1"/>
      <c r="D425" s="1"/>
      <c r="E425" s="1"/>
      <c r="G425" s="77"/>
      <c r="H425" s="71"/>
    </row>
    <row r="426" spans="1:8" ht="14.25" customHeight="1">
      <c r="A426" s="1"/>
      <c r="B426" s="1"/>
      <c r="C426" s="1"/>
      <c r="D426" s="1"/>
      <c r="E426" s="1"/>
      <c r="G426" s="77"/>
      <c r="H426" s="71"/>
    </row>
    <row r="427" spans="1:8" ht="14.25" customHeight="1">
      <c r="A427" s="1"/>
      <c r="B427" s="1"/>
      <c r="C427" s="1"/>
      <c r="D427" s="1"/>
      <c r="E427" s="1"/>
      <c r="G427" s="77"/>
      <c r="H427" s="71"/>
    </row>
    <row r="428" spans="1:8" ht="14.25" customHeight="1">
      <c r="A428" s="1"/>
      <c r="B428" s="1"/>
      <c r="C428" s="1"/>
      <c r="D428" s="1"/>
      <c r="E428" s="1"/>
      <c r="G428" s="77"/>
      <c r="H428" s="71"/>
    </row>
    <row r="429" spans="1:8" ht="14.25" customHeight="1">
      <c r="A429" s="1"/>
      <c r="B429" s="1"/>
      <c r="C429" s="1"/>
      <c r="D429" s="1"/>
      <c r="E429" s="1"/>
      <c r="G429" s="77"/>
      <c r="H429" s="71"/>
    </row>
    <row r="430" spans="1:8" ht="14.25" customHeight="1">
      <c r="A430" s="1"/>
      <c r="B430" s="1"/>
      <c r="C430" s="1"/>
      <c r="D430" s="1"/>
      <c r="E430" s="1"/>
      <c r="G430" s="77"/>
      <c r="H430" s="71"/>
    </row>
    <row r="431" spans="1:8" ht="14.25" customHeight="1">
      <c r="A431" s="1"/>
      <c r="B431" s="1"/>
      <c r="C431" s="1"/>
      <c r="D431" s="1"/>
      <c r="E431" s="1"/>
      <c r="G431" s="77"/>
      <c r="H431" s="71"/>
    </row>
    <row r="432" spans="1:8" ht="14.25" customHeight="1">
      <c r="A432" s="1"/>
      <c r="B432" s="1"/>
      <c r="C432" s="1"/>
      <c r="D432" s="1"/>
      <c r="E432" s="1"/>
      <c r="G432" s="77"/>
      <c r="H432" s="71"/>
    </row>
    <row r="433" spans="1:8" ht="14.25" customHeight="1">
      <c r="A433" s="1"/>
      <c r="B433" s="1"/>
      <c r="C433" s="1"/>
      <c r="D433" s="1"/>
      <c r="E433" s="1"/>
      <c r="G433" s="77"/>
      <c r="H433" s="71"/>
    </row>
    <row r="434" spans="1:8" ht="14.25" customHeight="1">
      <c r="A434" s="1"/>
      <c r="B434" s="1"/>
      <c r="C434" s="1"/>
      <c r="D434" s="1"/>
      <c r="E434" s="1"/>
      <c r="G434" s="77"/>
      <c r="H434" s="71"/>
    </row>
    <row r="435" spans="1:8" ht="14.25" customHeight="1">
      <c r="A435" s="1"/>
      <c r="B435" s="1"/>
      <c r="C435" s="1"/>
      <c r="D435" s="1"/>
      <c r="E435" s="1"/>
      <c r="G435" s="77"/>
      <c r="H435" s="71"/>
    </row>
    <row r="436" spans="1:8" ht="14.25" customHeight="1">
      <c r="A436" s="1"/>
      <c r="B436" s="1"/>
      <c r="C436" s="1"/>
      <c r="D436" s="1"/>
      <c r="E436" s="1"/>
      <c r="G436" s="77"/>
      <c r="H436" s="71"/>
    </row>
    <row r="437" spans="1:8" ht="14.25" customHeight="1">
      <c r="A437" s="1"/>
      <c r="B437" s="1"/>
      <c r="C437" s="1"/>
      <c r="D437" s="1"/>
      <c r="E437" s="1"/>
      <c r="G437" s="77"/>
      <c r="H437" s="71"/>
    </row>
    <row r="438" spans="1:8" ht="14.25" customHeight="1">
      <c r="A438" s="1"/>
      <c r="B438" s="1"/>
      <c r="C438" s="1"/>
      <c r="D438" s="1"/>
      <c r="E438" s="1"/>
      <c r="G438" s="77"/>
      <c r="H438" s="71"/>
    </row>
    <row r="439" spans="1:8" ht="14.25" customHeight="1">
      <c r="A439" s="1"/>
      <c r="B439" s="1"/>
      <c r="C439" s="1"/>
      <c r="D439" s="1"/>
      <c r="E439" s="1"/>
      <c r="G439" s="77"/>
      <c r="H439" s="71"/>
    </row>
    <row r="440" spans="1:8" ht="14.25" customHeight="1">
      <c r="A440" s="1"/>
      <c r="B440" s="1"/>
      <c r="C440" s="1"/>
      <c r="D440" s="1"/>
      <c r="E440" s="1"/>
      <c r="G440" s="77"/>
      <c r="H440" s="71"/>
    </row>
    <row r="441" spans="1:8" ht="14.25" customHeight="1">
      <c r="A441" s="1"/>
      <c r="B441" s="1"/>
      <c r="C441" s="1"/>
      <c r="D441" s="1"/>
      <c r="E441" s="1"/>
      <c r="G441" s="77"/>
      <c r="H441" s="71"/>
    </row>
    <row r="442" spans="1:8" ht="14.25" customHeight="1">
      <c r="A442" s="1"/>
      <c r="B442" s="1"/>
      <c r="C442" s="1"/>
      <c r="D442" s="1"/>
      <c r="E442" s="1"/>
      <c r="G442" s="77"/>
      <c r="H442" s="71"/>
    </row>
    <row r="443" spans="1:8" ht="14.25" customHeight="1">
      <c r="A443" s="1"/>
      <c r="B443" s="1"/>
      <c r="C443" s="1"/>
      <c r="D443" s="1"/>
      <c r="E443" s="1"/>
      <c r="G443" s="77"/>
      <c r="H443" s="71"/>
    </row>
    <row r="444" spans="1:8" ht="14.25" customHeight="1">
      <c r="A444" s="1"/>
      <c r="B444" s="1"/>
      <c r="C444" s="1"/>
      <c r="D444" s="1"/>
      <c r="E444" s="1"/>
      <c r="G444" s="77"/>
      <c r="H444" s="71"/>
    </row>
    <row r="445" spans="1:8" ht="14.25" customHeight="1">
      <c r="A445" s="1"/>
      <c r="B445" s="1"/>
      <c r="C445" s="1"/>
      <c r="D445" s="1"/>
      <c r="E445" s="1"/>
      <c r="G445" s="77"/>
      <c r="H445" s="71"/>
    </row>
    <row r="446" spans="1:8" ht="14.25" customHeight="1">
      <c r="A446" s="1"/>
      <c r="B446" s="1"/>
      <c r="C446" s="1"/>
      <c r="D446" s="1"/>
      <c r="E446" s="1"/>
      <c r="G446" s="77"/>
      <c r="H446" s="71"/>
    </row>
    <row r="447" spans="1:8" ht="14.25" customHeight="1">
      <c r="A447" s="1"/>
      <c r="B447" s="1"/>
      <c r="C447" s="1"/>
      <c r="D447" s="1"/>
      <c r="E447" s="1"/>
      <c r="G447" s="77"/>
      <c r="H447" s="71"/>
    </row>
    <row r="448" spans="1:8" ht="14.25" customHeight="1">
      <c r="A448" s="1"/>
      <c r="B448" s="1"/>
      <c r="C448" s="1"/>
      <c r="D448" s="1"/>
      <c r="E448" s="1"/>
      <c r="G448" s="77"/>
      <c r="H448" s="71"/>
    </row>
    <row r="449" spans="1:8" ht="14.25" customHeight="1">
      <c r="A449" s="1"/>
      <c r="B449" s="1"/>
      <c r="C449" s="1"/>
      <c r="D449" s="1"/>
      <c r="E449" s="1"/>
      <c r="G449" s="77"/>
      <c r="H449" s="71"/>
    </row>
    <row r="450" spans="1:8" ht="14.25" customHeight="1">
      <c r="A450" s="1"/>
      <c r="B450" s="1"/>
      <c r="C450" s="1"/>
      <c r="D450" s="1"/>
      <c r="E450" s="1"/>
      <c r="G450" s="77"/>
      <c r="H450" s="71"/>
    </row>
    <row r="451" spans="1:8" ht="14.25" customHeight="1">
      <c r="A451" s="1"/>
      <c r="B451" s="1"/>
      <c r="C451" s="1"/>
      <c r="D451" s="1"/>
      <c r="E451" s="1"/>
      <c r="G451" s="77"/>
      <c r="H451" s="71"/>
    </row>
    <row r="452" spans="1:8" ht="14.25" customHeight="1">
      <c r="A452" s="1"/>
      <c r="B452" s="1"/>
      <c r="C452" s="1"/>
      <c r="D452" s="1"/>
      <c r="E452" s="1"/>
      <c r="G452" s="77"/>
      <c r="H452" s="71"/>
    </row>
    <row r="453" spans="1:8" ht="14.25" customHeight="1">
      <c r="A453" s="1"/>
      <c r="B453" s="1"/>
      <c r="C453" s="1"/>
      <c r="D453" s="1"/>
      <c r="E453" s="1"/>
      <c r="G453" s="77"/>
      <c r="H453" s="71"/>
    </row>
    <row r="454" spans="1:8" ht="14.25" customHeight="1">
      <c r="A454" s="1"/>
      <c r="B454" s="1"/>
      <c r="C454" s="1"/>
      <c r="D454" s="1"/>
      <c r="E454" s="1"/>
      <c r="G454" s="77"/>
      <c r="H454" s="71"/>
    </row>
    <row r="455" spans="1:8" ht="14.25" customHeight="1">
      <c r="A455" s="1"/>
      <c r="B455" s="1"/>
      <c r="C455" s="1"/>
      <c r="D455" s="1"/>
      <c r="E455" s="1"/>
      <c r="G455" s="77"/>
      <c r="H455" s="71"/>
    </row>
    <row r="456" spans="1:8" ht="14.25" customHeight="1">
      <c r="A456" s="1"/>
      <c r="B456" s="1"/>
      <c r="C456" s="1"/>
      <c r="D456" s="1"/>
      <c r="E456" s="1"/>
      <c r="G456" s="77"/>
      <c r="H456" s="71"/>
    </row>
    <row r="457" spans="1:8" ht="14.25" customHeight="1">
      <c r="A457" s="1"/>
      <c r="B457" s="1"/>
      <c r="C457" s="1"/>
      <c r="D457" s="1"/>
      <c r="E457" s="1"/>
      <c r="G457" s="77"/>
      <c r="H457" s="71"/>
    </row>
    <row r="458" spans="1:8" ht="14.25" customHeight="1">
      <c r="A458" s="1"/>
      <c r="B458" s="1"/>
      <c r="C458" s="1"/>
      <c r="D458" s="1"/>
      <c r="E458" s="1"/>
      <c r="G458" s="77"/>
      <c r="H458" s="71"/>
    </row>
    <row r="459" spans="1:8" ht="14.25" customHeight="1">
      <c r="A459" s="1"/>
      <c r="B459" s="1"/>
      <c r="C459" s="1"/>
      <c r="D459" s="1"/>
      <c r="E459" s="1"/>
      <c r="G459" s="77"/>
      <c r="H459" s="71"/>
    </row>
    <row r="460" spans="1:8" ht="14.25" customHeight="1">
      <c r="A460" s="1"/>
      <c r="B460" s="1"/>
      <c r="C460" s="1"/>
      <c r="D460" s="1"/>
      <c r="E460" s="1"/>
      <c r="G460" s="77"/>
      <c r="H460" s="71"/>
    </row>
    <row r="461" spans="1:8" ht="14.25" customHeight="1">
      <c r="A461" s="1"/>
      <c r="B461" s="1"/>
      <c r="C461" s="1"/>
      <c r="D461" s="1"/>
      <c r="E461" s="1"/>
      <c r="G461" s="77"/>
      <c r="H461" s="71"/>
    </row>
    <row r="462" spans="1:8" ht="14.25" customHeight="1">
      <c r="A462" s="1"/>
      <c r="B462" s="1"/>
      <c r="C462" s="1"/>
      <c r="D462" s="1"/>
      <c r="E462" s="1"/>
      <c r="G462" s="77"/>
      <c r="H462" s="71"/>
    </row>
    <row r="463" spans="1:8" ht="14.25" customHeight="1">
      <c r="A463" s="1"/>
      <c r="B463" s="1"/>
      <c r="C463" s="1"/>
      <c r="D463" s="1"/>
      <c r="E463" s="1"/>
      <c r="G463" s="77"/>
      <c r="H463" s="71"/>
    </row>
    <row r="464" spans="1:8" ht="14.25" customHeight="1">
      <c r="A464" s="1"/>
      <c r="B464" s="1"/>
      <c r="C464" s="1"/>
      <c r="D464" s="1"/>
      <c r="E464" s="1"/>
      <c r="G464" s="77"/>
      <c r="H464" s="71"/>
    </row>
    <row r="465" spans="1:8" ht="14.25" customHeight="1">
      <c r="A465" s="1"/>
      <c r="B465" s="1"/>
      <c r="C465" s="1"/>
      <c r="D465" s="1"/>
      <c r="E465" s="1"/>
      <c r="G465" s="77"/>
      <c r="H465" s="71"/>
    </row>
    <row r="466" spans="1:8" ht="14.25" customHeight="1">
      <c r="A466" s="1"/>
      <c r="B466" s="1"/>
      <c r="C466" s="1"/>
      <c r="D466" s="1"/>
      <c r="E466" s="1"/>
      <c r="G466" s="77"/>
      <c r="H466" s="71"/>
    </row>
    <row r="467" spans="1:8" ht="14.25" customHeight="1">
      <c r="A467" s="1"/>
      <c r="B467" s="1"/>
      <c r="C467" s="1"/>
      <c r="D467" s="1"/>
      <c r="E467" s="1"/>
      <c r="G467" s="77"/>
      <c r="H467" s="71"/>
    </row>
    <row r="468" spans="1:8" ht="14.25" customHeight="1">
      <c r="A468" s="1"/>
      <c r="B468" s="1"/>
      <c r="C468" s="1"/>
      <c r="D468" s="1"/>
      <c r="E468" s="1"/>
      <c r="G468" s="77"/>
      <c r="H468" s="71"/>
    </row>
    <row r="469" spans="1:8" ht="14.25" customHeight="1">
      <c r="A469" s="1"/>
      <c r="B469" s="1"/>
      <c r="C469" s="1"/>
      <c r="D469" s="1"/>
      <c r="E469" s="1"/>
      <c r="G469" s="77"/>
      <c r="H469" s="71"/>
    </row>
    <row r="470" spans="1:8" ht="14.25" customHeight="1">
      <c r="A470" s="1"/>
      <c r="B470" s="1"/>
      <c r="C470" s="1"/>
      <c r="D470" s="1"/>
      <c r="E470" s="1"/>
      <c r="G470" s="77"/>
      <c r="H470" s="71"/>
    </row>
    <row r="471" spans="1:8" ht="14.25" customHeight="1">
      <c r="A471" s="1"/>
      <c r="B471" s="1"/>
      <c r="C471" s="1"/>
      <c r="D471" s="1"/>
      <c r="E471" s="1"/>
      <c r="G471" s="77"/>
      <c r="H471" s="71"/>
    </row>
    <row r="472" spans="1:8" ht="14.25" customHeight="1">
      <c r="A472" s="1"/>
      <c r="B472" s="1"/>
      <c r="C472" s="1"/>
      <c r="D472" s="1"/>
      <c r="E472" s="1"/>
      <c r="G472" s="77"/>
      <c r="H472" s="71"/>
    </row>
    <row r="473" spans="1:8" ht="14.25" customHeight="1">
      <c r="A473" s="1"/>
      <c r="B473" s="1"/>
      <c r="C473" s="1"/>
      <c r="D473" s="1"/>
      <c r="E473" s="1"/>
      <c r="G473" s="77"/>
      <c r="H473" s="71"/>
    </row>
    <row r="474" spans="1:8" ht="14.25" customHeight="1">
      <c r="A474" s="1"/>
      <c r="B474" s="1"/>
      <c r="C474" s="1"/>
      <c r="D474" s="1"/>
      <c r="E474" s="1"/>
      <c r="G474" s="77"/>
      <c r="H474" s="71"/>
    </row>
    <row r="475" spans="1:8" ht="14.25" customHeight="1">
      <c r="A475" s="1"/>
      <c r="B475" s="1"/>
      <c r="C475" s="1"/>
      <c r="D475" s="1"/>
      <c r="E475" s="1"/>
      <c r="G475" s="77"/>
      <c r="H475" s="71"/>
    </row>
    <row r="476" spans="1:8" ht="14.25" customHeight="1">
      <c r="A476" s="1"/>
      <c r="B476" s="1"/>
      <c r="C476" s="1"/>
      <c r="D476" s="1"/>
      <c r="E476" s="1"/>
      <c r="G476" s="77"/>
      <c r="H476" s="71"/>
    </row>
    <row r="477" spans="1:8" ht="14.25" customHeight="1">
      <c r="A477" s="1"/>
      <c r="B477" s="1"/>
      <c r="C477" s="1"/>
      <c r="D477" s="1"/>
      <c r="E477" s="1"/>
      <c r="G477" s="77"/>
      <c r="H477" s="71"/>
    </row>
    <row r="478" spans="1:8" ht="14.25" customHeight="1">
      <c r="A478" s="1"/>
      <c r="B478" s="1"/>
      <c r="C478" s="1"/>
      <c r="D478" s="1"/>
      <c r="E478" s="1"/>
      <c r="G478" s="77"/>
      <c r="H478" s="71"/>
    </row>
    <row r="479" spans="1:8" ht="14.25" customHeight="1">
      <c r="A479" s="1"/>
      <c r="B479" s="1"/>
      <c r="C479" s="1"/>
      <c r="D479" s="1"/>
      <c r="E479" s="1"/>
      <c r="G479" s="77"/>
      <c r="H479" s="71"/>
    </row>
    <row r="480" spans="1:8" ht="14.25" customHeight="1">
      <c r="A480" s="1"/>
      <c r="B480" s="1"/>
      <c r="C480" s="1"/>
      <c r="D480" s="1"/>
      <c r="E480" s="1"/>
      <c r="G480" s="77"/>
      <c r="H480" s="71"/>
    </row>
    <row r="481" spans="1:8" ht="14.25" customHeight="1">
      <c r="A481" s="1"/>
      <c r="B481" s="1"/>
      <c r="C481" s="1"/>
      <c r="D481" s="1"/>
      <c r="E481" s="1"/>
      <c r="G481" s="77"/>
      <c r="H481" s="71"/>
    </row>
    <row r="482" spans="1:8" ht="14.25" customHeight="1">
      <c r="A482" s="1"/>
      <c r="B482" s="1"/>
      <c r="C482" s="1"/>
      <c r="D482" s="1"/>
      <c r="E482" s="1"/>
      <c r="G482" s="77"/>
      <c r="H482" s="71"/>
    </row>
    <row r="483" spans="1:8" ht="14.25" customHeight="1">
      <c r="A483" s="1"/>
      <c r="B483" s="1"/>
      <c r="C483" s="1"/>
      <c r="D483" s="1"/>
      <c r="E483" s="1"/>
      <c r="G483" s="77"/>
      <c r="H483" s="71"/>
    </row>
    <row r="484" spans="1:8" ht="14.25" customHeight="1">
      <c r="A484" s="1"/>
      <c r="B484" s="1"/>
      <c r="C484" s="1"/>
      <c r="D484" s="1"/>
      <c r="E484" s="1"/>
      <c r="G484" s="77"/>
      <c r="H484" s="71"/>
    </row>
    <row r="485" spans="1:8" ht="14.25" customHeight="1">
      <c r="A485" s="1"/>
      <c r="B485" s="1"/>
      <c r="C485" s="1"/>
      <c r="D485" s="1"/>
      <c r="E485" s="1"/>
      <c r="G485" s="77"/>
      <c r="H485" s="71"/>
    </row>
    <row r="486" spans="1:8" ht="14.25" customHeight="1">
      <c r="A486" s="1"/>
      <c r="B486" s="1"/>
      <c r="C486" s="1"/>
      <c r="D486" s="1"/>
      <c r="E486" s="1"/>
      <c r="G486" s="77"/>
      <c r="H486" s="71"/>
    </row>
    <row r="487" spans="1:8" ht="14.25" customHeight="1">
      <c r="A487" s="1"/>
      <c r="B487" s="1"/>
      <c r="C487" s="1"/>
      <c r="D487" s="1"/>
      <c r="E487" s="1"/>
      <c r="G487" s="77"/>
      <c r="H487" s="71"/>
    </row>
    <row r="488" spans="1:8" ht="14.25" customHeight="1">
      <c r="A488" s="1"/>
      <c r="B488" s="1"/>
      <c r="C488" s="1"/>
      <c r="D488" s="1"/>
      <c r="E488" s="1"/>
      <c r="G488" s="77"/>
      <c r="H488" s="71"/>
    </row>
    <row r="489" spans="1:8" ht="14.25" customHeight="1">
      <c r="A489" s="1"/>
      <c r="B489" s="1"/>
      <c r="C489" s="1"/>
      <c r="D489" s="1"/>
      <c r="E489" s="1"/>
      <c r="G489" s="77"/>
      <c r="H489" s="71"/>
    </row>
    <row r="490" spans="1:8" ht="14.25" customHeight="1">
      <c r="A490" s="1"/>
      <c r="B490" s="1"/>
      <c r="C490" s="1"/>
      <c r="D490" s="1"/>
      <c r="E490" s="1"/>
      <c r="G490" s="77"/>
      <c r="H490" s="71"/>
    </row>
    <row r="491" spans="1:8" ht="14.25" customHeight="1">
      <c r="A491" s="1"/>
      <c r="B491" s="1"/>
      <c r="C491" s="1"/>
      <c r="D491" s="1"/>
      <c r="E491" s="1"/>
      <c r="G491" s="77"/>
      <c r="H491" s="71"/>
    </row>
    <row r="492" spans="1:8" ht="14.25" customHeight="1">
      <c r="A492" s="1"/>
      <c r="B492" s="1"/>
      <c r="C492" s="1"/>
      <c r="D492" s="1"/>
      <c r="E492" s="1"/>
      <c r="G492" s="77"/>
      <c r="H492" s="71"/>
    </row>
    <row r="493" spans="1:8" ht="14.25" customHeight="1">
      <c r="A493" s="1"/>
      <c r="B493" s="1"/>
      <c r="C493" s="1"/>
      <c r="D493" s="1"/>
      <c r="E493" s="1"/>
      <c r="G493" s="77"/>
      <c r="H493" s="71"/>
    </row>
    <row r="494" spans="1:8" ht="14.25" customHeight="1">
      <c r="A494" s="1"/>
      <c r="B494" s="1"/>
      <c r="C494" s="1"/>
      <c r="D494" s="1"/>
      <c r="E494" s="1"/>
      <c r="G494" s="77"/>
      <c r="H494" s="71"/>
    </row>
    <row r="495" spans="1:8" ht="14.25" customHeight="1">
      <c r="A495" s="1"/>
      <c r="B495" s="1"/>
      <c r="C495" s="1"/>
      <c r="D495" s="1"/>
      <c r="E495" s="1"/>
      <c r="G495" s="77"/>
      <c r="H495" s="71"/>
    </row>
    <row r="496" spans="1:8" ht="14.25" customHeight="1">
      <c r="A496" s="1"/>
      <c r="B496" s="1"/>
      <c r="C496" s="1"/>
      <c r="D496" s="1"/>
      <c r="E496" s="1"/>
      <c r="G496" s="77"/>
      <c r="H496" s="71"/>
    </row>
    <row r="497" spans="1:8" ht="14.25" customHeight="1">
      <c r="A497" s="1"/>
      <c r="B497" s="1"/>
      <c r="C497" s="1"/>
      <c r="D497" s="1"/>
      <c r="E497" s="1"/>
      <c r="G497" s="77"/>
      <c r="H497" s="71"/>
    </row>
    <row r="498" spans="1:8" ht="14.25" customHeight="1">
      <c r="A498" s="1"/>
      <c r="B498" s="1"/>
      <c r="C498" s="1"/>
      <c r="D498" s="1"/>
      <c r="E498" s="1"/>
      <c r="G498" s="77"/>
      <c r="H498" s="71"/>
    </row>
    <row r="499" spans="1:8" ht="14.25" customHeight="1">
      <c r="A499" s="1"/>
      <c r="B499" s="1"/>
      <c r="C499" s="1"/>
      <c r="D499" s="1"/>
      <c r="E499" s="1"/>
      <c r="G499" s="77"/>
      <c r="H499" s="71"/>
    </row>
    <row r="500" spans="1:8" ht="14.25" customHeight="1">
      <c r="A500" s="1"/>
      <c r="B500" s="1"/>
      <c r="C500" s="1"/>
      <c r="D500" s="1"/>
      <c r="E500" s="1"/>
      <c r="G500" s="77"/>
      <c r="H500" s="71"/>
    </row>
    <row r="501" spans="1:8" ht="14.25" customHeight="1">
      <c r="A501" s="1"/>
      <c r="B501" s="1"/>
      <c r="C501" s="1"/>
      <c r="D501" s="1"/>
      <c r="E501" s="1"/>
      <c r="G501" s="77"/>
      <c r="H501" s="71"/>
    </row>
    <row r="502" spans="1:8" ht="14.25" customHeight="1">
      <c r="A502" s="1"/>
      <c r="B502" s="1"/>
      <c r="C502" s="1"/>
      <c r="D502" s="1"/>
      <c r="E502" s="1"/>
      <c r="G502" s="77"/>
      <c r="H502" s="71"/>
    </row>
    <row r="503" spans="1:8" ht="14.25" customHeight="1">
      <c r="A503" s="1"/>
      <c r="B503" s="1"/>
      <c r="C503" s="1"/>
      <c r="D503" s="1"/>
      <c r="E503" s="1"/>
      <c r="G503" s="77"/>
      <c r="H503" s="71"/>
    </row>
    <row r="504" spans="1:8" ht="14.25" customHeight="1">
      <c r="A504" s="1"/>
      <c r="B504" s="1"/>
      <c r="C504" s="1"/>
      <c r="D504" s="1"/>
      <c r="E504" s="1"/>
      <c r="G504" s="77"/>
      <c r="H504" s="71"/>
    </row>
    <row r="505" spans="1:8" ht="14.25" customHeight="1">
      <c r="A505" s="1"/>
      <c r="B505" s="1"/>
      <c r="C505" s="1"/>
      <c r="D505" s="1"/>
      <c r="E505" s="1"/>
      <c r="G505" s="77"/>
      <c r="H505" s="71"/>
    </row>
    <row r="506" spans="1:8" ht="14.25" customHeight="1">
      <c r="A506" s="1"/>
      <c r="B506" s="1"/>
      <c r="C506" s="1"/>
      <c r="D506" s="1"/>
      <c r="E506" s="1"/>
      <c r="G506" s="77"/>
      <c r="H506" s="71"/>
    </row>
    <row r="507" spans="1:8" ht="14.25" customHeight="1">
      <c r="A507" s="1"/>
      <c r="B507" s="1"/>
      <c r="C507" s="1"/>
      <c r="D507" s="1"/>
      <c r="E507" s="1"/>
      <c r="G507" s="77"/>
      <c r="H507" s="71"/>
    </row>
    <row r="508" spans="1:8" ht="14.25" customHeight="1">
      <c r="A508" s="1"/>
      <c r="B508" s="1"/>
      <c r="C508" s="1"/>
      <c r="D508" s="1"/>
      <c r="E508" s="1"/>
      <c r="G508" s="77"/>
      <c r="H508" s="71"/>
    </row>
    <row r="509" spans="1:8" ht="14.25" customHeight="1">
      <c r="A509" s="1"/>
      <c r="B509" s="1"/>
      <c r="C509" s="1"/>
      <c r="D509" s="1"/>
      <c r="E509" s="1"/>
      <c r="G509" s="77"/>
      <c r="H509" s="71"/>
    </row>
    <row r="510" spans="1:8" ht="14.25" customHeight="1">
      <c r="A510" s="1"/>
      <c r="B510" s="1"/>
      <c r="C510" s="1"/>
      <c r="D510" s="1"/>
      <c r="E510" s="1"/>
      <c r="G510" s="77"/>
      <c r="H510" s="71"/>
    </row>
    <row r="511" spans="1:8" ht="14.25" customHeight="1">
      <c r="A511" s="1"/>
      <c r="B511" s="1"/>
      <c r="C511" s="1"/>
      <c r="D511" s="1"/>
      <c r="E511" s="1"/>
      <c r="G511" s="77"/>
      <c r="H511" s="71"/>
    </row>
    <row r="512" spans="1:8" ht="14.25" customHeight="1">
      <c r="A512" s="1"/>
      <c r="B512" s="1"/>
      <c r="C512" s="1"/>
      <c r="D512" s="1"/>
      <c r="E512" s="1"/>
      <c r="G512" s="77"/>
      <c r="H512" s="71"/>
    </row>
    <row r="513" spans="1:8" ht="14.25" customHeight="1">
      <c r="A513" s="1"/>
      <c r="B513" s="1"/>
      <c r="C513" s="1"/>
      <c r="D513" s="1"/>
      <c r="E513" s="1"/>
      <c r="G513" s="77"/>
      <c r="H513" s="71"/>
    </row>
    <row r="514" spans="1:8" ht="14.25" customHeight="1">
      <c r="A514" s="1"/>
      <c r="B514" s="1"/>
      <c r="C514" s="1"/>
      <c r="D514" s="1"/>
      <c r="E514" s="1"/>
      <c r="G514" s="77"/>
      <c r="H514" s="71"/>
    </row>
    <row r="515" spans="1:8" ht="14.25" customHeight="1">
      <c r="A515" s="1"/>
      <c r="B515" s="1"/>
      <c r="C515" s="1"/>
      <c r="D515" s="1"/>
      <c r="E515" s="1"/>
      <c r="G515" s="77"/>
      <c r="H515" s="71"/>
    </row>
    <row r="516" spans="1:8" ht="14.25" customHeight="1">
      <c r="A516" s="1"/>
      <c r="B516" s="1"/>
      <c r="C516" s="1"/>
      <c r="D516" s="1"/>
      <c r="E516" s="1"/>
      <c r="G516" s="77"/>
      <c r="H516" s="71"/>
    </row>
    <row r="517" spans="1:8" ht="14.25" customHeight="1">
      <c r="A517" s="1"/>
      <c r="B517" s="1"/>
      <c r="C517" s="1"/>
      <c r="D517" s="1"/>
      <c r="E517" s="1"/>
      <c r="G517" s="77"/>
      <c r="H517" s="71"/>
    </row>
    <row r="518" spans="1:8" ht="14.25" customHeight="1">
      <c r="A518" s="1"/>
      <c r="B518" s="1"/>
      <c r="C518" s="1"/>
      <c r="D518" s="1"/>
      <c r="E518" s="1"/>
      <c r="G518" s="77"/>
      <c r="H518" s="71"/>
    </row>
    <row r="519" spans="1:8" ht="14.25" customHeight="1">
      <c r="A519" s="1"/>
      <c r="B519" s="1"/>
      <c r="C519" s="1"/>
      <c r="D519" s="1"/>
      <c r="E519" s="1"/>
      <c r="G519" s="77"/>
      <c r="H519" s="71"/>
    </row>
    <row r="520" spans="1:8" ht="14.25" customHeight="1">
      <c r="A520" s="1"/>
      <c r="B520" s="1"/>
      <c r="C520" s="1"/>
      <c r="D520" s="1"/>
      <c r="E520" s="1"/>
      <c r="G520" s="77"/>
      <c r="H520" s="71"/>
    </row>
    <row r="521" spans="1:8" ht="14.25" customHeight="1">
      <c r="A521" s="1"/>
      <c r="B521" s="1"/>
      <c r="C521" s="1"/>
      <c r="D521" s="1"/>
      <c r="E521" s="1"/>
      <c r="G521" s="77"/>
      <c r="H521" s="71"/>
    </row>
    <row r="522" spans="1:8" ht="14.25" customHeight="1">
      <c r="A522" s="1"/>
      <c r="B522" s="1"/>
      <c r="C522" s="1"/>
      <c r="D522" s="1"/>
      <c r="E522" s="1"/>
      <c r="G522" s="77"/>
      <c r="H522" s="71"/>
    </row>
    <row r="523" spans="1:8" ht="14.25" customHeight="1">
      <c r="A523" s="1"/>
      <c r="B523" s="1"/>
      <c r="C523" s="1"/>
      <c r="D523" s="1"/>
      <c r="E523" s="1"/>
      <c r="G523" s="77"/>
      <c r="H523" s="71"/>
    </row>
    <row r="524" spans="1:8" ht="14.25" customHeight="1">
      <c r="A524" s="1"/>
      <c r="B524" s="1"/>
      <c r="C524" s="1"/>
      <c r="D524" s="1"/>
      <c r="E524" s="1"/>
      <c r="G524" s="77"/>
      <c r="H524" s="71"/>
    </row>
    <row r="525" spans="1:8" ht="14.25" customHeight="1">
      <c r="A525" s="1"/>
      <c r="B525" s="1"/>
      <c r="C525" s="1"/>
      <c r="D525" s="1"/>
      <c r="E525" s="1"/>
      <c r="G525" s="77"/>
      <c r="H525" s="71"/>
    </row>
    <row r="526" spans="1:8" ht="14.25" customHeight="1">
      <c r="A526" s="1"/>
      <c r="B526" s="1"/>
      <c r="C526" s="1"/>
      <c r="D526" s="1"/>
      <c r="E526" s="1"/>
      <c r="G526" s="77"/>
      <c r="H526" s="71"/>
    </row>
    <row r="527" spans="1:8" ht="14.25" customHeight="1">
      <c r="A527" s="1"/>
      <c r="B527" s="1"/>
      <c r="C527" s="1"/>
      <c r="D527" s="1"/>
      <c r="E527" s="1"/>
      <c r="G527" s="77"/>
      <c r="H527" s="71"/>
    </row>
    <row r="528" spans="1:8" ht="14.25" customHeight="1">
      <c r="A528" s="1"/>
      <c r="B528" s="1"/>
      <c r="C528" s="1"/>
      <c r="D528" s="1"/>
      <c r="E528" s="1"/>
      <c r="G528" s="77"/>
      <c r="H528" s="71"/>
    </row>
    <row r="529" spans="1:8" ht="14.25" customHeight="1">
      <c r="A529" s="1"/>
      <c r="B529" s="1"/>
      <c r="C529" s="1"/>
      <c r="D529" s="1"/>
      <c r="E529" s="1"/>
      <c r="G529" s="77"/>
      <c r="H529" s="71"/>
    </row>
    <row r="530" spans="1:8" ht="14.25" customHeight="1">
      <c r="A530" s="1"/>
      <c r="B530" s="1"/>
      <c r="C530" s="1"/>
      <c r="D530" s="1"/>
      <c r="E530" s="1"/>
      <c r="G530" s="77"/>
      <c r="H530" s="71"/>
    </row>
    <row r="531" spans="1:8" ht="14.25" customHeight="1">
      <c r="A531" s="1"/>
      <c r="B531" s="1"/>
      <c r="C531" s="1"/>
      <c r="D531" s="1"/>
      <c r="E531" s="1"/>
      <c r="G531" s="77"/>
      <c r="H531" s="71"/>
    </row>
    <row r="532" spans="1:8" ht="14.25" customHeight="1">
      <c r="A532" s="1"/>
      <c r="B532" s="1"/>
      <c r="C532" s="1"/>
      <c r="D532" s="1"/>
      <c r="E532" s="1"/>
      <c r="G532" s="77"/>
      <c r="H532" s="71"/>
    </row>
    <row r="533" spans="1:8" ht="14.25" customHeight="1">
      <c r="A533" s="1"/>
      <c r="B533" s="1"/>
      <c r="C533" s="1"/>
      <c r="D533" s="1"/>
      <c r="E533" s="1"/>
      <c r="G533" s="77"/>
      <c r="H533" s="71"/>
    </row>
    <row r="534" spans="1:8" ht="14.25" customHeight="1">
      <c r="A534" s="1"/>
      <c r="B534" s="1"/>
      <c r="C534" s="1"/>
      <c r="D534" s="1"/>
      <c r="E534" s="1"/>
      <c r="G534" s="77"/>
      <c r="H534" s="71"/>
    </row>
    <row r="535" spans="1:8" ht="14.25" customHeight="1">
      <c r="A535" s="1"/>
      <c r="B535" s="1"/>
      <c r="C535" s="1"/>
      <c r="D535" s="1"/>
      <c r="E535" s="1"/>
      <c r="G535" s="77"/>
      <c r="H535" s="71"/>
    </row>
    <row r="536" spans="1:8" ht="14.25" customHeight="1">
      <c r="A536" s="1"/>
      <c r="B536" s="1"/>
      <c r="C536" s="1"/>
      <c r="D536" s="1"/>
      <c r="E536" s="1"/>
      <c r="G536" s="77"/>
      <c r="H536" s="71"/>
    </row>
    <row r="537" spans="1:8" ht="14.25" customHeight="1">
      <c r="A537" s="1"/>
      <c r="B537" s="1"/>
      <c r="C537" s="1"/>
      <c r="D537" s="1"/>
      <c r="E537" s="1"/>
      <c r="G537" s="77"/>
      <c r="H537" s="71"/>
    </row>
    <row r="538" spans="1:8" ht="14.25" customHeight="1">
      <c r="A538" s="1"/>
      <c r="B538" s="1"/>
      <c r="C538" s="1"/>
      <c r="D538" s="1"/>
      <c r="E538" s="1"/>
      <c r="G538" s="77"/>
      <c r="H538" s="71"/>
    </row>
    <row r="539" spans="1:8" ht="14.25" customHeight="1">
      <c r="A539" s="1"/>
      <c r="B539" s="1"/>
      <c r="C539" s="1"/>
      <c r="D539" s="1"/>
      <c r="E539" s="1"/>
      <c r="G539" s="77"/>
      <c r="H539" s="71"/>
    </row>
    <row r="540" spans="1:8" ht="14.25" customHeight="1">
      <c r="A540" s="1"/>
      <c r="B540" s="1"/>
      <c r="C540" s="1"/>
      <c r="D540" s="1"/>
      <c r="E540" s="1"/>
      <c r="G540" s="77"/>
      <c r="H540" s="71"/>
    </row>
    <row r="541" spans="1:8" ht="14.25" customHeight="1">
      <c r="A541" s="1"/>
      <c r="B541" s="1"/>
      <c r="C541" s="1"/>
      <c r="D541" s="1"/>
      <c r="E541" s="1"/>
      <c r="G541" s="77"/>
      <c r="H541" s="71"/>
    </row>
    <row r="542" spans="1:8" ht="14.25" customHeight="1">
      <c r="A542" s="1"/>
      <c r="B542" s="1"/>
      <c r="C542" s="1"/>
      <c r="D542" s="1"/>
      <c r="E542" s="1"/>
      <c r="G542" s="77"/>
      <c r="H542" s="71"/>
    </row>
    <row r="543" spans="1:8" ht="14.25" customHeight="1">
      <c r="A543" s="1"/>
      <c r="B543" s="1"/>
      <c r="C543" s="1"/>
      <c r="D543" s="1"/>
      <c r="E543" s="1"/>
      <c r="G543" s="77"/>
      <c r="H543" s="71"/>
    </row>
    <row r="544" spans="1:8" ht="14.25" customHeight="1">
      <c r="A544" s="1"/>
      <c r="B544" s="1"/>
      <c r="C544" s="1"/>
      <c r="D544" s="1"/>
      <c r="E544" s="1"/>
      <c r="G544" s="77"/>
      <c r="H544" s="71"/>
    </row>
    <row r="545" spans="1:8" ht="14.25" customHeight="1">
      <c r="A545" s="1"/>
      <c r="B545" s="1"/>
      <c r="C545" s="1"/>
      <c r="D545" s="1"/>
      <c r="E545" s="1"/>
      <c r="G545" s="77"/>
      <c r="H545" s="71"/>
    </row>
    <row r="546" spans="1:8" ht="14.25" customHeight="1">
      <c r="A546" s="1"/>
      <c r="B546" s="1"/>
      <c r="C546" s="1"/>
      <c r="D546" s="1"/>
      <c r="E546" s="1"/>
      <c r="G546" s="77"/>
      <c r="H546" s="71"/>
    </row>
    <row r="547" spans="1:8" ht="14.25" customHeight="1">
      <c r="A547" s="1"/>
      <c r="B547" s="1"/>
      <c r="C547" s="1"/>
      <c r="D547" s="1"/>
      <c r="E547" s="1"/>
      <c r="G547" s="77"/>
      <c r="H547" s="71"/>
    </row>
    <row r="548" spans="1:8" ht="14.25" customHeight="1">
      <c r="A548" s="1"/>
      <c r="B548" s="1"/>
      <c r="C548" s="1"/>
      <c r="D548" s="1"/>
      <c r="E548" s="1"/>
      <c r="G548" s="77"/>
      <c r="H548" s="71"/>
    </row>
    <row r="549" spans="1:8" ht="14.25" customHeight="1">
      <c r="A549" s="1"/>
      <c r="B549" s="1"/>
      <c r="C549" s="1"/>
      <c r="D549" s="1"/>
      <c r="E549" s="1"/>
      <c r="G549" s="77"/>
      <c r="H549" s="71"/>
    </row>
    <row r="550" spans="1:8" ht="14.25" customHeight="1">
      <c r="A550" s="1"/>
      <c r="B550" s="1"/>
      <c r="C550" s="1"/>
      <c r="D550" s="1"/>
      <c r="E550" s="1"/>
      <c r="G550" s="77"/>
      <c r="H550" s="71"/>
    </row>
    <row r="551" spans="1:8" ht="14.25" customHeight="1">
      <c r="A551" s="1"/>
      <c r="B551" s="1"/>
      <c r="C551" s="1"/>
      <c r="D551" s="1"/>
      <c r="E551" s="1"/>
      <c r="G551" s="77"/>
      <c r="H551" s="71"/>
    </row>
    <row r="552" spans="1:8" ht="14.25" customHeight="1">
      <c r="A552" s="1"/>
      <c r="B552" s="1"/>
      <c r="C552" s="1"/>
      <c r="D552" s="1"/>
      <c r="E552" s="1"/>
      <c r="G552" s="77"/>
      <c r="H552" s="71"/>
    </row>
    <row r="553" spans="1:8" ht="14.25" customHeight="1">
      <c r="A553" s="1"/>
      <c r="B553" s="1"/>
      <c r="C553" s="1"/>
      <c r="D553" s="1"/>
      <c r="E553" s="1"/>
      <c r="G553" s="77"/>
      <c r="H553" s="71"/>
    </row>
    <row r="554" spans="1:8" ht="14.25" customHeight="1">
      <c r="A554" s="1"/>
      <c r="B554" s="1"/>
      <c r="C554" s="1"/>
      <c r="D554" s="1"/>
      <c r="E554" s="1"/>
      <c r="G554" s="77"/>
      <c r="H554" s="71"/>
    </row>
    <row r="555" spans="1:8" ht="14.25" customHeight="1">
      <c r="A555" s="1"/>
      <c r="B555" s="1"/>
      <c r="C555" s="1"/>
      <c r="D555" s="1"/>
      <c r="E555" s="1"/>
      <c r="G555" s="77"/>
      <c r="H555" s="71"/>
    </row>
    <row r="556" spans="1:8" ht="14.25" customHeight="1">
      <c r="A556" s="1"/>
      <c r="B556" s="1"/>
      <c r="C556" s="1"/>
      <c r="D556" s="1"/>
      <c r="E556" s="1"/>
      <c r="G556" s="77"/>
      <c r="H556" s="71"/>
    </row>
    <row r="557" spans="1:8" ht="14.25" customHeight="1">
      <c r="A557" s="1"/>
      <c r="B557" s="1"/>
      <c r="C557" s="1"/>
      <c r="D557" s="1"/>
      <c r="E557" s="1"/>
      <c r="G557" s="77"/>
      <c r="H557" s="71"/>
    </row>
    <row r="558" spans="1:8" ht="14.25" customHeight="1">
      <c r="A558" s="1"/>
      <c r="B558" s="1"/>
      <c r="C558" s="1"/>
      <c r="D558" s="1"/>
      <c r="E558" s="1"/>
      <c r="G558" s="77"/>
      <c r="H558" s="71"/>
    </row>
    <row r="559" spans="1:8" ht="14.25" customHeight="1">
      <c r="A559" s="1"/>
      <c r="B559" s="1"/>
      <c r="C559" s="1"/>
      <c r="D559" s="1"/>
      <c r="E559" s="1"/>
      <c r="G559" s="77"/>
      <c r="H559" s="71"/>
    </row>
    <row r="560" spans="1:8" ht="14.25" customHeight="1">
      <c r="A560" s="1"/>
      <c r="B560" s="1"/>
      <c r="C560" s="1"/>
      <c r="D560" s="1"/>
      <c r="E560" s="1"/>
      <c r="G560" s="77"/>
      <c r="H560" s="71"/>
    </row>
    <row r="561" spans="1:8" ht="14.25" customHeight="1">
      <c r="A561" s="1"/>
      <c r="B561" s="1"/>
      <c r="C561" s="1"/>
      <c r="D561" s="1"/>
      <c r="E561" s="1"/>
      <c r="G561" s="77"/>
      <c r="H561" s="71"/>
    </row>
    <row r="562" spans="1:8" ht="14.25" customHeight="1">
      <c r="A562" s="1"/>
      <c r="B562" s="1"/>
      <c r="C562" s="1"/>
      <c r="D562" s="1"/>
      <c r="E562" s="1"/>
      <c r="G562" s="77"/>
      <c r="H562" s="71"/>
    </row>
    <row r="563" spans="1:8" ht="14.25" customHeight="1">
      <c r="A563" s="1"/>
      <c r="B563" s="1"/>
      <c r="C563" s="1"/>
      <c r="D563" s="1"/>
      <c r="E563" s="1"/>
      <c r="G563" s="77"/>
      <c r="H563" s="71"/>
    </row>
    <row r="564" spans="1:8" ht="14.25" customHeight="1">
      <c r="A564" s="1"/>
      <c r="B564" s="1"/>
      <c r="C564" s="1"/>
      <c r="D564" s="1"/>
      <c r="E564" s="1"/>
      <c r="G564" s="77"/>
      <c r="H564" s="71"/>
    </row>
    <row r="565" spans="1:8" ht="14.25" customHeight="1">
      <c r="A565" s="1"/>
      <c r="B565" s="1"/>
      <c r="C565" s="1"/>
      <c r="D565" s="1"/>
      <c r="E565" s="1"/>
      <c r="G565" s="77"/>
      <c r="H565" s="71"/>
    </row>
    <row r="566" spans="1:8" ht="14.25" customHeight="1">
      <c r="A566" s="1"/>
      <c r="B566" s="1"/>
      <c r="C566" s="1"/>
      <c r="D566" s="1"/>
      <c r="E566" s="1"/>
      <c r="G566" s="77"/>
      <c r="H566" s="71"/>
    </row>
    <row r="567" spans="1:8" ht="14.25" customHeight="1">
      <c r="A567" s="1"/>
      <c r="B567" s="1"/>
      <c r="C567" s="1"/>
      <c r="D567" s="1"/>
      <c r="E567" s="1"/>
      <c r="G567" s="77"/>
      <c r="H567" s="71"/>
    </row>
    <row r="568" spans="1:8" ht="14.25" customHeight="1">
      <c r="A568" s="1"/>
      <c r="B568" s="1"/>
      <c r="C568" s="1"/>
      <c r="D568" s="1"/>
      <c r="E568" s="1"/>
      <c r="G568" s="77"/>
      <c r="H568" s="71"/>
    </row>
    <row r="569" spans="1:8" ht="14.25" customHeight="1">
      <c r="A569" s="1"/>
      <c r="B569" s="1"/>
      <c r="C569" s="1"/>
      <c r="D569" s="1"/>
      <c r="E569" s="1"/>
      <c r="G569" s="77"/>
      <c r="H569" s="71"/>
    </row>
    <row r="570" spans="1:8" ht="14.25" customHeight="1">
      <c r="A570" s="1"/>
      <c r="B570" s="1"/>
      <c r="C570" s="1"/>
      <c r="D570" s="1"/>
      <c r="E570" s="1"/>
      <c r="G570" s="77"/>
      <c r="H570" s="71"/>
    </row>
    <row r="571" spans="1:8" ht="14.25" customHeight="1">
      <c r="A571" s="1"/>
      <c r="B571" s="1"/>
      <c r="C571" s="1"/>
      <c r="D571" s="1"/>
      <c r="E571" s="1"/>
      <c r="G571" s="77"/>
      <c r="H571" s="71"/>
    </row>
    <row r="572" spans="1:8" ht="14.25" customHeight="1">
      <c r="A572" s="1"/>
      <c r="B572" s="1"/>
      <c r="C572" s="1"/>
      <c r="D572" s="1"/>
      <c r="E572" s="1"/>
      <c r="G572" s="77"/>
      <c r="H572" s="71"/>
    </row>
    <row r="573" spans="1:8" ht="14.25" customHeight="1">
      <c r="A573" s="1"/>
      <c r="B573" s="1"/>
      <c r="C573" s="1"/>
      <c r="D573" s="1"/>
      <c r="E573" s="1"/>
      <c r="G573" s="77"/>
      <c r="H573" s="71"/>
    </row>
    <row r="574" spans="1:8" ht="14.25" customHeight="1">
      <c r="A574" s="1"/>
      <c r="B574" s="1"/>
      <c r="C574" s="1"/>
      <c r="D574" s="1"/>
      <c r="E574" s="1"/>
      <c r="G574" s="77"/>
      <c r="H574" s="71"/>
    </row>
    <row r="575" spans="1:8" ht="14.25" customHeight="1">
      <c r="A575" s="1"/>
      <c r="B575" s="1"/>
      <c r="C575" s="1"/>
      <c r="D575" s="1"/>
      <c r="E575" s="1"/>
      <c r="G575" s="77"/>
      <c r="H575" s="71"/>
    </row>
    <row r="576" spans="1:8" ht="14.25" customHeight="1">
      <c r="A576" s="1"/>
      <c r="B576" s="1"/>
      <c r="C576" s="1"/>
      <c r="D576" s="1"/>
      <c r="E576" s="1"/>
      <c r="G576" s="77"/>
      <c r="H576" s="71"/>
    </row>
    <row r="577" spans="1:8" ht="14.25" customHeight="1">
      <c r="A577" s="1"/>
      <c r="B577" s="1"/>
      <c r="C577" s="1"/>
      <c r="D577" s="1"/>
      <c r="E577" s="1"/>
      <c r="G577" s="77"/>
      <c r="H577" s="71"/>
    </row>
    <row r="578" spans="1:8" ht="14.25" customHeight="1">
      <c r="A578" s="1"/>
      <c r="B578" s="1"/>
      <c r="C578" s="1"/>
      <c r="D578" s="1"/>
      <c r="E578" s="1"/>
      <c r="G578" s="77"/>
      <c r="H578" s="71"/>
    </row>
    <row r="579" spans="1:8" ht="14.25" customHeight="1">
      <c r="A579" s="1"/>
      <c r="B579" s="1"/>
      <c r="C579" s="1"/>
      <c r="D579" s="1"/>
      <c r="E579" s="1"/>
      <c r="G579" s="77"/>
      <c r="H579" s="71"/>
    </row>
    <row r="580" spans="1:8" ht="14.25" customHeight="1">
      <c r="A580" s="1"/>
      <c r="B580" s="1"/>
      <c r="C580" s="1"/>
      <c r="D580" s="1"/>
      <c r="E580" s="1"/>
      <c r="G580" s="77"/>
      <c r="H580" s="71"/>
    </row>
    <row r="581" spans="1:8" ht="14.25" customHeight="1">
      <c r="A581" s="1"/>
      <c r="B581" s="1"/>
      <c r="C581" s="1"/>
      <c r="D581" s="1"/>
      <c r="E581" s="1"/>
      <c r="G581" s="77"/>
      <c r="H581" s="71"/>
    </row>
    <row r="582" spans="1:8" ht="14.25" customHeight="1">
      <c r="A582" s="1"/>
      <c r="B582" s="1"/>
      <c r="C582" s="1"/>
      <c r="D582" s="1"/>
      <c r="E582" s="1"/>
      <c r="G582" s="77"/>
      <c r="H582" s="71"/>
    </row>
    <row r="583" spans="1:8" ht="14.25" customHeight="1">
      <c r="A583" s="1"/>
      <c r="B583" s="1"/>
      <c r="C583" s="1"/>
      <c r="D583" s="1"/>
      <c r="E583" s="1"/>
      <c r="G583" s="77"/>
      <c r="H583" s="71"/>
    </row>
    <row r="584" spans="1:8" ht="14.25" customHeight="1">
      <c r="A584" s="1"/>
      <c r="B584" s="1"/>
      <c r="C584" s="1"/>
      <c r="D584" s="1"/>
      <c r="E584" s="1"/>
      <c r="G584" s="77"/>
      <c r="H584" s="71"/>
    </row>
    <row r="585" spans="1:8" ht="14.25" customHeight="1">
      <c r="A585" s="1"/>
      <c r="B585" s="1"/>
      <c r="C585" s="1"/>
      <c r="D585" s="1"/>
      <c r="E585" s="1"/>
      <c r="G585" s="77"/>
      <c r="H585" s="71"/>
    </row>
    <row r="586" spans="1:8" ht="14.25" customHeight="1">
      <c r="A586" s="1"/>
      <c r="B586" s="1"/>
      <c r="C586" s="1"/>
      <c r="D586" s="1"/>
      <c r="E586" s="1"/>
      <c r="G586" s="77"/>
      <c r="H586" s="71"/>
    </row>
    <row r="587" spans="1:8" ht="14.25" customHeight="1">
      <c r="A587" s="1"/>
      <c r="B587" s="1"/>
      <c r="C587" s="1"/>
      <c r="D587" s="1"/>
      <c r="E587" s="1"/>
      <c r="G587" s="77"/>
      <c r="H587" s="71"/>
    </row>
    <row r="588" spans="1:8" ht="14.25" customHeight="1">
      <c r="A588" s="1"/>
      <c r="B588" s="1"/>
      <c r="C588" s="1"/>
      <c r="D588" s="1"/>
      <c r="E588" s="1"/>
      <c r="G588" s="77"/>
      <c r="H588" s="71"/>
    </row>
    <row r="589" spans="1:8" ht="14.25" customHeight="1">
      <c r="A589" s="1"/>
      <c r="B589" s="1"/>
      <c r="C589" s="1"/>
      <c r="D589" s="1"/>
      <c r="E589" s="1"/>
      <c r="G589" s="77"/>
      <c r="H589" s="71"/>
    </row>
    <row r="590" spans="1:8" ht="14.25" customHeight="1">
      <c r="A590" s="1"/>
      <c r="B590" s="1"/>
      <c r="C590" s="1"/>
      <c r="D590" s="1"/>
      <c r="E590" s="1"/>
      <c r="G590" s="77"/>
      <c r="H590" s="71"/>
    </row>
    <row r="591" spans="1:8" ht="14.25" customHeight="1">
      <c r="A591" s="1"/>
      <c r="B591" s="1"/>
      <c r="C591" s="1"/>
      <c r="D591" s="1"/>
      <c r="E591" s="1"/>
      <c r="G591" s="77"/>
      <c r="H591" s="71"/>
    </row>
    <row r="592" spans="1:8" ht="14.25" customHeight="1">
      <c r="A592" s="1"/>
      <c r="B592" s="1"/>
      <c r="C592" s="1"/>
      <c r="D592" s="1"/>
      <c r="E592" s="1"/>
      <c r="G592" s="77"/>
      <c r="H592" s="71"/>
    </row>
    <row r="593" spans="1:8" ht="14.25" customHeight="1">
      <c r="A593" s="1"/>
      <c r="B593" s="1"/>
      <c r="C593" s="1"/>
      <c r="D593" s="1"/>
      <c r="E593" s="1"/>
      <c r="G593" s="77"/>
      <c r="H593" s="71"/>
    </row>
    <row r="594" spans="1:8" ht="14.25" customHeight="1">
      <c r="A594" s="1"/>
      <c r="B594" s="1"/>
      <c r="C594" s="1"/>
      <c r="D594" s="1"/>
      <c r="E594" s="1"/>
      <c r="G594" s="77"/>
      <c r="H594" s="71"/>
    </row>
    <row r="595" spans="1:8" ht="14.25" customHeight="1">
      <c r="A595" s="1"/>
      <c r="B595" s="1"/>
      <c r="C595" s="1"/>
      <c r="D595" s="1"/>
      <c r="E595" s="1"/>
      <c r="G595" s="77"/>
      <c r="H595" s="71"/>
    </row>
    <row r="596" spans="1:8" ht="14.25" customHeight="1">
      <c r="A596" s="1"/>
      <c r="B596" s="1"/>
      <c r="C596" s="1"/>
      <c r="D596" s="1"/>
      <c r="E596" s="1"/>
      <c r="G596" s="77"/>
      <c r="H596" s="71"/>
    </row>
    <row r="597" spans="1:8" ht="14.25" customHeight="1">
      <c r="A597" s="1"/>
      <c r="B597" s="1"/>
      <c r="C597" s="1"/>
      <c r="D597" s="1"/>
      <c r="E597" s="1"/>
      <c r="G597" s="77"/>
      <c r="H597" s="71"/>
    </row>
    <row r="598" spans="1:8" ht="14.25" customHeight="1">
      <c r="A598" s="1"/>
      <c r="B598" s="1"/>
      <c r="C598" s="1"/>
      <c r="D598" s="1"/>
      <c r="E598" s="1"/>
      <c r="G598" s="77"/>
      <c r="H598" s="71"/>
    </row>
    <row r="599" spans="1:8" ht="14.25" customHeight="1">
      <c r="A599" s="1"/>
      <c r="B599" s="1"/>
      <c r="C599" s="1"/>
      <c r="D599" s="1"/>
      <c r="E599" s="1"/>
      <c r="G599" s="77"/>
      <c r="H599" s="71"/>
    </row>
    <row r="600" spans="1:8" ht="14.25" customHeight="1">
      <c r="A600" s="1"/>
      <c r="B600" s="1"/>
      <c r="C600" s="1"/>
      <c r="D600" s="1"/>
      <c r="E600" s="1"/>
      <c r="G600" s="77"/>
      <c r="H600" s="71"/>
    </row>
    <row r="601" spans="1:8" ht="14.25" customHeight="1">
      <c r="A601" s="1"/>
      <c r="B601" s="1"/>
      <c r="C601" s="1"/>
      <c r="D601" s="1"/>
      <c r="E601" s="1"/>
      <c r="G601" s="77"/>
      <c r="H601" s="71"/>
    </row>
    <row r="602" spans="1:8" ht="14.25" customHeight="1">
      <c r="A602" s="1"/>
      <c r="B602" s="1"/>
      <c r="C602" s="1"/>
      <c r="D602" s="1"/>
      <c r="E602" s="1"/>
      <c r="G602" s="77"/>
      <c r="H602" s="71"/>
    </row>
    <row r="603" spans="1:8" ht="14.25" customHeight="1">
      <c r="A603" s="1"/>
      <c r="B603" s="1"/>
      <c r="C603" s="1"/>
      <c r="D603" s="1"/>
      <c r="E603" s="1"/>
      <c r="G603" s="77"/>
      <c r="H603" s="71"/>
    </row>
    <row r="604" spans="1:8" ht="14.25" customHeight="1">
      <c r="A604" s="1"/>
      <c r="B604" s="1"/>
      <c r="C604" s="1"/>
      <c r="D604" s="1"/>
      <c r="E604" s="1"/>
      <c r="G604" s="77"/>
      <c r="H604" s="71"/>
    </row>
    <row r="605" spans="1:8" ht="14.25" customHeight="1">
      <c r="A605" s="1"/>
      <c r="B605" s="1"/>
      <c r="C605" s="1"/>
      <c r="D605" s="1"/>
      <c r="E605" s="1"/>
      <c r="G605" s="77"/>
      <c r="H605" s="71"/>
    </row>
    <row r="606" spans="1:8" ht="14.25" customHeight="1">
      <c r="A606" s="1"/>
      <c r="B606" s="1"/>
      <c r="C606" s="1"/>
      <c r="D606" s="1"/>
      <c r="E606" s="1"/>
      <c r="G606" s="77"/>
      <c r="H606" s="71"/>
    </row>
    <row r="607" spans="1:8" ht="14.25" customHeight="1">
      <c r="A607" s="1"/>
      <c r="B607" s="1"/>
      <c r="C607" s="1"/>
      <c r="D607" s="1"/>
      <c r="E607" s="1"/>
      <c r="G607" s="77"/>
      <c r="H607" s="71"/>
    </row>
    <row r="608" spans="1:8" ht="14.25" customHeight="1">
      <c r="A608" s="1"/>
      <c r="B608" s="1"/>
      <c r="C608" s="1"/>
      <c r="D608" s="1"/>
      <c r="E608" s="1"/>
      <c r="G608" s="77"/>
      <c r="H608" s="71"/>
    </row>
    <row r="609" spans="1:8" ht="14.25" customHeight="1">
      <c r="A609" s="1"/>
      <c r="B609" s="1"/>
      <c r="C609" s="1"/>
      <c r="D609" s="1"/>
      <c r="E609" s="1"/>
      <c r="G609" s="77"/>
      <c r="H609" s="71"/>
    </row>
    <row r="610" spans="1:8" ht="14.25" customHeight="1">
      <c r="A610" s="1"/>
      <c r="B610" s="1"/>
      <c r="C610" s="1"/>
      <c r="D610" s="1"/>
      <c r="E610" s="1"/>
      <c r="G610" s="77"/>
      <c r="H610" s="71"/>
    </row>
    <row r="611" spans="1:8" ht="14.25" customHeight="1">
      <c r="A611" s="1"/>
      <c r="B611" s="1"/>
      <c r="C611" s="1"/>
      <c r="D611" s="1"/>
      <c r="E611" s="1"/>
      <c r="G611" s="77"/>
      <c r="H611" s="71"/>
    </row>
    <row r="612" spans="1:8" ht="14.25" customHeight="1">
      <c r="A612" s="1"/>
      <c r="B612" s="1"/>
      <c r="C612" s="1"/>
      <c r="D612" s="1"/>
      <c r="E612" s="1"/>
      <c r="G612" s="77"/>
      <c r="H612" s="71"/>
    </row>
    <row r="613" spans="1:8" ht="14.25" customHeight="1">
      <c r="A613" s="1"/>
      <c r="B613" s="1"/>
      <c r="C613" s="1"/>
      <c r="D613" s="1"/>
      <c r="E613" s="1"/>
      <c r="G613" s="77"/>
      <c r="H613" s="71"/>
    </row>
    <row r="614" spans="1:8" ht="14.25" customHeight="1">
      <c r="A614" s="1"/>
      <c r="B614" s="1"/>
      <c r="C614" s="1"/>
      <c r="D614" s="1"/>
      <c r="E614" s="1"/>
      <c r="G614" s="77"/>
      <c r="H614" s="71"/>
    </row>
    <row r="615" spans="1:8" ht="14.25" customHeight="1">
      <c r="A615" s="1"/>
      <c r="B615" s="1"/>
      <c r="C615" s="1"/>
      <c r="D615" s="1"/>
      <c r="E615" s="1"/>
      <c r="G615" s="77"/>
      <c r="H615" s="71"/>
    </row>
    <row r="616" spans="1:8" ht="14.25" customHeight="1">
      <c r="A616" s="1"/>
      <c r="B616" s="1"/>
      <c r="C616" s="1"/>
      <c r="D616" s="1"/>
      <c r="E616" s="1"/>
      <c r="G616" s="77"/>
      <c r="H616" s="71"/>
    </row>
    <row r="617" spans="1:8" ht="14.25" customHeight="1">
      <c r="A617" s="1"/>
      <c r="B617" s="1"/>
      <c r="C617" s="1"/>
      <c r="D617" s="1"/>
      <c r="E617" s="1"/>
      <c r="G617" s="77"/>
      <c r="H617" s="71"/>
    </row>
    <row r="618" spans="1:8" ht="14.25" customHeight="1">
      <c r="A618" s="1"/>
      <c r="B618" s="1"/>
      <c r="C618" s="1"/>
      <c r="D618" s="1"/>
      <c r="E618" s="1"/>
      <c r="G618" s="77"/>
      <c r="H618" s="71"/>
    </row>
    <row r="619" spans="1:8" ht="14.25" customHeight="1">
      <c r="A619" s="1"/>
      <c r="B619" s="1"/>
      <c r="C619" s="1"/>
      <c r="D619" s="1"/>
      <c r="E619" s="1"/>
      <c r="G619" s="77"/>
      <c r="H619" s="71"/>
    </row>
    <row r="620" spans="1:8" ht="14.25" customHeight="1">
      <c r="A620" s="1"/>
      <c r="B620" s="1"/>
      <c r="C620" s="1"/>
      <c r="D620" s="1"/>
      <c r="E620" s="1"/>
      <c r="G620" s="77"/>
      <c r="H620" s="71"/>
    </row>
    <row r="621" spans="1:8" ht="14.25" customHeight="1">
      <c r="A621" s="1"/>
      <c r="B621" s="1"/>
      <c r="C621" s="1"/>
      <c r="D621" s="1"/>
      <c r="E621" s="1"/>
      <c r="G621" s="77"/>
      <c r="H621" s="71"/>
    </row>
    <row r="622" spans="1:8" ht="14.25" customHeight="1">
      <c r="A622" s="1"/>
      <c r="B622" s="1"/>
      <c r="C622" s="1"/>
      <c r="D622" s="1"/>
      <c r="E622" s="1"/>
      <c r="G622" s="77"/>
      <c r="H622" s="71"/>
    </row>
    <row r="623" spans="1:8" ht="14.25" customHeight="1">
      <c r="A623" s="1"/>
      <c r="B623" s="1"/>
      <c r="C623" s="1"/>
      <c r="D623" s="1"/>
      <c r="E623" s="1"/>
      <c r="G623" s="77"/>
      <c r="H623" s="71"/>
    </row>
    <row r="624" spans="1:8" ht="14.25" customHeight="1">
      <c r="A624" s="1"/>
      <c r="B624" s="1"/>
      <c r="C624" s="1"/>
      <c r="D624" s="1"/>
      <c r="E624" s="1"/>
      <c r="G624" s="77"/>
      <c r="H624" s="71"/>
    </row>
    <row r="625" spans="1:8" ht="14.25" customHeight="1">
      <c r="A625" s="1"/>
      <c r="B625" s="1"/>
      <c r="C625" s="1"/>
      <c r="D625" s="1"/>
      <c r="E625" s="1"/>
      <c r="G625" s="77"/>
      <c r="H625" s="71"/>
    </row>
    <row r="626" spans="1:8" ht="14.25" customHeight="1">
      <c r="A626" s="1"/>
      <c r="B626" s="1"/>
      <c r="C626" s="1"/>
      <c r="D626" s="1"/>
      <c r="E626" s="1"/>
      <c r="G626" s="77"/>
      <c r="H626" s="71"/>
    </row>
    <row r="627" spans="1:8" ht="14.25" customHeight="1">
      <c r="A627" s="1"/>
      <c r="B627" s="1"/>
      <c r="C627" s="1"/>
      <c r="D627" s="1"/>
      <c r="E627" s="1"/>
      <c r="G627" s="77"/>
      <c r="H627" s="71"/>
    </row>
    <row r="628" spans="1:8" ht="14.25" customHeight="1">
      <c r="A628" s="1"/>
      <c r="B628" s="1"/>
      <c r="C628" s="1"/>
      <c r="D628" s="1"/>
      <c r="E628" s="1"/>
      <c r="G628" s="77"/>
      <c r="H628" s="71"/>
    </row>
    <row r="629" spans="1:8" ht="14.25" customHeight="1">
      <c r="A629" s="1"/>
      <c r="B629" s="1"/>
      <c r="C629" s="1"/>
      <c r="D629" s="1"/>
      <c r="E629" s="1"/>
      <c r="G629" s="77"/>
      <c r="H629" s="71"/>
    </row>
    <row r="630" spans="1:8" ht="14.25" customHeight="1">
      <c r="A630" s="1"/>
      <c r="B630" s="1"/>
      <c r="C630" s="1"/>
      <c r="D630" s="1"/>
      <c r="E630" s="1"/>
      <c r="G630" s="77"/>
      <c r="H630" s="71"/>
    </row>
    <row r="631" spans="1:8" ht="14.25" customHeight="1">
      <c r="A631" s="1"/>
      <c r="B631" s="1"/>
      <c r="C631" s="1"/>
      <c r="D631" s="1"/>
      <c r="E631" s="1"/>
      <c r="G631" s="77"/>
      <c r="H631" s="71"/>
    </row>
    <row r="632" spans="1:8" ht="14.25" customHeight="1">
      <c r="A632" s="1"/>
      <c r="B632" s="1"/>
      <c r="C632" s="1"/>
      <c r="D632" s="1"/>
      <c r="E632" s="1"/>
      <c r="G632" s="77"/>
      <c r="H632" s="71"/>
    </row>
    <row r="633" spans="1:8" ht="14.25" customHeight="1">
      <c r="A633" s="1"/>
      <c r="B633" s="1"/>
      <c r="C633" s="1"/>
      <c r="D633" s="1"/>
      <c r="E633" s="1"/>
      <c r="G633" s="77"/>
      <c r="H633" s="71"/>
    </row>
    <row r="634" spans="1:8" ht="14.25" customHeight="1">
      <c r="A634" s="1"/>
      <c r="B634" s="1"/>
      <c r="C634" s="1"/>
      <c r="D634" s="1"/>
      <c r="E634" s="1"/>
      <c r="G634" s="77"/>
      <c r="H634" s="71"/>
    </row>
    <row r="635" spans="1:8" ht="14.25" customHeight="1">
      <c r="A635" s="1"/>
      <c r="B635" s="1"/>
      <c r="C635" s="1"/>
      <c r="D635" s="1"/>
      <c r="E635" s="1"/>
      <c r="G635" s="77"/>
      <c r="H635" s="71"/>
    </row>
    <row r="636" spans="1:8" ht="14.25" customHeight="1">
      <c r="A636" s="1"/>
      <c r="B636" s="1"/>
      <c r="C636" s="1"/>
      <c r="D636" s="1"/>
      <c r="E636" s="1"/>
      <c r="G636" s="77"/>
      <c r="H636" s="71"/>
    </row>
    <row r="637" spans="1:8" ht="14.25" customHeight="1">
      <c r="A637" s="1"/>
      <c r="B637" s="1"/>
      <c r="C637" s="1"/>
      <c r="D637" s="1"/>
      <c r="E637" s="1"/>
      <c r="G637" s="77"/>
      <c r="H637" s="71"/>
    </row>
    <row r="638" spans="1:8" ht="14.25" customHeight="1">
      <c r="A638" s="1"/>
      <c r="B638" s="1"/>
      <c r="C638" s="1"/>
      <c r="D638" s="1"/>
      <c r="E638" s="1"/>
      <c r="G638" s="77"/>
      <c r="H638" s="71"/>
    </row>
    <row r="639" spans="1:8" ht="14.25" customHeight="1">
      <c r="A639" s="1"/>
      <c r="B639" s="1"/>
      <c r="C639" s="1"/>
      <c r="D639" s="1"/>
      <c r="E639" s="1"/>
      <c r="G639" s="77"/>
      <c r="H639" s="71"/>
    </row>
    <row r="640" spans="1:8" ht="14.25" customHeight="1">
      <c r="A640" s="1"/>
      <c r="B640" s="1"/>
      <c r="C640" s="1"/>
      <c r="D640" s="1"/>
      <c r="E640" s="1"/>
      <c r="G640" s="77"/>
      <c r="H640" s="71"/>
    </row>
    <row r="641" spans="1:8" ht="14.25" customHeight="1">
      <c r="A641" s="1"/>
      <c r="B641" s="1"/>
      <c r="C641" s="1"/>
      <c r="D641" s="1"/>
      <c r="E641" s="1"/>
      <c r="G641" s="77"/>
      <c r="H641" s="71"/>
    </row>
    <row r="642" spans="1:8" ht="14.25" customHeight="1">
      <c r="A642" s="1"/>
      <c r="B642" s="1"/>
      <c r="C642" s="1"/>
      <c r="D642" s="1"/>
      <c r="E642" s="1"/>
      <c r="G642" s="77"/>
      <c r="H642" s="71"/>
    </row>
    <row r="643" spans="1:8" ht="14.25" customHeight="1">
      <c r="A643" s="1"/>
      <c r="B643" s="1"/>
      <c r="C643" s="1"/>
      <c r="D643" s="1"/>
      <c r="E643" s="1"/>
      <c r="G643" s="77"/>
      <c r="H643" s="71"/>
    </row>
    <row r="644" spans="1:8" ht="14.25" customHeight="1">
      <c r="A644" s="1"/>
      <c r="B644" s="1"/>
      <c r="C644" s="1"/>
      <c r="D644" s="1"/>
      <c r="E644" s="1"/>
      <c r="G644" s="77"/>
      <c r="H644" s="71"/>
    </row>
    <row r="645" spans="1:8" ht="14.25" customHeight="1">
      <c r="A645" s="1"/>
      <c r="B645" s="1"/>
      <c r="C645" s="1"/>
      <c r="D645" s="1"/>
      <c r="E645" s="1"/>
      <c r="G645" s="77"/>
      <c r="H645" s="71"/>
    </row>
    <row r="646" spans="1:8" ht="14.25" customHeight="1">
      <c r="A646" s="1"/>
      <c r="B646" s="1"/>
      <c r="C646" s="1"/>
      <c r="D646" s="1"/>
      <c r="E646" s="1"/>
      <c r="G646" s="77"/>
      <c r="H646" s="71"/>
    </row>
    <row r="647" spans="1:8" ht="14.25" customHeight="1">
      <c r="A647" s="1"/>
      <c r="B647" s="1"/>
      <c r="C647" s="1"/>
      <c r="D647" s="1"/>
      <c r="E647" s="1"/>
      <c r="G647" s="77"/>
      <c r="H647" s="71"/>
    </row>
    <row r="648" spans="1:8" ht="14.25" customHeight="1">
      <c r="A648" s="1"/>
      <c r="B648" s="1"/>
      <c r="C648" s="1"/>
      <c r="D648" s="1"/>
      <c r="E648" s="1"/>
      <c r="G648" s="77"/>
      <c r="H648" s="71"/>
    </row>
    <row r="649" spans="1:8" ht="14.25" customHeight="1">
      <c r="A649" s="1"/>
      <c r="B649" s="1"/>
      <c r="C649" s="1"/>
      <c r="D649" s="1"/>
      <c r="E649" s="1"/>
      <c r="G649" s="77"/>
      <c r="H649" s="71"/>
    </row>
    <row r="650" spans="1:8" ht="14.25" customHeight="1">
      <c r="A650" s="1"/>
      <c r="B650" s="1"/>
      <c r="C650" s="1"/>
      <c r="D650" s="1"/>
      <c r="E650" s="1"/>
      <c r="G650" s="77"/>
      <c r="H650" s="71"/>
    </row>
    <row r="651" spans="1:8" ht="14.25" customHeight="1">
      <c r="A651" s="1"/>
      <c r="B651" s="1"/>
      <c r="C651" s="1"/>
      <c r="D651" s="1"/>
      <c r="E651" s="1"/>
      <c r="G651" s="77"/>
      <c r="H651" s="71"/>
    </row>
    <row r="652" spans="1:8" ht="14.25" customHeight="1">
      <c r="A652" s="1"/>
      <c r="B652" s="1"/>
      <c r="C652" s="1"/>
      <c r="D652" s="1"/>
      <c r="E652" s="1"/>
      <c r="G652" s="77"/>
      <c r="H652" s="71"/>
    </row>
    <row r="653" spans="1:8" ht="14.25" customHeight="1">
      <c r="A653" s="1"/>
      <c r="B653" s="1"/>
      <c r="C653" s="1"/>
      <c r="D653" s="1"/>
      <c r="E653" s="1"/>
      <c r="G653" s="77"/>
      <c r="H653" s="71"/>
    </row>
    <row r="654" spans="1:8" ht="14.25" customHeight="1">
      <c r="A654" s="1"/>
      <c r="B654" s="1"/>
      <c r="C654" s="1"/>
      <c r="D654" s="1"/>
      <c r="E654" s="1"/>
      <c r="G654" s="77"/>
      <c r="H654" s="71"/>
    </row>
    <row r="655" spans="1:8" ht="14.25" customHeight="1">
      <c r="A655" s="1"/>
      <c r="B655" s="1"/>
      <c r="C655" s="1"/>
      <c r="D655" s="1"/>
      <c r="E655" s="1"/>
      <c r="G655" s="77"/>
      <c r="H655" s="71"/>
    </row>
    <row r="656" spans="1:8" ht="14.25" customHeight="1">
      <c r="A656" s="1"/>
      <c r="B656" s="1"/>
      <c r="C656" s="1"/>
      <c r="D656" s="1"/>
      <c r="E656" s="1"/>
      <c r="G656" s="77"/>
      <c r="H656" s="71"/>
    </row>
    <row r="657" spans="1:8" ht="14.25" customHeight="1">
      <c r="A657" s="1"/>
      <c r="B657" s="1"/>
      <c r="C657" s="1"/>
      <c r="D657" s="1"/>
      <c r="E657" s="1"/>
      <c r="G657" s="77"/>
      <c r="H657" s="71"/>
    </row>
    <row r="658" spans="1:8" ht="14.25" customHeight="1">
      <c r="A658" s="1"/>
      <c r="B658" s="1"/>
      <c r="C658" s="1"/>
      <c r="D658" s="1"/>
      <c r="E658" s="1"/>
      <c r="G658" s="77"/>
      <c r="H658" s="71"/>
    </row>
    <row r="659" spans="1:8" ht="14.25" customHeight="1">
      <c r="A659" s="1"/>
      <c r="B659" s="1"/>
      <c r="C659" s="1"/>
      <c r="D659" s="1"/>
      <c r="E659" s="1"/>
      <c r="G659" s="77"/>
      <c r="H659" s="71"/>
    </row>
    <row r="660" spans="1:8" ht="14.25" customHeight="1">
      <c r="A660" s="1"/>
      <c r="B660" s="1"/>
      <c r="C660" s="1"/>
      <c r="D660" s="1"/>
      <c r="E660" s="1"/>
      <c r="G660" s="77"/>
      <c r="H660" s="71"/>
    </row>
    <row r="661" spans="1:8" ht="14.25" customHeight="1">
      <c r="A661" s="1"/>
      <c r="B661" s="1"/>
      <c r="C661" s="1"/>
      <c r="D661" s="1"/>
      <c r="E661" s="1"/>
      <c r="G661" s="77"/>
      <c r="H661" s="71"/>
    </row>
    <row r="662" spans="1:8" ht="14.25" customHeight="1">
      <c r="A662" s="1"/>
      <c r="B662" s="1"/>
      <c r="C662" s="1"/>
      <c r="D662" s="1"/>
      <c r="E662" s="1"/>
      <c r="G662" s="77"/>
      <c r="H662" s="71"/>
    </row>
    <row r="663" spans="1:8" ht="14.25" customHeight="1">
      <c r="A663" s="1"/>
      <c r="B663" s="1"/>
      <c r="C663" s="1"/>
      <c r="D663" s="1"/>
      <c r="E663" s="1"/>
      <c r="G663" s="77"/>
      <c r="H663" s="71"/>
    </row>
    <row r="664" spans="1:8" ht="14.25" customHeight="1">
      <c r="A664" s="1"/>
      <c r="B664" s="1"/>
      <c r="C664" s="1"/>
      <c r="D664" s="1"/>
      <c r="E664" s="1"/>
      <c r="G664" s="77"/>
      <c r="H664" s="71"/>
    </row>
    <row r="665" spans="1:8" ht="14.25" customHeight="1">
      <c r="A665" s="1"/>
      <c r="B665" s="1"/>
      <c r="C665" s="1"/>
      <c r="D665" s="1"/>
      <c r="E665" s="1"/>
      <c r="G665" s="77"/>
      <c r="H665" s="71"/>
    </row>
    <row r="666" spans="1:8" ht="14.25" customHeight="1">
      <c r="A666" s="1"/>
      <c r="B666" s="1"/>
      <c r="C666" s="1"/>
      <c r="D666" s="1"/>
      <c r="E666" s="1"/>
      <c r="G666" s="77"/>
      <c r="H666" s="71"/>
    </row>
    <row r="667" spans="1:8" ht="14.25" customHeight="1">
      <c r="A667" s="1"/>
      <c r="B667" s="1"/>
      <c r="C667" s="1"/>
      <c r="D667" s="1"/>
      <c r="E667" s="1"/>
      <c r="G667" s="77"/>
      <c r="H667" s="71"/>
    </row>
    <row r="668" spans="1:8" ht="14.25" customHeight="1">
      <c r="A668" s="1"/>
      <c r="B668" s="1"/>
      <c r="C668" s="1"/>
      <c r="D668" s="1"/>
      <c r="E668" s="1"/>
      <c r="G668" s="77"/>
      <c r="H668" s="71"/>
    </row>
    <row r="669" spans="1:8" ht="14.25" customHeight="1">
      <c r="A669" s="1"/>
      <c r="B669" s="1"/>
      <c r="C669" s="1"/>
      <c r="D669" s="1"/>
      <c r="E669" s="1"/>
      <c r="G669" s="77"/>
      <c r="H669" s="71"/>
    </row>
    <row r="670" spans="1:8" ht="14.25" customHeight="1">
      <c r="A670" s="1"/>
      <c r="B670" s="1"/>
      <c r="C670" s="1"/>
      <c r="D670" s="1"/>
      <c r="E670" s="1"/>
      <c r="G670" s="77"/>
      <c r="H670" s="71"/>
    </row>
    <row r="671" spans="1:8" ht="14.25" customHeight="1">
      <c r="A671" s="1"/>
      <c r="B671" s="1"/>
      <c r="C671" s="1"/>
      <c r="D671" s="1"/>
      <c r="E671" s="1"/>
      <c r="G671" s="77"/>
      <c r="H671" s="71"/>
    </row>
    <row r="672" spans="1:8" ht="14.25" customHeight="1">
      <c r="A672" s="1"/>
      <c r="B672" s="1"/>
      <c r="C672" s="1"/>
      <c r="D672" s="1"/>
      <c r="E672" s="1"/>
      <c r="G672" s="77"/>
      <c r="H672" s="71"/>
    </row>
    <row r="673" spans="1:8" ht="14.25" customHeight="1">
      <c r="A673" s="1"/>
      <c r="B673" s="1"/>
      <c r="C673" s="1"/>
      <c r="D673" s="1"/>
      <c r="E673" s="1"/>
      <c r="G673" s="77"/>
      <c r="H673" s="71"/>
    </row>
    <row r="674" spans="1:8" ht="14.25" customHeight="1">
      <c r="A674" s="1"/>
      <c r="B674" s="1"/>
      <c r="C674" s="1"/>
      <c r="D674" s="1"/>
      <c r="E674" s="1"/>
      <c r="G674" s="77"/>
      <c r="H674" s="71"/>
    </row>
    <row r="675" spans="1:8" ht="14.25" customHeight="1">
      <c r="A675" s="1"/>
      <c r="B675" s="1"/>
      <c r="C675" s="1"/>
      <c r="D675" s="1"/>
      <c r="E675" s="1"/>
      <c r="G675" s="77"/>
      <c r="H675" s="71"/>
    </row>
    <row r="676" spans="1:8" ht="14.25" customHeight="1">
      <c r="A676" s="1"/>
      <c r="B676" s="1"/>
      <c r="C676" s="1"/>
      <c r="D676" s="1"/>
      <c r="E676" s="1"/>
      <c r="G676" s="77"/>
      <c r="H676" s="71"/>
    </row>
    <row r="677" spans="1:8" ht="14.25" customHeight="1">
      <c r="A677" s="1"/>
      <c r="B677" s="1"/>
      <c r="C677" s="1"/>
      <c r="D677" s="1"/>
      <c r="E677" s="1"/>
      <c r="G677" s="77"/>
      <c r="H677" s="71"/>
    </row>
    <row r="678" spans="1:8" ht="14.25" customHeight="1">
      <c r="A678" s="1"/>
      <c r="B678" s="1"/>
      <c r="C678" s="1"/>
      <c r="D678" s="1"/>
      <c r="E678" s="1"/>
      <c r="G678" s="77"/>
      <c r="H678" s="71"/>
    </row>
    <row r="679" spans="1:8" ht="14.25" customHeight="1">
      <c r="A679" s="1"/>
      <c r="B679" s="1"/>
      <c r="C679" s="1"/>
      <c r="D679" s="1"/>
      <c r="E679" s="1"/>
      <c r="G679" s="77"/>
      <c r="H679" s="71"/>
    </row>
    <row r="680" spans="1:8" ht="14.25" customHeight="1">
      <c r="A680" s="1"/>
      <c r="B680" s="1"/>
      <c r="C680" s="1"/>
      <c r="D680" s="1"/>
      <c r="E680" s="1"/>
      <c r="G680" s="77"/>
      <c r="H680" s="71"/>
    </row>
    <row r="681" spans="1:8" ht="14.25" customHeight="1">
      <c r="A681" s="1"/>
      <c r="B681" s="1"/>
      <c r="C681" s="1"/>
      <c r="D681" s="1"/>
      <c r="E681" s="1"/>
      <c r="G681" s="77"/>
      <c r="H681" s="71"/>
    </row>
    <row r="682" spans="1:8" ht="14.25" customHeight="1">
      <c r="A682" s="1"/>
      <c r="B682" s="1"/>
      <c r="C682" s="1"/>
      <c r="D682" s="1"/>
      <c r="E682" s="1"/>
      <c r="G682" s="77"/>
      <c r="H682" s="71"/>
    </row>
    <row r="683" spans="1:8" ht="14.25" customHeight="1">
      <c r="A683" s="1"/>
      <c r="B683" s="1"/>
      <c r="C683" s="1"/>
      <c r="D683" s="1"/>
      <c r="E683" s="1"/>
      <c r="G683" s="77"/>
      <c r="H683" s="71"/>
    </row>
    <row r="684" spans="1:8" ht="14.25" customHeight="1">
      <c r="A684" s="1"/>
      <c r="B684" s="1"/>
      <c r="C684" s="1"/>
      <c r="D684" s="1"/>
      <c r="E684" s="1"/>
      <c r="G684" s="77"/>
      <c r="H684" s="71"/>
    </row>
    <row r="685" spans="1:8" ht="14.25" customHeight="1">
      <c r="A685" s="1"/>
      <c r="B685" s="1"/>
      <c r="C685" s="1"/>
      <c r="D685" s="1"/>
      <c r="E685" s="1"/>
      <c r="G685" s="77"/>
      <c r="H685" s="71"/>
    </row>
    <row r="686" spans="1:8" ht="14.25" customHeight="1">
      <c r="A686" s="1"/>
      <c r="B686" s="1"/>
      <c r="C686" s="1"/>
      <c r="D686" s="1"/>
      <c r="E686" s="1"/>
      <c r="G686" s="77"/>
      <c r="H686" s="71"/>
    </row>
    <row r="687" spans="1:8" ht="14.25" customHeight="1">
      <c r="A687" s="1"/>
      <c r="B687" s="1"/>
      <c r="C687" s="1"/>
      <c r="D687" s="1"/>
      <c r="E687" s="1"/>
      <c r="G687" s="77"/>
      <c r="H687" s="71"/>
    </row>
    <row r="688" spans="1:8" ht="14.25" customHeight="1">
      <c r="A688" s="1"/>
      <c r="B688" s="1"/>
      <c r="C688" s="1"/>
      <c r="D688" s="1"/>
      <c r="E688" s="1"/>
      <c r="G688" s="77"/>
      <c r="H688" s="71"/>
    </row>
    <row r="689" spans="1:8" ht="14.25" customHeight="1">
      <c r="A689" s="1"/>
      <c r="B689" s="1"/>
      <c r="C689" s="1"/>
      <c r="D689" s="1"/>
      <c r="E689" s="1"/>
      <c r="G689" s="77"/>
      <c r="H689" s="71"/>
    </row>
    <row r="690" spans="1:8" ht="14.25" customHeight="1">
      <c r="A690" s="1"/>
      <c r="B690" s="1"/>
      <c r="C690" s="1"/>
      <c r="D690" s="1"/>
      <c r="E690" s="1"/>
      <c r="G690" s="77"/>
      <c r="H690" s="71"/>
    </row>
    <row r="691" spans="1:8" ht="14.25" customHeight="1">
      <c r="A691" s="1"/>
      <c r="B691" s="1"/>
      <c r="C691" s="1"/>
      <c r="D691" s="1"/>
      <c r="E691" s="1"/>
      <c r="G691" s="77"/>
      <c r="H691" s="71"/>
    </row>
    <row r="692" spans="1:8" ht="14.25" customHeight="1">
      <c r="A692" s="1"/>
      <c r="B692" s="1"/>
      <c r="C692" s="1"/>
      <c r="D692" s="1"/>
      <c r="E692" s="1"/>
      <c r="G692" s="77"/>
      <c r="H692" s="71"/>
    </row>
    <row r="693" spans="1:8" ht="14.25" customHeight="1">
      <c r="A693" s="1"/>
      <c r="B693" s="1"/>
      <c r="C693" s="1"/>
      <c r="D693" s="1"/>
      <c r="E693" s="1"/>
      <c r="G693" s="77"/>
      <c r="H693" s="71"/>
    </row>
    <row r="694" spans="1:8" ht="14.25" customHeight="1">
      <c r="A694" s="1"/>
      <c r="B694" s="1"/>
      <c r="C694" s="1"/>
      <c r="D694" s="1"/>
      <c r="E694" s="1"/>
      <c r="G694" s="77"/>
      <c r="H694" s="71"/>
    </row>
    <row r="695" spans="1:8" ht="14.25" customHeight="1">
      <c r="A695" s="1"/>
      <c r="B695" s="1"/>
      <c r="C695" s="1"/>
      <c r="D695" s="1"/>
      <c r="E695" s="1"/>
      <c r="G695" s="77"/>
      <c r="H695" s="71"/>
    </row>
    <row r="696" spans="1:8" ht="14.25" customHeight="1">
      <c r="A696" s="1"/>
      <c r="B696" s="1"/>
      <c r="C696" s="1"/>
      <c r="D696" s="1"/>
      <c r="E696" s="1"/>
      <c r="G696" s="77"/>
      <c r="H696" s="71"/>
    </row>
    <row r="697" spans="1:8" ht="14.25" customHeight="1">
      <c r="A697" s="1"/>
      <c r="B697" s="1"/>
      <c r="C697" s="1"/>
      <c r="D697" s="1"/>
      <c r="E697" s="1"/>
      <c r="G697" s="77"/>
      <c r="H697" s="71"/>
    </row>
    <row r="698" spans="1:8" ht="14.25" customHeight="1">
      <c r="A698" s="1"/>
      <c r="B698" s="1"/>
      <c r="C698" s="1"/>
      <c r="D698" s="1"/>
      <c r="E698" s="1"/>
      <c r="G698" s="77"/>
      <c r="H698" s="71"/>
    </row>
    <row r="699" spans="1:8" ht="14.25" customHeight="1">
      <c r="A699" s="1"/>
      <c r="B699" s="1"/>
      <c r="C699" s="1"/>
      <c r="D699" s="1"/>
      <c r="E699" s="1"/>
      <c r="G699" s="77"/>
      <c r="H699" s="71"/>
    </row>
    <row r="700" spans="1:8" ht="14.25" customHeight="1">
      <c r="A700" s="1"/>
      <c r="B700" s="1"/>
      <c r="C700" s="1"/>
      <c r="D700" s="1"/>
      <c r="E700" s="1"/>
      <c r="G700" s="77"/>
      <c r="H700" s="71"/>
    </row>
    <row r="701" spans="1:8" ht="14.25" customHeight="1">
      <c r="A701" s="1"/>
      <c r="B701" s="1"/>
      <c r="C701" s="1"/>
      <c r="D701" s="1"/>
      <c r="E701" s="1"/>
      <c r="G701" s="77"/>
      <c r="H701" s="71"/>
    </row>
    <row r="702" spans="1:8" ht="14.25" customHeight="1">
      <c r="A702" s="1"/>
      <c r="B702" s="1"/>
      <c r="C702" s="1"/>
      <c r="D702" s="1"/>
      <c r="E702" s="1"/>
      <c r="G702" s="77"/>
      <c r="H702" s="71"/>
    </row>
    <row r="703" spans="1:8" ht="14.25" customHeight="1">
      <c r="A703" s="1"/>
      <c r="B703" s="1"/>
      <c r="C703" s="1"/>
      <c r="D703" s="1"/>
      <c r="E703" s="1"/>
      <c r="G703" s="77"/>
      <c r="H703" s="71"/>
    </row>
    <row r="704" spans="1:8" ht="14.25" customHeight="1">
      <c r="A704" s="1"/>
      <c r="B704" s="1"/>
      <c r="C704" s="1"/>
      <c r="D704" s="1"/>
      <c r="E704" s="1"/>
      <c r="G704" s="77"/>
      <c r="H704" s="71"/>
    </row>
    <row r="705" spans="1:8" ht="14.25" customHeight="1">
      <c r="A705" s="1"/>
      <c r="B705" s="1"/>
      <c r="C705" s="1"/>
      <c r="D705" s="1"/>
      <c r="E705" s="1"/>
      <c r="G705" s="77"/>
      <c r="H705" s="71"/>
    </row>
    <row r="706" spans="1:8" ht="14.25" customHeight="1">
      <c r="A706" s="1"/>
      <c r="B706" s="1"/>
      <c r="C706" s="1"/>
      <c r="D706" s="1"/>
      <c r="E706" s="1"/>
      <c r="G706" s="77"/>
      <c r="H706" s="71"/>
    </row>
    <row r="707" spans="1:8" ht="14.25" customHeight="1">
      <c r="A707" s="1"/>
      <c r="B707" s="1"/>
      <c r="C707" s="1"/>
      <c r="D707" s="1"/>
      <c r="E707" s="1"/>
      <c r="G707" s="77"/>
      <c r="H707" s="71"/>
    </row>
    <row r="708" spans="1:8" ht="14.25" customHeight="1">
      <c r="A708" s="1"/>
      <c r="B708" s="1"/>
      <c r="C708" s="1"/>
      <c r="D708" s="1"/>
      <c r="E708" s="1"/>
      <c r="G708" s="77"/>
      <c r="H708" s="71"/>
    </row>
    <row r="709" spans="1:8" ht="14.25" customHeight="1">
      <c r="A709" s="1"/>
      <c r="B709" s="1"/>
      <c r="C709" s="1"/>
      <c r="D709" s="1"/>
      <c r="E709" s="1"/>
      <c r="G709" s="77"/>
      <c r="H709" s="71"/>
    </row>
    <row r="710" spans="1:8" ht="14.25" customHeight="1">
      <c r="A710" s="1"/>
      <c r="B710" s="1"/>
      <c r="C710" s="1"/>
      <c r="D710" s="1"/>
      <c r="E710" s="1"/>
      <c r="G710" s="77"/>
      <c r="H710" s="71"/>
    </row>
    <row r="711" spans="1:8" ht="14.25" customHeight="1">
      <c r="A711" s="1"/>
      <c r="B711" s="1"/>
      <c r="C711" s="1"/>
      <c r="D711" s="1"/>
      <c r="E711" s="1"/>
      <c r="G711" s="77"/>
      <c r="H711" s="71"/>
    </row>
    <row r="712" spans="1:8" ht="14.25" customHeight="1">
      <c r="A712" s="1"/>
      <c r="B712" s="1"/>
      <c r="C712" s="1"/>
      <c r="D712" s="1"/>
      <c r="E712" s="1"/>
      <c r="G712" s="77"/>
      <c r="H712" s="71"/>
    </row>
    <row r="713" spans="1:8" ht="14.25" customHeight="1">
      <c r="A713" s="1"/>
      <c r="B713" s="1"/>
      <c r="C713" s="1"/>
      <c r="D713" s="1"/>
      <c r="E713" s="1"/>
      <c r="G713" s="77"/>
      <c r="H713" s="71"/>
    </row>
    <row r="714" spans="1:8" ht="14.25" customHeight="1">
      <c r="A714" s="1"/>
      <c r="B714" s="1"/>
      <c r="C714" s="1"/>
      <c r="D714" s="1"/>
      <c r="E714" s="1"/>
      <c r="G714" s="77"/>
      <c r="H714" s="71"/>
    </row>
    <row r="715" spans="1:8" ht="14.25" customHeight="1">
      <c r="A715" s="1"/>
      <c r="B715" s="1"/>
      <c r="C715" s="1"/>
      <c r="D715" s="1"/>
      <c r="E715" s="1"/>
      <c r="G715" s="77"/>
      <c r="H715" s="71"/>
    </row>
    <row r="716" spans="1:8" ht="14.25" customHeight="1">
      <c r="A716" s="1"/>
      <c r="B716" s="1"/>
      <c r="C716" s="1"/>
      <c r="D716" s="1"/>
      <c r="E716" s="1"/>
      <c r="G716" s="77"/>
      <c r="H716" s="71"/>
    </row>
    <row r="717" spans="1:8" ht="14.25" customHeight="1">
      <c r="A717" s="1"/>
      <c r="B717" s="1"/>
      <c r="C717" s="1"/>
      <c r="D717" s="1"/>
      <c r="E717" s="1"/>
      <c r="G717" s="77"/>
      <c r="H717" s="71"/>
    </row>
    <row r="718" spans="1:8" ht="14.25" customHeight="1">
      <c r="A718" s="1"/>
      <c r="B718" s="1"/>
      <c r="C718" s="1"/>
      <c r="D718" s="1"/>
      <c r="E718" s="1"/>
      <c r="G718" s="77"/>
      <c r="H718" s="71"/>
    </row>
    <row r="719" spans="1:8" ht="14.25" customHeight="1">
      <c r="A719" s="1"/>
      <c r="B719" s="1"/>
      <c r="C719" s="1"/>
      <c r="D719" s="1"/>
      <c r="E719" s="1"/>
      <c r="G719" s="77"/>
      <c r="H719" s="71"/>
    </row>
    <row r="720" spans="1:8" ht="14.25" customHeight="1">
      <c r="A720" s="1"/>
      <c r="B720" s="1"/>
      <c r="C720" s="1"/>
      <c r="D720" s="1"/>
      <c r="E720" s="1"/>
      <c r="G720" s="77"/>
      <c r="H720" s="71"/>
    </row>
    <row r="721" spans="1:8" ht="14.25" customHeight="1">
      <c r="A721" s="1"/>
      <c r="B721" s="1"/>
      <c r="C721" s="1"/>
      <c r="D721" s="1"/>
      <c r="E721" s="1"/>
      <c r="G721" s="77"/>
      <c r="H721" s="71"/>
    </row>
    <row r="722" spans="1:8" ht="14.25" customHeight="1">
      <c r="A722" s="1"/>
      <c r="B722" s="1"/>
      <c r="C722" s="1"/>
      <c r="D722" s="1"/>
      <c r="E722" s="1"/>
      <c r="G722" s="77"/>
      <c r="H722" s="71"/>
    </row>
    <row r="723" spans="1:8" ht="14.25" customHeight="1">
      <c r="A723" s="1"/>
      <c r="B723" s="1"/>
      <c r="C723" s="1"/>
      <c r="D723" s="1"/>
      <c r="E723" s="1"/>
      <c r="G723" s="77"/>
      <c r="H723" s="71"/>
    </row>
    <row r="724" spans="1:8" ht="14.25" customHeight="1">
      <c r="A724" s="1"/>
      <c r="B724" s="1"/>
      <c r="C724" s="1"/>
      <c r="D724" s="1"/>
      <c r="E724" s="1"/>
      <c r="G724" s="77"/>
      <c r="H724" s="71"/>
    </row>
    <row r="725" spans="1:8" ht="14.25" customHeight="1">
      <c r="A725" s="1"/>
      <c r="B725" s="1"/>
      <c r="C725" s="1"/>
      <c r="D725" s="1"/>
      <c r="E725" s="1"/>
      <c r="G725" s="77"/>
      <c r="H725" s="71"/>
    </row>
    <row r="726" spans="1:8" ht="14.25" customHeight="1">
      <c r="A726" s="1"/>
      <c r="B726" s="1"/>
      <c r="C726" s="1"/>
      <c r="D726" s="1"/>
      <c r="E726" s="1"/>
      <c r="G726" s="77"/>
      <c r="H726" s="71"/>
    </row>
    <row r="727" spans="1:8" ht="14.25" customHeight="1">
      <c r="A727" s="1"/>
      <c r="B727" s="1"/>
      <c r="C727" s="1"/>
      <c r="D727" s="1"/>
      <c r="E727" s="1"/>
      <c r="G727" s="77"/>
      <c r="H727" s="71"/>
    </row>
    <row r="728" spans="1:8" ht="14.25" customHeight="1">
      <c r="A728" s="1"/>
      <c r="B728" s="1"/>
      <c r="C728" s="1"/>
      <c r="D728" s="1"/>
      <c r="E728" s="1"/>
      <c r="G728" s="77"/>
      <c r="H728" s="71"/>
    </row>
    <row r="729" spans="1:8" ht="14.25" customHeight="1">
      <c r="A729" s="1"/>
      <c r="B729" s="1"/>
      <c r="C729" s="1"/>
      <c r="D729" s="1"/>
      <c r="E729" s="1"/>
      <c r="G729" s="77"/>
      <c r="H729" s="71"/>
    </row>
    <row r="730" spans="1:8" ht="14.25" customHeight="1">
      <c r="A730" s="1"/>
      <c r="B730" s="1"/>
      <c r="C730" s="1"/>
      <c r="D730" s="1"/>
      <c r="E730" s="1"/>
      <c r="G730" s="77"/>
      <c r="H730" s="71"/>
    </row>
    <row r="731" spans="1:8" ht="14.25" customHeight="1">
      <c r="A731" s="1"/>
      <c r="B731" s="1"/>
      <c r="C731" s="1"/>
      <c r="D731" s="1"/>
      <c r="E731" s="1"/>
      <c r="G731" s="77"/>
      <c r="H731" s="71"/>
    </row>
    <row r="732" spans="1:8" ht="14.25" customHeight="1">
      <c r="A732" s="1"/>
      <c r="B732" s="1"/>
      <c r="C732" s="1"/>
      <c r="D732" s="1"/>
      <c r="E732" s="1"/>
      <c r="G732" s="77"/>
      <c r="H732" s="71"/>
    </row>
    <row r="733" spans="1:8" ht="14.25" customHeight="1">
      <c r="A733" s="1"/>
      <c r="B733" s="1"/>
      <c r="C733" s="1"/>
      <c r="D733" s="1"/>
      <c r="E733" s="1"/>
      <c r="G733" s="77"/>
      <c r="H733" s="71"/>
    </row>
    <row r="734" spans="1:8" ht="14.25" customHeight="1">
      <c r="A734" s="1"/>
      <c r="B734" s="1"/>
      <c r="C734" s="1"/>
      <c r="D734" s="1"/>
      <c r="E734" s="1"/>
      <c r="G734" s="77"/>
      <c r="H734" s="71"/>
    </row>
    <row r="735" spans="1:8" ht="14.25" customHeight="1">
      <c r="A735" s="1"/>
      <c r="B735" s="1"/>
      <c r="C735" s="1"/>
      <c r="D735" s="1"/>
      <c r="E735" s="1"/>
      <c r="G735" s="77"/>
      <c r="H735" s="71"/>
    </row>
    <row r="736" spans="1:8" ht="14.25" customHeight="1">
      <c r="A736" s="1"/>
      <c r="B736" s="1"/>
      <c r="C736" s="1"/>
      <c r="D736" s="1"/>
      <c r="E736" s="1"/>
      <c r="G736" s="77"/>
      <c r="H736" s="71"/>
    </row>
    <row r="737" spans="1:8" ht="14.25" customHeight="1">
      <c r="A737" s="1"/>
      <c r="B737" s="1"/>
      <c r="C737" s="1"/>
      <c r="D737" s="1"/>
      <c r="E737" s="1"/>
      <c r="G737" s="77"/>
      <c r="H737" s="71"/>
    </row>
    <row r="738" spans="1:8" ht="14.25" customHeight="1">
      <c r="A738" s="1"/>
      <c r="B738" s="1"/>
      <c r="C738" s="1"/>
      <c r="D738" s="1"/>
      <c r="E738" s="1"/>
      <c r="G738" s="77"/>
      <c r="H738" s="71"/>
    </row>
    <row r="739" spans="1:8" ht="14.25" customHeight="1">
      <c r="A739" s="1"/>
      <c r="B739" s="1"/>
      <c r="C739" s="1"/>
      <c r="D739" s="1"/>
      <c r="E739" s="1"/>
      <c r="G739" s="77"/>
      <c r="H739" s="71"/>
    </row>
    <row r="740" spans="1:8" ht="14.25" customHeight="1">
      <c r="A740" s="1"/>
      <c r="B740" s="1"/>
      <c r="C740" s="1"/>
      <c r="D740" s="1"/>
      <c r="E740" s="1"/>
      <c r="G740" s="77"/>
      <c r="H740" s="71"/>
    </row>
    <row r="741" spans="1:8" ht="14.25" customHeight="1">
      <c r="A741" s="1"/>
      <c r="B741" s="1"/>
      <c r="C741" s="1"/>
      <c r="D741" s="1"/>
      <c r="E741" s="1"/>
      <c r="G741" s="77"/>
      <c r="H741" s="71"/>
    </row>
    <row r="742" spans="1:8" ht="14.25" customHeight="1">
      <c r="A742" s="1"/>
      <c r="B742" s="1"/>
      <c r="C742" s="1"/>
      <c r="D742" s="1"/>
      <c r="E742" s="1"/>
      <c r="G742" s="77"/>
      <c r="H742" s="71"/>
    </row>
    <row r="743" spans="1:8" ht="14.25" customHeight="1">
      <c r="A743" s="1"/>
      <c r="B743" s="1"/>
      <c r="C743" s="1"/>
      <c r="D743" s="1"/>
      <c r="E743" s="1"/>
      <c r="G743" s="77"/>
      <c r="H743" s="71"/>
    </row>
    <row r="744" spans="1:8" ht="14.25" customHeight="1">
      <c r="A744" s="1"/>
      <c r="B744" s="1"/>
      <c r="C744" s="1"/>
      <c r="D744" s="1"/>
      <c r="E744" s="1"/>
      <c r="G744" s="77"/>
      <c r="H744" s="71"/>
    </row>
    <row r="745" spans="1:8" ht="14.25" customHeight="1">
      <c r="A745" s="1"/>
      <c r="B745" s="1"/>
      <c r="C745" s="1"/>
      <c r="D745" s="1"/>
      <c r="E745" s="1"/>
      <c r="G745" s="77"/>
      <c r="H745" s="71"/>
    </row>
    <row r="746" spans="1:8" ht="14.25" customHeight="1">
      <c r="A746" s="1"/>
      <c r="B746" s="1"/>
      <c r="C746" s="1"/>
      <c r="D746" s="1"/>
      <c r="E746" s="1"/>
      <c r="G746" s="77"/>
      <c r="H746" s="71"/>
    </row>
    <row r="747" spans="1:8" ht="14.25" customHeight="1">
      <c r="A747" s="1"/>
      <c r="B747" s="1"/>
      <c r="C747" s="1"/>
      <c r="D747" s="1"/>
      <c r="E747" s="1"/>
      <c r="G747" s="77"/>
      <c r="H747" s="71"/>
    </row>
    <row r="748" spans="1:8" ht="14.25" customHeight="1">
      <c r="A748" s="1"/>
      <c r="B748" s="1"/>
      <c r="C748" s="1"/>
      <c r="D748" s="1"/>
      <c r="E748" s="1"/>
      <c r="G748" s="77"/>
      <c r="H748" s="71"/>
    </row>
    <row r="749" spans="1:8" ht="14.25" customHeight="1">
      <c r="A749" s="1"/>
      <c r="B749" s="1"/>
      <c r="C749" s="1"/>
      <c r="D749" s="1"/>
      <c r="E749" s="1"/>
      <c r="G749" s="77"/>
      <c r="H749" s="71"/>
    </row>
    <row r="750" spans="1:8" ht="14.25" customHeight="1">
      <c r="A750" s="1"/>
      <c r="B750" s="1"/>
      <c r="C750" s="1"/>
      <c r="D750" s="1"/>
      <c r="E750" s="1"/>
      <c r="G750" s="77"/>
      <c r="H750" s="71"/>
    </row>
    <row r="751" spans="1:8" ht="14.25" customHeight="1">
      <c r="A751" s="1"/>
      <c r="B751" s="1"/>
      <c r="C751" s="1"/>
      <c r="D751" s="1"/>
      <c r="E751" s="1"/>
      <c r="G751" s="77"/>
      <c r="H751" s="71"/>
    </row>
    <row r="752" spans="1:8" ht="14.25" customHeight="1">
      <c r="A752" s="1"/>
      <c r="B752" s="1"/>
      <c r="C752" s="1"/>
      <c r="D752" s="1"/>
      <c r="E752" s="1"/>
      <c r="G752" s="77"/>
      <c r="H752" s="71"/>
    </row>
    <row r="753" spans="1:8" ht="14.25" customHeight="1">
      <c r="A753" s="1"/>
      <c r="B753" s="1"/>
      <c r="C753" s="1"/>
      <c r="D753" s="1"/>
      <c r="E753" s="1"/>
      <c r="G753" s="77"/>
      <c r="H753" s="71"/>
    </row>
    <row r="754" spans="1:8" ht="14.25" customHeight="1">
      <c r="A754" s="1"/>
      <c r="B754" s="1"/>
      <c r="C754" s="1"/>
      <c r="D754" s="1"/>
      <c r="E754" s="1"/>
      <c r="G754" s="77"/>
      <c r="H754" s="71"/>
    </row>
    <row r="755" spans="1:8" ht="14.25" customHeight="1">
      <c r="A755" s="1"/>
      <c r="B755" s="1"/>
      <c r="C755" s="1"/>
      <c r="D755" s="1"/>
      <c r="E755" s="1"/>
      <c r="G755" s="77"/>
      <c r="H755" s="71"/>
    </row>
    <row r="756" spans="1:8" ht="14.25" customHeight="1">
      <c r="A756" s="1"/>
      <c r="B756" s="1"/>
      <c r="C756" s="1"/>
      <c r="D756" s="1"/>
      <c r="E756" s="1"/>
      <c r="G756" s="77"/>
      <c r="H756" s="71"/>
    </row>
    <row r="757" spans="1:8" ht="14.25" customHeight="1">
      <c r="A757" s="1"/>
      <c r="B757" s="1"/>
      <c r="C757" s="1"/>
      <c r="D757" s="1"/>
      <c r="E757" s="1"/>
      <c r="G757" s="77"/>
      <c r="H757" s="71"/>
    </row>
    <row r="758" spans="1:8" ht="14.25" customHeight="1">
      <c r="A758" s="1"/>
      <c r="B758" s="1"/>
      <c r="C758" s="1"/>
      <c r="D758" s="1"/>
      <c r="E758" s="1"/>
      <c r="G758" s="77"/>
      <c r="H758" s="71"/>
    </row>
    <row r="759" spans="1:8" ht="14.25" customHeight="1">
      <c r="A759" s="1"/>
      <c r="B759" s="1"/>
      <c r="C759" s="1"/>
      <c r="D759" s="1"/>
      <c r="E759" s="1"/>
      <c r="G759" s="77"/>
      <c r="H759" s="71"/>
    </row>
    <row r="760" spans="1:8" ht="14.25" customHeight="1">
      <c r="A760" s="1"/>
      <c r="B760" s="1"/>
      <c r="C760" s="1"/>
      <c r="D760" s="1"/>
      <c r="E760" s="1"/>
      <c r="G760" s="77"/>
      <c r="H760" s="71"/>
    </row>
    <row r="761" spans="1:8" ht="14.25" customHeight="1">
      <c r="A761" s="1"/>
      <c r="B761" s="1"/>
      <c r="C761" s="1"/>
      <c r="D761" s="1"/>
      <c r="E761" s="1"/>
      <c r="G761" s="77"/>
      <c r="H761" s="71"/>
    </row>
    <row r="762" spans="1:8" ht="14.25" customHeight="1">
      <c r="A762" s="1"/>
      <c r="B762" s="1"/>
      <c r="C762" s="1"/>
      <c r="D762" s="1"/>
      <c r="E762" s="1"/>
      <c r="G762" s="77"/>
      <c r="H762" s="71"/>
    </row>
    <row r="763" spans="1:8" ht="14.25" customHeight="1">
      <c r="A763" s="1"/>
      <c r="B763" s="1"/>
      <c r="C763" s="1"/>
      <c r="D763" s="1"/>
      <c r="E763" s="1"/>
      <c r="G763" s="77"/>
      <c r="H763" s="71"/>
    </row>
    <row r="764" spans="1:8" ht="14.25" customHeight="1">
      <c r="A764" s="1"/>
      <c r="B764" s="1"/>
      <c r="C764" s="1"/>
      <c r="D764" s="1"/>
      <c r="E764" s="1"/>
      <c r="G764" s="77"/>
      <c r="H764" s="71"/>
    </row>
    <row r="765" spans="1:8" ht="14.25" customHeight="1">
      <c r="A765" s="1"/>
      <c r="B765" s="1"/>
      <c r="C765" s="1"/>
      <c r="D765" s="1"/>
      <c r="E765" s="1"/>
      <c r="G765" s="77"/>
      <c r="H765" s="71"/>
    </row>
    <row r="766" spans="1:8" ht="14.25" customHeight="1">
      <c r="A766" s="1"/>
      <c r="B766" s="1"/>
      <c r="C766" s="1"/>
      <c r="D766" s="1"/>
      <c r="E766" s="1"/>
      <c r="G766" s="77"/>
      <c r="H766" s="71"/>
    </row>
    <row r="767" spans="1:8" ht="14.25" customHeight="1">
      <c r="A767" s="1"/>
      <c r="B767" s="1"/>
      <c r="C767" s="1"/>
      <c r="D767" s="1"/>
      <c r="E767" s="1"/>
      <c r="G767" s="77"/>
      <c r="H767" s="71"/>
    </row>
    <row r="768" spans="1:8" ht="14.25" customHeight="1">
      <c r="A768" s="1"/>
      <c r="B768" s="1"/>
      <c r="C768" s="1"/>
      <c r="D768" s="1"/>
      <c r="E768" s="1"/>
      <c r="G768" s="77"/>
      <c r="H768" s="71"/>
    </row>
    <row r="769" spans="1:8" ht="14.25" customHeight="1">
      <c r="A769" s="1"/>
      <c r="B769" s="1"/>
      <c r="C769" s="1"/>
      <c r="D769" s="1"/>
      <c r="E769" s="1"/>
      <c r="G769" s="77"/>
      <c r="H769" s="71"/>
    </row>
    <row r="770" spans="1:8" ht="14.25" customHeight="1">
      <c r="A770" s="1"/>
      <c r="B770" s="1"/>
      <c r="C770" s="1"/>
      <c r="D770" s="1"/>
      <c r="E770" s="1"/>
      <c r="G770" s="77"/>
      <c r="H770" s="71"/>
    </row>
    <row r="771" spans="1:8" ht="14.25" customHeight="1">
      <c r="A771" s="1"/>
      <c r="B771" s="1"/>
      <c r="C771" s="1"/>
      <c r="D771" s="1"/>
      <c r="E771" s="1"/>
      <c r="G771" s="77"/>
      <c r="H771" s="71"/>
    </row>
    <row r="772" spans="1:8" ht="14.25" customHeight="1">
      <c r="A772" s="1"/>
      <c r="B772" s="1"/>
      <c r="C772" s="1"/>
      <c r="D772" s="1"/>
      <c r="E772" s="1"/>
      <c r="G772" s="77"/>
      <c r="H772" s="71"/>
    </row>
    <row r="773" spans="1:8" ht="14.25" customHeight="1">
      <c r="A773" s="1"/>
      <c r="B773" s="1"/>
      <c r="C773" s="1"/>
      <c r="D773" s="1"/>
      <c r="E773" s="1"/>
      <c r="G773" s="77"/>
      <c r="H773" s="71"/>
    </row>
    <row r="774" spans="1:8" ht="14.25" customHeight="1">
      <c r="A774" s="1"/>
      <c r="B774" s="1"/>
      <c r="C774" s="1"/>
      <c r="D774" s="1"/>
      <c r="E774" s="1"/>
      <c r="G774" s="77"/>
      <c r="H774" s="71"/>
    </row>
    <row r="775" spans="1:8" ht="14.25" customHeight="1">
      <c r="A775" s="1"/>
      <c r="B775" s="1"/>
      <c r="C775" s="1"/>
      <c r="D775" s="1"/>
      <c r="E775" s="1"/>
      <c r="G775" s="77"/>
      <c r="H775" s="71"/>
    </row>
    <row r="776" spans="1:8" ht="14.25" customHeight="1">
      <c r="A776" s="1"/>
      <c r="B776" s="1"/>
      <c r="C776" s="1"/>
      <c r="D776" s="1"/>
      <c r="E776" s="1"/>
      <c r="G776" s="77"/>
      <c r="H776" s="71"/>
    </row>
    <row r="777" spans="1:8" ht="14.25" customHeight="1">
      <c r="A777" s="1"/>
      <c r="B777" s="1"/>
      <c r="C777" s="1"/>
      <c r="D777" s="1"/>
      <c r="E777" s="1"/>
      <c r="G777" s="77"/>
      <c r="H777" s="71"/>
    </row>
    <row r="778" spans="1:8" ht="14.25" customHeight="1">
      <c r="A778" s="1"/>
      <c r="B778" s="1"/>
      <c r="C778" s="1"/>
      <c r="D778" s="1"/>
      <c r="E778" s="1"/>
      <c r="G778" s="77"/>
      <c r="H778" s="71"/>
    </row>
    <row r="779" spans="1:8" ht="14.25" customHeight="1">
      <c r="A779" s="1"/>
      <c r="B779" s="1"/>
      <c r="C779" s="1"/>
      <c r="D779" s="1"/>
      <c r="E779" s="1"/>
      <c r="G779" s="77"/>
      <c r="H779" s="71"/>
    </row>
    <row r="780" spans="1:8" ht="14.25" customHeight="1">
      <c r="A780" s="1"/>
      <c r="B780" s="1"/>
      <c r="C780" s="1"/>
      <c r="D780" s="1"/>
      <c r="E780" s="1"/>
      <c r="G780" s="77"/>
      <c r="H780" s="71"/>
    </row>
    <row r="781" spans="1:8" ht="14.25" customHeight="1">
      <c r="A781" s="1"/>
      <c r="B781" s="1"/>
      <c r="C781" s="1"/>
      <c r="D781" s="1"/>
      <c r="E781" s="1"/>
      <c r="G781" s="77"/>
      <c r="H781" s="71"/>
    </row>
    <row r="782" spans="1:8" ht="14.25" customHeight="1">
      <c r="A782" s="1"/>
      <c r="B782" s="1"/>
      <c r="C782" s="1"/>
      <c r="D782" s="1"/>
      <c r="E782" s="1"/>
      <c r="G782" s="77"/>
      <c r="H782" s="71"/>
    </row>
    <row r="783" spans="1:8" ht="14.25" customHeight="1">
      <c r="A783" s="1"/>
      <c r="B783" s="1"/>
      <c r="C783" s="1"/>
      <c r="D783" s="1"/>
      <c r="E783" s="1"/>
      <c r="G783" s="77"/>
      <c r="H783" s="71"/>
    </row>
    <row r="784" spans="1:8" ht="14.25" customHeight="1">
      <c r="A784" s="1"/>
      <c r="B784" s="1"/>
      <c r="C784" s="1"/>
      <c r="D784" s="1"/>
      <c r="E784" s="1"/>
      <c r="G784" s="77"/>
      <c r="H784" s="71"/>
    </row>
    <row r="785" spans="1:8" ht="14.25" customHeight="1">
      <c r="A785" s="1"/>
      <c r="B785" s="1"/>
      <c r="C785" s="1"/>
      <c r="D785" s="1"/>
      <c r="E785" s="1"/>
      <c r="G785" s="77"/>
      <c r="H785" s="71"/>
    </row>
    <row r="786" spans="1:8" ht="14.25" customHeight="1">
      <c r="A786" s="1"/>
      <c r="B786" s="1"/>
      <c r="C786" s="1"/>
      <c r="D786" s="1"/>
      <c r="E786" s="1"/>
      <c r="G786" s="77"/>
      <c r="H786" s="71"/>
    </row>
    <row r="787" spans="1:8" ht="14.25" customHeight="1">
      <c r="A787" s="1"/>
      <c r="B787" s="1"/>
      <c r="C787" s="1"/>
      <c r="D787" s="1"/>
      <c r="E787" s="1"/>
      <c r="G787" s="77"/>
      <c r="H787" s="71"/>
    </row>
    <row r="788" spans="1:8" ht="14.25" customHeight="1">
      <c r="A788" s="1"/>
      <c r="B788" s="1"/>
      <c r="C788" s="1"/>
      <c r="D788" s="1"/>
      <c r="E788" s="1"/>
      <c r="G788" s="77"/>
      <c r="H788" s="71"/>
    </row>
    <row r="789" spans="1:8" ht="14.25" customHeight="1">
      <c r="A789" s="1"/>
      <c r="B789" s="1"/>
      <c r="C789" s="1"/>
      <c r="D789" s="1"/>
      <c r="E789" s="1"/>
      <c r="G789" s="77"/>
      <c r="H789" s="71"/>
    </row>
    <row r="790" spans="1:8" ht="14.25" customHeight="1">
      <c r="A790" s="1"/>
      <c r="B790" s="1"/>
      <c r="C790" s="1"/>
      <c r="D790" s="1"/>
      <c r="E790" s="1"/>
      <c r="G790" s="77"/>
      <c r="H790" s="71"/>
    </row>
    <row r="791" spans="1:8" ht="14.25" customHeight="1">
      <c r="A791" s="1"/>
      <c r="B791" s="1"/>
      <c r="C791" s="1"/>
      <c r="D791" s="1"/>
      <c r="E791" s="1"/>
      <c r="G791" s="77"/>
      <c r="H791" s="71"/>
    </row>
    <row r="792" spans="1:8" ht="14.25" customHeight="1">
      <c r="A792" s="1"/>
      <c r="B792" s="1"/>
      <c r="C792" s="1"/>
      <c r="D792" s="1"/>
      <c r="E792" s="1"/>
      <c r="G792" s="77"/>
      <c r="H792" s="71"/>
    </row>
    <row r="793" spans="1:8" ht="14.25" customHeight="1">
      <c r="A793" s="1"/>
      <c r="B793" s="1"/>
      <c r="C793" s="1"/>
      <c r="D793" s="1"/>
      <c r="E793" s="1"/>
      <c r="G793" s="77"/>
      <c r="H793" s="71"/>
    </row>
    <row r="794" spans="1:8" ht="14.25" customHeight="1">
      <c r="A794" s="1"/>
      <c r="B794" s="1"/>
      <c r="C794" s="1"/>
      <c r="D794" s="1"/>
      <c r="E794" s="1"/>
      <c r="G794" s="77"/>
      <c r="H794" s="71"/>
    </row>
    <row r="795" spans="1:8" ht="14.25" customHeight="1">
      <c r="A795" s="1"/>
      <c r="B795" s="1"/>
      <c r="C795" s="1"/>
      <c r="D795" s="1"/>
      <c r="E795" s="1"/>
      <c r="G795" s="77"/>
      <c r="H795" s="71"/>
    </row>
    <row r="796" spans="1:8" ht="14.25" customHeight="1">
      <c r="A796" s="1"/>
      <c r="B796" s="1"/>
      <c r="C796" s="1"/>
      <c r="D796" s="1"/>
      <c r="E796" s="1"/>
      <c r="G796" s="77"/>
      <c r="H796" s="71"/>
    </row>
    <row r="797" spans="1:8" ht="14.25" customHeight="1">
      <c r="A797" s="1"/>
      <c r="B797" s="1"/>
      <c r="C797" s="1"/>
      <c r="D797" s="1"/>
      <c r="E797" s="1"/>
      <c r="G797" s="77"/>
      <c r="H797" s="71"/>
    </row>
    <row r="798" spans="1:8" ht="14.25" customHeight="1">
      <c r="A798" s="1"/>
      <c r="B798" s="1"/>
      <c r="C798" s="1"/>
      <c r="D798" s="1"/>
      <c r="E798" s="1"/>
      <c r="G798" s="77"/>
      <c r="H798" s="71"/>
    </row>
    <row r="799" spans="1:8" ht="14.25" customHeight="1">
      <c r="A799" s="1"/>
      <c r="B799" s="1"/>
      <c r="C799" s="1"/>
      <c r="D799" s="1"/>
      <c r="E799" s="1"/>
      <c r="G799" s="77"/>
      <c r="H799" s="71"/>
    </row>
    <row r="800" spans="1:8" ht="14.25" customHeight="1">
      <c r="A800" s="1"/>
      <c r="B800" s="1"/>
      <c r="C800" s="1"/>
      <c r="D800" s="1"/>
      <c r="E800" s="1"/>
      <c r="G800" s="77"/>
      <c r="H800" s="71"/>
    </row>
    <row r="801" spans="1:8" ht="14.25" customHeight="1">
      <c r="A801" s="1"/>
      <c r="B801" s="1"/>
      <c r="C801" s="1"/>
      <c r="D801" s="1"/>
      <c r="E801" s="1"/>
      <c r="G801" s="77"/>
      <c r="H801" s="71"/>
    </row>
    <row r="802" spans="1:8" ht="14.25" customHeight="1">
      <c r="A802" s="1"/>
      <c r="B802" s="1"/>
      <c r="C802" s="1"/>
      <c r="D802" s="1"/>
      <c r="E802" s="1"/>
      <c r="G802" s="77"/>
      <c r="H802" s="71"/>
    </row>
    <row r="803" spans="1:8" ht="14.25" customHeight="1">
      <c r="A803" s="1"/>
      <c r="B803" s="1"/>
      <c r="C803" s="1"/>
      <c r="D803" s="1"/>
      <c r="E803" s="1"/>
      <c r="G803" s="77"/>
      <c r="H803" s="71"/>
    </row>
    <row r="804" spans="1:8" ht="14.25" customHeight="1">
      <c r="A804" s="1"/>
      <c r="B804" s="1"/>
      <c r="C804" s="1"/>
      <c r="D804" s="1"/>
      <c r="E804" s="1"/>
      <c r="G804" s="77"/>
      <c r="H804" s="71"/>
    </row>
    <row r="805" spans="1:8" ht="14.25" customHeight="1">
      <c r="A805" s="1"/>
      <c r="B805" s="1"/>
      <c r="C805" s="1"/>
      <c r="D805" s="1"/>
      <c r="E805" s="1"/>
      <c r="G805" s="77"/>
      <c r="H805" s="71"/>
    </row>
    <row r="806" spans="1:8" ht="14.25" customHeight="1">
      <c r="A806" s="1"/>
      <c r="B806" s="1"/>
      <c r="C806" s="1"/>
      <c r="D806" s="1"/>
      <c r="E806" s="1"/>
      <c r="G806" s="77"/>
      <c r="H806" s="71"/>
    </row>
    <row r="807" spans="1:8" ht="14.25" customHeight="1">
      <c r="A807" s="1"/>
      <c r="B807" s="1"/>
      <c r="C807" s="1"/>
      <c r="D807" s="1"/>
      <c r="E807" s="1"/>
      <c r="G807" s="77"/>
      <c r="H807" s="71"/>
    </row>
    <row r="808" spans="1:8" ht="14.25" customHeight="1">
      <c r="A808" s="1"/>
      <c r="B808" s="1"/>
      <c r="C808" s="1"/>
      <c r="D808" s="1"/>
      <c r="E808" s="1"/>
      <c r="G808" s="77"/>
      <c r="H808" s="71"/>
    </row>
    <row r="809" spans="1:8" ht="14.25" customHeight="1">
      <c r="A809" s="1"/>
      <c r="B809" s="1"/>
      <c r="C809" s="1"/>
      <c r="D809" s="1"/>
      <c r="E809" s="1"/>
      <c r="G809" s="77"/>
      <c r="H809" s="71"/>
    </row>
    <row r="810" spans="1:8" ht="14.25" customHeight="1">
      <c r="A810" s="1"/>
      <c r="B810" s="1"/>
      <c r="C810" s="1"/>
      <c r="D810" s="1"/>
      <c r="E810" s="1"/>
      <c r="G810" s="77"/>
      <c r="H810" s="71"/>
    </row>
    <row r="811" spans="1:8" ht="14.25" customHeight="1">
      <c r="A811" s="1"/>
      <c r="B811" s="1"/>
      <c r="C811" s="1"/>
      <c r="D811" s="1"/>
      <c r="E811" s="1"/>
      <c r="G811" s="77"/>
      <c r="H811" s="71"/>
    </row>
    <row r="812" spans="1:8" ht="14.25" customHeight="1">
      <c r="A812" s="1"/>
      <c r="B812" s="1"/>
      <c r="C812" s="1"/>
      <c r="D812" s="1"/>
      <c r="E812" s="1"/>
      <c r="G812" s="77"/>
      <c r="H812" s="71"/>
    </row>
    <row r="813" spans="1:8" ht="14.25" customHeight="1">
      <c r="A813" s="1"/>
      <c r="B813" s="1"/>
      <c r="C813" s="1"/>
      <c r="D813" s="1"/>
      <c r="E813" s="1"/>
      <c r="G813" s="77"/>
      <c r="H813" s="71"/>
    </row>
    <row r="814" spans="1:8" ht="14.25" customHeight="1">
      <c r="A814" s="1"/>
      <c r="B814" s="1"/>
      <c r="C814" s="1"/>
      <c r="D814" s="1"/>
      <c r="E814" s="1"/>
      <c r="G814" s="77"/>
      <c r="H814" s="71"/>
    </row>
    <row r="815" spans="1:8" ht="14.25" customHeight="1">
      <c r="A815" s="1"/>
      <c r="B815" s="1"/>
      <c r="C815" s="1"/>
      <c r="D815" s="1"/>
      <c r="E815" s="1"/>
      <c r="G815" s="77"/>
      <c r="H815" s="71"/>
    </row>
    <row r="816" spans="1:8" ht="14.25" customHeight="1">
      <c r="A816" s="1"/>
      <c r="B816" s="1"/>
      <c r="C816" s="1"/>
      <c r="D816" s="1"/>
      <c r="E816" s="1"/>
      <c r="G816" s="77"/>
      <c r="H816" s="71"/>
    </row>
    <row r="817" spans="1:8" ht="14.25" customHeight="1">
      <c r="A817" s="1"/>
      <c r="B817" s="1"/>
      <c r="C817" s="1"/>
      <c r="D817" s="1"/>
      <c r="E817" s="1"/>
      <c r="G817" s="77"/>
      <c r="H817" s="71"/>
    </row>
    <row r="818" spans="1:8" ht="14.25" customHeight="1">
      <c r="A818" s="1"/>
      <c r="B818" s="1"/>
      <c r="C818" s="1"/>
      <c r="D818" s="1"/>
      <c r="E818" s="1"/>
      <c r="G818" s="77"/>
      <c r="H818" s="71"/>
    </row>
    <row r="819" spans="1:8" ht="14.25" customHeight="1">
      <c r="A819" s="1"/>
      <c r="B819" s="1"/>
      <c r="C819" s="1"/>
      <c r="D819" s="1"/>
      <c r="E819" s="1"/>
      <c r="G819" s="77"/>
      <c r="H819" s="71"/>
    </row>
    <row r="820" spans="1:8" ht="14.25" customHeight="1">
      <c r="A820" s="1"/>
      <c r="B820" s="1"/>
      <c r="C820" s="1"/>
      <c r="D820" s="1"/>
      <c r="E820" s="1"/>
      <c r="G820" s="77"/>
      <c r="H820" s="71"/>
    </row>
    <row r="821" spans="1:8" ht="14.25" customHeight="1">
      <c r="A821" s="1"/>
      <c r="B821" s="1"/>
      <c r="C821" s="1"/>
      <c r="D821" s="1"/>
      <c r="E821" s="1"/>
      <c r="G821" s="77"/>
      <c r="H821" s="71"/>
    </row>
    <row r="822" spans="1:8" ht="14.25" customHeight="1">
      <c r="A822" s="1"/>
      <c r="B822" s="1"/>
      <c r="C822" s="1"/>
      <c r="D822" s="1"/>
      <c r="E822" s="1"/>
      <c r="G822" s="77"/>
      <c r="H822" s="71"/>
    </row>
    <row r="823" spans="1:8" ht="14.25" customHeight="1">
      <c r="A823" s="1"/>
      <c r="B823" s="1"/>
      <c r="C823" s="1"/>
      <c r="D823" s="1"/>
      <c r="E823" s="1"/>
      <c r="G823" s="77"/>
      <c r="H823" s="71"/>
    </row>
    <row r="824" spans="1:8" ht="14.25" customHeight="1">
      <c r="A824" s="1"/>
      <c r="B824" s="1"/>
      <c r="C824" s="1"/>
      <c r="D824" s="1"/>
      <c r="E824" s="1"/>
      <c r="G824" s="77"/>
      <c r="H824" s="71"/>
    </row>
    <row r="825" spans="1:8" ht="14.25" customHeight="1">
      <c r="A825" s="1"/>
      <c r="B825" s="1"/>
      <c r="C825" s="1"/>
      <c r="D825" s="1"/>
      <c r="E825" s="1"/>
      <c r="G825" s="77"/>
      <c r="H825" s="71"/>
    </row>
    <row r="826" spans="1:8" ht="14.25" customHeight="1">
      <c r="A826" s="1"/>
      <c r="B826" s="1"/>
      <c r="C826" s="1"/>
      <c r="D826" s="1"/>
      <c r="E826" s="1"/>
      <c r="G826" s="77"/>
      <c r="H826" s="71"/>
    </row>
    <row r="827" spans="1:8" ht="14.25" customHeight="1">
      <c r="A827" s="1"/>
      <c r="B827" s="1"/>
      <c r="C827" s="1"/>
      <c r="D827" s="1"/>
      <c r="E827" s="1"/>
      <c r="G827" s="77"/>
      <c r="H827" s="71"/>
    </row>
    <row r="828" spans="1:8" ht="14.25" customHeight="1">
      <c r="A828" s="1"/>
      <c r="B828" s="1"/>
      <c r="C828" s="1"/>
      <c r="D828" s="1"/>
      <c r="E828" s="1"/>
      <c r="G828" s="77"/>
      <c r="H828" s="71"/>
    </row>
    <row r="829" spans="1:8" ht="14.25" customHeight="1">
      <c r="A829" s="1"/>
      <c r="B829" s="1"/>
      <c r="C829" s="1"/>
      <c r="D829" s="1"/>
      <c r="E829" s="1"/>
      <c r="G829" s="77"/>
      <c r="H829" s="71"/>
    </row>
    <row r="830" spans="1:8" ht="14.25" customHeight="1">
      <c r="A830" s="1"/>
      <c r="B830" s="1"/>
      <c r="C830" s="1"/>
      <c r="D830" s="1"/>
      <c r="E830" s="1"/>
      <c r="G830" s="77"/>
      <c r="H830" s="71"/>
    </row>
    <row r="831" spans="1:8" ht="14.25" customHeight="1">
      <c r="A831" s="1"/>
      <c r="B831" s="1"/>
      <c r="C831" s="1"/>
      <c r="D831" s="1"/>
      <c r="E831" s="1"/>
      <c r="G831" s="77"/>
      <c r="H831" s="71"/>
    </row>
    <row r="832" spans="1:8" ht="14.25" customHeight="1">
      <c r="A832" s="1"/>
      <c r="B832" s="1"/>
      <c r="C832" s="1"/>
      <c r="D832" s="1"/>
      <c r="E832" s="1"/>
      <c r="G832" s="77"/>
      <c r="H832" s="71"/>
    </row>
    <row r="833" spans="1:8" ht="14.25" customHeight="1">
      <c r="A833" s="1"/>
      <c r="B833" s="1"/>
      <c r="C833" s="1"/>
      <c r="D833" s="1"/>
      <c r="E833" s="1"/>
      <c r="G833" s="77"/>
      <c r="H833" s="71"/>
    </row>
    <row r="834" spans="1:8" ht="14.25" customHeight="1">
      <c r="A834" s="1"/>
      <c r="B834" s="1"/>
      <c r="C834" s="1"/>
      <c r="D834" s="1"/>
      <c r="E834" s="1"/>
      <c r="G834" s="77"/>
      <c r="H834" s="71"/>
    </row>
    <row r="835" spans="1:8" ht="14.25" customHeight="1">
      <c r="A835" s="1"/>
      <c r="B835" s="1"/>
      <c r="C835" s="1"/>
      <c r="D835" s="1"/>
      <c r="E835" s="1"/>
      <c r="G835" s="77"/>
      <c r="H835" s="71"/>
    </row>
    <row r="836" spans="1:8" ht="14.25" customHeight="1">
      <c r="A836" s="1"/>
      <c r="B836" s="1"/>
      <c r="C836" s="1"/>
      <c r="D836" s="1"/>
      <c r="E836" s="1"/>
      <c r="G836" s="77"/>
      <c r="H836" s="71"/>
    </row>
    <row r="837" spans="1:8" ht="14.25" customHeight="1">
      <c r="A837" s="1"/>
      <c r="B837" s="1"/>
      <c r="C837" s="1"/>
      <c r="D837" s="1"/>
      <c r="E837" s="1"/>
      <c r="G837" s="77"/>
      <c r="H837" s="71"/>
    </row>
    <row r="838" spans="1:8" ht="14.25" customHeight="1">
      <c r="A838" s="1"/>
      <c r="B838" s="1"/>
      <c r="C838" s="1"/>
      <c r="D838" s="1"/>
      <c r="E838" s="1"/>
      <c r="G838" s="77"/>
      <c r="H838" s="71"/>
    </row>
    <row r="839" spans="1:8" ht="14.25" customHeight="1">
      <c r="A839" s="1"/>
      <c r="B839" s="1"/>
      <c r="C839" s="1"/>
      <c r="D839" s="1"/>
      <c r="E839" s="1"/>
      <c r="G839" s="77"/>
      <c r="H839" s="71"/>
    </row>
    <row r="840" spans="1:8" ht="14.25" customHeight="1">
      <c r="A840" s="1"/>
      <c r="B840" s="1"/>
      <c r="C840" s="1"/>
      <c r="D840" s="1"/>
      <c r="E840" s="1"/>
      <c r="G840" s="77"/>
      <c r="H840" s="71"/>
    </row>
    <row r="841" spans="1:8" ht="14.25" customHeight="1">
      <c r="A841" s="1"/>
      <c r="B841" s="1"/>
      <c r="C841" s="1"/>
      <c r="D841" s="1"/>
      <c r="E841" s="1"/>
      <c r="G841" s="77"/>
      <c r="H841" s="71"/>
    </row>
    <row r="842" spans="1:8" ht="14.25" customHeight="1">
      <c r="A842" s="1"/>
      <c r="B842" s="1"/>
      <c r="C842" s="1"/>
      <c r="D842" s="1"/>
      <c r="E842" s="1"/>
      <c r="G842" s="77"/>
      <c r="H842" s="71"/>
    </row>
    <row r="843" spans="1:8" ht="14.25" customHeight="1">
      <c r="A843" s="1"/>
      <c r="B843" s="1"/>
      <c r="C843" s="1"/>
      <c r="D843" s="1"/>
      <c r="E843" s="1"/>
      <c r="G843" s="77"/>
      <c r="H843" s="71"/>
    </row>
    <row r="844" spans="1:8" ht="14.25" customHeight="1">
      <c r="A844" s="1"/>
      <c r="B844" s="1"/>
      <c r="C844" s="1"/>
      <c r="D844" s="1"/>
      <c r="E844" s="1"/>
      <c r="G844" s="77"/>
      <c r="H844" s="71"/>
    </row>
    <row r="845" spans="1:8" ht="14.25" customHeight="1">
      <c r="A845" s="1"/>
      <c r="B845" s="1"/>
      <c r="C845" s="1"/>
      <c r="D845" s="1"/>
      <c r="E845" s="1"/>
      <c r="G845" s="77"/>
      <c r="H845" s="71"/>
    </row>
    <row r="846" spans="1:8" ht="14.25" customHeight="1">
      <c r="A846" s="1"/>
      <c r="B846" s="1"/>
      <c r="C846" s="1"/>
      <c r="D846" s="1"/>
      <c r="E846" s="1"/>
      <c r="G846" s="77"/>
      <c r="H846" s="71"/>
    </row>
    <row r="847" spans="1:8" ht="14.25" customHeight="1">
      <c r="A847" s="1"/>
      <c r="B847" s="1"/>
      <c r="C847" s="1"/>
      <c r="D847" s="1"/>
      <c r="E847" s="1"/>
      <c r="G847" s="77"/>
      <c r="H847" s="71"/>
    </row>
    <row r="848" spans="1:8" ht="14.25" customHeight="1">
      <c r="A848" s="1"/>
      <c r="B848" s="1"/>
      <c r="C848" s="1"/>
      <c r="D848" s="1"/>
      <c r="E848" s="1"/>
      <c r="G848" s="77"/>
      <c r="H848" s="71"/>
    </row>
    <row r="849" spans="1:8" ht="14.25" customHeight="1">
      <c r="A849" s="1"/>
      <c r="B849" s="1"/>
      <c r="C849" s="1"/>
      <c r="D849" s="1"/>
      <c r="E849" s="1"/>
      <c r="G849" s="77"/>
      <c r="H849" s="71"/>
    </row>
    <row r="850" spans="1:8" ht="14.25" customHeight="1">
      <c r="A850" s="1"/>
      <c r="B850" s="1"/>
      <c r="C850" s="1"/>
      <c r="D850" s="1"/>
      <c r="E850" s="1"/>
      <c r="G850" s="77"/>
      <c r="H850" s="71"/>
    </row>
    <row r="851" spans="1:8" ht="14.25" customHeight="1">
      <c r="A851" s="1"/>
      <c r="B851" s="1"/>
      <c r="C851" s="1"/>
      <c r="D851" s="1"/>
      <c r="E851" s="1"/>
      <c r="G851" s="77"/>
      <c r="H851" s="71"/>
    </row>
    <row r="852" spans="1:8" ht="14.25" customHeight="1">
      <c r="A852" s="1"/>
      <c r="B852" s="1"/>
      <c r="C852" s="1"/>
      <c r="D852" s="1"/>
      <c r="E852" s="1"/>
      <c r="G852" s="77"/>
      <c r="H852" s="71"/>
    </row>
    <row r="853" spans="1:8" ht="14.25" customHeight="1">
      <c r="A853" s="1"/>
      <c r="B853" s="1"/>
      <c r="C853" s="1"/>
      <c r="D853" s="1"/>
      <c r="E853" s="1"/>
      <c r="G853" s="77"/>
      <c r="H853" s="71"/>
    </row>
    <row r="854" spans="1:8" ht="14.25" customHeight="1">
      <c r="A854" s="1"/>
      <c r="B854" s="1"/>
      <c r="C854" s="1"/>
      <c r="D854" s="1"/>
      <c r="E854" s="1"/>
      <c r="G854" s="77"/>
      <c r="H854" s="71"/>
    </row>
    <row r="855" spans="1:8" ht="14.25" customHeight="1">
      <c r="A855" s="1"/>
      <c r="B855" s="1"/>
      <c r="C855" s="1"/>
      <c r="D855" s="1"/>
      <c r="E855" s="1"/>
      <c r="G855" s="77"/>
      <c r="H855" s="71"/>
    </row>
    <row r="856" spans="1:8" ht="14.25" customHeight="1">
      <c r="A856" s="1"/>
      <c r="B856" s="1"/>
      <c r="C856" s="1"/>
      <c r="D856" s="1"/>
      <c r="E856" s="1"/>
      <c r="G856" s="77"/>
      <c r="H856" s="71"/>
    </row>
    <row r="857" spans="1:8" ht="14.25" customHeight="1">
      <c r="A857" s="1"/>
      <c r="B857" s="1"/>
      <c r="C857" s="1"/>
      <c r="D857" s="1"/>
      <c r="E857" s="1"/>
      <c r="G857" s="77"/>
      <c r="H857" s="71"/>
    </row>
    <row r="858" spans="1:8" ht="14.25" customHeight="1">
      <c r="A858" s="1"/>
      <c r="B858" s="1"/>
      <c r="C858" s="1"/>
      <c r="D858" s="1"/>
      <c r="E858" s="1"/>
      <c r="G858" s="77"/>
      <c r="H858" s="71"/>
    </row>
    <row r="859" spans="1:8" ht="14.25" customHeight="1">
      <c r="A859" s="1"/>
      <c r="B859" s="1"/>
      <c r="C859" s="1"/>
      <c r="D859" s="1"/>
      <c r="E859" s="1"/>
      <c r="G859" s="77"/>
      <c r="H859" s="71"/>
    </row>
    <row r="860" spans="1:8" ht="14.25" customHeight="1">
      <c r="A860" s="1"/>
      <c r="B860" s="1"/>
      <c r="C860" s="1"/>
      <c r="D860" s="1"/>
      <c r="E860" s="1"/>
      <c r="G860" s="77"/>
      <c r="H860" s="71"/>
    </row>
    <row r="861" spans="1:8" ht="14.25" customHeight="1">
      <c r="A861" s="1"/>
      <c r="B861" s="1"/>
      <c r="C861" s="1"/>
      <c r="D861" s="1"/>
      <c r="E861" s="1"/>
      <c r="G861" s="77"/>
      <c r="H861" s="71"/>
    </row>
    <row r="862" spans="1:8" ht="14.25" customHeight="1">
      <c r="A862" s="1"/>
      <c r="B862" s="1"/>
      <c r="C862" s="1"/>
      <c r="D862" s="1"/>
      <c r="E862" s="1"/>
      <c r="G862" s="77"/>
      <c r="H862" s="71"/>
    </row>
    <row r="863" spans="1:8" ht="14.25" customHeight="1">
      <c r="A863" s="1"/>
      <c r="B863" s="1"/>
      <c r="C863" s="1"/>
      <c r="D863" s="1"/>
      <c r="E863" s="1"/>
      <c r="G863" s="77"/>
      <c r="H863" s="71"/>
    </row>
    <row r="864" spans="1:8" ht="14.25" customHeight="1">
      <c r="A864" s="1"/>
      <c r="B864" s="1"/>
      <c r="C864" s="1"/>
      <c r="D864" s="1"/>
      <c r="E864" s="1"/>
      <c r="G864" s="77"/>
      <c r="H864" s="71"/>
    </row>
    <row r="865" spans="1:8" ht="14.25" customHeight="1">
      <c r="A865" s="1"/>
      <c r="B865" s="1"/>
      <c r="C865" s="1"/>
      <c r="D865" s="1"/>
      <c r="E865" s="1"/>
      <c r="G865" s="77"/>
      <c r="H865" s="71"/>
    </row>
    <row r="866" spans="1:8" ht="14.25" customHeight="1">
      <c r="A866" s="1"/>
      <c r="B866" s="1"/>
      <c r="C866" s="1"/>
      <c r="D866" s="1"/>
      <c r="E866" s="1"/>
      <c r="G866" s="77"/>
      <c r="H866" s="71"/>
    </row>
    <row r="867" spans="1:8" ht="14.25" customHeight="1">
      <c r="A867" s="1"/>
      <c r="B867" s="1"/>
      <c r="C867" s="1"/>
      <c r="D867" s="1"/>
      <c r="E867" s="1"/>
      <c r="G867" s="77"/>
      <c r="H867" s="71"/>
    </row>
    <row r="868" spans="1:8" ht="14.25" customHeight="1">
      <c r="A868" s="1"/>
      <c r="B868" s="1"/>
      <c r="C868" s="1"/>
      <c r="D868" s="1"/>
      <c r="E868" s="1"/>
      <c r="G868" s="77"/>
      <c r="H868" s="71"/>
    </row>
    <row r="869" spans="1:8" ht="14.25" customHeight="1">
      <c r="A869" s="1"/>
      <c r="B869" s="1"/>
      <c r="C869" s="1"/>
      <c r="D869" s="1"/>
      <c r="E869" s="1"/>
      <c r="G869" s="77"/>
      <c r="H869" s="71"/>
    </row>
    <row r="870" spans="1:8" ht="14.25" customHeight="1">
      <c r="A870" s="1"/>
      <c r="B870" s="1"/>
      <c r="C870" s="1"/>
      <c r="D870" s="1"/>
      <c r="E870" s="1"/>
      <c r="G870" s="77"/>
      <c r="H870" s="71"/>
    </row>
    <row r="871" spans="1:8" ht="14.25" customHeight="1">
      <c r="A871" s="1"/>
      <c r="B871" s="1"/>
      <c r="C871" s="1"/>
      <c r="D871" s="1"/>
      <c r="E871" s="1"/>
      <c r="G871" s="77"/>
      <c r="H871" s="71"/>
    </row>
    <row r="872" spans="1:8" ht="14.25" customHeight="1">
      <c r="A872" s="1"/>
      <c r="B872" s="1"/>
      <c r="C872" s="1"/>
      <c r="D872" s="1"/>
      <c r="E872" s="1"/>
      <c r="G872" s="77"/>
      <c r="H872" s="71"/>
    </row>
    <row r="873" spans="1:8" ht="14.25" customHeight="1">
      <c r="A873" s="1"/>
      <c r="B873" s="1"/>
      <c r="C873" s="1"/>
      <c r="D873" s="1"/>
      <c r="E873" s="1"/>
      <c r="G873" s="77"/>
      <c r="H873" s="71"/>
    </row>
    <row r="874" spans="1:8" ht="14.25" customHeight="1">
      <c r="A874" s="1"/>
      <c r="B874" s="1"/>
      <c r="C874" s="1"/>
      <c r="D874" s="1"/>
      <c r="E874" s="1"/>
      <c r="G874" s="77"/>
      <c r="H874" s="71"/>
    </row>
    <row r="875" spans="1:8" ht="14.25" customHeight="1">
      <c r="A875" s="1"/>
      <c r="B875" s="1"/>
      <c r="C875" s="1"/>
      <c r="D875" s="1"/>
      <c r="E875" s="1"/>
      <c r="G875" s="77"/>
      <c r="H875" s="71"/>
    </row>
    <row r="876" spans="1:8" ht="14.25" customHeight="1">
      <c r="A876" s="1"/>
      <c r="B876" s="1"/>
      <c r="C876" s="1"/>
      <c r="D876" s="1"/>
      <c r="E876" s="1"/>
      <c r="G876" s="77"/>
      <c r="H876" s="71"/>
    </row>
    <row r="877" spans="1:8" ht="14.25" customHeight="1">
      <c r="A877" s="1"/>
      <c r="B877" s="1"/>
      <c r="C877" s="1"/>
      <c r="D877" s="1"/>
      <c r="E877" s="1"/>
      <c r="G877" s="77"/>
      <c r="H877" s="71"/>
    </row>
    <row r="878" spans="1:8" ht="14.25" customHeight="1">
      <c r="A878" s="1"/>
      <c r="B878" s="1"/>
      <c r="C878" s="1"/>
      <c r="D878" s="1"/>
      <c r="E878" s="1"/>
      <c r="G878" s="77"/>
      <c r="H878" s="71"/>
    </row>
    <row r="879" spans="1:8" ht="14.25" customHeight="1">
      <c r="A879" s="1"/>
      <c r="B879" s="1"/>
      <c r="C879" s="1"/>
      <c r="D879" s="1"/>
      <c r="E879" s="1"/>
      <c r="G879" s="77"/>
      <c r="H879" s="71"/>
    </row>
    <row r="880" spans="1:8" ht="14.25" customHeight="1">
      <c r="A880" s="1"/>
      <c r="B880" s="1"/>
      <c r="C880" s="1"/>
      <c r="D880" s="1"/>
      <c r="E880" s="1"/>
      <c r="G880" s="77"/>
      <c r="H880" s="71"/>
    </row>
    <row r="881" spans="1:8" ht="14.25" customHeight="1">
      <c r="A881" s="1"/>
      <c r="B881" s="1"/>
      <c r="C881" s="1"/>
      <c r="D881" s="1"/>
      <c r="E881" s="1"/>
      <c r="G881" s="77"/>
      <c r="H881" s="71"/>
    </row>
    <row r="882" spans="1:8" ht="14.25" customHeight="1">
      <c r="A882" s="1"/>
      <c r="B882" s="1"/>
      <c r="C882" s="1"/>
      <c r="D882" s="1"/>
      <c r="E882" s="1"/>
      <c r="G882" s="77"/>
      <c r="H882" s="71"/>
    </row>
    <row r="883" spans="1:8" ht="14.25" customHeight="1">
      <c r="A883" s="1"/>
      <c r="B883" s="1"/>
      <c r="C883" s="1"/>
      <c r="D883" s="1"/>
      <c r="E883" s="1"/>
      <c r="G883" s="77"/>
      <c r="H883" s="71"/>
    </row>
    <row r="884" spans="1:8" ht="14.25" customHeight="1">
      <c r="A884" s="1"/>
      <c r="B884" s="1"/>
      <c r="C884" s="1"/>
      <c r="D884" s="1"/>
      <c r="E884" s="1"/>
      <c r="G884" s="77"/>
      <c r="H884" s="71"/>
    </row>
    <row r="885" spans="1:8" ht="14.25" customHeight="1">
      <c r="A885" s="1"/>
      <c r="B885" s="1"/>
      <c r="C885" s="1"/>
      <c r="D885" s="1"/>
      <c r="E885" s="1"/>
      <c r="G885" s="77"/>
      <c r="H885" s="71"/>
    </row>
    <row r="886" spans="1:8" ht="14.25" customHeight="1">
      <c r="A886" s="1"/>
      <c r="B886" s="1"/>
      <c r="C886" s="1"/>
      <c r="D886" s="1"/>
      <c r="E886" s="1"/>
      <c r="G886" s="77"/>
      <c r="H886" s="71"/>
    </row>
    <row r="887" spans="1:8" ht="14.25" customHeight="1">
      <c r="A887" s="1"/>
      <c r="B887" s="1"/>
      <c r="C887" s="1"/>
      <c r="D887" s="1"/>
      <c r="E887" s="1"/>
      <c r="G887" s="77"/>
      <c r="H887" s="71"/>
    </row>
    <row r="888" spans="1:8" ht="14.25" customHeight="1">
      <c r="A888" s="1"/>
      <c r="B888" s="1"/>
      <c r="C888" s="1"/>
      <c r="D888" s="1"/>
      <c r="E888" s="1"/>
      <c r="G888" s="77"/>
      <c r="H888" s="71"/>
    </row>
    <row r="889" spans="1:8" ht="14.25" customHeight="1">
      <c r="A889" s="1"/>
      <c r="B889" s="1"/>
      <c r="C889" s="1"/>
      <c r="D889" s="1"/>
      <c r="E889" s="1"/>
      <c r="G889" s="77"/>
      <c r="H889" s="71"/>
    </row>
    <row r="890" spans="1:8" ht="14.25" customHeight="1">
      <c r="A890" s="1"/>
      <c r="B890" s="1"/>
      <c r="C890" s="1"/>
      <c r="D890" s="1"/>
      <c r="E890" s="1"/>
      <c r="G890" s="77"/>
      <c r="H890" s="71"/>
    </row>
    <row r="891" spans="1:8" ht="14.25" customHeight="1">
      <c r="A891" s="1"/>
      <c r="B891" s="1"/>
      <c r="C891" s="1"/>
      <c r="D891" s="1"/>
      <c r="E891" s="1"/>
      <c r="G891" s="77"/>
      <c r="H891" s="71"/>
    </row>
    <row r="892" spans="1:8" ht="14.25" customHeight="1">
      <c r="A892" s="1"/>
      <c r="B892" s="1"/>
      <c r="C892" s="1"/>
      <c r="D892" s="1"/>
      <c r="E892" s="1"/>
      <c r="G892" s="77"/>
      <c r="H892" s="71"/>
    </row>
    <row r="893" spans="1:8" ht="14.25" customHeight="1">
      <c r="A893" s="1"/>
      <c r="B893" s="1"/>
      <c r="C893" s="1"/>
      <c r="D893" s="1"/>
      <c r="E893" s="1"/>
      <c r="G893" s="77"/>
      <c r="H893" s="71"/>
    </row>
    <row r="894" spans="1:8" ht="14.25" customHeight="1">
      <c r="A894" s="1"/>
      <c r="B894" s="1"/>
      <c r="C894" s="1"/>
      <c r="D894" s="1"/>
      <c r="E894" s="1"/>
      <c r="G894" s="77"/>
      <c r="H894" s="71"/>
    </row>
    <row r="895" spans="1:8" ht="14.25" customHeight="1">
      <c r="A895" s="1"/>
      <c r="B895" s="1"/>
      <c r="C895" s="1"/>
      <c r="D895" s="1"/>
      <c r="E895" s="1"/>
      <c r="G895" s="77"/>
      <c r="H895" s="71"/>
    </row>
    <row r="896" spans="1:8" ht="14.25" customHeight="1">
      <c r="A896" s="1"/>
      <c r="B896" s="1"/>
      <c r="C896" s="1"/>
      <c r="D896" s="1"/>
      <c r="E896" s="1"/>
      <c r="G896" s="77"/>
      <c r="H896" s="71"/>
    </row>
    <row r="897" spans="1:8" ht="14.25" customHeight="1">
      <c r="A897" s="1"/>
      <c r="B897" s="1"/>
      <c r="C897" s="1"/>
      <c r="D897" s="1"/>
      <c r="E897" s="1"/>
      <c r="G897" s="77"/>
      <c r="H897" s="71"/>
    </row>
    <row r="898" spans="1:8" ht="14.25" customHeight="1">
      <c r="A898" s="1"/>
      <c r="B898" s="1"/>
      <c r="C898" s="1"/>
      <c r="D898" s="1"/>
      <c r="E898" s="1"/>
      <c r="G898" s="77"/>
      <c r="H898" s="71"/>
    </row>
    <row r="899" spans="1:8" ht="14.25" customHeight="1">
      <c r="A899" s="1"/>
      <c r="B899" s="1"/>
      <c r="C899" s="1"/>
      <c r="D899" s="1"/>
      <c r="E899" s="1"/>
      <c r="G899" s="77"/>
      <c r="H899" s="71"/>
    </row>
    <row r="900" spans="1:8" ht="14.25" customHeight="1">
      <c r="A900" s="1"/>
      <c r="B900" s="1"/>
      <c r="C900" s="1"/>
      <c r="D900" s="1"/>
      <c r="E900" s="1"/>
      <c r="G900" s="77"/>
      <c r="H900" s="71"/>
    </row>
    <row r="901" spans="1:8" ht="14.25" customHeight="1">
      <c r="A901" s="1"/>
      <c r="B901" s="1"/>
      <c r="C901" s="1"/>
      <c r="D901" s="1"/>
      <c r="E901" s="1"/>
      <c r="G901" s="77"/>
      <c r="H901" s="71"/>
    </row>
    <row r="902" spans="1:8" ht="14.25" customHeight="1">
      <c r="A902" s="1"/>
      <c r="B902" s="1"/>
      <c r="C902" s="1"/>
      <c r="D902" s="1"/>
      <c r="E902" s="1"/>
      <c r="G902" s="77"/>
      <c r="H902" s="71"/>
    </row>
    <row r="903" spans="1:8" ht="14.25" customHeight="1">
      <c r="A903" s="1"/>
      <c r="B903" s="1"/>
      <c r="C903" s="1"/>
      <c r="D903" s="1"/>
      <c r="E903" s="1"/>
      <c r="G903" s="77"/>
      <c r="H903" s="71"/>
    </row>
    <row r="904" spans="1:8" ht="14.25" customHeight="1">
      <c r="A904" s="1"/>
      <c r="B904" s="1"/>
      <c r="C904" s="1"/>
      <c r="D904" s="1"/>
      <c r="E904" s="1"/>
      <c r="G904" s="77"/>
      <c r="H904" s="71"/>
    </row>
    <row r="905" spans="1:8" ht="14.25" customHeight="1">
      <c r="A905" s="1"/>
      <c r="B905" s="1"/>
      <c r="C905" s="1"/>
      <c r="D905" s="1"/>
      <c r="E905" s="1"/>
      <c r="G905" s="77"/>
      <c r="H905" s="71"/>
    </row>
    <row r="906" spans="1:8" ht="14.25" customHeight="1">
      <c r="A906" s="1"/>
      <c r="B906" s="1"/>
      <c r="C906" s="1"/>
      <c r="D906" s="1"/>
      <c r="E906" s="1"/>
      <c r="G906" s="77"/>
      <c r="H906" s="71"/>
    </row>
    <row r="907" spans="1:8" ht="14.25" customHeight="1">
      <c r="A907" s="1"/>
      <c r="B907" s="1"/>
      <c r="C907" s="1"/>
      <c r="D907" s="1"/>
      <c r="E907" s="1"/>
      <c r="G907" s="77"/>
      <c r="H907" s="71"/>
    </row>
    <row r="908" spans="1:8" ht="14.25" customHeight="1">
      <c r="A908" s="1"/>
      <c r="B908" s="1"/>
      <c r="C908" s="1"/>
      <c r="D908" s="1"/>
      <c r="E908" s="1"/>
      <c r="G908" s="77"/>
      <c r="H908" s="71"/>
    </row>
    <row r="909" spans="1:8" ht="14.25" customHeight="1">
      <c r="A909" s="1"/>
      <c r="B909" s="1"/>
      <c r="C909" s="1"/>
      <c r="D909" s="1"/>
      <c r="E909" s="1"/>
      <c r="G909" s="77"/>
      <c r="H909" s="71"/>
    </row>
    <row r="910" spans="1:8" ht="14.25" customHeight="1">
      <c r="A910" s="1"/>
      <c r="B910" s="1"/>
      <c r="C910" s="1"/>
      <c r="D910" s="1"/>
      <c r="E910" s="1"/>
      <c r="G910" s="77"/>
      <c r="H910" s="71"/>
    </row>
    <row r="911" spans="1:8" ht="14.25" customHeight="1">
      <c r="A911" s="1"/>
      <c r="B911" s="1"/>
      <c r="C911" s="1"/>
      <c r="D911" s="1"/>
      <c r="E911" s="1"/>
      <c r="G911" s="77"/>
      <c r="H911" s="71"/>
    </row>
    <row r="912" spans="1:8" ht="14.25" customHeight="1">
      <c r="A912" s="1"/>
      <c r="B912" s="1"/>
      <c r="C912" s="1"/>
      <c r="D912" s="1"/>
      <c r="E912" s="1"/>
      <c r="G912" s="77"/>
      <c r="H912" s="71"/>
    </row>
    <row r="913" spans="1:8" ht="14.25" customHeight="1">
      <c r="A913" s="1"/>
      <c r="B913" s="1"/>
      <c r="C913" s="1"/>
      <c r="D913" s="1"/>
      <c r="E913" s="1"/>
      <c r="G913" s="77"/>
      <c r="H913" s="71"/>
    </row>
    <row r="914" spans="1:8" ht="14.25" customHeight="1">
      <c r="A914" s="1"/>
      <c r="B914" s="1"/>
      <c r="C914" s="1"/>
      <c r="D914" s="1"/>
      <c r="E914" s="1"/>
      <c r="G914" s="77"/>
      <c r="H914" s="71"/>
    </row>
    <row r="915" spans="1:8" ht="14.25" customHeight="1">
      <c r="A915" s="1"/>
      <c r="B915" s="1"/>
      <c r="C915" s="1"/>
      <c r="D915" s="1"/>
      <c r="E915" s="1"/>
      <c r="G915" s="77"/>
      <c r="H915" s="71"/>
    </row>
    <row r="916" spans="1:8" ht="14.25" customHeight="1">
      <c r="A916" s="1"/>
      <c r="B916" s="1"/>
      <c r="C916" s="1"/>
      <c r="D916" s="1"/>
      <c r="E916" s="1"/>
      <c r="G916" s="77"/>
      <c r="H916" s="71"/>
    </row>
    <row r="917" spans="1:8" ht="14.25" customHeight="1">
      <c r="A917" s="1"/>
      <c r="B917" s="1"/>
      <c r="C917" s="1"/>
      <c r="D917" s="1"/>
      <c r="E917" s="1"/>
      <c r="G917" s="77"/>
      <c r="H917" s="71"/>
    </row>
    <row r="918" spans="1:8" ht="14.25" customHeight="1">
      <c r="A918" s="1"/>
      <c r="B918" s="1"/>
      <c r="C918" s="1"/>
      <c r="D918" s="1"/>
      <c r="E918" s="1"/>
      <c r="G918" s="77"/>
      <c r="H918" s="71"/>
    </row>
    <row r="919" spans="1:8" ht="14.25" customHeight="1">
      <c r="A919" s="1"/>
      <c r="B919" s="1"/>
      <c r="C919" s="1"/>
      <c r="D919" s="1"/>
      <c r="E919" s="1"/>
      <c r="G919" s="77"/>
      <c r="H919" s="71"/>
    </row>
    <row r="920" spans="1:8" ht="14.25" customHeight="1">
      <c r="A920" s="1"/>
      <c r="B920" s="1"/>
      <c r="C920" s="1"/>
      <c r="D920" s="1"/>
      <c r="E920" s="1"/>
      <c r="G920" s="77"/>
      <c r="H920" s="71"/>
    </row>
    <row r="921" spans="1:8" ht="14.25" customHeight="1">
      <c r="A921" s="1"/>
      <c r="B921" s="1"/>
      <c r="C921" s="1"/>
      <c r="D921" s="1"/>
      <c r="E921" s="1"/>
      <c r="G921" s="77"/>
      <c r="H921" s="71"/>
    </row>
    <row r="922" spans="1:8" ht="14.25" customHeight="1">
      <c r="A922" s="1"/>
      <c r="B922" s="1"/>
      <c r="C922" s="1"/>
      <c r="D922" s="1"/>
      <c r="E922" s="1"/>
      <c r="G922" s="77"/>
      <c r="H922" s="71"/>
    </row>
    <row r="923" spans="1:8" ht="14.25" customHeight="1">
      <c r="A923" s="1"/>
      <c r="B923" s="1"/>
      <c r="C923" s="1"/>
      <c r="D923" s="1"/>
      <c r="E923" s="1"/>
      <c r="G923" s="77"/>
      <c r="H923" s="71"/>
    </row>
    <row r="924" spans="1:8" ht="14.25" customHeight="1">
      <c r="A924" s="1"/>
      <c r="B924" s="1"/>
      <c r="C924" s="1"/>
      <c r="D924" s="1"/>
      <c r="E924" s="1"/>
      <c r="G924" s="77"/>
      <c r="H924" s="71"/>
    </row>
    <row r="925" spans="1:8" ht="14.25" customHeight="1">
      <c r="A925" s="1"/>
      <c r="B925" s="1"/>
      <c r="C925" s="1"/>
      <c r="D925" s="1"/>
      <c r="E925" s="1"/>
      <c r="G925" s="77"/>
      <c r="H925" s="71"/>
    </row>
    <row r="926" spans="1:8" ht="14.25" customHeight="1">
      <c r="A926" s="1"/>
      <c r="B926" s="1"/>
      <c r="C926" s="1"/>
      <c r="D926" s="1"/>
      <c r="E926" s="1"/>
      <c r="G926" s="77"/>
      <c r="H926" s="71"/>
    </row>
    <row r="927" spans="1:8" ht="14.25" customHeight="1">
      <c r="A927" s="1"/>
      <c r="B927" s="1"/>
      <c r="C927" s="1"/>
      <c r="D927" s="1"/>
      <c r="E927" s="1"/>
      <c r="G927" s="77"/>
      <c r="H927" s="71"/>
    </row>
    <row r="928" spans="1:8" ht="14.25" customHeight="1">
      <c r="A928" s="1"/>
      <c r="B928" s="1"/>
      <c r="C928" s="1"/>
      <c r="D928" s="1"/>
      <c r="E928" s="1"/>
      <c r="G928" s="77"/>
      <c r="H928" s="71"/>
    </row>
    <row r="929" spans="1:8" ht="14.25" customHeight="1">
      <c r="A929" s="1"/>
      <c r="B929" s="1"/>
      <c r="C929" s="1"/>
      <c r="D929" s="1"/>
      <c r="E929" s="1"/>
      <c r="G929" s="77"/>
      <c r="H929" s="71"/>
    </row>
    <row r="930" spans="1:8" ht="14.25" customHeight="1">
      <c r="A930" s="1"/>
      <c r="B930" s="1"/>
      <c r="C930" s="1"/>
      <c r="D930" s="1"/>
      <c r="E930" s="1"/>
      <c r="G930" s="77"/>
      <c r="H930" s="71"/>
    </row>
    <row r="931" spans="1:8" ht="14.25" customHeight="1">
      <c r="A931" s="1"/>
      <c r="B931" s="1"/>
      <c r="C931" s="1"/>
      <c r="D931" s="1"/>
      <c r="E931" s="1"/>
      <c r="G931" s="77"/>
      <c r="H931" s="71"/>
    </row>
    <row r="932" spans="1:8" ht="14.25" customHeight="1">
      <c r="A932" s="1"/>
      <c r="B932" s="1"/>
      <c r="C932" s="1"/>
      <c r="D932" s="1"/>
      <c r="E932" s="1"/>
      <c r="G932" s="77"/>
      <c r="H932" s="71"/>
    </row>
    <row r="933" spans="1:8" ht="14.25" customHeight="1">
      <c r="A933" s="1"/>
      <c r="B933" s="1"/>
      <c r="C933" s="1"/>
      <c r="D933" s="1"/>
      <c r="E933" s="1"/>
      <c r="G933" s="77"/>
      <c r="H933" s="71"/>
    </row>
    <row r="934" spans="1:8" ht="14.25" customHeight="1">
      <c r="A934" s="1"/>
      <c r="B934" s="1"/>
      <c r="C934" s="1"/>
      <c r="D934" s="1"/>
      <c r="E934" s="1"/>
      <c r="G934" s="77"/>
      <c r="H934" s="71"/>
    </row>
    <row r="935" spans="1:8" ht="14.25" customHeight="1">
      <c r="A935" s="1"/>
      <c r="B935" s="1"/>
      <c r="C935" s="1"/>
      <c r="D935" s="1"/>
      <c r="E935" s="1"/>
      <c r="G935" s="77"/>
      <c r="H935" s="71"/>
    </row>
    <row r="936" spans="1:8" ht="14.25" customHeight="1">
      <c r="A936" s="1"/>
      <c r="B936" s="1"/>
      <c r="C936" s="1"/>
      <c r="D936" s="1"/>
      <c r="E936" s="1"/>
      <c r="G936" s="77"/>
      <c r="H936" s="71"/>
    </row>
    <row r="937" spans="1:8" ht="14.25" customHeight="1">
      <c r="A937" s="1"/>
      <c r="B937" s="1"/>
      <c r="C937" s="1"/>
      <c r="D937" s="1"/>
      <c r="E937" s="1"/>
      <c r="G937" s="77"/>
      <c r="H937" s="71"/>
    </row>
    <row r="938" spans="1:8" ht="14.25" customHeight="1">
      <c r="A938" s="1"/>
      <c r="B938" s="1"/>
      <c r="C938" s="1"/>
      <c r="D938" s="1"/>
      <c r="E938" s="1"/>
      <c r="G938" s="77"/>
      <c r="H938" s="71"/>
    </row>
    <row r="939" spans="1:8" ht="14.25" customHeight="1">
      <c r="A939" s="1"/>
      <c r="B939" s="1"/>
      <c r="C939" s="1"/>
      <c r="D939" s="1"/>
      <c r="E939" s="1"/>
      <c r="G939" s="77"/>
      <c r="H939" s="71"/>
    </row>
    <row r="940" spans="1:8" ht="14.25" customHeight="1">
      <c r="A940" s="1"/>
      <c r="B940" s="1"/>
      <c r="C940" s="1"/>
      <c r="D940" s="1"/>
      <c r="E940" s="1"/>
      <c r="G940" s="77"/>
      <c r="H940" s="71"/>
    </row>
    <row r="941" spans="1:8" ht="14.25" customHeight="1">
      <c r="A941" s="1"/>
      <c r="B941" s="1"/>
      <c r="C941" s="1"/>
      <c r="D941" s="1"/>
      <c r="E941" s="1"/>
      <c r="G941" s="77"/>
      <c r="H941" s="71"/>
    </row>
    <row r="942" spans="1:8" ht="14.25" customHeight="1">
      <c r="A942" s="1"/>
      <c r="B942" s="1"/>
      <c r="C942" s="1"/>
      <c r="D942" s="1"/>
      <c r="E942" s="1"/>
      <c r="G942" s="77"/>
      <c r="H942" s="71"/>
    </row>
    <row r="943" spans="1:8" ht="14.25" customHeight="1">
      <c r="A943" s="1"/>
      <c r="B943" s="1"/>
      <c r="C943" s="1"/>
      <c r="D943" s="1"/>
      <c r="E943" s="1"/>
      <c r="G943" s="77"/>
      <c r="H943" s="71"/>
    </row>
    <row r="944" spans="1:8" ht="14.25" customHeight="1">
      <c r="A944" s="1"/>
      <c r="B944" s="1"/>
      <c r="C944" s="1"/>
      <c r="D944" s="1"/>
      <c r="E944" s="1"/>
      <c r="G944" s="77"/>
      <c r="H944" s="71"/>
    </row>
    <row r="945" spans="1:8" ht="14.25" customHeight="1">
      <c r="A945" s="1"/>
      <c r="B945" s="1"/>
      <c r="C945" s="1"/>
      <c r="D945" s="1"/>
      <c r="E945" s="1"/>
      <c r="G945" s="77"/>
      <c r="H945" s="71"/>
    </row>
    <row r="946" spans="1:8" ht="14.25" customHeight="1">
      <c r="A946" s="1"/>
      <c r="B946" s="1"/>
      <c r="C946" s="1"/>
      <c r="D946" s="1"/>
      <c r="E946" s="1"/>
      <c r="G946" s="77"/>
      <c r="H946" s="71"/>
    </row>
    <row r="947" spans="1:8" ht="14.25" customHeight="1">
      <c r="A947" s="1"/>
      <c r="B947" s="1"/>
      <c r="C947" s="1"/>
      <c r="D947" s="1"/>
      <c r="E947" s="1"/>
      <c r="G947" s="77"/>
      <c r="H947" s="71"/>
    </row>
    <row r="948" spans="1:8" ht="14.25" customHeight="1">
      <c r="A948" s="1"/>
      <c r="B948" s="1"/>
      <c r="C948" s="1"/>
      <c r="D948" s="1"/>
      <c r="E948" s="1"/>
      <c r="G948" s="77"/>
      <c r="H948" s="71"/>
    </row>
    <row r="949" spans="1:8" ht="14.25" customHeight="1">
      <c r="A949" s="1"/>
      <c r="B949" s="1"/>
      <c r="C949" s="1"/>
      <c r="D949" s="1"/>
      <c r="E949" s="1"/>
      <c r="G949" s="77"/>
      <c r="H949" s="71"/>
    </row>
    <row r="950" spans="1:8" ht="14.25" customHeight="1">
      <c r="A950" s="1"/>
      <c r="B950" s="1"/>
      <c r="C950" s="1"/>
      <c r="D950" s="1"/>
      <c r="E950" s="1"/>
      <c r="G950" s="77"/>
      <c r="H950" s="71"/>
    </row>
    <row r="951" spans="1:8" ht="14.25" customHeight="1">
      <c r="A951" s="1"/>
      <c r="B951" s="1"/>
      <c r="C951" s="1"/>
      <c r="D951" s="1"/>
      <c r="E951" s="1"/>
      <c r="G951" s="77"/>
      <c r="H951" s="71"/>
    </row>
    <row r="952" spans="1:8" ht="14.25" customHeight="1">
      <c r="A952" s="1"/>
      <c r="B952" s="1"/>
      <c r="C952" s="1"/>
      <c r="D952" s="1"/>
      <c r="E952" s="1"/>
      <c r="G952" s="77"/>
      <c r="H952" s="71"/>
    </row>
    <row r="953" spans="1:8" ht="14.25" customHeight="1">
      <c r="A953" s="1"/>
      <c r="B953" s="1"/>
      <c r="C953" s="1"/>
      <c r="D953" s="1"/>
      <c r="E953" s="1"/>
      <c r="G953" s="77"/>
      <c r="H953" s="71"/>
    </row>
    <row r="954" spans="1:8" ht="14.25" customHeight="1">
      <c r="A954" s="1"/>
      <c r="B954" s="1"/>
      <c r="C954" s="1"/>
      <c r="D954" s="1"/>
      <c r="E954" s="1"/>
      <c r="G954" s="77"/>
      <c r="H954" s="71"/>
    </row>
    <row r="955" spans="1:8" ht="14.25" customHeight="1">
      <c r="A955" s="1"/>
      <c r="B955" s="1"/>
      <c r="C955" s="1"/>
      <c r="D955" s="1"/>
      <c r="E955" s="1"/>
      <c r="G955" s="77"/>
      <c r="H955" s="71"/>
    </row>
    <row r="956" spans="1:8" ht="14.25" customHeight="1">
      <c r="A956" s="1"/>
      <c r="B956" s="1"/>
      <c r="C956" s="1"/>
      <c r="D956" s="1"/>
      <c r="E956" s="1"/>
      <c r="G956" s="77"/>
      <c r="H956" s="71"/>
    </row>
    <row r="957" spans="1:8" ht="14.25" customHeight="1">
      <c r="A957" s="1"/>
      <c r="B957" s="1"/>
      <c r="C957" s="1"/>
      <c r="D957" s="1"/>
      <c r="E957" s="1"/>
      <c r="G957" s="77"/>
      <c r="H957" s="71"/>
    </row>
    <row r="958" spans="1:8" ht="14.25" customHeight="1">
      <c r="A958" s="1"/>
      <c r="B958" s="1"/>
      <c r="C958" s="1"/>
      <c r="D958" s="1"/>
      <c r="E958" s="1"/>
      <c r="G958" s="77"/>
      <c r="H958" s="71"/>
    </row>
    <row r="959" spans="1:8" ht="14.25" customHeight="1">
      <c r="A959" s="1"/>
      <c r="B959" s="1"/>
      <c r="C959" s="1"/>
      <c r="D959" s="1"/>
      <c r="E959" s="1"/>
      <c r="G959" s="77"/>
      <c r="H959" s="71"/>
    </row>
    <row r="960" spans="1:8" ht="14.25" customHeight="1">
      <c r="A960" s="1"/>
      <c r="B960" s="1"/>
      <c r="C960" s="1"/>
      <c r="D960" s="1"/>
      <c r="E960" s="1"/>
      <c r="G960" s="77"/>
      <c r="H960" s="71"/>
    </row>
    <row r="961" spans="1:8" ht="14.25" customHeight="1">
      <c r="A961" s="1"/>
      <c r="B961" s="1"/>
      <c r="C961" s="1"/>
      <c r="D961" s="1"/>
      <c r="E961" s="1"/>
      <c r="G961" s="77"/>
      <c r="H961" s="71"/>
    </row>
    <row r="962" spans="1:8" ht="14.25" customHeight="1">
      <c r="A962" s="1"/>
      <c r="B962" s="1"/>
      <c r="C962" s="1"/>
      <c r="D962" s="1"/>
      <c r="E962" s="1"/>
      <c r="G962" s="77"/>
      <c r="H962" s="71"/>
    </row>
    <row r="963" spans="1:8" ht="14.25" customHeight="1">
      <c r="A963" s="1"/>
      <c r="B963" s="1"/>
      <c r="C963" s="1"/>
      <c r="D963" s="1"/>
      <c r="E963" s="1"/>
      <c r="G963" s="77"/>
      <c r="H963" s="71"/>
    </row>
    <row r="964" spans="1:8" ht="14.25" customHeight="1">
      <c r="A964" s="1"/>
      <c r="B964" s="1"/>
      <c r="C964" s="1"/>
      <c r="D964" s="1"/>
      <c r="E964" s="1"/>
      <c r="G964" s="77"/>
      <c r="H964" s="71"/>
    </row>
    <row r="965" spans="1:8" ht="14.25" customHeight="1">
      <c r="A965" s="1"/>
      <c r="B965" s="1"/>
      <c r="C965" s="1"/>
      <c r="D965" s="1"/>
      <c r="E965" s="1"/>
      <c r="G965" s="77"/>
      <c r="H965" s="71"/>
    </row>
    <row r="966" spans="1:8" ht="14.25" customHeight="1">
      <c r="A966" s="1"/>
      <c r="B966" s="1"/>
      <c r="C966" s="1"/>
      <c r="D966" s="1"/>
      <c r="E966" s="1"/>
      <c r="G966" s="77"/>
      <c r="H966" s="71"/>
    </row>
    <row r="967" spans="1:8" ht="14.25" customHeight="1">
      <c r="A967" s="1"/>
      <c r="B967" s="1"/>
      <c r="C967" s="1"/>
      <c r="D967" s="1"/>
      <c r="E967" s="1"/>
      <c r="G967" s="77"/>
      <c r="H967" s="71"/>
    </row>
    <row r="968" spans="1:8" ht="14.25" customHeight="1">
      <c r="A968" s="1"/>
      <c r="B968" s="1"/>
      <c r="C968" s="1"/>
      <c r="D968" s="1"/>
      <c r="E968" s="1"/>
      <c r="G968" s="77"/>
      <c r="H968" s="71"/>
    </row>
    <row r="969" spans="1:8" ht="14.25" customHeight="1">
      <c r="A969" s="1"/>
      <c r="B969" s="1"/>
      <c r="C969" s="1"/>
      <c r="D969" s="1"/>
      <c r="E969" s="1"/>
      <c r="G969" s="77"/>
      <c r="H969" s="71"/>
    </row>
    <row r="970" spans="1:8" ht="14.25" customHeight="1">
      <c r="A970" s="1"/>
      <c r="B970" s="1"/>
      <c r="C970" s="1"/>
      <c r="D970" s="1"/>
      <c r="E970" s="1"/>
      <c r="G970" s="77"/>
      <c r="H970" s="71"/>
    </row>
    <row r="971" spans="1:8" ht="14.25" customHeight="1">
      <c r="A971" s="1"/>
      <c r="B971" s="1"/>
      <c r="C971" s="1"/>
      <c r="D971" s="1"/>
      <c r="E971" s="1"/>
      <c r="G971" s="77"/>
      <c r="H971" s="71"/>
    </row>
    <row r="972" spans="1:8" ht="14.25" customHeight="1">
      <c r="A972" s="1"/>
      <c r="B972" s="1"/>
      <c r="C972" s="1"/>
      <c r="D972" s="1"/>
      <c r="E972" s="1"/>
      <c r="G972" s="77"/>
      <c r="H972" s="71"/>
    </row>
    <row r="973" spans="1:8" ht="14.25" customHeight="1">
      <c r="A973" s="1"/>
      <c r="B973" s="1"/>
      <c r="C973" s="1"/>
      <c r="D973" s="1"/>
      <c r="E973" s="1"/>
      <c r="G973" s="77"/>
      <c r="H973" s="71"/>
    </row>
    <row r="974" spans="1:8" ht="14.25" customHeight="1">
      <c r="A974" s="1"/>
      <c r="B974" s="1"/>
      <c r="C974" s="1"/>
      <c r="D974" s="1"/>
      <c r="E974" s="1"/>
      <c r="G974" s="77"/>
      <c r="H974" s="71"/>
    </row>
    <row r="975" spans="1:8" ht="14.25" customHeight="1">
      <c r="A975" s="1"/>
      <c r="B975" s="1"/>
      <c r="C975" s="1"/>
      <c r="D975" s="1"/>
      <c r="E975" s="1"/>
      <c r="G975" s="77"/>
      <c r="H975" s="71"/>
    </row>
    <row r="976" spans="1:8" ht="14.25" customHeight="1">
      <c r="A976" s="1"/>
      <c r="B976" s="1"/>
      <c r="C976" s="1"/>
      <c r="D976" s="1"/>
      <c r="E976" s="1"/>
      <c r="G976" s="77"/>
      <c r="H976" s="71"/>
    </row>
    <row r="977" spans="1:8" ht="14.25" customHeight="1">
      <c r="A977" s="1"/>
      <c r="B977" s="1"/>
      <c r="C977" s="1"/>
      <c r="D977" s="1"/>
      <c r="E977" s="1"/>
      <c r="G977" s="77"/>
      <c r="H977" s="71"/>
    </row>
    <row r="978" spans="1:8" ht="14.25" customHeight="1">
      <c r="A978" s="1"/>
      <c r="B978" s="1"/>
      <c r="C978" s="1"/>
      <c r="D978" s="1"/>
      <c r="E978" s="1"/>
      <c r="G978" s="77"/>
      <c r="H978" s="71"/>
    </row>
    <row r="979" spans="1:8" ht="14.25" customHeight="1">
      <c r="A979" s="1"/>
      <c r="B979" s="1"/>
      <c r="C979" s="1"/>
      <c r="D979" s="1"/>
      <c r="E979" s="1"/>
      <c r="G979" s="77"/>
      <c r="H979" s="71"/>
    </row>
    <row r="980" spans="1:8" ht="14.25" customHeight="1">
      <c r="A980" s="1"/>
      <c r="B980" s="1"/>
      <c r="C980" s="1"/>
      <c r="D980" s="1"/>
      <c r="E980" s="1"/>
      <c r="G980" s="77"/>
      <c r="H980" s="71"/>
    </row>
    <row r="981" spans="1:8" ht="14.25" customHeight="1">
      <c r="A981" s="1"/>
      <c r="B981" s="1"/>
      <c r="C981" s="1"/>
      <c r="D981" s="1"/>
      <c r="E981" s="1"/>
      <c r="G981" s="77"/>
      <c r="H981" s="71"/>
    </row>
    <row r="982" spans="1:8" ht="14.25" customHeight="1">
      <c r="A982" s="1"/>
      <c r="B982" s="1"/>
      <c r="C982" s="1"/>
      <c r="D982" s="1"/>
      <c r="E982" s="1"/>
      <c r="G982" s="77"/>
      <c r="H982" s="71"/>
    </row>
    <row r="983" spans="1:8" ht="14.25" customHeight="1">
      <c r="A983" s="1"/>
      <c r="B983" s="1"/>
      <c r="C983" s="1"/>
      <c r="D983" s="1"/>
      <c r="E983" s="1"/>
      <c r="G983" s="77"/>
      <c r="H983" s="71"/>
    </row>
    <row r="984" spans="1:8" ht="14.25" customHeight="1">
      <c r="A984" s="1"/>
      <c r="B984" s="1"/>
      <c r="C984" s="1"/>
      <c r="D984" s="1"/>
      <c r="E984" s="1"/>
      <c r="G984" s="77"/>
      <c r="H984" s="71"/>
    </row>
    <row r="985" spans="1:8" ht="14.25" customHeight="1">
      <c r="A985" s="1"/>
      <c r="B985" s="1"/>
      <c r="C985" s="1"/>
      <c r="D985" s="1"/>
      <c r="E985" s="1"/>
      <c r="G985" s="77"/>
      <c r="H985" s="71"/>
    </row>
    <row r="986" spans="1:8" ht="14.25" customHeight="1">
      <c r="A986" s="1"/>
      <c r="B986" s="1"/>
      <c r="C986" s="1"/>
      <c r="D986" s="1"/>
      <c r="E986" s="1"/>
      <c r="G986" s="77"/>
      <c r="H986" s="71"/>
    </row>
    <row r="987" spans="1:8" ht="14.25" customHeight="1">
      <c r="A987" s="1"/>
      <c r="B987" s="1"/>
      <c r="C987" s="1"/>
      <c r="D987" s="1"/>
      <c r="E987" s="1"/>
      <c r="G987" s="77"/>
      <c r="H987" s="71"/>
    </row>
    <row r="988" spans="1:8" ht="14.25" customHeight="1">
      <c r="A988" s="1"/>
      <c r="B988" s="1"/>
      <c r="C988" s="1"/>
      <c r="D988" s="1"/>
      <c r="E988" s="1"/>
      <c r="G988" s="77"/>
      <c r="H988" s="71"/>
    </row>
    <row r="989" spans="1:8" ht="14.25" customHeight="1">
      <c r="A989" s="1"/>
      <c r="B989" s="1"/>
      <c r="C989" s="1"/>
      <c r="D989" s="1"/>
      <c r="E989" s="1"/>
      <c r="G989" s="77"/>
      <c r="H989" s="71"/>
    </row>
    <row r="990" spans="1:8" ht="14.25" customHeight="1">
      <c r="A990" s="1"/>
      <c r="B990" s="1"/>
      <c r="C990" s="1"/>
      <c r="D990" s="1"/>
      <c r="E990" s="1"/>
      <c r="G990" s="77"/>
      <c r="H990" s="71"/>
    </row>
    <row r="991" spans="1:8" ht="14.25" customHeight="1">
      <c r="A991" s="1"/>
      <c r="B991" s="1"/>
      <c r="C991" s="1"/>
      <c r="D991" s="1"/>
      <c r="E991" s="1"/>
      <c r="G991" s="77"/>
      <c r="H991" s="71"/>
    </row>
    <row r="992" spans="1:8" ht="14.25" customHeight="1">
      <c r="A992" s="1"/>
      <c r="B992" s="1"/>
      <c r="C992" s="1"/>
      <c r="D992" s="1"/>
      <c r="E992" s="1"/>
      <c r="G992" s="77"/>
      <c r="H992" s="71"/>
    </row>
    <row r="993" spans="1:8" ht="14.25" customHeight="1">
      <c r="A993" s="1"/>
      <c r="B993" s="1"/>
      <c r="C993" s="1"/>
      <c r="D993" s="1"/>
      <c r="E993" s="1"/>
      <c r="G993" s="77"/>
      <c r="H993" s="71"/>
    </row>
    <row r="994" spans="1:8" ht="14.25" customHeight="1">
      <c r="A994" s="1"/>
      <c r="B994" s="1"/>
      <c r="C994" s="1"/>
      <c r="D994" s="1"/>
      <c r="E994" s="1"/>
      <c r="G994" s="77"/>
      <c r="H994" s="71"/>
    </row>
    <row r="995" spans="1:8" ht="14.25" customHeight="1">
      <c r="A995" s="1"/>
      <c r="B995" s="1"/>
      <c r="C995" s="1"/>
      <c r="D995" s="1"/>
      <c r="E995" s="1"/>
      <c r="G995" s="77"/>
      <c r="H995" s="71"/>
    </row>
    <row r="996" spans="1:8" ht="14.25" customHeight="1">
      <c r="A996" s="1"/>
      <c r="B996" s="1"/>
      <c r="C996" s="1"/>
      <c r="D996" s="1"/>
      <c r="E996" s="1"/>
      <c r="G996" s="77"/>
      <c r="H996" s="71"/>
    </row>
    <row r="997" spans="1:8" ht="14.25" customHeight="1">
      <c r="A997" s="1"/>
      <c r="B997" s="1"/>
      <c r="C997" s="1"/>
      <c r="D997" s="1"/>
      <c r="E997" s="1"/>
      <c r="G997" s="77"/>
      <c r="H997" s="71"/>
    </row>
    <row r="998" spans="1:8" ht="14.25" customHeight="1">
      <c r="A998" s="1"/>
      <c r="B998" s="1"/>
      <c r="C998" s="1"/>
      <c r="D998" s="1"/>
      <c r="E998" s="1"/>
      <c r="G998" s="77"/>
      <c r="H998" s="71"/>
    </row>
    <row r="999" spans="1:8" ht="14.25" customHeight="1">
      <c r="A999" s="1"/>
      <c r="B999" s="1"/>
      <c r="C999" s="1"/>
      <c r="D999" s="1"/>
      <c r="E999" s="1"/>
      <c r="G999" s="77"/>
      <c r="H999" s="71"/>
    </row>
    <row r="1000" spans="1:8" ht="14.25" customHeight="1">
      <c r="A1000" s="1"/>
      <c r="B1000" s="1"/>
      <c r="C1000" s="1"/>
      <c r="D1000" s="1"/>
      <c r="E1000" s="1"/>
      <c r="G1000" s="77"/>
      <c r="H1000" s="71"/>
    </row>
  </sheetData>
  <autoFilter ref="A1:K73" xr:uid="{00000000-0009-0000-0000-000004000000}"/>
  <customSheetViews>
    <customSheetView guid="{DBCA2985-35F2-4396-AB82-C941F4730697}" filter="1" showAutoFilter="1">
      <pageMargins left="0.7" right="0.7" top="0.75" bottom="0.75" header="0.3" footer="0.3"/>
      <autoFilter ref="A1:K73" xr:uid="{65ED33B5-40A4-4607-B6FE-DFD498D00E16}"/>
      <extLst>
        <ext uri="GoogleSheetsCustomDataVersion1">
          <go:sheetsCustomData xmlns:go="http://customooxmlschemas.google.com/" filterViewId="1523607609"/>
        </ext>
      </extLst>
    </customSheetView>
    <customSheetView guid="{C5940691-FD20-41D8-B708-F6F6E60B4EBD}" filter="1" showAutoFilter="1">
      <pageMargins left="0.7" right="0.7" top="0.75" bottom="0.75" header="0.3" footer="0.3"/>
      <autoFilter ref="A1:K73" xr:uid="{1759BE7A-A70F-4C78-8490-E34B164F2FB4}"/>
      <extLst>
        <ext uri="GoogleSheetsCustomDataVersion1">
          <go:sheetsCustomData xmlns:go="http://customooxmlschemas.google.com/" filterViewId="1809364118"/>
        </ext>
      </extLst>
    </customSheetView>
    <customSheetView guid="{2A2E44CE-7ABE-4A6F-A32C-C7CC4EA86B70}" filter="1" showAutoFilter="1">
      <pageMargins left="0.7" right="0.7" top="0.75" bottom="0.75" header="0.3" footer="0.3"/>
      <autoFilter ref="A1:K73" xr:uid="{7E7EC817-119B-430F-9658-545A0DE5E046}"/>
      <extLst>
        <ext uri="GoogleSheetsCustomDataVersion1">
          <go:sheetsCustomData xmlns:go="http://customooxmlschemas.google.com/" filterViewId="326279314"/>
        </ext>
      </extLst>
    </customSheetView>
    <customSheetView guid="{E409D896-73B5-4FCE-A06F-92D6136D2182}" filter="1" showAutoFilter="1">
      <pageMargins left="0.7" right="0.7" top="0.75" bottom="0.75" header="0.3" footer="0.3"/>
      <autoFilter ref="A1:K73" xr:uid="{82C67DD7-8E7D-4532-A70C-28D9CA8BCDE4}"/>
      <extLst>
        <ext uri="GoogleSheetsCustomDataVersion1">
          <go:sheetsCustomData xmlns:go="http://customooxmlschemas.google.com/" filterViewId="603369569"/>
        </ext>
      </extLst>
    </customSheetView>
  </customSheetViews>
  <conditionalFormatting sqref="J2:J72 J74">
    <cfRule type="cellIs" dxfId="7" priority="1" operator="equal">
      <formula>"Rejected"</formula>
    </cfRule>
    <cfRule type="cellIs" dxfId="6" priority="2" operator="equal">
      <formula>"delivered"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1"/>
  <sheetViews>
    <sheetView zoomScale="145" zoomScaleNormal="145" workbookViewId="0">
      <pane ySplit="1" topLeftCell="A309" activePane="bottomLeft" state="frozen"/>
      <selection pane="bottomLeft" activeCell="I321" sqref="I321"/>
    </sheetView>
  </sheetViews>
  <sheetFormatPr defaultColWidth="14.44140625" defaultRowHeight="15" customHeight="1"/>
  <cols>
    <col min="1" max="1" width="6.88671875" customWidth="1"/>
    <col min="2" max="2" width="6" customWidth="1"/>
    <col min="3" max="3" width="14.44140625" style="101" customWidth="1"/>
    <col min="4" max="4" width="16.109375" style="101" customWidth="1"/>
    <col min="5" max="5" width="26.6640625" customWidth="1"/>
    <col min="6" max="6" width="16.6640625" customWidth="1"/>
    <col min="7" max="7" width="14.88671875" customWidth="1"/>
    <col min="8" max="8" width="22.109375" customWidth="1"/>
    <col min="9" max="9" width="11.109375" customWidth="1"/>
    <col min="10" max="10" width="12.33203125" customWidth="1"/>
    <col min="11" max="11" width="10.44140625" customWidth="1"/>
    <col min="12" max="27" width="8.5546875" customWidth="1"/>
  </cols>
  <sheetData>
    <row r="1" spans="1:13" ht="14.25" customHeight="1">
      <c r="A1" s="1" t="s">
        <v>0</v>
      </c>
      <c r="B1" s="1" t="s">
        <v>1</v>
      </c>
      <c r="C1" s="1" t="s">
        <v>2</v>
      </c>
      <c r="D1" s="17" t="s">
        <v>584</v>
      </c>
      <c r="E1" s="203" t="s">
        <v>3</v>
      </c>
      <c r="F1" s="30" t="s">
        <v>585</v>
      </c>
      <c r="G1" s="30" t="s">
        <v>5</v>
      </c>
      <c r="H1" s="157" t="s">
        <v>4</v>
      </c>
      <c r="I1" s="57" t="s">
        <v>586</v>
      </c>
      <c r="J1" s="31">
        <f>MAX(caste!B2:B1090,income!B2:B837,local!B2:B1144,birth!B2:B1004,death!B2:B999,B2:B1001)</f>
        <v>1127</v>
      </c>
    </row>
    <row r="2" spans="1:13" ht="14.25" customHeight="1">
      <c r="A2" s="1">
        <v>1</v>
      </c>
      <c r="B2" s="1">
        <v>570</v>
      </c>
      <c r="C2" s="9">
        <v>43620</v>
      </c>
      <c r="D2" s="17" t="s">
        <v>5361</v>
      </c>
      <c r="E2" s="57" t="s">
        <v>3515</v>
      </c>
      <c r="F2" s="79">
        <v>1</v>
      </c>
      <c r="G2" s="79"/>
      <c r="H2" s="10" t="s">
        <v>5362</v>
      </c>
      <c r="I2" s="57" t="s">
        <v>528</v>
      </c>
    </row>
    <row r="3" spans="1:13" ht="14.25" customHeight="1">
      <c r="A3" s="1"/>
      <c r="B3" s="1">
        <v>594</v>
      </c>
      <c r="C3" s="9">
        <v>43633</v>
      </c>
      <c r="D3" s="17" t="s">
        <v>1146</v>
      </c>
      <c r="E3" s="57" t="s">
        <v>1147</v>
      </c>
      <c r="F3" s="79">
        <v>2</v>
      </c>
      <c r="G3" s="79"/>
      <c r="H3" s="10" t="s">
        <v>5363</v>
      </c>
      <c r="I3" s="57" t="s">
        <v>528</v>
      </c>
    </row>
    <row r="4" spans="1:13" ht="14.25" customHeight="1">
      <c r="A4" s="1"/>
      <c r="B4" s="1">
        <v>599</v>
      </c>
      <c r="C4" s="9">
        <v>43634</v>
      </c>
      <c r="D4" s="17" t="s">
        <v>1121</v>
      </c>
      <c r="E4" s="57" t="s">
        <v>1122</v>
      </c>
      <c r="F4" s="79">
        <v>3</v>
      </c>
      <c r="G4" s="79"/>
      <c r="H4" s="10" t="s">
        <v>5364</v>
      </c>
      <c r="I4" s="57" t="s">
        <v>528</v>
      </c>
    </row>
    <row r="5" spans="1:13" ht="14.25" customHeight="1">
      <c r="A5" s="1"/>
      <c r="B5" s="1">
        <v>601</v>
      </c>
      <c r="C5" s="9">
        <v>43641</v>
      </c>
      <c r="D5" s="17" t="s">
        <v>5365</v>
      </c>
      <c r="E5" s="57" t="s">
        <v>2412</v>
      </c>
      <c r="F5" s="79">
        <v>4</v>
      </c>
      <c r="G5" s="79"/>
      <c r="H5" s="10" t="s">
        <v>5366</v>
      </c>
      <c r="I5" s="57" t="s">
        <v>528</v>
      </c>
    </row>
    <row r="6" spans="1:13" ht="14.25" customHeight="1">
      <c r="A6" s="1"/>
      <c r="B6" s="1">
        <v>607</v>
      </c>
      <c r="C6" s="9">
        <v>43645</v>
      </c>
      <c r="D6" s="17" t="s">
        <v>1150</v>
      </c>
      <c r="E6" s="57" t="s">
        <v>1151</v>
      </c>
      <c r="F6" s="79">
        <v>5</v>
      </c>
      <c r="G6" s="79"/>
      <c r="H6" s="10" t="s">
        <v>5367</v>
      </c>
      <c r="I6" s="57" t="s">
        <v>528</v>
      </c>
    </row>
    <row r="7" spans="1:13" ht="14.25" customHeight="1">
      <c r="A7" s="1"/>
      <c r="B7" s="1"/>
      <c r="C7" s="9">
        <v>43645</v>
      </c>
      <c r="D7" s="17" t="s">
        <v>1131</v>
      </c>
      <c r="E7" s="57" t="s">
        <v>1132</v>
      </c>
      <c r="F7" s="79">
        <v>6</v>
      </c>
      <c r="G7" s="79"/>
      <c r="H7" s="10" t="s">
        <v>5368</v>
      </c>
      <c r="I7" s="57" t="s">
        <v>92</v>
      </c>
    </row>
    <row r="8" spans="1:13" ht="14.25" customHeight="1">
      <c r="A8" s="1"/>
      <c r="B8" s="1"/>
      <c r="C8" s="9">
        <v>43654</v>
      </c>
      <c r="D8" s="17" t="s">
        <v>1131</v>
      </c>
      <c r="E8" s="57" t="s">
        <v>1132</v>
      </c>
      <c r="F8" s="79">
        <v>7</v>
      </c>
      <c r="G8" s="79"/>
      <c r="H8" s="10" t="s">
        <v>5369</v>
      </c>
      <c r="I8" s="57" t="s">
        <v>528</v>
      </c>
    </row>
    <row r="9" spans="1:13" ht="14.25" customHeight="1">
      <c r="A9" s="1"/>
      <c r="B9" s="1"/>
      <c r="C9" s="9">
        <v>43656</v>
      </c>
      <c r="D9" s="17" t="s">
        <v>3597</v>
      </c>
      <c r="E9" s="57" t="s">
        <v>3598</v>
      </c>
      <c r="F9" s="79">
        <v>8</v>
      </c>
      <c r="G9" s="79"/>
      <c r="H9" s="10" t="s">
        <v>5370</v>
      </c>
      <c r="I9" s="57" t="s">
        <v>528</v>
      </c>
    </row>
    <row r="10" spans="1:13" ht="14.25" customHeight="1">
      <c r="A10" s="1"/>
      <c r="B10" s="1"/>
      <c r="C10" s="9">
        <v>43690</v>
      </c>
      <c r="D10" s="17" t="s">
        <v>1408</v>
      </c>
      <c r="E10" s="57" t="s">
        <v>1409</v>
      </c>
      <c r="F10" s="79">
        <v>9</v>
      </c>
      <c r="G10" s="79"/>
      <c r="H10" s="10" t="s">
        <v>5371</v>
      </c>
      <c r="I10" s="57" t="s">
        <v>528</v>
      </c>
    </row>
    <row r="11" spans="1:13" ht="14.25" customHeight="1">
      <c r="A11" s="1"/>
      <c r="B11" s="1"/>
      <c r="C11" s="9">
        <v>43712</v>
      </c>
      <c r="D11" s="17" t="s">
        <v>5372</v>
      </c>
      <c r="E11" s="57" t="s">
        <v>291</v>
      </c>
      <c r="F11" s="79">
        <v>10</v>
      </c>
      <c r="G11" s="79"/>
      <c r="H11" s="10" t="s">
        <v>5373</v>
      </c>
      <c r="I11" s="57" t="s">
        <v>92</v>
      </c>
    </row>
    <row r="12" spans="1:13" ht="14.25" customHeight="1">
      <c r="A12" s="1"/>
      <c r="B12" s="1"/>
      <c r="C12" s="9">
        <v>43788</v>
      </c>
      <c r="D12" s="17" t="s">
        <v>1114</v>
      </c>
      <c r="E12" s="57" t="s">
        <v>3494</v>
      </c>
      <c r="F12" s="79">
        <v>11</v>
      </c>
      <c r="G12" s="79"/>
      <c r="H12" s="10" t="s">
        <v>5374</v>
      </c>
      <c r="I12" s="57" t="s">
        <v>528</v>
      </c>
    </row>
    <row r="13" spans="1:13" ht="14.25" customHeight="1">
      <c r="A13" s="1"/>
      <c r="B13" s="1"/>
      <c r="C13" s="9">
        <v>43833</v>
      </c>
      <c r="D13" s="17" t="s">
        <v>1114</v>
      </c>
      <c r="E13" s="57" t="s">
        <v>3494</v>
      </c>
      <c r="F13" s="79">
        <v>12</v>
      </c>
      <c r="G13" s="79"/>
      <c r="H13" s="10" t="s">
        <v>5375</v>
      </c>
      <c r="I13" s="57" t="s">
        <v>528</v>
      </c>
    </row>
    <row r="14" spans="1:13" ht="14.25" customHeight="1">
      <c r="A14" s="1"/>
      <c r="B14" s="1"/>
      <c r="C14" s="9">
        <v>43865</v>
      </c>
      <c r="D14" s="17" t="s">
        <v>3888</v>
      </c>
      <c r="E14" s="57" t="s">
        <v>1717</v>
      </c>
      <c r="F14" s="79">
        <v>13</v>
      </c>
      <c r="G14" s="79"/>
      <c r="H14" s="10" t="s">
        <v>5376</v>
      </c>
      <c r="I14" s="57" t="s">
        <v>528</v>
      </c>
      <c r="M14" s="57">
        <f>253*6</f>
        <v>1518</v>
      </c>
    </row>
    <row r="15" spans="1:13" ht="14.25" customHeight="1">
      <c r="A15" s="1"/>
      <c r="B15" s="1"/>
      <c r="C15" s="9">
        <v>43878</v>
      </c>
      <c r="D15" s="17" t="s">
        <v>1114</v>
      </c>
      <c r="E15" s="57" t="s">
        <v>5377</v>
      </c>
      <c r="F15" s="79">
        <v>14</v>
      </c>
      <c r="G15" s="79"/>
      <c r="H15" s="10" t="s">
        <v>5378</v>
      </c>
      <c r="I15" s="57" t="s">
        <v>528</v>
      </c>
      <c r="M15" s="57">
        <f>253*4+200</f>
        <v>1212</v>
      </c>
    </row>
    <row r="16" spans="1:13" ht="14.25" customHeight="1">
      <c r="A16" s="1"/>
      <c r="B16" s="1"/>
      <c r="C16" s="9">
        <v>44010</v>
      </c>
      <c r="D16" s="17" t="s">
        <v>5379</v>
      </c>
      <c r="E16" s="57" t="s">
        <v>1907</v>
      </c>
      <c r="F16" s="79">
        <v>15</v>
      </c>
      <c r="G16" s="79"/>
      <c r="H16" s="10" t="s">
        <v>5380</v>
      </c>
      <c r="I16" s="57" t="s">
        <v>77</v>
      </c>
      <c r="M16" s="57">
        <f>M14-M15</f>
        <v>306</v>
      </c>
    </row>
    <row r="17" spans="1:9" ht="14.25" customHeight="1">
      <c r="A17" s="1"/>
      <c r="B17" s="1"/>
      <c r="C17" s="9">
        <v>44025</v>
      </c>
      <c r="D17" s="17" t="s">
        <v>1846</v>
      </c>
      <c r="E17" s="57" t="s">
        <v>2864</v>
      </c>
      <c r="F17" s="79">
        <v>16</v>
      </c>
      <c r="G17" s="79"/>
      <c r="H17" s="10" t="s">
        <v>5381</v>
      </c>
      <c r="I17" s="57" t="s">
        <v>92</v>
      </c>
    </row>
    <row r="18" spans="1:9" ht="14.25" customHeight="1">
      <c r="A18" s="1"/>
      <c r="B18" s="1"/>
      <c r="C18" s="9">
        <v>44025</v>
      </c>
      <c r="D18" s="17"/>
      <c r="E18" s="57" t="s">
        <v>1794</v>
      </c>
      <c r="F18" s="79">
        <v>17</v>
      </c>
      <c r="G18" s="79"/>
      <c r="H18" s="10" t="s">
        <v>5382</v>
      </c>
      <c r="I18" s="57" t="s">
        <v>528</v>
      </c>
    </row>
    <row r="19" spans="1:9" ht="14.25" customHeight="1">
      <c r="A19" s="1"/>
      <c r="B19" s="1"/>
      <c r="C19" s="9">
        <v>44051</v>
      </c>
      <c r="D19" s="17" t="s">
        <v>1408</v>
      </c>
      <c r="E19" s="57" t="s">
        <v>1409</v>
      </c>
      <c r="F19" s="79">
        <v>18</v>
      </c>
      <c r="G19" s="79"/>
      <c r="H19" s="10" t="s">
        <v>5383</v>
      </c>
      <c r="I19" s="57" t="s">
        <v>92</v>
      </c>
    </row>
    <row r="20" spans="1:9" ht="14.25" customHeight="1">
      <c r="A20" s="1"/>
      <c r="B20" s="1"/>
      <c r="C20" s="9">
        <v>44053</v>
      </c>
      <c r="D20" s="17" t="s">
        <v>3929</v>
      </c>
      <c r="E20" s="57" t="s">
        <v>3930</v>
      </c>
      <c r="F20" s="79">
        <v>18</v>
      </c>
      <c r="G20" s="79"/>
      <c r="H20" s="10" t="s">
        <v>5384</v>
      </c>
      <c r="I20" s="57" t="s">
        <v>92</v>
      </c>
    </row>
    <row r="21" spans="1:9" ht="14.25" customHeight="1">
      <c r="A21" s="1"/>
      <c r="B21" s="1"/>
      <c r="C21" s="9">
        <v>44080</v>
      </c>
      <c r="D21" s="17" t="s">
        <v>1846</v>
      </c>
      <c r="E21" s="57" t="s">
        <v>2864</v>
      </c>
      <c r="F21" s="79">
        <v>19</v>
      </c>
      <c r="G21" s="79"/>
      <c r="H21" s="10" t="s">
        <v>5385</v>
      </c>
      <c r="I21" s="57" t="s">
        <v>528</v>
      </c>
    </row>
    <row r="22" spans="1:9" ht="14.25" customHeight="1">
      <c r="A22" s="1"/>
      <c r="B22" s="1"/>
      <c r="C22" s="9">
        <v>44080</v>
      </c>
      <c r="D22" s="17" t="s">
        <v>1408</v>
      </c>
      <c r="E22" s="57" t="s">
        <v>1409</v>
      </c>
      <c r="F22" s="79">
        <v>20</v>
      </c>
      <c r="G22" s="79"/>
      <c r="H22" s="10" t="s">
        <v>5386</v>
      </c>
      <c r="I22" s="57" t="s">
        <v>100</v>
      </c>
    </row>
    <row r="23" spans="1:9" ht="14.25" customHeight="1">
      <c r="A23" s="1"/>
      <c r="B23" s="1"/>
      <c r="C23" s="9">
        <v>44092</v>
      </c>
      <c r="D23" s="17" t="s">
        <v>1756</v>
      </c>
      <c r="E23" s="57" t="s">
        <v>1757</v>
      </c>
      <c r="F23" s="79">
        <v>21</v>
      </c>
      <c r="G23" s="79"/>
      <c r="H23" s="10" t="s">
        <v>5387</v>
      </c>
      <c r="I23" s="57" t="s">
        <v>528</v>
      </c>
    </row>
    <row r="24" spans="1:9" ht="14.25" customHeight="1">
      <c r="A24" s="1"/>
      <c r="B24" s="1"/>
      <c r="C24" s="9">
        <v>44092</v>
      </c>
      <c r="D24" s="17" t="s">
        <v>1865</v>
      </c>
      <c r="E24" s="57" t="s">
        <v>2468</v>
      </c>
      <c r="F24" s="79">
        <v>22</v>
      </c>
      <c r="G24" s="79"/>
      <c r="H24" s="10" t="s">
        <v>5388</v>
      </c>
      <c r="I24" s="57" t="s">
        <v>528</v>
      </c>
    </row>
    <row r="25" spans="1:9" ht="14.25" customHeight="1">
      <c r="A25" s="1"/>
      <c r="B25" s="1"/>
      <c r="C25" s="9">
        <v>44093</v>
      </c>
      <c r="D25" s="17"/>
      <c r="E25" s="57" t="s">
        <v>3494</v>
      </c>
      <c r="F25" s="79">
        <v>23</v>
      </c>
      <c r="G25" s="79"/>
      <c r="H25" s="10" t="s">
        <v>5389</v>
      </c>
      <c r="I25" s="57" t="s">
        <v>528</v>
      </c>
    </row>
    <row r="26" spans="1:9" ht="14.25" customHeight="1">
      <c r="A26" s="1"/>
      <c r="B26" s="1"/>
      <c r="C26" s="9">
        <v>44097</v>
      </c>
      <c r="D26" s="17" t="s">
        <v>2700</v>
      </c>
      <c r="E26" s="57" t="s">
        <v>3265</v>
      </c>
      <c r="F26" s="79">
        <v>24</v>
      </c>
      <c r="G26" s="79"/>
      <c r="H26" s="10" t="s">
        <v>5390</v>
      </c>
      <c r="I26" s="57" t="s">
        <v>528</v>
      </c>
    </row>
    <row r="27" spans="1:9" ht="14.25" customHeight="1">
      <c r="A27" s="1"/>
      <c r="B27" s="1"/>
      <c r="C27" s="1"/>
      <c r="D27" s="17" t="s">
        <v>1891</v>
      </c>
      <c r="E27" s="57" t="s">
        <v>5391</v>
      </c>
      <c r="F27" s="79">
        <v>25</v>
      </c>
      <c r="G27" s="79"/>
      <c r="H27" s="10" t="s">
        <v>5392</v>
      </c>
      <c r="I27" s="57" t="s">
        <v>77</v>
      </c>
    </row>
    <row r="28" spans="1:9" ht="14.25" customHeight="1">
      <c r="A28" s="1"/>
      <c r="B28" s="1"/>
      <c r="C28" s="9">
        <v>44096</v>
      </c>
      <c r="D28" s="17"/>
      <c r="E28" s="57" t="s">
        <v>3894</v>
      </c>
      <c r="F28" s="79">
        <v>26</v>
      </c>
      <c r="G28" s="79"/>
      <c r="H28" s="10" t="s">
        <v>5393</v>
      </c>
      <c r="I28" s="57" t="s">
        <v>528</v>
      </c>
    </row>
    <row r="29" spans="1:9" ht="14.25" customHeight="1">
      <c r="A29" s="1"/>
      <c r="B29" s="1"/>
      <c r="C29" s="1"/>
      <c r="D29" s="17"/>
      <c r="E29" s="57" t="s">
        <v>3930</v>
      </c>
      <c r="F29" s="79">
        <v>27</v>
      </c>
      <c r="G29" s="79"/>
      <c r="H29" s="2" t="s">
        <v>5394</v>
      </c>
      <c r="I29" s="57" t="s">
        <v>528</v>
      </c>
    </row>
    <row r="30" spans="1:9" ht="14.25" customHeight="1">
      <c r="A30" s="1"/>
      <c r="B30" s="1"/>
      <c r="C30" s="1"/>
      <c r="D30" s="17"/>
      <c r="E30" s="57" t="s">
        <v>3894</v>
      </c>
      <c r="F30" s="79">
        <v>28</v>
      </c>
      <c r="G30" s="79"/>
      <c r="H30" s="57" t="s">
        <v>5395</v>
      </c>
      <c r="I30" s="57" t="s">
        <v>528</v>
      </c>
    </row>
    <row r="31" spans="1:9" ht="14.25" customHeight="1">
      <c r="A31" s="1"/>
      <c r="B31" s="1"/>
      <c r="C31" s="9">
        <v>44110</v>
      </c>
      <c r="D31" s="17" t="s">
        <v>1927</v>
      </c>
      <c r="E31" s="57" t="s">
        <v>1928</v>
      </c>
      <c r="F31" s="79">
        <v>29</v>
      </c>
      <c r="G31" s="79"/>
      <c r="H31" s="10" t="s">
        <v>5396</v>
      </c>
      <c r="I31" s="57" t="s">
        <v>528</v>
      </c>
    </row>
    <row r="32" spans="1:9" ht="14.25" customHeight="1">
      <c r="A32" s="1"/>
      <c r="B32" s="1"/>
      <c r="C32" s="1"/>
      <c r="D32" s="17" t="s">
        <v>1935</v>
      </c>
      <c r="E32" s="57" t="s">
        <v>5397</v>
      </c>
      <c r="F32" s="79">
        <v>30</v>
      </c>
      <c r="G32" s="79"/>
      <c r="H32" s="10" t="s">
        <v>5398</v>
      </c>
      <c r="I32" s="57" t="s">
        <v>528</v>
      </c>
    </row>
    <row r="33" spans="1:9" ht="14.25" customHeight="1">
      <c r="A33" s="1"/>
      <c r="B33" s="1"/>
      <c r="C33" s="9">
        <v>44142</v>
      </c>
      <c r="D33" s="17" t="s">
        <v>4029</v>
      </c>
      <c r="E33" s="57" t="s">
        <v>5399</v>
      </c>
      <c r="F33" s="79">
        <v>31</v>
      </c>
      <c r="G33" s="79"/>
      <c r="H33" s="10" t="s">
        <v>5400</v>
      </c>
      <c r="I33" s="2" t="s">
        <v>528</v>
      </c>
    </row>
    <row r="34" spans="1:9" ht="14.25" customHeight="1">
      <c r="A34" s="1"/>
      <c r="B34" s="1"/>
      <c r="C34" s="9">
        <v>44169</v>
      </c>
      <c r="D34" s="17" t="s">
        <v>2033</v>
      </c>
      <c r="E34" s="57" t="s">
        <v>5401</v>
      </c>
      <c r="F34" s="79">
        <v>32</v>
      </c>
      <c r="G34" s="79"/>
      <c r="H34" s="29" t="s">
        <v>5402</v>
      </c>
      <c r="I34" s="57" t="s">
        <v>528</v>
      </c>
    </row>
    <row r="35" spans="1:9" ht="14.25" customHeight="1">
      <c r="A35" s="1"/>
      <c r="B35" s="1"/>
      <c r="C35" s="9">
        <v>44173</v>
      </c>
      <c r="D35" s="17"/>
      <c r="E35" s="57" t="s">
        <v>2045</v>
      </c>
      <c r="F35" s="79">
        <v>33</v>
      </c>
      <c r="G35" s="79"/>
      <c r="H35" s="10" t="s">
        <v>5403</v>
      </c>
      <c r="I35" s="2" t="s">
        <v>528</v>
      </c>
    </row>
    <row r="36" spans="1:9" ht="14.25" customHeight="1">
      <c r="A36" s="1"/>
      <c r="B36" s="1"/>
      <c r="C36" s="1"/>
      <c r="D36" s="17" t="s">
        <v>2028</v>
      </c>
      <c r="E36" s="57" t="s">
        <v>1907</v>
      </c>
      <c r="F36" s="79">
        <v>34</v>
      </c>
      <c r="G36" s="79"/>
      <c r="H36" s="10" t="s">
        <v>5404</v>
      </c>
      <c r="I36" s="57" t="s">
        <v>77</v>
      </c>
    </row>
    <row r="37" spans="1:9" ht="14.25" customHeight="1">
      <c r="A37" s="1"/>
      <c r="B37" s="1"/>
      <c r="C37" s="9">
        <v>44184</v>
      </c>
      <c r="D37" s="17" t="s">
        <v>2065</v>
      </c>
      <c r="E37" s="57" t="s">
        <v>2066</v>
      </c>
      <c r="F37" s="79">
        <v>35</v>
      </c>
      <c r="G37" s="79"/>
      <c r="H37" s="10" t="s">
        <v>5405</v>
      </c>
      <c r="I37" s="57" t="s">
        <v>528</v>
      </c>
    </row>
    <row r="38" spans="1:9" ht="14.25" customHeight="1">
      <c r="A38" s="1"/>
      <c r="B38" s="1"/>
      <c r="C38" s="1"/>
      <c r="D38" s="17" t="s">
        <v>2079</v>
      </c>
      <c r="E38" s="57" t="s">
        <v>5406</v>
      </c>
      <c r="F38" s="79">
        <v>36</v>
      </c>
      <c r="G38" s="79"/>
      <c r="H38" s="10" t="s">
        <v>5407</v>
      </c>
      <c r="I38" s="57" t="s">
        <v>528</v>
      </c>
    </row>
    <row r="39" spans="1:9" ht="14.25" customHeight="1">
      <c r="A39" s="1"/>
      <c r="B39" s="1"/>
      <c r="C39" s="9">
        <v>44192</v>
      </c>
      <c r="D39" s="17" t="s">
        <v>3584</v>
      </c>
      <c r="E39" s="57" t="s">
        <v>1907</v>
      </c>
      <c r="F39" s="79">
        <v>37</v>
      </c>
      <c r="G39" s="79"/>
      <c r="H39" s="10" t="s">
        <v>5408</v>
      </c>
      <c r="I39" s="2" t="s">
        <v>77</v>
      </c>
    </row>
    <row r="40" spans="1:9" ht="14.25" customHeight="1">
      <c r="A40" s="1"/>
      <c r="B40" s="1"/>
      <c r="C40" s="9">
        <v>44193</v>
      </c>
      <c r="D40" s="17" t="s">
        <v>2085</v>
      </c>
      <c r="E40" s="57" t="s">
        <v>2086</v>
      </c>
      <c r="F40" s="79">
        <v>38</v>
      </c>
      <c r="G40" s="79"/>
      <c r="H40" s="10" t="s">
        <v>5409</v>
      </c>
      <c r="I40" s="2" t="s">
        <v>528</v>
      </c>
    </row>
    <row r="41" spans="1:9" ht="14.25" customHeight="1">
      <c r="A41" s="1"/>
      <c r="B41" s="1"/>
      <c r="C41" s="9">
        <v>44197</v>
      </c>
      <c r="D41" s="17" t="s">
        <v>5410</v>
      </c>
      <c r="E41" s="57" t="s">
        <v>5411</v>
      </c>
      <c r="F41" s="79">
        <v>39</v>
      </c>
      <c r="G41" s="79"/>
      <c r="H41" s="10" t="s">
        <v>5412</v>
      </c>
      <c r="I41" s="2" t="s">
        <v>77</v>
      </c>
    </row>
    <row r="42" spans="1:9" ht="14.25" customHeight="1">
      <c r="A42" s="1"/>
      <c r="B42" s="1"/>
      <c r="C42" s="9">
        <v>44220</v>
      </c>
      <c r="D42" s="17" t="s">
        <v>2186</v>
      </c>
      <c r="E42" s="57" t="s">
        <v>2187</v>
      </c>
      <c r="F42" s="79">
        <v>555</v>
      </c>
      <c r="G42" s="79"/>
      <c r="H42" s="10" t="s">
        <v>5413</v>
      </c>
      <c r="I42" s="57" t="s">
        <v>528</v>
      </c>
    </row>
    <row r="43" spans="1:9" ht="14.25" customHeight="1">
      <c r="A43" s="1"/>
      <c r="B43" s="1"/>
      <c r="C43" s="9">
        <v>44236</v>
      </c>
      <c r="D43" s="17" t="s">
        <v>2766</v>
      </c>
      <c r="E43" s="57" t="s">
        <v>2767</v>
      </c>
      <c r="F43" s="79" t="s">
        <v>5414</v>
      </c>
      <c r="G43" s="79"/>
      <c r="H43" s="57" t="s">
        <v>5415</v>
      </c>
      <c r="I43" s="2" t="s">
        <v>528</v>
      </c>
    </row>
    <row r="44" spans="1:9" ht="14.25" customHeight="1">
      <c r="A44" s="1"/>
      <c r="B44" s="1"/>
      <c r="C44" s="9">
        <v>44253</v>
      </c>
      <c r="D44" s="17" t="s">
        <v>5416</v>
      </c>
      <c r="E44" s="57" t="s">
        <v>5417</v>
      </c>
      <c r="F44" s="79" t="s">
        <v>5418</v>
      </c>
      <c r="G44" s="79"/>
      <c r="H44" s="2" t="s">
        <v>5419</v>
      </c>
      <c r="I44" s="2" t="s">
        <v>528</v>
      </c>
    </row>
    <row r="45" spans="1:9" ht="14.25" customHeight="1">
      <c r="A45" s="1"/>
      <c r="B45" s="1"/>
      <c r="C45" s="9">
        <v>44261</v>
      </c>
      <c r="D45" s="17" t="s">
        <v>5420</v>
      </c>
      <c r="E45" s="57" t="s">
        <v>2205</v>
      </c>
      <c r="F45" s="79" t="s">
        <v>5421</v>
      </c>
      <c r="G45" s="79"/>
      <c r="H45" s="2" t="s">
        <v>5422</v>
      </c>
      <c r="I45" s="57" t="s">
        <v>528</v>
      </c>
    </row>
    <row r="46" spans="1:9" ht="14.25" customHeight="1">
      <c r="A46" s="1"/>
      <c r="B46" s="1"/>
      <c r="C46" s="9">
        <v>44264</v>
      </c>
      <c r="D46" s="17"/>
      <c r="E46" s="57" t="s">
        <v>1794</v>
      </c>
      <c r="F46" s="79">
        <v>43</v>
      </c>
      <c r="G46" s="79"/>
      <c r="H46" s="10" t="s">
        <v>5423</v>
      </c>
      <c r="I46" s="2" t="s">
        <v>528</v>
      </c>
    </row>
    <row r="47" spans="1:9" ht="14.25" customHeight="1">
      <c r="A47" s="1"/>
      <c r="B47" s="1"/>
      <c r="C47" s="9">
        <v>44268</v>
      </c>
      <c r="D47" s="17"/>
      <c r="E47" s="57" t="s">
        <v>2947</v>
      </c>
      <c r="F47" s="79">
        <v>44</v>
      </c>
      <c r="G47" s="79"/>
      <c r="H47" t="s">
        <v>5424</v>
      </c>
      <c r="I47" s="57" t="s">
        <v>100</v>
      </c>
    </row>
    <row r="48" spans="1:9" ht="14.25" customHeight="1">
      <c r="A48" s="1"/>
      <c r="B48" s="1"/>
      <c r="C48" s="9">
        <v>44274</v>
      </c>
      <c r="D48" s="17" t="s">
        <v>5410</v>
      </c>
      <c r="E48" s="57" t="s">
        <v>5425</v>
      </c>
      <c r="F48" s="79" t="s">
        <v>5426</v>
      </c>
      <c r="G48" s="79"/>
      <c r="H48" s="10" t="s">
        <v>5427</v>
      </c>
      <c r="I48" s="57" t="s">
        <v>528</v>
      </c>
    </row>
    <row r="49" spans="1:27" ht="14.25" customHeight="1">
      <c r="A49" s="1"/>
      <c r="B49" s="1"/>
      <c r="C49" s="9">
        <v>44274</v>
      </c>
      <c r="D49" s="17" t="s">
        <v>2374</v>
      </c>
      <c r="E49" s="57" t="s">
        <v>2375</v>
      </c>
      <c r="F49" s="79" t="s">
        <v>5428</v>
      </c>
      <c r="G49" s="79"/>
      <c r="H49" s="29" t="s">
        <v>5429</v>
      </c>
      <c r="I49" s="2" t="s">
        <v>528</v>
      </c>
    </row>
    <row r="50" spans="1:27" ht="14.25" customHeight="1">
      <c r="A50" s="1"/>
      <c r="B50" s="1"/>
      <c r="C50" s="1"/>
      <c r="D50" s="17"/>
      <c r="F50" s="79"/>
      <c r="G50" s="79"/>
      <c r="H50" s="10"/>
      <c r="I50" s="2"/>
    </row>
    <row r="51" spans="1:27" ht="14.25" customHeight="1">
      <c r="A51" s="1"/>
      <c r="B51" s="1"/>
      <c r="C51" s="9">
        <v>44110</v>
      </c>
      <c r="D51" s="17" t="s">
        <v>1927</v>
      </c>
      <c r="E51" s="2" t="s">
        <v>1928</v>
      </c>
      <c r="F51" s="79">
        <v>29</v>
      </c>
      <c r="G51" s="79"/>
      <c r="H51" s="10" t="s">
        <v>5430</v>
      </c>
      <c r="I51" s="2" t="s">
        <v>100</v>
      </c>
    </row>
    <row r="52" spans="1:27" ht="14.25" customHeight="1">
      <c r="A52" s="1"/>
      <c r="B52" s="1"/>
      <c r="C52" s="1"/>
      <c r="D52" s="17"/>
      <c r="F52" s="79"/>
      <c r="G52" s="79"/>
      <c r="H52" s="57"/>
      <c r="I52" s="2"/>
    </row>
    <row r="53" spans="1:27" ht="14.25" customHeight="1">
      <c r="A53" s="1"/>
      <c r="B53" s="1"/>
      <c r="C53" s="1"/>
      <c r="D53" s="17" t="s">
        <v>3922</v>
      </c>
      <c r="E53" s="57" t="s">
        <v>2358</v>
      </c>
      <c r="F53" s="79" t="s">
        <v>5431</v>
      </c>
      <c r="G53" s="79"/>
      <c r="H53" s="57" t="s">
        <v>5432</v>
      </c>
      <c r="I53" s="2" t="s">
        <v>528</v>
      </c>
    </row>
    <row r="54" spans="1:27" ht="14.25" customHeight="1">
      <c r="A54" s="1"/>
      <c r="B54" s="1"/>
      <c r="C54" s="9">
        <v>44291</v>
      </c>
      <c r="D54" s="17" t="s">
        <v>5433</v>
      </c>
      <c r="E54" s="57" t="s">
        <v>2947</v>
      </c>
      <c r="F54" s="79" t="s">
        <v>5434</v>
      </c>
      <c r="G54" s="79"/>
      <c r="H54" s="57" t="s">
        <v>5435</v>
      </c>
      <c r="I54" s="2" t="s">
        <v>528</v>
      </c>
    </row>
    <row r="55" spans="1:27" ht="14.25" customHeight="1">
      <c r="A55" s="1"/>
      <c r="B55" s="1"/>
      <c r="C55" s="9">
        <v>44312</v>
      </c>
      <c r="D55" s="17" t="s">
        <v>2368</v>
      </c>
      <c r="E55" s="2" t="s">
        <v>5436</v>
      </c>
      <c r="F55" s="79" t="s">
        <v>5437</v>
      </c>
      <c r="G55" s="79"/>
      <c r="H55" s="57" t="s">
        <v>5438</v>
      </c>
      <c r="I55" s="2" t="s">
        <v>507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1"/>
      <c r="B56" s="1"/>
      <c r="C56" s="9">
        <v>44314</v>
      </c>
      <c r="D56" s="17" t="s">
        <v>4175</v>
      </c>
      <c r="E56" s="57" t="s">
        <v>2451</v>
      </c>
      <c r="F56" s="79" t="s">
        <v>5439</v>
      </c>
      <c r="G56" s="79"/>
      <c r="H56" s="57" t="s">
        <v>5440</v>
      </c>
      <c r="I56" s="2" t="s">
        <v>528</v>
      </c>
    </row>
    <row r="57" spans="1:27" ht="14.25" customHeight="1">
      <c r="A57" s="1"/>
      <c r="B57" s="1"/>
      <c r="C57" s="9">
        <v>44267</v>
      </c>
      <c r="D57" s="17" t="s">
        <v>2361</v>
      </c>
      <c r="E57" s="2" t="s">
        <v>2362</v>
      </c>
      <c r="F57" s="79" t="s">
        <v>5441</v>
      </c>
      <c r="G57" s="79"/>
      <c r="H57" s="57" t="s">
        <v>5442</v>
      </c>
      <c r="I57" s="2" t="s">
        <v>2562</v>
      </c>
    </row>
    <row r="58" spans="1:27" ht="14.25" customHeight="1">
      <c r="A58" s="1"/>
      <c r="B58" s="1"/>
      <c r="C58" s="1"/>
      <c r="D58" s="17" t="s">
        <v>5443</v>
      </c>
      <c r="E58" s="57" t="s">
        <v>2453</v>
      </c>
      <c r="F58" s="79" t="s">
        <v>5444</v>
      </c>
      <c r="G58" s="79"/>
      <c r="H58" s="57" t="s">
        <v>5445</v>
      </c>
      <c r="I58" s="2" t="s">
        <v>528</v>
      </c>
    </row>
    <row r="59" spans="1:27" ht="14.25" customHeight="1">
      <c r="A59" s="1"/>
      <c r="B59" s="1"/>
      <c r="C59" s="9">
        <v>44370</v>
      </c>
      <c r="D59" s="17" t="s">
        <v>4197</v>
      </c>
      <c r="E59" s="57" t="s">
        <v>4198</v>
      </c>
      <c r="F59" s="79" t="s">
        <v>5446</v>
      </c>
      <c r="G59" s="79"/>
      <c r="H59" s="157" t="s">
        <v>5979</v>
      </c>
      <c r="I59" s="2" t="s">
        <v>507</v>
      </c>
    </row>
    <row r="60" spans="1:27" ht="14.25" customHeight="1">
      <c r="A60" s="1"/>
      <c r="B60" s="1"/>
      <c r="C60" s="9">
        <v>44380</v>
      </c>
      <c r="D60" s="17" t="s">
        <v>1865</v>
      </c>
      <c r="E60" s="57" t="s">
        <v>2468</v>
      </c>
      <c r="F60" s="79" t="s">
        <v>5447</v>
      </c>
      <c r="G60" s="79"/>
      <c r="H60" s="57" t="s">
        <v>5448</v>
      </c>
      <c r="I60" s="2" t="s">
        <v>507</v>
      </c>
    </row>
    <row r="61" spans="1:27" ht="14.25" customHeight="1">
      <c r="A61" s="1"/>
      <c r="B61" s="1"/>
      <c r="C61" s="9">
        <v>44389</v>
      </c>
      <c r="D61" s="17" t="s">
        <v>5449</v>
      </c>
      <c r="E61" s="57" t="s">
        <v>5450</v>
      </c>
      <c r="F61" s="79">
        <v>55</v>
      </c>
      <c r="G61" s="79"/>
      <c r="H61" s="57" t="s">
        <v>5451</v>
      </c>
      <c r="I61" s="2" t="s">
        <v>528</v>
      </c>
    </row>
    <row r="62" spans="1:27" ht="14.25" customHeight="1">
      <c r="A62" s="1"/>
      <c r="B62" s="1"/>
      <c r="C62" s="9">
        <v>44389</v>
      </c>
      <c r="D62" s="17" t="s">
        <v>5452</v>
      </c>
      <c r="E62" s="57" t="s">
        <v>5453</v>
      </c>
      <c r="F62" s="79">
        <v>56</v>
      </c>
      <c r="G62" s="79"/>
      <c r="H62" s="57" t="s">
        <v>5454</v>
      </c>
      <c r="I62" s="2" t="s">
        <v>528</v>
      </c>
    </row>
    <row r="63" spans="1:27" ht="14.25" customHeight="1">
      <c r="A63" s="1"/>
      <c r="B63" s="1"/>
      <c r="C63" s="9">
        <v>44392</v>
      </c>
      <c r="D63" s="17" t="s">
        <v>2387</v>
      </c>
      <c r="E63" s="49" t="s">
        <v>2388</v>
      </c>
      <c r="F63" s="79">
        <v>57</v>
      </c>
      <c r="G63" s="79"/>
      <c r="H63" s="57" t="s">
        <v>5455</v>
      </c>
      <c r="I63" s="2" t="s">
        <v>528</v>
      </c>
    </row>
    <row r="64" spans="1:27" ht="14.25" customHeight="1">
      <c r="A64" s="1"/>
      <c r="B64" s="1"/>
      <c r="C64" s="9">
        <v>44404</v>
      </c>
      <c r="D64" s="17" t="s">
        <v>5456</v>
      </c>
      <c r="E64" s="57" t="s">
        <v>4204</v>
      </c>
      <c r="F64" s="79" t="s">
        <v>5457</v>
      </c>
      <c r="G64" s="79"/>
      <c r="H64" s="57" t="s">
        <v>5458</v>
      </c>
      <c r="I64" s="2" t="s">
        <v>100</v>
      </c>
    </row>
    <row r="65" spans="1:9" ht="14.25" customHeight="1">
      <c r="A65" s="1"/>
      <c r="B65" s="1" t="s">
        <v>5459</v>
      </c>
      <c r="C65" s="9">
        <v>44406</v>
      </c>
      <c r="D65" s="17" t="s">
        <v>2058</v>
      </c>
      <c r="E65" s="57" t="s">
        <v>2488</v>
      </c>
      <c r="F65" s="79" t="s">
        <v>5460</v>
      </c>
      <c r="G65" s="79"/>
      <c r="H65" s="57" t="s">
        <v>5461</v>
      </c>
      <c r="I65" s="2" t="s">
        <v>528</v>
      </c>
    </row>
    <row r="66" spans="1:9" ht="14.25" customHeight="1">
      <c r="A66" s="1"/>
      <c r="B66" s="1"/>
      <c r="C66" s="9">
        <v>44412</v>
      </c>
      <c r="D66" s="17"/>
      <c r="E66" s="57" t="s">
        <v>2494</v>
      </c>
      <c r="F66" s="79" t="s">
        <v>5462</v>
      </c>
      <c r="G66" s="79"/>
      <c r="H66" s="57" t="s">
        <v>5463</v>
      </c>
      <c r="I66" s="2" t="s">
        <v>528</v>
      </c>
    </row>
    <row r="67" spans="1:9" ht="14.25" customHeight="1">
      <c r="A67" s="1"/>
      <c r="B67" s="1"/>
      <c r="C67" s="1"/>
      <c r="D67" s="17"/>
      <c r="F67" s="79">
        <v>61</v>
      </c>
      <c r="G67" s="79"/>
      <c r="H67" s="57" t="s">
        <v>5464</v>
      </c>
      <c r="I67" s="2" t="s">
        <v>100</v>
      </c>
    </row>
    <row r="68" spans="1:9" ht="14.25" customHeight="1">
      <c r="A68" s="1"/>
      <c r="B68" s="80"/>
      <c r="C68" s="80"/>
      <c r="D68" s="81" t="s">
        <v>2578</v>
      </c>
      <c r="E68" s="57" t="s">
        <v>5465</v>
      </c>
      <c r="F68" s="79">
        <v>62</v>
      </c>
      <c r="G68" s="79"/>
      <c r="H68" s="57" t="s">
        <v>5466</v>
      </c>
      <c r="I68" s="2" t="s">
        <v>5467</v>
      </c>
    </row>
    <row r="69" spans="1:9" ht="14.25" customHeight="1">
      <c r="A69" s="1"/>
      <c r="B69" s="1"/>
      <c r="C69" s="9">
        <v>44421</v>
      </c>
      <c r="D69" s="17" t="s">
        <v>2504</v>
      </c>
      <c r="E69" s="57" t="s">
        <v>4230</v>
      </c>
      <c r="F69" s="79">
        <v>63</v>
      </c>
      <c r="G69" s="79"/>
      <c r="H69" s="57" t="s">
        <v>5468</v>
      </c>
      <c r="I69" s="2"/>
    </row>
    <row r="70" spans="1:9" ht="14.25" customHeight="1">
      <c r="A70" s="1"/>
      <c r="B70" s="1"/>
      <c r="C70" s="9">
        <v>44421</v>
      </c>
      <c r="D70" s="17" t="s">
        <v>2504</v>
      </c>
      <c r="E70" s="2" t="s">
        <v>4230</v>
      </c>
      <c r="F70" s="79">
        <v>64</v>
      </c>
      <c r="G70" s="79"/>
      <c r="H70" s="57" t="s">
        <v>5469</v>
      </c>
      <c r="I70" s="2"/>
    </row>
    <row r="71" spans="1:9" ht="14.25" customHeight="1">
      <c r="A71" s="1"/>
      <c r="B71" s="1"/>
      <c r="C71" s="9">
        <v>44424</v>
      </c>
      <c r="D71" s="17" t="s">
        <v>5470</v>
      </c>
      <c r="E71" s="57" t="s">
        <v>5471</v>
      </c>
      <c r="F71" s="79" t="s">
        <v>265</v>
      </c>
      <c r="G71" s="79"/>
      <c r="H71" s="57" t="s">
        <v>5472</v>
      </c>
      <c r="I71" s="2" t="s">
        <v>100</v>
      </c>
    </row>
    <row r="72" spans="1:9" ht="14.25" customHeight="1">
      <c r="A72" s="1"/>
      <c r="B72" s="1"/>
      <c r="C72" s="1"/>
      <c r="D72" s="17" t="s">
        <v>5473</v>
      </c>
      <c r="E72" s="57" t="s">
        <v>3494</v>
      </c>
      <c r="F72" s="79">
        <v>64</v>
      </c>
      <c r="G72" s="79"/>
      <c r="H72" s="57" t="s">
        <v>5474</v>
      </c>
      <c r="I72" s="2" t="s">
        <v>528</v>
      </c>
    </row>
    <row r="73" spans="1:9" ht="14.25" customHeight="1">
      <c r="A73" s="1"/>
      <c r="B73" s="1"/>
      <c r="C73" s="9">
        <v>44432</v>
      </c>
      <c r="D73" s="17" t="s">
        <v>5470</v>
      </c>
      <c r="E73" s="2" t="s">
        <v>5471</v>
      </c>
      <c r="F73" s="79" t="s">
        <v>265</v>
      </c>
      <c r="G73" s="79"/>
      <c r="H73" s="57" t="s">
        <v>5475</v>
      </c>
      <c r="I73" s="2" t="s">
        <v>528</v>
      </c>
    </row>
    <row r="74" spans="1:9" ht="14.25" customHeight="1">
      <c r="A74" s="1"/>
      <c r="B74" s="1"/>
      <c r="C74" s="9">
        <v>44440</v>
      </c>
      <c r="D74" s="17"/>
      <c r="E74" s="57" t="s">
        <v>5476</v>
      </c>
      <c r="F74" s="79">
        <v>65</v>
      </c>
      <c r="G74" s="79"/>
      <c r="H74" s="57" t="s">
        <v>5477</v>
      </c>
      <c r="I74" s="2" t="s">
        <v>528</v>
      </c>
    </row>
    <row r="75" spans="1:9" ht="14.25" customHeight="1">
      <c r="A75" s="1"/>
      <c r="B75" s="1"/>
      <c r="C75" s="9">
        <v>44445</v>
      </c>
      <c r="D75" s="17" t="s">
        <v>1878</v>
      </c>
      <c r="E75" s="57" t="s">
        <v>3980</v>
      </c>
      <c r="F75" s="79" t="s">
        <v>5478</v>
      </c>
      <c r="G75" s="79"/>
      <c r="H75" s="57" t="s">
        <v>5479</v>
      </c>
      <c r="I75" s="2" t="s">
        <v>507</v>
      </c>
    </row>
    <row r="76" spans="1:9" ht="14.25" customHeight="1">
      <c r="A76" s="1"/>
      <c r="B76" s="1"/>
      <c r="C76" s="9">
        <v>44464</v>
      </c>
      <c r="D76" s="17" t="s">
        <v>2085</v>
      </c>
      <c r="E76" s="57" t="s">
        <v>2086</v>
      </c>
      <c r="F76" s="79">
        <v>67</v>
      </c>
      <c r="G76" s="79"/>
      <c r="H76" s="57" t="s">
        <v>5480</v>
      </c>
      <c r="I76" s="57" t="s">
        <v>528</v>
      </c>
    </row>
    <row r="77" spans="1:9" ht="14.25" customHeight="1">
      <c r="A77" s="1"/>
      <c r="B77" s="1"/>
      <c r="C77" s="9">
        <v>44474</v>
      </c>
      <c r="D77" s="17" t="s">
        <v>2718</v>
      </c>
      <c r="E77" s="57" t="s">
        <v>3120</v>
      </c>
      <c r="F77" s="79">
        <v>68</v>
      </c>
      <c r="G77" s="79"/>
      <c r="H77" s="57" t="s">
        <v>5481</v>
      </c>
      <c r="I77" s="2" t="s">
        <v>528</v>
      </c>
    </row>
    <row r="78" spans="1:9" ht="14.25" customHeight="1">
      <c r="A78" s="1"/>
      <c r="B78" s="1"/>
      <c r="C78" s="9">
        <v>44481</v>
      </c>
      <c r="D78" s="17"/>
      <c r="E78" s="57" t="s">
        <v>2147</v>
      </c>
      <c r="F78" s="79">
        <v>69</v>
      </c>
      <c r="G78" s="79"/>
      <c r="H78" s="57" t="s">
        <v>5482</v>
      </c>
      <c r="I78" s="57" t="s">
        <v>507</v>
      </c>
    </row>
    <row r="79" spans="1:9" ht="14.25" customHeight="1">
      <c r="A79" s="1"/>
      <c r="B79" s="1"/>
      <c r="C79" s="9">
        <v>44487</v>
      </c>
      <c r="D79" s="17" t="s">
        <v>2674</v>
      </c>
      <c r="E79" s="57" t="s">
        <v>2675</v>
      </c>
      <c r="F79" s="79" t="s">
        <v>5483</v>
      </c>
      <c r="G79" s="79"/>
      <c r="H79" s="57" t="s">
        <v>5484</v>
      </c>
      <c r="I79" s="2" t="s">
        <v>528</v>
      </c>
    </row>
    <row r="80" spans="1:9" ht="14.25" customHeight="1">
      <c r="A80" s="1"/>
      <c r="B80" s="1"/>
      <c r="C80" s="9">
        <v>44514</v>
      </c>
      <c r="D80" s="70">
        <v>7870415730</v>
      </c>
      <c r="E80" s="57" t="s">
        <v>5485</v>
      </c>
      <c r="F80" s="79">
        <v>71</v>
      </c>
      <c r="G80" s="79"/>
      <c r="H80" s="57" t="s">
        <v>5486</v>
      </c>
      <c r="I80" s="57" t="s">
        <v>100</v>
      </c>
    </row>
    <row r="81" spans="1:10" ht="14.25" customHeight="1">
      <c r="A81" s="1"/>
      <c r="B81" s="1"/>
      <c r="C81" s="9">
        <v>44538</v>
      </c>
      <c r="D81" s="17" t="s">
        <v>2479</v>
      </c>
      <c r="E81" s="57" t="s">
        <v>2480</v>
      </c>
      <c r="F81" s="79">
        <v>72</v>
      </c>
      <c r="G81" s="79"/>
      <c r="H81" s="57" t="s">
        <v>5487</v>
      </c>
      <c r="I81" s="2" t="s">
        <v>2562</v>
      </c>
    </row>
    <row r="82" spans="1:10" ht="14.25" customHeight="1">
      <c r="A82" s="1"/>
      <c r="B82" s="1"/>
      <c r="C82" s="9">
        <v>44557</v>
      </c>
      <c r="D82" s="17" t="s">
        <v>5488</v>
      </c>
      <c r="E82" s="57" t="s">
        <v>5436</v>
      </c>
      <c r="F82" s="79" t="s">
        <v>5489</v>
      </c>
      <c r="G82" s="79"/>
      <c r="H82" s="57" t="s">
        <v>5490</v>
      </c>
      <c r="I82" s="2" t="s">
        <v>528</v>
      </c>
    </row>
    <row r="83" spans="1:10" ht="14.25" customHeight="1">
      <c r="A83" s="1"/>
      <c r="B83" s="1"/>
      <c r="C83" s="9">
        <v>44569</v>
      </c>
      <c r="D83" s="17" t="s">
        <v>2795</v>
      </c>
      <c r="E83" s="57" t="s">
        <v>2500</v>
      </c>
      <c r="F83" s="79">
        <v>74</v>
      </c>
      <c r="G83" s="79"/>
      <c r="H83" s="57" t="s">
        <v>5491</v>
      </c>
      <c r="I83" s="2" t="s">
        <v>77</v>
      </c>
    </row>
    <row r="84" spans="1:10" ht="14.25" customHeight="1">
      <c r="A84" s="1"/>
      <c r="B84" s="1"/>
      <c r="C84" s="9">
        <v>44572</v>
      </c>
      <c r="D84" s="17" t="s">
        <v>4973</v>
      </c>
      <c r="E84" s="57" t="s">
        <v>2910</v>
      </c>
      <c r="F84" s="79">
        <v>75</v>
      </c>
      <c r="G84" s="79"/>
      <c r="H84" s="57" t="s">
        <v>5492</v>
      </c>
      <c r="I84" s="2" t="s">
        <v>528</v>
      </c>
    </row>
    <row r="85" spans="1:10" ht="14.25" customHeight="1">
      <c r="A85" s="1"/>
      <c r="B85" s="1"/>
      <c r="C85" s="9">
        <v>44572</v>
      </c>
      <c r="D85" s="1">
        <v>7870415730</v>
      </c>
      <c r="E85" s="2" t="s">
        <v>5485</v>
      </c>
      <c r="F85" s="79">
        <v>76</v>
      </c>
      <c r="G85" s="79"/>
      <c r="H85" s="57" t="s">
        <v>5493</v>
      </c>
      <c r="I85" s="2" t="s">
        <v>100</v>
      </c>
    </row>
    <row r="86" spans="1:10" ht="14.25" customHeight="1">
      <c r="A86" s="1"/>
      <c r="B86" s="1"/>
      <c r="C86" s="9">
        <v>44582</v>
      </c>
      <c r="D86" s="17" t="s">
        <v>5494</v>
      </c>
      <c r="E86" s="57" t="s">
        <v>5495</v>
      </c>
      <c r="F86" s="79">
        <v>77</v>
      </c>
      <c r="G86" s="79"/>
      <c r="H86" s="57" t="s">
        <v>5496</v>
      </c>
      <c r="I86" s="2" t="s">
        <v>528</v>
      </c>
    </row>
    <row r="87" spans="1:10" ht="14.25" customHeight="1">
      <c r="A87" s="1"/>
      <c r="B87" s="1"/>
      <c r="C87" s="9">
        <v>44591</v>
      </c>
      <c r="D87" s="17" t="s">
        <v>2952</v>
      </c>
      <c r="E87" s="57" t="s">
        <v>2953</v>
      </c>
      <c r="F87" s="79">
        <v>78</v>
      </c>
      <c r="G87" s="79"/>
      <c r="H87" s="57" t="s">
        <v>5497</v>
      </c>
      <c r="I87" s="2" t="s">
        <v>2562</v>
      </c>
      <c r="J87" s="57" t="s">
        <v>5498</v>
      </c>
    </row>
    <row r="88" spans="1:10" ht="14.25" customHeight="1">
      <c r="A88" s="1"/>
      <c r="B88" s="1"/>
      <c r="C88" s="9">
        <v>44593</v>
      </c>
      <c r="D88" s="17" t="s">
        <v>2952</v>
      </c>
      <c r="E88" s="2" t="s">
        <v>2953</v>
      </c>
      <c r="F88" s="79">
        <v>79</v>
      </c>
      <c r="G88" s="79"/>
      <c r="H88" s="57" t="s">
        <v>5499</v>
      </c>
      <c r="I88" s="2" t="s">
        <v>541</v>
      </c>
      <c r="J88" s="57" t="s">
        <v>5500</v>
      </c>
    </row>
    <row r="89" spans="1:10" ht="14.25" customHeight="1">
      <c r="A89" s="1"/>
      <c r="B89" s="1"/>
      <c r="C89" s="9">
        <v>44594</v>
      </c>
      <c r="D89" s="17"/>
      <c r="E89" s="57" t="s">
        <v>1907</v>
      </c>
      <c r="F89" s="79">
        <v>80</v>
      </c>
      <c r="G89" s="79"/>
      <c r="H89" s="57" t="s">
        <v>5501</v>
      </c>
      <c r="I89" s="57" t="s">
        <v>528</v>
      </c>
    </row>
    <row r="90" spans="1:10" ht="14.25" customHeight="1">
      <c r="A90" s="1"/>
      <c r="B90" s="1"/>
      <c r="C90" s="9">
        <v>44597</v>
      </c>
      <c r="D90" s="17" t="s">
        <v>2374</v>
      </c>
      <c r="E90" s="57" t="s">
        <v>2978</v>
      </c>
      <c r="F90" s="79">
        <v>81</v>
      </c>
      <c r="G90" s="79"/>
      <c r="H90" s="57" t="s">
        <v>5502</v>
      </c>
      <c r="I90" s="57" t="s">
        <v>507</v>
      </c>
    </row>
    <row r="91" spans="1:10" ht="14.25" customHeight="1">
      <c r="A91" s="1"/>
      <c r="B91" s="1"/>
      <c r="C91" s="1"/>
      <c r="D91" s="17" t="s">
        <v>2946</v>
      </c>
      <c r="E91" s="57" t="s">
        <v>2947</v>
      </c>
      <c r="F91" s="79">
        <v>82</v>
      </c>
      <c r="G91" s="79"/>
      <c r="H91" s="57" t="s">
        <v>5503</v>
      </c>
      <c r="I91" s="57" t="s">
        <v>100</v>
      </c>
    </row>
    <row r="92" spans="1:10" ht="14.25" customHeight="1">
      <c r="A92" s="1"/>
      <c r="B92" s="1"/>
      <c r="C92" s="9">
        <v>44602</v>
      </c>
      <c r="D92" s="17" t="s">
        <v>2890</v>
      </c>
      <c r="E92" s="57" t="s">
        <v>5504</v>
      </c>
      <c r="F92" s="79">
        <v>83</v>
      </c>
      <c r="G92" s="79"/>
      <c r="H92" s="57" t="s">
        <v>5505</v>
      </c>
      <c r="I92" s="2" t="s">
        <v>77</v>
      </c>
    </row>
    <row r="93" spans="1:10" ht="14.25" customHeight="1">
      <c r="A93" s="1"/>
      <c r="B93" s="1"/>
      <c r="C93" s="9">
        <v>44607</v>
      </c>
      <c r="D93" s="17" t="s">
        <v>2374</v>
      </c>
      <c r="E93" s="2" t="s">
        <v>2978</v>
      </c>
      <c r="F93" s="79">
        <v>84</v>
      </c>
      <c r="G93" s="79"/>
      <c r="H93" s="57" t="s">
        <v>5506</v>
      </c>
      <c r="I93" s="2" t="s">
        <v>77</v>
      </c>
    </row>
    <row r="94" spans="1:10" ht="14.25" customHeight="1">
      <c r="A94" s="1"/>
      <c r="B94" s="1"/>
      <c r="C94" s="24">
        <v>44614</v>
      </c>
      <c r="D94" s="16" t="s">
        <v>2946</v>
      </c>
      <c r="E94" s="11" t="s">
        <v>2947</v>
      </c>
      <c r="F94" s="82">
        <v>85</v>
      </c>
      <c r="G94" s="82"/>
      <c r="H94" s="28" t="s">
        <v>5507</v>
      </c>
    </row>
    <row r="95" spans="1:10" ht="14.25" customHeight="1">
      <c r="A95" s="1"/>
      <c r="B95" s="1"/>
      <c r="C95" s="9">
        <v>44602</v>
      </c>
      <c r="D95" s="17" t="s">
        <v>2890</v>
      </c>
      <c r="E95" s="2" t="s">
        <v>5504</v>
      </c>
      <c r="F95" s="79">
        <v>83</v>
      </c>
      <c r="G95" s="79"/>
      <c r="H95" s="57" t="s">
        <v>5505</v>
      </c>
      <c r="I95" s="2" t="s">
        <v>528</v>
      </c>
    </row>
    <row r="96" spans="1:10" ht="14.25" customHeight="1">
      <c r="A96" s="1"/>
      <c r="B96" s="1"/>
      <c r="C96" s="9">
        <v>44607</v>
      </c>
      <c r="D96" s="17" t="s">
        <v>2374</v>
      </c>
      <c r="E96" s="2" t="s">
        <v>2978</v>
      </c>
      <c r="F96" s="79">
        <v>84</v>
      </c>
      <c r="G96" s="79"/>
      <c r="H96" s="57" t="s">
        <v>5506</v>
      </c>
      <c r="I96" s="2" t="s">
        <v>528</v>
      </c>
    </row>
    <row r="97" spans="1:11" ht="14.25" customHeight="1">
      <c r="A97" s="1"/>
      <c r="B97" s="1"/>
      <c r="C97" s="9">
        <v>44614</v>
      </c>
      <c r="D97" s="17" t="s">
        <v>2946</v>
      </c>
      <c r="E97" s="2" t="s">
        <v>2947</v>
      </c>
      <c r="F97" s="79">
        <v>85</v>
      </c>
      <c r="G97" s="79"/>
      <c r="H97" s="57" t="s">
        <v>5507</v>
      </c>
      <c r="I97" s="2" t="s">
        <v>507</v>
      </c>
    </row>
    <row r="98" spans="1:11" ht="14.25" customHeight="1">
      <c r="A98" s="1"/>
      <c r="B98" s="1"/>
      <c r="C98" s="9">
        <v>44624</v>
      </c>
      <c r="D98" s="17" t="s">
        <v>2374</v>
      </c>
      <c r="E98" s="2" t="s">
        <v>2978</v>
      </c>
      <c r="F98" s="79">
        <v>86</v>
      </c>
      <c r="G98" s="79"/>
      <c r="H98" s="57" t="s">
        <v>5508</v>
      </c>
      <c r="I98" s="2" t="s">
        <v>77</v>
      </c>
    </row>
    <row r="99" spans="1:11" ht="14.25" customHeight="1">
      <c r="A99" s="1"/>
      <c r="B99" s="1"/>
      <c r="C99" s="9">
        <v>44625</v>
      </c>
      <c r="D99" s="17" t="s">
        <v>2973</v>
      </c>
      <c r="E99" s="2" t="s">
        <v>2426</v>
      </c>
      <c r="F99" s="79">
        <v>87</v>
      </c>
      <c r="G99" s="79"/>
      <c r="H99" s="57" t="s">
        <v>5509</v>
      </c>
      <c r="I99" s="2" t="s">
        <v>528</v>
      </c>
    </row>
    <row r="100" spans="1:11" ht="14.25" customHeight="1">
      <c r="A100" s="1"/>
      <c r="B100" s="1"/>
      <c r="C100" s="1"/>
      <c r="D100" s="70">
        <v>7979049359</v>
      </c>
      <c r="E100" s="49" t="s">
        <v>5510</v>
      </c>
      <c r="F100" s="79">
        <v>88</v>
      </c>
      <c r="G100" s="79"/>
      <c r="H100" s="57" t="s">
        <v>5511</v>
      </c>
      <c r="I100" s="2" t="s">
        <v>77</v>
      </c>
    </row>
    <row r="101" spans="1:11" ht="14.25" customHeight="1">
      <c r="A101" s="1"/>
      <c r="B101" s="1"/>
      <c r="C101" s="9">
        <v>44648</v>
      </c>
      <c r="D101" s="17" t="s">
        <v>2479</v>
      </c>
      <c r="E101" s="2" t="s">
        <v>2480</v>
      </c>
      <c r="F101" s="79">
        <v>89</v>
      </c>
      <c r="G101" s="79" t="s">
        <v>5576</v>
      </c>
      <c r="H101" s="57" t="s">
        <v>5575</v>
      </c>
      <c r="I101" s="2" t="s">
        <v>5849</v>
      </c>
    </row>
    <row r="102" spans="1:11" ht="14.25" customHeight="1">
      <c r="A102" s="1"/>
      <c r="B102" s="1"/>
      <c r="C102" s="9">
        <v>44648</v>
      </c>
      <c r="D102" s="17" t="s">
        <v>5578</v>
      </c>
      <c r="E102" s="2" t="s">
        <v>5577</v>
      </c>
      <c r="F102" s="79">
        <v>90</v>
      </c>
      <c r="G102" s="79" t="s">
        <v>1275</v>
      </c>
      <c r="H102" s="57" t="s">
        <v>5579</v>
      </c>
      <c r="I102" s="2" t="s">
        <v>528</v>
      </c>
    </row>
    <row r="103" spans="1:11" ht="14.25" customHeight="1">
      <c r="A103" s="1"/>
      <c r="B103" s="1"/>
      <c r="D103" s="101">
        <v>8709727876</v>
      </c>
      <c r="E103" s="2" t="s">
        <v>5634</v>
      </c>
      <c r="F103" s="79">
        <v>91</v>
      </c>
      <c r="G103" s="79"/>
      <c r="H103" s="57" t="s">
        <v>5635</v>
      </c>
      <c r="I103" s="2" t="s">
        <v>528</v>
      </c>
    </row>
    <row r="104" spans="1:11" ht="14.25" customHeight="1">
      <c r="A104" s="1"/>
      <c r="B104" s="1"/>
      <c r="C104" s="162">
        <v>44652</v>
      </c>
      <c r="D104" s="101">
        <v>9304540858</v>
      </c>
      <c r="E104" s="2" t="s">
        <v>1907</v>
      </c>
      <c r="F104" s="79">
        <v>92</v>
      </c>
      <c r="G104" s="79" t="s">
        <v>2067</v>
      </c>
      <c r="H104" s="57" t="s">
        <v>5686</v>
      </c>
      <c r="I104" s="2" t="s">
        <v>528</v>
      </c>
    </row>
    <row r="105" spans="1:11" ht="14.25" customHeight="1">
      <c r="A105" s="1"/>
      <c r="B105" s="1"/>
      <c r="C105" s="9">
        <v>44655</v>
      </c>
      <c r="D105" s="17" t="s">
        <v>5729</v>
      </c>
      <c r="E105" s="2" t="s">
        <v>2767</v>
      </c>
      <c r="F105" s="79">
        <v>93</v>
      </c>
      <c r="G105" s="79" t="s">
        <v>2067</v>
      </c>
      <c r="H105" s="57" t="s">
        <v>5730</v>
      </c>
      <c r="I105" s="2" t="s">
        <v>528</v>
      </c>
    </row>
    <row r="106" spans="1:11" ht="14.25" customHeight="1">
      <c r="A106" s="1"/>
      <c r="B106" s="1"/>
      <c r="C106" s="9">
        <v>44655</v>
      </c>
      <c r="D106" s="17" t="s">
        <v>2847</v>
      </c>
      <c r="E106" s="2" t="s">
        <v>2848</v>
      </c>
      <c r="F106" s="79">
        <v>94</v>
      </c>
      <c r="G106" s="79" t="s">
        <v>1275</v>
      </c>
      <c r="H106" s="57" t="s">
        <v>5731</v>
      </c>
      <c r="I106" s="2" t="s">
        <v>528</v>
      </c>
    </row>
    <row r="107" spans="1:11" ht="14.25" customHeight="1">
      <c r="A107" s="1"/>
      <c r="B107" s="1"/>
      <c r="C107" s="9">
        <v>44655</v>
      </c>
      <c r="D107" s="17" t="s">
        <v>3037</v>
      </c>
      <c r="E107" s="2" t="s">
        <v>4875</v>
      </c>
      <c r="F107" s="79">
        <v>95</v>
      </c>
      <c r="G107" s="79" t="s">
        <v>1275</v>
      </c>
      <c r="H107" s="57" t="s">
        <v>5733</v>
      </c>
      <c r="I107" s="2" t="s">
        <v>77</v>
      </c>
    </row>
    <row r="108" spans="1:11" ht="14.25" customHeight="1">
      <c r="A108" s="1"/>
      <c r="B108" s="1"/>
      <c r="C108" s="1"/>
      <c r="D108" s="101">
        <v>9334616844</v>
      </c>
      <c r="E108" s="2" t="s">
        <v>3120</v>
      </c>
      <c r="F108" s="79">
        <v>96</v>
      </c>
      <c r="G108" s="79" t="s">
        <v>1602</v>
      </c>
      <c r="H108" s="57" t="s">
        <v>5821</v>
      </c>
      <c r="I108" s="139" t="s">
        <v>528</v>
      </c>
    </row>
    <row r="109" spans="1:11" ht="14.25" customHeight="1">
      <c r="A109" s="1"/>
      <c r="B109" s="1"/>
      <c r="C109" s="9">
        <v>44666</v>
      </c>
      <c r="D109" s="17" t="s">
        <v>4175</v>
      </c>
      <c r="E109" s="2" t="s">
        <v>2451</v>
      </c>
      <c r="F109" s="79">
        <v>97</v>
      </c>
      <c r="G109" s="79" t="s">
        <v>2067</v>
      </c>
      <c r="H109" s="57" t="s">
        <v>5820</v>
      </c>
      <c r="I109" s="2" t="s">
        <v>528</v>
      </c>
    </row>
    <row r="110" spans="1:11" ht="14.25" customHeight="1">
      <c r="A110" s="1"/>
      <c r="B110" s="1"/>
      <c r="C110" s="9">
        <v>44684</v>
      </c>
      <c r="D110" s="17" t="s">
        <v>5860</v>
      </c>
      <c r="E110" s="2" t="s">
        <v>5826</v>
      </c>
      <c r="F110" s="79">
        <v>98</v>
      </c>
      <c r="G110" s="79" t="s">
        <v>5859</v>
      </c>
      <c r="H110" s="57" t="s">
        <v>5858</v>
      </c>
      <c r="I110" s="2" t="s">
        <v>100</v>
      </c>
    </row>
    <row r="111" spans="1:11" ht="14.25" customHeight="1">
      <c r="A111" s="1"/>
      <c r="B111" s="1"/>
      <c r="C111" s="9">
        <v>44696</v>
      </c>
      <c r="D111" s="17" t="s">
        <v>5898</v>
      </c>
      <c r="E111" s="2" t="s">
        <v>2205</v>
      </c>
      <c r="F111" s="79">
        <v>99</v>
      </c>
      <c r="G111" s="30" t="s">
        <v>1275</v>
      </c>
      <c r="H111" s="404" t="s">
        <v>5899</v>
      </c>
      <c r="I111" s="2" t="s">
        <v>507</v>
      </c>
      <c r="J111" s="2" t="s">
        <v>6916</v>
      </c>
      <c r="K111" s="95">
        <v>44962</v>
      </c>
    </row>
    <row r="112" spans="1:11" ht="14.25" customHeight="1">
      <c r="A112" s="1"/>
      <c r="B112" s="1"/>
      <c r="C112" s="9">
        <v>44704</v>
      </c>
      <c r="D112" s="17" t="s">
        <v>5896</v>
      </c>
      <c r="E112" s="2" t="s">
        <v>5897</v>
      </c>
      <c r="F112" s="79">
        <v>100</v>
      </c>
      <c r="G112" s="30" t="s">
        <v>5927</v>
      </c>
      <c r="H112" s="57" t="s">
        <v>5928</v>
      </c>
      <c r="I112" s="2" t="s">
        <v>528</v>
      </c>
    </row>
    <row r="113" spans="1:10" ht="14.25" customHeight="1">
      <c r="A113" s="1"/>
      <c r="B113" s="1"/>
      <c r="C113" s="1"/>
      <c r="D113" s="101">
        <v>9334616844</v>
      </c>
      <c r="E113" s="2" t="s">
        <v>3120</v>
      </c>
      <c r="F113" s="79">
        <v>101</v>
      </c>
      <c r="G113" s="30" t="s">
        <v>5927</v>
      </c>
      <c r="H113" s="57" t="s">
        <v>5933</v>
      </c>
      <c r="I113" s="2" t="s">
        <v>77</v>
      </c>
      <c r="J113" s="161"/>
    </row>
    <row r="114" spans="1:10" ht="14.25" customHeight="1">
      <c r="A114" s="1"/>
      <c r="B114" s="1"/>
      <c r="C114" s="9">
        <v>44706</v>
      </c>
      <c r="D114" s="17" t="s">
        <v>5941</v>
      </c>
      <c r="E114" s="2" t="s">
        <v>2998</v>
      </c>
      <c r="F114" s="79">
        <v>102</v>
      </c>
      <c r="G114" s="30" t="s">
        <v>5942</v>
      </c>
      <c r="H114" s="183" t="s">
        <v>5943</v>
      </c>
      <c r="I114" s="2" t="s">
        <v>528</v>
      </c>
    </row>
    <row r="115" spans="1:10" ht="14.25" customHeight="1">
      <c r="A115" s="1"/>
      <c r="B115" s="1"/>
      <c r="C115" s="9">
        <v>44706</v>
      </c>
      <c r="D115" s="17" t="s">
        <v>5945</v>
      </c>
      <c r="E115" s="2" t="s">
        <v>2995</v>
      </c>
      <c r="F115" s="79">
        <v>103</v>
      </c>
      <c r="G115" s="30" t="s">
        <v>5942</v>
      </c>
      <c r="H115" s="183" t="s">
        <v>5944</v>
      </c>
      <c r="I115" s="2" t="s">
        <v>528</v>
      </c>
    </row>
    <row r="116" spans="1:10" ht="14.25" customHeight="1">
      <c r="A116" s="1"/>
      <c r="B116" s="1"/>
      <c r="C116" s="9">
        <v>44711</v>
      </c>
      <c r="D116" s="17" t="s">
        <v>5860</v>
      </c>
      <c r="E116" s="2" t="s">
        <v>5826</v>
      </c>
      <c r="F116" s="79">
        <v>104</v>
      </c>
      <c r="G116" s="30" t="s">
        <v>5959</v>
      </c>
      <c r="H116" s="157" t="s">
        <v>5960</v>
      </c>
      <c r="I116" s="2" t="s">
        <v>528</v>
      </c>
    </row>
    <row r="117" spans="1:10" ht="14.25" customHeight="1">
      <c r="A117" s="1"/>
      <c r="B117" s="1"/>
      <c r="C117" s="9">
        <v>44713</v>
      </c>
      <c r="D117" s="17" t="s">
        <v>5816</v>
      </c>
      <c r="E117" s="2" t="s">
        <v>5817</v>
      </c>
      <c r="F117" s="79">
        <v>105</v>
      </c>
      <c r="G117" s="30" t="s">
        <v>2047</v>
      </c>
      <c r="H117" s="189" t="s">
        <v>5968</v>
      </c>
      <c r="I117" s="2" t="s">
        <v>528</v>
      </c>
    </row>
    <row r="118" spans="1:10" ht="14.25" customHeight="1">
      <c r="A118" s="1"/>
      <c r="B118" s="1"/>
      <c r="C118" s="9">
        <v>44715</v>
      </c>
      <c r="D118" s="17" t="s">
        <v>5972</v>
      </c>
      <c r="E118" s="2" t="s">
        <v>2070</v>
      </c>
      <c r="F118" s="79">
        <v>106</v>
      </c>
      <c r="G118" s="30" t="s">
        <v>2071</v>
      </c>
      <c r="H118" s="201" t="s">
        <v>5973</v>
      </c>
      <c r="I118" s="2" t="s">
        <v>6141</v>
      </c>
    </row>
    <row r="119" spans="1:10" ht="14.25" customHeight="1">
      <c r="A119" s="1"/>
      <c r="B119" s="1"/>
      <c r="C119" s="9">
        <v>44734</v>
      </c>
      <c r="D119" s="17" t="s">
        <v>2374</v>
      </c>
      <c r="E119" s="165" t="s">
        <v>2375</v>
      </c>
      <c r="F119" s="79">
        <v>107</v>
      </c>
      <c r="G119" s="30" t="s">
        <v>1873</v>
      </c>
      <c r="H119" s="157" t="s">
        <v>6013</v>
      </c>
      <c r="I119" s="2" t="s">
        <v>528</v>
      </c>
    </row>
    <row r="120" spans="1:10" ht="14.25" customHeight="1">
      <c r="A120" s="1"/>
      <c r="B120" s="1"/>
      <c r="C120" s="9">
        <v>44743</v>
      </c>
      <c r="D120" s="17" t="s">
        <v>6053</v>
      </c>
      <c r="E120" s="175" t="s">
        <v>5838</v>
      </c>
      <c r="F120" s="79">
        <v>108</v>
      </c>
      <c r="G120" s="30" t="s">
        <v>2047</v>
      </c>
      <c r="H120" s="189" t="s">
        <v>6054</v>
      </c>
      <c r="I120" s="2" t="s">
        <v>100</v>
      </c>
      <c r="J120" s="2" t="s">
        <v>6403</v>
      </c>
    </row>
    <row r="121" spans="1:10" ht="14.25" customHeight="1">
      <c r="A121" s="1"/>
      <c r="B121" s="1"/>
      <c r="C121" s="9">
        <v>44743</v>
      </c>
      <c r="D121" s="17" t="s">
        <v>5964</v>
      </c>
      <c r="E121" s="175" t="s">
        <v>2125</v>
      </c>
      <c r="F121" s="30" t="s">
        <v>6056</v>
      </c>
      <c r="G121" s="30" t="s">
        <v>2067</v>
      </c>
      <c r="H121" s="157" t="s">
        <v>6055</v>
      </c>
      <c r="I121" s="65">
        <v>44875</v>
      </c>
    </row>
    <row r="122" spans="1:10" ht="14.25" customHeight="1">
      <c r="A122" s="1"/>
      <c r="B122" s="1"/>
      <c r="C122" s="9">
        <v>44753</v>
      </c>
      <c r="D122" s="17" t="s">
        <v>6087</v>
      </c>
      <c r="E122" s="184" t="s">
        <v>6011</v>
      </c>
      <c r="F122" s="30" t="s">
        <v>6088</v>
      </c>
      <c r="G122" s="30" t="s">
        <v>2122</v>
      </c>
      <c r="H122" s="157" t="s">
        <v>6091</v>
      </c>
      <c r="I122" s="2" t="s">
        <v>100</v>
      </c>
    </row>
    <row r="123" spans="1:10" ht="14.25" customHeight="1">
      <c r="A123" s="1"/>
      <c r="B123" s="1"/>
      <c r="C123" s="9">
        <v>44753</v>
      </c>
      <c r="D123" s="101">
        <v>9304943280</v>
      </c>
      <c r="E123" s="184" t="s">
        <v>6010</v>
      </c>
      <c r="F123" s="30" t="s">
        <v>6089</v>
      </c>
      <c r="G123" s="30" t="s">
        <v>2122</v>
      </c>
      <c r="H123" s="157" t="s">
        <v>6092</v>
      </c>
      <c r="I123" s="249" t="s">
        <v>528</v>
      </c>
    </row>
    <row r="124" spans="1:10" ht="14.25" customHeight="1">
      <c r="A124" s="1"/>
      <c r="B124" s="1"/>
      <c r="C124" s="24">
        <v>44755</v>
      </c>
      <c r="D124" s="200">
        <v>6201698769</v>
      </c>
      <c r="E124" s="194" t="s">
        <v>2910</v>
      </c>
      <c r="F124" s="38" t="s">
        <v>6090</v>
      </c>
      <c r="G124" s="38" t="s">
        <v>5884</v>
      </c>
      <c r="H124" s="194" t="s">
        <v>6100</v>
      </c>
    </row>
    <row r="125" spans="1:10" ht="14.25" customHeight="1">
      <c r="A125" s="1"/>
      <c r="B125" s="1"/>
      <c r="C125" s="9">
        <v>44756</v>
      </c>
      <c r="D125" s="17" t="s">
        <v>6099</v>
      </c>
      <c r="E125" s="185" t="s">
        <v>5401</v>
      </c>
      <c r="F125" s="30" t="s">
        <v>6102</v>
      </c>
      <c r="G125" s="30" t="s">
        <v>5884</v>
      </c>
      <c r="H125" s="157" t="s">
        <v>6106</v>
      </c>
      <c r="I125" s="284">
        <v>44829</v>
      </c>
    </row>
    <row r="126" spans="1:10" ht="14.25" customHeight="1">
      <c r="A126" s="1"/>
      <c r="B126" s="1"/>
      <c r="C126" s="162">
        <v>44760</v>
      </c>
      <c r="D126" s="101">
        <v>6201698769</v>
      </c>
      <c r="E126" s="185" t="s">
        <v>2910</v>
      </c>
      <c r="F126" s="30" t="s">
        <v>6103</v>
      </c>
      <c r="G126" s="30" t="s">
        <v>6119</v>
      </c>
      <c r="H126" s="157" t="s">
        <v>6118</v>
      </c>
      <c r="I126" t="s">
        <v>528</v>
      </c>
    </row>
    <row r="127" spans="1:10" ht="14.25" customHeight="1">
      <c r="A127" s="1"/>
      <c r="B127" s="1" t="s">
        <v>161</v>
      </c>
      <c r="C127" s="9">
        <v>44764</v>
      </c>
      <c r="D127" s="101">
        <v>6201698769</v>
      </c>
      <c r="E127" s="185" t="s">
        <v>2910</v>
      </c>
      <c r="F127" s="30" t="s">
        <v>6104</v>
      </c>
      <c r="H127" s="157" t="s">
        <v>6128</v>
      </c>
      <c r="I127" t="s">
        <v>528</v>
      </c>
    </row>
    <row r="128" spans="1:10" ht="14.25" customHeight="1">
      <c r="A128" s="1"/>
      <c r="B128" s="1"/>
      <c r="C128" s="24">
        <v>44767</v>
      </c>
      <c r="D128" s="16" t="s">
        <v>5552</v>
      </c>
      <c r="E128" s="194" t="s">
        <v>5551</v>
      </c>
      <c r="F128" s="38" t="s">
        <v>6105</v>
      </c>
      <c r="G128" s="38" t="s">
        <v>2071</v>
      </c>
      <c r="H128" s="194" t="s">
        <v>6142</v>
      </c>
      <c r="I128" s="194" t="s">
        <v>100</v>
      </c>
      <c r="J128" s="25" t="s">
        <v>6402</v>
      </c>
    </row>
    <row r="129" spans="1:10" ht="14.25" customHeight="1">
      <c r="A129" s="1"/>
      <c r="B129" s="1"/>
      <c r="C129" s="9"/>
      <c r="D129" s="17" t="s">
        <v>6053</v>
      </c>
      <c r="E129" s="175" t="s">
        <v>5838</v>
      </c>
      <c r="F129" s="30"/>
      <c r="G129" s="30"/>
      <c r="H129" s="157" t="s">
        <v>6204</v>
      </c>
      <c r="I129" s="208" t="s">
        <v>528</v>
      </c>
    </row>
    <row r="130" spans="1:10" ht="14.25" customHeight="1">
      <c r="A130" s="1"/>
      <c r="B130" s="1"/>
      <c r="C130" s="9">
        <v>44809</v>
      </c>
      <c r="D130" s="17" t="s">
        <v>6357</v>
      </c>
      <c r="E130" s="248" t="s">
        <v>546</v>
      </c>
      <c r="F130" s="30"/>
      <c r="G130" s="30" t="s">
        <v>2067</v>
      </c>
      <c r="H130" s="269" t="s">
        <v>6384</v>
      </c>
      <c r="I130" s="282" t="s">
        <v>100</v>
      </c>
      <c r="J130" s="287" t="s">
        <v>6475</v>
      </c>
    </row>
    <row r="131" spans="1:10" ht="14.25" customHeight="1">
      <c r="A131" s="1"/>
      <c r="B131" s="1"/>
      <c r="C131" s="9">
        <v>44813</v>
      </c>
      <c r="D131" s="17" t="s">
        <v>6127</v>
      </c>
      <c r="E131" s="263" t="s">
        <v>6126</v>
      </c>
      <c r="F131" s="30"/>
      <c r="G131" s="30" t="s">
        <v>2067</v>
      </c>
      <c r="H131" s="157" t="s">
        <v>6383</v>
      </c>
      <c r="I131" s="269" t="s">
        <v>528</v>
      </c>
    </row>
    <row r="132" spans="1:10" ht="14.25" customHeight="1">
      <c r="A132" s="1"/>
      <c r="B132" s="1"/>
      <c r="C132" s="162">
        <v>44824</v>
      </c>
      <c r="D132" s="101">
        <v>8434686043</v>
      </c>
      <c r="E132" s="276" t="s">
        <v>3305</v>
      </c>
      <c r="F132" s="30"/>
      <c r="G132" s="30" t="s">
        <v>2067</v>
      </c>
      <c r="H132" s="269" t="s">
        <v>6428</v>
      </c>
      <c r="I132" s="194" t="s">
        <v>202</v>
      </c>
      <c r="J132" s="322" t="s">
        <v>6605</v>
      </c>
    </row>
    <row r="133" spans="1:10" ht="14.25" customHeight="1">
      <c r="A133" s="1"/>
      <c r="B133" s="1"/>
      <c r="C133" s="9">
        <v>44836</v>
      </c>
      <c r="D133" s="17" t="s">
        <v>6357</v>
      </c>
      <c r="E133" s="248" t="s">
        <v>546</v>
      </c>
      <c r="F133" s="30"/>
      <c r="G133" s="30" t="s">
        <v>2067</v>
      </c>
      <c r="H133" s="269" t="s">
        <v>6479</v>
      </c>
      <c r="I133" s="194" t="s">
        <v>202</v>
      </c>
      <c r="J133" s="322" t="s">
        <v>6606</v>
      </c>
    </row>
    <row r="134" spans="1:10" ht="14.25" customHeight="1">
      <c r="A134" s="1"/>
      <c r="B134" s="1"/>
      <c r="C134" s="1"/>
      <c r="D134" s="17" t="s">
        <v>6481</v>
      </c>
      <c r="E134" s="288" t="s">
        <v>5826</v>
      </c>
      <c r="F134" s="30"/>
      <c r="G134" s="30"/>
      <c r="H134" s="269" t="s">
        <v>6480</v>
      </c>
      <c r="I134" t="s">
        <v>100</v>
      </c>
      <c r="J134" t="s">
        <v>6522</v>
      </c>
    </row>
    <row r="135" spans="1:10" ht="14.25" customHeight="1">
      <c r="A135" s="1"/>
      <c r="B135" s="1"/>
      <c r="C135" s="9">
        <v>44853</v>
      </c>
      <c r="D135" s="17"/>
      <c r="E135" s="331" t="s">
        <v>6637</v>
      </c>
      <c r="F135" s="30"/>
      <c r="G135" s="30" t="s">
        <v>6514</v>
      </c>
      <c r="H135" s="333" t="s">
        <v>6513</v>
      </c>
      <c r="I135" s="194" t="s">
        <v>100</v>
      </c>
      <c r="J135" s="25" t="s">
        <v>6795</v>
      </c>
    </row>
    <row r="136" spans="1:10" ht="14.25" customHeight="1">
      <c r="A136" s="1"/>
      <c r="B136" s="1"/>
      <c r="C136" s="9">
        <v>44853</v>
      </c>
      <c r="D136" s="17" t="s">
        <v>5449</v>
      </c>
      <c r="E136" s="305" t="s">
        <v>5450</v>
      </c>
      <c r="F136" s="30"/>
      <c r="G136" s="30"/>
      <c r="H136" s="269" t="s">
        <v>6515</v>
      </c>
      <c r="I136" t="s">
        <v>3565</v>
      </c>
    </row>
    <row r="137" spans="1:10" ht="14.25" customHeight="1">
      <c r="A137" s="1"/>
      <c r="B137" s="1"/>
      <c r="C137" s="162">
        <v>44863</v>
      </c>
      <c r="E137" s="311" t="s">
        <v>546</v>
      </c>
      <c r="G137" s="30" t="s">
        <v>6544</v>
      </c>
      <c r="H137" s="269" t="s">
        <v>6543</v>
      </c>
      <c r="I137" s="394" t="s">
        <v>507</v>
      </c>
    </row>
    <row r="138" spans="1:10" ht="14.25" customHeight="1">
      <c r="A138" s="1"/>
      <c r="B138" s="1"/>
      <c r="C138" s="101" t="s">
        <v>6630</v>
      </c>
      <c r="D138" s="101">
        <v>8709506312</v>
      </c>
      <c r="E138" t="s">
        <v>2978</v>
      </c>
      <c r="G138" s="30" t="s">
        <v>5927</v>
      </c>
      <c r="H138" s="331" t="s">
        <v>6629</v>
      </c>
      <c r="I138" s="366" t="s">
        <v>528</v>
      </c>
      <c r="J138" s="366" t="s">
        <v>6791</v>
      </c>
    </row>
    <row r="139" spans="1:10" ht="14.25" customHeight="1">
      <c r="A139" s="1"/>
      <c r="B139" s="1"/>
      <c r="C139" s="9">
        <v>44893</v>
      </c>
      <c r="D139" s="17" t="s">
        <v>6628</v>
      </c>
      <c r="E139" s="331" t="s">
        <v>6623</v>
      </c>
      <c r="F139" s="30"/>
      <c r="G139" s="30" t="s">
        <v>5942</v>
      </c>
      <c r="H139" s="269" t="s">
        <v>6627</v>
      </c>
      <c r="I139" s="348" t="s">
        <v>507</v>
      </c>
    </row>
    <row r="140" spans="1:10" ht="14.25" customHeight="1">
      <c r="A140" s="1"/>
      <c r="B140" s="1"/>
      <c r="C140" s="9">
        <v>44894</v>
      </c>
      <c r="D140" s="17" t="s">
        <v>6644</v>
      </c>
      <c r="E140" s="334" t="s">
        <v>6643</v>
      </c>
      <c r="F140" s="30"/>
      <c r="G140" s="30" t="s">
        <v>2969</v>
      </c>
      <c r="H140" s="397" t="s">
        <v>6645</v>
      </c>
      <c r="I140" s="397" t="s">
        <v>6668</v>
      </c>
      <c r="J140" s="95">
        <v>44954</v>
      </c>
    </row>
    <row r="141" spans="1:10" ht="14.25" customHeight="1">
      <c r="A141" s="1"/>
      <c r="B141" s="1"/>
      <c r="C141" s="9">
        <v>44267</v>
      </c>
      <c r="D141" s="17" t="s">
        <v>2398</v>
      </c>
      <c r="E141" s="2" t="s">
        <v>2399</v>
      </c>
      <c r="F141" s="30"/>
      <c r="G141" s="30"/>
      <c r="H141" s="269" t="s">
        <v>6656</v>
      </c>
      <c r="I141" t="s">
        <v>6657</v>
      </c>
      <c r="J141" t="s">
        <v>6668</v>
      </c>
    </row>
    <row r="142" spans="1:10" ht="14.25" customHeight="1">
      <c r="A142" s="1"/>
      <c r="B142" s="1"/>
      <c r="C142" s="9">
        <v>44907</v>
      </c>
      <c r="D142" s="17" t="s">
        <v>6744</v>
      </c>
      <c r="E142" s="2" t="s">
        <v>6743</v>
      </c>
      <c r="F142" s="30"/>
      <c r="G142" s="30" t="s">
        <v>2018</v>
      </c>
      <c r="H142" s="269" t="s">
        <v>6742</v>
      </c>
      <c r="I142" s="394" t="s">
        <v>528</v>
      </c>
      <c r="J142" s="95">
        <v>44953</v>
      </c>
    </row>
    <row r="143" spans="1:10" ht="14.25" customHeight="1">
      <c r="A143" s="1"/>
      <c r="B143" s="1"/>
      <c r="C143" s="9">
        <v>44911</v>
      </c>
      <c r="D143" s="17" t="s">
        <v>2598</v>
      </c>
      <c r="E143" s="2" t="s">
        <v>6124</v>
      </c>
      <c r="F143" s="30"/>
      <c r="G143" s="30" t="s">
        <v>5927</v>
      </c>
      <c r="H143" s="269" t="s">
        <v>6763</v>
      </c>
      <c r="I143" s="95">
        <v>44922</v>
      </c>
    </row>
    <row r="144" spans="1:10" ht="14.25" customHeight="1">
      <c r="A144" s="1"/>
      <c r="B144" s="1"/>
      <c r="C144" s="9">
        <v>44914</v>
      </c>
      <c r="D144" s="17" t="s">
        <v>6767</v>
      </c>
      <c r="E144" s="2" t="s">
        <v>4532</v>
      </c>
      <c r="F144" s="30"/>
      <c r="G144" s="30" t="s">
        <v>1955</v>
      </c>
      <c r="H144" t="s">
        <v>6768</v>
      </c>
      <c r="I144" t="s">
        <v>528</v>
      </c>
      <c r="J144" s="95">
        <v>44919</v>
      </c>
    </row>
    <row r="145" spans="1:10" ht="14.25" customHeight="1">
      <c r="A145" s="1"/>
      <c r="B145" s="1"/>
      <c r="C145" s="1"/>
      <c r="D145" s="17" t="s">
        <v>6351</v>
      </c>
      <c r="E145" s="2" t="s">
        <v>2125</v>
      </c>
      <c r="F145" s="30"/>
      <c r="G145" s="30"/>
      <c r="H145" t="s">
        <v>6769</v>
      </c>
      <c r="I145" s="394" t="s">
        <v>507</v>
      </c>
    </row>
    <row r="146" spans="1:10" ht="14.25" customHeight="1">
      <c r="A146" s="1"/>
      <c r="B146" s="1"/>
      <c r="C146" s="9">
        <v>44915</v>
      </c>
      <c r="D146" s="17"/>
      <c r="E146" s="2" t="s">
        <v>6349</v>
      </c>
      <c r="F146" s="30"/>
      <c r="G146" s="30"/>
      <c r="H146" t="s">
        <v>6775</v>
      </c>
      <c r="I146" t="s">
        <v>165</v>
      </c>
      <c r="J146" s="394" t="s">
        <v>6887</v>
      </c>
    </row>
    <row r="147" spans="1:10" ht="14.25" customHeight="1">
      <c r="A147" s="1"/>
      <c r="B147" s="1"/>
      <c r="C147" s="9">
        <v>44922</v>
      </c>
      <c r="D147" s="17" t="s">
        <v>2387</v>
      </c>
      <c r="E147" s="2" t="s">
        <v>2388</v>
      </c>
      <c r="F147" s="30"/>
      <c r="G147" s="30" t="s">
        <v>6799</v>
      </c>
      <c r="H147" t="s">
        <v>6800</v>
      </c>
      <c r="I147" t="s">
        <v>6867</v>
      </c>
    </row>
    <row r="148" spans="1:10" ht="14.25" customHeight="1">
      <c r="A148" s="1"/>
      <c r="B148" s="1"/>
      <c r="C148" s="9">
        <v>44950</v>
      </c>
      <c r="D148" s="17" t="s">
        <v>2387</v>
      </c>
      <c r="E148" s="2" t="s">
        <v>2388</v>
      </c>
      <c r="F148" s="30"/>
      <c r="G148" s="30" t="s">
        <v>6799</v>
      </c>
      <c r="H148" t="s">
        <v>6876</v>
      </c>
      <c r="I148" s="95">
        <v>44960</v>
      </c>
    </row>
    <row r="149" spans="1:10" ht="14.25" customHeight="1">
      <c r="A149" s="1"/>
      <c r="B149" s="1"/>
      <c r="C149" s="1"/>
      <c r="D149" s="17"/>
      <c r="E149" s="2" t="s">
        <v>6349</v>
      </c>
      <c r="F149" s="30"/>
      <c r="G149" s="30"/>
      <c r="H149" t="s">
        <v>6889</v>
      </c>
      <c r="I149" s="95">
        <v>44959</v>
      </c>
    </row>
    <row r="150" spans="1:10" ht="14.25" customHeight="1">
      <c r="A150" s="1"/>
      <c r="B150" s="1"/>
      <c r="C150" s="9">
        <v>44959</v>
      </c>
      <c r="D150" s="17" t="s">
        <v>6905</v>
      </c>
      <c r="E150" s="2" t="s">
        <v>6904</v>
      </c>
      <c r="F150" s="30"/>
      <c r="G150" s="30" t="s">
        <v>6906</v>
      </c>
      <c r="H150" t="s">
        <v>6903</v>
      </c>
      <c r="I150" s="411" t="s">
        <v>507</v>
      </c>
    </row>
    <row r="151" spans="1:10" ht="14.25" customHeight="1">
      <c r="A151" s="1"/>
      <c r="B151" s="1"/>
      <c r="C151" s="9">
        <v>44965</v>
      </c>
      <c r="D151" s="17" t="s">
        <v>6744</v>
      </c>
      <c r="E151" t="s">
        <v>6743</v>
      </c>
      <c r="F151" s="30"/>
      <c r="G151" s="30" t="s">
        <v>2018</v>
      </c>
      <c r="H151" t="s">
        <v>6989</v>
      </c>
      <c r="I151" s="411" t="s">
        <v>507</v>
      </c>
    </row>
    <row r="152" spans="1:10" ht="14.25" customHeight="1">
      <c r="A152" s="1"/>
      <c r="B152" s="1"/>
      <c r="C152" s="1"/>
      <c r="D152" s="17" t="s">
        <v>6966</v>
      </c>
      <c r="E152" t="s">
        <v>4661</v>
      </c>
      <c r="F152" s="30"/>
      <c r="G152" s="30" t="s">
        <v>5959</v>
      </c>
      <c r="H152" t="s">
        <v>6990</v>
      </c>
      <c r="I152" s="411" t="s">
        <v>507</v>
      </c>
    </row>
    <row r="153" spans="1:10" ht="14.25" customHeight="1">
      <c r="A153" s="1"/>
      <c r="B153" s="1"/>
      <c r="C153" s="1"/>
      <c r="D153" s="17" t="s">
        <v>6966</v>
      </c>
      <c r="E153" t="s">
        <v>4659</v>
      </c>
      <c r="F153" s="30"/>
      <c r="G153" s="30" t="s">
        <v>5959</v>
      </c>
      <c r="H153" t="s">
        <v>6988</v>
      </c>
      <c r="I153" s="411" t="s">
        <v>507</v>
      </c>
    </row>
    <row r="154" spans="1:10" ht="14.25" customHeight="1">
      <c r="A154" s="1"/>
      <c r="B154" s="1"/>
      <c r="C154" s="9">
        <v>44987</v>
      </c>
      <c r="D154" s="17" t="s">
        <v>2795</v>
      </c>
      <c r="E154" s="422" t="s">
        <v>2500</v>
      </c>
      <c r="F154" s="30"/>
      <c r="G154" s="30" t="s">
        <v>6906</v>
      </c>
      <c r="H154" s="325" t="s">
        <v>6976</v>
      </c>
      <c r="I154" s="453" t="s">
        <v>100</v>
      </c>
    </row>
    <row r="155" spans="1:10" ht="14.25" customHeight="1">
      <c r="A155" s="1"/>
      <c r="B155" s="1"/>
      <c r="C155" s="9">
        <v>45000</v>
      </c>
      <c r="D155" s="17" t="s">
        <v>3037</v>
      </c>
      <c r="E155" s="429" t="s">
        <v>4875</v>
      </c>
      <c r="F155" s="30"/>
      <c r="G155" s="30" t="s">
        <v>6799</v>
      </c>
      <c r="H155" s="325" t="s">
        <v>7004</v>
      </c>
      <c r="I155" s="453" t="s">
        <v>100</v>
      </c>
    </row>
    <row r="156" spans="1:10" ht="14.25" customHeight="1">
      <c r="A156" s="1"/>
      <c r="B156" s="1"/>
      <c r="C156" s="9">
        <v>45006</v>
      </c>
      <c r="D156" s="17" t="s">
        <v>7020</v>
      </c>
      <c r="E156" s="434" t="s">
        <v>6940</v>
      </c>
      <c r="F156" s="30"/>
      <c r="G156" s="30" t="s">
        <v>2018</v>
      </c>
      <c r="H156" s="325" t="s">
        <v>7019</v>
      </c>
      <c r="I156" s="95">
        <v>45037</v>
      </c>
    </row>
    <row r="157" spans="1:10" ht="14.25" customHeight="1">
      <c r="A157" s="1"/>
      <c r="B157" s="1"/>
      <c r="C157" s="9">
        <v>45006</v>
      </c>
      <c r="D157" s="17" t="s">
        <v>5896</v>
      </c>
      <c r="E157" s="434" t="s">
        <v>7023</v>
      </c>
      <c r="F157" s="30"/>
      <c r="G157" s="30" t="s">
        <v>7022</v>
      </c>
      <c r="H157" s="325" t="s">
        <v>7021</v>
      </c>
      <c r="I157" t="s">
        <v>6657</v>
      </c>
    </row>
    <row r="158" spans="1:10" ht="14.25" customHeight="1">
      <c r="A158" s="1"/>
      <c r="B158" s="1"/>
      <c r="C158" s="9">
        <v>45019</v>
      </c>
      <c r="D158" s="101">
        <v>9572793144</v>
      </c>
      <c r="E158" s="49" t="s">
        <v>6993</v>
      </c>
      <c r="F158" s="30"/>
      <c r="G158" s="30" t="s">
        <v>2071</v>
      </c>
      <c r="H158" s="325" t="s">
        <v>7047</v>
      </c>
      <c r="I158" s="447" t="s">
        <v>2562</v>
      </c>
      <c r="J158" t="s">
        <v>7080</v>
      </c>
    </row>
    <row r="159" spans="1:10" ht="14.25" customHeight="1">
      <c r="A159" s="1"/>
      <c r="B159" s="1"/>
      <c r="C159" s="9">
        <v>45019</v>
      </c>
      <c r="D159" s="17" t="s">
        <v>7045</v>
      </c>
      <c r="E159" s="442" t="s">
        <v>7046</v>
      </c>
      <c r="F159" s="30"/>
      <c r="G159" s="30" t="s">
        <v>2096</v>
      </c>
      <c r="H159" t="s">
        <v>7044</v>
      </c>
      <c r="I159" s="447" t="s">
        <v>507</v>
      </c>
    </row>
    <row r="160" spans="1:10" ht="14.25" customHeight="1">
      <c r="A160" s="1"/>
      <c r="B160" s="1"/>
      <c r="C160" s="9">
        <v>45019</v>
      </c>
      <c r="D160" s="17"/>
      <c r="E160" s="442" t="s">
        <v>2358</v>
      </c>
      <c r="F160" s="30"/>
      <c r="G160" s="30" t="s">
        <v>2067</v>
      </c>
      <c r="H160" s="325" t="s">
        <v>7048</v>
      </c>
      <c r="I160" s="462" t="s">
        <v>507</v>
      </c>
    </row>
    <row r="161" spans="1:9" ht="14.25" customHeight="1">
      <c r="A161" s="1"/>
      <c r="B161" s="1"/>
      <c r="C161" s="9">
        <v>45019</v>
      </c>
      <c r="D161" s="17"/>
      <c r="E161" s="442" t="s">
        <v>7050</v>
      </c>
      <c r="F161" s="30"/>
      <c r="G161" s="30"/>
      <c r="H161" s="325" t="s">
        <v>7049</v>
      </c>
      <c r="I161" s="447" t="s">
        <v>100</v>
      </c>
    </row>
    <row r="162" spans="1:9" ht="14.25" customHeight="1">
      <c r="A162" s="1"/>
      <c r="B162" s="1"/>
      <c r="C162" s="9">
        <v>45024</v>
      </c>
      <c r="D162" s="17" t="s">
        <v>7069</v>
      </c>
      <c r="E162" s="447" t="s">
        <v>6702</v>
      </c>
      <c r="F162" s="30"/>
      <c r="G162" s="30" t="s">
        <v>7068</v>
      </c>
      <c r="H162" s="325" t="s">
        <v>7070</v>
      </c>
      <c r="I162" s="517">
        <v>45094</v>
      </c>
    </row>
    <row r="163" spans="1:9" ht="14.25" customHeight="1">
      <c r="A163" s="1"/>
      <c r="B163" s="1"/>
      <c r="C163" s="9">
        <v>45025</v>
      </c>
      <c r="D163" s="17" t="s">
        <v>7071</v>
      </c>
      <c r="E163" s="448" t="s">
        <v>6926</v>
      </c>
      <c r="F163" s="30">
        <v>9031505228</v>
      </c>
      <c r="G163" s="30" t="s">
        <v>1892</v>
      </c>
      <c r="H163" s="325" t="s">
        <v>7072</v>
      </c>
      <c r="I163" s="456" t="s">
        <v>100</v>
      </c>
    </row>
    <row r="164" spans="1:9" ht="14.25" customHeight="1">
      <c r="A164" s="1"/>
      <c r="B164" s="1"/>
      <c r="C164" s="9">
        <v>45034</v>
      </c>
      <c r="D164" s="17" t="s">
        <v>7085</v>
      </c>
      <c r="E164" s="450" t="s">
        <v>7086</v>
      </c>
      <c r="F164" s="30"/>
      <c r="G164" s="30" t="s">
        <v>2071</v>
      </c>
      <c r="H164" s="325" t="s">
        <v>7084</v>
      </c>
      <c r="I164" s="456" t="s">
        <v>100</v>
      </c>
    </row>
    <row r="165" spans="1:9" ht="14.25" customHeight="1">
      <c r="A165" s="1"/>
      <c r="B165" s="1"/>
      <c r="C165" s="9">
        <v>45037</v>
      </c>
      <c r="D165" s="17" t="s">
        <v>7098</v>
      </c>
      <c r="E165" s="453" t="s">
        <v>7009</v>
      </c>
      <c r="F165" s="30"/>
      <c r="G165" s="30" t="s">
        <v>1275</v>
      </c>
      <c r="H165" s="325" t="s">
        <v>7099</v>
      </c>
      <c r="I165" s="495">
        <v>45079</v>
      </c>
    </row>
    <row r="166" spans="1:9" ht="14.25" customHeight="1">
      <c r="A166" s="1"/>
      <c r="B166" s="1"/>
      <c r="C166" s="9">
        <v>45037</v>
      </c>
      <c r="D166" s="17"/>
      <c r="E166" s="453" t="s">
        <v>6349</v>
      </c>
      <c r="F166" s="30"/>
      <c r="G166" s="30" t="s">
        <v>2067</v>
      </c>
      <c r="H166" s="325" t="s">
        <v>7100</v>
      </c>
      <c r="I166" s="95">
        <v>45045</v>
      </c>
    </row>
    <row r="167" spans="1:9" ht="14.25" customHeight="1">
      <c r="A167" s="1"/>
      <c r="B167" s="1"/>
      <c r="C167" s="9">
        <v>45046</v>
      </c>
      <c r="D167" s="17" t="s">
        <v>7110</v>
      </c>
      <c r="E167" s="458" t="s">
        <v>2038</v>
      </c>
      <c r="F167" s="30"/>
      <c r="G167" s="30" t="s">
        <v>2071</v>
      </c>
      <c r="H167" s="325" t="s">
        <v>7117</v>
      </c>
      <c r="I167" t="s">
        <v>165</v>
      </c>
    </row>
    <row r="168" spans="1:9" ht="14.25" customHeight="1">
      <c r="A168" s="1"/>
      <c r="B168" s="1"/>
      <c r="C168" s="9">
        <v>45043</v>
      </c>
      <c r="D168" s="17" t="s">
        <v>7111</v>
      </c>
      <c r="E168" s="458" t="s">
        <v>7050</v>
      </c>
      <c r="F168" s="30"/>
      <c r="G168" s="30" t="s">
        <v>6906</v>
      </c>
      <c r="H168" s="325" t="s">
        <v>7112</v>
      </c>
      <c r="I168" s="95">
        <v>45072</v>
      </c>
    </row>
    <row r="169" spans="1:9" ht="14.25" customHeight="1">
      <c r="A169" s="1"/>
      <c r="B169" s="1"/>
      <c r="C169" s="9">
        <v>45043</v>
      </c>
      <c r="D169" s="17" t="s">
        <v>2795</v>
      </c>
      <c r="E169" s="459" t="s">
        <v>2500</v>
      </c>
      <c r="F169" s="30"/>
      <c r="G169" s="30" t="s">
        <v>6906</v>
      </c>
      <c r="H169" s="325" t="s">
        <v>7113</v>
      </c>
      <c r="I169" s="499" t="s">
        <v>538</v>
      </c>
    </row>
    <row r="170" spans="1:9" ht="14.25" customHeight="1">
      <c r="A170" s="1"/>
      <c r="B170" s="1"/>
      <c r="C170" s="9">
        <v>45045</v>
      </c>
      <c r="D170" s="17" t="s">
        <v>5941</v>
      </c>
      <c r="E170" s="460" t="s">
        <v>2998</v>
      </c>
      <c r="F170" s="30"/>
      <c r="G170" s="30" t="s">
        <v>5942</v>
      </c>
      <c r="H170" s="325" t="s">
        <v>7116</v>
      </c>
      <c r="I170" s="95">
        <v>45066</v>
      </c>
    </row>
    <row r="171" spans="1:9" ht="14.25" customHeight="1">
      <c r="A171" s="1"/>
      <c r="B171" s="1"/>
      <c r="C171" s="9">
        <v>45048</v>
      </c>
      <c r="D171" s="17" t="s">
        <v>2598</v>
      </c>
      <c r="E171" s="462" t="s">
        <v>6124</v>
      </c>
      <c r="F171" s="30"/>
      <c r="G171" s="30" t="s">
        <v>7010</v>
      </c>
      <c r="H171" s="325" t="s">
        <v>7122</v>
      </c>
      <c r="I171" s="525">
        <v>45099</v>
      </c>
    </row>
    <row r="172" spans="1:9" ht="14.25" customHeight="1">
      <c r="A172" s="1"/>
      <c r="B172" s="1"/>
      <c r="C172" s="9">
        <v>45051</v>
      </c>
      <c r="D172" s="17" t="s">
        <v>7129</v>
      </c>
      <c r="E172" s="468" t="s">
        <v>6942</v>
      </c>
      <c r="F172" s="30"/>
      <c r="G172" s="30" t="s">
        <v>1438</v>
      </c>
      <c r="H172" s="467" t="s">
        <v>7112</v>
      </c>
      <c r="I172" t="s">
        <v>507</v>
      </c>
    </row>
    <row r="173" spans="1:9" ht="14.25" customHeight="1">
      <c r="A173" s="1"/>
      <c r="B173" s="1"/>
      <c r="C173" s="9">
        <v>45051</v>
      </c>
      <c r="D173" s="17" t="s">
        <v>7111</v>
      </c>
      <c r="E173" s="458" t="s">
        <v>7050</v>
      </c>
      <c r="F173" s="30"/>
      <c r="G173" s="30" t="s">
        <v>6906</v>
      </c>
      <c r="H173" s="325" t="s">
        <v>7130</v>
      </c>
      <c r="I173" s="95">
        <v>45072</v>
      </c>
    </row>
    <row r="174" spans="1:9" ht="14.25" customHeight="1">
      <c r="A174" s="1"/>
      <c r="B174" s="1"/>
      <c r="C174" s="9">
        <v>45055</v>
      </c>
      <c r="D174" s="101">
        <v>9572793144</v>
      </c>
      <c r="E174" s="49" t="s">
        <v>6993</v>
      </c>
      <c r="F174" s="30"/>
      <c r="G174" s="30" t="s">
        <v>2071</v>
      </c>
      <c r="H174" s="325" t="s">
        <v>7134</v>
      </c>
      <c r="I174" s="512" t="s">
        <v>507</v>
      </c>
    </row>
    <row r="175" spans="1:9" ht="14.25" customHeight="1">
      <c r="A175" s="1"/>
      <c r="B175" s="1"/>
      <c r="C175" s="9">
        <v>45067</v>
      </c>
      <c r="D175" s="17" t="s">
        <v>2044</v>
      </c>
      <c r="E175" s="482" t="s">
        <v>7174</v>
      </c>
      <c r="F175" s="30"/>
      <c r="G175" s="30" t="s">
        <v>5927</v>
      </c>
      <c r="H175" s="325" t="s">
        <v>7173</v>
      </c>
      <c r="I175" s="525">
        <v>45114</v>
      </c>
    </row>
    <row r="176" spans="1:9" ht="14.25" customHeight="1">
      <c r="A176" s="1"/>
      <c r="B176" s="1"/>
      <c r="C176" s="9">
        <v>45068</v>
      </c>
      <c r="D176" s="17" t="s">
        <v>7180</v>
      </c>
      <c r="E176" s="483" t="s">
        <v>6467</v>
      </c>
      <c r="F176" s="30"/>
      <c r="G176" s="30" t="s">
        <v>5927</v>
      </c>
      <c r="H176" s="325" t="s">
        <v>7179</v>
      </c>
      <c r="I176" t="s">
        <v>538</v>
      </c>
    </row>
    <row r="177" spans="1:10" ht="14.25" customHeight="1">
      <c r="A177" s="1"/>
      <c r="B177" s="1"/>
      <c r="C177" s="9">
        <v>45058</v>
      </c>
      <c r="D177" s="17" t="s">
        <v>7129</v>
      </c>
      <c r="E177" s="468" t="s">
        <v>6942</v>
      </c>
      <c r="F177" s="30"/>
      <c r="G177" s="30" t="s">
        <v>1438</v>
      </c>
      <c r="H177" s="325" t="s">
        <v>7183</v>
      </c>
      <c r="I177" s="95">
        <v>45071</v>
      </c>
    </row>
    <row r="178" spans="1:10" ht="14.25" customHeight="1">
      <c r="A178" s="1"/>
      <c r="B178" s="1"/>
      <c r="C178" s="9">
        <v>45071</v>
      </c>
      <c r="D178" s="17" t="s">
        <v>7186</v>
      </c>
      <c r="E178" s="484" t="s">
        <v>7185</v>
      </c>
      <c r="F178" s="30"/>
      <c r="G178" s="30"/>
      <c r="H178" s="325" t="s">
        <v>7184</v>
      </c>
      <c r="I178" s="508">
        <v>45089</v>
      </c>
    </row>
    <row r="179" spans="1:10" ht="14.25" customHeight="1">
      <c r="A179" s="1"/>
      <c r="B179" s="1"/>
      <c r="C179" s="9">
        <v>45071</v>
      </c>
      <c r="D179" s="17"/>
      <c r="E179" s="509" t="s">
        <v>7245</v>
      </c>
      <c r="F179" s="30"/>
      <c r="G179" s="30"/>
      <c r="H179" s="325" t="s">
        <v>7200</v>
      </c>
      <c r="I179" s="508">
        <v>45089</v>
      </c>
    </row>
    <row r="180" spans="1:10" ht="14.25" customHeight="1">
      <c r="A180" s="1"/>
      <c r="B180" s="1"/>
      <c r="C180" s="9">
        <v>45075</v>
      </c>
      <c r="D180" s="17" t="s">
        <v>7204</v>
      </c>
      <c r="E180" s="489" t="s">
        <v>7132</v>
      </c>
      <c r="F180" s="30"/>
      <c r="G180" s="30" t="s">
        <v>1591</v>
      </c>
      <c r="H180" s="325" t="s">
        <v>7203</v>
      </c>
      <c r="I180" s="494" t="s">
        <v>165</v>
      </c>
    </row>
    <row r="181" spans="1:10" ht="14.25" customHeight="1">
      <c r="A181" s="1"/>
      <c r="B181" s="1"/>
      <c r="C181" s="9">
        <v>45079</v>
      </c>
      <c r="D181" s="17" t="s">
        <v>7085</v>
      </c>
      <c r="E181" s="450" t="s">
        <v>7086</v>
      </c>
      <c r="F181" s="30"/>
      <c r="G181" s="30" t="s">
        <v>2071</v>
      </c>
      <c r="H181" s="325" t="s">
        <v>7213</v>
      </c>
      <c r="I181" s="554" t="s">
        <v>507</v>
      </c>
    </row>
    <row r="182" spans="1:10" ht="14.25" customHeight="1">
      <c r="A182" s="1"/>
      <c r="B182" s="1"/>
      <c r="C182" s="162">
        <v>45082</v>
      </c>
      <c r="D182" s="101">
        <v>9304286546</v>
      </c>
      <c r="E182" s="499" t="s">
        <v>2147</v>
      </c>
      <c r="G182" s="30" t="s">
        <v>2067</v>
      </c>
      <c r="H182" s="325" t="s">
        <v>7221</v>
      </c>
      <c r="I182" s="554" t="s">
        <v>507</v>
      </c>
    </row>
    <row r="183" spans="1:10" ht="14.25" customHeight="1">
      <c r="A183" s="1"/>
      <c r="B183" s="1"/>
      <c r="C183" s="9">
        <v>45085</v>
      </c>
      <c r="D183" s="101">
        <v>8709506312</v>
      </c>
      <c r="E183" s="2" t="s">
        <v>2978</v>
      </c>
      <c r="G183" s="497" t="s">
        <v>6078</v>
      </c>
      <c r="H183" s="325" t="s">
        <v>7302</v>
      </c>
      <c r="I183" s="528" t="s">
        <v>507</v>
      </c>
    </row>
    <row r="184" spans="1:10" ht="14.25" customHeight="1">
      <c r="A184" s="1"/>
      <c r="B184" s="1"/>
      <c r="C184" s="9">
        <v>45085</v>
      </c>
      <c r="D184" s="101">
        <v>8709506312</v>
      </c>
      <c r="E184" s="497" t="s">
        <v>2375</v>
      </c>
      <c r="F184" s="30"/>
      <c r="G184" s="497" t="s">
        <v>6078</v>
      </c>
      <c r="H184" s="325" t="s">
        <v>7236</v>
      </c>
      <c r="I184" s="528" t="s">
        <v>507</v>
      </c>
    </row>
    <row r="185" spans="1:10" ht="14.25" customHeight="1">
      <c r="A185" s="1"/>
      <c r="B185" s="1"/>
      <c r="C185" s="9">
        <v>45090</v>
      </c>
      <c r="D185" s="17" t="s">
        <v>5578</v>
      </c>
      <c r="E185" s="512" t="s">
        <v>5074</v>
      </c>
      <c r="F185" s="30"/>
      <c r="G185" s="30" t="s">
        <v>1275</v>
      </c>
      <c r="H185" s="325" t="s">
        <v>7253</v>
      </c>
      <c r="I185" s="621">
        <v>45166</v>
      </c>
    </row>
    <row r="186" spans="1:10" ht="14.25" customHeight="1">
      <c r="A186" s="1"/>
      <c r="B186" s="1"/>
      <c r="C186" s="9">
        <v>45092</v>
      </c>
      <c r="D186" s="17" t="s">
        <v>7180</v>
      </c>
      <c r="E186" s="483" t="s">
        <v>6467</v>
      </c>
      <c r="F186" s="30"/>
      <c r="G186" s="30" t="s">
        <v>5927</v>
      </c>
      <c r="H186" s="325" t="s">
        <v>7258</v>
      </c>
      <c r="I186" t="s">
        <v>507</v>
      </c>
      <c r="J186" t="s">
        <v>7308</v>
      </c>
    </row>
    <row r="187" spans="1:10" ht="14.25" customHeight="1">
      <c r="A187" s="1"/>
      <c r="B187" s="1"/>
      <c r="C187" s="9">
        <v>45092</v>
      </c>
      <c r="D187" s="17" t="s">
        <v>7180</v>
      </c>
      <c r="E187" s="514" t="s">
        <v>7259</v>
      </c>
      <c r="F187" s="30"/>
      <c r="G187" s="30" t="s">
        <v>5927</v>
      </c>
      <c r="H187" s="325" t="s">
        <v>7260</v>
      </c>
      <c r="I187" t="s">
        <v>507</v>
      </c>
      <c r="J187" t="s">
        <v>7308</v>
      </c>
    </row>
    <row r="188" spans="1:10" ht="14.25" customHeight="1">
      <c r="A188" s="1"/>
      <c r="B188" s="1"/>
      <c r="C188" s="9">
        <v>45092</v>
      </c>
      <c r="D188" s="17" t="s">
        <v>7180</v>
      </c>
      <c r="E188" s="514" t="s">
        <v>7262</v>
      </c>
      <c r="F188" s="30"/>
      <c r="G188" s="30" t="s">
        <v>5927</v>
      </c>
      <c r="H188" s="325" t="s">
        <v>7261</v>
      </c>
      <c r="I188" t="s">
        <v>507</v>
      </c>
      <c r="J188" t="s">
        <v>7308</v>
      </c>
    </row>
    <row r="189" spans="1:10" ht="14.25" customHeight="1">
      <c r="A189" s="1"/>
      <c r="B189" s="1"/>
      <c r="C189" s="9">
        <v>45115</v>
      </c>
      <c r="D189" s="17" t="s">
        <v>7347</v>
      </c>
      <c r="E189" s="547" t="s">
        <v>7142</v>
      </c>
      <c r="F189" s="30"/>
      <c r="G189" s="30" t="s">
        <v>7348</v>
      </c>
      <c r="H189" s="83" t="s">
        <v>7346</v>
      </c>
      <c r="I189" t="s">
        <v>507</v>
      </c>
    </row>
    <row r="190" spans="1:10" ht="14.25" customHeight="1">
      <c r="A190" s="1"/>
      <c r="B190" s="1"/>
      <c r="C190" s="9">
        <v>45116</v>
      </c>
      <c r="D190" s="17" t="s">
        <v>7356</v>
      </c>
      <c r="E190" s="548" t="s">
        <v>7355</v>
      </c>
      <c r="F190" s="30"/>
      <c r="G190" s="30" t="s">
        <v>6509</v>
      </c>
      <c r="H190" s="325" t="s">
        <v>7357</v>
      </c>
      <c r="I190" s="648" t="s">
        <v>36</v>
      </c>
      <c r="J190" s="648" t="s">
        <v>7584</v>
      </c>
    </row>
    <row r="191" spans="1:10" ht="14.25" customHeight="1">
      <c r="A191" s="1"/>
      <c r="B191" s="1"/>
      <c r="C191" s="9">
        <v>45116</v>
      </c>
      <c r="D191" s="17" t="s">
        <v>7361</v>
      </c>
      <c r="E191" s="549" t="s">
        <v>7281</v>
      </c>
      <c r="F191" s="30"/>
      <c r="G191" s="30" t="s">
        <v>1275</v>
      </c>
      <c r="H191" s="325" t="s">
        <v>7362</v>
      </c>
      <c r="I191" s="95">
        <v>45132</v>
      </c>
    </row>
    <row r="192" spans="1:10" ht="14.25" customHeight="1">
      <c r="A192" s="1"/>
      <c r="B192" s="1"/>
      <c r="C192" s="9">
        <v>45116</v>
      </c>
      <c r="D192" s="17" t="s">
        <v>7363</v>
      </c>
      <c r="E192" s="549" t="s">
        <v>4465</v>
      </c>
      <c r="F192" s="30"/>
      <c r="G192" s="30" t="s">
        <v>2047</v>
      </c>
      <c r="H192" s="325" t="s">
        <v>7364</v>
      </c>
      <c r="I192" s="594">
        <v>45143</v>
      </c>
    </row>
    <row r="193" spans="1:9" ht="14.25" customHeight="1">
      <c r="A193" s="1"/>
      <c r="B193" s="1"/>
      <c r="C193" s="9">
        <v>45116</v>
      </c>
      <c r="D193" s="17" t="s">
        <v>7365</v>
      </c>
      <c r="E193" s="549" t="s">
        <v>1567</v>
      </c>
      <c r="F193" s="30"/>
      <c r="G193" s="30" t="s">
        <v>2047</v>
      </c>
      <c r="H193" s="325" t="s">
        <v>7366</v>
      </c>
      <c r="I193" s="593">
        <v>45143</v>
      </c>
    </row>
    <row r="194" spans="1:9" ht="14.25" customHeight="1">
      <c r="A194" s="1"/>
      <c r="B194" s="1"/>
      <c r="C194" s="9">
        <v>45119</v>
      </c>
      <c r="D194" s="17" t="s">
        <v>7386</v>
      </c>
      <c r="E194" s="552" t="s">
        <v>7277</v>
      </c>
      <c r="F194" s="30"/>
      <c r="G194" s="30" t="s">
        <v>1275</v>
      </c>
      <c r="H194" s="325" t="s">
        <v>7385</v>
      </c>
      <c r="I194" s="599" t="s">
        <v>36</v>
      </c>
    </row>
    <row r="195" spans="1:9" ht="14.25" customHeight="1">
      <c r="A195" s="1"/>
      <c r="B195" s="1"/>
      <c r="C195" s="9">
        <v>45121</v>
      </c>
      <c r="D195" s="17"/>
      <c r="E195" s="554" t="s">
        <v>6993</v>
      </c>
      <c r="F195" s="30"/>
      <c r="G195" s="30" t="s">
        <v>2071</v>
      </c>
      <c r="H195" s="325" t="s">
        <v>7394</v>
      </c>
      <c r="I195" s="602" t="s">
        <v>538</v>
      </c>
    </row>
    <row r="196" spans="1:9" ht="14.25" customHeight="1">
      <c r="A196" s="1"/>
      <c r="B196" s="1"/>
      <c r="C196" s="9">
        <v>45134</v>
      </c>
      <c r="D196" s="17" t="s">
        <v>7204</v>
      </c>
      <c r="E196" s="489" t="s">
        <v>7132</v>
      </c>
      <c r="F196" s="30"/>
      <c r="G196" s="30" t="s">
        <v>1591</v>
      </c>
      <c r="H196" s="325" t="s">
        <v>7445</v>
      </c>
      <c r="I196" s="597">
        <v>45147</v>
      </c>
    </row>
    <row r="197" spans="1:9" ht="14.25" customHeight="1">
      <c r="A197" s="1"/>
      <c r="B197" s="1"/>
      <c r="C197" s="9">
        <v>45137</v>
      </c>
      <c r="D197" s="17" t="s">
        <v>7463</v>
      </c>
      <c r="E197" s="581" t="s">
        <v>7462</v>
      </c>
      <c r="F197" s="30"/>
      <c r="G197" s="30" t="s">
        <v>2071</v>
      </c>
      <c r="H197" s="325" t="s">
        <v>7464</v>
      </c>
      <c r="I197" s="618" t="s">
        <v>100</v>
      </c>
    </row>
    <row r="198" spans="1:9" ht="14.25" customHeight="1">
      <c r="A198" s="1"/>
      <c r="B198" s="1"/>
      <c r="C198" s="9">
        <v>45137</v>
      </c>
      <c r="D198" s="17"/>
      <c r="E198" s="581" t="s">
        <v>7422</v>
      </c>
      <c r="F198" s="30"/>
      <c r="G198" s="30" t="s">
        <v>2067</v>
      </c>
      <c r="H198" s="325" t="s">
        <v>7465</v>
      </c>
      <c r="I198" s="604">
        <v>45151</v>
      </c>
    </row>
    <row r="199" spans="1:9" ht="14.25" customHeight="1">
      <c r="A199" s="1"/>
      <c r="B199" s="1"/>
      <c r="C199" s="162">
        <v>45139</v>
      </c>
      <c r="D199" s="101">
        <v>7295914524</v>
      </c>
      <c r="E199" s="583" t="s">
        <v>7472</v>
      </c>
      <c r="G199" s="30" t="s">
        <v>2067</v>
      </c>
      <c r="H199" s="325" t="s">
        <v>7480</v>
      </c>
      <c r="I199" s="636" t="s">
        <v>538</v>
      </c>
    </row>
    <row r="200" spans="1:9" ht="14.25" customHeight="1">
      <c r="A200" s="1"/>
      <c r="B200" s="1"/>
      <c r="C200" s="1"/>
      <c r="D200" s="17"/>
      <c r="E200" s="591" t="s">
        <v>3090</v>
      </c>
      <c r="F200" s="30"/>
      <c r="G200" s="30" t="s">
        <v>2067</v>
      </c>
      <c r="H200" s="325" t="s">
        <v>7484</v>
      </c>
      <c r="I200" s="633" t="s">
        <v>7549</v>
      </c>
    </row>
    <row r="201" spans="1:9" ht="14.25" customHeight="1">
      <c r="A201" s="1"/>
      <c r="B201" s="1"/>
      <c r="C201" s="9">
        <v>45148</v>
      </c>
      <c r="D201" s="17" t="s">
        <v>7495</v>
      </c>
      <c r="E201" s="601" t="s">
        <v>827</v>
      </c>
      <c r="F201" s="30"/>
      <c r="G201" s="30" t="s">
        <v>7010</v>
      </c>
      <c r="H201" s="325" t="s">
        <v>7496</v>
      </c>
      <c r="I201" s="648" t="s">
        <v>507</v>
      </c>
    </row>
    <row r="202" spans="1:9" ht="14.25" customHeight="1">
      <c r="A202" s="1"/>
      <c r="B202" s="1"/>
      <c r="C202" s="9">
        <v>45156</v>
      </c>
      <c r="D202" s="17" t="s">
        <v>7505</v>
      </c>
      <c r="E202" s="554" t="s">
        <v>6993</v>
      </c>
      <c r="F202" s="30"/>
      <c r="G202" s="30" t="s">
        <v>2071</v>
      </c>
      <c r="H202" s="325" t="s">
        <v>7511</v>
      </c>
      <c r="I202" s="626" t="s">
        <v>2318</v>
      </c>
    </row>
    <row r="203" spans="1:9" ht="14.25" customHeight="1">
      <c r="A203" s="1"/>
      <c r="B203" s="1"/>
      <c r="C203" s="9">
        <v>45177</v>
      </c>
      <c r="D203" s="17" t="s">
        <v>7547</v>
      </c>
      <c r="E203" s="631" t="s">
        <v>1775</v>
      </c>
      <c r="F203" s="30"/>
      <c r="G203" s="30" t="s">
        <v>1869</v>
      </c>
      <c r="H203" s="325" t="s">
        <v>7546</v>
      </c>
      <c r="I203" s="655" t="s">
        <v>36</v>
      </c>
    </row>
    <row r="204" spans="1:9" ht="14.25" customHeight="1">
      <c r="A204" s="1"/>
      <c r="B204" s="1"/>
      <c r="C204" s="9">
        <v>45190</v>
      </c>
      <c r="D204" s="17" t="s">
        <v>7575</v>
      </c>
      <c r="E204" s="646" t="s">
        <v>7574</v>
      </c>
      <c r="F204" s="30"/>
      <c r="G204" s="30" t="s">
        <v>1275</v>
      </c>
      <c r="H204" s="325" t="s">
        <v>7573</v>
      </c>
      <c r="I204" s="686" t="s">
        <v>507</v>
      </c>
    </row>
    <row r="205" spans="1:9" ht="14.25" customHeight="1">
      <c r="A205" s="1"/>
      <c r="B205" s="1"/>
      <c r="C205" s="9">
        <v>45197</v>
      </c>
      <c r="D205" s="17" t="s">
        <v>5452</v>
      </c>
      <c r="E205" s="655" t="s">
        <v>5453</v>
      </c>
      <c r="F205" s="30"/>
      <c r="G205" s="30" t="s">
        <v>2018</v>
      </c>
      <c r="H205" s="325" t="s">
        <v>7604</v>
      </c>
    </row>
    <row r="206" spans="1:9" ht="14.25" customHeight="1">
      <c r="A206" s="1"/>
      <c r="B206" s="1"/>
      <c r="C206" s="9">
        <v>45198</v>
      </c>
      <c r="D206" s="17" t="s">
        <v>5452</v>
      </c>
      <c r="E206" s="655" t="s">
        <v>5453</v>
      </c>
      <c r="F206" s="30"/>
      <c r="G206" s="30" t="s">
        <v>2018</v>
      </c>
      <c r="H206" s="325" t="s">
        <v>7606</v>
      </c>
      <c r="I206" s="686" t="s">
        <v>39</v>
      </c>
    </row>
    <row r="207" spans="1:9" ht="14.25" customHeight="1">
      <c r="A207" s="1"/>
      <c r="B207" s="1"/>
      <c r="C207" s="9">
        <v>45205</v>
      </c>
      <c r="D207" s="17" t="s">
        <v>7617</v>
      </c>
      <c r="E207" s="667" t="s">
        <v>2070</v>
      </c>
      <c r="F207" s="30"/>
      <c r="G207" s="30" t="s">
        <v>2071</v>
      </c>
      <c r="H207" s="325" t="s">
        <v>7616</v>
      </c>
      <c r="I207" s="845" t="s">
        <v>100</v>
      </c>
    </row>
    <row r="208" spans="1:9" ht="14.25" customHeight="1">
      <c r="A208" s="1"/>
      <c r="B208" s="1"/>
      <c r="C208" s="9">
        <v>45206</v>
      </c>
      <c r="D208" s="17" t="s">
        <v>1843</v>
      </c>
      <c r="E208" s="669" t="s">
        <v>7486</v>
      </c>
      <c r="F208" s="30"/>
      <c r="G208" s="30" t="s">
        <v>1955</v>
      </c>
      <c r="H208" s="325" t="s">
        <v>7670</v>
      </c>
      <c r="I208" s="829" t="s">
        <v>8141</v>
      </c>
    </row>
    <row r="209" spans="1:10" ht="14.25" customHeight="1">
      <c r="A209" s="1"/>
      <c r="B209" s="1"/>
      <c r="C209" s="9">
        <v>45255</v>
      </c>
      <c r="D209" s="17" t="s">
        <v>7724</v>
      </c>
      <c r="E209" s="713" t="s">
        <v>7723</v>
      </c>
      <c r="F209" s="30"/>
      <c r="G209" s="30" t="s">
        <v>7382</v>
      </c>
      <c r="H209" s="325" t="s">
        <v>7722</v>
      </c>
      <c r="I209" s="829" t="s">
        <v>100</v>
      </c>
    </row>
    <row r="210" spans="1:10" ht="14.25" customHeight="1">
      <c r="A210" s="1"/>
      <c r="B210" s="1"/>
      <c r="C210" s="9">
        <v>45258</v>
      </c>
      <c r="D210" s="17" t="s">
        <v>7728</v>
      </c>
      <c r="E210" s="715" t="s">
        <v>7729</v>
      </c>
      <c r="F210" s="30"/>
      <c r="G210" s="30"/>
      <c r="H210" s="325" t="s">
        <v>7727</v>
      </c>
      <c r="I210" s="95">
        <v>45280</v>
      </c>
    </row>
    <row r="211" spans="1:10" ht="14.25" customHeight="1">
      <c r="A211" s="1"/>
      <c r="B211" s="1"/>
      <c r="C211" s="9">
        <v>45276</v>
      </c>
      <c r="D211" s="17" t="s">
        <v>7747</v>
      </c>
      <c r="E211" s="725" t="s">
        <v>2494</v>
      </c>
      <c r="F211" s="30"/>
      <c r="G211" s="30" t="s">
        <v>6509</v>
      </c>
      <c r="H211" s="325" t="s">
        <v>7748</v>
      </c>
      <c r="I211" s="834">
        <v>45336</v>
      </c>
    </row>
    <row r="212" spans="1:10" ht="14.25" customHeight="1">
      <c r="A212" s="1"/>
      <c r="B212" s="1"/>
      <c r="C212" s="9">
        <v>45276</v>
      </c>
      <c r="D212" s="17" t="s">
        <v>7749</v>
      </c>
      <c r="E212" s="725" t="s">
        <v>3090</v>
      </c>
      <c r="F212" s="30"/>
      <c r="G212" s="30" t="s">
        <v>4091</v>
      </c>
      <c r="H212" s="325" t="s">
        <v>7750</v>
      </c>
      <c r="I212" t="s">
        <v>507</v>
      </c>
    </row>
    <row r="213" spans="1:10" ht="14.25" customHeight="1">
      <c r="A213" s="1"/>
      <c r="B213" s="1"/>
      <c r="C213" s="9">
        <v>45280</v>
      </c>
      <c r="D213" s="17" t="s">
        <v>7724</v>
      </c>
      <c r="E213" s="713" t="s">
        <v>7723</v>
      </c>
      <c r="F213" s="30"/>
      <c r="G213" s="30" t="s">
        <v>7382</v>
      </c>
      <c r="H213" s="325" t="s">
        <v>7761</v>
      </c>
      <c r="I213" t="s">
        <v>100</v>
      </c>
      <c r="J213" t="s">
        <v>8023</v>
      </c>
    </row>
    <row r="214" spans="1:10" ht="14.25" customHeight="1">
      <c r="A214" s="1"/>
      <c r="B214" s="1"/>
      <c r="C214" s="9">
        <v>45280</v>
      </c>
      <c r="D214" s="17" t="s">
        <v>7811</v>
      </c>
      <c r="E214" s="753" t="s">
        <v>7708</v>
      </c>
      <c r="F214" s="30"/>
      <c r="G214" s="30" t="s">
        <v>1355</v>
      </c>
      <c r="H214" s="325" t="s">
        <v>7805</v>
      </c>
      <c r="I214" s="95">
        <v>45297</v>
      </c>
    </row>
    <row r="215" spans="1:10" ht="14.25" customHeight="1">
      <c r="A215" s="1"/>
      <c r="B215" s="1"/>
      <c r="C215" s="9">
        <v>45282</v>
      </c>
      <c r="D215" s="17" t="s">
        <v>7728</v>
      </c>
      <c r="E215" s="740" t="s">
        <v>7771</v>
      </c>
      <c r="F215" s="30"/>
      <c r="G215" s="30"/>
      <c r="H215" s="325" t="s">
        <v>7772</v>
      </c>
      <c r="I215" t="s">
        <v>507</v>
      </c>
    </row>
    <row r="216" spans="1:10" ht="14.25" customHeight="1">
      <c r="A216" s="1"/>
      <c r="B216" s="1"/>
      <c r="C216" s="9">
        <v>45290</v>
      </c>
      <c r="D216" s="17" t="s">
        <v>2091</v>
      </c>
      <c r="E216" s="746" t="s">
        <v>7657</v>
      </c>
      <c r="F216" s="30"/>
      <c r="G216" s="30" t="s">
        <v>2067</v>
      </c>
      <c r="H216" s="325" t="s">
        <v>7788</v>
      </c>
      <c r="I216" t="s">
        <v>507</v>
      </c>
    </row>
    <row r="217" spans="1:10" ht="14.25" customHeight="1">
      <c r="A217" s="1"/>
      <c r="B217" s="1"/>
      <c r="C217" s="9">
        <v>45294</v>
      </c>
      <c r="D217" s="101">
        <v>6206068897</v>
      </c>
      <c r="E217" s="749" t="s">
        <v>7796</v>
      </c>
      <c r="F217" s="30"/>
      <c r="G217" s="30" t="s">
        <v>2067</v>
      </c>
      <c r="H217" s="325" t="s">
        <v>7797</v>
      </c>
      <c r="I217" t="s">
        <v>100</v>
      </c>
      <c r="J217" t="s">
        <v>8024</v>
      </c>
    </row>
    <row r="218" spans="1:10" ht="14.25" customHeight="1">
      <c r="A218" s="1"/>
      <c r="B218" s="1"/>
      <c r="C218" s="1"/>
      <c r="D218" s="17" t="s">
        <v>7811</v>
      </c>
      <c r="E218" s="753" t="s">
        <v>7708</v>
      </c>
      <c r="F218" s="30"/>
      <c r="G218" s="30" t="s">
        <v>1355</v>
      </c>
      <c r="H218" s="607" t="s">
        <v>7812</v>
      </c>
    </row>
    <row r="219" spans="1:10" ht="14.25" customHeight="1">
      <c r="A219" s="1"/>
      <c r="B219" s="1"/>
      <c r="C219" s="9">
        <v>45308</v>
      </c>
      <c r="D219" s="17" t="s">
        <v>7811</v>
      </c>
      <c r="E219" s="753" t="s">
        <v>7708</v>
      </c>
      <c r="F219" s="30"/>
      <c r="G219" s="30" t="s">
        <v>1355</v>
      </c>
      <c r="H219" s="325" t="s">
        <v>7956</v>
      </c>
      <c r="I219" s="797" t="s">
        <v>2562</v>
      </c>
    </row>
    <row r="220" spans="1:10" ht="14.25" customHeight="1">
      <c r="A220" s="1"/>
      <c r="B220" s="1"/>
      <c r="C220" s="9">
        <v>45311</v>
      </c>
      <c r="D220" s="17" t="s">
        <v>7984</v>
      </c>
      <c r="E220" s="785" t="s">
        <v>7764</v>
      </c>
      <c r="F220" s="30" t="s">
        <v>5535</v>
      </c>
      <c r="G220" s="30" t="s">
        <v>1268</v>
      </c>
      <c r="H220" s="325" t="s">
        <v>7985</v>
      </c>
      <c r="I220" s="829" t="s">
        <v>100</v>
      </c>
    </row>
    <row r="221" spans="1:10" ht="14.25" customHeight="1">
      <c r="A221" s="1"/>
      <c r="B221" s="1"/>
      <c r="C221" s="9">
        <v>45318</v>
      </c>
      <c r="D221" s="17" t="s">
        <v>5816</v>
      </c>
      <c r="E221" s="792" t="s">
        <v>5817</v>
      </c>
      <c r="F221" s="30"/>
      <c r="G221" s="30" t="s">
        <v>2067</v>
      </c>
      <c r="H221" s="325" t="s">
        <v>8011</v>
      </c>
      <c r="I221" s="829" t="s">
        <v>100</v>
      </c>
    </row>
    <row r="222" spans="1:10" ht="14.25" customHeight="1">
      <c r="A222" s="1"/>
      <c r="B222" s="1"/>
      <c r="C222" s="9">
        <v>45318</v>
      </c>
      <c r="D222" s="17" t="s">
        <v>7811</v>
      </c>
      <c r="E222" s="753" t="s">
        <v>7708</v>
      </c>
      <c r="F222" s="30"/>
      <c r="G222" s="30" t="s">
        <v>1355</v>
      </c>
      <c r="H222" s="325" t="s">
        <v>8013</v>
      </c>
      <c r="I222" s="804" t="s">
        <v>100</v>
      </c>
    </row>
    <row r="223" spans="1:10" ht="14.25" customHeight="1">
      <c r="A223" s="1"/>
      <c r="B223" s="1"/>
      <c r="C223" s="9">
        <v>45323</v>
      </c>
      <c r="D223" s="17" t="s">
        <v>2425</v>
      </c>
      <c r="E223" s="804" t="s">
        <v>2426</v>
      </c>
      <c r="F223" s="30"/>
      <c r="G223" s="30" t="s">
        <v>2047</v>
      </c>
      <c r="H223" s="325" t="s">
        <v>8055</v>
      </c>
      <c r="I223" s="973" t="s">
        <v>507</v>
      </c>
    </row>
    <row r="224" spans="1:10" ht="14.25" customHeight="1">
      <c r="A224" s="1"/>
      <c r="B224" s="1"/>
      <c r="C224" s="9">
        <v>45323</v>
      </c>
      <c r="D224" s="17" t="s">
        <v>8054</v>
      </c>
      <c r="E224" s="804" t="s">
        <v>6904</v>
      </c>
      <c r="F224" s="30"/>
      <c r="G224" s="30" t="s">
        <v>7010</v>
      </c>
      <c r="H224" s="325" t="s">
        <v>8056</v>
      </c>
      <c r="I224" s="844" t="s">
        <v>507</v>
      </c>
    </row>
    <row r="225" spans="1:10" ht="14.25" customHeight="1">
      <c r="A225" s="1"/>
      <c r="B225" s="1"/>
      <c r="C225" s="9">
        <v>45323</v>
      </c>
      <c r="D225" s="17" t="s">
        <v>7811</v>
      </c>
      <c r="E225" s="833" t="s">
        <v>7708</v>
      </c>
      <c r="F225" s="30"/>
      <c r="G225" s="30" t="s">
        <v>1355</v>
      </c>
      <c r="H225" s="325" t="s">
        <v>8057</v>
      </c>
      <c r="I225" s="95">
        <v>45327</v>
      </c>
    </row>
    <row r="226" spans="1:10" ht="14.25" customHeight="1">
      <c r="A226" s="1"/>
      <c r="B226" s="1"/>
      <c r="C226" s="9">
        <v>45329</v>
      </c>
      <c r="D226" s="17" t="s">
        <v>8096</v>
      </c>
      <c r="E226" s="816" t="s">
        <v>7311</v>
      </c>
      <c r="F226" s="30"/>
      <c r="G226" s="30" t="s">
        <v>4385</v>
      </c>
      <c r="H226" s="325" t="s">
        <v>8097</v>
      </c>
      <c r="I226" s="891" t="s">
        <v>507</v>
      </c>
    </row>
    <row r="227" spans="1:10" ht="14.25" customHeight="1">
      <c r="A227" s="1"/>
      <c r="B227" s="1"/>
      <c r="C227" s="9">
        <v>45331</v>
      </c>
      <c r="D227" s="17" t="s">
        <v>7811</v>
      </c>
      <c r="E227" s="804" t="s">
        <v>7708</v>
      </c>
      <c r="F227" s="30"/>
      <c r="G227" s="30"/>
      <c r="H227" s="823" t="s">
        <v>8120</v>
      </c>
      <c r="I227" s="891" t="s">
        <v>8343</v>
      </c>
    </row>
    <row r="228" spans="1:10" ht="14.25" customHeight="1">
      <c r="A228" s="1"/>
      <c r="B228" s="1"/>
      <c r="C228" s="9">
        <v>45332</v>
      </c>
      <c r="D228" s="17" t="s">
        <v>7984</v>
      </c>
      <c r="E228" s="785" t="s">
        <v>7764</v>
      </c>
      <c r="F228" s="30" t="s">
        <v>5535</v>
      </c>
      <c r="G228" s="30" t="s">
        <v>1268</v>
      </c>
      <c r="H228" s="325" t="s">
        <v>8119</v>
      </c>
      <c r="I228" s="900">
        <v>45364</v>
      </c>
    </row>
    <row r="229" spans="1:10" ht="14.25" customHeight="1">
      <c r="A229" s="1"/>
      <c r="B229" s="1"/>
      <c r="C229" s="9">
        <v>45343</v>
      </c>
      <c r="D229" s="17"/>
      <c r="E229" s="857" t="s">
        <v>6637</v>
      </c>
      <c r="F229" s="30" t="s">
        <v>5535</v>
      </c>
      <c r="G229" s="30" t="s">
        <v>2076</v>
      </c>
      <c r="H229" s="325" t="s">
        <v>8205</v>
      </c>
      <c r="I229" s="912" t="s">
        <v>8449</v>
      </c>
      <c r="J229" s="95">
        <v>45379</v>
      </c>
    </row>
    <row r="230" spans="1:10" ht="14.25" customHeight="1">
      <c r="A230" s="1"/>
      <c r="B230" s="1"/>
      <c r="C230" s="9">
        <v>45362</v>
      </c>
      <c r="D230" s="17" t="s">
        <v>8365</v>
      </c>
      <c r="E230" s="893" t="s">
        <v>8154</v>
      </c>
      <c r="F230" s="30"/>
      <c r="G230" s="30" t="s">
        <v>2067</v>
      </c>
      <c r="H230" s="325" t="s">
        <v>8366</v>
      </c>
      <c r="I230" t="s">
        <v>77</v>
      </c>
    </row>
    <row r="231" spans="1:10" ht="14.25" customHeight="1">
      <c r="A231" s="1"/>
      <c r="B231" s="1"/>
      <c r="C231" s="9">
        <v>45371</v>
      </c>
      <c r="D231" s="101">
        <v>6206068897</v>
      </c>
      <c r="E231" s="749" t="s">
        <v>7796</v>
      </c>
      <c r="F231" s="30"/>
      <c r="G231" s="30" t="s">
        <v>2067</v>
      </c>
      <c r="H231" s="325" t="s">
        <v>8420</v>
      </c>
      <c r="I231" s="947" t="s">
        <v>507</v>
      </c>
    </row>
    <row r="232" spans="1:10" ht="14.25" customHeight="1">
      <c r="A232" s="1"/>
      <c r="B232" s="1"/>
      <c r="C232" s="9">
        <v>45373</v>
      </c>
      <c r="D232" s="17" t="s">
        <v>2091</v>
      </c>
      <c r="E232" s="909" t="s">
        <v>2092</v>
      </c>
      <c r="F232" s="30"/>
      <c r="G232" s="30" t="s">
        <v>2067</v>
      </c>
      <c r="H232" s="325" t="s">
        <v>8429</v>
      </c>
      <c r="I232" s="973" t="s">
        <v>8714</v>
      </c>
    </row>
    <row r="233" spans="1:10" ht="14.25" customHeight="1">
      <c r="A233" s="1"/>
      <c r="B233" s="1"/>
      <c r="C233" s="9">
        <v>45380</v>
      </c>
      <c r="D233" s="17"/>
      <c r="E233" s="913" t="s">
        <v>8455</v>
      </c>
      <c r="F233" s="30"/>
      <c r="G233" s="30" t="s">
        <v>2018</v>
      </c>
      <c r="H233" s="325" t="s">
        <v>8454</v>
      </c>
      <c r="I233" s="947" t="s">
        <v>507</v>
      </c>
    </row>
    <row r="234" spans="1:10" ht="14.25" customHeight="1">
      <c r="A234" s="1"/>
      <c r="B234" s="1"/>
      <c r="C234" s="9">
        <v>45385</v>
      </c>
      <c r="D234" s="17" t="s">
        <v>6966</v>
      </c>
      <c r="E234" s="916" t="s">
        <v>4659</v>
      </c>
      <c r="F234" s="30"/>
      <c r="G234" s="30" t="s">
        <v>1785</v>
      </c>
      <c r="H234" s="325" t="s">
        <v>8468</v>
      </c>
      <c r="I234" s="973" t="s">
        <v>100</v>
      </c>
    </row>
    <row r="235" spans="1:10" ht="14.25" customHeight="1">
      <c r="A235" s="1"/>
      <c r="B235" s="1"/>
      <c r="C235" s="9">
        <v>45385</v>
      </c>
      <c r="D235" s="17" t="s">
        <v>6966</v>
      </c>
      <c r="E235" s="916" t="s">
        <v>4661</v>
      </c>
      <c r="F235" s="30"/>
      <c r="G235" s="30" t="s">
        <v>1785</v>
      </c>
      <c r="H235" s="325" t="s">
        <v>8469</v>
      </c>
      <c r="I235" s="973" t="s">
        <v>100</v>
      </c>
    </row>
    <row r="236" spans="1:10" ht="14.25" customHeight="1">
      <c r="A236" s="1"/>
      <c r="B236" s="1"/>
      <c r="C236" s="9">
        <v>45387</v>
      </c>
      <c r="D236" s="17" t="s">
        <v>2406</v>
      </c>
      <c r="E236" s="919" t="s">
        <v>593</v>
      </c>
      <c r="F236" s="30"/>
      <c r="G236" s="30" t="s">
        <v>2071</v>
      </c>
      <c r="H236" s="325" t="s">
        <v>8477</v>
      </c>
      <c r="I236" s="973" t="s">
        <v>100</v>
      </c>
    </row>
    <row r="237" spans="1:10" ht="14.25" customHeight="1">
      <c r="A237" s="1"/>
      <c r="B237" s="1"/>
      <c r="C237" s="9">
        <v>45358</v>
      </c>
      <c r="D237" s="17" t="s">
        <v>8495</v>
      </c>
      <c r="E237" s="923" t="s">
        <v>2393</v>
      </c>
      <c r="F237" s="30"/>
      <c r="G237" s="30" t="s">
        <v>7703</v>
      </c>
      <c r="H237" s="325" t="s">
        <v>8496</v>
      </c>
      <c r="I237" s="973" t="s">
        <v>100</v>
      </c>
    </row>
    <row r="238" spans="1:10" ht="14.25" customHeight="1">
      <c r="A238" s="1"/>
      <c r="B238" s="1"/>
      <c r="C238" s="9">
        <v>45358</v>
      </c>
      <c r="D238" s="17" t="s">
        <v>8499</v>
      </c>
      <c r="E238" s="923" t="s">
        <v>8498</v>
      </c>
      <c r="F238" s="30"/>
      <c r="G238" s="30" t="s">
        <v>7703</v>
      </c>
      <c r="H238" s="325" t="s">
        <v>8497</v>
      </c>
      <c r="I238" s="973" t="s">
        <v>100</v>
      </c>
    </row>
    <row r="239" spans="1:10" ht="14.25" customHeight="1">
      <c r="A239" s="1"/>
      <c r="B239" s="1"/>
      <c r="C239" s="9">
        <v>45392</v>
      </c>
      <c r="D239" s="17" t="s">
        <v>7111</v>
      </c>
      <c r="E239" s="926" t="s">
        <v>7050</v>
      </c>
      <c r="F239" s="30"/>
      <c r="G239" s="30" t="s">
        <v>7919</v>
      </c>
      <c r="H239" s="325" t="s">
        <v>8501</v>
      </c>
      <c r="I239" s="947" t="s">
        <v>3882</v>
      </c>
    </row>
    <row r="240" spans="1:10" ht="14.25" customHeight="1">
      <c r="A240" s="1"/>
      <c r="B240" s="1"/>
      <c r="C240" s="9">
        <v>45405</v>
      </c>
      <c r="D240" s="101">
        <v>9031785291</v>
      </c>
      <c r="E240" s="943" t="s">
        <v>8558</v>
      </c>
      <c r="G240" s="30" t="s">
        <v>1275</v>
      </c>
      <c r="H240" s="325" t="s">
        <v>8651</v>
      </c>
      <c r="I240" s="947" t="s">
        <v>3882</v>
      </c>
    </row>
    <row r="241" spans="1:10" ht="14.25" customHeight="1">
      <c r="A241" s="1"/>
      <c r="B241" s="1"/>
      <c r="C241" s="9">
        <v>45416</v>
      </c>
      <c r="D241" s="17" t="s">
        <v>7129</v>
      </c>
      <c r="E241" s="954" t="s">
        <v>6942</v>
      </c>
      <c r="F241" s="30"/>
      <c r="G241" s="30" t="s">
        <v>1268</v>
      </c>
      <c r="H241" s="325" t="s">
        <v>8600</v>
      </c>
      <c r="I241" t="s">
        <v>507</v>
      </c>
    </row>
    <row r="242" spans="1:10" ht="14.25" customHeight="1">
      <c r="A242" s="1"/>
      <c r="B242" s="1"/>
      <c r="C242" s="9">
        <v>45416</v>
      </c>
      <c r="D242" s="17" t="s">
        <v>2598</v>
      </c>
      <c r="E242" s="954" t="s">
        <v>6124</v>
      </c>
      <c r="F242" s="30"/>
      <c r="G242" s="30" t="s">
        <v>7239</v>
      </c>
      <c r="H242" s="325" t="s">
        <v>8608</v>
      </c>
      <c r="I242" s="973" t="s">
        <v>100</v>
      </c>
    </row>
    <row r="243" spans="1:10" ht="14.25" customHeight="1">
      <c r="A243" s="1"/>
      <c r="B243" s="1"/>
      <c r="C243" s="9">
        <v>45417</v>
      </c>
      <c r="D243" s="17" t="s">
        <v>8613</v>
      </c>
      <c r="E243" s="955" t="s">
        <v>4041</v>
      </c>
      <c r="F243" s="30"/>
      <c r="G243" s="30" t="s">
        <v>1383</v>
      </c>
      <c r="H243" s="325" t="s">
        <v>8614</v>
      </c>
      <c r="I243" s="1006" t="s">
        <v>100</v>
      </c>
    </row>
    <row r="244" spans="1:10" ht="14.25" customHeight="1">
      <c r="A244" s="1"/>
      <c r="B244" s="1"/>
      <c r="C244" s="9">
        <v>45418</v>
      </c>
      <c r="D244" s="17" t="s">
        <v>8616</v>
      </c>
      <c r="E244" s="956" t="s">
        <v>8470</v>
      </c>
      <c r="F244" s="30" t="s">
        <v>8618</v>
      </c>
      <c r="G244" s="30" t="s">
        <v>7919</v>
      </c>
      <c r="H244" s="325" t="s">
        <v>8617</v>
      </c>
      <c r="I244" s="973" t="s">
        <v>6867</v>
      </c>
    </row>
    <row r="245" spans="1:10" ht="14.25" customHeight="1">
      <c r="A245" s="1"/>
      <c r="B245" s="1"/>
      <c r="C245" s="9">
        <v>45418</v>
      </c>
      <c r="D245" s="17" t="s">
        <v>2425</v>
      </c>
      <c r="E245" s="956" t="s">
        <v>2426</v>
      </c>
      <c r="F245" s="30"/>
      <c r="G245" s="30" t="s">
        <v>2047</v>
      </c>
      <c r="H245" s="325" t="s">
        <v>8619</v>
      </c>
      <c r="I245" t="s">
        <v>507</v>
      </c>
    </row>
    <row r="246" spans="1:10" ht="14.25" customHeight="1">
      <c r="A246" s="1"/>
      <c r="B246" s="1"/>
      <c r="C246" s="9">
        <v>45422</v>
      </c>
      <c r="D246" s="17" t="s">
        <v>8636</v>
      </c>
      <c r="E246" s="960" t="s">
        <v>4661</v>
      </c>
      <c r="F246" s="30"/>
      <c r="G246" s="30"/>
      <c r="H246" s="325" t="s">
        <v>8637</v>
      </c>
      <c r="I246" t="s">
        <v>507</v>
      </c>
    </row>
    <row r="247" spans="1:10" ht="14.25" customHeight="1">
      <c r="A247" s="1"/>
      <c r="B247" s="1"/>
      <c r="C247" s="9">
        <v>45422</v>
      </c>
      <c r="D247" s="17"/>
      <c r="E247" s="960" t="s">
        <v>4659</v>
      </c>
      <c r="F247" s="30"/>
      <c r="G247" s="30"/>
      <c r="H247" s="325" t="s">
        <v>8635</v>
      </c>
      <c r="I247" t="s">
        <v>507</v>
      </c>
    </row>
    <row r="248" spans="1:10" ht="14.25" customHeight="1">
      <c r="A248" s="1"/>
      <c r="B248" s="1"/>
      <c r="C248" s="9">
        <v>45435</v>
      </c>
      <c r="D248" s="17" t="s">
        <v>2598</v>
      </c>
      <c r="E248" s="954" t="s">
        <v>6124</v>
      </c>
      <c r="F248" s="30" t="s">
        <v>8618</v>
      </c>
      <c r="G248" s="30" t="s">
        <v>7239</v>
      </c>
      <c r="H248" s="325" t="s">
        <v>8715</v>
      </c>
      <c r="I248" s="1006" t="s">
        <v>100</v>
      </c>
      <c r="J248" s="1006" t="s">
        <v>8824</v>
      </c>
    </row>
    <row r="249" spans="1:10" ht="14.25" customHeight="1">
      <c r="A249" s="1"/>
      <c r="B249" s="1"/>
      <c r="C249" s="9">
        <v>45438</v>
      </c>
      <c r="D249" s="17" t="s">
        <v>2406</v>
      </c>
      <c r="E249" s="919" t="s">
        <v>593</v>
      </c>
      <c r="F249" s="30"/>
      <c r="G249" s="30" t="s">
        <v>2071</v>
      </c>
      <c r="H249" s="325" t="s">
        <v>8722</v>
      </c>
      <c r="I249" s="1006" t="s">
        <v>100</v>
      </c>
      <c r="J249" s="1006" t="s">
        <v>8824</v>
      </c>
    </row>
    <row r="250" spans="1:10" ht="14.25" customHeight="1">
      <c r="A250" s="1"/>
      <c r="B250" s="1"/>
      <c r="C250" s="9">
        <v>45464</v>
      </c>
      <c r="D250" s="17" t="s">
        <v>8827</v>
      </c>
      <c r="E250" s="1007" t="s">
        <v>8826</v>
      </c>
      <c r="F250" s="30" t="s">
        <v>8828</v>
      </c>
      <c r="G250" s="30" t="s">
        <v>8825</v>
      </c>
      <c r="H250" s="325" t="s">
        <v>8838</v>
      </c>
      <c r="I250" s="1076" t="s">
        <v>39</v>
      </c>
    </row>
    <row r="251" spans="1:10" ht="14.25" customHeight="1">
      <c r="A251" s="1"/>
      <c r="B251" s="1"/>
      <c r="C251" s="9">
        <v>45468</v>
      </c>
      <c r="D251" s="17" t="s">
        <v>2091</v>
      </c>
      <c r="E251" s="1018" t="s">
        <v>2092</v>
      </c>
      <c r="F251" s="30"/>
      <c r="G251" s="30" t="s">
        <v>2067</v>
      </c>
      <c r="H251" s="325" t="s">
        <v>8871</v>
      </c>
      <c r="I251" s="1079" t="s">
        <v>538</v>
      </c>
    </row>
    <row r="252" spans="1:10" ht="14.25" customHeight="1">
      <c r="A252" s="1"/>
      <c r="B252" s="1"/>
      <c r="C252" s="9">
        <v>45488</v>
      </c>
      <c r="D252" s="17" t="s">
        <v>7363</v>
      </c>
      <c r="E252" s="1049" t="s">
        <v>1567</v>
      </c>
      <c r="F252" s="30"/>
      <c r="G252" s="30" t="s">
        <v>2047</v>
      </c>
      <c r="H252" s="325" t="s">
        <v>8977</v>
      </c>
      <c r="I252" s="1079" t="s">
        <v>538</v>
      </c>
      <c r="J252" s="1186" t="s">
        <v>8824</v>
      </c>
    </row>
    <row r="253" spans="1:10" ht="14.25" customHeight="1">
      <c r="A253" s="1"/>
      <c r="B253" s="1"/>
      <c r="C253" s="9">
        <v>45488</v>
      </c>
      <c r="D253" s="17" t="s">
        <v>7363</v>
      </c>
      <c r="E253" s="1049" t="s">
        <v>4465</v>
      </c>
      <c r="F253" s="30"/>
      <c r="G253" s="30" t="s">
        <v>2047</v>
      </c>
      <c r="H253" s="325" t="s">
        <v>8976</v>
      </c>
      <c r="I253" s="1079" t="s">
        <v>538</v>
      </c>
      <c r="J253" s="1186" t="s">
        <v>8824</v>
      </c>
    </row>
    <row r="254" spans="1:10" ht="14.25" customHeight="1">
      <c r="A254" s="1"/>
      <c r="B254" s="1"/>
      <c r="C254" s="9">
        <v>45490</v>
      </c>
      <c r="D254" s="17" t="s">
        <v>8991</v>
      </c>
      <c r="E254" s="1054" t="s">
        <v>8653</v>
      </c>
      <c r="F254" s="30">
        <v>12</v>
      </c>
      <c r="G254" s="30" t="s">
        <v>8992</v>
      </c>
      <c r="H254" s="325" t="s">
        <v>8993</v>
      </c>
      <c r="I254" s="1076" t="s">
        <v>92</v>
      </c>
    </row>
    <row r="255" spans="1:10" ht="14.25" customHeight="1">
      <c r="A255" s="1"/>
      <c r="B255" s="1"/>
      <c r="C255" s="9">
        <v>45493</v>
      </c>
      <c r="D255" s="17" t="s">
        <v>2689</v>
      </c>
      <c r="E255" s="1059" t="s">
        <v>2147</v>
      </c>
      <c r="F255" s="30"/>
      <c r="G255" s="30" t="s">
        <v>2067</v>
      </c>
      <c r="H255" s="325" t="s">
        <v>9020</v>
      </c>
      <c r="I255" s="1076" t="s">
        <v>92</v>
      </c>
    </row>
    <row r="256" spans="1:10" ht="14.25" customHeight="1">
      <c r="A256" s="1"/>
      <c r="B256" s="1"/>
      <c r="C256" s="9">
        <v>45499</v>
      </c>
      <c r="D256" s="17" t="s">
        <v>2091</v>
      </c>
      <c r="E256" s="1018" t="s">
        <v>2092</v>
      </c>
      <c r="F256" s="30"/>
      <c r="G256" s="30"/>
      <c r="H256" s="325" t="s">
        <v>9054</v>
      </c>
      <c r="I256" s="1076" t="s">
        <v>92</v>
      </c>
      <c r="J256" t="s">
        <v>9405</v>
      </c>
    </row>
    <row r="257" spans="1:10" ht="14.25" customHeight="1">
      <c r="A257" s="1"/>
      <c r="B257" s="1"/>
      <c r="C257" s="9">
        <v>45500</v>
      </c>
      <c r="D257" s="17" t="s">
        <v>8991</v>
      </c>
      <c r="E257" s="1054" t="s">
        <v>8653</v>
      </c>
      <c r="F257" s="30"/>
      <c r="G257" s="30" t="s">
        <v>9056</v>
      </c>
      <c r="H257" s="325" t="s">
        <v>9055</v>
      </c>
    </row>
    <row r="258" spans="1:10" ht="14.25" customHeight="1">
      <c r="A258" s="1"/>
      <c r="B258" s="1"/>
      <c r="C258" s="9">
        <v>45505</v>
      </c>
      <c r="D258" s="17" t="s">
        <v>8991</v>
      </c>
      <c r="E258" s="1054" t="s">
        <v>8653</v>
      </c>
      <c r="F258" s="30"/>
      <c r="G258" s="30" t="s">
        <v>9056</v>
      </c>
      <c r="H258" s="325" t="s">
        <v>9072</v>
      </c>
      <c r="I258" s="1107" t="s">
        <v>3882</v>
      </c>
    </row>
    <row r="259" spans="1:10" ht="14.25" customHeight="1">
      <c r="A259" s="1"/>
      <c r="B259" s="1"/>
      <c r="C259" s="9">
        <v>45514</v>
      </c>
      <c r="D259" s="17" t="s">
        <v>8991</v>
      </c>
      <c r="E259" s="1054" t="s">
        <v>8653</v>
      </c>
      <c r="F259" s="30"/>
      <c r="G259" s="30" t="s">
        <v>9056</v>
      </c>
      <c r="H259" s="325" t="s">
        <v>9115</v>
      </c>
      <c r="I259" s="1114" t="s">
        <v>39</v>
      </c>
    </row>
    <row r="260" spans="1:10" ht="14.25" customHeight="1">
      <c r="A260" s="1"/>
      <c r="B260" s="1"/>
      <c r="C260" s="1"/>
      <c r="D260" s="17"/>
      <c r="E260" s="1119" t="s">
        <v>7773</v>
      </c>
      <c r="F260" s="30"/>
      <c r="G260" s="30" t="s">
        <v>2071</v>
      </c>
      <c r="H260" s="325" t="s">
        <v>9165</v>
      </c>
      <c r="I260" s="1374" t="s">
        <v>10009</v>
      </c>
    </row>
    <row r="261" spans="1:10" ht="14.25" customHeight="1">
      <c r="A261" s="1"/>
      <c r="B261" s="1"/>
      <c r="C261" s="9">
        <v>45541</v>
      </c>
      <c r="D261" s="17" t="s">
        <v>9211</v>
      </c>
      <c r="E261" s="1138" t="s">
        <v>9210</v>
      </c>
      <c r="F261" s="30"/>
      <c r="G261" s="30" t="s">
        <v>2071</v>
      </c>
      <c r="H261" s="325" t="s">
        <v>9209</v>
      </c>
      <c r="I261" s="1374" t="s">
        <v>92</v>
      </c>
    </row>
    <row r="262" spans="1:10" ht="14.25" customHeight="1">
      <c r="A262" s="1"/>
      <c r="B262" s="1"/>
      <c r="C262" s="9">
        <v>45545</v>
      </c>
      <c r="D262" s="17"/>
      <c r="E262" s="1138" t="s">
        <v>9210</v>
      </c>
      <c r="F262" s="30"/>
      <c r="G262" s="30" t="s">
        <v>2071</v>
      </c>
      <c r="H262" s="325" t="s">
        <v>9220</v>
      </c>
      <c r="I262" s="1374" t="s">
        <v>92</v>
      </c>
    </row>
    <row r="263" spans="1:10" ht="14.25" customHeight="1">
      <c r="A263" s="1"/>
      <c r="B263" s="1"/>
      <c r="C263" s="9">
        <v>45554</v>
      </c>
      <c r="D263" s="17"/>
      <c r="E263" s="1159" t="s">
        <v>8455</v>
      </c>
      <c r="F263" s="30"/>
      <c r="G263" s="30"/>
      <c r="H263" s="325" t="s">
        <v>9276</v>
      </c>
      <c r="I263" s="1186" t="s">
        <v>39</v>
      </c>
    </row>
    <row r="264" spans="1:10" ht="14.25" customHeight="1">
      <c r="A264" s="1"/>
      <c r="B264" s="1"/>
      <c r="C264" s="9">
        <v>45610</v>
      </c>
      <c r="D264" s="17" t="s">
        <v>9514</v>
      </c>
      <c r="E264" s="1231" t="s">
        <v>7708</v>
      </c>
      <c r="F264" s="30"/>
      <c r="G264" s="30" t="s">
        <v>9515</v>
      </c>
      <c r="H264" s="325" t="s">
        <v>9513</v>
      </c>
      <c r="J264">
        <v>18</v>
      </c>
    </row>
    <row r="265" spans="1:10" ht="14.25" customHeight="1">
      <c r="A265" s="1"/>
      <c r="B265" s="1"/>
      <c r="C265" s="9">
        <v>45623</v>
      </c>
      <c r="D265" s="17" t="s">
        <v>9570</v>
      </c>
      <c r="E265" s="1245" t="s">
        <v>9569</v>
      </c>
      <c r="F265" s="30" t="s">
        <v>2907</v>
      </c>
      <c r="G265" s="30" t="s">
        <v>9571</v>
      </c>
      <c r="H265" s="325" t="s">
        <v>9568</v>
      </c>
      <c r="I265" s="95">
        <v>45623</v>
      </c>
    </row>
    <row r="266" spans="1:10" ht="14.25" customHeight="1">
      <c r="A266" s="1"/>
      <c r="B266" s="1"/>
      <c r="C266" s="9">
        <v>45649</v>
      </c>
      <c r="D266" s="17" t="s">
        <v>9514</v>
      </c>
      <c r="E266" s="1231" t="s">
        <v>7708</v>
      </c>
      <c r="F266" s="30"/>
      <c r="G266" s="30"/>
      <c r="H266" s="325" t="s">
        <v>9751</v>
      </c>
      <c r="I266" s="1374" t="s">
        <v>507</v>
      </c>
    </row>
    <row r="267" spans="1:10" ht="14.25" customHeight="1">
      <c r="A267" s="1"/>
      <c r="B267" s="1"/>
      <c r="C267" s="9">
        <v>45651</v>
      </c>
      <c r="D267" s="17" t="s">
        <v>3037</v>
      </c>
      <c r="E267" s="1331" t="s">
        <v>4875</v>
      </c>
      <c r="F267" s="30"/>
      <c r="G267" s="30" t="s">
        <v>1275</v>
      </c>
      <c r="H267" s="325" t="s">
        <v>9764</v>
      </c>
      <c r="I267" s="1396" t="s">
        <v>100</v>
      </c>
      <c r="J267" s="1393" t="s">
        <v>10119</v>
      </c>
    </row>
    <row r="268" spans="1:10" ht="14.25" customHeight="1">
      <c r="A268" s="1"/>
      <c r="B268" s="1"/>
      <c r="C268" s="9">
        <v>45672</v>
      </c>
      <c r="D268" s="17"/>
      <c r="E268" s="1347" t="s">
        <v>8154</v>
      </c>
      <c r="F268" s="30"/>
      <c r="G268" s="30" t="s">
        <v>2067</v>
      </c>
      <c r="H268" s="325" t="s">
        <v>9867</v>
      </c>
      <c r="I268" s="1396" t="s">
        <v>92</v>
      </c>
      <c r="J268" s="1393" t="s">
        <v>10118</v>
      </c>
    </row>
    <row r="269" spans="1:10" ht="14.25" customHeight="1">
      <c r="A269" s="1"/>
      <c r="B269" s="1"/>
      <c r="C269" s="9">
        <v>45307</v>
      </c>
      <c r="D269" s="17" t="s">
        <v>9870</v>
      </c>
      <c r="E269" s="1348" t="s">
        <v>9869</v>
      </c>
      <c r="F269" s="30"/>
      <c r="G269" s="30" t="s">
        <v>2067</v>
      </c>
      <c r="H269" s="325" t="s">
        <v>9868</v>
      </c>
      <c r="I269" s="1396" t="s">
        <v>92</v>
      </c>
      <c r="J269" s="1393" t="s">
        <v>10117</v>
      </c>
    </row>
    <row r="270" spans="1:10" ht="14.25" customHeight="1">
      <c r="A270" s="1"/>
      <c r="B270" s="1"/>
      <c r="C270" s="9">
        <v>45692</v>
      </c>
      <c r="D270" s="17"/>
      <c r="E270" s="1366" t="s">
        <v>2358</v>
      </c>
      <c r="F270" s="30"/>
      <c r="G270" s="30" t="s">
        <v>2067</v>
      </c>
      <c r="H270" s="325" t="s">
        <v>9956</v>
      </c>
      <c r="I270" s="1396" t="s">
        <v>92</v>
      </c>
      <c r="J270" s="1393" t="s">
        <v>10116</v>
      </c>
    </row>
    <row r="271" spans="1:10" ht="14.25" customHeight="1">
      <c r="A271" s="1"/>
      <c r="B271" s="1"/>
      <c r="C271" s="9">
        <v>45328</v>
      </c>
      <c r="D271" s="17" t="s">
        <v>9870</v>
      </c>
      <c r="E271" s="1347" t="s">
        <v>8154</v>
      </c>
      <c r="F271" s="30"/>
      <c r="G271" s="30" t="s">
        <v>2067</v>
      </c>
      <c r="H271" s="325" t="s">
        <v>10102</v>
      </c>
      <c r="I271" s="1395" t="s">
        <v>92</v>
      </c>
    </row>
    <row r="272" spans="1:10" ht="14.25" customHeight="1">
      <c r="A272" s="1"/>
      <c r="B272" s="1"/>
      <c r="C272" s="9">
        <v>45328</v>
      </c>
      <c r="D272" s="17" t="s">
        <v>9870</v>
      </c>
      <c r="E272" s="1348" t="s">
        <v>9869</v>
      </c>
      <c r="F272" s="30"/>
      <c r="G272" s="30" t="s">
        <v>2067</v>
      </c>
      <c r="H272" s="325" t="s">
        <v>10103</v>
      </c>
      <c r="I272" s="1395" t="s">
        <v>92</v>
      </c>
    </row>
    <row r="273" spans="1:10" ht="14.25" customHeight="1">
      <c r="A273" s="1"/>
      <c r="B273" s="1"/>
      <c r="C273" s="9">
        <v>45359</v>
      </c>
      <c r="D273" s="17" t="s">
        <v>9870</v>
      </c>
      <c r="E273" s="1347" t="s">
        <v>8154</v>
      </c>
      <c r="F273" s="30"/>
      <c r="G273" s="30" t="s">
        <v>2067</v>
      </c>
      <c r="H273" s="325" t="s">
        <v>10115</v>
      </c>
      <c r="I273" s="1398" t="s">
        <v>77</v>
      </c>
    </row>
    <row r="274" spans="1:10" ht="14.25" customHeight="1">
      <c r="A274" s="1"/>
      <c r="B274" s="1"/>
      <c r="C274" s="9">
        <v>45359</v>
      </c>
      <c r="D274" s="17" t="s">
        <v>9870</v>
      </c>
      <c r="E274" s="1348" t="s">
        <v>9869</v>
      </c>
      <c r="F274" s="30"/>
      <c r="G274" s="30" t="s">
        <v>2067</v>
      </c>
      <c r="H274" s="325" t="s">
        <v>10114</v>
      </c>
      <c r="I274" s="1398" t="s">
        <v>77</v>
      </c>
    </row>
    <row r="275" spans="1:10" ht="14.25" customHeight="1">
      <c r="A275" s="1"/>
      <c r="B275" s="1"/>
      <c r="C275" s="9">
        <v>45734</v>
      </c>
      <c r="D275" s="17" t="s">
        <v>2618</v>
      </c>
      <c r="E275" s="1405" t="s">
        <v>8962</v>
      </c>
      <c r="F275" s="30"/>
      <c r="G275" s="30" t="s">
        <v>2071</v>
      </c>
      <c r="H275" s="325" t="s">
        <v>10171</v>
      </c>
      <c r="I275" s="1414" t="s">
        <v>165</v>
      </c>
    </row>
    <row r="276" spans="1:10" ht="14.25" customHeight="1">
      <c r="A276" s="1"/>
      <c r="B276" s="1"/>
      <c r="C276" s="9">
        <v>45748</v>
      </c>
      <c r="D276" s="17" t="s">
        <v>2085</v>
      </c>
      <c r="E276" s="1414" t="s">
        <v>2086</v>
      </c>
      <c r="F276" s="30"/>
      <c r="G276" s="30" t="s">
        <v>2067</v>
      </c>
      <c r="H276" s="325" t="s">
        <v>10218</v>
      </c>
      <c r="I276" s="1428" t="s">
        <v>100</v>
      </c>
      <c r="J276" t="s">
        <v>8824</v>
      </c>
    </row>
    <row r="277" spans="1:10" ht="14.25" customHeight="1">
      <c r="A277" s="1"/>
      <c r="B277" s="1"/>
      <c r="C277" s="9">
        <v>45751</v>
      </c>
      <c r="D277" s="101">
        <v>7209868969</v>
      </c>
      <c r="E277" s="1417" t="s">
        <v>10224</v>
      </c>
      <c r="F277" s="30"/>
      <c r="G277" s="30" t="s">
        <v>2018</v>
      </c>
      <c r="H277" s="325" t="s">
        <v>10223</v>
      </c>
    </row>
    <row r="278" spans="1:10" ht="14.25" customHeight="1">
      <c r="A278" s="1"/>
      <c r="B278" s="1"/>
      <c r="C278" s="9">
        <v>45765</v>
      </c>
      <c r="D278" s="17" t="s">
        <v>10313</v>
      </c>
      <c r="E278" s="1426" t="s">
        <v>9681</v>
      </c>
      <c r="F278" s="30"/>
      <c r="G278" s="30" t="s">
        <v>1275</v>
      </c>
      <c r="H278" s="325" t="s">
        <v>10312</v>
      </c>
      <c r="I278" s="95">
        <v>45850</v>
      </c>
    </row>
    <row r="279" spans="1:10" ht="14.25" customHeight="1">
      <c r="A279" s="1"/>
      <c r="B279" s="1"/>
      <c r="C279" s="9">
        <v>45776</v>
      </c>
      <c r="D279" s="17"/>
      <c r="E279" s="1433" t="s">
        <v>5453</v>
      </c>
      <c r="F279" s="30" t="s">
        <v>5535</v>
      </c>
      <c r="G279" s="30" t="s">
        <v>2018</v>
      </c>
      <c r="H279" s="325" t="s">
        <v>10367</v>
      </c>
    </row>
    <row r="280" spans="1:10" ht="14.25" customHeight="1">
      <c r="A280" s="1"/>
      <c r="B280" s="1"/>
      <c r="C280" s="9">
        <v>45778</v>
      </c>
      <c r="D280" s="17" t="s">
        <v>10381</v>
      </c>
      <c r="E280" s="1434" t="s">
        <v>10379</v>
      </c>
      <c r="F280" s="30" t="s">
        <v>3044</v>
      </c>
      <c r="G280" s="30" t="s">
        <v>10380</v>
      </c>
      <c r="H280" s="325" t="s">
        <v>10378</v>
      </c>
    </row>
    <row r="281" spans="1:10" ht="14.25" customHeight="1">
      <c r="A281" s="1"/>
      <c r="B281" s="1"/>
      <c r="C281" s="9">
        <v>45778</v>
      </c>
      <c r="D281" s="17" t="s">
        <v>10382</v>
      </c>
      <c r="E281" s="1434" t="s">
        <v>10383</v>
      </c>
      <c r="F281" s="30" t="s">
        <v>3044</v>
      </c>
      <c r="G281" s="30" t="s">
        <v>10380</v>
      </c>
      <c r="H281" s="325" t="s">
        <v>10384</v>
      </c>
    </row>
    <row r="282" spans="1:10" ht="14.25" customHeight="1">
      <c r="A282" s="1"/>
      <c r="B282" s="1"/>
      <c r="C282" s="9">
        <v>45785</v>
      </c>
      <c r="D282" s="17"/>
      <c r="E282" s="1433" t="s">
        <v>5453</v>
      </c>
      <c r="F282" s="30" t="s">
        <v>5535</v>
      </c>
      <c r="G282" s="30" t="s">
        <v>2018</v>
      </c>
      <c r="H282" s="325" t="s">
        <v>10422</v>
      </c>
      <c r="I282" t="s">
        <v>7549</v>
      </c>
    </row>
    <row r="283" spans="1:10" ht="14.25" customHeight="1">
      <c r="A283" s="1"/>
      <c r="B283" s="1"/>
      <c r="C283" s="9">
        <v>45792</v>
      </c>
      <c r="D283" s="17"/>
      <c r="E283" s="1433" t="s">
        <v>5453</v>
      </c>
      <c r="F283" s="30" t="s">
        <v>5535</v>
      </c>
      <c r="G283" s="30" t="s">
        <v>2018</v>
      </c>
      <c r="H283" s="325" t="s">
        <v>10458</v>
      </c>
    </row>
    <row r="284" spans="1:10" ht="14.25" customHeight="1">
      <c r="A284" s="1"/>
      <c r="B284" s="1"/>
      <c r="C284" s="9">
        <v>45795</v>
      </c>
      <c r="D284" s="17"/>
      <c r="E284" s="1444" t="s">
        <v>4659</v>
      </c>
      <c r="F284" s="30"/>
      <c r="G284" s="30" t="s">
        <v>1785</v>
      </c>
      <c r="H284" s="325" t="s">
        <v>10471</v>
      </c>
      <c r="I284" s="95">
        <v>45835</v>
      </c>
    </row>
    <row r="285" spans="1:10" ht="14.25" customHeight="1">
      <c r="A285" s="1"/>
      <c r="B285" s="1"/>
      <c r="C285" s="9">
        <v>45795</v>
      </c>
      <c r="D285" s="17"/>
      <c r="E285" s="1444" t="s">
        <v>4661</v>
      </c>
      <c r="F285" s="30"/>
      <c r="G285" s="30" t="s">
        <v>1785</v>
      </c>
      <c r="H285" s="325" t="s">
        <v>10472</v>
      </c>
      <c r="I285" s="95">
        <v>45835</v>
      </c>
    </row>
    <row r="286" spans="1:10" ht="14.25" customHeight="1">
      <c r="A286" s="1"/>
      <c r="B286" s="1"/>
      <c r="C286" s="9">
        <v>45819</v>
      </c>
      <c r="D286" s="17" t="s">
        <v>10381</v>
      </c>
      <c r="E286" s="1434" t="s">
        <v>10379</v>
      </c>
      <c r="F286" s="30" t="s">
        <v>3044</v>
      </c>
      <c r="G286" s="30" t="s">
        <v>10380</v>
      </c>
      <c r="H286" s="325" t="s">
        <v>10637</v>
      </c>
      <c r="I286" s="1530" t="s">
        <v>100</v>
      </c>
    </row>
    <row r="287" spans="1:10" ht="14.25" customHeight="1">
      <c r="A287" s="1"/>
      <c r="B287" s="1"/>
      <c r="C287" s="9">
        <v>45819</v>
      </c>
      <c r="D287" s="17" t="s">
        <v>10382</v>
      </c>
      <c r="E287" s="1434" t="s">
        <v>10383</v>
      </c>
      <c r="F287" s="30" t="s">
        <v>3044</v>
      </c>
      <c r="G287" s="30" t="s">
        <v>10380</v>
      </c>
      <c r="H287" s="325" t="s">
        <v>10636</v>
      </c>
      <c r="I287" s="1530" t="s">
        <v>100</v>
      </c>
    </row>
    <row r="288" spans="1:10" ht="14.25" customHeight="1">
      <c r="A288" s="1"/>
      <c r="B288" s="1"/>
      <c r="C288" s="9">
        <v>45821</v>
      </c>
      <c r="D288" s="17"/>
      <c r="E288" s="1467" t="s">
        <v>10650</v>
      </c>
      <c r="F288" s="30"/>
      <c r="G288" s="30" t="s">
        <v>2122</v>
      </c>
      <c r="H288" t="s">
        <v>10718</v>
      </c>
      <c r="I288" s="1530" t="s">
        <v>10819</v>
      </c>
    </row>
    <row r="289" spans="1:10" ht="14.25" customHeight="1">
      <c r="A289" s="1"/>
      <c r="B289" s="1"/>
      <c r="C289" s="9">
        <v>45821</v>
      </c>
      <c r="D289" s="17"/>
      <c r="E289" s="1467" t="s">
        <v>10651</v>
      </c>
      <c r="F289" s="30"/>
      <c r="G289" s="30" t="s">
        <v>2122</v>
      </c>
      <c r="H289" s="1550" t="s">
        <v>10719</v>
      </c>
      <c r="I289" s="1552">
        <v>45870</v>
      </c>
    </row>
    <row r="290" spans="1:10" ht="14.25" customHeight="1">
      <c r="A290" s="1"/>
      <c r="B290" s="1"/>
      <c r="C290" s="9">
        <v>45825</v>
      </c>
      <c r="D290" s="17"/>
      <c r="E290" s="1493" t="s">
        <v>9505</v>
      </c>
      <c r="F290" s="30"/>
      <c r="G290" s="1494" t="s">
        <v>9571</v>
      </c>
      <c r="H290" s="325" t="s">
        <v>10717</v>
      </c>
      <c r="I290" s="95">
        <v>45861</v>
      </c>
    </row>
    <row r="291" spans="1:10" ht="14.25" customHeight="1">
      <c r="A291" s="1"/>
      <c r="B291" s="1"/>
      <c r="C291" s="1481" t="s">
        <v>10695</v>
      </c>
      <c r="D291" s="101">
        <v>9709536119</v>
      </c>
      <c r="E291" s="1480" t="s">
        <v>5476</v>
      </c>
      <c r="F291" s="1482" t="s">
        <v>2067</v>
      </c>
      <c r="G291" s="1482" t="s">
        <v>7919</v>
      </c>
      <c r="H291" t="s">
        <v>10694</v>
      </c>
      <c r="I291" s="1530" t="s">
        <v>10820</v>
      </c>
    </row>
    <row r="292" spans="1:10" ht="14.25" customHeight="1">
      <c r="A292" s="1"/>
      <c r="B292" s="1"/>
      <c r="C292" s="9">
        <v>45843</v>
      </c>
      <c r="D292" s="1492" t="s">
        <v>10716</v>
      </c>
      <c r="E292" s="1490" t="s">
        <v>10715</v>
      </c>
      <c r="F292" s="30"/>
      <c r="G292" s="1491" t="s">
        <v>2067</v>
      </c>
      <c r="H292" t="s">
        <v>10714</v>
      </c>
      <c r="I292" s="1537" t="s">
        <v>10831</v>
      </c>
    </row>
    <row r="293" spans="1:10" ht="14.25" customHeight="1">
      <c r="A293" s="1"/>
      <c r="B293" s="1"/>
      <c r="C293" s="9">
        <v>45850</v>
      </c>
      <c r="D293" s="1499" t="s">
        <v>8365</v>
      </c>
      <c r="E293" s="1497" t="s">
        <v>10740</v>
      </c>
      <c r="F293" s="30"/>
      <c r="G293" s="1498" t="s">
        <v>4091</v>
      </c>
      <c r="H293" t="s">
        <v>10741</v>
      </c>
      <c r="I293" t="s">
        <v>39</v>
      </c>
      <c r="J293" s="95">
        <v>45905</v>
      </c>
    </row>
    <row r="294" spans="1:10" ht="14.25" customHeight="1">
      <c r="A294" s="1"/>
      <c r="B294" s="1"/>
      <c r="C294" s="9">
        <v>45860</v>
      </c>
      <c r="D294" s="1529" t="s">
        <v>10814</v>
      </c>
      <c r="E294" s="1528" t="s">
        <v>10753</v>
      </c>
      <c r="F294" s="30"/>
      <c r="G294" s="1527" t="s">
        <v>10356</v>
      </c>
      <c r="H294" t="s">
        <v>10813</v>
      </c>
      <c r="I294" t="s">
        <v>507</v>
      </c>
    </row>
    <row r="295" spans="1:10" ht="14.25" customHeight="1">
      <c r="A295" s="1"/>
      <c r="B295" s="1"/>
      <c r="C295" s="9">
        <v>45861</v>
      </c>
      <c r="D295" s="1532" t="s">
        <v>1935</v>
      </c>
      <c r="E295" s="1530" t="s">
        <v>10748</v>
      </c>
      <c r="F295" s="1531" t="s">
        <v>2047</v>
      </c>
      <c r="G295" s="1531" t="s">
        <v>7010</v>
      </c>
      <c r="H295" s="1537" t="s">
        <v>10818</v>
      </c>
      <c r="I295" s="1591" t="s">
        <v>11056</v>
      </c>
    </row>
    <row r="296" spans="1:10" ht="14.25" customHeight="1">
      <c r="A296" s="1"/>
      <c r="B296" s="1"/>
      <c r="C296" s="9">
        <v>45866</v>
      </c>
      <c r="D296" s="1542" t="s">
        <v>10844</v>
      </c>
      <c r="E296" s="1540" t="s">
        <v>10757</v>
      </c>
      <c r="F296" s="30"/>
      <c r="G296" s="1541" t="s">
        <v>2067</v>
      </c>
      <c r="H296" s="1485" t="s">
        <v>10847</v>
      </c>
      <c r="I296" s="1595" t="s">
        <v>11056</v>
      </c>
    </row>
    <row r="297" spans="1:10" ht="14.25" customHeight="1">
      <c r="A297" s="1"/>
      <c r="B297" s="1"/>
      <c r="C297" s="1"/>
      <c r="D297" s="1545" t="s">
        <v>9746</v>
      </c>
      <c r="E297" s="1543" t="s">
        <v>10797</v>
      </c>
      <c r="F297" s="30"/>
      <c r="G297" s="1544" t="s">
        <v>2956</v>
      </c>
      <c r="H297" s="1485" t="s">
        <v>10869</v>
      </c>
      <c r="I297" s="1591" t="s">
        <v>11057</v>
      </c>
    </row>
    <row r="298" spans="1:10" ht="14.25" customHeight="1">
      <c r="A298" s="1"/>
      <c r="B298" s="1"/>
      <c r="C298" s="9">
        <v>45870</v>
      </c>
      <c r="D298" s="17"/>
      <c r="E298" s="1550" t="s">
        <v>4659</v>
      </c>
      <c r="F298" s="30"/>
      <c r="G298" s="30"/>
      <c r="H298" s="1485" t="s">
        <v>10870</v>
      </c>
      <c r="I298" s="95">
        <v>45874</v>
      </c>
    </row>
    <row r="299" spans="1:10" ht="14.25" customHeight="1">
      <c r="A299" s="1"/>
      <c r="B299" s="1"/>
      <c r="C299" s="9">
        <v>45876</v>
      </c>
      <c r="D299" s="1560" t="s">
        <v>10886</v>
      </c>
      <c r="E299" s="1557" t="s">
        <v>10883</v>
      </c>
      <c r="F299" s="30"/>
      <c r="G299" s="1559" t="s">
        <v>2067</v>
      </c>
      <c r="H299" s="1485" t="s">
        <v>10882</v>
      </c>
      <c r="I299" s="1591" t="s">
        <v>11056</v>
      </c>
    </row>
    <row r="300" spans="1:10" ht="14.25" customHeight="1">
      <c r="A300" s="1"/>
      <c r="B300" s="1"/>
      <c r="C300" s="9">
        <v>45876</v>
      </c>
      <c r="D300" s="1560" t="s">
        <v>10887</v>
      </c>
      <c r="E300" s="1557" t="s">
        <v>10885</v>
      </c>
      <c r="F300" s="30"/>
      <c r="G300" s="1559" t="s">
        <v>10888</v>
      </c>
      <c r="H300" s="1485" t="s">
        <v>10884</v>
      </c>
      <c r="I300" s="1591" t="s">
        <v>11056</v>
      </c>
    </row>
    <row r="301" spans="1:10" ht="14.25" customHeight="1">
      <c r="A301" s="1"/>
      <c r="B301" s="1"/>
      <c r="C301" s="9">
        <v>45906</v>
      </c>
      <c r="D301" s="1590" t="s">
        <v>11055</v>
      </c>
      <c r="E301" s="1588" t="s">
        <v>10905</v>
      </c>
      <c r="F301" s="30"/>
      <c r="G301" s="1589" t="s">
        <v>1275</v>
      </c>
      <c r="H301" s="1485" t="s">
        <v>11054</v>
      </c>
      <c r="I301" s="1627" t="s">
        <v>11203</v>
      </c>
    </row>
    <row r="302" spans="1:10" ht="14.25" customHeight="1">
      <c r="A302" s="1"/>
      <c r="B302" s="1"/>
      <c r="C302" s="9">
        <v>45913</v>
      </c>
      <c r="D302" s="17"/>
      <c r="E302" s="1596" t="s">
        <v>7796</v>
      </c>
      <c r="F302" s="30"/>
      <c r="G302" s="1597" t="s">
        <v>2067</v>
      </c>
      <c r="H302" t="s">
        <v>11093</v>
      </c>
      <c r="I302" s="1625" t="s">
        <v>507</v>
      </c>
    </row>
    <row r="303" spans="1:10" ht="14.25" customHeight="1">
      <c r="A303" s="1"/>
      <c r="B303" s="1"/>
      <c r="C303" s="9">
        <v>45963</v>
      </c>
      <c r="D303" s="1638" t="s">
        <v>11228</v>
      </c>
      <c r="E303" s="1637" t="s">
        <v>11185</v>
      </c>
      <c r="F303" s="30"/>
      <c r="G303" s="1639" t="s">
        <v>1275</v>
      </c>
      <c r="H303" s="1485" t="s">
        <v>11227</v>
      </c>
      <c r="I303" s="1625" t="s">
        <v>507</v>
      </c>
    </row>
    <row r="304" spans="1:10" ht="14.25" customHeight="1">
      <c r="A304" s="1"/>
      <c r="B304" s="1"/>
      <c r="C304" s="9">
        <v>45963</v>
      </c>
      <c r="D304" s="1638" t="s">
        <v>9870</v>
      </c>
      <c r="E304" s="1637" t="s">
        <v>9869</v>
      </c>
      <c r="F304" s="30"/>
      <c r="G304" s="1639" t="s">
        <v>2067</v>
      </c>
      <c r="H304" s="1485" t="s">
        <v>11229</v>
      </c>
      <c r="I304" s="1659" t="s">
        <v>7888</v>
      </c>
    </row>
    <row r="305" spans="1:9" ht="14.25" customHeight="1">
      <c r="A305" s="1"/>
      <c r="B305" s="1"/>
      <c r="C305" s="9">
        <v>45965</v>
      </c>
      <c r="D305" s="1643" t="s">
        <v>11238</v>
      </c>
      <c r="E305" s="1642" t="s">
        <v>11237</v>
      </c>
      <c r="F305" s="30"/>
      <c r="G305" s="1641" t="s">
        <v>1275</v>
      </c>
      <c r="H305" s="1485" t="s">
        <v>11236</v>
      </c>
      <c r="I305" t="s">
        <v>507</v>
      </c>
    </row>
    <row r="306" spans="1:9" ht="14.25" customHeight="1">
      <c r="A306" s="1"/>
      <c r="B306" s="1"/>
      <c r="C306" s="9">
        <v>45980</v>
      </c>
      <c r="D306" s="17"/>
      <c r="E306" s="1647" t="s">
        <v>11233</v>
      </c>
      <c r="F306" s="1648" t="s">
        <v>5904</v>
      </c>
      <c r="G306" s="1648" t="s">
        <v>11259</v>
      </c>
      <c r="H306" s="1485" t="s">
        <v>11258</v>
      </c>
      <c r="I306" t="s">
        <v>507</v>
      </c>
    </row>
    <row r="307" spans="1:9" ht="14.25" customHeight="1">
      <c r="A307" s="1"/>
      <c r="B307" s="1"/>
      <c r="C307" s="9">
        <v>45985</v>
      </c>
      <c r="D307" s="1638" t="s">
        <v>9870</v>
      </c>
      <c r="E307" s="1637" t="s">
        <v>9869</v>
      </c>
      <c r="F307" s="30"/>
      <c r="G307" s="30"/>
      <c r="H307" s="1485" t="s">
        <v>11278</v>
      </c>
      <c r="I307" t="s">
        <v>158</v>
      </c>
    </row>
    <row r="308" spans="1:9" ht="14.25" customHeight="1">
      <c r="A308" s="1"/>
      <c r="B308" s="1"/>
      <c r="C308" s="9">
        <v>46001</v>
      </c>
      <c r="D308" s="1665" t="s">
        <v>11341</v>
      </c>
      <c r="E308" s="1664" t="s">
        <v>11342</v>
      </c>
      <c r="F308" s="30"/>
      <c r="G308" s="1666" t="s">
        <v>1869</v>
      </c>
      <c r="H308" s="1485" t="s">
        <v>11343</v>
      </c>
      <c r="I308" s="1676" t="s">
        <v>11388</v>
      </c>
    </row>
    <row r="309" spans="1:9" ht="14.25" customHeight="1">
      <c r="A309" s="1"/>
      <c r="B309" s="1"/>
      <c r="C309" s="9">
        <v>46018</v>
      </c>
      <c r="D309" s="573" t="s">
        <v>4973</v>
      </c>
      <c r="E309" s="1688" t="s">
        <v>2910</v>
      </c>
      <c r="F309" s="1690" t="s">
        <v>10749</v>
      </c>
      <c r="G309" s="1494" t="s">
        <v>7919</v>
      </c>
      <c r="H309" s="1485" t="s">
        <v>11460</v>
      </c>
      <c r="I309" t="s">
        <v>165</v>
      </c>
    </row>
    <row r="310" spans="1:9" ht="14.25" customHeight="1">
      <c r="A310" s="1"/>
      <c r="B310" s="1"/>
      <c r="C310" s="9">
        <v>46030</v>
      </c>
      <c r="D310" s="1707" t="s">
        <v>5433</v>
      </c>
      <c r="E310" s="1705" t="s">
        <v>2092</v>
      </c>
      <c r="F310" s="30"/>
      <c r="G310" s="1706" t="s">
        <v>1955</v>
      </c>
      <c r="H310" t="s">
        <v>11504</v>
      </c>
      <c r="I310" t="s">
        <v>2562</v>
      </c>
    </row>
    <row r="311" spans="1:9" ht="14.25" customHeight="1">
      <c r="A311" s="1"/>
      <c r="B311" s="1"/>
      <c r="C311" s="9">
        <v>46056</v>
      </c>
      <c r="D311" s="1743" t="s">
        <v>6567</v>
      </c>
      <c r="E311" s="1647" t="s">
        <v>11233</v>
      </c>
      <c r="F311" s="1648" t="s">
        <v>5904</v>
      </c>
      <c r="G311" s="1648" t="s">
        <v>11259</v>
      </c>
      <c r="H311" s="1485" t="s">
        <v>11603</v>
      </c>
    </row>
    <row r="312" spans="1:9" ht="14.25" customHeight="1">
      <c r="A312" s="1"/>
      <c r="B312" s="1"/>
      <c r="C312" s="9">
        <v>46032</v>
      </c>
      <c r="D312" s="1759" t="s">
        <v>11438</v>
      </c>
      <c r="E312" s="1758" t="s">
        <v>11435</v>
      </c>
      <c r="F312" s="30"/>
      <c r="G312" s="1757" t="s">
        <v>2067</v>
      </c>
      <c r="H312" s="1485" t="s">
        <v>11640</v>
      </c>
      <c r="I312" t="s">
        <v>4073</v>
      </c>
    </row>
    <row r="313" spans="1:9" ht="14.25" customHeight="1">
      <c r="A313" s="1"/>
      <c r="B313" s="1"/>
      <c r="C313" s="9">
        <v>46141</v>
      </c>
      <c r="D313" s="17"/>
      <c r="E313" s="1814" t="s">
        <v>11185</v>
      </c>
      <c r="F313" s="30"/>
      <c r="G313" s="1815" t="s">
        <v>1275</v>
      </c>
      <c r="H313" s="1485" t="s">
        <v>11765</v>
      </c>
      <c r="I313" t="s">
        <v>191</v>
      </c>
    </row>
    <row r="314" spans="1:9" ht="14.25" customHeight="1">
      <c r="A314" s="1"/>
      <c r="B314" s="1"/>
      <c r="C314" s="9">
        <v>46141</v>
      </c>
      <c r="D314" s="1816" t="s">
        <v>11238</v>
      </c>
      <c r="E314" s="1814" t="s">
        <v>11237</v>
      </c>
      <c r="F314" s="30"/>
      <c r="G314" s="1815" t="s">
        <v>1275</v>
      </c>
      <c r="H314" t="s">
        <v>11766</v>
      </c>
      <c r="I314" t="s">
        <v>4073</v>
      </c>
    </row>
    <row r="315" spans="1:9" ht="14.25" customHeight="1">
      <c r="A315" s="1"/>
      <c r="B315" s="1"/>
      <c r="C315" s="9">
        <v>46147</v>
      </c>
      <c r="D315" s="1823" t="s">
        <v>5433</v>
      </c>
      <c r="E315" s="1821" t="s">
        <v>2092</v>
      </c>
      <c r="F315" s="30"/>
      <c r="G315" s="1822" t="s">
        <v>1869</v>
      </c>
      <c r="H315" s="1485" t="s">
        <v>11778</v>
      </c>
      <c r="I315" t="s">
        <v>3882</v>
      </c>
    </row>
    <row r="316" spans="1:9" ht="14.25" customHeight="1">
      <c r="A316" s="1"/>
      <c r="B316" s="1"/>
      <c r="C316" s="9">
        <v>46155</v>
      </c>
      <c r="D316" s="17"/>
      <c r="E316" s="1832" t="s">
        <v>4659</v>
      </c>
      <c r="F316" s="30"/>
      <c r="G316" s="1822" t="s">
        <v>1869</v>
      </c>
      <c r="H316" s="1485" t="s">
        <v>11811</v>
      </c>
      <c r="I316" t="s">
        <v>3882</v>
      </c>
    </row>
    <row r="317" spans="1:9" ht="14.25" customHeight="1">
      <c r="A317" s="1"/>
      <c r="B317" s="1"/>
      <c r="C317" s="9">
        <v>46200</v>
      </c>
      <c r="D317" s="1901" t="s">
        <v>9870</v>
      </c>
      <c r="E317" s="1900" t="s">
        <v>9869</v>
      </c>
      <c r="F317" s="30"/>
      <c r="G317" s="1902" t="s">
        <v>2067</v>
      </c>
      <c r="H317" s="1485" t="s">
        <v>11926</v>
      </c>
      <c r="I317" s="95">
        <v>46231</v>
      </c>
    </row>
    <row r="318" spans="1:9" ht="14.25" customHeight="1">
      <c r="A318" s="1"/>
      <c r="B318" s="1"/>
      <c r="C318" s="9">
        <v>46233</v>
      </c>
      <c r="D318" s="17"/>
      <c r="E318" s="1832" t="s">
        <v>4659</v>
      </c>
      <c r="F318" s="30"/>
      <c r="G318" s="30"/>
      <c r="H318" s="2097" t="s">
        <v>12020</v>
      </c>
      <c r="I318" s="2091" t="s">
        <v>507</v>
      </c>
    </row>
    <row r="319" spans="1:9" ht="14.25" customHeight="1">
      <c r="A319" s="1"/>
      <c r="B319" s="1"/>
      <c r="C319" s="9">
        <v>46243</v>
      </c>
      <c r="D319" s="17"/>
      <c r="E319" s="1832" t="s">
        <v>4659</v>
      </c>
      <c r="F319" s="30"/>
      <c r="G319" s="30"/>
      <c r="H319" s="1485" t="s">
        <v>12054</v>
      </c>
      <c r="I319" s="95">
        <v>46252</v>
      </c>
    </row>
    <row r="320" spans="1:9" ht="14.25" customHeight="1">
      <c r="A320" s="1"/>
      <c r="B320" s="1"/>
      <c r="C320" s="9">
        <v>46268</v>
      </c>
      <c r="D320" s="2094" t="s">
        <v>12062</v>
      </c>
      <c r="E320" s="2092" t="s">
        <v>8983</v>
      </c>
      <c r="F320" s="30"/>
      <c r="G320" s="2093" t="s">
        <v>1955</v>
      </c>
      <c r="H320" s="1485" t="s">
        <v>12119</v>
      </c>
      <c r="I320" s="2158">
        <v>46295</v>
      </c>
    </row>
    <row r="321" spans="1:9" ht="14.25" customHeight="1">
      <c r="A321" s="1"/>
      <c r="B321" s="1"/>
      <c r="C321" s="9">
        <v>46273</v>
      </c>
      <c r="D321" s="1743" t="s">
        <v>6567</v>
      </c>
      <c r="E321" s="2116" t="s">
        <v>11233</v>
      </c>
      <c r="F321" s="30"/>
      <c r="G321" s="2117" t="s">
        <v>11259</v>
      </c>
      <c r="H321" s="2131" t="s">
        <v>12133</v>
      </c>
      <c r="I321" s="2144" t="s">
        <v>4073</v>
      </c>
    </row>
    <row r="322" spans="1:9" ht="14.25" customHeight="1">
      <c r="A322" s="1"/>
      <c r="B322" s="1"/>
      <c r="C322" s="9">
        <v>46283</v>
      </c>
      <c r="D322" s="2132" t="s">
        <v>3011</v>
      </c>
      <c r="E322" s="2128" t="s">
        <v>12147</v>
      </c>
      <c r="F322" s="30"/>
      <c r="G322" s="2133" t="s">
        <v>5878</v>
      </c>
      <c r="H322" s="1485" t="s">
        <v>12156</v>
      </c>
      <c r="I322" s="2144" t="s">
        <v>158</v>
      </c>
    </row>
    <row r="323" spans="1:9" ht="14.25" customHeight="1">
      <c r="A323" s="1"/>
      <c r="B323" s="1"/>
      <c r="C323" s="9">
        <v>46253</v>
      </c>
      <c r="D323" s="1743" t="s">
        <v>6567</v>
      </c>
      <c r="E323" s="2116" t="s">
        <v>11233</v>
      </c>
      <c r="F323" s="30"/>
      <c r="G323" s="2117" t="s">
        <v>11259</v>
      </c>
      <c r="H323" s="1485" t="s">
        <v>12161</v>
      </c>
      <c r="I323" s="2144" t="s">
        <v>3882</v>
      </c>
    </row>
    <row r="324" spans="1:9" ht="14.25" customHeight="1">
      <c r="A324" s="1"/>
      <c r="B324" s="1"/>
      <c r="C324" s="9">
        <v>46287</v>
      </c>
      <c r="D324" s="1743" t="s">
        <v>6567</v>
      </c>
      <c r="E324" s="2116" t="s">
        <v>11233</v>
      </c>
      <c r="F324" s="30"/>
      <c r="G324" s="2117" t="s">
        <v>11259</v>
      </c>
      <c r="H324" s="1485" t="s">
        <v>12179</v>
      </c>
      <c r="I324" s="2147" t="s">
        <v>8449</v>
      </c>
    </row>
    <row r="325" spans="1:9" ht="14.25" customHeight="1">
      <c r="A325" s="1"/>
      <c r="B325" s="1"/>
      <c r="C325" s="9">
        <v>46295</v>
      </c>
      <c r="D325" s="2094" t="s">
        <v>12062</v>
      </c>
      <c r="E325" s="2092" t="s">
        <v>8983</v>
      </c>
      <c r="F325" s="30"/>
      <c r="G325" s="2093" t="s">
        <v>1955</v>
      </c>
      <c r="H325" s="1485" t="s">
        <v>12222</v>
      </c>
    </row>
    <row r="326" spans="1:9" ht="14.25" customHeight="1">
      <c r="A326" s="1"/>
      <c r="B326" s="1"/>
      <c r="C326" s="1"/>
      <c r="D326" s="17"/>
      <c r="F326" s="30"/>
      <c r="G326" s="30"/>
    </row>
    <row r="327" spans="1:9" ht="14.25" customHeight="1">
      <c r="A327" s="1"/>
      <c r="B327" s="1"/>
      <c r="C327" s="1"/>
      <c r="D327" s="17"/>
      <c r="F327" s="30"/>
      <c r="G327" s="30"/>
    </row>
    <row r="328" spans="1:9" ht="14.25" customHeight="1">
      <c r="A328" s="1"/>
      <c r="B328" s="1"/>
      <c r="C328" s="1"/>
      <c r="D328" s="17"/>
      <c r="F328" s="30"/>
      <c r="G328" s="30"/>
    </row>
    <row r="329" spans="1:9" ht="14.25" customHeight="1">
      <c r="A329" s="1"/>
      <c r="B329" s="1"/>
      <c r="C329" s="1"/>
      <c r="D329" s="17"/>
      <c r="F329" s="30"/>
      <c r="G329" s="30"/>
    </row>
    <row r="330" spans="1:9" ht="14.25" customHeight="1">
      <c r="A330" s="1"/>
      <c r="B330" s="1"/>
      <c r="C330" s="1"/>
      <c r="D330" s="17"/>
      <c r="F330" s="30"/>
      <c r="G330" s="30"/>
    </row>
    <row r="331" spans="1:9" ht="14.25" customHeight="1">
      <c r="A331" s="1"/>
      <c r="B331" s="1"/>
      <c r="C331" s="1"/>
      <c r="D331" s="17"/>
      <c r="F331" s="30"/>
      <c r="G331" s="30"/>
    </row>
    <row r="332" spans="1:9" ht="14.25" customHeight="1">
      <c r="A332" s="1"/>
      <c r="B332" s="1"/>
      <c r="C332" s="1"/>
      <c r="D332" s="17"/>
      <c r="F332" s="30"/>
      <c r="G332" s="30"/>
    </row>
    <row r="333" spans="1:9" ht="14.25" customHeight="1">
      <c r="A333" s="1"/>
      <c r="B333" s="1"/>
      <c r="C333" s="1"/>
      <c r="D333" s="17"/>
      <c r="F333" s="30"/>
      <c r="G333" s="30"/>
    </row>
    <row r="334" spans="1:9" ht="14.25" customHeight="1">
      <c r="A334" s="1"/>
      <c r="B334" s="1"/>
      <c r="C334" s="1"/>
      <c r="D334" s="17"/>
      <c r="F334" s="30"/>
      <c r="G334" s="30"/>
    </row>
    <row r="335" spans="1:9" ht="14.25" customHeight="1">
      <c r="A335" s="1"/>
      <c r="B335" s="1"/>
      <c r="C335" s="1"/>
      <c r="D335" s="17"/>
      <c r="F335" s="30"/>
      <c r="G335" s="30"/>
    </row>
    <row r="336" spans="1:9" ht="14.25" customHeight="1">
      <c r="A336" s="1"/>
      <c r="B336" s="1"/>
      <c r="C336" s="1"/>
      <c r="D336" s="17"/>
      <c r="F336" s="30"/>
      <c r="G336" s="30"/>
    </row>
    <row r="337" spans="1:7" ht="14.25" customHeight="1">
      <c r="A337" s="1"/>
      <c r="B337" s="1"/>
      <c r="C337" s="1"/>
      <c r="D337" s="17"/>
      <c r="F337" s="30"/>
      <c r="G337" s="30"/>
    </row>
    <row r="338" spans="1:7" ht="14.25" customHeight="1">
      <c r="A338" s="1"/>
      <c r="B338" s="1"/>
      <c r="C338" s="1"/>
      <c r="D338" s="17"/>
      <c r="F338" s="30"/>
      <c r="G338" s="30"/>
    </row>
    <row r="339" spans="1:7" ht="14.25" customHeight="1">
      <c r="A339" s="1"/>
      <c r="B339" s="1"/>
      <c r="C339" s="1"/>
      <c r="D339" s="17"/>
      <c r="F339" s="30"/>
      <c r="G339" s="30"/>
    </row>
    <row r="340" spans="1:7" ht="14.25" customHeight="1">
      <c r="A340" s="1"/>
      <c r="B340" s="1"/>
      <c r="C340" s="1"/>
      <c r="D340" s="17"/>
      <c r="F340" s="30"/>
      <c r="G340" s="30"/>
    </row>
    <row r="341" spans="1:7" ht="14.25" customHeight="1">
      <c r="A341" s="1"/>
      <c r="B341" s="1"/>
      <c r="C341" s="1"/>
      <c r="D341" s="17"/>
      <c r="F341" s="30"/>
      <c r="G341" s="30"/>
    </row>
    <row r="342" spans="1:7" ht="14.25" customHeight="1">
      <c r="A342" s="1"/>
      <c r="B342" s="1"/>
      <c r="C342" s="1"/>
      <c r="D342" s="17"/>
      <c r="F342" s="30"/>
      <c r="G342" s="30"/>
    </row>
    <row r="343" spans="1:7" ht="14.25" customHeight="1">
      <c r="A343" s="1"/>
      <c r="B343" s="1"/>
      <c r="C343" s="1"/>
      <c r="D343" s="17"/>
      <c r="F343" s="30"/>
      <c r="G343" s="30"/>
    </row>
    <row r="344" spans="1:7" ht="14.25" customHeight="1">
      <c r="A344" s="1"/>
      <c r="B344" s="1"/>
      <c r="C344" s="1"/>
      <c r="D344" s="17"/>
      <c r="F344" s="30"/>
      <c r="G344" s="30"/>
    </row>
    <row r="345" spans="1:7" ht="14.25" customHeight="1">
      <c r="A345" s="1"/>
      <c r="B345" s="1"/>
      <c r="C345" s="1"/>
      <c r="D345" s="17"/>
      <c r="F345" s="30"/>
      <c r="G345" s="30"/>
    </row>
    <row r="346" spans="1:7" ht="14.25" customHeight="1">
      <c r="A346" s="1"/>
      <c r="B346" s="1"/>
      <c r="C346" s="1"/>
      <c r="D346" s="17"/>
      <c r="F346" s="30"/>
      <c r="G346" s="30"/>
    </row>
    <row r="347" spans="1:7" ht="14.25" customHeight="1">
      <c r="A347" s="1"/>
      <c r="B347" s="1"/>
      <c r="C347" s="1"/>
      <c r="D347" s="17"/>
      <c r="F347" s="30"/>
      <c r="G347" s="30"/>
    </row>
    <row r="348" spans="1:7" ht="14.25" customHeight="1">
      <c r="A348" s="1"/>
      <c r="B348" s="1"/>
      <c r="C348" s="1"/>
      <c r="D348" s="17"/>
      <c r="F348" s="30"/>
      <c r="G348" s="30"/>
    </row>
    <row r="349" spans="1:7" ht="14.25" customHeight="1">
      <c r="A349" s="1"/>
      <c r="B349" s="1"/>
      <c r="C349" s="1"/>
      <c r="D349" s="17"/>
      <c r="F349" s="30"/>
      <c r="G349" s="30"/>
    </row>
    <row r="350" spans="1:7" ht="14.25" customHeight="1">
      <c r="A350" s="1"/>
      <c r="B350" s="1"/>
      <c r="C350" s="1"/>
      <c r="D350" s="17"/>
      <c r="F350" s="30"/>
      <c r="G350" s="30"/>
    </row>
    <row r="351" spans="1:7" ht="14.25" customHeight="1">
      <c r="A351" s="1"/>
      <c r="B351" s="1"/>
      <c r="C351" s="1"/>
      <c r="D351" s="17"/>
      <c r="F351" s="30"/>
      <c r="G351" s="30"/>
    </row>
    <row r="352" spans="1:7" ht="14.25" customHeight="1">
      <c r="A352" s="1"/>
      <c r="B352" s="1"/>
      <c r="C352" s="1"/>
      <c r="D352" s="17"/>
      <c r="F352" s="30"/>
      <c r="G352" s="30"/>
    </row>
    <row r="353" spans="1:7" ht="14.25" customHeight="1">
      <c r="A353" s="1"/>
      <c r="B353" s="1"/>
      <c r="C353" s="1"/>
      <c r="D353" s="17"/>
      <c r="F353" s="30"/>
      <c r="G353" s="30"/>
    </row>
    <row r="354" spans="1:7" ht="14.25" customHeight="1">
      <c r="A354" s="1"/>
      <c r="B354" s="1"/>
      <c r="C354" s="1"/>
      <c r="D354" s="17"/>
      <c r="F354" s="30"/>
      <c r="G354" s="30"/>
    </row>
    <row r="355" spans="1:7" ht="14.25" customHeight="1">
      <c r="A355" s="1"/>
      <c r="B355" s="1"/>
      <c r="C355" s="1"/>
      <c r="D355" s="17"/>
      <c r="F355" s="30"/>
      <c r="G355" s="30"/>
    </row>
    <row r="356" spans="1:7" ht="14.25" customHeight="1">
      <c r="A356" s="1"/>
      <c r="B356" s="1"/>
      <c r="C356" s="1"/>
      <c r="D356" s="17"/>
      <c r="F356" s="30"/>
      <c r="G356" s="30"/>
    </row>
    <row r="357" spans="1:7" ht="14.25" customHeight="1">
      <c r="A357" s="1"/>
      <c r="B357" s="1"/>
      <c r="C357" s="1"/>
      <c r="D357" s="17"/>
      <c r="F357" s="30"/>
      <c r="G357" s="30"/>
    </row>
    <row r="358" spans="1:7" ht="14.25" customHeight="1">
      <c r="A358" s="1"/>
      <c r="B358" s="1"/>
      <c r="C358" s="1"/>
      <c r="D358" s="17"/>
      <c r="F358" s="30"/>
      <c r="G358" s="30"/>
    </row>
    <row r="359" spans="1:7" ht="14.25" customHeight="1">
      <c r="A359" s="1"/>
      <c r="B359" s="1"/>
      <c r="C359" s="1"/>
      <c r="D359" s="17"/>
      <c r="F359" s="30"/>
      <c r="G359" s="30"/>
    </row>
    <row r="360" spans="1:7" ht="14.25" customHeight="1">
      <c r="A360" s="1"/>
      <c r="B360" s="1"/>
      <c r="C360" s="1"/>
      <c r="D360" s="17"/>
      <c r="F360" s="30"/>
      <c r="G360" s="30"/>
    </row>
    <row r="361" spans="1:7" ht="14.25" customHeight="1">
      <c r="A361" s="1"/>
      <c r="B361" s="1"/>
      <c r="C361" s="1"/>
      <c r="D361" s="17"/>
      <c r="F361" s="30"/>
      <c r="G361" s="30"/>
    </row>
    <row r="362" spans="1:7" ht="14.25" customHeight="1">
      <c r="A362" s="1"/>
      <c r="B362" s="1"/>
      <c r="C362" s="1"/>
      <c r="D362" s="17"/>
      <c r="F362" s="30"/>
      <c r="G362" s="30"/>
    </row>
    <row r="363" spans="1:7" ht="14.25" customHeight="1">
      <c r="A363" s="1"/>
      <c r="B363" s="1"/>
      <c r="C363" s="1"/>
      <c r="D363" s="17"/>
      <c r="F363" s="30"/>
      <c r="G363" s="30"/>
    </row>
    <row r="364" spans="1:7" ht="14.25" customHeight="1">
      <c r="A364" s="1"/>
      <c r="B364" s="1"/>
      <c r="C364" s="1"/>
      <c r="D364" s="17"/>
      <c r="F364" s="30"/>
      <c r="G364" s="30"/>
    </row>
    <row r="365" spans="1:7" ht="14.25" customHeight="1">
      <c r="A365" s="1"/>
      <c r="B365" s="1"/>
      <c r="C365" s="1"/>
      <c r="D365" s="17"/>
      <c r="F365" s="30"/>
      <c r="G365" s="30"/>
    </row>
    <row r="366" spans="1:7" ht="14.25" customHeight="1">
      <c r="A366" s="1"/>
      <c r="B366" s="1"/>
      <c r="C366" s="1"/>
      <c r="D366" s="17"/>
      <c r="F366" s="30"/>
      <c r="G366" s="30"/>
    </row>
    <row r="367" spans="1:7" ht="14.25" customHeight="1">
      <c r="A367" s="1"/>
      <c r="B367" s="1"/>
      <c r="C367" s="1"/>
      <c r="D367" s="17"/>
      <c r="F367" s="30"/>
      <c r="G367" s="30"/>
    </row>
    <row r="368" spans="1:7" ht="14.25" customHeight="1">
      <c r="A368" s="1"/>
      <c r="B368" s="1"/>
      <c r="C368" s="1"/>
      <c r="D368" s="17"/>
      <c r="F368" s="30"/>
      <c r="G368" s="30"/>
    </row>
    <row r="369" spans="1:7" ht="14.25" customHeight="1">
      <c r="A369" s="1"/>
      <c r="B369" s="1"/>
      <c r="C369" s="1"/>
      <c r="D369" s="17"/>
      <c r="F369" s="30"/>
      <c r="G369" s="30"/>
    </row>
    <row r="370" spans="1:7" ht="14.25" customHeight="1">
      <c r="A370" s="1"/>
      <c r="B370" s="1"/>
      <c r="C370" s="1"/>
      <c r="D370" s="17"/>
      <c r="F370" s="30"/>
      <c r="G370" s="30"/>
    </row>
    <row r="371" spans="1:7" ht="14.25" customHeight="1">
      <c r="A371" s="1"/>
      <c r="B371" s="1"/>
      <c r="C371" s="1"/>
      <c r="D371" s="17"/>
      <c r="F371" s="30"/>
      <c r="G371" s="30"/>
    </row>
    <row r="372" spans="1:7" ht="14.25" customHeight="1">
      <c r="A372" s="1"/>
      <c r="B372" s="1"/>
      <c r="C372" s="1"/>
      <c r="D372" s="17"/>
      <c r="F372" s="30"/>
      <c r="G372" s="30"/>
    </row>
    <row r="373" spans="1:7" ht="14.25" customHeight="1">
      <c r="A373" s="1"/>
      <c r="B373" s="1"/>
      <c r="C373" s="1"/>
      <c r="D373" s="17"/>
      <c r="F373" s="30"/>
      <c r="G373" s="30"/>
    </row>
    <row r="374" spans="1:7" ht="14.25" customHeight="1">
      <c r="A374" s="1"/>
      <c r="B374" s="1"/>
      <c r="C374" s="1"/>
      <c r="D374" s="17"/>
      <c r="F374" s="30"/>
      <c r="G374" s="30"/>
    </row>
    <row r="375" spans="1:7" ht="14.25" customHeight="1">
      <c r="A375" s="1"/>
      <c r="B375" s="1"/>
      <c r="C375" s="1"/>
      <c r="D375" s="17"/>
      <c r="F375" s="30"/>
      <c r="G375" s="30"/>
    </row>
    <row r="376" spans="1:7" ht="14.25" customHeight="1">
      <c r="A376" s="1"/>
      <c r="B376" s="1"/>
      <c r="C376" s="1"/>
      <c r="D376" s="17"/>
      <c r="F376" s="30"/>
      <c r="G376" s="30"/>
    </row>
    <row r="377" spans="1:7" ht="14.25" customHeight="1">
      <c r="A377" s="1"/>
      <c r="B377" s="1"/>
      <c r="C377" s="1"/>
      <c r="D377" s="17"/>
      <c r="F377" s="30"/>
      <c r="G377" s="30"/>
    </row>
    <row r="378" spans="1:7" ht="14.25" customHeight="1">
      <c r="A378" s="1"/>
      <c r="B378" s="1"/>
      <c r="C378" s="1"/>
      <c r="D378" s="17"/>
      <c r="F378" s="30"/>
      <c r="G378" s="30"/>
    </row>
    <row r="379" spans="1:7" ht="14.25" customHeight="1">
      <c r="A379" s="1"/>
      <c r="B379" s="1"/>
      <c r="C379" s="1"/>
      <c r="D379" s="17"/>
      <c r="F379" s="30"/>
      <c r="G379" s="30"/>
    </row>
    <row r="380" spans="1:7" ht="14.25" customHeight="1">
      <c r="A380" s="1"/>
      <c r="B380" s="1"/>
      <c r="C380" s="1"/>
      <c r="D380" s="17"/>
      <c r="F380" s="30"/>
      <c r="G380" s="30"/>
    </row>
    <row r="381" spans="1:7" ht="14.25" customHeight="1">
      <c r="A381" s="1"/>
      <c r="B381" s="1"/>
      <c r="C381" s="1"/>
      <c r="D381" s="17"/>
      <c r="F381" s="30"/>
      <c r="G381" s="30"/>
    </row>
    <row r="382" spans="1:7" ht="14.25" customHeight="1">
      <c r="A382" s="1"/>
      <c r="B382" s="1"/>
      <c r="C382" s="1"/>
      <c r="D382" s="17"/>
      <c r="F382" s="30"/>
      <c r="G382" s="30"/>
    </row>
    <row r="383" spans="1:7" ht="14.25" customHeight="1">
      <c r="A383" s="1"/>
      <c r="B383" s="1"/>
      <c r="C383" s="1"/>
      <c r="D383" s="17"/>
      <c r="F383" s="30"/>
      <c r="G383" s="30"/>
    </row>
    <row r="384" spans="1:7" ht="14.25" customHeight="1">
      <c r="A384" s="1"/>
      <c r="B384" s="1"/>
      <c r="C384" s="1"/>
      <c r="D384" s="17"/>
      <c r="F384" s="30"/>
      <c r="G384" s="30"/>
    </row>
    <row r="385" spans="1:7" ht="14.25" customHeight="1">
      <c r="A385" s="1"/>
      <c r="B385" s="1"/>
      <c r="C385" s="1"/>
      <c r="D385" s="17"/>
      <c r="F385" s="30"/>
      <c r="G385" s="30"/>
    </row>
    <row r="386" spans="1:7" ht="14.25" customHeight="1">
      <c r="A386" s="1"/>
      <c r="B386" s="1"/>
      <c r="C386" s="1"/>
      <c r="D386" s="17"/>
      <c r="F386" s="30"/>
      <c r="G386" s="30"/>
    </row>
    <row r="387" spans="1:7" ht="14.25" customHeight="1">
      <c r="A387" s="1"/>
      <c r="B387" s="1"/>
      <c r="C387" s="1"/>
      <c r="D387" s="17"/>
      <c r="F387" s="30"/>
      <c r="G387" s="30"/>
    </row>
    <row r="388" spans="1:7" ht="14.25" customHeight="1">
      <c r="A388" s="1"/>
      <c r="B388" s="1"/>
      <c r="C388" s="1"/>
      <c r="D388" s="17"/>
      <c r="F388" s="30"/>
      <c r="G388" s="30"/>
    </row>
    <row r="389" spans="1:7" ht="14.25" customHeight="1">
      <c r="A389" s="1"/>
      <c r="B389" s="1"/>
      <c r="C389" s="1"/>
      <c r="D389" s="17"/>
      <c r="F389" s="30"/>
      <c r="G389" s="30"/>
    </row>
    <row r="390" spans="1:7" ht="14.25" customHeight="1">
      <c r="A390" s="1"/>
      <c r="B390" s="1"/>
      <c r="C390" s="1"/>
      <c r="D390" s="17"/>
      <c r="F390" s="30"/>
      <c r="G390" s="30"/>
    </row>
    <row r="391" spans="1:7" ht="14.25" customHeight="1">
      <c r="A391" s="1"/>
      <c r="B391" s="1"/>
      <c r="C391" s="1"/>
      <c r="D391" s="17"/>
      <c r="F391" s="30"/>
      <c r="G391" s="30"/>
    </row>
    <row r="392" spans="1:7" ht="14.25" customHeight="1">
      <c r="A392" s="1"/>
      <c r="B392" s="1"/>
      <c r="C392" s="1"/>
      <c r="D392" s="17"/>
      <c r="F392" s="30"/>
      <c r="G392" s="30"/>
    </row>
    <row r="393" spans="1:7" ht="14.25" customHeight="1">
      <c r="A393" s="1"/>
      <c r="B393" s="1"/>
      <c r="C393" s="1"/>
      <c r="D393" s="17"/>
      <c r="F393" s="30"/>
      <c r="G393" s="30"/>
    </row>
    <row r="394" spans="1:7" ht="14.25" customHeight="1">
      <c r="A394" s="1"/>
      <c r="B394" s="1"/>
      <c r="C394" s="1"/>
      <c r="D394" s="17"/>
      <c r="F394" s="30"/>
      <c r="G394" s="30"/>
    </row>
    <row r="395" spans="1:7" ht="14.25" customHeight="1">
      <c r="A395" s="1"/>
      <c r="B395" s="1"/>
      <c r="C395" s="1"/>
      <c r="D395" s="17"/>
      <c r="F395" s="30"/>
      <c r="G395" s="30"/>
    </row>
    <row r="396" spans="1:7" ht="14.25" customHeight="1">
      <c r="A396" s="1"/>
      <c r="B396" s="1"/>
      <c r="C396" s="1"/>
      <c r="D396" s="17"/>
      <c r="F396" s="30"/>
      <c r="G396" s="30"/>
    </row>
    <row r="397" spans="1:7" ht="14.25" customHeight="1">
      <c r="A397" s="1"/>
      <c r="B397" s="1"/>
      <c r="C397" s="1"/>
      <c r="D397" s="17"/>
      <c r="F397" s="30"/>
      <c r="G397" s="30"/>
    </row>
    <row r="398" spans="1:7" ht="14.25" customHeight="1">
      <c r="A398" s="1"/>
      <c r="B398" s="1"/>
      <c r="C398" s="1"/>
      <c r="D398" s="17"/>
      <c r="F398" s="30"/>
      <c r="G398" s="30"/>
    </row>
    <row r="399" spans="1:7" ht="14.25" customHeight="1">
      <c r="A399" s="1"/>
      <c r="B399" s="1"/>
      <c r="C399" s="1"/>
      <c r="D399" s="17"/>
      <c r="F399" s="30"/>
      <c r="G399" s="30"/>
    </row>
    <row r="400" spans="1:7" ht="14.25" customHeight="1">
      <c r="A400" s="1"/>
      <c r="B400" s="1"/>
      <c r="C400" s="1"/>
      <c r="D400" s="17"/>
      <c r="F400" s="30"/>
      <c r="G400" s="30"/>
    </row>
    <row r="401" spans="1:7" ht="14.25" customHeight="1">
      <c r="A401" s="1"/>
      <c r="B401" s="1"/>
      <c r="C401" s="1"/>
      <c r="D401" s="17"/>
      <c r="F401" s="30"/>
      <c r="G401" s="30"/>
    </row>
    <row r="402" spans="1:7" ht="14.25" customHeight="1">
      <c r="A402" s="1"/>
      <c r="B402" s="1"/>
      <c r="C402" s="1"/>
      <c r="D402" s="17"/>
      <c r="F402" s="30"/>
      <c r="G402" s="30"/>
    </row>
    <row r="403" spans="1:7" ht="14.25" customHeight="1">
      <c r="A403" s="1"/>
      <c r="B403" s="1"/>
      <c r="C403" s="1"/>
      <c r="D403" s="17"/>
      <c r="F403" s="30"/>
      <c r="G403" s="30"/>
    </row>
    <row r="404" spans="1:7" ht="14.25" customHeight="1">
      <c r="A404" s="1"/>
      <c r="B404" s="1"/>
      <c r="C404" s="1"/>
      <c r="D404" s="17"/>
      <c r="F404" s="30"/>
      <c r="G404" s="30"/>
    </row>
    <row r="405" spans="1:7" ht="14.25" customHeight="1">
      <c r="A405" s="1"/>
      <c r="B405" s="1"/>
      <c r="C405" s="1"/>
      <c r="D405" s="17"/>
      <c r="F405" s="30"/>
      <c r="G405" s="30"/>
    </row>
    <row r="406" spans="1:7" ht="14.25" customHeight="1">
      <c r="A406" s="1"/>
      <c r="B406" s="1"/>
      <c r="C406" s="1"/>
      <c r="D406" s="17"/>
      <c r="F406" s="30"/>
      <c r="G406" s="30"/>
    </row>
    <row r="407" spans="1:7" ht="14.25" customHeight="1">
      <c r="A407" s="1"/>
      <c r="B407" s="1"/>
      <c r="C407" s="1"/>
      <c r="D407" s="17"/>
      <c r="F407" s="30"/>
      <c r="G407" s="30"/>
    </row>
    <row r="408" spans="1:7" ht="14.25" customHeight="1">
      <c r="A408" s="1"/>
      <c r="B408" s="1"/>
      <c r="C408" s="1"/>
      <c r="D408" s="17"/>
      <c r="F408" s="30"/>
      <c r="G408" s="30"/>
    </row>
    <row r="409" spans="1:7" ht="14.25" customHeight="1">
      <c r="A409" s="1"/>
      <c r="B409" s="1"/>
      <c r="C409" s="1"/>
      <c r="D409" s="17"/>
      <c r="F409" s="30"/>
      <c r="G409" s="30"/>
    </row>
    <row r="410" spans="1:7" ht="14.25" customHeight="1">
      <c r="A410" s="1"/>
      <c r="B410" s="1"/>
      <c r="C410" s="1"/>
      <c r="D410" s="17"/>
      <c r="F410" s="30"/>
      <c r="G410" s="30"/>
    </row>
    <row r="411" spans="1:7" ht="14.25" customHeight="1">
      <c r="A411" s="1"/>
      <c r="B411" s="1"/>
      <c r="C411" s="1"/>
      <c r="D411" s="17"/>
      <c r="F411" s="30"/>
      <c r="G411" s="30"/>
    </row>
    <row r="412" spans="1:7" ht="14.25" customHeight="1">
      <c r="A412" s="1"/>
      <c r="B412" s="1"/>
      <c r="C412" s="1"/>
      <c r="D412" s="17"/>
      <c r="F412" s="30"/>
      <c r="G412" s="30"/>
    </row>
    <row r="413" spans="1:7" ht="14.25" customHeight="1">
      <c r="A413" s="1"/>
      <c r="B413" s="1"/>
      <c r="C413" s="1"/>
      <c r="D413" s="17"/>
      <c r="F413" s="30"/>
      <c r="G413" s="30"/>
    </row>
    <row r="414" spans="1:7" ht="14.25" customHeight="1">
      <c r="A414" s="1"/>
      <c r="B414" s="1"/>
      <c r="C414" s="1"/>
      <c r="D414" s="17"/>
      <c r="F414" s="30"/>
      <c r="G414" s="30"/>
    </row>
    <row r="415" spans="1:7" ht="14.25" customHeight="1">
      <c r="A415" s="1"/>
      <c r="B415" s="1"/>
      <c r="C415" s="1"/>
      <c r="D415" s="17"/>
      <c r="F415" s="30"/>
      <c r="G415" s="30"/>
    </row>
    <row r="416" spans="1:7" ht="14.25" customHeight="1">
      <c r="A416" s="1"/>
      <c r="B416" s="1"/>
      <c r="C416" s="1"/>
      <c r="D416" s="17"/>
      <c r="F416" s="30"/>
      <c r="G416" s="30"/>
    </row>
    <row r="417" spans="1:7" ht="14.25" customHeight="1">
      <c r="A417" s="1"/>
      <c r="B417" s="1"/>
      <c r="C417" s="1"/>
      <c r="D417" s="17"/>
      <c r="F417" s="30"/>
      <c r="G417" s="30"/>
    </row>
    <row r="418" spans="1:7" ht="14.25" customHeight="1">
      <c r="A418" s="1"/>
      <c r="B418" s="1"/>
      <c r="C418" s="1"/>
      <c r="D418" s="17"/>
      <c r="F418" s="30"/>
      <c r="G418" s="30"/>
    </row>
    <row r="419" spans="1:7" ht="14.25" customHeight="1">
      <c r="A419" s="1"/>
      <c r="B419" s="1"/>
      <c r="C419" s="1"/>
      <c r="D419" s="17"/>
      <c r="F419" s="30"/>
      <c r="G419" s="30"/>
    </row>
    <row r="420" spans="1:7" ht="14.25" customHeight="1">
      <c r="A420" s="1"/>
      <c r="B420" s="1"/>
      <c r="C420" s="1"/>
      <c r="D420" s="17"/>
      <c r="F420" s="30"/>
      <c r="G420" s="30"/>
    </row>
    <row r="421" spans="1:7" ht="14.25" customHeight="1">
      <c r="A421" s="1"/>
      <c r="B421" s="1"/>
      <c r="C421" s="1"/>
      <c r="D421" s="17"/>
      <c r="F421" s="30"/>
      <c r="G421" s="30"/>
    </row>
    <row r="422" spans="1:7" ht="14.25" customHeight="1">
      <c r="A422" s="1"/>
      <c r="B422" s="1"/>
      <c r="C422" s="1"/>
      <c r="D422" s="17"/>
      <c r="F422" s="30"/>
      <c r="G422" s="30"/>
    </row>
    <row r="423" spans="1:7" ht="14.25" customHeight="1">
      <c r="A423" s="1"/>
      <c r="B423" s="1"/>
      <c r="C423" s="1"/>
      <c r="D423" s="17"/>
      <c r="F423" s="30"/>
      <c r="G423" s="30"/>
    </row>
    <row r="424" spans="1:7" ht="14.25" customHeight="1">
      <c r="A424" s="1"/>
      <c r="B424" s="1"/>
      <c r="C424" s="1"/>
      <c r="D424" s="17"/>
      <c r="F424" s="30"/>
      <c r="G424" s="30"/>
    </row>
    <row r="425" spans="1:7" ht="14.25" customHeight="1">
      <c r="A425" s="1"/>
      <c r="B425" s="1"/>
      <c r="C425" s="1"/>
      <c r="D425" s="17"/>
      <c r="F425" s="30"/>
      <c r="G425" s="30"/>
    </row>
    <row r="426" spans="1:7" ht="14.25" customHeight="1">
      <c r="A426" s="1"/>
      <c r="B426" s="1"/>
      <c r="C426" s="1"/>
      <c r="D426" s="17"/>
      <c r="F426" s="30"/>
      <c r="G426" s="30"/>
    </row>
    <row r="427" spans="1:7" ht="14.25" customHeight="1">
      <c r="A427" s="1"/>
      <c r="B427" s="1"/>
      <c r="C427" s="1"/>
      <c r="D427" s="17"/>
      <c r="F427" s="30"/>
      <c r="G427" s="30"/>
    </row>
    <row r="428" spans="1:7" ht="14.25" customHeight="1">
      <c r="A428" s="1"/>
      <c r="B428" s="1"/>
      <c r="C428" s="1"/>
      <c r="D428" s="17"/>
      <c r="F428" s="30"/>
      <c r="G428" s="30"/>
    </row>
    <row r="429" spans="1:7" ht="14.25" customHeight="1">
      <c r="A429" s="1"/>
      <c r="B429" s="1"/>
      <c r="C429" s="1"/>
      <c r="D429" s="17"/>
      <c r="F429" s="30"/>
      <c r="G429" s="30"/>
    </row>
    <row r="430" spans="1:7" ht="14.25" customHeight="1">
      <c r="A430" s="1"/>
      <c r="B430" s="1"/>
      <c r="C430" s="1"/>
      <c r="D430" s="17"/>
      <c r="F430" s="30"/>
      <c r="G430" s="30"/>
    </row>
    <row r="431" spans="1:7" ht="14.25" customHeight="1">
      <c r="A431" s="1"/>
      <c r="B431" s="1"/>
      <c r="C431" s="1"/>
      <c r="D431" s="17"/>
      <c r="F431" s="30"/>
      <c r="G431" s="30"/>
    </row>
    <row r="432" spans="1:7" ht="14.25" customHeight="1">
      <c r="A432" s="1"/>
      <c r="B432" s="1"/>
      <c r="C432" s="1"/>
      <c r="D432" s="17"/>
      <c r="F432" s="30"/>
      <c r="G432" s="30"/>
    </row>
    <row r="433" spans="1:7" ht="14.25" customHeight="1">
      <c r="A433" s="1"/>
      <c r="B433" s="1"/>
      <c r="C433" s="1"/>
      <c r="D433" s="17"/>
      <c r="F433" s="30"/>
      <c r="G433" s="30"/>
    </row>
    <row r="434" spans="1:7" ht="14.25" customHeight="1">
      <c r="A434" s="1"/>
      <c r="B434" s="1"/>
      <c r="C434" s="1"/>
      <c r="D434" s="17"/>
      <c r="F434" s="30"/>
      <c r="G434" s="30"/>
    </row>
    <row r="435" spans="1:7" ht="14.25" customHeight="1">
      <c r="A435" s="1"/>
      <c r="B435" s="1"/>
      <c r="C435" s="1"/>
      <c r="D435" s="17"/>
      <c r="F435" s="30"/>
      <c r="G435" s="30"/>
    </row>
    <row r="436" spans="1:7" ht="14.25" customHeight="1">
      <c r="A436" s="1"/>
      <c r="B436" s="1"/>
      <c r="C436" s="1"/>
      <c r="D436" s="17"/>
      <c r="F436" s="30"/>
      <c r="G436" s="30"/>
    </row>
    <row r="437" spans="1:7" ht="14.25" customHeight="1">
      <c r="A437" s="1"/>
      <c r="B437" s="1"/>
      <c r="C437" s="1"/>
      <c r="D437" s="17"/>
      <c r="F437" s="30"/>
      <c r="G437" s="30"/>
    </row>
    <row r="438" spans="1:7" ht="14.25" customHeight="1">
      <c r="A438" s="1"/>
      <c r="B438" s="1"/>
      <c r="C438" s="1"/>
      <c r="D438" s="17"/>
      <c r="F438" s="30"/>
      <c r="G438" s="30"/>
    </row>
    <row r="439" spans="1:7" ht="14.25" customHeight="1">
      <c r="A439" s="1"/>
      <c r="B439" s="1"/>
      <c r="C439" s="1"/>
      <c r="D439" s="17"/>
      <c r="F439" s="30"/>
      <c r="G439" s="30"/>
    </row>
    <row r="440" spans="1:7" ht="14.25" customHeight="1">
      <c r="A440" s="1"/>
      <c r="B440" s="1"/>
      <c r="C440" s="1"/>
      <c r="D440" s="17"/>
      <c r="F440" s="30"/>
      <c r="G440" s="30"/>
    </row>
    <row r="441" spans="1:7" ht="14.25" customHeight="1">
      <c r="A441" s="1"/>
      <c r="B441" s="1"/>
      <c r="C441" s="1"/>
      <c r="D441" s="17"/>
      <c r="F441" s="30"/>
      <c r="G441" s="30"/>
    </row>
    <row r="442" spans="1:7" ht="14.25" customHeight="1">
      <c r="A442" s="1"/>
      <c r="B442" s="1"/>
      <c r="C442" s="1"/>
      <c r="D442" s="17"/>
      <c r="F442" s="30"/>
      <c r="G442" s="30"/>
    </row>
    <row r="443" spans="1:7" ht="14.25" customHeight="1">
      <c r="A443" s="1"/>
      <c r="B443" s="1"/>
      <c r="C443" s="1"/>
      <c r="D443" s="17"/>
      <c r="F443" s="30"/>
      <c r="G443" s="30"/>
    </row>
    <row r="444" spans="1:7" ht="14.25" customHeight="1">
      <c r="A444" s="1"/>
      <c r="B444" s="1"/>
      <c r="C444" s="1"/>
      <c r="D444" s="17"/>
      <c r="F444" s="30"/>
      <c r="G444" s="30"/>
    </row>
    <row r="445" spans="1:7" ht="14.25" customHeight="1">
      <c r="A445" s="1"/>
      <c r="B445" s="1"/>
      <c r="C445" s="1"/>
      <c r="D445" s="17"/>
      <c r="F445" s="30"/>
      <c r="G445" s="30"/>
    </row>
    <row r="446" spans="1:7" ht="14.25" customHeight="1">
      <c r="A446" s="1"/>
      <c r="B446" s="1"/>
      <c r="C446" s="1"/>
      <c r="D446" s="17"/>
      <c r="F446" s="30"/>
      <c r="G446" s="30"/>
    </row>
    <row r="447" spans="1:7" ht="14.25" customHeight="1">
      <c r="A447" s="1"/>
      <c r="B447" s="1"/>
      <c r="C447" s="1"/>
      <c r="D447" s="17"/>
      <c r="F447" s="30"/>
      <c r="G447" s="30"/>
    </row>
    <row r="448" spans="1:7" ht="14.25" customHeight="1">
      <c r="A448" s="1"/>
      <c r="B448" s="1"/>
      <c r="C448" s="1"/>
      <c r="D448" s="17"/>
      <c r="F448" s="30"/>
      <c r="G448" s="30"/>
    </row>
    <row r="449" spans="1:7" ht="14.25" customHeight="1">
      <c r="A449" s="1"/>
      <c r="B449" s="1"/>
      <c r="C449" s="1"/>
      <c r="D449" s="17"/>
      <c r="F449" s="30"/>
      <c r="G449" s="30"/>
    </row>
    <row r="450" spans="1:7" ht="14.25" customHeight="1">
      <c r="A450" s="1"/>
      <c r="B450" s="1"/>
      <c r="C450" s="1"/>
      <c r="D450" s="17"/>
      <c r="F450" s="30"/>
      <c r="G450" s="30"/>
    </row>
    <row r="451" spans="1:7" ht="14.25" customHeight="1">
      <c r="A451" s="1"/>
      <c r="B451" s="1"/>
      <c r="C451" s="1"/>
      <c r="D451" s="17"/>
      <c r="F451" s="30"/>
      <c r="G451" s="30"/>
    </row>
    <row r="452" spans="1:7" ht="14.25" customHeight="1">
      <c r="A452" s="1"/>
      <c r="B452" s="1"/>
      <c r="C452" s="1"/>
      <c r="D452" s="17"/>
      <c r="F452" s="30"/>
      <c r="G452" s="30"/>
    </row>
    <row r="453" spans="1:7" ht="14.25" customHeight="1">
      <c r="A453" s="1"/>
      <c r="B453" s="1"/>
      <c r="C453" s="1"/>
      <c r="D453" s="17"/>
      <c r="F453" s="30"/>
      <c r="G453" s="30"/>
    </row>
    <row r="454" spans="1:7" ht="14.25" customHeight="1">
      <c r="A454" s="1"/>
      <c r="B454" s="1"/>
      <c r="C454" s="1"/>
      <c r="D454" s="17"/>
      <c r="F454" s="30"/>
      <c r="G454" s="30"/>
    </row>
    <row r="455" spans="1:7" ht="14.25" customHeight="1">
      <c r="A455" s="1"/>
      <c r="B455" s="1"/>
      <c r="C455" s="1"/>
      <c r="D455" s="17"/>
      <c r="F455" s="30"/>
      <c r="G455" s="30"/>
    </row>
    <row r="456" spans="1:7" ht="14.25" customHeight="1">
      <c r="A456" s="1"/>
      <c r="B456" s="1"/>
      <c r="C456" s="1"/>
      <c r="D456" s="17"/>
      <c r="F456" s="30"/>
      <c r="G456" s="30"/>
    </row>
    <row r="457" spans="1:7" ht="14.25" customHeight="1">
      <c r="A457" s="1"/>
      <c r="B457" s="1"/>
      <c r="C457" s="1"/>
      <c r="D457" s="17"/>
      <c r="F457" s="30"/>
      <c r="G457" s="30"/>
    </row>
    <row r="458" spans="1:7" ht="14.25" customHeight="1">
      <c r="A458" s="1"/>
      <c r="B458" s="1"/>
      <c r="C458" s="1"/>
      <c r="D458" s="17"/>
      <c r="F458" s="30"/>
      <c r="G458" s="30"/>
    </row>
    <row r="459" spans="1:7" ht="14.25" customHeight="1">
      <c r="A459" s="1"/>
      <c r="B459" s="1"/>
      <c r="C459" s="1"/>
      <c r="D459" s="17"/>
      <c r="F459" s="30"/>
      <c r="G459" s="30"/>
    </row>
    <row r="460" spans="1:7" ht="14.25" customHeight="1">
      <c r="A460" s="1"/>
      <c r="B460" s="1"/>
      <c r="C460" s="1"/>
      <c r="D460" s="17"/>
      <c r="F460" s="30"/>
      <c r="G460" s="30"/>
    </row>
    <row r="461" spans="1:7" ht="14.25" customHeight="1">
      <c r="A461" s="1"/>
      <c r="B461" s="1"/>
      <c r="C461" s="1"/>
      <c r="D461" s="17"/>
      <c r="F461" s="30"/>
      <c r="G461" s="30"/>
    </row>
    <row r="462" spans="1:7" ht="14.25" customHeight="1">
      <c r="A462" s="1"/>
      <c r="B462" s="1"/>
      <c r="C462" s="1"/>
      <c r="D462" s="17"/>
      <c r="F462" s="30"/>
      <c r="G462" s="30"/>
    </row>
    <row r="463" spans="1:7" ht="14.25" customHeight="1">
      <c r="A463" s="1"/>
      <c r="B463" s="1"/>
      <c r="C463" s="1"/>
      <c r="D463" s="17"/>
      <c r="F463" s="30"/>
      <c r="G463" s="30"/>
    </row>
    <row r="464" spans="1:7" ht="14.25" customHeight="1">
      <c r="A464" s="1"/>
      <c r="B464" s="1"/>
      <c r="C464" s="1"/>
      <c r="D464" s="17"/>
      <c r="F464" s="30"/>
      <c r="G464" s="30"/>
    </row>
    <row r="465" spans="1:7" ht="14.25" customHeight="1">
      <c r="A465" s="1"/>
      <c r="B465" s="1"/>
      <c r="C465" s="1"/>
      <c r="D465" s="17"/>
      <c r="F465" s="30"/>
      <c r="G465" s="30"/>
    </row>
    <row r="466" spans="1:7" ht="14.25" customHeight="1">
      <c r="A466" s="1"/>
      <c r="B466" s="1"/>
      <c r="C466" s="1"/>
      <c r="D466" s="17"/>
      <c r="F466" s="30"/>
      <c r="G466" s="30"/>
    </row>
    <row r="467" spans="1:7" ht="14.25" customHeight="1">
      <c r="A467" s="1"/>
      <c r="B467" s="1"/>
      <c r="C467" s="1"/>
      <c r="D467" s="17"/>
      <c r="F467" s="30"/>
      <c r="G467" s="30"/>
    </row>
    <row r="468" spans="1:7" ht="14.25" customHeight="1">
      <c r="A468" s="1"/>
      <c r="B468" s="1"/>
      <c r="C468" s="1"/>
      <c r="D468" s="17"/>
      <c r="F468" s="30"/>
      <c r="G468" s="30"/>
    </row>
    <row r="469" spans="1:7" ht="14.25" customHeight="1">
      <c r="A469" s="1"/>
      <c r="B469" s="1"/>
      <c r="C469" s="1"/>
      <c r="D469" s="17"/>
      <c r="F469" s="30"/>
      <c r="G469" s="30"/>
    </row>
    <row r="470" spans="1:7" ht="14.25" customHeight="1">
      <c r="A470" s="1"/>
      <c r="B470" s="1"/>
      <c r="C470" s="1"/>
      <c r="D470" s="17"/>
      <c r="F470" s="30"/>
      <c r="G470" s="30"/>
    </row>
    <row r="471" spans="1:7" ht="14.25" customHeight="1">
      <c r="A471" s="1"/>
      <c r="B471" s="1"/>
      <c r="C471" s="1"/>
      <c r="D471" s="17"/>
      <c r="F471" s="30"/>
      <c r="G471" s="30"/>
    </row>
    <row r="472" spans="1:7" ht="14.25" customHeight="1">
      <c r="A472" s="1"/>
      <c r="B472" s="1"/>
      <c r="C472" s="1"/>
      <c r="D472" s="17"/>
      <c r="F472" s="30"/>
      <c r="G472" s="30"/>
    </row>
    <row r="473" spans="1:7" ht="14.25" customHeight="1">
      <c r="A473" s="1"/>
      <c r="B473" s="1"/>
      <c r="C473" s="1"/>
      <c r="D473" s="17"/>
      <c r="F473" s="30"/>
      <c r="G473" s="30"/>
    </row>
    <row r="474" spans="1:7" ht="14.25" customHeight="1">
      <c r="A474" s="1"/>
      <c r="B474" s="1"/>
      <c r="C474" s="1"/>
      <c r="D474" s="17"/>
      <c r="F474" s="30"/>
      <c r="G474" s="30"/>
    </row>
    <row r="475" spans="1:7" ht="14.25" customHeight="1">
      <c r="A475" s="1"/>
      <c r="B475" s="1"/>
      <c r="C475" s="1"/>
      <c r="D475" s="17"/>
      <c r="F475" s="30"/>
      <c r="G475" s="30"/>
    </row>
    <row r="476" spans="1:7" ht="14.25" customHeight="1">
      <c r="A476" s="1"/>
      <c r="B476" s="1"/>
      <c r="C476" s="1"/>
      <c r="D476" s="17"/>
      <c r="F476" s="30"/>
      <c r="G476" s="30"/>
    </row>
    <row r="477" spans="1:7" ht="14.25" customHeight="1">
      <c r="A477" s="1"/>
      <c r="B477" s="1"/>
      <c r="C477" s="1"/>
      <c r="D477" s="17"/>
      <c r="F477" s="30"/>
      <c r="G477" s="30"/>
    </row>
    <row r="478" spans="1:7" ht="14.25" customHeight="1">
      <c r="A478" s="1"/>
      <c r="B478" s="1"/>
      <c r="C478" s="1"/>
      <c r="D478" s="17"/>
      <c r="F478" s="30"/>
      <c r="G478" s="30"/>
    </row>
    <row r="479" spans="1:7" ht="14.25" customHeight="1">
      <c r="A479" s="1"/>
      <c r="B479" s="1"/>
      <c r="C479" s="1"/>
      <c r="D479" s="17"/>
      <c r="F479" s="30"/>
      <c r="G479" s="30"/>
    </row>
    <row r="480" spans="1:7" ht="14.25" customHeight="1">
      <c r="A480" s="1"/>
      <c r="B480" s="1"/>
      <c r="C480" s="1"/>
      <c r="D480" s="17"/>
      <c r="F480" s="30"/>
      <c r="G480" s="30"/>
    </row>
    <row r="481" spans="1:7" ht="14.25" customHeight="1">
      <c r="A481" s="1"/>
      <c r="B481" s="1"/>
      <c r="C481" s="1"/>
      <c r="D481" s="17"/>
      <c r="F481" s="30"/>
      <c r="G481" s="30"/>
    </row>
    <row r="482" spans="1:7" ht="14.25" customHeight="1">
      <c r="A482" s="1"/>
      <c r="B482" s="1"/>
      <c r="C482" s="1"/>
      <c r="D482" s="17"/>
      <c r="F482" s="30"/>
      <c r="G482" s="30"/>
    </row>
    <row r="483" spans="1:7" ht="14.25" customHeight="1">
      <c r="A483" s="1"/>
      <c r="B483" s="1"/>
      <c r="C483" s="1"/>
      <c r="D483" s="17"/>
      <c r="F483" s="30"/>
      <c r="G483" s="30"/>
    </row>
    <row r="484" spans="1:7" ht="14.25" customHeight="1">
      <c r="A484" s="1"/>
      <c r="B484" s="1"/>
      <c r="C484" s="1"/>
      <c r="D484" s="17"/>
      <c r="F484" s="30"/>
      <c r="G484" s="30"/>
    </row>
    <row r="485" spans="1:7" ht="14.25" customHeight="1">
      <c r="A485" s="1"/>
      <c r="B485" s="1"/>
      <c r="C485" s="1"/>
      <c r="D485" s="17"/>
      <c r="F485" s="30"/>
      <c r="G485" s="30"/>
    </row>
    <row r="486" spans="1:7" ht="14.25" customHeight="1">
      <c r="A486" s="1"/>
      <c r="B486" s="1"/>
      <c r="C486" s="1"/>
      <c r="D486" s="17"/>
      <c r="F486" s="30"/>
      <c r="G486" s="30"/>
    </row>
    <row r="487" spans="1:7" ht="14.25" customHeight="1">
      <c r="A487" s="1"/>
      <c r="B487" s="1"/>
      <c r="C487" s="1"/>
      <c r="D487" s="17"/>
      <c r="F487" s="30"/>
      <c r="G487" s="30"/>
    </row>
    <row r="488" spans="1:7" ht="14.25" customHeight="1">
      <c r="A488" s="1"/>
      <c r="B488" s="1"/>
      <c r="C488" s="1"/>
      <c r="D488" s="17"/>
      <c r="F488" s="30"/>
      <c r="G488" s="30"/>
    </row>
    <row r="489" spans="1:7" ht="14.25" customHeight="1">
      <c r="A489" s="1"/>
      <c r="B489" s="1"/>
      <c r="C489" s="1"/>
      <c r="D489" s="17"/>
      <c r="F489" s="30"/>
      <c r="G489" s="30"/>
    </row>
    <row r="490" spans="1:7" ht="14.25" customHeight="1">
      <c r="A490" s="1"/>
      <c r="B490" s="1"/>
      <c r="C490" s="1"/>
      <c r="D490" s="17"/>
      <c r="F490" s="30"/>
      <c r="G490" s="30"/>
    </row>
    <row r="491" spans="1:7" ht="14.25" customHeight="1">
      <c r="A491" s="1"/>
      <c r="B491" s="1"/>
      <c r="C491" s="1"/>
      <c r="D491" s="17"/>
      <c r="F491" s="30"/>
      <c r="G491" s="30"/>
    </row>
    <row r="492" spans="1:7" ht="14.25" customHeight="1">
      <c r="A492" s="1"/>
      <c r="B492" s="1"/>
      <c r="C492" s="1"/>
      <c r="D492" s="17"/>
      <c r="F492" s="30"/>
      <c r="G492" s="30"/>
    </row>
    <row r="493" spans="1:7" ht="14.25" customHeight="1">
      <c r="A493" s="1"/>
      <c r="B493" s="1"/>
      <c r="C493" s="1"/>
      <c r="D493" s="17"/>
      <c r="F493" s="30"/>
      <c r="G493" s="30"/>
    </row>
    <row r="494" spans="1:7" ht="14.25" customHeight="1">
      <c r="A494" s="1"/>
      <c r="B494" s="1"/>
      <c r="C494" s="1"/>
      <c r="D494" s="17"/>
      <c r="F494" s="30"/>
      <c r="G494" s="30"/>
    </row>
    <row r="495" spans="1:7" ht="14.25" customHeight="1">
      <c r="A495" s="1"/>
      <c r="B495" s="1"/>
      <c r="C495" s="1"/>
      <c r="D495" s="17"/>
      <c r="F495" s="30"/>
      <c r="G495" s="30"/>
    </row>
    <row r="496" spans="1:7" ht="14.25" customHeight="1">
      <c r="A496" s="1"/>
      <c r="B496" s="1"/>
      <c r="C496" s="1"/>
      <c r="D496" s="17"/>
      <c r="F496" s="30"/>
      <c r="G496" s="30"/>
    </row>
    <row r="497" spans="1:7" ht="14.25" customHeight="1">
      <c r="A497" s="1"/>
      <c r="B497" s="1"/>
      <c r="C497" s="1"/>
      <c r="D497" s="17"/>
      <c r="F497" s="30"/>
      <c r="G497" s="30"/>
    </row>
    <row r="498" spans="1:7" ht="14.25" customHeight="1">
      <c r="A498" s="1"/>
      <c r="B498" s="1"/>
      <c r="C498" s="1"/>
      <c r="D498" s="17"/>
      <c r="F498" s="30"/>
      <c r="G498" s="30"/>
    </row>
    <row r="499" spans="1:7" ht="14.25" customHeight="1">
      <c r="A499" s="1"/>
      <c r="B499" s="1"/>
      <c r="C499" s="1"/>
      <c r="D499" s="17"/>
      <c r="F499" s="30"/>
      <c r="G499" s="30"/>
    </row>
    <row r="500" spans="1:7" ht="14.25" customHeight="1">
      <c r="A500" s="1"/>
      <c r="B500" s="1"/>
      <c r="C500" s="1"/>
      <c r="D500" s="17"/>
      <c r="F500" s="30"/>
      <c r="G500" s="30"/>
    </row>
    <row r="501" spans="1:7" ht="14.25" customHeight="1">
      <c r="A501" s="1"/>
      <c r="B501" s="1"/>
      <c r="C501" s="1"/>
      <c r="D501" s="17"/>
      <c r="F501" s="30"/>
      <c r="G501" s="30"/>
    </row>
    <row r="502" spans="1:7" ht="14.25" customHeight="1">
      <c r="A502" s="1"/>
      <c r="B502" s="1"/>
      <c r="C502" s="1"/>
      <c r="D502" s="17"/>
      <c r="F502" s="30"/>
      <c r="G502" s="30"/>
    </row>
    <row r="503" spans="1:7" ht="14.25" customHeight="1">
      <c r="A503" s="1"/>
      <c r="B503" s="1"/>
      <c r="C503" s="1"/>
      <c r="D503" s="17"/>
      <c r="F503" s="30"/>
      <c r="G503" s="30"/>
    </row>
    <row r="504" spans="1:7" ht="14.25" customHeight="1">
      <c r="A504" s="1"/>
      <c r="B504" s="1"/>
      <c r="C504" s="1"/>
      <c r="D504" s="17"/>
      <c r="F504" s="30"/>
      <c r="G504" s="30"/>
    </row>
    <row r="505" spans="1:7" ht="14.25" customHeight="1">
      <c r="A505" s="1"/>
      <c r="B505" s="1"/>
      <c r="C505" s="1"/>
      <c r="D505" s="17"/>
      <c r="F505" s="30"/>
      <c r="G505" s="30"/>
    </row>
    <row r="506" spans="1:7" ht="14.25" customHeight="1">
      <c r="A506" s="1"/>
      <c r="B506" s="1"/>
      <c r="C506" s="1"/>
      <c r="D506" s="17"/>
      <c r="F506" s="30"/>
      <c r="G506" s="30"/>
    </row>
    <row r="507" spans="1:7" ht="14.25" customHeight="1">
      <c r="A507" s="1"/>
      <c r="B507" s="1"/>
      <c r="C507" s="1"/>
      <c r="D507" s="17"/>
      <c r="F507" s="30"/>
      <c r="G507" s="30"/>
    </row>
    <row r="508" spans="1:7" ht="14.25" customHeight="1">
      <c r="A508" s="1"/>
      <c r="B508" s="1"/>
      <c r="C508" s="1"/>
      <c r="D508" s="17"/>
      <c r="F508" s="30"/>
      <c r="G508" s="30"/>
    </row>
    <row r="509" spans="1:7" ht="14.25" customHeight="1">
      <c r="A509" s="1"/>
      <c r="B509" s="1"/>
      <c r="C509" s="1"/>
      <c r="D509" s="17"/>
      <c r="F509" s="30"/>
      <c r="G509" s="30"/>
    </row>
    <row r="510" spans="1:7" ht="14.25" customHeight="1">
      <c r="A510" s="1"/>
      <c r="B510" s="1"/>
      <c r="C510" s="1"/>
      <c r="D510" s="17"/>
      <c r="F510" s="30"/>
      <c r="G510" s="30"/>
    </row>
    <row r="511" spans="1:7" ht="14.25" customHeight="1">
      <c r="A511" s="1"/>
      <c r="B511" s="1"/>
      <c r="C511" s="1"/>
      <c r="D511" s="17"/>
      <c r="F511" s="30"/>
      <c r="G511" s="30"/>
    </row>
    <row r="512" spans="1:7" ht="14.25" customHeight="1">
      <c r="A512" s="1"/>
      <c r="B512" s="1"/>
      <c r="C512" s="1"/>
      <c r="D512" s="17"/>
      <c r="F512" s="30"/>
      <c r="G512" s="30"/>
    </row>
    <row r="513" spans="1:7" ht="14.25" customHeight="1">
      <c r="A513" s="1"/>
      <c r="B513" s="1"/>
      <c r="C513" s="1"/>
      <c r="D513" s="17"/>
      <c r="F513" s="30"/>
      <c r="G513" s="30"/>
    </row>
    <row r="514" spans="1:7" ht="14.25" customHeight="1">
      <c r="A514" s="1"/>
      <c r="B514" s="1"/>
      <c r="C514" s="1"/>
      <c r="D514" s="17"/>
      <c r="F514" s="30"/>
      <c r="G514" s="30"/>
    </row>
    <row r="515" spans="1:7" ht="14.25" customHeight="1">
      <c r="A515" s="1"/>
      <c r="B515" s="1"/>
      <c r="C515" s="1"/>
      <c r="D515" s="17"/>
      <c r="F515" s="30"/>
      <c r="G515" s="30"/>
    </row>
    <row r="516" spans="1:7" ht="14.25" customHeight="1">
      <c r="A516" s="1"/>
      <c r="B516" s="1"/>
      <c r="C516" s="1"/>
      <c r="D516" s="17"/>
      <c r="F516" s="30"/>
      <c r="G516" s="30"/>
    </row>
    <row r="517" spans="1:7" ht="14.25" customHeight="1">
      <c r="A517" s="1"/>
      <c r="B517" s="1"/>
      <c r="C517" s="1"/>
      <c r="D517" s="17"/>
      <c r="F517" s="30"/>
      <c r="G517" s="30"/>
    </row>
    <row r="518" spans="1:7" ht="14.25" customHeight="1">
      <c r="A518" s="1"/>
      <c r="B518" s="1"/>
      <c r="C518" s="1"/>
      <c r="D518" s="17"/>
      <c r="F518" s="30"/>
      <c r="G518" s="30"/>
    </row>
    <row r="519" spans="1:7" ht="14.25" customHeight="1">
      <c r="A519" s="1"/>
      <c r="B519" s="1"/>
      <c r="C519" s="1"/>
      <c r="D519" s="17"/>
      <c r="F519" s="30"/>
      <c r="G519" s="30"/>
    </row>
    <row r="520" spans="1:7" ht="14.25" customHeight="1">
      <c r="A520" s="1"/>
      <c r="B520" s="1"/>
      <c r="C520" s="1"/>
      <c r="D520" s="17"/>
      <c r="F520" s="30"/>
      <c r="G520" s="30"/>
    </row>
    <row r="521" spans="1:7" ht="14.25" customHeight="1">
      <c r="A521" s="1"/>
      <c r="B521" s="1"/>
      <c r="C521" s="1"/>
      <c r="D521" s="17"/>
      <c r="F521" s="30"/>
      <c r="G521" s="30"/>
    </row>
    <row r="522" spans="1:7" ht="14.25" customHeight="1">
      <c r="A522" s="1"/>
      <c r="B522" s="1"/>
      <c r="C522" s="1"/>
      <c r="D522" s="17"/>
      <c r="F522" s="30"/>
      <c r="G522" s="30"/>
    </row>
    <row r="523" spans="1:7" ht="14.25" customHeight="1">
      <c r="A523" s="1"/>
      <c r="B523" s="1"/>
      <c r="C523" s="1"/>
      <c r="D523" s="17"/>
      <c r="F523" s="30"/>
      <c r="G523" s="30"/>
    </row>
    <row r="524" spans="1:7" ht="14.25" customHeight="1">
      <c r="A524" s="1"/>
      <c r="B524" s="1"/>
      <c r="C524" s="1"/>
      <c r="D524" s="17"/>
      <c r="F524" s="30"/>
      <c r="G524" s="30"/>
    </row>
    <row r="525" spans="1:7" ht="14.25" customHeight="1">
      <c r="A525" s="1"/>
      <c r="B525" s="1"/>
      <c r="C525" s="1"/>
      <c r="D525" s="17"/>
      <c r="F525" s="30"/>
      <c r="G525" s="30"/>
    </row>
    <row r="526" spans="1:7" ht="14.25" customHeight="1">
      <c r="A526" s="1"/>
      <c r="B526" s="1"/>
      <c r="C526" s="1"/>
      <c r="D526" s="17"/>
      <c r="F526" s="30"/>
      <c r="G526" s="30"/>
    </row>
    <row r="527" spans="1:7" ht="14.25" customHeight="1">
      <c r="A527" s="1"/>
      <c r="B527" s="1"/>
      <c r="C527" s="1"/>
      <c r="D527" s="17"/>
      <c r="F527" s="30"/>
      <c r="G527" s="30"/>
    </row>
    <row r="528" spans="1:7" ht="14.25" customHeight="1">
      <c r="A528" s="1"/>
      <c r="B528" s="1"/>
      <c r="C528" s="1"/>
      <c r="D528" s="17"/>
      <c r="F528" s="30"/>
      <c r="G528" s="30"/>
    </row>
    <row r="529" spans="1:7" ht="14.25" customHeight="1">
      <c r="A529" s="1"/>
      <c r="B529" s="1"/>
      <c r="C529" s="1"/>
      <c r="D529" s="17"/>
      <c r="F529" s="30"/>
      <c r="G529" s="30"/>
    </row>
    <row r="530" spans="1:7" ht="14.25" customHeight="1">
      <c r="A530" s="1"/>
      <c r="B530" s="1"/>
      <c r="C530" s="1"/>
      <c r="D530" s="17"/>
      <c r="F530" s="30"/>
      <c r="G530" s="30"/>
    </row>
    <row r="531" spans="1:7" ht="14.25" customHeight="1">
      <c r="A531" s="1"/>
      <c r="B531" s="1"/>
      <c r="C531" s="1"/>
      <c r="D531" s="17"/>
      <c r="F531" s="30"/>
      <c r="G531" s="30"/>
    </row>
    <row r="532" spans="1:7" ht="14.25" customHeight="1">
      <c r="A532" s="1"/>
      <c r="B532" s="1"/>
      <c r="C532" s="1"/>
      <c r="D532" s="17"/>
      <c r="F532" s="30"/>
      <c r="G532" s="30"/>
    </row>
    <row r="533" spans="1:7" ht="14.25" customHeight="1">
      <c r="A533" s="1"/>
      <c r="B533" s="1"/>
      <c r="C533" s="1"/>
      <c r="D533" s="17"/>
      <c r="F533" s="30"/>
      <c r="G533" s="30"/>
    </row>
    <row r="534" spans="1:7" ht="14.25" customHeight="1">
      <c r="A534" s="1"/>
      <c r="B534" s="1"/>
      <c r="C534" s="1"/>
      <c r="D534" s="17"/>
      <c r="F534" s="30"/>
      <c r="G534" s="30"/>
    </row>
    <row r="535" spans="1:7" ht="14.25" customHeight="1">
      <c r="A535" s="1"/>
      <c r="B535" s="1"/>
      <c r="C535" s="1"/>
      <c r="D535" s="17"/>
      <c r="F535" s="30"/>
      <c r="G535" s="30"/>
    </row>
    <row r="536" spans="1:7" ht="14.25" customHeight="1">
      <c r="A536" s="1"/>
      <c r="B536" s="1"/>
      <c r="C536" s="1"/>
      <c r="D536" s="17"/>
      <c r="F536" s="30"/>
      <c r="G536" s="30"/>
    </row>
    <row r="537" spans="1:7" ht="14.25" customHeight="1">
      <c r="A537" s="1"/>
      <c r="B537" s="1"/>
      <c r="C537" s="1"/>
      <c r="D537" s="17"/>
      <c r="F537" s="30"/>
      <c r="G537" s="30"/>
    </row>
    <row r="538" spans="1:7" ht="14.25" customHeight="1">
      <c r="A538" s="1"/>
      <c r="B538" s="1"/>
      <c r="C538" s="1"/>
      <c r="D538" s="17"/>
      <c r="F538" s="30"/>
      <c r="G538" s="30"/>
    </row>
    <row r="539" spans="1:7" ht="14.25" customHeight="1">
      <c r="A539" s="1"/>
      <c r="B539" s="1"/>
      <c r="C539" s="1"/>
      <c r="D539" s="17"/>
      <c r="F539" s="30"/>
      <c r="G539" s="30"/>
    </row>
    <row r="540" spans="1:7" ht="14.25" customHeight="1">
      <c r="A540" s="1"/>
      <c r="B540" s="1"/>
      <c r="C540" s="1"/>
      <c r="D540" s="17"/>
      <c r="F540" s="30"/>
      <c r="G540" s="30"/>
    </row>
    <row r="541" spans="1:7" ht="14.25" customHeight="1">
      <c r="A541" s="1"/>
      <c r="B541" s="1"/>
      <c r="C541" s="1"/>
      <c r="D541" s="17"/>
      <c r="F541" s="30"/>
      <c r="G541" s="30"/>
    </row>
    <row r="542" spans="1:7" ht="14.25" customHeight="1">
      <c r="A542" s="1"/>
      <c r="B542" s="1"/>
      <c r="C542" s="1"/>
      <c r="D542" s="17"/>
      <c r="F542" s="30"/>
      <c r="G542" s="30"/>
    </row>
    <row r="543" spans="1:7" ht="14.25" customHeight="1">
      <c r="A543" s="1"/>
      <c r="B543" s="1"/>
      <c r="C543" s="1"/>
      <c r="D543" s="17"/>
      <c r="F543" s="30"/>
      <c r="G543" s="30"/>
    </row>
    <row r="544" spans="1:7" ht="14.25" customHeight="1">
      <c r="A544" s="1"/>
      <c r="B544" s="1"/>
      <c r="C544" s="1"/>
      <c r="D544" s="17"/>
      <c r="F544" s="30"/>
      <c r="G544" s="30"/>
    </row>
    <row r="545" spans="1:7" ht="14.25" customHeight="1">
      <c r="A545" s="1"/>
      <c r="B545" s="1"/>
      <c r="C545" s="1"/>
      <c r="D545" s="17"/>
      <c r="F545" s="30"/>
      <c r="G545" s="30"/>
    </row>
    <row r="546" spans="1:7" ht="14.25" customHeight="1">
      <c r="A546" s="1"/>
      <c r="B546" s="1"/>
      <c r="C546" s="1"/>
      <c r="D546" s="17"/>
      <c r="F546" s="30"/>
      <c r="G546" s="30"/>
    </row>
    <row r="547" spans="1:7" ht="14.25" customHeight="1">
      <c r="A547" s="1"/>
      <c r="B547" s="1"/>
      <c r="C547" s="1"/>
      <c r="D547" s="17"/>
      <c r="F547" s="30"/>
      <c r="G547" s="30"/>
    </row>
    <row r="548" spans="1:7" ht="14.25" customHeight="1">
      <c r="A548" s="1"/>
      <c r="B548" s="1"/>
      <c r="C548" s="1"/>
      <c r="D548" s="17"/>
      <c r="F548" s="30"/>
      <c r="G548" s="30"/>
    </row>
    <row r="549" spans="1:7" ht="14.25" customHeight="1">
      <c r="A549" s="1"/>
      <c r="B549" s="1"/>
      <c r="C549" s="1"/>
      <c r="D549" s="17"/>
      <c r="F549" s="30"/>
      <c r="G549" s="30"/>
    </row>
    <row r="550" spans="1:7" ht="14.25" customHeight="1">
      <c r="A550" s="1"/>
      <c r="B550" s="1"/>
      <c r="C550" s="1"/>
      <c r="D550" s="17"/>
      <c r="F550" s="30"/>
      <c r="G550" s="30"/>
    </row>
    <row r="551" spans="1:7" ht="14.25" customHeight="1">
      <c r="A551" s="1"/>
      <c r="B551" s="1"/>
      <c r="C551" s="1"/>
      <c r="D551" s="17"/>
      <c r="F551" s="30"/>
      <c r="G551" s="30"/>
    </row>
    <row r="552" spans="1:7" ht="14.25" customHeight="1">
      <c r="A552" s="1"/>
      <c r="B552" s="1"/>
      <c r="C552" s="1"/>
      <c r="D552" s="17"/>
      <c r="F552" s="30"/>
      <c r="G552" s="30"/>
    </row>
    <row r="553" spans="1:7" ht="14.25" customHeight="1">
      <c r="A553" s="1"/>
      <c r="B553" s="1"/>
      <c r="C553" s="1"/>
      <c r="D553" s="17"/>
      <c r="F553" s="30"/>
      <c r="G553" s="30"/>
    </row>
    <row r="554" spans="1:7" ht="14.25" customHeight="1">
      <c r="A554" s="1"/>
      <c r="B554" s="1"/>
      <c r="C554" s="1"/>
      <c r="D554" s="17"/>
      <c r="F554" s="30"/>
      <c r="G554" s="30"/>
    </row>
    <row r="555" spans="1:7" ht="14.25" customHeight="1">
      <c r="A555" s="1"/>
      <c r="B555" s="1"/>
      <c r="C555" s="1"/>
      <c r="D555" s="17"/>
      <c r="F555" s="30"/>
      <c r="G555" s="30"/>
    </row>
    <row r="556" spans="1:7" ht="14.25" customHeight="1">
      <c r="A556" s="1"/>
      <c r="B556" s="1"/>
      <c r="C556" s="1"/>
      <c r="D556" s="17"/>
      <c r="F556" s="30"/>
      <c r="G556" s="30"/>
    </row>
    <row r="557" spans="1:7" ht="14.25" customHeight="1">
      <c r="A557" s="1"/>
      <c r="B557" s="1"/>
      <c r="C557" s="1"/>
      <c r="D557" s="17"/>
      <c r="F557" s="30"/>
      <c r="G557" s="30"/>
    </row>
    <row r="558" spans="1:7" ht="14.25" customHeight="1">
      <c r="A558" s="1"/>
      <c r="B558" s="1"/>
      <c r="C558" s="1"/>
      <c r="D558" s="17"/>
      <c r="F558" s="30"/>
      <c r="G558" s="30"/>
    </row>
    <row r="559" spans="1:7" ht="14.25" customHeight="1">
      <c r="A559" s="1"/>
      <c r="B559" s="1"/>
      <c r="C559" s="1"/>
      <c r="D559" s="17"/>
      <c r="F559" s="30"/>
      <c r="G559" s="30"/>
    </row>
    <row r="560" spans="1:7" ht="14.25" customHeight="1">
      <c r="A560" s="1"/>
      <c r="B560" s="1"/>
      <c r="C560" s="1"/>
      <c r="D560" s="17"/>
      <c r="F560" s="30"/>
      <c r="G560" s="30"/>
    </row>
    <row r="561" spans="1:7" ht="14.25" customHeight="1">
      <c r="A561" s="1"/>
      <c r="B561" s="1"/>
      <c r="C561" s="1"/>
      <c r="D561" s="17"/>
      <c r="F561" s="30"/>
      <c r="G561" s="30"/>
    </row>
    <row r="562" spans="1:7" ht="14.25" customHeight="1">
      <c r="A562" s="1"/>
      <c r="B562" s="1"/>
      <c r="C562" s="1"/>
      <c r="D562" s="17"/>
      <c r="F562" s="30"/>
      <c r="G562" s="30"/>
    </row>
    <row r="563" spans="1:7" ht="14.25" customHeight="1">
      <c r="A563" s="1"/>
      <c r="B563" s="1"/>
      <c r="C563" s="1"/>
      <c r="D563" s="17"/>
      <c r="F563" s="30"/>
      <c r="G563" s="30"/>
    </row>
    <row r="564" spans="1:7" ht="14.25" customHeight="1">
      <c r="A564" s="1"/>
      <c r="B564" s="1"/>
      <c r="C564" s="1"/>
      <c r="D564" s="17"/>
      <c r="F564" s="30"/>
      <c r="G564" s="30"/>
    </row>
    <row r="565" spans="1:7" ht="14.25" customHeight="1">
      <c r="A565" s="1"/>
      <c r="B565" s="1"/>
      <c r="C565" s="1"/>
      <c r="D565" s="17"/>
      <c r="F565" s="30"/>
      <c r="G565" s="30"/>
    </row>
    <row r="566" spans="1:7" ht="14.25" customHeight="1">
      <c r="A566" s="1"/>
      <c r="B566" s="1"/>
      <c r="C566" s="1"/>
      <c r="D566" s="17"/>
      <c r="F566" s="30"/>
      <c r="G566" s="30"/>
    </row>
    <row r="567" spans="1:7" ht="14.25" customHeight="1">
      <c r="A567" s="1"/>
      <c r="B567" s="1"/>
      <c r="C567" s="1"/>
      <c r="D567" s="17"/>
      <c r="F567" s="30"/>
      <c r="G567" s="30"/>
    </row>
    <row r="568" spans="1:7" ht="14.25" customHeight="1">
      <c r="A568" s="1"/>
      <c r="B568" s="1"/>
      <c r="C568" s="1"/>
      <c r="D568" s="17"/>
      <c r="F568" s="30"/>
      <c r="G568" s="30"/>
    </row>
    <row r="569" spans="1:7" ht="14.25" customHeight="1">
      <c r="A569" s="1"/>
      <c r="B569" s="1"/>
      <c r="C569" s="1"/>
      <c r="D569" s="17"/>
      <c r="F569" s="30"/>
      <c r="G569" s="30"/>
    </row>
    <row r="570" spans="1:7" ht="14.25" customHeight="1">
      <c r="A570" s="1"/>
      <c r="B570" s="1"/>
      <c r="C570" s="1"/>
      <c r="D570" s="17"/>
      <c r="F570" s="30"/>
      <c r="G570" s="30"/>
    </row>
    <row r="571" spans="1:7" ht="14.25" customHeight="1">
      <c r="A571" s="1"/>
      <c r="B571" s="1"/>
      <c r="C571" s="1"/>
      <c r="D571" s="17"/>
      <c r="F571" s="30"/>
      <c r="G571" s="30"/>
    </row>
    <row r="572" spans="1:7" ht="14.25" customHeight="1">
      <c r="A572" s="1"/>
      <c r="B572" s="1"/>
      <c r="C572" s="1"/>
      <c r="D572" s="17"/>
      <c r="F572" s="30"/>
      <c r="G572" s="30"/>
    </row>
    <row r="573" spans="1:7" ht="14.25" customHeight="1">
      <c r="A573" s="1"/>
      <c r="B573" s="1"/>
      <c r="C573" s="1"/>
      <c r="D573" s="17"/>
      <c r="F573" s="30"/>
      <c r="G573" s="30"/>
    </row>
    <row r="574" spans="1:7" ht="14.25" customHeight="1">
      <c r="A574" s="1"/>
      <c r="B574" s="1"/>
      <c r="C574" s="1"/>
      <c r="D574" s="17"/>
      <c r="F574" s="30"/>
      <c r="G574" s="30"/>
    </row>
    <row r="575" spans="1:7" ht="14.25" customHeight="1">
      <c r="A575" s="1"/>
      <c r="B575" s="1"/>
      <c r="C575" s="1"/>
      <c r="D575" s="17"/>
      <c r="F575" s="30"/>
      <c r="G575" s="30"/>
    </row>
    <row r="576" spans="1:7" ht="14.25" customHeight="1">
      <c r="A576" s="1"/>
      <c r="B576" s="1"/>
      <c r="C576" s="1"/>
      <c r="D576" s="17"/>
      <c r="F576" s="30"/>
      <c r="G576" s="30"/>
    </row>
    <row r="577" spans="1:7" ht="14.25" customHeight="1">
      <c r="A577" s="1"/>
      <c r="B577" s="1"/>
      <c r="C577" s="1"/>
      <c r="D577" s="17"/>
      <c r="F577" s="30"/>
      <c r="G577" s="30"/>
    </row>
    <row r="578" spans="1:7" ht="14.25" customHeight="1">
      <c r="A578" s="1"/>
      <c r="B578" s="1"/>
      <c r="C578" s="1"/>
      <c r="D578" s="17"/>
      <c r="F578" s="30"/>
      <c r="G578" s="30"/>
    </row>
    <row r="579" spans="1:7" ht="14.25" customHeight="1">
      <c r="A579" s="1"/>
      <c r="B579" s="1"/>
      <c r="C579" s="1"/>
      <c r="D579" s="17"/>
      <c r="F579" s="30"/>
      <c r="G579" s="30"/>
    </row>
    <row r="580" spans="1:7" ht="14.25" customHeight="1">
      <c r="A580" s="1"/>
      <c r="B580" s="1"/>
      <c r="C580" s="1"/>
      <c r="D580" s="17"/>
      <c r="F580" s="30"/>
      <c r="G580" s="30"/>
    </row>
    <row r="581" spans="1:7" ht="14.25" customHeight="1">
      <c r="A581" s="1"/>
      <c r="B581" s="1"/>
      <c r="C581" s="1"/>
      <c r="D581" s="17"/>
      <c r="F581" s="30"/>
      <c r="G581" s="30"/>
    </row>
    <row r="582" spans="1:7" ht="14.25" customHeight="1">
      <c r="A582" s="1"/>
      <c r="B582" s="1"/>
      <c r="C582" s="1"/>
      <c r="D582" s="17"/>
      <c r="F582" s="30"/>
      <c r="G582" s="30"/>
    </row>
    <row r="583" spans="1:7" ht="14.25" customHeight="1">
      <c r="A583" s="1"/>
      <c r="B583" s="1"/>
      <c r="C583" s="1"/>
      <c r="D583" s="17"/>
      <c r="F583" s="30"/>
      <c r="G583" s="30"/>
    </row>
    <row r="584" spans="1:7" ht="14.25" customHeight="1">
      <c r="A584" s="1"/>
      <c r="B584" s="1"/>
      <c r="C584" s="1"/>
      <c r="D584" s="17"/>
      <c r="F584" s="30"/>
      <c r="G584" s="30"/>
    </row>
    <row r="585" spans="1:7" ht="14.25" customHeight="1">
      <c r="A585" s="1"/>
      <c r="B585" s="1"/>
      <c r="C585" s="1"/>
      <c r="D585" s="17"/>
      <c r="F585" s="30"/>
      <c r="G585" s="30"/>
    </row>
    <row r="586" spans="1:7" ht="14.25" customHeight="1">
      <c r="A586" s="1"/>
      <c r="B586" s="1"/>
      <c r="C586" s="1"/>
      <c r="D586" s="17"/>
      <c r="F586" s="30"/>
      <c r="G586" s="30"/>
    </row>
    <row r="587" spans="1:7" ht="14.25" customHeight="1">
      <c r="A587" s="1"/>
      <c r="B587" s="1"/>
      <c r="C587" s="1"/>
      <c r="D587" s="17"/>
      <c r="F587" s="30"/>
      <c r="G587" s="30"/>
    </row>
    <row r="588" spans="1:7" ht="14.25" customHeight="1">
      <c r="A588" s="1"/>
      <c r="B588" s="1"/>
      <c r="C588" s="1"/>
      <c r="D588" s="17"/>
      <c r="F588" s="30"/>
      <c r="G588" s="30"/>
    </row>
    <row r="589" spans="1:7" ht="14.25" customHeight="1">
      <c r="A589" s="1"/>
      <c r="B589" s="1"/>
      <c r="C589" s="1"/>
      <c r="D589" s="17"/>
      <c r="F589" s="30"/>
      <c r="G589" s="30"/>
    </row>
    <row r="590" spans="1:7" ht="14.25" customHeight="1">
      <c r="A590" s="1"/>
      <c r="B590" s="1"/>
      <c r="C590" s="1"/>
      <c r="D590" s="17"/>
      <c r="F590" s="30"/>
      <c r="G590" s="30"/>
    </row>
    <row r="591" spans="1:7" ht="14.25" customHeight="1">
      <c r="A591" s="1"/>
      <c r="B591" s="1"/>
      <c r="C591" s="1"/>
      <c r="D591" s="17"/>
      <c r="F591" s="30"/>
      <c r="G591" s="30"/>
    </row>
    <row r="592" spans="1:7" ht="14.25" customHeight="1">
      <c r="A592" s="1"/>
      <c r="B592" s="1"/>
      <c r="C592" s="1"/>
      <c r="D592" s="17"/>
      <c r="F592" s="30"/>
      <c r="G592" s="30"/>
    </row>
    <row r="593" spans="1:7" ht="14.25" customHeight="1">
      <c r="A593" s="1"/>
      <c r="B593" s="1"/>
      <c r="C593" s="1"/>
      <c r="D593" s="17"/>
      <c r="F593" s="30"/>
      <c r="G593" s="30"/>
    </row>
    <row r="594" spans="1:7" ht="14.25" customHeight="1">
      <c r="A594" s="1"/>
      <c r="B594" s="1"/>
      <c r="C594" s="1"/>
      <c r="D594" s="17"/>
      <c r="F594" s="30"/>
      <c r="G594" s="30"/>
    </row>
    <row r="595" spans="1:7" ht="14.25" customHeight="1">
      <c r="A595" s="1"/>
      <c r="B595" s="1"/>
      <c r="C595" s="1"/>
      <c r="D595" s="17"/>
      <c r="F595" s="30"/>
      <c r="G595" s="30"/>
    </row>
    <row r="596" spans="1:7" ht="14.25" customHeight="1">
      <c r="A596" s="1"/>
      <c r="B596" s="1"/>
      <c r="C596" s="1"/>
      <c r="D596" s="17"/>
      <c r="F596" s="30"/>
      <c r="G596" s="30"/>
    </row>
    <row r="597" spans="1:7" ht="14.25" customHeight="1">
      <c r="A597" s="1"/>
      <c r="B597" s="1"/>
      <c r="C597" s="1"/>
      <c r="D597" s="17"/>
      <c r="F597" s="30"/>
      <c r="G597" s="30"/>
    </row>
    <row r="598" spans="1:7" ht="14.25" customHeight="1">
      <c r="A598" s="1"/>
      <c r="B598" s="1"/>
      <c r="C598" s="1"/>
      <c r="D598" s="17"/>
      <c r="F598" s="30"/>
      <c r="G598" s="30"/>
    </row>
    <row r="599" spans="1:7" ht="14.25" customHeight="1">
      <c r="A599" s="1"/>
      <c r="B599" s="1"/>
      <c r="C599" s="1"/>
      <c r="D599" s="17"/>
      <c r="F599" s="30"/>
      <c r="G599" s="30"/>
    </row>
    <row r="600" spans="1:7" ht="14.25" customHeight="1">
      <c r="A600" s="1"/>
      <c r="B600" s="1"/>
      <c r="C600" s="1"/>
      <c r="D600" s="17"/>
      <c r="F600" s="30"/>
      <c r="G600" s="30"/>
    </row>
    <row r="601" spans="1:7" ht="14.25" customHeight="1">
      <c r="A601" s="1"/>
      <c r="B601" s="1"/>
      <c r="C601" s="1"/>
      <c r="D601" s="17"/>
      <c r="F601" s="30"/>
      <c r="G601" s="30"/>
    </row>
    <row r="602" spans="1:7" ht="14.25" customHeight="1">
      <c r="A602" s="1"/>
      <c r="B602" s="1"/>
      <c r="C602" s="1"/>
      <c r="D602" s="17"/>
      <c r="F602" s="30"/>
      <c r="G602" s="30"/>
    </row>
    <row r="603" spans="1:7" ht="14.25" customHeight="1">
      <c r="A603" s="1"/>
      <c r="B603" s="1"/>
      <c r="C603" s="1"/>
      <c r="D603" s="17"/>
      <c r="F603" s="30"/>
      <c r="G603" s="30"/>
    </row>
    <row r="604" spans="1:7" ht="14.25" customHeight="1">
      <c r="A604" s="1"/>
      <c r="B604" s="1"/>
      <c r="C604" s="1"/>
      <c r="D604" s="17"/>
      <c r="F604" s="30"/>
      <c r="G604" s="30"/>
    </row>
    <row r="605" spans="1:7" ht="14.25" customHeight="1">
      <c r="A605" s="1"/>
      <c r="B605" s="1"/>
      <c r="C605" s="1"/>
      <c r="D605" s="17"/>
      <c r="F605" s="30"/>
      <c r="G605" s="30"/>
    </row>
    <row r="606" spans="1:7" ht="14.25" customHeight="1">
      <c r="A606" s="1"/>
      <c r="B606" s="1"/>
      <c r="C606" s="1"/>
      <c r="D606" s="17"/>
      <c r="F606" s="30"/>
      <c r="G606" s="30"/>
    </row>
    <row r="607" spans="1:7" ht="14.25" customHeight="1">
      <c r="A607" s="1"/>
      <c r="B607" s="1"/>
      <c r="C607" s="1"/>
      <c r="D607" s="17"/>
      <c r="F607" s="30"/>
      <c r="G607" s="30"/>
    </row>
    <row r="608" spans="1:7" ht="14.25" customHeight="1">
      <c r="A608" s="1"/>
      <c r="B608" s="1"/>
      <c r="C608" s="1"/>
      <c r="D608" s="17"/>
      <c r="F608" s="30"/>
      <c r="G608" s="30"/>
    </row>
    <row r="609" spans="1:7" ht="14.25" customHeight="1">
      <c r="A609" s="1"/>
      <c r="B609" s="1"/>
      <c r="C609" s="1"/>
      <c r="D609" s="17"/>
      <c r="F609" s="30"/>
      <c r="G609" s="30"/>
    </row>
    <row r="610" spans="1:7" ht="14.25" customHeight="1">
      <c r="A610" s="1"/>
      <c r="B610" s="1"/>
      <c r="C610" s="1"/>
      <c r="D610" s="17"/>
      <c r="F610" s="30"/>
      <c r="G610" s="30"/>
    </row>
    <row r="611" spans="1:7" ht="14.25" customHeight="1">
      <c r="A611" s="1"/>
      <c r="B611" s="1"/>
      <c r="C611" s="1"/>
      <c r="D611" s="17"/>
      <c r="F611" s="30"/>
      <c r="G611" s="30"/>
    </row>
    <row r="612" spans="1:7" ht="14.25" customHeight="1">
      <c r="A612" s="1"/>
      <c r="B612" s="1"/>
      <c r="C612" s="1"/>
      <c r="D612" s="17"/>
      <c r="F612" s="30"/>
      <c r="G612" s="30"/>
    </row>
    <row r="613" spans="1:7" ht="14.25" customHeight="1">
      <c r="A613" s="1"/>
      <c r="B613" s="1"/>
      <c r="C613" s="1"/>
      <c r="D613" s="17"/>
      <c r="F613" s="30"/>
      <c r="G613" s="30"/>
    </row>
    <row r="614" spans="1:7" ht="14.25" customHeight="1">
      <c r="A614" s="1"/>
      <c r="B614" s="1"/>
      <c r="C614" s="1"/>
      <c r="D614" s="17"/>
      <c r="F614" s="30"/>
      <c r="G614" s="30"/>
    </row>
    <row r="615" spans="1:7" ht="14.25" customHeight="1">
      <c r="A615" s="1"/>
      <c r="B615" s="1"/>
      <c r="C615" s="1"/>
      <c r="D615" s="17"/>
      <c r="F615" s="30"/>
      <c r="G615" s="30"/>
    </row>
    <row r="616" spans="1:7" ht="14.25" customHeight="1">
      <c r="A616" s="1"/>
      <c r="B616" s="1"/>
      <c r="C616" s="1"/>
      <c r="D616" s="17"/>
      <c r="F616" s="30"/>
      <c r="G616" s="30"/>
    </row>
    <row r="617" spans="1:7" ht="14.25" customHeight="1">
      <c r="A617" s="1"/>
      <c r="B617" s="1"/>
      <c r="C617" s="1"/>
      <c r="D617" s="17"/>
      <c r="F617" s="30"/>
      <c r="G617" s="30"/>
    </row>
    <row r="618" spans="1:7" ht="14.25" customHeight="1">
      <c r="A618" s="1"/>
      <c r="B618" s="1"/>
      <c r="C618" s="1"/>
      <c r="D618" s="17"/>
      <c r="F618" s="30"/>
      <c r="G618" s="30"/>
    </row>
    <row r="619" spans="1:7" ht="14.25" customHeight="1">
      <c r="A619" s="1"/>
      <c r="B619" s="1"/>
      <c r="C619" s="1"/>
      <c r="D619" s="17"/>
      <c r="F619" s="30"/>
      <c r="G619" s="30"/>
    </row>
    <row r="620" spans="1:7" ht="14.25" customHeight="1">
      <c r="A620" s="1"/>
      <c r="B620" s="1"/>
      <c r="C620" s="1"/>
      <c r="D620" s="17"/>
      <c r="F620" s="30"/>
      <c r="G620" s="30"/>
    </row>
    <row r="621" spans="1:7" ht="14.25" customHeight="1">
      <c r="A621" s="1"/>
      <c r="B621" s="1"/>
      <c r="C621" s="1"/>
      <c r="D621" s="17"/>
      <c r="F621" s="30"/>
      <c r="G621" s="30"/>
    </row>
    <row r="622" spans="1:7" ht="14.25" customHeight="1">
      <c r="A622" s="1"/>
      <c r="B622" s="1"/>
      <c r="C622" s="1"/>
      <c r="D622" s="17"/>
      <c r="F622" s="30"/>
      <c r="G622" s="30"/>
    </row>
    <row r="623" spans="1:7" ht="14.25" customHeight="1">
      <c r="A623" s="1"/>
      <c r="B623" s="1"/>
      <c r="C623" s="1"/>
      <c r="D623" s="17"/>
      <c r="F623" s="30"/>
      <c r="G623" s="30"/>
    </row>
    <row r="624" spans="1:7" ht="14.25" customHeight="1">
      <c r="A624" s="1"/>
      <c r="B624" s="1"/>
      <c r="C624" s="1"/>
      <c r="D624" s="17"/>
      <c r="F624" s="30"/>
      <c r="G624" s="30"/>
    </row>
    <row r="625" spans="1:7" ht="14.25" customHeight="1">
      <c r="A625" s="1"/>
      <c r="B625" s="1"/>
      <c r="C625" s="1"/>
      <c r="D625" s="17"/>
      <c r="F625" s="30"/>
      <c r="G625" s="30"/>
    </row>
    <row r="626" spans="1:7" ht="14.25" customHeight="1">
      <c r="A626" s="1"/>
      <c r="B626" s="1"/>
      <c r="C626" s="1"/>
      <c r="D626" s="17"/>
      <c r="F626" s="30"/>
      <c r="G626" s="30"/>
    </row>
    <row r="627" spans="1:7" ht="14.25" customHeight="1">
      <c r="A627" s="1"/>
      <c r="B627" s="1"/>
      <c r="C627" s="1"/>
      <c r="D627" s="17"/>
      <c r="F627" s="30"/>
      <c r="G627" s="30"/>
    </row>
    <row r="628" spans="1:7" ht="14.25" customHeight="1">
      <c r="A628" s="1"/>
      <c r="B628" s="1"/>
      <c r="C628" s="1"/>
      <c r="D628" s="17"/>
      <c r="F628" s="30"/>
      <c r="G628" s="30"/>
    </row>
    <row r="629" spans="1:7" ht="14.25" customHeight="1">
      <c r="A629" s="1"/>
      <c r="B629" s="1"/>
      <c r="C629" s="1"/>
      <c r="D629" s="17"/>
      <c r="F629" s="30"/>
      <c r="G629" s="30"/>
    </row>
    <row r="630" spans="1:7" ht="14.25" customHeight="1">
      <c r="A630" s="1"/>
      <c r="B630" s="1"/>
      <c r="C630" s="1"/>
      <c r="D630" s="17"/>
      <c r="F630" s="30"/>
      <c r="G630" s="30"/>
    </row>
    <row r="631" spans="1:7" ht="14.25" customHeight="1">
      <c r="A631" s="1"/>
      <c r="B631" s="1"/>
      <c r="C631" s="1"/>
      <c r="D631" s="17"/>
      <c r="F631" s="30"/>
      <c r="G631" s="30"/>
    </row>
    <row r="632" spans="1:7" ht="14.25" customHeight="1">
      <c r="A632" s="1"/>
      <c r="B632" s="1"/>
      <c r="C632" s="1"/>
      <c r="D632" s="17"/>
      <c r="F632" s="30"/>
      <c r="G632" s="30"/>
    </row>
    <row r="633" spans="1:7" ht="14.25" customHeight="1">
      <c r="A633" s="1"/>
      <c r="B633" s="1"/>
      <c r="C633" s="1"/>
      <c r="D633" s="17"/>
      <c r="F633" s="30"/>
      <c r="G633" s="30"/>
    </row>
    <row r="634" spans="1:7" ht="14.25" customHeight="1">
      <c r="A634" s="1"/>
      <c r="B634" s="1"/>
      <c r="C634" s="1"/>
      <c r="D634" s="17"/>
      <c r="F634" s="30"/>
      <c r="G634" s="30"/>
    </row>
    <row r="635" spans="1:7" ht="14.25" customHeight="1">
      <c r="A635" s="1"/>
      <c r="B635" s="1"/>
      <c r="C635" s="1"/>
      <c r="D635" s="17"/>
      <c r="F635" s="30"/>
      <c r="G635" s="30"/>
    </row>
    <row r="636" spans="1:7" ht="14.25" customHeight="1">
      <c r="A636" s="1"/>
      <c r="B636" s="1"/>
      <c r="C636" s="1"/>
      <c r="D636" s="17"/>
      <c r="F636" s="30"/>
      <c r="G636" s="30"/>
    </row>
    <row r="637" spans="1:7" ht="14.25" customHeight="1">
      <c r="A637" s="1"/>
      <c r="B637" s="1"/>
      <c r="C637" s="1"/>
      <c r="D637" s="17"/>
      <c r="F637" s="30"/>
      <c r="G637" s="30"/>
    </row>
    <row r="638" spans="1:7" ht="14.25" customHeight="1">
      <c r="A638" s="1"/>
      <c r="B638" s="1"/>
      <c r="C638" s="1"/>
      <c r="D638" s="17"/>
      <c r="F638" s="30"/>
      <c r="G638" s="30"/>
    </row>
    <row r="639" spans="1:7" ht="14.25" customHeight="1">
      <c r="A639" s="1"/>
      <c r="B639" s="1"/>
      <c r="C639" s="1"/>
      <c r="D639" s="17"/>
      <c r="F639" s="30"/>
      <c r="G639" s="30"/>
    </row>
    <row r="640" spans="1:7" ht="14.25" customHeight="1">
      <c r="A640" s="1"/>
      <c r="B640" s="1"/>
      <c r="C640" s="1"/>
      <c r="D640" s="17"/>
      <c r="F640" s="30"/>
      <c r="G640" s="30"/>
    </row>
    <row r="641" spans="1:7" ht="14.25" customHeight="1">
      <c r="A641" s="1"/>
      <c r="B641" s="1"/>
      <c r="C641" s="1"/>
      <c r="D641" s="17"/>
      <c r="F641" s="30"/>
      <c r="G641" s="30"/>
    </row>
    <row r="642" spans="1:7" ht="14.25" customHeight="1">
      <c r="A642" s="1"/>
      <c r="B642" s="1"/>
      <c r="C642" s="1"/>
      <c r="D642" s="17"/>
      <c r="F642" s="30"/>
      <c r="G642" s="30"/>
    </row>
    <row r="643" spans="1:7" ht="14.25" customHeight="1">
      <c r="A643" s="1"/>
      <c r="B643" s="1"/>
      <c r="C643" s="1"/>
      <c r="D643" s="17"/>
      <c r="F643" s="30"/>
      <c r="G643" s="30"/>
    </row>
    <row r="644" spans="1:7" ht="14.25" customHeight="1">
      <c r="A644" s="1"/>
      <c r="B644" s="1"/>
      <c r="C644" s="1"/>
      <c r="D644" s="17"/>
      <c r="F644" s="30"/>
      <c r="G644" s="30"/>
    </row>
    <row r="645" spans="1:7" ht="14.25" customHeight="1">
      <c r="A645" s="1"/>
      <c r="B645" s="1"/>
      <c r="C645" s="1"/>
      <c r="D645" s="17"/>
      <c r="F645" s="30"/>
      <c r="G645" s="30"/>
    </row>
    <row r="646" spans="1:7" ht="14.25" customHeight="1">
      <c r="A646" s="1"/>
      <c r="B646" s="1"/>
      <c r="C646" s="1"/>
      <c r="D646" s="17"/>
      <c r="F646" s="30"/>
      <c r="G646" s="30"/>
    </row>
    <row r="647" spans="1:7" ht="14.25" customHeight="1">
      <c r="A647" s="1"/>
      <c r="B647" s="1"/>
      <c r="C647" s="1"/>
      <c r="D647" s="17"/>
      <c r="F647" s="30"/>
      <c r="G647" s="30"/>
    </row>
    <row r="648" spans="1:7" ht="14.25" customHeight="1">
      <c r="A648" s="1"/>
      <c r="B648" s="1"/>
      <c r="C648" s="1"/>
      <c r="D648" s="17"/>
      <c r="F648" s="30"/>
      <c r="G648" s="30"/>
    </row>
    <row r="649" spans="1:7" ht="14.25" customHeight="1">
      <c r="A649" s="1"/>
      <c r="B649" s="1"/>
      <c r="C649" s="1"/>
      <c r="D649" s="17"/>
      <c r="F649" s="30"/>
      <c r="G649" s="30"/>
    </row>
    <row r="650" spans="1:7" ht="14.25" customHeight="1">
      <c r="A650" s="1"/>
      <c r="B650" s="1"/>
      <c r="C650" s="1"/>
      <c r="D650" s="17"/>
      <c r="F650" s="30"/>
      <c r="G650" s="30"/>
    </row>
    <row r="651" spans="1:7" ht="14.25" customHeight="1">
      <c r="A651" s="1"/>
      <c r="B651" s="1"/>
      <c r="C651" s="1"/>
      <c r="D651" s="17"/>
      <c r="F651" s="30"/>
      <c r="G651" s="30"/>
    </row>
    <row r="652" spans="1:7" ht="14.25" customHeight="1">
      <c r="A652" s="1"/>
      <c r="B652" s="1"/>
      <c r="C652" s="1"/>
      <c r="D652" s="17"/>
      <c r="F652" s="30"/>
      <c r="G652" s="30"/>
    </row>
    <row r="653" spans="1:7" ht="14.25" customHeight="1">
      <c r="A653" s="1"/>
      <c r="B653" s="1"/>
      <c r="C653" s="1"/>
      <c r="D653" s="17"/>
      <c r="F653" s="30"/>
      <c r="G653" s="30"/>
    </row>
    <row r="654" spans="1:7" ht="14.25" customHeight="1">
      <c r="A654" s="1"/>
      <c r="B654" s="1"/>
      <c r="C654" s="1"/>
      <c r="D654" s="17"/>
      <c r="F654" s="30"/>
      <c r="G654" s="30"/>
    </row>
    <row r="655" spans="1:7" ht="14.25" customHeight="1">
      <c r="A655" s="1"/>
      <c r="B655" s="1"/>
      <c r="C655" s="1"/>
      <c r="D655" s="17"/>
      <c r="F655" s="30"/>
      <c r="G655" s="30"/>
    </row>
    <row r="656" spans="1:7" ht="14.25" customHeight="1">
      <c r="A656" s="1"/>
      <c r="B656" s="1"/>
      <c r="C656" s="1"/>
      <c r="D656" s="17"/>
      <c r="F656" s="30"/>
      <c r="G656" s="30"/>
    </row>
    <row r="657" spans="1:7" ht="14.25" customHeight="1">
      <c r="A657" s="1"/>
      <c r="B657" s="1"/>
      <c r="C657" s="1"/>
      <c r="D657" s="17"/>
      <c r="F657" s="30"/>
      <c r="G657" s="30"/>
    </row>
    <row r="658" spans="1:7" ht="14.25" customHeight="1">
      <c r="A658" s="1"/>
      <c r="B658" s="1"/>
      <c r="C658" s="1"/>
      <c r="D658" s="17"/>
      <c r="F658" s="30"/>
      <c r="G658" s="30"/>
    </row>
    <row r="659" spans="1:7" ht="14.25" customHeight="1">
      <c r="A659" s="1"/>
      <c r="B659" s="1"/>
      <c r="C659" s="1"/>
      <c r="D659" s="17"/>
      <c r="F659" s="30"/>
      <c r="G659" s="30"/>
    </row>
    <row r="660" spans="1:7" ht="14.25" customHeight="1">
      <c r="A660" s="1"/>
      <c r="B660" s="1"/>
      <c r="C660" s="1"/>
      <c r="D660" s="17"/>
      <c r="F660" s="30"/>
      <c r="G660" s="30"/>
    </row>
    <row r="661" spans="1:7" ht="14.25" customHeight="1">
      <c r="A661" s="1"/>
      <c r="B661" s="1"/>
      <c r="C661" s="1"/>
      <c r="D661" s="17"/>
      <c r="F661" s="30"/>
      <c r="G661" s="30"/>
    </row>
    <row r="662" spans="1:7" ht="14.25" customHeight="1">
      <c r="A662" s="1"/>
      <c r="B662" s="1"/>
      <c r="C662" s="1"/>
      <c r="D662" s="17"/>
      <c r="F662" s="30"/>
      <c r="G662" s="30"/>
    </row>
    <row r="663" spans="1:7" ht="14.25" customHeight="1">
      <c r="A663" s="1"/>
      <c r="B663" s="1"/>
      <c r="C663" s="1"/>
      <c r="D663" s="17"/>
      <c r="F663" s="30"/>
      <c r="G663" s="30"/>
    </row>
    <row r="664" spans="1:7" ht="14.25" customHeight="1">
      <c r="A664" s="1"/>
      <c r="B664" s="1"/>
      <c r="C664" s="1"/>
      <c r="D664" s="17"/>
      <c r="F664" s="30"/>
      <c r="G664" s="30"/>
    </row>
    <row r="665" spans="1:7" ht="14.25" customHeight="1">
      <c r="A665" s="1"/>
      <c r="B665" s="1"/>
      <c r="C665" s="1"/>
      <c r="D665" s="17"/>
      <c r="F665" s="30"/>
      <c r="G665" s="30"/>
    </row>
    <row r="666" spans="1:7" ht="14.25" customHeight="1">
      <c r="A666" s="1"/>
      <c r="B666" s="1"/>
      <c r="C666" s="1"/>
      <c r="D666" s="17"/>
      <c r="F666" s="30"/>
      <c r="G666" s="30"/>
    </row>
    <row r="667" spans="1:7" ht="14.25" customHeight="1">
      <c r="A667" s="1"/>
      <c r="B667" s="1"/>
      <c r="C667" s="1"/>
      <c r="D667" s="17"/>
      <c r="F667" s="30"/>
      <c r="G667" s="30"/>
    </row>
    <row r="668" spans="1:7" ht="14.25" customHeight="1">
      <c r="A668" s="1"/>
      <c r="B668" s="1"/>
      <c r="C668" s="1"/>
      <c r="D668" s="17"/>
      <c r="F668" s="30"/>
      <c r="G668" s="30"/>
    </row>
    <row r="669" spans="1:7" ht="14.25" customHeight="1">
      <c r="A669" s="1"/>
      <c r="B669" s="1"/>
      <c r="C669" s="1"/>
      <c r="D669" s="17"/>
      <c r="F669" s="30"/>
      <c r="G669" s="30"/>
    </row>
    <row r="670" spans="1:7" ht="14.25" customHeight="1">
      <c r="A670" s="1"/>
      <c r="B670" s="1"/>
      <c r="C670" s="1"/>
      <c r="D670" s="17"/>
      <c r="F670" s="30"/>
      <c r="G670" s="30"/>
    </row>
    <row r="671" spans="1:7" ht="14.25" customHeight="1">
      <c r="A671" s="1"/>
      <c r="B671" s="1"/>
      <c r="C671" s="1"/>
      <c r="D671" s="17"/>
      <c r="F671" s="30"/>
      <c r="G671" s="30"/>
    </row>
    <row r="672" spans="1:7" ht="14.25" customHeight="1">
      <c r="A672" s="1"/>
      <c r="B672" s="1"/>
      <c r="C672" s="1"/>
      <c r="D672" s="17"/>
      <c r="F672" s="30"/>
      <c r="G672" s="30"/>
    </row>
    <row r="673" spans="1:7" ht="14.25" customHeight="1">
      <c r="A673" s="1"/>
      <c r="B673" s="1"/>
      <c r="C673" s="1"/>
      <c r="D673" s="17"/>
      <c r="F673" s="30"/>
      <c r="G673" s="30"/>
    </row>
    <row r="674" spans="1:7" ht="14.25" customHeight="1">
      <c r="A674" s="1"/>
      <c r="B674" s="1"/>
      <c r="C674" s="1"/>
      <c r="D674" s="17"/>
      <c r="F674" s="30"/>
      <c r="G674" s="30"/>
    </row>
    <row r="675" spans="1:7" ht="14.25" customHeight="1">
      <c r="A675" s="1"/>
      <c r="B675" s="1"/>
      <c r="C675" s="1"/>
      <c r="D675" s="17"/>
      <c r="F675" s="30"/>
      <c r="G675" s="30"/>
    </row>
    <row r="676" spans="1:7" ht="14.25" customHeight="1">
      <c r="A676" s="1"/>
      <c r="B676" s="1"/>
      <c r="C676" s="1"/>
      <c r="D676" s="17"/>
      <c r="F676" s="30"/>
      <c r="G676" s="30"/>
    </row>
    <row r="677" spans="1:7" ht="14.25" customHeight="1">
      <c r="A677" s="1"/>
      <c r="B677" s="1"/>
      <c r="C677" s="1"/>
      <c r="D677" s="17"/>
      <c r="F677" s="30"/>
      <c r="G677" s="30"/>
    </row>
    <row r="678" spans="1:7" ht="14.25" customHeight="1">
      <c r="A678" s="1"/>
      <c r="B678" s="1"/>
      <c r="C678" s="1"/>
      <c r="D678" s="17"/>
      <c r="F678" s="30"/>
      <c r="G678" s="30"/>
    </row>
    <row r="679" spans="1:7" ht="14.25" customHeight="1">
      <c r="A679" s="1"/>
      <c r="B679" s="1"/>
      <c r="C679" s="1"/>
      <c r="D679" s="17"/>
      <c r="F679" s="30"/>
      <c r="G679" s="30"/>
    </row>
    <row r="680" spans="1:7" ht="14.25" customHeight="1">
      <c r="A680" s="1"/>
      <c r="B680" s="1"/>
      <c r="C680" s="1"/>
      <c r="D680" s="17"/>
      <c r="F680" s="30"/>
      <c r="G680" s="30"/>
    </row>
    <row r="681" spans="1:7" ht="14.25" customHeight="1">
      <c r="A681" s="1"/>
      <c r="B681" s="1"/>
      <c r="C681" s="1"/>
      <c r="D681" s="17"/>
      <c r="F681" s="30"/>
      <c r="G681" s="30"/>
    </row>
    <row r="682" spans="1:7" ht="14.25" customHeight="1">
      <c r="A682" s="1"/>
      <c r="B682" s="1"/>
      <c r="C682" s="1"/>
      <c r="D682" s="17"/>
      <c r="F682" s="30"/>
      <c r="G682" s="30"/>
    </row>
    <row r="683" spans="1:7" ht="14.25" customHeight="1">
      <c r="A683" s="1"/>
      <c r="B683" s="1"/>
      <c r="C683" s="1"/>
      <c r="D683" s="17"/>
      <c r="F683" s="30"/>
      <c r="G683" s="30"/>
    </row>
    <row r="684" spans="1:7" ht="14.25" customHeight="1">
      <c r="A684" s="1"/>
      <c r="B684" s="1"/>
      <c r="C684" s="1"/>
      <c r="D684" s="17"/>
      <c r="F684" s="30"/>
      <c r="G684" s="30"/>
    </row>
    <row r="685" spans="1:7" ht="14.25" customHeight="1">
      <c r="A685" s="1"/>
      <c r="B685" s="1"/>
      <c r="C685" s="1"/>
      <c r="D685" s="17"/>
      <c r="F685" s="30"/>
      <c r="G685" s="30"/>
    </row>
    <row r="686" spans="1:7" ht="14.25" customHeight="1">
      <c r="A686" s="1"/>
      <c r="B686" s="1"/>
      <c r="C686" s="1"/>
      <c r="D686" s="17"/>
      <c r="F686" s="30"/>
      <c r="G686" s="30"/>
    </row>
    <row r="687" spans="1:7" ht="14.25" customHeight="1">
      <c r="A687" s="1"/>
      <c r="B687" s="1"/>
      <c r="C687" s="1"/>
      <c r="D687" s="17"/>
      <c r="F687" s="30"/>
      <c r="G687" s="30"/>
    </row>
    <row r="688" spans="1:7" ht="14.25" customHeight="1">
      <c r="A688" s="1"/>
      <c r="B688" s="1"/>
      <c r="C688" s="1"/>
      <c r="D688" s="17"/>
      <c r="F688" s="30"/>
      <c r="G688" s="30"/>
    </row>
    <row r="689" spans="1:7" ht="14.25" customHeight="1">
      <c r="A689" s="1"/>
      <c r="B689" s="1"/>
      <c r="C689" s="1"/>
      <c r="D689" s="17"/>
      <c r="F689" s="30"/>
      <c r="G689" s="30"/>
    </row>
    <row r="690" spans="1:7" ht="14.25" customHeight="1">
      <c r="A690" s="1"/>
      <c r="B690" s="1"/>
      <c r="C690" s="1"/>
      <c r="D690" s="17"/>
      <c r="F690" s="30"/>
      <c r="G690" s="30"/>
    </row>
    <row r="691" spans="1:7" ht="14.25" customHeight="1">
      <c r="A691" s="1"/>
      <c r="B691" s="1"/>
      <c r="C691" s="1"/>
      <c r="D691" s="17"/>
      <c r="F691" s="30"/>
      <c r="G691" s="30"/>
    </row>
    <row r="692" spans="1:7" ht="14.25" customHeight="1">
      <c r="A692" s="1"/>
      <c r="B692" s="1"/>
      <c r="C692" s="1"/>
      <c r="D692" s="17"/>
      <c r="F692" s="30"/>
      <c r="G692" s="30"/>
    </row>
    <row r="693" spans="1:7" ht="14.25" customHeight="1">
      <c r="A693" s="1"/>
      <c r="B693" s="1"/>
      <c r="C693" s="1"/>
      <c r="D693" s="17"/>
      <c r="F693" s="30"/>
      <c r="G693" s="30"/>
    </row>
    <row r="694" spans="1:7" ht="14.25" customHeight="1">
      <c r="A694" s="1"/>
      <c r="B694" s="1"/>
      <c r="C694" s="1"/>
      <c r="D694" s="17"/>
      <c r="F694" s="30"/>
      <c r="G694" s="30"/>
    </row>
    <row r="695" spans="1:7" ht="14.25" customHeight="1">
      <c r="A695" s="1"/>
      <c r="B695" s="1"/>
      <c r="C695" s="1"/>
      <c r="D695" s="17"/>
      <c r="F695" s="30"/>
      <c r="G695" s="30"/>
    </row>
    <row r="696" spans="1:7" ht="14.25" customHeight="1">
      <c r="A696" s="1"/>
      <c r="B696" s="1"/>
      <c r="C696" s="1"/>
      <c r="D696" s="17"/>
      <c r="F696" s="30"/>
      <c r="G696" s="30"/>
    </row>
    <row r="697" spans="1:7" ht="14.25" customHeight="1">
      <c r="A697" s="1"/>
      <c r="B697" s="1"/>
      <c r="C697" s="1"/>
      <c r="D697" s="17"/>
      <c r="F697" s="30"/>
      <c r="G697" s="30"/>
    </row>
    <row r="698" spans="1:7" ht="14.25" customHeight="1">
      <c r="A698" s="1"/>
      <c r="B698" s="1"/>
      <c r="C698" s="1"/>
      <c r="D698" s="17"/>
      <c r="F698" s="30"/>
      <c r="G698" s="30"/>
    </row>
    <row r="699" spans="1:7" ht="14.25" customHeight="1">
      <c r="A699" s="1"/>
      <c r="B699" s="1"/>
      <c r="C699" s="1"/>
      <c r="D699" s="17"/>
      <c r="F699" s="30"/>
      <c r="G699" s="30"/>
    </row>
    <row r="700" spans="1:7" ht="14.25" customHeight="1">
      <c r="A700" s="1"/>
      <c r="B700" s="1"/>
      <c r="C700" s="1"/>
      <c r="D700" s="17"/>
      <c r="F700" s="30"/>
      <c r="G700" s="30"/>
    </row>
    <row r="701" spans="1:7" ht="14.25" customHeight="1">
      <c r="A701" s="1"/>
      <c r="B701" s="1"/>
      <c r="C701" s="1"/>
      <c r="D701" s="17"/>
      <c r="F701" s="30"/>
      <c r="G701" s="30"/>
    </row>
    <row r="702" spans="1:7" ht="14.25" customHeight="1">
      <c r="A702" s="1"/>
      <c r="B702" s="1"/>
      <c r="C702" s="1"/>
      <c r="D702" s="17"/>
      <c r="F702" s="30"/>
      <c r="G702" s="30"/>
    </row>
    <row r="703" spans="1:7" ht="14.25" customHeight="1">
      <c r="A703" s="1"/>
      <c r="B703" s="1"/>
      <c r="C703" s="1"/>
      <c r="D703" s="17"/>
      <c r="F703" s="30"/>
      <c r="G703" s="30"/>
    </row>
    <row r="704" spans="1:7" ht="14.25" customHeight="1">
      <c r="A704" s="1"/>
      <c r="B704" s="1"/>
      <c r="C704" s="1"/>
      <c r="D704" s="17"/>
      <c r="F704" s="30"/>
      <c r="G704" s="30"/>
    </row>
    <row r="705" spans="1:7" ht="14.25" customHeight="1">
      <c r="A705" s="1"/>
      <c r="B705" s="1"/>
      <c r="C705" s="1"/>
      <c r="D705" s="17"/>
      <c r="F705" s="30"/>
      <c r="G705" s="30"/>
    </row>
    <row r="706" spans="1:7" ht="14.25" customHeight="1">
      <c r="A706" s="1"/>
      <c r="B706" s="1"/>
      <c r="C706" s="1"/>
      <c r="D706" s="17"/>
      <c r="F706" s="30"/>
      <c r="G706" s="30"/>
    </row>
    <row r="707" spans="1:7" ht="14.25" customHeight="1">
      <c r="A707" s="1"/>
      <c r="B707" s="1"/>
      <c r="C707" s="1"/>
      <c r="D707" s="17"/>
      <c r="F707" s="30"/>
      <c r="G707" s="30"/>
    </row>
    <row r="708" spans="1:7" ht="14.25" customHeight="1">
      <c r="A708" s="1"/>
      <c r="B708" s="1"/>
      <c r="C708" s="1"/>
      <c r="D708" s="17"/>
      <c r="F708" s="30"/>
      <c r="G708" s="30"/>
    </row>
    <row r="709" spans="1:7" ht="14.25" customHeight="1">
      <c r="A709" s="1"/>
      <c r="B709" s="1"/>
      <c r="C709" s="1"/>
      <c r="D709" s="17"/>
      <c r="F709" s="30"/>
      <c r="G709" s="30"/>
    </row>
    <row r="710" spans="1:7" ht="14.25" customHeight="1">
      <c r="A710" s="1"/>
      <c r="B710" s="1"/>
      <c r="C710" s="1"/>
      <c r="D710" s="17"/>
      <c r="F710" s="30"/>
      <c r="G710" s="30"/>
    </row>
    <row r="711" spans="1:7" ht="14.25" customHeight="1">
      <c r="A711" s="1"/>
      <c r="B711" s="1"/>
      <c r="C711" s="1"/>
      <c r="D711" s="17"/>
      <c r="F711" s="30"/>
      <c r="G711" s="30"/>
    </row>
    <row r="712" spans="1:7" ht="14.25" customHeight="1">
      <c r="A712" s="1"/>
      <c r="B712" s="1"/>
      <c r="C712" s="1"/>
      <c r="D712" s="17"/>
      <c r="F712" s="30"/>
      <c r="G712" s="30"/>
    </row>
    <row r="713" spans="1:7" ht="14.25" customHeight="1">
      <c r="A713" s="1"/>
      <c r="B713" s="1"/>
      <c r="C713" s="1"/>
      <c r="D713" s="17"/>
      <c r="F713" s="30"/>
      <c r="G713" s="30"/>
    </row>
    <row r="714" spans="1:7" ht="14.25" customHeight="1">
      <c r="A714" s="1"/>
      <c r="B714" s="1"/>
      <c r="C714" s="1"/>
      <c r="D714" s="17"/>
      <c r="F714" s="30"/>
      <c r="G714" s="30"/>
    </row>
    <row r="715" spans="1:7" ht="14.25" customHeight="1">
      <c r="A715" s="1"/>
      <c r="B715" s="1"/>
      <c r="C715" s="1"/>
      <c r="D715" s="17"/>
      <c r="F715" s="30"/>
      <c r="G715" s="30"/>
    </row>
    <row r="716" spans="1:7" ht="14.25" customHeight="1">
      <c r="A716" s="1"/>
      <c r="B716" s="1"/>
      <c r="C716" s="1"/>
      <c r="D716" s="17"/>
      <c r="F716" s="30"/>
      <c r="G716" s="30"/>
    </row>
    <row r="717" spans="1:7" ht="14.25" customHeight="1">
      <c r="A717" s="1"/>
      <c r="B717" s="1"/>
      <c r="C717" s="1"/>
      <c r="D717" s="17"/>
      <c r="F717" s="30"/>
      <c r="G717" s="30"/>
    </row>
    <row r="718" spans="1:7" ht="14.25" customHeight="1">
      <c r="A718" s="1"/>
      <c r="B718" s="1"/>
      <c r="C718" s="1"/>
      <c r="D718" s="17"/>
      <c r="F718" s="30"/>
      <c r="G718" s="30"/>
    </row>
    <row r="719" spans="1:7" ht="14.25" customHeight="1">
      <c r="A719" s="1"/>
      <c r="B719" s="1"/>
      <c r="C719" s="1"/>
      <c r="D719" s="17"/>
      <c r="F719" s="30"/>
      <c r="G719" s="30"/>
    </row>
    <row r="720" spans="1:7" ht="14.25" customHeight="1">
      <c r="A720" s="1"/>
      <c r="B720" s="1"/>
      <c r="C720" s="1"/>
      <c r="D720" s="17"/>
      <c r="F720" s="30"/>
      <c r="G720" s="30"/>
    </row>
    <row r="721" spans="1:7" ht="14.25" customHeight="1">
      <c r="A721" s="1"/>
      <c r="B721" s="1"/>
      <c r="C721" s="1"/>
      <c r="D721" s="17"/>
      <c r="F721" s="30"/>
      <c r="G721" s="30"/>
    </row>
    <row r="722" spans="1:7" ht="14.25" customHeight="1">
      <c r="A722" s="1"/>
      <c r="B722" s="1"/>
      <c r="C722" s="1"/>
      <c r="D722" s="17"/>
      <c r="F722" s="30"/>
      <c r="G722" s="30"/>
    </row>
    <row r="723" spans="1:7" ht="14.25" customHeight="1">
      <c r="A723" s="1"/>
      <c r="B723" s="1"/>
      <c r="C723" s="1"/>
      <c r="D723" s="17"/>
      <c r="F723" s="30"/>
      <c r="G723" s="30"/>
    </row>
    <row r="724" spans="1:7" ht="14.25" customHeight="1">
      <c r="A724" s="1"/>
      <c r="B724" s="1"/>
      <c r="C724" s="1"/>
      <c r="D724" s="17"/>
      <c r="F724" s="30"/>
      <c r="G724" s="30"/>
    </row>
    <row r="725" spans="1:7" ht="14.25" customHeight="1">
      <c r="A725" s="1"/>
      <c r="B725" s="1"/>
      <c r="C725" s="1"/>
      <c r="D725" s="17"/>
      <c r="F725" s="30"/>
      <c r="G725" s="30"/>
    </row>
    <row r="726" spans="1:7" ht="14.25" customHeight="1">
      <c r="A726" s="1"/>
      <c r="B726" s="1"/>
      <c r="C726" s="1"/>
      <c r="D726" s="17"/>
      <c r="F726" s="30"/>
      <c r="G726" s="30"/>
    </row>
    <row r="727" spans="1:7" ht="14.25" customHeight="1">
      <c r="A727" s="1"/>
      <c r="B727" s="1"/>
      <c r="C727" s="1"/>
      <c r="D727" s="17"/>
      <c r="F727" s="30"/>
      <c r="G727" s="30"/>
    </row>
    <row r="728" spans="1:7" ht="14.25" customHeight="1">
      <c r="A728" s="1"/>
      <c r="B728" s="1"/>
      <c r="C728" s="1"/>
      <c r="D728" s="17"/>
      <c r="F728" s="30"/>
      <c r="G728" s="30"/>
    </row>
    <row r="729" spans="1:7" ht="14.25" customHeight="1">
      <c r="A729" s="1"/>
      <c r="B729" s="1"/>
      <c r="C729" s="1"/>
      <c r="D729" s="17"/>
      <c r="F729" s="30"/>
      <c r="G729" s="30"/>
    </row>
    <row r="730" spans="1:7" ht="14.25" customHeight="1">
      <c r="A730" s="1"/>
      <c r="B730" s="1"/>
      <c r="C730" s="1"/>
      <c r="D730" s="17"/>
      <c r="F730" s="30"/>
      <c r="G730" s="30"/>
    </row>
    <row r="731" spans="1:7" ht="14.25" customHeight="1">
      <c r="A731" s="1"/>
      <c r="B731" s="1"/>
      <c r="C731" s="1"/>
      <c r="D731" s="17"/>
      <c r="F731" s="30"/>
      <c r="G731" s="30"/>
    </row>
    <row r="732" spans="1:7" ht="14.25" customHeight="1">
      <c r="A732" s="1"/>
      <c r="B732" s="1"/>
      <c r="C732" s="1"/>
      <c r="D732" s="17"/>
      <c r="F732" s="30"/>
      <c r="G732" s="30"/>
    </row>
    <row r="733" spans="1:7" ht="14.25" customHeight="1">
      <c r="A733" s="1"/>
      <c r="B733" s="1"/>
      <c r="C733" s="1"/>
      <c r="D733" s="17"/>
      <c r="F733" s="30"/>
      <c r="G733" s="30"/>
    </row>
    <row r="734" spans="1:7" ht="14.25" customHeight="1">
      <c r="A734" s="1"/>
      <c r="B734" s="1"/>
      <c r="C734" s="1"/>
      <c r="D734" s="17"/>
      <c r="F734" s="30"/>
      <c r="G734" s="30"/>
    </row>
    <row r="735" spans="1:7" ht="14.25" customHeight="1">
      <c r="A735" s="1"/>
      <c r="B735" s="1"/>
      <c r="C735" s="1"/>
      <c r="D735" s="17"/>
      <c r="F735" s="30"/>
      <c r="G735" s="30"/>
    </row>
    <row r="736" spans="1:7" ht="14.25" customHeight="1">
      <c r="A736" s="1"/>
      <c r="B736" s="1"/>
      <c r="C736" s="1"/>
      <c r="D736" s="17"/>
      <c r="F736" s="30"/>
      <c r="G736" s="30"/>
    </row>
    <row r="737" spans="1:7" ht="14.25" customHeight="1">
      <c r="A737" s="1"/>
      <c r="B737" s="1"/>
      <c r="C737" s="1"/>
      <c r="D737" s="17"/>
      <c r="F737" s="30"/>
      <c r="G737" s="30"/>
    </row>
    <row r="738" spans="1:7" ht="14.25" customHeight="1">
      <c r="A738" s="1"/>
      <c r="B738" s="1"/>
      <c r="C738" s="1"/>
      <c r="D738" s="17"/>
      <c r="F738" s="30"/>
      <c r="G738" s="30"/>
    </row>
    <row r="739" spans="1:7" ht="14.25" customHeight="1">
      <c r="A739" s="1"/>
      <c r="B739" s="1"/>
      <c r="C739" s="1"/>
      <c r="D739" s="17"/>
      <c r="F739" s="30"/>
      <c r="G739" s="30"/>
    </row>
    <row r="740" spans="1:7" ht="14.25" customHeight="1">
      <c r="A740" s="1"/>
      <c r="B740" s="1"/>
      <c r="C740" s="1"/>
      <c r="D740" s="17"/>
      <c r="F740" s="30"/>
      <c r="G740" s="30"/>
    </row>
    <row r="741" spans="1:7" ht="14.25" customHeight="1">
      <c r="A741" s="1"/>
      <c r="B741" s="1"/>
      <c r="C741" s="1"/>
      <c r="D741" s="17"/>
      <c r="F741" s="30"/>
      <c r="G741" s="30"/>
    </row>
    <row r="742" spans="1:7" ht="14.25" customHeight="1">
      <c r="A742" s="1"/>
      <c r="B742" s="1"/>
      <c r="C742" s="1"/>
      <c r="D742" s="17"/>
      <c r="F742" s="30"/>
      <c r="G742" s="30"/>
    </row>
    <row r="743" spans="1:7" ht="14.25" customHeight="1">
      <c r="A743" s="1"/>
      <c r="B743" s="1"/>
      <c r="C743" s="1"/>
      <c r="D743" s="17"/>
      <c r="F743" s="30"/>
      <c r="G743" s="30"/>
    </row>
    <row r="744" spans="1:7" ht="14.25" customHeight="1">
      <c r="A744" s="1"/>
      <c r="B744" s="1"/>
      <c r="C744" s="1"/>
      <c r="D744" s="17"/>
      <c r="F744" s="30"/>
      <c r="G744" s="30"/>
    </row>
    <row r="745" spans="1:7" ht="14.25" customHeight="1">
      <c r="A745" s="1"/>
      <c r="B745" s="1"/>
      <c r="C745" s="1"/>
      <c r="D745" s="17"/>
      <c r="F745" s="30"/>
      <c r="G745" s="30"/>
    </row>
    <row r="746" spans="1:7" ht="14.25" customHeight="1">
      <c r="A746" s="1"/>
      <c r="B746" s="1"/>
      <c r="C746" s="1"/>
      <c r="D746" s="17"/>
      <c r="F746" s="30"/>
      <c r="G746" s="30"/>
    </row>
    <row r="747" spans="1:7" ht="14.25" customHeight="1">
      <c r="A747" s="1"/>
      <c r="B747" s="1"/>
      <c r="C747" s="1"/>
      <c r="D747" s="17"/>
      <c r="F747" s="30"/>
      <c r="G747" s="30"/>
    </row>
    <row r="748" spans="1:7" ht="14.25" customHeight="1">
      <c r="A748" s="1"/>
      <c r="B748" s="1"/>
      <c r="C748" s="1"/>
      <c r="D748" s="17"/>
      <c r="F748" s="30"/>
      <c r="G748" s="30"/>
    </row>
    <row r="749" spans="1:7" ht="14.25" customHeight="1">
      <c r="A749" s="1"/>
      <c r="B749" s="1"/>
      <c r="C749" s="1"/>
      <c r="D749" s="17"/>
      <c r="F749" s="30"/>
      <c r="G749" s="30"/>
    </row>
    <row r="750" spans="1:7" ht="14.25" customHeight="1">
      <c r="A750" s="1"/>
      <c r="B750" s="1"/>
      <c r="C750" s="1"/>
      <c r="D750" s="17"/>
      <c r="F750" s="30"/>
      <c r="G750" s="30"/>
    </row>
    <row r="751" spans="1:7" ht="14.25" customHeight="1">
      <c r="A751" s="1"/>
      <c r="B751" s="1"/>
      <c r="C751" s="1"/>
      <c r="D751" s="17"/>
      <c r="F751" s="30"/>
      <c r="G751" s="30"/>
    </row>
    <row r="752" spans="1:7" ht="14.25" customHeight="1">
      <c r="A752" s="1"/>
      <c r="B752" s="1"/>
      <c r="C752" s="1"/>
      <c r="D752" s="17"/>
      <c r="F752" s="30"/>
      <c r="G752" s="30"/>
    </row>
    <row r="753" spans="1:7" ht="14.25" customHeight="1">
      <c r="A753" s="1"/>
      <c r="B753" s="1"/>
      <c r="C753" s="1"/>
      <c r="D753" s="17"/>
      <c r="F753" s="30"/>
      <c r="G753" s="30"/>
    </row>
    <row r="754" spans="1:7" ht="14.25" customHeight="1">
      <c r="A754" s="1"/>
      <c r="B754" s="1"/>
      <c r="C754" s="1"/>
      <c r="D754" s="17"/>
      <c r="F754" s="30"/>
      <c r="G754" s="30"/>
    </row>
    <row r="755" spans="1:7" ht="14.25" customHeight="1">
      <c r="A755" s="1"/>
      <c r="B755" s="1"/>
      <c r="C755" s="1"/>
      <c r="D755" s="17"/>
      <c r="F755" s="30"/>
      <c r="G755" s="30"/>
    </row>
    <row r="756" spans="1:7" ht="14.25" customHeight="1">
      <c r="A756" s="1"/>
      <c r="B756" s="1"/>
      <c r="C756" s="1"/>
      <c r="D756" s="17"/>
      <c r="F756" s="30"/>
      <c r="G756" s="30"/>
    </row>
    <row r="757" spans="1:7" ht="14.25" customHeight="1">
      <c r="A757" s="1"/>
      <c r="B757" s="1"/>
      <c r="C757" s="1"/>
      <c r="D757" s="17"/>
      <c r="F757" s="30"/>
      <c r="G757" s="30"/>
    </row>
    <row r="758" spans="1:7" ht="14.25" customHeight="1">
      <c r="A758" s="1"/>
      <c r="B758" s="1"/>
      <c r="C758" s="1"/>
      <c r="D758" s="17"/>
      <c r="F758" s="30"/>
      <c r="G758" s="30"/>
    </row>
    <row r="759" spans="1:7" ht="14.25" customHeight="1">
      <c r="A759" s="1"/>
      <c r="B759" s="1"/>
      <c r="C759" s="1"/>
      <c r="D759" s="17"/>
      <c r="F759" s="30"/>
      <c r="G759" s="30"/>
    </row>
    <row r="760" spans="1:7" ht="14.25" customHeight="1">
      <c r="A760" s="1"/>
      <c r="B760" s="1"/>
      <c r="C760" s="1"/>
      <c r="D760" s="17"/>
      <c r="F760" s="30"/>
      <c r="G760" s="30"/>
    </row>
    <row r="761" spans="1:7" ht="14.25" customHeight="1">
      <c r="A761" s="1"/>
      <c r="B761" s="1"/>
      <c r="C761" s="1"/>
      <c r="D761" s="17"/>
      <c r="F761" s="30"/>
      <c r="G761" s="30"/>
    </row>
    <row r="762" spans="1:7" ht="14.25" customHeight="1">
      <c r="A762" s="1"/>
      <c r="B762" s="1"/>
      <c r="C762" s="1"/>
      <c r="D762" s="17"/>
      <c r="F762" s="30"/>
      <c r="G762" s="30"/>
    </row>
    <row r="763" spans="1:7" ht="14.25" customHeight="1">
      <c r="A763" s="1"/>
      <c r="B763" s="1"/>
      <c r="C763" s="1"/>
      <c r="D763" s="17"/>
      <c r="F763" s="30"/>
      <c r="G763" s="30"/>
    </row>
    <row r="764" spans="1:7" ht="14.25" customHeight="1">
      <c r="A764" s="1"/>
      <c r="B764" s="1"/>
      <c r="C764" s="1"/>
      <c r="D764" s="17"/>
      <c r="F764" s="30"/>
      <c r="G764" s="30"/>
    </row>
    <row r="765" spans="1:7" ht="14.25" customHeight="1">
      <c r="A765" s="1"/>
      <c r="B765" s="1"/>
      <c r="C765" s="1"/>
      <c r="D765" s="17"/>
      <c r="F765" s="30"/>
      <c r="G765" s="30"/>
    </row>
    <row r="766" spans="1:7" ht="14.25" customHeight="1">
      <c r="A766" s="1"/>
      <c r="B766" s="1"/>
      <c r="C766" s="1"/>
      <c r="D766" s="17"/>
      <c r="F766" s="30"/>
      <c r="G766" s="30"/>
    </row>
    <row r="767" spans="1:7" ht="14.25" customHeight="1">
      <c r="A767" s="1"/>
      <c r="B767" s="1"/>
      <c r="C767" s="1"/>
      <c r="D767" s="17"/>
      <c r="F767" s="30"/>
      <c r="G767" s="30"/>
    </row>
    <row r="768" spans="1:7" ht="14.25" customHeight="1">
      <c r="A768" s="1"/>
      <c r="B768" s="1"/>
      <c r="C768" s="1"/>
      <c r="D768" s="17"/>
      <c r="F768" s="30"/>
      <c r="G768" s="30"/>
    </row>
    <row r="769" spans="1:7" ht="14.25" customHeight="1">
      <c r="A769" s="1"/>
      <c r="B769" s="1"/>
      <c r="C769" s="1"/>
      <c r="D769" s="17"/>
      <c r="F769" s="30"/>
      <c r="G769" s="30"/>
    </row>
    <row r="770" spans="1:7" ht="14.25" customHeight="1">
      <c r="A770" s="1"/>
      <c r="B770" s="1"/>
      <c r="C770" s="1"/>
      <c r="D770" s="17"/>
      <c r="F770" s="30"/>
      <c r="G770" s="30"/>
    </row>
    <row r="771" spans="1:7" ht="14.25" customHeight="1">
      <c r="A771" s="1"/>
      <c r="B771" s="1"/>
      <c r="C771" s="1"/>
      <c r="D771" s="17"/>
      <c r="F771" s="30"/>
      <c r="G771" s="30"/>
    </row>
    <row r="772" spans="1:7" ht="14.25" customHeight="1">
      <c r="A772" s="1"/>
      <c r="B772" s="1"/>
      <c r="C772" s="1"/>
      <c r="D772" s="17"/>
      <c r="F772" s="30"/>
      <c r="G772" s="30"/>
    </row>
    <row r="773" spans="1:7" ht="14.25" customHeight="1">
      <c r="A773" s="1"/>
      <c r="B773" s="1"/>
      <c r="C773" s="1"/>
      <c r="D773" s="17"/>
      <c r="F773" s="30"/>
      <c r="G773" s="30"/>
    </row>
    <row r="774" spans="1:7" ht="14.25" customHeight="1">
      <c r="A774" s="1"/>
      <c r="B774" s="1"/>
      <c r="C774" s="1"/>
      <c r="D774" s="17"/>
      <c r="F774" s="30"/>
      <c r="G774" s="30"/>
    </row>
    <row r="775" spans="1:7" ht="14.25" customHeight="1">
      <c r="A775" s="1"/>
      <c r="B775" s="1"/>
      <c r="C775" s="1"/>
      <c r="D775" s="17"/>
      <c r="F775" s="30"/>
      <c r="G775" s="30"/>
    </row>
    <row r="776" spans="1:7" ht="14.25" customHeight="1">
      <c r="A776" s="1"/>
      <c r="B776" s="1"/>
      <c r="C776" s="1"/>
      <c r="D776" s="17"/>
      <c r="F776" s="30"/>
      <c r="G776" s="30"/>
    </row>
    <row r="777" spans="1:7" ht="14.25" customHeight="1">
      <c r="A777" s="1"/>
      <c r="B777" s="1"/>
      <c r="C777" s="1"/>
      <c r="D777" s="17"/>
      <c r="F777" s="30"/>
      <c r="G777" s="30"/>
    </row>
    <row r="778" spans="1:7" ht="14.25" customHeight="1">
      <c r="A778" s="1"/>
      <c r="B778" s="1"/>
      <c r="C778" s="1"/>
      <c r="D778" s="17"/>
      <c r="F778" s="30"/>
      <c r="G778" s="30"/>
    </row>
    <row r="779" spans="1:7" ht="14.25" customHeight="1">
      <c r="A779" s="1"/>
      <c r="B779" s="1"/>
      <c r="C779" s="1"/>
      <c r="D779" s="17"/>
      <c r="F779" s="30"/>
      <c r="G779" s="30"/>
    </row>
    <row r="780" spans="1:7" ht="14.25" customHeight="1">
      <c r="A780" s="1"/>
      <c r="B780" s="1"/>
      <c r="C780" s="1"/>
      <c r="D780" s="17"/>
      <c r="F780" s="30"/>
      <c r="G780" s="30"/>
    </row>
    <row r="781" spans="1:7" ht="14.25" customHeight="1">
      <c r="A781" s="1"/>
      <c r="B781" s="1"/>
      <c r="C781" s="1"/>
      <c r="D781" s="17"/>
      <c r="F781" s="30"/>
      <c r="G781" s="30"/>
    </row>
    <row r="782" spans="1:7" ht="14.25" customHeight="1">
      <c r="A782" s="1"/>
      <c r="B782" s="1"/>
      <c r="C782" s="1"/>
      <c r="D782" s="17"/>
      <c r="F782" s="30"/>
      <c r="G782" s="30"/>
    </row>
    <row r="783" spans="1:7" ht="14.25" customHeight="1">
      <c r="A783" s="1"/>
      <c r="B783" s="1"/>
      <c r="C783" s="1"/>
      <c r="D783" s="17"/>
      <c r="F783" s="30"/>
      <c r="G783" s="30"/>
    </row>
    <row r="784" spans="1:7" ht="14.25" customHeight="1">
      <c r="A784" s="1"/>
      <c r="B784" s="1"/>
      <c r="C784" s="1"/>
      <c r="D784" s="17"/>
      <c r="F784" s="30"/>
      <c r="G784" s="30"/>
    </row>
    <row r="785" spans="1:7" ht="14.25" customHeight="1">
      <c r="A785" s="1"/>
      <c r="B785" s="1"/>
      <c r="C785" s="1"/>
      <c r="D785" s="17"/>
      <c r="F785" s="30"/>
      <c r="G785" s="30"/>
    </row>
    <row r="786" spans="1:7" ht="14.25" customHeight="1">
      <c r="A786" s="1"/>
      <c r="B786" s="1"/>
      <c r="C786" s="1"/>
      <c r="D786" s="17"/>
      <c r="F786" s="30"/>
      <c r="G786" s="30"/>
    </row>
    <row r="787" spans="1:7" ht="14.25" customHeight="1">
      <c r="A787" s="1"/>
      <c r="B787" s="1"/>
      <c r="C787" s="1"/>
      <c r="D787" s="17"/>
      <c r="F787" s="30"/>
      <c r="G787" s="30"/>
    </row>
    <row r="788" spans="1:7" ht="14.25" customHeight="1">
      <c r="A788" s="1"/>
      <c r="B788" s="1"/>
      <c r="C788" s="1"/>
      <c r="D788" s="17"/>
      <c r="F788" s="30"/>
      <c r="G788" s="30"/>
    </row>
    <row r="789" spans="1:7" ht="14.25" customHeight="1">
      <c r="A789" s="1"/>
      <c r="B789" s="1"/>
      <c r="C789" s="1"/>
      <c r="D789" s="17"/>
      <c r="F789" s="30"/>
      <c r="G789" s="30"/>
    </row>
    <row r="790" spans="1:7" ht="14.25" customHeight="1">
      <c r="A790" s="1"/>
      <c r="B790" s="1"/>
      <c r="C790" s="1"/>
      <c r="D790" s="17"/>
      <c r="F790" s="30"/>
      <c r="G790" s="30"/>
    </row>
    <row r="791" spans="1:7" ht="14.25" customHeight="1">
      <c r="A791" s="1"/>
      <c r="B791" s="1"/>
      <c r="C791" s="1"/>
      <c r="D791" s="17"/>
      <c r="F791" s="30"/>
      <c r="G791" s="30"/>
    </row>
    <row r="792" spans="1:7" ht="14.25" customHeight="1">
      <c r="A792" s="1"/>
      <c r="B792" s="1"/>
      <c r="C792" s="1"/>
      <c r="D792" s="17"/>
      <c r="F792" s="30"/>
      <c r="G792" s="30"/>
    </row>
    <row r="793" spans="1:7" ht="14.25" customHeight="1">
      <c r="A793" s="1"/>
      <c r="B793" s="1"/>
      <c r="C793" s="1"/>
      <c r="D793" s="17"/>
      <c r="F793" s="30"/>
      <c r="G793" s="30"/>
    </row>
    <row r="794" spans="1:7" ht="14.25" customHeight="1">
      <c r="A794" s="1"/>
      <c r="B794" s="1"/>
      <c r="C794" s="1"/>
      <c r="D794" s="17"/>
      <c r="F794" s="30"/>
      <c r="G794" s="30"/>
    </row>
    <row r="795" spans="1:7" ht="14.25" customHeight="1">
      <c r="A795" s="1"/>
      <c r="B795" s="1"/>
      <c r="C795" s="1"/>
      <c r="D795" s="17"/>
      <c r="F795" s="30"/>
      <c r="G795" s="30"/>
    </row>
    <row r="796" spans="1:7" ht="14.25" customHeight="1">
      <c r="A796" s="1"/>
      <c r="B796" s="1"/>
      <c r="C796" s="1"/>
      <c r="D796" s="17"/>
      <c r="F796" s="30"/>
      <c r="G796" s="30"/>
    </row>
    <row r="797" spans="1:7" ht="14.25" customHeight="1">
      <c r="A797" s="1"/>
      <c r="B797" s="1"/>
      <c r="C797" s="1"/>
      <c r="D797" s="17"/>
      <c r="F797" s="30"/>
      <c r="G797" s="30"/>
    </row>
    <row r="798" spans="1:7" ht="14.25" customHeight="1">
      <c r="A798" s="1"/>
      <c r="B798" s="1"/>
      <c r="C798" s="1"/>
      <c r="D798" s="17"/>
      <c r="F798" s="30"/>
      <c r="G798" s="30"/>
    </row>
    <row r="799" spans="1:7" ht="14.25" customHeight="1">
      <c r="A799" s="1"/>
      <c r="B799" s="1"/>
      <c r="C799" s="1"/>
      <c r="D799" s="17"/>
      <c r="F799" s="30"/>
      <c r="G799" s="30"/>
    </row>
    <row r="800" spans="1:7" ht="14.25" customHeight="1">
      <c r="A800" s="1"/>
      <c r="B800" s="1"/>
      <c r="C800" s="1"/>
      <c r="D800" s="17"/>
      <c r="F800" s="30"/>
      <c r="G800" s="30"/>
    </row>
    <row r="801" spans="1:7" ht="14.25" customHeight="1">
      <c r="A801" s="1"/>
      <c r="B801" s="1"/>
      <c r="C801" s="1"/>
      <c r="D801" s="17"/>
      <c r="F801" s="30"/>
      <c r="G801" s="30"/>
    </row>
    <row r="802" spans="1:7" ht="14.25" customHeight="1">
      <c r="A802" s="1"/>
      <c r="B802" s="1"/>
      <c r="C802" s="1"/>
      <c r="D802" s="17"/>
      <c r="F802" s="30"/>
      <c r="G802" s="30"/>
    </row>
    <row r="803" spans="1:7" ht="14.25" customHeight="1">
      <c r="A803" s="1"/>
      <c r="B803" s="1"/>
      <c r="C803" s="1"/>
      <c r="D803" s="17"/>
      <c r="F803" s="30"/>
      <c r="G803" s="30"/>
    </row>
    <row r="804" spans="1:7" ht="14.25" customHeight="1">
      <c r="A804" s="1"/>
      <c r="B804" s="1"/>
      <c r="C804" s="1"/>
      <c r="D804" s="17"/>
      <c r="F804" s="30"/>
      <c r="G804" s="30"/>
    </row>
    <row r="805" spans="1:7" ht="14.25" customHeight="1">
      <c r="A805" s="1"/>
      <c r="B805" s="1"/>
      <c r="C805" s="1"/>
      <c r="D805" s="17"/>
      <c r="F805" s="30"/>
      <c r="G805" s="30"/>
    </row>
    <row r="806" spans="1:7" ht="14.25" customHeight="1">
      <c r="A806" s="1"/>
      <c r="B806" s="1"/>
      <c r="C806" s="1"/>
      <c r="D806" s="17"/>
      <c r="F806" s="30"/>
      <c r="G806" s="30"/>
    </row>
    <row r="807" spans="1:7" ht="14.25" customHeight="1">
      <c r="A807" s="1"/>
      <c r="B807" s="1"/>
      <c r="C807" s="1"/>
      <c r="D807" s="17"/>
      <c r="F807" s="30"/>
      <c r="G807" s="30"/>
    </row>
    <row r="808" spans="1:7" ht="14.25" customHeight="1">
      <c r="A808" s="1"/>
      <c r="B808" s="1"/>
      <c r="C808" s="1"/>
      <c r="D808" s="17"/>
      <c r="F808" s="30"/>
      <c r="G808" s="30"/>
    </row>
    <row r="809" spans="1:7" ht="14.25" customHeight="1">
      <c r="A809" s="1"/>
      <c r="B809" s="1"/>
      <c r="C809" s="1"/>
      <c r="D809" s="17"/>
      <c r="F809" s="30"/>
      <c r="G809" s="30"/>
    </row>
    <row r="810" spans="1:7" ht="14.25" customHeight="1">
      <c r="A810" s="1"/>
      <c r="B810" s="1"/>
      <c r="C810" s="1"/>
      <c r="D810" s="17"/>
      <c r="F810" s="30"/>
      <c r="G810" s="30"/>
    </row>
    <row r="811" spans="1:7" ht="14.25" customHeight="1">
      <c r="A811" s="1"/>
      <c r="B811" s="1"/>
      <c r="C811" s="1"/>
      <c r="D811" s="17"/>
      <c r="F811" s="30"/>
      <c r="G811" s="30"/>
    </row>
    <row r="812" spans="1:7" ht="14.25" customHeight="1">
      <c r="A812" s="1"/>
      <c r="B812" s="1"/>
      <c r="C812" s="1"/>
      <c r="D812" s="17"/>
      <c r="F812" s="30"/>
      <c r="G812" s="30"/>
    </row>
    <row r="813" spans="1:7" ht="14.25" customHeight="1">
      <c r="A813" s="1"/>
      <c r="B813" s="1"/>
      <c r="C813" s="1"/>
      <c r="D813" s="17"/>
      <c r="F813" s="30"/>
      <c r="G813" s="30"/>
    </row>
    <row r="814" spans="1:7" ht="14.25" customHeight="1">
      <c r="A814" s="1"/>
      <c r="B814" s="1"/>
      <c r="C814" s="1"/>
      <c r="D814" s="17"/>
      <c r="F814" s="30"/>
      <c r="G814" s="30"/>
    </row>
    <row r="815" spans="1:7" ht="14.25" customHeight="1">
      <c r="A815" s="1"/>
      <c r="B815" s="1"/>
      <c r="C815" s="1"/>
      <c r="D815" s="17"/>
      <c r="F815" s="30"/>
      <c r="G815" s="30"/>
    </row>
    <row r="816" spans="1:7" ht="14.25" customHeight="1">
      <c r="A816" s="1"/>
      <c r="B816" s="1"/>
      <c r="C816" s="1"/>
      <c r="D816" s="17"/>
      <c r="F816" s="30"/>
      <c r="G816" s="30"/>
    </row>
    <row r="817" spans="1:7" ht="14.25" customHeight="1">
      <c r="A817" s="1"/>
      <c r="B817" s="1"/>
      <c r="C817" s="1"/>
      <c r="D817" s="17"/>
      <c r="F817" s="30"/>
      <c r="G817" s="30"/>
    </row>
    <row r="818" spans="1:7" ht="14.25" customHeight="1">
      <c r="A818" s="1"/>
      <c r="B818" s="1"/>
      <c r="C818" s="1"/>
      <c r="D818" s="17"/>
      <c r="F818" s="30"/>
      <c r="G818" s="30"/>
    </row>
    <row r="819" spans="1:7" ht="14.25" customHeight="1">
      <c r="A819" s="1"/>
      <c r="B819" s="1"/>
      <c r="C819" s="1"/>
      <c r="D819" s="17"/>
      <c r="F819" s="30"/>
      <c r="G819" s="30"/>
    </row>
    <row r="820" spans="1:7" ht="14.25" customHeight="1">
      <c r="A820" s="1"/>
      <c r="B820" s="1"/>
      <c r="C820" s="1"/>
      <c r="D820" s="17"/>
      <c r="F820" s="30"/>
      <c r="G820" s="30"/>
    </row>
    <row r="821" spans="1:7" ht="14.25" customHeight="1">
      <c r="A821" s="1"/>
      <c r="B821" s="1"/>
      <c r="C821" s="1"/>
      <c r="D821" s="17"/>
      <c r="F821" s="30"/>
      <c r="G821" s="30"/>
    </row>
    <row r="822" spans="1:7" ht="14.25" customHeight="1">
      <c r="A822" s="1"/>
      <c r="B822" s="1"/>
      <c r="C822" s="1"/>
      <c r="D822" s="17"/>
      <c r="F822" s="30"/>
      <c r="G822" s="30"/>
    </row>
    <row r="823" spans="1:7" ht="14.25" customHeight="1">
      <c r="A823" s="1"/>
      <c r="B823" s="1"/>
      <c r="C823" s="1"/>
      <c r="D823" s="17"/>
      <c r="F823" s="30"/>
      <c r="G823" s="30"/>
    </row>
    <row r="824" spans="1:7" ht="14.25" customHeight="1">
      <c r="A824" s="1"/>
      <c r="B824" s="1"/>
      <c r="C824" s="1"/>
      <c r="D824" s="17"/>
      <c r="F824" s="30"/>
      <c r="G824" s="30"/>
    </row>
    <row r="825" spans="1:7" ht="14.25" customHeight="1">
      <c r="A825" s="1"/>
      <c r="B825" s="1"/>
      <c r="C825" s="1"/>
      <c r="D825" s="17"/>
      <c r="F825" s="30"/>
      <c r="G825" s="30"/>
    </row>
    <row r="826" spans="1:7" ht="14.25" customHeight="1">
      <c r="A826" s="1"/>
      <c r="B826" s="1"/>
      <c r="C826" s="1"/>
      <c r="D826" s="17"/>
      <c r="F826" s="30"/>
      <c r="G826" s="30"/>
    </row>
    <row r="827" spans="1:7" ht="14.25" customHeight="1">
      <c r="A827" s="1"/>
      <c r="B827" s="1"/>
      <c r="C827" s="1"/>
      <c r="D827" s="17"/>
      <c r="F827" s="30"/>
      <c r="G827" s="30"/>
    </row>
    <row r="828" spans="1:7" ht="14.25" customHeight="1">
      <c r="A828" s="1"/>
      <c r="B828" s="1"/>
      <c r="C828" s="1"/>
      <c r="D828" s="17"/>
      <c r="F828" s="30"/>
      <c r="G828" s="30"/>
    </row>
    <row r="829" spans="1:7" ht="14.25" customHeight="1">
      <c r="A829" s="1"/>
      <c r="B829" s="1"/>
      <c r="C829" s="1"/>
      <c r="D829" s="17"/>
      <c r="F829" s="30"/>
      <c r="G829" s="30"/>
    </row>
    <row r="830" spans="1:7" ht="14.25" customHeight="1">
      <c r="A830" s="1"/>
      <c r="B830" s="1"/>
      <c r="C830" s="1"/>
      <c r="D830" s="17"/>
      <c r="F830" s="30"/>
      <c r="G830" s="30"/>
    </row>
    <row r="831" spans="1:7" ht="14.25" customHeight="1">
      <c r="A831" s="1"/>
      <c r="B831" s="1"/>
      <c r="C831" s="1"/>
      <c r="D831" s="17"/>
      <c r="F831" s="30"/>
      <c r="G831" s="30"/>
    </row>
    <row r="832" spans="1:7" ht="14.25" customHeight="1">
      <c r="A832" s="1"/>
      <c r="B832" s="1"/>
      <c r="C832" s="1"/>
      <c r="D832" s="17"/>
      <c r="F832" s="30"/>
      <c r="G832" s="30"/>
    </row>
    <row r="833" spans="1:7" ht="14.25" customHeight="1">
      <c r="A833" s="1"/>
      <c r="B833" s="1"/>
      <c r="C833" s="1"/>
      <c r="D833" s="17"/>
      <c r="F833" s="30"/>
      <c r="G833" s="30"/>
    </row>
    <row r="834" spans="1:7" ht="14.25" customHeight="1">
      <c r="A834" s="1"/>
      <c r="B834" s="1"/>
      <c r="C834" s="1"/>
      <c r="D834" s="17"/>
      <c r="F834" s="30"/>
      <c r="G834" s="30"/>
    </row>
    <row r="835" spans="1:7" ht="14.25" customHeight="1">
      <c r="A835" s="1"/>
      <c r="B835" s="1"/>
      <c r="C835" s="1"/>
      <c r="D835" s="17"/>
      <c r="F835" s="30"/>
      <c r="G835" s="30"/>
    </row>
    <row r="836" spans="1:7" ht="14.25" customHeight="1">
      <c r="A836" s="1"/>
      <c r="B836" s="1"/>
      <c r="C836" s="1"/>
      <c r="D836" s="17"/>
      <c r="F836" s="30"/>
      <c r="G836" s="30"/>
    </row>
    <row r="837" spans="1:7" ht="14.25" customHeight="1">
      <c r="A837" s="1"/>
      <c r="B837" s="1"/>
      <c r="C837" s="1"/>
      <c r="D837" s="17"/>
      <c r="F837" s="30"/>
      <c r="G837" s="30"/>
    </row>
    <row r="838" spans="1:7" ht="14.25" customHeight="1">
      <c r="A838" s="1"/>
      <c r="B838" s="1"/>
      <c r="C838" s="1"/>
      <c r="D838" s="17"/>
      <c r="F838" s="30"/>
      <c r="G838" s="30"/>
    </row>
    <row r="839" spans="1:7" ht="14.25" customHeight="1">
      <c r="A839" s="1"/>
      <c r="B839" s="1"/>
      <c r="C839" s="1"/>
      <c r="D839" s="17"/>
      <c r="F839" s="30"/>
      <c r="G839" s="30"/>
    </row>
    <row r="840" spans="1:7" ht="14.25" customHeight="1">
      <c r="A840" s="1"/>
      <c r="B840" s="1"/>
      <c r="C840" s="1"/>
      <c r="D840" s="17"/>
      <c r="F840" s="30"/>
      <c r="G840" s="30"/>
    </row>
    <row r="841" spans="1:7" ht="14.25" customHeight="1">
      <c r="A841" s="1"/>
      <c r="B841" s="1"/>
      <c r="C841" s="1"/>
      <c r="D841" s="17"/>
      <c r="F841" s="30"/>
      <c r="G841" s="30"/>
    </row>
    <row r="842" spans="1:7" ht="14.25" customHeight="1">
      <c r="A842" s="1"/>
      <c r="B842" s="1"/>
      <c r="C842" s="1"/>
      <c r="D842" s="17"/>
      <c r="F842" s="30"/>
      <c r="G842" s="30"/>
    </row>
    <row r="843" spans="1:7" ht="14.25" customHeight="1">
      <c r="A843" s="1"/>
      <c r="B843" s="1"/>
      <c r="C843" s="1"/>
      <c r="D843" s="17"/>
      <c r="F843" s="30"/>
      <c r="G843" s="30"/>
    </row>
    <row r="844" spans="1:7" ht="14.25" customHeight="1">
      <c r="A844" s="1"/>
      <c r="B844" s="1"/>
      <c r="C844" s="1"/>
      <c r="D844" s="17"/>
      <c r="F844" s="30"/>
      <c r="G844" s="30"/>
    </row>
    <row r="845" spans="1:7" ht="14.25" customHeight="1">
      <c r="A845" s="1"/>
      <c r="B845" s="1"/>
      <c r="C845" s="1"/>
      <c r="D845" s="17"/>
      <c r="F845" s="30"/>
      <c r="G845" s="30"/>
    </row>
    <row r="846" spans="1:7" ht="14.25" customHeight="1">
      <c r="A846" s="1"/>
      <c r="B846" s="1"/>
      <c r="C846" s="1"/>
      <c r="D846" s="17"/>
      <c r="F846" s="30"/>
      <c r="G846" s="30"/>
    </row>
    <row r="847" spans="1:7" ht="14.25" customHeight="1">
      <c r="A847" s="1"/>
      <c r="B847" s="1"/>
      <c r="C847" s="1"/>
      <c r="D847" s="17"/>
      <c r="F847" s="30"/>
      <c r="G847" s="30"/>
    </row>
    <row r="848" spans="1:7" ht="14.25" customHeight="1">
      <c r="A848" s="1"/>
      <c r="B848" s="1"/>
      <c r="C848" s="1"/>
      <c r="D848" s="17"/>
      <c r="F848" s="30"/>
      <c r="G848" s="30"/>
    </row>
    <row r="849" spans="1:7" ht="14.25" customHeight="1">
      <c r="A849" s="1"/>
      <c r="B849" s="1"/>
      <c r="C849" s="1"/>
      <c r="D849" s="17"/>
      <c r="F849" s="30"/>
      <c r="G849" s="30"/>
    </row>
    <row r="850" spans="1:7" ht="14.25" customHeight="1">
      <c r="A850" s="1"/>
      <c r="B850" s="1"/>
      <c r="C850" s="1"/>
      <c r="D850" s="17"/>
      <c r="F850" s="30"/>
      <c r="G850" s="30"/>
    </row>
    <row r="851" spans="1:7" ht="14.25" customHeight="1">
      <c r="A851" s="1"/>
      <c r="B851" s="1"/>
      <c r="C851" s="1"/>
      <c r="D851" s="17"/>
      <c r="F851" s="30"/>
      <c r="G851" s="30"/>
    </row>
    <row r="852" spans="1:7" ht="14.25" customHeight="1">
      <c r="A852" s="1"/>
      <c r="B852" s="1"/>
      <c r="C852" s="1"/>
      <c r="D852" s="17"/>
      <c r="F852" s="30"/>
      <c r="G852" s="30"/>
    </row>
    <row r="853" spans="1:7" ht="14.25" customHeight="1">
      <c r="A853" s="1"/>
      <c r="B853" s="1"/>
      <c r="C853" s="1"/>
      <c r="D853" s="17"/>
      <c r="F853" s="30"/>
      <c r="G853" s="30"/>
    </row>
    <row r="854" spans="1:7" ht="14.25" customHeight="1">
      <c r="A854" s="1"/>
      <c r="B854" s="1"/>
      <c r="C854" s="1"/>
      <c r="D854" s="17"/>
      <c r="F854" s="30"/>
      <c r="G854" s="30"/>
    </row>
    <row r="855" spans="1:7" ht="14.25" customHeight="1">
      <c r="A855" s="1"/>
      <c r="B855" s="1"/>
      <c r="C855" s="1"/>
      <c r="D855" s="17"/>
      <c r="F855" s="30"/>
      <c r="G855" s="30"/>
    </row>
    <row r="856" spans="1:7" ht="14.25" customHeight="1">
      <c r="A856" s="1"/>
      <c r="B856" s="1"/>
      <c r="C856" s="1"/>
      <c r="D856" s="17"/>
      <c r="F856" s="30"/>
      <c r="G856" s="30"/>
    </row>
    <row r="857" spans="1:7" ht="14.25" customHeight="1">
      <c r="A857" s="1"/>
      <c r="B857" s="1"/>
      <c r="C857" s="1"/>
      <c r="D857" s="17"/>
      <c r="F857" s="30"/>
      <c r="G857" s="30"/>
    </row>
    <row r="858" spans="1:7" ht="14.25" customHeight="1">
      <c r="A858" s="1"/>
      <c r="B858" s="1"/>
      <c r="C858" s="1"/>
      <c r="D858" s="17"/>
      <c r="F858" s="30"/>
      <c r="G858" s="30"/>
    </row>
    <row r="859" spans="1:7" ht="14.25" customHeight="1">
      <c r="A859" s="1"/>
      <c r="B859" s="1"/>
      <c r="C859" s="1"/>
      <c r="D859" s="17"/>
      <c r="F859" s="30"/>
      <c r="G859" s="30"/>
    </row>
    <row r="860" spans="1:7" ht="14.25" customHeight="1">
      <c r="A860" s="1"/>
      <c r="B860" s="1"/>
      <c r="C860" s="1"/>
      <c r="D860" s="17"/>
      <c r="F860" s="30"/>
      <c r="G860" s="30"/>
    </row>
    <row r="861" spans="1:7" ht="14.25" customHeight="1">
      <c r="A861" s="1"/>
      <c r="B861" s="1"/>
      <c r="C861" s="1"/>
      <c r="D861" s="17"/>
      <c r="F861" s="30"/>
      <c r="G861" s="30"/>
    </row>
    <row r="862" spans="1:7" ht="14.25" customHeight="1">
      <c r="A862" s="1"/>
      <c r="B862" s="1"/>
      <c r="C862" s="1"/>
      <c r="D862" s="17"/>
      <c r="F862" s="30"/>
      <c r="G862" s="30"/>
    </row>
    <row r="863" spans="1:7" ht="14.25" customHeight="1">
      <c r="A863" s="1"/>
      <c r="B863" s="1"/>
      <c r="C863" s="1"/>
      <c r="D863" s="17"/>
      <c r="F863" s="30"/>
      <c r="G863" s="30"/>
    </row>
    <row r="864" spans="1:7" ht="14.25" customHeight="1">
      <c r="A864" s="1"/>
      <c r="B864" s="1"/>
      <c r="C864" s="1"/>
      <c r="D864" s="17"/>
      <c r="F864" s="30"/>
      <c r="G864" s="30"/>
    </row>
    <row r="865" spans="1:7" ht="14.25" customHeight="1">
      <c r="A865" s="1"/>
      <c r="B865" s="1"/>
      <c r="C865" s="1"/>
      <c r="D865" s="17"/>
      <c r="F865" s="30"/>
      <c r="G865" s="30"/>
    </row>
    <row r="866" spans="1:7" ht="14.25" customHeight="1">
      <c r="A866" s="1"/>
      <c r="B866" s="1"/>
      <c r="C866" s="1"/>
      <c r="D866" s="17"/>
      <c r="F866" s="30"/>
      <c r="G866" s="30"/>
    </row>
    <row r="867" spans="1:7" ht="14.25" customHeight="1">
      <c r="A867" s="1"/>
      <c r="B867" s="1"/>
      <c r="C867" s="1"/>
      <c r="D867" s="17"/>
      <c r="F867" s="30"/>
      <c r="G867" s="30"/>
    </row>
    <row r="868" spans="1:7" ht="14.25" customHeight="1">
      <c r="A868" s="1"/>
      <c r="B868" s="1"/>
      <c r="C868" s="1"/>
      <c r="D868" s="17"/>
      <c r="F868" s="30"/>
      <c r="G868" s="30"/>
    </row>
    <row r="869" spans="1:7" ht="14.25" customHeight="1">
      <c r="A869" s="1"/>
      <c r="B869" s="1"/>
      <c r="C869" s="1"/>
      <c r="D869" s="17"/>
      <c r="F869" s="30"/>
      <c r="G869" s="30"/>
    </row>
    <row r="870" spans="1:7" ht="14.25" customHeight="1">
      <c r="A870" s="1"/>
      <c r="B870" s="1"/>
      <c r="C870" s="1"/>
      <c r="D870" s="17"/>
      <c r="F870" s="30"/>
      <c r="G870" s="30"/>
    </row>
    <row r="871" spans="1:7" ht="14.25" customHeight="1">
      <c r="A871" s="1"/>
      <c r="B871" s="1"/>
      <c r="C871" s="1"/>
      <c r="D871" s="17"/>
      <c r="F871" s="30"/>
      <c r="G871" s="30"/>
    </row>
    <row r="872" spans="1:7" ht="14.25" customHeight="1">
      <c r="A872" s="1"/>
      <c r="B872" s="1"/>
      <c r="C872" s="1"/>
      <c r="D872" s="17"/>
      <c r="F872" s="30"/>
      <c r="G872" s="30"/>
    </row>
    <row r="873" spans="1:7" ht="14.25" customHeight="1">
      <c r="A873" s="1"/>
      <c r="B873" s="1"/>
      <c r="C873" s="1"/>
      <c r="D873" s="17"/>
      <c r="F873" s="30"/>
      <c r="G873" s="30"/>
    </row>
    <row r="874" spans="1:7" ht="14.25" customHeight="1">
      <c r="A874" s="1"/>
      <c r="B874" s="1"/>
      <c r="C874" s="1"/>
      <c r="D874" s="17"/>
      <c r="F874" s="30"/>
      <c r="G874" s="30"/>
    </row>
    <row r="875" spans="1:7" ht="14.25" customHeight="1">
      <c r="A875" s="1"/>
      <c r="B875" s="1"/>
      <c r="C875" s="1"/>
      <c r="D875" s="17"/>
      <c r="F875" s="30"/>
      <c r="G875" s="30"/>
    </row>
    <row r="876" spans="1:7" ht="14.25" customHeight="1">
      <c r="A876" s="1"/>
      <c r="B876" s="1"/>
      <c r="C876" s="1"/>
      <c r="D876" s="17"/>
      <c r="F876" s="30"/>
      <c r="G876" s="30"/>
    </row>
    <row r="877" spans="1:7" ht="14.25" customHeight="1">
      <c r="A877" s="1"/>
      <c r="B877" s="1"/>
      <c r="C877" s="1"/>
      <c r="D877" s="17"/>
      <c r="F877" s="30"/>
      <c r="G877" s="30"/>
    </row>
    <row r="878" spans="1:7" ht="14.25" customHeight="1">
      <c r="A878" s="1"/>
      <c r="B878" s="1"/>
      <c r="C878" s="1"/>
      <c r="D878" s="17"/>
      <c r="F878" s="30"/>
      <c r="G878" s="30"/>
    </row>
    <row r="879" spans="1:7" ht="14.25" customHeight="1">
      <c r="A879" s="1"/>
      <c r="B879" s="1"/>
      <c r="C879" s="1"/>
      <c r="D879" s="17"/>
      <c r="F879" s="30"/>
      <c r="G879" s="30"/>
    </row>
    <row r="880" spans="1:7" ht="14.25" customHeight="1">
      <c r="A880" s="1"/>
      <c r="B880" s="1"/>
      <c r="C880" s="1"/>
      <c r="D880" s="17"/>
      <c r="F880" s="30"/>
      <c r="G880" s="30"/>
    </row>
    <row r="881" spans="1:7" ht="14.25" customHeight="1">
      <c r="A881" s="1"/>
      <c r="B881" s="1"/>
      <c r="C881" s="1"/>
      <c r="D881" s="17"/>
      <c r="F881" s="30"/>
      <c r="G881" s="30"/>
    </row>
    <row r="882" spans="1:7" ht="14.25" customHeight="1">
      <c r="A882" s="1"/>
      <c r="B882" s="1"/>
      <c r="C882" s="1"/>
      <c r="D882" s="17"/>
      <c r="F882" s="30"/>
      <c r="G882" s="30"/>
    </row>
    <row r="883" spans="1:7" ht="14.25" customHeight="1">
      <c r="A883" s="1"/>
      <c r="B883" s="1"/>
      <c r="C883" s="1"/>
      <c r="D883" s="17"/>
      <c r="F883" s="30"/>
      <c r="G883" s="30"/>
    </row>
    <row r="884" spans="1:7" ht="14.25" customHeight="1">
      <c r="A884" s="1"/>
      <c r="B884" s="1"/>
      <c r="C884" s="1"/>
      <c r="D884" s="17"/>
      <c r="F884" s="30"/>
      <c r="G884" s="30"/>
    </row>
    <row r="885" spans="1:7" ht="14.25" customHeight="1">
      <c r="A885" s="1"/>
      <c r="B885" s="1"/>
      <c r="C885" s="1"/>
      <c r="D885" s="17"/>
      <c r="F885" s="30"/>
      <c r="G885" s="30"/>
    </row>
    <row r="886" spans="1:7" ht="14.25" customHeight="1">
      <c r="A886" s="1"/>
      <c r="B886" s="1"/>
      <c r="C886" s="1"/>
      <c r="D886" s="17"/>
      <c r="F886" s="30"/>
      <c r="G886" s="30"/>
    </row>
    <row r="887" spans="1:7" ht="14.25" customHeight="1">
      <c r="A887" s="1"/>
      <c r="B887" s="1"/>
      <c r="C887" s="1"/>
      <c r="D887" s="17"/>
      <c r="F887" s="30"/>
      <c r="G887" s="30"/>
    </row>
    <row r="888" spans="1:7" ht="14.25" customHeight="1">
      <c r="A888" s="1"/>
      <c r="B888" s="1"/>
      <c r="C888" s="1"/>
      <c r="D888" s="17"/>
      <c r="F888" s="30"/>
      <c r="G888" s="30"/>
    </row>
    <row r="889" spans="1:7" ht="14.25" customHeight="1">
      <c r="A889" s="1"/>
      <c r="B889" s="1"/>
      <c r="C889" s="1"/>
      <c r="D889" s="17"/>
      <c r="F889" s="30"/>
      <c r="G889" s="30"/>
    </row>
    <row r="890" spans="1:7" ht="14.25" customHeight="1">
      <c r="A890" s="1"/>
      <c r="B890" s="1"/>
      <c r="C890" s="1"/>
      <c r="D890" s="17"/>
      <c r="F890" s="30"/>
      <c r="G890" s="30"/>
    </row>
    <row r="891" spans="1:7" ht="14.25" customHeight="1">
      <c r="A891" s="1"/>
      <c r="B891" s="1"/>
      <c r="C891" s="1"/>
      <c r="D891" s="17"/>
      <c r="F891" s="30"/>
      <c r="G891" s="30"/>
    </row>
    <row r="892" spans="1:7" ht="14.25" customHeight="1">
      <c r="A892" s="1"/>
      <c r="B892" s="1"/>
      <c r="C892" s="1"/>
      <c r="D892" s="17"/>
      <c r="F892" s="30"/>
      <c r="G892" s="30"/>
    </row>
    <row r="893" spans="1:7" ht="14.25" customHeight="1">
      <c r="A893" s="1"/>
      <c r="B893" s="1"/>
      <c r="C893" s="1"/>
      <c r="D893" s="17"/>
      <c r="F893" s="30"/>
      <c r="G893" s="30"/>
    </row>
    <row r="894" spans="1:7" ht="14.25" customHeight="1">
      <c r="A894" s="1"/>
      <c r="B894" s="1"/>
      <c r="C894" s="1"/>
      <c r="D894" s="17"/>
      <c r="F894" s="30"/>
      <c r="G894" s="30"/>
    </row>
    <row r="895" spans="1:7" ht="14.25" customHeight="1">
      <c r="A895" s="1"/>
      <c r="B895" s="1"/>
      <c r="C895" s="1"/>
      <c r="D895" s="17"/>
      <c r="F895" s="30"/>
      <c r="G895" s="30"/>
    </row>
    <row r="896" spans="1:7" ht="14.25" customHeight="1">
      <c r="A896" s="1"/>
      <c r="B896" s="1"/>
      <c r="C896" s="1"/>
      <c r="D896" s="17"/>
      <c r="F896" s="30"/>
      <c r="G896" s="30"/>
    </row>
    <row r="897" spans="1:7" ht="14.25" customHeight="1">
      <c r="A897" s="1"/>
      <c r="B897" s="1"/>
      <c r="C897" s="1"/>
      <c r="D897" s="17"/>
      <c r="F897" s="30"/>
      <c r="G897" s="30"/>
    </row>
    <row r="898" spans="1:7" ht="14.25" customHeight="1">
      <c r="A898" s="1"/>
      <c r="B898" s="1"/>
      <c r="C898" s="1"/>
      <c r="D898" s="17"/>
      <c r="F898" s="30"/>
      <c r="G898" s="30"/>
    </row>
    <row r="899" spans="1:7" ht="14.25" customHeight="1">
      <c r="A899" s="1"/>
      <c r="B899" s="1"/>
      <c r="C899" s="1"/>
      <c r="D899" s="17"/>
      <c r="F899" s="30"/>
      <c r="G899" s="30"/>
    </row>
    <row r="900" spans="1:7" ht="14.25" customHeight="1">
      <c r="A900" s="1"/>
      <c r="B900" s="1"/>
      <c r="C900" s="1"/>
      <c r="D900" s="17"/>
      <c r="F900" s="30"/>
      <c r="G900" s="30"/>
    </row>
    <row r="901" spans="1:7" ht="14.25" customHeight="1">
      <c r="A901" s="1"/>
      <c r="B901" s="1"/>
      <c r="C901" s="1"/>
      <c r="D901" s="17"/>
      <c r="F901" s="30"/>
      <c r="G901" s="30"/>
    </row>
    <row r="902" spans="1:7" ht="14.25" customHeight="1">
      <c r="A902" s="1"/>
      <c r="B902" s="1"/>
      <c r="C902" s="1"/>
      <c r="D902" s="17"/>
      <c r="F902" s="30"/>
      <c r="G902" s="30"/>
    </row>
    <row r="903" spans="1:7" ht="14.25" customHeight="1">
      <c r="A903" s="1"/>
      <c r="B903" s="1"/>
      <c r="C903" s="1"/>
      <c r="D903" s="17"/>
      <c r="F903" s="30"/>
      <c r="G903" s="30"/>
    </row>
    <row r="904" spans="1:7" ht="14.25" customHeight="1">
      <c r="A904" s="1"/>
      <c r="B904" s="1"/>
      <c r="C904" s="1"/>
      <c r="D904" s="17"/>
      <c r="F904" s="30"/>
      <c r="G904" s="30"/>
    </row>
    <row r="905" spans="1:7" ht="14.25" customHeight="1">
      <c r="A905" s="1"/>
      <c r="B905" s="1"/>
      <c r="C905" s="1"/>
      <c r="D905" s="17"/>
      <c r="F905" s="30"/>
      <c r="G905" s="30"/>
    </row>
    <row r="906" spans="1:7" ht="14.25" customHeight="1">
      <c r="A906" s="1"/>
      <c r="B906" s="1"/>
      <c r="C906" s="1"/>
      <c r="D906" s="17"/>
      <c r="F906" s="30"/>
      <c r="G906" s="30"/>
    </row>
    <row r="907" spans="1:7" ht="14.25" customHeight="1">
      <c r="A907" s="1"/>
      <c r="B907" s="1"/>
      <c r="C907" s="1"/>
      <c r="D907" s="17"/>
      <c r="F907" s="30"/>
      <c r="G907" s="30"/>
    </row>
    <row r="908" spans="1:7" ht="14.25" customHeight="1">
      <c r="A908" s="1"/>
      <c r="B908" s="1"/>
      <c r="C908" s="1"/>
      <c r="D908" s="17"/>
      <c r="F908" s="30"/>
      <c r="G908" s="30"/>
    </row>
    <row r="909" spans="1:7" ht="14.25" customHeight="1">
      <c r="A909" s="1"/>
      <c r="B909" s="1"/>
      <c r="C909" s="1"/>
      <c r="D909" s="17"/>
      <c r="F909" s="30"/>
      <c r="G909" s="30"/>
    </row>
    <row r="910" spans="1:7" ht="14.25" customHeight="1">
      <c r="A910" s="1"/>
      <c r="B910" s="1"/>
      <c r="C910" s="1"/>
      <c r="D910" s="17"/>
      <c r="F910" s="30"/>
      <c r="G910" s="30"/>
    </row>
    <row r="911" spans="1:7" ht="14.25" customHeight="1">
      <c r="A911" s="1"/>
      <c r="B911" s="1"/>
      <c r="C911" s="1"/>
      <c r="D911" s="17"/>
      <c r="F911" s="30"/>
      <c r="G911" s="30"/>
    </row>
    <row r="912" spans="1:7" ht="14.25" customHeight="1">
      <c r="A912" s="1"/>
      <c r="B912" s="1"/>
      <c r="C912" s="1"/>
      <c r="D912" s="17"/>
      <c r="F912" s="30"/>
      <c r="G912" s="30"/>
    </row>
    <row r="913" spans="1:7" ht="14.25" customHeight="1">
      <c r="A913" s="1"/>
      <c r="B913" s="1"/>
      <c r="C913" s="1"/>
      <c r="D913" s="17"/>
      <c r="F913" s="30"/>
      <c r="G913" s="30"/>
    </row>
    <row r="914" spans="1:7" ht="14.25" customHeight="1">
      <c r="A914" s="1"/>
      <c r="B914" s="1"/>
      <c r="C914" s="1"/>
      <c r="D914" s="17"/>
      <c r="F914" s="30"/>
      <c r="G914" s="30"/>
    </row>
    <row r="915" spans="1:7" ht="14.25" customHeight="1">
      <c r="A915" s="1"/>
      <c r="B915" s="1"/>
      <c r="C915" s="1"/>
      <c r="D915" s="17"/>
      <c r="F915" s="30"/>
      <c r="G915" s="30"/>
    </row>
    <row r="916" spans="1:7" ht="14.25" customHeight="1">
      <c r="A916" s="1"/>
      <c r="B916" s="1"/>
      <c r="C916" s="1"/>
      <c r="D916" s="17"/>
      <c r="F916" s="30"/>
      <c r="G916" s="30"/>
    </row>
    <row r="917" spans="1:7" ht="14.25" customHeight="1">
      <c r="A917" s="1"/>
      <c r="B917" s="1"/>
      <c r="C917" s="1"/>
      <c r="D917" s="17"/>
      <c r="F917" s="30"/>
      <c r="G917" s="30"/>
    </row>
    <row r="918" spans="1:7" ht="14.25" customHeight="1">
      <c r="A918" s="1"/>
      <c r="B918" s="1"/>
      <c r="C918" s="1"/>
      <c r="D918" s="17"/>
      <c r="F918" s="30"/>
      <c r="G918" s="30"/>
    </row>
    <row r="919" spans="1:7" ht="14.25" customHeight="1">
      <c r="A919" s="1"/>
      <c r="B919" s="1"/>
      <c r="C919" s="1"/>
      <c r="D919" s="17"/>
      <c r="F919" s="30"/>
      <c r="G919" s="30"/>
    </row>
    <row r="920" spans="1:7" ht="14.25" customHeight="1">
      <c r="A920" s="1"/>
      <c r="B920" s="1"/>
      <c r="C920" s="1"/>
      <c r="D920" s="17"/>
      <c r="F920" s="30"/>
      <c r="G920" s="30"/>
    </row>
    <row r="921" spans="1:7" ht="14.25" customHeight="1">
      <c r="A921" s="1"/>
      <c r="B921" s="1"/>
      <c r="C921" s="1"/>
      <c r="D921" s="17"/>
      <c r="F921" s="30"/>
      <c r="G921" s="30"/>
    </row>
    <row r="922" spans="1:7" ht="14.25" customHeight="1">
      <c r="A922" s="1"/>
      <c r="B922" s="1"/>
      <c r="C922" s="1"/>
      <c r="D922" s="17"/>
      <c r="F922" s="30"/>
      <c r="G922" s="30"/>
    </row>
    <row r="923" spans="1:7" ht="14.25" customHeight="1">
      <c r="A923" s="1"/>
      <c r="B923" s="1"/>
      <c r="C923" s="1"/>
      <c r="D923" s="17"/>
      <c r="F923" s="30"/>
      <c r="G923" s="30"/>
    </row>
    <row r="924" spans="1:7" ht="14.25" customHeight="1">
      <c r="A924" s="1"/>
      <c r="B924" s="1"/>
      <c r="C924" s="1"/>
      <c r="D924" s="17"/>
      <c r="F924" s="30"/>
      <c r="G924" s="30"/>
    </row>
    <row r="925" spans="1:7" ht="14.25" customHeight="1">
      <c r="A925" s="1"/>
      <c r="B925" s="1"/>
      <c r="C925" s="1"/>
      <c r="D925" s="17"/>
      <c r="F925" s="30"/>
      <c r="G925" s="30"/>
    </row>
    <row r="926" spans="1:7" ht="14.25" customHeight="1">
      <c r="A926" s="1"/>
      <c r="B926" s="1"/>
      <c r="C926" s="1"/>
      <c r="D926" s="17"/>
      <c r="F926" s="30"/>
      <c r="G926" s="30"/>
    </row>
    <row r="927" spans="1:7" ht="14.25" customHeight="1">
      <c r="A927" s="1"/>
      <c r="B927" s="1"/>
      <c r="C927" s="1"/>
      <c r="D927" s="17"/>
      <c r="F927" s="30"/>
      <c r="G927" s="30"/>
    </row>
    <row r="928" spans="1:7" ht="14.25" customHeight="1">
      <c r="A928" s="1"/>
      <c r="B928" s="1"/>
      <c r="C928" s="1"/>
      <c r="D928" s="17"/>
      <c r="F928" s="30"/>
      <c r="G928" s="30"/>
    </row>
    <row r="929" spans="1:7" ht="14.25" customHeight="1">
      <c r="A929" s="1"/>
      <c r="B929" s="1"/>
      <c r="C929" s="1"/>
      <c r="D929" s="17"/>
      <c r="F929" s="30"/>
      <c r="G929" s="30"/>
    </row>
    <row r="930" spans="1:7" ht="14.25" customHeight="1">
      <c r="A930" s="1"/>
      <c r="B930" s="1"/>
      <c r="C930" s="1"/>
      <c r="D930" s="17"/>
      <c r="F930" s="30"/>
      <c r="G930" s="30"/>
    </row>
    <row r="931" spans="1:7" ht="14.25" customHeight="1">
      <c r="A931" s="1"/>
      <c r="B931" s="1"/>
      <c r="C931" s="1"/>
      <c r="D931" s="17"/>
      <c r="F931" s="30"/>
      <c r="G931" s="30"/>
    </row>
    <row r="932" spans="1:7" ht="14.25" customHeight="1">
      <c r="A932" s="1"/>
      <c r="B932" s="1"/>
      <c r="C932" s="1"/>
      <c r="D932" s="17"/>
      <c r="F932" s="30"/>
      <c r="G932" s="30"/>
    </row>
    <row r="933" spans="1:7" ht="14.25" customHeight="1">
      <c r="A933" s="1"/>
      <c r="B933" s="1"/>
      <c r="C933" s="1"/>
      <c r="D933" s="17"/>
      <c r="F933" s="30"/>
      <c r="G933" s="30"/>
    </row>
    <row r="934" spans="1:7" ht="14.25" customHeight="1">
      <c r="A934" s="1"/>
      <c r="B934" s="1"/>
      <c r="C934" s="1"/>
      <c r="D934" s="17"/>
      <c r="F934" s="30"/>
      <c r="G934" s="30"/>
    </row>
    <row r="935" spans="1:7" ht="14.25" customHeight="1">
      <c r="A935" s="1"/>
      <c r="B935" s="1"/>
      <c r="C935" s="1"/>
      <c r="D935" s="17"/>
      <c r="F935" s="30"/>
      <c r="G935" s="30"/>
    </row>
    <row r="936" spans="1:7" ht="14.25" customHeight="1">
      <c r="A936" s="1"/>
      <c r="B936" s="1"/>
      <c r="C936" s="1"/>
      <c r="D936" s="17"/>
      <c r="F936" s="30"/>
      <c r="G936" s="30"/>
    </row>
    <row r="937" spans="1:7" ht="14.25" customHeight="1">
      <c r="A937" s="1"/>
      <c r="B937" s="1"/>
      <c r="C937" s="1"/>
      <c r="D937" s="17"/>
      <c r="F937" s="30"/>
      <c r="G937" s="30"/>
    </row>
    <row r="938" spans="1:7" ht="14.25" customHeight="1">
      <c r="A938" s="1"/>
      <c r="B938" s="1"/>
      <c r="C938" s="1"/>
      <c r="D938" s="17"/>
      <c r="F938" s="30"/>
      <c r="G938" s="30"/>
    </row>
    <row r="939" spans="1:7" ht="14.25" customHeight="1">
      <c r="A939" s="1"/>
      <c r="B939" s="1"/>
      <c r="C939" s="1"/>
      <c r="D939" s="17"/>
      <c r="F939" s="30"/>
      <c r="G939" s="30"/>
    </row>
    <row r="940" spans="1:7" ht="14.25" customHeight="1">
      <c r="A940" s="1"/>
      <c r="B940" s="1"/>
      <c r="C940" s="1"/>
      <c r="D940" s="17"/>
      <c r="F940" s="30"/>
      <c r="G940" s="30"/>
    </row>
    <row r="941" spans="1:7" ht="14.25" customHeight="1">
      <c r="A941" s="1"/>
      <c r="B941" s="1"/>
      <c r="C941" s="1"/>
      <c r="D941" s="17"/>
      <c r="F941" s="30"/>
      <c r="G941" s="30"/>
    </row>
    <row r="942" spans="1:7" ht="14.25" customHeight="1">
      <c r="A942" s="1"/>
      <c r="B942" s="1"/>
      <c r="C942" s="1"/>
      <c r="D942" s="17"/>
      <c r="F942" s="30"/>
      <c r="G942" s="30"/>
    </row>
    <row r="943" spans="1:7" ht="14.25" customHeight="1">
      <c r="A943" s="1"/>
      <c r="B943" s="1"/>
      <c r="C943" s="1"/>
      <c r="D943" s="17"/>
      <c r="F943" s="30"/>
      <c r="G943" s="30"/>
    </row>
    <row r="944" spans="1:7" ht="14.25" customHeight="1">
      <c r="A944" s="1"/>
      <c r="B944" s="1"/>
      <c r="C944" s="1"/>
      <c r="D944" s="17"/>
      <c r="F944" s="30"/>
      <c r="G944" s="30"/>
    </row>
    <row r="945" spans="1:7" ht="14.25" customHeight="1">
      <c r="A945" s="1"/>
      <c r="B945" s="1"/>
      <c r="C945" s="1"/>
      <c r="D945" s="17"/>
      <c r="F945" s="30"/>
      <c r="G945" s="30"/>
    </row>
    <row r="946" spans="1:7" ht="14.25" customHeight="1">
      <c r="A946" s="1"/>
      <c r="B946" s="1"/>
      <c r="C946" s="1"/>
      <c r="D946" s="17"/>
      <c r="F946" s="30"/>
      <c r="G946" s="30"/>
    </row>
    <row r="947" spans="1:7" ht="14.25" customHeight="1">
      <c r="A947" s="1"/>
      <c r="B947" s="1"/>
      <c r="C947" s="1"/>
      <c r="D947" s="17"/>
      <c r="F947" s="30"/>
      <c r="G947" s="30"/>
    </row>
    <row r="948" spans="1:7" ht="14.25" customHeight="1">
      <c r="A948" s="1"/>
      <c r="B948" s="1"/>
      <c r="C948" s="1"/>
      <c r="D948" s="17"/>
      <c r="F948" s="30"/>
      <c r="G948" s="30"/>
    </row>
    <row r="949" spans="1:7" ht="14.25" customHeight="1">
      <c r="A949" s="1"/>
      <c r="B949" s="1"/>
      <c r="C949" s="1"/>
      <c r="D949" s="17"/>
      <c r="F949" s="30"/>
      <c r="G949" s="30"/>
    </row>
    <row r="950" spans="1:7" ht="14.25" customHeight="1">
      <c r="A950" s="1"/>
      <c r="B950" s="1"/>
      <c r="C950" s="1"/>
      <c r="D950" s="17"/>
      <c r="F950" s="30"/>
      <c r="G950" s="30"/>
    </row>
    <row r="951" spans="1:7" ht="14.25" customHeight="1">
      <c r="A951" s="1"/>
      <c r="B951" s="1"/>
      <c r="C951" s="1"/>
      <c r="D951" s="17"/>
      <c r="F951" s="30"/>
      <c r="G951" s="30"/>
    </row>
    <row r="952" spans="1:7" ht="14.25" customHeight="1">
      <c r="A952" s="1"/>
      <c r="B952" s="1"/>
      <c r="C952" s="1"/>
      <c r="D952" s="17"/>
      <c r="F952" s="30"/>
      <c r="G952" s="30"/>
    </row>
    <row r="953" spans="1:7" ht="14.25" customHeight="1">
      <c r="A953" s="1"/>
      <c r="B953" s="1"/>
      <c r="C953" s="1"/>
      <c r="D953" s="17"/>
      <c r="F953" s="30"/>
      <c r="G953" s="30"/>
    </row>
    <row r="954" spans="1:7" ht="14.25" customHeight="1">
      <c r="A954" s="1"/>
      <c r="B954" s="1"/>
      <c r="C954" s="1"/>
      <c r="D954" s="17"/>
      <c r="F954" s="30"/>
      <c r="G954" s="30"/>
    </row>
    <row r="955" spans="1:7" ht="14.25" customHeight="1">
      <c r="A955" s="1"/>
      <c r="B955" s="1"/>
      <c r="C955" s="1"/>
      <c r="D955" s="17"/>
      <c r="F955" s="30"/>
      <c r="G955" s="30"/>
    </row>
    <row r="956" spans="1:7" ht="14.25" customHeight="1">
      <c r="A956" s="1"/>
      <c r="B956" s="1"/>
      <c r="C956" s="1"/>
      <c r="D956" s="17"/>
      <c r="F956" s="30"/>
      <c r="G956" s="30"/>
    </row>
    <row r="957" spans="1:7" ht="14.25" customHeight="1">
      <c r="A957" s="1"/>
      <c r="B957" s="1"/>
      <c r="C957" s="1"/>
      <c r="D957" s="17"/>
      <c r="F957" s="30"/>
      <c r="G957" s="30"/>
    </row>
    <row r="958" spans="1:7" ht="14.25" customHeight="1">
      <c r="A958" s="1"/>
      <c r="B958" s="1"/>
      <c r="C958" s="1"/>
      <c r="D958" s="17"/>
      <c r="F958" s="30"/>
      <c r="G958" s="30"/>
    </row>
    <row r="959" spans="1:7" ht="14.25" customHeight="1">
      <c r="A959" s="1"/>
      <c r="B959" s="1"/>
      <c r="C959" s="1"/>
      <c r="D959" s="17"/>
      <c r="F959" s="30"/>
      <c r="G959" s="30"/>
    </row>
    <row r="960" spans="1:7" ht="14.25" customHeight="1">
      <c r="A960" s="1"/>
      <c r="B960" s="1"/>
      <c r="C960" s="1"/>
      <c r="D960" s="17"/>
      <c r="F960" s="30"/>
      <c r="G960" s="30"/>
    </row>
    <row r="961" spans="1:7" ht="14.25" customHeight="1">
      <c r="A961" s="1"/>
      <c r="B961" s="1"/>
      <c r="C961" s="1"/>
      <c r="D961" s="17"/>
      <c r="F961" s="30"/>
      <c r="G961" s="30"/>
    </row>
    <row r="962" spans="1:7" ht="14.25" customHeight="1">
      <c r="A962" s="1"/>
      <c r="B962" s="1"/>
      <c r="C962" s="1"/>
      <c r="D962" s="17"/>
      <c r="F962" s="30"/>
      <c r="G962" s="30"/>
    </row>
    <row r="963" spans="1:7" ht="14.25" customHeight="1">
      <c r="A963" s="1"/>
      <c r="B963" s="1"/>
      <c r="C963" s="1"/>
      <c r="D963" s="17"/>
      <c r="F963" s="30"/>
      <c r="G963" s="30"/>
    </row>
    <row r="964" spans="1:7" ht="14.25" customHeight="1">
      <c r="A964" s="1"/>
      <c r="B964" s="1"/>
      <c r="C964" s="1"/>
      <c r="D964" s="17"/>
      <c r="F964" s="30"/>
      <c r="G964" s="30"/>
    </row>
    <row r="965" spans="1:7" ht="14.25" customHeight="1">
      <c r="A965" s="1"/>
      <c r="B965" s="1"/>
      <c r="C965" s="1"/>
      <c r="D965" s="17"/>
      <c r="F965" s="30"/>
      <c r="G965" s="30"/>
    </row>
    <row r="966" spans="1:7" ht="14.25" customHeight="1">
      <c r="A966" s="1"/>
      <c r="B966" s="1"/>
      <c r="C966" s="1"/>
      <c r="D966" s="17"/>
      <c r="F966" s="30"/>
      <c r="G966" s="30"/>
    </row>
    <row r="967" spans="1:7" ht="14.25" customHeight="1">
      <c r="A967" s="1"/>
      <c r="B967" s="1"/>
      <c r="C967" s="1"/>
      <c r="D967" s="17"/>
      <c r="F967" s="30"/>
      <c r="G967" s="30"/>
    </row>
    <row r="968" spans="1:7" ht="14.25" customHeight="1">
      <c r="A968" s="1"/>
      <c r="B968" s="1"/>
      <c r="C968" s="1"/>
      <c r="D968" s="17"/>
      <c r="F968" s="30"/>
      <c r="G968" s="30"/>
    </row>
    <row r="969" spans="1:7" ht="14.25" customHeight="1">
      <c r="A969" s="1"/>
      <c r="B969" s="1"/>
      <c r="C969" s="1"/>
      <c r="D969" s="17"/>
      <c r="F969" s="30"/>
      <c r="G969" s="30"/>
    </row>
    <row r="970" spans="1:7" ht="14.25" customHeight="1">
      <c r="A970" s="1"/>
      <c r="B970" s="1"/>
      <c r="C970" s="1"/>
      <c r="D970" s="17"/>
      <c r="F970" s="30"/>
      <c r="G970" s="30"/>
    </row>
    <row r="971" spans="1:7" ht="14.25" customHeight="1">
      <c r="A971" s="1"/>
      <c r="B971" s="1"/>
      <c r="C971" s="1"/>
      <c r="D971" s="17"/>
      <c r="F971" s="30"/>
      <c r="G971" s="30"/>
    </row>
    <row r="972" spans="1:7" ht="14.25" customHeight="1">
      <c r="A972" s="1"/>
      <c r="B972" s="1"/>
      <c r="C972" s="1"/>
      <c r="D972" s="17"/>
      <c r="F972" s="30"/>
      <c r="G972" s="30"/>
    </row>
    <row r="973" spans="1:7" ht="14.25" customHeight="1">
      <c r="A973" s="1"/>
      <c r="B973" s="1"/>
      <c r="C973" s="1"/>
      <c r="D973" s="17"/>
      <c r="F973" s="30"/>
      <c r="G973" s="30"/>
    </row>
    <row r="974" spans="1:7" ht="14.25" customHeight="1">
      <c r="A974" s="1"/>
      <c r="B974" s="1"/>
      <c r="C974" s="1"/>
      <c r="D974" s="17"/>
      <c r="F974" s="30"/>
      <c r="G974" s="30"/>
    </row>
    <row r="975" spans="1:7" ht="14.25" customHeight="1">
      <c r="A975" s="1"/>
      <c r="B975" s="1"/>
      <c r="C975" s="1"/>
      <c r="D975" s="17"/>
      <c r="F975" s="30"/>
      <c r="G975" s="30"/>
    </row>
    <row r="976" spans="1:7" ht="14.25" customHeight="1">
      <c r="A976" s="1"/>
      <c r="B976" s="1"/>
      <c r="C976" s="1"/>
      <c r="D976" s="17"/>
      <c r="F976" s="30"/>
      <c r="G976" s="30"/>
    </row>
    <row r="977" spans="1:7" ht="14.25" customHeight="1">
      <c r="A977" s="1"/>
      <c r="B977" s="1"/>
      <c r="C977" s="1"/>
      <c r="D977" s="17"/>
      <c r="F977" s="30"/>
      <c r="G977" s="30"/>
    </row>
    <row r="978" spans="1:7" ht="14.25" customHeight="1">
      <c r="A978" s="1"/>
      <c r="B978" s="1"/>
      <c r="C978" s="1"/>
      <c r="D978" s="17"/>
      <c r="F978" s="30"/>
      <c r="G978" s="30"/>
    </row>
    <row r="979" spans="1:7" ht="14.25" customHeight="1">
      <c r="A979" s="1"/>
      <c r="B979" s="1"/>
      <c r="C979" s="1"/>
      <c r="D979" s="17"/>
      <c r="F979" s="30"/>
      <c r="G979" s="30"/>
    </row>
    <row r="980" spans="1:7" ht="14.25" customHeight="1">
      <c r="A980" s="1"/>
      <c r="B980" s="1"/>
      <c r="C980" s="1"/>
      <c r="D980" s="17"/>
      <c r="F980" s="30"/>
      <c r="G980" s="30"/>
    </row>
    <row r="981" spans="1:7" ht="14.25" customHeight="1">
      <c r="A981" s="1"/>
      <c r="B981" s="1"/>
      <c r="C981" s="1"/>
      <c r="D981" s="17"/>
      <c r="F981" s="30"/>
      <c r="G981" s="30"/>
    </row>
    <row r="982" spans="1:7" ht="14.25" customHeight="1">
      <c r="A982" s="1"/>
      <c r="B982" s="1"/>
      <c r="C982" s="1"/>
      <c r="D982" s="17"/>
      <c r="F982" s="30"/>
      <c r="G982" s="30"/>
    </row>
    <row r="983" spans="1:7" ht="14.25" customHeight="1">
      <c r="A983" s="1"/>
      <c r="B983" s="1"/>
      <c r="C983" s="1"/>
      <c r="D983" s="17"/>
      <c r="F983" s="30"/>
      <c r="G983" s="30"/>
    </row>
    <row r="984" spans="1:7" ht="14.25" customHeight="1">
      <c r="A984" s="1"/>
      <c r="B984" s="1"/>
      <c r="C984" s="1"/>
      <c r="D984" s="17"/>
      <c r="F984" s="30"/>
      <c r="G984" s="30"/>
    </row>
    <row r="985" spans="1:7" ht="14.25" customHeight="1">
      <c r="A985" s="1"/>
      <c r="B985" s="1"/>
      <c r="C985" s="1"/>
      <c r="D985" s="17"/>
      <c r="F985" s="30"/>
      <c r="G985" s="30"/>
    </row>
    <row r="986" spans="1:7" ht="14.25" customHeight="1">
      <c r="A986" s="1"/>
      <c r="B986" s="1"/>
      <c r="C986" s="1"/>
      <c r="D986" s="17"/>
      <c r="F986" s="30"/>
      <c r="G986" s="30"/>
    </row>
    <row r="987" spans="1:7" ht="14.25" customHeight="1">
      <c r="A987" s="1"/>
      <c r="B987" s="1"/>
      <c r="C987" s="1"/>
      <c r="D987" s="17"/>
      <c r="F987" s="30"/>
      <c r="G987" s="30"/>
    </row>
    <row r="988" spans="1:7" ht="14.25" customHeight="1">
      <c r="A988" s="1"/>
      <c r="B988" s="1"/>
      <c r="C988" s="1"/>
      <c r="D988" s="17"/>
      <c r="F988" s="30"/>
      <c r="G988" s="30"/>
    </row>
    <row r="989" spans="1:7" ht="14.25" customHeight="1">
      <c r="A989" s="1"/>
      <c r="B989" s="1"/>
      <c r="C989" s="1"/>
      <c r="D989" s="17"/>
      <c r="F989" s="30"/>
      <c r="G989" s="30"/>
    </row>
    <row r="990" spans="1:7" ht="14.25" customHeight="1">
      <c r="A990" s="1"/>
      <c r="B990" s="1"/>
      <c r="C990" s="1"/>
      <c r="D990" s="17"/>
      <c r="F990" s="30"/>
      <c r="G990" s="30"/>
    </row>
    <row r="991" spans="1:7" ht="14.25" customHeight="1">
      <c r="A991" s="1"/>
      <c r="B991" s="1"/>
      <c r="C991" s="1"/>
      <c r="D991" s="17"/>
      <c r="F991" s="30"/>
      <c r="G991" s="30"/>
    </row>
    <row r="992" spans="1:7" ht="14.25" customHeight="1">
      <c r="A992" s="1"/>
      <c r="B992" s="1"/>
      <c r="C992" s="1"/>
      <c r="D992" s="17"/>
      <c r="F992" s="30"/>
      <c r="G992" s="30"/>
    </row>
    <row r="993" spans="1:7" ht="14.25" customHeight="1">
      <c r="A993" s="1"/>
      <c r="B993" s="1"/>
      <c r="C993" s="1"/>
      <c r="D993" s="17"/>
      <c r="F993" s="30"/>
      <c r="G993" s="30"/>
    </row>
    <row r="994" spans="1:7" ht="14.25" customHeight="1">
      <c r="A994" s="1"/>
      <c r="B994" s="1"/>
      <c r="C994" s="1"/>
      <c r="D994" s="17"/>
      <c r="F994" s="30"/>
      <c r="G994" s="30"/>
    </row>
    <row r="995" spans="1:7" ht="14.25" customHeight="1">
      <c r="A995" s="1"/>
      <c r="B995" s="1"/>
      <c r="C995" s="1"/>
      <c r="D995" s="17"/>
      <c r="F995" s="30"/>
      <c r="G995" s="30"/>
    </row>
    <row r="996" spans="1:7" ht="14.25" customHeight="1">
      <c r="A996" s="1"/>
      <c r="B996" s="1"/>
      <c r="C996" s="1"/>
      <c r="D996" s="17"/>
      <c r="F996" s="30"/>
      <c r="G996" s="30"/>
    </row>
    <row r="997" spans="1:7" ht="14.25" customHeight="1">
      <c r="A997" s="1"/>
      <c r="B997" s="1"/>
      <c r="C997" s="1"/>
      <c r="D997" s="17"/>
      <c r="F997" s="30"/>
      <c r="G997" s="30"/>
    </row>
    <row r="998" spans="1:7" ht="14.25" customHeight="1">
      <c r="A998" s="1"/>
      <c r="B998" s="1"/>
      <c r="C998" s="1"/>
      <c r="D998" s="17"/>
      <c r="F998" s="30"/>
      <c r="G998" s="30"/>
    </row>
    <row r="999" spans="1:7" ht="14.25" customHeight="1">
      <c r="A999" s="1"/>
      <c r="B999" s="1"/>
      <c r="C999" s="1"/>
      <c r="D999" s="17"/>
      <c r="F999" s="30"/>
      <c r="G999" s="30"/>
    </row>
    <row r="1000" spans="1:7" ht="14.25" customHeight="1">
      <c r="A1000" s="1"/>
      <c r="B1000" s="1"/>
      <c r="C1000" s="1"/>
      <c r="D1000" s="17"/>
      <c r="F1000" s="30"/>
      <c r="G1000" s="30"/>
    </row>
    <row r="1001" spans="1:7" ht="14.25" customHeight="1">
      <c r="A1001" s="1"/>
      <c r="B1001" s="1"/>
      <c r="C1001" s="1"/>
      <c r="D1001" s="17"/>
      <c r="F1001" s="30"/>
      <c r="G1001" s="30"/>
    </row>
  </sheetData>
  <autoFilter ref="A1:I59" xr:uid="{00000000-0009-0000-0000-000005000000}"/>
  <customSheetViews>
    <customSheetView guid="{E409D896-73B5-4FCE-A06F-92D6136D2182}" filter="1" showAutoFilter="1">
      <pageMargins left="0.7" right="0.7" top="0.75" bottom="0.75" header="0.3" footer="0.3"/>
      <autoFilter ref="A1:H59" xr:uid="{2262942F-5BBE-46F3-87D2-FE49306B5716}"/>
      <extLst>
        <ext uri="GoogleSheetsCustomDataVersion1">
          <go:sheetsCustomData xmlns:go="http://customooxmlschemas.google.com/" filterViewId="1604551784"/>
        </ext>
      </extLst>
    </customSheetView>
    <customSheetView guid="{2A2E44CE-7ABE-4A6F-A32C-C7CC4EA86B70}" filter="1" showAutoFilter="1">
      <pageMargins left="0.7" right="0.7" top="0.75" bottom="0.75" header="0.3" footer="0.3"/>
      <autoFilter ref="A1:H59" xr:uid="{766C02D9-C034-4FB9-90BC-4B02E5DD81DA}"/>
      <extLst>
        <ext uri="GoogleSheetsCustomDataVersion1">
          <go:sheetsCustomData xmlns:go="http://customooxmlschemas.google.com/" filterViewId="20270287"/>
        </ext>
      </extLst>
    </customSheetView>
    <customSheetView guid="{C5940691-FD20-41D8-B708-F6F6E60B4EBD}" filter="1" showAutoFilter="1">
      <pageMargins left="0.7" right="0.7" top="0.75" bottom="0.75" header="0.3" footer="0.3"/>
      <autoFilter ref="A1:H59" xr:uid="{68C76E93-FD19-4057-84E5-AADFDBBFCE63}"/>
      <extLst>
        <ext uri="GoogleSheetsCustomDataVersion1">
          <go:sheetsCustomData xmlns:go="http://customooxmlschemas.google.com/" filterViewId="266051574"/>
        </ext>
      </extLst>
    </customSheetView>
    <customSheetView guid="{DBCA2985-35F2-4396-AB82-C941F4730697}" filter="1" showAutoFilter="1">
      <pageMargins left="0.7" right="0.7" top="0.75" bottom="0.75" header="0.3" footer="0.3"/>
      <autoFilter ref="A1:H59" xr:uid="{DF71E3A7-0785-46F2-8058-E0BA530E8018}"/>
      <extLst>
        <ext uri="GoogleSheetsCustomDataVersion1">
          <go:sheetsCustomData xmlns:go="http://customooxmlschemas.google.com/" filterViewId="883709155"/>
        </ext>
      </extLst>
    </customSheetView>
  </customSheetViews>
  <phoneticPr fontId="1412" type="noConversion"/>
  <conditionalFormatting sqref="I2:I93">
    <cfRule type="cellIs" dxfId="5" priority="5" operator="equal">
      <formula>"Rejected"</formula>
    </cfRule>
    <cfRule type="cellIs" dxfId="4" priority="6" operator="equal">
      <formula>"delivered"</formula>
    </cfRule>
  </conditionalFormatting>
  <conditionalFormatting sqref="I95:I122 J111 J120">
    <cfRule type="cellIs" dxfId="3" priority="3" operator="equal">
      <formula>"Rejected"</formula>
    </cfRule>
    <cfRule type="cellIs" dxfId="2" priority="4" operator="equal">
      <formula>"delivered"</formula>
    </cfRule>
  </conditionalFormatting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selection activeCell="B7" sqref="B7"/>
    </sheetView>
  </sheetViews>
  <sheetFormatPr defaultColWidth="14.44140625" defaultRowHeight="15" customHeight="1"/>
  <cols>
    <col min="1" max="1" width="14.44140625" style="294"/>
    <col min="2" max="2" width="28.88671875" customWidth="1"/>
    <col min="3" max="3" width="14.44140625" style="573"/>
    <col min="4" max="4" width="14.44140625" style="1829"/>
    <col min="5" max="5" width="29" style="573" customWidth="1"/>
    <col min="8" max="8" width="26.6640625" customWidth="1"/>
  </cols>
  <sheetData>
    <row r="1" spans="1:8" ht="15" customHeight="1">
      <c r="A1" s="2161" t="s">
        <v>11794</v>
      </c>
      <c r="B1" s="2161"/>
      <c r="D1" s="2160" t="s">
        <v>11795</v>
      </c>
      <c r="E1" s="2160"/>
      <c r="G1" s="2160" t="s">
        <v>11801</v>
      </c>
      <c r="H1" s="2160"/>
    </row>
    <row r="2" spans="1:8" ht="15" customHeight="1">
      <c r="A2" s="294" t="s">
        <v>7855</v>
      </c>
      <c r="B2" t="s">
        <v>11796</v>
      </c>
      <c r="D2" s="294" t="s">
        <v>7855</v>
      </c>
      <c r="E2" t="s">
        <v>11796</v>
      </c>
      <c r="G2" s="294" t="s">
        <v>7855</v>
      </c>
      <c r="H2" t="s">
        <v>11796</v>
      </c>
    </row>
    <row r="3" spans="1:8" ht="15" customHeight="1">
      <c r="A3" s="1760">
        <v>46146</v>
      </c>
      <c r="B3" t="s">
        <v>11800</v>
      </c>
      <c r="D3" s="1829" t="s">
        <v>11799</v>
      </c>
      <c r="E3" s="573" t="s">
        <v>11798</v>
      </c>
      <c r="G3" s="1829"/>
      <c r="H3" s="573"/>
    </row>
    <row r="4" spans="1:8" ht="15" customHeight="1">
      <c r="A4" s="1760">
        <v>46149</v>
      </c>
      <c r="B4" t="s">
        <v>11803</v>
      </c>
      <c r="D4" s="1760">
        <v>46149</v>
      </c>
      <c r="E4" t="s">
        <v>11797</v>
      </c>
      <c r="G4" s="1760"/>
    </row>
    <row r="5" spans="1:8" ht="15" customHeight="1">
      <c r="G5" s="1829"/>
      <c r="H5" s="573"/>
    </row>
    <row r="17" spans="1:7" ht="15" customHeight="1">
      <c r="E17" s="1857">
        <v>5452210</v>
      </c>
      <c r="F17" s="1856">
        <v>12.5</v>
      </c>
      <c r="G17" s="1856">
        <f>E17*F17/100</f>
        <v>681526.25</v>
      </c>
    </row>
    <row r="18" spans="1:7" ht="15" customHeight="1">
      <c r="A18" s="2161" t="s">
        <v>11802</v>
      </c>
      <c r="B18" s="2161"/>
      <c r="E18" s="1858"/>
    </row>
    <row r="19" spans="1:7" ht="15" customHeight="1">
      <c r="A19" s="294" t="s">
        <v>7855</v>
      </c>
      <c r="B19" t="s">
        <v>11796</v>
      </c>
    </row>
    <row r="20" spans="1:7" ht="15" customHeight="1">
      <c r="A20" s="1760"/>
    </row>
    <row r="21" spans="1:7" ht="15" customHeight="1">
      <c r="A21" s="1760"/>
    </row>
  </sheetData>
  <mergeCells count="4">
    <mergeCell ref="D1:E1"/>
    <mergeCell ref="A1:B1"/>
    <mergeCell ref="G1:H1"/>
    <mergeCell ref="A18:B18"/>
  </mergeCells>
  <conditionalFormatting sqref="D2:E2">
    <cfRule type="duplicateValues" dxfId="1" priority="2"/>
  </conditionalFormatting>
  <conditionalFormatting sqref="G2:H2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Ayushman</vt:lpstr>
      <vt:lpstr>Life certifiacate</vt:lpstr>
      <vt:lpstr>caste</vt:lpstr>
      <vt:lpstr>income</vt:lpstr>
      <vt:lpstr>local</vt:lpstr>
      <vt:lpstr>birth</vt:lpstr>
      <vt:lpstr>death</vt:lpstr>
      <vt:lpstr>EWC</vt:lpstr>
      <vt:lpstr>service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NISE-COMPUTER</dc:creator>
  <cp:lastModifiedBy>Sanjay Kumar</cp:lastModifiedBy>
  <cp:lastPrinted>2022-12-01T11:47:34Z</cp:lastPrinted>
  <dcterms:created xsi:type="dcterms:W3CDTF">2006-09-16T00:00:00Z</dcterms:created>
  <dcterms:modified xsi:type="dcterms:W3CDTF">2026-09-30T15:54:26Z</dcterms:modified>
</cp:coreProperties>
</file>