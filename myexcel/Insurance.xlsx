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0" documentId="13_ncr:81_{45DD9255-1275-4B6D-86AA-7AA27FD6B64D}" xr6:coauthVersionLast="47" xr6:coauthVersionMax="47" xr10:uidLastSave="{00000000-0000-0000-0000-000000000000}"/>
  <bookViews>
    <workbookView minimized="1" xWindow="3384" yWindow="3132" windowWidth="17280" windowHeight="9024" tabRatio="789" firstSheet="1" activeTab="1" xr2:uid="{00000000-000D-0000-FFFF-FFFF00000000}"/>
  </bookViews>
  <sheets>
    <sheet name="mon exp" sheetId="1" r:id="rId1"/>
    <sheet name="rates" sheetId="2" r:id="rId2"/>
    <sheet name="Insurance" sheetId="6" r:id="rId3"/>
    <sheet name="PSYM" sheetId="8" r:id="rId4"/>
    <sheet name="ITR" sheetId="9" r:id="rId5"/>
    <sheet name="DL" sheetId="10" r:id="rId6"/>
    <sheet name="Sheet2" sheetId="14" r:id="rId7"/>
    <sheet name="misc" sheetId="11" r:id="rId8"/>
    <sheet name="Dis card" sheetId="12" r:id="rId9"/>
  </sheets>
  <definedNames>
    <definedName name="_xlnm._FilterDatabase" localSheetId="0" hidden="1">'mon exp'!$A$6:$F$6</definedName>
    <definedName name="Z_17BB0635_933F_4031_AA1B_02B47946C686_.wvu.Cols" localSheetId="1" hidden="1">rates!$N:$N</definedName>
    <definedName name="Z_17BB0635_933F_4031_AA1B_02B47946C686_.wvu.FilterData" localSheetId="0" hidden="1">'mon exp'!$A$6:$F$6</definedName>
    <definedName name="Z_17BB0635_933F_4031_AA1B_02B47946C686_.wvu.Rows" localSheetId="1" hidden="1">rates!$10:$10</definedName>
    <definedName name="Z_1DB3B8BB_FF13_43E4_91E2_4D5FE1537F47_.wvu.Cols" localSheetId="1" hidden="1">rates!$N:$N</definedName>
    <definedName name="Z_1DB3B8BB_FF13_43E4_91E2_4D5FE1537F47_.wvu.FilterData" localSheetId="0" hidden="1">'mon exp'!$A$6:$F$6</definedName>
    <definedName name="Z_1DB3B8BB_FF13_43E4_91E2_4D5FE1537F47_.wvu.Rows" localSheetId="1" hidden="1">rates!$10:$10</definedName>
    <definedName name="Z_3AED7B35_86CA_4B6C_A2EC_CD4DE422B896_.wvu.FilterData" localSheetId="0" hidden="1">'mon exp'!$A$6:$F$6</definedName>
    <definedName name="Z_3AED7B35_86CA_4B6C_A2EC_CD4DE422B896_.wvu.Rows" localSheetId="1" hidden="1">rates!$10:$10</definedName>
    <definedName name="Z_76DB48ED_F9D5_46EE_8B68_22302006932B_.wvu.Cols" localSheetId="1" hidden="1">rates!$N:$N</definedName>
    <definedName name="Z_76DB48ED_F9D5_46EE_8B68_22302006932B_.wvu.FilterData" localSheetId="0" hidden="1">'mon exp'!$A$6:$F$6</definedName>
    <definedName name="Z_76DB48ED_F9D5_46EE_8B68_22302006932B_.wvu.Rows" localSheetId="1" hidden="1">rates!$10:$10</definedName>
    <definedName name="Z_9FBD6FCD_ABF0_44CA_B044_9B9EEA555F2A_.wvu.Cols" localSheetId="1" hidden="1">rates!$N:$N</definedName>
    <definedName name="Z_9FBD6FCD_ABF0_44CA_B044_9B9EEA555F2A_.wvu.FilterData" localSheetId="0" hidden="1">'mon exp'!$A$6:$F$6</definedName>
    <definedName name="Z_9FBD6FCD_ABF0_44CA_B044_9B9EEA555F2A_.wvu.Rows" localSheetId="1" hidden="1">rates!$10:$10</definedName>
    <definedName name="Z_CFF18104_9957_4B22_A0BF_E0E9089CC41B_.wvu.FilterData" localSheetId="0" hidden="1">'mon exp'!$A$6:$F$6</definedName>
    <definedName name="Z_CFF18104_9957_4B22_A0BF_E0E9089CC41B_.wvu.Rows" localSheetId="1" hidden="1">rates!$10:$10</definedName>
    <definedName name="Z_E64C861B_828F_4357_A2C1_687220A83D03_.wvu.FilterData" localSheetId="0" hidden="1">'mon exp'!$A$6:$F$6</definedName>
    <definedName name="Z_E64C861B_828F_4357_A2C1_687220A83D03_.wvu.Rows" localSheetId="1" hidden="1">rates!$10:$10</definedName>
  </definedNames>
  <calcPr calcId="181029"/>
  <customWorkbookViews>
    <customWorkbookView name="CSC-KGN - Personal View" guid="{CFF18104-9957-4B22-A0BF-E0E9089CC41B}" autoUpdate="1" mergeInterval="5" personalView="1" maximized="1" xWindow="-8" yWindow="-8" windowWidth="1296" windowHeight="1000" tabRatio="789" activeSheetId="3"/>
    <customWorkbookView name="comport - Personal View" guid="{1DB3B8BB-FF13-43E4-91E2-4D5FE1537F47}" autoUpdate="1" mergeInterval="15" onlySync="1" personalView="1" maximized="1" windowWidth="894" windowHeight="471" tabRatio="749" activeSheetId="3"/>
    <customWorkbookView name="user2 - Personal View" guid="{9FBD6FCD-ABF0-44CA-B044-9B9EEA555F2A}" mergeInterval="0" personalView="1" maximized="1" windowWidth="1020" windowHeight="503" tabRatio="749" activeSheetId="3"/>
    <customWorkbookView name="NWEB - Personal View" guid="{76DB48ED-F9D5-46EE-8B68-22302006932B}" mergeInterval="0" personalView="1" maximized="1" windowWidth="1362" windowHeight="517" tabRatio="749" activeSheetId="3"/>
    <customWorkbookView name="CSCVLE - Personal View" guid="{17BB0635-933F-4031-AA1B-02B47946C686}" mergeInterval="0" personalView="1" minimized="1" windowWidth="0" windowHeight="0" tabRatio="749" activeSheetId="3"/>
    <customWorkbookView name="Sanjay Kumar - Personal View" guid="{3AED7B35-86CA-4B6C-A2EC-CD4DE422B896}" mergeInterval="0" personalView="1" maximized="1" xWindow="-8" yWindow="-8" windowWidth="1382" windowHeight="744" tabRatio="789" activeSheetId="4"/>
    <customWorkbookView name="NISE-DESKTOP - Personal View" guid="{E64C861B-828F-4357-A2C1-687220A83D03}" mergeInterval="0" personalView="1" maximized="1" xWindow="-8" yWindow="-8" windowWidth="1296" windowHeight="1000" tabRatio="789" activeSheetId="9"/>
  </customWorkbookViews>
  <fileRecoveryPr autoRecover="0"/>
</workbook>
</file>

<file path=xl/calcChain.xml><?xml version="1.0" encoding="utf-8"?>
<calcChain xmlns="http://schemas.openxmlformats.org/spreadsheetml/2006/main">
  <c r="M97" i="10" l="1"/>
  <c r="J97" i="10"/>
  <c r="K115" i="10" l="1"/>
  <c r="O130" i="10" l="1"/>
  <c r="O129" i="10"/>
  <c r="L130" i="10"/>
  <c r="L129" i="10"/>
  <c r="N105" i="10" l="1"/>
  <c r="O128" i="10" l="1"/>
  <c r="L128" i="10"/>
  <c r="M105" i="10" l="1"/>
  <c r="J105" i="10"/>
  <c r="O127" i="10"/>
  <c r="L127" i="10"/>
  <c r="K105" i="10" l="1"/>
  <c r="O126" i="10" l="1"/>
  <c r="L126" i="10"/>
  <c r="K32" i="10" l="1"/>
  <c r="J32" i="10"/>
  <c r="M32" i="10"/>
  <c r="N90" i="10"/>
  <c r="N87" i="10"/>
  <c r="M87" i="10"/>
  <c r="J87" i="10"/>
  <c r="N86" i="10"/>
  <c r="N101" i="10"/>
  <c r="M101" i="10"/>
  <c r="J101" i="10"/>
  <c r="K90" i="10"/>
  <c r="J100" i="10" l="1"/>
  <c r="M100" i="10"/>
  <c r="M93" i="10"/>
  <c r="J93" i="10"/>
  <c r="O125" i="10" l="1"/>
  <c r="L125" i="10"/>
  <c r="M90" i="10" l="1"/>
  <c r="J90" i="10"/>
  <c r="K113" i="10" l="1"/>
  <c r="L122" i="10" l="1"/>
  <c r="O124" i="10"/>
  <c r="O123" i="10"/>
  <c r="O122" i="10"/>
  <c r="O121" i="10"/>
  <c r="L124" i="10"/>
  <c r="L123" i="10"/>
  <c r="K106" i="10" l="1"/>
  <c r="J106" i="10"/>
  <c r="O120" i="10" l="1"/>
  <c r="L121" i="10"/>
  <c r="L120" i="10" l="1"/>
  <c r="O119" i="10" l="1"/>
  <c r="L119" i="10"/>
  <c r="N98" i="10" l="1"/>
  <c r="M98" i="10"/>
  <c r="N99" i="10"/>
  <c r="O118" i="10" l="1"/>
  <c r="O117" i="10"/>
  <c r="L118" i="10"/>
  <c r="L117" i="10"/>
  <c r="S85" i="10" l="1"/>
  <c r="K98" i="10" l="1"/>
  <c r="J98" i="10"/>
  <c r="O116" i="10"/>
  <c r="O115" i="10"/>
  <c r="O114" i="10"/>
  <c r="L116" i="10"/>
  <c r="L115" i="10"/>
  <c r="L114" i="10"/>
  <c r="M99" i="10" l="1"/>
  <c r="K99" i="10"/>
  <c r="J99" i="10"/>
  <c r="O113" i="10" l="1"/>
  <c r="L113" i="10"/>
  <c r="K88" i="10" l="1"/>
  <c r="K47" i="10" l="1"/>
  <c r="K86" i="10" l="1"/>
  <c r="M112" i="10"/>
  <c r="O112" i="10" s="1"/>
  <c r="O111" i="10"/>
  <c r="L111" i="10"/>
  <c r="O109" i="10"/>
  <c r="O110" i="10"/>
  <c r="L109" i="10"/>
  <c r="L110" i="10"/>
  <c r="L112" i="10"/>
  <c r="O108" i="10" l="1"/>
  <c r="O107" i="10"/>
  <c r="L108" i="10"/>
  <c r="L107" i="10"/>
  <c r="L106" i="10" l="1"/>
  <c r="O106" i="10" l="1"/>
  <c r="O105" i="10"/>
  <c r="O104" i="10"/>
  <c r="O103" i="10"/>
  <c r="O102" i="10"/>
  <c r="L105" i="10"/>
  <c r="L104" i="10"/>
  <c r="L103" i="10"/>
  <c r="L102" i="10"/>
  <c r="K87" i="10" l="1"/>
  <c r="N79" i="10"/>
  <c r="N71" i="10"/>
  <c r="N41" i="10"/>
  <c r="N39" i="10"/>
  <c r="N28" i="10"/>
  <c r="N27" i="10"/>
  <c r="N66" i="10"/>
  <c r="N82" i="10" l="1"/>
  <c r="N78" i="10"/>
  <c r="N80" i="10"/>
  <c r="N69" i="10"/>
  <c r="N77" i="10"/>
  <c r="K79" i="10" l="1"/>
  <c r="G17" i="14" l="1"/>
  <c r="K62" i="10"/>
  <c r="K61" i="10"/>
  <c r="K71" i="10" l="1"/>
  <c r="K78" i="10"/>
  <c r="K82" i="10"/>
  <c r="O101" i="10"/>
  <c r="L101" i="10" l="1"/>
  <c r="O100" i="10" l="1"/>
  <c r="O94" i="10" l="1"/>
  <c r="O95" i="10"/>
  <c r="O96" i="10"/>
  <c r="O97" i="10"/>
  <c r="O98" i="10"/>
  <c r="O99" i="10"/>
  <c r="L100" i="10"/>
  <c r="L99" i="10" l="1"/>
  <c r="O69" i="10" l="1"/>
  <c r="L98" i="10" l="1"/>
  <c r="K80" i="10" l="1"/>
  <c r="K60" i="10" l="1"/>
  <c r="L60" i="10" s="1"/>
  <c r="L97" i="10" l="1"/>
  <c r="N72" i="10" l="1"/>
  <c r="L96" i="10" l="1"/>
  <c r="L95" i="10"/>
  <c r="N75" i="10" l="1"/>
  <c r="K72" i="10" l="1"/>
  <c r="K77" i="10" l="1"/>
  <c r="O93" i="10"/>
  <c r="L94" i="10"/>
  <c r="L93" i="10"/>
  <c r="I489" i="6" l="1"/>
  <c r="I488" i="6"/>
  <c r="I487" i="6"/>
  <c r="I486" i="6"/>
  <c r="I485" i="6"/>
  <c r="I484" i="6"/>
  <c r="N64" i="10" l="1"/>
  <c r="N63" i="10"/>
  <c r="N91" i="10" l="1"/>
  <c r="N84" i="10"/>
  <c r="K84" i="10" l="1"/>
  <c r="J61" i="10" l="1"/>
  <c r="K64" i="10"/>
  <c r="K63" i="10"/>
  <c r="M92" i="10" l="1"/>
  <c r="O92" i="10" s="1"/>
  <c r="J92" i="10"/>
  <c r="L92" i="10" s="1"/>
  <c r="L494" i="6" l="1"/>
  <c r="I481" i="6"/>
  <c r="I473" i="6"/>
  <c r="I472" i="6"/>
  <c r="I469" i="6"/>
  <c r="I470" i="6"/>
  <c r="I471" i="6"/>
  <c r="I468" i="6"/>
  <c r="I467" i="6"/>
  <c r="I462" i="6"/>
  <c r="I463" i="6"/>
  <c r="I464" i="6"/>
  <c r="I465" i="6"/>
  <c r="I466" i="6"/>
  <c r="F494" i="6"/>
  <c r="H494" i="6"/>
  <c r="B494" i="6"/>
  <c r="A494" i="6"/>
  <c r="J494" i="6" l="1"/>
  <c r="M91" i="10" l="1"/>
  <c r="O91" i="10" s="1"/>
  <c r="L91" i="10" l="1"/>
  <c r="O90" i="10"/>
  <c r="L90" i="10"/>
  <c r="L89" i="10" l="1"/>
  <c r="O89" i="10"/>
  <c r="I483" i="6" l="1"/>
  <c r="I480" i="6"/>
  <c r="I479" i="6"/>
  <c r="I478" i="6"/>
  <c r="I477" i="6"/>
  <c r="I476" i="6"/>
  <c r="I475" i="6"/>
  <c r="I474" i="6"/>
  <c r="O88" i="10" l="1"/>
  <c r="L88" i="10"/>
  <c r="J71" i="10" l="1"/>
  <c r="O86" i="10"/>
  <c r="O87" i="10"/>
  <c r="L87" i="10"/>
  <c r="L86" i="10"/>
  <c r="O85" i="10" l="1"/>
  <c r="O84" i="10"/>
  <c r="O83" i="10"/>
  <c r="O82" i="10"/>
  <c r="O81" i="10"/>
  <c r="L85" i="10"/>
  <c r="L84" i="10"/>
  <c r="L83" i="10"/>
  <c r="L82" i="10"/>
  <c r="L81" i="10"/>
  <c r="O80" i="10" l="1"/>
  <c r="L80" i="10"/>
  <c r="M79" i="10"/>
  <c r="O79" i="10" s="1"/>
  <c r="L79" i="10"/>
  <c r="I452" i="6" l="1"/>
  <c r="I451" i="6"/>
  <c r="I450" i="6"/>
  <c r="I449" i="6" l="1"/>
  <c r="I448" i="6" l="1"/>
  <c r="I447" i="6"/>
  <c r="I446" i="6"/>
  <c r="I445" i="6"/>
  <c r="I444" i="6"/>
  <c r="O78" i="10" l="1"/>
  <c r="M77" i="10"/>
  <c r="O77" i="10" s="1"/>
  <c r="L78" i="10"/>
  <c r="L77" i="10"/>
  <c r="O76" i="10" l="1"/>
  <c r="O75" i="10"/>
  <c r="L75" i="10" l="1"/>
  <c r="J76" i="10"/>
  <c r="L76" i="10" s="1"/>
  <c r="I443" i="6" l="1"/>
  <c r="I442" i="6"/>
  <c r="I441" i="6"/>
  <c r="I440" i="6"/>
  <c r="L460" i="6"/>
  <c r="H460" i="6"/>
  <c r="G460" i="6"/>
  <c r="F460" i="6"/>
  <c r="B460" i="6"/>
  <c r="A460" i="6"/>
  <c r="G494" i="6" l="1"/>
  <c r="I494" i="6" s="1"/>
  <c r="K494" i="6" s="1"/>
  <c r="M494" i="6" s="1"/>
  <c r="I460" i="6"/>
  <c r="J460" i="6"/>
  <c r="K460" i="6" s="1"/>
  <c r="M460" i="6" s="1"/>
  <c r="N59" i="10" l="1"/>
  <c r="O74" i="10" l="1"/>
  <c r="L74" i="10"/>
  <c r="M437" i="6" l="1"/>
  <c r="M436" i="6"/>
  <c r="M435" i="6"/>
  <c r="M434" i="6"/>
  <c r="M433" i="6"/>
  <c r="M432" i="6"/>
  <c r="M431" i="6"/>
  <c r="M430" i="6"/>
  <c r="M429" i="6"/>
  <c r="M428" i="6"/>
  <c r="M427" i="6"/>
  <c r="I437" i="6"/>
  <c r="I436" i="6" l="1"/>
  <c r="I435" i="6"/>
  <c r="I434" i="6"/>
  <c r="I433" i="6" l="1"/>
  <c r="I432" i="6"/>
  <c r="I431" i="6"/>
  <c r="I430" i="6"/>
  <c r="O73" i="10"/>
  <c r="L73" i="10"/>
  <c r="O72" i="10"/>
  <c r="L72" i="10"/>
  <c r="I429" i="6" l="1"/>
  <c r="M438" i="6"/>
  <c r="L438" i="6"/>
  <c r="H438" i="6"/>
  <c r="G438" i="6"/>
  <c r="F438" i="6"/>
  <c r="B438" i="6"/>
  <c r="A438" i="6"/>
  <c r="I428" i="6"/>
  <c r="I427" i="6"/>
  <c r="J438" i="6" l="1"/>
  <c r="I438" i="6"/>
  <c r="O71" i="10"/>
  <c r="L71" i="10"/>
  <c r="K438" i="6" l="1"/>
  <c r="L70" i="10"/>
  <c r="M70" i="10"/>
  <c r="O70" i="10" s="1"/>
  <c r="O68" i="10"/>
  <c r="L69" i="10"/>
  <c r="L68" i="10"/>
  <c r="O67" i="10" l="1"/>
  <c r="L67" i="10"/>
  <c r="M62" i="10" l="1"/>
  <c r="M61" i="10"/>
  <c r="J62" i="10"/>
  <c r="L40" i="10"/>
  <c r="O59" i="10"/>
  <c r="L59" i="10"/>
  <c r="O66" i="10" l="1"/>
  <c r="L66" i="10"/>
  <c r="N37" i="10" l="1"/>
  <c r="O65" i="10"/>
  <c r="L65" i="10"/>
  <c r="O64" i="10"/>
  <c r="O63" i="10"/>
  <c r="L64" i="10"/>
  <c r="L63" i="10"/>
  <c r="L421" i="6" l="1"/>
  <c r="I421" i="6" l="1"/>
  <c r="I419" i="6"/>
  <c r="I420" i="6"/>
  <c r="I418" i="6"/>
  <c r="I417" i="6"/>
  <c r="I416" i="6"/>
  <c r="K36" i="10" l="1"/>
  <c r="L404" i="6" l="1"/>
  <c r="I415" i="6"/>
  <c r="I414" i="6"/>
  <c r="O62" i="10" l="1"/>
  <c r="O61" i="10"/>
  <c r="L62" i="10"/>
  <c r="L61" i="10"/>
  <c r="I413" i="6" l="1"/>
  <c r="N44" i="10" l="1"/>
  <c r="N34" i="10"/>
  <c r="N33" i="10"/>
  <c r="N30" i="10"/>
  <c r="N24" i="10"/>
  <c r="N23" i="10"/>
  <c r="N21" i="10"/>
  <c r="I412" i="6"/>
  <c r="I411" i="6"/>
  <c r="O60" i="10" l="1"/>
  <c r="L409" i="6" l="1"/>
  <c r="L410" i="6"/>
  <c r="I410" i="6"/>
  <c r="I409" i="6"/>
  <c r="I408" i="6"/>
  <c r="K21" i="10" l="1"/>
  <c r="K34" i="10"/>
  <c r="K33" i="10"/>
  <c r="I407" i="6" l="1"/>
  <c r="L401" i="6" l="1"/>
  <c r="I406" i="6"/>
  <c r="I405" i="6"/>
  <c r="I404" i="6"/>
  <c r="L402" i="6" l="1"/>
  <c r="L403" i="6"/>
  <c r="L400" i="6"/>
  <c r="I403" i="6"/>
  <c r="I402" i="6"/>
  <c r="I401" i="6"/>
  <c r="M401" i="6" l="1"/>
  <c r="M423" i="6" s="1"/>
  <c r="L423" i="6"/>
  <c r="L395" i="6"/>
  <c r="H423" i="6" l="1"/>
  <c r="G423" i="6"/>
  <c r="F395" i="6"/>
  <c r="F423" i="6"/>
  <c r="B423" i="6"/>
  <c r="A423" i="6"/>
  <c r="I400" i="6"/>
  <c r="F424" i="6" l="1"/>
  <c r="I423" i="6"/>
  <c r="J423" i="6" s="1"/>
  <c r="K423" i="6" s="1"/>
  <c r="I394" i="6"/>
  <c r="I393" i="6"/>
  <c r="I392" i="6" l="1"/>
  <c r="I391" i="6"/>
  <c r="I390" i="6"/>
  <c r="I389" i="6"/>
  <c r="I388" i="6"/>
  <c r="I387" i="6"/>
  <c r="I381" i="6" l="1"/>
  <c r="I386" i="6"/>
  <c r="I385" i="6"/>
  <c r="I384" i="6"/>
  <c r="I383" i="6"/>
  <c r="I382" i="6"/>
  <c r="I380" i="6"/>
  <c r="F17" i="11" l="1"/>
  <c r="I379" i="6" l="1"/>
  <c r="I378" i="6"/>
  <c r="I377" i="6"/>
  <c r="I376" i="6"/>
  <c r="I375" i="6"/>
  <c r="I374" i="6"/>
  <c r="I372" i="6" l="1"/>
  <c r="I373" i="6"/>
  <c r="I371" i="6"/>
  <c r="I370" i="6" l="1"/>
  <c r="I368" i="6"/>
  <c r="I367" i="6"/>
  <c r="N56" i="10" l="1"/>
  <c r="O58" i="10"/>
  <c r="K56" i="10" l="1"/>
  <c r="L58" i="10" l="1"/>
  <c r="G396" i="6" l="1"/>
  <c r="I366" i="6"/>
  <c r="I365" i="6"/>
  <c r="I369" i="6" l="1"/>
  <c r="I364" i="6"/>
  <c r="I363" i="6"/>
  <c r="I362" i="6"/>
  <c r="I361" i="6"/>
  <c r="I360" i="6"/>
  <c r="I359" i="6"/>
  <c r="I358" i="6"/>
  <c r="O57" i="10" l="1"/>
  <c r="L57" i="10"/>
  <c r="M56" i="10" l="1"/>
  <c r="H395" i="6" l="1"/>
  <c r="G395" i="6"/>
  <c r="B395" i="6"/>
  <c r="A395" i="6"/>
  <c r="F396" i="6" l="1"/>
  <c r="O56" i="10"/>
  <c r="L56" i="10"/>
  <c r="O55" i="10"/>
  <c r="O54" i="10"/>
  <c r="L55" i="10"/>
  <c r="L54" i="10"/>
  <c r="I350" i="6" l="1"/>
  <c r="I349" i="6"/>
  <c r="I347" i="6" l="1"/>
  <c r="I348" i="6"/>
  <c r="I346" i="6"/>
  <c r="I345" i="6"/>
  <c r="I344" i="6"/>
  <c r="I343" i="6"/>
  <c r="I342" i="6" l="1"/>
  <c r="O53" i="10" l="1"/>
  <c r="O52" i="10"/>
  <c r="L53" i="10"/>
  <c r="L52" i="10"/>
  <c r="I341" i="6"/>
  <c r="I340" i="6" l="1"/>
  <c r="I339" i="6" l="1"/>
  <c r="I338" i="6"/>
  <c r="I337" i="6" l="1"/>
  <c r="I336" i="6" l="1"/>
  <c r="I321" i="6" l="1"/>
  <c r="I320" i="6"/>
  <c r="I319" i="6"/>
  <c r="I318" i="6"/>
  <c r="I317" i="6"/>
  <c r="I332" i="6"/>
  <c r="I331" i="6"/>
  <c r="I327" i="6"/>
  <c r="I328" i="6"/>
  <c r="I329" i="6"/>
  <c r="I330" i="6"/>
  <c r="I333" i="6"/>
  <c r="I334" i="6"/>
  <c r="L356" i="6"/>
  <c r="H356" i="6"/>
  <c r="G356" i="6"/>
  <c r="F356" i="6"/>
  <c r="B356" i="6"/>
  <c r="A356" i="6"/>
  <c r="I335" i="6"/>
  <c r="I356" i="6" l="1"/>
  <c r="J356" i="6" s="1"/>
  <c r="K356" i="6" s="1"/>
  <c r="I395" i="6" l="1"/>
  <c r="J395" i="6" l="1"/>
  <c r="K395" i="6" s="1"/>
  <c r="I316" i="6"/>
  <c r="I315" i="6"/>
  <c r="L314" i="6" l="1"/>
  <c r="I314" i="6"/>
  <c r="L313" i="6" l="1"/>
  <c r="I313" i="6"/>
  <c r="L312" i="6" l="1"/>
  <c r="G324" i="6"/>
  <c r="I312" i="6"/>
  <c r="L278" i="6" l="1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277" i="6"/>
  <c r="L307" i="6"/>
  <c r="L308" i="6"/>
  <c r="L309" i="6"/>
  <c r="L310" i="6"/>
  <c r="L311" i="6"/>
  <c r="L318" i="6"/>
  <c r="L306" i="6"/>
  <c r="L303" i="6" l="1"/>
  <c r="N303" i="6" s="1"/>
  <c r="I311" i="6"/>
  <c r="I310" i="6" l="1"/>
  <c r="I309" i="6"/>
  <c r="F324" i="6" l="1"/>
  <c r="I308" i="6"/>
  <c r="I307" i="6"/>
  <c r="H324" i="6"/>
  <c r="L324" i="6" l="1"/>
  <c r="I306" i="6" l="1"/>
  <c r="I324" i="6" s="1"/>
  <c r="B324" i="6"/>
  <c r="F325" i="6" s="1"/>
  <c r="A324" i="6"/>
  <c r="J324" i="6" l="1"/>
  <c r="K324" i="6" s="1"/>
  <c r="I302" i="6"/>
  <c r="I301" i="6" l="1"/>
  <c r="I300" i="6" l="1"/>
  <c r="I299" i="6" l="1"/>
  <c r="B303" i="6" l="1"/>
  <c r="A303" i="6"/>
  <c r="A228" i="6"/>
  <c r="A214" i="6"/>
  <c r="I298" i="6" l="1"/>
  <c r="I297" i="6" l="1"/>
  <c r="I296" i="6" l="1"/>
  <c r="I295" i="6"/>
  <c r="I294" i="6" l="1"/>
  <c r="I293" i="6"/>
  <c r="I292" i="6"/>
  <c r="I291" i="6"/>
  <c r="I290" i="6"/>
  <c r="I289" i="6" l="1"/>
  <c r="I288" i="6"/>
  <c r="I287" i="6"/>
  <c r="I286" i="6" l="1"/>
  <c r="I285" i="6" l="1"/>
  <c r="I284" i="6"/>
  <c r="I283" i="6"/>
  <c r="I282" i="6"/>
  <c r="I281" i="6"/>
  <c r="I280" i="6"/>
  <c r="I279" i="6" l="1"/>
  <c r="G303" i="6" l="1"/>
  <c r="I278" i="6"/>
  <c r="F303" i="6"/>
  <c r="H303" i="6"/>
  <c r="I277" i="6"/>
  <c r="I303" i="6" l="1"/>
  <c r="J303" i="6"/>
  <c r="I271" i="6"/>
  <c r="L271" i="6"/>
  <c r="I270" i="6" l="1"/>
  <c r="L270" i="6"/>
  <c r="L268" i="6" l="1"/>
  <c r="L269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M274" i="6"/>
  <c r="K274" i="6"/>
  <c r="L274" i="6" l="1"/>
  <c r="B274" i="6"/>
  <c r="F274" i="6"/>
  <c r="G274" i="6"/>
  <c r="H274" i="6"/>
  <c r="I252" i="6"/>
  <c r="I253" i="6"/>
  <c r="I254" i="6"/>
  <c r="I255" i="6"/>
  <c r="I256" i="6"/>
  <c r="I259" i="6" l="1"/>
  <c r="I258" i="6"/>
  <c r="A274" i="6"/>
  <c r="J274" i="6" s="1"/>
  <c r="I260" i="6"/>
  <c r="I261" i="6"/>
  <c r="I262" i="6"/>
  <c r="I263" i="6"/>
  <c r="I264" i="6"/>
  <c r="I265" i="6"/>
  <c r="I266" i="6"/>
  <c r="I269" i="6"/>
  <c r="I257" i="6" l="1"/>
  <c r="I267" i="6"/>
  <c r="I268" i="6"/>
  <c r="H250" i="6" l="1"/>
  <c r="O51" i="10" l="1"/>
  <c r="O50" i="10"/>
  <c r="O49" i="10"/>
  <c r="O48" i="10"/>
  <c r="I248" i="6" l="1"/>
  <c r="I247" i="6" l="1"/>
  <c r="I246" i="6" l="1"/>
  <c r="J51" i="10" l="1"/>
  <c r="L51" i="10" s="1"/>
  <c r="J50" i="10"/>
  <c r="L50" i="10" s="1"/>
  <c r="I245" i="6" l="1"/>
  <c r="I244" i="6" l="1"/>
  <c r="I243" i="6" l="1"/>
  <c r="M134" i="10" l="1"/>
  <c r="K23" i="10"/>
  <c r="K30" i="10" l="1"/>
  <c r="K28" i="10" l="1"/>
  <c r="I242" i="6" l="1"/>
  <c r="L232" i="6"/>
  <c r="L233" i="6"/>
  <c r="L234" i="6"/>
  <c r="L235" i="6"/>
  <c r="L238" i="6"/>
  <c r="L239" i="6"/>
  <c r="L240" i="6"/>
  <c r="L241" i="6"/>
  <c r="L242" i="6"/>
  <c r="L243" i="6"/>
  <c r="L244" i="6"/>
  <c r="L245" i="6"/>
  <c r="L246" i="6"/>
  <c r="L247" i="6"/>
  <c r="L248" i="6"/>
  <c r="L231" i="6"/>
  <c r="K228" i="6"/>
  <c r="L218" i="6"/>
  <c r="L219" i="6"/>
  <c r="L220" i="6"/>
  <c r="L221" i="6"/>
  <c r="L222" i="6"/>
  <c r="L224" i="6"/>
  <c r="L225" i="6"/>
  <c r="L226" i="6"/>
  <c r="L217" i="6"/>
  <c r="M228" i="6"/>
  <c r="A250" i="6"/>
  <c r="I241" i="6"/>
  <c r="I240" i="6"/>
  <c r="L228" i="6" l="1"/>
  <c r="L250" i="6"/>
  <c r="L49" i="10"/>
  <c r="L48" i="10" l="1"/>
  <c r="K22" i="10"/>
  <c r="I239" i="6" l="1"/>
  <c r="K250" i="6"/>
  <c r="I238" i="6"/>
  <c r="I237" i="6" l="1"/>
  <c r="G250" i="6"/>
  <c r="I236" i="6"/>
  <c r="N26" i="10"/>
  <c r="K27" i="10"/>
  <c r="I235" i="6"/>
  <c r="I234" i="6" l="1"/>
  <c r="I233" i="6"/>
  <c r="O47" i="10" l="1"/>
  <c r="L47" i="10"/>
  <c r="I232" i="6" l="1"/>
  <c r="I231" i="6" l="1"/>
  <c r="I250" i="6" l="1"/>
  <c r="J250" i="6" s="1"/>
  <c r="N29" i="10" l="1"/>
  <c r="I226" i="6" l="1"/>
  <c r="I225" i="6"/>
  <c r="I224" i="6"/>
  <c r="H228" i="6"/>
  <c r="O46" i="10" l="1"/>
  <c r="L46" i="10"/>
  <c r="N19" i="10" l="1"/>
  <c r="O45" i="10" l="1"/>
  <c r="L45" i="10"/>
  <c r="I223" i="6" l="1"/>
  <c r="O44" i="10" l="1"/>
  <c r="L44" i="10"/>
  <c r="L39" i="10"/>
  <c r="N25" i="10" l="1"/>
  <c r="I222" i="6" l="1"/>
  <c r="N10" i="10" l="1"/>
  <c r="N16" i="10"/>
  <c r="N17" i="10"/>
  <c r="K10" i="10" l="1"/>
  <c r="I221" i="6"/>
  <c r="K214" i="6" l="1"/>
  <c r="O43" i="10" l="1"/>
  <c r="O42" i="10"/>
  <c r="G228" i="6" l="1"/>
  <c r="I228" i="6" s="1"/>
  <c r="J228" i="6" s="1"/>
  <c r="I220" i="6"/>
  <c r="I219" i="6"/>
  <c r="I218" i="6"/>
  <c r="I217" i="6"/>
  <c r="L214" i="6"/>
  <c r="L43" i="10" l="1"/>
  <c r="L42" i="10"/>
  <c r="H214" i="6" l="1"/>
  <c r="O41" i="10" l="1"/>
  <c r="L41" i="10"/>
  <c r="I211" i="6" l="1"/>
  <c r="I210" i="6" l="1"/>
  <c r="I209" i="6" l="1"/>
  <c r="I208" i="6"/>
  <c r="H1" i="6" l="1"/>
  <c r="I207" i="6"/>
  <c r="I206" i="6" l="1"/>
  <c r="I205" i="6"/>
  <c r="I204" i="6" l="1"/>
  <c r="I203" i="6" l="1"/>
  <c r="O39" i="10" l="1"/>
  <c r="O37" i="10"/>
  <c r="L37" i="10"/>
  <c r="I202" i="6" l="1"/>
  <c r="I201" i="6"/>
  <c r="I200" i="6" l="1"/>
  <c r="I199" i="6" l="1"/>
  <c r="I198" i="6" l="1"/>
  <c r="I197" i="6"/>
  <c r="I196" i="6" l="1"/>
  <c r="I195" i="6" l="1"/>
  <c r="I194" i="6" l="1"/>
  <c r="I193" i="6" l="1"/>
  <c r="O36" i="10" l="1"/>
  <c r="L36" i="10"/>
  <c r="O35" i="10"/>
  <c r="L35" i="10"/>
  <c r="I192" i="6"/>
  <c r="I191" i="6"/>
  <c r="I190" i="6"/>
  <c r="I189" i="6"/>
  <c r="I188" i="6" l="1"/>
  <c r="I187" i="6" l="1"/>
  <c r="I186" i="6"/>
  <c r="I185" i="6"/>
  <c r="I184" i="6" l="1"/>
  <c r="I183" i="6"/>
  <c r="K175" i="6" l="1"/>
  <c r="O34" i="10" l="1"/>
  <c r="L34" i="10"/>
  <c r="O33" i="10"/>
  <c r="K17" i="10" l="1"/>
  <c r="L33" i="10" l="1"/>
  <c r="O32" i="10" l="1"/>
  <c r="L32" i="10"/>
  <c r="M166" i="6" l="1"/>
  <c r="G214" i="6" l="1"/>
  <c r="J214" i="6" s="1"/>
  <c r="I182" i="6"/>
  <c r="I214" i="6" l="1"/>
  <c r="I172" i="6"/>
  <c r="I169" i="6"/>
  <c r="I167" i="6"/>
  <c r="I171" i="6"/>
  <c r="I170" i="6"/>
  <c r="K24" i="10" l="1"/>
  <c r="J24" i="10"/>
  <c r="I168" i="6" l="1"/>
  <c r="K159" i="6" l="1"/>
  <c r="G175" i="6"/>
  <c r="H175" i="6"/>
  <c r="G159" i="6"/>
  <c r="I175" i="6" l="1"/>
  <c r="I166" i="6" l="1"/>
  <c r="I165" i="6" l="1"/>
  <c r="I164" i="6" l="1"/>
  <c r="I178" i="6" l="1"/>
  <c r="J175" i="6" l="1"/>
  <c r="L175" i="6" s="1"/>
  <c r="I177" i="6"/>
  <c r="I163" i="6"/>
  <c r="I162" i="6" l="1"/>
  <c r="H158" i="6" l="1"/>
  <c r="J159" i="6" l="1"/>
  <c r="H159" i="6"/>
  <c r="I159" i="6" s="1"/>
  <c r="I158" i="6"/>
  <c r="I157" i="6"/>
  <c r="I156" i="6" l="1"/>
  <c r="I143" i="6" l="1"/>
  <c r="O31" i="10" l="1"/>
  <c r="L31" i="10"/>
  <c r="I155" i="6" l="1"/>
  <c r="I154" i="6"/>
  <c r="I153" i="6" l="1"/>
  <c r="I142" i="6"/>
  <c r="I141" i="6"/>
  <c r="O30" i="10" l="1"/>
  <c r="O29" i="10"/>
  <c r="O28" i="10"/>
  <c r="O27" i="10"/>
  <c r="L29" i="10" l="1"/>
  <c r="L30" i="10"/>
  <c r="L28" i="10"/>
  <c r="L27" i="10"/>
  <c r="O26" i="10" l="1"/>
  <c r="O25" i="10"/>
  <c r="L26" i="10"/>
  <c r="L25" i="10"/>
  <c r="O24" i="10" l="1"/>
  <c r="L24" i="10"/>
  <c r="O23" i="10" l="1"/>
  <c r="L23" i="10"/>
  <c r="L22" i="10"/>
  <c r="L21" i="10"/>
  <c r="O22" i="10" l="1"/>
  <c r="O21" i="10"/>
  <c r="M20" i="10" l="1"/>
  <c r="O20" i="10" s="1"/>
  <c r="J20" i="10"/>
  <c r="L20" i="10" s="1"/>
  <c r="O19" i="10" l="1"/>
  <c r="I140" i="6" l="1"/>
  <c r="I139" i="6"/>
  <c r="I131" i="6" l="1"/>
  <c r="I130" i="6"/>
  <c r="I129" i="6"/>
  <c r="I128" i="6" l="1"/>
  <c r="I127" i="6"/>
  <c r="I120" i="6"/>
  <c r="I121" i="6"/>
  <c r="I122" i="6"/>
  <c r="I123" i="6"/>
  <c r="I124" i="6"/>
  <c r="I125" i="6"/>
  <c r="I126" i="6"/>
  <c r="I136" i="6"/>
  <c r="I137" i="6"/>
  <c r="I138" i="6"/>
  <c r="I148" i="6"/>
  <c r="L19" i="10" l="1"/>
  <c r="I119" i="6"/>
  <c r="I118" i="6"/>
  <c r="I117" i="6" l="1"/>
  <c r="I116" i="6"/>
  <c r="I115" i="6"/>
  <c r="O18" i="10"/>
  <c r="L18" i="10"/>
  <c r="I114" i="6" l="1"/>
  <c r="I105" i="6" l="1"/>
  <c r="I106" i="6"/>
  <c r="I107" i="6"/>
  <c r="I108" i="6"/>
  <c r="I109" i="6"/>
  <c r="I110" i="6"/>
  <c r="I111" i="6"/>
  <c r="I112" i="6"/>
  <c r="I113" i="6"/>
  <c r="H149" i="6"/>
  <c r="K6" i="10" l="1"/>
  <c r="O17" i="10"/>
  <c r="O16" i="10"/>
  <c r="L17" i="10" l="1"/>
  <c r="I104" i="6" l="1"/>
  <c r="I103" i="6" l="1"/>
  <c r="I102" i="6" l="1"/>
  <c r="I101" i="6"/>
  <c r="I100" i="6" l="1"/>
  <c r="J15" i="10"/>
  <c r="M15" i="10"/>
  <c r="M14" i="10"/>
  <c r="J14" i="10"/>
  <c r="L16" i="10" l="1"/>
  <c r="O15" i="10"/>
  <c r="O14" i="10"/>
  <c r="L15" i="10"/>
  <c r="L14" i="10" l="1"/>
  <c r="O13" i="10" l="1"/>
  <c r="O12" i="10"/>
  <c r="L13" i="10"/>
  <c r="O11" i="10" l="1"/>
  <c r="L5" i="10"/>
  <c r="L6" i="10"/>
  <c r="L7" i="10"/>
  <c r="L8" i="10"/>
  <c r="L9" i="10"/>
  <c r="L10" i="10"/>
  <c r="L11" i="10"/>
  <c r="L2" i="10" l="1"/>
  <c r="O10" i="10"/>
  <c r="H98" i="6" l="1"/>
  <c r="I97" i="6"/>
  <c r="I96" i="6"/>
  <c r="I95" i="6" l="1"/>
  <c r="I94" i="6"/>
  <c r="I93" i="6" l="1"/>
  <c r="I92" i="6" l="1"/>
  <c r="I91" i="6" l="1"/>
  <c r="I90" i="6" l="1"/>
  <c r="I89" i="6" l="1"/>
  <c r="I88" i="6" l="1"/>
  <c r="I87" i="6" l="1"/>
  <c r="I86" i="6" l="1"/>
  <c r="I85" i="6"/>
  <c r="I84" i="6" l="1"/>
  <c r="O5" i="10" l="1"/>
  <c r="O6" i="10"/>
  <c r="O7" i="10"/>
  <c r="O8" i="10"/>
  <c r="O9" i="10" l="1"/>
  <c r="O2" i="10" l="1"/>
  <c r="P2" i="10" s="1"/>
  <c r="I83" i="6" l="1"/>
  <c r="I81" i="6"/>
  <c r="I82" i="6" l="1"/>
  <c r="I80" i="6"/>
  <c r="I79" i="6" l="1"/>
  <c r="I78" i="6"/>
  <c r="I77" i="6" l="1"/>
  <c r="I76" i="6" l="1"/>
  <c r="I70" i="6" l="1"/>
  <c r="I71" i="6"/>
  <c r="I72" i="6"/>
  <c r="I73" i="6"/>
  <c r="I74" i="6"/>
  <c r="I75" i="6"/>
  <c r="I69" i="6"/>
  <c r="M16" i="6" l="1"/>
  <c r="A384" i="1" l="1"/>
  <c r="A385" i="1"/>
  <c r="A386" i="1"/>
  <c r="A387" i="1"/>
  <c r="A388" i="1"/>
  <c r="A389" i="1"/>
  <c r="A390" i="1"/>
  <c r="A391" i="1"/>
  <c r="A392" i="1"/>
  <c r="A393" i="1"/>
  <c r="A394" i="1"/>
  <c r="E377" i="1" l="1"/>
  <c r="E376" i="1"/>
  <c r="G4" i="1" l="1"/>
  <c r="E365" i="1"/>
  <c r="D364" i="1"/>
  <c r="E5" i="1" l="1"/>
  <c r="D5" i="1"/>
  <c r="D3" i="1"/>
  <c r="E3" i="1"/>
  <c r="E2" i="1"/>
  <c r="D2" i="1"/>
  <c r="C3" i="1"/>
  <c r="C2" i="1"/>
  <c r="F352" i="1" l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W8" i="2" l="1"/>
  <c r="A348" i="1" l="1"/>
  <c r="A349" i="1"/>
  <c r="G323" i="1" l="1"/>
  <c r="G321" i="1" l="1"/>
  <c r="G306" i="1" l="1"/>
  <c r="E301" i="1" l="1"/>
  <c r="E16" i="2" l="1"/>
  <c r="D16" i="2"/>
  <c r="C16" i="2"/>
  <c r="B16" i="2"/>
  <c r="M8" i="2"/>
  <c r="P8" i="2" s="1"/>
  <c r="Q8" i="2" s="1"/>
  <c r="M7" i="2"/>
  <c r="P7" i="2" s="1"/>
  <c r="Q7" i="2" s="1"/>
  <c r="M6" i="2"/>
  <c r="P6" i="2" s="1"/>
  <c r="Q6" i="2" s="1"/>
  <c r="M5" i="2"/>
  <c r="P5" i="2" s="1"/>
  <c r="Q5" i="2" s="1"/>
  <c r="F276" i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D237" i="1"/>
  <c r="G224" i="1"/>
  <c r="G195" i="1"/>
  <c r="G193" i="1"/>
  <c r="G187" i="1"/>
  <c r="G177" i="1"/>
  <c r="H160" i="1"/>
  <c r="F156" i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H154" i="1"/>
  <c r="D132" i="1"/>
  <c r="G105" i="1"/>
  <c r="G42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322" i="1" l="1"/>
  <c r="F323" i="1" s="1"/>
  <c r="H321" i="1"/>
  <c r="D4" i="1"/>
  <c r="F178" i="1"/>
  <c r="F179" i="1" s="1"/>
  <c r="F180" i="1" s="1"/>
  <c r="F181" i="1" s="1"/>
  <c r="F182" i="1" s="1"/>
  <c r="F183" i="1" s="1"/>
  <c r="F184" i="1" s="1"/>
  <c r="F185" i="1" s="1"/>
  <c r="F186" i="1" s="1"/>
  <c r="F187" i="1" s="1"/>
  <c r="H177" i="1"/>
  <c r="F106" i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H105" i="1"/>
  <c r="H306" i="1"/>
  <c r="C4" i="1"/>
  <c r="E4" i="1"/>
  <c r="F324" i="1" l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H323" i="1"/>
  <c r="F188" i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H187" i="1"/>
  <c r="F4" i="1"/>
  <c r="H4" i="1" s="1"/>
  <c r="I274" i="6"/>
  <c r="H66" i="6" l="1"/>
</calcChain>
</file>

<file path=xl/sharedStrings.xml><?xml version="1.0" encoding="utf-8"?>
<sst xmlns="http://schemas.openxmlformats.org/spreadsheetml/2006/main" count="3375" uniqueCount="1809">
  <si>
    <t>photo</t>
  </si>
  <si>
    <t>cd</t>
  </si>
  <si>
    <t>Date</t>
  </si>
  <si>
    <t>total</t>
  </si>
  <si>
    <t>bal</t>
  </si>
  <si>
    <t>recharge</t>
  </si>
  <si>
    <t>bank</t>
  </si>
  <si>
    <t>Head</t>
  </si>
  <si>
    <t>Particulars</t>
  </si>
  <si>
    <t>in</t>
  </si>
  <si>
    <t>out</t>
  </si>
  <si>
    <t>N</t>
  </si>
  <si>
    <t>C</t>
  </si>
  <si>
    <t>P</t>
  </si>
  <si>
    <t>IN</t>
  </si>
  <si>
    <t>OUT</t>
  </si>
  <si>
    <t>BAL</t>
  </si>
  <si>
    <t>photo paper</t>
  </si>
  <si>
    <t>id pouch</t>
  </si>
  <si>
    <t>petrol</t>
  </si>
  <si>
    <t>shubham</t>
  </si>
  <si>
    <t>Opening</t>
  </si>
  <si>
    <t>opening</t>
  </si>
  <si>
    <t>Paper</t>
  </si>
  <si>
    <t>Personal</t>
  </si>
  <si>
    <t>Ration</t>
  </si>
  <si>
    <t>p</t>
  </si>
  <si>
    <t>recpt</t>
  </si>
  <si>
    <t>chd</t>
  </si>
  <si>
    <t>Petrol</t>
  </si>
  <si>
    <t>Photo paper</t>
  </si>
  <si>
    <t>Sale: npav</t>
  </si>
  <si>
    <t>paper</t>
  </si>
  <si>
    <t>rent</t>
  </si>
  <si>
    <t>cfund</t>
  </si>
  <si>
    <t>Sale:NPAV</t>
  </si>
  <si>
    <t>pcable</t>
  </si>
  <si>
    <t>spiral sheet</t>
  </si>
  <si>
    <t>service</t>
  </si>
  <si>
    <t>Service</t>
  </si>
  <si>
    <t>School fee</t>
  </si>
  <si>
    <t>marketing</t>
  </si>
  <si>
    <t>B</t>
  </si>
  <si>
    <t>HDFC</t>
  </si>
  <si>
    <t>ration</t>
  </si>
  <si>
    <t>digital paper</t>
  </si>
  <si>
    <t>Sale: Lap power cable</t>
  </si>
  <si>
    <t>medicine</t>
  </si>
  <si>
    <t>Sale:npav</t>
  </si>
  <si>
    <t>personal</t>
  </si>
  <si>
    <t>Hdfc</t>
  </si>
  <si>
    <t>Sale</t>
  </si>
  <si>
    <t>Milk</t>
  </si>
  <si>
    <t>toner</t>
  </si>
  <si>
    <t>Name</t>
  </si>
  <si>
    <t>hdfc</t>
  </si>
  <si>
    <t>cc a/c</t>
  </si>
  <si>
    <t>cab</t>
  </si>
  <si>
    <t>cpu</t>
  </si>
  <si>
    <t>mbod</t>
  </si>
  <si>
    <t>ram</t>
  </si>
  <si>
    <t>hdd</t>
  </si>
  <si>
    <t>dvd</t>
  </si>
  <si>
    <t>kb</t>
  </si>
  <si>
    <t>mou</t>
  </si>
  <si>
    <t>monitor</t>
  </si>
  <si>
    <t>Cash</t>
  </si>
  <si>
    <t>Sale: adapter</t>
  </si>
  <si>
    <t>RECPT</t>
  </si>
  <si>
    <t>n</t>
  </si>
  <si>
    <t>IT 2580</t>
  </si>
  <si>
    <t>dc 4th</t>
  </si>
  <si>
    <t>gigabyte</t>
  </si>
  <si>
    <t>sam</t>
  </si>
  <si>
    <t>500 gb</t>
  </si>
  <si>
    <t>ups</t>
  </si>
  <si>
    <t>Sale:1259</t>
  </si>
  <si>
    <t>power cable</t>
  </si>
  <si>
    <t>Machine loan</t>
  </si>
  <si>
    <t>mouse</t>
  </si>
  <si>
    <t>DC</t>
  </si>
  <si>
    <t>I3</t>
  </si>
  <si>
    <t>Kaspersky</t>
  </si>
  <si>
    <t>160 pata Hdd, smps &amp; iball modem</t>
  </si>
  <si>
    <t xml:space="preserve">Headphone Iball </t>
  </si>
  <si>
    <t>laptop Service</t>
  </si>
  <si>
    <t>usb extension</t>
  </si>
  <si>
    <t>Internet renewal quick heal</t>
  </si>
  <si>
    <t>Mouse usb iball</t>
  </si>
  <si>
    <t>gungun</t>
  </si>
  <si>
    <t>Toner 88a Rathi</t>
  </si>
  <si>
    <t>Ink Refil Black injet</t>
  </si>
  <si>
    <t>Iball Modem Adsl2</t>
  </si>
  <si>
    <t>Mummy</t>
  </si>
  <si>
    <t>Eating</t>
  </si>
  <si>
    <t>Smps Zeb</t>
  </si>
  <si>
    <t>Game Pad Zeb</t>
  </si>
  <si>
    <t>Iball Mouse</t>
  </si>
  <si>
    <t>Shubham Bank</t>
  </si>
  <si>
    <t>Service windows 10</t>
  </si>
  <si>
    <t xml:space="preserve">Roner Refil </t>
  </si>
  <si>
    <t>Pur: adapter</t>
  </si>
  <si>
    <t>Kb 400 usb iball</t>
  </si>
  <si>
    <t>Mouse w/l Iball</t>
  </si>
  <si>
    <t>Iball Speaker 2.1 Mini Tower</t>
  </si>
  <si>
    <t>Card Reader + 2:2 Cable</t>
  </si>
  <si>
    <t>pay: pushpa</t>
  </si>
  <si>
    <t>sale: hp678+card reader</t>
  </si>
  <si>
    <t>market</t>
  </si>
  <si>
    <t>Iball kb iball usb</t>
  </si>
  <si>
    <t>Service Printer</t>
  </si>
  <si>
    <t>Service Pc xp</t>
  </si>
  <si>
    <t>Service ups</t>
  </si>
  <si>
    <t>tour to bhilai</t>
  </si>
  <si>
    <t>Sale: IT</t>
  </si>
  <si>
    <t>Sale: qui pro</t>
  </si>
  <si>
    <t>Sale return</t>
  </si>
  <si>
    <t>Sale:12v1A</t>
  </si>
  <si>
    <t>loan paid to rina</t>
  </si>
  <si>
    <t>Sale: usb extention</t>
  </si>
  <si>
    <t>photo lamination</t>
  </si>
  <si>
    <t>Sale: hdmi cable</t>
  </si>
  <si>
    <t>Sale: type 2 modem</t>
  </si>
  <si>
    <t>Sale: santosh jha</t>
  </si>
  <si>
    <t>Sale: power cable</t>
  </si>
  <si>
    <t>Sale: style 06</t>
  </si>
  <si>
    <t>Sale: card reader c24</t>
  </si>
  <si>
    <t>Advance: HDMI cable 10</t>
  </si>
  <si>
    <t>Sale: sandisk mem + adapter</t>
  </si>
  <si>
    <t>Pur: adapter 12v5a,5V2a</t>
  </si>
  <si>
    <t>Sale: wifi dongle</t>
  </si>
  <si>
    <t>Sale: speaker+4gb memory</t>
  </si>
  <si>
    <t>Sale: 16 gb memory</t>
  </si>
  <si>
    <t>Sale: hdmi cable 10mtr</t>
  </si>
  <si>
    <t>Bank self</t>
  </si>
  <si>
    <t>Sale:winner ps2</t>
  </si>
  <si>
    <t>electric bill collection</t>
  </si>
  <si>
    <t>Pur: adapter 5*90</t>
  </si>
  <si>
    <t>Sale:hdmi 3 mtr</t>
  </si>
  <si>
    <t>Sale: adapters(dlink+5V2A)</t>
  </si>
  <si>
    <t>Sale: type 2 modem single</t>
  </si>
  <si>
    <t>bank payment</t>
  </si>
  <si>
    <t>sale: sandisk 8gb</t>
  </si>
  <si>
    <t>machine loan</t>
  </si>
  <si>
    <t>Sale: colt3+ usb</t>
  </si>
  <si>
    <t>Sale: lil bomb</t>
  </si>
  <si>
    <t>formate</t>
  </si>
  <si>
    <t>sale: guardian</t>
  </si>
  <si>
    <t>Sale: card reader 34R</t>
  </si>
  <si>
    <t>stpler pin</t>
  </si>
  <si>
    <t>Cello tape</t>
  </si>
  <si>
    <t>advance: cart</t>
  </si>
  <si>
    <t>Cash IN hand</t>
  </si>
  <si>
    <t>Purchase: 745 &amp; 746</t>
  </si>
  <si>
    <t>Sn Payment</t>
  </si>
  <si>
    <t>shukla jee</t>
  </si>
  <si>
    <t>Sale: usb hub iball</t>
  </si>
  <si>
    <t>C`</t>
  </si>
  <si>
    <t>ishtvriti deposite</t>
  </si>
  <si>
    <t>SALE: USB TO AUDIO</t>
  </si>
  <si>
    <t>Serviec=mouse</t>
  </si>
  <si>
    <t>Sale: qh pro</t>
  </si>
  <si>
    <t>Sale:745/746 cart due</t>
  </si>
  <si>
    <t>sale:usb extention</t>
  </si>
  <si>
    <t>Sale: ddr2-1gb</t>
  </si>
  <si>
    <t>Sale: 16 memory</t>
  </si>
  <si>
    <t>Npav</t>
  </si>
  <si>
    <t>Sale:Prodot 88 cart</t>
  </si>
  <si>
    <t>Sale: old monitor</t>
  </si>
  <si>
    <t>Pur: old PC</t>
  </si>
  <si>
    <t>sohan</t>
  </si>
  <si>
    <t>Sale: IT 2570(2102313425150700290)</t>
  </si>
  <si>
    <t>vga cable</t>
  </si>
  <si>
    <t>puspa</t>
  </si>
  <si>
    <t>Sale:sandisk 8gb</t>
  </si>
  <si>
    <t>MARKETING</t>
  </si>
  <si>
    <t>Pebdrive 8 gb sandisk</t>
  </si>
  <si>
    <t>Iball tv Tuner</t>
  </si>
  <si>
    <t>628 Color hp</t>
  </si>
  <si>
    <t>Mouse Zeb usb</t>
  </si>
  <si>
    <t>Quick heal Anti</t>
  </si>
  <si>
    <t>Servicing Xp + Windows 7</t>
  </si>
  <si>
    <t>File</t>
  </si>
  <si>
    <t>Toner refill</t>
  </si>
  <si>
    <t>sale:prodot mouse+usb ext</t>
  </si>
  <si>
    <t>vestige</t>
  </si>
  <si>
    <t>Sale: speaker 2650</t>
  </si>
  <si>
    <t>smps:zeb</t>
  </si>
  <si>
    <t>DC connector Camera</t>
  </si>
  <si>
    <t>spkr: terabyte usb</t>
  </si>
  <si>
    <t>PHOTOS</t>
  </si>
  <si>
    <t>RENT</t>
  </si>
  <si>
    <t>IT KILLER</t>
  </si>
  <si>
    <t>SW 3490</t>
  </si>
  <si>
    <t>BT 3430</t>
  </si>
  <si>
    <t>pdate</t>
  </si>
  <si>
    <t>model</t>
  </si>
  <si>
    <t>cdate</t>
  </si>
  <si>
    <t>cost</t>
  </si>
  <si>
    <t>mod</t>
  </si>
  <si>
    <t>Sale: adapter 12V1A</t>
  </si>
  <si>
    <t>mani ranjan</t>
  </si>
  <si>
    <t>Sale:terabyte mouse</t>
  </si>
  <si>
    <t>12 toner</t>
  </si>
  <si>
    <t>Sale:smps (vinit</t>
  </si>
  <si>
    <t>name</t>
  </si>
  <si>
    <t>Sale: prodot moue</t>
  </si>
  <si>
    <t>Sale: mouse+kb prodot</t>
  </si>
  <si>
    <t>legal paper</t>
  </si>
  <si>
    <t>file</t>
  </si>
  <si>
    <t>opc drum+blade</t>
  </si>
  <si>
    <t>Sale: smps+dvdwriter</t>
  </si>
  <si>
    <t>Sale: zeb headphone`</t>
  </si>
  <si>
    <t>Sale: w/l mouse zeb+wifi dong150</t>
  </si>
  <si>
    <t>Pancard pay</t>
  </si>
  <si>
    <t>Sale: qh total</t>
  </si>
  <si>
    <t>Kb iball usb</t>
  </si>
  <si>
    <t>c</t>
  </si>
  <si>
    <t xml:space="preserve">PENDRIVE MOSERBEAR 8GB </t>
  </si>
  <si>
    <t>Sale: lap adapter</t>
  </si>
  <si>
    <t>Sale: moues</t>
  </si>
  <si>
    <t>OPENING</t>
  </si>
  <si>
    <t>lam 9"</t>
  </si>
  <si>
    <t>envelop</t>
  </si>
  <si>
    <t>Sale: q heal pro</t>
  </si>
  <si>
    <t>flojet ink</t>
  </si>
  <si>
    <t>Kaspersk Internet Security</t>
  </si>
  <si>
    <t>prodot keyboard</t>
  </si>
  <si>
    <t>Sale: LPA-64A</t>
  </si>
  <si>
    <t>SERVICE</t>
  </si>
  <si>
    <t>2:1 cable</t>
  </si>
  <si>
    <t>Battery</t>
  </si>
  <si>
    <t>Toshiba 1tb HDD laptop</t>
  </si>
  <si>
    <t>Keyboard usb prodot</t>
  </si>
  <si>
    <t>Serive &amp; 2:1 cable</t>
  </si>
  <si>
    <t>Sale: winner kb</t>
  </si>
  <si>
    <t>SAVING A/C (SHUBHAM FEE)</t>
  </si>
  <si>
    <t>Sale: guardian net</t>
  </si>
  <si>
    <t>battery purchase</t>
  </si>
  <si>
    <t>Guardian</t>
  </si>
  <si>
    <t>Iball modem 7.2</t>
  </si>
  <si>
    <t>Mouse prodot usb</t>
  </si>
  <si>
    <t>Iball USB W/l Mouse</t>
  </si>
  <si>
    <t>Zebronic USB to audio</t>
  </si>
  <si>
    <t>iball usb KB Winner</t>
  </si>
  <si>
    <t xml:space="preserve">818b card Hp </t>
  </si>
  <si>
    <t>ishtvrity</t>
  </si>
  <si>
    <t>battery</t>
  </si>
  <si>
    <t>Shubham recharge</t>
  </si>
  <si>
    <t>shubham medicine</t>
  </si>
  <si>
    <t>Sale:mboard</t>
  </si>
  <si>
    <t>sale: mosebear 32 pd</t>
  </si>
  <si>
    <t>sale: msd 16 gb trans</t>
  </si>
  <si>
    <t>ren t</t>
  </si>
  <si>
    <t>Sale: hdmi 1.5</t>
  </si>
  <si>
    <t>Sale: mouse zeb</t>
  </si>
  <si>
    <t>Sale: 12V1A</t>
  </si>
  <si>
    <t>paid</t>
  </si>
  <si>
    <t>collection</t>
  </si>
  <si>
    <t>photo print</t>
  </si>
  <si>
    <t>mouse+sandisk32</t>
  </si>
  <si>
    <t>due paid to Hot Spot</t>
  </si>
  <si>
    <t>sale: samsung mem 16gb</t>
  </si>
  <si>
    <t>keyguard</t>
  </si>
  <si>
    <t>personale</t>
  </si>
  <si>
    <t>banking</t>
  </si>
  <si>
    <t>SALE: LILBOM</t>
  </si>
  <si>
    <t>salary:pampa</t>
  </si>
  <si>
    <t>PAPER</t>
  </si>
  <si>
    <t>STATIONARY</t>
  </si>
  <si>
    <t>Tab installment</t>
  </si>
  <si>
    <t>SATSANG</t>
  </si>
  <si>
    <t>salary:gorai</t>
  </si>
  <si>
    <t>Sale:self(rationing)</t>
  </si>
  <si>
    <t>cup</t>
  </si>
  <si>
    <t>delivered</t>
  </si>
  <si>
    <t>dob</t>
  </si>
  <si>
    <t>Dhananjay Gorai</t>
  </si>
  <si>
    <t>TP</t>
  </si>
  <si>
    <t>Ravi Munda</t>
  </si>
  <si>
    <t>2320100266097200000</t>
  </si>
  <si>
    <t>2320100266086200000</t>
  </si>
  <si>
    <t>FP</t>
  </si>
  <si>
    <t>RAJESH KUMAR</t>
  </si>
  <si>
    <t>Ranjit Kumar Das</t>
  </si>
  <si>
    <t>sl</t>
  </si>
  <si>
    <t>Mobile</t>
  </si>
  <si>
    <t>Goutam Swarnkar</t>
  </si>
  <si>
    <t>Ashok Goenka</t>
  </si>
  <si>
    <t>CHIPS6611J</t>
  </si>
  <si>
    <t>SAUMYA</t>
  </si>
  <si>
    <t>S@tyam90</t>
  </si>
  <si>
    <t>13-06-1990</t>
  </si>
  <si>
    <t>AEIPS6717A</t>
  </si>
  <si>
    <t>MANOJ KUMAR SATYAM</t>
  </si>
  <si>
    <t>M@noj17a</t>
  </si>
  <si>
    <t>Binod Kumar Soni</t>
  </si>
  <si>
    <t>Nilu Perween</t>
  </si>
  <si>
    <t>Ekta Rani Mishra</t>
  </si>
  <si>
    <t>Suvendu Mahato</t>
  </si>
  <si>
    <t>BUZPS1133C</t>
  </si>
  <si>
    <t>SITESH CHANDRA ROY</t>
  </si>
  <si>
    <t>Har Mohan Mahato</t>
  </si>
  <si>
    <t>Abdul Bari Khan</t>
  </si>
  <si>
    <t>Vikram Singh</t>
  </si>
  <si>
    <t>Jesika Tiru</t>
  </si>
  <si>
    <t>New</t>
  </si>
  <si>
    <t>GOPI NATH</t>
  </si>
  <si>
    <t>Bullet</t>
  </si>
  <si>
    <t>Sanjay Kumar Singh</t>
  </si>
  <si>
    <t>Prem Singh Mandley</t>
  </si>
  <si>
    <t xml:space="preserve">Shyam sunder </t>
  </si>
  <si>
    <t>tvs</t>
  </si>
  <si>
    <t>NEW</t>
  </si>
  <si>
    <t>JALDHAR MAHATO</t>
  </si>
  <si>
    <t>Anupriya Soumitra</t>
  </si>
  <si>
    <t>CMP</t>
  </si>
  <si>
    <t>Aditya Goenka</t>
  </si>
  <si>
    <t>2312100310567000000</t>
  </si>
  <si>
    <t>2312100310773900000</t>
  </si>
  <si>
    <t>Activa</t>
  </si>
  <si>
    <t>Basudev Banerjee</t>
  </si>
  <si>
    <t>JH-05-BM-5241</t>
  </si>
  <si>
    <t>KA-53-EA-5782</t>
  </si>
  <si>
    <t>2320100310906400000</t>
  </si>
  <si>
    <t>pulser</t>
  </si>
  <si>
    <t>JH-05-E-4550</t>
  </si>
  <si>
    <t>Shobh@53</t>
  </si>
  <si>
    <t>AFDPV9880K</t>
  </si>
  <si>
    <t>SHOBHA VERMA</t>
  </si>
  <si>
    <t>Swagata Bhattacharjee</t>
  </si>
  <si>
    <t>Appl NO.</t>
  </si>
  <si>
    <t>LL NO.</t>
  </si>
  <si>
    <t xml:space="preserve">JH05 /0009008/2018 </t>
  </si>
  <si>
    <t>2312100315017200000</t>
  </si>
  <si>
    <t>AFTAB KHAN</t>
  </si>
  <si>
    <t>JH-05-BB-5893</t>
  </si>
  <si>
    <t>Deepak Kumar</t>
  </si>
  <si>
    <t>GSOPS6448Q</t>
  </si>
  <si>
    <t>Arati Singh</t>
  </si>
  <si>
    <t>Ar@ti1970</t>
  </si>
  <si>
    <t>given</t>
  </si>
  <si>
    <t>alok</t>
  </si>
  <si>
    <t>DOB</t>
  </si>
  <si>
    <t>Aleem Akhtar</t>
  </si>
  <si>
    <t>ABBPA6972F</t>
  </si>
  <si>
    <t>30-12-1953</t>
  </si>
  <si>
    <t>Activa-5G</t>
  </si>
  <si>
    <t>2312100332729500000</t>
  </si>
  <si>
    <t>Rudra nath Ghosh</t>
  </si>
  <si>
    <t>ABMPG9732E</t>
  </si>
  <si>
    <t>Rudr@1957</t>
  </si>
  <si>
    <t>mob</t>
  </si>
  <si>
    <t>uid</t>
  </si>
  <si>
    <t>Honda Amaz</t>
  </si>
  <si>
    <t>JH05</t>
  </si>
  <si>
    <t>Madhuri kalpana Kujur</t>
  </si>
  <si>
    <t>AltoLXIBWS4</t>
  </si>
  <si>
    <t>JH05AZ1953</t>
  </si>
  <si>
    <t>DMMPK1554A</t>
  </si>
  <si>
    <t>Pritpal Kaur</t>
  </si>
  <si>
    <t>14-09-1962</t>
  </si>
  <si>
    <t>Pritp@l62</t>
  </si>
  <si>
    <t>Neeraj Kumar</t>
  </si>
  <si>
    <t>Sikander Singh</t>
  </si>
  <si>
    <t>AAQPV4453J</t>
  </si>
  <si>
    <t>Suresh Kumar Verma</t>
  </si>
  <si>
    <t>19-07-1950</t>
  </si>
  <si>
    <t>AAQPV4483Q</t>
  </si>
  <si>
    <t>Shanta Verma</t>
  </si>
  <si>
    <t>Sh@nta56</t>
  </si>
  <si>
    <t>ABKPB3992M</t>
  </si>
  <si>
    <t>Monotosh Kumar Bhattacharjee</t>
  </si>
  <si>
    <t>M@notosh42</t>
  </si>
  <si>
    <t>22-05-1942</t>
  </si>
  <si>
    <t>BKID0004501</t>
  </si>
  <si>
    <t>AMGPB6716N</t>
  </si>
  <si>
    <t>Shyamal bhattacharjee</t>
  </si>
  <si>
    <t>Shy@mal75</t>
  </si>
  <si>
    <t>25-04-1975</t>
  </si>
  <si>
    <t>SBIN0005301</t>
  </si>
  <si>
    <t>Sw@gata75</t>
  </si>
  <si>
    <t>BOCPB4892J</t>
  </si>
  <si>
    <t>CNRB0000184</t>
  </si>
  <si>
    <t>IBKL0000903</t>
  </si>
  <si>
    <t>Suresh@50</t>
  </si>
  <si>
    <t>Rajesh Kumar Singh</t>
  </si>
  <si>
    <t>Sanedeep Sahu</t>
  </si>
  <si>
    <t>S@ndeep96</t>
  </si>
  <si>
    <t>IEGPS9464J</t>
  </si>
  <si>
    <t>Sanju Devi</t>
  </si>
  <si>
    <t>done</t>
  </si>
  <si>
    <t>2012/00000/1810/0300040</t>
  </si>
  <si>
    <t>Pintu Pal</t>
  </si>
  <si>
    <t>2012/00000/1810/0301588</t>
  </si>
  <si>
    <t>Subhash Machchhuwa</t>
  </si>
  <si>
    <t>2012/00000/1810/0358086</t>
  </si>
  <si>
    <t>Punam Mahato</t>
  </si>
  <si>
    <t>Sanchita Kumari</t>
  </si>
  <si>
    <t>MANOJ KUMAR SINGH</t>
  </si>
  <si>
    <t>S Balaji</t>
  </si>
  <si>
    <t>Palai Hembram</t>
  </si>
  <si>
    <t>Activa 4G</t>
  </si>
  <si>
    <t>JH05BX9181</t>
  </si>
  <si>
    <t>Bachan Prajapati</t>
  </si>
  <si>
    <t>verified</t>
  </si>
  <si>
    <t>Deeparnita Biswas</t>
  </si>
  <si>
    <t>2012/00000/1811/1017529</t>
  </si>
  <si>
    <t>Dhiraj Kumar Kamet</t>
  </si>
  <si>
    <t>Ranjit Kumar</t>
  </si>
  <si>
    <t>2012/00000/1812/1417152</t>
  </si>
  <si>
    <t>Nirmalendu Mridha</t>
  </si>
  <si>
    <t>2012/00000/1901/0176137</t>
  </si>
  <si>
    <t>Jacob Murmu</t>
  </si>
  <si>
    <t>2012/00000/1901/0195226</t>
  </si>
  <si>
    <t>Asha Karmakar</t>
  </si>
  <si>
    <t>nayabasti</t>
  </si>
  <si>
    <t>2012/00000/1901/0196477</t>
  </si>
  <si>
    <t>2012/00000/1901/0447082</t>
  </si>
  <si>
    <t>Preeti Kumari Ram</t>
  </si>
  <si>
    <t>Bivas Roy Karmakar</t>
  </si>
  <si>
    <t>Ranjeet Kumar Sinha</t>
  </si>
  <si>
    <t>R@njeet78</t>
  </si>
  <si>
    <t>FNWPS6909E</t>
  </si>
  <si>
    <t>BKID0005949</t>
  </si>
  <si>
    <t>SHASHI BHUSHAN SINGH</t>
  </si>
  <si>
    <t>JH05BZ9296</t>
  </si>
  <si>
    <t>TAPESHWAR PRASAD GUPTA</t>
  </si>
  <si>
    <t>BR-16-J-7457</t>
  </si>
  <si>
    <t>MARUTI-800</t>
  </si>
  <si>
    <t>2320 1003 9843 2900 000</t>
  </si>
  <si>
    <t>Gopi Vijay</t>
  </si>
  <si>
    <t>JH-05-BY-5190</t>
  </si>
  <si>
    <t>2320 1003 9843 6000 000</t>
  </si>
  <si>
    <t>JH-05-J-6766</t>
  </si>
  <si>
    <t>BAJAJ CT-100</t>
  </si>
  <si>
    <t>Rajdeo Patro</t>
  </si>
  <si>
    <t>JH05BZ2081</t>
  </si>
  <si>
    <t>Nano</t>
  </si>
  <si>
    <t>JH-05-AR-3070</t>
  </si>
  <si>
    <t>JH-05-BN-7125</t>
  </si>
  <si>
    <t>Hem Soren</t>
  </si>
  <si>
    <t>achiever</t>
  </si>
  <si>
    <t>Mohammad Shahid</t>
  </si>
  <si>
    <t>JH-05-AN-6030</t>
  </si>
  <si>
    <t>splender</t>
  </si>
  <si>
    <t>SOMEN PRADHAN</t>
  </si>
  <si>
    <t>2320 1004 1142 4200 000</t>
  </si>
  <si>
    <t>jai Prakash swarnakar</t>
  </si>
  <si>
    <t>activa</t>
  </si>
  <si>
    <t>Jh-05-BG-1654</t>
  </si>
  <si>
    <t>JH-05-BZ-2126</t>
  </si>
  <si>
    <t>tvs xl</t>
  </si>
  <si>
    <t>Manish Kumar Saw</t>
  </si>
  <si>
    <t>cmp</t>
  </si>
  <si>
    <t>Sumita Khan</t>
  </si>
  <si>
    <t>Saurabh Chandra</t>
  </si>
  <si>
    <t>Honda Shine</t>
  </si>
  <si>
    <t>Jh-05-BK-0757</t>
  </si>
  <si>
    <t>Mina Sinha</t>
  </si>
  <si>
    <t>BLQPS6102R</t>
  </si>
  <si>
    <t>Min@1964</t>
  </si>
  <si>
    <t>Ranjit Singh</t>
  </si>
  <si>
    <t>Sadia Aman</t>
  </si>
  <si>
    <t>2012/00000/1902/1136542</t>
  </si>
  <si>
    <t>2012/00000/1902/1638820</t>
  </si>
  <si>
    <t>Samir Kumar</t>
  </si>
  <si>
    <t>2012/00000/1902/1640581</t>
  </si>
  <si>
    <t>Rahul Munda</t>
  </si>
  <si>
    <t> 628091719</t>
  </si>
  <si>
    <t>Harihar Choudhary</t>
  </si>
  <si>
    <t>Pension No.</t>
  </si>
  <si>
    <t>Dipali Mahato</t>
  </si>
  <si>
    <t>share</t>
  </si>
  <si>
    <t>Parul Mahato</t>
  </si>
  <si>
    <t>Sunita Murmu</t>
  </si>
  <si>
    <t>given to saraswati</t>
  </si>
  <si>
    <t>Shitla Mahato</t>
  </si>
  <si>
    <t>2012/00000/1903/1106950</t>
  </si>
  <si>
    <t>Rabindra Nath Singh</t>
  </si>
  <si>
    <t>Kiran Devi</t>
  </si>
  <si>
    <t>comp</t>
  </si>
  <si>
    <t>type</t>
  </si>
  <si>
    <t>policy number</t>
  </si>
  <si>
    <t>date</t>
  </si>
  <si>
    <t>vehicle</t>
  </si>
  <si>
    <t>regn no</t>
  </si>
  <si>
    <t>AMARJEET PRASAD</t>
  </si>
  <si>
    <t>JH-05-BZ-1052</t>
  </si>
  <si>
    <t>JH-05-AA-3852</t>
  </si>
  <si>
    <t>Swift</t>
  </si>
  <si>
    <t>HARISHANKAR GORAI</t>
  </si>
  <si>
    <t>JH-05-BD-5390</t>
  </si>
  <si>
    <t>Splender super</t>
  </si>
  <si>
    <t>Harmohan mahato</t>
  </si>
  <si>
    <t>2012/00000/1903/1244805</t>
  </si>
  <si>
    <t>JH-05-Z-7828</t>
  </si>
  <si>
    <t>PLEASURE-STANDARD</t>
  </si>
  <si>
    <t>KAMAL NARAYAN RAY</t>
  </si>
  <si>
    <t>Hardeep Singh</t>
  </si>
  <si>
    <t>myself</t>
  </si>
  <si>
    <t>Sagar Dutta</t>
  </si>
  <si>
    <t>AYCPD8148C</t>
  </si>
  <si>
    <t>Mahab1r##</t>
  </si>
  <si>
    <t>JH05 /0004917/2019</t>
  </si>
  <si>
    <t>JH-05-BC-0459</t>
  </si>
  <si>
    <t>JESIKA TIRU</t>
  </si>
  <si>
    <t>ACTIVA DELUX</t>
  </si>
  <si>
    <t>UMESH KUMAR PRASAD</t>
  </si>
  <si>
    <t>TVS STAR CITY</t>
  </si>
  <si>
    <t>JH-05-AF-9977</t>
  </si>
  <si>
    <t>YOGENDRA KUMAR SINGH</t>
  </si>
  <si>
    <t>MARUTI 800</t>
  </si>
  <si>
    <t>BR-16-J-7405</t>
  </si>
  <si>
    <t>MD FIROZ</t>
  </si>
  <si>
    <t>JH-05-K-1937</t>
  </si>
  <si>
    <t>PASSION PLUS</t>
  </si>
  <si>
    <t>ABDUL BARI KHAN</t>
  </si>
  <si>
    <t>JH-05-AX-4183</t>
  </si>
  <si>
    <t>ACTIVA</t>
  </si>
  <si>
    <t>M7128334</t>
  </si>
  <si>
    <t>Ifco</t>
  </si>
  <si>
    <t>Manish Kumar saw</t>
  </si>
  <si>
    <t>INDICA VISTA TERRA</t>
  </si>
  <si>
    <t>JH05AB8109</t>
  </si>
  <si>
    <t>Nikita Singh</t>
  </si>
  <si>
    <t>K MADHAV RAO</t>
  </si>
  <si>
    <t>super splendedr</t>
  </si>
  <si>
    <t>JH-05-X-3587</t>
  </si>
  <si>
    <t>RAM JIBAN PATHAK</t>
  </si>
  <si>
    <t>Wagon R VXI</t>
  </si>
  <si>
    <t>Anjan Kumar Sinha</t>
  </si>
  <si>
    <t>DL RENEW</t>
  </si>
  <si>
    <t>submitted</t>
  </si>
  <si>
    <t>Passion Pro</t>
  </si>
  <si>
    <t>JH-05-AY-7751</t>
  </si>
  <si>
    <t>JH-05-AB-3834</t>
  </si>
  <si>
    <t>JOY PRAKASH GIRI</t>
  </si>
  <si>
    <t>Aloke Kumar Chatterjee</t>
  </si>
  <si>
    <t>Honda DIO</t>
  </si>
  <si>
    <t>JH-05-BR-6390</t>
  </si>
  <si>
    <t>SUREN PRASAD SAW</t>
  </si>
  <si>
    <t>ACTIVA-DELUXE</t>
  </si>
  <si>
    <t>JH-05-AR-2583</t>
  </si>
  <si>
    <t>SANJEEV KUMAR SINGH</t>
  </si>
  <si>
    <t>PULSAR-150 DTSI</t>
  </si>
  <si>
    <t>JH-05-CA-2712</t>
  </si>
  <si>
    <t>JH-05-V-9086</t>
  </si>
  <si>
    <t>TVS Pep+</t>
  </si>
  <si>
    <t>SEEMA DEY</t>
  </si>
  <si>
    <t>MEER NASIM UDDIN</t>
  </si>
  <si>
    <t>TAPAN KUMAR MAITY</t>
  </si>
  <si>
    <t>SHWETA SINGH</t>
  </si>
  <si>
    <t>JH-05-CB-8850</t>
  </si>
  <si>
    <t>ACTIVA 5G</t>
  </si>
  <si>
    <t>PLEASURE STD</t>
  </si>
  <si>
    <t>JH-05-AS-5885</t>
  </si>
  <si>
    <t>JH-05-BU-8819</t>
  </si>
  <si>
    <t>V15-STD (150 CC)</t>
  </si>
  <si>
    <t>JH-05-AG-5567</t>
  </si>
  <si>
    <t>PASSION PLUS-DRUM</t>
  </si>
  <si>
    <t>Shankar Gorai</t>
  </si>
  <si>
    <t>SAGAR GOPE</t>
  </si>
  <si>
    <t>SPLENDER</t>
  </si>
  <si>
    <t>JH05BX8819</t>
  </si>
  <si>
    <t>JH05CC</t>
  </si>
  <si>
    <t>Raj Banshi Singh</t>
  </si>
  <si>
    <t>Jayanta Das</t>
  </si>
  <si>
    <t>JH05AY9399</t>
  </si>
  <si>
    <t>Alto</t>
  </si>
  <si>
    <t>JH-05-AJ-6440</t>
  </si>
  <si>
    <t>AJAR ANAND TOPPO</t>
  </si>
  <si>
    <t xml:space="preserve"> </t>
  </si>
  <si>
    <t>Saraswati Kumari</t>
  </si>
  <si>
    <t>2012/22222/1906/0591338</t>
  </si>
  <si>
    <t>JH-05-BK-4821</t>
  </si>
  <si>
    <t>Pashupati Gorai</t>
  </si>
  <si>
    <t>JH-05-Y-9067</t>
  </si>
  <si>
    <t>JH-05-BC-0752</t>
  </si>
  <si>
    <t>Pradhan Murmu</t>
  </si>
  <si>
    <t>AQJPK7565K</t>
  </si>
  <si>
    <t>Bipin@78</t>
  </si>
  <si>
    <t>CLNPS6089R</t>
  </si>
  <si>
    <t>Sunita Singh</t>
  </si>
  <si>
    <t>Sunita@82</t>
  </si>
  <si>
    <t>Anup Kumar</t>
  </si>
  <si>
    <t>Arvind Kr sahay</t>
  </si>
  <si>
    <t>JH-02-C-2517</t>
  </si>
  <si>
    <t>SPLENDOR-STANDARD (97 CC)</t>
  </si>
  <si>
    <t>Barnali Dutta</t>
  </si>
  <si>
    <t>SPLENDOR PLUS-DRUM SPOKE</t>
  </si>
  <si>
    <t>JH-05-F-9378</t>
  </si>
  <si>
    <t>2012/00000/1907/0217607</t>
  </si>
  <si>
    <t>Pramod Tiwary</t>
  </si>
  <si>
    <t>Ravi</t>
  </si>
  <si>
    <t>JH-05-U-2262</t>
  </si>
  <si>
    <t>Splender Lx</t>
  </si>
  <si>
    <t>Udaykant Prasad</t>
  </si>
  <si>
    <t>JH-05-BN-4058</t>
  </si>
  <si>
    <t>Activa 3G</t>
  </si>
  <si>
    <t>ALTO 800 - DX</t>
  </si>
  <si>
    <t>JH-05-K-1443</t>
  </si>
  <si>
    <t>Krishna Gorai</t>
  </si>
  <si>
    <t>Jupiter</t>
  </si>
  <si>
    <t>Bikash Kumar Kundu</t>
  </si>
  <si>
    <t>JH-05-BZ-1767</t>
  </si>
  <si>
    <t>TVS Star city</t>
  </si>
  <si>
    <t>JH-05-T-1102</t>
  </si>
  <si>
    <t>BHABESH CHANDA MAHTO</t>
  </si>
  <si>
    <t>CHARGE</t>
  </si>
  <si>
    <t>DL</t>
  </si>
  <si>
    <t>AANPV8255B</t>
  </si>
  <si>
    <t>Jugal Kishore Verma</t>
  </si>
  <si>
    <t>Jugal@1951</t>
  </si>
  <si>
    <t>Glamour</t>
  </si>
  <si>
    <t>JH05AM7080</t>
  </si>
  <si>
    <t>SANJAY KUMAR</t>
  </si>
  <si>
    <t>DULAL GHOSH</t>
  </si>
  <si>
    <t>WB-34-H-4220</t>
  </si>
  <si>
    <t>Saroj Verma</t>
  </si>
  <si>
    <t>AEXPV8975J</t>
  </si>
  <si>
    <t>Saroj@1960</t>
  </si>
  <si>
    <t>Kusum Devi</t>
  </si>
  <si>
    <t>MADHURI KALPANA MINZ</t>
  </si>
  <si>
    <t>JH-05-AZ-1953</t>
  </si>
  <si>
    <t>AGVPD4353N</t>
  </si>
  <si>
    <t>KAKOLI DUTTA</t>
  </si>
  <si>
    <t>Kakoli@60</t>
  </si>
  <si>
    <t>BR-16-M-3639</t>
  </si>
  <si>
    <t>OM PRAKASH YADAV</t>
  </si>
  <si>
    <t>BAJAJ</t>
  </si>
  <si>
    <t>OG-20-2406-1806-00001578</t>
  </si>
  <si>
    <t>JH05BU3816</t>
  </si>
  <si>
    <t>PRAVEEN KUJUR</t>
  </si>
  <si>
    <t>Md Mahibul</t>
  </si>
  <si>
    <t>JH-05-M-6794</t>
  </si>
  <si>
    <t>BIRENDRA KUMAR</t>
  </si>
  <si>
    <t>Splender Plus</t>
  </si>
  <si>
    <t>MD KASIM</t>
  </si>
  <si>
    <t>JH05BP7593</t>
  </si>
  <si>
    <t>maruti 800</t>
  </si>
  <si>
    <t>tvs pep</t>
  </si>
  <si>
    <t>CWKPS9058N</t>
  </si>
  <si>
    <t>MUTHUSAMY SIVA</t>
  </si>
  <si>
    <t>Muthusamy@89</t>
  </si>
  <si>
    <t>masterjee</t>
  </si>
  <si>
    <t>Kavita Singh</t>
  </si>
  <si>
    <t>new dl</t>
  </si>
  <si>
    <t>JH-05-AN-4202</t>
  </si>
  <si>
    <t>Rakhi Kumari</t>
  </si>
  <si>
    <t>AVOPA3987H</t>
  </si>
  <si>
    <t>Mohammad Zia Alam</t>
  </si>
  <si>
    <t>Zia@alam80</t>
  </si>
  <si>
    <t>ANJPP0484D</t>
  </si>
  <si>
    <t>Pranaba Nanda Paul</t>
  </si>
  <si>
    <t>Jogindra@60</t>
  </si>
  <si>
    <t>AFTPD5310E</t>
  </si>
  <si>
    <t>Kalyani Das</t>
  </si>
  <si>
    <t>Kalyani@61</t>
  </si>
  <si>
    <t>Arvind Kumar Mallik</t>
  </si>
  <si>
    <t>BWDPK7679D</t>
  </si>
  <si>
    <t>Durga Kumari</t>
  </si>
  <si>
    <t>Durga@1992</t>
  </si>
  <si>
    <t>Binod@1973</t>
  </si>
  <si>
    <t>PANKAJ MAHATO</t>
  </si>
  <si>
    <t>Supriya Dey</t>
  </si>
  <si>
    <t>RFCustomer</t>
  </si>
  <si>
    <t>Due frm cust</t>
  </si>
  <si>
    <t>chaged</t>
  </si>
  <si>
    <t>pd 2 tap</t>
  </si>
  <si>
    <t>Due 2 Tap</t>
  </si>
  <si>
    <t>Abdul bari Khan</t>
  </si>
  <si>
    <t>renew</t>
  </si>
  <si>
    <t>Manoj Kumar Singh</t>
  </si>
  <si>
    <t>Sudip Bhadra</t>
  </si>
  <si>
    <t>Bishwajit Prusty</t>
  </si>
  <si>
    <t>LML VESPA</t>
  </si>
  <si>
    <t>BR-16-D-1762</t>
  </si>
  <si>
    <t>JAI NATH SINGH</t>
  </si>
  <si>
    <t>Sonia Baisya</t>
  </si>
  <si>
    <t>CG-07-LH-1552</t>
  </si>
  <si>
    <t>JH-05-R-8185</t>
  </si>
  <si>
    <t>JH-05-AJ-3207</t>
  </si>
  <si>
    <t>N MARY SINGH</t>
  </si>
  <si>
    <t>Alto LXI</t>
  </si>
  <si>
    <t>JH-05-AW-6711</t>
  </si>
  <si>
    <t>TVS WEGO</t>
  </si>
  <si>
    <t>VIKASH RANJAN</t>
  </si>
  <si>
    <t>Binod Kumar Sahu</t>
  </si>
  <si>
    <t>AB+</t>
  </si>
  <si>
    <t>JH05 /0013736/2019</t>
  </si>
  <si>
    <t>Activa 5G</t>
  </si>
  <si>
    <t>Comp</t>
  </si>
  <si>
    <t>VIJAY GORAI</t>
  </si>
  <si>
    <t>JH-05-CC-9973</t>
  </si>
  <si>
    <t>Bhaskar Chaturvedi</t>
  </si>
  <si>
    <t>Super Splender</t>
  </si>
  <si>
    <t>JH-05-AT-6691</t>
  </si>
  <si>
    <t>Sanjay Paul</t>
  </si>
  <si>
    <t>HF Delux</t>
  </si>
  <si>
    <t>Jh-05-BD-1075</t>
  </si>
  <si>
    <t>TVS Scooty Streak</t>
  </si>
  <si>
    <t>JH-05-AZ-6223</t>
  </si>
  <si>
    <t>Ashok Kumar Choudhary</t>
  </si>
  <si>
    <t>JH-05-AD-3769</t>
  </si>
  <si>
    <t>PULSAR-135 LS (135 CC)</t>
  </si>
  <si>
    <t>Relian</t>
  </si>
  <si>
    <t>JH05S4701</t>
  </si>
  <si>
    <t>Ajay Kumar Jha</t>
  </si>
  <si>
    <t>CHHUTU BINDHANI</t>
  </si>
  <si>
    <t>BR16F7779</t>
  </si>
  <si>
    <t>CD 100</t>
  </si>
  <si>
    <t>Sanjay Patra</t>
  </si>
  <si>
    <t>JH05AW2446</t>
  </si>
  <si>
    <t>Splender</t>
  </si>
  <si>
    <t>Mohan Murari Sahay</t>
  </si>
  <si>
    <t>Maruti 800</t>
  </si>
  <si>
    <t>RJ271C1195</t>
  </si>
  <si>
    <t>Rajesh Gorai</t>
  </si>
  <si>
    <t>JH-05-BH-3302</t>
  </si>
  <si>
    <t>Honda LIVO</t>
  </si>
  <si>
    <t>JH-05-N-3665</t>
  </si>
  <si>
    <t>Brajesh Pratap Singh</t>
  </si>
  <si>
    <t>JH05BG7674</t>
  </si>
  <si>
    <t>Honda Unicorn</t>
  </si>
  <si>
    <t>Rahul Kumar Verma</t>
  </si>
  <si>
    <t>JH-05--8186</t>
  </si>
  <si>
    <t>JH-05-BB-8440</t>
  </si>
  <si>
    <t>Yamha FZ 16</t>
  </si>
  <si>
    <t>Sanjay Kumar Verma</t>
  </si>
  <si>
    <t>Papu Murmu</t>
  </si>
  <si>
    <t>OD-13-B-5534</t>
  </si>
  <si>
    <t>Maestro</t>
  </si>
  <si>
    <t>Pramod Kumar Mishra</t>
  </si>
  <si>
    <t>JH-05-P-3400</t>
  </si>
  <si>
    <t>Splendor</t>
  </si>
  <si>
    <t>JH-05-BD-3450</t>
  </si>
  <si>
    <t>K RAVI RAJU</t>
  </si>
  <si>
    <t>Sanjay Mahato</t>
  </si>
  <si>
    <t>JH05U1322</t>
  </si>
  <si>
    <t>Tata Safari</t>
  </si>
  <si>
    <t>JH05BP5566</t>
  </si>
  <si>
    <t>SHIV SHANKAR SINGH</t>
  </si>
  <si>
    <t>JH05BK2542</t>
  </si>
  <si>
    <t>Guru Charan Singh</t>
  </si>
  <si>
    <t>AKJPT1860E</t>
  </si>
  <si>
    <t>UDAY KUMAR THAPA</t>
  </si>
  <si>
    <t>Uday@1971</t>
  </si>
  <si>
    <t>P@nkaj1978</t>
  </si>
  <si>
    <t>M@hato77</t>
  </si>
  <si>
    <t>Riba Mahato</t>
  </si>
  <si>
    <t>EIXPM7038H</t>
  </si>
  <si>
    <t>Chandra Shekhar</t>
  </si>
  <si>
    <t>slot booked by me</t>
  </si>
  <si>
    <t>EIWPM0791L</t>
  </si>
  <si>
    <t>Md Salim</t>
  </si>
  <si>
    <t>Sohan Singh</t>
  </si>
  <si>
    <t>Md Shabbir Ahmad</t>
  </si>
  <si>
    <t>Md Wasim</t>
  </si>
  <si>
    <t>Md Rafi Anwar</t>
  </si>
  <si>
    <t>SK RAFIQUDDIN</t>
  </si>
  <si>
    <t>Shadab Alam</t>
  </si>
  <si>
    <t>DELIVERED</t>
  </si>
  <si>
    <t>2012/00000/1910/1235230</t>
  </si>
  <si>
    <t>Krishna Mahato</t>
  </si>
  <si>
    <t>Sneha Banra</t>
  </si>
  <si>
    <t>Kunal Kumar Gupta</t>
  </si>
  <si>
    <t>CMJPP4511N</t>
  </si>
  <si>
    <t>Abhishek Kumar Pandey</t>
  </si>
  <si>
    <t>mYPASS@95</t>
  </si>
  <si>
    <t>Urvita Sharma</t>
  </si>
  <si>
    <t>4107604719  2563496819</t>
  </si>
  <si>
    <t>Dhananjay Sawashi</t>
  </si>
  <si>
    <t>Jay Kishan Keshori</t>
  </si>
  <si>
    <t>Akash Kumar</t>
  </si>
  <si>
    <t>Nazeeb Ahmed</t>
  </si>
  <si>
    <t>Bajaj D</t>
  </si>
  <si>
    <t>OG-20-2408-1806-00004048</t>
  </si>
  <si>
    <t>JH05AZ3748</t>
  </si>
  <si>
    <t>Plesure</t>
  </si>
  <si>
    <t>COMP</t>
  </si>
  <si>
    <t>OG-20-2408-1802-00001362</t>
  </si>
  <si>
    <t>OD</t>
  </si>
  <si>
    <t>Bharat Kumar</t>
  </si>
  <si>
    <t>JH05BL7916</t>
  </si>
  <si>
    <t>JH05AY4636</t>
  </si>
  <si>
    <t>Mir Mursid Ali</t>
  </si>
  <si>
    <t>Laxmi Singh</t>
  </si>
  <si>
    <t>OG-20-2408-1806-00004058</t>
  </si>
  <si>
    <t>Reliance</t>
  </si>
  <si>
    <t>indigo</t>
  </si>
  <si>
    <t>OG-20-2408-1806-00004223</t>
  </si>
  <si>
    <t>Robin Bhumij</t>
  </si>
  <si>
    <t>Yahma Ray Z</t>
  </si>
  <si>
    <t>JH05BQ6584</t>
  </si>
  <si>
    <t>OG-20-2408-1806-00004228</t>
  </si>
  <si>
    <t>cd Delux</t>
  </si>
  <si>
    <t>JH05AJ2579</t>
  </si>
  <si>
    <t>OG-20-2408-1806-00004261</t>
  </si>
  <si>
    <t>MANJUR KHAN</t>
  </si>
  <si>
    <t>JH05Y7336</t>
  </si>
  <si>
    <t>BHAGIRATH SINGH</t>
  </si>
  <si>
    <t>JH05CB5960</t>
  </si>
  <si>
    <t>OG-20-2408-1806-00004281</t>
  </si>
  <si>
    <t>Indigo</t>
  </si>
  <si>
    <t>S BALAJI</t>
  </si>
  <si>
    <t>Ape</t>
  </si>
  <si>
    <t>JH-05-AM-4882</t>
  </si>
  <si>
    <t>Meena Sinha</t>
  </si>
  <si>
    <t>OG-20-2408-1806-00004318</t>
  </si>
  <si>
    <t>JH05AC3042</t>
  </si>
  <si>
    <t>Pleasure</t>
  </si>
  <si>
    <t>Delivered</t>
  </si>
  <si>
    <t>Dvinder Pal Singh</t>
  </si>
  <si>
    <t>2012/00000/1912/0724836</t>
  </si>
  <si>
    <t>OG-20-2408-1806-00004507</t>
  </si>
  <si>
    <t>Tankeshwar Mahato</t>
  </si>
  <si>
    <t>JH05U9177</t>
  </si>
  <si>
    <t>Passion plus</t>
  </si>
  <si>
    <t>SHYAMCHAND SWANSI</t>
  </si>
  <si>
    <t>OG-20-2408-1826-00002390</t>
  </si>
  <si>
    <t>BALARAM GORAI</t>
  </si>
  <si>
    <t>CBZ Shine</t>
  </si>
  <si>
    <t>New 5</t>
  </si>
  <si>
    <t>OG-20-2408-1806-00004753</t>
  </si>
  <si>
    <t>OG-20-2408-1806-00004488</t>
  </si>
  <si>
    <t>OG-20-2408-1806-00004534</t>
  </si>
  <si>
    <t>OG-20-2408-1806-00004388</t>
  </si>
  <si>
    <t>OG-20-2408-1806-00004352</t>
  </si>
  <si>
    <t>OG-20-2408-1806-00004790</t>
  </si>
  <si>
    <t>ABID HUSSAIN</t>
  </si>
  <si>
    <t>JH05Z9992</t>
  </si>
  <si>
    <t>CBZ X TREME</t>
  </si>
  <si>
    <t>swansinweb@</t>
  </si>
  <si>
    <t>GOPINATH GORAI</t>
  </si>
  <si>
    <t xml:space="preserve">new dl </t>
  </si>
  <si>
    <t>gopi.nweb</t>
  </si>
  <si>
    <t>Nitish Kumar</t>
  </si>
  <si>
    <t>Deepak Tantubai</t>
  </si>
  <si>
    <t>deepaktantubairs</t>
  </si>
  <si>
    <t>OG-20-2408-1806-00004878</t>
  </si>
  <si>
    <t>Dipankar Rana</t>
  </si>
  <si>
    <t>Cd Delux</t>
  </si>
  <si>
    <t>JH05AJ6691</t>
  </si>
  <si>
    <t>OG-20-2408-1802-00001555</t>
  </si>
  <si>
    <t>Shanaj Perween</t>
  </si>
  <si>
    <t>OG-20-2408-1806-00004951</t>
  </si>
  <si>
    <t>Krishna Tiwary</t>
  </si>
  <si>
    <t>JH05M5264</t>
  </si>
  <si>
    <t>bajaj discover</t>
  </si>
  <si>
    <t>OG-20-2408-1802-00001571</t>
  </si>
  <si>
    <t>OG-20-2408-1806-00004963</t>
  </si>
  <si>
    <t>OG-20-2408-1802-00001574</t>
  </si>
  <si>
    <t>Santosh Kumar</t>
  </si>
  <si>
    <t>OG-20-2408-1806-00004972</t>
  </si>
  <si>
    <t>OG-20-2408-1806-00005009</t>
  </si>
  <si>
    <t>OG-20-2408-1802-00001583</t>
  </si>
  <si>
    <t>OG-20-2408-1806-00005028</t>
  </si>
  <si>
    <t>Dhanurdhar Tripathy</t>
  </si>
  <si>
    <t>PRAKASH CHANDA MAHATO</t>
  </si>
  <si>
    <t>DESA SINGH</t>
  </si>
  <si>
    <t>JH05BD9529</t>
  </si>
  <si>
    <t>SUDAMA SAH</t>
  </si>
  <si>
    <t>OG-20-2408-1806-00004991</t>
  </si>
  <si>
    <t>Sanjay Kumar</t>
  </si>
  <si>
    <t>Sadhan Patra</t>
  </si>
  <si>
    <t>sadhannweb@g</t>
  </si>
  <si>
    <t>OG-20-2408-1806-00005072</t>
  </si>
  <si>
    <t>OG-20-2408-1802-00001593</t>
  </si>
  <si>
    <t>OG-20-2408-1806-00005108</t>
  </si>
  <si>
    <t>Manas Sau</t>
  </si>
  <si>
    <t>JH05CC4019</t>
  </si>
  <si>
    <t>Rajesh Kumar</t>
  </si>
  <si>
    <t>OG-20-2408-1806-00005132</t>
  </si>
  <si>
    <t>Yamaha Fascino</t>
  </si>
  <si>
    <t>JH05BQ0563</t>
  </si>
  <si>
    <t>OG-20-2408-1806-00005156</t>
  </si>
  <si>
    <t>JH05BF9001</t>
  </si>
  <si>
    <t>Anil Kumar Behura</t>
  </si>
  <si>
    <t>OG-20-2408-1806-00005157</t>
  </si>
  <si>
    <t>Ramesh Mahato</t>
  </si>
  <si>
    <t>JH05BX0984</t>
  </si>
  <si>
    <t>2012/00000/2001/0785948</t>
  </si>
  <si>
    <t>2012/00000/2001/0784062</t>
  </si>
  <si>
    <t>JH05BH1671</t>
  </si>
  <si>
    <t>Anup Kumar Maity</t>
  </si>
  <si>
    <t>OG-20-2408-1806-00005213</t>
  </si>
  <si>
    <t>Bajaj</t>
  </si>
  <si>
    <t>Surender Singh Yadav</t>
  </si>
  <si>
    <t>JH05AA9914</t>
  </si>
  <si>
    <t>Sandeep Kaur</t>
  </si>
  <si>
    <t>Gurdeet Singh</t>
  </si>
  <si>
    <t>sandeepnweb129@gmail.com</t>
  </si>
  <si>
    <t>gurdeetnweb@gmail.com</t>
  </si>
  <si>
    <t>OG-20-2408-1806-00005247</t>
  </si>
  <si>
    <t>OG-20-2408-1802-00001645</t>
  </si>
  <si>
    <t>Md Aftab Ansari</t>
  </si>
  <si>
    <t>JH05CC1849</t>
  </si>
  <si>
    <t>Dream Yuga</t>
  </si>
  <si>
    <t>JH05AT2763</t>
  </si>
  <si>
    <t>Nasruddin Ansari</t>
  </si>
  <si>
    <t>Shankar Roy</t>
  </si>
  <si>
    <t>appl dt</t>
  </si>
  <si>
    <t>OG-20-2408-1806-00005298</t>
  </si>
  <si>
    <t>Durga Pada Maity</t>
  </si>
  <si>
    <t>Passion Plus</t>
  </si>
  <si>
    <t>JH05J5798</t>
  </si>
  <si>
    <t>RC renew</t>
  </si>
  <si>
    <t>OG-20-2408-1802-00001659</t>
  </si>
  <si>
    <t>OG-20-2408-1806-00005345</t>
  </si>
  <si>
    <t>OG-20-2408-1806-00005347</t>
  </si>
  <si>
    <t>Rajesh Kumar Roy</t>
  </si>
  <si>
    <t>JH05AY4766</t>
  </si>
  <si>
    <t>OG-20-2408-1806-00005403</t>
  </si>
  <si>
    <t>Jagabandhu Mahato</t>
  </si>
  <si>
    <t>OG-20-2408-1806-00005405</t>
  </si>
  <si>
    <t>OG-20-2408-1806-00005408</t>
  </si>
  <si>
    <t>OG-20-2408-1806-00005433</t>
  </si>
  <si>
    <t>Naresh Gorai</t>
  </si>
  <si>
    <t>JH05BD7618</t>
  </si>
  <si>
    <t>OG-20-2408-1802-00001689</t>
  </si>
  <si>
    <t>Aviator</t>
  </si>
  <si>
    <t>JH05BD4971</t>
  </si>
  <si>
    <t>mamtamannajsr0001@gmail.com</t>
  </si>
  <si>
    <t>Uttam0001</t>
  </si>
  <si>
    <t>S. S. Jewellers</t>
  </si>
  <si>
    <t>Mahendra Munda</t>
  </si>
  <si>
    <t>New dl</t>
  </si>
  <si>
    <t>sumeth thakur</t>
  </si>
  <si>
    <t>Mahip Kumar Singh</t>
  </si>
  <si>
    <t>renewal</t>
  </si>
  <si>
    <t>Gurudeet Singh</t>
  </si>
  <si>
    <t>OG-20-2408-1806-00005741</t>
  </si>
  <si>
    <t>JH05BR6404</t>
  </si>
  <si>
    <t>SK Habib</t>
  </si>
  <si>
    <t>7209413452, 7903948659</t>
  </si>
  <si>
    <t>601705820,  2824057319</t>
  </si>
  <si>
    <t>Asghar Ali</t>
  </si>
  <si>
    <t>dpjsr0001@rediffmail.com</t>
  </si>
  <si>
    <t>Gangesh01</t>
  </si>
  <si>
    <t>OG-20-2408-1806-00006069</t>
  </si>
  <si>
    <t>2319 1007 3973 4100 001</t>
  </si>
  <si>
    <t>Manoj Mondal</t>
  </si>
  <si>
    <t>Alto 800</t>
  </si>
  <si>
    <t>JH05D1235</t>
  </si>
  <si>
    <t>OG-20-2408-1806-00005578</t>
  </si>
  <si>
    <t>OG-20-2408-1806-00005580</t>
  </si>
  <si>
    <t>OG-20-2408-1806-00005575</t>
  </si>
  <si>
    <t>OG-20-2408-1802-00001718</t>
  </si>
  <si>
    <t>Vishnu Pado Ruhidas</t>
  </si>
  <si>
    <t>new dl 2w</t>
  </si>
  <si>
    <t>OG-20-2408-1806-00006263</t>
  </si>
  <si>
    <t>Meghnath Singh Dhabal</t>
  </si>
  <si>
    <t>JH05BX1357</t>
  </si>
  <si>
    <t>OG-20-2408-1806-00006262</t>
  </si>
  <si>
    <t>Rama rao</t>
  </si>
  <si>
    <t>JH05BH5185</t>
  </si>
  <si>
    <t>OG-20-2408-1802-00001846</t>
  </si>
  <si>
    <t>OG-20-2408-1806-00006314</t>
  </si>
  <si>
    <t>VISHNU PADO RUHIDAS</t>
  </si>
  <si>
    <t>JH05CC6301</t>
  </si>
  <si>
    <t>CB Shine</t>
  </si>
  <si>
    <t>OG-20-2408-1802-00001854</t>
  </si>
  <si>
    <t>JH05AF9258</t>
  </si>
  <si>
    <t>PRAFULLA KUMAR</t>
  </si>
  <si>
    <t>Gunadhar Sahis</t>
  </si>
  <si>
    <t>new24</t>
  </si>
  <si>
    <t>Ashok Kumar Sahu</t>
  </si>
  <si>
    <t>OG-20-2408-1806-00006344</t>
  </si>
  <si>
    <t>JH05BQ9408</t>
  </si>
  <si>
    <t>SUPER SPLENDOR</t>
  </si>
  <si>
    <t>OG-20-2408-1802-00001863</t>
  </si>
  <si>
    <t>JH05CA2984</t>
  </si>
  <si>
    <t>BIKASH CHANDRA</t>
  </si>
  <si>
    <t>PASSION PRO</t>
  </si>
  <si>
    <t>OG-20-2408-1806-00006395</t>
  </si>
  <si>
    <t>JH01AW5901</t>
  </si>
  <si>
    <t>JAYDEEP BISWAS</t>
  </si>
  <si>
    <t>reliance</t>
  </si>
  <si>
    <t>tp</t>
  </si>
  <si>
    <t>ABDUL RAZZAQUE KHAN</t>
  </si>
  <si>
    <t>JH05BZ5524</t>
  </si>
  <si>
    <t>atul auto</t>
  </si>
  <si>
    <t>JH05P6256</t>
  </si>
  <si>
    <t>JITENDRA PRASAD SINGH</t>
  </si>
  <si>
    <t>OG-20-2408-1806-00006410</t>
  </si>
  <si>
    <t>JUGESHWAR SAW</t>
  </si>
  <si>
    <t>JH05AK2163</t>
  </si>
  <si>
    <t>OG-20-2408-1806-00006431</t>
  </si>
  <si>
    <t>sadhan Kar</t>
  </si>
  <si>
    <t>Hero Delux</t>
  </si>
  <si>
    <t>JH05BP0361</t>
  </si>
  <si>
    <t>Gurudayal Singh</t>
  </si>
  <si>
    <t>Renewal</t>
  </si>
  <si>
    <t>Jayanti Rani Das</t>
  </si>
  <si>
    <t>OG-20-2408-1806-00006451</t>
  </si>
  <si>
    <t>Shyam Babu</t>
  </si>
  <si>
    <t>JH05U6437</t>
  </si>
  <si>
    <t>OG-20-2408-1802-00001883</t>
  </si>
  <si>
    <t>DL APPL</t>
  </si>
  <si>
    <t>Kavita</t>
  </si>
  <si>
    <t>2012/00000/1906/1908957</t>
  </si>
  <si>
    <t>OG-20-2408-1806-00006505</t>
  </si>
  <si>
    <t>JH05BB5024</t>
  </si>
  <si>
    <t>OG-20-2408-1806-00006494</t>
  </si>
  <si>
    <t>OG-20-2408-1806-00006563</t>
  </si>
  <si>
    <t>Binay Mandal</t>
  </si>
  <si>
    <t>Hero HF Delux</t>
  </si>
  <si>
    <t>JH05BW7268</t>
  </si>
  <si>
    <t>LL ISSUED</t>
  </si>
  <si>
    <t>OG-20-2408-1806-00006603</t>
  </si>
  <si>
    <t>SITESH CHANDRA Roy</t>
  </si>
  <si>
    <t>Hero Morocrop</t>
  </si>
  <si>
    <t>JH05AQ0541</t>
  </si>
  <si>
    <t>Syed  Iftakhar Hussain</t>
  </si>
  <si>
    <t>Amrik Singh</t>
  </si>
  <si>
    <t>BajaJ</t>
  </si>
  <si>
    <t>OG-20-2408-1806-00006655</t>
  </si>
  <si>
    <t>OG-20-2408-1806-00006663</t>
  </si>
  <si>
    <t>Honda Activa Std</t>
  </si>
  <si>
    <t>JH05AX4183</t>
  </si>
  <si>
    <t>OG-20-2408-1806-00006664</t>
  </si>
  <si>
    <t>2012/00000/2006/0350223</t>
  </si>
  <si>
    <t>K Silpa</t>
  </si>
  <si>
    <t>OG-21-2408-1806-00000445</t>
  </si>
  <si>
    <t>SANJAY SEN</t>
  </si>
  <si>
    <t>Rani Kaur</t>
  </si>
  <si>
    <t>2012/00000/1904/0678356</t>
  </si>
  <si>
    <t>sunitakumarijsr11@gmail.com</t>
  </si>
  <si>
    <t>Sunita01</t>
  </si>
  <si>
    <t>kavitadas001@gmail.com</t>
  </si>
  <si>
    <t>Kavita01</t>
  </si>
  <si>
    <t>sadiquehussainjsr@gmail.com</t>
  </si>
  <si>
    <t>OG-21-2408-1805-00000137</t>
  </si>
  <si>
    <t>Dinesh Gorai</t>
  </si>
  <si>
    <t>OG-21-2408-1806-00000883</t>
  </si>
  <si>
    <t>Shaukat Ali</t>
  </si>
  <si>
    <t>JH05BE2509</t>
  </si>
  <si>
    <t>OG-21-2408-1802-00000349</t>
  </si>
  <si>
    <t>JH05BL4428</t>
  </si>
  <si>
    <t>Appache</t>
  </si>
  <si>
    <t>OG-21-2408-1806-00000796</t>
  </si>
  <si>
    <t>JH05M7425</t>
  </si>
  <si>
    <t>MADHUSUDHAN KUMAR</t>
  </si>
  <si>
    <t>super splender</t>
  </si>
  <si>
    <t>chevrolet</t>
  </si>
  <si>
    <t>OG-21-2408-1806-00000764</t>
  </si>
  <si>
    <t>JH05AW2471</t>
  </si>
  <si>
    <t>OG-21-2408-1806-00000763</t>
  </si>
  <si>
    <t>Somen Pradhan</t>
  </si>
  <si>
    <t>JH05AN6030</t>
  </si>
  <si>
    <t>OG-21-2408-1806-00000720</t>
  </si>
  <si>
    <t>Nebandu Chakraborty</t>
  </si>
  <si>
    <t>JH05BE2577</t>
  </si>
  <si>
    <t>OG-21-2408-1806-00000617</t>
  </si>
  <si>
    <t>S L Jha</t>
  </si>
  <si>
    <t>Splender +</t>
  </si>
  <si>
    <t>JH05Q3932</t>
  </si>
  <si>
    <t>OG-21-2408-1806-00000545</t>
  </si>
  <si>
    <t>Suren Prasad Saw</t>
  </si>
  <si>
    <t>JH05AR2583</t>
  </si>
  <si>
    <t>OG-21-2408-1806-00000524</t>
  </si>
  <si>
    <t>Shambhu Karmakar</t>
  </si>
  <si>
    <t>Bajaj2</t>
  </si>
  <si>
    <t>Bajaj4</t>
  </si>
  <si>
    <t>OG-21-2408-1806-00000468</t>
  </si>
  <si>
    <t>Jaldhar Mahato</t>
  </si>
  <si>
    <t>JH05AG5567</t>
  </si>
  <si>
    <t>OG-21-2408-1806-00000450</t>
  </si>
  <si>
    <t>Jerom Stephen</t>
  </si>
  <si>
    <t>JH05AB5028</t>
  </si>
  <si>
    <t>JH05AK6850</t>
  </si>
  <si>
    <t>OG-21-2408-1806-00000386</t>
  </si>
  <si>
    <t>Jesika Teru</t>
  </si>
  <si>
    <t>JH05BC0459</t>
  </si>
  <si>
    <t>OG-21-2408-1806-00000336</t>
  </si>
  <si>
    <t>Sirajul Hassan</t>
  </si>
  <si>
    <t>JH05Z6622</t>
  </si>
  <si>
    <t>OG-21-2408-1806-00000337</t>
  </si>
  <si>
    <t>Santosh Garang</t>
  </si>
  <si>
    <t>JH05AU1916</t>
  </si>
  <si>
    <t>Splender Pro</t>
  </si>
  <si>
    <t>OG-21-2408-1806-00000370</t>
  </si>
  <si>
    <t>Mohan Lal Sharma</t>
  </si>
  <si>
    <t>JH05BE4229</t>
  </si>
  <si>
    <t>OG-21-2408-1806-00000375</t>
  </si>
  <si>
    <t>OG-21-2408-1806-00001023</t>
  </si>
  <si>
    <t>Pulser</t>
  </si>
  <si>
    <t>JH05AF7594</t>
  </si>
  <si>
    <t>Md Moin</t>
  </si>
  <si>
    <t>JH05AB9322</t>
  </si>
  <si>
    <t>AIAPV4335R</t>
  </si>
  <si>
    <t>Sushant@20</t>
  </si>
  <si>
    <t>Sushant Kumar Verma</t>
  </si>
  <si>
    <t>OG-21-2408-1806-00001066</t>
  </si>
  <si>
    <t>SADHAN PATRA</t>
  </si>
  <si>
    <t>Passion  Pro</t>
  </si>
  <si>
    <t>JH05BU1311</t>
  </si>
  <si>
    <t>OG-21-2408-1871-00000024</t>
  </si>
  <si>
    <t>yamha fascino</t>
  </si>
  <si>
    <t>HARSHIT TIRKEY</t>
  </si>
  <si>
    <t>OG-21-2408-1806-00001145</t>
  </si>
  <si>
    <t>AKASH DUBEY</t>
  </si>
  <si>
    <t>JH05G1231</t>
  </si>
  <si>
    <t>PULSAR</t>
  </si>
  <si>
    <t>OG-21-2408-1806-00001151</t>
  </si>
  <si>
    <t>IMQPS6601K</t>
  </si>
  <si>
    <t>Binod@91</t>
  </si>
  <si>
    <t>OG-21-2408-1806-00001207</t>
  </si>
  <si>
    <t>suru singh sardar</t>
  </si>
  <si>
    <t>activa 5G</t>
  </si>
  <si>
    <t>OG-21-2408-1806-00001205</t>
  </si>
  <si>
    <t>OG-21-2408-1806-00001213</t>
  </si>
  <si>
    <t>Subhajit Sinha</t>
  </si>
  <si>
    <t>JH05AW5735</t>
  </si>
  <si>
    <t>jupiter</t>
  </si>
  <si>
    <t>OG-21-2408-1806-00001163</t>
  </si>
  <si>
    <t>Yashwant Singh</t>
  </si>
  <si>
    <t>JH05AJ2109</t>
  </si>
  <si>
    <t>md shoib akhar</t>
  </si>
  <si>
    <t>JH05BX1956</t>
  </si>
  <si>
    <t>Gourang Kundu</t>
  </si>
  <si>
    <t>JH05BK8076</t>
  </si>
  <si>
    <t>OG-21-2408-1806-00001149</t>
  </si>
  <si>
    <t>JH05AN1878</t>
  </si>
  <si>
    <t>CD Delux</t>
  </si>
  <si>
    <t>Santosh Karmakar</t>
  </si>
  <si>
    <t>OG-21-2408-1806-00001254</t>
  </si>
  <si>
    <t>Pradip Kumar Jaiswal</t>
  </si>
  <si>
    <t>chetak</t>
  </si>
  <si>
    <t>BR16L7029</t>
  </si>
  <si>
    <t>OG-21-2408-1806-00001328</t>
  </si>
  <si>
    <t>bajaj2</t>
  </si>
  <si>
    <t>Subramani</t>
  </si>
  <si>
    <t>JH05BD1887</t>
  </si>
  <si>
    <t>Sudama Sah</t>
  </si>
  <si>
    <t>JH05AR5813</t>
  </si>
  <si>
    <t>OG-21-2408-1806-00001517</t>
  </si>
  <si>
    <t>ZULFAQUAR ALI AZHAR</t>
  </si>
  <si>
    <t>JH05CA5250</t>
  </si>
  <si>
    <t>OG-21-2408-1802-00000472</t>
  </si>
  <si>
    <t>Sujay Sahu</t>
  </si>
  <si>
    <t>JH05CA3667</t>
  </si>
  <si>
    <t>OG-21-2408-1806-00001351</t>
  </si>
  <si>
    <t>Mahadev Mahato</t>
  </si>
  <si>
    <t>Tp</t>
  </si>
  <si>
    <t>JH05S3029</t>
  </si>
  <si>
    <t>OG-21-2408-1806-00001352</t>
  </si>
  <si>
    <t>Nageshwar</t>
  </si>
  <si>
    <t>JH05BA9742</t>
  </si>
  <si>
    <t>OG-21-2408-1806-00001522</t>
  </si>
  <si>
    <t>Ashim kr khan</t>
  </si>
  <si>
    <t>JH05Q4421</t>
  </si>
  <si>
    <t>icici</t>
  </si>
  <si>
    <t>kumar suchashiish</t>
  </si>
  <si>
    <t>renault kewit</t>
  </si>
  <si>
    <t>cusoter to chase</t>
  </si>
  <si>
    <t>OG-21-2408-1806-00001665</t>
  </si>
  <si>
    <t>Budheshwar Singh</t>
  </si>
  <si>
    <t>JH05T5460</t>
  </si>
  <si>
    <t>OG-21-2408-1806-00001709</t>
  </si>
  <si>
    <t>Akhilesh Karua</t>
  </si>
  <si>
    <t>JH05BL7494</t>
  </si>
  <si>
    <t>OG-21-2408-1805-00000226</t>
  </si>
  <si>
    <t>Auto 800</t>
  </si>
  <si>
    <t>OG-21-2408-1806-00001822</t>
  </si>
  <si>
    <t>JH05S8164</t>
  </si>
  <si>
    <t>Ranju Devi</t>
  </si>
  <si>
    <t>OG-21-2408-1806-00001834</t>
  </si>
  <si>
    <t>JH05BK0198</t>
  </si>
  <si>
    <t>Livo honda</t>
  </si>
  <si>
    <t>AGCPA4264C</t>
  </si>
  <si>
    <t>Nadim Akhtar Ansari</t>
  </si>
  <si>
    <t>nadim@1976</t>
  </si>
  <si>
    <t>OG-21-2408-1806-00001859</t>
  </si>
  <si>
    <t>BR1660483</t>
  </si>
  <si>
    <t>OG-21-2408-1806-00001932</t>
  </si>
  <si>
    <t>JH05AZ6247</t>
  </si>
  <si>
    <t>Chittranjan Das</t>
  </si>
  <si>
    <t>AACPU1462G</t>
  </si>
  <si>
    <t>Bani@1965</t>
  </si>
  <si>
    <t>Bani Mahadeo Upadhyay</t>
  </si>
  <si>
    <t>OG-21-2408-1806-00001991</t>
  </si>
  <si>
    <t>JH05BM5390</t>
  </si>
  <si>
    <t>Activa3G</t>
  </si>
  <si>
    <t>Bhola Saw</t>
  </si>
  <si>
    <t>Munna Rai</t>
  </si>
  <si>
    <t>Munna@1963</t>
  </si>
  <si>
    <t>AOAPR6741R</t>
  </si>
  <si>
    <t>BPOPK6301N</t>
  </si>
  <si>
    <t>Shahabuddin Khan</t>
  </si>
  <si>
    <t>kHAN@1980</t>
  </si>
  <si>
    <t>OG-21-2408-1806-00002078</t>
  </si>
  <si>
    <t>bajaj4</t>
  </si>
  <si>
    <t>Santosh Baskey</t>
  </si>
  <si>
    <t>JH05ax4486</t>
  </si>
  <si>
    <t>OG-21-2408-1805-00000281</t>
  </si>
  <si>
    <t>ILIAS AKHTAR</t>
  </si>
  <si>
    <t>JH05M0528</t>
  </si>
  <si>
    <t>Santro Xing</t>
  </si>
  <si>
    <t>OG-21-2408-1806-00002098</t>
  </si>
  <si>
    <t>JH05AJ4191 PA</t>
  </si>
  <si>
    <t>Rajrnai Mukhi</t>
  </si>
  <si>
    <t>OG-21-2408-1806-00002096</t>
  </si>
  <si>
    <t>SUKANTO DAS</t>
  </si>
  <si>
    <t>JH05AN4202</t>
  </si>
  <si>
    <t>OG-21-2408-1806-00002127</t>
  </si>
  <si>
    <t>RANJIT SINGH</t>
  </si>
  <si>
    <t>JH05F1773</t>
  </si>
  <si>
    <t>OG-21-2408-1802-00000690</t>
  </si>
  <si>
    <t>Ajoy Ray</t>
  </si>
  <si>
    <t>JH05BC0257</t>
  </si>
  <si>
    <t>OG-21-2408-1802-00000694</t>
  </si>
  <si>
    <t>OG-21-2408-1806-00002198</t>
  </si>
  <si>
    <t>JH05BN4058</t>
  </si>
  <si>
    <t>UDAYKANT PRASAD</t>
  </si>
  <si>
    <t>OG-21-2408-1806-00002228</t>
  </si>
  <si>
    <t>JH05W2765</t>
  </si>
  <si>
    <t>ORUGANTI VENKATA</t>
  </si>
  <si>
    <t>OG-21-2408-1802-00000701</t>
  </si>
  <si>
    <t>JITENDRA KUMAR SINGH</t>
  </si>
  <si>
    <t>platina</t>
  </si>
  <si>
    <t>HR26AW2306</t>
  </si>
  <si>
    <t>svermajsr5@gmail.com</t>
  </si>
  <si>
    <t>Verma@2020</t>
  </si>
  <si>
    <t>ABBPA6871F</t>
  </si>
  <si>
    <t>Bahadur@20</t>
  </si>
  <si>
    <t>450returned on 03-09-2020</t>
  </si>
  <si>
    <t>OG-21-2408-1806-00002656</t>
  </si>
  <si>
    <t>Mamta Gorai</t>
  </si>
  <si>
    <t>JH05BW1349</t>
  </si>
  <si>
    <t>OG-21-2408-1806-00002642</t>
  </si>
  <si>
    <t>OG-21-2408-1806-00002573</t>
  </si>
  <si>
    <t>JH05BD5390</t>
  </si>
  <si>
    <t>Pranab Kumar Mazumdar</t>
  </si>
  <si>
    <t>OG-21-2408-1806-00002588</t>
  </si>
  <si>
    <t>Passion Pto</t>
  </si>
  <si>
    <t>JH05BQ3720</t>
  </si>
  <si>
    <t>OG-21-2408-1806-00002606</t>
  </si>
  <si>
    <t>Shyam sunder mazumdar</t>
  </si>
  <si>
    <t>JH05BK3374</t>
  </si>
  <si>
    <t>TVS XL</t>
  </si>
  <si>
    <t>JH05R1903</t>
  </si>
  <si>
    <t>OG-21-2408-1806-00002623</t>
  </si>
  <si>
    <t>SYED AZHAR HUSSAIN</t>
  </si>
  <si>
    <t>OG-21-2408-1802-00000808</t>
  </si>
  <si>
    <t>JH05BV1865</t>
  </si>
  <si>
    <t>OG-21-2408-1806-00002498</t>
  </si>
  <si>
    <t>Rajesh Kumar Sharma</t>
  </si>
  <si>
    <t>JH05X6904</t>
  </si>
  <si>
    <t>OG-21-2408-1806-00002400</t>
  </si>
  <si>
    <t>Nur Hasan</t>
  </si>
  <si>
    <t>JH05U0986</t>
  </si>
  <si>
    <t>OG-21-2408-1806-00002678</t>
  </si>
  <si>
    <t>OG-21-2408-1806-00002744</t>
  </si>
  <si>
    <t>SHYAMAL CHAKRABORY</t>
  </si>
  <si>
    <t>Tvs-Jupiter</t>
  </si>
  <si>
    <t>JH05BU5900</t>
  </si>
  <si>
    <t>JH05W7552</t>
  </si>
  <si>
    <t>Kashinath Bhumij</t>
  </si>
  <si>
    <t>OG-21-2408-1806-00002920</t>
  </si>
  <si>
    <t>Sk Shoib Akhtar</t>
  </si>
  <si>
    <t>OG-21-2408-1806-00002924</t>
  </si>
  <si>
    <t>JH05u0953</t>
  </si>
  <si>
    <t>DUET</t>
  </si>
  <si>
    <t>JH05BS6367</t>
  </si>
  <si>
    <t>chandan paul</t>
  </si>
  <si>
    <t>Sujat Ali</t>
  </si>
  <si>
    <t>JH-05-BG-0634</t>
  </si>
  <si>
    <t>OG-21-2408-1806-00003012</t>
  </si>
  <si>
    <t>RAJESH SHUKLA</t>
  </si>
  <si>
    <t xml:space="preserve">Hero </t>
  </si>
  <si>
    <t>Akht@r1953</t>
  </si>
  <si>
    <t>bbpdamit@gmail.com</t>
  </si>
  <si>
    <t>OG-21-2408-1806-00003008</t>
  </si>
  <si>
    <t>Jitendra Prasasd</t>
  </si>
  <si>
    <t>JH05N6102</t>
  </si>
  <si>
    <t>JH05AE0212</t>
  </si>
  <si>
    <t>Prakash Kumar Sinha</t>
  </si>
  <si>
    <t>OG-21-2408-1805-00000426</t>
  </si>
  <si>
    <t>OG-21-2408-1806-00003119</t>
  </si>
  <si>
    <t>Awdhesh kr bhagat</t>
  </si>
  <si>
    <t>JH05X2353</t>
  </si>
  <si>
    <t>SPLENDOR PLUS</t>
  </si>
  <si>
    <t>RAJESHWAR KUMAR TIWARY</t>
  </si>
  <si>
    <t>JH05AY7661</t>
  </si>
  <si>
    <t>wagon R</t>
  </si>
  <si>
    <t>OG-21-2408-1805-00000433</t>
  </si>
  <si>
    <t>Babita Devi</t>
  </si>
  <si>
    <t>JH05CA6586</t>
  </si>
  <si>
    <t>OG-21-2408-1806-00003124</t>
  </si>
  <si>
    <t>OG-21-2408-1806-00003122</t>
  </si>
  <si>
    <t>JH05L8597</t>
  </si>
  <si>
    <t>Piyush Kumari</t>
  </si>
  <si>
    <t>OG-21-2408-1805-00000435</t>
  </si>
  <si>
    <t>JH05K1443</t>
  </si>
  <si>
    <t>alto</t>
  </si>
  <si>
    <t>OG-21-2408-1806-00003147</t>
  </si>
  <si>
    <t>Shiv Shankar Singh</t>
  </si>
  <si>
    <t>JH05BP6274</t>
  </si>
  <si>
    <t>madankumar1973.2015@rediffmail.com</t>
  </si>
  <si>
    <t>M@dan12345</t>
  </si>
  <si>
    <t>S@njay2020</t>
  </si>
  <si>
    <t>weinsindiautilities@gmail.com</t>
  </si>
  <si>
    <t>D k Choudhary</t>
  </si>
  <si>
    <t>Del 23-09-2020</t>
  </si>
  <si>
    <t>Del 24-09-2020</t>
  </si>
  <si>
    <t>Nagalu Lakshman</t>
  </si>
  <si>
    <t>Pravin Kumar</t>
  </si>
  <si>
    <t>Chhatu Sardar</t>
  </si>
  <si>
    <t>OG-21-2408-1806-00003561</t>
  </si>
  <si>
    <t>Pankaj Kr verma</t>
  </si>
  <si>
    <t>````</t>
  </si>
  <si>
    <t>Suchita Ghoshal</t>
  </si>
  <si>
    <t>Dup RC</t>
  </si>
  <si>
    <t>OG-21-2408-1805-00000535</t>
  </si>
  <si>
    <t>Subhadra Singh</t>
  </si>
  <si>
    <t>Santro</t>
  </si>
  <si>
    <t>JH05AH8086</t>
  </si>
  <si>
    <t>JH05BA9346</t>
  </si>
  <si>
    <t>OG-21-2408-1806-00003563</t>
  </si>
  <si>
    <t>Chhotu Sardar</t>
  </si>
  <si>
    <t>Passion pro</t>
  </si>
  <si>
    <t>JH05AH9949</t>
  </si>
  <si>
    <t>OG-21-2408-1806-00003570</t>
  </si>
  <si>
    <t>Rajesh Giri</t>
  </si>
  <si>
    <t>JH05AZ4345</t>
  </si>
  <si>
    <t>OG-21-2408-1870-00000044</t>
  </si>
  <si>
    <t>od</t>
  </si>
  <si>
    <t>JH05CN7400</t>
  </si>
  <si>
    <t>Tiago</t>
  </si>
  <si>
    <t>Kanchan kr adak</t>
  </si>
  <si>
    <t>JH05BP6297</t>
  </si>
  <si>
    <t>Tej Narayan Jha</t>
  </si>
  <si>
    <t>OG-21-2408-1806-00003742</t>
  </si>
  <si>
    <t>OG-21-2408-1806-00003912</t>
  </si>
  <si>
    <t>Chandana Pathak</t>
  </si>
  <si>
    <t>JH05BW6156</t>
  </si>
  <si>
    <t>Vishal Sharma</t>
  </si>
  <si>
    <t>JH05BY2326</t>
  </si>
  <si>
    <t>OG-21-2408-1806-00003977</t>
  </si>
  <si>
    <t>OG-21-2408-1806-00003992</t>
  </si>
  <si>
    <t>Akash Dubey</t>
  </si>
  <si>
    <t>Deven singh sardar</t>
  </si>
  <si>
    <t>trans</t>
  </si>
  <si>
    <t>OG-21-2408-1806-00004182</t>
  </si>
  <si>
    <t>SUBHASH KUMAR YADAV</t>
  </si>
  <si>
    <t>JH05BZ0625</t>
  </si>
  <si>
    <t>ACTIVA 4G</t>
  </si>
  <si>
    <t>OG-21-2408-1806-00004059</t>
  </si>
  <si>
    <t>Rohini Mahato</t>
  </si>
  <si>
    <t>JH05AL9703</t>
  </si>
  <si>
    <t>JH05T6495</t>
  </si>
  <si>
    <t>tvs sport</t>
  </si>
  <si>
    <t>OG-21-2408-1806-00004165</t>
  </si>
  <si>
    <t>Ali Imam</t>
  </si>
  <si>
    <t>PRADEEP KUMAR MAHARANA</t>
  </si>
  <si>
    <t>JH05U9773</t>
  </si>
  <si>
    <t>Apache</t>
  </si>
  <si>
    <t>OG-21-2408-1806-00004185</t>
  </si>
  <si>
    <t>OG-21-2408-1805-00000588</t>
  </si>
  <si>
    <t>i10</t>
  </si>
  <si>
    <t>JH05AM5691</t>
  </si>
  <si>
    <t>Baljeet Singh</t>
  </si>
  <si>
    <t>Jayanto Das</t>
  </si>
  <si>
    <t>JH05Y4122</t>
  </si>
  <si>
    <t>OG-21-2408-1806-00004199</t>
  </si>
  <si>
    <t>Sukhbinder singh</t>
  </si>
  <si>
    <t>JH05AL5771</t>
  </si>
  <si>
    <t>cbz</t>
  </si>
  <si>
    <t>OG-21-2408-1806-00004201</t>
  </si>
  <si>
    <t>OG-21-2408-1806-00004229</t>
  </si>
  <si>
    <t>AKANSHA CHOURASIA</t>
  </si>
  <si>
    <t>JH06J4774</t>
  </si>
  <si>
    <t>Navi</t>
  </si>
  <si>
    <t>Rakesh Kuma</t>
  </si>
  <si>
    <t>OG-21-2408-1806-00004354</t>
  </si>
  <si>
    <t>JH05AY8465</t>
  </si>
  <si>
    <t>JH05AF9977</t>
  </si>
  <si>
    <t>Star city</t>
  </si>
  <si>
    <t>OG-21-2408-1806-00004366</t>
  </si>
  <si>
    <t>OG-21-2408-1806-00004379</t>
  </si>
  <si>
    <t>SANJAY KUMAR SAHU</t>
  </si>
  <si>
    <t>JH05AP1718</t>
  </si>
  <si>
    <t>OG-21-2408-1806-00004428</t>
  </si>
  <si>
    <t>JH05AB3834</t>
  </si>
  <si>
    <t>NITAI CHANDRA GORAI</t>
  </si>
  <si>
    <t>JH05Q0662</t>
  </si>
  <si>
    <t>platina bajaj</t>
  </si>
  <si>
    <t>OG-21-2408-1806-00004444</t>
  </si>
  <si>
    <t>R@jesh1976</t>
  </si>
  <si>
    <t>Rajesh Kumar Soni</t>
  </si>
  <si>
    <t>DBXPS9986N</t>
  </si>
  <si>
    <t>nareshgounder03@gmail.com</t>
  </si>
  <si>
    <t>Gounder@86</t>
  </si>
  <si>
    <t>OG-21-2408-1806-00004521</t>
  </si>
  <si>
    <t>VINAY KUMAR</t>
  </si>
  <si>
    <t>JH05BX7441</t>
  </si>
  <si>
    <t>OG-21-2408-1806-00004494</t>
  </si>
  <si>
    <t>Ranjan Paul</t>
  </si>
  <si>
    <t>JH05U4033</t>
  </si>
  <si>
    <t>discover</t>
  </si>
  <si>
    <t>OG-21-2408-1806-00004525</t>
  </si>
  <si>
    <t>Baby Pandey</t>
  </si>
  <si>
    <t>WB56A5347</t>
  </si>
  <si>
    <t>activa 3g</t>
  </si>
  <si>
    <t>WB96B7291</t>
  </si>
  <si>
    <t>OG-21-2408-1806-00004526</t>
  </si>
  <si>
    <t>OG-21-2408-1802-00001121</t>
  </si>
  <si>
    <t>Buddheshwarr Rajak</t>
  </si>
  <si>
    <t>JH05BA5959</t>
  </si>
  <si>
    <t>CBX</t>
  </si>
  <si>
    <t>JH05AJ6746</t>
  </si>
  <si>
    <t>OG-21-2408-1806-00004468</t>
  </si>
  <si>
    <t>Manish saw</t>
  </si>
  <si>
    <t>indica</t>
  </si>
  <si>
    <t>Prasad@2020</t>
  </si>
  <si>
    <t>OG-21-2408-1806-00004536</t>
  </si>
  <si>
    <t>SURENDER SINGH YADAV</t>
  </si>
  <si>
    <t>JH05AL2028</t>
  </si>
  <si>
    <t>OG-21-2408-1806-00004559</t>
  </si>
  <si>
    <t>Anindit Roy Choudhury</t>
  </si>
  <si>
    <t>Activa 4g</t>
  </si>
  <si>
    <t>JH05BY8424</t>
  </si>
  <si>
    <t>OG-21-2408-1806-00004575</t>
  </si>
  <si>
    <t>SUBLAKSH KUMAR SAREEN</t>
  </si>
  <si>
    <t>JH05AE9230</t>
  </si>
  <si>
    <t>VED RATAN SINHA</t>
  </si>
  <si>
    <t>DL1SH7869</t>
  </si>
  <si>
    <t>yamha rx</t>
  </si>
  <si>
    <t>OG-21-2408-1806-00004589</t>
  </si>
  <si>
    <t>KUMUD KUMAR SINHA</t>
  </si>
  <si>
    <t>BR16B3066</t>
  </si>
  <si>
    <t>OG-21-2408-1806-00004590</t>
  </si>
  <si>
    <t>ASHIM KUMAR DHAR</t>
  </si>
  <si>
    <t>JH05BM186</t>
  </si>
  <si>
    <t>OG-21-2408-1806-00004593</t>
  </si>
  <si>
    <t>OG-21-2408-1805-00000641</t>
  </si>
  <si>
    <t>Dev Ratna Sinha</t>
  </si>
  <si>
    <t>JH05BB9551</t>
  </si>
  <si>
    <t>SHARMISTHA RANA</t>
  </si>
  <si>
    <t>pep+</t>
  </si>
  <si>
    <t>OG-21-2408-1806-00004620</t>
  </si>
  <si>
    <t>RITORSHI GANGULY</t>
  </si>
  <si>
    <t>JH05BE8015</t>
  </si>
  <si>
    <t>Splender pro</t>
  </si>
  <si>
    <t>OG-21-2408-1806-00004597</t>
  </si>
  <si>
    <t>DL3CAP0452</t>
  </si>
  <si>
    <t>OG-21-2408-1802-00001149</t>
  </si>
  <si>
    <t>Jawaid Alam</t>
  </si>
  <si>
    <t>JH05BX2517</t>
  </si>
  <si>
    <t>suzuki-access</t>
  </si>
  <si>
    <t>Sk Aslam</t>
  </si>
  <si>
    <t>JH05AK8704</t>
  </si>
  <si>
    <t>OG-21-2408-1806-00004640</t>
  </si>
  <si>
    <t>JH05BN3213</t>
  </si>
  <si>
    <t>Niranjan Ruhidas</t>
  </si>
  <si>
    <t>OG-21-2408-1806-00004648</t>
  </si>
  <si>
    <t>RIZWANA TABASSUM</t>
  </si>
  <si>
    <t>JH05BW041</t>
  </si>
  <si>
    <t>Duet</t>
  </si>
  <si>
    <t>OG-21-2408-1802-00001163</t>
  </si>
  <si>
    <t>SUBAL CHANDRA PAUL</t>
  </si>
  <si>
    <t>JH05AQ9373</t>
  </si>
  <si>
    <t>OG-21-2408-1806-00004773</t>
  </si>
  <si>
    <t>DIPANKAR RANA</t>
  </si>
  <si>
    <t>JH05AX3212</t>
  </si>
  <si>
    <t>OG-21-2408-1806-00004795</t>
  </si>
  <si>
    <t>OG-21-2408-1806-00004807</t>
  </si>
  <si>
    <t>Bipin Kumar Mishra</t>
  </si>
  <si>
    <t>JH05Y9871</t>
  </si>
  <si>
    <t>OG-21-2408-1806-00004864</t>
  </si>
  <si>
    <t>AVINASH KUMAR SINGH</t>
  </si>
  <si>
    <t>JH05BX3259</t>
  </si>
  <si>
    <t>Md Saiyad</t>
  </si>
  <si>
    <t>JH05BH8333</t>
  </si>
  <si>
    <t>OG-21-2408-1802-00001194</t>
  </si>
  <si>
    <t>Amarjeet Prasad</t>
  </si>
  <si>
    <t>JH05BZ1052</t>
  </si>
  <si>
    <t>OG-21-2408-1802-00001197</t>
  </si>
  <si>
    <t>Rezwana Tabassum</t>
  </si>
  <si>
    <t>tvs zest</t>
  </si>
  <si>
    <t>JH05BQ2333</t>
  </si>
  <si>
    <t>N Lakshman</t>
  </si>
  <si>
    <t>OG-21-2408-1806-00005018</t>
  </si>
  <si>
    <t>UTPAL BHATTACHARJEE</t>
  </si>
  <si>
    <t>JH05B3898</t>
  </si>
  <si>
    <t>lml nv spl</t>
  </si>
  <si>
    <t>OG-21-2408-1806-00004989</t>
  </si>
  <si>
    <t>fail</t>
  </si>
  <si>
    <t>OG-21-2408-1806-00005044</t>
  </si>
  <si>
    <t>Narayan Kumar Jha</t>
  </si>
  <si>
    <t>JH05AH5349</t>
  </si>
  <si>
    <t>S M Altamash Madni</t>
  </si>
  <si>
    <t>Sharya Naaz</t>
  </si>
  <si>
    <t>Shiv Shambhu Pasad</t>
  </si>
  <si>
    <t>JH05M1983</t>
  </si>
  <si>
    <t>OG-21-2408-1806-00005060</t>
  </si>
  <si>
    <t>OG-21-2408-1806-00005170</t>
  </si>
  <si>
    <t>NARAYAN KR JHA</t>
  </si>
  <si>
    <t>JH05Q5644</t>
  </si>
  <si>
    <t>UOW20112501215</t>
  </si>
  <si>
    <t>UOW20112300180</t>
  </si>
  <si>
    <t>Amar kr upadhyay</t>
  </si>
  <si>
    <t>Mypass@2021</t>
  </si>
  <si>
    <t>JH05AA9919</t>
  </si>
  <si>
    <t>OG-21-2408-1805-00000742</t>
  </si>
  <si>
    <t>BASANT KUMAR</t>
  </si>
  <si>
    <t>JH05AV0759</t>
  </si>
  <si>
    <t>OG-21-2408-1806-00005233</t>
  </si>
  <si>
    <t>SANJAY KUMAR PRASAD</t>
  </si>
  <si>
    <t>JH05BE1180</t>
  </si>
  <si>
    <t>OG-21-2408-1806-00005236</t>
  </si>
  <si>
    <t>SOMNATH BANERJEE</t>
  </si>
  <si>
    <t>JH05BX8682</t>
  </si>
  <si>
    <t>Fascino</t>
  </si>
  <si>
    <t>OG-21-2408-1806-00005313</t>
  </si>
  <si>
    <t>LEELA DEVI</t>
  </si>
  <si>
    <t>JH05CD1221</t>
  </si>
  <si>
    <t>OG-21-2408-1802-00001267</t>
  </si>
  <si>
    <t>LAW KUMAR</t>
  </si>
  <si>
    <t>JH05Z6844</t>
  </si>
  <si>
    <t>Wagnar</t>
  </si>
  <si>
    <t>OG-21-2408-1805-00000759</t>
  </si>
  <si>
    <t>Bhagat@20</t>
  </si>
  <si>
    <t>ABKPB3991J</t>
  </si>
  <si>
    <t>MOTI LAL BHAGAT</t>
  </si>
  <si>
    <t>Jyoti Prakash</t>
  </si>
  <si>
    <t>Tapas Kumar Das</t>
  </si>
  <si>
    <t>Md Asif Jamal</t>
  </si>
  <si>
    <t>2to4</t>
  </si>
  <si>
    <t>ARMPJ1925G</t>
  </si>
  <si>
    <t>Punit@1992</t>
  </si>
  <si>
    <t>Punit</t>
  </si>
  <si>
    <t>Ganapati Mishra</t>
  </si>
  <si>
    <t>AEVPH3300R</t>
  </si>
  <si>
    <t>Hussain@20</t>
  </si>
  <si>
    <t>Shahnawaz Hussain</t>
  </si>
  <si>
    <t>Parasnath prasad</t>
  </si>
  <si>
    <t>Pankaj Kumar Sinha</t>
  </si>
  <si>
    <t>2+4</t>
  </si>
  <si>
    <t>Nand Kumar Singh</t>
  </si>
  <si>
    <t>hp+ot</t>
  </si>
  <si>
    <t>S Vadivelu</t>
  </si>
  <si>
    <t>RAJESHKUMAR ROY</t>
  </si>
  <si>
    <t>JH05W4766</t>
  </si>
  <si>
    <t>Passion</t>
  </si>
  <si>
    <t>OG-21-2408-1806-00005551</t>
  </si>
  <si>
    <t>JH05BD1075</t>
  </si>
  <si>
    <t>HF delux</t>
  </si>
  <si>
    <t>MEENA SINHA</t>
  </si>
  <si>
    <t>OG-21-2408-1806-00005506</t>
  </si>
  <si>
    <t>ALEEM AKHTAR</t>
  </si>
  <si>
    <t>Saroj Kumar Singh</t>
  </si>
  <si>
    <t>OG-21-2408-1806-00005773</t>
  </si>
  <si>
    <t>JH05AR4206</t>
  </si>
  <si>
    <t>OG-21-2408-1806-00005800</t>
  </si>
  <si>
    <t>JH05T2550</t>
  </si>
  <si>
    <t>Dawn</t>
  </si>
  <si>
    <t>OG-21-2408-1806-00005807</t>
  </si>
  <si>
    <t>JH05X4925</t>
  </si>
  <si>
    <t>suzuki access</t>
  </si>
  <si>
    <t>AMEY MAINDARGE</t>
  </si>
  <si>
    <t>JH05Y5796</t>
  </si>
  <si>
    <t>OG-21-2408-1806-00005858</t>
  </si>
  <si>
    <t>PRITPAL SINGH</t>
  </si>
  <si>
    <t>JH05E2862</t>
  </si>
  <si>
    <t>OG-21-2408-1805-00000888</t>
  </si>
  <si>
    <t>SAJID IRFAN</t>
  </si>
  <si>
    <t>JH05AT0317</t>
  </si>
  <si>
    <t>glamour</t>
  </si>
  <si>
    <t>OG-21-2408-1806-00005920</t>
  </si>
  <si>
    <t>FARHAT JAHAN</t>
  </si>
  <si>
    <t>JH05BC0707</t>
  </si>
  <si>
    <t>OG-21-2408-1806-00005921</t>
  </si>
  <si>
    <t>OG-21-2408-1806-00005928</t>
  </si>
  <si>
    <t>JH05AU7658</t>
  </si>
  <si>
    <t>DHARMENDRA KUMAR SINGH</t>
  </si>
  <si>
    <t>AENPS6818P</t>
  </si>
  <si>
    <t>Arvind Kumar Sinha</t>
  </si>
  <si>
    <t>JH0520070012015</t>
  </si>
  <si>
    <t>OG-21-2408-1806-00006045</t>
  </si>
  <si>
    <t>Shabana Perween</t>
  </si>
  <si>
    <t>JH05BX7908</t>
  </si>
  <si>
    <t>OG-21-2408-1806-00006128</t>
  </si>
  <si>
    <t>TIKA RAM MURMU</t>
  </si>
  <si>
    <t>JH05AU7484</t>
  </si>
  <si>
    <t>OG-21-2408-1806-00006133</t>
  </si>
  <si>
    <t>Saroj Kundu</t>
  </si>
  <si>
    <t>DIO</t>
  </si>
  <si>
    <t>JH05AW6843</t>
  </si>
  <si>
    <t>RABINDRA NATH SINGH</t>
  </si>
  <si>
    <t>JH05BD4556</t>
  </si>
  <si>
    <t>OG-21-2408-1806-00006214</t>
  </si>
  <si>
    <t>rcvd=-B</t>
  </si>
  <si>
    <t>to rcvd</t>
  </si>
  <si>
    <t>Noushine Fatama</t>
  </si>
  <si>
    <t>twoGL</t>
  </si>
  <si>
    <t>renuew</t>
  </si>
  <si>
    <t>Shahid Perwez</t>
  </si>
  <si>
    <t>Maheshwar Das</t>
  </si>
  <si>
    <t>Sharique Raza Anwar</t>
  </si>
  <si>
    <t>Rina Devi</t>
  </si>
  <si>
    <t>OG-21-2408-1806-00006300</t>
  </si>
  <si>
    <t>FAIZYAB HUSSAIN</t>
  </si>
  <si>
    <t>cb unicorn</t>
  </si>
  <si>
    <t>JH05AX7829</t>
  </si>
  <si>
    <t>KAKOLI SARKAR</t>
  </si>
  <si>
    <t>JH05BZ4892</t>
  </si>
  <si>
    <t>OG-21-2408-1806-00006318</t>
  </si>
  <si>
    <t>Dipika Dipika Baghel</t>
  </si>
  <si>
    <t>honda amaze</t>
  </si>
  <si>
    <t>JH05BL1558</t>
  </si>
  <si>
    <t>G N Parida</t>
  </si>
  <si>
    <t>SURENDRA SINGH YADAV</t>
  </si>
  <si>
    <t>OG-21-2408-1805-00000955</t>
  </si>
  <si>
    <t>OG-21-2408-1802-00001498</t>
  </si>
  <si>
    <t>Ashish Kanti Biswal</t>
  </si>
  <si>
    <t>JH05BY3096</t>
  </si>
  <si>
    <t>dream yuga</t>
  </si>
  <si>
    <t>aviator</t>
  </si>
  <si>
    <t>Papa</t>
  </si>
  <si>
    <t>Anjani Devi</t>
  </si>
  <si>
    <t>Deven Munda</t>
  </si>
  <si>
    <t>Shwetamberr Kumar</t>
  </si>
  <si>
    <t>RC Trasfer</t>
  </si>
  <si>
    <t>Neena Sharma</t>
  </si>
  <si>
    <t>Bhavna</t>
  </si>
  <si>
    <t>Katapadi Gopi Krishna Rao</t>
  </si>
  <si>
    <t>Ram Chandra Pandey</t>
  </si>
  <si>
    <t>OG-21-2408-1802-00001499</t>
  </si>
  <si>
    <t>OG-21-2408-1806-00006516</t>
  </si>
  <si>
    <t>Shobha Sharma</t>
  </si>
  <si>
    <t>Sujay Kumar mahato</t>
  </si>
  <si>
    <t>Anshu Kumari</t>
  </si>
  <si>
    <t>Laxmi Saha</t>
  </si>
  <si>
    <t>JH05AR0758</t>
  </si>
  <si>
    <t>RAVINDRA NATH MAHATO</t>
  </si>
  <si>
    <t>OG-21-2408-1806-00007219</t>
  </si>
  <si>
    <t>cd delux</t>
  </si>
  <si>
    <t>JH05AF7811</t>
  </si>
  <si>
    <t>echo</t>
  </si>
  <si>
    <t>OG-21-2408-1805-00001041</t>
  </si>
  <si>
    <t>JH05BA6540</t>
  </si>
  <si>
    <t>magma</t>
  </si>
  <si>
    <t>OG-21-2408-1805-00001043</t>
  </si>
  <si>
    <t>SATENDRA NARAYAN SINGH</t>
  </si>
  <si>
    <t>JH05Q5629</t>
  </si>
  <si>
    <t>OG-21-2408-1806-00007230</t>
  </si>
  <si>
    <t>Manik Lohar</t>
  </si>
  <si>
    <t>JH05V3024</t>
  </si>
  <si>
    <t>OG-21-2408-1806-00007231</t>
  </si>
  <si>
    <t>PERWEEN BOBBY</t>
  </si>
  <si>
    <t>JH05BT2037</t>
  </si>
  <si>
    <t>OG-21-2408-1806-00007267</t>
  </si>
  <si>
    <t>BHUMIKA MAHATO</t>
  </si>
  <si>
    <t>JH05AW441</t>
  </si>
  <si>
    <t>OG-21-2408-1806-00007121</t>
  </si>
  <si>
    <t>LAKHI CHARAN SINGH</t>
  </si>
  <si>
    <t>JH05L0305</t>
  </si>
  <si>
    <t>Star City</t>
  </si>
  <si>
    <t>OG-21-2408-1806-00007342</t>
  </si>
  <si>
    <t>reewal</t>
  </si>
  <si>
    <t>mobile</t>
  </si>
  <si>
    <t>(9204221901,9204311494)6200266828</t>
  </si>
  <si>
    <t>C Status</t>
  </si>
  <si>
    <t>doc diven for LL</t>
  </si>
  <si>
    <t>given for scrutni</t>
  </si>
  <si>
    <t>given for LL</t>
  </si>
  <si>
    <t>12-03-2021 given to tpn</t>
  </si>
  <si>
    <t>Laxmi Hansdah</t>
  </si>
  <si>
    <t>MCWOG</t>
  </si>
  <si>
    <t>OG-21-2408-1806-00006814</t>
  </si>
  <si>
    <t>OG-21-2408-1806-00006855</t>
  </si>
  <si>
    <t>OG-21-2408-1806-00006898</t>
  </si>
  <si>
    <t>OG-21-2408-1806-00006893</t>
  </si>
  <si>
    <t>OG-21-2408-1806-00006891</t>
  </si>
  <si>
    <t>OG-21-2408-1806-00006982</t>
  </si>
  <si>
    <t>OG-21-2408-1806-00006962</t>
  </si>
  <si>
    <t>OG-21-2408-1806-00007019</t>
  </si>
  <si>
    <t>OG-21-2408-1806-00007013</t>
  </si>
  <si>
    <t>OG-21-2408-1806-00007033</t>
  </si>
  <si>
    <t>OG-21-2408-1806-00007024</t>
  </si>
  <si>
    <t>OG-21-2408-1806-00007293</t>
  </si>
  <si>
    <t>OG-21-2408-1806-00007340</t>
  </si>
  <si>
    <t>OG-21-2408-1806-00007460</t>
  </si>
  <si>
    <t>OG-21-2408-1826-00003162</t>
  </si>
  <si>
    <t>OG-21-2408-1806-00007574</t>
  </si>
  <si>
    <t>Kalicharan Mandal</t>
  </si>
  <si>
    <t>JH05BY9611</t>
  </si>
  <si>
    <t>OG-21-2408-1806-00007590</t>
  </si>
  <si>
    <t>MCWG</t>
  </si>
  <si>
    <t>CARD RECVD</t>
  </si>
  <si>
    <t>Rajesh Tantubai</t>
  </si>
  <si>
    <t>Ram Prasad Sahu</t>
  </si>
  <si>
    <t>DL appont 15-03-21</t>
  </si>
  <si>
    <t>learning rcvd</t>
  </si>
  <si>
    <t>Photo done</t>
  </si>
  <si>
    <t>Chel@2021</t>
  </si>
  <si>
    <t>ushaelectricals21@gmail.com</t>
  </si>
  <si>
    <t>Usha@2021</t>
  </si>
  <si>
    <t>sujitkumarchel2233@gmail.com</t>
  </si>
  <si>
    <t>UOW21030801624</t>
  </si>
  <si>
    <t>Rajiv halder</t>
  </si>
  <si>
    <t>given for LL-12-03-2021</t>
  </si>
  <si>
    <t>12-03-2021 given for LL</t>
  </si>
  <si>
    <t>Ayush Sinha</t>
  </si>
  <si>
    <t>prakashfootwaretelco@gmail.com</t>
  </si>
  <si>
    <t>OG-21-2408-1806-00008212</t>
  </si>
  <si>
    <t>JOYANTA CHAKRABORTY</t>
  </si>
  <si>
    <t>JH05AH4269</t>
  </si>
  <si>
    <t>rknewhairdresses@gmail.com</t>
  </si>
  <si>
    <t>30-04-2021 LL</t>
  </si>
  <si>
    <t>Naresh Kumar Tanti</t>
  </si>
  <si>
    <t>Sanjay Pandey</t>
  </si>
  <si>
    <t>md tamim</t>
  </si>
  <si>
    <t>Tushar Sharma</t>
  </si>
  <si>
    <t>Vaibhav Mishra</t>
  </si>
  <si>
    <t>Rakesh Gope</t>
  </si>
  <si>
    <t>Subal Chandra Paul</t>
  </si>
  <si>
    <t>Yadavilli Rama Murty</t>
  </si>
  <si>
    <t>Krishna Kumar</t>
  </si>
  <si>
    <t>Vikash Kumar Singh</t>
  </si>
  <si>
    <t>Sarajit Chaki</t>
  </si>
  <si>
    <t>Joyraj Paul</t>
  </si>
  <si>
    <t>Mani Kant</t>
  </si>
  <si>
    <t>Shankhanil Basu</t>
  </si>
  <si>
    <t>09-0-1964</t>
  </si>
  <si>
    <t>Shyam Kumar Singh</t>
  </si>
  <si>
    <t>Dhiraj Kr srivastava</t>
  </si>
  <si>
    <t>given for main</t>
  </si>
  <si>
    <t>kumarr06622@gmail.com</t>
  </si>
  <si>
    <t>M K Traders</t>
  </si>
  <si>
    <t>AEIPS6517E</t>
  </si>
  <si>
    <t>Jerome Stephen</t>
  </si>
  <si>
    <t>ASWPB4065E</t>
  </si>
  <si>
    <t>p BHAKAT</t>
  </si>
  <si>
    <t>bHAKAT@2021</t>
  </si>
  <si>
    <t>Praveen Sharma</t>
  </si>
  <si>
    <t>2to 4</t>
  </si>
  <si>
    <t>Nurul Hakim</t>
  </si>
  <si>
    <t>Priyanshu Mishra</t>
  </si>
  <si>
    <t>Jerome@1954</t>
  </si>
  <si>
    <t>30-0-1954</t>
  </si>
  <si>
    <t>Singh@1973</t>
  </si>
  <si>
    <t>BKSPS0670R</t>
  </si>
  <si>
    <t>Upendra Singh</t>
  </si>
  <si>
    <t>BXQPK1484C</t>
  </si>
  <si>
    <t>Gauam Kumar</t>
  </si>
  <si>
    <t>Gautam@2021</t>
  </si>
  <si>
    <t>Ranjit Kumar Mahato</t>
  </si>
  <si>
    <t>refunded 1400</t>
  </si>
  <si>
    <t>Mahato@2021</t>
  </si>
  <si>
    <t>AKCPD6628F</t>
  </si>
  <si>
    <t>Amal@1965</t>
  </si>
  <si>
    <t>Amal Kumar Das</t>
  </si>
  <si>
    <t>AKRPM0321M</t>
  </si>
  <si>
    <t>BIWPS5227E</t>
  </si>
  <si>
    <t>Singh@1981</t>
  </si>
  <si>
    <t>deliverd</t>
  </si>
  <si>
    <t>Bhavya Tiwary</t>
  </si>
  <si>
    <t>Rishav Mishra</t>
  </si>
  <si>
    <t>Bageshwar Tiwari</t>
  </si>
  <si>
    <t>Tiwari@1951</t>
  </si>
  <si>
    <t>AHYPD1473F</t>
  </si>
  <si>
    <t>Subhadeep Das</t>
  </si>
  <si>
    <t>Deep@1975</t>
  </si>
  <si>
    <t>ANQPJ9827R</t>
  </si>
  <si>
    <t>Birendra Kumar Jha</t>
  </si>
  <si>
    <t>Kumar@1970</t>
  </si>
  <si>
    <t>AHEPT4864C</t>
  </si>
  <si>
    <t>Sujoy Panda</t>
  </si>
  <si>
    <t>Mangal Gope</t>
  </si>
  <si>
    <t>Bijay Kumar Singh</t>
  </si>
  <si>
    <t>CCIPD1992E</t>
  </si>
  <si>
    <t>Abhijit Das</t>
  </si>
  <si>
    <t>Abhijit@1996</t>
  </si>
  <si>
    <t>Bishwajeet Dhibar</t>
  </si>
  <si>
    <t>Ashish Raj Singh</t>
  </si>
  <si>
    <t>Lost</t>
  </si>
  <si>
    <t>Sanjeeb Kumar Mahanty</t>
  </si>
  <si>
    <t>lost</t>
  </si>
  <si>
    <t>2 to 4</t>
  </si>
  <si>
    <t>mani Kant</t>
  </si>
  <si>
    <t>ABUPM5565H</t>
  </si>
  <si>
    <t>Mani@1971</t>
  </si>
  <si>
    <t>given for main DL</t>
  </si>
  <si>
    <t>????????</t>
  </si>
  <si>
    <t xml:space="preserve"> AGEPM2659P</t>
  </si>
  <si>
    <t>Jitendra nath Mahato</t>
  </si>
  <si>
    <t>Nath@1973</t>
  </si>
  <si>
    <t>AEIPS3362M</t>
  </si>
  <si>
    <t>Harinder Singh</t>
  </si>
  <si>
    <t>Singh@2021</t>
  </si>
  <si>
    <t>Bhrigu Nath Sharma</t>
  </si>
  <si>
    <t>SFML-04-10-21</t>
  </si>
  <si>
    <t>SENT</t>
  </si>
  <si>
    <t>re</t>
  </si>
  <si>
    <t>Md Sadiq Hussain</t>
  </si>
  <si>
    <t>BBTPG1518E</t>
  </si>
  <si>
    <t>Sujata@1988</t>
  </si>
  <si>
    <t>Sujata Gorai</t>
  </si>
  <si>
    <t>Monisha Singh</t>
  </si>
  <si>
    <t>photodone handed to tpn</t>
  </si>
  <si>
    <t>Kumar Shubham</t>
  </si>
  <si>
    <t>given for final(14-10-21)</t>
  </si>
  <si>
    <t>photo done given for LL</t>
  </si>
  <si>
    <t>Tata Sandep</t>
  </si>
  <si>
    <t>full paid ye to main 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</si>
</sst>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dd\-mm\-yyyy"/>
  </numFmts>
  <fonts count="36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mbria"/>
      <family val="1"/>
      <scheme val="major"/>
    </font>
    <font>
      <b/>
      <sz val="14"/>
      <color rgb="FF00B050"/>
      <name val="Cambria"/>
      <family val="1"/>
      <scheme val="major"/>
    </font>
    <font>
      <sz val="11"/>
      <color rgb="FF00B0F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35B95"/>
      <name val="AllianzB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4"/>
      <name val="Calibri"/>
      <family val="2"/>
      <scheme val="minor"/>
    </font>
    <font>
      <b/>
      <sz val="14"/>
      <color rgb="FF000000"/>
      <name val="Arial"/>
      <family val="2"/>
    </font>
    <font>
      <b/>
      <u/>
      <sz val="14"/>
      <color rgb="FF00B050"/>
      <name val="Calibri"/>
      <family val="2"/>
      <scheme val="minor"/>
    </font>
    <font>
      <b/>
      <sz val="14"/>
      <color rgb="FF00B050"/>
      <name val="Arial"/>
      <family val="2"/>
    </font>
    <font>
      <b/>
      <sz val="11"/>
      <color rgb="FF000000"/>
      <name val="Arial"/>
      <family val="2"/>
    </font>
    <font>
      <sz val="14"/>
      <color rgb="FF00B050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sz val="11"/>
      <color rgb="FF00B050"/>
      <name val="Arial"/>
      <family val="2"/>
    </font>
    <font>
      <b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/>
    <xf numFmtId="0" fontId="5" fillId="0" borderId="0" xfId="1"/>
    <xf numFmtId="20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1" fontId="0" fillId="5" borderId="0" xfId="0" applyNumberFormat="1" applyFill="1"/>
    <xf numFmtId="1" fontId="0" fillId="0" borderId="0" xfId="0" applyNumberFormat="1" applyAlignment="1">
      <alignment horizontal="left"/>
    </xf>
    <xf numFmtId="14" fontId="0" fillId="4" borderId="0" xfId="0" applyNumberFormat="1" applyFill="1"/>
    <xf numFmtId="14" fontId="4" fillId="0" borderId="0" xfId="0" applyNumberFormat="1" applyFont="1"/>
    <xf numFmtId="0" fontId="9" fillId="0" borderId="0" xfId="0" applyFont="1"/>
    <xf numFmtId="1" fontId="10" fillId="0" borderId="1" xfId="0" applyNumberFormat="1" applyFont="1" applyBorder="1" applyAlignment="1">
      <alignment horizontal="right"/>
    </xf>
    <xf numFmtId="0" fontId="11" fillId="0" borderId="1" xfId="0" applyFont="1" applyBorder="1"/>
    <xf numFmtId="1" fontId="10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4" fillId="0" borderId="0" xfId="0" applyNumberFormat="1" applyFont="1"/>
    <xf numFmtId="0" fontId="12" fillId="0" borderId="0" xfId="0" applyFont="1"/>
    <xf numFmtId="14" fontId="0" fillId="0" borderId="0" xfId="0" applyNumberFormat="1" applyAlignment="1">
      <alignment horizontal="center"/>
    </xf>
    <xf numFmtId="0" fontId="13" fillId="0" borderId="0" xfId="0" applyFont="1" applyAlignment="1">
      <alignment horizontal="left"/>
    </xf>
    <xf numFmtId="1" fontId="0" fillId="4" borderId="0" xfId="0" applyNumberFormat="1" applyFill="1" applyAlignment="1">
      <alignment horizontal="right"/>
    </xf>
    <xf numFmtId="1" fontId="0" fillId="4" borderId="0" xfId="0" applyNumberFormat="1" applyFill="1"/>
    <xf numFmtId="0" fontId="8" fillId="5" borderId="0" xfId="0" applyFont="1" applyFill="1"/>
    <xf numFmtId="0" fontId="8" fillId="5" borderId="0" xfId="0" applyFont="1" applyFill="1" applyAlignment="1">
      <alignment horizontal="center"/>
    </xf>
    <xf numFmtId="1" fontId="14" fillId="5" borderId="0" xfId="0" applyNumberFormat="1" applyFont="1" applyFill="1" applyAlignment="1">
      <alignment horizontal="center"/>
    </xf>
    <xf numFmtId="1" fontId="15" fillId="5" borderId="0" xfId="0" applyNumberFormat="1" applyFont="1" applyFill="1" applyAlignment="1">
      <alignment horizontal="center"/>
    </xf>
    <xf numFmtId="0" fontId="16" fillId="0" borderId="0" xfId="0" applyFont="1"/>
    <xf numFmtId="1" fontId="3" fillId="0" borderId="0" xfId="0" applyNumberFormat="1" applyFont="1" applyAlignment="1">
      <alignment horizontal="right"/>
    </xf>
    <xf numFmtId="1" fontId="0" fillId="5" borderId="0" xfId="0" applyNumberFormat="1" applyFill="1" applyAlignment="1">
      <alignment horizontal="right"/>
    </xf>
    <xf numFmtId="1" fontId="10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center" wrapText="1"/>
    </xf>
    <xf numFmtId="0" fontId="18" fillId="0" borderId="0" xfId="0" applyFont="1"/>
    <xf numFmtId="0" fontId="20" fillId="0" borderId="0" xfId="0" applyFont="1" applyAlignment="1">
      <alignment horizontal="left"/>
    </xf>
    <xf numFmtId="14" fontId="18" fillId="0" borderId="0" xfId="0" applyNumberFormat="1" applyFont="1" applyAlignment="1">
      <alignment horizontal="right"/>
    </xf>
    <xf numFmtId="14" fontId="18" fillId="0" borderId="0" xfId="0" applyNumberFormat="1" applyFont="1"/>
    <xf numFmtId="0" fontId="21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14" fontId="18" fillId="4" borderId="0" xfId="0" applyNumberFormat="1" applyFont="1" applyFill="1"/>
    <xf numFmtId="14" fontId="22" fillId="0" borderId="0" xfId="0" applyNumberFormat="1" applyFont="1"/>
    <xf numFmtId="0" fontId="20" fillId="0" borderId="0" xfId="0" applyFont="1"/>
    <xf numFmtId="0" fontId="23" fillId="0" borderId="0" xfId="0" applyFont="1"/>
    <xf numFmtId="14" fontId="23" fillId="0" borderId="0" xfId="0" applyNumberFormat="1" applyFont="1" applyAlignment="1">
      <alignment horizontal="right"/>
    </xf>
    <xf numFmtId="14" fontId="23" fillId="0" borderId="0" xfId="0" applyNumberFormat="1" applyFont="1"/>
    <xf numFmtId="14" fontId="20" fillId="0" borderId="0" xfId="0" applyNumberFormat="1" applyFont="1" applyAlignment="1">
      <alignment horizontal="left"/>
    </xf>
    <xf numFmtId="0" fontId="24" fillId="0" borderId="0" xfId="1" applyFont="1"/>
    <xf numFmtId="0" fontId="23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0" fontId="19" fillId="0" borderId="0" xfId="0" applyFont="1"/>
    <xf numFmtId="0" fontId="25" fillId="0" borderId="0" xfId="1" applyFont="1"/>
    <xf numFmtId="14" fontId="19" fillId="0" borderId="0" xfId="0" applyNumberFormat="1" applyFont="1"/>
    <xf numFmtId="14" fontId="20" fillId="0" borderId="0" xfId="0" applyNumberFormat="1" applyFont="1"/>
    <xf numFmtId="0" fontId="27" fillId="0" borderId="0" xfId="1" applyFont="1"/>
    <xf numFmtId="0" fontId="28" fillId="0" borderId="0" xfId="0" applyFont="1"/>
    <xf numFmtId="1" fontId="23" fillId="0" borderId="0" xfId="0" applyNumberFormat="1" applyFont="1"/>
    <xf numFmtId="0" fontId="0" fillId="5" borderId="0" xfId="0" applyFill="1" applyAlignment="1">
      <alignment horizontal="center"/>
    </xf>
    <xf numFmtId="0" fontId="29" fillId="0" borderId="0" xfId="0" applyFont="1"/>
    <xf numFmtId="14" fontId="30" fillId="0" borderId="0" xfId="0" applyNumberFormat="1" applyFont="1" applyAlignment="1">
      <alignment horizontal="right"/>
    </xf>
    <xf numFmtId="14" fontId="30" fillId="0" borderId="0" xfId="0" applyNumberFormat="1" applyFont="1"/>
    <xf numFmtId="0" fontId="30" fillId="0" borderId="0" xfId="0" applyFont="1"/>
    <xf numFmtId="14" fontId="23" fillId="0" borderId="0" xfId="0" applyNumberFormat="1" applyFont="1" applyAlignment="1">
      <alignment horizontal="left"/>
    </xf>
    <xf numFmtId="0" fontId="32" fillId="0" borderId="0" xfId="0" applyFont="1" applyAlignment="1">
      <alignment horizontal="right" vertical="center" wrapText="1"/>
    </xf>
    <xf numFmtId="1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31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4" fontId="21" fillId="0" borderId="0" xfId="0" applyNumberFormat="1" applyFont="1" applyAlignment="1">
      <alignment horizontal="right" wrapText="1"/>
    </xf>
    <xf numFmtId="0" fontId="21" fillId="0" borderId="0" xfId="0" applyFont="1" applyAlignment="1">
      <alignment horizontal="center" wrapText="1"/>
    </xf>
    <xf numFmtId="14" fontId="21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14" fontId="21" fillId="0" borderId="0" xfId="0" applyNumberFormat="1" applyFont="1" applyAlignment="1">
      <alignment horizontal="center" wrapText="1"/>
    </xf>
    <xf numFmtId="14" fontId="33" fillId="0" borderId="0" xfId="0" applyNumberFormat="1" applyFont="1" applyAlignment="1">
      <alignment horizontal="left"/>
    </xf>
    <xf numFmtId="0" fontId="32" fillId="0" borderId="0" xfId="0" applyFont="1" applyAlignment="1">
      <alignment horizontal="center" vertical="center" wrapText="1"/>
    </xf>
    <xf numFmtId="0" fontId="32" fillId="0" borderId="0" xfId="0" applyFont="1"/>
    <xf numFmtId="14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34" fillId="0" borderId="0" xfId="1" applyFont="1"/>
    <xf numFmtId="0" fontId="21" fillId="0" borderId="0" xfId="0" applyFont="1" applyAlignment="1">
      <alignment horizontal="center"/>
    </xf>
    <xf numFmtId="14" fontId="30" fillId="0" borderId="0" xfId="0" applyNumberFormat="1" applyFont="1" applyAlignment="1">
      <alignment horizontal="left"/>
    </xf>
    <xf numFmtId="0" fontId="33" fillId="0" borderId="0" xfId="0" applyFont="1" applyAlignment="1">
      <alignment horizontal="right"/>
    </xf>
    <xf numFmtId="0" fontId="33" fillId="0" borderId="0" xfId="0" applyFont="1"/>
    <xf numFmtId="0" fontId="33" fillId="0" borderId="0" xfId="0" applyFont="1" applyAlignment="1">
      <alignment horizontal="center"/>
    </xf>
    <xf numFmtId="14" fontId="33" fillId="0" borderId="0" xfId="0" applyNumberFormat="1" applyFont="1"/>
    <xf numFmtId="0" fontId="18" fillId="4" borderId="0" xfId="0" applyFont="1" applyFill="1"/>
    <xf numFmtId="0" fontId="19" fillId="4" borderId="0" xfId="0" applyFont="1" applyFill="1"/>
    <xf numFmtId="14" fontId="19" fillId="0" borderId="0" xfId="0" applyNumberFormat="1" applyFont="1" applyAlignment="1">
      <alignment horizontal="right"/>
    </xf>
    <xf numFmtId="0" fontId="32" fillId="0" borderId="0" xfId="0" applyFont="1" applyAlignment="1">
      <alignment horizontal="left" vertical="center" wrapText="1"/>
    </xf>
    <xf numFmtId="0" fontId="3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b/>
        <i val="0"/>
        <color rgb="FF00B050"/>
      </font>
    </dxf>
    <dxf>
      <font>
        <b/>
        <i val="0"/>
        <color rgb="FF00B050"/>
      </font>
    </dxf>
    <dxf>
      <font>
        <b/>
        <i/>
        <strike val="0"/>
        <color rgb="FF00B050"/>
      </font>
    </dxf>
    <dxf>
      <font>
        <b/>
        <i/>
        <strike val="0"/>
        <color rgb="FF00B050"/>
      </font>
    </dxf>
    <dxf>
      <font>
        <b/>
        <i/>
        <strike val="0"/>
        <color rgb="FF00B050"/>
      </font>
    </dxf>
    <dxf>
      <font>
        <b/>
        <i/>
        <strike val="0"/>
        <color rgb="FF00B050"/>
      </font>
    </dxf>
    <dxf>
      <font>
        <b/>
        <i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5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20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kht@r1953" TargetMode="External"/><Relationship Id="rId13" Type="http://schemas.openxmlformats.org/officeDocument/2006/relationships/hyperlink" Target="mailto:Shy@mal75" TargetMode="External"/><Relationship Id="rId18" Type="http://schemas.openxmlformats.org/officeDocument/2006/relationships/hyperlink" Target="mailto:R@njeet78" TargetMode="External"/><Relationship Id="rId26" Type="http://schemas.openxmlformats.org/officeDocument/2006/relationships/hyperlink" Target="mailto:Zia@alam80" TargetMode="External"/><Relationship Id="rId39" Type="http://schemas.openxmlformats.org/officeDocument/2006/relationships/hyperlink" Target="mailto:Munna@1963" TargetMode="External"/><Relationship Id="rId3" Type="http://schemas.openxmlformats.org/officeDocument/2006/relationships/printerSettings" Target="../printerSettings/printerSettings29.bin"/><Relationship Id="rId21" Type="http://schemas.openxmlformats.org/officeDocument/2006/relationships/hyperlink" Target="mailto:Sunita@82" TargetMode="External"/><Relationship Id="rId34" Type="http://schemas.openxmlformats.org/officeDocument/2006/relationships/hyperlink" Target="mailto:mYPASS@95" TargetMode="External"/><Relationship Id="rId42" Type="http://schemas.openxmlformats.org/officeDocument/2006/relationships/hyperlink" Target="mailto:R@jesh1976" TargetMode="External"/><Relationship Id="rId7" Type="http://schemas.openxmlformats.org/officeDocument/2006/relationships/hyperlink" Target="mailto:M@noj17a" TargetMode="External"/><Relationship Id="rId12" Type="http://schemas.openxmlformats.org/officeDocument/2006/relationships/hyperlink" Target="mailto:M@notosh42" TargetMode="External"/><Relationship Id="rId17" Type="http://schemas.openxmlformats.org/officeDocument/2006/relationships/hyperlink" Target="mailto:Shobh@53" TargetMode="External"/><Relationship Id="rId25" Type="http://schemas.openxmlformats.org/officeDocument/2006/relationships/hyperlink" Target="mailto:Muthusamy@89" TargetMode="External"/><Relationship Id="rId33" Type="http://schemas.openxmlformats.org/officeDocument/2006/relationships/hyperlink" Target="mailto:M@hato77" TargetMode="External"/><Relationship Id="rId38" Type="http://schemas.openxmlformats.org/officeDocument/2006/relationships/hyperlink" Target="mailto:Bani@1965" TargetMode="External"/><Relationship Id="rId46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28.bin"/><Relationship Id="rId16" Type="http://schemas.openxmlformats.org/officeDocument/2006/relationships/hyperlink" Target="mailto:S@ndeep96" TargetMode="External"/><Relationship Id="rId20" Type="http://schemas.openxmlformats.org/officeDocument/2006/relationships/hyperlink" Target="mailto:Bipin@78" TargetMode="External"/><Relationship Id="rId29" Type="http://schemas.openxmlformats.org/officeDocument/2006/relationships/hyperlink" Target="mailto:Durga@1992" TargetMode="External"/><Relationship Id="rId41" Type="http://schemas.openxmlformats.org/officeDocument/2006/relationships/hyperlink" Target="mailto:Bahadur@20" TargetMode="External"/><Relationship Id="rId1" Type="http://schemas.openxmlformats.org/officeDocument/2006/relationships/printerSettings" Target="../printerSettings/printerSettings27.bin"/><Relationship Id="rId6" Type="http://schemas.openxmlformats.org/officeDocument/2006/relationships/hyperlink" Target="mailto:S@tyam90" TargetMode="External"/><Relationship Id="rId11" Type="http://schemas.openxmlformats.org/officeDocument/2006/relationships/hyperlink" Target="mailto:Sh@nta56" TargetMode="External"/><Relationship Id="rId24" Type="http://schemas.openxmlformats.org/officeDocument/2006/relationships/hyperlink" Target="mailto:Kakoli@60" TargetMode="External"/><Relationship Id="rId32" Type="http://schemas.openxmlformats.org/officeDocument/2006/relationships/hyperlink" Target="mailto:P@nkaj1978" TargetMode="External"/><Relationship Id="rId37" Type="http://schemas.openxmlformats.org/officeDocument/2006/relationships/hyperlink" Target="mailto:nadim@1976" TargetMode="External"/><Relationship Id="rId40" Type="http://schemas.openxmlformats.org/officeDocument/2006/relationships/hyperlink" Target="mailto:kHAN@1980" TargetMode="External"/><Relationship Id="rId45" Type="http://schemas.openxmlformats.org/officeDocument/2006/relationships/hyperlink" Target="mailto:Hussain@20" TargetMode="External"/><Relationship Id="rId5" Type="http://schemas.openxmlformats.org/officeDocument/2006/relationships/printerSettings" Target="../printerSettings/printerSettings31.bin"/><Relationship Id="rId15" Type="http://schemas.openxmlformats.org/officeDocument/2006/relationships/hyperlink" Target="mailto:Suresh@50" TargetMode="External"/><Relationship Id="rId23" Type="http://schemas.openxmlformats.org/officeDocument/2006/relationships/hyperlink" Target="mailto:Saroj@1960" TargetMode="External"/><Relationship Id="rId28" Type="http://schemas.openxmlformats.org/officeDocument/2006/relationships/hyperlink" Target="mailto:Kalyani@61" TargetMode="External"/><Relationship Id="rId36" Type="http://schemas.openxmlformats.org/officeDocument/2006/relationships/hyperlink" Target="mailto:Binod@91" TargetMode="External"/><Relationship Id="rId10" Type="http://schemas.openxmlformats.org/officeDocument/2006/relationships/hyperlink" Target="mailto:Pritp@l62" TargetMode="External"/><Relationship Id="rId19" Type="http://schemas.openxmlformats.org/officeDocument/2006/relationships/hyperlink" Target="mailto:Min@1964" TargetMode="External"/><Relationship Id="rId31" Type="http://schemas.openxmlformats.org/officeDocument/2006/relationships/hyperlink" Target="mailto:Uday@1971" TargetMode="External"/><Relationship Id="rId44" Type="http://schemas.openxmlformats.org/officeDocument/2006/relationships/hyperlink" Target="mailto:Punit@1992" TargetMode="External"/><Relationship Id="rId4" Type="http://schemas.openxmlformats.org/officeDocument/2006/relationships/printerSettings" Target="../printerSettings/printerSettings30.bin"/><Relationship Id="rId9" Type="http://schemas.openxmlformats.org/officeDocument/2006/relationships/hyperlink" Target="mailto:Rudr@1957" TargetMode="External"/><Relationship Id="rId14" Type="http://schemas.openxmlformats.org/officeDocument/2006/relationships/hyperlink" Target="mailto:Sw@gata75" TargetMode="External"/><Relationship Id="rId22" Type="http://schemas.openxmlformats.org/officeDocument/2006/relationships/hyperlink" Target="mailto:Jugal@1951" TargetMode="External"/><Relationship Id="rId27" Type="http://schemas.openxmlformats.org/officeDocument/2006/relationships/hyperlink" Target="mailto:Jogindra@60" TargetMode="External"/><Relationship Id="rId30" Type="http://schemas.openxmlformats.org/officeDocument/2006/relationships/hyperlink" Target="mailto:Binod@1973" TargetMode="External"/><Relationship Id="rId35" Type="http://schemas.openxmlformats.org/officeDocument/2006/relationships/hyperlink" Target="mailto:Sushant@20" TargetMode="External"/><Relationship Id="rId43" Type="http://schemas.openxmlformats.org/officeDocument/2006/relationships/hyperlink" Target="mailto:Bhagat@2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andeepnweb129@gmail.com" TargetMode="External"/><Relationship Id="rId13" Type="http://schemas.openxmlformats.org/officeDocument/2006/relationships/hyperlink" Target="https://sarathi.parivahan.gov.in/sarathiservicecov3/applViewStages.do?applNum=3352360720&amp;dateOfBirth=12-09-1979" TargetMode="External"/><Relationship Id="rId3" Type="http://schemas.openxmlformats.org/officeDocument/2006/relationships/printerSettings" Target="../printerSettings/printerSettings35.bin"/><Relationship Id="rId7" Type="http://schemas.openxmlformats.org/officeDocument/2006/relationships/hyperlink" Target="mailto:sadhannweb@g" TargetMode="External"/><Relationship Id="rId12" Type="http://schemas.openxmlformats.org/officeDocument/2006/relationships/hyperlink" Target="https://sarathi.parivahan.gov.in/sarathiservicecov3/applViewStages.do?applNum=3352316220&amp;dateOfBirth=01-01-1975" TargetMode="External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6" Type="http://schemas.openxmlformats.org/officeDocument/2006/relationships/hyperlink" Target="mailto:swansinweb@" TargetMode="External"/><Relationship Id="rId11" Type="http://schemas.openxmlformats.org/officeDocument/2006/relationships/hyperlink" Target="https://sarathi.parivahan.gov.in/sarathiservicecov28/applViewStages.do?applNum=1083441220&amp;dateOfBirth=10-01-1988" TargetMode="External"/><Relationship Id="rId5" Type="http://schemas.openxmlformats.org/officeDocument/2006/relationships/printerSettings" Target="../printerSettings/printerSettings37.bin"/><Relationship Id="rId10" Type="http://schemas.openxmlformats.org/officeDocument/2006/relationships/hyperlink" Target="https://sarathi.parivahan.gov.in/sarathiservicecov19/applViewStages.do?applNum=3352289120&amp;dateOfBirth=01-12-1994" TargetMode="External"/><Relationship Id="rId4" Type="http://schemas.openxmlformats.org/officeDocument/2006/relationships/printerSettings" Target="../printerSettings/printerSettings36.bin"/><Relationship Id="rId9" Type="http://schemas.openxmlformats.org/officeDocument/2006/relationships/hyperlink" Target="mailto:gurdeetnweb@gmail.com" TargetMode="External"/><Relationship Id="rId14" Type="http://schemas.openxmlformats.org/officeDocument/2006/relationships/printerSettings" Target="../printerSettings/printerSettings3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4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kavitadas001@gmail.com" TargetMode="External"/><Relationship Id="rId13" Type="http://schemas.openxmlformats.org/officeDocument/2006/relationships/hyperlink" Target="mailto:M@dan12345" TargetMode="External"/><Relationship Id="rId18" Type="http://schemas.openxmlformats.org/officeDocument/2006/relationships/hyperlink" Target="mailto:Prasad@2020" TargetMode="External"/><Relationship Id="rId26" Type="http://schemas.openxmlformats.org/officeDocument/2006/relationships/hyperlink" Target="mailto:rknewhairdresses@gmail.com" TargetMode="External"/><Relationship Id="rId3" Type="http://schemas.openxmlformats.org/officeDocument/2006/relationships/printerSettings" Target="../printerSettings/printerSettings45.bin"/><Relationship Id="rId21" Type="http://schemas.openxmlformats.org/officeDocument/2006/relationships/hyperlink" Target="mailto:Chel@2021" TargetMode="External"/><Relationship Id="rId7" Type="http://schemas.openxmlformats.org/officeDocument/2006/relationships/hyperlink" Target="mailto:sunitakumarijsr11@gmail.com" TargetMode="External"/><Relationship Id="rId12" Type="http://schemas.openxmlformats.org/officeDocument/2006/relationships/hyperlink" Target="mailto:madankumar1973.2015@rediffmail.com" TargetMode="External"/><Relationship Id="rId17" Type="http://schemas.openxmlformats.org/officeDocument/2006/relationships/hyperlink" Target="mailto:Gounder@86" TargetMode="External"/><Relationship Id="rId25" Type="http://schemas.openxmlformats.org/officeDocument/2006/relationships/hyperlink" Target="mailto:Mypass@2021" TargetMode="External"/><Relationship Id="rId2" Type="http://schemas.openxmlformats.org/officeDocument/2006/relationships/printerSettings" Target="../printerSettings/printerSettings44.bin"/><Relationship Id="rId16" Type="http://schemas.openxmlformats.org/officeDocument/2006/relationships/hyperlink" Target="mailto:nareshgounder03@gmail.com" TargetMode="External"/><Relationship Id="rId20" Type="http://schemas.openxmlformats.org/officeDocument/2006/relationships/hyperlink" Target="mailto:sujitkumarchel2233@gmail.com" TargetMode="External"/><Relationship Id="rId1" Type="http://schemas.openxmlformats.org/officeDocument/2006/relationships/printerSettings" Target="../printerSettings/printerSettings43.bin"/><Relationship Id="rId6" Type="http://schemas.openxmlformats.org/officeDocument/2006/relationships/hyperlink" Target="mailto:dpjsr0001@rediffmail.com" TargetMode="External"/><Relationship Id="rId11" Type="http://schemas.openxmlformats.org/officeDocument/2006/relationships/hyperlink" Target="mailto:Verma@2020" TargetMode="External"/><Relationship Id="rId24" Type="http://schemas.openxmlformats.org/officeDocument/2006/relationships/hyperlink" Target="mailto:prakashfootwaretelco@gmail.com" TargetMode="External"/><Relationship Id="rId5" Type="http://schemas.openxmlformats.org/officeDocument/2006/relationships/hyperlink" Target="mailto:mamtamannajsr0001@gmail.com" TargetMode="External"/><Relationship Id="rId15" Type="http://schemas.openxmlformats.org/officeDocument/2006/relationships/hyperlink" Target="mailto:weinsindiautilities@gmail.com" TargetMode="External"/><Relationship Id="rId23" Type="http://schemas.openxmlformats.org/officeDocument/2006/relationships/hyperlink" Target="mailto:Usha@2021" TargetMode="External"/><Relationship Id="rId28" Type="http://schemas.openxmlformats.org/officeDocument/2006/relationships/printerSettings" Target="../printerSettings/printerSettings47.bin"/><Relationship Id="rId10" Type="http://schemas.openxmlformats.org/officeDocument/2006/relationships/hyperlink" Target="mailto:svermajsr5@gmail.com" TargetMode="External"/><Relationship Id="rId19" Type="http://schemas.openxmlformats.org/officeDocument/2006/relationships/hyperlink" Target="mailto:bbpdamit@gmail.com" TargetMode="External"/><Relationship Id="rId4" Type="http://schemas.openxmlformats.org/officeDocument/2006/relationships/printerSettings" Target="../printerSettings/printerSettings46.bin"/><Relationship Id="rId9" Type="http://schemas.openxmlformats.org/officeDocument/2006/relationships/hyperlink" Target="mailto:sadiquehussainjsr@gmail.com" TargetMode="External"/><Relationship Id="rId14" Type="http://schemas.openxmlformats.org/officeDocument/2006/relationships/hyperlink" Target="mailto:S@njay2020" TargetMode="External"/><Relationship Id="rId22" Type="http://schemas.openxmlformats.org/officeDocument/2006/relationships/hyperlink" Target="mailto:ushaelectricals21@gmail.com" TargetMode="External"/><Relationship Id="rId27" Type="http://schemas.openxmlformats.org/officeDocument/2006/relationships/hyperlink" Target="mailto:Mypass@202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94"/>
  <sheetViews>
    <sheetView topLeftCell="A356" zoomScaleNormal="100" workbookViewId="0">
      <selection activeCell="H373" sqref="H373"/>
    </sheetView>
  </sheetViews>
  <sheetFormatPr defaultRowHeight="14.4"/>
  <cols>
    <col min="1" max="1" width="10.6640625" style="2" bestFit="1" customWidth="1"/>
    <col min="2" max="2" width="9.109375" style="1" customWidth="1"/>
    <col min="3" max="3" width="35.109375" customWidth="1"/>
    <col min="4" max="4" width="16.109375" customWidth="1"/>
    <col min="5" max="5" width="12" customWidth="1"/>
    <col min="6" max="6" width="11.44140625" customWidth="1"/>
    <col min="7" max="7" width="15.109375" customWidth="1"/>
    <col min="8" max="8" width="12.88671875" customWidth="1"/>
    <col min="9" max="9" width="10.88671875" customWidth="1"/>
    <col min="10" max="10" width="11.5546875" customWidth="1"/>
  </cols>
  <sheetData>
    <row r="1" spans="1:8" s="6" customFormat="1" ht="23.4">
      <c r="A1" s="4"/>
      <c r="B1" s="5"/>
      <c r="C1" s="5" t="s">
        <v>13</v>
      </c>
      <c r="D1" s="5" t="s">
        <v>11</v>
      </c>
      <c r="E1" s="5" t="s">
        <v>12</v>
      </c>
      <c r="G1" s="6" t="s">
        <v>42</v>
      </c>
    </row>
    <row r="2" spans="1:8" s="6" customFormat="1" ht="23.4">
      <c r="A2" s="4"/>
      <c r="B2" s="5" t="s">
        <v>14</v>
      </c>
      <c r="C2" s="6">
        <f>SUMIF($B$352:$B$900,C$1,$D$352:$D$900)</f>
        <v>0</v>
      </c>
      <c r="D2" s="6">
        <f>SUMIF($B$352:$B$900,D$1,$D$352:$D$902)</f>
        <v>13930</v>
      </c>
      <c r="E2" s="6">
        <f>SUMIF($B$352:$B$900,E$1,$D$352:$D$900)</f>
        <v>5580</v>
      </c>
    </row>
    <row r="3" spans="1:8" s="6" customFormat="1" ht="23.4">
      <c r="A3" s="4"/>
      <c r="B3" s="5" t="s">
        <v>15</v>
      </c>
      <c r="C3" s="6">
        <f>SUMIF($B$352:$B$900,C$1,$D$352:$D$900)</f>
        <v>0</v>
      </c>
      <c r="D3" s="6">
        <f>SUMIF($B$352:$B$900,D$1,$E$352:$E$900)</f>
        <v>7905</v>
      </c>
      <c r="E3" s="6">
        <f>SUMIF($B$352:$B$900,E$1,$E$352:$E$900)</f>
        <v>0</v>
      </c>
      <c r="F3" s="6" t="s">
        <v>66</v>
      </c>
      <c r="G3" s="6" t="s">
        <v>6</v>
      </c>
      <c r="H3" s="6" t="s">
        <v>4</v>
      </c>
    </row>
    <row r="4" spans="1:8" s="6" customFormat="1" ht="23.4">
      <c r="A4" s="4"/>
      <c r="B4" s="5" t="s">
        <v>16</v>
      </c>
      <c r="C4" s="6">
        <f>C2-C3</f>
        <v>0</v>
      </c>
      <c r="D4" s="6">
        <f>D2-D3</f>
        <v>6025</v>
      </c>
      <c r="E4" s="6">
        <f>E2-E3</f>
        <v>5580</v>
      </c>
      <c r="F4" s="6">
        <f>C4+D4+E4</f>
        <v>11605</v>
      </c>
      <c r="G4" s="6">
        <f ca="1">SUMIF($B$352:$B$9090,G$1,$E$352:$E$9000)</f>
        <v>10000</v>
      </c>
      <c r="H4" s="6">
        <f ca="1">F4-G4</f>
        <v>1605</v>
      </c>
    </row>
    <row r="5" spans="1:8" s="6" customFormat="1" ht="23.4">
      <c r="A5" s="4"/>
      <c r="B5" s="5"/>
      <c r="D5" s="6">
        <f>SUM(D352:D50423)</f>
        <v>22740</v>
      </c>
      <c r="E5" s="6">
        <f>SUM(E352:E50423)</f>
        <v>22255</v>
      </c>
    </row>
    <row r="6" spans="1:8" s="6" customFormat="1" ht="23.4">
      <c r="A6" s="4" t="s">
        <v>2</v>
      </c>
      <c r="B6" s="5" t="s">
        <v>7</v>
      </c>
      <c r="C6" s="6" t="s">
        <v>8</v>
      </c>
      <c r="D6" s="5" t="s">
        <v>9</v>
      </c>
      <c r="E6" s="5" t="s">
        <v>10</v>
      </c>
      <c r="F6" s="5" t="s">
        <v>3</v>
      </c>
      <c r="G6" s="6" t="s">
        <v>6</v>
      </c>
    </row>
    <row r="7" spans="1:8">
      <c r="A7" s="2">
        <v>42491</v>
      </c>
      <c r="C7" t="s">
        <v>21</v>
      </c>
      <c r="F7">
        <v>2700</v>
      </c>
    </row>
    <row r="8" spans="1:8">
      <c r="A8" s="2">
        <v>42491</v>
      </c>
      <c r="B8" s="1" t="s">
        <v>12</v>
      </c>
      <c r="C8" t="s">
        <v>82</v>
      </c>
      <c r="D8">
        <v>330</v>
      </c>
      <c r="F8">
        <f>F7+D8-E8</f>
        <v>3030</v>
      </c>
    </row>
    <row r="9" spans="1:8">
      <c r="A9" s="2">
        <v>42491</v>
      </c>
      <c r="B9" s="1" t="s">
        <v>12</v>
      </c>
      <c r="C9" t="s">
        <v>83</v>
      </c>
      <c r="D9">
        <v>2400</v>
      </c>
      <c r="F9">
        <f t="shared" ref="F9:F82" si="0">F8+D9-E9</f>
        <v>5430</v>
      </c>
    </row>
    <row r="10" spans="1:8">
      <c r="A10" s="2">
        <v>42491</v>
      </c>
      <c r="B10" s="1" t="s">
        <v>12</v>
      </c>
      <c r="C10" t="s">
        <v>84</v>
      </c>
      <c r="D10">
        <v>200</v>
      </c>
      <c r="F10">
        <f t="shared" si="0"/>
        <v>5630</v>
      </c>
    </row>
    <row r="11" spans="1:8">
      <c r="A11" s="2">
        <v>42491</v>
      </c>
      <c r="B11" s="1" t="s">
        <v>12</v>
      </c>
      <c r="C11" t="s">
        <v>85</v>
      </c>
      <c r="D11">
        <v>300</v>
      </c>
      <c r="F11">
        <f t="shared" si="0"/>
        <v>5930</v>
      </c>
    </row>
    <row r="12" spans="1:8">
      <c r="A12" s="2">
        <v>42491</v>
      </c>
      <c r="B12" s="1" t="s">
        <v>12</v>
      </c>
      <c r="C12" t="s">
        <v>86</v>
      </c>
      <c r="D12">
        <v>80</v>
      </c>
      <c r="F12">
        <f t="shared" si="0"/>
        <v>6010</v>
      </c>
    </row>
    <row r="13" spans="1:8">
      <c r="A13" s="2">
        <v>42491</v>
      </c>
      <c r="B13" s="1" t="s">
        <v>13</v>
      </c>
      <c r="C13" t="s">
        <v>5</v>
      </c>
      <c r="E13">
        <v>100</v>
      </c>
      <c r="F13">
        <f t="shared" si="0"/>
        <v>5910</v>
      </c>
    </row>
    <row r="14" spans="1:8">
      <c r="A14" s="2">
        <v>42491</v>
      </c>
      <c r="B14" s="1" t="s">
        <v>11</v>
      </c>
      <c r="C14" t="s">
        <v>27</v>
      </c>
      <c r="D14">
        <v>1300</v>
      </c>
      <c r="F14">
        <f t="shared" si="0"/>
        <v>7210</v>
      </c>
    </row>
    <row r="15" spans="1:8">
      <c r="A15" s="2">
        <v>42492</v>
      </c>
      <c r="B15" s="1" t="s">
        <v>12</v>
      </c>
      <c r="C15" t="s">
        <v>87</v>
      </c>
      <c r="D15">
        <v>600</v>
      </c>
      <c r="F15">
        <f t="shared" si="0"/>
        <v>7810</v>
      </c>
    </row>
    <row r="16" spans="1:8">
      <c r="A16" s="2">
        <v>42492</v>
      </c>
      <c r="B16" s="1" t="s">
        <v>12</v>
      </c>
      <c r="C16" t="s">
        <v>88</v>
      </c>
      <c r="D16">
        <v>280</v>
      </c>
      <c r="F16">
        <f t="shared" si="0"/>
        <v>8090</v>
      </c>
    </row>
    <row r="17" spans="1:6">
      <c r="A17" s="2">
        <v>42492</v>
      </c>
      <c r="B17" s="1" t="s">
        <v>11</v>
      </c>
      <c r="C17" t="s">
        <v>27</v>
      </c>
      <c r="D17">
        <v>1500</v>
      </c>
      <c r="F17">
        <f t="shared" si="0"/>
        <v>9590</v>
      </c>
    </row>
    <row r="18" spans="1:6">
      <c r="A18" s="2">
        <v>42492</v>
      </c>
      <c r="B18" s="1" t="s">
        <v>11</v>
      </c>
      <c r="C18" t="s">
        <v>19</v>
      </c>
      <c r="E18">
        <v>200</v>
      </c>
      <c r="F18">
        <f t="shared" si="0"/>
        <v>9390</v>
      </c>
    </row>
    <row r="19" spans="1:6">
      <c r="A19" s="2">
        <v>42492</v>
      </c>
      <c r="B19" s="1" t="s">
        <v>13</v>
      </c>
      <c r="C19" t="s">
        <v>47</v>
      </c>
      <c r="E19">
        <v>400</v>
      </c>
      <c r="F19">
        <f t="shared" si="0"/>
        <v>8990</v>
      </c>
    </row>
    <row r="20" spans="1:6">
      <c r="A20" s="2">
        <v>42492</v>
      </c>
      <c r="B20" s="1" t="s">
        <v>13</v>
      </c>
      <c r="C20" t="s">
        <v>25</v>
      </c>
      <c r="E20">
        <v>400</v>
      </c>
      <c r="F20">
        <f t="shared" si="0"/>
        <v>8590</v>
      </c>
    </row>
    <row r="21" spans="1:6">
      <c r="A21" s="2">
        <v>42492</v>
      </c>
      <c r="B21" s="1" t="s">
        <v>13</v>
      </c>
      <c r="C21" t="s">
        <v>89</v>
      </c>
      <c r="E21">
        <v>300</v>
      </c>
      <c r="F21">
        <f t="shared" si="0"/>
        <v>8290</v>
      </c>
    </row>
    <row r="22" spans="1:6">
      <c r="A22" s="2">
        <v>42492</v>
      </c>
      <c r="B22" s="1" t="s">
        <v>11</v>
      </c>
      <c r="C22" t="s">
        <v>28</v>
      </c>
      <c r="E22">
        <v>400</v>
      </c>
      <c r="F22">
        <f t="shared" si="0"/>
        <v>7890</v>
      </c>
    </row>
    <row r="23" spans="1:6">
      <c r="A23" s="2">
        <v>42492</v>
      </c>
      <c r="B23" s="1" t="s">
        <v>42</v>
      </c>
      <c r="C23" t="s">
        <v>55</v>
      </c>
      <c r="E23">
        <v>6000</v>
      </c>
      <c r="F23">
        <f t="shared" si="0"/>
        <v>1890</v>
      </c>
    </row>
    <row r="24" spans="1:6">
      <c r="A24" s="2">
        <v>42492</v>
      </c>
      <c r="B24" s="1" t="s">
        <v>12</v>
      </c>
      <c r="C24" t="s">
        <v>92</v>
      </c>
      <c r="D24">
        <v>1450</v>
      </c>
      <c r="F24">
        <f t="shared" si="0"/>
        <v>3340</v>
      </c>
    </row>
    <row r="25" spans="1:6">
      <c r="A25" s="2">
        <v>42493</v>
      </c>
      <c r="B25" s="1" t="s">
        <v>12</v>
      </c>
      <c r="C25" t="s">
        <v>91</v>
      </c>
      <c r="D25">
        <v>100</v>
      </c>
      <c r="F25">
        <f t="shared" si="0"/>
        <v>3440</v>
      </c>
    </row>
    <row r="26" spans="1:6">
      <c r="A26" s="2">
        <v>42493</v>
      </c>
      <c r="B26" s="1" t="s">
        <v>12</v>
      </c>
      <c r="C26" t="s">
        <v>90</v>
      </c>
      <c r="D26">
        <v>100</v>
      </c>
      <c r="F26">
        <f t="shared" si="0"/>
        <v>3540</v>
      </c>
    </row>
    <row r="27" spans="1:6">
      <c r="A27" s="2">
        <v>42493</v>
      </c>
      <c r="B27" s="1" t="s">
        <v>13</v>
      </c>
      <c r="C27" t="s">
        <v>52</v>
      </c>
      <c r="E27">
        <v>100</v>
      </c>
      <c r="F27">
        <f t="shared" si="0"/>
        <v>3440</v>
      </c>
    </row>
    <row r="28" spans="1:6">
      <c r="A28" s="2">
        <v>42493</v>
      </c>
      <c r="B28" s="1" t="s">
        <v>13</v>
      </c>
      <c r="C28" t="s">
        <v>93</v>
      </c>
      <c r="E28">
        <v>100</v>
      </c>
      <c r="F28">
        <f t="shared" si="0"/>
        <v>3340</v>
      </c>
    </row>
    <row r="29" spans="1:6">
      <c r="A29" s="2">
        <v>42493</v>
      </c>
      <c r="B29" s="1" t="s">
        <v>13</v>
      </c>
      <c r="C29" t="s">
        <v>94</v>
      </c>
      <c r="E29">
        <v>130</v>
      </c>
      <c r="F29">
        <f t="shared" si="0"/>
        <v>3210</v>
      </c>
    </row>
    <row r="30" spans="1:6">
      <c r="A30" s="2">
        <v>42493</v>
      </c>
      <c r="B30" s="1" t="s">
        <v>11</v>
      </c>
      <c r="C30" t="s">
        <v>27</v>
      </c>
      <c r="D30">
        <v>700</v>
      </c>
      <c r="F30">
        <f t="shared" si="0"/>
        <v>3910</v>
      </c>
    </row>
    <row r="31" spans="1:6">
      <c r="A31" s="2">
        <v>42494</v>
      </c>
      <c r="B31" s="1" t="s">
        <v>12</v>
      </c>
      <c r="C31" t="s">
        <v>95</v>
      </c>
      <c r="D31">
        <v>550</v>
      </c>
      <c r="F31">
        <f>F30+D31-E31</f>
        <v>4460</v>
      </c>
    </row>
    <row r="32" spans="1:6">
      <c r="A32" s="2">
        <v>42494</v>
      </c>
      <c r="B32" s="1" t="s">
        <v>12</v>
      </c>
      <c r="C32" t="s">
        <v>96</v>
      </c>
      <c r="D32">
        <v>530</v>
      </c>
      <c r="F32">
        <f t="shared" si="0"/>
        <v>4990</v>
      </c>
    </row>
    <row r="33" spans="1:7">
      <c r="A33" s="2">
        <v>42494</v>
      </c>
      <c r="B33" s="1" t="s">
        <v>12</v>
      </c>
      <c r="C33" t="s">
        <v>97</v>
      </c>
      <c r="D33">
        <v>290</v>
      </c>
      <c r="F33">
        <f t="shared" si="0"/>
        <v>5280</v>
      </c>
    </row>
    <row r="34" spans="1:7">
      <c r="A34" s="2">
        <v>42494</v>
      </c>
      <c r="B34" s="1" t="s">
        <v>11</v>
      </c>
      <c r="C34" t="s">
        <v>27</v>
      </c>
      <c r="D34">
        <v>1000</v>
      </c>
      <c r="F34">
        <f t="shared" si="0"/>
        <v>6280</v>
      </c>
    </row>
    <row r="35" spans="1:7">
      <c r="A35" s="2">
        <v>42495</v>
      </c>
      <c r="B35" s="1" t="s">
        <v>12</v>
      </c>
      <c r="C35" t="s">
        <v>100</v>
      </c>
      <c r="D35">
        <v>500</v>
      </c>
      <c r="F35">
        <f t="shared" si="0"/>
        <v>6780</v>
      </c>
    </row>
    <row r="36" spans="1:7">
      <c r="A36" s="2">
        <v>42495</v>
      </c>
      <c r="B36" s="1" t="s">
        <v>13</v>
      </c>
      <c r="C36" t="s">
        <v>98</v>
      </c>
      <c r="E36">
        <v>4000</v>
      </c>
      <c r="F36">
        <f t="shared" si="0"/>
        <v>2780</v>
      </c>
    </row>
    <row r="37" spans="1:7">
      <c r="A37" s="2">
        <v>42495</v>
      </c>
      <c r="B37" s="1" t="s">
        <v>12</v>
      </c>
      <c r="C37" t="s">
        <v>99</v>
      </c>
      <c r="D37">
        <v>350</v>
      </c>
      <c r="F37">
        <f t="shared" si="0"/>
        <v>3130</v>
      </c>
    </row>
    <row r="38" spans="1:7">
      <c r="A38" s="2">
        <v>42495</v>
      </c>
      <c r="B38" s="1" t="s">
        <v>12</v>
      </c>
      <c r="C38" t="s">
        <v>101</v>
      </c>
      <c r="E38">
        <v>200</v>
      </c>
      <c r="F38">
        <f t="shared" si="0"/>
        <v>2930</v>
      </c>
    </row>
    <row r="39" spans="1:7">
      <c r="A39" s="2">
        <v>42495</v>
      </c>
      <c r="B39" s="1" t="s">
        <v>12</v>
      </c>
      <c r="C39" t="s">
        <v>67</v>
      </c>
      <c r="D39">
        <v>250</v>
      </c>
      <c r="F39">
        <f t="shared" si="0"/>
        <v>3180</v>
      </c>
    </row>
    <row r="40" spans="1:7">
      <c r="A40" s="2">
        <v>42495</v>
      </c>
      <c r="B40" s="1" t="s">
        <v>11</v>
      </c>
      <c r="C40" t="s">
        <v>27</v>
      </c>
      <c r="D40">
        <v>1580</v>
      </c>
      <c r="F40">
        <f t="shared" si="0"/>
        <v>4760</v>
      </c>
    </row>
    <row r="41" spans="1:7">
      <c r="A41" s="2">
        <v>42496</v>
      </c>
      <c r="B41" s="1" t="s">
        <v>11</v>
      </c>
      <c r="C41" t="s">
        <v>68</v>
      </c>
      <c r="D41">
        <v>1400</v>
      </c>
      <c r="F41">
        <f t="shared" si="0"/>
        <v>6160</v>
      </c>
    </row>
    <row r="42" spans="1:7">
      <c r="A42" s="2">
        <v>42496</v>
      </c>
      <c r="B42" s="1" t="s">
        <v>42</v>
      </c>
      <c r="C42" t="s">
        <v>55</v>
      </c>
      <c r="E42">
        <v>3500</v>
      </c>
      <c r="F42">
        <f t="shared" si="0"/>
        <v>2660</v>
      </c>
      <c r="G42">
        <f>1300+1000</f>
        <v>2300</v>
      </c>
    </row>
    <row r="43" spans="1:7">
      <c r="A43" s="2">
        <v>42496</v>
      </c>
      <c r="B43" s="1" t="s">
        <v>12</v>
      </c>
      <c r="C43" t="s">
        <v>102</v>
      </c>
      <c r="D43">
        <v>400</v>
      </c>
      <c r="F43">
        <f t="shared" si="0"/>
        <v>3060</v>
      </c>
    </row>
    <row r="44" spans="1:7">
      <c r="A44" s="2">
        <v>42497</v>
      </c>
      <c r="B44" s="1" t="s">
        <v>12</v>
      </c>
      <c r="C44" t="s">
        <v>95</v>
      </c>
      <c r="D44">
        <v>540</v>
      </c>
      <c r="F44">
        <f t="shared" si="0"/>
        <v>3600</v>
      </c>
    </row>
    <row r="45" spans="1:7">
      <c r="A45" s="2">
        <v>42497</v>
      </c>
      <c r="B45" s="1" t="s">
        <v>11</v>
      </c>
      <c r="C45" t="s">
        <v>27</v>
      </c>
      <c r="D45">
        <v>1170</v>
      </c>
      <c r="F45">
        <f t="shared" si="0"/>
        <v>4770</v>
      </c>
    </row>
    <row r="46" spans="1:7">
      <c r="A46" s="2">
        <v>42498</v>
      </c>
      <c r="B46" s="1" t="s">
        <v>12</v>
      </c>
      <c r="C46" t="s">
        <v>103</v>
      </c>
      <c r="D46">
        <v>600</v>
      </c>
      <c r="F46">
        <f t="shared" si="0"/>
        <v>5370</v>
      </c>
    </row>
    <row r="47" spans="1:7">
      <c r="A47" s="2">
        <v>42498</v>
      </c>
      <c r="B47" s="1" t="s">
        <v>12</v>
      </c>
      <c r="C47" t="s">
        <v>104</v>
      </c>
      <c r="D47">
        <v>3300</v>
      </c>
      <c r="F47">
        <f t="shared" si="0"/>
        <v>8670</v>
      </c>
    </row>
    <row r="48" spans="1:7">
      <c r="A48" s="2">
        <v>42498</v>
      </c>
      <c r="B48" s="1" t="s">
        <v>12</v>
      </c>
      <c r="C48" t="s">
        <v>105</v>
      </c>
      <c r="D48">
        <v>50</v>
      </c>
      <c r="F48">
        <f t="shared" si="0"/>
        <v>8720</v>
      </c>
    </row>
    <row r="49" spans="1:6">
      <c r="A49" s="2">
        <v>42498</v>
      </c>
      <c r="B49" s="1" t="s">
        <v>11</v>
      </c>
      <c r="C49" t="s">
        <v>29</v>
      </c>
      <c r="E49">
        <v>100</v>
      </c>
      <c r="F49">
        <f t="shared" si="0"/>
        <v>8620</v>
      </c>
    </row>
    <row r="50" spans="1:6">
      <c r="A50" s="2">
        <v>42498</v>
      </c>
      <c r="B50" s="1" t="s">
        <v>12</v>
      </c>
      <c r="C50" t="s">
        <v>76</v>
      </c>
      <c r="D50">
        <v>1300</v>
      </c>
      <c r="F50">
        <f t="shared" si="0"/>
        <v>9920</v>
      </c>
    </row>
    <row r="51" spans="1:6">
      <c r="A51" s="2">
        <v>42498</v>
      </c>
      <c r="B51" s="1" t="s">
        <v>11</v>
      </c>
      <c r="C51" t="s">
        <v>27</v>
      </c>
      <c r="D51">
        <v>1080</v>
      </c>
      <c r="F51">
        <f t="shared" si="0"/>
        <v>11000</v>
      </c>
    </row>
    <row r="52" spans="1:6">
      <c r="A52" s="2">
        <v>42498</v>
      </c>
      <c r="B52" s="1" t="s">
        <v>11</v>
      </c>
      <c r="C52" t="s">
        <v>106</v>
      </c>
      <c r="E52">
        <v>1650</v>
      </c>
      <c r="F52">
        <f t="shared" si="0"/>
        <v>9350</v>
      </c>
    </row>
    <row r="53" spans="1:6">
      <c r="A53" s="2">
        <v>42499</v>
      </c>
      <c r="B53" s="1" t="s">
        <v>12</v>
      </c>
      <c r="C53" t="s">
        <v>107</v>
      </c>
      <c r="D53">
        <v>540</v>
      </c>
      <c r="F53">
        <f t="shared" si="0"/>
        <v>9890</v>
      </c>
    </row>
    <row r="54" spans="1:6">
      <c r="A54" s="2">
        <v>42499</v>
      </c>
      <c r="B54" s="1" t="s">
        <v>11</v>
      </c>
      <c r="C54" t="s">
        <v>27</v>
      </c>
      <c r="D54">
        <v>1420</v>
      </c>
      <c r="F54">
        <f t="shared" si="0"/>
        <v>11310</v>
      </c>
    </row>
    <row r="55" spans="1:6">
      <c r="A55" s="2">
        <v>42499</v>
      </c>
      <c r="B55" s="1" t="s">
        <v>13</v>
      </c>
      <c r="C55" t="s">
        <v>108</v>
      </c>
      <c r="E55">
        <v>500</v>
      </c>
      <c r="F55">
        <f t="shared" si="0"/>
        <v>10810</v>
      </c>
    </row>
    <row r="56" spans="1:6">
      <c r="A56" s="2">
        <v>42499</v>
      </c>
      <c r="B56" s="1" t="s">
        <v>12</v>
      </c>
      <c r="C56" t="s">
        <v>110</v>
      </c>
      <c r="D56">
        <v>100</v>
      </c>
      <c r="F56">
        <f t="shared" si="0"/>
        <v>10910</v>
      </c>
    </row>
    <row r="57" spans="1:6">
      <c r="A57" s="2">
        <v>42499</v>
      </c>
      <c r="B57" s="1" t="s">
        <v>12</v>
      </c>
      <c r="C57" t="s">
        <v>109</v>
      </c>
      <c r="D57">
        <v>400</v>
      </c>
      <c r="F57">
        <f t="shared" si="0"/>
        <v>11310</v>
      </c>
    </row>
    <row r="58" spans="1:6">
      <c r="A58" s="2">
        <v>42499</v>
      </c>
      <c r="B58" s="1" t="s">
        <v>12</v>
      </c>
      <c r="C58" t="s">
        <v>111</v>
      </c>
      <c r="D58">
        <v>200</v>
      </c>
      <c r="F58">
        <f t="shared" si="0"/>
        <v>11510</v>
      </c>
    </row>
    <row r="59" spans="1:6">
      <c r="A59" s="2">
        <v>42499</v>
      </c>
      <c r="B59" s="1" t="s">
        <v>12</v>
      </c>
      <c r="C59" t="s">
        <v>112</v>
      </c>
      <c r="D59">
        <v>100</v>
      </c>
      <c r="F59">
        <f t="shared" si="0"/>
        <v>11610</v>
      </c>
    </row>
    <row r="60" spans="1:6">
      <c r="A60" s="2">
        <v>42500</v>
      </c>
      <c r="B60" s="1" t="s">
        <v>11</v>
      </c>
      <c r="C60" t="s">
        <v>27</v>
      </c>
      <c r="D60">
        <v>500</v>
      </c>
      <c r="F60">
        <f t="shared" si="0"/>
        <v>12110</v>
      </c>
    </row>
    <row r="61" spans="1:6">
      <c r="A61" s="2">
        <v>42500</v>
      </c>
      <c r="B61" s="1" t="s">
        <v>11</v>
      </c>
      <c r="C61" t="s">
        <v>19</v>
      </c>
      <c r="E61">
        <v>100</v>
      </c>
      <c r="F61">
        <f t="shared" si="0"/>
        <v>12010</v>
      </c>
    </row>
    <row r="62" spans="1:6">
      <c r="A62" s="2">
        <v>42500</v>
      </c>
      <c r="B62" s="1" t="s">
        <v>11</v>
      </c>
      <c r="C62" t="s">
        <v>32</v>
      </c>
      <c r="E62">
        <v>1420</v>
      </c>
      <c r="F62">
        <f t="shared" si="0"/>
        <v>10590</v>
      </c>
    </row>
    <row r="63" spans="1:6">
      <c r="A63" s="2">
        <v>42500</v>
      </c>
      <c r="B63" s="1" t="s">
        <v>11</v>
      </c>
      <c r="C63" t="s">
        <v>45</v>
      </c>
      <c r="E63">
        <v>570</v>
      </c>
      <c r="F63">
        <f t="shared" si="0"/>
        <v>10020</v>
      </c>
    </row>
    <row r="64" spans="1:6">
      <c r="A64" s="2">
        <v>42500</v>
      </c>
      <c r="B64" s="1" t="s">
        <v>13</v>
      </c>
      <c r="C64" t="s">
        <v>47</v>
      </c>
      <c r="E64">
        <v>1200</v>
      </c>
      <c r="F64">
        <f t="shared" si="0"/>
        <v>8820</v>
      </c>
    </row>
    <row r="65" spans="1:6">
      <c r="A65" s="2">
        <v>42500</v>
      </c>
      <c r="B65" s="1" t="s">
        <v>13</v>
      </c>
      <c r="C65" t="s">
        <v>113</v>
      </c>
      <c r="E65">
        <v>2200</v>
      </c>
      <c r="F65">
        <f t="shared" si="0"/>
        <v>6620</v>
      </c>
    </row>
    <row r="66" spans="1:6">
      <c r="A66" s="2">
        <v>42501</v>
      </c>
      <c r="B66" s="1" t="s">
        <v>12</v>
      </c>
      <c r="C66" t="s">
        <v>114</v>
      </c>
      <c r="D66">
        <v>1700</v>
      </c>
      <c r="F66">
        <f t="shared" si="0"/>
        <v>8320</v>
      </c>
    </row>
    <row r="67" spans="1:6">
      <c r="A67" s="2">
        <v>42501</v>
      </c>
      <c r="B67" s="1" t="s">
        <v>12</v>
      </c>
      <c r="C67" t="s">
        <v>115</v>
      </c>
      <c r="D67">
        <v>500</v>
      </c>
      <c r="F67">
        <f t="shared" si="0"/>
        <v>8820</v>
      </c>
    </row>
    <row r="68" spans="1:6">
      <c r="A68" s="2">
        <v>42501</v>
      </c>
      <c r="B68" s="1" t="s">
        <v>12</v>
      </c>
      <c r="C68" t="s">
        <v>115</v>
      </c>
      <c r="D68">
        <v>550</v>
      </c>
      <c r="F68">
        <f t="shared" si="0"/>
        <v>9370</v>
      </c>
    </row>
    <row r="69" spans="1:6">
      <c r="A69" s="2">
        <v>42501</v>
      </c>
      <c r="B69" s="1" t="s">
        <v>42</v>
      </c>
      <c r="C69" t="s">
        <v>55</v>
      </c>
      <c r="E69">
        <v>8000</v>
      </c>
      <c r="F69">
        <f t="shared" si="0"/>
        <v>1370</v>
      </c>
    </row>
    <row r="70" spans="1:6">
      <c r="A70" s="2">
        <v>42501</v>
      </c>
      <c r="B70" s="1" t="s">
        <v>11</v>
      </c>
      <c r="C70" t="s">
        <v>27</v>
      </c>
      <c r="D70">
        <v>2100</v>
      </c>
      <c r="F70">
        <f t="shared" si="0"/>
        <v>3470</v>
      </c>
    </row>
    <row r="71" spans="1:6">
      <c r="A71" s="2">
        <v>42502</v>
      </c>
      <c r="B71" s="1" t="s">
        <v>11</v>
      </c>
      <c r="C71" t="s">
        <v>27</v>
      </c>
      <c r="D71">
        <v>990</v>
      </c>
      <c r="F71">
        <f t="shared" si="0"/>
        <v>4460</v>
      </c>
    </row>
    <row r="72" spans="1:6">
      <c r="A72" s="2">
        <v>42502</v>
      </c>
      <c r="B72" s="1" t="s">
        <v>12</v>
      </c>
      <c r="C72" t="s">
        <v>116</v>
      </c>
      <c r="E72">
        <v>250</v>
      </c>
      <c r="F72">
        <f t="shared" si="0"/>
        <v>4210</v>
      </c>
    </row>
    <row r="73" spans="1:6">
      <c r="A73" s="2">
        <v>42503</v>
      </c>
      <c r="B73" s="1" t="s">
        <v>11</v>
      </c>
      <c r="C73" t="s">
        <v>27</v>
      </c>
      <c r="D73">
        <v>1000</v>
      </c>
      <c r="F73">
        <f t="shared" si="0"/>
        <v>5210</v>
      </c>
    </row>
    <row r="74" spans="1:6">
      <c r="A74" s="2">
        <v>42504</v>
      </c>
      <c r="B74" s="1" t="s">
        <v>12</v>
      </c>
      <c r="C74" t="s">
        <v>117</v>
      </c>
      <c r="D74">
        <v>120</v>
      </c>
      <c r="F74">
        <f t="shared" si="0"/>
        <v>5330</v>
      </c>
    </row>
    <row r="75" spans="1:6">
      <c r="A75" s="2">
        <v>42505</v>
      </c>
      <c r="B75" s="1" t="s">
        <v>11</v>
      </c>
      <c r="C75" t="s">
        <v>27</v>
      </c>
      <c r="D75">
        <v>1125</v>
      </c>
      <c r="F75">
        <f t="shared" si="0"/>
        <v>6455</v>
      </c>
    </row>
    <row r="76" spans="1:6">
      <c r="A76" s="2">
        <v>42505</v>
      </c>
      <c r="B76" s="1" t="s">
        <v>13</v>
      </c>
      <c r="C76" t="s">
        <v>38</v>
      </c>
      <c r="D76">
        <v>350</v>
      </c>
      <c r="F76">
        <f t="shared" si="0"/>
        <v>6805</v>
      </c>
    </row>
    <row r="77" spans="1:6">
      <c r="A77" s="2">
        <v>42505</v>
      </c>
      <c r="B77" s="1" t="s">
        <v>11</v>
      </c>
      <c r="C77" t="s">
        <v>28</v>
      </c>
      <c r="E77">
        <v>1000</v>
      </c>
      <c r="F77">
        <f t="shared" si="0"/>
        <v>5805</v>
      </c>
    </row>
    <row r="78" spans="1:6">
      <c r="A78" s="2">
        <v>42505</v>
      </c>
      <c r="B78" s="1" t="s">
        <v>11</v>
      </c>
      <c r="C78" t="s">
        <v>27</v>
      </c>
      <c r="D78">
        <v>590</v>
      </c>
      <c r="F78">
        <f t="shared" si="0"/>
        <v>6395</v>
      </c>
    </row>
    <row r="79" spans="1:6">
      <c r="A79" s="2">
        <v>42505</v>
      </c>
      <c r="B79" s="1" t="s">
        <v>11</v>
      </c>
      <c r="C79" t="s">
        <v>33</v>
      </c>
      <c r="E79">
        <v>2500</v>
      </c>
      <c r="F79">
        <f t="shared" si="0"/>
        <v>3895</v>
      </c>
    </row>
    <row r="80" spans="1:6">
      <c r="A80" s="2">
        <v>42506</v>
      </c>
      <c r="B80" s="1" t="s">
        <v>11</v>
      </c>
      <c r="C80" t="s">
        <v>27</v>
      </c>
      <c r="D80">
        <v>1300</v>
      </c>
      <c r="F80">
        <f t="shared" si="0"/>
        <v>5195</v>
      </c>
    </row>
    <row r="81" spans="1:6">
      <c r="A81" s="2">
        <v>42506</v>
      </c>
      <c r="B81" s="1" t="s">
        <v>11</v>
      </c>
      <c r="C81" t="s">
        <v>28</v>
      </c>
      <c r="E81">
        <v>200</v>
      </c>
      <c r="F81">
        <f t="shared" si="0"/>
        <v>4995</v>
      </c>
    </row>
    <row r="82" spans="1:6">
      <c r="A82" s="2">
        <v>42507</v>
      </c>
      <c r="B82" s="1" t="s">
        <v>11</v>
      </c>
      <c r="C82" t="s">
        <v>27</v>
      </c>
      <c r="D82">
        <v>1000</v>
      </c>
      <c r="F82">
        <f t="shared" si="0"/>
        <v>5995</v>
      </c>
    </row>
    <row r="83" spans="1:6">
      <c r="A83" s="2">
        <v>42507</v>
      </c>
      <c r="B83" s="1" t="s">
        <v>11</v>
      </c>
      <c r="C83" t="s">
        <v>19</v>
      </c>
      <c r="E83">
        <v>200</v>
      </c>
      <c r="F83">
        <f t="shared" ref="F83:F146" si="1">F82+D83-E83</f>
        <v>5795</v>
      </c>
    </row>
    <row r="84" spans="1:6">
      <c r="A84" s="2">
        <v>42507</v>
      </c>
      <c r="B84" s="1" t="s">
        <v>11</v>
      </c>
      <c r="C84" t="s">
        <v>18</v>
      </c>
      <c r="E84">
        <v>120</v>
      </c>
      <c r="F84">
        <f t="shared" si="1"/>
        <v>5675</v>
      </c>
    </row>
    <row r="85" spans="1:6">
      <c r="A85" s="2">
        <v>42507</v>
      </c>
      <c r="B85" s="1" t="s">
        <v>11</v>
      </c>
      <c r="C85" t="s">
        <v>17</v>
      </c>
      <c r="E85">
        <v>180</v>
      </c>
      <c r="F85">
        <f t="shared" si="1"/>
        <v>5495</v>
      </c>
    </row>
    <row r="86" spans="1:6">
      <c r="A86" s="2">
        <v>42507</v>
      </c>
      <c r="B86" s="1" t="s">
        <v>12</v>
      </c>
      <c r="C86" t="s">
        <v>46</v>
      </c>
      <c r="D86">
        <v>80</v>
      </c>
      <c r="F86">
        <f t="shared" si="1"/>
        <v>5575</v>
      </c>
    </row>
    <row r="87" spans="1:6">
      <c r="A87" s="2">
        <v>42507</v>
      </c>
      <c r="B87" s="1" t="s">
        <v>11</v>
      </c>
      <c r="C87" t="s">
        <v>118</v>
      </c>
      <c r="E87">
        <v>2000</v>
      </c>
      <c r="F87">
        <f t="shared" si="1"/>
        <v>3575</v>
      </c>
    </row>
    <row r="88" spans="1:6">
      <c r="A88" s="2">
        <v>42508</v>
      </c>
      <c r="B88" s="1" t="s">
        <v>13</v>
      </c>
      <c r="C88" t="s">
        <v>40</v>
      </c>
      <c r="E88">
        <v>1100</v>
      </c>
      <c r="F88">
        <f t="shared" si="1"/>
        <v>2475</v>
      </c>
    </row>
    <row r="89" spans="1:6">
      <c r="A89" s="2">
        <v>42508</v>
      </c>
      <c r="B89" s="1" t="s">
        <v>11</v>
      </c>
      <c r="C89" t="s">
        <v>27</v>
      </c>
      <c r="D89">
        <v>1600</v>
      </c>
      <c r="F89">
        <f t="shared" si="1"/>
        <v>4075</v>
      </c>
    </row>
    <row r="90" spans="1:6">
      <c r="A90" s="2">
        <v>42508</v>
      </c>
      <c r="B90" s="1" t="s">
        <v>12</v>
      </c>
      <c r="C90" t="s">
        <v>119</v>
      </c>
      <c r="D90">
        <v>80</v>
      </c>
      <c r="F90">
        <f t="shared" si="1"/>
        <v>4155</v>
      </c>
    </row>
    <row r="91" spans="1:6">
      <c r="A91" s="2">
        <v>42508</v>
      </c>
      <c r="B91" s="1" t="s">
        <v>13</v>
      </c>
      <c r="C91" t="s">
        <v>38</v>
      </c>
      <c r="D91">
        <v>50</v>
      </c>
      <c r="F91">
        <f t="shared" si="1"/>
        <v>4205</v>
      </c>
    </row>
    <row r="92" spans="1:6">
      <c r="A92" s="2">
        <v>42509</v>
      </c>
      <c r="B92" s="1" t="s">
        <v>12</v>
      </c>
      <c r="C92" t="s">
        <v>46</v>
      </c>
      <c r="D92">
        <v>80</v>
      </c>
      <c r="F92">
        <f t="shared" si="1"/>
        <v>4285</v>
      </c>
    </row>
    <row r="93" spans="1:6">
      <c r="A93" s="2">
        <v>42509</v>
      </c>
      <c r="B93" s="1" t="s">
        <v>11</v>
      </c>
      <c r="C93" t="s">
        <v>27</v>
      </c>
      <c r="D93">
        <v>1200</v>
      </c>
      <c r="F93">
        <f t="shared" si="1"/>
        <v>5485</v>
      </c>
    </row>
    <row r="94" spans="1:6">
      <c r="A94" s="2">
        <v>42510</v>
      </c>
      <c r="B94" s="1" t="s">
        <v>11</v>
      </c>
      <c r="C94" t="s">
        <v>120</v>
      </c>
      <c r="E94">
        <v>350</v>
      </c>
      <c r="F94">
        <f t="shared" si="1"/>
        <v>5135</v>
      </c>
    </row>
    <row r="95" spans="1:6">
      <c r="A95" s="2">
        <v>42510</v>
      </c>
      <c r="B95" s="1" t="s">
        <v>11</v>
      </c>
      <c r="C95" t="s">
        <v>28</v>
      </c>
      <c r="E95">
        <v>1000</v>
      </c>
      <c r="F95">
        <f t="shared" si="1"/>
        <v>4135</v>
      </c>
    </row>
    <row r="96" spans="1:6">
      <c r="A96" s="2">
        <v>42510</v>
      </c>
      <c r="B96" s="1" t="s">
        <v>12</v>
      </c>
      <c r="C96" t="s">
        <v>121</v>
      </c>
      <c r="D96">
        <v>180</v>
      </c>
      <c r="F96">
        <f t="shared" si="1"/>
        <v>4315</v>
      </c>
    </row>
    <row r="97" spans="1:8">
      <c r="A97" s="2">
        <v>42510</v>
      </c>
      <c r="B97" s="1" t="s">
        <v>12</v>
      </c>
      <c r="C97" t="s">
        <v>122</v>
      </c>
      <c r="D97">
        <v>1200</v>
      </c>
      <c r="F97">
        <f t="shared" si="1"/>
        <v>5515</v>
      </c>
    </row>
    <row r="98" spans="1:8">
      <c r="A98" s="2">
        <v>42510</v>
      </c>
      <c r="B98" s="1" t="s">
        <v>11</v>
      </c>
      <c r="C98" t="s">
        <v>27</v>
      </c>
      <c r="D98">
        <v>1300</v>
      </c>
      <c r="F98">
        <f t="shared" si="1"/>
        <v>6815</v>
      </c>
    </row>
    <row r="99" spans="1:8">
      <c r="A99" s="2">
        <v>42510</v>
      </c>
      <c r="B99" s="1" t="s">
        <v>12</v>
      </c>
      <c r="C99" t="s">
        <v>123</v>
      </c>
      <c r="D99">
        <v>900</v>
      </c>
      <c r="F99">
        <f t="shared" si="1"/>
        <v>7715</v>
      </c>
    </row>
    <row r="100" spans="1:8">
      <c r="A100" s="2">
        <v>42510</v>
      </c>
      <c r="B100" s="1" t="s">
        <v>13</v>
      </c>
      <c r="C100" t="s">
        <v>38</v>
      </c>
      <c r="D100">
        <v>300</v>
      </c>
      <c r="F100">
        <f t="shared" si="1"/>
        <v>8015</v>
      </c>
    </row>
    <row r="101" spans="1:8">
      <c r="A101" s="2">
        <v>42510</v>
      </c>
      <c r="B101" s="1" t="s">
        <v>11</v>
      </c>
      <c r="C101" t="s">
        <v>28</v>
      </c>
      <c r="E101">
        <v>1200</v>
      </c>
      <c r="F101">
        <f t="shared" si="1"/>
        <v>6815</v>
      </c>
    </row>
    <row r="102" spans="1:8">
      <c r="A102" s="2">
        <v>42511</v>
      </c>
      <c r="B102" s="1" t="s">
        <v>11</v>
      </c>
      <c r="C102" t="s">
        <v>27</v>
      </c>
      <c r="D102">
        <v>990</v>
      </c>
      <c r="F102">
        <f t="shared" si="1"/>
        <v>7805</v>
      </c>
    </row>
    <row r="103" spans="1:8">
      <c r="A103" s="2">
        <v>42511</v>
      </c>
      <c r="B103" s="1" t="s">
        <v>12</v>
      </c>
      <c r="C103" t="s">
        <v>124</v>
      </c>
      <c r="D103">
        <v>100</v>
      </c>
      <c r="F103">
        <f t="shared" si="1"/>
        <v>7905</v>
      </c>
    </row>
    <row r="104" spans="1:8">
      <c r="A104" s="2">
        <v>42512</v>
      </c>
      <c r="B104" s="1" t="s">
        <v>11</v>
      </c>
      <c r="C104" t="s">
        <v>27</v>
      </c>
      <c r="D104">
        <v>490</v>
      </c>
      <c r="F104">
        <f t="shared" si="1"/>
        <v>8395</v>
      </c>
    </row>
    <row r="105" spans="1:8">
      <c r="A105" s="2">
        <v>42512</v>
      </c>
      <c r="B105" s="1" t="s">
        <v>11</v>
      </c>
      <c r="C105" t="s">
        <v>28</v>
      </c>
      <c r="E105">
        <v>400</v>
      </c>
      <c r="F105">
        <f t="shared" si="1"/>
        <v>7995</v>
      </c>
      <c r="G105">
        <f>7100+560</f>
        <v>7660</v>
      </c>
      <c r="H105">
        <f>F105-G105</f>
        <v>335</v>
      </c>
    </row>
    <row r="106" spans="1:8">
      <c r="A106" s="2">
        <v>42513</v>
      </c>
      <c r="B106" s="1" t="s">
        <v>11</v>
      </c>
      <c r="C106" t="s">
        <v>27</v>
      </c>
      <c r="D106">
        <v>870</v>
      </c>
      <c r="F106">
        <f t="shared" si="1"/>
        <v>8865</v>
      </c>
    </row>
    <row r="107" spans="1:8">
      <c r="A107" s="2">
        <v>42513</v>
      </c>
      <c r="B107" s="1" t="s">
        <v>12</v>
      </c>
      <c r="C107" t="s">
        <v>125</v>
      </c>
      <c r="D107">
        <v>280</v>
      </c>
      <c r="F107">
        <f t="shared" si="1"/>
        <v>9145</v>
      </c>
    </row>
    <row r="108" spans="1:8">
      <c r="A108" s="2">
        <v>42513</v>
      </c>
      <c r="B108" s="1" t="s">
        <v>42</v>
      </c>
      <c r="C108" t="s">
        <v>56</v>
      </c>
      <c r="E108">
        <v>6000</v>
      </c>
      <c r="F108">
        <f t="shared" si="1"/>
        <v>3145</v>
      </c>
    </row>
    <row r="109" spans="1:8">
      <c r="A109" s="2">
        <v>42514</v>
      </c>
      <c r="B109" s="1" t="s">
        <v>11</v>
      </c>
      <c r="C109" t="s">
        <v>27</v>
      </c>
      <c r="D109">
        <v>870</v>
      </c>
      <c r="F109">
        <f t="shared" si="1"/>
        <v>4015</v>
      </c>
    </row>
    <row r="110" spans="1:8">
      <c r="A110" s="2">
        <v>42514</v>
      </c>
      <c r="B110" s="1" t="s">
        <v>11</v>
      </c>
      <c r="C110" t="s">
        <v>28</v>
      </c>
      <c r="E110">
        <v>800</v>
      </c>
      <c r="F110">
        <f t="shared" si="1"/>
        <v>3215</v>
      </c>
    </row>
    <row r="111" spans="1:8">
      <c r="A111" s="2">
        <v>42514</v>
      </c>
      <c r="B111" s="1" t="s">
        <v>12</v>
      </c>
      <c r="C111" t="s">
        <v>122</v>
      </c>
      <c r="D111">
        <v>1200</v>
      </c>
      <c r="F111">
        <f t="shared" si="1"/>
        <v>4415</v>
      </c>
    </row>
    <row r="112" spans="1:8">
      <c r="A112" s="2">
        <v>42514</v>
      </c>
      <c r="B112" s="1" t="s">
        <v>12</v>
      </c>
      <c r="C112" t="s">
        <v>126</v>
      </c>
      <c r="D112">
        <v>190</v>
      </c>
      <c r="F112">
        <f t="shared" si="1"/>
        <v>4605</v>
      </c>
    </row>
    <row r="113" spans="1:7">
      <c r="A113" s="2">
        <v>42514</v>
      </c>
      <c r="B113" s="1" t="s">
        <v>12</v>
      </c>
      <c r="C113" t="s">
        <v>127</v>
      </c>
      <c r="D113">
        <v>100</v>
      </c>
      <c r="F113">
        <f t="shared" si="1"/>
        <v>4705</v>
      </c>
    </row>
    <row r="114" spans="1:7">
      <c r="A114" s="2">
        <v>42515</v>
      </c>
      <c r="B114" s="1" t="s">
        <v>12</v>
      </c>
      <c r="C114" t="s">
        <v>128</v>
      </c>
      <c r="D114">
        <v>280</v>
      </c>
      <c r="F114">
        <f t="shared" si="1"/>
        <v>4985</v>
      </c>
    </row>
    <row r="115" spans="1:7">
      <c r="A115" s="2">
        <v>42515</v>
      </c>
      <c r="B115" s="1" t="s">
        <v>12</v>
      </c>
      <c r="C115" t="s">
        <v>129</v>
      </c>
      <c r="E115">
        <v>360</v>
      </c>
      <c r="F115">
        <f t="shared" si="1"/>
        <v>4625</v>
      </c>
    </row>
    <row r="116" spans="1:7">
      <c r="A116" s="2">
        <v>42515</v>
      </c>
      <c r="B116" s="1" t="s">
        <v>12</v>
      </c>
      <c r="C116" t="s">
        <v>119</v>
      </c>
      <c r="D116">
        <v>80</v>
      </c>
      <c r="F116">
        <f t="shared" si="1"/>
        <v>4705</v>
      </c>
    </row>
    <row r="117" spans="1:7">
      <c r="A117" s="2">
        <v>42515</v>
      </c>
      <c r="B117" s="1" t="s">
        <v>11</v>
      </c>
      <c r="C117" t="s">
        <v>27</v>
      </c>
      <c r="D117">
        <v>1510</v>
      </c>
      <c r="F117">
        <f t="shared" si="1"/>
        <v>6215</v>
      </c>
    </row>
    <row r="118" spans="1:7">
      <c r="A118" s="2">
        <v>42515</v>
      </c>
      <c r="B118" s="1" t="s">
        <v>12</v>
      </c>
      <c r="C118" t="s">
        <v>130</v>
      </c>
      <c r="D118">
        <v>500</v>
      </c>
      <c r="F118">
        <f t="shared" si="1"/>
        <v>6715</v>
      </c>
    </row>
    <row r="119" spans="1:7">
      <c r="A119" s="2">
        <v>42515</v>
      </c>
      <c r="B119" s="1" t="s">
        <v>13</v>
      </c>
      <c r="C119" t="s">
        <v>49</v>
      </c>
      <c r="D119">
        <v>300</v>
      </c>
      <c r="F119">
        <f t="shared" si="1"/>
        <v>7015</v>
      </c>
    </row>
    <row r="120" spans="1:7">
      <c r="A120" s="2">
        <v>42515</v>
      </c>
      <c r="B120" s="1" t="s">
        <v>11</v>
      </c>
      <c r="C120" t="s">
        <v>28</v>
      </c>
      <c r="E120">
        <v>600</v>
      </c>
      <c r="F120">
        <f t="shared" si="1"/>
        <v>6415</v>
      </c>
      <c r="G120">
        <v>6310</v>
      </c>
    </row>
    <row r="121" spans="1:7">
      <c r="A121" s="2">
        <v>42516</v>
      </c>
      <c r="B121" s="1" t="s">
        <v>11</v>
      </c>
      <c r="C121" s="11" t="s">
        <v>27</v>
      </c>
      <c r="D121" s="1">
        <v>810</v>
      </c>
      <c r="E121" s="1"/>
      <c r="F121">
        <f t="shared" si="1"/>
        <v>7225</v>
      </c>
    </row>
    <row r="122" spans="1:7">
      <c r="A122" s="2">
        <v>42516</v>
      </c>
      <c r="B122" s="1" t="s">
        <v>12</v>
      </c>
      <c r="C122" s="11" t="s">
        <v>131</v>
      </c>
      <c r="D122" s="1">
        <v>1900</v>
      </c>
      <c r="E122" s="1"/>
      <c r="F122">
        <f t="shared" si="1"/>
        <v>9125</v>
      </c>
    </row>
    <row r="123" spans="1:7">
      <c r="A123" s="2">
        <v>42516</v>
      </c>
      <c r="B123" s="1" t="s">
        <v>12</v>
      </c>
      <c r="C123" s="11" t="s">
        <v>132</v>
      </c>
      <c r="D123" s="1">
        <v>320</v>
      </c>
      <c r="E123" s="1"/>
      <c r="F123">
        <f t="shared" si="1"/>
        <v>9445</v>
      </c>
    </row>
    <row r="124" spans="1:7">
      <c r="A124" s="2">
        <v>42516</v>
      </c>
      <c r="B124" s="1" t="s">
        <v>12</v>
      </c>
      <c r="C124" s="11" t="s">
        <v>133</v>
      </c>
      <c r="D124" s="1">
        <v>500</v>
      </c>
      <c r="E124" s="1"/>
      <c r="F124">
        <f t="shared" si="1"/>
        <v>9945</v>
      </c>
    </row>
    <row r="125" spans="1:7">
      <c r="A125" s="2">
        <v>42516</v>
      </c>
      <c r="B125" s="1" t="s">
        <v>42</v>
      </c>
      <c r="C125" s="11" t="s">
        <v>56</v>
      </c>
      <c r="E125">
        <v>5000</v>
      </c>
      <c r="F125">
        <f t="shared" si="1"/>
        <v>4945</v>
      </c>
    </row>
    <row r="126" spans="1:7">
      <c r="A126" s="2">
        <v>42516</v>
      </c>
      <c r="B126" s="1" t="s">
        <v>11</v>
      </c>
      <c r="C126" s="11" t="s">
        <v>136</v>
      </c>
      <c r="D126" s="1">
        <v>1340</v>
      </c>
      <c r="F126">
        <f t="shared" si="1"/>
        <v>6285</v>
      </c>
    </row>
    <row r="127" spans="1:7">
      <c r="A127" s="2">
        <v>42517</v>
      </c>
      <c r="B127" s="1" t="s">
        <v>42</v>
      </c>
      <c r="C127" s="11" t="s">
        <v>134</v>
      </c>
      <c r="D127" s="1"/>
      <c r="E127" s="1">
        <v>6500</v>
      </c>
      <c r="F127">
        <f t="shared" si="1"/>
        <v>-215</v>
      </c>
    </row>
    <row r="128" spans="1:7">
      <c r="A128" s="2">
        <v>42517</v>
      </c>
      <c r="B128" s="1" t="s">
        <v>12</v>
      </c>
      <c r="C128" s="11" t="s">
        <v>135</v>
      </c>
      <c r="D128" s="1">
        <v>390</v>
      </c>
      <c r="E128" s="1"/>
      <c r="F128">
        <f t="shared" si="1"/>
        <v>175</v>
      </c>
    </row>
    <row r="129" spans="1:6">
      <c r="A129" s="2">
        <v>42517</v>
      </c>
      <c r="B129" s="1" t="s">
        <v>11</v>
      </c>
      <c r="C129" s="11" t="s">
        <v>27</v>
      </c>
      <c r="D129" s="1">
        <v>410</v>
      </c>
      <c r="F129">
        <f t="shared" si="1"/>
        <v>585</v>
      </c>
    </row>
    <row r="130" spans="1:6">
      <c r="A130" s="2">
        <v>42517</v>
      </c>
      <c r="B130" s="1" t="s">
        <v>12</v>
      </c>
      <c r="C130" s="11" t="s">
        <v>137</v>
      </c>
      <c r="E130">
        <v>450</v>
      </c>
      <c r="F130">
        <f t="shared" si="1"/>
        <v>135</v>
      </c>
    </row>
    <row r="131" spans="1:6">
      <c r="A131" s="2">
        <v>42517</v>
      </c>
      <c r="B131" s="1" t="s">
        <v>12</v>
      </c>
      <c r="C131" s="11" t="s">
        <v>138</v>
      </c>
      <c r="D131" s="1">
        <v>250</v>
      </c>
      <c r="F131">
        <f t="shared" si="1"/>
        <v>385</v>
      </c>
    </row>
    <row r="132" spans="1:6">
      <c r="A132" s="2">
        <v>42517</v>
      </c>
      <c r="B132" s="1" t="s">
        <v>12</v>
      </c>
      <c r="C132" s="11" t="s">
        <v>139</v>
      </c>
      <c r="D132" s="1">
        <f>170+200</f>
        <v>370</v>
      </c>
      <c r="F132">
        <f t="shared" si="1"/>
        <v>755</v>
      </c>
    </row>
    <row r="133" spans="1:6">
      <c r="A133" s="2">
        <v>42518</v>
      </c>
      <c r="B133" s="1" t="s">
        <v>12</v>
      </c>
      <c r="C133" s="12" t="s">
        <v>140</v>
      </c>
      <c r="D133" s="1">
        <v>1200</v>
      </c>
      <c r="F133">
        <f t="shared" si="1"/>
        <v>1955</v>
      </c>
    </row>
    <row r="134" spans="1:6">
      <c r="A134" s="2">
        <v>42518</v>
      </c>
      <c r="B134" s="1" t="s">
        <v>13</v>
      </c>
      <c r="C134" s="11" t="s">
        <v>141</v>
      </c>
      <c r="D134" s="1">
        <v>630</v>
      </c>
      <c r="F134">
        <f t="shared" si="1"/>
        <v>2585</v>
      </c>
    </row>
    <row r="135" spans="1:6">
      <c r="A135" s="2">
        <v>42518</v>
      </c>
      <c r="B135" s="1" t="s">
        <v>11</v>
      </c>
      <c r="C135" s="11" t="s">
        <v>27</v>
      </c>
      <c r="D135" s="1">
        <v>1270</v>
      </c>
      <c r="F135">
        <f t="shared" si="1"/>
        <v>3855</v>
      </c>
    </row>
    <row r="136" spans="1:6">
      <c r="A136" s="2">
        <v>42519</v>
      </c>
      <c r="B136" s="1" t="s">
        <v>12</v>
      </c>
      <c r="C136" s="12" t="s">
        <v>142</v>
      </c>
      <c r="D136" s="1">
        <v>240</v>
      </c>
      <c r="F136">
        <f t="shared" si="1"/>
        <v>4095</v>
      </c>
    </row>
    <row r="137" spans="1:6">
      <c r="A137" s="2">
        <v>42519</v>
      </c>
      <c r="B137" s="1" t="s">
        <v>11</v>
      </c>
      <c r="C137" s="11" t="s">
        <v>27</v>
      </c>
      <c r="D137" s="1">
        <v>1130</v>
      </c>
      <c r="F137">
        <f t="shared" si="1"/>
        <v>5225</v>
      </c>
    </row>
    <row r="138" spans="1:6">
      <c r="A138" s="2">
        <v>42520</v>
      </c>
      <c r="B138" s="1" t="s">
        <v>42</v>
      </c>
      <c r="C138" s="11" t="s">
        <v>143</v>
      </c>
      <c r="E138">
        <v>3500</v>
      </c>
      <c r="F138">
        <f t="shared" si="1"/>
        <v>1725</v>
      </c>
    </row>
    <row r="139" spans="1:6">
      <c r="A139" s="2">
        <v>42520</v>
      </c>
      <c r="B139" s="1" t="s">
        <v>12</v>
      </c>
      <c r="C139" s="12" t="s">
        <v>144</v>
      </c>
      <c r="D139" s="1">
        <v>450</v>
      </c>
      <c r="F139">
        <f t="shared" si="1"/>
        <v>2175</v>
      </c>
    </row>
    <row r="140" spans="1:6">
      <c r="A140" s="2">
        <v>42520</v>
      </c>
      <c r="B140" s="1" t="s">
        <v>12</v>
      </c>
      <c r="C140" s="12" t="s">
        <v>145</v>
      </c>
      <c r="D140" s="1">
        <v>600</v>
      </c>
      <c r="F140">
        <f t="shared" si="1"/>
        <v>2775</v>
      </c>
    </row>
    <row r="141" spans="1:6">
      <c r="A141" s="2">
        <v>42520</v>
      </c>
      <c r="B141" s="1" t="s">
        <v>12</v>
      </c>
      <c r="C141" s="12" t="s">
        <v>31</v>
      </c>
      <c r="D141" s="1">
        <v>450</v>
      </c>
      <c r="F141">
        <f t="shared" si="1"/>
        <v>3225</v>
      </c>
    </row>
    <row r="142" spans="1:6">
      <c r="A142" s="2">
        <v>42520</v>
      </c>
      <c r="B142" s="1" t="s">
        <v>13</v>
      </c>
      <c r="C142" s="11" t="s">
        <v>146</v>
      </c>
      <c r="D142" s="1">
        <v>150</v>
      </c>
      <c r="F142">
        <f t="shared" si="1"/>
        <v>3375</v>
      </c>
    </row>
    <row r="143" spans="1:6">
      <c r="A143" s="2">
        <v>42520</v>
      </c>
      <c r="B143" s="1" t="s">
        <v>12</v>
      </c>
      <c r="C143" s="12" t="s">
        <v>147</v>
      </c>
      <c r="D143" s="1">
        <v>320</v>
      </c>
      <c r="F143">
        <f t="shared" si="1"/>
        <v>3695</v>
      </c>
    </row>
    <row r="144" spans="1:6">
      <c r="A144" s="2">
        <v>42520</v>
      </c>
      <c r="B144" s="1" t="s">
        <v>11</v>
      </c>
      <c r="C144" s="11" t="s">
        <v>27</v>
      </c>
      <c r="D144" s="1">
        <v>850</v>
      </c>
      <c r="F144">
        <f t="shared" si="1"/>
        <v>4545</v>
      </c>
    </row>
    <row r="145" spans="1:8">
      <c r="A145" s="2">
        <v>42521</v>
      </c>
      <c r="B145" s="1" t="s">
        <v>12</v>
      </c>
      <c r="C145" s="11" t="s">
        <v>148</v>
      </c>
      <c r="D145" s="1">
        <v>40</v>
      </c>
      <c r="F145">
        <f t="shared" si="1"/>
        <v>4585</v>
      </c>
    </row>
    <row r="146" spans="1:8">
      <c r="A146" s="2">
        <v>42521</v>
      </c>
      <c r="B146" s="1" t="s">
        <v>11</v>
      </c>
      <c r="C146" s="11" t="s">
        <v>29</v>
      </c>
      <c r="D146" s="1"/>
      <c r="E146">
        <v>200</v>
      </c>
      <c r="F146">
        <f t="shared" si="1"/>
        <v>4385</v>
      </c>
    </row>
    <row r="147" spans="1:8">
      <c r="A147" s="2">
        <v>42521</v>
      </c>
      <c r="B147" s="1" t="s">
        <v>11</v>
      </c>
      <c r="C147" s="11" t="s">
        <v>23</v>
      </c>
      <c r="D147" s="1"/>
      <c r="E147">
        <v>1420</v>
      </c>
      <c r="F147">
        <f t="shared" ref="F147:F213" si="2">F146+D147-E147</f>
        <v>2965</v>
      </c>
    </row>
    <row r="148" spans="1:8">
      <c r="A148" s="2">
        <v>42521</v>
      </c>
      <c r="B148" s="1" t="s">
        <v>11</v>
      </c>
      <c r="C148" s="11" t="s">
        <v>149</v>
      </c>
      <c r="D148" s="1"/>
      <c r="E148">
        <v>114</v>
      </c>
      <c r="F148">
        <f t="shared" si="2"/>
        <v>2851</v>
      </c>
    </row>
    <row r="149" spans="1:8">
      <c r="A149" s="2">
        <v>42521</v>
      </c>
      <c r="B149" s="1" t="s">
        <v>11</v>
      </c>
      <c r="C149" s="11" t="s">
        <v>32</v>
      </c>
      <c r="D149" s="1"/>
      <c r="E149">
        <v>135</v>
      </c>
      <c r="F149">
        <f t="shared" si="2"/>
        <v>2716</v>
      </c>
    </row>
    <row r="150" spans="1:8">
      <c r="A150" s="2">
        <v>42521</v>
      </c>
      <c r="B150" s="1" t="s">
        <v>11</v>
      </c>
      <c r="C150" s="11" t="s">
        <v>150</v>
      </c>
      <c r="D150" s="1"/>
      <c r="E150">
        <v>40</v>
      </c>
      <c r="F150">
        <f t="shared" si="2"/>
        <v>2676</v>
      </c>
    </row>
    <row r="151" spans="1:8">
      <c r="A151" s="2">
        <v>42521</v>
      </c>
      <c r="B151" s="1" t="s">
        <v>11</v>
      </c>
      <c r="C151" s="11" t="s">
        <v>53</v>
      </c>
      <c r="E151">
        <v>300</v>
      </c>
      <c r="F151">
        <f t="shared" si="2"/>
        <v>2376</v>
      </c>
    </row>
    <row r="152" spans="1:8">
      <c r="A152" s="2">
        <v>42521</v>
      </c>
      <c r="B152" s="1" t="s">
        <v>11</v>
      </c>
      <c r="C152" s="11" t="s">
        <v>28</v>
      </c>
      <c r="E152">
        <v>600</v>
      </c>
      <c r="F152">
        <f t="shared" si="2"/>
        <v>1776</v>
      </c>
    </row>
    <row r="153" spans="1:8">
      <c r="A153" s="2">
        <v>42521</v>
      </c>
      <c r="B153" s="1" t="s">
        <v>11</v>
      </c>
      <c r="C153" s="11" t="s">
        <v>27</v>
      </c>
      <c r="D153">
        <v>1600</v>
      </c>
      <c r="F153">
        <f t="shared" si="2"/>
        <v>3376</v>
      </c>
    </row>
    <row r="154" spans="1:8">
      <c r="A154" s="2">
        <v>42521</v>
      </c>
      <c r="B154" s="1" t="s">
        <v>12</v>
      </c>
      <c r="C154" s="12" t="s">
        <v>151</v>
      </c>
      <c r="D154">
        <v>1000</v>
      </c>
      <c r="F154">
        <f t="shared" si="2"/>
        <v>4376</v>
      </c>
      <c r="H154">
        <f>3950+440</f>
        <v>4390</v>
      </c>
    </row>
    <row r="155" spans="1:8">
      <c r="C155" s="11"/>
    </row>
    <row r="156" spans="1:8">
      <c r="A156" s="2">
        <v>42522</v>
      </c>
      <c r="C156" s="11" t="s">
        <v>152</v>
      </c>
      <c r="D156">
        <v>4390</v>
      </c>
      <c r="F156">
        <f t="shared" si="2"/>
        <v>4390</v>
      </c>
    </row>
    <row r="157" spans="1:8">
      <c r="A157" s="2">
        <v>42522</v>
      </c>
      <c r="B157" s="1" t="s">
        <v>11</v>
      </c>
      <c r="C157" s="11" t="s">
        <v>27</v>
      </c>
      <c r="D157">
        <v>100</v>
      </c>
      <c r="F157">
        <f t="shared" si="2"/>
        <v>4490</v>
      </c>
    </row>
    <row r="158" spans="1:8">
      <c r="A158" s="2">
        <v>42523</v>
      </c>
      <c r="B158" s="1" t="s">
        <v>12</v>
      </c>
      <c r="C158" s="12" t="s">
        <v>153</v>
      </c>
      <c r="E158">
        <v>1190</v>
      </c>
      <c r="F158">
        <f t="shared" si="2"/>
        <v>3300</v>
      </c>
    </row>
    <row r="159" spans="1:8">
      <c r="A159" s="2">
        <v>42523</v>
      </c>
      <c r="B159" s="1" t="s">
        <v>12</v>
      </c>
      <c r="C159" s="11" t="s">
        <v>154</v>
      </c>
      <c r="E159">
        <v>2660</v>
      </c>
      <c r="F159">
        <f t="shared" si="2"/>
        <v>640</v>
      </c>
    </row>
    <row r="160" spans="1:8">
      <c r="A160" s="2">
        <v>42523</v>
      </c>
      <c r="B160" s="1" t="s">
        <v>11</v>
      </c>
      <c r="C160" s="11" t="s">
        <v>27</v>
      </c>
      <c r="D160">
        <v>1380</v>
      </c>
      <c r="F160">
        <f t="shared" si="2"/>
        <v>2020</v>
      </c>
      <c r="H160">
        <f>1750+420</f>
        <v>2170</v>
      </c>
    </row>
    <row r="161" spans="1:6">
      <c r="A161" s="2">
        <v>42524</v>
      </c>
      <c r="B161" s="1" t="s">
        <v>12</v>
      </c>
      <c r="C161" s="11" t="s">
        <v>155</v>
      </c>
      <c r="E161">
        <v>500</v>
      </c>
      <c r="F161">
        <f t="shared" si="2"/>
        <v>1520</v>
      </c>
    </row>
    <row r="162" spans="1:6">
      <c r="A162" s="2">
        <v>42524</v>
      </c>
      <c r="B162" s="1" t="s">
        <v>12</v>
      </c>
      <c r="C162" s="12" t="s">
        <v>156</v>
      </c>
      <c r="D162">
        <v>380</v>
      </c>
      <c r="F162">
        <f t="shared" si="2"/>
        <v>1900</v>
      </c>
    </row>
    <row r="163" spans="1:6">
      <c r="A163" s="2">
        <v>42524</v>
      </c>
      <c r="B163" s="1" t="s">
        <v>157</v>
      </c>
      <c r="C163" s="12" t="s">
        <v>48</v>
      </c>
      <c r="D163">
        <v>450</v>
      </c>
      <c r="F163">
        <f t="shared" si="2"/>
        <v>2350</v>
      </c>
    </row>
    <row r="164" spans="1:6">
      <c r="A164" s="2">
        <v>42524</v>
      </c>
      <c r="B164" s="1" t="s">
        <v>13</v>
      </c>
      <c r="C164" s="11" t="s">
        <v>20</v>
      </c>
      <c r="E164">
        <v>1000</v>
      </c>
      <c r="F164">
        <f t="shared" si="2"/>
        <v>1350</v>
      </c>
    </row>
    <row r="165" spans="1:6">
      <c r="A165" s="2">
        <v>42524</v>
      </c>
      <c r="B165" s="1" t="s">
        <v>13</v>
      </c>
      <c r="C165" s="11" t="s">
        <v>158</v>
      </c>
      <c r="E165">
        <v>650</v>
      </c>
      <c r="F165">
        <f t="shared" si="2"/>
        <v>700</v>
      </c>
    </row>
    <row r="166" spans="1:6">
      <c r="A166" s="2">
        <v>42524</v>
      </c>
      <c r="B166" s="1" t="s">
        <v>11</v>
      </c>
      <c r="C166" s="11" t="s">
        <v>27</v>
      </c>
      <c r="D166">
        <v>950</v>
      </c>
      <c r="F166">
        <f t="shared" si="2"/>
        <v>1650</v>
      </c>
    </row>
    <row r="167" spans="1:6">
      <c r="A167" s="2">
        <v>42525</v>
      </c>
      <c r="B167" s="1" t="s">
        <v>12</v>
      </c>
      <c r="C167" s="11" t="s">
        <v>159</v>
      </c>
      <c r="D167">
        <v>180</v>
      </c>
      <c r="F167">
        <f t="shared" si="2"/>
        <v>1830</v>
      </c>
    </row>
    <row r="168" spans="1:6">
      <c r="A168" s="2">
        <v>42525</v>
      </c>
      <c r="B168" s="1" t="s">
        <v>12</v>
      </c>
      <c r="C168" s="11" t="s">
        <v>171</v>
      </c>
      <c r="D168">
        <v>1800</v>
      </c>
      <c r="F168">
        <f t="shared" si="2"/>
        <v>3630</v>
      </c>
    </row>
    <row r="169" spans="1:6">
      <c r="A169" s="2">
        <v>42525</v>
      </c>
      <c r="B169" s="1" t="s">
        <v>12</v>
      </c>
      <c r="C169" s="11" t="s">
        <v>160</v>
      </c>
      <c r="D169">
        <v>200</v>
      </c>
      <c r="F169">
        <f t="shared" si="2"/>
        <v>3830</v>
      </c>
    </row>
    <row r="170" spans="1:6">
      <c r="A170" s="2">
        <v>42525</v>
      </c>
      <c r="B170" s="1" t="s">
        <v>11</v>
      </c>
      <c r="C170" s="11" t="s">
        <v>27</v>
      </c>
      <c r="D170">
        <v>990</v>
      </c>
      <c r="F170">
        <f t="shared" si="2"/>
        <v>4820</v>
      </c>
    </row>
    <row r="171" spans="1:6">
      <c r="A171" s="2">
        <v>42526</v>
      </c>
      <c r="B171" s="1" t="s">
        <v>12</v>
      </c>
      <c r="C171" s="12" t="s">
        <v>161</v>
      </c>
      <c r="D171">
        <v>450</v>
      </c>
      <c r="F171">
        <f t="shared" si="2"/>
        <v>5270</v>
      </c>
    </row>
    <row r="172" spans="1:6">
      <c r="A172" s="2">
        <v>42526</v>
      </c>
      <c r="B172" s="1" t="s">
        <v>12</v>
      </c>
      <c r="C172" s="12" t="s">
        <v>162</v>
      </c>
      <c r="D172">
        <v>200</v>
      </c>
      <c r="F172">
        <f t="shared" si="2"/>
        <v>5470</v>
      </c>
    </row>
    <row r="173" spans="1:6">
      <c r="A173" s="2">
        <v>42526</v>
      </c>
      <c r="B173" s="1" t="s">
        <v>12</v>
      </c>
      <c r="C173" s="11" t="s">
        <v>163</v>
      </c>
      <c r="D173">
        <v>80</v>
      </c>
      <c r="F173">
        <f t="shared" si="2"/>
        <v>5550</v>
      </c>
    </row>
    <row r="174" spans="1:6">
      <c r="A174" s="2">
        <v>42526</v>
      </c>
      <c r="B174" s="1" t="s">
        <v>11</v>
      </c>
      <c r="C174" s="11" t="s">
        <v>27</v>
      </c>
      <c r="D174">
        <v>1210</v>
      </c>
      <c r="F174">
        <f t="shared" si="2"/>
        <v>6760</v>
      </c>
    </row>
    <row r="175" spans="1:6">
      <c r="A175" s="2">
        <v>42526</v>
      </c>
      <c r="B175" s="1" t="s">
        <v>12</v>
      </c>
      <c r="C175" s="11" t="s">
        <v>164</v>
      </c>
      <c r="D175">
        <v>700</v>
      </c>
      <c r="F175">
        <f t="shared" si="2"/>
        <v>7460</v>
      </c>
    </row>
    <row r="176" spans="1:6">
      <c r="A176" s="2">
        <v>42527</v>
      </c>
      <c r="B176" s="1" t="s">
        <v>42</v>
      </c>
      <c r="C176" s="11" t="s">
        <v>50</v>
      </c>
      <c r="E176">
        <v>6000</v>
      </c>
      <c r="F176">
        <f t="shared" si="2"/>
        <v>1460</v>
      </c>
    </row>
    <row r="177" spans="1:8">
      <c r="A177" s="2">
        <v>42527</v>
      </c>
      <c r="B177" s="1" t="s">
        <v>11</v>
      </c>
      <c r="C177" s="11" t="s">
        <v>27</v>
      </c>
      <c r="D177">
        <v>1790</v>
      </c>
      <c r="F177">
        <f t="shared" si="2"/>
        <v>3250</v>
      </c>
      <c r="G177">
        <f>2850+460</f>
        <v>3310</v>
      </c>
      <c r="H177">
        <f>G177-F177</f>
        <v>60</v>
      </c>
    </row>
    <row r="178" spans="1:8">
      <c r="A178" s="2">
        <v>42528</v>
      </c>
      <c r="B178" s="1" t="s">
        <v>12</v>
      </c>
      <c r="C178" s="12" t="s">
        <v>165</v>
      </c>
      <c r="D178">
        <v>290</v>
      </c>
      <c r="F178">
        <f t="shared" si="2"/>
        <v>3540</v>
      </c>
    </row>
    <row r="179" spans="1:8">
      <c r="A179" s="2">
        <v>42528</v>
      </c>
      <c r="B179" s="1" t="s">
        <v>12</v>
      </c>
      <c r="C179" s="11" t="s">
        <v>119</v>
      </c>
      <c r="D179">
        <v>80</v>
      </c>
      <c r="F179">
        <f t="shared" si="2"/>
        <v>3620</v>
      </c>
    </row>
    <row r="180" spans="1:8">
      <c r="A180" s="2">
        <v>42528</v>
      </c>
      <c r="B180" s="1" t="s">
        <v>69</v>
      </c>
      <c r="C180" s="11" t="s">
        <v>27</v>
      </c>
      <c r="D180">
        <v>750</v>
      </c>
      <c r="F180">
        <f t="shared" si="2"/>
        <v>4370</v>
      </c>
    </row>
    <row r="181" spans="1:8">
      <c r="A181" s="2">
        <v>42529</v>
      </c>
      <c r="B181" s="1" t="s">
        <v>12</v>
      </c>
      <c r="C181" s="11" t="s">
        <v>166</v>
      </c>
      <c r="D181">
        <v>400</v>
      </c>
      <c r="F181">
        <f t="shared" si="2"/>
        <v>4770</v>
      </c>
    </row>
    <row r="182" spans="1:8">
      <c r="A182" s="2">
        <v>42529</v>
      </c>
      <c r="B182" s="1" t="s">
        <v>12</v>
      </c>
      <c r="C182" s="11" t="s">
        <v>166</v>
      </c>
      <c r="D182">
        <v>450</v>
      </c>
      <c r="F182">
        <f t="shared" si="2"/>
        <v>5220</v>
      </c>
    </row>
    <row r="183" spans="1:8">
      <c r="A183" s="2">
        <v>42529</v>
      </c>
      <c r="B183" s="1" t="s">
        <v>42</v>
      </c>
      <c r="C183" s="11" t="s">
        <v>43</v>
      </c>
      <c r="E183">
        <v>3000</v>
      </c>
      <c r="F183">
        <f t="shared" si="2"/>
        <v>2220</v>
      </c>
    </row>
    <row r="184" spans="1:8">
      <c r="A184" s="2">
        <v>42529</v>
      </c>
      <c r="B184" s="1" t="s">
        <v>12</v>
      </c>
      <c r="C184" s="11" t="s">
        <v>168</v>
      </c>
      <c r="D184">
        <v>600</v>
      </c>
      <c r="F184">
        <f t="shared" si="2"/>
        <v>2820</v>
      </c>
    </row>
    <row r="185" spans="1:8">
      <c r="A185" s="2">
        <v>42529</v>
      </c>
      <c r="B185" s="1" t="s">
        <v>12</v>
      </c>
      <c r="C185" s="11" t="s">
        <v>167</v>
      </c>
      <c r="D185">
        <v>750</v>
      </c>
      <c r="F185">
        <f t="shared" si="2"/>
        <v>3570</v>
      </c>
    </row>
    <row r="186" spans="1:8">
      <c r="A186" s="2">
        <v>42529</v>
      </c>
      <c r="B186" s="1" t="s">
        <v>11</v>
      </c>
      <c r="C186" s="11" t="s">
        <v>27</v>
      </c>
      <c r="D186">
        <v>2010</v>
      </c>
      <c r="F186">
        <f t="shared" si="2"/>
        <v>5580</v>
      </c>
    </row>
    <row r="187" spans="1:8">
      <c r="A187" s="2">
        <v>42529</v>
      </c>
      <c r="B187" s="1" t="s">
        <v>11</v>
      </c>
      <c r="C187" s="11" t="s">
        <v>28</v>
      </c>
      <c r="E187">
        <v>1000</v>
      </c>
      <c r="F187">
        <f t="shared" si="2"/>
        <v>4580</v>
      </c>
      <c r="G187">
        <f>3800+680</f>
        <v>4480</v>
      </c>
      <c r="H187">
        <f>F187-G187</f>
        <v>100</v>
      </c>
    </row>
    <row r="188" spans="1:8">
      <c r="A188" s="2">
        <v>42530</v>
      </c>
      <c r="B188" s="1" t="s">
        <v>12</v>
      </c>
      <c r="C188" s="11" t="s">
        <v>169</v>
      </c>
      <c r="E188">
        <v>1400</v>
      </c>
      <c r="F188">
        <f t="shared" si="2"/>
        <v>3180</v>
      </c>
    </row>
    <row r="189" spans="1:8">
      <c r="A189" s="2">
        <v>42530</v>
      </c>
      <c r="B189" s="1" t="s">
        <v>12</v>
      </c>
      <c r="C189" s="11" t="s">
        <v>170</v>
      </c>
      <c r="E189">
        <v>1130</v>
      </c>
      <c r="F189">
        <f t="shared" si="2"/>
        <v>2050</v>
      </c>
    </row>
    <row r="190" spans="1:8">
      <c r="A190" s="2">
        <v>42530</v>
      </c>
      <c r="B190" s="1" t="s">
        <v>11</v>
      </c>
      <c r="C190" s="11" t="s">
        <v>27</v>
      </c>
      <c r="D190">
        <v>1500</v>
      </c>
      <c r="F190">
        <f t="shared" si="2"/>
        <v>3550</v>
      </c>
    </row>
    <row r="191" spans="1:8">
      <c r="A191" s="2">
        <v>42531</v>
      </c>
      <c r="B191" s="1" t="s">
        <v>11</v>
      </c>
      <c r="C191" s="11" t="s">
        <v>173</v>
      </c>
      <c r="E191">
        <v>1800</v>
      </c>
      <c r="F191">
        <f t="shared" si="2"/>
        <v>1750</v>
      </c>
    </row>
    <row r="192" spans="1:8">
      <c r="A192" s="2">
        <v>42531</v>
      </c>
      <c r="B192" s="1" t="s">
        <v>11</v>
      </c>
      <c r="C192" s="11" t="s">
        <v>27</v>
      </c>
      <c r="D192">
        <v>1350</v>
      </c>
      <c r="F192">
        <f t="shared" si="2"/>
        <v>3100</v>
      </c>
    </row>
    <row r="193" spans="1:7">
      <c r="A193" s="2">
        <v>42531</v>
      </c>
      <c r="B193" s="1" t="s">
        <v>12</v>
      </c>
      <c r="C193" s="11" t="s">
        <v>174</v>
      </c>
      <c r="D193">
        <v>250</v>
      </c>
      <c r="F193">
        <f t="shared" si="2"/>
        <v>3350</v>
      </c>
      <c r="G193">
        <f>3500+820</f>
        <v>4320</v>
      </c>
    </row>
    <row r="194" spans="1:7">
      <c r="A194" s="2">
        <v>42532</v>
      </c>
      <c r="B194" s="1" t="s">
        <v>26</v>
      </c>
      <c r="C194" s="11" t="s">
        <v>175</v>
      </c>
      <c r="E194">
        <v>1000</v>
      </c>
      <c r="F194">
        <f t="shared" si="2"/>
        <v>2350</v>
      </c>
    </row>
    <row r="195" spans="1:7">
      <c r="A195" s="2">
        <v>42532</v>
      </c>
      <c r="B195" s="1" t="s">
        <v>11</v>
      </c>
      <c r="C195" s="11" t="s">
        <v>27</v>
      </c>
      <c r="D195">
        <v>2260</v>
      </c>
      <c r="F195">
        <f t="shared" si="2"/>
        <v>4610</v>
      </c>
      <c r="G195">
        <f>4300+830</f>
        <v>5130</v>
      </c>
    </row>
    <row r="196" spans="1:7">
      <c r="A196" s="2">
        <v>42533</v>
      </c>
      <c r="B196" s="1" t="s">
        <v>12</v>
      </c>
      <c r="C196" s="11" t="s">
        <v>176</v>
      </c>
      <c r="D196">
        <v>250</v>
      </c>
      <c r="F196">
        <f t="shared" si="2"/>
        <v>4860</v>
      </c>
    </row>
    <row r="197" spans="1:7">
      <c r="A197" s="2">
        <v>42533</v>
      </c>
      <c r="B197" s="1" t="s">
        <v>12</v>
      </c>
      <c r="C197" s="11" t="s">
        <v>177</v>
      </c>
      <c r="D197">
        <v>1500</v>
      </c>
      <c r="F197">
        <f t="shared" si="2"/>
        <v>6360</v>
      </c>
    </row>
    <row r="198" spans="1:7">
      <c r="A198" s="2">
        <v>42533</v>
      </c>
      <c r="B198" s="1" t="s">
        <v>12</v>
      </c>
      <c r="C198" s="11" t="s">
        <v>178</v>
      </c>
      <c r="D198">
        <v>500</v>
      </c>
      <c r="F198">
        <f t="shared" si="2"/>
        <v>6860</v>
      </c>
    </row>
    <row r="199" spans="1:7">
      <c r="A199" s="2">
        <v>42533</v>
      </c>
      <c r="B199" s="1" t="s">
        <v>12</v>
      </c>
      <c r="C199" s="11" t="s">
        <v>179</v>
      </c>
      <c r="D199">
        <v>160</v>
      </c>
      <c r="F199">
        <f t="shared" si="2"/>
        <v>7020</v>
      </c>
    </row>
    <row r="200" spans="1:7">
      <c r="A200" s="2">
        <v>42533</v>
      </c>
      <c r="B200" s="1" t="s">
        <v>12</v>
      </c>
      <c r="C200" s="11" t="s">
        <v>180</v>
      </c>
      <c r="D200">
        <v>500</v>
      </c>
      <c r="F200">
        <f t="shared" si="2"/>
        <v>7520</v>
      </c>
    </row>
    <row r="201" spans="1:7">
      <c r="A201" s="2">
        <v>42533</v>
      </c>
      <c r="B201" s="1" t="s">
        <v>12</v>
      </c>
      <c r="C201" s="11" t="s">
        <v>181</v>
      </c>
      <c r="D201">
        <v>500</v>
      </c>
      <c r="F201">
        <f t="shared" si="2"/>
        <v>8020</v>
      </c>
    </row>
    <row r="202" spans="1:7">
      <c r="A202" s="2">
        <v>42533</v>
      </c>
      <c r="B202" s="1" t="s">
        <v>11</v>
      </c>
      <c r="C202" s="11" t="s">
        <v>27</v>
      </c>
      <c r="D202">
        <v>2900</v>
      </c>
      <c r="F202">
        <f t="shared" si="2"/>
        <v>10920</v>
      </c>
    </row>
    <row r="203" spans="1:7">
      <c r="A203" s="2">
        <v>42534</v>
      </c>
      <c r="B203" s="1" t="s">
        <v>11</v>
      </c>
      <c r="C203" s="11" t="s">
        <v>32</v>
      </c>
      <c r="E203">
        <v>1420</v>
      </c>
      <c r="F203">
        <f t="shared" si="2"/>
        <v>9500</v>
      </c>
    </row>
    <row r="204" spans="1:7">
      <c r="A204" s="2">
        <v>42534</v>
      </c>
      <c r="B204" s="1" t="s">
        <v>11</v>
      </c>
      <c r="C204" s="11" t="s">
        <v>182</v>
      </c>
      <c r="E204">
        <v>445</v>
      </c>
      <c r="F204">
        <f t="shared" si="2"/>
        <v>9055</v>
      </c>
    </row>
    <row r="205" spans="1:7">
      <c r="A205" s="2">
        <v>42534</v>
      </c>
      <c r="B205" s="1" t="s">
        <v>11</v>
      </c>
      <c r="C205" s="11" t="s">
        <v>30</v>
      </c>
      <c r="E205">
        <v>200</v>
      </c>
      <c r="F205">
        <f t="shared" si="2"/>
        <v>8855</v>
      </c>
    </row>
    <row r="206" spans="1:7">
      <c r="A206" s="2">
        <v>42534</v>
      </c>
      <c r="B206" s="1" t="s">
        <v>42</v>
      </c>
      <c r="C206" s="11" t="s">
        <v>55</v>
      </c>
      <c r="E206">
        <v>6000</v>
      </c>
      <c r="F206">
        <f t="shared" si="2"/>
        <v>2855</v>
      </c>
    </row>
    <row r="207" spans="1:7">
      <c r="A207" s="2">
        <v>42534</v>
      </c>
      <c r="B207" s="1" t="s">
        <v>13</v>
      </c>
      <c r="C207" s="11" t="s">
        <v>183</v>
      </c>
      <c r="D207">
        <v>300</v>
      </c>
      <c r="F207">
        <f t="shared" si="2"/>
        <v>3155</v>
      </c>
    </row>
    <row r="208" spans="1:7">
      <c r="A208" s="2">
        <v>42534</v>
      </c>
      <c r="B208" s="1" t="s">
        <v>13</v>
      </c>
      <c r="C208" s="11" t="s">
        <v>20</v>
      </c>
      <c r="E208">
        <v>1000</v>
      </c>
      <c r="F208">
        <f t="shared" si="2"/>
        <v>2155</v>
      </c>
    </row>
    <row r="209" spans="1:7">
      <c r="A209" s="2">
        <v>42534</v>
      </c>
      <c r="B209" s="1" t="s">
        <v>12</v>
      </c>
      <c r="C209" s="11" t="s">
        <v>184</v>
      </c>
      <c r="D209">
        <v>240</v>
      </c>
      <c r="F209">
        <f t="shared" si="2"/>
        <v>2395</v>
      </c>
    </row>
    <row r="210" spans="1:7">
      <c r="A210" s="2">
        <v>42534</v>
      </c>
      <c r="B210" s="1" t="s">
        <v>11</v>
      </c>
      <c r="C210" s="11" t="s">
        <v>27</v>
      </c>
      <c r="D210">
        <v>2235</v>
      </c>
      <c r="F210">
        <f t="shared" si="2"/>
        <v>4630</v>
      </c>
    </row>
    <row r="211" spans="1:7">
      <c r="A211" s="2">
        <v>42534</v>
      </c>
      <c r="B211" s="1" t="s">
        <v>13</v>
      </c>
      <c r="C211" s="11" t="s">
        <v>185</v>
      </c>
      <c r="E211">
        <v>235</v>
      </c>
      <c r="F211">
        <f t="shared" si="2"/>
        <v>4395</v>
      </c>
    </row>
    <row r="212" spans="1:7">
      <c r="A212" s="2">
        <v>42535</v>
      </c>
      <c r="B212" s="1" t="s">
        <v>11</v>
      </c>
      <c r="C212" s="11" t="s">
        <v>28</v>
      </c>
      <c r="E212">
        <v>1000</v>
      </c>
      <c r="F212">
        <f t="shared" si="2"/>
        <v>3395</v>
      </c>
    </row>
    <row r="213" spans="1:7">
      <c r="A213" s="2">
        <v>42535</v>
      </c>
      <c r="B213" s="1" t="s">
        <v>12</v>
      </c>
      <c r="C213" s="11" t="s">
        <v>186</v>
      </c>
      <c r="D213">
        <v>2000</v>
      </c>
      <c r="F213">
        <f t="shared" si="2"/>
        <v>5395</v>
      </c>
    </row>
    <row r="214" spans="1:7">
      <c r="A214" s="2">
        <v>42535</v>
      </c>
      <c r="B214" s="1" t="s">
        <v>12</v>
      </c>
      <c r="C214" s="11" t="s">
        <v>187</v>
      </c>
      <c r="D214">
        <v>500</v>
      </c>
      <c r="F214">
        <f t="shared" ref="F214:F277" si="3">F213+D214-E214</f>
        <v>5895</v>
      </c>
    </row>
    <row r="215" spans="1:7">
      <c r="A215" s="2">
        <v>42535</v>
      </c>
      <c r="B215" s="1" t="s">
        <v>12</v>
      </c>
      <c r="C215" s="11" t="s">
        <v>188</v>
      </c>
      <c r="D215">
        <v>160</v>
      </c>
      <c r="F215">
        <f t="shared" si="3"/>
        <v>6055</v>
      </c>
    </row>
    <row r="216" spans="1:7">
      <c r="A216" s="2">
        <v>42535</v>
      </c>
      <c r="B216" s="1" t="s">
        <v>11</v>
      </c>
      <c r="C216" s="11" t="s">
        <v>27</v>
      </c>
      <c r="D216">
        <v>1900</v>
      </c>
      <c r="F216">
        <f t="shared" si="3"/>
        <v>7955</v>
      </c>
    </row>
    <row r="217" spans="1:7">
      <c r="A217" s="2">
        <v>42536</v>
      </c>
      <c r="B217" s="1" t="s">
        <v>12</v>
      </c>
      <c r="C217" s="11" t="s">
        <v>189</v>
      </c>
      <c r="D217">
        <v>300</v>
      </c>
      <c r="F217">
        <f t="shared" si="3"/>
        <v>8255</v>
      </c>
    </row>
    <row r="218" spans="1:7">
      <c r="A218" s="2">
        <v>42536</v>
      </c>
      <c r="B218" s="1" t="s">
        <v>69</v>
      </c>
      <c r="C218" s="11" t="s">
        <v>191</v>
      </c>
      <c r="E218">
        <v>2500</v>
      </c>
      <c r="F218">
        <f t="shared" si="3"/>
        <v>5755</v>
      </c>
    </row>
    <row r="219" spans="1:7">
      <c r="A219" s="2">
        <v>42536</v>
      </c>
      <c r="B219" s="1" t="s">
        <v>11</v>
      </c>
      <c r="C219" s="11" t="s">
        <v>27</v>
      </c>
      <c r="D219">
        <v>1520</v>
      </c>
      <c r="F219">
        <f t="shared" si="3"/>
        <v>7275</v>
      </c>
    </row>
    <row r="220" spans="1:7">
      <c r="A220" s="2">
        <v>42537</v>
      </c>
      <c r="B220" s="1" t="s">
        <v>11</v>
      </c>
      <c r="C220" s="11" t="s">
        <v>27</v>
      </c>
      <c r="D220">
        <v>1480</v>
      </c>
      <c r="F220">
        <f t="shared" si="3"/>
        <v>8755</v>
      </c>
    </row>
    <row r="221" spans="1:7">
      <c r="A221" s="2">
        <v>42537</v>
      </c>
      <c r="B221" s="1" t="s">
        <v>12</v>
      </c>
      <c r="C221" s="11" t="s">
        <v>200</v>
      </c>
      <c r="D221">
        <v>120</v>
      </c>
      <c r="F221">
        <f t="shared" si="3"/>
        <v>8875</v>
      </c>
    </row>
    <row r="222" spans="1:7">
      <c r="A222" s="2">
        <v>42537</v>
      </c>
      <c r="B222" s="1" t="s">
        <v>13</v>
      </c>
      <c r="C222" s="11" t="s">
        <v>201</v>
      </c>
      <c r="E222">
        <v>1000</v>
      </c>
      <c r="F222">
        <f t="shared" si="3"/>
        <v>7875</v>
      </c>
    </row>
    <row r="223" spans="1:7">
      <c r="A223" s="2">
        <v>42538</v>
      </c>
      <c r="B223" s="1" t="s">
        <v>11</v>
      </c>
      <c r="C223" s="11" t="s">
        <v>34</v>
      </c>
      <c r="E223">
        <v>6760</v>
      </c>
      <c r="F223">
        <f t="shared" si="3"/>
        <v>1115</v>
      </c>
    </row>
    <row r="224" spans="1:7">
      <c r="A224" s="2">
        <v>42538</v>
      </c>
      <c r="B224" s="1" t="s">
        <v>11</v>
      </c>
      <c r="C224" s="11" t="s">
        <v>27</v>
      </c>
      <c r="D224">
        <v>1000</v>
      </c>
      <c r="F224">
        <f t="shared" si="3"/>
        <v>2115</v>
      </c>
      <c r="G224">
        <f>1450+840</f>
        <v>2290</v>
      </c>
    </row>
    <row r="225" spans="1:6">
      <c r="A225" s="2">
        <v>42539</v>
      </c>
      <c r="B225" s="1" t="s">
        <v>12</v>
      </c>
      <c r="C225" s="11" t="s">
        <v>202</v>
      </c>
      <c r="D225">
        <v>120</v>
      </c>
      <c r="F225">
        <f t="shared" si="3"/>
        <v>2235</v>
      </c>
    </row>
    <row r="226" spans="1:6">
      <c r="A226" s="2">
        <v>42539</v>
      </c>
      <c r="B226" s="1" t="s">
        <v>12</v>
      </c>
      <c r="C226" s="11" t="s">
        <v>203</v>
      </c>
      <c r="D226">
        <v>110</v>
      </c>
      <c r="F226">
        <f t="shared" si="3"/>
        <v>2345</v>
      </c>
    </row>
    <row r="227" spans="1:6">
      <c r="A227" s="2">
        <v>42539</v>
      </c>
      <c r="B227" s="1" t="s">
        <v>12</v>
      </c>
      <c r="C227" s="11" t="s">
        <v>51</v>
      </c>
      <c r="D227">
        <v>320</v>
      </c>
      <c r="F227">
        <f t="shared" si="3"/>
        <v>2665</v>
      </c>
    </row>
    <row r="228" spans="1:6">
      <c r="A228" s="2">
        <v>42540</v>
      </c>
      <c r="B228" s="1" t="s">
        <v>11</v>
      </c>
      <c r="C228" s="11" t="s">
        <v>27</v>
      </c>
      <c r="D228">
        <v>750</v>
      </c>
      <c r="F228">
        <f t="shared" si="3"/>
        <v>3415</v>
      </c>
    </row>
    <row r="229" spans="1:6">
      <c r="A229" s="2">
        <v>42540</v>
      </c>
      <c r="B229" s="1" t="s">
        <v>11</v>
      </c>
      <c r="C229" s="11" t="s">
        <v>28</v>
      </c>
      <c r="E229">
        <v>200</v>
      </c>
      <c r="F229">
        <f t="shared" si="3"/>
        <v>3215</v>
      </c>
    </row>
    <row r="230" spans="1:6">
      <c r="A230" s="2">
        <v>42540</v>
      </c>
      <c r="B230" s="1" t="s">
        <v>12</v>
      </c>
      <c r="C230" s="11" t="s">
        <v>204</v>
      </c>
      <c r="D230">
        <v>500</v>
      </c>
      <c r="F230">
        <f t="shared" si="3"/>
        <v>3715</v>
      </c>
    </row>
    <row r="231" spans="1:6">
      <c r="A231" s="2">
        <v>42540</v>
      </c>
      <c r="B231" s="1" t="s">
        <v>12</v>
      </c>
      <c r="C231" s="11" t="s">
        <v>206</v>
      </c>
      <c r="D231">
        <v>160</v>
      </c>
      <c r="F231">
        <f t="shared" si="3"/>
        <v>3875</v>
      </c>
    </row>
    <row r="232" spans="1:6">
      <c r="A232" s="2">
        <v>42540</v>
      </c>
      <c r="B232" s="1" t="s">
        <v>12</v>
      </c>
      <c r="C232" s="11" t="s">
        <v>119</v>
      </c>
      <c r="D232">
        <v>80</v>
      </c>
      <c r="F232">
        <f t="shared" si="3"/>
        <v>3955</v>
      </c>
    </row>
    <row r="233" spans="1:6">
      <c r="A233" s="2">
        <v>42540</v>
      </c>
      <c r="B233" s="1" t="s">
        <v>11</v>
      </c>
      <c r="C233" s="11" t="s">
        <v>27</v>
      </c>
      <c r="D233">
        <v>2000</v>
      </c>
      <c r="F233">
        <f t="shared" si="3"/>
        <v>5955</v>
      </c>
    </row>
    <row r="234" spans="1:6">
      <c r="A234" s="2">
        <v>42540</v>
      </c>
      <c r="B234" s="1" t="s">
        <v>11</v>
      </c>
      <c r="C234" s="11" t="s">
        <v>28</v>
      </c>
      <c r="E234">
        <v>600</v>
      </c>
      <c r="F234">
        <f t="shared" si="3"/>
        <v>5355</v>
      </c>
    </row>
    <row r="235" spans="1:6">
      <c r="A235" s="2">
        <v>42540</v>
      </c>
      <c r="B235" s="1" t="s">
        <v>13</v>
      </c>
      <c r="C235" s="11" t="s">
        <v>175</v>
      </c>
      <c r="E235">
        <v>800</v>
      </c>
      <c r="F235">
        <f t="shared" si="3"/>
        <v>4555</v>
      </c>
    </row>
    <row r="236" spans="1:6">
      <c r="A236" s="2">
        <v>42541</v>
      </c>
      <c r="B236" s="1" t="s">
        <v>11</v>
      </c>
      <c r="C236" s="11" t="s">
        <v>27</v>
      </c>
      <c r="D236">
        <v>2550</v>
      </c>
      <c r="F236">
        <f t="shared" si="3"/>
        <v>7105</v>
      </c>
    </row>
    <row r="237" spans="1:6">
      <c r="A237" s="2">
        <v>42541</v>
      </c>
      <c r="B237" s="1" t="s">
        <v>12</v>
      </c>
      <c r="C237" s="11" t="s">
        <v>207</v>
      </c>
      <c r="D237">
        <f>220+160</f>
        <v>380</v>
      </c>
      <c r="F237">
        <f t="shared" si="3"/>
        <v>7485</v>
      </c>
    </row>
    <row r="238" spans="1:6">
      <c r="A238" s="2">
        <v>42541</v>
      </c>
      <c r="B238" s="1" t="s">
        <v>12</v>
      </c>
      <c r="C238" s="11" t="s">
        <v>206</v>
      </c>
      <c r="D238">
        <v>160</v>
      </c>
      <c r="F238">
        <f t="shared" si="3"/>
        <v>7645</v>
      </c>
    </row>
    <row r="239" spans="1:6">
      <c r="A239" s="2">
        <v>42542</v>
      </c>
      <c r="B239" s="1" t="s">
        <v>11</v>
      </c>
      <c r="C239" s="11" t="s">
        <v>27</v>
      </c>
      <c r="D239">
        <v>1100</v>
      </c>
      <c r="F239">
        <f t="shared" si="3"/>
        <v>8745</v>
      </c>
    </row>
    <row r="240" spans="1:6">
      <c r="A240" s="2">
        <v>42542</v>
      </c>
      <c r="B240" s="1" t="s">
        <v>42</v>
      </c>
      <c r="C240" s="11" t="s">
        <v>38</v>
      </c>
      <c r="E240">
        <v>7000</v>
      </c>
      <c r="F240">
        <f t="shared" si="3"/>
        <v>1745</v>
      </c>
    </row>
    <row r="241" spans="1:6">
      <c r="A241" s="2">
        <v>42542</v>
      </c>
      <c r="B241" s="1" t="s">
        <v>13</v>
      </c>
      <c r="C241" s="11" t="s">
        <v>38</v>
      </c>
      <c r="D241">
        <v>220</v>
      </c>
      <c r="F241">
        <f t="shared" si="3"/>
        <v>1965</v>
      </c>
    </row>
    <row r="242" spans="1:6">
      <c r="A242" s="2">
        <v>42543</v>
      </c>
      <c r="B242" s="1" t="s">
        <v>11</v>
      </c>
      <c r="C242" s="11" t="s">
        <v>19</v>
      </c>
      <c r="E242">
        <v>100</v>
      </c>
      <c r="F242">
        <f t="shared" si="3"/>
        <v>1865</v>
      </c>
    </row>
    <row r="243" spans="1:6">
      <c r="A243" s="2">
        <v>42543</v>
      </c>
      <c r="B243" s="1" t="s">
        <v>13</v>
      </c>
      <c r="C243" s="11" t="s">
        <v>175</v>
      </c>
      <c r="E243">
        <v>100</v>
      </c>
      <c r="F243">
        <f t="shared" si="3"/>
        <v>1765</v>
      </c>
    </row>
    <row r="244" spans="1:6">
      <c r="A244" s="2">
        <v>42543</v>
      </c>
      <c r="B244" s="1" t="s">
        <v>11</v>
      </c>
      <c r="C244" s="11" t="s">
        <v>208</v>
      </c>
      <c r="E244">
        <v>200</v>
      </c>
      <c r="F244">
        <f t="shared" si="3"/>
        <v>1565</v>
      </c>
    </row>
    <row r="245" spans="1:6">
      <c r="A245" s="2">
        <v>42543</v>
      </c>
      <c r="B245" s="1" t="s">
        <v>11</v>
      </c>
      <c r="C245" s="11" t="s">
        <v>209</v>
      </c>
      <c r="E245">
        <v>60</v>
      </c>
      <c r="F245">
        <f t="shared" si="3"/>
        <v>1505</v>
      </c>
    </row>
    <row r="246" spans="1:6">
      <c r="A246" s="2">
        <v>42543</v>
      </c>
      <c r="B246" s="1" t="s">
        <v>11</v>
      </c>
      <c r="C246" s="11" t="s">
        <v>210</v>
      </c>
      <c r="E246">
        <v>400</v>
      </c>
      <c r="F246">
        <f t="shared" si="3"/>
        <v>1105</v>
      </c>
    </row>
    <row r="247" spans="1:6">
      <c r="A247" s="2">
        <v>42543</v>
      </c>
      <c r="B247" s="1" t="s">
        <v>11</v>
      </c>
      <c r="C247" s="11" t="s">
        <v>27</v>
      </c>
      <c r="D247">
        <v>1640</v>
      </c>
      <c r="F247">
        <f t="shared" si="3"/>
        <v>2745</v>
      </c>
    </row>
    <row r="248" spans="1:6">
      <c r="A248" s="2">
        <v>42544</v>
      </c>
      <c r="B248" s="1" t="s">
        <v>12</v>
      </c>
      <c r="C248" s="11" t="s">
        <v>211</v>
      </c>
      <c r="D248">
        <v>1500</v>
      </c>
      <c r="F248">
        <f t="shared" si="3"/>
        <v>4245</v>
      </c>
    </row>
    <row r="249" spans="1:6">
      <c r="A249" s="2">
        <v>42545</v>
      </c>
      <c r="B249" s="1" t="s">
        <v>13</v>
      </c>
      <c r="C249" s="11" t="s">
        <v>44</v>
      </c>
      <c r="E249">
        <v>600</v>
      </c>
      <c r="F249">
        <f t="shared" si="3"/>
        <v>3645</v>
      </c>
    </row>
    <row r="250" spans="1:6">
      <c r="A250" s="2">
        <v>42545</v>
      </c>
      <c r="B250" s="1" t="s">
        <v>12</v>
      </c>
      <c r="C250" s="11" t="s">
        <v>212</v>
      </c>
      <c r="D250">
        <v>150</v>
      </c>
      <c r="F250">
        <f t="shared" si="3"/>
        <v>3795</v>
      </c>
    </row>
    <row r="251" spans="1:6">
      <c r="A251" s="2">
        <v>42545</v>
      </c>
      <c r="B251" s="1" t="s">
        <v>11</v>
      </c>
      <c r="C251" s="11" t="s">
        <v>27</v>
      </c>
      <c r="D251">
        <v>1750</v>
      </c>
      <c r="F251">
        <f t="shared" si="3"/>
        <v>5545</v>
      </c>
    </row>
    <row r="252" spans="1:6">
      <c r="A252" s="2">
        <v>42546</v>
      </c>
      <c r="B252" s="1" t="s">
        <v>11</v>
      </c>
      <c r="C252" s="11" t="s">
        <v>27</v>
      </c>
      <c r="D252">
        <v>1300</v>
      </c>
      <c r="F252">
        <f t="shared" si="3"/>
        <v>6845</v>
      </c>
    </row>
    <row r="253" spans="1:6">
      <c r="A253" s="2">
        <v>42546</v>
      </c>
      <c r="B253" s="1" t="s">
        <v>12</v>
      </c>
      <c r="C253" s="11" t="s">
        <v>213</v>
      </c>
      <c r="D253">
        <v>800</v>
      </c>
      <c r="F253">
        <f t="shared" si="3"/>
        <v>7645</v>
      </c>
    </row>
    <row r="254" spans="1:6">
      <c r="A254" s="2">
        <v>42547</v>
      </c>
      <c r="B254" s="1" t="s">
        <v>11</v>
      </c>
      <c r="C254" s="11" t="s">
        <v>27</v>
      </c>
      <c r="D254">
        <v>1550</v>
      </c>
      <c r="F254">
        <f t="shared" si="3"/>
        <v>9195</v>
      </c>
    </row>
    <row r="255" spans="1:6">
      <c r="A255" s="2">
        <v>42548</v>
      </c>
      <c r="B255" s="1" t="s">
        <v>11</v>
      </c>
      <c r="C255" s="11" t="s">
        <v>32</v>
      </c>
      <c r="E255">
        <v>1420</v>
      </c>
      <c r="F255">
        <f t="shared" si="3"/>
        <v>7775</v>
      </c>
    </row>
    <row r="256" spans="1:6">
      <c r="A256" s="2">
        <v>42548</v>
      </c>
      <c r="B256" s="1" t="s">
        <v>11</v>
      </c>
      <c r="C256" s="11" t="s">
        <v>62</v>
      </c>
      <c r="E256">
        <v>550</v>
      </c>
      <c r="F256">
        <f t="shared" si="3"/>
        <v>7225</v>
      </c>
    </row>
    <row r="257" spans="1:6">
      <c r="A257" s="2">
        <v>42548</v>
      </c>
      <c r="B257" s="1" t="s">
        <v>11</v>
      </c>
      <c r="C257" s="11" t="s">
        <v>1</v>
      </c>
      <c r="E257">
        <v>400</v>
      </c>
      <c r="F257">
        <f t="shared" si="3"/>
        <v>6825</v>
      </c>
    </row>
    <row r="258" spans="1:6">
      <c r="A258" s="2">
        <v>42548</v>
      </c>
      <c r="B258" s="1" t="s">
        <v>11</v>
      </c>
      <c r="C258" s="11" t="s">
        <v>45</v>
      </c>
      <c r="E258">
        <v>560</v>
      </c>
      <c r="F258">
        <f t="shared" si="3"/>
        <v>6265</v>
      </c>
    </row>
    <row r="259" spans="1:6">
      <c r="A259" s="2">
        <v>42548</v>
      </c>
      <c r="B259" s="1" t="s">
        <v>13</v>
      </c>
      <c r="C259" s="11" t="s">
        <v>47</v>
      </c>
      <c r="E259">
        <v>330</v>
      </c>
      <c r="F259">
        <f t="shared" si="3"/>
        <v>5935</v>
      </c>
    </row>
    <row r="260" spans="1:6">
      <c r="A260" s="2">
        <v>42548</v>
      </c>
      <c r="B260" s="1" t="s">
        <v>13</v>
      </c>
      <c r="C260" s="11" t="s">
        <v>214</v>
      </c>
      <c r="E260">
        <v>320</v>
      </c>
      <c r="F260">
        <f t="shared" si="3"/>
        <v>5615</v>
      </c>
    </row>
    <row r="261" spans="1:6">
      <c r="A261" s="2">
        <v>42548</v>
      </c>
      <c r="B261" s="1" t="s">
        <v>11</v>
      </c>
      <c r="C261" s="11" t="s">
        <v>27</v>
      </c>
      <c r="D261">
        <v>1200</v>
      </c>
      <c r="F261">
        <f t="shared" si="3"/>
        <v>6815</v>
      </c>
    </row>
    <row r="262" spans="1:6">
      <c r="A262" s="2">
        <v>42549</v>
      </c>
      <c r="B262" s="1" t="s">
        <v>11</v>
      </c>
      <c r="C262" s="11" t="s">
        <v>27</v>
      </c>
      <c r="D262">
        <v>1775</v>
      </c>
      <c r="F262">
        <f t="shared" si="3"/>
        <v>8590</v>
      </c>
    </row>
    <row r="263" spans="1:6">
      <c r="A263" s="2">
        <v>42549</v>
      </c>
      <c r="B263" s="1" t="s">
        <v>11</v>
      </c>
      <c r="C263" s="11" t="s">
        <v>215</v>
      </c>
      <c r="D263">
        <v>1200</v>
      </c>
      <c r="F263">
        <f t="shared" si="3"/>
        <v>9790</v>
      </c>
    </row>
    <row r="264" spans="1:6">
      <c r="A264" s="2">
        <v>42549</v>
      </c>
      <c r="B264" s="1" t="s">
        <v>42</v>
      </c>
      <c r="C264" s="11" t="s">
        <v>56</v>
      </c>
      <c r="E264">
        <v>3500</v>
      </c>
      <c r="F264">
        <f t="shared" si="3"/>
        <v>6290</v>
      </c>
    </row>
    <row r="265" spans="1:6">
      <c r="A265" s="2">
        <v>42549</v>
      </c>
      <c r="B265" s="1" t="s">
        <v>11</v>
      </c>
      <c r="C265" s="11" t="s">
        <v>78</v>
      </c>
      <c r="E265">
        <v>4500</v>
      </c>
      <c r="F265">
        <f t="shared" si="3"/>
        <v>1790</v>
      </c>
    </row>
    <row r="266" spans="1:6">
      <c r="A266" s="2">
        <v>42550</v>
      </c>
      <c r="B266" s="1" t="s">
        <v>12</v>
      </c>
      <c r="C266" s="11" t="s">
        <v>216</v>
      </c>
      <c r="D266">
        <v>450</v>
      </c>
      <c r="F266">
        <f t="shared" si="3"/>
        <v>2240</v>
      </c>
    </row>
    <row r="267" spans="1:6">
      <c r="A267" s="2">
        <v>42550</v>
      </c>
      <c r="B267" s="1" t="s">
        <v>11</v>
      </c>
      <c r="C267" s="11" t="s">
        <v>27</v>
      </c>
      <c r="D267">
        <v>1650</v>
      </c>
      <c r="F267">
        <f t="shared" si="3"/>
        <v>3890</v>
      </c>
    </row>
    <row r="268" spans="1:6">
      <c r="A268" s="2">
        <v>42551</v>
      </c>
      <c r="B268" s="1" t="s">
        <v>42</v>
      </c>
      <c r="C268" s="11" t="s">
        <v>55</v>
      </c>
      <c r="E268">
        <v>5500</v>
      </c>
      <c r="F268">
        <f t="shared" si="3"/>
        <v>-1610</v>
      </c>
    </row>
    <row r="269" spans="1:6">
      <c r="A269" s="2">
        <v>42551</v>
      </c>
      <c r="B269" s="1" t="s">
        <v>217</v>
      </c>
      <c r="C269" s="11" t="s">
        <v>218</v>
      </c>
      <c r="D269">
        <v>260</v>
      </c>
      <c r="F269">
        <f t="shared" si="3"/>
        <v>-1350</v>
      </c>
    </row>
    <row r="270" spans="1:6">
      <c r="A270" s="2">
        <v>42551</v>
      </c>
      <c r="B270" s="1" t="s">
        <v>12</v>
      </c>
      <c r="C270" s="11" t="s">
        <v>218</v>
      </c>
      <c r="D270">
        <v>200</v>
      </c>
      <c r="F270">
        <f t="shared" si="3"/>
        <v>-1150</v>
      </c>
    </row>
    <row r="271" spans="1:6">
      <c r="A271" s="2">
        <v>42551</v>
      </c>
      <c r="B271" s="1" t="s">
        <v>12</v>
      </c>
      <c r="C271" s="11" t="s">
        <v>219</v>
      </c>
      <c r="D271">
        <v>690</v>
      </c>
      <c r="F271">
        <f t="shared" si="3"/>
        <v>-460</v>
      </c>
    </row>
    <row r="272" spans="1:6">
      <c r="A272" s="2">
        <v>42551</v>
      </c>
      <c r="B272" s="1" t="s">
        <v>12</v>
      </c>
      <c r="C272" s="11" t="s">
        <v>220</v>
      </c>
      <c r="D272">
        <v>120</v>
      </c>
      <c r="F272">
        <f t="shared" si="3"/>
        <v>-340</v>
      </c>
    </row>
    <row r="273" spans="1:6">
      <c r="A273" s="2">
        <v>42551</v>
      </c>
      <c r="B273" s="1" t="s">
        <v>11</v>
      </c>
      <c r="C273" s="11" t="s">
        <v>27</v>
      </c>
      <c r="D273">
        <v>1380</v>
      </c>
      <c r="F273">
        <f t="shared" si="3"/>
        <v>1040</v>
      </c>
    </row>
    <row r="275" spans="1:6">
      <c r="A275" s="2">
        <v>42552</v>
      </c>
      <c r="C275" s="11" t="s">
        <v>221</v>
      </c>
      <c r="F275">
        <v>530</v>
      </c>
    </row>
    <row r="276" spans="1:6">
      <c r="A276" s="2">
        <v>42552</v>
      </c>
      <c r="B276" s="1" t="s">
        <v>11</v>
      </c>
      <c r="C276" s="11" t="s">
        <v>27</v>
      </c>
      <c r="D276">
        <v>1400</v>
      </c>
      <c r="F276">
        <f t="shared" si="3"/>
        <v>1930</v>
      </c>
    </row>
    <row r="277" spans="1:6">
      <c r="A277" s="2">
        <v>42552</v>
      </c>
      <c r="B277" s="1" t="s">
        <v>11</v>
      </c>
      <c r="C277" s="11" t="s">
        <v>222</v>
      </c>
      <c r="E277">
        <v>200</v>
      </c>
      <c r="F277">
        <f t="shared" si="3"/>
        <v>1730</v>
      </c>
    </row>
    <row r="278" spans="1:6">
      <c r="A278" s="2">
        <v>42552</v>
      </c>
      <c r="B278" s="1" t="s">
        <v>11</v>
      </c>
      <c r="C278" s="11" t="s">
        <v>223</v>
      </c>
      <c r="E278">
        <v>260</v>
      </c>
      <c r="F278">
        <f t="shared" ref="F278:F342" si="4">F277+D278-E278</f>
        <v>1470</v>
      </c>
    </row>
    <row r="279" spans="1:6">
      <c r="A279" s="2">
        <v>42552</v>
      </c>
      <c r="B279" s="1" t="s">
        <v>11</v>
      </c>
      <c r="C279" s="11" t="s">
        <v>37</v>
      </c>
      <c r="E279">
        <v>150</v>
      </c>
      <c r="F279">
        <f t="shared" si="4"/>
        <v>1320</v>
      </c>
    </row>
    <row r="280" spans="1:6">
      <c r="A280" s="2">
        <v>42552</v>
      </c>
      <c r="B280" s="1" t="s">
        <v>12</v>
      </c>
      <c r="C280" s="11" t="s">
        <v>224</v>
      </c>
      <c r="D280">
        <v>500</v>
      </c>
      <c r="F280">
        <f t="shared" si="4"/>
        <v>1820</v>
      </c>
    </row>
    <row r="281" spans="1:6">
      <c r="A281" s="2">
        <v>42552</v>
      </c>
      <c r="B281" s="1" t="s">
        <v>12</v>
      </c>
      <c r="C281" s="11" t="s">
        <v>225</v>
      </c>
      <c r="D281">
        <v>400</v>
      </c>
      <c r="F281">
        <f t="shared" si="4"/>
        <v>2220</v>
      </c>
    </row>
    <row r="282" spans="1:6">
      <c r="A282" s="2">
        <v>42553</v>
      </c>
      <c r="B282" s="1" t="s">
        <v>12</v>
      </c>
      <c r="C282" s="11" t="s">
        <v>226</v>
      </c>
      <c r="D282">
        <v>650</v>
      </c>
      <c r="F282">
        <f t="shared" si="4"/>
        <v>2870</v>
      </c>
    </row>
    <row r="283" spans="1:6">
      <c r="A283" s="2">
        <v>42553</v>
      </c>
      <c r="B283" s="1" t="s">
        <v>12</v>
      </c>
      <c r="C283" s="11" t="s">
        <v>227</v>
      </c>
      <c r="D283">
        <v>250</v>
      </c>
      <c r="F283">
        <f t="shared" si="4"/>
        <v>3120</v>
      </c>
    </row>
    <row r="284" spans="1:6">
      <c r="A284" s="2">
        <v>42553</v>
      </c>
      <c r="B284" s="1" t="s">
        <v>12</v>
      </c>
      <c r="C284" s="11" t="s">
        <v>228</v>
      </c>
      <c r="D284">
        <v>700</v>
      </c>
      <c r="F284">
        <f t="shared" si="4"/>
        <v>3820</v>
      </c>
    </row>
    <row r="285" spans="1:6">
      <c r="A285" s="2">
        <v>42553</v>
      </c>
      <c r="B285" s="1" t="s">
        <v>11</v>
      </c>
      <c r="C285" s="11" t="s">
        <v>68</v>
      </c>
      <c r="D285">
        <v>990</v>
      </c>
      <c r="F285">
        <f t="shared" si="4"/>
        <v>4810</v>
      </c>
    </row>
    <row r="286" spans="1:6">
      <c r="A286" s="2">
        <v>42553</v>
      </c>
      <c r="B286" s="1" t="s">
        <v>26</v>
      </c>
      <c r="C286" s="11" t="s">
        <v>229</v>
      </c>
      <c r="D286">
        <v>300</v>
      </c>
      <c r="F286">
        <f t="shared" si="4"/>
        <v>5110</v>
      </c>
    </row>
    <row r="287" spans="1:6">
      <c r="A287" s="2">
        <v>42553</v>
      </c>
      <c r="B287" s="1" t="s">
        <v>42</v>
      </c>
      <c r="C287" s="11" t="s">
        <v>50</v>
      </c>
      <c r="E287">
        <v>2500</v>
      </c>
      <c r="F287">
        <f t="shared" si="4"/>
        <v>2610</v>
      </c>
    </row>
    <row r="288" spans="1:6">
      <c r="A288" s="2">
        <v>42553</v>
      </c>
      <c r="B288" s="1" t="s">
        <v>12</v>
      </c>
      <c r="C288" s="11" t="s">
        <v>77</v>
      </c>
      <c r="D288">
        <v>50</v>
      </c>
      <c r="F288">
        <f t="shared" si="4"/>
        <v>2660</v>
      </c>
    </row>
    <row r="289" spans="1:6">
      <c r="A289" s="2">
        <v>42554</v>
      </c>
      <c r="B289" s="1" t="s">
        <v>12</v>
      </c>
      <c r="C289" s="15">
        <v>0.12708333333333333</v>
      </c>
      <c r="D289">
        <v>50</v>
      </c>
      <c r="F289">
        <f t="shared" si="4"/>
        <v>2710</v>
      </c>
    </row>
    <row r="290" spans="1:6">
      <c r="A290" s="2">
        <v>42554</v>
      </c>
      <c r="B290" s="1" t="s">
        <v>12</v>
      </c>
      <c r="C290" s="11" t="s">
        <v>230</v>
      </c>
      <c r="D290">
        <v>40</v>
      </c>
      <c r="F290">
        <f t="shared" si="4"/>
        <v>2750</v>
      </c>
    </row>
    <row r="291" spans="1:6">
      <c r="A291" s="2">
        <v>42554</v>
      </c>
      <c r="B291" s="1" t="s">
        <v>12</v>
      </c>
      <c r="C291" s="11" t="s">
        <v>231</v>
      </c>
      <c r="D291">
        <v>700</v>
      </c>
      <c r="F291">
        <f t="shared" si="4"/>
        <v>3450</v>
      </c>
    </row>
    <row r="292" spans="1:6">
      <c r="A292" s="2">
        <v>42554</v>
      </c>
      <c r="B292" s="1" t="s">
        <v>12</v>
      </c>
      <c r="C292" s="11" t="s">
        <v>39</v>
      </c>
      <c r="D292">
        <v>300</v>
      </c>
      <c r="F292">
        <f t="shared" si="4"/>
        <v>3750</v>
      </c>
    </row>
    <row r="293" spans="1:6">
      <c r="A293" s="2">
        <v>42554</v>
      </c>
      <c r="B293" s="1" t="s">
        <v>12</v>
      </c>
      <c r="C293" s="11" t="s">
        <v>232</v>
      </c>
      <c r="D293">
        <v>4000</v>
      </c>
      <c r="F293">
        <f t="shared" si="4"/>
        <v>7750</v>
      </c>
    </row>
    <row r="294" spans="1:6">
      <c r="A294" s="2">
        <v>42554</v>
      </c>
      <c r="B294" s="1" t="s">
        <v>12</v>
      </c>
      <c r="C294" s="11" t="s">
        <v>233</v>
      </c>
      <c r="D294">
        <v>250</v>
      </c>
      <c r="F294">
        <f t="shared" si="4"/>
        <v>8000</v>
      </c>
    </row>
    <row r="295" spans="1:6">
      <c r="A295" s="2">
        <v>42554</v>
      </c>
      <c r="B295" s="1" t="s">
        <v>11</v>
      </c>
      <c r="C295" s="11" t="s">
        <v>27</v>
      </c>
      <c r="D295">
        <v>770</v>
      </c>
      <c r="F295">
        <f t="shared" si="4"/>
        <v>8770</v>
      </c>
    </row>
    <row r="296" spans="1:6">
      <c r="A296" s="2">
        <v>42555</v>
      </c>
      <c r="B296" s="1" t="s">
        <v>12</v>
      </c>
      <c r="C296" s="11" t="s">
        <v>234</v>
      </c>
      <c r="D296">
        <v>260</v>
      </c>
      <c r="F296">
        <f t="shared" si="4"/>
        <v>9030</v>
      </c>
    </row>
    <row r="297" spans="1:6">
      <c r="A297" s="2">
        <v>42555</v>
      </c>
      <c r="B297" s="1" t="s">
        <v>12</v>
      </c>
      <c r="C297" s="11" t="s">
        <v>235</v>
      </c>
      <c r="D297">
        <v>440</v>
      </c>
      <c r="F297">
        <f t="shared" si="4"/>
        <v>9470</v>
      </c>
    </row>
    <row r="298" spans="1:6">
      <c r="A298" s="2">
        <v>42555</v>
      </c>
      <c r="B298" s="1" t="s">
        <v>11</v>
      </c>
      <c r="C298" s="11" t="s">
        <v>27</v>
      </c>
      <c r="D298">
        <v>1500</v>
      </c>
      <c r="F298">
        <f t="shared" si="4"/>
        <v>10970</v>
      </c>
    </row>
    <row r="299" spans="1:6">
      <c r="A299" s="2">
        <v>42555</v>
      </c>
      <c r="B299" s="1" t="s">
        <v>13</v>
      </c>
      <c r="C299" s="11" t="s">
        <v>246</v>
      </c>
      <c r="E299">
        <v>750</v>
      </c>
      <c r="F299">
        <f t="shared" si="4"/>
        <v>10220</v>
      </c>
    </row>
    <row r="300" spans="1:6">
      <c r="A300" s="2">
        <v>42555</v>
      </c>
      <c r="B300" s="1" t="s">
        <v>26</v>
      </c>
      <c r="C300" s="11" t="s">
        <v>236</v>
      </c>
      <c r="E300">
        <v>6500</v>
      </c>
      <c r="F300">
        <f t="shared" si="4"/>
        <v>3720</v>
      </c>
    </row>
    <row r="301" spans="1:6">
      <c r="A301" s="2">
        <v>42555</v>
      </c>
      <c r="B301" s="1" t="s">
        <v>13</v>
      </c>
      <c r="C301" s="11" t="s">
        <v>47</v>
      </c>
      <c r="E301">
        <f>500+200</f>
        <v>700</v>
      </c>
      <c r="F301">
        <f t="shared" si="4"/>
        <v>3020</v>
      </c>
    </row>
    <row r="302" spans="1:6">
      <c r="A302" s="2">
        <v>42556</v>
      </c>
      <c r="B302" s="1" t="s">
        <v>11</v>
      </c>
      <c r="C302" s="11" t="s">
        <v>170</v>
      </c>
      <c r="E302">
        <v>1400</v>
      </c>
      <c r="F302">
        <f t="shared" si="4"/>
        <v>1620</v>
      </c>
    </row>
    <row r="303" spans="1:6">
      <c r="A303" s="2">
        <v>42556</v>
      </c>
      <c r="B303" s="1" t="s">
        <v>11</v>
      </c>
      <c r="C303" s="11" t="s">
        <v>27</v>
      </c>
      <c r="D303">
        <v>1320</v>
      </c>
      <c r="F303">
        <f t="shared" si="4"/>
        <v>2940</v>
      </c>
    </row>
    <row r="304" spans="1:6">
      <c r="A304" s="2">
        <v>42556</v>
      </c>
      <c r="B304" s="1" t="s">
        <v>11</v>
      </c>
      <c r="C304" s="11" t="s">
        <v>28</v>
      </c>
      <c r="E304">
        <v>1000</v>
      </c>
      <c r="F304">
        <f t="shared" si="4"/>
        <v>1940</v>
      </c>
    </row>
    <row r="305" spans="1:13">
      <c r="A305" s="2">
        <v>42556</v>
      </c>
      <c r="B305" s="1" t="s">
        <v>12</v>
      </c>
      <c r="C305" s="11" t="s">
        <v>237</v>
      </c>
      <c r="D305">
        <v>400</v>
      </c>
      <c r="F305">
        <f t="shared" si="4"/>
        <v>2340</v>
      </c>
    </row>
    <row r="306" spans="1:13">
      <c r="A306" s="2">
        <v>42556</v>
      </c>
      <c r="B306" s="1" t="s">
        <v>13</v>
      </c>
      <c r="C306" s="11" t="s">
        <v>38</v>
      </c>
      <c r="D306">
        <v>300</v>
      </c>
      <c r="F306">
        <f t="shared" si="4"/>
        <v>2640</v>
      </c>
      <c r="G306">
        <f>1600+870</f>
        <v>2470</v>
      </c>
      <c r="H306">
        <f>F306-G306</f>
        <v>170</v>
      </c>
    </row>
    <row r="307" spans="1:13">
      <c r="A307" s="2">
        <v>42556</v>
      </c>
      <c r="B307" s="1" t="s">
        <v>13</v>
      </c>
      <c r="C307" s="11" t="s">
        <v>238</v>
      </c>
      <c r="E307">
        <v>500</v>
      </c>
      <c r="F307">
        <f t="shared" si="4"/>
        <v>2140</v>
      </c>
    </row>
    <row r="308" spans="1:13">
      <c r="A308" s="2">
        <v>42557</v>
      </c>
      <c r="B308" s="1" t="s">
        <v>13</v>
      </c>
      <c r="C308" s="11" t="s">
        <v>47</v>
      </c>
      <c r="E308">
        <v>700</v>
      </c>
      <c r="F308">
        <f t="shared" si="4"/>
        <v>1440</v>
      </c>
    </row>
    <row r="309" spans="1:13">
      <c r="A309" s="2">
        <v>42557</v>
      </c>
      <c r="B309" s="1" t="s">
        <v>12</v>
      </c>
      <c r="C309" s="11" t="s">
        <v>227</v>
      </c>
      <c r="D309">
        <v>250</v>
      </c>
      <c r="F309">
        <f t="shared" si="4"/>
        <v>1690</v>
      </c>
    </row>
    <row r="310" spans="1:13">
      <c r="A310" s="2">
        <v>42557</v>
      </c>
      <c r="B310" s="1" t="s">
        <v>12</v>
      </c>
      <c r="C310" s="11" t="s">
        <v>239</v>
      </c>
      <c r="D310">
        <v>400</v>
      </c>
      <c r="F310">
        <f t="shared" si="4"/>
        <v>2090</v>
      </c>
    </row>
    <row r="311" spans="1:13">
      <c r="A311" s="2">
        <v>42558</v>
      </c>
      <c r="B311" s="1" t="s">
        <v>12</v>
      </c>
      <c r="C311" s="11" t="s">
        <v>240</v>
      </c>
      <c r="D311">
        <v>900</v>
      </c>
      <c r="F311">
        <f t="shared" si="4"/>
        <v>2990</v>
      </c>
      <c r="H311" s="1"/>
      <c r="I311" s="1"/>
      <c r="J311" s="1"/>
      <c r="K311" s="1"/>
      <c r="L311" s="1"/>
    </row>
    <row r="312" spans="1:13">
      <c r="A312" s="2">
        <v>42558</v>
      </c>
      <c r="B312" s="1" t="s">
        <v>12</v>
      </c>
      <c r="C312" s="11" t="s">
        <v>39</v>
      </c>
      <c r="D312">
        <v>500</v>
      </c>
      <c r="F312">
        <f t="shared" si="4"/>
        <v>3490</v>
      </c>
      <c r="H312" s="1"/>
      <c r="I312" s="1"/>
      <c r="J312" s="1"/>
      <c r="K312" s="1"/>
      <c r="L312" s="1"/>
    </row>
    <row r="313" spans="1:13">
      <c r="A313" s="2">
        <v>42558</v>
      </c>
      <c r="B313" s="1" t="s">
        <v>12</v>
      </c>
      <c r="C313" s="11" t="s">
        <v>241</v>
      </c>
      <c r="D313">
        <v>200</v>
      </c>
      <c r="F313">
        <f t="shared" si="4"/>
        <v>3690</v>
      </c>
      <c r="H313" s="1"/>
      <c r="I313" s="1"/>
      <c r="J313" s="1"/>
      <c r="K313" s="1"/>
      <c r="L313" s="1"/>
    </row>
    <row r="314" spans="1:13">
      <c r="A314" s="2">
        <v>42558</v>
      </c>
      <c r="B314" s="1" t="s">
        <v>12</v>
      </c>
      <c r="C314" s="11" t="s">
        <v>242</v>
      </c>
      <c r="D314">
        <v>750</v>
      </c>
      <c r="F314">
        <f t="shared" si="4"/>
        <v>4440</v>
      </c>
      <c r="H314" s="1"/>
      <c r="I314" s="1"/>
      <c r="J314" s="1"/>
      <c r="K314" s="1"/>
      <c r="L314" s="1"/>
    </row>
    <row r="315" spans="1:13">
      <c r="A315" s="2">
        <v>42558</v>
      </c>
      <c r="B315" s="1" t="s">
        <v>12</v>
      </c>
      <c r="C315" s="11" t="s">
        <v>243</v>
      </c>
      <c r="D315">
        <v>150</v>
      </c>
      <c r="F315">
        <f t="shared" si="4"/>
        <v>4590</v>
      </c>
      <c r="H315" s="1"/>
      <c r="I315" s="1"/>
      <c r="J315" s="1"/>
      <c r="K315" s="1"/>
      <c r="L315" s="1"/>
    </row>
    <row r="316" spans="1:13">
      <c r="A316" s="2">
        <v>42558</v>
      </c>
      <c r="B316" s="1" t="s">
        <v>13</v>
      </c>
      <c r="C316" s="11" t="s">
        <v>41</v>
      </c>
      <c r="E316">
        <v>2000</v>
      </c>
      <c r="F316">
        <f t="shared" si="4"/>
        <v>2590</v>
      </c>
      <c r="H316" s="1"/>
      <c r="I316" s="1"/>
      <c r="J316" s="1"/>
      <c r="K316" s="1"/>
      <c r="L316" s="1"/>
      <c r="M316" s="1"/>
    </row>
    <row r="317" spans="1:13" s="1" customFormat="1">
      <c r="A317" s="2">
        <v>42558</v>
      </c>
      <c r="B317" s="1" t="s">
        <v>11</v>
      </c>
      <c r="C317" s="11" t="s">
        <v>173</v>
      </c>
      <c r="D317"/>
      <c r="E317">
        <v>2000</v>
      </c>
      <c r="F317">
        <f t="shared" si="4"/>
        <v>590</v>
      </c>
    </row>
    <row r="318" spans="1:13" s="1" customFormat="1">
      <c r="A318" s="2">
        <v>42558</v>
      </c>
      <c r="B318" s="1" t="s">
        <v>12</v>
      </c>
      <c r="C318" s="11" t="s">
        <v>244</v>
      </c>
      <c r="D318">
        <v>450</v>
      </c>
      <c r="E318"/>
      <c r="F318">
        <f t="shared" si="4"/>
        <v>1040</v>
      </c>
    </row>
    <row r="319" spans="1:13" s="1" customFormat="1">
      <c r="A319" s="2">
        <v>42558</v>
      </c>
      <c r="B319" s="1" t="s">
        <v>12</v>
      </c>
      <c r="C319" s="11" t="s">
        <v>245</v>
      </c>
      <c r="D319">
        <v>520</v>
      </c>
      <c r="E319">
        <v>500</v>
      </c>
      <c r="F319">
        <f t="shared" si="4"/>
        <v>1060</v>
      </c>
      <c r="H319"/>
      <c r="I319"/>
      <c r="J319"/>
      <c r="K319"/>
      <c r="L319"/>
    </row>
    <row r="320" spans="1:13" s="1" customFormat="1">
      <c r="A320" s="2">
        <v>42558</v>
      </c>
      <c r="B320" s="1" t="s">
        <v>11</v>
      </c>
      <c r="C320" s="11" t="s">
        <v>27</v>
      </c>
      <c r="D320">
        <v>1540</v>
      </c>
      <c r="E320"/>
      <c r="F320">
        <f t="shared" si="4"/>
        <v>2600</v>
      </c>
      <c r="H320"/>
      <c r="I320"/>
      <c r="J320"/>
      <c r="K320"/>
      <c r="L320"/>
    </row>
    <row r="321" spans="1:13" s="1" customFormat="1">
      <c r="A321" s="2">
        <v>42559</v>
      </c>
      <c r="B321" s="1" t="s">
        <v>12</v>
      </c>
      <c r="C321" s="11" t="s">
        <v>172</v>
      </c>
      <c r="D321">
        <v>80</v>
      </c>
      <c r="E321"/>
      <c r="F321">
        <f t="shared" si="4"/>
        <v>2680</v>
      </c>
      <c r="G321" s="1">
        <f>3550+170</f>
        <v>3720</v>
      </c>
      <c r="H321">
        <f>F321-G321</f>
        <v>-1040</v>
      </c>
      <c r="I321"/>
      <c r="J321"/>
      <c r="K321"/>
      <c r="L321"/>
    </row>
    <row r="322" spans="1:13" s="1" customFormat="1">
      <c r="A322" s="2">
        <v>42559</v>
      </c>
      <c r="B322" s="1" t="s">
        <v>13</v>
      </c>
      <c r="C322" s="11" t="s">
        <v>24</v>
      </c>
      <c r="D322"/>
      <c r="E322">
        <v>700</v>
      </c>
      <c r="F322">
        <f t="shared" si="4"/>
        <v>1980</v>
      </c>
      <c r="H322"/>
      <c r="I322"/>
      <c r="J322"/>
      <c r="K322"/>
      <c r="L322"/>
    </row>
    <row r="323" spans="1:13" s="1" customFormat="1">
      <c r="A323" s="2">
        <v>42559</v>
      </c>
      <c r="B323" s="1" t="s">
        <v>11</v>
      </c>
      <c r="C323" s="11" t="s">
        <v>27</v>
      </c>
      <c r="D323">
        <v>725</v>
      </c>
      <c r="E323"/>
      <c r="F323">
        <f t="shared" si="4"/>
        <v>2705</v>
      </c>
      <c r="G323" s="1">
        <f t="shared" ref="G323" si="5">3550+170</f>
        <v>3720</v>
      </c>
      <c r="H323">
        <f t="shared" ref="H323" si="6">F323-G323</f>
        <v>-1015</v>
      </c>
      <c r="I323"/>
      <c r="J323"/>
      <c r="K323"/>
      <c r="L323"/>
    </row>
    <row r="324" spans="1:13" s="1" customFormat="1">
      <c r="A324" s="2">
        <v>42560</v>
      </c>
      <c r="B324" s="1" t="s">
        <v>12</v>
      </c>
      <c r="C324" s="11" t="s">
        <v>161</v>
      </c>
      <c r="D324">
        <v>500</v>
      </c>
      <c r="E324"/>
      <c r="F324">
        <f t="shared" si="4"/>
        <v>3205</v>
      </c>
      <c r="H324"/>
      <c r="I324"/>
      <c r="J324"/>
      <c r="K324"/>
      <c r="L324"/>
      <c r="M324"/>
    </row>
    <row r="325" spans="1:13">
      <c r="A325" s="2">
        <v>42560</v>
      </c>
      <c r="B325" s="1" t="s">
        <v>13</v>
      </c>
      <c r="C325" s="11" t="s">
        <v>247</v>
      </c>
      <c r="D325">
        <v>700</v>
      </c>
      <c r="F325">
        <f t="shared" si="4"/>
        <v>3905</v>
      </c>
    </row>
    <row r="326" spans="1:13">
      <c r="A326" s="2">
        <v>42560</v>
      </c>
      <c r="B326" s="1" t="s">
        <v>13</v>
      </c>
      <c r="C326" s="11" t="s">
        <v>249</v>
      </c>
      <c r="E326">
        <v>1200</v>
      </c>
      <c r="F326">
        <f t="shared" si="4"/>
        <v>2705</v>
      </c>
    </row>
    <row r="327" spans="1:13">
      <c r="A327" s="2">
        <v>42560</v>
      </c>
      <c r="B327" s="1" t="s">
        <v>13</v>
      </c>
      <c r="C327" s="11" t="s">
        <v>248</v>
      </c>
      <c r="E327">
        <v>200</v>
      </c>
      <c r="F327">
        <f t="shared" si="4"/>
        <v>2505</v>
      </c>
    </row>
    <row r="328" spans="1:13">
      <c r="A328" s="2">
        <v>42560</v>
      </c>
      <c r="B328" s="1" t="s">
        <v>13</v>
      </c>
      <c r="C328" s="11" t="s">
        <v>20</v>
      </c>
      <c r="E328">
        <v>600</v>
      </c>
      <c r="F328">
        <f t="shared" si="4"/>
        <v>1905</v>
      </c>
    </row>
    <row r="329" spans="1:13">
      <c r="A329" s="2">
        <v>42561</v>
      </c>
      <c r="B329" s="1" t="s">
        <v>11</v>
      </c>
      <c r="C329" s="11" t="s">
        <v>27</v>
      </c>
      <c r="D329">
        <v>1150</v>
      </c>
      <c r="F329">
        <f t="shared" si="4"/>
        <v>3055</v>
      </c>
    </row>
    <row r="330" spans="1:13">
      <c r="A330" s="2">
        <v>42561</v>
      </c>
      <c r="B330" s="1" t="s">
        <v>12</v>
      </c>
      <c r="C330" s="11" t="s">
        <v>35</v>
      </c>
      <c r="D330">
        <v>500</v>
      </c>
      <c r="F330">
        <f t="shared" si="4"/>
        <v>3555</v>
      </c>
    </row>
    <row r="331" spans="1:13">
      <c r="A331" s="2">
        <v>42561</v>
      </c>
      <c r="B331" s="1" t="s">
        <v>12</v>
      </c>
      <c r="C331" s="11" t="s">
        <v>250</v>
      </c>
      <c r="D331">
        <v>2200</v>
      </c>
      <c r="F331">
        <f t="shared" si="4"/>
        <v>5755</v>
      </c>
    </row>
    <row r="332" spans="1:13">
      <c r="A332" s="2">
        <v>42561</v>
      </c>
      <c r="B332" s="1" t="s">
        <v>12</v>
      </c>
      <c r="C332" s="11" t="s">
        <v>237</v>
      </c>
      <c r="D332">
        <v>400</v>
      </c>
      <c r="F332">
        <f t="shared" si="4"/>
        <v>6155</v>
      </c>
    </row>
    <row r="333" spans="1:13">
      <c r="A333" s="2">
        <v>42561</v>
      </c>
      <c r="B333" s="1" t="s">
        <v>11</v>
      </c>
      <c r="C333" s="11" t="s">
        <v>27</v>
      </c>
      <c r="D333">
        <v>1000</v>
      </c>
      <c r="F333">
        <f t="shared" si="4"/>
        <v>7155</v>
      </c>
    </row>
    <row r="334" spans="1:13">
      <c r="A334" s="2">
        <v>42561</v>
      </c>
      <c r="B334" s="1" t="s">
        <v>11</v>
      </c>
      <c r="C334" s="11" t="s">
        <v>28</v>
      </c>
      <c r="E334">
        <v>1000</v>
      </c>
      <c r="F334">
        <f t="shared" si="4"/>
        <v>6155</v>
      </c>
    </row>
    <row r="335" spans="1:13">
      <c r="A335" s="2">
        <v>42562</v>
      </c>
      <c r="B335" s="1" t="s">
        <v>11</v>
      </c>
      <c r="C335" s="11" t="s">
        <v>27</v>
      </c>
      <c r="D335">
        <v>1425</v>
      </c>
      <c r="F335">
        <f t="shared" si="4"/>
        <v>7580</v>
      </c>
    </row>
    <row r="336" spans="1:13">
      <c r="A336" s="2">
        <v>42563</v>
      </c>
      <c r="B336" s="1" t="s">
        <v>11</v>
      </c>
      <c r="C336" s="11" t="s">
        <v>27</v>
      </c>
      <c r="D336">
        <v>1170</v>
      </c>
      <c r="F336">
        <f t="shared" si="4"/>
        <v>8750</v>
      </c>
    </row>
    <row r="337" spans="1:6">
      <c r="A337" s="2">
        <v>42563</v>
      </c>
      <c r="B337" s="1" t="s">
        <v>42</v>
      </c>
      <c r="C337" s="11" t="s">
        <v>50</v>
      </c>
      <c r="E337">
        <v>8000</v>
      </c>
      <c r="F337">
        <f t="shared" si="4"/>
        <v>750</v>
      </c>
    </row>
    <row r="338" spans="1:6">
      <c r="A338" s="2">
        <v>42564</v>
      </c>
      <c r="B338" s="1" t="s">
        <v>12</v>
      </c>
      <c r="C338" s="11" t="s">
        <v>48</v>
      </c>
      <c r="D338">
        <v>450</v>
      </c>
      <c r="F338">
        <f t="shared" si="4"/>
        <v>1200</v>
      </c>
    </row>
    <row r="339" spans="1:6">
      <c r="A339" s="2">
        <v>42564</v>
      </c>
      <c r="B339" s="1" t="s">
        <v>12</v>
      </c>
      <c r="C339" s="11" t="s">
        <v>251</v>
      </c>
      <c r="D339">
        <v>650</v>
      </c>
      <c r="F339">
        <f t="shared" si="4"/>
        <v>1850</v>
      </c>
    </row>
    <row r="340" spans="1:6">
      <c r="A340" s="2">
        <v>42564</v>
      </c>
      <c r="B340" s="1" t="s">
        <v>12</v>
      </c>
      <c r="C340" s="11" t="s">
        <v>252</v>
      </c>
      <c r="D340">
        <v>290</v>
      </c>
      <c r="F340">
        <f t="shared" si="4"/>
        <v>2140</v>
      </c>
    </row>
    <row r="341" spans="1:6">
      <c r="A341" s="2">
        <v>42564</v>
      </c>
      <c r="B341" s="1" t="s">
        <v>11</v>
      </c>
      <c r="C341" s="11" t="s">
        <v>68</v>
      </c>
      <c r="D341">
        <v>1070</v>
      </c>
      <c r="F341">
        <f t="shared" si="4"/>
        <v>3210</v>
      </c>
    </row>
    <row r="342" spans="1:6">
      <c r="A342" s="2">
        <v>42565</v>
      </c>
      <c r="B342" s="1" t="s">
        <v>11</v>
      </c>
      <c r="C342" s="11" t="s">
        <v>27</v>
      </c>
      <c r="D342">
        <v>850</v>
      </c>
      <c r="F342">
        <f t="shared" si="4"/>
        <v>4060</v>
      </c>
    </row>
    <row r="343" spans="1:6">
      <c r="A343" s="2">
        <v>42566</v>
      </c>
      <c r="B343" s="1" t="s">
        <v>11</v>
      </c>
      <c r="C343" s="11" t="s">
        <v>253</v>
      </c>
      <c r="E343">
        <v>2000</v>
      </c>
      <c r="F343">
        <f t="shared" ref="F343:F383" si="7">F342+D343-E343</f>
        <v>2060</v>
      </c>
    </row>
    <row r="344" spans="1:6">
      <c r="A344" s="2">
        <v>42566</v>
      </c>
      <c r="B344" s="1" t="s">
        <v>12</v>
      </c>
      <c r="C344" s="11" t="s">
        <v>254</v>
      </c>
      <c r="D344">
        <v>150</v>
      </c>
      <c r="F344">
        <f t="shared" si="7"/>
        <v>2210</v>
      </c>
    </row>
    <row r="345" spans="1:6">
      <c r="A345" s="2">
        <v>42566</v>
      </c>
      <c r="B345" s="1" t="s">
        <v>11</v>
      </c>
      <c r="C345" s="11" t="s">
        <v>27</v>
      </c>
      <c r="D345">
        <v>1530</v>
      </c>
      <c r="F345">
        <f t="shared" si="7"/>
        <v>3740</v>
      </c>
    </row>
    <row r="346" spans="1:6">
      <c r="A346" s="2">
        <v>42567</v>
      </c>
      <c r="B346" s="1" t="s">
        <v>12</v>
      </c>
      <c r="C346" s="11" t="s">
        <v>255</v>
      </c>
      <c r="D346">
        <v>170</v>
      </c>
      <c r="F346">
        <f t="shared" si="7"/>
        <v>3910</v>
      </c>
    </row>
    <row r="347" spans="1:6">
      <c r="A347" s="2">
        <v>42567</v>
      </c>
      <c r="B347" s="1" t="s">
        <v>12</v>
      </c>
      <c r="C347" s="11" t="s">
        <v>256</v>
      </c>
      <c r="D347">
        <v>120</v>
      </c>
      <c r="F347">
        <f t="shared" si="7"/>
        <v>4030</v>
      </c>
    </row>
    <row r="348" spans="1:6">
      <c r="A348" s="2">
        <f t="shared" ref="A348:A349" ca="1" si="8">TODAY()</f>
        <v>45852</v>
      </c>
    </row>
    <row r="349" spans="1:6">
      <c r="A349" s="2">
        <f t="shared" ca="1" si="8"/>
        <v>45852</v>
      </c>
    </row>
    <row r="352" spans="1:6">
      <c r="A352" s="2">
        <v>42705</v>
      </c>
      <c r="C352" t="s">
        <v>22</v>
      </c>
      <c r="D352">
        <v>3230</v>
      </c>
      <c r="F352">
        <f t="shared" si="7"/>
        <v>3230</v>
      </c>
    </row>
    <row r="353" spans="1:6">
      <c r="A353" s="2">
        <v>42705</v>
      </c>
      <c r="B353" s="1" t="s">
        <v>11</v>
      </c>
      <c r="C353" t="s">
        <v>258</v>
      </c>
      <c r="D353">
        <v>1160</v>
      </c>
      <c r="F353">
        <f t="shared" si="7"/>
        <v>4390</v>
      </c>
    </row>
    <row r="354" spans="1:6">
      <c r="A354" s="2">
        <v>42706</v>
      </c>
      <c r="B354" s="1" t="s">
        <v>12</v>
      </c>
      <c r="C354" t="s">
        <v>247</v>
      </c>
      <c r="D354">
        <v>3600</v>
      </c>
      <c r="F354">
        <f t="shared" si="7"/>
        <v>7990</v>
      </c>
    </row>
    <row r="355" spans="1:6">
      <c r="A355" s="2">
        <v>42706</v>
      </c>
      <c r="B355" s="1" t="s">
        <v>12</v>
      </c>
      <c r="C355" t="s">
        <v>79</v>
      </c>
      <c r="D355">
        <v>120</v>
      </c>
      <c r="F355">
        <f t="shared" si="7"/>
        <v>8110</v>
      </c>
    </row>
    <row r="356" spans="1:6">
      <c r="A356" s="2">
        <v>42706</v>
      </c>
      <c r="B356" s="1" t="s">
        <v>11</v>
      </c>
      <c r="C356" t="s">
        <v>259</v>
      </c>
      <c r="E356">
        <v>160</v>
      </c>
      <c r="F356">
        <f t="shared" si="7"/>
        <v>7950</v>
      </c>
    </row>
    <row r="357" spans="1:6">
      <c r="A357" s="2">
        <v>42706</v>
      </c>
      <c r="B357" s="1" t="s">
        <v>12</v>
      </c>
      <c r="C357" t="s">
        <v>260</v>
      </c>
      <c r="D357">
        <v>570</v>
      </c>
      <c r="F357">
        <f t="shared" si="7"/>
        <v>8520</v>
      </c>
    </row>
    <row r="358" spans="1:6">
      <c r="A358" s="2">
        <v>42706</v>
      </c>
      <c r="B358" s="1" t="s">
        <v>11</v>
      </c>
      <c r="C358" t="s">
        <v>258</v>
      </c>
      <c r="D358">
        <v>1350</v>
      </c>
      <c r="F358">
        <f t="shared" si="7"/>
        <v>9870</v>
      </c>
    </row>
    <row r="359" spans="1:6">
      <c r="A359" s="2">
        <v>42707</v>
      </c>
      <c r="B359" s="1" t="s">
        <v>13</v>
      </c>
      <c r="C359" t="s">
        <v>261</v>
      </c>
      <c r="E359">
        <v>1000</v>
      </c>
      <c r="F359">
        <f t="shared" si="7"/>
        <v>8870</v>
      </c>
    </row>
    <row r="360" spans="1:6">
      <c r="A360" s="2">
        <v>42707</v>
      </c>
      <c r="B360" s="1" t="s">
        <v>11</v>
      </c>
      <c r="C360" t="s">
        <v>258</v>
      </c>
      <c r="D360">
        <v>1220</v>
      </c>
      <c r="F360">
        <f t="shared" si="7"/>
        <v>10090</v>
      </c>
    </row>
    <row r="361" spans="1:6">
      <c r="A361" s="2">
        <v>42707</v>
      </c>
      <c r="B361" s="1" t="s">
        <v>12</v>
      </c>
      <c r="C361" t="s">
        <v>262</v>
      </c>
      <c r="D361">
        <v>300</v>
      </c>
      <c r="F361">
        <f t="shared" si="7"/>
        <v>10390</v>
      </c>
    </row>
    <row r="362" spans="1:6">
      <c r="A362" s="2">
        <v>42708</v>
      </c>
      <c r="B362" s="1" t="s">
        <v>11</v>
      </c>
      <c r="C362" t="s">
        <v>258</v>
      </c>
      <c r="D362">
        <v>1700</v>
      </c>
      <c r="F362">
        <f t="shared" si="7"/>
        <v>12090</v>
      </c>
    </row>
    <row r="363" spans="1:6">
      <c r="A363" s="2">
        <v>42708</v>
      </c>
      <c r="B363" s="1" t="s">
        <v>12</v>
      </c>
      <c r="C363" t="s">
        <v>263</v>
      </c>
      <c r="D363">
        <v>70</v>
      </c>
      <c r="F363">
        <f t="shared" si="7"/>
        <v>12160</v>
      </c>
    </row>
    <row r="364" spans="1:6">
      <c r="A364" s="2">
        <v>42709</v>
      </c>
      <c r="B364" s="1" t="s">
        <v>11</v>
      </c>
      <c r="C364" t="s">
        <v>258</v>
      </c>
      <c r="D364">
        <f>750+370</f>
        <v>1120</v>
      </c>
      <c r="F364">
        <f t="shared" si="7"/>
        <v>13280</v>
      </c>
    </row>
    <row r="365" spans="1:6">
      <c r="A365" s="2">
        <v>42709</v>
      </c>
      <c r="B365" s="1" t="s">
        <v>13</v>
      </c>
      <c r="C365" t="s">
        <v>264</v>
      </c>
      <c r="E365">
        <f>350*5</f>
        <v>1750</v>
      </c>
      <c r="F365">
        <f t="shared" si="7"/>
        <v>11530</v>
      </c>
    </row>
    <row r="366" spans="1:6">
      <c r="A366" s="2">
        <v>42709</v>
      </c>
      <c r="B366" s="1" t="s">
        <v>11</v>
      </c>
      <c r="C366" t="s">
        <v>19</v>
      </c>
      <c r="E366">
        <v>200</v>
      </c>
      <c r="F366">
        <f t="shared" si="7"/>
        <v>11330</v>
      </c>
    </row>
    <row r="367" spans="1:6">
      <c r="A367" s="2">
        <v>42709</v>
      </c>
      <c r="B367" s="1" t="s">
        <v>42</v>
      </c>
      <c r="C367" t="s">
        <v>265</v>
      </c>
      <c r="E367">
        <v>10000</v>
      </c>
      <c r="F367">
        <f t="shared" si="7"/>
        <v>1330</v>
      </c>
    </row>
    <row r="368" spans="1:6">
      <c r="A368" s="2">
        <v>42710</v>
      </c>
      <c r="B368" s="1" t="s">
        <v>11</v>
      </c>
      <c r="C368" t="s">
        <v>258</v>
      </c>
      <c r="D368">
        <v>1400</v>
      </c>
      <c r="F368">
        <f t="shared" si="7"/>
        <v>2730</v>
      </c>
    </row>
    <row r="369" spans="1:11">
      <c r="A369" s="2">
        <v>42710</v>
      </c>
      <c r="B369" s="1" t="s">
        <v>12</v>
      </c>
      <c r="C369" t="s">
        <v>266</v>
      </c>
      <c r="D369">
        <v>600</v>
      </c>
      <c r="F369">
        <f t="shared" si="7"/>
        <v>3330</v>
      </c>
    </row>
    <row r="370" spans="1:11">
      <c r="A370" s="2">
        <v>42710</v>
      </c>
      <c r="B370" s="1" t="s">
        <v>12</v>
      </c>
      <c r="C370" t="s">
        <v>262</v>
      </c>
      <c r="D370">
        <v>320</v>
      </c>
      <c r="F370">
        <f t="shared" si="7"/>
        <v>3650</v>
      </c>
    </row>
    <row r="371" spans="1:11">
      <c r="A371" s="2">
        <v>42711</v>
      </c>
      <c r="B371" s="1" t="s">
        <v>11</v>
      </c>
      <c r="C371" t="s">
        <v>258</v>
      </c>
      <c r="D371">
        <v>1620</v>
      </c>
      <c r="F371">
        <f t="shared" si="7"/>
        <v>5270</v>
      </c>
    </row>
    <row r="372" spans="1:11">
      <c r="A372" s="2">
        <v>42711</v>
      </c>
      <c r="B372" s="1" t="s">
        <v>11</v>
      </c>
      <c r="C372" t="s">
        <v>267</v>
      </c>
      <c r="E372">
        <v>2700</v>
      </c>
      <c r="F372">
        <f t="shared" si="7"/>
        <v>2570</v>
      </c>
    </row>
    <row r="373" spans="1:11">
      <c r="A373" s="2">
        <v>42712</v>
      </c>
      <c r="B373" s="1" t="s">
        <v>11</v>
      </c>
      <c r="C373" t="s">
        <v>258</v>
      </c>
      <c r="D373">
        <v>800</v>
      </c>
      <c r="F373">
        <f t="shared" si="7"/>
        <v>3370</v>
      </c>
    </row>
    <row r="374" spans="1:11">
      <c r="A374" s="2">
        <v>42713</v>
      </c>
      <c r="B374" s="1" t="s">
        <v>11</v>
      </c>
      <c r="C374" t="s">
        <v>258</v>
      </c>
      <c r="D374">
        <v>1200</v>
      </c>
      <c r="F374">
        <f t="shared" si="7"/>
        <v>4570</v>
      </c>
    </row>
    <row r="375" spans="1:11">
      <c r="A375" s="2">
        <v>42714</v>
      </c>
      <c r="B375" s="1" t="s">
        <v>11</v>
      </c>
      <c r="C375" t="s">
        <v>258</v>
      </c>
      <c r="D375">
        <v>810</v>
      </c>
      <c r="F375">
        <f t="shared" si="7"/>
        <v>5380</v>
      </c>
    </row>
    <row r="376" spans="1:11">
      <c r="A376" s="2">
        <v>42714</v>
      </c>
      <c r="B376" s="1" t="s">
        <v>11</v>
      </c>
      <c r="C376" t="s">
        <v>268</v>
      </c>
      <c r="E376">
        <f>1520/2</f>
        <v>760</v>
      </c>
      <c r="F376">
        <f t="shared" si="7"/>
        <v>4620</v>
      </c>
    </row>
    <row r="377" spans="1:11">
      <c r="A377" s="2">
        <v>42714</v>
      </c>
      <c r="B377" s="1" t="s">
        <v>11</v>
      </c>
      <c r="C377" t="s">
        <v>269</v>
      </c>
      <c r="E377">
        <f>90</f>
        <v>90</v>
      </c>
      <c r="F377">
        <f t="shared" si="7"/>
        <v>4530</v>
      </c>
    </row>
    <row r="378" spans="1:11">
      <c r="A378" s="2">
        <v>42715</v>
      </c>
      <c r="B378" s="1" t="s">
        <v>11</v>
      </c>
      <c r="C378" t="s">
        <v>258</v>
      </c>
      <c r="D378">
        <v>450</v>
      </c>
      <c r="F378">
        <f t="shared" si="7"/>
        <v>4980</v>
      </c>
    </row>
    <row r="379" spans="1:11">
      <c r="A379" s="2">
        <v>42715</v>
      </c>
      <c r="B379" s="1" t="s">
        <v>11</v>
      </c>
      <c r="C379" t="s">
        <v>270</v>
      </c>
      <c r="E379">
        <v>995</v>
      </c>
      <c r="F379">
        <f t="shared" si="7"/>
        <v>3985</v>
      </c>
    </row>
    <row r="380" spans="1:11">
      <c r="A380" s="2">
        <v>42715</v>
      </c>
      <c r="B380" s="1" t="s">
        <v>13</v>
      </c>
      <c r="C380" t="s">
        <v>271</v>
      </c>
      <c r="E380">
        <v>1600</v>
      </c>
      <c r="F380">
        <f t="shared" si="7"/>
        <v>2385</v>
      </c>
    </row>
    <row r="381" spans="1:11">
      <c r="A381" s="2">
        <v>42716</v>
      </c>
      <c r="B381" s="1" t="s">
        <v>11</v>
      </c>
      <c r="C381" t="s">
        <v>272</v>
      </c>
      <c r="E381">
        <v>1000</v>
      </c>
      <c r="F381">
        <f t="shared" si="7"/>
        <v>1385</v>
      </c>
    </row>
    <row r="382" spans="1:11">
      <c r="A382" s="2">
        <v>42716</v>
      </c>
      <c r="B382" s="1" t="s">
        <v>11</v>
      </c>
      <c r="C382" t="s">
        <v>258</v>
      </c>
      <c r="D382">
        <v>1100</v>
      </c>
      <c r="F382">
        <f t="shared" si="7"/>
        <v>2485</v>
      </c>
    </row>
    <row r="383" spans="1:11">
      <c r="A383" s="2">
        <v>42716</v>
      </c>
      <c r="B383" s="1" t="s">
        <v>11</v>
      </c>
      <c r="C383" t="s">
        <v>273</v>
      </c>
      <c r="E383">
        <v>2000</v>
      </c>
      <c r="F383">
        <f t="shared" si="7"/>
        <v>485</v>
      </c>
      <c r="J383" t="s">
        <v>274</v>
      </c>
      <c r="K383">
        <v>100</v>
      </c>
    </row>
    <row r="384" spans="1:11">
      <c r="A384" s="2">
        <f t="shared" ref="A384:A394" ca="1" si="9">TODAY()</f>
        <v>45852</v>
      </c>
      <c r="J384" t="s">
        <v>0</v>
      </c>
      <c r="K384">
        <v>30</v>
      </c>
    </row>
    <row r="385" spans="1:11">
      <c r="A385" s="2">
        <f t="shared" ca="1" si="9"/>
        <v>45852</v>
      </c>
      <c r="J385" t="s">
        <v>36</v>
      </c>
      <c r="K385">
        <v>80</v>
      </c>
    </row>
    <row r="386" spans="1:11">
      <c r="A386" s="2">
        <f t="shared" ca="1" si="9"/>
        <v>45852</v>
      </c>
    </row>
    <row r="387" spans="1:11">
      <c r="A387" s="2">
        <f t="shared" ca="1" si="9"/>
        <v>45852</v>
      </c>
    </row>
    <row r="388" spans="1:11">
      <c r="A388" s="2">
        <f t="shared" ca="1" si="9"/>
        <v>45852</v>
      </c>
    </row>
    <row r="389" spans="1:11">
      <c r="A389" s="2">
        <f t="shared" ca="1" si="9"/>
        <v>45852</v>
      </c>
    </row>
    <row r="390" spans="1:11">
      <c r="A390" s="2">
        <f t="shared" ca="1" si="9"/>
        <v>45852</v>
      </c>
    </row>
    <row r="391" spans="1:11">
      <c r="A391" s="2">
        <f t="shared" ca="1" si="9"/>
        <v>45852</v>
      </c>
    </row>
    <row r="392" spans="1:11">
      <c r="A392" s="2">
        <f t="shared" ca="1" si="9"/>
        <v>45852</v>
      </c>
    </row>
    <row r="393" spans="1:11">
      <c r="A393" s="2">
        <f t="shared" ca="1" si="9"/>
        <v>45852</v>
      </c>
    </row>
    <row r="394" spans="1:11">
      <c r="A394" s="2">
        <f t="shared" ca="1" si="9"/>
        <v>45852</v>
      </c>
    </row>
  </sheetData>
  <autoFilter ref="A6:F154" xr:uid="{00000000-0009-0000-0000-000000000000}"/>
  <customSheetViews>
    <customSheetView guid="{CFF18104-9957-4B22-A0BF-E0E9089CC41B}" fitToPage="1" showAutoFilter="1" topLeftCell="A356">
      <selection activeCell="H373" sqref="H373"/>
      <pageMargins left="0.7" right="0.7" top="0.25" bottom="0.25" header="0.3" footer="0.3"/>
      <pageSetup paperSize="9" scale="14" orientation="portrait" verticalDpi="300" r:id="rId1"/>
      <autoFilter ref="A6:F154" xr:uid="{228588AF-4C56-4409-B64B-36195B8EA841}"/>
    </customSheetView>
    <customSheetView guid="{1DB3B8BB-FF13-43E4-91E2-4D5FE1537F47}" fitToPage="1" showAutoFilter="1">
      <selection activeCell="B384" sqref="B384"/>
      <pageMargins left="0.7" right="0.7" top="0.25" bottom="0.25" header="0.3" footer="0.3"/>
      <pageSetup paperSize="9" scale="14" orientation="portrait" verticalDpi="300" r:id="rId2"/>
      <autoFilter ref="A6:F154" xr:uid="{7321D3F2-57F0-401E-8AC9-F28604D036E0}"/>
    </customSheetView>
    <customSheetView guid="{9FBD6FCD-ABF0-44CA-B044-9B9EEA555F2A}" fitToPage="1" showAutoFilter="1">
      <pane ySplit="5" topLeftCell="A376" activePane="bottomLeft" state="frozen"/>
      <selection pane="bottomLeft" activeCell="B384" sqref="B384"/>
      <pageMargins left="0.7" right="0.7" top="0.25" bottom="0.25" header="0.3" footer="0.3"/>
      <pageSetup paperSize="9" scale="14" orientation="portrait" verticalDpi="300" r:id="rId3"/>
      <autoFilter ref="A6:F154" xr:uid="{E0F33347-F61C-4B7A-B94C-A955F3BC5933}"/>
    </customSheetView>
    <customSheetView guid="{76DB48ED-F9D5-46EE-8B68-22302006932B}" fitToPage="1" showAutoFilter="1">
      <pane ySplit="6" topLeftCell="A376" activePane="bottomLeft" state="frozen"/>
      <selection pane="bottomLeft" activeCell="B384" sqref="B384"/>
      <pageMargins left="0.7" right="0.7" top="0.25" bottom="0.25" header="0.3" footer="0.3"/>
      <pageSetup paperSize="9" scale="14" orientation="portrait" verticalDpi="300" r:id="rId4"/>
      <autoFilter ref="A6:F154" xr:uid="{A66D9A91-9573-45C7-B046-1E931FCFBAAA}"/>
    </customSheetView>
    <customSheetView guid="{17BB0635-933F-4031-AA1B-02B47946C686}" fitToPage="1" showAutoFilter="1">
      <selection activeCell="B384" sqref="B384"/>
      <pageMargins left="0.7" right="0.7" top="0.25" bottom="0.25" header="0.3" footer="0.3"/>
      <pageSetup paperSize="9" scale="14" orientation="portrait" verticalDpi="300" r:id="rId5"/>
      <autoFilter ref="A6:F154" xr:uid="{7B2C28A4-FD47-493C-9B0A-D13069FCEBEA}"/>
    </customSheetView>
    <customSheetView guid="{3AED7B35-86CA-4B6C-A2EC-CD4DE422B896}" fitToPage="1" showAutoFilter="1" topLeftCell="A356">
      <selection activeCell="H373" sqref="H373"/>
      <pageMargins left="0.7" right="0.7" top="0.25" bottom="0.25" header="0.3" footer="0.3"/>
      <pageSetup paperSize="9" scale="14" orientation="portrait" verticalDpi="300" r:id="rId6"/>
      <autoFilter ref="A6:F154" xr:uid="{775D412D-4FB1-40A3-BF2A-3CB8B75E164C}"/>
    </customSheetView>
    <customSheetView guid="{E64C861B-828F-4357-A2C1-687220A83D03}" showPageBreaks="1" fitToPage="1" showAutoFilter="1" topLeftCell="A356">
      <selection activeCell="H373" sqref="H373"/>
      <pageMargins left="0.7" right="0.7" top="0.25" bottom="0.25" header="0.3" footer="0.3"/>
      <pageSetup paperSize="9" scale="10" orientation="portrait" verticalDpi="300" r:id="rId7"/>
      <autoFilter ref="A6:F154" xr:uid="{C3C6CEFF-8861-4ADC-83E9-AD77D264234A}"/>
    </customSheetView>
  </customSheetViews>
  <pageMargins left="0.7" right="0.7" top="0.25" bottom="0.25" header="0.3" footer="0.3"/>
  <pageSetup paperSize="9" scale="13" orientation="portrait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29"/>
  <sheetViews>
    <sheetView tabSelected="1" zoomScale="85" zoomScaleNormal="85" workbookViewId="0">
      <pane xSplit="1152" topLeftCell="B1" activePane="topRight"/>
      <selection pane="topRight" activeCell="N27" sqref="N27"/>
    </sheetView>
  </sheetViews>
  <sheetFormatPr defaultRowHeight="14.4"/>
  <cols>
    <col min="6" max="6" width="1.88671875" style="13" customWidth="1"/>
    <col min="7" max="7" width="7.5546875" customWidth="1"/>
    <col min="8" max="8" width="7.33203125" customWidth="1"/>
    <col min="9" max="9" width="7.6640625" customWidth="1"/>
    <col min="10" max="10" width="2.33203125" style="13" customWidth="1"/>
    <col min="11" max="11" width="11.88671875" customWidth="1"/>
    <col min="12" max="12" width="12.109375" customWidth="1"/>
    <col min="13" max="13" width="10.88671875" customWidth="1"/>
    <col min="14" max="14" width="10.33203125" customWidth="1"/>
    <col min="15" max="15" width="6.44140625" customWidth="1"/>
    <col min="16" max="16" width="5.6640625" customWidth="1"/>
    <col min="17" max="17" width="10.88671875" customWidth="1"/>
    <col min="20" max="20" width="11.44140625" customWidth="1"/>
  </cols>
  <sheetData>
    <row r="2" spans="1:23">
      <c r="B2">
        <v>865</v>
      </c>
      <c r="C2">
        <v>945</v>
      </c>
      <c r="D2" t="s">
        <v>80</v>
      </c>
      <c r="E2" t="s">
        <v>81</v>
      </c>
    </row>
    <row r="4" spans="1:23">
      <c r="G4" s="115" t="s">
        <v>190</v>
      </c>
      <c r="H4" s="115"/>
      <c r="I4" s="115"/>
      <c r="K4" t="s">
        <v>195</v>
      </c>
      <c r="L4" t="s">
        <v>196</v>
      </c>
      <c r="M4" t="s">
        <v>197</v>
      </c>
      <c r="N4" t="s">
        <v>198</v>
      </c>
      <c r="O4" t="s">
        <v>199</v>
      </c>
      <c r="T4" s="2">
        <v>42593</v>
      </c>
    </row>
    <row r="5" spans="1:23">
      <c r="A5" t="s">
        <v>57</v>
      </c>
      <c r="B5">
        <v>875</v>
      </c>
      <c r="C5">
        <v>1000</v>
      </c>
      <c r="D5">
        <v>1000</v>
      </c>
      <c r="E5">
        <v>1200</v>
      </c>
      <c r="I5">
        <v>40</v>
      </c>
      <c r="K5" s="2">
        <v>42262</v>
      </c>
      <c r="L5" s="25" t="s">
        <v>193</v>
      </c>
      <c r="M5" s="2">
        <f t="shared" ref="M5:M8" ca="1" si="0">TODAY()</f>
        <v>45852</v>
      </c>
      <c r="N5">
        <v>1850</v>
      </c>
      <c r="O5">
        <v>4.0999999999999996</v>
      </c>
      <c r="P5" s="8">
        <f t="shared" ref="P5:P8" ca="1" si="1">DAYS360(K5,M5)*14%/365</f>
        <v>1.3574246575342466</v>
      </c>
      <c r="Q5" s="7">
        <f t="shared" ref="Q5:Q8" ca="1" si="2">N5+N5*P5</f>
        <v>4361.2356164383564</v>
      </c>
      <c r="T5" s="7">
        <v>2081.3260273972605</v>
      </c>
    </row>
    <row r="6" spans="1:23">
      <c r="A6" t="s">
        <v>58</v>
      </c>
      <c r="B6" t="s">
        <v>71</v>
      </c>
      <c r="C6">
        <v>7200</v>
      </c>
      <c r="D6">
        <v>600</v>
      </c>
      <c r="E6">
        <v>8200</v>
      </c>
      <c r="G6">
        <v>810</v>
      </c>
      <c r="H6">
        <v>20</v>
      </c>
      <c r="I6">
        <v>40</v>
      </c>
      <c r="K6" s="2">
        <v>42262</v>
      </c>
      <c r="L6" t="s">
        <v>192</v>
      </c>
      <c r="M6" s="2">
        <f t="shared" ca="1" si="0"/>
        <v>45852</v>
      </c>
      <c r="N6">
        <v>1950</v>
      </c>
      <c r="O6">
        <v>2.1</v>
      </c>
      <c r="P6" s="8">
        <f t="shared" ca="1" si="1"/>
        <v>1.3574246575342466</v>
      </c>
      <c r="Q6" s="7">
        <f t="shared" ca="1" si="2"/>
        <v>4596.9780821917811</v>
      </c>
      <c r="T6" s="7">
        <v>2193.8301369863016</v>
      </c>
    </row>
    <row r="7" spans="1:23">
      <c r="A7" t="s">
        <v>59</v>
      </c>
      <c r="B7" t="s">
        <v>72</v>
      </c>
      <c r="C7">
        <v>0</v>
      </c>
      <c r="D7">
        <v>1900</v>
      </c>
      <c r="E7">
        <v>3250</v>
      </c>
      <c r="G7">
        <v>811</v>
      </c>
      <c r="H7">
        <v>40</v>
      </c>
      <c r="I7">
        <v>80</v>
      </c>
      <c r="K7" s="2">
        <v>42262</v>
      </c>
      <c r="L7" s="25" t="s">
        <v>70</v>
      </c>
      <c r="M7" s="2">
        <f t="shared" ca="1" si="0"/>
        <v>45852</v>
      </c>
      <c r="N7">
        <v>1950</v>
      </c>
      <c r="P7" s="8">
        <f t="shared" ca="1" si="1"/>
        <v>1.3574246575342466</v>
      </c>
      <c r="Q7" s="7">
        <f t="shared" ca="1" si="2"/>
        <v>4596.9780821917811</v>
      </c>
      <c r="T7" s="7">
        <v>2193.8301369863016</v>
      </c>
    </row>
    <row r="8" spans="1:23">
      <c r="A8" t="s">
        <v>60</v>
      </c>
      <c r="B8">
        <v>4</v>
      </c>
      <c r="C8">
        <v>1350</v>
      </c>
      <c r="D8">
        <v>1200</v>
      </c>
      <c r="E8">
        <v>1500</v>
      </c>
      <c r="G8">
        <v>1012</v>
      </c>
      <c r="H8">
        <v>40</v>
      </c>
      <c r="I8">
        <v>80</v>
      </c>
      <c r="K8" s="2">
        <v>42203</v>
      </c>
      <c r="L8" s="25" t="s">
        <v>194</v>
      </c>
      <c r="M8" s="2">
        <f t="shared" ca="1" si="0"/>
        <v>45852</v>
      </c>
      <c r="N8">
        <v>1980</v>
      </c>
      <c r="O8">
        <v>2.1</v>
      </c>
      <c r="P8" s="8">
        <f t="shared" ca="1" si="1"/>
        <v>1.3792876712328768</v>
      </c>
      <c r="Q8" s="7">
        <f t="shared" ca="1" si="2"/>
        <v>4710.9895890410962</v>
      </c>
      <c r="T8" s="7">
        <v>2270.8701369863015</v>
      </c>
      <c r="W8">
        <f>12*18*0.85*2+120</f>
        <v>487.2</v>
      </c>
    </row>
    <row r="9" spans="1:23">
      <c r="A9" t="s">
        <v>61</v>
      </c>
      <c r="B9" t="s">
        <v>74</v>
      </c>
      <c r="C9">
        <v>3250</v>
      </c>
      <c r="D9">
        <v>1200</v>
      </c>
      <c r="E9">
        <v>3300</v>
      </c>
      <c r="G9">
        <v>1015</v>
      </c>
      <c r="H9">
        <v>40</v>
      </c>
      <c r="I9">
        <v>100</v>
      </c>
    </row>
    <row r="10" spans="1:23" hidden="1">
      <c r="A10" t="s">
        <v>62</v>
      </c>
      <c r="B10" t="s">
        <v>73</v>
      </c>
      <c r="C10">
        <v>1000</v>
      </c>
      <c r="D10">
        <v>0</v>
      </c>
      <c r="E10">
        <v>950</v>
      </c>
      <c r="G10">
        <v>1215</v>
      </c>
      <c r="H10">
        <v>70</v>
      </c>
      <c r="I10">
        <v>140</v>
      </c>
    </row>
    <row r="11" spans="1:23">
      <c r="A11" t="s">
        <v>63</v>
      </c>
      <c r="D11">
        <v>200</v>
      </c>
      <c r="E11">
        <v>400</v>
      </c>
      <c r="G11">
        <v>1218</v>
      </c>
      <c r="H11">
        <v>60</v>
      </c>
      <c r="I11">
        <v>150</v>
      </c>
    </row>
    <row r="12" spans="1:23">
      <c r="A12" t="s">
        <v>64</v>
      </c>
      <c r="D12">
        <v>200</v>
      </c>
      <c r="G12">
        <v>1620</v>
      </c>
      <c r="H12">
        <v>180</v>
      </c>
      <c r="I12">
        <v>400</v>
      </c>
    </row>
    <row r="13" spans="1:23">
      <c r="A13" t="s">
        <v>65</v>
      </c>
      <c r="D13">
        <v>5400</v>
      </c>
      <c r="E13">
        <v>5350</v>
      </c>
      <c r="G13">
        <v>2030</v>
      </c>
    </row>
    <row r="14" spans="1:23">
      <c r="A14" t="s">
        <v>75</v>
      </c>
    </row>
    <row r="16" spans="1:23" ht="15" customHeight="1">
      <c r="B16">
        <f>SUM(B5:B15)</f>
        <v>879</v>
      </c>
      <c r="C16">
        <f>SUM(C5:C15)</f>
        <v>13800</v>
      </c>
      <c r="D16">
        <f>SUM(D5:D15)</f>
        <v>11700</v>
      </c>
      <c r="E16">
        <f>SUM(E5:E15)</f>
        <v>24150</v>
      </c>
    </row>
    <row r="29" ht="15" customHeight="1"/>
  </sheetData>
  <customSheetViews>
    <customSheetView guid="{CFF18104-9957-4B22-A0BF-E0E9089CC41B}" scale="85" hiddenRows="1">
      <pane xSplit="1" topLeftCell="B1" activePane="topRight"/>
      <selection pane="topRight" activeCell="K36" sqref="K36"/>
      <pageMargins left="0.7" right="0.7" top="0.75" bottom="0.75" header="0.3" footer="0.3"/>
      <pageSetup orientation="portrait" r:id="rId1"/>
    </customSheetView>
    <customSheetView guid="{1DB3B8BB-FF13-43E4-91E2-4D5FE1537F47}" scale="85" hiddenRows="1" hiddenColumns="1">
      <pane xSplit="1" topLeftCell="E1" activePane="topRight" state="frozen"/>
      <selection pane="topRight" activeCell="Q8" sqref="Q8"/>
      <pageMargins left="0.7" right="0.7" top="0.75" bottom="0.75" header="0.3" footer="0.3"/>
      <pageSetup orientation="portrait" r:id="rId2"/>
    </customSheetView>
    <customSheetView guid="{9FBD6FCD-ABF0-44CA-B044-9B9EEA555F2A}" scale="85" hiddenRows="1" hiddenColumns="1">
      <pane xSplit="1" topLeftCell="E1" activePane="topRight" state="frozen"/>
      <selection pane="topRight" activeCell="Q8" sqref="Q8"/>
      <pageMargins left="0.7" right="0.7" top="0.75" bottom="0.75" header="0.3" footer="0.3"/>
      <pageSetup orientation="portrait" r:id="rId3"/>
    </customSheetView>
    <customSheetView guid="{76DB48ED-F9D5-46EE-8B68-22302006932B}" scale="85" hiddenRows="1" hiddenColumns="1">
      <pane xSplit="1" topLeftCell="E1" activePane="topRight" state="frozen"/>
      <selection pane="topRight" activeCell="Q8" sqref="Q8"/>
      <pageMargins left="0.7" right="0.7" top="0.75" bottom="0.75" header="0.3" footer="0.3"/>
      <pageSetup orientation="portrait" r:id="rId4"/>
    </customSheetView>
    <customSheetView guid="{17BB0635-933F-4031-AA1B-02B47946C686}" scale="85" hiddenRows="1" hiddenColumns="1">
      <pane xSplit="1" topLeftCell="E1" activePane="topRight" state="frozen"/>
      <selection pane="topRight" activeCell="Q8" sqref="Q8"/>
      <pageMargins left="0.7" right="0.7" top="0.75" bottom="0.75" header="0.3" footer="0.3"/>
      <pageSetup orientation="portrait" r:id="rId5"/>
    </customSheetView>
    <customSheetView guid="{3AED7B35-86CA-4B6C-A2EC-CD4DE422B896}" scale="85" hiddenRows="1">
      <pane xSplit="1" topLeftCell="B1" activePane="topRight" state="frozen"/>
      <selection pane="topRight" activeCell="K36" sqref="K36"/>
      <pageMargins left="0.7" right="0.7" top="0.75" bottom="0.75" header="0.3" footer="0.3"/>
      <pageSetup orientation="portrait" r:id="rId6"/>
    </customSheetView>
    <customSheetView guid="{E64C861B-828F-4357-A2C1-687220A83D03}" scale="85" showPageBreaks="1" hiddenRows="1">
      <pane xSplit="1" topLeftCell="B1" activePane="topRight"/>
      <selection pane="topRight" activeCell="K36" sqref="K36"/>
      <pageMargins left="0.7" right="0.7" top="0.75" bottom="0.75" header="0.3" footer="0.3"/>
      <pageSetup orientation="portrait" r:id="rId7"/>
    </customSheetView>
  </customSheetViews>
  <mergeCells count="1">
    <mergeCell ref="G4:I4"/>
  </mergeCell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4"/>
  <sheetViews>
    <sheetView zoomScale="85" zoomScaleNormal="85" workbookViewId="0">
      <pane ySplit="1" topLeftCell="A312" activePane="bottomLeft" state="frozen"/>
      <selection pane="bottomLeft" activeCell="C331" sqref="C331"/>
    </sheetView>
  </sheetViews>
  <sheetFormatPr defaultRowHeight="14.4"/>
  <cols>
    <col min="1" max="1" width="11.109375" customWidth="1"/>
    <col min="2" max="2" width="6.44140625" customWidth="1"/>
    <col min="3" max="3" width="27.6640625" style="20" customWidth="1"/>
    <col min="4" max="4" width="10.6640625" bestFit="1" customWidth="1"/>
    <col min="5" max="5" width="12.88671875" customWidth="1"/>
    <col min="6" max="6" width="26.6640625" customWidth="1"/>
    <col min="7" max="7" width="8.33203125" customWidth="1"/>
    <col min="8" max="8" width="11.109375" customWidth="1"/>
    <col min="9" max="9" width="13.88671875" customWidth="1"/>
    <col min="10" max="10" width="16.44140625" customWidth="1"/>
    <col min="11" max="11" width="14.88671875" customWidth="1"/>
    <col min="12" max="12" width="8.44140625" customWidth="1"/>
    <col min="13" max="13" width="9.109375" style="1"/>
  </cols>
  <sheetData>
    <row r="1" spans="1:13">
      <c r="A1" t="s">
        <v>481</v>
      </c>
      <c r="B1" t="s">
        <v>482</v>
      </c>
      <c r="C1" s="20" t="s">
        <v>483</v>
      </c>
      <c r="D1" t="s">
        <v>484</v>
      </c>
      <c r="E1" t="s">
        <v>352</v>
      </c>
      <c r="F1" t="s">
        <v>205</v>
      </c>
      <c r="G1" t="s">
        <v>782</v>
      </c>
      <c r="H1" t="str">
        <f>CONCATENATE("TP- ",COUNTIF(A182:A213,"Bajaj"))</f>
        <v>TP- 29</v>
      </c>
      <c r="J1" t="s">
        <v>485</v>
      </c>
      <c r="K1" t="s">
        <v>486</v>
      </c>
      <c r="L1" t="s">
        <v>1594</v>
      </c>
      <c r="M1" s="1" t="s">
        <v>1595</v>
      </c>
    </row>
    <row r="2" spans="1:13">
      <c r="A2" t="s">
        <v>43</v>
      </c>
      <c r="B2" t="s">
        <v>278</v>
      </c>
      <c r="C2" s="20">
        <v>2.3201002648274002E+18</v>
      </c>
      <c r="D2" s="21">
        <v>43107</v>
      </c>
      <c r="E2">
        <v>8797784939</v>
      </c>
    </row>
    <row r="3" spans="1:13">
      <c r="A3" t="s">
        <v>43</v>
      </c>
      <c r="B3" t="s">
        <v>278</v>
      </c>
      <c r="C3" s="20" t="s">
        <v>281</v>
      </c>
      <c r="D3" s="21">
        <v>43110</v>
      </c>
      <c r="E3">
        <v>8603207578</v>
      </c>
    </row>
    <row r="4" spans="1:13">
      <c r="A4" t="s">
        <v>43</v>
      </c>
      <c r="B4" t="s">
        <v>278</v>
      </c>
      <c r="C4" s="20" t="s">
        <v>280</v>
      </c>
      <c r="D4" s="21">
        <v>43110</v>
      </c>
      <c r="E4">
        <v>9279148348</v>
      </c>
    </row>
    <row r="5" spans="1:13">
      <c r="A5" t="s">
        <v>43</v>
      </c>
      <c r="B5" t="s">
        <v>282</v>
      </c>
      <c r="C5" s="20">
        <v>2.3121002661952E+18</v>
      </c>
      <c r="D5" s="21">
        <v>43111</v>
      </c>
      <c r="E5">
        <v>9204976811</v>
      </c>
    </row>
    <row r="6" spans="1:13">
      <c r="A6" t="s">
        <v>43</v>
      </c>
      <c r="B6" t="s">
        <v>282</v>
      </c>
      <c r="C6" s="20">
        <v>2.3121002670029998E+18</v>
      </c>
      <c r="D6" s="21">
        <v>43113</v>
      </c>
      <c r="E6">
        <v>9973818552</v>
      </c>
    </row>
    <row r="7" spans="1:13">
      <c r="A7" t="s">
        <v>43</v>
      </c>
      <c r="B7" t="s">
        <v>278</v>
      </c>
      <c r="C7" s="20">
        <v>2.3201002735142001E+18</v>
      </c>
      <c r="D7" s="21">
        <v>43131</v>
      </c>
      <c r="E7">
        <v>7257851449</v>
      </c>
      <c r="F7" t="s">
        <v>287</v>
      </c>
    </row>
    <row r="8" spans="1:13">
      <c r="A8" t="s">
        <v>43</v>
      </c>
      <c r="B8" t="s">
        <v>278</v>
      </c>
      <c r="C8" s="20">
        <v>2.3201002735775002E+18</v>
      </c>
      <c r="D8" s="21">
        <v>43132</v>
      </c>
      <c r="F8" t="s">
        <v>288</v>
      </c>
    </row>
    <row r="9" spans="1:13">
      <c r="A9" t="s">
        <v>43</v>
      </c>
      <c r="B9" t="s">
        <v>278</v>
      </c>
      <c r="C9" s="20">
        <v>2.3201002823955E+18</v>
      </c>
      <c r="D9" s="21">
        <v>43157</v>
      </c>
      <c r="E9">
        <v>9931707566</v>
      </c>
      <c r="F9" t="s">
        <v>299</v>
      </c>
    </row>
    <row r="10" spans="1:13">
      <c r="A10" t="s">
        <v>43</v>
      </c>
      <c r="B10" t="s">
        <v>278</v>
      </c>
      <c r="C10" s="20">
        <v>2.3201002884195E+18</v>
      </c>
      <c r="D10" s="21">
        <v>43175</v>
      </c>
      <c r="E10">
        <v>9934179885</v>
      </c>
      <c r="F10" t="s">
        <v>301</v>
      </c>
      <c r="H10">
        <v>909</v>
      </c>
    </row>
    <row r="11" spans="1:13">
      <c r="A11" t="s">
        <v>43</v>
      </c>
      <c r="B11" t="s">
        <v>278</v>
      </c>
      <c r="C11" s="20">
        <v>2.3201002899910999E+18</v>
      </c>
      <c r="D11" s="21">
        <v>43179</v>
      </c>
      <c r="F11" t="s">
        <v>302</v>
      </c>
      <c r="H11">
        <v>909</v>
      </c>
    </row>
    <row r="12" spans="1:13">
      <c r="A12" t="s">
        <v>43</v>
      </c>
      <c r="B12" t="s">
        <v>278</v>
      </c>
      <c r="C12" s="20">
        <v>2.3201002901222999E+18</v>
      </c>
      <c r="D12" s="21">
        <v>43180</v>
      </c>
      <c r="E12">
        <v>9709210887</v>
      </c>
      <c r="F12" t="s">
        <v>303</v>
      </c>
      <c r="H12">
        <v>909</v>
      </c>
    </row>
    <row r="13" spans="1:13">
      <c r="A13" t="s">
        <v>43</v>
      </c>
      <c r="B13" t="s">
        <v>278</v>
      </c>
      <c r="C13" s="20">
        <v>2.3191002963701002E+18</v>
      </c>
      <c r="D13" s="21">
        <v>43194</v>
      </c>
      <c r="E13">
        <v>9234250716</v>
      </c>
      <c r="F13" t="s">
        <v>304</v>
      </c>
      <c r="H13">
        <v>2301</v>
      </c>
    </row>
    <row r="14" spans="1:13">
      <c r="A14" t="s">
        <v>43</v>
      </c>
      <c r="B14" t="s">
        <v>278</v>
      </c>
      <c r="C14" s="20">
        <v>2.3201002966285E+18</v>
      </c>
      <c r="D14" s="21">
        <v>43194</v>
      </c>
      <c r="E14">
        <v>9939219949</v>
      </c>
      <c r="F14" t="s">
        <v>305</v>
      </c>
      <c r="H14">
        <v>909</v>
      </c>
    </row>
    <row r="15" spans="1:13">
      <c r="A15" t="s">
        <v>43</v>
      </c>
      <c r="B15" t="s">
        <v>278</v>
      </c>
      <c r="C15" s="20">
        <v>2.3201002979641001E+18</v>
      </c>
      <c r="D15" s="21">
        <v>43196</v>
      </c>
      <c r="E15">
        <v>8825234945</v>
      </c>
      <c r="F15" t="s">
        <v>307</v>
      </c>
      <c r="H15" s="22">
        <v>1162</v>
      </c>
      <c r="I15" s="22"/>
      <c r="J15" t="s">
        <v>308</v>
      </c>
    </row>
    <row r="16" spans="1:13">
      <c r="A16" t="s">
        <v>43</v>
      </c>
      <c r="B16" t="s">
        <v>278</v>
      </c>
      <c r="C16" s="20">
        <v>2.3201003044053002E+18</v>
      </c>
      <c r="D16" s="21">
        <v>43215</v>
      </c>
      <c r="F16" t="s">
        <v>311</v>
      </c>
      <c r="H16">
        <v>563</v>
      </c>
      <c r="J16" t="s">
        <v>312</v>
      </c>
      <c r="M16" s="1">
        <f>42000*1.18</f>
        <v>49560</v>
      </c>
    </row>
    <row r="17" spans="1:11">
      <c r="A17" t="s">
        <v>43</v>
      </c>
      <c r="B17" t="s">
        <v>278</v>
      </c>
      <c r="C17" s="20">
        <v>2.3201003090444001E+18</v>
      </c>
      <c r="D17" s="21">
        <v>43229</v>
      </c>
      <c r="E17">
        <v>8092575822</v>
      </c>
      <c r="F17" t="s">
        <v>314</v>
      </c>
      <c r="H17">
        <v>909</v>
      </c>
      <c r="J17" t="s">
        <v>320</v>
      </c>
    </row>
    <row r="18" spans="1:11">
      <c r="A18" t="s">
        <v>43</v>
      </c>
      <c r="B18" t="s">
        <v>316</v>
      </c>
      <c r="C18" s="20" t="s">
        <v>318</v>
      </c>
      <c r="D18" s="21">
        <v>43234</v>
      </c>
      <c r="E18">
        <v>9939184318</v>
      </c>
      <c r="F18" t="s">
        <v>321</v>
      </c>
      <c r="H18">
        <v>1302</v>
      </c>
      <c r="J18" t="s">
        <v>320</v>
      </c>
      <c r="K18" t="s">
        <v>322</v>
      </c>
    </row>
    <row r="19" spans="1:11">
      <c r="A19" t="s">
        <v>43</v>
      </c>
      <c r="B19" t="s">
        <v>316</v>
      </c>
      <c r="C19" s="20" t="s">
        <v>319</v>
      </c>
      <c r="D19" s="21">
        <v>43234</v>
      </c>
      <c r="E19">
        <v>9886627268</v>
      </c>
      <c r="F19" t="s">
        <v>317</v>
      </c>
      <c r="H19">
        <v>1545</v>
      </c>
      <c r="J19" t="s">
        <v>320</v>
      </c>
      <c r="K19" t="s">
        <v>323</v>
      </c>
    </row>
    <row r="20" spans="1:11">
      <c r="A20" t="s">
        <v>43</v>
      </c>
      <c r="B20" t="s">
        <v>278</v>
      </c>
      <c r="C20" s="20" t="s">
        <v>324</v>
      </c>
      <c r="D20" s="21">
        <v>43235</v>
      </c>
      <c r="E20">
        <v>8825234945</v>
      </c>
      <c r="F20" t="s">
        <v>283</v>
      </c>
      <c r="H20">
        <v>909</v>
      </c>
      <c r="J20" t="s">
        <v>325</v>
      </c>
      <c r="K20" t="s">
        <v>326</v>
      </c>
    </row>
    <row r="21" spans="1:11">
      <c r="A21" t="s">
        <v>43</v>
      </c>
      <c r="B21" t="s">
        <v>316</v>
      </c>
      <c r="C21" s="20" t="s">
        <v>334</v>
      </c>
      <c r="D21" s="21">
        <v>43246</v>
      </c>
      <c r="E21">
        <v>7292822584</v>
      </c>
      <c r="F21" t="s">
        <v>335</v>
      </c>
      <c r="H21">
        <v>1482</v>
      </c>
      <c r="J21" t="s">
        <v>325</v>
      </c>
      <c r="K21" t="s">
        <v>336</v>
      </c>
    </row>
    <row r="22" spans="1:11">
      <c r="A22" t="s">
        <v>43</v>
      </c>
      <c r="B22" t="s">
        <v>316</v>
      </c>
      <c r="C22" s="20" t="s">
        <v>348</v>
      </c>
      <c r="D22" s="2">
        <v>43297</v>
      </c>
      <c r="E22">
        <v>7209799539</v>
      </c>
      <c r="F22" t="s">
        <v>456</v>
      </c>
      <c r="H22">
        <v>1502</v>
      </c>
      <c r="J22" t="s">
        <v>347</v>
      </c>
      <c r="K22" t="s">
        <v>313</v>
      </c>
    </row>
    <row r="23" spans="1:11">
      <c r="A23" t="s">
        <v>43</v>
      </c>
      <c r="B23" t="s">
        <v>278</v>
      </c>
      <c r="C23" s="20">
        <v>2.3191003332729001E+18</v>
      </c>
      <c r="D23" s="2">
        <v>43299</v>
      </c>
      <c r="J23" t="s">
        <v>354</v>
      </c>
      <c r="K23" t="s">
        <v>355</v>
      </c>
    </row>
    <row r="24" spans="1:11">
      <c r="A24" t="s">
        <v>43</v>
      </c>
      <c r="B24" t="s">
        <v>278</v>
      </c>
      <c r="C24" s="20">
        <v>2.3192018861562998E+18</v>
      </c>
      <c r="D24" s="2">
        <v>43301</v>
      </c>
      <c r="E24">
        <v>7631070520</v>
      </c>
      <c r="F24" t="s">
        <v>356</v>
      </c>
      <c r="H24">
        <v>2301</v>
      </c>
      <c r="J24" t="s">
        <v>357</v>
      </c>
      <c r="K24" t="s">
        <v>358</v>
      </c>
    </row>
    <row r="25" spans="1:11">
      <c r="A25" t="s">
        <v>43</v>
      </c>
      <c r="B25" t="s">
        <v>278</v>
      </c>
      <c r="C25" s="20">
        <v>2.3171003792330998E+18</v>
      </c>
      <c r="D25" s="2">
        <v>43419</v>
      </c>
      <c r="E25">
        <v>9234630961</v>
      </c>
      <c r="F25" t="s">
        <v>400</v>
      </c>
      <c r="H25">
        <v>5380</v>
      </c>
    </row>
    <row r="26" spans="1:11">
      <c r="A26" t="s">
        <v>43</v>
      </c>
      <c r="B26" t="s">
        <v>278</v>
      </c>
      <c r="C26" s="20">
        <v>2.3201003802505001E+18</v>
      </c>
      <c r="D26" s="2">
        <v>43421</v>
      </c>
      <c r="E26">
        <v>8709917549</v>
      </c>
      <c r="F26" t="s">
        <v>401</v>
      </c>
      <c r="H26">
        <v>1015</v>
      </c>
      <c r="J26" t="s">
        <v>402</v>
      </c>
      <c r="K26" t="s">
        <v>403</v>
      </c>
    </row>
    <row r="27" spans="1:11">
      <c r="A27" t="s">
        <v>43</v>
      </c>
      <c r="B27" t="s">
        <v>278</v>
      </c>
      <c r="C27" s="20" t="s">
        <v>430</v>
      </c>
      <c r="D27" s="2">
        <v>43465</v>
      </c>
      <c r="E27">
        <v>8825234945</v>
      </c>
      <c r="F27" t="s">
        <v>431</v>
      </c>
      <c r="H27">
        <v>1015</v>
      </c>
      <c r="J27" t="s">
        <v>402</v>
      </c>
      <c r="K27" t="s">
        <v>432</v>
      </c>
    </row>
    <row r="29" spans="1:11">
      <c r="A29" t="s">
        <v>43</v>
      </c>
      <c r="B29" t="s">
        <v>278</v>
      </c>
      <c r="C29" s="20" t="s">
        <v>433</v>
      </c>
      <c r="D29" s="2">
        <v>43465</v>
      </c>
      <c r="E29">
        <v>8825234945</v>
      </c>
      <c r="H29">
        <v>850</v>
      </c>
      <c r="J29" t="s">
        <v>435</v>
      </c>
      <c r="K29" t="s">
        <v>434</v>
      </c>
    </row>
    <row r="30" spans="1:11">
      <c r="A30" t="s">
        <v>43</v>
      </c>
      <c r="B30" t="s">
        <v>278</v>
      </c>
      <c r="C30" s="20">
        <v>2.3191004042153999E+18</v>
      </c>
      <c r="D30" s="2">
        <v>43476</v>
      </c>
      <c r="E30">
        <v>9546280158</v>
      </c>
      <c r="F30" t="s">
        <v>427</v>
      </c>
      <c r="H30">
        <v>2567</v>
      </c>
      <c r="J30" t="s">
        <v>429</v>
      </c>
      <c r="K30" t="s">
        <v>428</v>
      </c>
    </row>
    <row r="32" spans="1:11">
      <c r="A32" t="s">
        <v>43</v>
      </c>
      <c r="B32" t="s">
        <v>278</v>
      </c>
      <c r="C32" s="20">
        <v>2.3201004072291E+18</v>
      </c>
      <c r="D32" s="2">
        <v>43482</v>
      </c>
      <c r="E32">
        <v>9006333358</v>
      </c>
      <c r="F32" t="s">
        <v>425</v>
      </c>
      <c r="H32">
        <v>850</v>
      </c>
      <c r="J32" t="s">
        <v>402</v>
      </c>
      <c r="K32" t="s">
        <v>426</v>
      </c>
    </row>
    <row r="33" spans="1:13">
      <c r="A33" t="s">
        <v>43</v>
      </c>
      <c r="B33" t="s">
        <v>278</v>
      </c>
      <c r="C33" s="20">
        <v>2.3201004076285E+18</v>
      </c>
      <c r="D33" s="2">
        <v>43482</v>
      </c>
      <c r="E33">
        <v>9031731385</v>
      </c>
      <c r="F33" t="s">
        <v>436</v>
      </c>
      <c r="H33">
        <v>850</v>
      </c>
      <c r="K33" t="s">
        <v>437</v>
      </c>
    </row>
    <row r="34" spans="1:13">
      <c r="A34" t="s">
        <v>43</v>
      </c>
      <c r="B34" t="s">
        <v>278</v>
      </c>
      <c r="C34" s="20">
        <v>2.3191004087689999E+18</v>
      </c>
      <c r="D34" s="2">
        <v>43484</v>
      </c>
      <c r="E34">
        <v>9534204740</v>
      </c>
      <c r="F34" t="s">
        <v>443</v>
      </c>
      <c r="H34">
        <v>2190</v>
      </c>
      <c r="J34" t="s">
        <v>438</v>
      </c>
      <c r="K34" t="s">
        <v>439</v>
      </c>
    </row>
    <row r="35" spans="1:13">
      <c r="A35" t="s">
        <v>43</v>
      </c>
      <c r="B35" t="s">
        <v>278</v>
      </c>
      <c r="C35" s="20">
        <v>2.3201004088013E+18</v>
      </c>
      <c r="D35" s="2">
        <v>43484</v>
      </c>
      <c r="E35">
        <v>9102894119</v>
      </c>
      <c r="F35" t="s">
        <v>441</v>
      </c>
      <c r="H35">
        <v>850</v>
      </c>
      <c r="J35" t="s">
        <v>442</v>
      </c>
      <c r="K35" t="s">
        <v>440</v>
      </c>
    </row>
    <row r="36" spans="1:13">
      <c r="A36" t="s">
        <v>43</v>
      </c>
      <c r="B36" t="s">
        <v>278</v>
      </c>
      <c r="C36" s="20" t="s">
        <v>447</v>
      </c>
      <c r="D36" s="2">
        <v>43489</v>
      </c>
      <c r="E36">
        <v>8877187044</v>
      </c>
      <c r="F36" t="s">
        <v>446</v>
      </c>
      <c r="H36">
        <v>850</v>
      </c>
      <c r="J36" t="s">
        <v>445</v>
      </c>
      <c r="K36" t="s">
        <v>444</v>
      </c>
    </row>
    <row r="37" spans="1:13">
      <c r="A37" t="s">
        <v>43</v>
      </c>
      <c r="B37" t="s">
        <v>278</v>
      </c>
      <c r="C37" s="20">
        <v>2.3201004120306002E+18</v>
      </c>
      <c r="D37" s="2">
        <v>43491</v>
      </c>
      <c r="E37">
        <v>9955908481</v>
      </c>
      <c r="F37" t="s">
        <v>448</v>
      </c>
      <c r="H37">
        <v>850</v>
      </c>
      <c r="J37" t="s">
        <v>449</v>
      </c>
      <c r="K37" t="s">
        <v>450</v>
      </c>
    </row>
    <row r="38" spans="1:13">
      <c r="A38" t="s">
        <v>43</v>
      </c>
      <c r="B38" t="s">
        <v>454</v>
      </c>
      <c r="C38" s="20">
        <v>2.3121004124585999E+18</v>
      </c>
      <c r="D38" s="2">
        <v>43492</v>
      </c>
      <c r="E38">
        <v>7209356266</v>
      </c>
      <c r="F38" t="s">
        <v>453</v>
      </c>
      <c r="H38">
        <v>1151</v>
      </c>
      <c r="J38" t="s">
        <v>452</v>
      </c>
      <c r="K38" t="s">
        <v>451</v>
      </c>
    </row>
    <row r="40" spans="1:13">
      <c r="C40" s="20">
        <v>2.3121004176613002E+18</v>
      </c>
      <c r="D40" s="2">
        <v>43502</v>
      </c>
    </row>
    <row r="42" spans="1:13">
      <c r="A42" t="s">
        <v>43</v>
      </c>
      <c r="B42" t="s">
        <v>278</v>
      </c>
      <c r="C42" s="20">
        <v>2.3201005907974999E+18</v>
      </c>
      <c r="D42" s="2">
        <v>43504</v>
      </c>
      <c r="E42">
        <v>7257851449</v>
      </c>
      <c r="F42" t="s">
        <v>287</v>
      </c>
      <c r="H42">
        <v>850</v>
      </c>
      <c r="J42" t="s">
        <v>457</v>
      </c>
      <c r="K42" t="s">
        <v>458</v>
      </c>
    </row>
    <row r="43" spans="1:13">
      <c r="A43" t="s">
        <v>43</v>
      </c>
      <c r="B43" t="s">
        <v>278</v>
      </c>
      <c r="C43" s="20">
        <v>2.3121005980413E+18</v>
      </c>
      <c r="D43" s="2">
        <v>43543</v>
      </c>
      <c r="E43">
        <v>9031982071</v>
      </c>
      <c r="F43" t="s">
        <v>487</v>
      </c>
      <c r="H43">
        <v>1082</v>
      </c>
      <c r="J43" t="s">
        <v>402</v>
      </c>
      <c r="K43" t="s">
        <v>488</v>
      </c>
    </row>
    <row r="44" spans="1:13">
      <c r="A44" t="s">
        <v>43</v>
      </c>
      <c r="B44" t="s">
        <v>278</v>
      </c>
      <c r="C44" s="20">
        <v>2.3191004343737001E+18</v>
      </c>
      <c r="D44" s="2">
        <v>43543</v>
      </c>
      <c r="E44">
        <v>9234278284</v>
      </c>
      <c r="F44" t="s">
        <v>491</v>
      </c>
      <c r="H44">
        <v>3378</v>
      </c>
      <c r="J44" t="s">
        <v>490</v>
      </c>
      <c r="K44" t="s">
        <v>489</v>
      </c>
    </row>
    <row r="45" spans="1:13">
      <c r="A45" t="s">
        <v>43</v>
      </c>
      <c r="B45" t="s">
        <v>278</v>
      </c>
      <c r="C45" s="20">
        <v>2.3201005982438001E+18</v>
      </c>
      <c r="D45" s="2">
        <v>43544</v>
      </c>
      <c r="E45">
        <v>9471540879</v>
      </c>
      <c r="F45" t="s">
        <v>494</v>
      </c>
      <c r="H45">
        <v>850</v>
      </c>
      <c r="J45" t="s">
        <v>493</v>
      </c>
      <c r="K45" t="s">
        <v>492</v>
      </c>
      <c r="L45" s="2">
        <v>42065</v>
      </c>
      <c r="M45" s="38">
        <v>20131</v>
      </c>
    </row>
    <row r="46" spans="1:13">
      <c r="A46" t="s">
        <v>43</v>
      </c>
      <c r="B46" t="s">
        <v>278</v>
      </c>
      <c r="C46" s="20">
        <v>2.3671005987981E+18</v>
      </c>
      <c r="D46" s="2">
        <v>43547</v>
      </c>
      <c r="E46">
        <v>9199268449</v>
      </c>
      <c r="F46" t="s">
        <v>498</v>
      </c>
      <c r="H46">
        <v>1699</v>
      </c>
      <c r="J46" t="s">
        <v>497</v>
      </c>
      <c r="K46" t="s">
        <v>496</v>
      </c>
    </row>
    <row r="47" spans="1:13">
      <c r="D47" s="2"/>
    </row>
    <row r="48" spans="1:13">
      <c r="A48" t="s">
        <v>43</v>
      </c>
      <c r="B48" t="s">
        <v>278</v>
      </c>
      <c r="C48" s="20">
        <v>2.3201006010252001E+18</v>
      </c>
      <c r="D48" s="2">
        <v>43559</v>
      </c>
      <c r="E48">
        <v>9939219949</v>
      </c>
      <c r="F48" t="s">
        <v>506</v>
      </c>
      <c r="H48">
        <v>850</v>
      </c>
      <c r="J48" t="s">
        <v>507</v>
      </c>
      <c r="K48" t="s">
        <v>505</v>
      </c>
      <c r="L48" s="2">
        <v>30447</v>
      </c>
    </row>
    <row r="49" spans="1:13">
      <c r="A49" t="s">
        <v>43</v>
      </c>
      <c r="B49" t="s">
        <v>278</v>
      </c>
      <c r="C49" s="20">
        <v>2.3201006012550999E+18</v>
      </c>
      <c r="D49" s="2">
        <v>43561</v>
      </c>
      <c r="E49">
        <v>9709210887</v>
      </c>
      <c r="F49" t="s">
        <v>517</v>
      </c>
      <c r="H49">
        <v>850</v>
      </c>
      <c r="J49" t="s">
        <v>519</v>
      </c>
      <c r="K49" t="s">
        <v>518</v>
      </c>
    </row>
    <row r="50" spans="1:13">
      <c r="A50" t="s">
        <v>43</v>
      </c>
      <c r="B50" t="s">
        <v>278</v>
      </c>
      <c r="C50" s="20">
        <v>2.3201006014064E+18</v>
      </c>
      <c r="D50" s="2">
        <v>43562</v>
      </c>
      <c r="E50">
        <v>8603207578</v>
      </c>
      <c r="F50" t="s">
        <v>514</v>
      </c>
      <c r="H50">
        <v>850</v>
      </c>
      <c r="J50" t="s">
        <v>516</v>
      </c>
      <c r="K50" t="s">
        <v>515</v>
      </c>
    </row>
    <row r="51" spans="1:13">
      <c r="A51" t="s">
        <v>43</v>
      </c>
      <c r="B51" t="s">
        <v>278</v>
      </c>
      <c r="C51" s="20">
        <v>2.3191004412630999E+18</v>
      </c>
      <c r="D51" s="2">
        <v>43563</v>
      </c>
      <c r="E51">
        <v>9279357374</v>
      </c>
      <c r="F51" t="s">
        <v>511</v>
      </c>
      <c r="H51">
        <v>2567</v>
      </c>
      <c r="J51" t="s">
        <v>512</v>
      </c>
      <c r="K51" t="s">
        <v>513</v>
      </c>
    </row>
    <row r="52" spans="1:13">
      <c r="A52" t="s">
        <v>43</v>
      </c>
      <c r="B52" t="s">
        <v>278</v>
      </c>
      <c r="C52" s="20">
        <v>2.3201006017280998E+18</v>
      </c>
      <c r="D52" s="2">
        <v>43564</v>
      </c>
      <c r="E52">
        <v>9234529226</v>
      </c>
      <c r="F52" t="s">
        <v>508</v>
      </c>
      <c r="H52">
        <v>850</v>
      </c>
      <c r="J52" t="s">
        <v>509</v>
      </c>
      <c r="K52" t="s">
        <v>510</v>
      </c>
      <c r="L52" s="2">
        <v>40563</v>
      </c>
      <c r="M52" s="38">
        <v>30696</v>
      </c>
    </row>
    <row r="53" spans="1:13">
      <c r="A53" t="s">
        <v>521</v>
      </c>
      <c r="B53" t="s">
        <v>278</v>
      </c>
      <c r="C53" s="20" t="s">
        <v>520</v>
      </c>
      <c r="D53" s="2">
        <v>43562</v>
      </c>
      <c r="E53">
        <v>7209356266</v>
      </c>
      <c r="F53" t="s">
        <v>522</v>
      </c>
      <c r="H53">
        <v>3762</v>
      </c>
      <c r="J53" t="s">
        <v>523</v>
      </c>
      <c r="K53" t="s">
        <v>524</v>
      </c>
    </row>
    <row r="54" spans="1:13">
      <c r="A54" t="s">
        <v>43</v>
      </c>
      <c r="B54" t="s">
        <v>278</v>
      </c>
      <c r="C54" s="20">
        <v>2.3671006019350001E+18</v>
      </c>
      <c r="D54" s="2">
        <v>43565</v>
      </c>
      <c r="E54">
        <v>9279599011</v>
      </c>
      <c r="F54" t="s">
        <v>526</v>
      </c>
      <c r="H54">
        <v>3752</v>
      </c>
      <c r="J54" t="s">
        <v>527</v>
      </c>
      <c r="K54" t="s">
        <v>528</v>
      </c>
    </row>
    <row r="55" spans="1:13">
      <c r="A55" t="s">
        <v>43</v>
      </c>
      <c r="B55" t="s">
        <v>481</v>
      </c>
      <c r="C55" s="20">
        <v>2.3111004417503002E+18</v>
      </c>
      <c r="D55" s="2">
        <v>43565</v>
      </c>
      <c r="E55">
        <v>7209637288</v>
      </c>
      <c r="F55" t="s">
        <v>529</v>
      </c>
      <c r="H55">
        <v>6261</v>
      </c>
      <c r="J55" t="s">
        <v>530</v>
      </c>
    </row>
    <row r="56" spans="1:13">
      <c r="A56" t="s">
        <v>43</v>
      </c>
      <c r="B56" t="s">
        <v>481</v>
      </c>
      <c r="C56" s="20">
        <v>2.3121006030905001E+18</v>
      </c>
      <c r="D56" s="2">
        <v>43572</v>
      </c>
      <c r="E56">
        <v>9534204740</v>
      </c>
      <c r="F56" t="s">
        <v>443</v>
      </c>
      <c r="H56">
        <v>1447</v>
      </c>
      <c r="J56" t="s">
        <v>534</v>
      </c>
      <c r="K56" t="s">
        <v>535</v>
      </c>
    </row>
    <row r="57" spans="1:13">
      <c r="A57" t="s">
        <v>43</v>
      </c>
      <c r="B57" t="s">
        <v>278</v>
      </c>
      <c r="C57" s="20">
        <v>2.3201006031168998E+18</v>
      </c>
      <c r="D57" s="2">
        <v>43572</v>
      </c>
      <c r="E57" s="20">
        <v>7033381999</v>
      </c>
      <c r="F57" t="s">
        <v>537</v>
      </c>
      <c r="H57">
        <v>850</v>
      </c>
      <c r="J57" t="s">
        <v>534</v>
      </c>
      <c r="K57" t="s">
        <v>536</v>
      </c>
    </row>
    <row r="58" spans="1:13">
      <c r="A58" t="s">
        <v>43</v>
      </c>
      <c r="B58" t="s">
        <v>481</v>
      </c>
      <c r="C58" s="20">
        <v>2.3121006034365E+18</v>
      </c>
      <c r="D58" s="2">
        <v>43574</v>
      </c>
      <c r="E58">
        <v>9234141293</v>
      </c>
      <c r="F58" t="s">
        <v>538</v>
      </c>
      <c r="H58">
        <v>1147</v>
      </c>
      <c r="J58" t="s">
        <v>539</v>
      </c>
      <c r="K58" t="s">
        <v>540</v>
      </c>
    </row>
    <row r="59" spans="1:13">
      <c r="A59" t="s">
        <v>43</v>
      </c>
      <c r="B59" t="s">
        <v>278</v>
      </c>
      <c r="C59" s="20">
        <v>2.3201006035698002E+18</v>
      </c>
      <c r="D59" s="2">
        <v>43575</v>
      </c>
      <c r="E59">
        <v>9234554933</v>
      </c>
      <c r="F59" t="s">
        <v>541</v>
      </c>
      <c r="H59">
        <v>850</v>
      </c>
      <c r="J59" t="s">
        <v>542</v>
      </c>
      <c r="K59" t="s">
        <v>543</v>
      </c>
    </row>
    <row r="60" spans="1:13">
      <c r="A60" t="s">
        <v>43</v>
      </c>
      <c r="B60" t="s">
        <v>481</v>
      </c>
      <c r="C60" s="20">
        <v>2.3121006037842002E+18</v>
      </c>
      <c r="D60" s="2">
        <v>43577</v>
      </c>
      <c r="E60">
        <v>9031903050</v>
      </c>
      <c r="F60" t="s">
        <v>544</v>
      </c>
      <c r="H60">
        <v>1715</v>
      </c>
      <c r="J60" t="s">
        <v>545</v>
      </c>
      <c r="K60" t="s">
        <v>546</v>
      </c>
    </row>
    <row r="61" spans="1:13">
      <c r="A61" t="s">
        <v>43</v>
      </c>
      <c r="B61" t="s">
        <v>278</v>
      </c>
      <c r="C61" s="20">
        <v>2.3201006037865999E+18</v>
      </c>
      <c r="D61" s="2">
        <v>43577</v>
      </c>
      <c r="E61">
        <v>9546779920</v>
      </c>
      <c r="F61" t="s">
        <v>549</v>
      </c>
      <c r="H61">
        <v>850</v>
      </c>
      <c r="J61" t="s">
        <v>548</v>
      </c>
      <c r="K61" t="s">
        <v>547</v>
      </c>
    </row>
    <row r="62" spans="1:13">
      <c r="A62" t="s">
        <v>43</v>
      </c>
      <c r="B62" t="s">
        <v>278</v>
      </c>
      <c r="C62" s="20">
        <v>2.3201006043506002E+18</v>
      </c>
      <c r="D62" s="2">
        <v>43580</v>
      </c>
      <c r="E62">
        <v>9702964660</v>
      </c>
      <c r="F62" t="s">
        <v>550</v>
      </c>
      <c r="H62">
        <v>870</v>
      </c>
      <c r="J62" t="s">
        <v>558</v>
      </c>
      <c r="K62" t="s">
        <v>557</v>
      </c>
    </row>
    <row r="63" spans="1:13">
      <c r="A63" t="s">
        <v>43</v>
      </c>
      <c r="B63" t="s">
        <v>481</v>
      </c>
      <c r="C63" s="20">
        <v>2.3121006047174999E+18</v>
      </c>
      <c r="D63" s="2">
        <v>43583</v>
      </c>
      <c r="E63">
        <v>9431752006</v>
      </c>
      <c r="F63" t="s">
        <v>551</v>
      </c>
      <c r="H63">
        <v>1505</v>
      </c>
      <c r="J63" t="s">
        <v>554</v>
      </c>
      <c r="K63" t="s">
        <v>553</v>
      </c>
    </row>
    <row r="64" spans="1:13">
      <c r="A64" t="s">
        <v>43</v>
      </c>
      <c r="B64" t="s">
        <v>278</v>
      </c>
      <c r="C64" s="20">
        <v>2.3201006047183002E+18</v>
      </c>
      <c r="D64" s="2">
        <v>43583</v>
      </c>
      <c r="E64">
        <v>9955796483</v>
      </c>
      <c r="F64" t="s">
        <v>552</v>
      </c>
      <c r="H64">
        <v>850</v>
      </c>
      <c r="J64" t="s">
        <v>555</v>
      </c>
      <c r="K64" t="s">
        <v>556</v>
      </c>
    </row>
    <row r="65" spans="1:11">
      <c r="A65" t="s">
        <v>43</v>
      </c>
      <c r="B65" t="s">
        <v>278</v>
      </c>
      <c r="C65" s="20">
        <v>2.3201006062099999E+18</v>
      </c>
      <c r="D65" s="2">
        <v>43594</v>
      </c>
      <c r="E65">
        <v>8092575822</v>
      </c>
      <c r="F65" t="s">
        <v>314</v>
      </c>
      <c r="H65">
        <v>850</v>
      </c>
      <c r="J65" t="s">
        <v>560</v>
      </c>
      <c r="K65" t="s">
        <v>559</v>
      </c>
    </row>
    <row r="66" spans="1:11">
      <c r="D66" s="2"/>
      <c r="H66">
        <f ca="1">SUM(H48:H67)</f>
        <v>3098276</v>
      </c>
    </row>
    <row r="67" spans="1:11">
      <c r="D67" s="2"/>
    </row>
    <row r="69" spans="1:11">
      <c r="A69" t="s">
        <v>43</v>
      </c>
      <c r="B69" t="s">
        <v>278</v>
      </c>
      <c r="D69" s="2">
        <v>43622</v>
      </c>
      <c r="H69">
        <v>720</v>
      </c>
      <c r="I69" s="7">
        <f>H69*1.18</f>
        <v>849.59999999999991</v>
      </c>
    </row>
    <row r="70" spans="1:11">
      <c r="A70" t="s">
        <v>43</v>
      </c>
      <c r="B70" t="s">
        <v>278</v>
      </c>
      <c r="C70" s="20">
        <v>2.3201006101660001E+18</v>
      </c>
      <c r="D70" s="2">
        <v>43623</v>
      </c>
      <c r="F70" t="s">
        <v>561</v>
      </c>
      <c r="H70">
        <v>720</v>
      </c>
      <c r="I70" s="7">
        <f t="shared" ref="I70:I97" si="0">H70*1.18</f>
        <v>849.59999999999991</v>
      </c>
    </row>
    <row r="71" spans="1:11">
      <c r="A71" t="s">
        <v>43</v>
      </c>
      <c r="B71" t="s">
        <v>278</v>
      </c>
      <c r="C71" s="20">
        <v>2.3201006104985001E+18</v>
      </c>
      <c r="D71" s="2">
        <v>43625</v>
      </c>
      <c r="F71" t="s">
        <v>562</v>
      </c>
      <c r="H71">
        <v>720</v>
      </c>
      <c r="I71" s="7">
        <f t="shared" si="0"/>
        <v>849.59999999999991</v>
      </c>
      <c r="J71" t="s">
        <v>563</v>
      </c>
      <c r="K71" t="s">
        <v>564</v>
      </c>
    </row>
    <row r="72" spans="1:11">
      <c r="A72" t="s">
        <v>43</v>
      </c>
      <c r="B72" t="s">
        <v>316</v>
      </c>
      <c r="C72" s="20">
        <v>2.3121006105344998E+18</v>
      </c>
      <c r="D72" s="2">
        <v>43626</v>
      </c>
      <c r="F72" t="s">
        <v>566</v>
      </c>
      <c r="H72">
        <v>1043</v>
      </c>
      <c r="I72" s="7">
        <f t="shared" si="0"/>
        <v>1230.74</v>
      </c>
      <c r="J72" t="s">
        <v>554</v>
      </c>
      <c r="K72" t="s">
        <v>565</v>
      </c>
    </row>
    <row r="73" spans="1:11">
      <c r="A73" t="s">
        <v>43</v>
      </c>
      <c r="B73" t="s">
        <v>278</v>
      </c>
      <c r="C73" s="20">
        <v>2.3201006106765998E+18</v>
      </c>
      <c r="D73" s="2">
        <v>43626</v>
      </c>
      <c r="F73" t="s">
        <v>567</v>
      </c>
      <c r="H73">
        <v>720</v>
      </c>
      <c r="I73" s="7">
        <f t="shared" si="0"/>
        <v>849.59999999999991</v>
      </c>
      <c r="K73" t="s">
        <v>568</v>
      </c>
    </row>
    <row r="74" spans="1:11">
      <c r="A74" t="s">
        <v>43</v>
      </c>
      <c r="B74" t="s">
        <v>278</v>
      </c>
      <c r="C74" s="20">
        <v>2.3191002097785999E+18</v>
      </c>
      <c r="D74" s="2">
        <v>43628</v>
      </c>
      <c r="E74">
        <v>9263568275</v>
      </c>
      <c r="F74" t="s">
        <v>571</v>
      </c>
      <c r="H74">
        <v>2175</v>
      </c>
      <c r="I74" s="7">
        <f t="shared" si="0"/>
        <v>2566.5</v>
      </c>
      <c r="J74" t="s">
        <v>569</v>
      </c>
      <c r="K74" t="s">
        <v>570</v>
      </c>
    </row>
    <row r="75" spans="1:11">
      <c r="A75" t="s">
        <v>43</v>
      </c>
      <c r="B75" t="s">
        <v>454</v>
      </c>
      <c r="C75" s="20">
        <v>2.3121006112755E+18</v>
      </c>
      <c r="D75" s="2">
        <v>43630</v>
      </c>
      <c r="F75" t="s">
        <v>576</v>
      </c>
      <c r="H75">
        <v>932</v>
      </c>
      <c r="I75" s="7">
        <f t="shared" si="0"/>
        <v>1099.76</v>
      </c>
      <c r="J75" t="s">
        <v>534</v>
      </c>
      <c r="K75" t="s">
        <v>575</v>
      </c>
    </row>
    <row r="76" spans="1:11">
      <c r="A76" t="s">
        <v>43</v>
      </c>
      <c r="B76" t="s">
        <v>278</v>
      </c>
      <c r="C76" s="20">
        <v>2.3201006125474002E+18</v>
      </c>
      <c r="D76" s="2">
        <v>43637</v>
      </c>
      <c r="E76">
        <v>9661274908</v>
      </c>
      <c r="F76" t="s">
        <v>363</v>
      </c>
      <c r="H76">
        <v>752</v>
      </c>
      <c r="I76" s="7">
        <f t="shared" si="0"/>
        <v>887.3599999999999</v>
      </c>
      <c r="J76" t="s">
        <v>320</v>
      </c>
      <c r="K76" t="s">
        <v>577</v>
      </c>
    </row>
    <row r="77" spans="1:11">
      <c r="A77" t="s">
        <v>43</v>
      </c>
      <c r="B77" t="s">
        <v>316</v>
      </c>
      <c r="C77" s="20">
        <v>2.3121006131772001E+18</v>
      </c>
      <c r="D77" s="2">
        <v>43641</v>
      </c>
      <c r="E77">
        <v>7209409620</v>
      </c>
      <c r="F77" t="s">
        <v>579</v>
      </c>
      <c r="H77">
        <v>893</v>
      </c>
      <c r="I77" s="7">
        <f t="shared" si="0"/>
        <v>1053.74</v>
      </c>
      <c r="K77" t="s">
        <v>578</v>
      </c>
    </row>
    <row r="78" spans="1:11">
      <c r="A78" t="s">
        <v>43</v>
      </c>
      <c r="B78" t="s">
        <v>278</v>
      </c>
      <c r="C78" s="20">
        <v>2.3201006139830001E+18</v>
      </c>
      <c r="D78" s="2">
        <v>43645</v>
      </c>
      <c r="E78">
        <v>8092388107</v>
      </c>
      <c r="F78" t="s">
        <v>589</v>
      </c>
      <c r="H78">
        <v>752</v>
      </c>
      <c r="I78" s="7">
        <f t="shared" si="0"/>
        <v>887.3599999999999</v>
      </c>
      <c r="J78" t="s">
        <v>590</v>
      </c>
      <c r="K78" t="s">
        <v>591</v>
      </c>
    </row>
    <row r="79" spans="1:11">
      <c r="A79" t="s">
        <v>43</v>
      </c>
      <c r="B79" t="s">
        <v>278</v>
      </c>
      <c r="C79" s="20">
        <v>2.3201006141753001E+18</v>
      </c>
      <c r="D79" s="2">
        <v>43648</v>
      </c>
      <c r="E79">
        <v>9835111074</v>
      </c>
      <c r="F79" t="s">
        <v>586</v>
      </c>
      <c r="H79">
        <v>752</v>
      </c>
      <c r="I79" s="7">
        <f t="shared" si="0"/>
        <v>887.3599999999999</v>
      </c>
      <c r="J79" t="s">
        <v>588</v>
      </c>
      <c r="K79" t="s">
        <v>587</v>
      </c>
    </row>
    <row r="80" spans="1:11">
      <c r="A80" t="s">
        <v>43</v>
      </c>
      <c r="B80" t="s">
        <v>278</v>
      </c>
      <c r="C80" s="20">
        <v>2.3201006147693E+18</v>
      </c>
      <c r="D80" s="2">
        <v>43651</v>
      </c>
      <c r="E80">
        <v>7050312952</v>
      </c>
      <c r="F80" t="s">
        <v>594</v>
      </c>
      <c r="H80">
        <v>752</v>
      </c>
      <c r="I80" s="7">
        <f t="shared" si="0"/>
        <v>887.3599999999999</v>
      </c>
      <c r="J80" t="s">
        <v>596</v>
      </c>
      <c r="K80" t="s">
        <v>595</v>
      </c>
    </row>
    <row r="81" spans="1:11">
      <c r="A81" t="s">
        <v>43</v>
      </c>
      <c r="B81" t="s">
        <v>278</v>
      </c>
      <c r="C81" s="20">
        <v>2.3191004647273001E+18</v>
      </c>
      <c r="D81" s="2">
        <v>43652</v>
      </c>
      <c r="E81">
        <v>7004909358</v>
      </c>
      <c r="F81" t="s">
        <v>602</v>
      </c>
      <c r="H81">
        <v>2072</v>
      </c>
      <c r="I81" s="7">
        <f t="shared" si="0"/>
        <v>2444.96</v>
      </c>
      <c r="J81" t="s">
        <v>600</v>
      </c>
      <c r="K81" t="s">
        <v>601</v>
      </c>
    </row>
    <row r="82" spans="1:11">
      <c r="A82" t="s">
        <v>43</v>
      </c>
      <c r="B82" t="s">
        <v>278</v>
      </c>
      <c r="C82" s="20">
        <v>2.3201006157477002E+18</v>
      </c>
      <c r="D82" s="2">
        <v>43656</v>
      </c>
      <c r="E82">
        <v>9835561750</v>
      </c>
      <c r="F82" t="s">
        <v>597</v>
      </c>
      <c r="H82">
        <v>752</v>
      </c>
      <c r="I82" s="7">
        <f t="shared" si="0"/>
        <v>887.3599999999999</v>
      </c>
      <c r="J82" t="s">
        <v>599</v>
      </c>
      <c r="K82" t="s">
        <v>598</v>
      </c>
    </row>
    <row r="83" spans="1:11">
      <c r="A83" t="s">
        <v>43</v>
      </c>
      <c r="B83" t="s">
        <v>278</v>
      </c>
      <c r="C83" s="20">
        <v>2.3201006159736003E+18</v>
      </c>
      <c r="D83" s="2">
        <v>43658</v>
      </c>
      <c r="E83">
        <v>9162475626</v>
      </c>
      <c r="F83" t="s">
        <v>604</v>
      </c>
      <c r="H83">
        <v>752</v>
      </c>
      <c r="I83" s="7">
        <f t="shared" si="0"/>
        <v>887.3599999999999</v>
      </c>
      <c r="J83" t="s">
        <v>603</v>
      </c>
      <c r="K83" t="s">
        <v>605</v>
      </c>
    </row>
    <row r="84" spans="1:11">
      <c r="A84" t="s">
        <v>43</v>
      </c>
      <c r="B84" t="s">
        <v>278</v>
      </c>
      <c r="C84" s="20">
        <v>2.3201006164981002E+18</v>
      </c>
      <c r="D84" s="2">
        <v>43661</v>
      </c>
      <c r="E84">
        <v>9113182499</v>
      </c>
      <c r="F84" t="s">
        <v>608</v>
      </c>
      <c r="H84">
        <v>752</v>
      </c>
      <c r="I84" s="7">
        <f t="shared" si="0"/>
        <v>887.3599999999999</v>
      </c>
      <c r="J84" t="s">
        <v>606</v>
      </c>
      <c r="K84" t="s">
        <v>607</v>
      </c>
    </row>
    <row r="85" spans="1:11">
      <c r="A85" t="s">
        <v>43</v>
      </c>
      <c r="B85" t="s">
        <v>278</v>
      </c>
      <c r="C85" s="20">
        <v>2.3191004678890998E+18</v>
      </c>
      <c r="D85" s="2">
        <v>43663</v>
      </c>
      <c r="E85">
        <v>9434193250</v>
      </c>
      <c r="F85" t="s">
        <v>617</v>
      </c>
      <c r="H85">
        <v>2072</v>
      </c>
      <c r="I85" s="7">
        <f t="shared" si="0"/>
        <v>2444.96</v>
      </c>
      <c r="J85" t="s">
        <v>569</v>
      </c>
      <c r="K85" t="s">
        <v>618</v>
      </c>
    </row>
    <row r="86" spans="1:11">
      <c r="A86" t="s">
        <v>43</v>
      </c>
      <c r="B86" t="s">
        <v>278</v>
      </c>
      <c r="C86" s="20">
        <v>2.3201006169501998E+18</v>
      </c>
      <c r="D86" s="2">
        <v>43664</v>
      </c>
      <c r="E86">
        <v>9031904806</v>
      </c>
      <c r="F86" t="s">
        <v>616</v>
      </c>
      <c r="H86">
        <v>752</v>
      </c>
      <c r="I86" s="7">
        <f t="shared" si="0"/>
        <v>887.3599999999999</v>
      </c>
      <c r="J86" t="s">
        <v>614</v>
      </c>
      <c r="K86" t="s">
        <v>615</v>
      </c>
    </row>
    <row r="87" spans="1:11">
      <c r="A87" t="s">
        <v>43</v>
      </c>
      <c r="B87" t="s">
        <v>278</v>
      </c>
      <c r="C87" s="20">
        <v>2.3192018861562998E+18</v>
      </c>
      <c r="D87" s="2">
        <v>43666</v>
      </c>
      <c r="E87">
        <v>7631070520</v>
      </c>
      <c r="F87" t="s">
        <v>623</v>
      </c>
      <c r="H87">
        <v>2397</v>
      </c>
      <c r="I87" s="7">
        <f t="shared" si="0"/>
        <v>2828.46</v>
      </c>
      <c r="J87" t="s">
        <v>569</v>
      </c>
      <c r="K87" t="s">
        <v>624</v>
      </c>
    </row>
    <row r="88" spans="1:11">
      <c r="A88" t="s">
        <v>43</v>
      </c>
      <c r="B88" t="s">
        <v>278</v>
      </c>
      <c r="C88" s="20">
        <v>2.3201006179942001E+18</v>
      </c>
      <c r="D88" s="2">
        <v>43669</v>
      </c>
      <c r="E88">
        <v>9204334103</v>
      </c>
      <c r="F88" t="s">
        <v>629</v>
      </c>
      <c r="H88">
        <v>752</v>
      </c>
      <c r="I88" s="7">
        <f t="shared" si="0"/>
        <v>887.3599999999999</v>
      </c>
      <c r="K88" t="s">
        <v>628</v>
      </c>
    </row>
    <row r="89" spans="1:11">
      <c r="A89" t="s">
        <v>630</v>
      </c>
      <c r="B89" t="s">
        <v>278</v>
      </c>
      <c r="C89" s="20" t="s">
        <v>631</v>
      </c>
      <c r="D89" s="2">
        <v>43670</v>
      </c>
      <c r="F89" t="s">
        <v>633</v>
      </c>
      <c r="H89">
        <v>752</v>
      </c>
      <c r="I89" s="7">
        <f t="shared" si="0"/>
        <v>887.3599999999999</v>
      </c>
      <c r="K89" t="s">
        <v>632</v>
      </c>
    </row>
    <row r="90" spans="1:11">
      <c r="A90" t="s">
        <v>43</v>
      </c>
      <c r="B90" t="s">
        <v>278</v>
      </c>
      <c r="C90" s="20">
        <v>2.3201006193159997E+18</v>
      </c>
      <c r="D90" s="2">
        <v>43677</v>
      </c>
      <c r="E90">
        <v>6202775063</v>
      </c>
      <c r="F90" t="s">
        <v>636</v>
      </c>
      <c r="H90">
        <v>752</v>
      </c>
      <c r="I90" s="7">
        <f t="shared" si="0"/>
        <v>887.3599999999999</v>
      </c>
      <c r="J90" t="s">
        <v>637</v>
      </c>
      <c r="K90" t="s">
        <v>635</v>
      </c>
    </row>
    <row r="91" spans="1:11">
      <c r="A91" t="s">
        <v>630</v>
      </c>
      <c r="B91" t="s">
        <v>278</v>
      </c>
      <c r="H91">
        <v>752</v>
      </c>
      <c r="I91" s="7">
        <f t="shared" si="0"/>
        <v>887.3599999999999</v>
      </c>
    </row>
    <row r="92" spans="1:11">
      <c r="A92" t="s">
        <v>43</v>
      </c>
      <c r="B92" t="s">
        <v>278</v>
      </c>
      <c r="C92" s="20">
        <v>2.3201006201394002E+18</v>
      </c>
      <c r="D92" s="2">
        <v>43681</v>
      </c>
      <c r="E92">
        <v>8089669004</v>
      </c>
      <c r="F92" t="s">
        <v>638</v>
      </c>
      <c r="H92">
        <v>752</v>
      </c>
      <c r="I92" s="7">
        <f t="shared" si="0"/>
        <v>887.3599999999999</v>
      </c>
      <c r="J92" t="s">
        <v>519</v>
      </c>
      <c r="K92" t="s">
        <v>639</v>
      </c>
    </row>
    <row r="93" spans="1:11">
      <c r="A93" t="s">
        <v>43</v>
      </c>
      <c r="B93" t="s">
        <v>278</v>
      </c>
      <c r="D93" s="2">
        <v>43682</v>
      </c>
      <c r="H93">
        <v>752</v>
      </c>
      <c r="I93" s="7">
        <f t="shared" si="0"/>
        <v>887.3599999999999</v>
      </c>
    </row>
    <row r="94" spans="1:11">
      <c r="A94" t="s">
        <v>43</v>
      </c>
      <c r="B94" t="s">
        <v>278</v>
      </c>
      <c r="D94" s="2">
        <v>43683</v>
      </c>
      <c r="H94">
        <v>752</v>
      </c>
      <c r="I94" s="7">
        <f t="shared" si="0"/>
        <v>887.3599999999999</v>
      </c>
    </row>
    <row r="95" spans="1:11">
      <c r="A95" t="s">
        <v>43</v>
      </c>
      <c r="B95" t="s">
        <v>278</v>
      </c>
      <c r="D95" s="2">
        <v>43683</v>
      </c>
      <c r="H95">
        <v>2072</v>
      </c>
      <c r="I95" s="7">
        <f t="shared" si="0"/>
        <v>2444.96</v>
      </c>
      <c r="J95" t="s">
        <v>640</v>
      </c>
    </row>
    <row r="96" spans="1:11">
      <c r="A96" t="s">
        <v>43</v>
      </c>
      <c r="B96" t="s">
        <v>278</v>
      </c>
      <c r="C96" s="20">
        <v>2.3201006208090998E+18</v>
      </c>
      <c r="D96" s="2">
        <v>43684</v>
      </c>
      <c r="H96">
        <v>720</v>
      </c>
      <c r="I96" s="7">
        <f t="shared" si="0"/>
        <v>849.59999999999991</v>
      </c>
      <c r="K96" t="s">
        <v>648</v>
      </c>
    </row>
    <row r="97" spans="1:11">
      <c r="A97" t="s">
        <v>630</v>
      </c>
      <c r="B97" t="s">
        <v>278</v>
      </c>
      <c r="D97" s="2">
        <v>43685</v>
      </c>
      <c r="H97">
        <v>482</v>
      </c>
      <c r="I97" s="7">
        <f t="shared" si="0"/>
        <v>568.76</v>
      </c>
      <c r="J97" t="s">
        <v>641</v>
      </c>
    </row>
    <row r="98" spans="1:11">
      <c r="H98" s="16">
        <f>SUM(H69:H97)</f>
        <v>29018</v>
      </c>
    </row>
    <row r="100" spans="1:11">
      <c r="A100" t="s">
        <v>43</v>
      </c>
      <c r="B100" t="s">
        <v>278</v>
      </c>
      <c r="C100" s="20">
        <v>2.3201006286237998E+18</v>
      </c>
      <c r="D100" s="2">
        <v>43591</v>
      </c>
      <c r="E100">
        <v>8987603904</v>
      </c>
      <c r="F100" t="s">
        <v>678</v>
      </c>
      <c r="H100">
        <v>752</v>
      </c>
      <c r="I100" s="20">
        <f>H100*1.18</f>
        <v>887.3599999999999</v>
      </c>
      <c r="J100" t="s">
        <v>676</v>
      </c>
      <c r="K100" t="s">
        <v>677</v>
      </c>
    </row>
    <row r="101" spans="1:11">
      <c r="A101" t="s">
        <v>43</v>
      </c>
      <c r="B101" t="s">
        <v>278</v>
      </c>
      <c r="C101" s="20">
        <v>2.3201006287872E+18</v>
      </c>
      <c r="D101" s="2">
        <v>43591</v>
      </c>
      <c r="E101">
        <v>9434193250</v>
      </c>
      <c r="F101" t="s">
        <v>679</v>
      </c>
      <c r="H101">
        <v>752</v>
      </c>
      <c r="I101" s="20">
        <f>H101*1.18</f>
        <v>887.3599999999999</v>
      </c>
      <c r="J101" t="s">
        <v>548</v>
      </c>
      <c r="K101" t="s">
        <v>680</v>
      </c>
    </row>
    <row r="102" spans="1:11">
      <c r="A102" t="s">
        <v>43</v>
      </c>
      <c r="B102" t="s">
        <v>278</v>
      </c>
      <c r="C102" s="20">
        <v>2.3201006287443E+18</v>
      </c>
      <c r="D102" s="2">
        <v>43591</v>
      </c>
      <c r="E102">
        <v>8797935491</v>
      </c>
      <c r="F102" t="s">
        <v>399</v>
      </c>
      <c r="H102">
        <v>752</v>
      </c>
      <c r="I102" s="20">
        <f>H102*1.18</f>
        <v>887.3599999999999</v>
      </c>
      <c r="K102" t="s">
        <v>681</v>
      </c>
    </row>
    <row r="103" spans="1:11">
      <c r="A103" t="s">
        <v>43</v>
      </c>
      <c r="B103" t="s">
        <v>278</v>
      </c>
      <c r="C103" s="20">
        <v>2.3191006294130002E+18</v>
      </c>
      <c r="D103" s="2">
        <v>43591</v>
      </c>
      <c r="E103">
        <v>8789891181</v>
      </c>
      <c r="F103" t="s">
        <v>683</v>
      </c>
      <c r="H103">
        <v>2072</v>
      </c>
      <c r="I103" s="20">
        <f>H103*1.18</f>
        <v>2444.96</v>
      </c>
      <c r="J103" t="s">
        <v>684</v>
      </c>
      <c r="K103" t="s">
        <v>682</v>
      </c>
    </row>
    <row r="104" spans="1:11">
      <c r="A104" t="s">
        <v>43</v>
      </c>
      <c r="B104" t="s">
        <v>278</v>
      </c>
      <c r="C104" s="20">
        <v>2.3201006299789E+18</v>
      </c>
      <c r="D104" s="2">
        <v>43715</v>
      </c>
      <c r="E104">
        <v>7654389186</v>
      </c>
      <c r="F104" t="s">
        <v>687</v>
      </c>
      <c r="H104">
        <v>752</v>
      </c>
      <c r="I104" s="20">
        <f>H104*1.18</f>
        <v>887.3599999999999</v>
      </c>
      <c r="J104" t="s">
        <v>686</v>
      </c>
      <c r="K104" t="s">
        <v>685</v>
      </c>
    </row>
    <row r="105" spans="1:11">
      <c r="I105" s="20">
        <f t="shared" ref="I105:I148" si="1">H105*1.18</f>
        <v>0</v>
      </c>
    </row>
    <row r="106" spans="1:11">
      <c r="I106" s="20">
        <f t="shared" si="1"/>
        <v>0</v>
      </c>
    </row>
    <row r="107" spans="1:11">
      <c r="I107" s="20">
        <f t="shared" si="1"/>
        <v>0</v>
      </c>
    </row>
    <row r="108" spans="1:11">
      <c r="I108" s="20">
        <f t="shared" si="1"/>
        <v>0</v>
      </c>
    </row>
    <row r="109" spans="1:11">
      <c r="H109">
        <v>752</v>
      </c>
      <c r="I109" s="20">
        <f t="shared" si="1"/>
        <v>887.3599999999999</v>
      </c>
    </row>
    <row r="110" spans="1:11">
      <c r="H110">
        <v>752</v>
      </c>
      <c r="I110" s="20">
        <f t="shared" si="1"/>
        <v>887.3599999999999</v>
      </c>
    </row>
    <row r="111" spans="1:11">
      <c r="H111">
        <v>752</v>
      </c>
      <c r="I111" s="20">
        <f t="shared" si="1"/>
        <v>887.3599999999999</v>
      </c>
    </row>
    <row r="112" spans="1:11">
      <c r="H112">
        <v>1056</v>
      </c>
      <c r="I112" s="20">
        <f t="shared" si="1"/>
        <v>1246.08</v>
      </c>
    </row>
    <row r="113" spans="1:11">
      <c r="A113" t="s">
        <v>43</v>
      </c>
      <c r="B113" t="s">
        <v>692</v>
      </c>
      <c r="D113" s="2">
        <v>43716</v>
      </c>
      <c r="E113">
        <v>9279301865</v>
      </c>
      <c r="F113" t="s">
        <v>693</v>
      </c>
      <c r="H113">
        <v>1014</v>
      </c>
      <c r="I113" s="20">
        <f t="shared" si="1"/>
        <v>1196.52</v>
      </c>
      <c r="J113" t="s">
        <v>691</v>
      </c>
      <c r="K113" t="s">
        <v>694</v>
      </c>
    </row>
    <row r="114" spans="1:11">
      <c r="A114" t="s">
        <v>43</v>
      </c>
      <c r="B114" t="s">
        <v>278</v>
      </c>
      <c r="C114" s="20">
        <v>2.3201006350482002E+18</v>
      </c>
      <c r="D114" s="2">
        <v>43718</v>
      </c>
      <c r="E114">
        <v>8825382716</v>
      </c>
      <c r="F114" t="s">
        <v>695</v>
      </c>
      <c r="H114">
        <v>752</v>
      </c>
      <c r="I114" s="20">
        <f t="shared" si="1"/>
        <v>887.3599999999999</v>
      </c>
      <c r="J114" t="s">
        <v>696</v>
      </c>
      <c r="K114" t="s">
        <v>697</v>
      </c>
    </row>
    <row r="115" spans="1:11">
      <c r="I115" s="20">
        <f t="shared" si="1"/>
        <v>0</v>
      </c>
    </row>
    <row r="116" spans="1:11">
      <c r="A116" t="s">
        <v>43</v>
      </c>
      <c r="B116" t="s">
        <v>278</v>
      </c>
      <c r="C116" s="20">
        <v>2.3201006353639997E+18</v>
      </c>
      <c r="D116" s="2">
        <v>43719</v>
      </c>
      <c r="E116">
        <v>9934354686</v>
      </c>
      <c r="F116" t="s">
        <v>733</v>
      </c>
      <c r="H116">
        <v>752</v>
      </c>
      <c r="I116" s="20">
        <f t="shared" si="1"/>
        <v>887.3599999999999</v>
      </c>
      <c r="J116" t="s">
        <v>735</v>
      </c>
      <c r="K116" t="s">
        <v>734</v>
      </c>
    </row>
    <row r="117" spans="1:11">
      <c r="A117" t="s">
        <v>43</v>
      </c>
      <c r="B117" t="s">
        <v>278</v>
      </c>
      <c r="C117" s="20">
        <v>2.3201006353792998E+18</v>
      </c>
      <c r="D117" s="2">
        <v>43719</v>
      </c>
      <c r="E117">
        <v>7328888319</v>
      </c>
      <c r="F117" t="s">
        <v>730</v>
      </c>
      <c r="H117">
        <v>752</v>
      </c>
      <c r="I117" s="20">
        <f t="shared" si="1"/>
        <v>887.3599999999999</v>
      </c>
      <c r="J117" t="s">
        <v>732</v>
      </c>
      <c r="K117" t="s">
        <v>731</v>
      </c>
    </row>
    <row r="118" spans="1:11">
      <c r="A118" t="s">
        <v>43</v>
      </c>
      <c r="B118" t="s">
        <v>278</v>
      </c>
      <c r="C118" s="20">
        <v>2.3201006353903002E+18</v>
      </c>
      <c r="D118" s="2">
        <v>43719</v>
      </c>
      <c r="E118">
        <v>8797152396</v>
      </c>
      <c r="F118" t="s">
        <v>698</v>
      </c>
      <c r="H118">
        <v>752</v>
      </c>
      <c r="I118" s="20">
        <f t="shared" si="1"/>
        <v>887.3599999999999</v>
      </c>
      <c r="J118" t="s">
        <v>699</v>
      </c>
      <c r="K118" t="s">
        <v>700</v>
      </c>
    </row>
    <row r="119" spans="1:11">
      <c r="A119" t="s">
        <v>43</v>
      </c>
      <c r="B119" t="s">
        <v>278</v>
      </c>
      <c r="C119" s="20">
        <v>2.3201006354006999E+18</v>
      </c>
      <c r="D119" s="2">
        <v>43719</v>
      </c>
      <c r="E119">
        <v>8092246219</v>
      </c>
      <c r="F119" t="s">
        <v>390</v>
      </c>
      <c r="H119">
        <v>752</v>
      </c>
      <c r="I119" s="20">
        <f t="shared" si="1"/>
        <v>887.3599999999999</v>
      </c>
      <c r="J119" t="s">
        <v>701</v>
      </c>
      <c r="K119" t="s">
        <v>702</v>
      </c>
    </row>
    <row r="120" spans="1:11">
      <c r="A120" t="s">
        <v>706</v>
      </c>
      <c r="B120" t="s">
        <v>278</v>
      </c>
      <c r="C120" s="20">
        <v>6.0732192348023706E+17</v>
      </c>
      <c r="D120" s="2">
        <v>43719</v>
      </c>
      <c r="E120">
        <v>9931195820</v>
      </c>
      <c r="F120" t="s">
        <v>708</v>
      </c>
      <c r="H120">
        <v>702</v>
      </c>
      <c r="I120" s="20">
        <f t="shared" si="1"/>
        <v>828.3599999999999</v>
      </c>
      <c r="J120" t="s">
        <v>534</v>
      </c>
      <c r="K120" t="s">
        <v>707</v>
      </c>
    </row>
    <row r="121" spans="1:11">
      <c r="A121" t="s">
        <v>706</v>
      </c>
      <c r="B121" t="s">
        <v>278</v>
      </c>
      <c r="C121" s="20">
        <v>6.0732192348023706E+17</v>
      </c>
      <c r="D121" s="2">
        <v>43719</v>
      </c>
      <c r="E121">
        <v>7903442197</v>
      </c>
      <c r="F121" t="s">
        <v>709</v>
      </c>
      <c r="H121">
        <v>752</v>
      </c>
      <c r="I121" s="20">
        <f t="shared" si="1"/>
        <v>887.3599999999999</v>
      </c>
      <c r="J121" t="s">
        <v>711</v>
      </c>
      <c r="K121" t="s">
        <v>710</v>
      </c>
    </row>
    <row r="122" spans="1:11">
      <c r="A122" t="s">
        <v>706</v>
      </c>
      <c r="B122" t="s">
        <v>278</v>
      </c>
      <c r="C122" s="20">
        <v>6.0732192348023706E+17</v>
      </c>
      <c r="D122" s="2">
        <v>43719</v>
      </c>
      <c r="E122">
        <v>8292311911</v>
      </c>
      <c r="F122" t="s">
        <v>712</v>
      </c>
      <c r="H122">
        <v>702</v>
      </c>
      <c r="I122" s="20">
        <f t="shared" si="1"/>
        <v>828.3599999999999</v>
      </c>
      <c r="J122" t="s">
        <v>714</v>
      </c>
      <c r="K122" t="s">
        <v>713</v>
      </c>
    </row>
    <row r="123" spans="1:11">
      <c r="A123" t="s">
        <v>706</v>
      </c>
      <c r="B123" t="s">
        <v>278</v>
      </c>
      <c r="C123" s="20">
        <v>6.07321923470048E+17</v>
      </c>
      <c r="D123" s="2">
        <v>43719</v>
      </c>
      <c r="E123">
        <v>9234682169</v>
      </c>
      <c r="F123" t="s">
        <v>715</v>
      </c>
      <c r="H123">
        <v>2072</v>
      </c>
      <c r="I123" s="20">
        <f t="shared" si="1"/>
        <v>2444.96</v>
      </c>
      <c r="J123" t="s">
        <v>716</v>
      </c>
      <c r="K123" t="s">
        <v>717</v>
      </c>
    </row>
    <row r="124" spans="1:11">
      <c r="A124" t="s">
        <v>43</v>
      </c>
      <c r="B124" t="s">
        <v>278</v>
      </c>
      <c r="C124" s="20">
        <v>2.3201006361900001E+18</v>
      </c>
      <c r="D124" s="2">
        <v>43719</v>
      </c>
      <c r="E124">
        <v>8210229989</v>
      </c>
      <c r="F124" t="s">
        <v>718</v>
      </c>
      <c r="H124">
        <v>752</v>
      </c>
      <c r="I124" s="20">
        <f t="shared" si="1"/>
        <v>887.3599999999999</v>
      </c>
      <c r="J124" t="s">
        <v>720</v>
      </c>
      <c r="K124" t="s">
        <v>719</v>
      </c>
    </row>
    <row r="125" spans="1:11">
      <c r="A125" t="s">
        <v>43</v>
      </c>
      <c r="B125" t="s">
        <v>278</v>
      </c>
      <c r="C125" s="20">
        <v>2.3201006361676001E+18</v>
      </c>
      <c r="D125" s="2">
        <v>43719</v>
      </c>
      <c r="E125">
        <v>9031038401</v>
      </c>
      <c r="F125" t="s">
        <v>722</v>
      </c>
      <c r="H125">
        <v>752</v>
      </c>
      <c r="I125" s="20">
        <f t="shared" si="1"/>
        <v>887.3599999999999</v>
      </c>
      <c r="J125" t="s">
        <v>637</v>
      </c>
      <c r="K125" t="s">
        <v>721</v>
      </c>
    </row>
    <row r="126" spans="1:11">
      <c r="A126" t="s">
        <v>706</v>
      </c>
      <c r="B126" t="s">
        <v>692</v>
      </c>
      <c r="C126" s="20">
        <v>6.0732192348023501E+17</v>
      </c>
      <c r="D126" s="2">
        <v>43719</v>
      </c>
      <c r="E126">
        <v>8210571685</v>
      </c>
      <c r="F126" t="s">
        <v>279</v>
      </c>
      <c r="H126">
        <v>1143</v>
      </c>
      <c r="I126" s="20">
        <f t="shared" si="1"/>
        <v>1348.74</v>
      </c>
      <c r="J126" t="s">
        <v>724</v>
      </c>
      <c r="K126" t="s">
        <v>723</v>
      </c>
    </row>
    <row r="127" spans="1:11">
      <c r="A127" t="s">
        <v>43</v>
      </c>
      <c r="B127" t="s">
        <v>692</v>
      </c>
      <c r="C127" s="20">
        <v>2.3121006357290998E+18</v>
      </c>
      <c r="D127" s="2">
        <v>43719</v>
      </c>
      <c r="E127">
        <v>9555983384</v>
      </c>
      <c r="F127" t="s">
        <v>725</v>
      </c>
      <c r="H127">
        <v>974</v>
      </c>
      <c r="I127" s="20">
        <f t="shared" si="1"/>
        <v>1149.32</v>
      </c>
      <c r="J127" t="s">
        <v>320</v>
      </c>
      <c r="K127" t="s">
        <v>726</v>
      </c>
    </row>
    <row r="128" spans="1:11">
      <c r="A128" t="s">
        <v>43</v>
      </c>
      <c r="B128" t="s">
        <v>692</v>
      </c>
      <c r="C128" s="20">
        <v>2.3121006356981002E+18</v>
      </c>
      <c r="D128" s="2">
        <v>43719</v>
      </c>
      <c r="E128">
        <v>7050251414</v>
      </c>
      <c r="F128" t="s">
        <v>729</v>
      </c>
      <c r="H128">
        <v>1624</v>
      </c>
      <c r="I128" s="20">
        <f t="shared" si="1"/>
        <v>1916.32</v>
      </c>
      <c r="J128" t="s">
        <v>728</v>
      </c>
      <c r="K128" t="s">
        <v>727</v>
      </c>
    </row>
    <row r="129" spans="1:11">
      <c r="A129" t="s">
        <v>706</v>
      </c>
      <c r="B129" t="s">
        <v>278</v>
      </c>
      <c r="C129" s="20">
        <v>6.07321923470048E+17</v>
      </c>
      <c r="D129" s="2">
        <v>43719</v>
      </c>
      <c r="E129">
        <v>6203456403</v>
      </c>
      <c r="F129" t="s">
        <v>738</v>
      </c>
      <c r="H129">
        <v>7890</v>
      </c>
      <c r="I129" s="20">
        <f t="shared" si="1"/>
        <v>9310.1999999999989</v>
      </c>
      <c r="J129" t="s">
        <v>740</v>
      </c>
      <c r="K129" t="s">
        <v>739</v>
      </c>
    </row>
    <row r="130" spans="1:11">
      <c r="A130" t="s">
        <v>706</v>
      </c>
      <c r="B130" t="s">
        <v>278</v>
      </c>
      <c r="C130" s="20">
        <v>6.0732192348023194E+17</v>
      </c>
      <c r="D130" s="2">
        <v>43719</v>
      </c>
      <c r="E130">
        <v>8603868152</v>
      </c>
      <c r="F130" t="s">
        <v>742</v>
      </c>
      <c r="H130">
        <v>702</v>
      </c>
      <c r="I130" s="20">
        <f t="shared" si="1"/>
        <v>828.3599999999999</v>
      </c>
      <c r="J130" t="s">
        <v>320</v>
      </c>
      <c r="K130" t="s">
        <v>741</v>
      </c>
    </row>
    <row r="131" spans="1:11">
      <c r="A131" t="s">
        <v>706</v>
      </c>
      <c r="B131" t="s">
        <v>278</v>
      </c>
      <c r="C131" s="20">
        <v>6.0732192348023194E+17</v>
      </c>
      <c r="D131" s="2">
        <v>43719</v>
      </c>
      <c r="E131">
        <v>9431544961</v>
      </c>
      <c r="F131" t="s">
        <v>744</v>
      </c>
      <c r="H131">
        <v>752</v>
      </c>
      <c r="I131" s="20">
        <f t="shared" si="1"/>
        <v>887.3599999999999</v>
      </c>
      <c r="J131" t="s">
        <v>320</v>
      </c>
      <c r="K131" t="s">
        <v>743</v>
      </c>
    </row>
    <row r="132" spans="1:11">
      <c r="D132" s="2"/>
      <c r="I132" s="20"/>
    </row>
    <row r="133" spans="1:11">
      <c r="D133" s="2"/>
      <c r="I133" s="20"/>
    </row>
    <row r="134" spans="1:11">
      <c r="D134" s="2"/>
      <c r="I134" s="20"/>
    </row>
    <row r="135" spans="1:11">
      <c r="D135" s="2"/>
      <c r="I135" s="20"/>
    </row>
    <row r="136" spans="1:11">
      <c r="I136" s="20">
        <f t="shared" si="1"/>
        <v>0</v>
      </c>
    </row>
    <row r="137" spans="1:11">
      <c r="A137" t="s">
        <v>43</v>
      </c>
      <c r="B137" t="s">
        <v>278</v>
      </c>
      <c r="C137" s="20">
        <v>2.3201006365402998E+18</v>
      </c>
      <c r="D137" s="2">
        <v>43720</v>
      </c>
      <c r="E137">
        <v>6204246462</v>
      </c>
      <c r="F137" t="s">
        <v>703</v>
      </c>
      <c r="H137">
        <v>752</v>
      </c>
      <c r="I137" s="20">
        <f t="shared" si="1"/>
        <v>887.3599999999999</v>
      </c>
      <c r="J137" t="s">
        <v>705</v>
      </c>
      <c r="K137" t="s">
        <v>704</v>
      </c>
    </row>
    <row r="138" spans="1:11">
      <c r="A138" t="s">
        <v>43</v>
      </c>
      <c r="B138" t="s">
        <v>278</v>
      </c>
      <c r="C138" s="20">
        <v>2.3201006366092001E+18</v>
      </c>
      <c r="D138" s="2">
        <v>43720</v>
      </c>
      <c r="E138">
        <v>9031360742</v>
      </c>
      <c r="F138" t="s">
        <v>737</v>
      </c>
      <c r="H138">
        <v>752</v>
      </c>
      <c r="I138" s="20">
        <f t="shared" si="1"/>
        <v>887.3599999999999</v>
      </c>
      <c r="J138" t="s">
        <v>599</v>
      </c>
      <c r="K138" t="s">
        <v>736</v>
      </c>
    </row>
    <row r="139" spans="1:11">
      <c r="A139" t="s">
        <v>43</v>
      </c>
      <c r="B139" t="s">
        <v>278</v>
      </c>
      <c r="C139" s="20">
        <v>2.3201006375283E+18</v>
      </c>
      <c r="D139" s="2">
        <v>43720</v>
      </c>
      <c r="H139">
        <v>720</v>
      </c>
      <c r="I139" s="20">
        <f t="shared" si="1"/>
        <v>849.59999999999991</v>
      </c>
    </row>
    <row r="140" spans="1:11">
      <c r="D140" s="2"/>
      <c r="H140">
        <v>720</v>
      </c>
      <c r="I140" s="20">
        <f t="shared" si="1"/>
        <v>849.59999999999991</v>
      </c>
      <c r="J140" t="s">
        <v>342</v>
      </c>
    </row>
    <row r="141" spans="1:11">
      <c r="D141" s="2"/>
      <c r="I141" s="20">
        <f t="shared" si="1"/>
        <v>0</v>
      </c>
    </row>
    <row r="142" spans="1:11">
      <c r="D142" s="2"/>
      <c r="I142" s="20">
        <f t="shared" si="1"/>
        <v>0</v>
      </c>
    </row>
    <row r="143" spans="1:11">
      <c r="A143" t="s">
        <v>789</v>
      </c>
      <c r="B143" t="s">
        <v>278</v>
      </c>
      <c r="D143" s="2">
        <v>43794</v>
      </c>
      <c r="H143">
        <v>2022</v>
      </c>
      <c r="I143" s="20">
        <f t="shared" si="1"/>
        <v>2385.96</v>
      </c>
      <c r="J143" t="s">
        <v>790</v>
      </c>
    </row>
    <row r="144" spans="1:11">
      <c r="A144" t="s">
        <v>43</v>
      </c>
      <c r="B144" t="s">
        <v>481</v>
      </c>
      <c r="D144" s="2">
        <v>43794</v>
      </c>
    </row>
    <row r="146" spans="1:12">
      <c r="D146" s="2"/>
      <c r="I146" s="20"/>
    </row>
    <row r="147" spans="1:12">
      <c r="D147" s="2"/>
      <c r="I147" s="20"/>
    </row>
    <row r="148" spans="1:12">
      <c r="I148" s="20">
        <f t="shared" si="1"/>
        <v>0</v>
      </c>
    </row>
    <row r="149" spans="1:12">
      <c r="H149">
        <f>SUM(H100:H148)</f>
        <v>36949</v>
      </c>
    </row>
    <row r="153" spans="1:12">
      <c r="A153" t="s">
        <v>776</v>
      </c>
      <c r="B153" t="s">
        <v>278</v>
      </c>
      <c r="C153" s="20" t="s">
        <v>777</v>
      </c>
      <c r="D153" s="2">
        <v>43791</v>
      </c>
      <c r="F153" t="s">
        <v>787</v>
      </c>
      <c r="H153">
        <v>2256</v>
      </c>
      <c r="I153" s="20">
        <f>H153*1.18</f>
        <v>2662.08</v>
      </c>
      <c r="J153" t="s">
        <v>779</v>
      </c>
      <c r="K153" t="s">
        <v>778</v>
      </c>
      <c r="L153">
        <v>2571</v>
      </c>
    </row>
    <row r="154" spans="1:12">
      <c r="A154" t="s">
        <v>776</v>
      </c>
      <c r="B154" t="s">
        <v>278</v>
      </c>
      <c r="C154" s="20" t="s">
        <v>788</v>
      </c>
      <c r="D154" s="2">
        <v>43791</v>
      </c>
      <c r="F154" t="s">
        <v>786</v>
      </c>
      <c r="H154">
        <v>752</v>
      </c>
      <c r="I154" s="20">
        <f>H154*1.18</f>
        <v>887.3599999999999</v>
      </c>
      <c r="K154" t="s">
        <v>785</v>
      </c>
    </row>
    <row r="155" spans="1:12">
      <c r="A155" t="s">
        <v>776</v>
      </c>
      <c r="B155" t="s">
        <v>780</v>
      </c>
      <c r="C155" s="20" t="s">
        <v>781</v>
      </c>
      <c r="D155" s="2">
        <v>43792</v>
      </c>
      <c r="F155" t="s">
        <v>783</v>
      </c>
      <c r="G155">
        <v>305</v>
      </c>
      <c r="H155">
        <v>752</v>
      </c>
      <c r="I155" s="20">
        <f>(G155+H155)*1.18</f>
        <v>1247.26</v>
      </c>
      <c r="J155" t="s">
        <v>599</v>
      </c>
      <c r="K155" t="s">
        <v>784</v>
      </c>
    </row>
    <row r="156" spans="1:12">
      <c r="A156" t="s">
        <v>776</v>
      </c>
      <c r="B156" t="s">
        <v>278</v>
      </c>
      <c r="C156" s="20" t="s">
        <v>791</v>
      </c>
      <c r="D156" s="2">
        <v>43798</v>
      </c>
      <c r="F156" t="s">
        <v>792</v>
      </c>
      <c r="H156">
        <v>752</v>
      </c>
      <c r="I156" s="20">
        <f>(G156+H156)*1.18</f>
        <v>887.3599999999999</v>
      </c>
      <c r="J156" t="s">
        <v>793</v>
      </c>
      <c r="K156" t="s">
        <v>794</v>
      </c>
    </row>
    <row r="157" spans="1:12">
      <c r="A157" t="s">
        <v>776</v>
      </c>
      <c r="B157" t="s">
        <v>278</v>
      </c>
      <c r="C157" s="20" t="s">
        <v>795</v>
      </c>
      <c r="D157" s="2">
        <v>43798</v>
      </c>
      <c r="E157">
        <v>9031393446</v>
      </c>
      <c r="F157" t="s">
        <v>277</v>
      </c>
      <c r="H157">
        <v>752</v>
      </c>
      <c r="I157" s="20">
        <f>(G157+H157)*1.18</f>
        <v>887.3599999999999</v>
      </c>
      <c r="J157" t="s">
        <v>796</v>
      </c>
      <c r="K157" t="s">
        <v>797</v>
      </c>
    </row>
    <row r="158" spans="1:12">
      <c r="G158">
        <v>675</v>
      </c>
      <c r="H158">
        <f>752*2</f>
        <v>1504</v>
      </c>
      <c r="I158" s="20">
        <f>(G158+H158)*1.18</f>
        <v>2571.2199999999998</v>
      </c>
    </row>
    <row r="159" spans="1:12" ht="17.399999999999999">
      <c r="G159" s="33">
        <f>SUM(G153:G158)</f>
        <v>980</v>
      </c>
      <c r="H159" s="33">
        <f>SUM(H153:H158)</f>
        <v>6768</v>
      </c>
      <c r="I159" s="32">
        <f>G159+H159</f>
        <v>7748</v>
      </c>
      <c r="J159" s="34">
        <f>SUM(G153:H158)*IF(COUNT(H153:H158)&lt;3,0.025,IF(COUNT(H153:H158)&lt;6,0.075,IF(COUNT(H153:H158)&lt;11,0.1,IF(COUNT(H153:H158)&lt;51,0.15,0.2))))</f>
        <v>774.80000000000007</v>
      </c>
      <c r="K159" s="35">
        <f>446+288</f>
        <v>734</v>
      </c>
    </row>
    <row r="161" spans="1:13">
      <c r="H161" s="16"/>
    </row>
    <row r="162" spans="1:13">
      <c r="A162" t="s">
        <v>776</v>
      </c>
      <c r="B162" t="s">
        <v>278</v>
      </c>
      <c r="C162" s="20" t="s">
        <v>798</v>
      </c>
      <c r="D162" s="2">
        <v>43801</v>
      </c>
      <c r="F162" t="s">
        <v>799</v>
      </c>
      <c r="H162">
        <v>752</v>
      </c>
      <c r="I162" s="7">
        <f t="shared" ref="I162:I172" si="2">(G162+H162)*1.18</f>
        <v>887.3599999999999</v>
      </c>
      <c r="K162" t="s">
        <v>800</v>
      </c>
    </row>
    <row r="163" spans="1:13">
      <c r="A163" t="s">
        <v>776</v>
      </c>
      <c r="B163" t="s">
        <v>278</v>
      </c>
      <c r="C163" s="20" t="s">
        <v>803</v>
      </c>
      <c r="D163" s="2">
        <v>43802</v>
      </c>
      <c r="F163" t="s">
        <v>801</v>
      </c>
      <c r="H163">
        <v>1504</v>
      </c>
      <c r="I163" s="7">
        <f t="shared" si="2"/>
        <v>1774.7199999999998</v>
      </c>
      <c r="J163" t="s">
        <v>320</v>
      </c>
      <c r="K163" t="s">
        <v>802</v>
      </c>
    </row>
    <row r="164" spans="1:13">
      <c r="A164" t="s">
        <v>776</v>
      </c>
      <c r="B164" t="s">
        <v>278</v>
      </c>
      <c r="C164" s="20" t="s">
        <v>809</v>
      </c>
      <c r="D164" s="2">
        <v>43804</v>
      </c>
      <c r="E164">
        <v>7762822844</v>
      </c>
      <c r="F164" t="s">
        <v>808</v>
      </c>
      <c r="H164">
        <v>752</v>
      </c>
      <c r="I164" s="7">
        <f t="shared" si="2"/>
        <v>887.3599999999999</v>
      </c>
      <c r="J164" t="s">
        <v>811</v>
      </c>
      <c r="K164" t="s">
        <v>810</v>
      </c>
    </row>
    <row r="165" spans="1:13">
      <c r="A165" t="s">
        <v>776</v>
      </c>
      <c r="B165" t="s">
        <v>278</v>
      </c>
      <c r="C165" s="20" t="s">
        <v>828</v>
      </c>
      <c r="D165" s="2">
        <v>43807</v>
      </c>
      <c r="H165">
        <v>752</v>
      </c>
      <c r="I165" s="7">
        <f t="shared" si="2"/>
        <v>887.3599999999999</v>
      </c>
    </row>
    <row r="166" spans="1:13">
      <c r="A166" t="s">
        <v>776</v>
      </c>
      <c r="B166" t="s">
        <v>278</v>
      </c>
      <c r="C166" s="20" t="s">
        <v>827</v>
      </c>
      <c r="D166" s="2">
        <v>43809</v>
      </c>
      <c r="H166">
        <v>752</v>
      </c>
      <c r="I166" s="7">
        <f t="shared" si="2"/>
        <v>887.3599999999999</v>
      </c>
      <c r="M166" s="1">
        <f>SUM(H162:H166)*0.07</f>
        <v>315.84000000000003</v>
      </c>
    </row>
    <row r="167" spans="1:13">
      <c r="A167" t="s">
        <v>776</v>
      </c>
      <c r="B167" t="s">
        <v>278</v>
      </c>
      <c r="C167" s="20" t="s">
        <v>825</v>
      </c>
      <c r="D167" s="2">
        <v>43815</v>
      </c>
      <c r="H167">
        <v>752</v>
      </c>
      <c r="I167" s="7">
        <f t="shared" si="2"/>
        <v>887.3599999999999</v>
      </c>
    </row>
    <row r="168" spans="1:13">
      <c r="A168" t="s">
        <v>776</v>
      </c>
      <c r="B168" t="s">
        <v>278</v>
      </c>
      <c r="C168" s="20" t="s">
        <v>815</v>
      </c>
      <c r="D168" s="2">
        <v>43817</v>
      </c>
      <c r="E168">
        <v>8757762022</v>
      </c>
      <c r="F168" t="s">
        <v>816</v>
      </c>
      <c r="H168">
        <v>752</v>
      </c>
      <c r="I168" s="7">
        <f t="shared" si="2"/>
        <v>887.3599999999999</v>
      </c>
      <c r="J168" t="s">
        <v>818</v>
      </c>
      <c r="K168" t="s">
        <v>817</v>
      </c>
    </row>
    <row r="169" spans="1:13">
      <c r="A169" t="s">
        <v>776</v>
      </c>
      <c r="B169" t="s">
        <v>278</v>
      </c>
      <c r="C169" s="20" t="s">
        <v>826</v>
      </c>
      <c r="D169" s="2">
        <v>43818</v>
      </c>
      <c r="H169">
        <v>752</v>
      </c>
      <c r="I169" s="7">
        <f t="shared" si="2"/>
        <v>887.3599999999999</v>
      </c>
    </row>
    <row r="170" spans="1:13">
      <c r="A170" t="s">
        <v>776</v>
      </c>
      <c r="B170" t="s">
        <v>823</v>
      </c>
      <c r="C170" s="20" t="s">
        <v>820</v>
      </c>
      <c r="D170" s="2">
        <v>43824</v>
      </c>
      <c r="F170" t="s">
        <v>821</v>
      </c>
      <c r="G170">
        <v>1036</v>
      </c>
      <c r="H170">
        <v>3285</v>
      </c>
      <c r="I170" s="7">
        <f t="shared" si="2"/>
        <v>5098.78</v>
      </c>
      <c r="J170" t="s">
        <v>822</v>
      </c>
      <c r="K170" t="s">
        <v>306</v>
      </c>
    </row>
    <row r="171" spans="1:13">
      <c r="A171" t="s">
        <v>776</v>
      </c>
      <c r="B171" t="s">
        <v>278</v>
      </c>
      <c r="C171" s="20" t="s">
        <v>824</v>
      </c>
      <c r="D171" s="2">
        <v>43829</v>
      </c>
      <c r="H171">
        <v>752</v>
      </c>
      <c r="I171" s="7">
        <f t="shared" si="2"/>
        <v>887.3599999999999</v>
      </c>
    </row>
    <row r="172" spans="1:13">
      <c r="A172" t="s">
        <v>776</v>
      </c>
      <c r="B172" t="s">
        <v>278</v>
      </c>
      <c r="C172" s="20" t="s">
        <v>829</v>
      </c>
      <c r="D172" s="2">
        <v>43830</v>
      </c>
      <c r="E172">
        <v>8757661223</v>
      </c>
      <c r="F172" t="s">
        <v>830</v>
      </c>
      <c r="H172">
        <v>752</v>
      </c>
      <c r="I172" s="7">
        <f t="shared" si="2"/>
        <v>887.3599999999999</v>
      </c>
      <c r="J172" t="s">
        <v>832</v>
      </c>
      <c r="K172" t="s">
        <v>831</v>
      </c>
    </row>
    <row r="173" spans="1:13">
      <c r="D173" s="2"/>
    </row>
    <row r="175" spans="1:13" ht="17.399999999999999">
      <c r="G175" s="33">
        <f>SUM(G162:G174)</f>
        <v>1036</v>
      </c>
      <c r="H175" s="33">
        <f>SUM(H162:H174)</f>
        <v>11557</v>
      </c>
      <c r="I175">
        <f>G175+H175</f>
        <v>12593</v>
      </c>
      <c r="J175" s="34">
        <f>SUM(G162:H174)*IF(COUNT(H162:H174)&lt;3,0.025,IF(COUNT(H162:H174)&lt;6,0.075,IF(COUNT(H162:H174)&lt;11,0.1,IF(COUNT(H162:H174)&lt;51,0.15,0.2))))</f>
        <v>1888.9499999999998</v>
      </c>
      <c r="K175" s="35">
        <f>108+262+1052</f>
        <v>1422</v>
      </c>
      <c r="L175">
        <f>J175*0.95</f>
        <v>1794.5024999999998</v>
      </c>
    </row>
    <row r="176" spans="1:13" ht="18">
      <c r="H176" s="31"/>
    </row>
    <row r="177" spans="1:11">
      <c r="A177" t="s">
        <v>789</v>
      </c>
      <c r="B177" t="s">
        <v>278</v>
      </c>
      <c r="C177" s="20">
        <v>6.0732192347008205E+17</v>
      </c>
      <c r="D177" s="2">
        <v>43802</v>
      </c>
      <c r="F177" t="s">
        <v>801</v>
      </c>
      <c r="H177">
        <v>3121</v>
      </c>
      <c r="I177">
        <f>(G177+H177)*1.18</f>
        <v>3682.7799999999997</v>
      </c>
      <c r="J177" t="s">
        <v>804</v>
      </c>
    </row>
    <row r="178" spans="1:11">
      <c r="A178" t="s">
        <v>43</v>
      </c>
      <c r="B178" t="s">
        <v>278</v>
      </c>
      <c r="C178" s="20">
        <v>2.3171005761368003E+18</v>
      </c>
      <c r="D178" s="2">
        <v>43804</v>
      </c>
      <c r="E178">
        <v>9234630961</v>
      </c>
      <c r="F178" t="s">
        <v>805</v>
      </c>
      <c r="H178">
        <v>4092</v>
      </c>
      <c r="I178">
        <f>(G178+H178)*1.12</f>
        <v>4583.0400000000009</v>
      </c>
      <c r="J178" t="s">
        <v>806</v>
      </c>
      <c r="K178" t="s">
        <v>807</v>
      </c>
    </row>
    <row r="182" spans="1:11">
      <c r="A182" t="s">
        <v>887</v>
      </c>
      <c r="B182" t="s">
        <v>278</v>
      </c>
      <c r="C182" s="20" t="s">
        <v>840</v>
      </c>
      <c r="D182" s="2">
        <v>43837</v>
      </c>
      <c r="E182">
        <v>9199171664</v>
      </c>
      <c r="F182" t="s">
        <v>841</v>
      </c>
      <c r="H182">
        <v>752</v>
      </c>
      <c r="I182" s="7">
        <f t="shared" ref="I182:I194" si="3">(G182+H182)*1.18</f>
        <v>887.3599999999999</v>
      </c>
      <c r="J182" t="s">
        <v>842</v>
      </c>
      <c r="K182" t="s">
        <v>843</v>
      </c>
    </row>
    <row r="183" spans="1:11">
      <c r="A183" t="s">
        <v>887</v>
      </c>
      <c r="B183" t="s">
        <v>481</v>
      </c>
      <c r="C183" s="20" t="s">
        <v>844</v>
      </c>
      <c r="D183" s="2">
        <v>43837</v>
      </c>
      <c r="F183" t="s">
        <v>500</v>
      </c>
      <c r="G183">
        <v>260</v>
      </c>
      <c r="H183">
        <v>752</v>
      </c>
      <c r="I183" s="7">
        <f t="shared" si="3"/>
        <v>1194.1599999999999</v>
      </c>
    </row>
    <row r="184" spans="1:11">
      <c r="A184" t="s">
        <v>887</v>
      </c>
      <c r="B184" t="s">
        <v>278</v>
      </c>
      <c r="C184" s="20" t="s">
        <v>846</v>
      </c>
      <c r="D184" s="2">
        <v>43839</v>
      </c>
      <c r="E184">
        <v>7209474821</v>
      </c>
      <c r="F184" t="s">
        <v>847</v>
      </c>
      <c r="H184">
        <v>752</v>
      </c>
      <c r="I184" s="7">
        <f t="shared" si="3"/>
        <v>887.3599999999999</v>
      </c>
      <c r="J184" t="s">
        <v>849</v>
      </c>
      <c r="K184" t="s">
        <v>848</v>
      </c>
    </row>
    <row r="185" spans="1:11">
      <c r="A185" t="s">
        <v>887</v>
      </c>
      <c r="B185" t="s">
        <v>278</v>
      </c>
      <c r="C185" s="20" t="s">
        <v>850</v>
      </c>
      <c r="D185" s="2">
        <v>43840</v>
      </c>
      <c r="E185">
        <v>7903580725</v>
      </c>
      <c r="F185" t="s">
        <v>1600</v>
      </c>
      <c r="G185">
        <v>305</v>
      </c>
      <c r="H185">
        <v>752</v>
      </c>
      <c r="I185" s="7">
        <f t="shared" si="3"/>
        <v>1247.26</v>
      </c>
      <c r="J185">
        <v>3285</v>
      </c>
    </row>
    <row r="186" spans="1:11">
      <c r="A186" t="s">
        <v>887</v>
      </c>
      <c r="B186" t="s">
        <v>278</v>
      </c>
      <c r="C186" s="20" t="s">
        <v>851</v>
      </c>
      <c r="D186" s="2">
        <v>43840</v>
      </c>
      <c r="H186">
        <v>752</v>
      </c>
      <c r="I186" s="7">
        <f t="shared" si="3"/>
        <v>887.3599999999999</v>
      </c>
    </row>
    <row r="187" spans="1:11">
      <c r="A187" t="s">
        <v>887</v>
      </c>
      <c r="B187" t="s">
        <v>481</v>
      </c>
      <c r="C187" s="20" t="s">
        <v>852</v>
      </c>
      <c r="D187" s="2">
        <v>43840</v>
      </c>
      <c r="E187">
        <v>6202580820</v>
      </c>
      <c r="F187" t="s">
        <v>853</v>
      </c>
      <c r="G187" s="10">
        <v>176</v>
      </c>
      <c r="H187" s="10">
        <v>752</v>
      </c>
      <c r="I187" s="7">
        <f t="shared" si="3"/>
        <v>1095.04</v>
      </c>
    </row>
    <row r="188" spans="1:11">
      <c r="A188" t="s">
        <v>887</v>
      </c>
      <c r="B188" t="s">
        <v>278</v>
      </c>
      <c r="C188" s="20" t="s">
        <v>854</v>
      </c>
      <c r="D188" s="2">
        <v>43840</v>
      </c>
      <c r="F188" t="s">
        <v>853</v>
      </c>
      <c r="G188" s="17"/>
      <c r="H188" s="10">
        <v>1193</v>
      </c>
      <c r="I188" s="7">
        <f t="shared" si="3"/>
        <v>1407.74</v>
      </c>
    </row>
    <row r="189" spans="1:11">
      <c r="A189" t="s">
        <v>887</v>
      </c>
      <c r="B189" t="s">
        <v>278</v>
      </c>
      <c r="C189" s="20" t="s">
        <v>863</v>
      </c>
      <c r="D189" s="2">
        <v>43840</v>
      </c>
      <c r="F189" t="s">
        <v>862</v>
      </c>
      <c r="H189" s="10">
        <v>482</v>
      </c>
      <c r="I189" s="7">
        <f t="shared" si="3"/>
        <v>568.76</v>
      </c>
    </row>
    <row r="190" spans="1:11">
      <c r="A190" t="s">
        <v>887</v>
      </c>
      <c r="B190" t="s">
        <v>278</v>
      </c>
      <c r="C190" s="20" t="s">
        <v>855</v>
      </c>
      <c r="D190" s="2">
        <v>43841</v>
      </c>
      <c r="E190">
        <v>7367963494</v>
      </c>
      <c r="F190" t="s">
        <v>860</v>
      </c>
      <c r="H190" s="10">
        <v>752</v>
      </c>
      <c r="I190" s="7">
        <f t="shared" si="3"/>
        <v>887.3599999999999</v>
      </c>
      <c r="J190" t="s">
        <v>320</v>
      </c>
      <c r="K190" t="s">
        <v>861</v>
      </c>
    </row>
    <row r="191" spans="1:11">
      <c r="A191" t="s">
        <v>887</v>
      </c>
      <c r="B191" t="s">
        <v>481</v>
      </c>
      <c r="C191" s="20" t="s">
        <v>856</v>
      </c>
      <c r="D191" s="2">
        <v>43841</v>
      </c>
      <c r="E191">
        <v>7903330994</v>
      </c>
      <c r="F191" t="s">
        <v>859</v>
      </c>
      <c r="G191">
        <v>347</v>
      </c>
      <c r="H191" s="10">
        <v>752</v>
      </c>
      <c r="I191" s="7">
        <f t="shared" si="3"/>
        <v>1296.82</v>
      </c>
    </row>
    <row r="192" spans="1:11">
      <c r="A192" t="s">
        <v>887</v>
      </c>
      <c r="B192" t="s">
        <v>278</v>
      </c>
      <c r="C192" s="20" t="s">
        <v>857</v>
      </c>
      <c r="D192" s="2">
        <v>43841</v>
      </c>
      <c r="F192" t="s">
        <v>858</v>
      </c>
      <c r="H192" s="10">
        <v>752</v>
      </c>
      <c r="I192" s="7">
        <f t="shared" si="3"/>
        <v>887.3599999999999</v>
      </c>
    </row>
    <row r="193" spans="1:11">
      <c r="A193" t="s">
        <v>887</v>
      </c>
      <c r="B193" t="s">
        <v>278</v>
      </c>
      <c r="C193" s="20" t="s">
        <v>867</v>
      </c>
      <c r="D193" s="2">
        <v>43843</v>
      </c>
      <c r="E193">
        <v>9334646167</v>
      </c>
      <c r="F193" t="s">
        <v>622</v>
      </c>
      <c r="H193" s="10">
        <v>752</v>
      </c>
      <c r="I193" s="7">
        <f t="shared" si="3"/>
        <v>887.3599999999999</v>
      </c>
    </row>
    <row r="194" spans="1:11">
      <c r="A194" t="s">
        <v>887</v>
      </c>
      <c r="B194" t="s">
        <v>481</v>
      </c>
      <c r="C194" s="20" t="s">
        <v>868</v>
      </c>
      <c r="D194" s="2">
        <v>43843</v>
      </c>
      <c r="E194">
        <v>7209356266</v>
      </c>
      <c r="F194" t="s">
        <v>453</v>
      </c>
      <c r="G194">
        <v>254</v>
      </c>
      <c r="H194">
        <v>752</v>
      </c>
      <c r="I194" s="7">
        <f t="shared" si="3"/>
        <v>1187.08</v>
      </c>
    </row>
    <row r="195" spans="1:11">
      <c r="A195" t="s">
        <v>887</v>
      </c>
      <c r="B195" t="s">
        <v>278</v>
      </c>
      <c r="C195" s="20" t="s">
        <v>869</v>
      </c>
      <c r="D195" s="2">
        <v>43844</v>
      </c>
      <c r="E195">
        <v>9709199467</v>
      </c>
      <c r="F195" t="s">
        <v>870</v>
      </c>
      <c r="H195" s="10">
        <v>752</v>
      </c>
      <c r="I195" s="7">
        <f t="shared" ref="I195:I211" si="4">(G195+H195)*1.18</f>
        <v>887.3599999999999</v>
      </c>
      <c r="J195" t="s">
        <v>320</v>
      </c>
      <c r="K195" t="s">
        <v>871</v>
      </c>
    </row>
    <row r="196" spans="1:11">
      <c r="A196" t="s">
        <v>887</v>
      </c>
      <c r="B196" t="s">
        <v>278</v>
      </c>
      <c r="C196" s="20" t="s">
        <v>873</v>
      </c>
      <c r="D196" s="2">
        <v>43844</v>
      </c>
      <c r="E196">
        <v>9534026959</v>
      </c>
      <c r="F196" t="s">
        <v>872</v>
      </c>
      <c r="H196" s="10">
        <v>752</v>
      </c>
      <c r="I196" s="7">
        <f t="shared" si="4"/>
        <v>887.3599999999999</v>
      </c>
      <c r="J196" t="s">
        <v>874</v>
      </c>
      <c r="K196" t="s">
        <v>875</v>
      </c>
    </row>
    <row r="197" spans="1:11">
      <c r="A197" t="s">
        <v>887</v>
      </c>
      <c r="B197" t="s">
        <v>278</v>
      </c>
      <c r="C197" s="20" t="s">
        <v>876</v>
      </c>
      <c r="D197" s="2">
        <v>43845</v>
      </c>
      <c r="F197" t="s">
        <v>878</v>
      </c>
      <c r="H197" s="10">
        <v>752</v>
      </c>
      <c r="I197" s="36">
        <f t="shared" si="4"/>
        <v>887.3599999999999</v>
      </c>
      <c r="J197" t="s">
        <v>637</v>
      </c>
      <c r="K197" t="s">
        <v>877</v>
      </c>
    </row>
    <row r="198" spans="1:11">
      <c r="A198" t="s">
        <v>887</v>
      </c>
      <c r="B198" t="s">
        <v>278</v>
      </c>
      <c r="C198" s="20" t="s">
        <v>879</v>
      </c>
      <c r="D198" s="2">
        <v>43845</v>
      </c>
      <c r="E198">
        <v>7909000250</v>
      </c>
      <c r="F198" t="s">
        <v>880</v>
      </c>
      <c r="H198" s="10">
        <v>752</v>
      </c>
      <c r="I198" s="36">
        <f t="shared" si="4"/>
        <v>887.3599999999999</v>
      </c>
      <c r="J198" t="s">
        <v>637</v>
      </c>
      <c r="K198" t="s">
        <v>881</v>
      </c>
    </row>
    <row r="199" spans="1:11">
      <c r="A199" t="s">
        <v>887</v>
      </c>
      <c r="B199" t="s">
        <v>278</v>
      </c>
      <c r="C199" s="20" t="s">
        <v>886</v>
      </c>
      <c r="D199" s="2">
        <v>43847</v>
      </c>
      <c r="E199">
        <v>9801375687</v>
      </c>
      <c r="F199" s="17" t="s">
        <v>885</v>
      </c>
      <c r="H199" s="10">
        <v>752</v>
      </c>
      <c r="I199" s="7">
        <f t="shared" si="4"/>
        <v>887.3599999999999</v>
      </c>
      <c r="J199" t="s">
        <v>457</v>
      </c>
      <c r="K199" t="s">
        <v>884</v>
      </c>
    </row>
    <row r="200" spans="1:11">
      <c r="A200" t="s">
        <v>43</v>
      </c>
      <c r="B200" t="s">
        <v>278</v>
      </c>
      <c r="C200" s="20">
        <v>2.3191007223062001E+18</v>
      </c>
      <c r="D200" s="2">
        <v>43848</v>
      </c>
      <c r="E200">
        <v>9304379180</v>
      </c>
      <c r="F200" t="s">
        <v>888</v>
      </c>
      <c r="H200" s="37">
        <v>2072</v>
      </c>
      <c r="I200" s="7">
        <f t="shared" si="4"/>
        <v>2444.96</v>
      </c>
      <c r="J200" t="s">
        <v>569</v>
      </c>
      <c r="K200" t="s">
        <v>889</v>
      </c>
    </row>
    <row r="201" spans="1:11">
      <c r="A201" t="s">
        <v>887</v>
      </c>
      <c r="B201" t="s">
        <v>278</v>
      </c>
      <c r="C201" s="20" t="s">
        <v>894</v>
      </c>
      <c r="D201" s="2">
        <v>43849</v>
      </c>
      <c r="E201">
        <v>9334096823</v>
      </c>
      <c r="F201" t="s">
        <v>900</v>
      </c>
      <c r="H201" s="10">
        <v>752</v>
      </c>
      <c r="I201" s="7">
        <f t="shared" si="4"/>
        <v>887.3599999999999</v>
      </c>
      <c r="J201" t="s">
        <v>898</v>
      </c>
      <c r="K201" t="s">
        <v>899</v>
      </c>
    </row>
    <row r="202" spans="1:11">
      <c r="A202" t="s">
        <v>887</v>
      </c>
      <c r="B202" t="s">
        <v>278</v>
      </c>
      <c r="C202" s="20" t="s">
        <v>895</v>
      </c>
      <c r="D202" s="2">
        <v>43849</v>
      </c>
      <c r="E202">
        <v>7209485067</v>
      </c>
      <c r="F202" t="s">
        <v>896</v>
      </c>
      <c r="G202">
        <v>388</v>
      </c>
      <c r="H202" s="10">
        <v>752</v>
      </c>
      <c r="I202" s="7">
        <f t="shared" si="4"/>
        <v>1345.1999999999998</v>
      </c>
      <c r="J202" t="s">
        <v>691</v>
      </c>
      <c r="K202" t="s">
        <v>897</v>
      </c>
    </row>
    <row r="203" spans="1:11">
      <c r="A203" t="s">
        <v>887</v>
      </c>
      <c r="B203" t="s">
        <v>278</v>
      </c>
      <c r="C203" s="20" t="s">
        <v>903</v>
      </c>
      <c r="D203" s="2">
        <v>43851</v>
      </c>
      <c r="E203">
        <v>9801375387</v>
      </c>
      <c r="F203" t="s">
        <v>904</v>
      </c>
      <c r="H203" s="10">
        <v>752</v>
      </c>
      <c r="I203" s="7">
        <f t="shared" si="4"/>
        <v>887.3599999999999</v>
      </c>
      <c r="J203" t="s">
        <v>905</v>
      </c>
      <c r="K203" t="s">
        <v>906</v>
      </c>
    </row>
    <row r="204" spans="1:11">
      <c r="A204" t="s">
        <v>887</v>
      </c>
      <c r="B204" t="s">
        <v>481</v>
      </c>
      <c r="C204" s="20" t="s">
        <v>908</v>
      </c>
      <c r="D204" s="2">
        <v>43852</v>
      </c>
      <c r="G204">
        <v>222</v>
      </c>
      <c r="H204" s="10">
        <v>752</v>
      </c>
      <c r="I204" s="7">
        <f t="shared" si="4"/>
        <v>1149.32</v>
      </c>
    </row>
    <row r="205" spans="1:11">
      <c r="A205" t="s">
        <v>887</v>
      </c>
      <c r="B205" t="s">
        <v>278</v>
      </c>
      <c r="C205" s="20" t="s">
        <v>909</v>
      </c>
      <c r="D205" s="2">
        <v>43853</v>
      </c>
      <c r="F205" t="s">
        <v>337</v>
      </c>
      <c r="H205" s="10">
        <v>752</v>
      </c>
      <c r="I205" s="7">
        <f t="shared" si="4"/>
        <v>887.3599999999999</v>
      </c>
    </row>
    <row r="206" spans="1:11">
      <c r="A206" t="s">
        <v>887</v>
      </c>
      <c r="B206" t="s">
        <v>278</v>
      </c>
      <c r="C206" s="20" t="s">
        <v>910</v>
      </c>
      <c r="D206" s="2">
        <v>43853</v>
      </c>
      <c r="F206" t="s">
        <v>911</v>
      </c>
      <c r="H206" s="10">
        <v>752</v>
      </c>
      <c r="I206" s="7">
        <f t="shared" si="4"/>
        <v>887.3599999999999</v>
      </c>
      <c r="J206" t="s">
        <v>905</v>
      </c>
      <c r="K206" t="s">
        <v>912</v>
      </c>
    </row>
    <row r="207" spans="1:11">
      <c r="A207" t="s">
        <v>887</v>
      </c>
      <c r="B207" t="s">
        <v>278</v>
      </c>
      <c r="C207" s="20" t="s">
        <v>913</v>
      </c>
      <c r="D207" s="2">
        <v>43856</v>
      </c>
      <c r="F207" t="s">
        <v>914</v>
      </c>
      <c r="H207" s="10">
        <v>752</v>
      </c>
      <c r="I207" s="7">
        <f t="shared" si="4"/>
        <v>887.3599999999999</v>
      </c>
      <c r="J207" t="s">
        <v>905</v>
      </c>
    </row>
    <row r="208" spans="1:11">
      <c r="A208" t="s">
        <v>887</v>
      </c>
      <c r="B208" t="s">
        <v>278</v>
      </c>
      <c r="C208" s="20" t="s">
        <v>915</v>
      </c>
      <c r="D208" s="2">
        <v>43856</v>
      </c>
      <c r="H208" s="10">
        <v>752</v>
      </c>
      <c r="I208" s="7">
        <f t="shared" si="4"/>
        <v>887.3599999999999</v>
      </c>
      <c r="J208" t="s">
        <v>849</v>
      </c>
    </row>
    <row r="209" spans="1:13">
      <c r="A209" t="s">
        <v>887</v>
      </c>
      <c r="B209" t="s">
        <v>278</v>
      </c>
      <c r="C209" s="20" t="s">
        <v>916</v>
      </c>
      <c r="D209" s="2">
        <v>43856</v>
      </c>
      <c r="H209" s="10">
        <v>752</v>
      </c>
      <c r="I209" s="7">
        <f t="shared" si="4"/>
        <v>887.3599999999999</v>
      </c>
    </row>
    <row r="210" spans="1:13">
      <c r="A210" t="s">
        <v>887</v>
      </c>
      <c r="B210" t="s">
        <v>278</v>
      </c>
      <c r="C210" s="20" t="s">
        <v>917</v>
      </c>
      <c r="D210" s="2">
        <v>43857</v>
      </c>
      <c r="F210" t="s">
        <v>918</v>
      </c>
      <c r="H210" s="10">
        <v>752</v>
      </c>
      <c r="I210" s="7">
        <f t="shared" si="4"/>
        <v>887.3599999999999</v>
      </c>
      <c r="J210" t="s">
        <v>614</v>
      </c>
      <c r="K210" t="s">
        <v>919</v>
      </c>
    </row>
    <row r="211" spans="1:13">
      <c r="A211" t="s">
        <v>887</v>
      </c>
      <c r="B211" t="s">
        <v>481</v>
      </c>
      <c r="C211" s="20" t="s">
        <v>920</v>
      </c>
      <c r="D211" s="2">
        <v>43858</v>
      </c>
      <c r="G211">
        <v>139</v>
      </c>
      <c r="H211" s="10">
        <v>752</v>
      </c>
      <c r="I211" s="7">
        <f t="shared" si="4"/>
        <v>1051.3799999999999</v>
      </c>
      <c r="J211" t="s">
        <v>921</v>
      </c>
      <c r="K211" t="s">
        <v>922</v>
      </c>
    </row>
    <row r="212" spans="1:13">
      <c r="B212">
        <v>29</v>
      </c>
      <c r="D212" s="2"/>
      <c r="H212" s="10"/>
      <c r="I212" s="7"/>
    </row>
    <row r="214" spans="1:13" ht="21">
      <c r="A214" s="39">
        <f>COUNTIF(A182:A212,"Bajaj")</f>
        <v>29</v>
      </c>
      <c r="G214" s="33">
        <f>SUM(G182:G213)</f>
        <v>2091</v>
      </c>
      <c r="H214" s="33">
        <f>SUMIF(A182:A212,"Bajaj",H182:H212)</f>
        <v>21979</v>
      </c>
      <c r="I214">
        <f>G214+H214</f>
        <v>24070</v>
      </c>
      <c r="J214" s="34">
        <f>SUM(G214,H214)*IF(COUNT(H182:H213)&lt;3,0.025,IF(COUNT(H182:H213)&lt;6,0.075,IF(COUNT(H182:H213)&lt;11,0.1,IF(COUNT(H182:H213)&lt;51,0.15,0.2))))</f>
        <v>3610.5</v>
      </c>
      <c r="K214" s="35">
        <f>488+323+2668</f>
        <v>3479</v>
      </c>
      <c r="L214">
        <f>K214*0.95</f>
        <v>3305.0499999999997</v>
      </c>
      <c r="M214" s="1">
        <v>488</v>
      </c>
    </row>
    <row r="215" spans="1:13">
      <c r="D215" s="2"/>
    </row>
    <row r="217" spans="1:13">
      <c r="A217" s="25" t="s">
        <v>887</v>
      </c>
      <c r="B217" s="25" t="s">
        <v>278</v>
      </c>
      <c r="C217" s="40" t="s">
        <v>945</v>
      </c>
      <c r="D217" s="29">
        <v>43865</v>
      </c>
      <c r="E217" s="25"/>
      <c r="F217" s="25"/>
      <c r="G217" s="25"/>
      <c r="H217" s="25">
        <v>752</v>
      </c>
      <c r="I217" s="25">
        <f t="shared" ref="I217:I226" si="5">SUM(G217:H217)*1.18</f>
        <v>887.3599999999999</v>
      </c>
      <c r="J217" s="25"/>
      <c r="K217" s="25"/>
      <c r="L217" s="41">
        <f>(G217*0.175+H217*0.025)*0.95</f>
        <v>17.86</v>
      </c>
      <c r="M217" s="24"/>
    </row>
    <row r="218" spans="1:13">
      <c r="A218" s="25" t="s">
        <v>887</v>
      </c>
      <c r="B218" s="25" t="s">
        <v>278</v>
      </c>
      <c r="C218" s="40" t="s">
        <v>946</v>
      </c>
      <c r="D218" s="29">
        <v>43865</v>
      </c>
      <c r="E218" s="25"/>
      <c r="F218" s="25"/>
      <c r="G218" s="25"/>
      <c r="H218" s="25">
        <v>752</v>
      </c>
      <c r="I218" s="25">
        <f t="shared" si="5"/>
        <v>887.3599999999999</v>
      </c>
      <c r="J218" s="25"/>
      <c r="K218" s="25"/>
      <c r="L218" s="41">
        <f t="shared" ref="L218:L226" si="6">(G218*0.175+H218*0.025)*0.95</f>
        <v>17.86</v>
      </c>
      <c r="M218" s="24"/>
    </row>
    <row r="219" spans="1:13">
      <c r="A219" s="25" t="s">
        <v>887</v>
      </c>
      <c r="B219" s="25" t="s">
        <v>278</v>
      </c>
      <c r="C219" s="40" t="s">
        <v>947</v>
      </c>
      <c r="D219" s="29">
        <v>43865</v>
      </c>
      <c r="E219" s="25"/>
      <c r="F219" s="25"/>
      <c r="G219" s="25"/>
      <c r="H219" s="25">
        <v>752</v>
      </c>
      <c r="I219" s="25">
        <f t="shared" si="5"/>
        <v>887.3599999999999</v>
      </c>
      <c r="J219" s="25"/>
      <c r="K219" s="25"/>
      <c r="L219" s="41">
        <f t="shared" si="6"/>
        <v>17.86</v>
      </c>
      <c r="M219" s="24"/>
    </row>
    <row r="220" spans="1:13">
      <c r="A220" s="25" t="s">
        <v>887</v>
      </c>
      <c r="B220" s="25" t="s">
        <v>481</v>
      </c>
      <c r="C220" s="40" t="s">
        <v>948</v>
      </c>
      <c r="D220" s="29">
        <v>43865</v>
      </c>
      <c r="E220" s="25"/>
      <c r="F220" s="25"/>
      <c r="G220" s="25">
        <v>388</v>
      </c>
      <c r="H220" s="25">
        <v>752</v>
      </c>
      <c r="I220" s="25">
        <f t="shared" si="5"/>
        <v>1345.1999999999998</v>
      </c>
      <c r="J220" s="25"/>
      <c r="K220" s="25"/>
      <c r="L220" s="41">
        <f t="shared" si="6"/>
        <v>82.364999999999981</v>
      </c>
      <c r="M220" s="24">
        <v>119</v>
      </c>
    </row>
    <row r="221" spans="1:13">
      <c r="A221" s="25" t="s">
        <v>887</v>
      </c>
      <c r="B221" s="25" t="s">
        <v>278</v>
      </c>
      <c r="C221" s="40" t="s">
        <v>932</v>
      </c>
      <c r="D221" s="29">
        <v>43872</v>
      </c>
      <c r="E221" s="25">
        <v>9708684887</v>
      </c>
      <c r="F221" s="25" t="s">
        <v>934</v>
      </c>
      <c r="G221" s="25"/>
      <c r="H221" s="25">
        <v>752</v>
      </c>
      <c r="I221" s="25">
        <f t="shared" si="5"/>
        <v>887.3599999999999</v>
      </c>
      <c r="J221" s="25" t="s">
        <v>637</v>
      </c>
      <c r="K221" s="25" t="s">
        <v>933</v>
      </c>
      <c r="L221" s="41">
        <f t="shared" si="6"/>
        <v>17.86</v>
      </c>
      <c r="M221" s="24">
        <v>18</v>
      </c>
    </row>
    <row r="222" spans="1:13">
      <c r="A222" s="25" t="s">
        <v>887</v>
      </c>
      <c r="B222" s="25" t="s">
        <v>278</v>
      </c>
      <c r="C222" s="40" t="s">
        <v>940</v>
      </c>
      <c r="D222" s="25"/>
      <c r="E222" s="25"/>
      <c r="F222" s="25"/>
      <c r="G222" s="25"/>
      <c r="H222" s="25">
        <v>752</v>
      </c>
      <c r="I222" s="25">
        <f t="shared" si="5"/>
        <v>887.3599999999999</v>
      </c>
      <c r="J222" s="25"/>
      <c r="K222" s="25"/>
      <c r="L222" s="41">
        <f t="shared" si="6"/>
        <v>17.86</v>
      </c>
      <c r="M222" s="24">
        <v>18</v>
      </c>
    </row>
    <row r="223" spans="1:13">
      <c r="A223" s="25" t="s">
        <v>43</v>
      </c>
      <c r="B223" s="25" t="s">
        <v>278</v>
      </c>
      <c r="C223" s="40" t="s">
        <v>941</v>
      </c>
      <c r="D223" s="29">
        <v>43882</v>
      </c>
      <c r="E223" s="25">
        <v>9801536063</v>
      </c>
      <c r="F223" s="25" t="s">
        <v>942</v>
      </c>
      <c r="G223" s="25"/>
      <c r="H223" s="25">
        <v>2072</v>
      </c>
      <c r="I223" s="25">
        <f t="shared" si="5"/>
        <v>2444.96</v>
      </c>
      <c r="J223" s="25" t="s">
        <v>943</v>
      </c>
      <c r="K223" s="25" t="s">
        <v>944</v>
      </c>
      <c r="L223" s="41"/>
      <c r="M223" s="24"/>
    </row>
    <row r="224" spans="1:13">
      <c r="A224" s="25" t="s">
        <v>887</v>
      </c>
      <c r="B224" s="25" t="s">
        <v>278</v>
      </c>
      <c r="C224" s="40" t="s">
        <v>951</v>
      </c>
      <c r="D224" s="29">
        <v>43889</v>
      </c>
      <c r="E224" s="25">
        <v>7209637813</v>
      </c>
      <c r="F224" s="25" t="s">
        <v>952</v>
      </c>
      <c r="G224" s="25"/>
      <c r="H224" s="25">
        <v>752</v>
      </c>
      <c r="I224" s="25">
        <f t="shared" si="5"/>
        <v>887.3599999999999</v>
      </c>
      <c r="J224" s="25" t="s">
        <v>637</v>
      </c>
      <c r="K224" s="25" t="s">
        <v>953</v>
      </c>
      <c r="L224" s="41">
        <f t="shared" si="6"/>
        <v>17.86</v>
      </c>
      <c r="M224" s="24"/>
    </row>
    <row r="225" spans="1:13">
      <c r="A225" s="25" t="s">
        <v>887</v>
      </c>
      <c r="B225" s="25" t="s">
        <v>278</v>
      </c>
      <c r="C225" s="40" t="s">
        <v>954</v>
      </c>
      <c r="D225" s="29">
        <v>43889</v>
      </c>
      <c r="E225" s="25">
        <v>9234903496</v>
      </c>
      <c r="F225" s="25" t="s">
        <v>955</v>
      </c>
      <c r="G225" s="25"/>
      <c r="H225" s="25">
        <v>752</v>
      </c>
      <c r="I225" s="25">
        <f t="shared" si="5"/>
        <v>887.3599999999999</v>
      </c>
      <c r="J225" s="25" t="s">
        <v>320</v>
      </c>
      <c r="K225" s="25" t="s">
        <v>956</v>
      </c>
      <c r="L225" s="41">
        <f t="shared" si="6"/>
        <v>17.86</v>
      </c>
      <c r="M225" s="24"/>
    </row>
    <row r="226" spans="1:13">
      <c r="A226" s="25" t="s">
        <v>887</v>
      </c>
      <c r="B226" s="25" t="s">
        <v>481</v>
      </c>
      <c r="C226" s="40" t="s">
        <v>957</v>
      </c>
      <c r="D226" s="29">
        <v>43889</v>
      </c>
      <c r="E226" s="25"/>
      <c r="F226" s="25"/>
      <c r="G226" s="25">
        <v>499</v>
      </c>
      <c r="H226" s="25">
        <v>752</v>
      </c>
      <c r="I226" s="25">
        <f t="shared" si="5"/>
        <v>1476.1799999999998</v>
      </c>
      <c r="J226" s="25"/>
      <c r="K226" s="25"/>
      <c r="L226" s="41">
        <f t="shared" si="6"/>
        <v>100.81874999999998</v>
      </c>
      <c r="M226" s="24">
        <v>137</v>
      </c>
    </row>
    <row r="227" spans="1:13">
      <c r="D227" s="2"/>
      <c r="L227" s="7"/>
    </row>
    <row r="228" spans="1:13" s="26" customFormat="1" ht="21">
      <c r="A228" s="50">
        <f>COUNTIF(A217:A226,"Bajaj")</f>
        <v>9</v>
      </c>
      <c r="C228" s="48"/>
      <c r="G228" s="26">
        <f>SUMIF($A217:$A226,"Bajaj",G217:G226)</f>
        <v>887</v>
      </c>
      <c r="H228" s="26">
        <f>SUMIF($A217:$A226,"Bajaj",H217:H226)</f>
        <v>6768</v>
      </c>
      <c r="I228" s="26">
        <f>G228+H228</f>
        <v>7655</v>
      </c>
      <c r="J228" s="49">
        <f>I228*IF(A214&lt;3,0.025,IF(A214&lt;6,0.075,IF(A214&lt;11,0.1,IF(A214&lt;51,0.15,0.2))))*0.95</f>
        <v>1090.8374999999999</v>
      </c>
      <c r="K228" s="26">
        <f>137+18+18+434+119</f>
        <v>726</v>
      </c>
      <c r="L228" s="27">
        <f>SUM(L217:L226)</f>
        <v>308.20375000000001</v>
      </c>
      <c r="M228" s="78">
        <f>SUM(M217:M226)</f>
        <v>292</v>
      </c>
    </row>
    <row r="231" spans="1:13">
      <c r="A231" t="s">
        <v>887</v>
      </c>
      <c r="B231" t="s">
        <v>278</v>
      </c>
      <c r="C231" s="20" t="s">
        <v>958</v>
      </c>
      <c r="D231" s="2">
        <v>43891</v>
      </c>
      <c r="E231">
        <v>6203311349</v>
      </c>
      <c r="F231" t="s">
        <v>959</v>
      </c>
      <c r="H231">
        <v>752</v>
      </c>
      <c r="I231">
        <f t="shared" ref="I231:I248" si="7">(G231+H231)*1.18</f>
        <v>887.3599999999999</v>
      </c>
      <c r="J231" t="s">
        <v>961</v>
      </c>
      <c r="K231" t="s">
        <v>960</v>
      </c>
      <c r="L231" s="7">
        <f>(H231*0.025+G231*17.5/100)*0.95</f>
        <v>17.86</v>
      </c>
    </row>
    <row r="232" spans="1:13">
      <c r="A232" t="s">
        <v>887</v>
      </c>
      <c r="B232" t="s">
        <v>481</v>
      </c>
      <c r="C232" s="20" t="s">
        <v>962</v>
      </c>
      <c r="D232" s="2">
        <v>43892</v>
      </c>
      <c r="E232">
        <v>8877160719</v>
      </c>
      <c r="F232" t="s">
        <v>964</v>
      </c>
      <c r="G232">
        <v>278</v>
      </c>
      <c r="H232">
        <v>752</v>
      </c>
      <c r="I232">
        <f t="shared" si="7"/>
        <v>1215.3999999999999</v>
      </c>
      <c r="K232" t="s">
        <v>963</v>
      </c>
      <c r="L232" s="7">
        <f t="shared" ref="L232:L248" si="8">(H232*0.025+G232*17.5/100)*0.95</f>
        <v>64.077500000000001</v>
      </c>
    </row>
    <row r="233" spans="1:13">
      <c r="A233" t="s">
        <v>887</v>
      </c>
      <c r="B233" t="s">
        <v>278</v>
      </c>
      <c r="C233" s="20" t="s">
        <v>968</v>
      </c>
      <c r="D233" s="2">
        <v>43892</v>
      </c>
      <c r="E233">
        <v>8210144978</v>
      </c>
      <c r="F233" t="s">
        <v>967</v>
      </c>
      <c r="H233">
        <v>752</v>
      </c>
      <c r="I233">
        <f t="shared" si="7"/>
        <v>887.3599999999999</v>
      </c>
      <c r="J233" t="s">
        <v>970</v>
      </c>
      <c r="K233" t="s">
        <v>969</v>
      </c>
      <c r="L233" s="7">
        <f t="shared" si="8"/>
        <v>17.86</v>
      </c>
    </row>
    <row r="234" spans="1:13">
      <c r="A234" t="s">
        <v>887</v>
      </c>
      <c r="B234" t="s">
        <v>481</v>
      </c>
      <c r="C234" s="20" t="s">
        <v>971</v>
      </c>
      <c r="D234" s="2">
        <v>43893</v>
      </c>
      <c r="E234">
        <v>7209920086</v>
      </c>
      <c r="F234" t="s">
        <v>973</v>
      </c>
      <c r="G234">
        <v>295</v>
      </c>
      <c r="H234">
        <v>752</v>
      </c>
      <c r="I234">
        <f t="shared" si="7"/>
        <v>1235.46</v>
      </c>
      <c r="J234" t="s">
        <v>974</v>
      </c>
      <c r="K234" t="s">
        <v>972</v>
      </c>
      <c r="L234" s="7">
        <f t="shared" si="8"/>
        <v>66.903749999999988</v>
      </c>
    </row>
    <row r="235" spans="1:13">
      <c r="A235" t="s">
        <v>887</v>
      </c>
      <c r="B235" t="s">
        <v>278</v>
      </c>
      <c r="C235" s="20" t="s">
        <v>975</v>
      </c>
      <c r="D235" s="2">
        <v>43895</v>
      </c>
      <c r="E235">
        <v>8797466116</v>
      </c>
      <c r="F235" t="s">
        <v>977</v>
      </c>
      <c r="H235">
        <v>1193</v>
      </c>
      <c r="I235">
        <f t="shared" si="7"/>
        <v>1407.74</v>
      </c>
      <c r="J235" t="s">
        <v>308</v>
      </c>
      <c r="K235" t="s">
        <v>976</v>
      </c>
      <c r="L235" s="7">
        <f t="shared" si="8"/>
        <v>28.333750000000002</v>
      </c>
    </row>
    <row r="236" spans="1:13">
      <c r="A236" t="s">
        <v>978</v>
      </c>
      <c r="B236" t="s">
        <v>979</v>
      </c>
      <c r="C236" s="20">
        <v>6.0732202339000102E+17</v>
      </c>
      <c r="D236" s="2">
        <v>43895</v>
      </c>
      <c r="E236">
        <v>9031901274</v>
      </c>
      <c r="F236" t="s">
        <v>980</v>
      </c>
      <c r="G236">
        <v>1609.92</v>
      </c>
      <c r="H236">
        <v>6168</v>
      </c>
      <c r="I236">
        <f t="shared" si="7"/>
        <v>9177.9455999999991</v>
      </c>
      <c r="J236" t="s">
        <v>982</v>
      </c>
      <c r="K236" t="s">
        <v>981</v>
      </c>
      <c r="L236" s="7"/>
    </row>
    <row r="237" spans="1:13">
      <c r="A237" t="s">
        <v>978</v>
      </c>
      <c r="B237" t="s">
        <v>481</v>
      </c>
      <c r="C237" s="20">
        <v>6.0732202347002304E+17</v>
      </c>
      <c r="D237" s="2">
        <v>43895</v>
      </c>
      <c r="E237">
        <v>9801593054</v>
      </c>
      <c r="F237" t="s">
        <v>984</v>
      </c>
      <c r="H237">
        <v>3121</v>
      </c>
      <c r="I237">
        <f t="shared" si="7"/>
        <v>3682.7799999999997</v>
      </c>
      <c r="J237" t="s">
        <v>804</v>
      </c>
      <c r="K237" t="s">
        <v>983</v>
      </c>
      <c r="L237" s="7"/>
    </row>
    <row r="238" spans="1:13">
      <c r="A238" t="s">
        <v>887</v>
      </c>
      <c r="B238" t="s">
        <v>979</v>
      </c>
      <c r="C238" s="20" t="s">
        <v>985</v>
      </c>
      <c r="D238" s="2">
        <v>43896</v>
      </c>
      <c r="E238">
        <v>7209356266</v>
      </c>
      <c r="F238" t="s">
        <v>986</v>
      </c>
      <c r="H238">
        <v>720</v>
      </c>
      <c r="I238">
        <f t="shared" si="7"/>
        <v>849.59999999999991</v>
      </c>
      <c r="J238" t="s">
        <v>534</v>
      </c>
      <c r="K238" t="s">
        <v>987</v>
      </c>
      <c r="L238" s="7">
        <f t="shared" si="8"/>
        <v>17.099999999999998</v>
      </c>
    </row>
    <row r="239" spans="1:13">
      <c r="A239" t="s">
        <v>887</v>
      </c>
      <c r="B239" t="s">
        <v>481</v>
      </c>
      <c r="C239" s="20" t="s">
        <v>998</v>
      </c>
      <c r="D239" s="2">
        <v>43896</v>
      </c>
      <c r="G239">
        <v>119</v>
      </c>
      <c r="H239">
        <v>752</v>
      </c>
      <c r="I239">
        <f t="shared" si="7"/>
        <v>1027.78</v>
      </c>
      <c r="L239" s="7">
        <f t="shared" si="8"/>
        <v>37.643749999999997</v>
      </c>
    </row>
    <row r="240" spans="1:13">
      <c r="A240" t="s">
        <v>887</v>
      </c>
      <c r="B240" t="s">
        <v>979</v>
      </c>
      <c r="C240" s="20" t="s">
        <v>988</v>
      </c>
      <c r="D240" s="2">
        <v>43897</v>
      </c>
      <c r="E240">
        <v>8873501592</v>
      </c>
      <c r="F240" t="s">
        <v>989</v>
      </c>
      <c r="H240">
        <v>752</v>
      </c>
      <c r="I240">
        <f t="shared" si="7"/>
        <v>887.3599999999999</v>
      </c>
      <c r="J240" t="s">
        <v>990</v>
      </c>
      <c r="K240" t="s">
        <v>991</v>
      </c>
      <c r="L240" s="7">
        <f t="shared" si="8"/>
        <v>17.86</v>
      </c>
    </row>
    <row r="241" spans="1:12">
      <c r="A241" t="s">
        <v>887</v>
      </c>
      <c r="B241" t="s">
        <v>979</v>
      </c>
      <c r="C241" s="20" t="s">
        <v>995</v>
      </c>
      <c r="D241" s="2">
        <v>43901</v>
      </c>
      <c r="E241">
        <v>9304670143</v>
      </c>
      <c r="F241" t="s">
        <v>996</v>
      </c>
      <c r="H241">
        <v>752</v>
      </c>
      <c r="I241">
        <f t="shared" si="7"/>
        <v>887.3599999999999</v>
      </c>
      <c r="J241" t="s">
        <v>974</v>
      </c>
      <c r="K241" t="s">
        <v>997</v>
      </c>
      <c r="L241" s="7">
        <f t="shared" si="8"/>
        <v>17.86</v>
      </c>
    </row>
    <row r="242" spans="1:12">
      <c r="A242" t="s">
        <v>887</v>
      </c>
      <c r="B242" t="s">
        <v>979</v>
      </c>
      <c r="C242" s="20" t="s">
        <v>1004</v>
      </c>
      <c r="D242" s="2">
        <v>43903</v>
      </c>
      <c r="E242">
        <v>8797464037</v>
      </c>
      <c r="H242">
        <v>752</v>
      </c>
      <c r="I242">
        <f t="shared" si="7"/>
        <v>887.3599999999999</v>
      </c>
      <c r="L242" s="7">
        <f t="shared" si="8"/>
        <v>17.86</v>
      </c>
    </row>
    <row r="243" spans="1:12">
      <c r="A243" t="s">
        <v>887</v>
      </c>
      <c r="B243" t="s">
        <v>979</v>
      </c>
      <c r="C243" s="20" t="s">
        <v>1002</v>
      </c>
      <c r="D243" s="2">
        <v>43904</v>
      </c>
      <c r="E243">
        <v>9162141596</v>
      </c>
      <c r="F243" t="s">
        <v>612</v>
      </c>
      <c r="H243">
        <v>752</v>
      </c>
      <c r="I243">
        <f t="shared" si="7"/>
        <v>887.3599999999999</v>
      </c>
      <c r="J243" t="s">
        <v>811</v>
      </c>
      <c r="K243" t="s">
        <v>1003</v>
      </c>
      <c r="L243" s="7">
        <f t="shared" si="8"/>
        <v>17.86</v>
      </c>
    </row>
    <row r="244" spans="1:12">
      <c r="A244" t="s">
        <v>887</v>
      </c>
      <c r="C244" s="20" t="s">
        <v>1005</v>
      </c>
      <c r="D244" s="2">
        <v>43907</v>
      </c>
      <c r="E244">
        <v>9430722085</v>
      </c>
      <c r="F244" t="s">
        <v>1006</v>
      </c>
      <c r="H244">
        <v>752</v>
      </c>
      <c r="I244">
        <f t="shared" si="7"/>
        <v>887.3599999999999</v>
      </c>
      <c r="J244" t="s">
        <v>1007</v>
      </c>
      <c r="K244" t="s">
        <v>1008</v>
      </c>
      <c r="L244" s="7">
        <f t="shared" si="8"/>
        <v>17.86</v>
      </c>
    </row>
    <row r="245" spans="1:12">
      <c r="A245" t="s">
        <v>1016</v>
      </c>
      <c r="B245" t="s">
        <v>979</v>
      </c>
      <c r="C245" s="20" t="s">
        <v>1010</v>
      </c>
      <c r="D245" s="2">
        <v>43908</v>
      </c>
      <c r="E245">
        <v>9934179885</v>
      </c>
      <c r="F245" t="s">
        <v>1011</v>
      </c>
      <c r="H245">
        <v>752</v>
      </c>
      <c r="I245">
        <f t="shared" si="7"/>
        <v>887.3599999999999</v>
      </c>
      <c r="J245" t="s">
        <v>1012</v>
      </c>
      <c r="K245" t="s">
        <v>1013</v>
      </c>
      <c r="L245" s="7">
        <f t="shared" si="8"/>
        <v>17.86</v>
      </c>
    </row>
    <row r="246" spans="1:12">
      <c r="A246" t="s">
        <v>1016</v>
      </c>
      <c r="B246" t="s">
        <v>979</v>
      </c>
      <c r="C246" s="20" t="s">
        <v>1017</v>
      </c>
      <c r="H246">
        <v>752</v>
      </c>
      <c r="I246">
        <f t="shared" si="7"/>
        <v>887.3599999999999</v>
      </c>
      <c r="L246" s="7">
        <f t="shared" si="8"/>
        <v>17.86</v>
      </c>
    </row>
    <row r="247" spans="1:12">
      <c r="A247" t="s">
        <v>887</v>
      </c>
      <c r="B247" t="s">
        <v>979</v>
      </c>
      <c r="C247" s="20" t="s">
        <v>1018</v>
      </c>
      <c r="D247" s="2">
        <v>43911</v>
      </c>
      <c r="E247">
        <v>9709210887</v>
      </c>
      <c r="F247" t="s">
        <v>303</v>
      </c>
      <c r="H247">
        <v>752</v>
      </c>
      <c r="I247">
        <f t="shared" si="7"/>
        <v>887.3599999999999</v>
      </c>
      <c r="J247" t="s">
        <v>1019</v>
      </c>
      <c r="K247" t="s">
        <v>1020</v>
      </c>
      <c r="L247" s="7">
        <f t="shared" si="8"/>
        <v>17.86</v>
      </c>
    </row>
    <row r="248" spans="1:12">
      <c r="A248" t="s">
        <v>887</v>
      </c>
      <c r="B248" t="s">
        <v>979</v>
      </c>
      <c r="C248" s="20" t="s">
        <v>1021</v>
      </c>
      <c r="D248" s="2">
        <v>43911</v>
      </c>
      <c r="H248">
        <v>1193</v>
      </c>
      <c r="I248">
        <f t="shared" si="7"/>
        <v>1407.74</v>
      </c>
      <c r="J248" t="s">
        <v>308</v>
      </c>
      <c r="L248" s="7">
        <f t="shared" si="8"/>
        <v>28.333750000000002</v>
      </c>
    </row>
    <row r="250" spans="1:12" ht="21">
      <c r="A250" s="50">
        <f>COUNTIF(A231:A249,"Bajaj")</f>
        <v>16</v>
      </c>
      <c r="B250" s="26"/>
      <c r="C250" s="48"/>
      <c r="D250" s="26"/>
      <c r="E250" s="26"/>
      <c r="F250" s="42"/>
      <c r="G250" s="42">
        <f>SUMIF(A231:A243,"Bajaj",G231:G249)</f>
        <v>692</v>
      </c>
      <c r="H250" s="42">
        <f>SUMIF($A231:$A249,"Bajaj",H231:H249)</f>
        <v>12882</v>
      </c>
      <c r="I250" s="42">
        <f>(G250+H250)</f>
        <v>13574</v>
      </c>
      <c r="J250" s="43">
        <f>I250*IF(A250&lt;3,0.025,IF(A250&lt;6,0.075,IF(A250&lt;11,0.1,IF(A250&lt;51,0.15,0.2))))*0.95</f>
        <v>1934.2949999999998</v>
      </c>
      <c r="K250" s="42">
        <f>83+28</f>
        <v>111</v>
      </c>
      <c r="L250" s="42">
        <f>SUM(L231:L249)</f>
        <v>420.99250000000012</v>
      </c>
    </row>
    <row r="252" spans="1:12">
      <c r="A252" t="s">
        <v>1063</v>
      </c>
      <c r="B252" t="s">
        <v>278</v>
      </c>
      <c r="C252" s="20" t="s">
        <v>1075</v>
      </c>
      <c r="D252" s="2">
        <v>43992</v>
      </c>
      <c r="E252">
        <v>9504345230</v>
      </c>
      <c r="F252" t="s">
        <v>1076</v>
      </c>
      <c r="H252">
        <v>752</v>
      </c>
      <c r="I252" s="7">
        <f t="shared" ref="I252:I255" si="9">(G252+H252)*1.18</f>
        <v>887.3599999999999</v>
      </c>
      <c r="J252" t="s">
        <v>1056</v>
      </c>
      <c r="K252" t="s">
        <v>1077</v>
      </c>
      <c r="L252">
        <f t="shared" ref="L252:L271" si="10">((H252*2.5/100)+G252*0.18)*0.95</f>
        <v>17.86</v>
      </c>
    </row>
    <row r="253" spans="1:12">
      <c r="A253" t="s">
        <v>1063</v>
      </c>
      <c r="B253" t="s">
        <v>278</v>
      </c>
      <c r="C253" s="20" t="s">
        <v>1078</v>
      </c>
      <c r="D253" s="2">
        <v>43992</v>
      </c>
      <c r="E253">
        <v>9955809402</v>
      </c>
      <c r="F253" t="s">
        <v>1079</v>
      </c>
      <c r="H253">
        <v>752</v>
      </c>
      <c r="I253" s="7">
        <f t="shared" si="9"/>
        <v>887.3599999999999</v>
      </c>
      <c r="J253" t="s">
        <v>1081</v>
      </c>
      <c r="K253" t="s">
        <v>1080</v>
      </c>
      <c r="L253">
        <f t="shared" si="10"/>
        <v>17.86</v>
      </c>
    </row>
    <row r="254" spans="1:12">
      <c r="A254" t="s">
        <v>1063</v>
      </c>
      <c r="B254" t="s">
        <v>278</v>
      </c>
      <c r="C254" s="20" t="s">
        <v>1082</v>
      </c>
      <c r="D254" s="2">
        <v>43994</v>
      </c>
      <c r="E254">
        <v>9931568789</v>
      </c>
      <c r="F254" t="s">
        <v>1083</v>
      </c>
      <c r="H254">
        <v>752</v>
      </c>
      <c r="I254" s="7">
        <f t="shared" si="9"/>
        <v>887.3599999999999</v>
      </c>
      <c r="J254" t="s">
        <v>599</v>
      </c>
      <c r="K254" t="s">
        <v>1084</v>
      </c>
      <c r="L254">
        <f t="shared" si="10"/>
        <v>17.86</v>
      </c>
    </row>
    <row r="255" spans="1:12">
      <c r="A255" t="s">
        <v>1063</v>
      </c>
      <c r="C255" s="20" t="s">
        <v>1085</v>
      </c>
      <c r="D255" s="2">
        <v>43994</v>
      </c>
      <c r="E255">
        <v>7631070941</v>
      </c>
      <c r="F255" t="s">
        <v>567</v>
      </c>
      <c r="H255">
        <v>752</v>
      </c>
      <c r="I255" s="7">
        <f t="shared" si="9"/>
        <v>887.3599999999999</v>
      </c>
      <c r="J255" t="s">
        <v>599</v>
      </c>
      <c r="K255" t="s">
        <v>568</v>
      </c>
      <c r="L255">
        <f t="shared" si="10"/>
        <v>17.86</v>
      </c>
    </row>
    <row r="256" spans="1:12">
      <c r="A256" t="s">
        <v>1063</v>
      </c>
      <c r="B256" t="s">
        <v>278</v>
      </c>
      <c r="C256" s="20" t="s">
        <v>1072</v>
      </c>
      <c r="E256">
        <v>9939219949</v>
      </c>
      <c r="F256" t="s">
        <v>1073</v>
      </c>
      <c r="H256">
        <v>752</v>
      </c>
      <c r="I256" s="7">
        <f>(G256+H256)*1.18</f>
        <v>887.3599999999999</v>
      </c>
      <c r="J256" t="s">
        <v>599</v>
      </c>
      <c r="K256" t="s">
        <v>1074</v>
      </c>
      <c r="L256">
        <f t="shared" si="10"/>
        <v>17.86</v>
      </c>
    </row>
    <row r="257" spans="1:12">
      <c r="A257" t="s">
        <v>1063</v>
      </c>
      <c r="B257" t="s">
        <v>278</v>
      </c>
      <c r="C257" s="20" t="s">
        <v>1024</v>
      </c>
      <c r="D257" s="2">
        <v>43998</v>
      </c>
      <c r="E257">
        <v>8877187044</v>
      </c>
      <c r="F257" t="s">
        <v>1025</v>
      </c>
      <c r="H257">
        <v>752</v>
      </c>
      <c r="I257" s="7">
        <f>(G257+H257)*1.18</f>
        <v>887.3599999999999</v>
      </c>
      <c r="J257" t="s">
        <v>534</v>
      </c>
      <c r="K257" t="s">
        <v>1071</v>
      </c>
      <c r="L257">
        <f t="shared" si="10"/>
        <v>17.86</v>
      </c>
    </row>
    <row r="258" spans="1:12">
      <c r="A258" t="s">
        <v>1063</v>
      </c>
      <c r="B258" t="s">
        <v>278</v>
      </c>
      <c r="C258" s="20" t="s">
        <v>1068</v>
      </c>
      <c r="D258" s="2">
        <v>43999</v>
      </c>
      <c r="E258">
        <v>9771441692</v>
      </c>
      <c r="F258" t="s">
        <v>1069</v>
      </c>
      <c r="H258">
        <v>752</v>
      </c>
      <c r="I258" s="7">
        <f>(G258+H258)*1.18</f>
        <v>887.3599999999999</v>
      </c>
      <c r="J258" t="s">
        <v>534</v>
      </c>
      <c r="K258" t="s">
        <v>1070</v>
      </c>
      <c r="L258">
        <f t="shared" si="10"/>
        <v>17.86</v>
      </c>
    </row>
    <row r="259" spans="1:12">
      <c r="A259" t="s">
        <v>1063</v>
      </c>
      <c r="B259" t="s">
        <v>278</v>
      </c>
      <c r="C259" s="20" t="s">
        <v>1065</v>
      </c>
      <c r="D259" s="2">
        <v>44000</v>
      </c>
      <c r="E259">
        <v>8092575822</v>
      </c>
      <c r="F259" t="s">
        <v>1066</v>
      </c>
      <c r="H259">
        <v>752</v>
      </c>
      <c r="I259" s="7">
        <f>(G259+H259)*1.18</f>
        <v>887.3599999999999</v>
      </c>
      <c r="J259" t="s">
        <v>534</v>
      </c>
      <c r="K259" t="s">
        <v>1067</v>
      </c>
      <c r="L259">
        <f t="shared" si="10"/>
        <v>17.86</v>
      </c>
    </row>
    <row r="260" spans="1:12">
      <c r="A260" t="s">
        <v>1063</v>
      </c>
      <c r="B260" t="s">
        <v>278</v>
      </c>
      <c r="C260" s="20" t="s">
        <v>1061</v>
      </c>
      <c r="D260" s="2">
        <v>44001</v>
      </c>
      <c r="E260">
        <v>9973818552</v>
      </c>
      <c r="F260" t="s">
        <v>1062</v>
      </c>
      <c r="H260">
        <v>752</v>
      </c>
      <c r="I260" s="7">
        <f t="shared" ref="I260:I266" si="11">(G260+H260)*1.18</f>
        <v>887.3599999999999</v>
      </c>
      <c r="L260">
        <f t="shared" si="10"/>
        <v>17.86</v>
      </c>
    </row>
    <row r="261" spans="1:12">
      <c r="A261" t="s">
        <v>1063</v>
      </c>
      <c r="B261" t="s">
        <v>278</v>
      </c>
      <c r="C261" s="20" t="s">
        <v>1058</v>
      </c>
      <c r="D261" s="2">
        <v>44002</v>
      </c>
      <c r="E261">
        <v>9234554933</v>
      </c>
      <c r="F261" t="s">
        <v>1059</v>
      </c>
      <c r="H261">
        <v>752</v>
      </c>
      <c r="I261" s="7">
        <f t="shared" si="11"/>
        <v>887.3599999999999</v>
      </c>
      <c r="J261" t="s">
        <v>599</v>
      </c>
      <c r="K261" t="s">
        <v>1060</v>
      </c>
      <c r="L261">
        <f t="shared" si="10"/>
        <v>17.86</v>
      </c>
    </row>
    <row r="262" spans="1:12">
      <c r="A262" t="s">
        <v>1063</v>
      </c>
      <c r="B262" t="s">
        <v>278</v>
      </c>
      <c r="C262" s="20" t="s">
        <v>1054</v>
      </c>
      <c r="D262" s="2">
        <v>44004</v>
      </c>
      <c r="E262">
        <v>8540035242</v>
      </c>
      <c r="F262" t="s">
        <v>1055</v>
      </c>
      <c r="H262">
        <v>752</v>
      </c>
      <c r="I262" s="7">
        <f t="shared" si="11"/>
        <v>887.3599999999999</v>
      </c>
      <c r="J262" t="s">
        <v>1056</v>
      </c>
      <c r="K262" t="s">
        <v>1057</v>
      </c>
      <c r="L262">
        <f t="shared" si="10"/>
        <v>17.86</v>
      </c>
    </row>
    <row r="263" spans="1:12">
      <c r="A263" t="s">
        <v>1063</v>
      </c>
      <c r="B263" t="s">
        <v>278</v>
      </c>
      <c r="C263" s="20" t="s">
        <v>1051</v>
      </c>
      <c r="D263" s="2">
        <v>44006</v>
      </c>
      <c r="E263">
        <v>9204212171</v>
      </c>
      <c r="F263" t="s">
        <v>1052</v>
      </c>
      <c r="H263">
        <v>752</v>
      </c>
      <c r="I263" s="7">
        <f t="shared" si="11"/>
        <v>887.3599999999999</v>
      </c>
      <c r="J263" t="s">
        <v>599</v>
      </c>
      <c r="K263" t="s">
        <v>1053</v>
      </c>
      <c r="L263">
        <f t="shared" si="10"/>
        <v>17.86</v>
      </c>
    </row>
    <row r="264" spans="1:12">
      <c r="A264" t="s">
        <v>1063</v>
      </c>
      <c r="B264" t="s">
        <v>278</v>
      </c>
      <c r="C264" s="20" t="s">
        <v>1048</v>
      </c>
      <c r="D264" s="2">
        <v>44007</v>
      </c>
      <c r="F264" t="s">
        <v>1049</v>
      </c>
      <c r="H264">
        <v>752</v>
      </c>
      <c r="I264" s="7">
        <f t="shared" si="11"/>
        <v>887.3599999999999</v>
      </c>
      <c r="J264" t="s">
        <v>735</v>
      </c>
      <c r="K264" t="s">
        <v>1050</v>
      </c>
      <c r="L264">
        <f t="shared" si="10"/>
        <v>17.86</v>
      </c>
    </row>
    <row r="265" spans="1:12">
      <c r="A265" t="s">
        <v>1063</v>
      </c>
      <c r="B265" t="s">
        <v>278</v>
      </c>
      <c r="C265" s="20" t="s">
        <v>1046</v>
      </c>
      <c r="D265" s="2">
        <v>44007</v>
      </c>
      <c r="F265" t="s">
        <v>472</v>
      </c>
      <c r="H265">
        <v>752</v>
      </c>
      <c r="I265" s="7">
        <f t="shared" si="11"/>
        <v>887.3599999999999</v>
      </c>
      <c r="J265" t="s">
        <v>534</v>
      </c>
      <c r="K265" t="s">
        <v>1047</v>
      </c>
      <c r="L265">
        <f t="shared" si="10"/>
        <v>17.86</v>
      </c>
    </row>
    <row r="266" spans="1:12">
      <c r="A266" t="s">
        <v>1063</v>
      </c>
      <c r="B266" t="s">
        <v>278</v>
      </c>
      <c r="C266" s="20" t="s">
        <v>1041</v>
      </c>
      <c r="D266" s="2">
        <v>44007</v>
      </c>
      <c r="F266" t="s">
        <v>1043</v>
      </c>
      <c r="H266">
        <v>752</v>
      </c>
      <c r="I266" s="7">
        <f t="shared" si="11"/>
        <v>887.3599999999999</v>
      </c>
      <c r="J266" t="s">
        <v>1044</v>
      </c>
      <c r="K266" t="s">
        <v>1042</v>
      </c>
      <c r="L266">
        <f t="shared" si="10"/>
        <v>17.86</v>
      </c>
    </row>
    <row r="267" spans="1:12">
      <c r="A267" t="s">
        <v>1063</v>
      </c>
      <c r="B267" t="s">
        <v>481</v>
      </c>
      <c r="C267" s="20" t="s">
        <v>1038</v>
      </c>
      <c r="D267" s="2">
        <v>44007</v>
      </c>
      <c r="F267" t="s">
        <v>761</v>
      </c>
      <c r="G267">
        <v>488</v>
      </c>
      <c r="H267">
        <v>752</v>
      </c>
      <c r="I267" s="7">
        <f t="shared" ref="I267" si="12">(G267+H267)*1.18</f>
        <v>1463.1999999999998</v>
      </c>
      <c r="J267" t="s">
        <v>1040</v>
      </c>
      <c r="K267" t="s">
        <v>1039</v>
      </c>
      <c r="L267">
        <f t="shared" si="10"/>
        <v>101.30799999999999</v>
      </c>
    </row>
    <row r="268" spans="1:12">
      <c r="A268" t="s">
        <v>1064</v>
      </c>
      <c r="B268" t="s">
        <v>278</v>
      </c>
      <c r="C268" s="20" t="s">
        <v>1033</v>
      </c>
      <c r="D268" s="2">
        <v>44008</v>
      </c>
      <c r="F268" t="s">
        <v>1034</v>
      </c>
      <c r="H268">
        <v>3221</v>
      </c>
      <c r="I268" s="7">
        <f t="shared" ref="I268:I271" si="13">(G268+H268)*1.18</f>
        <v>3800.7799999999997</v>
      </c>
      <c r="J268" t="s">
        <v>1045</v>
      </c>
      <c r="L268">
        <f t="shared" si="10"/>
        <v>76.498750000000001</v>
      </c>
    </row>
    <row r="269" spans="1:12">
      <c r="A269" t="s">
        <v>1063</v>
      </c>
      <c r="B269" t="s">
        <v>278</v>
      </c>
      <c r="C269" s="20" t="s">
        <v>1035</v>
      </c>
      <c r="D269" s="2">
        <v>44009</v>
      </c>
      <c r="F269" t="s">
        <v>1036</v>
      </c>
      <c r="H269">
        <v>752</v>
      </c>
      <c r="I269" s="7">
        <f t="shared" si="13"/>
        <v>887.3599999999999</v>
      </c>
      <c r="J269" t="s">
        <v>599</v>
      </c>
      <c r="K269" t="s">
        <v>1037</v>
      </c>
      <c r="L269">
        <f t="shared" si="10"/>
        <v>17.86</v>
      </c>
    </row>
    <row r="270" spans="1:12">
      <c r="A270" t="s">
        <v>1063</v>
      </c>
      <c r="B270" t="s">
        <v>278</v>
      </c>
      <c r="C270" s="20" t="s">
        <v>1086</v>
      </c>
      <c r="D270" s="2">
        <v>44042</v>
      </c>
      <c r="E270">
        <v>9934191610</v>
      </c>
      <c r="F270" t="s">
        <v>756</v>
      </c>
      <c r="H270">
        <v>752</v>
      </c>
      <c r="I270" s="7">
        <f t="shared" si="13"/>
        <v>887.3599999999999</v>
      </c>
      <c r="J270" t="s">
        <v>1087</v>
      </c>
      <c r="K270" t="s">
        <v>1088</v>
      </c>
      <c r="L270">
        <f t="shared" si="10"/>
        <v>17.86</v>
      </c>
    </row>
    <row r="271" spans="1:12">
      <c r="A271" t="s">
        <v>1063</v>
      </c>
      <c r="B271" t="s">
        <v>278</v>
      </c>
      <c r="C271" s="20" t="s">
        <v>1086</v>
      </c>
      <c r="D271" s="2">
        <v>44042</v>
      </c>
      <c r="E271">
        <v>8825340143</v>
      </c>
      <c r="F271" t="s">
        <v>1089</v>
      </c>
      <c r="H271">
        <v>752</v>
      </c>
      <c r="I271" s="7">
        <f t="shared" si="13"/>
        <v>887.3599999999999</v>
      </c>
      <c r="J271" t="s">
        <v>534</v>
      </c>
      <c r="K271" t="s">
        <v>1090</v>
      </c>
      <c r="L271">
        <f t="shared" si="10"/>
        <v>17.86</v>
      </c>
    </row>
    <row r="272" spans="1:12">
      <c r="D272" s="2"/>
      <c r="I272" s="7"/>
    </row>
    <row r="274" spans="1:13" ht="23.4">
      <c r="A274" s="44">
        <f>COUNTIF(A252:A273,"Bajaj2")</f>
        <v>19</v>
      </c>
      <c r="B274" s="44">
        <f>COUNTIF(A252:A273,"Bajaj4")</f>
        <v>1</v>
      </c>
      <c r="C274" s="44"/>
      <c r="D274" s="44"/>
      <c r="E274" s="44"/>
      <c r="F274" s="44">
        <f>SUMIF(A252:A273,"Bajaj4",H252:H273)</f>
        <v>3221</v>
      </c>
      <c r="G274" s="44">
        <f>SUMIF(A252:A273,"Bajaj2",G252:G273)</f>
        <v>488</v>
      </c>
      <c r="H274" s="44">
        <f>SUMIF($A252:$A273,"Bajaj2",H252:H273)</f>
        <v>14288</v>
      </c>
      <c r="I274" s="44">
        <f ca="1">SUMIF($A252:$A273,"Bajaj2",I254:I273)</f>
        <v>18574.38</v>
      </c>
      <c r="J274" s="44">
        <f>(SUM(G274:H274)*IF(A274&lt;3,0.025,IF(A274&lt;6,0.075,IF(A274&lt;11,0.1,IF(A274&lt;51,0.15,0.2))))+F274*IF(B274&lt;2,0.025,IF(B274&lt;3,0.05,0.1)))*0.95</f>
        <v>2182.0787500000001</v>
      </c>
      <c r="K274" s="45">
        <f>18+18+18+18+29+37+18+18+163+78</f>
        <v>415</v>
      </c>
      <c r="L274" s="44">
        <f>SUM(L252:L273)</f>
        <v>499.2867500000001</v>
      </c>
      <c r="M274" s="1">
        <f>SUM(M252:M273)</f>
        <v>0</v>
      </c>
    </row>
    <row r="277" spans="1:13">
      <c r="A277" t="s">
        <v>1063</v>
      </c>
      <c r="B277" t="s">
        <v>278</v>
      </c>
      <c r="C277" s="20" t="s">
        <v>1094</v>
      </c>
      <c r="D277" s="2">
        <v>44013</v>
      </c>
      <c r="E277">
        <v>9608931932</v>
      </c>
      <c r="F277" t="s">
        <v>1095</v>
      </c>
      <c r="G277">
        <v>0</v>
      </c>
      <c r="H277">
        <v>752</v>
      </c>
      <c r="I277">
        <f t="shared" ref="I277:I302" si="14">(G277+H277)*1.18</f>
        <v>887.3599999999999</v>
      </c>
      <c r="J277" t="s">
        <v>1096</v>
      </c>
      <c r="K277" t="s">
        <v>1097</v>
      </c>
      <c r="L277">
        <f>H277*2.5/100</f>
        <v>18.8</v>
      </c>
    </row>
    <row r="278" spans="1:13">
      <c r="A278" t="s">
        <v>1063</v>
      </c>
      <c r="B278" t="s">
        <v>278</v>
      </c>
      <c r="C278" s="20" t="s">
        <v>1098</v>
      </c>
      <c r="D278" s="2">
        <v>44013</v>
      </c>
      <c r="E278">
        <v>9570686909</v>
      </c>
      <c r="F278" t="s">
        <v>1100</v>
      </c>
      <c r="G278">
        <v>269</v>
      </c>
      <c r="H278">
        <v>752</v>
      </c>
      <c r="I278">
        <f t="shared" si="14"/>
        <v>1204.78</v>
      </c>
      <c r="J278" t="s">
        <v>1099</v>
      </c>
      <c r="K278" t="s">
        <v>1097</v>
      </c>
      <c r="L278">
        <f t="shared" ref="L278:L302" si="15">H278*2.5/100</f>
        <v>18.8</v>
      </c>
    </row>
    <row r="279" spans="1:13">
      <c r="A279" t="s">
        <v>1063</v>
      </c>
      <c r="B279" t="s">
        <v>278</v>
      </c>
      <c r="C279" s="20" t="s">
        <v>1101</v>
      </c>
      <c r="D279" s="2">
        <v>44014</v>
      </c>
      <c r="E279">
        <v>9263310034</v>
      </c>
      <c r="F279" t="s">
        <v>1102</v>
      </c>
      <c r="G279">
        <v>0</v>
      </c>
      <c r="H279">
        <v>752</v>
      </c>
      <c r="I279">
        <f t="shared" si="14"/>
        <v>887.3599999999999</v>
      </c>
      <c r="J279" t="s">
        <v>1104</v>
      </c>
      <c r="K279" t="s">
        <v>1103</v>
      </c>
      <c r="L279">
        <f t="shared" si="15"/>
        <v>18.8</v>
      </c>
    </row>
    <row r="280" spans="1:13">
      <c r="A280" t="s">
        <v>1063</v>
      </c>
      <c r="B280" t="s">
        <v>278</v>
      </c>
      <c r="C280" s="20" t="s">
        <v>1123</v>
      </c>
      <c r="D280" s="2">
        <v>44014</v>
      </c>
      <c r="E280">
        <v>8797651756</v>
      </c>
      <c r="F280" t="s">
        <v>1126</v>
      </c>
      <c r="G280">
        <v>0</v>
      </c>
      <c r="H280">
        <v>752</v>
      </c>
      <c r="I280">
        <f t="shared" si="14"/>
        <v>887.3599999999999</v>
      </c>
      <c r="J280" t="s">
        <v>1125</v>
      </c>
      <c r="K280" t="s">
        <v>1124</v>
      </c>
      <c r="L280">
        <f t="shared" si="15"/>
        <v>18.8</v>
      </c>
    </row>
    <row r="281" spans="1:13">
      <c r="A281" t="s">
        <v>1063</v>
      </c>
      <c r="B281" t="s">
        <v>278</v>
      </c>
      <c r="C281" s="20" t="s">
        <v>1105</v>
      </c>
      <c r="D281" s="2">
        <v>44014</v>
      </c>
      <c r="E281">
        <v>8825259461</v>
      </c>
      <c r="F281" t="s">
        <v>1121</v>
      </c>
      <c r="G281">
        <v>0</v>
      </c>
      <c r="H281">
        <v>752</v>
      </c>
      <c r="I281">
        <f t="shared" si="14"/>
        <v>887.3599999999999</v>
      </c>
      <c r="K281" t="s">
        <v>1122</v>
      </c>
      <c r="L281">
        <f t="shared" si="15"/>
        <v>18.8</v>
      </c>
    </row>
    <row r="282" spans="1:13">
      <c r="A282" t="s">
        <v>1063</v>
      </c>
      <c r="B282" t="s">
        <v>278</v>
      </c>
      <c r="C282" s="20" t="s">
        <v>1116</v>
      </c>
      <c r="D282" s="2">
        <v>44014</v>
      </c>
      <c r="E282">
        <v>7209993839</v>
      </c>
      <c r="F282" t="s">
        <v>1117</v>
      </c>
      <c r="G282">
        <v>0</v>
      </c>
      <c r="H282">
        <v>752</v>
      </c>
      <c r="I282">
        <f t="shared" si="14"/>
        <v>887.3599999999999</v>
      </c>
      <c r="K282" t="s">
        <v>1118</v>
      </c>
      <c r="L282">
        <f t="shared" si="15"/>
        <v>18.8</v>
      </c>
    </row>
    <row r="283" spans="1:13">
      <c r="A283" t="s">
        <v>1063</v>
      </c>
      <c r="B283" t="s">
        <v>278</v>
      </c>
      <c r="C283" s="20" t="s">
        <v>1111</v>
      </c>
      <c r="D283" s="2">
        <v>44015</v>
      </c>
      <c r="E283">
        <v>9430112002</v>
      </c>
      <c r="F283" t="s">
        <v>1119</v>
      </c>
      <c r="G283">
        <v>0</v>
      </c>
      <c r="H283">
        <v>752</v>
      </c>
      <c r="I283">
        <f t="shared" si="14"/>
        <v>887.3599999999999</v>
      </c>
      <c r="K283" t="s">
        <v>1120</v>
      </c>
      <c r="L283">
        <f t="shared" si="15"/>
        <v>18.8</v>
      </c>
    </row>
    <row r="284" spans="1:13">
      <c r="A284" t="s">
        <v>1063</v>
      </c>
      <c r="B284" t="s">
        <v>278</v>
      </c>
      <c r="C284" s="20" t="s">
        <v>1108</v>
      </c>
      <c r="D284" s="2">
        <v>44015</v>
      </c>
      <c r="F284" t="s">
        <v>1109</v>
      </c>
      <c r="G284">
        <v>0</v>
      </c>
      <c r="H284">
        <v>752</v>
      </c>
      <c r="I284">
        <f t="shared" si="14"/>
        <v>887.3599999999999</v>
      </c>
      <c r="J284" t="s">
        <v>1110</v>
      </c>
      <c r="L284">
        <f t="shared" si="15"/>
        <v>18.8</v>
      </c>
    </row>
    <row r="285" spans="1:13">
      <c r="A285" t="s">
        <v>1063</v>
      </c>
      <c r="B285" t="s">
        <v>278</v>
      </c>
      <c r="C285" s="20" t="s">
        <v>1112</v>
      </c>
      <c r="D285" s="2">
        <v>44015</v>
      </c>
      <c r="E285">
        <v>7631178738</v>
      </c>
      <c r="F285" t="s">
        <v>1113</v>
      </c>
      <c r="G285">
        <v>0</v>
      </c>
      <c r="H285">
        <v>752</v>
      </c>
      <c r="I285">
        <f t="shared" si="14"/>
        <v>887.3599999999999</v>
      </c>
      <c r="J285" t="s">
        <v>1115</v>
      </c>
      <c r="K285" t="s">
        <v>1114</v>
      </c>
      <c r="L285">
        <f t="shared" si="15"/>
        <v>18.8</v>
      </c>
    </row>
    <row r="286" spans="1:13">
      <c r="A286" t="s">
        <v>1063</v>
      </c>
      <c r="B286" t="s">
        <v>278</v>
      </c>
      <c r="C286" s="20" t="s">
        <v>1127</v>
      </c>
      <c r="D286" s="2">
        <v>44016</v>
      </c>
      <c r="E286">
        <v>9431960245</v>
      </c>
      <c r="F286" t="s">
        <v>1128</v>
      </c>
      <c r="G286">
        <v>0</v>
      </c>
      <c r="H286">
        <v>752</v>
      </c>
      <c r="I286">
        <f t="shared" si="14"/>
        <v>887.3599999999999</v>
      </c>
      <c r="J286" t="s">
        <v>1129</v>
      </c>
      <c r="K286" t="s">
        <v>1130</v>
      </c>
      <c r="L286">
        <f t="shared" si="15"/>
        <v>18.8</v>
      </c>
    </row>
    <row r="287" spans="1:13">
      <c r="A287" t="s">
        <v>1063</v>
      </c>
      <c r="B287" t="s">
        <v>278</v>
      </c>
      <c r="G287">
        <v>0</v>
      </c>
      <c r="H287">
        <v>752</v>
      </c>
      <c r="I287">
        <f t="shared" si="14"/>
        <v>887.3599999999999</v>
      </c>
      <c r="L287">
        <f t="shared" si="15"/>
        <v>18.8</v>
      </c>
    </row>
    <row r="288" spans="1:13">
      <c r="A288" t="s">
        <v>1132</v>
      </c>
      <c r="B288" t="s">
        <v>278</v>
      </c>
      <c r="C288" s="20" t="s">
        <v>1131</v>
      </c>
      <c r="D288" s="2">
        <v>43957</v>
      </c>
      <c r="E288">
        <v>9431755430</v>
      </c>
      <c r="F288" t="s">
        <v>1133</v>
      </c>
      <c r="G288">
        <v>0</v>
      </c>
      <c r="H288">
        <v>752</v>
      </c>
      <c r="I288">
        <f t="shared" si="14"/>
        <v>887.3599999999999</v>
      </c>
      <c r="J288" t="s">
        <v>779</v>
      </c>
      <c r="K288" t="s">
        <v>1134</v>
      </c>
      <c r="L288">
        <f t="shared" si="15"/>
        <v>18.8</v>
      </c>
    </row>
    <row r="289" spans="1:14">
      <c r="A289" t="s">
        <v>1132</v>
      </c>
      <c r="B289" t="s">
        <v>278</v>
      </c>
      <c r="C289" s="20" t="s">
        <v>863</v>
      </c>
      <c r="D289" s="2">
        <v>43957</v>
      </c>
      <c r="F289" s="46" t="s">
        <v>1135</v>
      </c>
      <c r="G289" s="46">
        <v>0</v>
      </c>
      <c r="H289" s="46">
        <v>482</v>
      </c>
      <c r="I289">
        <f t="shared" si="14"/>
        <v>568.76</v>
      </c>
      <c r="J289" t="s">
        <v>312</v>
      </c>
      <c r="K289" t="s">
        <v>1136</v>
      </c>
      <c r="L289">
        <f t="shared" si="15"/>
        <v>12.05</v>
      </c>
      <c r="N289" t="s">
        <v>1227</v>
      </c>
    </row>
    <row r="290" spans="1:14">
      <c r="A290" t="s">
        <v>1132</v>
      </c>
      <c r="B290" t="s">
        <v>278</v>
      </c>
      <c r="C290" s="20" t="s">
        <v>1147</v>
      </c>
      <c r="D290" s="2">
        <v>44022</v>
      </c>
      <c r="E290">
        <v>8651121690</v>
      </c>
      <c r="F290" t="s">
        <v>1148</v>
      </c>
      <c r="G290">
        <v>0</v>
      </c>
      <c r="H290">
        <v>752</v>
      </c>
      <c r="I290">
        <f t="shared" si="14"/>
        <v>887.3599999999999</v>
      </c>
      <c r="J290" t="s">
        <v>449</v>
      </c>
      <c r="K290" t="s">
        <v>1149</v>
      </c>
      <c r="L290">
        <f t="shared" si="15"/>
        <v>18.8</v>
      </c>
    </row>
    <row r="291" spans="1:14">
      <c r="A291" t="s">
        <v>1063</v>
      </c>
      <c r="B291" t="s">
        <v>1145</v>
      </c>
      <c r="C291" s="20" t="s">
        <v>1143</v>
      </c>
      <c r="D291" s="2">
        <v>44022</v>
      </c>
      <c r="F291" t="s">
        <v>1144</v>
      </c>
      <c r="G291">
        <v>0</v>
      </c>
      <c r="H291">
        <v>752</v>
      </c>
      <c r="I291">
        <f t="shared" si="14"/>
        <v>887.3599999999999</v>
      </c>
      <c r="J291" t="s">
        <v>445</v>
      </c>
      <c r="K291" t="s">
        <v>1146</v>
      </c>
      <c r="L291">
        <f t="shared" si="15"/>
        <v>18.8</v>
      </c>
    </row>
    <row r="292" spans="1:14">
      <c r="A292" t="s">
        <v>1063</v>
      </c>
      <c r="B292" t="s">
        <v>979</v>
      </c>
      <c r="C292" s="20" t="s">
        <v>1140</v>
      </c>
      <c r="D292" s="2">
        <v>44023</v>
      </c>
      <c r="E292">
        <v>8210910080</v>
      </c>
      <c r="F292" t="s">
        <v>1141</v>
      </c>
      <c r="G292">
        <v>512</v>
      </c>
      <c r="H292">
        <v>752</v>
      </c>
      <c r="I292">
        <f t="shared" si="14"/>
        <v>1491.52</v>
      </c>
      <c r="J292" t="s">
        <v>449</v>
      </c>
      <c r="K292" t="s">
        <v>1142</v>
      </c>
      <c r="L292">
        <f t="shared" si="15"/>
        <v>18.8</v>
      </c>
    </row>
    <row r="293" spans="1:14">
      <c r="A293" t="s">
        <v>1132</v>
      </c>
      <c r="B293" t="s">
        <v>278</v>
      </c>
      <c r="C293" s="20" t="s">
        <v>1137</v>
      </c>
      <c r="D293" s="2">
        <v>44023</v>
      </c>
      <c r="E293">
        <v>9801882474</v>
      </c>
      <c r="F293" t="s">
        <v>1138</v>
      </c>
      <c r="G293">
        <v>0</v>
      </c>
      <c r="H293">
        <v>752</v>
      </c>
      <c r="I293">
        <f t="shared" si="14"/>
        <v>887.3599999999999</v>
      </c>
      <c r="J293" t="s">
        <v>320</v>
      </c>
      <c r="K293" t="s">
        <v>1139</v>
      </c>
      <c r="L293">
        <f t="shared" si="15"/>
        <v>18.8</v>
      </c>
    </row>
    <row r="294" spans="1:14">
      <c r="A294" t="s">
        <v>1132</v>
      </c>
      <c r="B294" t="s">
        <v>278</v>
      </c>
      <c r="C294" s="20" t="s">
        <v>1150</v>
      </c>
      <c r="D294" s="2">
        <v>44023</v>
      </c>
      <c r="F294" t="s">
        <v>1151</v>
      </c>
      <c r="G294">
        <v>0</v>
      </c>
      <c r="H294">
        <v>752</v>
      </c>
      <c r="I294">
        <f t="shared" si="14"/>
        <v>887.3599999999999</v>
      </c>
      <c r="J294" t="s">
        <v>849</v>
      </c>
      <c r="K294" t="s">
        <v>1152</v>
      </c>
      <c r="L294">
        <f t="shared" si="15"/>
        <v>18.8</v>
      </c>
    </row>
    <row r="295" spans="1:14">
      <c r="A295" s="17" t="s">
        <v>1153</v>
      </c>
      <c r="B295" s="17"/>
      <c r="C295" s="47"/>
      <c r="D295" s="30">
        <v>43847</v>
      </c>
      <c r="E295" s="10">
        <v>7033298279</v>
      </c>
      <c r="F295" s="10" t="s">
        <v>1154</v>
      </c>
      <c r="G295" s="10"/>
      <c r="H295" s="10"/>
      <c r="I295">
        <f t="shared" si="14"/>
        <v>0</v>
      </c>
      <c r="J295" s="10" t="s">
        <v>1155</v>
      </c>
      <c r="K295" s="17" t="s">
        <v>1156</v>
      </c>
      <c r="L295">
        <f t="shared" si="15"/>
        <v>0</v>
      </c>
    </row>
    <row r="296" spans="1:14">
      <c r="A296" t="s">
        <v>1063</v>
      </c>
      <c r="B296" t="s">
        <v>278</v>
      </c>
      <c r="C296" s="20" t="s">
        <v>1157</v>
      </c>
      <c r="D296" s="2">
        <v>44028</v>
      </c>
      <c r="E296">
        <v>8789490112</v>
      </c>
      <c r="F296" t="s">
        <v>1158</v>
      </c>
      <c r="G296">
        <v>0</v>
      </c>
      <c r="H296">
        <v>752</v>
      </c>
      <c r="I296">
        <f t="shared" si="14"/>
        <v>887.3599999999999</v>
      </c>
      <c r="J296" t="s">
        <v>1125</v>
      </c>
      <c r="K296" t="s">
        <v>1159</v>
      </c>
      <c r="L296">
        <f t="shared" si="15"/>
        <v>18.8</v>
      </c>
    </row>
    <row r="297" spans="1:14">
      <c r="A297" t="s">
        <v>1063</v>
      </c>
      <c r="B297" t="s">
        <v>278</v>
      </c>
      <c r="C297" s="20" t="s">
        <v>1160</v>
      </c>
      <c r="D297" s="2">
        <v>44029</v>
      </c>
      <c r="E297">
        <v>9031043619</v>
      </c>
      <c r="F297" t="s">
        <v>1161</v>
      </c>
      <c r="G297">
        <v>0</v>
      </c>
      <c r="H297">
        <v>1193</v>
      </c>
      <c r="I297">
        <f t="shared" si="14"/>
        <v>1407.74</v>
      </c>
      <c r="J297" t="s">
        <v>308</v>
      </c>
      <c r="K297" t="s">
        <v>1162</v>
      </c>
      <c r="L297">
        <f t="shared" si="15"/>
        <v>29.824999999999999</v>
      </c>
    </row>
    <row r="298" spans="1:14">
      <c r="A298" t="s">
        <v>1064</v>
      </c>
      <c r="B298" t="s">
        <v>278</v>
      </c>
      <c r="C298" s="20" t="s">
        <v>1163</v>
      </c>
      <c r="D298" s="2">
        <v>44031</v>
      </c>
      <c r="E298">
        <v>7631070520</v>
      </c>
      <c r="F298" t="s">
        <v>623</v>
      </c>
      <c r="G298">
        <v>0</v>
      </c>
      <c r="H298">
        <v>2072</v>
      </c>
      <c r="I298">
        <f t="shared" si="14"/>
        <v>2444.96</v>
      </c>
      <c r="J298" t="s">
        <v>1164</v>
      </c>
      <c r="K298" t="s">
        <v>358</v>
      </c>
      <c r="L298">
        <f t="shared" si="15"/>
        <v>51.8</v>
      </c>
    </row>
    <row r="299" spans="1:14">
      <c r="A299" t="s">
        <v>1132</v>
      </c>
      <c r="B299" t="s">
        <v>979</v>
      </c>
      <c r="C299" s="20" t="s">
        <v>1165</v>
      </c>
      <c r="D299" s="2">
        <v>44035</v>
      </c>
      <c r="E299">
        <v>9204418149</v>
      </c>
      <c r="F299" t="s">
        <v>1167</v>
      </c>
      <c r="G299">
        <v>0</v>
      </c>
      <c r="H299">
        <v>752</v>
      </c>
      <c r="I299">
        <f t="shared" si="14"/>
        <v>887.3599999999999</v>
      </c>
      <c r="J299" t="s">
        <v>811</v>
      </c>
      <c r="K299" t="s">
        <v>1166</v>
      </c>
      <c r="L299">
        <f t="shared" si="15"/>
        <v>18.8</v>
      </c>
    </row>
    <row r="300" spans="1:14">
      <c r="A300" t="s">
        <v>1132</v>
      </c>
      <c r="B300" t="s">
        <v>979</v>
      </c>
      <c r="C300" s="20" t="s">
        <v>1168</v>
      </c>
      <c r="D300" s="2">
        <v>44037</v>
      </c>
      <c r="E300">
        <v>8603215464</v>
      </c>
      <c r="F300" t="s">
        <v>499</v>
      </c>
      <c r="G300">
        <v>0</v>
      </c>
      <c r="H300">
        <v>752</v>
      </c>
      <c r="I300">
        <f t="shared" si="14"/>
        <v>887.3599999999999</v>
      </c>
      <c r="J300" t="s">
        <v>1170</v>
      </c>
      <c r="K300" t="s">
        <v>1169</v>
      </c>
      <c r="L300">
        <f t="shared" si="15"/>
        <v>18.8</v>
      </c>
    </row>
    <row r="301" spans="1:14">
      <c r="A301" t="s">
        <v>1132</v>
      </c>
      <c r="B301" t="s">
        <v>979</v>
      </c>
      <c r="C301" s="20" t="s">
        <v>1174</v>
      </c>
      <c r="D301" s="2">
        <v>44039</v>
      </c>
      <c r="G301">
        <v>0</v>
      </c>
      <c r="H301">
        <v>752</v>
      </c>
      <c r="I301">
        <f t="shared" si="14"/>
        <v>887.3599999999999</v>
      </c>
      <c r="J301" t="s">
        <v>1129</v>
      </c>
      <c r="K301" t="s">
        <v>1175</v>
      </c>
      <c r="L301">
        <f t="shared" si="15"/>
        <v>18.8</v>
      </c>
    </row>
    <row r="302" spans="1:14">
      <c r="A302" t="s">
        <v>1132</v>
      </c>
      <c r="B302" t="s">
        <v>979</v>
      </c>
      <c r="C302" s="20" t="s">
        <v>1176</v>
      </c>
      <c r="D302" s="2">
        <v>44043</v>
      </c>
      <c r="E302">
        <v>7209819522</v>
      </c>
      <c r="F302" t="s">
        <v>1178</v>
      </c>
      <c r="G302">
        <v>0</v>
      </c>
      <c r="H302">
        <v>752</v>
      </c>
      <c r="I302">
        <f t="shared" si="14"/>
        <v>887.3599999999999</v>
      </c>
      <c r="J302" t="s">
        <v>449</v>
      </c>
      <c r="K302" t="s">
        <v>1177</v>
      </c>
      <c r="L302">
        <f t="shared" si="15"/>
        <v>18.8</v>
      </c>
    </row>
    <row r="303" spans="1:14" ht="23.4">
      <c r="A303" s="44">
        <f>COUNTIF($A277:$A302,"Bajaj2")</f>
        <v>24</v>
      </c>
      <c r="B303" s="44">
        <f>COUNTIF($A277:$A302,"Bajaj4")</f>
        <v>1</v>
      </c>
      <c r="C303" s="44"/>
      <c r="D303" s="44"/>
      <c r="E303" s="44"/>
      <c r="F303" s="44">
        <f>SUMIF(A277:A302,"Bajaj4",H277:H302)</f>
        <v>2072</v>
      </c>
      <c r="G303" s="44">
        <f>SUMIF(A277:A302,"Bajaj2",G277:G302)</f>
        <v>781</v>
      </c>
      <c r="H303" s="44">
        <f>SUMIF($A277:$A302,"Bajaj2",H277:H302)</f>
        <v>18219</v>
      </c>
      <c r="I303" s="44">
        <f>SUMIF($A277:$A302,"Bajaj2",I277:I302)</f>
        <v>22420.000000000007</v>
      </c>
      <c r="J303" s="44">
        <f>(SUM(G303:H303)*IF(A303&lt;3,0.025,IF(A303&lt;6,0.075,IF(A303&lt;11,0.1,IF(A303&lt;51,0.15,0.2))))+F303*IF(B303&lt;2,0.025,IF(B303&lt;3,0.05,0.1)))*0.95</f>
        <v>2756.71</v>
      </c>
      <c r="K303" s="45">
        <v>2761</v>
      </c>
      <c r="L303" s="45">
        <f>SUM(L277:L302)</f>
        <v>507.27500000000015</v>
      </c>
      <c r="N303" s="7">
        <f>L303+550+1704</f>
        <v>2761.2750000000001</v>
      </c>
    </row>
    <row r="306" spans="1:12">
      <c r="A306" t="s">
        <v>1132</v>
      </c>
      <c r="B306" t="s">
        <v>278</v>
      </c>
      <c r="C306" s="20" t="s">
        <v>1182</v>
      </c>
      <c r="D306" s="2">
        <v>44048</v>
      </c>
      <c r="E306">
        <v>9955197653</v>
      </c>
      <c r="F306" t="s">
        <v>1185</v>
      </c>
      <c r="G306">
        <v>0</v>
      </c>
      <c r="H306">
        <v>752</v>
      </c>
      <c r="I306">
        <f t="shared" ref="I306:I321" si="16">(G306+H306)*1.18</f>
        <v>887.3599999999999</v>
      </c>
      <c r="J306" t="s">
        <v>1184</v>
      </c>
      <c r="K306" t="s">
        <v>1183</v>
      </c>
      <c r="L306">
        <f>H306*2.5/100</f>
        <v>18.8</v>
      </c>
    </row>
    <row r="307" spans="1:12">
      <c r="A307" t="s">
        <v>1193</v>
      </c>
      <c r="B307" t="s">
        <v>278</v>
      </c>
      <c r="C307" s="20" t="s">
        <v>1196</v>
      </c>
      <c r="D307" s="2">
        <v>44053</v>
      </c>
      <c r="E307">
        <v>8092217274</v>
      </c>
      <c r="F307" t="s">
        <v>1197</v>
      </c>
      <c r="G307">
        <v>0</v>
      </c>
      <c r="H307">
        <v>3221</v>
      </c>
      <c r="I307">
        <f t="shared" si="16"/>
        <v>3800.7799999999997</v>
      </c>
      <c r="J307" t="s">
        <v>1199</v>
      </c>
      <c r="K307" t="s">
        <v>1198</v>
      </c>
      <c r="L307">
        <f t="shared" ref="L307:L318" si="17">H307*2.5/100</f>
        <v>80.525000000000006</v>
      </c>
    </row>
    <row r="308" spans="1:12">
      <c r="A308" t="s">
        <v>1132</v>
      </c>
      <c r="B308" t="s">
        <v>278</v>
      </c>
      <c r="C308" s="20" t="s">
        <v>1192</v>
      </c>
      <c r="D308" s="2">
        <v>44053</v>
      </c>
      <c r="F308" t="s">
        <v>1194</v>
      </c>
      <c r="G308">
        <v>0</v>
      </c>
      <c r="H308">
        <v>752</v>
      </c>
      <c r="I308">
        <f t="shared" si="16"/>
        <v>887.3599999999999</v>
      </c>
      <c r="J308" t="s">
        <v>534</v>
      </c>
      <c r="K308" t="s">
        <v>1195</v>
      </c>
      <c r="L308">
        <f t="shared" si="17"/>
        <v>18.8</v>
      </c>
    </row>
    <row r="309" spans="1:12">
      <c r="A309" t="s">
        <v>1132</v>
      </c>
      <c r="B309" t="s">
        <v>278</v>
      </c>
      <c r="C309" s="20" t="s">
        <v>1200</v>
      </c>
      <c r="D309" s="2">
        <v>44054</v>
      </c>
      <c r="F309" t="s">
        <v>1202</v>
      </c>
      <c r="G309">
        <v>0</v>
      </c>
      <c r="H309">
        <v>752</v>
      </c>
      <c r="I309">
        <f t="shared" si="16"/>
        <v>887.3599999999999</v>
      </c>
      <c r="J309" t="s">
        <v>811</v>
      </c>
      <c r="K309" t="s">
        <v>1201</v>
      </c>
      <c r="L309">
        <f t="shared" si="17"/>
        <v>18.8</v>
      </c>
    </row>
    <row r="310" spans="1:12">
      <c r="A310" t="s">
        <v>1132</v>
      </c>
      <c r="B310" t="s">
        <v>278</v>
      </c>
      <c r="C310" s="20" t="s">
        <v>1203</v>
      </c>
      <c r="D310" s="2">
        <v>44054</v>
      </c>
      <c r="E310">
        <v>8873176711</v>
      </c>
      <c r="F310" t="s">
        <v>1204</v>
      </c>
      <c r="G310">
        <v>0</v>
      </c>
      <c r="H310">
        <v>752</v>
      </c>
      <c r="I310">
        <f t="shared" si="16"/>
        <v>887.3599999999999</v>
      </c>
      <c r="J310" t="s">
        <v>534</v>
      </c>
      <c r="K310" t="s">
        <v>1205</v>
      </c>
      <c r="L310">
        <f t="shared" si="17"/>
        <v>18.8</v>
      </c>
    </row>
    <row r="311" spans="1:12">
      <c r="A311" t="s">
        <v>1132</v>
      </c>
      <c r="B311" t="s">
        <v>278</v>
      </c>
      <c r="C311" s="20" t="s">
        <v>1206</v>
      </c>
      <c r="D311" s="2">
        <v>44056</v>
      </c>
      <c r="E311">
        <v>9304392497</v>
      </c>
      <c r="F311" t="s">
        <v>1207</v>
      </c>
      <c r="G311">
        <v>0</v>
      </c>
      <c r="H311">
        <v>752</v>
      </c>
      <c r="I311">
        <f t="shared" si="16"/>
        <v>887.3599999999999</v>
      </c>
      <c r="J311" t="s">
        <v>714</v>
      </c>
      <c r="K311" t="s">
        <v>1208</v>
      </c>
      <c r="L311">
        <f t="shared" si="17"/>
        <v>18.8</v>
      </c>
    </row>
    <row r="312" spans="1:12">
      <c r="A312" t="s">
        <v>1132</v>
      </c>
      <c r="B312" t="s">
        <v>12</v>
      </c>
      <c r="C312" s="20" t="s">
        <v>1209</v>
      </c>
      <c r="D312" s="2">
        <v>44059</v>
      </c>
      <c r="E312">
        <v>7903327543</v>
      </c>
      <c r="F312" t="s">
        <v>1210</v>
      </c>
      <c r="G312">
        <v>162</v>
      </c>
      <c r="H312">
        <v>752</v>
      </c>
      <c r="I312">
        <f t="shared" si="16"/>
        <v>1078.52</v>
      </c>
      <c r="K312" t="s">
        <v>1211</v>
      </c>
      <c r="L312">
        <f>H312*2.5/100+G312*0.18</f>
        <v>47.96</v>
      </c>
    </row>
    <row r="313" spans="1:12">
      <c r="A313" t="s">
        <v>1132</v>
      </c>
      <c r="B313" t="s">
        <v>12</v>
      </c>
      <c r="C313" s="20" t="s">
        <v>1212</v>
      </c>
      <c r="D313" s="2">
        <v>44060</v>
      </c>
      <c r="G313">
        <v>352</v>
      </c>
      <c r="H313">
        <v>702</v>
      </c>
      <c r="I313">
        <f t="shared" si="16"/>
        <v>1243.72</v>
      </c>
      <c r="L313">
        <f>H313*2.5/100+G313*0.175</f>
        <v>79.149999999999991</v>
      </c>
    </row>
    <row r="314" spans="1:12">
      <c r="A314" t="s">
        <v>1132</v>
      </c>
      <c r="B314" t="s">
        <v>278</v>
      </c>
      <c r="C314" s="20" t="s">
        <v>1213</v>
      </c>
      <c r="D314" s="2">
        <v>44060</v>
      </c>
      <c r="E314">
        <v>9835561750</v>
      </c>
      <c r="F314" t="s">
        <v>1215</v>
      </c>
      <c r="G314">
        <v>0</v>
      </c>
      <c r="H314">
        <v>752</v>
      </c>
      <c r="I314">
        <f t="shared" si="16"/>
        <v>887.3599999999999</v>
      </c>
      <c r="J314" t="s">
        <v>1184</v>
      </c>
      <c r="K314" t="s">
        <v>1214</v>
      </c>
      <c r="L314">
        <f>H314*2.5/100+G314*0.175</f>
        <v>18.8</v>
      </c>
    </row>
    <row r="315" spans="1:12">
      <c r="A315" t="s">
        <v>1132</v>
      </c>
      <c r="B315" t="s">
        <v>481</v>
      </c>
      <c r="C315" s="20" t="s">
        <v>1219</v>
      </c>
      <c r="D315" s="2">
        <v>44061</v>
      </c>
      <c r="E315">
        <v>7530922721</v>
      </c>
      <c r="F315" t="s">
        <v>1220</v>
      </c>
      <c r="G315">
        <v>160</v>
      </c>
      <c r="H315">
        <v>752</v>
      </c>
      <c r="I315">
        <f t="shared" si="16"/>
        <v>1076.1599999999999</v>
      </c>
      <c r="J315" t="s">
        <v>1221</v>
      </c>
      <c r="K315" t="s">
        <v>1222</v>
      </c>
    </row>
    <row r="316" spans="1:12">
      <c r="A316" t="s">
        <v>1132</v>
      </c>
      <c r="B316" t="s">
        <v>278</v>
      </c>
      <c r="C316" s="20" t="s">
        <v>1216</v>
      </c>
      <c r="D316" s="2">
        <v>44061</v>
      </c>
      <c r="E316">
        <v>9334349588</v>
      </c>
      <c r="F316" t="s">
        <v>1218</v>
      </c>
      <c r="G316">
        <v>0</v>
      </c>
      <c r="H316">
        <v>752</v>
      </c>
      <c r="I316">
        <f t="shared" si="16"/>
        <v>887.3599999999999</v>
      </c>
      <c r="J316" t="s">
        <v>811</v>
      </c>
      <c r="K316" t="s">
        <v>1217</v>
      </c>
    </row>
    <row r="317" spans="1:12">
      <c r="D317" s="2"/>
      <c r="I317">
        <f t="shared" si="16"/>
        <v>0</v>
      </c>
    </row>
    <row r="318" spans="1:12">
      <c r="G318">
        <v>0</v>
      </c>
      <c r="I318">
        <f t="shared" si="16"/>
        <v>0</v>
      </c>
      <c r="L318">
        <f t="shared" si="17"/>
        <v>0</v>
      </c>
    </row>
    <row r="319" spans="1:12">
      <c r="A319" t="s">
        <v>1063</v>
      </c>
      <c r="B319" t="s">
        <v>979</v>
      </c>
      <c r="C319" s="20" t="s">
        <v>1250</v>
      </c>
      <c r="D319" s="2">
        <v>44070</v>
      </c>
      <c r="E319">
        <v>8797080913</v>
      </c>
      <c r="F319" t="s">
        <v>1251</v>
      </c>
      <c r="G319">
        <v>0</v>
      </c>
      <c r="H319">
        <v>752</v>
      </c>
      <c r="I319">
        <f t="shared" si="16"/>
        <v>887.3599999999999</v>
      </c>
      <c r="J319" t="s">
        <v>905</v>
      </c>
      <c r="K319" t="s">
        <v>1252</v>
      </c>
    </row>
    <row r="320" spans="1:12">
      <c r="I320">
        <f t="shared" si="16"/>
        <v>0</v>
      </c>
    </row>
    <row r="321" spans="1:12">
      <c r="A321" t="s">
        <v>1132</v>
      </c>
      <c r="B321" t="s">
        <v>278</v>
      </c>
      <c r="C321" s="20" t="s">
        <v>1247</v>
      </c>
      <c r="D321" s="2">
        <v>44074</v>
      </c>
      <c r="E321">
        <v>8092265338</v>
      </c>
      <c r="F321" t="s">
        <v>1248</v>
      </c>
      <c r="G321">
        <v>0</v>
      </c>
      <c r="H321">
        <v>752</v>
      </c>
      <c r="I321">
        <f t="shared" si="16"/>
        <v>887.3599999999999</v>
      </c>
      <c r="J321" t="s">
        <v>905</v>
      </c>
      <c r="K321" t="s">
        <v>1249</v>
      </c>
    </row>
    <row r="324" spans="1:12" ht="23.4">
      <c r="A324" s="44">
        <f>COUNTIF($A305:$A323,"Bajaj2")</f>
        <v>12</v>
      </c>
      <c r="B324" s="44">
        <f>COUNTIF($A305:$A323,"Bajaj4")</f>
        <v>1</v>
      </c>
      <c r="C324" s="44"/>
      <c r="D324" s="44"/>
      <c r="E324" s="44"/>
      <c r="F324" s="44">
        <f>SUMIF(A306:A323,"Bajaj4",H306:H323)</f>
        <v>3221</v>
      </c>
      <c r="G324" s="44">
        <f>SUMIF(A306:A323,"Bajaj2",G306:G323)</f>
        <v>674</v>
      </c>
      <c r="H324" s="44">
        <f>SUMIF($A306:$A323,"Bajaj2",H306:H323)</f>
        <v>8974</v>
      </c>
      <c r="I324" s="44">
        <f>SUMIF($A306:$A323,"Bajaj2",I306:I323)</f>
        <v>11384.640000000001</v>
      </c>
      <c r="J324" s="44">
        <f>(SUM(G324:H324)*IF(A324&lt;3,0.025,IF(A324&lt;6,0.075,IF(A324&lt;11,0.1,IF(A324&lt;51,0.15,0.2))))+F324*IF(B324&lt;2,0.025,IF(B324&lt;3,0.05,0.1)))+G324*0.18</f>
        <v>1649.0450000000001</v>
      </c>
      <c r="K324" s="44">
        <f>J324*0.95-L324</f>
        <v>1246.1577499999999</v>
      </c>
      <c r="L324" s="45">
        <f>SUM(L306:L323)</f>
        <v>320.43500000000006</v>
      </c>
    </row>
    <row r="325" spans="1:12">
      <c r="F325">
        <f>+IF(B324&lt;=2,F324*0.05,F324*0.1)</f>
        <v>161.05000000000001</v>
      </c>
    </row>
    <row r="327" spans="1:12">
      <c r="I327">
        <f t="shared" ref="I327:I334" si="18">(G327+H327)*1.18</f>
        <v>0</v>
      </c>
      <c r="J327" s="7"/>
    </row>
    <row r="328" spans="1:12">
      <c r="I328">
        <f t="shared" si="18"/>
        <v>0</v>
      </c>
    </row>
    <row r="329" spans="1:12">
      <c r="A329" t="s">
        <v>1063</v>
      </c>
      <c r="B329" t="s">
        <v>278</v>
      </c>
      <c r="C329" s="20" t="s">
        <v>1232</v>
      </c>
      <c r="D329" s="2">
        <v>44078</v>
      </c>
      <c r="E329">
        <v>9471540879</v>
      </c>
      <c r="F329" t="s">
        <v>302</v>
      </c>
      <c r="G329">
        <v>0</v>
      </c>
      <c r="H329">
        <v>752</v>
      </c>
      <c r="I329">
        <f t="shared" si="18"/>
        <v>887.3599999999999</v>
      </c>
      <c r="J329" t="s">
        <v>696</v>
      </c>
      <c r="K329" t="s">
        <v>1233</v>
      </c>
    </row>
    <row r="330" spans="1:12">
      <c r="A330" t="s">
        <v>1063</v>
      </c>
      <c r="B330" t="s">
        <v>278</v>
      </c>
      <c r="C330" s="20" t="s">
        <v>1235</v>
      </c>
      <c r="D330" s="2">
        <v>44078</v>
      </c>
      <c r="E330">
        <v>7209393027</v>
      </c>
      <c r="F330" t="s">
        <v>1234</v>
      </c>
      <c r="G330">
        <v>0</v>
      </c>
      <c r="H330">
        <v>752</v>
      </c>
      <c r="I330">
        <f t="shared" si="18"/>
        <v>887.3599999999999</v>
      </c>
      <c r="J330" t="s">
        <v>1236</v>
      </c>
      <c r="K330" t="s">
        <v>1237</v>
      </c>
    </row>
    <row r="331" spans="1:12">
      <c r="A331" t="s">
        <v>1063</v>
      </c>
      <c r="B331" t="s">
        <v>278</v>
      </c>
      <c r="C331" s="20" t="s">
        <v>1238</v>
      </c>
      <c r="D331" s="2">
        <v>44079</v>
      </c>
      <c r="E331">
        <v>9204936533</v>
      </c>
      <c r="F331" t="s">
        <v>1239</v>
      </c>
      <c r="G331">
        <v>0</v>
      </c>
      <c r="H331">
        <v>482</v>
      </c>
      <c r="I331">
        <f t="shared" si="18"/>
        <v>568.76</v>
      </c>
      <c r="J331" t="s">
        <v>1241</v>
      </c>
      <c r="K331" t="s">
        <v>1240</v>
      </c>
    </row>
    <row r="332" spans="1:12">
      <c r="A332" t="s">
        <v>1063</v>
      </c>
      <c r="B332" t="s">
        <v>278</v>
      </c>
      <c r="C332" s="20" t="s">
        <v>1243</v>
      </c>
      <c r="D332" s="2">
        <v>44079</v>
      </c>
      <c r="E332">
        <v>9771283032</v>
      </c>
      <c r="F332" t="s">
        <v>1244</v>
      </c>
      <c r="G332">
        <v>0</v>
      </c>
      <c r="H332">
        <v>752</v>
      </c>
      <c r="I332">
        <f t="shared" si="18"/>
        <v>887.3599999999999</v>
      </c>
      <c r="J332" t="s">
        <v>637</v>
      </c>
      <c r="K332" t="s">
        <v>1242</v>
      </c>
    </row>
    <row r="333" spans="1:12">
      <c r="A333" t="s">
        <v>1063</v>
      </c>
      <c r="B333" t="s">
        <v>481</v>
      </c>
      <c r="C333" s="20" t="s">
        <v>1245</v>
      </c>
      <c r="D333" s="2">
        <v>44079</v>
      </c>
      <c r="E333">
        <v>9771283032</v>
      </c>
      <c r="F333" t="s">
        <v>1244</v>
      </c>
      <c r="G333">
        <v>79</v>
      </c>
      <c r="H333">
        <v>1083</v>
      </c>
      <c r="I333">
        <f t="shared" si="18"/>
        <v>1371.1599999999999</v>
      </c>
      <c r="J333" t="s">
        <v>402</v>
      </c>
      <c r="K333" t="s">
        <v>1246</v>
      </c>
    </row>
    <row r="334" spans="1:12">
      <c r="A334" t="s">
        <v>1063</v>
      </c>
      <c r="B334" t="s">
        <v>278</v>
      </c>
      <c r="C334" s="20" t="s">
        <v>1231</v>
      </c>
      <c r="D334" s="2">
        <v>44080</v>
      </c>
      <c r="E334">
        <v>9031904806</v>
      </c>
      <c r="F334" t="s">
        <v>864</v>
      </c>
      <c r="G334">
        <v>0</v>
      </c>
      <c r="H334">
        <v>752</v>
      </c>
      <c r="I334">
        <f t="shared" si="18"/>
        <v>887.3599999999999</v>
      </c>
      <c r="J334" t="s">
        <v>614</v>
      </c>
      <c r="K334" t="s">
        <v>615</v>
      </c>
    </row>
    <row r="335" spans="1:12">
      <c r="A335" t="s">
        <v>1063</v>
      </c>
      <c r="B335" t="s">
        <v>278</v>
      </c>
      <c r="C335" s="20" t="s">
        <v>1228</v>
      </c>
      <c r="D335" s="2">
        <v>44081</v>
      </c>
      <c r="E335">
        <v>9031393446</v>
      </c>
      <c r="F335" t="s">
        <v>1229</v>
      </c>
      <c r="G335">
        <v>0</v>
      </c>
      <c r="H335">
        <v>752</v>
      </c>
      <c r="I335">
        <f t="shared" ref="I335:I347" si="19">(G335+H335)*1.18</f>
        <v>887.3599999999999</v>
      </c>
      <c r="J335" t="s">
        <v>402</v>
      </c>
      <c r="K335" t="s">
        <v>1230</v>
      </c>
    </row>
    <row r="336" spans="1:12">
      <c r="A336" t="s">
        <v>1063</v>
      </c>
      <c r="B336" t="s">
        <v>278</v>
      </c>
      <c r="C336" s="20" t="s">
        <v>1253</v>
      </c>
      <c r="D336" s="2">
        <v>44081</v>
      </c>
      <c r="E336">
        <v>9931195820</v>
      </c>
      <c r="F336" t="s">
        <v>708</v>
      </c>
      <c r="G336">
        <v>0</v>
      </c>
      <c r="H336">
        <v>752</v>
      </c>
      <c r="I336">
        <f t="shared" si="19"/>
        <v>887.3599999999999</v>
      </c>
      <c r="J336" t="s">
        <v>905</v>
      </c>
      <c r="K336" t="s">
        <v>707</v>
      </c>
    </row>
    <row r="337" spans="1:12">
      <c r="A337" t="s">
        <v>1063</v>
      </c>
      <c r="B337" t="s">
        <v>278</v>
      </c>
      <c r="C337" s="20" t="s">
        <v>1254</v>
      </c>
      <c r="D337" s="2">
        <v>44083</v>
      </c>
      <c r="E337">
        <v>9204702564</v>
      </c>
      <c r="F337" t="s">
        <v>1255</v>
      </c>
      <c r="G337">
        <v>0</v>
      </c>
      <c r="H337">
        <v>752</v>
      </c>
      <c r="I337">
        <f t="shared" si="19"/>
        <v>887.3599999999999</v>
      </c>
      <c r="J337" t="s">
        <v>1256</v>
      </c>
      <c r="K337" t="s">
        <v>1257</v>
      </c>
    </row>
    <row r="338" spans="1:12">
      <c r="A338" t="s">
        <v>1063</v>
      </c>
      <c r="B338" t="s">
        <v>278</v>
      </c>
      <c r="D338" s="2">
        <v>44085</v>
      </c>
      <c r="G338">
        <v>0</v>
      </c>
      <c r="H338">
        <v>752</v>
      </c>
      <c r="I338">
        <f t="shared" si="19"/>
        <v>887.3599999999999</v>
      </c>
    </row>
    <row r="339" spans="1:12">
      <c r="A339" t="s">
        <v>1063</v>
      </c>
      <c r="B339" t="s">
        <v>278</v>
      </c>
      <c r="D339" s="2">
        <v>44085</v>
      </c>
      <c r="E339">
        <v>9031736935</v>
      </c>
      <c r="F339" t="s">
        <v>1259</v>
      </c>
      <c r="G339">
        <v>0</v>
      </c>
      <c r="H339">
        <v>752</v>
      </c>
      <c r="I339">
        <f t="shared" si="19"/>
        <v>887.3599999999999</v>
      </c>
      <c r="J339" t="s">
        <v>637</v>
      </c>
      <c r="K339" t="s">
        <v>1258</v>
      </c>
    </row>
    <row r="340" spans="1:12">
      <c r="A340" t="s">
        <v>1063</v>
      </c>
      <c r="B340" t="s">
        <v>278</v>
      </c>
      <c r="C340" s="20" t="s">
        <v>1260</v>
      </c>
      <c r="D340" s="2">
        <v>44088</v>
      </c>
      <c r="E340">
        <v>9031989594</v>
      </c>
      <c r="F340" t="s">
        <v>1261</v>
      </c>
      <c r="G340">
        <v>0</v>
      </c>
      <c r="H340" t="s">
        <v>1312</v>
      </c>
      <c r="I340" t="e">
        <f t="shared" si="19"/>
        <v>#VALUE!</v>
      </c>
      <c r="J340" t="s">
        <v>905</v>
      </c>
      <c r="K340" t="s">
        <v>1263</v>
      </c>
    </row>
    <row r="341" spans="1:12">
      <c r="A341" t="s">
        <v>1063</v>
      </c>
      <c r="B341" t="s">
        <v>278</v>
      </c>
      <c r="C341" s="20" t="s">
        <v>1262</v>
      </c>
      <c r="D341" s="2">
        <v>44088</v>
      </c>
      <c r="E341">
        <v>9599552690</v>
      </c>
      <c r="F341" t="s">
        <v>1266</v>
      </c>
      <c r="G341">
        <v>0</v>
      </c>
      <c r="H341">
        <v>752</v>
      </c>
      <c r="I341">
        <f t="shared" si="19"/>
        <v>887.3599999999999</v>
      </c>
      <c r="J341" t="s">
        <v>1264</v>
      </c>
      <c r="K341" t="s">
        <v>1265</v>
      </c>
    </row>
    <row r="342" spans="1:12">
      <c r="A342" t="s">
        <v>1063</v>
      </c>
      <c r="B342" t="s">
        <v>278</v>
      </c>
      <c r="C342" s="20" t="s">
        <v>1269</v>
      </c>
      <c r="D342" s="2">
        <v>44090</v>
      </c>
      <c r="E342">
        <v>9771187617</v>
      </c>
      <c r="F342" t="s">
        <v>1270</v>
      </c>
      <c r="G342">
        <v>0</v>
      </c>
      <c r="H342">
        <v>752</v>
      </c>
      <c r="I342">
        <f t="shared" si="19"/>
        <v>887.3599999999999</v>
      </c>
      <c r="J342" t="s">
        <v>1271</v>
      </c>
      <c r="K342" t="s">
        <v>1268</v>
      </c>
    </row>
    <row r="343" spans="1:12">
      <c r="A343" t="s">
        <v>1063</v>
      </c>
      <c r="B343" t="s">
        <v>278</v>
      </c>
      <c r="C343" s="20" t="s">
        <v>1274</v>
      </c>
      <c r="D343" s="2">
        <v>44090</v>
      </c>
      <c r="E343">
        <v>9334290127</v>
      </c>
      <c r="F343" t="s">
        <v>1275</v>
      </c>
      <c r="G343">
        <v>0</v>
      </c>
      <c r="H343">
        <v>752</v>
      </c>
      <c r="I343">
        <f t="shared" si="19"/>
        <v>887.3599999999999</v>
      </c>
      <c r="J343" t="s">
        <v>905</v>
      </c>
      <c r="K343" t="s">
        <v>1276</v>
      </c>
    </row>
    <row r="344" spans="1:12">
      <c r="A344" t="s">
        <v>1064</v>
      </c>
      <c r="B344" t="s">
        <v>278</v>
      </c>
      <c r="C344" s="20" t="s">
        <v>1279</v>
      </c>
      <c r="D344" s="2">
        <v>44092</v>
      </c>
      <c r="E344">
        <v>9204522458</v>
      </c>
      <c r="F344" t="s">
        <v>1278</v>
      </c>
      <c r="G344">
        <v>0</v>
      </c>
      <c r="H344">
        <v>2072</v>
      </c>
      <c r="I344">
        <f t="shared" si="19"/>
        <v>2444.96</v>
      </c>
      <c r="J344" t="s">
        <v>569</v>
      </c>
      <c r="K344" t="s">
        <v>1277</v>
      </c>
    </row>
    <row r="345" spans="1:12">
      <c r="A345" t="s">
        <v>1063</v>
      </c>
      <c r="B345" t="s">
        <v>278</v>
      </c>
      <c r="C345" s="20" t="s">
        <v>1280</v>
      </c>
      <c r="D345" s="2">
        <v>44094</v>
      </c>
      <c r="E345">
        <v>9031183795</v>
      </c>
      <c r="F345" t="s">
        <v>1281</v>
      </c>
      <c r="G345">
        <v>0</v>
      </c>
      <c r="H345">
        <v>752</v>
      </c>
      <c r="I345">
        <f t="shared" si="19"/>
        <v>887.3599999999999</v>
      </c>
      <c r="J345" t="s">
        <v>1283</v>
      </c>
      <c r="K345" t="s">
        <v>1282</v>
      </c>
      <c r="L345" s="115">
        <v>105</v>
      </c>
    </row>
    <row r="346" spans="1:12">
      <c r="A346" t="s">
        <v>1064</v>
      </c>
      <c r="B346" t="s">
        <v>278</v>
      </c>
      <c r="C346" s="20" t="s">
        <v>1287</v>
      </c>
      <c r="D346" s="2">
        <v>44094</v>
      </c>
      <c r="E346">
        <v>9430137544</v>
      </c>
      <c r="F346" s="28" t="s">
        <v>1284</v>
      </c>
      <c r="G346">
        <v>0</v>
      </c>
      <c r="H346">
        <v>2072</v>
      </c>
      <c r="I346">
        <f t="shared" si="19"/>
        <v>2444.96</v>
      </c>
      <c r="J346" t="s">
        <v>1286</v>
      </c>
      <c r="K346" t="s">
        <v>1285</v>
      </c>
      <c r="L346" s="115"/>
    </row>
    <row r="347" spans="1:12">
      <c r="A347" t="s">
        <v>1063</v>
      </c>
      <c r="B347" t="s">
        <v>278</v>
      </c>
      <c r="C347" s="20" t="s">
        <v>1291</v>
      </c>
      <c r="D347" s="2">
        <v>44094</v>
      </c>
      <c r="E347">
        <v>9430137544</v>
      </c>
      <c r="F347" t="s">
        <v>1293</v>
      </c>
      <c r="G347">
        <v>0</v>
      </c>
      <c r="H347">
        <v>752</v>
      </c>
      <c r="I347">
        <f t="shared" si="19"/>
        <v>887.3599999999999</v>
      </c>
      <c r="K347" t="s">
        <v>1292</v>
      </c>
      <c r="L347" s="115"/>
    </row>
    <row r="348" spans="1:12">
      <c r="A348" t="s">
        <v>1063</v>
      </c>
      <c r="B348" t="s">
        <v>278</v>
      </c>
      <c r="C348" s="20" t="s">
        <v>1290</v>
      </c>
      <c r="D348" s="2">
        <v>44094</v>
      </c>
      <c r="E348">
        <v>9122021104</v>
      </c>
      <c r="F348" t="s">
        <v>1288</v>
      </c>
      <c r="G348">
        <v>0</v>
      </c>
      <c r="H348">
        <v>752</v>
      </c>
      <c r="I348">
        <f>(G348+H348)*1.18</f>
        <v>887.3599999999999</v>
      </c>
      <c r="J348" t="s">
        <v>1241</v>
      </c>
      <c r="K348" t="s">
        <v>1289</v>
      </c>
      <c r="L348" s="115"/>
    </row>
    <row r="349" spans="1:12">
      <c r="A349" t="s">
        <v>1064</v>
      </c>
      <c r="B349" t="s">
        <v>278</v>
      </c>
      <c r="C349" s="20" t="s">
        <v>1294</v>
      </c>
      <c r="D349" s="2">
        <v>44095</v>
      </c>
      <c r="F349" t="s">
        <v>602</v>
      </c>
      <c r="G349">
        <v>0</v>
      </c>
      <c r="H349">
        <v>2072</v>
      </c>
      <c r="I349">
        <f>(G349+H349)*1.18</f>
        <v>2444.96</v>
      </c>
      <c r="J349" t="s">
        <v>1296</v>
      </c>
      <c r="K349" s="51" t="s">
        <v>1295</v>
      </c>
    </row>
    <row r="350" spans="1:12">
      <c r="A350" t="s">
        <v>1063</v>
      </c>
      <c r="B350" t="s">
        <v>278</v>
      </c>
      <c r="C350" s="20" t="s">
        <v>1297</v>
      </c>
      <c r="D350" s="2">
        <v>44095</v>
      </c>
      <c r="E350">
        <v>9234467615</v>
      </c>
      <c r="F350" t="s">
        <v>1298</v>
      </c>
      <c r="G350">
        <v>0</v>
      </c>
      <c r="H350">
        <v>752</v>
      </c>
      <c r="I350">
        <f>(G350+H350)*1.18</f>
        <v>887.3599999999999</v>
      </c>
      <c r="K350" s="51" t="s">
        <v>1299</v>
      </c>
    </row>
    <row r="351" spans="1:12">
      <c r="D351" s="2"/>
      <c r="K351" s="51"/>
    </row>
    <row r="352" spans="1:12">
      <c r="D352" s="2"/>
      <c r="K352" s="51"/>
    </row>
    <row r="353" spans="1:12">
      <c r="D353" s="2"/>
      <c r="K353" s="51"/>
    </row>
    <row r="354" spans="1:12">
      <c r="D354" s="2"/>
    </row>
    <row r="356" spans="1:12" ht="23.4">
      <c r="A356" s="44">
        <f>COUNTIF($A325:$A355,"Bajaj2")</f>
        <v>19</v>
      </c>
      <c r="B356" s="44">
        <f>COUNTIF($A325:$A355,"Bajaj4")</f>
        <v>3</v>
      </c>
      <c r="C356" s="44"/>
      <c r="D356" s="44"/>
      <c r="E356" s="44"/>
      <c r="F356" s="44">
        <f>SUMIF(A326:A355,"Bajaj4",H326:H355)</f>
        <v>6216</v>
      </c>
      <c r="G356" s="44">
        <f>SUMIF(A326:A355,"Bajaj2",G326:G355)</f>
        <v>79</v>
      </c>
      <c r="H356" s="44">
        <f>SUMIF($A326:$A355,"Bajaj2",H326:H355)</f>
        <v>13597</v>
      </c>
      <c r="I356" s="44">
        <f>G356+H356</f>
        <v>13676</v>
      </c>
      <c r="J356" s="44">
        <f>I356*IF(A356&lt;3,0.025,IF(A356&lt;6,0.075,IF(A356&lt;11,0.1,IF(A356&lt;51,0.15,0.2))))+F356*IF(B356&lt;3,0.05,0.1)</f>
        <v>2673</v>
      </c>
      <c r="K356" s="44">
        <f>J356*0.95</f>
        <v>2539.35</v>
      </c>
      <c r="L356">
        <f>SUM(L326:L355)</f>
        <v>105</v>
      </c>
    </row>
    <row r="358" spans="1:12">
      <c r="A358" t="s">
        <v>1063</v>
      </c>
      <c r="B358" t="s">
        <v>278</v>
      </c>
      <c r="C358" s="20" t="s">
        <v>1310</v>
      </c>
      <c r="D358" s="2">
        <v>44105</v>
      </c>
      <c r="E358">
        <v>7541098675</v>
      </c>
      <c r="F358" t="s">
        <v>1311</v>
      </c>
      <c r="G358">
        <v>0</v>
      </c>
      <c r="H358">
        <v>752</v>
      </c>
      <c r="I358">
        <f t="shared" ref="I358:I368" si="20">(G358+H358)*1.18</f>
        <v>887.3599999999999</v>
      </c>
      <c r="J358" t="s">
        <v>614</v>
      </c>
      <c r="K358" t="s">
        <v>1319</v>
      </c>
      <c r="L358">
        <v>0</v>
      </c>
    </row>
    <row r="359" spans="1:12">
      <c r="A359" t="s">
        <v>1063</v>
      </c>
      <c r="B359" t="s">
        <v>278</v>
      </c>
      <c r="C359" s="20" t="s">
        <v>1320</v>
      </c>
      <c r="D359" s="2">
        <v>44105</v>
      </c>
      <c r="E359">
        <v>8709357819</v>
      </c>
      <c r="F359" t="s">
        <v>1321</v>
      </c>
      <c r="G359">
        <v>0</v>
      </c>
      <c r="H359">
        <v>752</v>
      </c>
      <c r="I359">
        <f t="shared" si="20"/>
        <v>887.3599999999999</v>
      </c>
      <c r="J359" t="s">
        <v>1322</v>
      </c>
      <c r="K359" t="s">
        <v>1323</v>
      </c>
      <c r="L359">
        <v>37</v>
      </c>
    </row>
    <row r="360" spans="1:12">
      <c r="A360" t="s">
        <v>1063</v>
      </c>
      <c r="B360" t="s">
        <v>278</v>
      </c>
      <c r="C360" s="20" t="s">
        <v>1324</v>
      </c>
      <c r="D360" s="2">
        <v>44106</v>
      </c>
      <c r="E360">
        <v>8603237181</v>
      </c>
      <c r="F360" t="s">
        <v>1325</v>
      </c>
      <c r="G360">
        <v>0</v>
      </c>
      <c r="H360">
        <v>752</v>
      </c>
      <c r="I360">
        <f t="shared" si="20"/>
        <v>887.3599999999999</v>
      </c>
      <c r="J360" t="s">
        <v>320</v>
      </c>
      <c r="K360" t="s">
        <v>1326</v>
      </c>
      <c r="L360">
        <v>18</v>
      </c>
    </row>
    <row r="361" spans="1:12">
      <c r="A361">
        <v>4</v>
      </c>
      <c r="B361" t="s">
        <v>1328</v>
      </c>
      <c r="C361" s="20" t="s">
        <v>1327</v>
      </c>
      <c r="D361" s="2">
        <v>44106</v>
      </c>
      <c r="E361">
        <v>9031958801</v>
      </c>
      <c r="F361" t="s">
        <v>1331</v>
      </c>
      <c r="G361">
        <v>5617</v>
      </c>
      <c r="H361">
        <v>0</v>
      </c>
      <c r="I361">
        <f t="shared" si="20"/>
        <v>6628.0599999999995</v>
      </c>
      <c r="J361" t="s">
        <v>1330</v>
      </c>
      <c r="K361" t="s">
        <v>1329</v>
      </c>
      <c r="L361">
        <v>840</v>
      </c>
    </row>
    <row r="362" spans="1:12">
      <c r="A362" t="s">
        <v>1064</v>
      </c>
      <c r="B362" t="s">
        <v>979</v>
      </c>
      <c r="C362" s="20" t="s">
        <v>1315</v>
      </c>
      <c r="D362" s="2">
        <v>44115</v>
      </c>
      <c r="F362" t="s">
        <v>1316</v>
      </c>
      <c r="G362">
        <v>0</v>
      </c>
      <c r="H362">
        <v>3221</v>
      </c>
      <c r="I362">
        <f t="shared" si="20"/>
        <v>3800.7799999999997</v>
      </c>
      <c r="J362" t="s">
        <v>1317</v>
      </c>
      <c r="K362" t="s">
        <v>1318</v>
      </c>
      <c r="L362">
        <v>0</v>
      </c>
    </row>
    <row r="363" spans="1:12">
      <c r="A363" t="s">
        <v>1063</v>
      </c>
      <c r="B363" t="s">
        <v>979</v>
      </c>
      <c r="C363" s="20" t="s">
        <v>1334</v>
      </c>
      <c r="D363" s="2">
        <v>44111</v>
      </c>
      <c r="E363">
        <v>8092515320</v>
      </c>
      <c r="F363" t="s">
        <v>1333</v>
      </c>
      <c r="G363">
        <v>0</v>
      </c>
      <c r="H363">
        <v>752</v>
      </c>
      <c r="I363">
        <f t="shared" si="20"/>
        <v>887.3599999999999</v>
      </c>
      <c r="J363" t="s">
        <v>614</v>
      </c>
      <c r="K363" t="s">
        <v>1332</v>
      </c>
      <c r="L363">
        <v>18</v>
      </c>
    </row>
    <row r="364" spans="1:12">
      <c r="A364" t="s">
        <v>1063</v>
      </c>
      <c r="B364" t="s">
        <v>979</v>
      </c>
      <c r="C364" s="20" t="s">
        <v>1335</v>
      </c>
      <c r="D364" s="2">
        <v>44115</v>
      </c>
      <c r="E364">
        <v>7209637288</v>
      </c>
      <c r="F364" t="s">
        <v>1336</v>
      </c>
      <c r="G364">
        <v>0</v>
      </c>
      <c r="H364">
        <v>752</v>
      </c>
      <c r="I364">
        <f t="shared" si="20"/>
        <v>887.3599999999999</v>
      </c>
      <c r="J364" t="s">
        <v>320</v>
      </c>
      <c r="K364" t="s">
        <v>1337</v>
      </c>
      <c r="L364">
        <v>104</v>
      </c>
    </row>
    <row r="365" spans="1:12">
      <c r="A365" t="s">
        <v>1063</v>
      </c>
      <c r="B365" t="s">
        <v>979</v>
      </c>
      <c r="C365" s="20" t="s">
        <v>1340</v>
      </c>
      <c r="D365" s="2">
        <v>44117</v>
      </c>
      <c r="E365">
        <v>7209490065</v>
      </c>
      <c r="F365" t="s">
        <v>1338</v>
      </c>
      <c r="G365">
        <v>0</v>
      </c>
      <c r="H365">
        <v>752</v>
      </c>
      <c r="I365">
        <f t="shared" si="20"/>
        <v>887.3599999999999</v>
      </c>
      <c r="J365" t="s">
        <v>320</v>
      </c>
      <c r="K365" t="s">
        <v>1339</v>
      </c>
      <c r="L365">
        <v>18</v>
      </c>
    </row>
    <row r="366" spans="1:12">
      <c r="A366" t="s">
        <v>1063</v>
      </c>
      <c r="B366" t="s">
        <v>979</v>
      </c>
      <c r="C366" s="20" t="s">
        <v>1341</v>
      </c>
      <c r="D366" s="2">
        <v>44117</v>
      </c>
      <c r="F366" t="s">
        <v>1342</v>
      </c>
      <c r="G366">
        <v>0</v>
      </c>
      <c r="H366">
        <v>1090</v>
      </c>
      <c r="I366">
        <f t="shared" si="20"/>
        <v>1286.2</v>
      </c>
      <c r="K366" t="s">
        <v>313</v>
      </c>
      <c r="L366">
        <v>0</v>
      </c>
    </row>
    <row r="367" spans="1:12">
      <c r="A367" t="s">
        <v>1063</v>
      </c>
      <c r="B367" t="s">
        <v>979</v>
      </c>
      <c r="C367" s="20" t="s">
        <v>1349</v>
      </c>
      <c r="D367" s="2">
        <v>44119</v>
      </c>
      <c r="E367">
        <v>8789291079</v>
      </c>
      <c r="F367" t="s">
        <v>1350</v>
      </c>
      <c r="G367">
        <v>0</v>
      </c>
      <c r="H367">
        <v>752</v>
      </c>
      <c r="I367">
        <f t="shared" si="20"/>
        <v>887.3599999999999</v>
      </c>
      <c r="J367" t="s">
        <v>325</v>
      </c>
      <c r="K367" t="s">
        <v>1351</v>
      </c>
      <c r="L367">
        <v>18</v>
      </c>
    </row>
    <row r="368" spans="1:12">
      <c r="A368" t="s">
        <v>1063</v>
      </c>
      <c r="B368" t="s">
        <v>979</v>
      </c>
      <c r="C368" s="20" t="s">
        <v>1354</v>
      </c>
      <c r="D368" s="2">
        <v>44120</v>
      </c>
      <c r="E368">
        <v>9835551974</v>
      </c>
      <c r="F368" t="s">
        <v>1355</v>
      </c>
      <c r="G368">
        <v>0</v>
      </c>
      <c r="H368">
        <v>752</v>
      </c>
      <c r="I368">
        <f t="shared" si="20"/>
        <v>887.3599999999999</v>
      </c>
      <c r="J368" t="s">
        <v>1353</v>
      </c>
      <c r="K368" t="s">
        <v>1352</v>
      </c>
      <c r="L368">
        <v>18</v>
      </c>
    </row>
    <row r="369" spans="1:12">
      <c r="A369" t="s">
        <v>1063</v>
      </c>
      <c r="B369" t="s">
        <v>979</v>
      </c>
      <c r="C369" s="20" t="s">
        <v>1345</v>
      </c>
      <c r="D369" s="2">
        <v>44121</v>
      </c>
      <c r="E369">
        <v>9931764268</v>
      </c>
      <c r="F369" t="s">
        <v>1346</v>
      </c>
      <c r="G369">
        <v>0</v>
      </c>
      <c r="H369">
        <v>752</v>
      </c>
      <c r="I369">
        <f t="shared" ref="I369:I373" si="21">(G369+H369)*1.18</f>
        <v>887.3599999999999</v>
      </c>
      <c r="J369" t="s">
        <v>1348</v>
      </c>
      <c r="K369" t="s">
        <v>1347</v>
      </c>
      <c r="L369">
        <v>18</v>
      </c>
    </row>
    <row r="370" spans="1:12">
      <c r="A370" t="s">
        <v>1063</v>
      </c>
      <c r="B370" t="s">
        <v>979</v>
      </c>
      <c r="C370" s="20" t="s">
        <v>1359</v>
      </c>
      <c r="D370" s="2">
        <v>44121</v>
      </c>
      <c r="E370">
        <v>9934128085</v>
      </c>
      <c r="F370" t="s">
        <v>1356</v>
      </c>
      <c r="G370">
        <v>0</v>
      </c>
      <c r="H370">
        <v>1193</v>
      </c>
      <c r="I370">
        <f t="shared" si="21"/>
        <v>1407.74</v>
      </c>
      <c r="J370" t="s">
        <v>1358</v>
      </c>
      <c r="K370" t="s">
        <v>1357</v>
      </c>
      <c r="L370">
        <v>0</v>
      </c>
    </row>
    <row r="371" spans="1:12">
      <c r="A371" t="s">
        <v>1063</v>
      </c>
      <c r="B371" t="s">
        <v>979</v>
      </c>
      <c r="C371" s="20" t="s">
        <v>1370</v>
      </c>
      <c r="D371" s="2">
        <v>44122</v>
      </c>
      <c r="E371">
        <v>9971335718</v>
      </c>
      <c r="F371" t="s">
        <v>1367</v>
      </c>
      <c r="G371">
        <v>0</v>
      </c>
      <c r="H371">
        <v>752</v>
      </c>
      <c r="I371">
        <f t="shared" si="21"/>
        <v>887.3599999999999</v>
      </c>
      <c r="J371" t="s">
        <v>1369</v>
      </c>
      <c r="K371" t="s">
        <v>1368</v>
      </c>
      <c r="L371">
        <v>54</v>
      </c>
    </row>
    <row r="372" spans="1:12">
      <c r="A372" t="s">
        <v>1063</v>
      </c>
      <c r="B372" t="s">
        <v>979</v>
      </c>
      <c r="C372" s="20" t="s">
        <v>1366</v>
      </c>
      <c r="D372" s="2">
        <v>44122</v>
      </c>
      <c r="E372">
        <v>8092135990</v>
      </c>
      <c r="F372" t="s">
        <v>1364</v>
      </c>
      <c r="G372">
        <v>0</v>
      </c>
      <c r="H372">
        <v>752</v>
      </c>
      <c r="I372">
        <f t="shared" si="21"/>
        <v>887.3599999999999</v>
      </c>
      <c r="J372" t="s">
        <v>1322</v>
      </c>
      <c r="K372" t="s">
        <v>1365</v>
      </c>
      <c r="L372">
        <v>0</v>
      </c>
    </row>
    <row r="373" spans="1:12">
      <c r="A373" t="s">
        <v>1064</v>
      </c>
      <c r="B373" t="s">
        <v>979</v>
      </c>
      <c r="C373" s="20" t="s">
        <v>1360</v>
      </c>
      <c r="D373" s="2">
        <v>44122</v>
      </c>
      <c r="E373">
        <v>9234294035</v>
      </c>
      <c r="F373" t="s">
        <v>1363</v>
      </c>
      <c r="G373">
        <v>0</v>
      </c>
      <c r="H373">
        <v>3221</v>
      </c>
      <c r="I373">
        <f t="shared" si="21"/>
        <v>3800.7799999999997</v>
      </c>
      <c r="J373" t="s">
        <v>1361</v>
      </c>
      <c r="K373" t="s">
        <v>1362</v>
      </c>
      <c r="L373">
        <v>0</v>
      </c>
    </row>
    <row r="374" spans="1:12">
      <c r="A374" t="s">
        <v>1063</v>
      </c>
      <c r="B374" t="s">
        <v>278</v>
      </c>
      <c r="C374" s="20" t="s">
        <v>1371</v>
      </c>
      <c r="D374" s="2">
        <v>44123</v>
      </c>
      <c r="E374">
        <v>9771208895</v>
      </c>
      <c r="F374" t="s">
        <v>1372</v>
      </c>
      <c r="G374">
        <v>0</v>
      </c>
      <c r="H374">
        <v>752</v>
      </c>
      <c r="I374">
        <f t="shared" ref="I374:I394" si="22">(G374+H374)*1.18</f>
        <v>887.3599999999999</v>
      </c>
      <c r="J374" t="s">
        <v>1374</v>
      </c>
      <c r="K374" t="s">
        <v>1373</v>
      </c>
    </row>
    <row r="375" spans="1:12">
      <c r="A375" t="s">
        <v>1063</v>
      </c>
      <c r="B375" t="s">
        <v>278</v>
      </c>
      <c r="C375" s="20" t="s">
        <v>1376</v>
      </c>
      <c r="D375" s="2">
        <v>44125</v>
      </c>
      <c r="E375">
        <v>9905307823</v>
      </c>
      <c r="F375" t="s">
        <v>1375</v>
      </c>
      <c r="G375">
        <v>0</v>
      </c>
      <c r="H375">
        <v>752</v>
      </c>
      <c r="I375">
        <f t="shared" si="22"/>
        <v>887.3599999999999</v>
      </c>
      <c r="J375" t="s">
        <v>961</v>
      </c>
      <c r="K375" t="s">
        <v>1377</v>
      </c>
      <c r="L375">
        <v>18</v>
      </c>
    </row>
    <row r="376" spans="1:12">
      <c r="A376" t="s">
        <v>1063</v>
      </c>
      <c r="B376" t="s">
        <v>278</v>
      </c>
      <c r="C376" s="20" t="s">
        <v>1380</v>
      </c>
      <c r="D376" s="2">
        <v>44126</v>
      </c>
      <c r="E376">
        <v>9234529226</v>
      </c>
      <c r="F376" t="s">
        <v>508</v>
      </c>
      <c r="G376">
        <v>0</v>
      </c>
      <c r="H376">
        <v>752</v>
      </c>
      <c r="I376">
        <f t="shared" si="22"/>
        <v>887.3599999999999</v>
      </c>
      <c r="J376" t="s">
        <v>1379</v>
      </c>
      <c r="K376" t="s">
        <v>1378</v>
      </c>
      <c r="L376">
        <v>0</v>
      </c>
    </row>
    <row r="377" spans="1:12">
      <c r="A377" t="s">
        <v>1063</v>
      </c>
      <c r="B377" t="s">
        <v>278</v>
      </c>
      <c r="C377" s="20" t="s">
        <v>1381</v>
      </c>
      <c r="D377" s="2">
        <v>44126</v>
      </c>
      <c r="E377">
        <v>9204390820</v>
      </c>
      <c r="F377" t="s">
        <v>1382</v>
      </c>
      <c r="G377">
        <v>0</v>
      </c>
      <c r="H377">
        <v>752</v>
      </c>
      <c r="I377">
        <f t="shared" si="22"/>
        <v>887.3599999999999</v>
      </c>
      <c r="J377" t="s">
        <v>534</v>
      </c>
      <c r="K377" t="s">
        <v>1383</v>
      </c>
      <c r="L377">
        <v>37</v>
      </c>
    </row>
    <row r="378" spans="1:12">
      <c r="A378" t="s">
        <v>1063</v>
      </c>
      <c r="B378" t="s">
        <v>278</v>
      </c>
      <c r="C378" s="20" t="s">
        <v>1384</v>
      </c>
      <c r="D378" s="2">
        <v>44127</v>
      </c>
      <c r="E378">
        <v>7033381999</v>
      </c>
      <c r="F378" t="s">
        <v>537</v>
      </c>
      <c r="G378">
        <v>0</v>
      </c>
      <c r="H378">
        <v>752</v>
      </c>
      <c r="I378">
        <f t="shared" si="22"/>
        <v>887.3599999999999</v>
      </c>
      <c r="J378" t="s">
        <v>534</v>
      </c>
      <c r="K378" t="s">
        <v>1385</v>
      </c>
    </row>
    <row r="379" spans="1:12">
      <c r="A379" t="s">
        <v>1063</v>
      </c>
      <c r="B379" t="s">
        <v>278</v>
      </c>
      <c r="C379" s="20" t="s">
        <v>1389</v>
      </c>
      <c r="D379" s="2">
        <v>44128</v>
      </c>
      <c r="E379">
        <v>7488944494</v>
      </c>
      <c r="F379" t="s">
        <v>1386</v>
      </c>
      <c r="G379">
        <v>0</v>
      </c>
      <c r="H379">
        <v>752</v>
      </c>
      <c r="I379">
        <f t="shared" si="22"/>
        <v>887.3599999999999</v>
      </c>
      <c r="J379" t="s">
        <v>1388</v>
      </c>
      <c r="K379" t="s">
        <v>1387</v>
      </c>
    </row>
    <row r="380" spans="1:12">
      <c r="A380" t="s">
        <v>1063</v>
      </c>
      <c r="B380" t="s">
        <v>278</v>
      </c>
      <c r="C380" s="20" t="s">
        <v>1413</v>
      </c>
      <c r="D380" s="2">
        <v>44131</v>
      </c>
      <c r="E380">
        <v>9031709707</v>
      </c>
      <c r="F380" t="s">
        <v>462</v>
      </c>
      <c r="G380">
        <v>0</v>
      </c>
      <c r="H380">
        <v>752</v>
      </c>
      <c r="I380">
        <f t="shared" si="22"/>
        <v>887.3599999999999</v>
      </c>
      <c r="J380" t="s">
        <v>1411</v>
      </c>
      <c r="K380" t="s">
        <v>1412</v>
      </c>
    </row>
    <row r="381" spans="1:12">
      <c r="A381" t="s">
        <v>978</v>
      </c>
      <c r="B381" t="s">
        <v>979</v>
      </c>
      <c r="C381" s="20">
        <v>6.0732202347010304E+17</v>
      </c>
      <c r="D381" s="2">
        <v>44131</v>
      </c>
      <c r="E381">
        <v>7209356266</v>
      </c>
      <c r="F381" t="s">
        <v>1414</v>
      </c>
      <c r="G381">
        <v>0</v>
      </c>
      <c r="H381">
        <v>3221</v>
      </c>
      <c r="I381">
        <f t="shared" si="22"/>
        <v>3800.7799999999997</v>
      </c>
      <c r="J381" t="s">
        <v>1415</v>
      </c>
      <c r="K381" t="s">
        <v>524</v>
      </c>
    </row>
    <row r="382" spans="1:12">
      <c r="A382" t="s">
        <v>1063</v>
      </c>
      <c r="B382" t="s">
        <v>481</v>
      </c>
      <c r="C382" s="20" t="s">
        <v>1408</v>
      </c>
      <c r="D382" s="2">
        <v>44132</v>
      </c>
      <c r="E382">
        <v>9234590344</v>
      </c>
      <c r="F382" t="s">
        <v>1409</v>
      </c>
      <c r="G382">
        <v>91</v>
      </c>
      <c r="H382">
        <v>752</v>
      </c>
      <c r="I382">
        <f>(G382+H382)*1.18</f>
        <v>994.7399999999999</v>
      </c>
      <c r="J382" t="s">
        <v>1322</v>
      </c>
      <c r="K382" t="s">
        <v>1410</v>
      </c>
    </row>
    <row r="383" spans="1:12">
      <c r="A383" t="s">
        <v>1063</v>
      </c>
      <c r="B383" t="s">
        <v>278</v>
      </c>
      <c r="C383" s="20" t="s">
        <v>1398</v>
      </c>
      <c r="D383" s="2">
        <v>44132</v>
      </c>
      <c r="E383">
        <v>8092875516</v>
      </c>
      <c r="F383" t="s">
        <v>1399</v>
      </c>
      <c r="G383">
        <v>0</v>
      </c>
      <c r="H383">
        <v>752</v>
      </c>
      <c r="I383">
        <f t="shared" si="22"/>
        <v>887.3599999999999</v>
      </c>
      <c r="J383" t="s">
        <v>1401</v>
      </c>
      <c r="K383" t="s">
        <v>1400</v>
      </c>
    </row>
    <row r="384" spans="1:12">
      <c r="A384" t="s">
        <v>1063</v>
      </c>
      <c r="B384" t="s">
        <v>278</v>
      </c>
      <c r="C384" s="20" t="s">
        <v>1395</v>
      </c>
      <c r="D384" s="2">
        <v>44132</v>
      </c>
      <c r="E384">
        <v>8002248388</v>
      </c>
      <c r="F384" t="s">
        <v>1396</v>
      </c>
      <c r="G384">
        <v>0</v>
      </c>
      <c r="H384">
        <v>752</v>
      </c>
      <c r="I384">
        <f t="shared" si="22"/>
        <v>887.3599999999999</v>
      </c>
      <c r="J384" t="s">
        <v>402</v>
      </c>
      <c r="K384" t="s">
        <v>1397</v>
      </c>
    </row>
    <row r="385" spans="1:13">
      <c r="A385" t="s">
        <v>1063</v>
      </c>
      <c r="B385" t="s">
        <v>278</v>
      </c>
      <c r="C385" s="20" t="s">
        <v>1402</v>
      </c>
      <c r="D385" s="2">
        <v>44132</v>
      </c>
      <c r="E385">
        <v>7023905858</v>
      </c>
      <c r="F385" t="s">
        <v>1403</v>
      </c>
      <c r="G385">
        <v>0</v>
      </c>
      <c r="H385">
        <v>752</v>
      </c>
      <c r="I385">
        <f t="shared" si="22"/>
        <v>887.3599999999999</v>
      </c>
      <c r="J385" t="s">
        <v>1405</v>
      </c>
      <c r="K385" t="s">
        <v>1406</v>
      </c>
    </row>
    <row r="386" spans="1:13">
      <c r="A386" t="s">
        <v>1063</v>
      </c>
      <c r="B386" t="s">
        <v>278</v>
      </c>
      <c r="C386" s="20" t="s">
        <v>1407</v>
      </c>
      <c r="D386" s="2">
        <v>44132</v>
      </c>
      <c r="E386">
        <v>6299590154</v>
      </c>
      <c r="F386" t="s">
        <v>1342</v>
      </c>
      <c r="G386">
        <v>0</v>
      </c>
      <c r="H386">
        <v>752</v>
      </c>
      <c r="I386">
        <f t="shared" si="22"/>
        <v>887.3599999999999</v>
      </c>
      <c r="J386" t="s">
        <v>445</v>
      </c>
      <c r="K386" t="s">
        <v>1404</v>
      </c>
    </row>
    <row r="387" spans="1:13">
      <c r="A387" t="s">
        <v>1063</v>
      </c>
      <c r="B387" t="s">
        <v>278</v>
      </c>
      <c r="C387" s="20" t="s">
        <v>1417</v>
      </c>
      <c r="D387" s="2">
        <v>44133</v>
      </c>
      <c r="E387">
        <v>9931335705</v>
      </c>
      <c r="F387" t="s">
        <v>1418</v>
      </c>
      <c r="G387">
        <v>0</v>
      </c>
      <c r="H387">
        <v>752</v>
      </c>
      <c r="I387">
        <f t="shared" si="22"/>
        <v>887.3599999999999</v>
      </c>
      <c r="J387" t="s">
        <v>1322</v>
      </c>
      <c r="K387" t="s">
        <v>1419</v>
      </c>
    </row>
    <row r="388" spans="1:13">
      <c r="A388" t="s">
        <v>1063</v>
      </c>
      <c r="B388" t="s">
        <v>278</v>
      </c>
      <c r="C388" s="20" t="s">
        <v>1420</v>
      </c>
      <c r="D388" s="2">
        <v>44133</v>
      </c>
      <c r="E388">
        <v>8709686098</v>
      </c>
      <c r="F388" t="s">
        <v>1421</v>
      </c>
      <c r="G388">
        <v>0</v>
      </c>
      <c r="H388">
        <v>752</v>
      </c>
      <c r="I388">
        <f t="shared" si="22"/>
        <v>887.3599999999999</v>
      </c>
      <c r="J388" t="s">
        <v>1422</v>
      </c>
      <c r="K388" t="s">
        <v>1423</v>
      </c>
    </row>
    <row r="389" spans="1:13">
      <c r="A389" t="s">
        <v>1063</v>
      </c>
      <c r="B389" t="s">
        <v>278</v>
      </c>
      <c r="C389" s="20" t="s">
        <v>1424</v>
      </c>
      <c r="D389" s="2">
        <v>44134</v>
      </c>
      <c r="E389">
        <v>9507188858</v>
      </c>
      <c r="F389" t="s">
        <v>1425</v>
      </c>
      <c r="G389">
        <v>0</v>
      </c>
      <c r="H389">
        <v>752</v>
      </c>
      <c r="I389">
        <f t="shared" si="22"/>
        <v>887.3599999999999</v>
      </c>
      <c r="J389" t="s">
        <v>1322</v>
      </c>
      <c r="K389" t="s">
        <v>1426</v>
      </c>
    </row>
    <row r="390" spans="1:13">
      <c r="A390" t="s">
        <v>1063</v>
      </c>
      <c r="B390" t="s">
        <v>278</v>
      </c>
      <c r="C390" s="20" t="s">
        <v>1430</v>
      </c>
      <c r="D390" s="2">
        <v>44134</v>
      </c>
      <c r="E390">
        <v>9999994767</v>
      </c>
      <c r="F390" t="s">
        <v>1427</v>
      </c>
      <c r="G390">
        <v>0</v>
      </c>
      <c r="H390">
        <v>752</v>
      </c>
      <c r="I390">
        <f t="shared" si="22"/>
        <v>887.3599999999999</v>
      </c>
      <c r="J390" t="s">
        <v>1429</v>
      </c>
      <c r="K390" t="s">
        <v>1428</v>
      </c>
    </row>
    <row r="391" spans="1:13">
      <c r="A391" t="s">
        <v>1063</v>
      </c>
      <c r="B391" t="s">
        <v>278</v>
      </c>
      <c r="C391" s="20" t="s">
        <v>1433</v>
      </c>
      <c r="D391" s="2">
        <v>44134</v>
      </c>
      <c r="E391">
        <v>9999994767</v>
      </c>
      <c r="F391" t="s">
        <v>1431</v>
      </c>
      <c r="G391">
        <v>0</v>
      </c>
      <c r="H391">
        <v>752</v>
      </c>
      <c r="I391">
        <f t="shared" si="22"/>
        <v>887.3599999999999</v>
      </c>
      <c r="J391" t="s">
        <v>1129</v>
      </c>
      <c r="K391" t="s">
        <v>1432</v>
      </c>
    </row>
    <row r="392" spans="1:13">
      <c r="A392" t="s">
        <v>1063</v>
      </c>
      <c r="B392" t="s">
        <v>278</v>
      </c>
      <c r="C392" s="20" t="s">
        <v>1436</v>
      </c>
      <c r="D392" s="2">
        <v>44135</v>
      </c>
      <c r="E392" s="20">
        <v>9431524098</v>
      </c>
      <c r="F392" t="s">
        <v>1434</v>
      </c>
      <c r="G392">
        <v>0</v>
      </c>
      <c r="H392">
        <v>752</v>
      </c>
      <c r="I392">
        <f t="shared" si="22"/>
        <v>887.3599999999999</v>
      </c>
      <c r="J392" t="s">
        <v>603</v>
      </c>
      <c r="K392" t="s">
        <v>1435</v>
      </c>
      <c r="M392" s="1">
        <v>0</v>
      </c>
    </row>
    <row r="393" spans="1:13">
      <c r="A393" t="s">
        <v>1064</v>
      </c>
      <c r="B393" t="s">
        <v>278</v>
      </c>
      <c r="C393" s="20" t="s">
        <v>1437</v>
      </c>
      <c r="D393" s="2">
        <v>44135</v>
      </c>
      <c r="E393">
        <v>9999994767</v>
      </c>
      <c r="F393" t="s">
        <v>1438</v>
      </c>
      <c r="G393">
        <v>0</v>
      </c>
      <c r="H393">
        <v>3221</v>
      </c>
      <c r="I393">
        <f t="shared" si="22"/>
        <v>3800.7799999999997</v>
      </c>
      <c r="J393" t="s">
        <v>1317</v>
      </c>
      <c r="K393" t="s">
        <v>1447</v>
      </c>
      <c r="M393" s="1">
        <v>0</v>
      </c>
    </row>
    <row r="394" spans="1:13">
      <c r="A394" t="s">
        <v>1063</v>
      </c>
      <c r="B394" t="s">
        <v>278</v>
      </c>
      <c r="C394" s="20" t="s">
        <v>1446</v>
      </c>
      <c r="D394" s="2">
        <v>44135</v>
      </c>
      <c r="E394">
        <v>7488599397</v>
      </c>
      <c r="F394" t="s">
        <v>1443</v>
      </c>
      <c r="G394">
        <v>0</v>
      </c>
      <c r="H394">
        <v>752</v>
      </c>
      <c r="I394">
        <f t="shared" si="22"/>
        <v>887.3599999999999</v>
      </c>
      <c r="J394" t="s">
        <v>1445</v>
      </c>
      <c r="K394" t="s">
        <v>1444</v>
      </c>
      <c r="M394" s="1">
        <v>115</v>
      </c>
    </row>
    <row r="395" spans="1:13" ht="23.4">
      <c r="A395" s="44">
        <f>COUNTIF($A358:$A394,"Bajaj2")</f>
        <v>32</v>
      </c>
      <c r="B395" s="44">
        <f>COUNTIF($A358:$A394,"Bajaj4")</f>
        <v>3</v>
      </c>
      <c r="C395" s="44"/>
      <c r="D395" s="44"/>
      <c r="E395" s="44"/>
      <c r="F395" s="44">
        <f>SUMIF(A358:A394,"Bajaj4",H358:H394)</f>
        <v>9663</v>
      </c>
      <c r="G395" s="44">
        <f>SUMIF(A358:A394,"Bajaj2",G358:G394)</f>
        <v>91</v>
      </c>
      <c r="H395" s="44">
        <f>SUMIF($A358:$A394,"Bajaj2",H358:H394)</f>
        <v>24843</v>
      </c>
      <c r="I395" s="44">
        <f>G395+H395</f>
        <v>24934</v>
      </c>
      <c r="J395" s="44">
        <f>I395*IF(A395&lt;3,0.025,IF(A395&lt;6,0.075,IF(A395&lt;11,0.1,IF(A395&lt;51,0.15,0.2))))+F395*IF(B395&lt;3,0.05,0.1)</f>
        <v>4706.3999999999996</v>
      </c>
      <c r="K395" s="44">
        <f>J395*0.95</f>
        <v>4471.079999999999</v>
      </c>
      <c r="L395" s="44">
        <f>SUM(L358:L394)</f>
        <v>1198</v>
      </c>
    </row>
    <row r="396" spans="1:13">
      <c r="F396">
        <f>F395*IF(B395&lt;3,0.05,0.1)</f>
        <v>966.30000000000007</v>
      </c>
      <c r="G396">
        <f>G361*15/100</f>
        <v>842.55</v>
      </c>
    </row>
    <row r="400" spans="1:13">
      <c r="A400" t="s">
        <v>1063</v>
      </c>
      <c r="B400" t="s">
        <v>278</v>
      </c>
      <c r="C400" s="20" t="s">
        <v>1442</v>
      </c>
      <c r="D400" s="2">
        <v>44136</v>
      </c>
      <c r="E400">
        <v>9031966005</v>
      </c>
      <c r="F400" t="s">
        <v>1440</v>
      </c>
      <c r="G400">
        <v>0</v>
      </c>
      <c r="H400">
        <v>752</v>
      </c>
      <c r="I400">
        <f t="shared" ref="I400:I421" si="23">(G400+H400)*1.18</f>
        <v>887.3599999999999</v>
      </c>
      <c r="J400" t="s">
        <v>1441</v>
      </c>
      <c r="K400" s="28" t="s">
        <v>1439</v>
      </c>
      <c r="L400">
        <f>(G400*1.5/100)+(H400*2.5/100)</f>
        <v>18.8</v>
      </c>
      <c r="M400" s="1">
        <v>18</v>
      </c>
    </row>
    <row r="401" spans="1:14">
      <c r="A401" t="s">
        <v>1063</v>
      </c>
      <c r="B401" t="s">
        <v>481</v>
      </c>
      <c r="C401" s="3" t="s">
        <v>1448</v>
      </c>
      <c r="D401" s="2">
        <v>44137</v>
      </c>
      <c r="E401">
        <v>9162776363</v>
      </c>
      <c r="F401" t="s">
        <v>1449</v>
      </c>
      <c r="G401">
        <v>326</v>
      </c>
      <c r="H401">
        <v>752</v>
      </c>
      <c r="I401">
        <f t="shared" si="23"/>
        <v>1272.04</v>
      </c>
      <c r="J401" t="s">
        <v>1451</v>
      </c>
      <c r="K401" t="s">
        <v>1450</v>
      </c>
      <c r="L401">
        <f>(G401*16.5/100)</f>
        <v>53.79</v>
      </c>
      <c r="M401" s="115">
        <f>SUM(L401:L403)</f>
        <v>91.39</v>
      </c>
    </row>
    <row r="402" spans="1:14">
      <c r="A402" t="s">
        <v>1063</v>
      </c>
      <c r="B402" t="s">
        <v>278</v>
      </c>
      <c r="C402" s="20" t="s">
        <v>1454</v>
      </c>
      <c r="D402" s="2">
        <v>44137</v>
      </c>
      <c r="E402">
        <v>9031950201</v>
      </c>
      <c r="F402" t="s">
        <v>1452</v>
      </c>
      <c r="G402">
        <v>0</v>
      </c>
      <c r="H402">
        <v>752</v>
      </c>
      <c r="I402">
        <f t="shared" si="23"/>
        <v>887.3599999999999</v>
      </c>
      <c r="J402" t="s">
        <v>811</v>
      </c>
      <c r="K402" t="s">
        <v>1453</v>
      </c>
      <c r="L402">
        <f t="shared" ref="L402:L403" si="24">(G402*1.5/100)+(H402*2.5/100)</f>
        <v>18.8</v>
      </c>
      <c r="M402" s="115"/>
    </row>
    <row r="403" spans="1:14">
      <c r="A403" t="s">
        <v>1063</v>
      </c>
      <c r="B403" t="s">
        <v>278</v>
      </c>
      <c r="C403" s="20" t="s">
        <v>1457</v>
      </c>
      <c r="D403" s="2">
        <v>44137</v>
      </c>
      <c r="E403">
        <v>6203311349</v>
      </c>
      <c r="F403" t="s">
        <v>1456</v>
      </c>
      <c r="G403">
        <v>0</v>
      </c>
      <c r="H403">
        <v>752</v>
      </c>
      <c r="I403">
        <f t="shared" si="23"/>
        <v>887.3599999999999</v>
      </c>
      <c r="K403" t="s">
        <v>1455</v>
      </c>
      <c r="L403">
        <f t="shared" si="24"/>
        <v>18.8</v>
      </c>
      <c r="M403" s="115"/>
      <c r="N403">
        <v>91</v>
      </c>
    </row>
    <row r="404" spans="1:14">
      <c r="A404" t="s">
        <v>1063</v>
      </c>
      <c r="B404" t="s">
        <v>481</v>
      </c>
      <c r="C404" s="20" t="s">
        <v>1461</v>
      </c>
      <c r="D404" s="2">
        <v>44139</v>
      </c>
      <c r="E404">
        <v>9944844105</v>
      </c>
      <c r="F404" t="s">
        <v>1458</v>
      </c>
      <c r="G404">
        <v>517</v>
      </c>
      <c r="H404">
        <v>752</v>
      </c>
      <c r="I404">
        <f t="shared" si="23"/>
        <v>1497.4199999999998</v>
      </c>
      <c r="J404" t="s">
        <v>1460</v>
      </c>
      <c r="K404" t="s">
        <v>1459</v>
      </c>
      <c r="L404">
        <f>G404*18.5/100</f>
        <v>95.644999999999996</v>
      </c>
      <c r="M404" s="1">
        <v>113</v>
      </c>
    </row>
    <row r="405" spans="1:14">
      <c r="A405" t="s">
        <v>1063</v>
      </c>
      <c r="B405" t="s">
        <v>979</v>
      </c>
      <c r="C405" s="20" t="s">
        <v>1464</v>
      </c>
      <c r="D405" s="2">
        <v>44141</v>
      </c>
      <c r="E405">
        <v>9931145822</v>
      </c>
      <c r="F405" t="s">
        <v>1462</v>
      </c>
      <c r="G405">
        <v>0</v>
      </c>
      <c r="H405">
        <v>752</v>
      </c>
      <c r="I405">
        <f t="shared" si="23"/>
        <v>887.3599999999999</v>
      </c>
      <c r="J405" t="s">
        <v>811</v>
      </c>
      <c r="K405" t="s">
        <v>1463</v>
      </c>
      <c r="L405">
        <v>18</v>
      </c>
      <c r="M405" s="1">
        <v>0</v>
      </c>
    </row>
    <row r="406" spans="1:14">
      <c r="A406" t="s">
        <v>1063</v>
      </c>
      <c r="B406" t="s">
        <v>979</v>
      </c>
      <c r="C406" s="20" t="s">
        <v>1467</v>
      </c>
      <c r="D406" s="2">
        <v>44141</v>
      </c>
      <c r="F406" t="s">
        <v>1465</v>
      </c>
      <c r="G406">
        <v>0</v>
      </c>
      <c r="H406">
        <v>752</v>
      </c>
      <c r="I406">
        <f t="shared" si="23"/>
        <v>887.3599999999999</v>
      </c>
      <c r="J406" t="s">
        <v>811</v>
      </c>
      <c r="K406" t="s">
        <v>1466</v>
      </c>
      <c r="L406">
        <v>18</v>
      </c>
      <c r="M406" s="1">
        <v>37</v>
      </c>
    </row>
    <row r="407" spans="1:14">
      <c r="A407" t="s">
        <v>1063</v>
      </c>
      <c r="B407" t="s">
        <v>979</v>
      </c>
      <c r="C407" s="20" t="s">
        <v>1468</v>
      </c>
      <c r="D407" s="2">
        <v>44142</v>
      </c>
      <c r="E407">
        <v>8797464037</v>
      </c>
      <c r="F407" t="s">
        <v>1469</v>
      </c>
      <c r="G407">
        <v>0</v>
      </c>
      <c r="H407">
        <v>752</v>
      </c>
      <c r="I407">
        <f t="shared" si="23"/>
        <v>887.3599999999999</v>
      </c>
      <c r="J407" t="s">
        <v>445</v>
      </c>
      <c r="K407" t="s">
        <v>1470</v>
      </c>
      <c r="L407">
        <v>18</v>
      </c>
      <c r="M407" s="1">
        <v>18</v>
      </c>
    </row>
    <row r="408" spans="1:14">
      <c r="A408" t="s">
        <v>1063</v>
      </c>
      <c r="B408" t="s">
        <v>979</v>
      </c>
      <c r="C408" s="20" t="s">
        <v>1471</v>
      </c>
      <c r="D408" s="2">
        <v>44144</v>
      </c>
      <c r="E408">
        <v>9204541220</v>
      </c>
      <c r="F408" t="s">
        <v>1472</v>
      </c>
      <c r="G408">
        <v>0</v>
      </c>
      <c r="H408">
        <v>752</v>
      </c>
      <c r="I408">
        <f t="shared" si="23"/>
        <v>887.3599999999999</v>
      </c>
      <c r="J408" t="s">
        <v>1044</v>
      </c>
      <c r="K408" t="s">
        <v>1473</v>
      </c>
      <c r="L408">
        <v>18</v>
      </c>
      <c r="M408" s="1">
        <v>18</v>
      </c>
    </row>
    <row r="409" spans="1:14">
      <c r="A409" t="s">
        <v>1063</v>
      </c>
      <c r="B409" t="s">
        <v>481</v>
      </c>
      <c r="C409" s="20" t="s">
        <v>1476</v>
      </c>
      <c r="D409" s="2">
        <v>44145</v>
      </c>
      <c r="E409">
        <v>8235238981</v>
      </c>
      <c r="F409" t="s">
        <v>1474</v>
      </c>
      <c r="G409">
        <v>296</v>
      </c>
      <c r="H409">
        <v>752</v>
      </c>
      <c r="I409">
        <f t="shared" si="23"/>
        <v>1236.6399999999999</v>
      </c>
      <c r="J409" t="s">
        <v>614</v>
      </c>
      <c r="K409" t="s">
        <v>1475</v>
      </c>
      <c r="L409">
        <f t="shared" ref="L409:L410" si="25">G409*16.5/100</f>
        <v>48.84</v>
      </c>
    </row>
    <row r="410" spans="1:14">
      <c r="A410" t="s">
        <v>1063</v>
      </c>
      <c r="B410" t="s">
        <v>481</v>
      </c>
      <c r="C410" s="20" t="s">
        <v>1479</v>
      </c>
      <c r="D410" s="2">
        <v>44145</v>
      </c>
      <c r="E410">
        <v>9031982071</v>
      </c>
      <c r="F410" t="s">
        <v>1477</v>
      </c>
      <c r="G410">
        <v>425</v>
      </c>
      <c r="H410">
        <v>702</v>
      </c>
      <c r="I410">
        <f t="shared" si="23"/>
        <v>1329.86</v>
      </c>
      <c r="J410" t="s">
        <v>402</v>
      </c>
      <c r="K410" t="s">
        <v>1478</v>
      </c>
      <c r="L410">
        <f t="shared" si="25"/>
        <v>70.125</v>
      </c>
      <c r="M410" s="1">
        <v>140</v>
      </c>
    </row>
    <row r="411" spans="1:14">
      <c r="A411" t="s">
        <v>1063</v>
      </c>
      <c r="B411" t="s">
        <v>979</v>
      </c>
      <c r="C411" s="20" t="s">
        <v>1488</v>
      </c>
      <c r="D411" s="2">
        <v>44147</v>
      </c>
      <c r="E411">
        <v>8252732844</v>
      </c>
      <c r="F411" t="s">
        <v>1485</v>
      </c>
      <c r="G411">
        <v>0</v>
      </c>
      <c r="H411">
        <v>752</v>
      </c>
      <c r="I411">
        <f t="shared" si="23"/>
        <v>887.3599999999999</v>
      </c>
      <c r="J411" t="s">
        <v>1487</v>
      </c>
      <c r="K411" t="s">
        <v>1486</v>
      </c>
      <c r="L411">
        <v>18</v>
      </c>
      <c r="M411" s="1">
        <v>18</v>
      </c>
    </row>
    <row r="412" spans="1:14">
      <c r="A412" t="s">
        <v>1063</v>
      </c>
      <c r="B412" t="s">
        <v>979</v>
      </c>
      <c r="C412" s="20" t="s">
        <v>1484</v>
      </c>
      <c r="D412" s="2">
        <v>44148</v>
      </c>
      <c r="E412">
        <v>9835760251</v>
      </c>
      <c r="F412" t="s">
        <v>1483</v>
      </c>
      <c r="G412">
        <v>0</v>
      </c>
      <c r="H412">
        <v>752</v>
      </c>
      <c r="I412">
        <f t="shared" si="23"/>
        <v>887.3599999999999</v>
      </c>
      <c r="J412" t="s">
        <v>1481</v>
      </c>
      <c r="K412" t="s">
        <v>1482</v>
      </c>
      <c r="L412">
        <v>18</v>
      </c>
      <c r="M412" s="1">
        <v>18</v>
      </c>
    </row>
    <row r="413" spans="1:14">
      <c r="A413" t="s">
        <v>1063</v>
      </c>
      <c r="B413" t="s">
        <v>979</v>
      </c>
      <c r="C413" s="20" t="s">
        <v>1490</v>
      </c>
      <c r="D413" s="2">
        <v>44150</v>
      </c>
      <c r="E413">
        <v>9162165941</v>
      </c>
      <c r="F413" t="s">
        <v>1491</v>
      </c>
      <c r="G413">
        <v>0</v>
      </c>
      <c r="H413">
        <v>752</v>
      </c>
      <c r="I413">
        <f t="shared" si="23"/>
        <v>887.3599999999999</v>
      </c>
      <c r="J413" t="s">
        <v>534</v>
      </c>
      <c r="K413" t="s">
        <v>1492</v>
      </c>
      <c r="L413">
        <v>18</v>
      </c>
      <c r="M413" s="1">
        <v>18</v>
      </c>
    </row>
    <row r="414" spans="1:14">
      <c r="A414" t="s">
        <v>1063</v>
      </c>
      <c r="B414" t="s">
        <v>979</v>
      </c>
      <c r="C414" s="20" t="s">
        <v>1497</v>
      </c>
      <c r="D414" s="2">
        <v>44152</v>
      </c>
      <c r="E414">
        <v>6201915584</v>
      </c>
      <c r="F414" t="s">
        <v>1495</v>
      </c>
      <c r="G414">
        <v>0</v>
      </c>
      <c r="H414">
        <v>752</v>
      </c>
      <c r="I414">
        <f t="shared" si="23"/>
        <v>887.3599999999999</v>
      </c>
      <c r="J414" t="s">
        <v>445</v>
      </c>
      <c r="K414" t="s">
        <v>1496</v>
      </c>
      <c r="L414">
        <v>18</v>
      </c>
      <c r="M414" s="1">
        <v>18</v>
      </c>
    </row>
    <row r="415" spans="1:14">
      <c r="A415" t="s">
        <v>1063</v>
      </c>
      <c r="B415" t="s">
        <v>979</v>
      </c>
      <c r="C415" s="20" t="s">
        <v>1498</v>
      </c>
      <c r="D415" s="2">
        <v>44157</v>
      </c>
      <c r="E415">
        <v>9162165941</v>
      </c>
      <c r="F415" t="s">
        <v>1499</v>
      </c>
      <c r="G415">
        <v>0</v>
      </c>
      <c r="H415">
        <v>752</v>
      </c>
      <c r="I415">
        <f t="shared" si="23"/>
        <v>887.3599999999999</v>
      </c>
      <c r="J415" t="s">
        <v>534</v>
      </c>
      <c r="K415" t="s">
        <v>1500</v>
      </c>
    </row>
    <row r="416" spans="1:14">
      <c r="A416" t="s">
        <v>1064</v>
      </c>
      <c r="B416" t="s">
        <v>278</v>
      </c>
      <c r="C416" s="20" t="s">
        <v>1506</v>
      </c>
      <c r="D416" s="2">
        <v>44159</v>
      </c>
      <c r="E416">
        <v>9234554933</v>
      </c>
      <c r="F416" t="s">
        <v>541</v>
      </c>
      <c r="G416">
        <v>0</v>
      </c>
      <c r="H416">
        <v>2072</v>
      </c>
      <c r="I416">
        <f t="shared" si="23"/>
        <v>2444.96</v>
      </c>
      <c r="J416" t="s">
        <v>569</v>
      </c>
      <c r="K416" t="s">
        <v>1505</v>
      </c>
    </row>
    <row r="417" spans="1:13">
      <c r="A417" t="s">
        <v>1063</v>
      </c>
      <c r="B417" t="s">
        <v>278</v>
      </c>
      <c r="C417" s="20" t="s">
        <v>1509</v>
      </c>
      <c r="D417" s="2">
        <v>44159</v>
      </c>
      <c r="E417">
        <v>8083558255</v>
      </c>
      <c r="F417" t="s">
        <v>1507</v>
      </c>
      <c r="G417">
        <v>0</v>
      </c>
      <c r="H417">
        <v>752</v>
      </c>
      <c r="I417">
        <f t="shared" si="23"/>
        <v>887.3599999999999</v>
      </c>
      <c r="J417" t="s">
        <v>402</v>
      </c>
      <c r="K417" t="s">
        <v>1508</v>
      </c>
    </row>
    <row r="418" spans="1:13">
      <c r="A418" t="s">
        <v>1063</v>
      </c>
      <c r="B418" t="s">
        <v>278</v>
      </c>
      <c r="C418" s="20" t="s">
        <v>1512</v>
      </c>
      <c r="D418" s="2">
        <v>44159</v>
      </c>
      <c r="E418">
        <v>7903911983</v>
      </c>
      <c r="F418" t="s">
        <v>1510</v>
      </c>
      <c r="G418">
        <v>0</v>
      </c>
      <c r="H418">
        <v>752</v>
      </c>
      <c r="I418">
        <f t="shared" si="23"/>
        <v>887.3599999999999</v>
      </c>
      <c r="J418" t="s">
        <v>1087</v>
      </c>
      <c r="K418" t="s">
        <v>1511</v>
      </c>
    </row>
    <row r="419" spans="1:13">
      <c r="A419" t="s">
        <v>1063</v>
      </c>
      <c r="B419" t="s">
        <v>278</v>
      </c>
      <c r="C419" s="20" t="s">
        <v>1519</v>
      </c>
      <c r="D419" s="2">
        <v>44161</v>
      </c>
      <c r="E419">
        <v>8434040389</v>
      </c>
      <c r="F419" t="s">
        <v>1517</v>
      </c>
      <c r="G419">
        <v>745</v>
      </c>
      <c r="H419">
        <v>752</v>
      </c>
      <c r="I419">
        <f t="shared" si="23"/>
        <v>1766.4599999999998</v>
      </c>
      <c r="J419" t="s">
        <v>402</v>
      </c>
      <c r="K419" t="s">
        <v>1518</v>
      </c>
    </row>
    <row r="420" spans="1:13">
      <c r="A420" t="s">
        <v>1063</v>
      </c>
      <c r="B420" t="s">
        <v>278</v>
      </c>
      <c r="C420" s="3" t="s">
        <v>1516</v>
      </c>
      <c r="D420" s="2">
        <v>44163</v>
      </c>
      <c r="E420">
        <v>8434671734</v>
      </c>
      <c r="F420" t="s">
        <v>1513</v>
      </c>
      <c r="G420">
        <v>0</v>
      </c>
      <c r="H420">
        <v>752</v>
      </c>
      <c r="I420">
        <f t="shared" si="23"/>
        <v>887.3599999999999</v>
      </c>
      <c r="J420" t="s">
        <v>1515</v>
      </c>
      <c r="K420" t="s">
        <v>1514</v>
      </c>
      <c r="M420"/>
    </row>
    <row r="421" spans="1:13">
      <c r="A421" t="s">
        <v>1064</v>
      </c>
      <c r="B421" t="s">
        <v>278</v>
      </c>
      <c r="C421" s="3" t="s">
        <v>1523</v>
      </c>
      <c r="D421" s="2">
        <v>44164</v>
      </c>
      <c r="E421">
        <v>8235001988</v>
      </c>
      <c r="F421" t="s">
        <v>1520</v>
      </c>
      <c r="G421">
        <v>0</v>
      </c>
      <c r="H421">
        <v>3221</v>
      </c>
      <c r="I421">
        <f t="shared" si="23"/>
        <v>3800.7799999999997</v>
      </c>
      <c r="J421" t="s">
        <v>1522</v>
      </c>
      <c r="K421" t="s">
        <v>1521</v>
      </c>
      <c r="L421">
        <f>(H421*0.025)*0.95</f>
        <v>76.498750000000001</v>
      </c>
      <c r="M421">
        <v>78</v>
      </c>
    </row>
    <row r="423" spans="1:13" ht="23.4">
      <c r="A423" s="44">
        <f>COUNTIF($A400:$A422,"Bajaj2")</f>
        <v>20</v>
      </c>
      <c r="B423" s="44">
        <f>COUNTIF($A400:$A422,"Bajaj4")</f>
        <v>2</v>
      </c>
      <c r="C423" s="44"/>
      <c r="D423" s="44"/>
      <c r="E423" s="44"/>
      <c r="F423" s="44">
        <f>SUMIF(A400:A422,"Bajaj4",H400:H422)</f>
        <v>5293</v>
      </c>
      <c r="G423" s="44">
        <f>SUMIF(A400:A422,"Bajaj2",G369:G422)</f>
        <v>91</v>
      </c>
      <c r="H423" s="44">
        <f>SUMIF($A400:$A422,"Bajaj2",H400:H422)</f>
        <v>14990</v>
      </c>
      <c r="I423" s="44">
        <f>G423+H423</f>
        <v>15081</v>
      </c>
      <c r="J423" s="44">
        <f>I423*IF(A423&lt;3,0.025,IF(A423&lt;6,0.075,IF(A423&lt;11,0.1,IF(A423&lt;51,0.15,0.2))))+F423*IF(B423&lt;3,0.05,0.1)</f>
        <v>2526.8000000000002</v>
      </c>
      <c r="K423" s="44">
        <f>J423*0.95</f>
        <v>2400.46</v>
      </c>
      <c r="L423" s="44">
        <f>SUM(L400:L422)</f>
        <v>545.29874999999993</v>
      </c>
      <c r="M423" s="44">
        <f>SUM(M400:M422)</f>
        <v>585.39</v>
      </c>
    </row>
    <row r="424" spans="1:13">
      <c r="F424">
        <f>F423*IF(B423&lt;3,0.05,0.1)</f>
        <v>264.65000000000003</v>
      </c>
    </row>
    <row r="427" spans="1:13">
      <c r="A427" t="s">
        <v>1132</v>
      </c>
      <c r="B427" t="s">
        <v>278</v>
      </c>
      <c r="C427" s="20" t="s">
        <v>910</v>
      </c>
      <c r="D427" s="2">
        <v>44173</v>
      </c>
      <c r="F427" t="s">
        <v>1544</v>
      </c>
      <c r="G427">
        <v>0</v>
      </c>
      <c r="H427">
        <v>752</v>
      </c>
      <c r="I427">
        <f t="shared" ref="I427:I437" si="26">(G427+H427)*1.18</f>
        <v>887.3599999999999</v>
      </c>
      <c r="J427" t="s">
        <v>1546</v>
      </c>
      <c r="K427" t="s">
        <v>1545</v>
      </c>
      <c r="L427">
        <v>18</v>
      </c>
      <c r="M427" s="1">
        <f t="shared" ref="M427:M437" si="27">H427*2.5/100</f>
        <v>18.8</v>
      </c>
    </row>
    <row r="428" spans="1:13">
      <c r="A428" t="s">
        <v>1132</v>
      </c>
      <c r="B428" t="s">
        <v>278</v>
      </c>
      <c r="C428" s="20" t="s">
        <v>1547</v>
      </c>
      <c r="D428" s="2">
        <v>44174</v>
      </c>
      <c r="E428">
        <v>9031737893</v>
      </c>
      <c r="F428" t="s">
        <v>698</v>
      </c>
      <c r="G428">
        <v>0</v>
      </c>
      <c r="H428">
        <v>752</v>
      </c>
      <c r="I428">
        <f t="shared" si="26"/>
        <v>887.3599999999999</v>
      </c>
      <c r="J428" t="s">
        <v>1549</v>
      </c>
      <c r="K428" t="s">
        <v>1548</v>
      </c>
      <c r="L428">
        <v>18</v>
      </c>
      <c r="M428" s="1">
        <f t="shared" si="27"/>
        <v>18.8</v>
      </c>
    </row>
    <row r="429" spans="1:13">
      <c r="A429" t="s">
        <v>1132</v>
      </c>
      <c r="B429" t="s">
        <v>278</v>
      </c>
      <c r="C429" s="20" t="s">
        <v>1551</v>
      </c>
      <c r="D429" s="2">
        <v>44173</v>
      </c>
      <c r="E429">
        <v>7762822844</v>
      </c>
      <c r="F429" t="s">
        <v>1550</v>
      </c>
      <c r="G429">
        <v>0</v>
      </c>
      <c r="H429">
        <v>752</v>
      </c>
      <c r="I429">
        <f t="shared" si="26"/>
        <v>887.3599999999999</v>
      </c>
      <c r="J429" t="s">
        <v>811</v>
      </c>
      <c r="K429" t="s">
        <v>810</v>
      </c>
      <c r="L429">
        <v>18</v>
      </c>
      <c r="M429" s="1">
        <f t="shared" si="27"/>
        <v>18.8</v>
      </c>
    </row>
    <row r="430" spans="1:13">
      <c r="A430" t="s">
        <v>1132</v>
      </c>
      <c r="B430" t="s">
        <v>278</v>
      </c>
      <c r="C430" s="20" t="s">
        <v>1554</v>
      </c>
      <c r="D430" s="2">
        <v>44186</v>
      </c>
      <c r="F430" t="s">
        <v>994</v>
      </c>
      <c r="G430">
        <v>0</v>
      </c>
      <c r="H430">
        <v>752</v>
      </c>
      <c r="I430">
        <f t="shared" si="26"/>
        <v>887.3599999999999</v>
      </c>
      <c r="J430" t="s">
        <v>449</v>
      </c>
      <c r="K430" t="s">
        <v>1555</v>
      </c>
      <c r="L430">
        <v>18</v>
      </c>
      <c r="M430" s="1">
        <f t="shared" si="27"/>
        <v>18.8</v>
      </c>
    </row>
    <row r="431" spans="1:13">
      <c r="A431" t="s">
        <v>1132</v>
      </c>
      <c r="B431" t="s">
        <v>278</v>
      </c>
      <c r="C431" s="20" t="s">
        <v>1556</v>
      </c>
      <c r="D431" s="2">
        <v>44187</v>
      </c>
      <c r="E431">
        <v>8092535611</v>
      </c>
      <c r="F431" t="s">
        <v>386</v>
      </c>
      <c r="G431">
        <v>0</v>
      </c>
      <c r="H431">
        <v>752</v>
      </c>
      <c r="I431">
        <f t="shared" si="26"/>
        <v>887.3599999999999</v>
      </c>
      <c r="J431" t="s">
        <v>1558</v>
      </c>
      <c r="K431" t="s">
        <v>1557</v>
      </c>
      <c r="L431">
        <v>18</v>
      </c>
      <c r="M431" s="1">
        <f t="shared" si="27"/>
        <v>18.8</v>
      </c>
    </row>
    <row r="432" spans="1:13">
      <c r="A432" t="s">
        <v>1132</v>
      </c>
      <c r="B432" t="s">
        <v>278</v>
      </c>
      <c r="C432" s="20" t="s">
        <v>1559</v>
      </c>
      <c r="D432" s="2">
        <v>44187</v>
      </c>
      <c r="E432">
        <v>7033533918</v>
      </c>
      <c r="F432" t="s">
        <v>1552</v>
      </c>
      <c r="G432">
        <v>0</v>
      </c>
      <c r="H432">
        <v>752</v>
      </c>
      <c r="I432">
        <f t="shared" si="26"/>
        <v>887.3599999999999</v>
      </c>
      <c r="J432" t="s">
        <v>1561</v>
      </c>
      <c r="K432" t="s">
        <v>1560</v>
      </c>
      <c r="L432">
        <v>18</v>
      </c>
      <c r="M432" s="1">
        <f t="shared" si="27"/>
        <v>18.8</v>
      </c>
    </row>
    <row r="433" spans="1:13">
      <c r="A433" t="s">
        <v>1132</v>
      </c>
      <c r="B433" t="s">
        <v>278</v>
      </c>
      <c r="C433" s="20" t="s">
        <v>1564</v>
      </c>
      <c r="D433" s="2">
        <v>44188</v>
      </c>
      <c r="E433">
        <v>8809414611</v>
      </c>
      <c r="F433" t="s">
        <v>1562</v>
      </c>
      <c r="G433">
        <v>0</v>
      </c>
      <c r="H433">
        <v>752</v>
      </c>
      <c r="I433">
        <f t="shared" si="26"/>
        <v>887.3599999999999</v>
      </c>
      <c r="J433" t="s">
        <v>1401</v>
      </c>
      <c r="K433" t="s">
        <v>1563</v>
      </c>
      <c r="L433">
        <v>18</v>
      </c>
      <c r="M433" s="1">
        <f t="shared" si="27"/>
        <v>18.8</v>
      </c>
    </row>
    <row r="434" spans="1:13">
      <c r="A434" t="s">
        <v>1193</v>
      </c>
      <c r="B434" t="s">
        <v>278</v>
      </c>
      <c r="C434" s="20" t="s">
        <v>1567</v>
      </c>
      <c r="D434" s="2">
        <v>44191</v>
      </c>
      <c r="E434">
        <v>7488605735</v>
      </c>
      <c r="F434" t="s">
        <v>1565</v>
      </c>
      <c r="G434">
        <v>0</v>
      </c>
      <c r="H434">
        <v>2072</v>
      </c>
      <c r="I434">
        <f t="shared" si="26"/>
        <v>2444.96</v>
      </c>
      <c r="J434" t="s">
        <v>640</v>
      </c>
      <c r="K434" t="s">
        <v>1566</v>
      </c>
      <c r="M434" s="1">
        <f t="shared" si="27"/>
        <v>51.8</v>
      </c>
    </row>
    <row r="435" spans="1:13">
      <c r="A435" t="s">
        <v>1132</v>
      </c>
      <c r="B435" t="s">
        <v>278</v>
      </c>
      <c r="C435" s="20" t="s">
        <v>1571</v>
      </c>
      <c r="D435" s="2">
        <v>44192</v>
      </c>
      <c r="E435">
        <v>9546486692</v>
      </c>
      <c r="F435" t="s">
        <v>1568</v>
      </c>
      <c r="G435">
        <v>0</v>
      </c>
      <c r="H435">
        <v>752</v>
      </c>
      <c r="I435">
        <f t="shared" si="26"/>
        <v>887.3599999999999</v>
      </c>
      <c r="J435" t="s">
        <v>1570</v>
      </c>
      <c r="K435" t="s">
        <v>1569</v>
      </c>
      <c r="L435">
        <v>18</v>
      </c>
      <c r="M435" s="1">
        <f t="shared" si="27"/>
        <v>18.8</v>
      </c>
    </row>
    <row r="436" spans="1:13">
      <c r="A436" t="s">
        <v>1132</v>
      </c>
      <c r="B436" t="s">
        <v>278</v>
      </c>
      <c r="C436" s="20" t="s">
        <v>1574</v>
      </c>
      <c r="D436" s="2">
        <v>44192</v>
      </c>
      <c r="E436">
        <v>9507188796</v>
      </c>
      <c r="F436" t="s">
        <v>1572</v>
      </c>
      <c r="G436">
        <v>0</v>
      </c>
      <c r="H436">
        <v>752</v>
      </c>
      <c r="I436">
        <f t="shared" si="26"/>
        <v>887.3599999999999</v>
      </c>
      <c r="J436" t="s">
        <v>449</v>
      </c>
      <c r="K436" t="s">
        <v>1573</v>
      </c>
      <c r="L436">
        <v>18</v>
      </c>
      <c r="M436" s="1">
        <f t="shared" si="27"/>
        <v>18.8</v>
      </c>
    </row>
    <row r="437" spans="1:13">
      <c r="A437" t="s">
        <v>1132</v>
      </c>
      <c r="B437" t="s">
        <v>278</v>
      </c>
      <c r="C437" s="20" t="s">
        <v>1575</v>
      </c>
      <c r="D437" s="2">
        <v>44193</v>
      </c>
      <c r="E437">
        <v>9110924591</v>
      </c>
      <c r="F437" t="s">
        <v>1577</v>
      </c>
      <c r="G437">
        <v>0</v>
      </c>
      <c r="H437">
        <v>752</v>
      </c>
      <c r="I437">
        <f t="shared" si="26"/>
        <v>887.3599999999999</v>
      </c>
      <c r="J437" t="s">
        <v>1401</v>
      </c>
      <c r="K437" t="s">
        <v>1576</v>
      </c>
      <c r="M437" s="1">
        <f t="shared" si="27"/>
        <v>18.8</v>
      </c>
    </row>
    <row r="438" spans="1:13" ht="23.4">
      <c r="A438" s="44">
        <f>COUNTIF($A427:$A437,"Bajaj2")</f>
        <v>10</v>
      </c>
      <c r="B438" s="44">
        <f>COUNTIF($A427:$A437,"Bajaj4")</f>
        <v>1</v>
      </c>
      <c r="C438" s="44"/>
      <c r="D438" s="44"/>
      <c r="E438" s="44"/>
      <c r="F438" s="44">
        <f>SUMIF(A427:A437,"Bajaj4",H427:H437)</f>
        <v>2072</v>
      </c>
      <c r="G438" s="44">
        <f>SUMIF(A427:A437,"Bajaj2",G427:G437)</f>
        <v>0</v>
      </c>
      <c r="H438" s="44">
        <f>SUMIF($A427:$A437,"Bajaj2",H427:H437)</f>
        <v>7520</v>
      </c>
      <c r="I438" s="44">
        <f>G438+H438</f>
        <v>7520</v>
      </c>
      <c r="J438" s="44">
        <f>A438*IF(A438&lt;3,0.025,IF(A438&lt;6,100,IF(A438&lt;11,125,150)))+F438*IF(B438&lt;3,0.05,0.1)</f>
        <v>1353.6</v>
      </c>
      <c r="K438" s="44">
        <f>J438*0.95</f>
        <v>1285.9199999999998</v>
      </c>
      <c r="L438" s="44">
        <f>SUM(L427:L437)</f>
        <v>162</v>
      </c>
      <c r="M438" s="44">
        <f>SUM(M427:M437)</f>
        <v>239.8</v>
      </c>
    </row>
    <row r="440" spans="1:13">
      <c r="A440" t="s">
        <v>1132</v>
      </c>
      <c r="B440" t="s">
        <v>979</v>
      </c>
      <c r="C440" s="20" t="s">
        <v>1581</v>
      </c>
      <c r="D440" s="2">
        <v>43831</v>
      </c>
      <c r="E440">
        <v>9798946742</v>
      </c>
      <c r="F440" t="s">
        <v>1582</v>
      </c>
      <c r="G440">
        <v>0</v>
      </c>
      <c r="H440">
        <v>752</v>
      </c>
      <c r="I440">
        <f t="shared" ref="I440:I452" si="28">(G440+H440)*1.18</f>
        <v>887.3599999999999</v>
      </c>
      <c r="J440" t="s">
        <v>691</v>
      </c>
      <c r="K440" t="s">
        <v>1583</v>
      </c>
      <c r="L440">
        <v>18</v>
      </c>
    </row>
    <row r="441" spans="1:13">
      <c r="A441" t="s">
        <v>1132</v>
      </c>
      <c r="B441" t="s">
        <v>979</v>
      </c>
      <c r="C441" s="20" t="s">
        <v>1584</v>
      </c>
      <c r="D441" s="2">
        <v>44201</v>
      </c>
      <c r="E441">
        <v>6205770265</v>
      </c>
      <c r="F441" t="s">
        <v>1585</v>
      </c>
      <c r="G441">
        <v>0</v>
      </c>
      <c r="H441">
        <v>752</v>
      </c>
      <c r="I441">
        <f t="shared" si="28"/>
        <v>887.3599999999999</v>
      </c>
      <c r="J441" t="s">
        <v>811</v>
      </c>
      <c r="K441" t="s">
        <v>1586</v>
      </c>
      <c r="L441">
        <v>0</v>
      </c>
    </row>
    <row r="442" spans="1:13">
      <c r="A442" t="s">
        <v>1132</v>
      </c>
      <c r="B442" t="s">
        <v>979</v>
      </c>
      <c r="C442" s="20" t="s">
        <v>1587</v>
      </c>
      <c r="D442" s="2">
        <v>44201</v>
      </c>
      <c r="E442">
        <v>8084522701</v>
      </c>
      <c r="F442" t="s">
        <v>1588</v>
      </c>
      <c r="G442">
        <v>0</v>
      </c>
      <c r="H442">
        <v>752</v>
      </c>
      <c r="I442">
        <f t="shared" si="28"/>
        <v>887.3599999999999</v>
      </c>
      <c r="J442" t="s">
        <v>1589</v>
      </c>
      <c r="K442" t="s">
        <v>1590</v>
      </c>
      <c r="L442">
        <v>35</v>
      </c>
    </row>
    <row r="443" spans="1:13">
      <c r="A443" t="s">
        <v>1132</v>
      </c>
      <c r="B443" t="s">
        <v>979</v>
      </c>
      <c r="C443" s="20" t="s">
        <v>1593</v>
      </c>
      <c r="D443" s="2">
        <v>44204</v>
      </c>
      <c r="E443">
        <v>8210893924</v>
      </c>
      <c r="F443" t="s">
        <v>1591</v>
      </c>
      <c r="G443">
        <v>0</v>
      </c>
      <c r="H443">
        <v>752</v>
      </c>
      <c r="I443">
        <f t="shared" si="28"/>
        <v>887.3599999999999</v>
      </c>
      <c r="J443" t="s">
        <v>1184</v>
      </c>
      <c r="K443" t="s">
        <v>1592</v>
      </c>
    </row>
    <row r="444" spans="1:13">
      <c r="A444" t="s">
        <v>1132</v>
      </c>
      <c r="B444" t="s">
        <v>979</v>
      </c>
      <c r="D444" s="2"/>
      <c r="G444">
        <v>0</v>
      </c>
      <c r="H444">
        <v>752</v>
      </c>
      <c r="I444">
        <f t="shared" si="28"/>
        <v>887.3599999999999</v>
      </c>
    </row>
    <row r="445" spans="1:13">
      <c r="A445" t="s">
        <v>1132</v>
      </c>
      <c r="B445" t="s">
        <v>979</v>
      </c>
      <c r="C445" s="20" t="s">
        <v>1603</v>
      </c>
      <c r="D445" s="2">
        <v>44208</v>
      </c>
      <c r="E445">
        <v>9102977767</v>
      </c>
      <c r="F445" t="s">
        <v>1604</v>
      </c>
      <c r="G445">
        <v>0</v>
      </c>
      <c r="H445">
        <v>752</v>
      </c>
      <c r="I445">
        <f t="shared" si="28"/>
        <v>887.3599999999999</v>
      </c>
      <c r="J445" t="s">
        <v>1605</v>
      </c>
      <c r="K445" t="s">
        <v>1606</v>
      </c>
    </row>
    <row r="446" spans="1:13">
      <c r="A446" t="s">
        <v>1132</v>
      </c>
      <c r="B446" t="s">
        <v>979</v>
      </c>
      <c r="C446" s="20" t="s">
        <v>1609</v>
      </c>
      <c r="D446" s="2">
        <v>44209</v>
      </c>
      <c r="E446">
        <v>7903521205</v>
      </c>
      <c r="F446" t="s">
        <v>1607</v>
      </c>
      <c r="G446">
        <v>0</v>
      </c>
      <c r="H446">
        <v>1083</v>
      </c>
      <c r="I446">
        <f t="shared" si="28"/>
        <v>1277.9399999999998</v>
      </c>
      <c r="J446" t="s">
        <v>1441</v>
      </c>
      <c r="K446" t="s">
        <v>1608</v>
      </c>
    </row>
    <row r="447" spans="1:13">
      <c r="A447" t="s">
        <v>1193</v>
      </c>
      <c r="B447" t="s">
        <v>979</v>
      </c>
      <c r="D447" s="2">
        <v>44211</v>
      </c>
      <c r="E447">
        <v>9430186524</v>
      </c>
      <c r="F447" t="s">
        <v>1610</v>
      </c>
      <c r="G447">
        <v>0</v>
      </c>
      <c r="H447">
        <v>3221</v>
      </c>
      <c r="I447">
        <f t="shared" si="28"/>
        <v>3800.7799999999997</v>
      </c>
      <c r="J447" t="s">
        <v>1611</v>
      </c>
      <c r="K447" t="s">
        <v>1612</v>
      </c>
    </row>
    <row r="448" spans="1:13">
      <c r="A448" t="s">
        <v>1132</v>
      </c>
      <c r="B448" t="s">
        <v>780</v>
      </c>
      <c r="D448" s="2">
        <v>44213</v>
      </c>
      <c r="F448" t="s">
        <v>1613</v>
      </c>
      <c r="G448">
        <v>125</v>
      </c>
      <c r="H448">
        <v>752</v>
      </c>
      <c r="I448">
        <f t="shared" si="28"/>
        <v>1034.8599999999999</v>
      </c>
    </row>
    <row r="449" spans="1:13">
      <c r="A449" t="s">
        <v>1193</v>
      </c>
      <c r="B449" t="s">
        <v>979</v>
      </c>
      <c r="C449" s="20" t="s">
        <v>1615</v>
      </c>
      <c r="D449" s="2">
        <v>44214</v>
      </c>
      <c r="E449">
        <v>9304379180</v>
      </c>
      <c r="F449" t="s">
        <v>1614</v>
      </c>
      <c r="G449">
        <v>0</v>
      </c>
      <c r="H449">
        <v>2072</v>
      </c>
      <c r="I449">
        <f t="shared" si="28"/>
        <v>2444.96</v>
      </c>
      <c r="J449" t="s">
        <v>1296</v>
      </c>
      <c r="K449" t="s">
        <v>889</v>
      </c>
    </row>
    <row r="450" spans="1:13">
      <c r="A450" t="s">
        <v>1132</v>
      </c>
      <c r="B450" t="s">
        <v>780</v>
      </c>
      <c r="C450" s="20" t="s">
        <v>1616</v>
      </c>
      <c r="D450" s="2">
        <v>44216</v>
      </c>
      <c r="E450">
        <v>9204789453</v>
      </c>
      <c r="F450" t="s">
        <v>1617</v>
      </c>
      <c r="G450">
        <v>288</v>
      </c>
      <c r="H450">
        <v>752</v>
      </c>
      <c r="I450">
        <f t="shared" si="28"/>
        <v>1227.2</v>
      </c>
      <c r="J450" t="s">
        <v>1619</v>
      </c>
      <c r="K450" t="s">
        <v>1618</v>
      </c>
    </row>
    <row r="451" spans="1:13">
      <c r="A451" t="s">
        <v>1132</v>
      </c>
      <c r="B451" t="s">
        <v>979</v>
      </c>
      <c r="C451" s="20" t="s">
        <v>1630</v>
      </c>
      <c r="D451" s="2">
        <v>44216</v>
      </c>
      <c r="F451" t="s">
        <v>1621</v>
      </c>
      <c r="G451">
        <v>0</v>
      </c>
      <c r="H451">
        <v>752</v>
      </c>
      <c r="I451">
        <f t="shared" si="28"/>
        <v>887.3599999999999</v>
      </c>
      <c r="J451" t="s">
        <v>1620</v>
      </c>
      <c r="K451" t="s">
        <v>922</v>
      </c>
    </row>
    <row r="452" spans="1:13">
      <c r="A452" t="s">
        <v>1132</v>
      </c>
      <c r="B452" t="s">
        <v>979</v>
      </c>
      <c r="C452" s="20" t="s">
        <v>1631</v>
      </c>
      <c r="D452" s="2">
        <v>44217</v>
      </c>
      <c r="E452">
        <v>8709852547</v>
      </c>
      <c r="F452" t="s">
        <v>1622</v>
      </c>
      <c r="G452">
        <v>0</v>
      </c>
      <c r="H452">
        <v>752</v>
      </c>
      <c r="I452">
        <f t="shared" si="28"/>
        <v>887.3599999999999</v>
      </c>
    </row>
    <row r="460" spans="1:13" ht="23.4">
      <c r="A460" s="44">
        <f>COUNTIF($A440:$A459,"Bajaj2")</f>
        <v>11</v>
      </c>
      <c r="B460" s="44">
        <f>COUNTIF($A440:$A459,"Bajaj4")</f>
        <v>2</v>
      </c>
      <c r="C460" s="44"/>
      <c r="D460" s="44"/>
      <c r="E460" s="44"/>
      <c r="F460" s="44">
        <f>SUMIF(A440:A459,"Bajaj4",H440:H459)</f>
        <v>5293</v>
      </c>
      <c r="G460" s="44">
        <f>SUMIF(A440:A459,"Bajaj2",G440:G459)</f>
        <v>413</v>
      </c>
      <c r="H460" s="44">
        <f>SUMIF($A440:$A459,"Bajaj2",H440:H459)</f>
        <v>8603</v>
      </c>
      <c r="I460" s="44">
        <f>G460+H460</f>
        <v>9016</v>
      </c>
      <c r="J460" s="44">
        <f>A460*IF(A460&lt;3,0.025,IF(A460&lt;6,100,IF(A460&lt;11,125,150)))+F460*IF(B460&lt;3,0.05,0.1)</f>
        <v>1914.65</v>
      </c>
      <c r="K460" s="44">
        <f>J460*0.95</f>
        <v>1818.9175</v>
      </c>
      <c r="L460" s="44">
        <f>SUM(L440:L459)</f>
        <v>53</v>
      </c>
      <c r="M460" s="44">
        <f>K460-L460</f>
        <v>1765.9175</v>
      </c>
    </row>
    <row r="462" spans="1:13">
      <c r="A462" t="s">
        <v>1132</v>
      </c>
      <c r="B462" t="s">
        <v>979</v>
      </c>
      <c r="C462" s="20" t="s">
        <v>1672</v>
      </c>
      <c r="D462" s="2">
        <v>44230</v>
      </c>
      <c r="G462">
        <v>0</v>
      </c>
      <c r="H462">
        <v>752</v>
      </c>
      <c r="I462">
        <f t="shared" ref="I462:I468" si="29">(G462+H462)*1.18</f>
        <v>887.3599999999999</v>
      </c>
      <c r="L462">
        <v>18</v>
      </c>
    </row>
    <row r="463" spans="1:13">
      <c r="A463" t="s">
        <v>1132</v>
      </c>
      <c r="B463" t="s">
        <v>979</v>
      </c>
      <c r="C463" s="20" t="s">
        <v>1673</v>
      </c>
      <c r="D463" s="2">
        <v>44231</v>
      </c>
      <c r="G463">
        <v>0</v>
      </c>
      <c r="H463">
        <v>752</v>
      </c>
      <c r="I463">
        <f t="shared" si="29"/>
        <v>887.3599999999999</v>
      </c>
      <c r="L463">
        <v>18</v>
      </c>
    </row>
    <row r="464" spans="1:13">
      <c r="A464" t="s">
        <v>1132</v>
      </c>
      <c r="B464" t="s">
        <v>979</v>
      </c>
      <c r="C464" s="20" t="s">
        <v>1674</v>
      </c>
      <c r="D464" s="2">
        <v>44234</v>
      </c>
      <c r="G464">
        <v>0</v>
      </c>
      <c r="H464">
        <v>752</v>
      </c>
      <c r="I464">
        <f t="shared" si="29"/>
        <v>887.3599999999999</v>
      </c>
      <c r="L464">
        <v>18</v>
      </c>
    </row>
    <row r="465" spans="1:12">
      <c r="A465" t="s">
        <v>1132</v>
      </c>
      <c r="B465" t="s">
        <v>979</v>
      </c>
      <c r="C465" s="20" t="s">
        <v>1675</v>
      </c>
      <c r="D465" s="2">
        <v>44233</v>
      </c>
      <c r="G465">
        <v>0</v>
      </c>
      <c r="H465">
        <v>752</v>
      </c>
      <c r="I465">
        <f t="shared" si="29"/>
        <v>887.3599999999999</v>
      </c>
      <c r="L465">
        <v>18</v>
      </c>
    </row>
    <row r="466" spans="1:12">
      <c r="A466" t="s">
        <v>1132</v>
      </c>
      <c r="B466" t="s">
        <v>979</v>
      </c>
      <c r="C466" s="20" t="s">
        <v>1676</v>
      </c>
      <c r="D466" s="2">
        <v>44233</v>
      </c>
      <c r="G466">
        <v>0</v>
      </c>
      <c r="H466">
        <v>482</v>
      </c>
      <c r="I466">
        <f t="shared" si="29"/>
        <v>568.76</v>
      </c>
      <c r="L466">
        <v>18</v>
      </c>
    </row>
    <row r="467" spans="1:12">
      <c r="A467" t="s">
        <v>1132</v>
      </c>
      <c r="B467" t="s">
        <v>979</v>
      </c>
      <c r="C467" s="20" t="s">
        <v>1677</v>
      </c>
      <c r="D467" s="2">
        <v>43866</v>
      </c>
      <c r="G467">
        <v>0</v>
      </c>
      <c r="H467">
        <v>752</v>
      </c>
      <c r="I467">
        <f t="shared" si="29"/>
        <v>887.3599999999999</v>
      </c>
      <c r="L467">
        <v>18</v>
      </c>
    </row>
    <row r="468" spans="1:12">
      <c r="A468" t="s">
        <v>1132</v>
      </c>
      <c r="B468" t="s">
        <v>979</v>
      </c>
      <c r="C468" s="20" t="s">
        <v>1678</v>
      </c>
      <c r="D468" s="2">
        <v>43866</v>
      </c>
      <c r="G468">
        <v>0</v>
      </c>
      <c r="H468">
        <v>752</v>
      </c>
      <c r="I468">
        <f t="shared" si="29"/>
        <v>887.3599999999999</v>
      </c>
      <c r="L468">
        <v>18</v>
      </c>
    </row>
    <row r="469" spans="1:12">
      <c r="A469" t="s">
        <v>1132</v>
      </c>
      <c r="B469" t="s">
        <v>979</v>
      </c>
      <c r="C469" s="20" t="s">
        <v>1679</v>
      </c>
      <c r="D469" s="2">
        <v>44234</v>
      </c>
      <c r="G469">
        <v>0</v>
      </c>
      <c r="H469">
        <v>752</v>
      </c>
      <c r="I469">
        <f t="shared" ref="I469:I473" si="30">(G469+H469)*1.18</f>
        <v>887.3599999999999</v>
      </c>
      <c r="L469">
        <v>18</v>
      </c>
    </row>
    <row r="470" spans="1:12">
      <c r="A470" t="s">
        <v>1132</v>
      </c>
      <c r="B470" t="s">
        <v>979</v>
      </c>
      <c r="C470" s="20" t="s">
        <v>1680</v>
      </c>
      <c r="D470" s="2">
        <v>44234</v>
      </c>
      <c r="G470">
        <v>0</v>
      </c>
      <c r="H470">
        <v>752</v>
      </c>
      <c r="I470">
        <f t="shared" si="30"/>
        <v>887.3599999999999</v>
      </c>
      <c r="L470">
        <v>18</v>
      </c>
    </row>
    <row r="471" spans="1:12">
      <c r="A471" t="s">
        <v>1132</v>
      </c>
      <c r="B471" t="s">
        <v>979</v>
      </c>
      <c r="C471" s="20" t="s">
        <v>1681</v>
      </c>
      <c r="D471" s="2">
        <v>44235</v>
      </c>
      <c r="G471">
        <v>0</v>
      </c>
      <c r="H471">
        <v>752</v>
      </c>
      <c r="I471">
        <f t="shared" si="30"/>
        <v>887.3599999999999</v>
      </c>
      <c r="L471">
        <v>18</v>
      </c>
    </row>
    <row r="472" spans="1:12">
      <c r="A472" t="s">
        <v>1132</v>
      </c>
      <c r="B472" t="s">
        <v>979</v>
      </c>
      <c r="C472" s="20" t="s">
        <v>1682</v>
      </c>
      <c r="D472" s="2">
        <v>44235</v>
      </c>
      <c r="G472">
        <v>0</v>
      </c>
      <c r="H472">
        <v>752</v>
      </c>
      <c r="I472">
        <f t="shared" si="30"/>
        <v>887.3599999999999</v>
      </c>
      <c r="L472">
        <v>18</v>
      </c>
    </row>
    <row r="473" spans="1:12">
      <c r="A473" t="s">
        <v>1132</v>
      </c>
      <c r="B473" t="s">
        <v>979</v>
      </c>
      <c r="C473" s="20" t="s">
        <v>1657</v>
      </c>
      <c r="D473" s="2">
        <v>44237</v>
      </c>
      <c r="G473">
        <v>0</v>
      </c>
      <c r="H473">
        <v>752</v>
      </c>
      <c r="I473">
        <f t="shared" si="30"/>
        <v>887.3599999999999</v>
      </c>
      <c r="L473">
        <v>18</v>
      </c>
    </row>
    <row r="474" spans="1:12">
      <c r="A474" t="s">
        <v>1132</v>
      </c>
      <c r="B474" t="s">
        <v>979</v>
      </c>
      <c r="C474" s="20" t="s">
        <v>1638</v>
      </c>
      <c r="D474" s="2">
        <v>44240</v>
      </c>
      <c r="E474">
        <v>8521650025</v>
      </c>
      <c r="F474" t="s">
        <v>1637</v>
      </c>
      <c r="G474">
        <v>0</v>
      </c>
      <c r="H474">
        <v>752</v>
      </c>
      <c r="I474">
        <f t="shared" ref="I474:I489" si="31">(G474+H474)*1.18</f>
        <v>887.3599999999999</v>
      </c>
      <c r="J474" t="s">
        <v>1639</v>
      </c>
      <c r="K474" t="s">
        <v>1636</v>
      </c>
      <c r="L474">
        <v>18</v>
      </c>
    </row>
    <row r="475" spans="1:12">
      <c r="A475" t="s">
        <v>1193</v>
      </c>
      <c r="B475" t="s">
        <v>979</v>
      </c>
      <c r="C475" s="20" t="s">
        <v>1642</v>
      </c>
      <c r="D475" s="2">
        <v>44240</v>
      </c>
      <c r="E475">
        <v>9608931932</v>
      </c>
      <c r="F475" t="s">
        <v>865</v>
      </c>
      <c r="G475">
        <v>0</v>
      </c>
      <c r="H475">
        <v>3221</v>
      </c>
      <c r="I475">
        <f t="shared" si="31"/>
        <v>3800.7799999999997</v>
      </c>
      <c r="J475" t="s">
        <v>1641</v>
      </c>
      <c r="K475" t="s">
        <v>1640</v>
      </c>
      <c r="L475">
        <v>18</v>
      </c>
    </row>
    <row r="476" spans="1:12">
      <c r="A476" t="s">
        <v>1193</v>
      </c>
      <c r="B476" t="s">
        <v>979</v>
      </c>
      <c r="C476" s="20" t="s">
        <v>1645</v>
      </c>
      <c r="D476" s="2">
        <v>44240</v>
      </c>
      <c r="E476">
        <v>9234630862</v>
      </c>
      <c r="F476" t="s">
        <v>937</v>
      </c>
      <c r="G476">
        <v>0</v>
      </c>
      <c r="H476">
        <v>3552</v>
      </c>
      <c r="I476">
        <f t="shared" si="31"/>
        <v>4191.3599999999997</v>
      </c>
      <c r="J476" t="s">
        <v>1644</v>
      </c>
      <c r="K476" t="s">
        <v>1643</v>
      </c>
      <c r="L476">
        <v>18</v>
      </c>
    </row>
    <row r="477" spans="1:12">
      <c r="A477" t="s">
        <v>1132</v>
      </c>
      <c r="B477" t="s">
        <v>979</v>
      </c>
      <c r="C477" s="20" t="s">
        <v>1648</v>
      </c>
      <c r="D477" s="2">
        <v>44241</v>
      </c>
      <c r="E477">
        <v>9263734419</v>
      </c>
      <c r="F477" t="s">
        <v>1646</v>
      </c>
      <c r="G477">
        <v>0</v>
      </c>
      <c r="H477">
        <v>752</v>
      </c>
      <c r="I477">
        <f t="shared" si="31"/>
        <v>887.3599999999999</v>
      </c>
      <c r="J477" t="s">
        <v>1639</v>
      </c>
      <c r="K477" t="s">
        <v>1647</v>
      </c>
      <c r="L477">
        <v>18</v>
      </c>
    </row>
    <row r="478" spans="1:12">
      <c r="A478" t="s">
        <v>1132</v>
      </c>
      <c r="B478" t="s">
        <v>979</v>
      </c>
      <c r="C478" s="20" t="s">
        <v>1651</v>
      </c>
      <c r="D478" s="2">
        <v>44241</v>
      </c>
      <c r="E478">
        <v>6299868064</v>
      </c>
      <c r="F478" t="s">
        <v>1649</v>
      </c>
      <c r="G478">
        <v>0</v>
      </c>
      <c r="H478">
        <v>752</v>
      </c>
      <c r="I478">
        <f t="shared" si="31"/>
        <v>887.3599999999999</v>
      </c>
      <c r="J478" t="s">
        <v>905</v>
      </c>
      <c r="K478" t="s">
        <v>1650</v>
      </c>
      <c r="L478">
        <v>18</v>
      </c>
    </row>
    <row r="479" spans="1:12">
      <c r="A479" t="s">
        <v>1132</v>
      </c>
      <c r="B479" t="s">
        <v>979</v>
      </c>
      <c r="C479" s="20" t="s">
        <v>1654</v>
      </c>
      <c r="D479" s="2">
        <v>44241</v>
      </c>
      <c r="E479">
        <v>8873176783</v>
      </c>
      <c r="F479" t="s">
        <v>1652</v>
      </c>
      <c r="G479">
        <v>0</v>
      </c>
      <c r="H479">
        <v>752</v>
      </c>
      <c r="I479">
        <f t="shared" si="31"/>
        <v>887.3599999999999</v>
      </c>
      <c r="J479" t="s">
        <v>320</v>
      </c>
      <c r="K479" t="s">
        <v>1653</v>
      </c>
      <c r="L479">
        <v>18</v>
      </c>
    </row>
    <row r="480" spans="1:12">
      <c r="A480" t="s">
        <v>1132</v>
      </c>
      <c r="B480" t="s">
        <v>979</v>
      </c>
      <c r="C480" s="20" t="s">
        <v>1657</v>
      </c>
      <c r="D480" s="2">
        <v>44241</v>
      </c>
      <c r="E480">
        <v>9470386166</v>
      </c>
      <c r="F480" t="s">
        <v>1655</v>
      </c>
      <c r="G480">
        <v>0</v>
      </c>
      <c r="H480">
        <v>752</v>
      </c>
      <c r="I480">
        <f t="shared" si="31"/>
        <v>887.3599999999999</v>
      </c>
      <c r="J480" t="s">
        <v>811</v>
      </c>
      <c r="K480" t="s">
        <v>1656</v>
      </c>
      <c r="L480">
        <v>18</v>
      </c>
    </row>
    <row r="481" spans="1:13">
      <c r="A481" t="s">
        <v>1132</v>
      </c>
      <c r="B481" t="s">
        <v>979</v>
      </c>
      <c r="C481" s="20" t="s">
        <v>1654</v>
      </c>
      <c r="D481" s="2">
        <v>44242</v>
      </c>
      <c r="G481">
        <v>0</v>
      </c>
      <c r="H481">
        <v>752</v>
      </c>
      <c r="I481">
        <f t="shared" si="31"/>
        <v>887.3599999999999</v>
      </c>
      <c r="L481">
        <v>18</v>
      </c>
    </row>
    <row r="482" spans="1:13">
      <c r="A482" t="s">
        <v>1132</v>
      </c>
      <c r="B482" t="s">
        <v>979</v>
      </c>
      <c r="C482" s="20" t="s">
        <v>1683</v>
      </c>
      <c r="D482" s="2">
        <v>44242</v>
      </c>
      <c r="G482">
        <v>0</v>
      </c>
      <c r="H482">
        <v>752</v>
      </c>
      <c r="L482">
        <v>18</v>
      </c>
    </row>
    <row r="483" spans="1:13">
      <c r="A483" t="s">
        <v>1132</v>
      </c>
      <c r="B483" t="s">
        <v>979</v>
      </c>
      <c r="C483" s="20" t="s">
        <v>1661</v>
      </c>
      <c r="D483" s="2">
        <v>44244</v>
      </c>
      <c r="E483">
        <v>9934120572</v>
      </c>
      <c r="F483" t="s">
        <v>1658</v>
      </c>
      <c r="G483">
        <v>0</v>
      </c>
      <c r="H483">
        <v>752</v>
      </c>
      <c r="I483">
        <f t="shared" si="31"/>
        <v>887.3599999999999</v>
      </c>
      <c r="J483" t="s">
        <v>1660</v>
      </c>
      <c r="K483" t="s">
        <v>1659</v>
      </c>
      <c r="L483">
        <v>18</v>
      </c>
    </row>
    <row r="484" spans="1:13">
      <c r="A484" t="s">
        <v>1132</v>
      </c>
      <c r="B484" t="s">
        <v>979</v>
      </c>
      <c r="C484" s="20" t="s">
        <v>1684</v>
      </c>
      <c r="D484" s="2">
        <v>44244</v>
      </c>
      <c r="G484">
        <v>0</v>
      </c>
      <c r="H484">
        <v>752</v>
      </c>
      <c r="I484">
        <f t="shared" si="31"/>
        <v>887.3599999999999</v>
      </c>
      <c r="L484">
        <v>18</v>
      </c>
    </row>
    <row r="485" spans="1:13">
      <c r="A485" t="s">
        <v>1132</v>
      </c>
      <c r="B485" t="s">
        <v>979</v>
      </c>
      <c r="C485" s="20" t="s">
        <v>1685</v>
      </c>
      <c r="D485" s="2">
        <v>44250</v>
      </c>
      <c r="G485">
        <v>0</v>
      </c>
      <c r="H485">
        <v>752</v>
      </c>
      <c r="I485">
        <f t="shared" si="31"/>
        <v>887.3599999999999</v>
      </c>
      <c r="L485">
        <v>18</v>
      </c>
    </row>
    <row r="486" spans="1:13">
      <c r="A486" t="s">
        <v>1132</v>
      </c>
      <c r="B486" t="s">
        <v>454</v>
      </c>
      <c r="C486" s="20" t="s">
        <v>1686</v>
      </c>
      <c r="D486" s="2">
        <v>44253</v>
      </c>
      <c r="G486">
        <v>0</v>
      </c>
      <c r="H486">
        <v>752</v>
      </c>
      <c r="I486">
        <f t="shared" si="31"/>
        <v>887.3599999999999</v>
      </c>
      <c r="L486">
        <v>18</v>
      </c>
    </row>
    <row r="487" spans="1:13">
      <c r="A487" t="s">
        <v>1132</v>
      </c>
      <c r="B487" t="s">
        <v>979</v>
      </c>
      <c r="C487" s="20" t="s">
        <v>1687</v>
      </c>
      <c r="D487" s="2">
        <v>44254</v>
      </c>
      <c r="G487">
        <v>0</v>
      </c>
      <c r="H487">
        <v>752</v>
      </c>
      <c r="I487">
        <f t="shared" si="31"/>
        <v>887.3599999999999</v>
      </c>
      <c r="L487">
        <v>18</v>
      </c>
    </row>
    <row r="488" spans="1:13">
      <c r="A488" t="s">
        <v>1132</v>
      </c>
      <c r="B488" t="s">
        <v>979</v>
      </c>
      <c r="C488" s="20" t="s">
        <v>1690</v>
      </c>
      <c r="D488" s="2">
        <v>44255</v>
      </c>
      <c r="E488">
        <v>7667927639</v>
      </c>
      <c r="F488" t="s">
        <v>1688</v>
      </c>
      <c r="G488">
        <v>0</v>
      </c>
      <c r="H488">
        <v>752</v>
      </c>
      <c r="I488">
        <f t="shared" si="31"/>
        <v>887.3599999999999</v>
      </c>
      <c r="J488" t="s">
        <v>637</v>
      </c>
      <c r="K488" t="s">
        <v>1689</v>
      </c>
      <c r="L488">
        <v>18</v>
      </c>
    </row>
    <row r="489" spans="1:13">
      <c r="A489" t="s">
        <v>1132</v>
      </c>
      <c r="B489" t="s">
        <v>979</v>
      </c>
      <c r="C489" s="20" t="s">
        <v>1708</v>
      </c>
      <c r="D489" s="2">
        <v>44283</v>
      </c>
      <c r="F489" t="s">
        <v>1709</v>
      </c>
      <c r="G489">
        <v>0</v>
      </c>
      <c r="H489">
        <v>752</v>
      </c>
      <c r="I489">
        <f t="shared" si="31"/>
        <v>887.3599999999999</v>
      </c>
      <c r="K489" t="s">
        <v>1710</v>
      </c>
      <c r="L489">
        <v>18</v>
      </c>
    </row>
    <row r="494" spans="1:13" ht="23.4">
      <c r="A494" s="44">
        <f>COUNTIF($A462:$A493,"Bajaj2")</f>
        <v>26</v>
      </c>
      <c r="B494" s="44">
        <f>COUNTIF($A462:$A493,"Bajaj4")</f>
        <v>2</v>
      </c>
      <c r="C494" s="44"/>
      <c r="D494" s="44"/>
      <c r="E494" s="44"/>
      <c r="F494" s="44">
        <f>SUMIF(A462:A493,"Bajaj4",H462:H493)</f>
        <v>6773</v>
      </c>
      <c r="G494" s="44">
        <f>SUMIF(A462:A493,"Bajaj2",G453:G493)</f>
        <v>413</v>
      </c>
      <c r="H494" s="44">
        <f>SUMIF($A462:$A493,"Bajaj2",H462:H493)</f>
        <v>19282</v>
      </c>
      <c r="I494" s="44">
        <f>G494+H494</f>
        <v>19695</v>
      </c>
      <c r="J494" s="44">
        <f>A494*IF(A494&lt;3,0.025,IF(A494&lt;6,100,IF(A494&lt;11,125,150)))+F494*IF(B494&lt;3,0.05,0.1)</f>
        <v>4238.6499999999996</v>
      </c>
      <c r="K494" s="44">
        <f>J494*0.95</f>
        <v>4026.7174999999993</v>
      </c>
      <c r="L494" s="44">
        <f>SUM(L462:L493)</f>
        <v>504</v>
      </c>
      <c r="M494" s="44">
        <f>K494-L494</f>
        <v>3522.7174999999993</v>
      </c>
    </row>
  </sheetData>
  <customSheetViews>
    <customSheetView guid="{CFF18104-9957-4B22-A0BF-E0E9089CC41B}" scale="85">
      <pane ySplit="1" topLeftCell="A479" activePane="bottomLeft" state="frozen"/>
      <selection pane="bottomLeft" activeCell="F449" sqref="F449"/>
      <pageMargins left="0.7" right="0.7" top="0.75" bottom="0.75" header="0.3" footer="0.3"/>
      <pageSetup paperSize="9" orientation="portrait" r:id="rId1"/>
    </customSheetView>
    <customSheetView guid="{1DB3B8BB-FF13-43E4-91E2-4D5FE1537F47}">
      <selection activeCell="I20" sqref="I20"/>
      <pageMargins left="0.7" right="0.7" top="0.75" bottom="0.75" header="0.3" footer="0.3"/>
      <pageSetup paperSize="9" orientation="portrait" verticalDpi="0" r:id="rId2"/>
    </customSheetView>
    <customSheetView guid="{9FBD6FCD-ABF0-44CA-B044-9B9EEA555F2A}">
      <selection activeCell="E16" sqref="E16"/>
      <pageMargins left="0.7" right="0.7" top="0.75" bottom="0.75" header="0.3" footer="0.3"/>
      <pageSetup paperSize="9" orientation="portrait" verticalDpi="0" r:id="rId3"/>
    </customSheetView>
    <customSheetView guid="{76DB48ED-F9D5-46EE-8B68-22302006932B}">
      <selection activeCell="E16" sqref="E16"/>
      <pageMargins left="0.7" right="0.7" top="0.75" bottom="0.75" header="0.3" footer="0.3"/>
      <pageSetup paperSize="9" orientation="portrait" verticalDpi="0" r:id="rId4"/>
    </customSheetView>
    <customSheetView guid="{17BB0635-933F-4031-AA1B-02B47946C686}">
      <selection activeCell="E23" sqref="E23"/>
      <pageMargins left="0.7" right="0.7" top="0.75" bottom="0.75" header="0.3" footer="0.3"/>
      <pageSetup paperSize="9" orientation="portrait" verticalDpi="0" r:id="rId5"/>
    </customSheetView>
    <customSheetView guid="{3AED7B35-86CA-4B6C-A2EC-CD4DE422B896}" scale="85">
      <pane ySplit="1" topLeftCell="A468" activePane="bottomLeft" state="frozen"/>
      <selection pane="bottomLeft" activeCell="C492" sqref="C492"/>
      <pageMargins left="0.7" right="0.7" top="0.75" bottom="0.75" header="0.3" footer="0.3"/>
      <pageSetup paperSize="9" orientation="portrait" r:id="rId6"/>
    </customSheetView>
    <customSheetView guid="{E64C861B-828F-4357-A2C1-687220A83D03}" scale="85" showPageBreaks="1">
      <pane ySplit="1" topLeftCell="A312" activePane="bottomLeft" state="frozen"/>
      <selection pane="bottomLeft" activeCell="C331" sqref="C331"/>
      <pageMargins left="0.7" right="0.7" top="0.75" bottom="0.75" header="0.3" footer="0.3"/>
      <pageSetup paperSize="9" orientation="portrait" r:id="rId7"/>
    </customSheetView>
  </customSheetViews>
  <mergeCells count="2">
    <mergeCell ref="L345:L348"/>
    <mergeCell ref="M401:M403"/>
  </mergeCells>
  <phoneticPr fontId="7" type="noConversion"/>
  <pageMargins left="0.7" right="0.7" top="0.75" bottom="0.75" header="0.3" footer="0.3"/>
  <pageSetup paperSize="9"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workbookViewId="0">
      <selection activeCell="D17" sqref="D17"/>
    </sheetView>
  </sheetViews>
  <sheetFormatPr defaultRowHeight="14.4"/>
  <cols>
    <col min="1" max="1" width="5.5546875" customWidth="1"/>
    <col min="2" max="2" width="10.6640625" style="11" customWidth="1"/>
    <col min="3" max="3" width="15.109375" style="28" customWidth="1"/>
    <col min="4" max="4" width="20.5546875" customWidth="1"/>
    <col min="5" max="5" width="11.33203125" customWidth="1"/>
    <col min="6" max="6" width="10.33203125" customWidth="1"/>
    <col min="7" max="7" width="5.33203125" customWidth="1"/>
    <col min="8" max="8" width="13.33203125" customWidth="1"/>
    <col min="10" max="10" width="13.44140625" customWidth="1"/>
    <col min="11" max="11" width="11" bestFit="1" customWidth="1"/>
  </cols>
  <sheetData>
    <row r="1" spans="1:8">
      <c r="A1" t="s">
        <v>285</v>
      </c>
      <c r="B1" s="11" t="s">
        <v>2</v>
      </c>
      <c r="C1" s="28" t="s">
        <v>471</v>
      </c>
      <c r="D1" t="s">
        <v>54</v>
      </c>
      <c r="E1" t="s">
        <v>286</v>
      </c>
      <c r="F1" t="s">
        <v>343</v>
      </c>
      <c r="G1" t="s">
        <v>473</v>
      </c>
    </row>
    <row r="2" spans="1:8">
      <c r="B2" s="19"/>
      <c r="H2" s="14"/>
    </row>
    <row r="3" spans="1:8">
      <c r="B3" s="19"/>
      <c r="H3" s="14"/>
    </row>
    <row r="4" spans="1:8">
      <c r="B4" s="19"/>
      <c r="H4" s="14"/>
    </row>
    <row r="5" spans="1:8">
      <c r="B5" s="19"/>
      <c r="H5" s="14"/>
    </row>
    <row r="6" spans="1:8">
      <c r="B6" s="19">
        <v>43526</v>
      </c>
      <c r="C6" s="28">
        <v>700078285174</v>
      </c>
      <c r="D6" t="s">
        <v>472</v>
      </c>
      <c r="E6">
        <v>9263614261</v>
      </c>
      <c r="F6" s="2">
        <v>30682</v>
      </c>
      <c r="G6">
        <v>150</v>
      </c>
      <c r="H6" s="14" t="s">
        <v>476</v>
      </c>
    </row>
    <row r="7" spans="1:8">
      <c r="B7" s="19">
        <v>43526</v>
      </c>
      <c r="C7" s="28">
        <v>700043150616</v>
      </c>
      <c r="D7" t="s">
        <v>474</v>
      </c>
      <c r="E7">
        <v>9204037109</v>
      </c>
      <c r="F7" s="2">
        <v>33151</v>
      </c>
      <c r="G7">
        <v>95</v>
      </c>
      <c r="H7" s="14" t="s">
        <v>476</v>
      </c>
    </row>
    <row r="8" spans="1:8">
      <c r="B8" s="19">
        <v>33239</v>
      </c>
      <c r="C8" s="28">
        <v>700044151638</v>
      </c>
      <c r="D8" t="s">
        <v>475</v>
      </c>
      <c r="E8">
        <v>9204244233</v>
      </c>
      <c r="F8" s="2">
        <v>33239</v>
      </c>
      <c r="G8">
        <v>95</v>
      </c>
      <c r="H8" s="14" t="s">
        <v>476</v>
      </c>
    </row>
    <row r="9" spans="1:8">
      <c r="B9" s="19">
        <v>43529</v>
      </c>
      <c r="C9" s="28">
        <v>700037750502</v>
      </c>
      <c r="D9" t="s">
        <v>455</v>
      </c>
      <c r="E9">
        <v>9631069599</v>
      </c>
      <c r="F9" s="2">
        <v>35685</v>
      </c>
      <c r="G9">
        <v>64</v>
      </c>
      <c r="H9" s="14"/>
    </row>
    <row r="10" spans="1:8">
      <c r="B10" s="19">
        <v>43529</v>
      </c>
      <c r="C10" s="28">
        <v>700052606387</v>
      </c>
      <c r="D10" t="s">
        <v>477</v>
      </c>
      <c r="E10">
        <v>9939174288</v>
      </c>
      <c r="F10" s="2">
        <v>31558</v>
      </c>
      <c r="G10">
        <v>120</v>
      </c>
      <c r="H10" s="14" t="s">
        <v>476</v>
      </c>
    </row>
    <row r="11" spans="1:8">
      <c r="B11" s="19">
        <v>43529</v>
      </c>
      <c r="C11" s="28">
        <v>700044820659</v>
      </c>
      <c r="E11">
        <v>7209720712</v>
      </c>
      <c r="F11" s="2">
        <v>33171</v>
      </c>
      <c r="G11">
        <v>95</v>
      </c>
      <c r="H11" s="14" t="s">
        <v>476</v>
      </c>
    </row>
    <row r="12" spans="1:8">
      <c r="B12" s="19"/>
      <c r="H12" s="14"/>
    </row>
    <row r="13" spans="1:8">
      <c r="B13" s="19"/>
      <c r="H13" s="14"/>
    </row>
    <row r="14" spans="1:8">
      <c r="B14" s="19"/>
      <c r="H14" s="14"/>
    </row>
    <row r="15" spans="1:8">
      <c r="B15" s="19"/>
      <c r="H15" s="14"/>
    </row>
    <row r="16" spans="1:8">
      <c r="B16" s="19"/>
      <c r="H16" s="14"/>
    </row>
    <row r="17" spans="2:8">
      <c r="B17" s="19"/>
      <c r="H17" s="14"/>
    </row>
    <row r="18" spans="2:8">
      <c r="B18" s="19"/>
      <c r="H18" s="14"/>
    </row>
    <row r="19" spans="2:8">
      <c r="G19" s="116"/>
      <c r="H19" s="117"/>
    </row>
    <row r="20" spans="2:8">
      <c r="D20" s="18"/>
      <c r="G20" s="116"/>
      <c r="H20" s="117"/>
    </row>
    <row r="21" spans="2:8">
      <c r="D21" s="18"/>
      <c r="G21" s="116"/>
      <c r="H21" s="117"/>
    </row>
    <row r="22" spans="2:8">
      <c r="D22" s="18"/>
      <c r="G22" s="116"/>
      <c r="H22" s="117"/>
    </row>
    <row r="23" spans="2:8">
      <c r="D23" s="18"/>
      <c r="G23" s="116"/>
      <c r="H23" s="117"/>
    </row>
  </sheetData>
  <customSheetViews>
    <customSheetView guid="{CFF18104-9957-4B22-A0BF-E0E9089CC41B}">
      <selection activeCell="D17" sqref="D17"/>
      <pageMargins left="0.7" right="0.7" top="0.75" bottom="0.75" header="0.3" footer="0.3"/>
    </customSheetView>
    <customSheetView guid="{3AED7B35-86CA-4B6C-A2EC-CD4DE422B896}">
      <selection activeCell="D17" sqref="D17"/>
      <pageMargins left="0.7" right="0.7" top="0.75" bottom="0.75" header="0.3" footer="0.3"/>
    </customSheetView>
    <customSheetView guid="{E64C861B-828F-4357-A2C1-687220A83D03}" showPageBreaks="1">
      <selection activeCell="D17" sqref="D17"/>
      <pageMargins left="0.7" right="0.7" top="0.75" bottom="0.75" header="0.3" footer="0.3"/>
      <pageSetup paperSize="9" orientation="portrait" verticalDpi="0" r:id="rId1"/>
    </customSheetView>
  </customSheetViews>
  <mergeCells count="2">
    <mergeCell ref="G19:G23"/>
    <mergeCell ref="H19:H23"/>
  </mergeCell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0"/>
  <sheetViews>
    <sheetView topLeftCell="A4" zoomScale="115" zoomScaleNormal="115" workbookViewId="0">
      <selection activeCell="A22" sqref="A22"/>
    </sheetView>
  </sheetViews>
  <sheetFormatPr defaultRowHeight="14.4"/>
  <cols>
    <col min="1" max="1" width="14" customWidth="1"/>
    <col min="2" max="2" width="29.88671875" customWidth="1"/>
    <col min="3" max="3" width="19" customWidth="1"/>
    <col min="4" max="4" width="12.44140625" customWidth="1"/>
    <col min="5" max="5" width="14.44140625" customWidth="1"/>
    <col min="6" max="6" width="12.109375" customWidth="1"/>
    <col min="7" max="7" width="18.6640625" customWidth="1"/>
    <col min="8" max="8" width="17.88671875" customWidth="1"/>
  </cols>
  <sheetData>
    <row r="1" spans="1:8">
      <c r="D1" t="s">
        <v>276</v>
      </c>
      <c r="E1" s="8" t="s">
        <v>353</v>
      </c>
      <c r="F1" s="7" t="s">
        <v>352</v>
      </c>
    </row>
    <row r="2" spans="1:8">
      <c r="A2" t="s">
        <v>289</v>
      </c>
      <c r="B2" t="s">
        <v>290</v>
      </c>
      <c r="C2" s="14" t="s">
        <v>291</v>
      </c>
      <c r="D2" s="23" t="s">
        <v>292</v>
      </c>
      <c r="E2" s="8"/>
      <c r="F2" s="7">
        <v>7091311833</v>
      </c>
      <c r="G2">
        <v>34367341861</v>
      </c>
      <c r="H2" t="s">
        <v>380</v>
      </c>
    </row>
    <row r="3" spans="1:8">
      <c r="A3" t="s">
        <v>293</v>
      </c>
      <c r="B3" t="s">
        <v>294</v>
      </c>
      <c r="C3" s="14" t="s">
        <v>295</v>
      </c>
      <c r="D3" s="23">
        <v>19725</v>
      </c>
      <c r="E3" s="7">
        <v>797894990173</v>
      </c>
      <c r="F3" s="7">
        <v>8787510251</v>
      </c>
      <c r="G3" s="7">
        <v>10590776165</v>
      </c>
      <c r="H3" t="s">
        <v>380</v>
      </c>
    </row>
    <row r="4" spans="1:8">
      <c r="A4" t="s">
        <v>328</v>
      </c>
      <c r="B4" t="s">
        <v>329</v>
      </c>
      <c r="C4" s="14" t="s">
        <v>327</v>
      </c>
      <c r="D4" s="23">
        <v>19447</v>
      </c>
      <c r="E4" s="8"/>
      <c r="F4" s="7">
        <v>9334822540</v>
      </c>
      <c r="G4" s="7"/>
    </row>
    <row r="5" spans="1:8">
      <c r="A5" t="s">
        <v>338</v>
      </c>
      <c r="B5" t="s">
        <v>339</v>
      </c>
      <c r="C5" t="s">
        <v>340</v>
      </c>
      <c r="D5" s="23">
        <v>25904</v>
      </c>
      <c r="E5" s="7">
        <v>588814688761</v>
      </c>
      <c r="F5" s="7">
        <v>9279234168</v>
      </c>
      <c r="G5" s="7"/>
    </row>
    <row r="6" spans="1:8">
      <c r="A6" t="s">
        <v>345</v>
      </c>
      <c r="B6" t="s">
        <v>344</v>
      </c>
      <c r="C6" s="14" t="s">
        <v>1272</v>
      </c>
      <c r="D6" s="23" t="s">
        <v>346</v>
      </c>
      <c r="E6" s="8"/>
      <c r="F6" s="7"/>
      <c r="G6" s="7"/>
    </row>
    <row r="7" spans="1:8">
      <c r="A7" t="s">
        <v>350</v>
      </c>
      <c r="B7" t="s">
        <v>349</v>
      </c>
      <c r="C7" s="14" t="s">
        <v>351</v>
      </c>
      <c r="D7" s="23">
        <v>21108</v>
      </c>
      <c r="E7" s="7">
        <v>346553267336</v>
      </c>
      <c r="F7" s="7">
        <v>7033628523</v>
      </c>
      <c r="G7" s="7">
        <v>903104000035228</v>
      </c>
      <c r="H7" t="s">
        <v>384</v>
      </c>
    </row>
    <row r="8" spans="1:8">
      <c r="A8" t="s">
        <v>359</v>
      </c>
      <c r="B8" t="s">
        <v>360</v>
      </c>
      <c r="C8" s="14" t="s">
        <v>362</v>
      </c>
      <c r="D8" s="23" t="s">
        <v>361</v>
      </c>
      <c r="E8" s="7">
        <v>734464059996</v>
      </c>
      <c r="F8">
        <v>9162591889</v>
      </c>
      <c r="G8" s="7"/>
    </row>
    <row r="9" spans="1:8">
      <c r="A9" t="s">
        <v>365</v>
      </c>
      <c r="B9" t="s">
        <v>366</v>
      </c>
      <c r="C9" s="14" t="s">
        <v>385</v>
      </c>
      <c r="D9" s="23" t="s">
        <v>367</v>
      </c>
      <c r="E9" s="8"/>
      <c r="F9" s="7">
        <v>9709031665</v>
      </c>
      <c r="G9" s="7"/>
    </row>
    <row r="10" spans="1:8">
      <c r="A10" t="s">
        <v>368</v>
      </c>
      <c r="B10" t="s">
        <v>369</v>
      </c>
      <c r="C10" s="14" t="s">
        <v>370</v>
      </c>
      <c r="D10" s="23">
        <v>20516</v>
      </c>
      <c r="E10" s="8"/>
      <c r="F10" s="7">
        <v>9709031665</v>
      </c>
      <c r="G10" s="7"/>
    </row>
    <row r="11" spans="1:8">
      <c r="A11" t="s">
        <v>371</v>
      </c>
      <c r="B11" t="s">
        <v>372</v>
      </c>
      <c r="C11" s="14" t="s">
        <v>373</v>
      </c>
      <c r="D11" s="23" t="s">
        <v>374</v>
      </c>
      <c r="E11" s="7">
        <v>250186435274</v>
      </c>
      <c r="F11" s="7">
        <v>8987600904</v>
      </c>
      <c r="G11" s="7">
        <v>450110100013086</v>
      </c>
      <c r="H11" t="s">
        <v>375</v>
      </c>
    </row>
    <row r="12" spans="1:8">
      <c r="A12" t="s">
        <v>376</v>
      </c>
      <c r="B12" t="s">
        <v>377</v>
      </c>
      <c r="C12" s="14" t="s">
        <v>378</v>
      </c>
      <c r="D12" s="23" t="s">
        <v>379</v>
      </c>
      <c r="E12" s="7">
        <v>446280317047</v>
      </c>
      <c r="F12" s="7">
        <v>9472755464</v>
      </c>
      <c r="G12" s="7">
        <v>10590937089</v>
      </c>
      <c r="H12" t="s">
        <v>380</v>
      </c>
    </row>
    <row r="13" spans="1:8">
      <c r="A13" t="s">
        <v>382</v>
      </c>
      <c r="B13" t="s">
        <v>330</v>
      </c>
      <c r="C13" s="14" t="s">
        <v>381</v>
      </c>
      <c r="D13" s="2">
        <v>27396</v>
      </c>
      <c r="E13" s="7">
        <v>523890665989</v>
      </c>
      <c r="F13" s="7">
        <v>8987600904</v>
      </c>
      <c r="G13" s="7">
        <v>184101012802</v>
      </c>
      <c r="H13" t="s">
        <v>383</v>
      </c>
    </row>
    <row r="14" spans="1:8">
      <c r="A14" t="s">
        <v>389</v>
      </c>
      <c r="B14" t="s">
        <v>387</v>
      </c>
      <c r="C14" s="14" t="s">
        <v>388</v>
      </c>
      <c r="D14" s="2">
        <v>35248</v>
      </c>
      <c r="E14" s="7">
        <v>506165653927</v>
      </c>
      <c r="F14" s="7">
        <v>8092161674</v>
      </c>
      <c r="G14" s="7"/>
    </row>
    <row r="15" spans="1:8">
      <c r="A15" t="s">
        <v>423</v>
      </c>
      <c r="B15" t="s">
        <v>421</v>
      </c>
      <c r="C15" s="14" t="s">
        <v>422</v>
      </c>
      <c r="D15" s="2">
        <v>28550</v>
      </c>
      <c r="E15" s="7">
        <v>573458807266</v>
      </c>
      <c r="F15" s="7">
        <v>9470030023</v>
      </c>
      <c r="G15" s="7">
        <v>594910110003646</v>
      </c>
      <c r="H15" t="s">
        <v>424</v>
      </c>
    </row>
    <row r="16" spans="1:8">
      <c r="A16" t="s">
        <v>460</v>
      </c>
      <c r="B16" t="s">
        <v>459</v>
      </c>
      <c r="C16" s="14" t="s">
        <v>461</v>
      </c>
      <c r="D16" s="2">
        <v>23416</v>
      </c>
      <c r="E16" s="7">
        <v>500897133270</v>
      </c>
      <c r="F16" s="7">
        <v>9431345961</v>
      </c>
      <c r="G16" s="7">
        <v>184101007879</v>
      </c>
    </row>
    <row r="17" spans="1:8">
      <c r="A17" t="s">
        <v>502</v>
      </c>
      <c r="B17" t="s">
        <v>501</v>
      </c>
      <c r="C17" t="s">
        <v>503</v>
      </c>
      <c r="D17" s="2">
        <v>29234</v>
      </c>
      <c r="E17" s="7"/>
      <c r="G17" s="7"/>
    </row>
    <row r="18" spans="1:8">
      <c r="A18" t="s">
        <v>580</v>
      </c>
      <c r="B18" t="s">
        <v>585</v>
      </c>
      <c r="C18" s="14" t="s">
        <v>581</v>
      </c>
      <c r="D18" s="2">
        <v>26668</v>
      </c>
      <c r="E18" s="7">
        <v>383671701192</v>
      </c>
      <c r="F18" s="7">
        <v>7903634461</v>
      </c>
      <c r="G18" s="7">
        <v>30207299922</v>
      </c>
      <c r="H18" t="s">
        <v>380</v>
      </c>
    </row>
    <row r="19" spans="1:8">
      <c r="A19" t="s">
        <v>582</v>
      </c>
      <c r="B19" t="s">
        <v>583</v>
      </c>
      <c r="C19" s="14" t="s">
        <v>584</v>
      </c>
      <c r="D19" s="2">
        <v>30301</v>
      </c>
      <c r="E19" s="7">
        <v>311043095182</v>
      </c>
      <c r="F19" s="7">
        <v>7903634461</v>
      </c>
      <c r="G19" s="7">
        <v>450110110017074</v>
      </c>
      <c r="H19" t="s">
        <v>375</v>
      </c>
    </row>
    <row r="20" spans="1:8">
      <c r="A20" t="s">
        <v>611</v>
      </c>
      <c r="B20" t="s">
        <v>612</v>
      </c>
      <c r="C20" s="14" t="s">
        <v>613</v>
      </c>
      <c r="D20" s="2">
        <v>18798</v>
      </c>
      <c r="E20" s="7"/>
      <c r="G20" s="7"/>
    </row>
    <row r="21" spans="1:8">
      <c r="A21" t="s">
        <v>620</v>
      </c>
      <c r="B21" t="s">
        <v>619</v>
      </c>
      <c r="C21" s="14" t="s">
        <v>621</v>
      </c>
      <c r="D21" s="2">
        <v>18798</v>
      </c>
      <c r="E21" s="7"/>
      <c r="G21" s="7"/>
    </row>
    <row r="22" spans="1:8">
      <c r="A22" t="s">
        <v>625</v>
      </c>
      <c r="B22" t="s">
        <v>626</v>
      </c>
      <c r="C22" s="14" t="s">
        <v>627</v>
      </c>
      <c r="D22" s="2">
        <v>22262</v>
      </c>
      <c r="E22" s="7"/>
      <c r="G22" s="7"/>
    </row>
    <row r="23" spans="1:8">
      <c r="A23" t="s">
        <v>642</v>
      </c>
      <c r="B23" t="s">
        <v>643</v>
      </c>
      <c r="C23" s="14" t="s">
        <v>644</v>
      </c>
      <c r="D23" s="2">
        <v>32666</v>
      </c>
      <c r="E23" s="7">
        <v>785214127251</v>
      </c>
      <c r="F23" t="s">
        <v>645</v>
      </c>
      <c r="G23" s="7"/>
    </row>
    <row r="24" spans="1:8">
      <c r="A24" t="s">
        <v>650</v>
      </c>
      <c r="B24" t="s">
        <v>651</v>
      </c>
      <c r="C24" s="14" t="s">
        <v>652</v>
      </c>
      <c r="D24" s="2">
        <v>29240</v>
      </c>
      <c r="E24" s="7">
        <v>963206446972</v>
      </c>
      <c r="F24" s="7">
        <v>8603206132</v>
      </c>
      <c r="G24" s="7"/>
    </row>
    <row r="25" spans="1:8">
      <c r="A25" t="s">
        <v>653</v>
      </c>
      <c r="B25" t="s">
        <v>654</v>
      </c>
      <c r="C25" s="14" t="s">
        <v>655</v>
      </c>
      <c r="D25" s="2">
        <v>21949</v>
      </c>
      <c r="E25" s="7">
        <v>714958601214</v>
      </c>
      <c r="F25">
        <v>9905040647</v>
      </c>
    </row>
    <row r="26" spans="1:8">
      <c r="A26" t="s">
        <v>656</v>
      </c>
      <c r="B26" t="s">
        <v>657</v>
      </c>
      <c r="C26" s="14" t="s">
        <v>658</v>
      </c>
      <c r="D26" s="2">
        <v>22532</v>
      </c>
      <c r="E26" s="7">
        <v>791523597998</v>
      </c>
      <c r="F26">
        <v>9334883756</v>
      </c>
    </row>
    <row r="27" spans="1:8">
      <c r="A27" t="s">
        <v>660</v>
      </c>
      <c r="B27" t="s">
        <v>661</v>
      </c>
      <c r="C27" s="14" t="s">
        <v>662</v>
      </c>
      <c r="D27" s="2">
        <v>33668</v>
      </c>
      <c r="E27" s="7"/>
    </row>
    <row r="28" spans="1:8">
      <c r="A28" t="s">
        <v>300</v>
      </c>
      <c r="B28" t="s">
        <v>296</v>
      </c>
      <c r="C28" s="14" t="s">
        <v>663</v>
      </c>
      <c r="D28" s="2">
        <v>26665</v>
      </c>
      <c r="E28" s="7"/>
    </row>
    <row r="29" spans="1:8">
      <c r="A29" t="s">
        <v>745</v>
      </c>
      <c r="B29" t="s">
        <v>746</v>
      </c>
      <c r="C29" s="14" t="s">
        <v>747</v>
      </c>
      <c r="D29" s="2">
        <v>25937</v>
      </c>
      <c r="E29" s="7"/>
    </row>
    <row r="30" spans="1:8">
      <c r="A30" t="s">
        <v>754</v>
      </c>
      <c r="B30" t="s">
        <v>664</v>
      </c>
      <c r="C30" s="14" t="s">
        <v>748</v>
      </c>
      <c r="D30" s="2">
        <v>28491</v>
      </c>
      <c r="E30" s="7"/>
    </row>
    <row r="31" spans="1:8">
      <c r="A31" t="s">
        <v>751</v>
      </c>
      <c r="B31" t="s">
        <v>750</v>
      </c>
      <c r="C31" s="14" t="s">
        <v>749</v>
      </c>
      <c r="E31" s="7"/>
    </row>
    <row r="32" spans="1:8">
      <c r="A32" t="s">
        <v>767</v>
      </c>
      <c r="B32" t="s">
        <v>768</v>
      </c>
      <c r="C32" s="14" t="s">
        <v>769</v>
      </c>
      <c r="D32" s="2">
        <v>34770</v>
      </c>
      <c r="E32" s="7">
        <v>341564678480</v>
      </c>
      <c r="F32">
        <v>6203684208</v>
      </c>
      <c r="G32" s="7">
        <v>45310000397731</v>
      </c>
    </row>
    <row r="33" spans="1:6">
      <c r="A33" t="s">
        <v>1091</v>
      </c>
      <c r="B33" t="s">
        <v>1093</v>
      </c>
      <c r="C33" s="14" t="s">
        <v>1092</v>
      </c>
      <c r="D33" s="2">
        <v>31157</v>
      </c>
      <c r="E33" s="7"/>
    </row>
    <row r="34" spans="1:6">
      <c r="A34" t="s">
        <v>1106</v>
      </c>
      <c r="B34" t="s">
        <v>688</v>
      </c>
      <c r="C34" s="14" t="s">
        <v>1107</v>
      </c>
      <c r="D34" s="2">
        <v>33368</v>
      </c>
      <c r="E34" s="7">
        <v>301356287661</v>
      </c>
      <c r="F34">
        <v>8092161676</v>
      </c>
    </row>
    <row r="35" spans="1:6">
      <c r="A35" t="s">
        <v>1171</v>
      </c>
      <c r="B35" t="s">
        <v>1172</v>
      </c>
      <c r="C35" s="14" t="s">
        <v>1173</v>
      </c>
      <c r="D35" s="2">
        <v>28035</v>
      </c>
      <c r="E35" s="7"/>
    </row>
    <row r="36" spans="1:6">
      <c r="A36" t="s">
        <v>1179</v>
      </c>
      <c r="B36" t="s">
        <v>1181</v>
      </c>
      <c r="C36" s="14" t="s">
        <v>1180</v>
      </c>
      <c r="D36" s="2">
        <v>23895</v>
      </c>
    </row>
    <row r="37" spans="1:6">
      <c r="A37" t="s">
        <v>1188</v>
      </c>
      <c r="B37" t="s">
        <v>1186</v>
      </c>
      <c r="C37" s="14" t="s">
        <v>1187</v>
      </c>
      <c r="D37" s="2">
        <v>23141</v>
      </c>
    </row>
    <row r="38" spans="1:6">
      <c r="A38" t="s">
        <v>1189</v>
      </c>
      <c r="B38" t="s">
        <v>1190</v>
      </c>
      <c r="C38" s="14" t="s">
        <v>1191</v>
      </c>
      <c r="D38" s="2">
        <v>29530</v>
      </c>
    </row>
    <row r="39" spans="1:6">
      <c r="A39" t="s">
        <v>1225</v>
      </c>
      <c r="C39" s="14" t="s">
        <v>1226</v>
      </c>
    </row>
    <row r="40" spans="1:6">
      <c r="A40" t="s">
        <v>1392</v>
      </c>
      <c r="B40" t="s">
        <v>1391</v>
      </c>
      <c r="C40" s="14" t="s">
        <v>1390</v>
      </c>
      <c r="D40" s="2">
        <v>28111</v>
      </c>
    </row>
    <row r="41" spans="1:6">
      <c r="A41" t="s">
        <v>1525</v>
      </c>
      <c r="B41" t="s">
        <v>1526</v>
      </c>
      <c r="C41" s="14" t="s">
        <v>1524</v>
      </c>
    </row>
    <row r="42" spans="1:6">
      <c r="A42" t="s">
        <v>1531</v>
      </c>
      <c r="B42" t="s">
        <v>1533</v>
      </c>
      <c r="C42" s="14" t="s">
        <v>1532</v>
      </c>
    </row>
    <row r="43" spans="1:6">
      <c r="A43" t="s">
        <v>1535</v>
      </c>
      <c r="B43" t="s">
        <v>1537</v>
      </c>
      <c r="C43" s="14" t="s">
        <v>1536</v>
      </c>
    </row>
    <row r="44" spans="1:6">
      <c r="A44" t="s">
        <v>1578</v>
      </c>
      <c r="B44" t="s">
        <v>1579</v>
      </c>
      <c r="D44" s="2">
        <v>19680</v>
      </c>
    </row>
    <row r="45" spans="1:6">
      <c r="B45" t="s">
        <v>673</v>
      </c>
    </row>
    <row r="46" spans="1:6">
      <c r="A46" t="s">
        <v>1733</v>
      </c>
      <c r="B46" t="s">
        <v>1734</v>
      </c>
      <c r="C46" t="s">
        <v>1742</v>
      </c>
      <c r="D46" t="s">
        <v>1743</v>
      </c>
      <c r="F46">
        <v>9771441692</v>
      </c>
    </row>
    <row r="47" spans="1:6">
      <c r="A47" t="s">
        <v>1735</v>
      </c>
      <c r="B47" t="s">
        <v>1736</v>
      </c>
      <c r="C47" t="s">
        <v>1737</v>
      </c>
      <c r="D47" s="2">
        <v>25510</v>
      </c>
      <c r="F47">
        <v>9955906594</v>
      </c>
    </row>
    <row r="48" spans="1:6">
      <c r="A48" t="s">
        <v>1745</v>
      </c>
      <c r="B48" t="s">
        <v>1746</v>
      </c>
      <c r="C48" t="s">
        <v>1744</v>
      </c>
      <c r="F48">
        <v>7979052016</v>
      </c>
    </row>
    <row r="49" spans="1:6">
      <c r="A49" t="s">
        <v>1747</v>
      </c>
      <c r="B49" t="s">
        <v>1748</v>
      </c>
      <c r="C49" t="s">
        <v>1749</v>
      </c>
    </row>
    <row r="50" spans="1:6">
      <c r="A50" t="s">
        <v>1756</v>
      </c>
      <c r="B50" t="s">
        <v>1750</v>
      </c>
      <c r="C50" t="s">
        <v>1752</v>
      </c>
    </row>
    <row r="51" spans="1:6">
      <c r="A51" t="s">
        <v>1753</v>
      </c>
      <c r="B51" t="s">
        <v>1755</v>
      </c>
      <c r="C51" t="s">
        <v>1754</v>
      </c>
      <c r="D51" s="2">
        <v>23754</v>
      </c>
      <c r="F51">
        <v>9204696356</v>
      </c>
    </row>
    <row r="52" spans="1:6">
      <c r="A52" t="s">
        <v>1757</v>
      </c>
      <c r="B52" t="s">
        <v>1553</v>
      </c>
      <c r="C52" t="s">
        <v>1758</v>
      </c>
    </row>
    <row r="53" spans="1:6">
      <c r="A53" t="s">
        <v>1770</v>
      </c>
      <c r="B53" t="s">
        <v>1762</v>
      </c>
      <c r="C53" t="s">
        <v>1763</v>
      </c>
      <c r="D53" s="2">
        <v>18751</v>
      </c>
      <c r="F53">
        <v>9693117540</v>
      </c>
    </row>
    <row r="54" spans="1:6">
      <c r="A54" t="s">
        <v>1764</v>
      </c>
      <c r="B54" t="s">
        <v>1765</v>
      </c>
      <c r="C54" t="s">
        <v>1766</v>
      </c>
      <c r="D54" s="2">
        <v>27575</v>
      </c>
      <c r="F54">
        <v>7070139828</v>
      </c>
    </row>
    <row r="55" spans="1:6">
      <c r="A55" s="9" t="s">
        <v>1767</v>
      </c>
      <c r="B55" t="s">
        <v>1768</v>
      </c>
      <c r="C55" t="s">
        <v>1769</v>
      </c>
      <c r="F55">
        <v>8235229224</v>
      </c>
    </row>
    <row r="56" spans="1:6">
      <c r="A56" s="114" t="s">
        <v>1774</v>
      </c>
      <c r="B56" t="s">
        <v>1775</v>
      </c>
      <c r="C56" t="s">
        <v>1776</v>
      </c>
    </row>
    <row r="57" spans="1:6">
      <c r="A57" t="s">
        <v>1784</v>
      </c>
      <c r="B57" t="s">
        <v>1725</v>
      </c>
      <c r="C57" t="s">
        <v>1785</v>
      </c>
    </row>
    <row r="58" spans="1:6">
      <c r="A58" t="s">
        <v>1788</v>
      </c>
      <c r="B58" t="s">
        <v>1789</v>
      </c>
      <c r="C58" t="s">
        <v>1790</v>
      </c>
    </row>
    <row r="59" spans="1:6">
      <c r="A59" t="s">
        <v>1791</v>
      </c>
      <c r="B59" t="s">
        <v>1792</v>
      </c>
      <c r="C59" t="s">
        <v>1793</v>
      </c>
      <c r="F59">
        <v>9234686751</v>
      </c>
    </row>
    <row r="60" spans="1:6">
      <c r="A60" t="s">
        <v>1799</v>
      </c>
      <c r="B60" t="s">
        <v>1801</v>
      </c>
      <c r="C60" t="s">
        <v>1800</v>
      </c>
      <c r="F60">
        <v>9386030301</v>
      </c>
    </row>
  </sheetData>
  <customSheetViews>
    <customSheetView guid="{CFF18104-9957-4B22-A0BF-E0E9089CC41B}" scale="115" topLeftCell="A37">
      <selection activeCell="B51" sqref="B51"/>
      <pageMargins left="0.7" right="0.7" top="0.75" bottom="0.75" header="0.3" footer="0.3"/>
      <pageSetup paperSize="9" orientation="portrait" r:id="rId1"/>
    </customSheetView>
    <customSheetView guid="{1DB3B8BB-FF13-43E4-91E2-4D5FE1537F47}">
      <selection activeCell="A4" sqref="A4"/>
      <pageMargins left="0.7" right="0.7" top="0.75" bottom="0.75" header="0.3" footer="0.3"/>
      <pageSetup paperSize="9" orientation="portrait" horizontalDpi="0" verticalDpi="0" r:id="rId2"/>
    </customSheetView>
    <customSheetView guid="{9FBD6FCD-ABF0-44CA-B044-9B9EEA555F2A}">
      <selection activeCell="A3" sqref="A3"/>
      <pageMargins left="0.7" right="0.7" top="0.75" bottom="0.75" header="0.3" footer="0.3"/>
    </customSheetView>
    <customSheetView guid="{76DB48ED-F9D5-46EE-8B68-22302006932B}">
      <selection activeCell="A3" sqref="A3"/>
      <pageMargins left="0.7" right="0.7" top="0.75" bottom="0.75" header="0.3" footer="0.3"/>
    </customSheetView>
    <customSheetView guid="{17BB0635-933F-4031-AA1B-02B47946C686}">
      <selection activeCell="B14" sqref="B14"/>
      <pageMargins left="0.7" right="0.7" top="0.75" bottom="0.75" header="0.3" footer="0.3"/>
      <pageSetup paperSize="9" orientation="portrait" horizontalDpi="0" verticalDpi="0" r:id="rId3"/>
    </customSheetView>
    <customSheetView guid="{3AED7B35-86CA-4B6C-A2EC-CD4DE422B896}" scale="115">
      <selection activeCell="B1" sqref="B1"/>
      <pageMargins left="0.7" right="0.7" top="0.75" bottom="0.75" header="0.3" footer="0.3"/>
      <pageSetup paperSize="9" orientation="portrait" r:id="rId4"/>
    </customSheetView>
    <customSheetView guid="{E64C861B-828F-4357-A2C1-687220A83D03}" scale="115" showPageBreaks="1">
      <selection activeCell="A22" sqref="A22"/>
      <pageMargins left="0.7" right="0.7" top="0.75" bottom="0.75" header="0.3" footer="0.3"/>
      <pageSetup paperSize="9" orientation="portrait" r:id="rId5"/>
    </customSheetView>
  </customSheetViews>
  <hyperlinks>
    <hyperlink ref="C2" r:id="rId6" xr:uid="{00000000-0004-0000-0800-000000000000}"/>
    <hyperlink ref="C3" r:id="rId7" xr:uid="{00000000-0004-0000-0800-000001000000}"/>
    <hyperlink ref="C6" r:id="rId8" xr:uid="{00000000-0004-0000-0800-000002000000}"/>
    <hyperlink ref="C7" r:id="rId9" xr:uid="{00000000-0004-0000-0800-000003000000}"/>
    <hyperlink ref="C8" r:id="rId10" xr:uid="{00000000-0004-0000-0800-000004000000}"/>
    <hyperlink ref="C10" r:id="rId11" xr:uid="{00000000-0004-0000-0800-000005000000}"/>
    <hyperlink ref="C11" r:id="rId12" xr:uid="{00000000-0004-0000-0800-000006000000}"/>
    <hyperlink ref="C12" r:id="rId13" xr:uid="{00000000-0004-0000-0800-000007000000}"/>
    <hyperlink ref="C13" r:id="rId14" xr:uid="{00000000-0004-0000-0800-000008000000}"/>
    <hyperlink ref="C9" r:id="rId15" xr:uid="{00000000-0004-0000-0800-000009000000}"/>
    <hyperlink ref="C14" r:id="rId16" xr:uid="{00000000-0004-0000-0800-00000A000000}"/>
    <hyperlink ref="C4" r:id="rId17" xr:uid="{00000000-0004-0000-0800-00000B000000}"/>
    <hyperlink ref="C15" r:id="rId18" xr:uid="{00000000-0004-0000-0800-00000C000000}"/>
    <hyperlink ref="C16" r:id="rId19" xr:uid="{00000000-0004-0000-0800-00000D000000}"/>
    <hyperlink ref="C18" r:id="rId20" xr:uid="{00000000-0004-0000-0800-00000E000000}"/>
    <hyperlink ref="C19" r:id="rId21" xr:uid="{00000000-0004-0000-0800-00000F000000}"/>
    <hyperlink ref="C20" r:id="rId22" xr:uid="{00000000-0004-0000-0800-000010000000}"/>
    <hyperlink ref="C21" r:id="rId23" xr:uid="{00000000-0004-0000-0800-000011000000}"/>
    <hyperlink ref="C22" r:id="rId24" xr:uid="{00000000-0004-0000-0800-000012000000}"/>
    <hyperlink ref="C23" r:id="rId25" xr:uid="{00000000-0004-0000-0800-000013000000}"/>
    <hyperlink ref="C24" r:id="rId26" xr:uid="{00000000-0004-0000-0800-000014000000}"/>
    <hyperlink ref="C25" r:id="rId27" xr:uid="{00000000-0004-0000-0800-000015000000}"/>
    <hyperlink ref="C26" r:id="rId28" xr:uid="{00000000-0004-0000-0800-000016000000}"/>
    <hyperlink ref="C27" r:id="rId29" xr:uid="{00000000-0004-0000-0800-000017000000}"/>
    <hyperlink ref="C28" r:id="rId30" xr:uid="{00000000-0004-0000-0800-000018000000}"/>
    <hyperlink ref="C29" r:id="rId31" xr:uid="{00000000-0004-0000-0800-000019000000}"/>
    <hyperlink ref="C30" r:id="rId32" xr:uid="{00000000-0004-0000-0800-00001A000000}"/>
    <hyperlink ref="C31" r:id="rId33" xr:uid="{00000000-0004-0000-0800-00001B000000}"/>
    <hyperlink ref="C32" r:id="rId34" xr:uid="{00000000-0004-0000-0800-00001C000000}"/>
    <hyperlink ref="C33" r:id="rId35" xr:uid="{00000000-0004-0000-0800-00001D000000}"/>
    <hyperlink ref="C34" r:id="rId36" xr:uid="{00000000-0004-0000-0800-00001E000000}"/>
    <hyperlink ref="C35" r:id="rId37" xr:uid="{00000000-0004-0000-0800-00001F000000}"/>
    <hyperlink ref="C36" r:id="rId38" xr:uid="{00000000-0004-0000-0800-000020000000}"/>
    <hyperlink ref="C37" r:id="rId39" xr:uid="{00000000-0004-0000-0800-000021000000}"/>
    <hyperlink ref="C38" r:id="rId40" xr:uid="{00000000-0004-0000-0800-000022000000}"/>
    <hyperlink ref="C39" r:id="rId41" xr:uid="{00000000-0004-0000-0800-000023000000}"/>
    <hyperlink ref="C40" r:id="rId42" xr:uid="{EC492307-7D6A-471F-8BE8-7E2EE0D2C676}"/>
    <hyperlink ref="C41" r:id="rId43" xr:uid="{0668BCC7-9BD6-476E-9D38-66327A74ECDD}"/>
    <hyperlink ref="C42" r:id="rId44" xr:uid="{4EE5F466-2A90-467C-9C46-F79242FF1597}"/>
    <hyperlink ref="C43" r:id="rId45" xr:uid="{95CDF576-F126-4107-AF1D-17F197A61D1D}"/>
  </hyperlinks>
  <pageMargins left="0.7" right="0.7" top="0.75" bottom="0.75" header="0.3" footer="0.3"/>
  <pageSetup paperSize="9" orientation="portrait" r:id="rId4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34"/>
  <sheetViews>
    <sheetView zoomScale="85" zoomScaleNormal="85" workbookViewId="0">
      <pane ySplit="2" topLeftCell="A87" activePane="bottomLeft" state="frozen"/>
      <selection pane="bottomLeft" activeCell="C105" sqref="C105"/>
    </sheetView>
  </sheetViews>
  <sheetFormatPr defaultColWidth="9.109375" defaultRowHeight="18"/>
  <cols>
    <col min="1" max="1" width="15.33203125" style="60" customWidth="1"/>
    <col min="2" max="2" width="19.5546875" style="54" customWidth="1"/>
    <col min="3" max="3" width="33" style="54" customWidth="1"/>
    <col min="4" max="4" width="17.5546875" style="54" customWidth="1"/>
    <col min="5" max="5" width="29.6640625" style="54" customWidth="1"/>
    <col min="6" max="6" width="14.6640625" style="59" customWidth="1"/>
    <col min="7" max="7" width="15.88671875" style="57" customWidth="1"/>
    <col min="8" max="8" width="9" style="54" customWidth="1"/>
    <col min="9" max="9" width="11" style="54" customWidth="1"/>
    <col min="10" max="13" width="9.109375" style="54"/>
    <col min="14" max="14" width="11.33203125" style="54" bestFit="1" customWidth="1"/>
    <col min="15" max="15" width="9.109375" style="54"/>
    <col min="16" max="16" width="15.6640625" style="54" bestFit="1" customWidth="1"/>
    <col min="17" max="16384" width="9.109375" style="54"/>
  </cols>
  <sheetData>
    <row r="1" spans="1:16" s="96" customFormat="1" ht="54">
      <c r="A1" s="93" t="s">
        <v>902</v>
      </c>
      <c r="B1" s="94" t="s">
        <v>331</v>
      </c>
      <c r="C1" s="95"/>
      <c r="D1" s="95" t="s">
        <v>1663</v>
      </c>
      <c r="E1" s="96" t="s">
        <v>1665</v>
      </c>
      <c r="F1" s="94" t="s">
        <v>999</v>
      </c>
      <c r="G1" s="97" t="s">
        <v>343</v>
      </c>
      <c r="H1" s="94"/>
      <c r="I1" s="94" t="s">
        <v>332</v>
      </c>
      <c r="J1" s="94"/>
      <c r="K1" s="94" t="s">
        <v>666</v>
      </c>
      <c r="L1" s="94" t="s">
        <v>667</v>
      </c>
      <c r="M1" s="94" t="s">
        <v>668</v>
      </c>
      <c r="N1" s="94" t="s">
        <v>669</v>
      </c>
      <c r="O1" s="94" t="s">
        <v>670</v>
      </c>
    </row>
    <row r="2" spans="1:16">
      <c r="A2" s="56"/>
      <c r="B2" s="52"/>
      <c r="C2" s="57"/>
      <c r="D2" s="57"/>
      <c r="F2" s="52"/>
      <c r="G2" s="53"/>
      <c r="H2" s="52"/>
      <c r="I2" s="52"/>
      <c r="J2" s="52"/>
      <c r="K2" s="52"/>
      <c r="L2" s="63">
        <f>SUM(L5:L97)</f>
        <v>24700</v>
      </c>
      <c r="M2" s="63"/>
      <c r="N2" s="63"/>
      <c r="O2" s="63">
        <f>SUM(O5:O97)</f>
        <v>30100</v>
      </c>
      <c r="P2" s="63">
        <f>O2-L2</f>
        <v>5400</v>
      </c>
    </row>
    <row r="3" spans="1:16" s="64" customFormat="1">
      <c r="A3" s="65">
        <v>43227</v>
      </c>
      <c r="B3" s="77">
        <v>955062118</v>
      </c>
      <c r="C3" s="66" t="s">
        <v>315</v>
      </c>
      <c r="D3" s="64">
        <v>8092231804</v>
      </c>
      <c r="F3" s="85"/>
      <c r="G3" s="66">
        <v>36016</v>
      </c>
      <c r="I3" s="64" t="s">
        <v>333</v>
      </c>
      <c r="J3" s="64" t="s">
        <v>609</v>
      </c>
    </row>
    <row r="4" spans="1:16">
      <c r="A4" s="56"/>
      <c r="C4" s="57"/>
      <c r="J4" s="59">
        <v>1</v>
      </c>
      <c r="K4" s="59">
        <v>2</v>
      </c>
      <c r="L4" s="59"/>
      <c r="M4" s="59">
        <v>3</v>
      </c>
      <c r="N4" s="59">
        <v>4</v>
      </c>
      <c r="O4" s="59">
        <v>5</v>
      </c>
    </row>
    <row r="5" spans="1:16">
      <c r="A5" s="56">
        <v>43513</v>
      </c>
      <c r="B5" s="54">
        <v>506354419</v>
      </c>
      <c r="C5" s="57" t="s">
        <v>463</v>
      </c>
      <c r="D5" s="54">
        <v>9110186831</v>
      </c>
      <c r="E5" s="54" t="s">
        <v>762</v>
      </c>
      <c r="G5" s="57">
        <v>34341</v>
      </c>
      <c r="I5" s="54" t="s">
        <v>504</v>
      </c>
      <c r="J5" s="54">
        <v>4300</v>
      </c>
      <c r="K5" s="54">
        <v>4300</v>
      </c>
      <c r="L5" s="54">
        <f t="shared" ref="L5:L9" si="0">J5-K5</f>
        <v>0</v>
      </c>
      <c r="M5" s="54">
        <v>3500</v>
      </c>
      <c r="N5" s="54">
        <v>3500</v>
      </c>
      <c r="O5" s="54">
        <f t="shared" ref="O5:O96" si="1">M5-N5</f>
        <v>0</v>
      </c>
    </row>
    <row r="6" spans="1:16">
      <c r="A6" s="56"/>
      <c r="B6" s="60" t="s">
        <v>469</v>
      </c>
      <c r="C6" s="57" t="s">
        <v>470</v>
      </c>
      <c r="D6" s="54">
        <v>8873555140</v>
      </c>
      <c r="G6" s="57">
        <v>20973</v>
      </c>
      <c r="I6" s="54" t="s">
        <v>690</v>
      </c>
      <c r="J6" s="54">
        <v>4800</v>
      </c>
      <c r="K6" s="54">
        <f>3000+1800</f>
        <v>4800</v>
      </c>
      <c r="L6" s="54">
        <f t="shared" si="0"/>
        <v>0</v>
      </c>
      <c r="M6" s="54">
        <v>4000</v>
      </c>
      <c r="N6" s="54">
        <v>4000</v>
      </c>
      <c r="O6" s="54">
        <f t="shared" si="1"/>
        <v>0</v>
      </c>
    </row>
    <row r="7" spans="1:16">
      <c r="A7" s="56">
        <v>43568</v>
      </c>
      <c r="C7" s="57" t="s">
        <v>531</v>
      </c>
      <c r="D7" s="54">
        <v>7004404619</v>
      </c>
      <c r="I7" s="54" t="s">
        <v>532</v>
      </c>
      <c r="J7" s="54">
        <v>2800</v>
      </c>
      <c r="K7" s="54">
        <v>2800</v>
      </c>
      <c r="L7" s="54">
        <f t="shared" si="0"/>
        <v>0</v>
      </c>
      <c r="M7" s="54">
        <v>2500</v>
      </c>
      <c r="N7" s="54">
        <v>2500</v>
      </c>
      <c r="O7" s="54">
        <f t="shared" si="1"/>
        <v>0</v>
      </c>
    </row>
    <row r="8" spans="1:16" s="64" customFormat="1">
      <c r="A8" s="65"/>
      <c r="B8" s="64">
        <v>2072130619</v>
      </c>
      <c r="C8" s="66" t="s">
        <v>525</v>
      </c>
      <c r="D8" s="64">
        <v>7488275033</v>
      </c>
      <c r="E8" s="64" t="s">
        <v>762</v>
      </c>
      <c r="F8" s="86"/>
      <c r="G8" s="66"/>
      <c r="I8" s="64" t="s">
        <v>610</v>
      </c>
      <c r="J8" s="64">
        <v>4300</v>
      </c>
      <c r="K8" s="64">
        <v>4300</v>
      </c>
      <c r="L8" s="64">
        <f t="shared" si="0"/>
        <v>0</v>
      </c>
      <c r="M8" s="64">
        <v>3500</v>
      </c>
      <c r="N8" s="64">
        <v>3500</v>
      </c>
      <c r="O8" s="64">
        <f t="shared" si="1"/>
        <v>0</v>
      </c>
      <c r="P8" s="64" t="s">
        <v>753</v>
      </c>
    </row>
    <row r="9" spans="1:16">
      <c r="A9" s="56"/>
      <c r="C9" s="57" t="s">
        <v>634</v>
      </c>
      <c r="D9" s="54">
        <v>9708669563</v>
      </c>
      <c r="I9" s="54" t="s">
        <v>532</v>
      </c>
      <c r="J9" s="54">
        <v>4700</v>
      </c>
      <c r="K9" s="54">
        <v>4700</v>
      </c>
      <c r="L9" s="54">
        <f t="shared" si="0"/>
        <v>0</v>
      </c>
      <c r="M9" s="54">
        <v>3400</v>
      </c>
      <c r="N9" s="54">
        <v>3400</v>
      </c>
      <c r="O9" s="54">
        <f t="shared" si="1"/>
        <v>0</v>
      </c>
    </row>
    <row r="10" spans="1:16" s="64" customFormat="1">
      <c r="A10" s="65">
        <v>43698</v>
      </c>
      <c r="B10" s="64">
        <v>4733277619</v>
      </c>
      <c r="C10" s="66" t="s">
        <v>646</v>
      </c>
      <c r="D10" s="64">
        <v>9234131348</v>
      </c>
      <c r="F10" s="86"/>
      <c r="G10" s="66">
        <v>29537</v>
      </c>
      <c r="I10" s="64" t="s">
        <v>647</v>
      </c>
      <c r="J10" s="64">
        <v>4600</v>
      </c>
      <c r="K10" s="64">
        <f>3000+1600</f>
        <v>4600</v>
      </c>
      <c r="L10" s="64">
        <f>J10-K10</f>
        <v>0</v>
      </c>
      <c r="M10" s="64">
        <v>3700</v>
      </c>
      <c r="N10" s="64">
        <f>3000+700</f>
        <v>3700</v>
      </c>
      <c r="O10" s="64">
        <f t="shared" si="1"/>
        <v>0</v>
      </c>
    </row>
    <row r="11" spans="1:16" s="64" customFormat="1">
      <c r="A11" s="65">
        <v>43699</v>
      </c>
      <c r="B11" s="64" t="s">
        <v>771</v>
      </c>
      <c r="C11" s="66" t="s">
        <v>649</v>
      </c>
      <c r="D11" s="64" t="s">
        <v>1664</v>
      </c>
      <c r="F11" s="86"/>
      <c r="G11" s="66">
        <v>36613</v>
      </c>
      <c r="I11" s="64" t="s">
        <v>647</v>
      </c>
      <c r="J11" s="64">
        <v>4500</v>
      </c>
      <c r="K11" s="64">
        <v>4500</v>
      </c>
      <c r="L11" s="64">
        <f>J11-K11</f>
        <v>0</v>
      </c>
      <c r="M11" s="64">
        <v>3700</v>
      </c>
      <c r="N11" s="64">
        <v>3700</v>
      </c>
      <c r="O11" s="64">
        <f t="shared" si="1"/>
        <v>0</v>
      </c>
    </row>
    <row r="12" spans="1:16">
      <c r="A12" s="56"/>
      <c r="B12" s="54">
        <v>2649990119</v>
      </c>
      <c r="C12" s="57" t="s">
        <v>659</v>
      </c>
      <c r="G12" s="57">
        <v>25532</v>
      </c>
      <c r="I12" s="54" t="s">
        <v>647</v>
      </c>
      <c r="O12" s="54">
        <f t="shared" si="1"/>
        <v>0</v>
      </c>
    </row>
    <row r="13" spans="1:16">
      <c r="B13" s="54">
        <v>2735580119</v>
      </c>
      <c r="C13" s="61" t="s">
        <v>665</v>
      </c>
      <c r="D13" s="54">
        <v>9835189579</v>
      </c>
      <c r="G13" s="57">
        <v>23023</v>
      </c>
      <c r="I13" s="54" t="s">
        <v>532</v>
      </c>
      <c r="J13" s="54">
        <v>1700</v>
      </c>
      <c r="K13" s="54">
        <v>1700</v>
      </c>
      <c r="L13" s="54">
        <f t="shared" ref="L13:L101" si="2">J13-K13</f>
        <v>0</v>
      </c>
      <c r="M13" s="54">
        <v>1200</v>
      </c>
      <c r="N13" s="54">
        <v>1200</v>
      </c>
      <c r="O13" s="54">
        <f t="shared" si="1"/>
        <v>0</v>
      </c>
    </row>
    <row r="14" spans="1:16">
      <c r="A14" s="56">
        <v>43713</v>
      </c>
      <c r="C14" s="61" t="s">
        <v>671</v>
      </c>
      <c r="D14" s="54">
        <v>9709210887</v>
      </c>
      <c r="E14" s="54" t="s">
        <v>762</v>
      </c>
      <c r="I14" s="54" t="s">
        <v>532</v>
      </c>
      <c r="J14" s="54">
        <f>1700+1100</f>
        <v>2800</v>
      </c>
      <c r="K14" s="54">
        <v>2800</v>
      </c>
      <c r="L14" s="54">
        <f t="shared" si="2"/>
        <v>0</v>
      </c>
      <c r="M14" s="54">
        <f>1300+1100</f>
        <v>2400</v>
      </c>
      <c r="N14" s="54">
        <v>2400</v>
      </c>
      <c r="O14" s="54">
        <f t="shared" si="1"/>
        <v>0</v>
      </c>
    </row>
    <row r="15" spans="1:16">
      <c r="A15" s="56">
        <v>43713</v>
      </c>
      <c r="C15" s="61" t="s">
        <v>674</v>
      </c>
      <c r="D15" s="54">
        <v>9431569365</v>
      </c>
      <c r="E15" s="54" t="s">
        <v>762</v>
      </c>
      <c r="I15" s="54" t="s">
        <v>647</v>
      </c>
      <c r="J15" s="54">
        <f>1700+500</f>
        <v>2200</v>
      </c>
      <c r="K15" s="54">
        <v>2200</v>
      </c>
      <c r="L15" s="54">
        <f t="shared" si="2"/>
        <v>0</v>
      </c>
      <c r="M15" s="54">
        <f>1300+400</f>
        <v>1700</v>
      </c>
      <c r="N15" s="54">
        <v>1700</v>
      </c>
      <c r="O15" s="54">
        <f t="shared" si="1"/>
        <v>0</v>
      </c>
    </row>
    <row r="16" spans="1:16" s="64" customFormat="1">
      <c r="A16" s="65">
        <v>43713</v>
      </c>
      <c r="B16" s="64">
        <v>2767761419</v>
      </c>
      <c r="C16" s="66" t="s">
        <v>675</v>
      </c>
      <c r="D16" s="64" t="s">
        <v>935</v>
      </c>
      <c r="F16" s="86"/>
      <c r="G16" s="66">
        <v>35227</v>
      </c>
      <c r="I16" s="64" t="s">
        <v>647</v>
      </c>
      <c r="J16" s="64">
        <v>4600</v>
      </c>
      <c r="K16" s="64">
        <v>4600</v>
      </c>
      <c r="L16" s="64">
        <f t="shared" si="2"/>
        <v>0</v>
      </c>
      <c r="M16" s="64">
        <v>3700</v>
      </c>
      <c r="N16" s="64">
        <f>1500+2200</f>
        <v>3700</v>
      </c>
      <c r="O16" s="64">
        <f t="shared" si="1"/>
        <v>0</v>
      </c>
    </row>
    <row r="17" spans="1:17" s="64" customFormat="1">
      <c r="A17" s="65">
        <v>43716</v>
      </c>
      <c r="B17" s="64" t="s">
        <v>936</v>
      </c>
      <c r="C17" s="66" t="s">
        <v>688</v>
      </c>
      <c r="D17" s="64">
        <v>8092161676</v>
      </c>
      <c r="F17" s="86"/>
      <c r="G17" s="66">
        <v>33368</v>
      </c>
      <c r="I17" s="64" t="s">
        <v>647</v>
      </c>
      <c r="J17" s="64">
        <v>4500</v>
      </c>
      <c r="K17" s="64">
        <f>2000+2500</f>
        <v>4500</v>
      </c>
      <c r="L17" s="64">
        <f t="shared" si="2"/>
        <v>0</v>
      </c>
      <c r="M17" s="64">
        <v>3700</v>
      </c>
      <c r="N17" s="64">
        <f>1500+2200</f>
        <v>3700</v>
      </c>
      <c r="O17" s="64">
        <f t="shared" si="1"/>
        <v>0</v>
      </c>
      <c r="P17" s="64" t="s">
        <v>689</v>
      </c>
    </row>
    <row r="18" spans="1:17">
      <c r="A18" s="56">
        <v>43719</v>
      </c>
      <c r="C18" s="57" t="s">
        <v>310</v>
      </c>
      <c r="D18" s="54">
        <v>9279148348</v>
      </c>
      <c r="I18" s="54" t="s">
        <v>532</v>
      </c>
      <c r="J18" s="54">
        <v>2900</v>
      </c>
      <c r="K18" s="54">
        <v>2900</v>
      </c>
      <c r="L18" s="54">
        <f t="shared" si="2"/>
        <v>0</v>
      </c>
      <c r="M18" s="54">
        <v>2400</v>
      </c>
      <c r="N18" s="54">
        <v>2400</v>
      </c>
      <c r="O18" s="54">
        <f t="shared" si="1"/>
        <v>0</v>
      </c>
    </row>
    <row r="19" spans="1:17" s="64" customFormat="1">
      <c r="A19" s="65">
        <v>43719</v>
      </c>
      <c r="B19" s="64">
        <v>2896050719</v>
      </c>
      <c r="C19" s="66" t="s">
        <v>409</v>
      </c>
      <c r="D19" s="64">
        <v>8797826254</v>
      </c>
      <c r="F19" s="86"/>
      <c r="G19" s="66">
        <v>27936</v>
      </c>
      <c r="I19" s="64" t="s">
        <v>647</v>
      </c>
      <c r="J19" s="64">
        <v>4400</v>
      </c>
      <c r="K19" s="64">
        <v>4400</v>
      </c>
      <c r="L19" s="64">
        <f t="shared" si="2"/>
        <v>0</v>
      </c>
      <c r="M19" s="64">
        <v>3700</v>
      </c>
      <c r="N19" s="64">
        <f>2500+1200</f>
        <v>3700</v>
      </c>
      <c r="O19" s="64">
        <f t="shared" si="1"/>
        <v>0</v>
      </c>
    </row>
    <row r="20" spans="1:17">
      <c r="A20" s="56">
        <v>43735</v>
      </c>
      <c r="C20" s="62" t="s">
        <v>752</v>
      </c>
      <c r="D20" s="54">
        <v>8092496665</v>
      </c>
      <c r="I20" s="54" t="s">
        <v>532</v>
      </c>
      <c r="J20" s="54">
        <f>1100+1700</f>
        <v>2800</v>
      </c>
      <c r="K20" s="54">
        <v>2800</v>
      </c>
      <c r="L20" s="54">
        <f t="shared" si="2"/>
        <v>0</v>
      </c>
      <c r="M20" s="54">
        <f>1100+1300</f>
        <v>2400</v>
      </c>
      <c r="N20" s="54">
        <v>2400</v>
      </c>
      <c r="O20" s="54">
        <f t="shared" si="1"/>
        <v>0</v>
      </c>
    </row>
    <row r="21" spans="1:17" s="64" customFormat="1">
      <c r="A21" s="65">
        <v>43751</v>
      </c>
      <c r="B21" s="64">
        <v>3617237319</v>
      </c>
      <c r="C21" s="66" t="s">
        <v>757</v>
      </c>
      <c r="D21" s="64">
        <v>9835477685</v>
      </c>
      <c r="F21" s="86">
        <v>1083670820</v>
      </c>
      <c r="G21" s="66">
        <v>24901</v>
      </c>
      <c r="I21" s="64" t="s">
        <v>647</v>
      </c>
      <c r="J21" s="64">
        <v>4500</v>
      </c>
      <c r="K21" s="64">
        <f>1500+3000</f>
        <v>4500</v>
      </c>
      <c r="L21" s="64">
        <f t="shared" si="2"/>
        <v>0</v>
      </c>
      <c r="M21" s="64">
        <v>3700</v>
      </c>
      <c r="N21" s="64">
        <f>1500+2200</f>
        <v>3700</v>
      </c>
      <c r="O21" s="64">
        <f t="shared" si="1"/>
        <v>0</v>
      </c>
    </row>
    <row r="22" spans="1:17" s="64" customFormat="1">
      <c r="A22" s="65">
        <v>43751</v>
      </c>
      <c r="B22" s="64">
        <v>3617765419</v>
      </c>
      <c r="C22" s="66" t="s">
        <v>758</v>
      </c>
      <c r="D22" s="64">
        <v>7209950221</v>
      </c>
      <c r="F22" s="86"/>
      <c r="G22" s="66">
        <v>26456</v>
      </c>
      <c r="I22" s="64" t="s">
        <v>647</v>
      </c>
      <c r="J22" s="64">
        <v>4200</v>
      </c>
      <c r="K22" s="64">
        <f>1500+2700</f>
        <v>4200</v>
      </c>
      <c r="L22" s="64">
        <f t="shared" si="2"/>
        <v>0</v>
      </c>
      <c r="M22" s="64">
        <v>3700</v>
      </c>
      <c r="N22" s="64">
        <v>3700</v>
      </c>
      <c r="O22" s="64">
        <f t="shared" si="1"/>
        <v>0</v>
      </c>
    </row>
    <row r="23" spans="1:17" s="64" customFormat="1">
      <c r="A23" s="65">
        <v>43753</v>
      </c>
      <c r="B23" s="64">
        <v>3618088419</v>
      </c>
      <c r="C23" s="66" t="s">
        <v>759</v>
      </c>
      <c r="D23" s="64">
        <v>9716966254</v>
      </c>
      <c r="F23" s="86">
        <v>1083441220</v>
      </c>
      <c r="G23" s="66">
        <v>32152</v>
      </c>
      <c r="I23" s="64" t="s">
        <v>647</v>
      </c>
      <c r="J23" s="64">
        <v>4300</v>
      </c>
      <c r="K23" s="64">
        <f>3000+1300</f>
        <v>4300</v>
      </c>
      <c r="L23" s="64">
        <f t="shared" si="2"/>
        <v>0</v>
      </c>
      <c r="M23" s="64">
        <v>3700</v>
      </c>
      <c r="N23" s="64">
        <f>1500+2200</f>
        <v>3700</v>
      </c>
      <c r="O23" s="64">
        <f t="shared" si="1"/>
        <v>0</v>
      </c>
    </row>
    <row r="24" spans="1:17" s="64" customFormat="1">
      <c r="A24" s="65">
        <v>43759</v>
      </c>
      <c r="B24" s="64">
        <v>3769626919</v>
      </c>
      <c r="C24" s="66" t="s">
        <v>760</v>
      </c>
      <c r="D24" s="64">
        <v>7258879451</v>
      </c>
      <c r="F24" s="86">
        <v>934847220</v>
      </c>
      <c r="G24" s="66">
        <v>33758</v>
      </c>
      <c r="I24" s="64" t="s">
        <v>647</v>
      </c>
      <c r="J24" s="64">
        <f>4300+500</f>
        <v>4800</v>
      </c>
      <c r="K24" s="64">
        <f>2500+2300</f>
        <v>4800</v>
      </c>
      <c r="L24" s="64">
        <f t="shared" si="2"/>
        <v>0</v>
      </c>
      <c r="M24" s="64">
        <v>3700</v>
      </c>
      <c r="N24" s="64">
        <f>1500+2200</f>
        <v>3700</v>
      </c>
      <c r="O24" s="64">
        <f t="shared" si="1"/>
        <v>0</v>
      </c>
      <c r="Q24" s="64">
        <v>4000</v>
      </c>
    </row>
    <row r="25" spans="1:17" s="64" customFormat="1">
      <c r="A25" s="65">
        <v>43764</v>
      </c>
      <c r="B25" s="64">
        <v>3868186019</v>
      </c>
      <c r="C25" s="66" t="s">
        <v>765</v>
      </c>
      <c r="D25" s="64">
        <v>6203668967</v>
      </c>
      <c r="F25" s="86"/>
      <c r="G25" s="66">
        <v>35278</v>
      </c>
      <c r="I25" s="64" t="s">
        <v>647</v>
      </c>
      <c r="J25" s="64">
        <v>4300</v>
      </c>
      <c r="K25" s="64">
        <v>4300</v>
      </c>
      <c r="L25" s="64">
        <f t="shared" si="2"/>
        <v>0</v>
      </c>
      <c r="M25" s="64">
        <v>3700</v>
      </c>
      <c r="N25" s="64">
        <f>1500+2200</f>
        <v>3700</v>
      </c>
      <c r="O25" s="64">
        <f t="shared" si="1"/>
        <v>0</v>
      </c>
    </row>
    <row r="26" spans="1:17" s="64" customFormat="1">
      <c r="A26" s="65">
        <v>43768</v>
      </c>
      <c r="B26" s="64">
        <v>3888169819</v>
      </c>
      <c r="C26" s="66" t="s">
        <v>766</v>
      </c>
      <c r="D26" s="64">
        <v>7070095589</v>
      </c>
      <c r="F26" s="86"/>
      <c r="G26" s="66">
        <v>37915</v>
      </c>
      <c r="I26" s="64" t="s">
        <v>647</v>
      </c>
      <c r="J26" s="64">
        <v>3000</v>
      </c>
      <c r="K26" s="64">
        <v>3000</v>
      </c>
      <c r="L26" s="64">
        <f t="shared" si="2"/>
        <v>0</v>
      </c>
      <c r="M26" s="64">
        <v>2700</v>
      </c>
      <c r="N26" s="64">
        <f>1500+1200</f>
        <v>2700</v>
      </c>
      <c r="O26" s="64">
        <f t="shared" si="1"/>
        <v>0</v>
      </c>
    </row>
    <row r="27" spans="1:17" s="64" customFormat="1">
      <c r="A27" s="65">
        <v>43752</v>
      </c>
      <c r="B27" s="64">
        <v>4138167919</v>
      </c>
      <c r="C27" s="66" t="s">
        <v>772</v>
      </c>
      <c r="D27" s="64">
        <v>8709533979</v>
      </c>
      <c r="F27" s="86"/>
      <c r="G27" s="66">
        <v>35804</v>
      </c>
      <c r="I27" s="64" t="s">
        <v>647</v>
      </c>
      <c r="J27" s="64">
        <v>4500</v>
      </c>
      <c r="K27" s="64">
        <f>2500+2000</f>
        <v>4500</v>
      </c>
      <c r="L27" s="64">
        <f t="shared" si="2"/>
        <v>0</v>
      </c>
      <c r="M27" s="64">
        <v>3700</v>
      </c>
      <c r="N27" s="64">
        <f>1500+1000+1200</f>
        <v>3700</v>
      </c>
      <c r="O27" s="64">
        <f t="shared" si="1"/>
        <v>0</v>
      </c>
    </row>
    <row r="28" spans="1:17" s="64" customFormat="1">
      <c r="A28" s="65">
        <v>43752</v>
      </c>
      <c r="B28" s="64">
        <v>4150091319</v>
      </c>
      <c r="C28" s="66" t="s">
        <v>773</v>
      </c>
      <c r="D28" s="64">
        <v>8092206717</v>
      </c>
      <c r="F28" s="86">
        <v>1036735220</v>
      </c>
      <c r="G28" s="66">
        <v>35531</v>
      </c>
      <c r="I28" s="64" t="s">
        <v>647</v>
      </c>
      <c r="J28" s="64">
        <v>4300</v>
      </c>
      <c r="K28" s="64">
        <f>2000+2300</f>
        <v>4300</v>
      </c>
      <c r="L28" s="64">
        <f t="shared" si="2"/>
        <v>0</v>
      </c>
      <c r="M28" s="64">
        <v>3700</v>
      </c>
      <c r="N28" s="64">
        <f>1500+1000+1200</f>
        <v>3700</v>
      </c>
      <c r="O28" s="64">
        <f t="shared" si="1"/>
        <v>0</v>
      </c>
    </row>
    <row r="29" spans="1:17" s="64" customFormat="1">
      <c r="A29" s="65">
        <v>43752</v>
      </c>
      <c r="B29" s="64">
        <v>4150679619</v>
      </c>
      <c r="C29" s="66" t="s">
        <v>774</v>
      </c>
      <c r="D29" s="64">
        <v>8210564677</v>
      </c>
      <c r="F29" s="86"/>
      <c r="G29" s="66">
        <v>36170</v>
      </c>
      <c r="I29" s="64" t="s">
        <v>647</v>
      </c>
      <c r="J29" s="64">
        <v>4300</v>
      </c>
      <c r="K29" s="64">
        <v>4300</v>
      </c>
      <c r="L29" s="64">
        <f t="shared" si="2"/>
        <v>0</v>
      </c>
      <c r="M29" s="64">
        <v>3700</v>
      </c>
      <c r="N29" s="64">
        <f>1500+1000+1200</f>
        <v>3700</v>
      </c>
      <c r="O29" s="64">
        <f t="shared" si="1"/>
        <v>0</v>
      </c>
    </row>
    <row r="30" spans="1:17" s="64" customFormat="1">
      <c r="A30" s="65">
        <v>43756</v>
      </c>
      <c r="B30" s="64">
        <v>4218308919</v>
      </c>
      <c r="C30" s="66" t="s">
        <v>775</v>
      </c>
      <c r="D30" s="64">
        <v>7366919425</v>
      </c>
      <c r="F30" s="86">
        <v>1079233420</v>
      </c>
      <c r="G30" s="66">
        <v>35643</v>
      </c>
      <c r="I30" s="64" t="s">
        <v>647</v>
      </c>
      <c r="J30" s="64">
        <v>3300</v>
      </c>
      <c r="K30" s="64">
        <f>2000+1200</f>
        <v>3200</v>
      </c>
      <c r="L30" s="64">
        <f t="shared" si="2"/>
        <v>100</v>
      </c>
      <c r="M30" s="64">
        <v>2700</v>
      </c>
      <c r="N30" s="64">
        <f>1500+700+500</f>
        <v>2700</v>
      </c>
      <c r="O30" s="64">
        <f t="shared" si="1"/>
        <v>0</v>
      </c>
    </row>
    <row r="31" spans="1:17" s="64" customFormat="1">
      <c r="A31" s="65">
        <v>43795</v>
      </c>
      <c r="C31" s="66" t="s">
        <v>755</v>
      </c>
      <c r="D31" s="64">
        <v>8603251790</v>
      </c>
      <c r="F31" s="86"/>
      <c r="G31" s="66"/>
      <c r="I31" s="64" t="s">
        <v>672</v>
      </c>
      <c r="J31" s="64">
        <v>2500</v>
      </c>
      <c r="K31" s="64">
        <v>2500</v>
      </c>
      <c r="L31" s="64">
        <f t="shared" si="2"/>
        <v>0</v>
      </c>
      <c r="M31" s="64">
        <v>1900</v>
      </c>
      <c r="N31" s="64">
        <v>1900</v>
      </c>
      <c r="O31" s="64">
        <f t="shared" si="1"/>
        <v>0</v>
      </c>
    </row>
    <row r="32" spans="1:17" s="58" customFormat="1">
      <c r="A32" s="101">
        <v>43824</v>
      </c>
      <c r="B32" s="58">
        <v>4853253819</v>
      </c>
      <c r="C32" s="102" t="s">
        <v>819</v>
      </c>
      <c r="D32" s="58">
        <v>6201941775</v>
      </c>
      <c r="E32" s="103" t="s">
        <v>833</v>
      </c>
      <c r="F32" s="104" t="s">
        <v>1489</v>
      </c>
      <c r="G32" s="102">
        <v>34439</v>
      </c>
      <c r="I32" s="58" t="s">
        <v>647</v>
      </c>
      <c r="J32" s="58">
        <f>4300+500+300+500</f>
        <v>5600</v>
      </c>
      <c r="K32" s="58">
        <f>2500+3300</f>
        <v>5800</v>
      </c>
      <c r="L32" s="58">
        <f t="shared" si="2"/>
        <v>-200</v>
      </c>
      <c r="M32" s="58">
        <f>3700+400+500+500</f>
        <v>5100</v>
      </c>
      <c r="N32" s="58">
        <v>1500</v>
      </c>
      <c r="O32" s="58">
        <f t="shared" si="1"/>
        <v>3600</v>
      </c>
      <c r="P32" s="58" t="s">
        <v>1797</v>
      </c>
    </row>
    <row r="33" spans="1:15" s="64" customFormat="1">
      <c r="A33" s="65">
        <v>43832</v>
      </c>
      <c r="B33" s="64">
        <v>42323620</v>
      </c>
      <c r="C33" s="66" t="s">
        <v>834</v>
      </c>
      <c r="D33" s="64">
        <v>8709705340</v>
      </c>
      <c r="E33" s="64" t="s">
        <v>836</v>
      </c>
      <c r="F33" s="86">
        <v>2793709520</v>
      </c>
      <c r="G33" s="66">
        <v>34722</v>
      </c>
      <c r="I33" s="64" t="s">
        <v>835</v>
      </c>
      <c r="J33" s="64">
        <v>3200</v>
      </c>
      <c r="K33" s="64">
        <f>2000+1200</f>
        <v>3200</v>
      </c>
      <c r="L33" s="64">
        <f t="shared" si="2"/>
        <v>0</v>
      </c>
      <c r="M33" s="64">
        <v>2700</v>
      </c>
      <c r="N33" s="64">
        <f>1500+1200</f>
        <v>2700</v>
      </c>
      <c r="O33" s="64">
        <f t="shared" si="1"/>
        <v>0</v>
      </c>
    </row>
    <row r="34" spans="1:15" s="58" customFormat="1">
      <c r="A34" s="65">
        <v>43836</v>
      </c>
      <c r="B34" s="64">
        <v>67495620</v>
      </c>
      <c r="C34" s="66" t="s">
        <v>838</v>
      </c>
      <c r="D34" s="64">
        <v>7488948181</v>
      </c>
      <c r="E34" s="64" t="s">
        <v>839</v>
      </c>
      <c r="F34" s="87">
        <v>3352360720</v>
      </c>
      <c r="G34" s="66">
        <v>29110</v>
      </c>
      <c r="I34" s="64" t="s">
        <v>835</v>
      </c>
      <c r="J34" s="64">
        <v>3000</v>
      </c>
      <c r="K34" s="64">
        <f>1500+1500</f>
        <v>3000</v>
      </c>
      <c r="L34" s="64">
        <f t="shared" si="2"/>
        <v>0</v>
      </c>
      <c r="M34" s="64">
        <v>2700</v>
      </c>
      <c r="N34" s="64">
        <f>1500+1200</f>
        <v>2700</v>
      </c>
      <c r="O34" s="64">
        <f t="shared" si="1"/>
        <v>0</v>
      </c>
    </row>
    <row r="35" spans="1:15" s="64" customFormat="1">
      <c r="A35" s="70"/>
      <c r="B35" s="64">
        <v>137821120</v>
      </c>
      <c r="C35" s="66" t="s">
        <v>612</v>
      </c>
      <c r="D35" s="64">
        <v>9162141596</v>
      </c>
      <c r="F35" s="86"/>
      <c r="G35" s="66">
        <v>18798</v>
      </c>
      <c r="I35" s="64" t="s">
        <v>672</v>
      </c>
      <c r="J35" s="64">
        <v>1700</v>
      </c>
      <c r="K35" s="64">
        <v>1700</v>
      </c>
      <c r="L35" s="64">
        <f t="shared" si="2"/>
        <v>0</v>
      </c>
      <c r="M35" s="64">
        <v>1300</v>
      </c>
      <c r="N35" s="64">
        <v>1300</v>
      </c>
      <c r="O35" s="64">
        <f t="shared" si="1"/>
        <v>0</v>
      </c>
    </row>
    <row r="36" spans="1:15" s="64" customFormat="1">
      <c r="A36" s="70"/>
      <c r="B36" s="64">
        <v>156980820</v>
      </c>
      <c r="C36" s="66" t="s">
        <v>865</v>
      </c>
      <c r="D36" s="64">
        <v>9608931932</v>
      </c>
      <c r="E36" s="75" t="s">
        <v>866</v>
      </c>
      <c r="F36" s="92">
        <v>3538908020</v>
      </c>
      <c r="G36" s="66">
        <v>27764</v>
      </c>
      <c r="I36" s="64" t="s">
        <v>647</v>
      </c>
      <c r="J36" s="64">
        <v>4300</v>
      </c>
      <c r="K36" s="64">
        <f>2000+1000</f>
        <v>3000</v>
      </c>
      <c r="L36" s="64">
        <f t="shared" si="2"/>
        <v>1300</v>
      </c>
      <c r="M36" s="64">
        <v>3700</v>
      </c>
      <c r="N36" s="64">
        <v>3700</v>
      </c>
      <c r="O36" s="64">
        <f t="shared" si="1"/>
        <v>0</v>
      </c>
    </row>
    <row r="37" spans="1:15" s="64" customFormat="1">
      <c r="A37" s="66">
        <v>43848</v>
      </c>
      <c r="C37" s="66" t="s">
        <v>890</v>
      </c>
      <c r="D37" s="64">
        <v>8660255932</v>
      </c>
      <c r="E37" s="75" t="s">
        <v>892</v>
      </c>
      <c r="F37" s="86">
        <v>259918020</v>
      </c>
      <c r="G37" s="66">
        <v>34629</v>
      </c>
      <c r="I37" s="64" t="s">
        <v>647</v>
      </c>
      <c r="J37" s="64">
        <v>4800</v>
      </c>
      <c r="K37" s="64">
        <v>4000</v>
      </c>
      <c r="L37" s="64">
        <f t="shared" si="2"/>
        <v>800</v>
      </c>
      <c r="M37" s="64">
        <v>3700</v>
      </c>
      <c r="N37" s="64">
        <f>1500+2200</f>
        <v>3700</v>
      </c>
      <c r="O37" s="64">
        <f t="shared" si="1"/>
        <v>0</v>
      </c>
    </row>
    <row r="38" spans="1:15" s="71" customFormat="1">
      <c r="A38" s="73">
        <v>43848</v>
      </c>
      <c r="B38" s="71">
        <v>260000020</v>
      </c>
      <c r="C38" s="74" t="s">
        <v>891</v>
      </c>
      <c r="D38" s="71">
        <v>9781759278</v>
      </c>
      <c r="E38" s="72" t="s">
        <v>893</v>
      </c>
      <c r="F38" s="88"/>
      <c r="G38" s="73">
        <v>34669</v>
      </c>
      <c r="I38" s="71" t="s">
        <v>647</v>
      </c>
    </row>
    <row r="39" spans="1:15" s="64" customFormat="1">
      <c r="A39" s="65">
        <v>43850</v>
      </c>
      <c r="B39" s="64">
        <v>273088420</v>
      </c>
      <c r="C39" s="66" t="s">
        <v>901</v>
      </c>
      <c r="D39" s="70">
        <v>7370891032</v>
      </c>
      <c r="F39" s="86">
        <v>3352316220</v>
      </c>
      <c r="G39" s="66">
        <v>27395</v>
      </c>
      <c r="I39" s="64" t="s">
        <v>647</v>
      </c>
      <c r="J39" s="64">
        <v>4500</v>
      </c>
      <c r="K39" s="64">
        <v>4500</v>
      </c>
      <c r="L39" s="64">
        <f t="shared" si="2"/>
        <v>0</v>
      </c>
      <c r="M39" s="64">
        <v>3700</v>
      </c>
      <c r="N39" s="64">
        <f>1500+2000+200</f>
        <v>3700</v>
      </c>
      <c r="O39" s="64">
        <f t="shared" si="1"/>
        <v>0</v>
      </c>
    </row>
    <row r="40" spans="1:15" s="64" customFormat="1">
      <c r="A40" s="70"/>
      <c r="C40" s="66" t="s">
        <v>904</v>
      </c>
      <c r="D40" s="64">
        <v>9801375687</v>
      </c>
      <c r="F40" s="86"/>
      <c r="G40" s="66">
        <v>20041</v>
      </c>
      <c r="I40" s="64" t="s">
        <v>907</v>
      </c>
      <c r="J40" s="64">
        <v>5000</v>
      </c>
      <c r="K40" s="64">
        <v>5000</v>
      </c>
      <c r="L40" s="71">
        <f t="shared" si="2"/>
        <v>0</v>
      </c>
    </row>
    <row r="41" spans="1:15">
      <c r="A41" s="80">
        <v>43862</v>
      </c>
      <c r="B41" s="82">
        <v>466444120</v>
      </c>
      <c r="C41" s="81" t="s">
        <v>926</v>
      </c>
      <c r="D41" s="82">
        <v>8002484625</v>
      </c>
      <c r="E41" s="82"/>
      <c r="F41" s="113">
        <v>804604721</v>
      </c>
      <c r="G41" s="81">
        <v>26304</v>
      </c>
      <c r="H41" s="82"/>
      <c r="I41" s="82" t="s">
        <v>927</v>
      </c>
      <c r="J41" s="82">
        <v>3300</v>
      </c>
      <c r="K41" s="82">
        <v>3300</v>
      </c>
      <c r="L41" s="82">
        <f t="shared" si="2"/>
        <v>0</v>
      </c>
      <c r="M41" s="82">
        <v>2700</v>
      </c>
      <c r="N41" s="82">
        <f>1500+1200</f>
        <v>2700</v>
      </c>
      <c r="O41" s="82">
        <f t="shared" si="1"/>
        <v>0</v>
      </c>
    </row>
    <row r="42" spans="1:15" s="64" customFormat="1">
      <c r="A42" s="70"/>
      <c r="C42" s="66" t="s">
        <v>928</v>
      </c>
      <c r="F42" s="86"/>
      <c r="G42" s="66"/>
      <c r="I42" s="64" t="s">
        <v>907</v>
      </c>
      <c r="J42" s="64">
        <v>1500</v>
      </c>
      <c r="K42" s="64">
        <v>1500</v>
      </c>
      <c r="L42" s="64">
        <f t="shared" si="2"/>
        <v>0</v>
      </c>
      <c r="M42" s="64">
        <v>1300</v>
      </c>
      <c r="N42" s="64">
        <v>1300</v>
      </c>
      <c r="O42" s="64">
        <f t="shared" si="1"/>
        <v>0</v>
      </c>
    </row>
    <row r="43" spans="1:15" s="64" customFormat="1">
      <c r="A43" s="70"/>
      <c r="C43" s="66" t="s">
        <v>929</v>
      </c>
      <c r="D43" s="64">
        <v>9661125755</v>
      </c>
      <c r="F43" s="86"/>
      <c r="G43" s="66"/>
      <c r="I43" s="64" t="s">
        <v>930</v>
      </c>
      <c r="J43" s="64">
        <v>1400</v>
      </c>
      <c r="K43" s="64">
        <v>1400</v>
      </c>
      <c r="L43" s="64">
        <f t="shared" si="2"/>
        <v>0</v>
      </c>
      <c r="M43" s="64">
        <v>1100</v>
      </c>
      <c r="N43" s="64">
        <v>1100</v>
      </c>
      <c r="O43" s="64">
        <f t="shared" si="1"/>
        <v>0</v>
      </c>
    </row>
    <row r="44" spans="1:15" s="64" customFormat="1">
      <c r="A44" s="70"/>
      <c r="B44" s="64">
        <v>584124220</v>
      </c>
      <c r="C44" s="66" t="s">
        <v>931</v>
      </c>
      <c r="D44" s="64">
        <v>9781759278</v>
      </c>
      <c r="E44" s="64" t="s">
        <v>1009</v>
      </c>
      <c r="F44" s="86">
        <v>3352289120</v>
      </c>
      <c r="G44" s="66">
        <v>34669</v>
      </c>
      <c r="I44" s="64" t="s">
        <v>647</v>
      </c>
      <c r="J44" s="64">
        <v>4800</v>
      </c>
      <c r="K44" s="64">
        <v>4800</v>
      </c>
      <c r="L44" s="64">
        <f t="shared" si="2"/>
        <v>0</v>
      </c>
      <c r="M44" s="64">
        <v>3700</v>
      </c>
      <c r="N44" s="64">
        <f>1500+2200</f>
        <v>3700</v>
      </c>
      <c r="O44" s="64">
        <f t="shared" si="1"/>
        <v>0</v>
      </c>
    </row>
    <row r="45" spans="1:15" s="64" customFormat="1">
      <c r="A45" s="70"/>
      <c r="B45" s="64">
        <v>598977420</v>
      </c>
      <c r="C45" s="66" t="s">
        <v>758</v>
      </c>
      <c r="D45" s="64">
        <v>8825340143</v>
      </c>
      <c r="F45" s="86"/>
      <c r="G45" s="66">
        <v>30935</v>
      </c>
      <c r="I45" s="64" t="s">
        <v>930</v>
      </c>
      <c r="J45" s="64">
        <v>1500</v>
      </c>
      <c r="K45" s="64">
        <v>1500</v>
      </c>
      <c r="L45" s="64">
        <f t="shared" si="2"/>
        <v>0</v>
      </c>
      <c r="M45" s="64">
        <v>1100</v>
      </c>
      <c r="N45" s="64">
        <v>1100</v>
      </c>
      <c r="O45" s="64">
        <f t="shared" si="1"/>
        <v>0</v>
      </c>
    </row>
    <row r="46" spans="1:15">
      <c r="A46" s="56"/>
      <c r="B46" s="54">
        <v>824093420</v>
      </c>
      <c r="C46" s="73" t="s">
        <v>949</v>
      </c>
      <c r="E46" s="68"/>
      <c r="F46" s="89"/>
      <c r="G46" s="57">
        <v>35049</v>
      </c>
      <c r="I46" s="71" t="s">
        <v>950</v>
      </c>
      <c r="J46" s="54">
        <v>3200</v>
      </c>
      <c r="K46" s="54">
        <v>1000</v>
      </c>
      <c r="L46" s="54">
        <f t="shared" si="2"/>
        <v>2200</v>
      </c>
      <c r="M46" s="54">
        <v>2700</v>
      </c>
      <c r="N46" s="54">
        <v>1500</v>
      </c>
      <c r="O46" s="54">
        <f t="shared" si="1"/>
        <v>1200</v>
      </c>
    </row>
    <row r="47" spans="1:15">
      <c r="A47" s="56">
        <v>43892</v>
      </c>
      <c r="B47" s="54">
        <v>899858420</v>
      </c>
      <c r="C47" s="73" t="s">
        <v>965</v>
      </c>
      <c r="D47" s="54">
        <v>6206382425</v>
      </c>
      <c r="E47" s="68"/>
      <c r="F47" s="89" t="s">
        <v>1489</v>
      </c>
      <c r="G47" s="57">
        <v>33604</v>
      </c>
      <c r="I47" s="71" t="s">
        <v>966</v>
      </c>
      <c r="J47" s="54">
        <v>4700</v>
      </c>
      <c r="K47" s="54">
        <f>2500+2200</f>
        <v>4700</v>
      </c>
      <c r="L47" s="54">
        <f t="shared" si="2"/>
        <v>0</v>
      </c>
      <c r="M47" s="54">
        <v>3700</v>
      </c>
      <c r="N47" s="54">
        <v>1500</v>
      </c>
      <c r="O47" s="54">
        <f t="shared" si="1"/>
        <v>2200</v>
      </c>
    </row>
    <row r="48" spans="1:15" s="64" customFormat="1">
      <c r="A48" s="65">
        <v>43899</v>
      </c>
      <c r="C48" s="66" t="s">
        <v>992</v>
      </c>
      <c r="D48" s="76">
        <v>8340619383</v>
      </c>
      <c r="E48" s="75"/>
      <c r="F48" s="86"/>
      <c r="G48" s="66">
        <v>33012</v>
      </c>
      <c r="I48" s="64" t="s">
        <v>993</v>
      </c>
      <c r="J48" s="64">
        <v>1500</v>
      </c>
      <c r="K48" s="64">
        <v>1500</v>
      </c>
      <c r="L48" s="64">
        <f t="shared" si="2"/>
        <v>0</v>
      </c>
      <c r="O48" s="64">
        <f t="shared" si="1"/>
        <v>0</v>
      </c>
    </row>
    <row r="49" spans="1:15" s="64" customFormat="1">
      <c r="A49" s="65">
        <v>43901</v>
      </c>
      <c r="C49" s="66" t="s">
        <v>994</v>
      </c>
      <c r="D49" s="64">
        <v>8797675277</v>
      </c>
      <c r="E49" s="75"/>
      <c r="F49" s="90"/>
      <c r="G49" s="66">
        <v>25995</v>
      </c>
      <c r="I49" s="64" t="s">
        <v>993</v>
      </c>
      <c r="J49" s="64">
        <v>1700</v>
      </c>
      <c r="K49" s="64">
        <v>1700</v>
      </c>
      <c r="L49" s="64">
        <f t="shared" si="2"/>
        <v>0</v>
      </c>
      <c r="M49" s="64">
        <v>1300</v>
      </c>
      <c r="N49" s="64">
        <v>1300</v>
      </c>
      <c r="O49" s="64">
        <f t="shared" si="1"/>
        <v>0</v>
      </c>
    </row>
    <row r="50" spans="1:15" s="64" customFormat="1">
      <c r="A50" s="65"/>
      <c r="C50" s="66" t="s">
        <v>1014</v>
      </c>
      <c r="D50" s="64">
        <v>7209152003</v>
      </c>
      <c r="E50" s="75"/>
      <c r="F50" s="90"/>
      <c r="G50" s="66"/>
      <c r="J50" s="64">
        <f>2200+1700+400</f>
        <v>4300</v>
      </c>
      <c r="K50" s="64">
        <v>3000</v>
      </c>
      <c r="L50" s="64">
        <f t="shared" si="2"/>
        <v>1300</v>
      </c>
      <c r="M50" s="64">
        <v>2700</v>
      </c>
      <c r="N50" s="64">
        <v>2700</v>
      </c>
      <c r="O50" s="64">
        <f t="shared" si="1"/>
        <v>0</v>
      </c>
    </row>
    <row r="51" spans="1:15" s="64" customFormat="1">
      <c r="A51" s="65">
        <v>43910</v>
      </c>
      <c r="C51" s="66" t="s">
        <v>1015</v>
      </c>
      <c r="D51" s="64">
        <v>9304534774</v>
      </c>
      <c r="E51" s="75" t="s">
        <v>1305</v>
      </c>
      <c r="F51" s="90"/>
      <c r="G51" s="66"/>
      <c r="I51" s="64" t="s">
        <v>930</v>
      </c>
      <c r="J51" s="64">
        <f>1500+400</f>
        <v>1900</v>
      </c>
      <c r="K51" s="64">
        <v>1900</v>
      </c>
      <c r="L51" s="64">
        <f t="shared" si="2"/>
        <v>0</v>
      </c>
      <c r="M51" s="64">
        <v>1600</v>
      </c>
      <c r="N51" s="64">
        <v>1600</v>
      </c>
      <c r="O51" s="64">
        <f t="shared" si="1"/>
        <v>0</v>
      </c>
    </row>
    <row r="52" spans="1:15" s="64" customFormat="1">
      <c r="A52" s="65">
        <v>44078</v>
      </c>
      <c r="B52" s="64">
        <v>2509951020</v>
      </c>
      <c r="C52" s="66" t="s">
        <v>1267</v>
      </c>
      <c r="D52" s="64">
        <v>9031989594</v>
      </c>
      <c r="E52" s="75" t="s">
        <v>1306</v>
      </c>
      <c r="F52" s="90"/>
      <c r="G52" s="66">
        <v>30330</v>
      </c>
      <c r="I52" s="64" t="s">
        <v>930</v>
      </c>
      <c r="J52" s="64">
        <v>1500</v>
      </c>
      <c r="K52" s="64">
        <v>1500</v>
      </c>
      <c r="L52" s="64">
        <f t="shared" si="2"/>
        <v>0</v>
      </c>
      <c r="M52" s="64">
        <v>1200</v>
      </c>
      <c r="N52" s="64">
        <v>1200</v>
      </c>
      <c r="O52" s="64">
        <f t="shared" si="1"/>
        <v>0</v>
      </c>
    </row>
    <row r="53" spans="1:15" s="64" customFormat="1">
      <c r="A53" s="70"/>
      <c r="B53" s="64">
        <v>2499081620</v>
      </c>
      <c r="C53" s="66" t="s">
        <v>1304</v>
      </c>
      <c r="D53" s="64">
        <v>9931321832</v>
      </c>
      <c r="F53" s="86"/>
      <c r="G53" s="66">
        <v>27603</v>
      </c>
      <c r="I53" s="64" t="s">
        <v>930</v>
      </c>
      <c r="J53" s="64">
        <v>1500</v>
      </c>
      <c r="K53" s="64">
        <v>1500</v>
      </c>
      <c r="L53" s="64">
        <f t="shared" si="2"/>
        <v>0</v>
      </c>
      <c r="M53" s="64">
        <v>1200</v>
      </c>
      <c r="N53" s="64">
        <v>1200</v>
      </c>
      <c r="O53" s="64">
        <f t="shared" si="1"/>
        <v>0</v>
      </c>
    </row>
    <row r="54" spans="1:15" s="64" customFormat="1">
      <c r="A54" s="65">
        <v>44102</v>
      </c>
      <c r="C54" s="66" t="s">
        <v>1308</v>
      </c>
      <c r="D54" s="64">
        <v>9113112064</v>
      </c>
      <c r="F54" s="86"/>
      <c r="G54" s="66"/>
      <c r="I54" s="64" t="s">
        <v>930</v>
      </c>
      <c r="J54" s="64">
        <v>1800</v>
      </c>
      <c r="K54" s="64">
        <v>1800</v>
      </c>
      <c r="L54" s="64">
        <f t="shared" si="2"/>
        <v>0</v>
      </c>
      <c r="M54" s="64">
        <v>1400</v>
      </c>
      <c r="N54" s="64">
        <v>1400</v>
      </c>
      <c r="O54" s="64">
        <f t="shared" si="1"/>
        <v>0</v>
      </c>
    </row>
    <row r="55" spans="1:15" s="64" customFormat="1">
      <c r="A55" s="65">
        <v>44103</v>
      </c>
      <c r="C55" s="66" t="s">
        <v>1307</v>
      </c>
      <c r="D55" s="64">
        <v>9835760251</v>
      </c>
      <c r="F55" s="86"/>
      <c r="G55" s="66"/>
      <c r="I55" s="64" t="s">
        <v>930</v>
      </c>
      <c r="J55" s="64">
        <v>2000</v>
      </c>
      <c r="K55" s="64">
        <v>2000</v>
      </c>
      <c r="L55" s="64">
        <f t="shared" si="2"/>
        <v>0</v>
      </c>
      <c r="M55" s="64">
        <v>1500</v>
      </c>
      <c r="N55" s="64">
        <v>1500</v>
      </c>
      <c r="O55" s="64">
        <f t="shared" si="1"/>
        <v>0</v>
      </c>
    </row>
    <row r="56" spans="1:15">
      <c r="A56" s="80">
        <v>44110</v>
      </c>
      <c r="B56" s="82"/>
      <c r="C56" s="81" t="s">
        <v>1309</v>
      </c>
      <c r="D56" s="82">
        <v>8709357819</v>
      </c>
      <c r="E56" s="67"/>
      <c r="F56" s="91"/>
      <c r="G56" s="81"/>
      <c r="I56" s="82" t="s">
        <v>930</v>
      </c>
      <c r="J56" s="82">
        <v>7400</v>
      </c>
      <c r="K56" s="82">
        <f>6000+1400</f>
        <v>7400</v>
      </c>
      <c r="L56" s="82">
        <f t="shared" si="2"/>
        <v>0</v>
      </c>
      <c r="M56" s="82">
        <f>1500+2100*2+1400</f>
        <v>7100</v>
      </c>
      <c r="N56" s="82">
        <f>6000+1100</f>
        <v>7100</v>
      </c>
      <c r="O56" s="82">
        <f t="shared" si="1"/>
        <v>0</v>
      </c>
    </row>
    <row r="57" spans="1:15" s="64" customFormat="1">
      <c r="A57" s="65">
        <v>44109</v>
      </c>
      <c r="C57" s="66" t="s">
        <v>1313</v>
      </c>
      <c r="D57" s="64">
        <v>9031038399</v>
      </c>
      <c r="E57" s="67"/>
      <c r="F57" s="86"/>
      <c r="G57" s="66"/>
      <c r="I57" s="64" t="s">
        <v>1314</v>
      </c>
      <c r="J57" s="64">
        <v>1500</v>
      </c>
      <c r="K57" s="64">
        <v>1500</v>
      </c>
      <c r="L57" s="64">
        <f t="shared" si="2"/>
        <v>0</v>
      </c>
      <c r="M57" s="64">
        <v>1300</v>
      </c>
      <c r="N57" s="64">
        <v>1300</v>
      </c>
      <c r="O57" s="64">
        <f t="shared" si="1"/>
        <v>0</v>
      </c>
    </row>
    <row r="58" spans="1:15">
      <c r="A58" s="70"/>
      <c r="B58" s="64"/>
      <c r="C58" s="66" t="s">
        <v>1343</v>
      </c>
      <c r="D58" s="64">
        <v>9771078319</v>
      </c>
      <c r="E58" s="67"/>
      <c r="F58" s="86"/>
      <c r="G58" s="66"/>
      <c r="I58" s="64" t="s">
        <v>1344</v>
      </c>
      <c r="J58" s="64">
        <v>1500</v>
      </c>
      <c r="K58" s="64">
        <v>1500</v>
      </c>
      <c r="L58" s="64">
        <f t="shared" si="2"/>
        <v>0</v>
      </c>
      <c r="M58" s="64">
        <v>1200</v>
      </c>
      <c r="N58" s="64">
        <v>1200</v>
      </c>
      <c r="O58" s="64">
        <f t="shared" si="1"/>
        <v>0</v>
      </c>
    </row>
    <row r="59" spans="1:15">
      <c r="A59" s="70"/>
      <c r="B59" s="100">
        <v>3502052020</v>
      </c>
      <c r="C59" s="66" t="s">
        <v>1534</v>
      </c>
      <c r="D59" s="64">
        <v>6200609264</v>
      </c>
      <c r="E59" s="83"/>
      <c r="F59" s="86"/>
      <c r="G59" s="66">
        <v>24211</v>
      </c>
      <c r="H59" s="64"/>
      <c r="I59" s="64" t="s">
        <v>1530</v>
      </c>
      <c r="J59" s="64">
        <v>3500</v>
      </c>
      <c r="K59" s="64">
        <v>3500</v>
      </c>
      <c r="L59" s="64">
        <f t="shared" si="2"/>
        <v>0</v>
      </c>
      <c r="M59" s="64">
        <v>3000</v>
      </c>
      <c r="N59" s="54">
        <f>2000+1000</f>
        <v>3000</v>
      </c>
      <c r="O59" s="54">
        <f t="shared" si="1"/>
        <v>0</v>
      </c>
    </row>
    <row r="60" spans="1:15">
      <c r="A60" s="56">
        <v>44150</v>
      </c>
      <c r="B60" s="79">
        <v>3382242720</v>
      </c>
      <c r="C60" s="73" t="s">
        <v>1480</v>
      </c>
      <c r="D60" s="54">
        <v>9955844105</v>
      </c>
      <c r="E60" s="67" t="s">
        <v>1666</v>
      </c>
      <c r="G60" s="57">
        <v>29112</v>
      </c>
      <c r="I60" s="71" t="s">
        <v>966</v>
      </c>
      <c r="J60" s="54">
        <v>4500</v>
      </c>
      <c r="K60" s="54">
        <f>3000+1500</f>
        <v>4500</v>
      </c>
      <c r="L60" s="64">
        <f t="shared" si="2"/>
        <v>0</v>
      </c>
      <c r="M60" s="54">
        <v>3700</v>
      </c>
      <c r="N60" s="54">
        <v>1500</v>
      </c>
      <c r="O60" s="54">
        <f t="shared" si="1"/>
        <v>2200</v>
      </c>
    </row>
    <row r="61" spans="1:15">
      <c r="A61" s="56">
        <v>37576</v>
      </c>
      <c r="B61" s="79">
        <v>3367893920</v>
      </c>
      <c r="C61" s="73" t="s">
        <v>1493</v>
      </c>
      <c r="D61" s="54">
        <v>8271312110</v>
      </c>
      <c r="E61" s="67">
        <v>44237</v>
      </c>
      <c r="G61" s="57">
        <v>36494</v>
      </c>
      <c r="I61" s="71" t="s">
        <v>966</v>
      </c>
      <c r="J61" s="54">
        <f>4300+400+300</f>
        <v>5000</v>
      </c>
      <c r="K61" s="54">
        <f>2500+2500</f>
        <v>5000</v>
      </c>
      <c r="L61" s="54">
        <f t="shared" si="2"/>
        <v>0</v>
      </c>
      <c r="M61" s="54">
        <f>3700+400</f>
        <v>4100</v>
      </c>
      <c r="N61" s="54">
        <v>1500</v>
      </c>
      <c r="O61" s="54">
        <f t="shared" si="1"/>
        <v>2600</v>
      </c>
    </row>
    <row r="62" spans="1:15">
      <c r="A62" s="56">
        <v>37576</v>
      </c>
      <c r="B62" s="54">
        <v>3367961220</v>
      </c>
      <c r="C62" s="73" t="s">
        <v>1494</v>
      </c>
      <c r="D62" s="54">
        <v>8271312110</v>
      </c>
      <c r="E62" s="67">
        <v>44232</v>
      </c>
      <c r="G62" s="57">
        <v>37346</v>
      </c>
      <c r="I62" s="71" t="s">
        <v>966</v>
      </c>
      <c r="J62" s="54">
        <f>4300+400</f>
        <v>4700</v>
      </c>
      <c r="K62" s="54">
        <f>2500+2500</f>
        <v>5000</v>
      </c>
      <c r="L62" s="54">
        <f t="shared" si="2"/>
        <v>-300</v>
      </c>
      <c r="M62" s="54">
        <f>3700+400</f>
        <v>4100</v>
      </c>
      <c r="N62" s="54">
        <v>1500</v>
      </c>
      <c r="O62" s="54">
        <f t="shared" si="1"/>
        <v>2600</v>
      </c>
    </row>
    <row r="63" spans="1:15">
      <c r="A63" s="56">
        <v>44166</v>
      </c>
      <c r="B63" s="54">
        <v>3563341920</v>
      </c>
      <c r="C63" s="66" t="s">
        <v>398</v>
      </c>
      <c r="D63" s="64">
        <v>9572923483</v>
      </c>
      <c r="E63" s="69" t="s">
        <v>1695</v>
      </c>
      <c r="F63" s="99">
        <v>804042521</v>
      </c>
      <c r="G63" s="66">
        <v>36377</v>
      </c>
      <c r="H63" s="64"/>
      <c r="I63" s="64" t="s">
        <v>966</v>
      </c>
      <c r="J63" s="64">
        <v>4500</v>
      </c>
      <c r="K63" s="64">
        <f>2500+1000</f>
        <v>3500</v>
      </c>
      <c r="L63" s="64">
        <f t="shared" si="2"/>
        <v>1000</v>
      </c>
      <c r="M63" s="64">
        <v>4100</v>
      </c>
      <c r="N63" s="64">
        <f>1600+1000+1500</f>
        <v>4100</v>
      </c>
      <c r="O63" s="64">
        <f t="shared" si="1"/>
        <v>0</v>
      </c>
    </row>
    <row r="64" spans="1:15">
      <c r="A64" s="56">
        <v>44166</v>
      </c>
      <c r="B64" s="54">
        <v>3564414420</v>
      </c>
      <c r="C64" s="66" t="s">
        <v>1527</v>
      </c>
      <c r="D64" s="64">
        <v>6205266370</v>
      </c>
      <c r="E64" s="69"/>
      <c r="F64" s="92">
        <v>798828121</v>
      </c>
      <c r="G64" s="66">
        <v>37414</v>
      </c>
      <c r="H64" s="64"/>
      <c r="I64" s="64" t="s">
        <v>966</v>
      </c>
      <c r="J64" s="64">
        <v>4500</v>
      </c>
      <c r="K64" s="64">
        <f>2500+1000</f>
        <v>3500</v>
      </c>
      <c r="L64" s="64">
        <f t="shared" si="2"/>
        <v>1000</v>
      </c>
      <c r="M64" s="64">
        <v>4100</v>
      </c>
      <c r="N64" s="64">
        <f>1600+1000+1500</f>
        <v>4100</v>
      </c>
      <c r="O64" s="64">
        <f t="shared" si="1"/>
        <v>0</v>
      </c>
    </row>
    <row r="65" spans="1:16" s="64" customFormat="1">
      <c r="A65" s="65">
        <v>44168</v>
      </c>
      <c r="B65" s="64">
        <v>3609103020</v>
      </c>
      <c r="C65" s="64" t="s">
        <v>1528</v>
      </c>
      <c r="D65" s="64">
        <v>9031708341</v>
      </c>
      <c r="E65" s="69"/>
      <c r="F65" s="86"/>
      <c r="G65" s="66">
        <v>21705</v>
      </c>
      <c r="I65" s="64" t="s">
        <v>930</v>
      </c>
      <c r="J65" s="64">
        <v>1700</v>
      </c>
      <c r="K65" s="64">
        <v>1700</v>
      </c>
      <c r="L65" s="64">
        <f t="shared" si="2"/>
        <v>0</v>
      </c>
      <c r="M65" s="64">
        <v>1300</v>
      </c>
      <c r="N65" s="64">
        <v>1300</v>
      </c>
      <c r="O65" s="64">
        <f t="shared" si="1"/>
        <v>0</v>
      </c>
    </row>
    <row r="66" spans="1:16">
      <c r="A66" s="56">
        <v>44172</v>
      </c>
      <c r="B66" s="54">
        <v>3653545020</v>
      </c>
      <c r="C66" s="54" t="s">
        <v>1529</v>
      </c>
      <c r="D66" s="54">
        <v>6205191685</v>
      </c>
      <c r="E66" s="98" t="s">
        <v>1696</v>
      </c>
      <c r="G66" s="57">
        <v>37441</v>
      </c>
      <c r="I66" s="54" t="s">
        <v>966</v>
      </c>
      <c r="J66" s="54">
        <v>4700</v>
      </c>
      <c r="K66" s="54">
        <v>4700</v>
      </c>
      <c r="L66" s="54">
        <f t="shared" si="2"/>
        <v>0</v>
      </c>
      <c r="M66" s="54">
        <v>4100</v>
      </c>
      <c r="N66" s="54">
        <f>2000+2100</f>
        <v>4100</v>
      </c>
      <c r="O66" s="54">
        <f t="shared" si="1"/>
        <v>0</v>
      </c>
    </row>
    <row r="67" spans="1:16" s="64" customFormat="1">
      <c r="A67" s="70"/>
      <c r="B67" s="64">
        <v>3770683020</v>
      </c>
      <c r="C67" s="64" t="s">
        <v>1628</v>
      </c>
      <c r="D67" s="64">
        <v>8603873458</v>
      </c>
      <c r="E67" s="69"/>
      <c r="F67" s="86"/>
      <c r="G67" s="66">
        <v>21740</v>
      </c>
      <c r="I67" s="64" t="s">
        <v>672</v>
      </c>
      <c r="J67" s="64">
        <v>2100</v>
      </c>
      <c r="K67" s="64">
        <v>2100</v>
      </c>
      <c r="L67" s="64">
        <f t="shared" si="2"/>
        <v>0</v>
      </c>
      <c r="M67" s="64">
        <v>1800</v>
      </c>
      <c r="N67" s="64">
        <v>1800</v>
      </c>
      <c r="O67" s="64">
        <f t="shared" si="1"/>
        <v>0</v>
      </c>
    </row>
    <row r="68" spans="1:16">
      <c r="A68" s="65">
        <v>44183</v>
      </c>
      <c r="B68" s="84">
        <v>3837603220</v>
      </c>
      <c r="C68" s="64" t="s">
        <v>1538</v>
      </c>
      <c r="D68" s="64">
        <v>9204976811</v>
      </c>
      <c r="E68" s="55"/>
      <c r="F68" s="86"/>
      <c r="G68" s="66">
        <v>19953</v>
      </c>
      <c r="I68" s="64" t="s">
        <v>672</v>
      </c>
      <c r="J68" s="64">
        <v>1300</v>
      </c>
      <c r="K68" s="64">
        <v>0</v>
      </c>
      <c r="L68" s="64">
        <f t="shared" si="2"/>
        <v>1300</v>
      </c>
      <c r="M68" s="64">
        <v>1300</v>
      </c>
      <c r="N68" s="64">
        <v>1300</v>
      </c>
      <c r="O68" s="64">
        <f t="shared" si="1"/>
        <v>0</v>
      </c>
    </row>
    <row r="69" spans="1:16">
      <c r="A69" s="56">
        <v>44184</v>
      </c>
      <c r="B69" s="54">
        <v>3850961920</v>
      </c>
      <c r="C69" s="54" t="s">
        <v>1539</v>
      </c>
      <c r="D69" s="54">
        <v>9573395115</v>
      </c>
      <c r="E69" s="83">
        <v>44237</v>
      </c>
      <c r="G69" s="57">
        <v>30913</v>
      </c>
      <c r="I69" s="54" t="s">
        <v>1540</v>
      </c>
      <c r="J69" s="54">
        <v>4700</v>
      </c>
      <c r="K69" s="54">
        <v>4700</v>
      </c>
      <c r="L69" s="54">
        <f t="shared" si="2"/>
        <v>0</v>
      </c>
      <c r="M69" s="54">
        <v>4100</v>
      </c>
      <c r="N69" s="54">
        <f>2000+2100</f>
        <v>4100</v>
      </c>
      <c r="O69" s="54">
        <f t="shared" si="1"/>
        <v>0</v>
      </c>
    </row>
    <row r="70" spans="1:16" s="64" customFormat="1">
      <c r="A70" s="65">
        <v>44184</v>
      </c>
      <c r="C70" s="64" t="s">
        <v>1541</v>
      </c>
      <c r="D70" s="64">
        <v>9800461568</v>
      </c>
      <c r="E70" s="69"/>
      <c r="F70" s="86"/>
      <c r="G70" s="66"/>
      <c r="I70" s="64" t="s">
        <v>1542</v>
      </c>
      <c r="J70" s="64">
        <v>2800</v>
      </c>
      <c r="K70" s="64">
        <v>2800</v>
      </c>
      <c r="L70" s="64">
        <f t="shared" si="2"/>
        <v>0</v>
      </c>
      <c r="M70" s="64">
        <f>1200+600+200</f>
        <v>2000</v>
      </c>
      <c r="N70" s="64">
        <v>2000</v>
      </c>
      <c r="O70" s="64">
        <f t="shared" si="1"/>
        <v>0</v>
      </c>
    </row>
    <row r="71" spans="1:16">
      <c r="A71" s="56">
        <v>44184</v>
      </c>
      <c r="B71" s="54">
        <v>3864625320</v>
      </c>
      <c r="C71" s="54" t="s">
        <v>1543</v>
      </c>
      <c r="D71" s="54">
        <v>8083631050</v>
      </c>
      <c r="E71" s="67" t="s">
        <v>1668</v>
      </c>
      <c r="G71" s="57">
        <v>27300</v>
      </c>
      <c r="I71" s="54" t="s">
        <v>1540</v>
      </c>
      <c r="J71" s="54">
        <f>4700+300</f>
        <v>5000</v>
      </c>
      <c r="K71" s="54">
        <f>2500+300+2200</f>
        <v>5000</v>
      </c>
      <c r="L71" s="54">
        <f t="shared" si="2"/>
        <v>0</v>
      </c>
      <c r="M71" s="54">
        <v>4100</v>
      </c>
      <c r="N71" s="54">
        <f>2000+300+1800</f>
        <v>4100</v>
      </c>
      <c r="O71" s="54">
        <f t="shared" si="1"/>
        <v>0</v>
      </c>
    </row>
    <row r="72" spans="1:16">
      <c r="A72" s="80">
        <v>44188</v>
      </c>
      <c r="B72" s="82">
        <v>3931606220</v>
      </c>
      <c r="C72" s="82" t="s">
        <v>837</v>
      </c>
      <c r="D72" s="82">
        <v>7739044155</v>
      </c>
      <c r="E72" s="105" t="s">
        <v>1668</v>
      </c>
      <c r="F72" s="91"/>
      <c r="G72" s="81">
        <v>37314</v>
      </c>
      <c r="H72" s="82"/>
      <c r="I72" s="82" t="s">
        <v>1540</v>
      </c>
      <c r="J72" s="82">
        <v>4700</v>
      </c>
      <c r="K72" s="82">
        <f>2500+2200</f>
        <v>4700</v>
      </c>
      <c r="L72" s="82">
        <f t="shared" si="2"/>
        <v>0</v>
      </c>
      <c r="M72" s="82">
        <v>4100</v>
      </c>
      <c r="N72" s="54">
        <f>1600+2500</f>
        <v>4100</v>
      </c>
      <c r="O72" s="54">
        <f t="shared" si="1"/>
        <v>0</v>
      </c>
    </row>
    <row r="73" spans="1:16" s="64" customFormat="1">
      <c r="A73" s="65">
        <v>44195</v>
      </c>
      <c r="B73" s="64">
        <v>3976656220</v>
      </c>
      <c r="C73" s="64" t="s">
        <v>1553</v>
      </c>
      <c r="D73" s="64">
        <v>8092577946</v>
      </c>
      <c r="E73" s="67"/>
      <c r="F73" s="86"/>
      <c r="G73" s="66">
        <v>29945</v>
      </c>
      <c r="I73" s="64" t="s">
        <v>672</v>
      </c>
      <c r="J73" s="64">
        <v>1700</v>
      </c>
      <c r="K73" s="64">
        <v>500</v>
      </c>
      <c r="L73" s="64">
        <f t="shared" si="2"/>
        <v>1200</v>
      </c>
      <c r="M73" s="64">
        <v>1300</v>
      </c>
      <c r="N73" s="64">
        <v>1300</v>
      </c>
      <c r="O73" s="64">
        <f t="shared" si="1"/>
        <v>0</v>
      </c>
    </row>
    <row r="74" spans="1:16" s="64" customFormat="1">
      <c r="A74" s="65">
        <v>44202</v>
      </c>
      <c r="B74" s="64">
        <v>71130821</v>
      </c>
      <c r="C74" s="64" t="s">
        <v>1190</v>
      </c>
      <c r="D74" s="64">
        <v>9308457927</v>
      </c>
      <c r="E74" s="83" t="s">
        <v>391</v>
      </c>
      <c r="F74" s="86" t="s">
        <v>1580</v>
      </c>
      <c r="G74" s="66">
        <v>29530</v>
      </c>
      <c r="I74" s="64" t="s">
        <v>672</v>
      </c>
      <c r="J74" s="64">
        <v>2700</v>
      </c>
      <c r="K74" s="64">
        <v>2700</v>
      </c>
      <c r="L74" s="64">
        <f t="shared" si="2"/>
        <v>0</v>
      </c>
      <c r="M74" s="64">
        <v>1200</v>
      </c>
      <c r="N74" s="64">
        <v>1200</v>
      </c>
      <c r="O74" s="64">
        <f t="shared" si="1"/>
        <v>0</v>
      </c>
    </row>
    <row r="75" spans="1:16">
      <c r="A75" s="80">
        <v>44207</v>
      </c>
      <c r="B75" s="82">
        <v>140986421</v>
      </c>
      <c r="C75" s="82" t="s">
        <v>1596</v>
      </c>
      <c r="D75" s="82">
        <v>7543917665</v>
      </c>
      <c r="E75" s="105" t="s">
        <v>1668</v>
      </c>
      <c r="F75" s="91"/>
      <c r="G75" s="81">
        <v>31607</v>
      </c>
      <c r="H75" s="82"/>
      <c r="I75" s="82" t="s">
        <v>1597</v>
      </c>
      <c r="J75" s="82">
        <v>3500</v>
      </c>
      <c r="K75" s="82">
        <v>3500</v>
      </c>
      <c r="L75" s="82">
        <f t="shared" si="2"/>
        <v>0</v>
      </c>
      <c r="M75" s="82">
        <v>3100</v>
      </c>
      <c r="N75" s="82">
        <f>2000+1100</f>
        <v>3100</v>
      </c>
      <c r="O75" s="82">
        <f t="shared" si="1"/>
        <v>0</v>
      </c>
      <c r="P75" s="82" t="s">
        <v>275</v>
      </c>
    </row>
    <row r="76" spans="1:16" s="64" customFormat="1">
      <c r="A76" s="65">
        <v>44207</v>
      </c>
      <c r="C76" s="64" t="s">
        <v>1599</v>
      </c>
      <c r="D76" s="64">
        <v>7543917665</v>
      </c>
      <c r="E76" s="83"/>
      <c r="F76" s="86"/>
      <c r="G76" s="66">
        <v>29229</v>
      </c>
      <c r="I76" s="64" t="s">
        <v>1598</v>
      </c>
      <c r="J76" s="64">
        <f>1700+1100</f>
        <v>2800</v>
      </c>
      <c r="K76" s="64">
        <v>2800</v>
      </c>
      <c r="L76" s="64">
        <f t="shared" si="2"/>
        <v>0</v>
      </c>
      <c r="M76" s="64">
        <v>1300</v>
      </c>
      <c r="N76" s="64">
        <v>1300</v>
      </c>
      <c r="O76" s="64">
        <f t="shared" si="1"/>
        <v>0</v>
      </c>
    </row>
    <row r="77" spans="1:16">
      <c r="A77" s="56">
        <v>44209</v>
      </c>
      <c r="B77" s="54">
        <v>181148621</v>
      </c>
      <c r="C77" s="54" t="s">
        <v>1601</v>
      </c>
      <c r="D77" s="54">
        <v>8797574708</v>
      </c>
      <c r="E77" s="67" t="s">
        <v>1668</v>
      </c>
      <c r="F77" s="59">
        <v>7978419984</v>
      </c>
      <c r="G77" s="57">
        <v>34980</v>
      </c>
      <c r="I77" s="54" t="s">
        <v>1540</v>
      </c>
      <c r="J77" s="54">
        <v>5000</v>
      </c>
      <c r="K77" s="54">
        <f>3000+2000</f>
        <v>5000</v>
      </c>
      <c r="L77" s="54">
        <f t="shared" si="2"/>
        <v>0</v>
      </c>
      <c r="M77" s="54">
        <f>4100+300</f>
        <v>4400</v>
      </c>
      <c r="N77" s="54">
        <f>2500+300+1600</f>
        <v>4400</v>
      </c>
      <c r="O77" s="54">
        <f t="shared" si="1"/>
        <v>0</v>
      </c>
    </row>
    <row r="78" spans="1:16">
      <c r="A78" s="56">
        <v>44209</v>
      </c>
      <c r="B78" s="54">
        <v>179280521</v>
      </c>
      <c r="C78" s="54" t="s">
        <v>1602</v>
      </c>
      <c r="D78" s="54">
        <v>9031907108</v>
      </c>
      <c r="E78" s="67">
        <v>44279</v>
      </c>
      <c r="G78" s="57">
        <v>31339</v>
      </c>
      <c r="I78" s="54" t="s">
        <v>1540</v>
      </c>
      <c r="J78" s="54">
        <v>4500</v>
      </c>
      <c r="K78" s="54">
        <f>2500+2000</f>
        <v>4500</v>
      </c>
      <c r="L78" s="54">
        <f t="shared" si="2"/>
        <v>0</v>
      </c>
      <c r="M78" s="54">
        <v>4400</v>
      </c>
      <c r="N78" s="54">
        <f>2500+1900</f>
        <v>4400</v>
      </c>
      <c r="O78" s="54">
        <f t="shared" si="1"/>
        <v>0</v>
      </c>
    </row>
    <row r="79" spans="1:16">
      <c r="A79" s="56">
        <v>44217</v>
      </c>
      <c r="B79" s="54">
        <v>318184621</v>
      </c>
      <c r="C79" s="54" t="s">
        <v>1623</v>
      </c>
      <c r="D79" s="54">
        <v>7209799520</v>
      </c>
      <c r="E79" s="67">
        <v>44267</v>
      </c>
      <c r="G79" s="57">
        <v>32653</v>
      </c>
      <c r="I79" s="54" t="s">
        <v>1540</v>
      </c>
      <c r="J79" s="54">
        <v>5000</v>
      </c>
      <c r="K79" s="54">
        <f>2600+2400</f>
        <v>5000</v>
      </c>
      <c r="L79" s="54">
        <f t="shared" si="2"/>
        <v>0</v>
      </c>
      <c r="M79" s="54">
        <f>4100+300</f>
        <v>4400</v>
      </c>
      <c r="N79" s="54">
        <f>2000+300+2100</f>
        <v>4400</v>
      </c>
      <c r="O79" s="54">
        <f t="shared" si="1"/>
        <v>0</v>
      </c>
    </row>
    <row r="80" spans="1:16">
      <c r="B80" s="54">
        <v>285290821</v>
      </c>
      <c r="C80" s="54" t="s">
        <v>1624</v>
      </c>
      <c r="D80" s="54">
        <v>9431167008</v>
      </c>
      <c r="E80" s="67" t="s">
        <v>1705</v>
      </c>
      <c r="G80" s="57">
        <v>36484</v>
      </c>
      <c r="I80" s="54" t="s">
        <v>1540</v>
      </c>
      <c r="J80" s="54">
        <v>5000</v>
      </c>
      <c r="K80" s="54">
        <f>2000+3000</f>
        <v>5000</v>
      </c>
      <c r="L80" s="54">
        <f t="shared" si="2"/>
        <v>0</v>
      </c>
      <c r="M80" s="54">
        <v>4100</v>
      </c>
      <c r="N80" s="54">
        <f>2000+300+1800</f>
        <v>4100</v>
      </c>
      <c r="O80" s="54">
        <f t="shared" si="1"/>
        <v>0</v>
      </c>
    </row>
    <row r="81" spans="1:19" s="64" customFormat="1">
      <c r="A81" s="65">
        <v>44222</v>
      </c>
      <c r="C81" s="64" t="s">
        <v>1694</v>
      </c>
      <c r="D81" s="64">
        <v>7319732731</v>
      </c>
      <c r="E81" s="83" t="s">
        <v>1697</v>
      </c>
      <c r="F81" s="86"/>
      <c r="G81" s="66">
        <v>20937</v>
      </c>
      <c r="I81" s="64" t="s">
        <v>930</v>
      </c>
      <c r="J81" s="64">
        <v>3100</v>
      </c>
      <c r="K81" s="64">
        <v>3100</v>
      </c>
      <c r="L81" s="64">
        <f t="shared" si="2"/>
        <v>0</v>
      </c>
      <c r="M81" s="64">
        <v>1400</v>
      </c>
      <c r="N81" s="64">
        <v>1400</v>
      </c>
      <c r="O81" s="64">
        <f t="shared" si="1"/>
        <v>0</v>
      </c>
    </row>
    <row r="82" spans="1:19">
      <c r="A82" s="56">
        <v>44224</v>
      </c>
      <c r="B82" s="54">
        <v>407553221</v>
      </c>
      <c r="C82" s="54" t="s">
        <v>770</v>
      </c>
      <c r="D82" s="54">
        <v>7619362586</v>
      </c>
      <c r="E82" s="67" t="s">
        <v>1669</v>
      </c>
      <c r="G82" s="57">
        <v>36148</v>
      </c>
      <c r="I82" s="54" t="s">
        <v>1540</v>
      </c>
      <c r="J82" s="54">
        <v>5000</v>
      </c>
      <c r="K82" s="54">
        <f>2500+2500</f>
        <v>5000</v>
      </c>
      <c r="L82" s="54">
        <f t="shared" si="2"/>
        <v>0</v>
      </c>
      <c r="M82" s="54">
        <v>4400</v>
      </c>
      <c r="N82" s="54">
        <f>2000+300+2100</f>
        <v>4400</v>
      </c>
      <c r="O82" s="54">
        <f t="shared" si="1"/>
        <v>0</v>
      </c>
    </row>
    <row r="83" spans="1:19" s="64" customFormat="1">
      <c r="A83" s="65">
        <v>44224</v>
      </c>
      <c r="B83" s="64">
        <v>9534014105</v>
      </c>
      <c r="C83" s="64" t="s">
        <v>1626</v>
      </c>
      <c r="E83" s="83" t="s">
        <v>391</v>
      </c>
      <c r="F83" s="86">
        <v>6201309013</v>
      </c>
      <c r="G83" s="66"/>
      <c r="I83" s="64" t="s">
        <v>1625</v>
      </c>
      <c r="J83" s="64">
        <v>1500</v>
      </c>
      <c r="K83" s="64">
        <v>1500</v>
      </c>
      <c r="L83" s="64">
        <f t="shared" si="2"/>
        <v>0</v>
      </c>
      <c r="M83" s="64">
        <v>1100</v>
      </c>
      <c r="N83" s="64">
        <v>1100</v>
      </c>
      <c r="O83" s="64">
        <f t="shared" si="1"/>
        <v>0</v>
      </c>
    </row>
    <row r="84" spans="1:19">
      <c r="A84" s="56">
        <v>44225</v>
      </c>
      <c r="B84" s="54">
        <v>432920321</v>
      </c>
      <c r="C84" s="54" t="s">
        <v>1627</v>
      </c>
      <c r="D84" s="54">
        <v>8210640569</v>
      </c>
      <c r="E84" s="67" t="s">
        <v>1704</v>
      </c>
      <c r="F84" s="59">
        <v>7004404580</v>
      </c>
      <c r="G84" s="57">
        <v>36204</v>
      </c>
      <c r="I84" s="54" t="s">
        <v>1540</v>
      </c>
      <c r="J84" s="54">
        <v>5000</v>
      </c>
      <c r="K84" s="54">
        <f>2500+500</f>
        <v>3000</v>
      </c>
      <c r="L84" s="54">
        <f t="shared" si="2"/>
        <v>2000</v>
      </c>
      <c r="M84" s="54">
        <v>4100</v>
      </c>
      <c r="N84" s="54">
        <f>2000+300</f>
        <v>2300</v>
      </c>
      <c r="O84" s="54">
        <f t="shared" si="1"/>
        <v>1800</v>
      </c>
    </row>
    <row r="85" spans="1:19">
      <c r="A85" s="80">
        <v>44228</v>
      </c>
      <c r="B85" s="82"/>
      <c r="C85" s="82" t="s">
        <v>1629</v>
      </c>
      <c r="D85" s="82">
        <v>7033627737</v>
      </c>
      <c r="E85" s="82" t="s">
        <v>1692</v>
      </c>
      <c r="F85" s="91"/>
      <c r="G85" s="81">
        <v>18804</v>
      </c>
      <c r="H85" s="82"/>
      <c r="I85" s="82" t="s">
        <v>930</v>
      </c>
      <c r="J85" s="82">
        <v>1700</v>
      </c>
      <c r="K85" s="82">
        <v>1700</v>
      </c>
      <c r="L85" s="82">
        <f t="shared" si="2"/>
        <v>0</v>
      </c>
      <c r="M85" s="82">
        <v>1400</v>
      </c>
      <c r="N85" s="54">
        <v>1400</v>
      </c>
      <c r="O85" s="54">
        <f t="shared" si="1"/>
        <v>0</v>
      </c>
      <c r="S85" s="54">
        <f>435*4+50</f>
        <v>1790</v>
      </c>
    </row>
    <row r="86" spans="1:19">
      <c r="A86" s="56">
        <v>44243</v>
      </c>
      <c r="B86" s="54">
        <v>708049521</v>
      </c>
      <c r="C86" s="54" t="s">
        <v>1633</v>
      </c>
      <c r="D86" s="54">
        <v>7004864934</v>
      </c>
      <c r="E86" s="54" t="s">
        <v>1730</v>
      </c>
      <c r="G86" s="57">
        <v>36642</v>
      </c>
      <c r="I86" s="54" t="s">
        <v>1540</v>
      </c>
      <c r="J86" s="54">
        <v>5000</v>
      </c>
      <c r="K86" s="54">
        <f>2500+2500</f>
        <v>5000</v>
      </c>
      <c r="L86" s="54">
        <f t="shared" si="2"/>
        <v>0</v>
      </c>
      <c r="M86" s="54">
        <v>4100</v>
      </c>
      <c r="N86" s="54">
        <f>2000+300+1800</f>
        <v>4100</v>
      </c>
      <c r="O86" s="54">
        <f t="shared" si="1"/>
        <v>0</v>
      </c>
    </row>
    <row r="87" spans="1:19">
      <c r="A87" s="56">
        <v>44243</v>
      </c>
      <c r="B87" s="54">
        <v>714568121</v>
      </c>
      <c r="C87" s="54" t="s">
        <v>1634</v>
      </c>
      <c r="D87" s="54">
        <v>9546001099</v>
      </c>
      <c r="E87" s="54" t="s">
        <v>1668</v>
      </c>
      <c r="G87" s="57">
        <v>35942</v>
      </c>
      <c r="I87" s="54" t="s">
        <v>1540</v>
      </c>
      <c r="J87" s="54">
        <f>5000+400</f>
        <v>5400</v>
      </c>
      <c r="K87" s="54">
        <f>2500+2000+500</f>
        <v>5000</v>
      </c>
      <c r="L87" s="54">
        <f t="shared" si="2"/>
        <v>400</v>
      </c>
      <c r="M87" s="54">
        <f>4100+300+400</f>
        <v>4800</v>
      </c>
      <c r="N87" s="54">
        <f>2000+300+2500</f>
        <v>4800</v>
      </c>
      <c r="O87" s="54">
        <f t="shared" si="1"/>
        <v>0</v>
      </c>
      <c r="P87" s="54">
        <v>9835566462</v>
      </c>
    </row>
    <row r="88" spans="1:19">
      <c r="A88" s="56">
        <v>44244</v>
      </c>
      <c r="B88" s="54">
        <v>725349921</v>
      </c>
      <c r="C88" s="54" t="s">
        <v>1635</v>
      </c>
      <c r="D88" s="54">
        <v>8210237201</v>
      </c>
      <c r="E88" s="54" t="s">
        <v>1668</v>
      </c>
      <c r="G88" s="57">
        <v>32432</v>
      </c>
      <c r="I88" s="54">
        <v>2</v>
      </c>
      <c r="J88" s="54">
        <v>3500</v>
      </c>
      <c r="K88" s="54">
        <f>2100+1500</f>
        <v>3600</v>
      </c>
      <c r="L88" s="54">
        <f t="shared" si="2"/>
        <v>-100</v>
      </c>
      <c r="M88" s="54">
        <v>3100</v>
      </c>
      <c r="N88" s="54">
        <v>1600</v>
      </c>
      <c r="O88" s="54">
        <f t="shared" si="1"/>
        <v>1500</v>
      </c>
    </row>
    <row r="89" spans="1:19">
      <c r="A89" s="56">
        <v>44250</v>
      </c>
      <c r="B89" s="82"/>
      <c r="C89" s="82" t="s">
        <v>284</v>
      </c>
      <c r="D89" s="82">
        <v>9031271967</v>
      </c>
      <c r="E89" s="82"/>
      <c r="F89" s="91"/>
      <c r="G89" s="81">
        <v>23747</v>
      </c>
      <c r="H89" s="82"/>
      <c r="I89" s="82" t="s">
        <v>1662</v>
      </c>
      <c r="J89" s="82">
        <v>1900</v>
      </c>
      <c r="K89" s="82">
        <v>1900</v>
      </c>
      <c r="L89" s="82">
        <f t="shared" si="2"/>
        <v>0</v>
      </c>
      <c r="M89" s="82">
        <v>1400</v>
      </c>
      <c r="N89" s="82">
        <v>1400</v>
      </c>
      <c r="O89" s="82">
        <f t="shared" si="1"/>
        <v>0</v>
      </c>
    </row>
    <row r="90" spans="1:19">
      <c r="A90" s="56">
        <v>44251</v>
      </c>
      <c r="B90" s="54">
        <v>830927621</v>
      </c>
      <c r="C90" s="54" t="s">
        <v>1670</v>
      </c>
      <c r="D90" s="54">
        <v>8210523941</v>
      </c>
      <c r="E90" s="54" t="s">
        <v>1795</v>
      </c>
      <c r="G90" s="57">
        <v>33769</v>
      </c>
      <c r="I90" s="54" t="s">
        <v>1671</v>
      </c>
      <c r="J90" s="54">
        <f>3800+500</f>
        <v>4300</v>
      </c>
      <c r="K90" s="54">
        <f>2000+2300</f>
        <v>4300</v>
      </c>
      <c r="L90" s="54">
        <f t="shared" si="2"/>
        <v>0</v>
      </c>
      <c r="M90" s="54">
        <f>3400+400</f>
        <v>3800</v>
      </c>
      <c r="N90" s="54">
        <f>2000+300+1500</f>
        <v>3800</v>
      </c>
      <c r="O90" s="54">
        <f t="shared" si="1"/>
        <v>0</v>
      </c>
    </row>
    <row r="91" spans="1:19">
      <c r="A91" s="56">
        <v>44252</v>
      </c>
      <c r="B91" s="110">
        <v>862666821</v>
      </c>
      <c r="C91" s="110" t="s">
        <v>364</v>
      </c>
      <c r="D91" s="110">
        <v>7992344716</v>
      </c>
      <c r="E91" s="110"/>
      <c r="G91" s="57">
        <v>37274</v>
      </c>
      <c r="I91" s="54" t="s">
        <v>1540</v>
      </c>
      <c r="J91" s="54">
        <v>5000</v>
      </c>
      <c r="K91" s="54">
        <v>2500</v>
      </c>
      <c r="L91" s="54">
        <f t="shared" si="2"/>
        <v>2500</v>
      </c>
      <c r="M91" s="54">
        <f>4100+300</f>
        <v>4400</v>
      </c>
      <c r="N91" s="54">
        <f>1600+300</f>
        <v>1900</v>
      </c>
      <c r="O91" s="54">
        <f t="shared" si="1"/>
        <v>2500</v>
      </c>
    </row>
    <row r="92" spans="1:19">
      <c r="A92" s="56">
        <v>44255</v>
      </c>
      <c r="B92" s="54">
        <v>892908021</v>
      </c>
      <c r="C92" s="54" t="s">
        <v>1693</v>
      </c>
      <c r="D92" s="54">
        <v>8534700235</v>
      </c>
      <c r="E92" s="54" t="s">
        <v>1667</v>
      </c>
      <c r="G92" s="57">
        <v>27030</v>
      </c>
      <c r="I92" s="54" t="s">
        <v>1691</v>
      </c>
      <c r="J92" s="54">
        <f>3500+300</f>
        <v>3800</v>
      </c>
      <c r="K92" s="54">
        <v>2000</v>
      </c>
      <c r="L92" s="54">
        <f t="shared" si="2"/>
        <v>1800</v>
      </c>
      <c r="M92" s="54">
        <f>3100+300</f>
        <v>3400</v>
      </c>
      <c r="N92" s="54">
        <v>1500</v>
      </c>
      <c r="O92" s="54">
        <f t="shared" si="1"/>
        <v>1900</v>
      </c>
    </row>
    <row r="93" spans="1:19">
      <c r="A93" s="56">
        <v>44269</v>
      </c>
      <c r="B93" s="54">
        <v>1104129821</v>
      </c>
      <c r="C93" s="54" t="s">
        <v>1706</v>
      </c>
      <c r="D93" s="54">
        <v>8987864098</v>
      </c>
      <c r="E93" s="54" t="s">
        <v>1712</v>
      </c>
      <c r="G93" s="57">
        <v>37340</v>
      </c>
      <c r="I93" s="54" t="s">
        <v>1540</v>
      </c>
      <c r="J93" s="54">
        <f>5000+500</f>
        <v>5500</v>
      </c>
      <c r="K93" s="54">
        <v>2500</v>
      </c>
      <c r="L93" s="54">
        <f t="shared" si="2"/>
        <v>3000</v>
      </c>
      <c r="M93" s="54">
        <f>4400+400</f>
        <v>4800</v>
      </c>
      <c r="N93" s="54">
        <v>2000</v>
      </c>
      <c r="O93" s="54">
        <f t="shared" si="1"/>
        <v>2800</v>
      </c>
    </row>
    <row r="94" spans="1:19" s="64" customFormat="1">
      <c r="A94" s="65">
        <v>44288</v>
      </c>
      <c r="C94" s="64" t="s">
        <v>1713</v>
      </c>
      <c r="D94" s="64">
        <v>9304750779</v>
      </c>
      <c r="E94" s="64" t="s">
        <v>812</v>
      </c>
      <c r="F94" s="86"/>
      <c r="G94" s="66">
        <v>20459</v>
      </c>
      <c r="I94" s="64" t="s">
        <v>930</v>
      </c>
      <c r="J94" s="64">
        <v>2000</v>
      </c>
      <c r="K94" s="64">
        <v>2000</v>
      </c>
      <c r="L94" s="64">
        <f t="shared" si="2"/>
        <v>0</v>
      </c>
      <c r="M94" s="64">
        <v>1800</v>
      </c>
      <c r="N94" s="64">
        <v>1800</v>
      </c>
      <c r="O94" s="64">
        <f t="shared" si="1"/>
        <v>0</v>
      </c>
    </row>
    <row r="95" spans="1:19" s="107" customFormat="1">
      <c r="A95" s="106"/>
      <c r="B95" s="107">
        <v>1480294421</v>
      </c>
      <c r="C95" s="107" t="s">
        <v>1714</v>
      </c>
      <c r="D95" s="107">
        <v>9472315294</v>
      </c>
      <c r="F95" s="108"/>
      <c r="G95" s="109">
        <v>33284</v>
      </c>
      <c r="I95" s="107" t="s">
        <v>1540</v>
      </c>
      <c r="J95" s="107">
        <v>5000</v>
      </c>
      <c r="K95" s="107">
        <v>2000</v>
      </c>
      <c r="L95" s="107">
        <f t="shared" si="2"/>
        <v>3000</v>
      </c>
      <c r="M95" s="107">
        <v>4400</v>
      </c>
      <c r="N95" s="107">
        <v>2000</v>
      </c>
      <c r="O95" s="107">
        <f t="shared" si="1"/>
        <v>2400</v>
      </c>
      <c r="P95" s="107" t="s">
        <v>1751</v>
      </c>
    </row>
    <row r="96" spans="1:19">
      <c r="A96" s="56"/>
      <c r="C96" s="54" t="s">
        <v>1715</v>
      </c>
      <c r="D96" s="54">
        <v>9102370595</v>
      </c>
      <c r="I96" s="54" t="s">
        <v>572</v>
      </c>
      <c r="J96" s="54">
        <v>1600</v>
      </c>
      <c r="K96" s="54">
        <v>1600</v>
      </c>
      <c r="L96" s="54">
        <f t="shared" si="2"/>
        <v>0</v>
      </c>
      <c r="M96" s="54">
        <v>1200</v>
      </c>
      <c r="N96" s="54">
        <v>1200</v>
      </c>
      <c r="O96" s="54">
        <f t="shared" si="1"/>
        <v>0</v>
      </c>
    </row>
    <row r="97" spans="1:18">
      <c r="A97" s="56">
        <v>44300</v>
      </c>
      <c r="B97" s="54">
        <v>1505084721</v>
      </c>
      <c r="C97" s="54" t="s">
        <v>1288</v>
      </c>
      <c r="D97" s="54">
        <v>8709102483</v>
      </c>
      <c r="E97" s="54" t="s">
        <v>1730</v>
      </c>
      <c r="G97" s="57">
        <v>29221</v>
      </c>
      <c r="I97" s="54" t="s">
        <v>1540</v>
      </c>
      <c r="J97" s="54">
        <f>5000+400</f>
        <v>5400</v>
      </c>
      <c r="K97" s="54">
        <v>3000</v>
      </c>
      <c r="L97" s="54">
        <f t="shared" si="2"/>
        <v>2400</v>
      </c>
      <c r="M97" s="54">
        <f>4400+400</f>
        <v>4800</v>
      </c>
      <c r="N97" s="54">
        <v>2000</v>
      </c>
      <c r="O97" s="54">
        <f t="shared" ref="O97:O100" si="3">M97-N97</f>
        <v>2800</v>
      </c>
    </row>
    <row r="98" spans="1:18">
      <c r="A98" s="56">
        <v>44354</v>
      </c>
      <c r="B98" s="54">
        <v>1753029121</v>
      </c>
      <c r="C98" s="54" t="s">
        <v>1761</v>
      </c>
      <c r="D98" s="54">
        <v>7011152603</v>
      </c>
      <c r="E98" s="54" t="s">
        <v>1795</v>
      </c>
      <c r="G98" s="57">
        <v>36007</v>
      </c>
      <c r="I98" s="54" t="s">
        <v>1540</v>
      </c>
      <c r="J98" s="54">
        <f>5000+500</f>
        <v>5500</v>
      </c>
      <c r="K98" s="54">
        <f>3000+2500</f>
        <v>5500</v>
      </c>
      <c r="L98" s="54">
        <f t="shared" si="2"/>
        <v>0</v>
      </c>
      <c r="M98" s="54">
        <f>4400+400</f>
        <v>4800</v>
      </c>
      <c r="N98" s="54">
        <f>2000+2800</f>
        <v>4800</v>
      </c>
      <c r="O98" s="54">
        <f t="shared" si="3"/>
        <v>0</v>
      </c>
    </row>
    <row r="99" spans="1:18">
      <c r="A99" s="56">
        <v>44370</v>
      </c>
      <c r="B99" s="54">
        <v>1929779421</v>
      </c>
      <c r="C99" s="54" t="s">
        <v>1717</v>
      </c>
      <c r="D99" s="54">
        <v>7004036221</v>
      </c>
      <c r="G99" s="57">
        <v>36743</v>
      </c>
      <c r="I99" s="54" t="s">
        <v>1540</v>
      </c>
      <c r="J99" s="54">
        <f>5000+600</f>
        <v>5600</v>
      </c>
      <c r="K99" s="54">
        <f>2500+3100</f>
        <v>5600</v>
      </c>
      <c r="L99" s="54">
        <f t="shared" si="2"/>
        <v>0</v>
      </c>
      <c r="M99" s="54">
        <f>4400+400</f>
        <v>4800</v>
      </c>
      <c r="N99" s="54">
        <f>2000+2800</f>
        <v>4800</v>
      </c>
      <c r="O99" s="54">
        <f t="shared" si="3"/>
        <v>0</v>
      </c>
    </row>
    <row r="100" spans="1:18">
      <c r="A100" s="56">
        <v>44371</v>
      </c>
      <c r="B100" s="54">
        <v>1948596621</v>
      </c>
      <c r="C100" s="54" t="s">
        <v>1718</v>
      </c>
      <c r="D100" s="54">
        <v>8969153202</v>
      </c>
      <c r="G100" s="57">
        <v>35900</v>
      </c>
      <c r="I100" s="54" t="s">
        <v>1540</v>
      </c>
      <c r="J100" s="54">
        <f>5000+400</f>
        <v>5400</v>
      </c>
      <c r="K100" s="54">
        <v>2400</v>
      </c>
      <c r="L100" s="54">
        <f t="shared" si="2"/>
        <v>3000</v>
      </c>
      <c r="M100" s="54">
        <f>4400+400</f>
        <v>4800</v>
      </c>
      <c r="N100" s="54">
        <v>2000</v>
      </c>
      <c r="O100" s="54">
        <f t="shared" si="3"/>
        <v>2800</v>
      </c>
    </row>
    <row r="101" spans="1:18">
      <c r="B101" s="54">
        <v>1972303421</v>
      </c>
      <c r="C101" s="54" t="s">
        <v>406</v>
      </c>
      <c r="D101" s="54">
        <v>7091556451</v>
      </c>
      <c r="E101" s="54" t="s">
        <v>1795</v>
      </c>
      <c r="G101" s="57">
        <v>36825</v>
      </c>
      <c r="I101" s="54" t="s">
        <v>1540</v>
      </c>
      <c r="J101" s="54">
        <f>5000+400</f>
        <v>5400</v>
      </c>
      <c r="K101" s="54">
        <v>5000</v>
      </c>
      <c r="L101" s="54">
        <f t="shared" si="2"/>
        <v>400</v>
      </c>
      <c r="M101" s="54">
        <f>4400+400</f>
        <v>4800</v>
      </c>
      <c r="N101" s="54">
        <f>2000+2800</f>
        <v>4800</v>
      </c>
      <c r="O101" s="54">
        <f t="shared" ref="O101:O112" si="4">M101-N101</f>
        <v>0</v>
      </c>
    </row>
    <row r="102" spans="1:18">
      <c r="C102" s="54" t="s">
        <v>1716</v>
      </c>
      <c r="G102" s="57">
        <v>35346</v>
      </c>
      <c r="L102" s="54">
        <f t="shared" ref="L102:L111" si="5">J102-K102</f>
        <v>0</v>
      </c>
      <c r="O102" s="54">
        <f t="shared" si="4"/>
        <v>0</v>
      </c>
    </row>
    <row r="103" spans="1:18">
      <c r="A103" s="56">
        <v>44384</v>
      </c>
      <c r="B103" s="110"/>
      <c r="C103" s="110" t="s">
        <v>1719</v>
      </c>
      <c r="D103" s="110">
        <v>9931145822</v>
      </c>
      <c r="E103" s="110"/>
      <c r="G103" s="57">
        <v>18056</v>
      </c>
      <c r="I103" s="54" t="s">
        <v>930</v>
      </c>
      <c r="J103" s="54">
        <v>2000</v>
      </c>
      <c r="K103" s="54">
        <v>2000</v>
      </c>
      <c r="L103" s="54">
        <f t="shared" si="5"/>
        <v>0</v>
      </c>
      <c r="M103" s="54">
        <v>1400</v>
      </c>
      <c r="N103" s="54">
        <v>1400</v>
      </c>
      <c r="O103" s="54">
        <f t="shared" si="4"/>
        <v>0</v>
      </c>
    </row>
    <row r="104" spans="1:18">
      <c r="A104" s="56">
        <v>44386</v>
      </c>
      <c r="B104" s="110"/>
      <c r="C104" s="110" t="s">
        <v>1720</v>
      </c>
      <c r="D104" s="110">
        <v>9835537202</v>
      </c>
      <c r="E104" s="110"/>
      <c r="G104" s="57">
        <v>17770</v>
      </c>
      <c r="I104" s="54" t="s">
        <v>930</v>
      </c>
      <c r="J104" s="54">
        <v>2000</v>
      </c>
      <c r="K104" s="54">
        <v>2000</v>
      </c>
      <c r="L104" s="54">
        <f t="shared" si="5"/>
        <v>0</v>
      </c>
      <c r="M104" s="54">
        <v>1400</v>
      </c>
      <c r="N104" s="54">
        <v>1400</v>
      </c>
      <c r="O104" s="54">
        <f t="shared" si="4"/>
        <v>0</v>
      </c>
    </row>
    <row r="105" spans="1:18">
      <c r="A105" s="56">
        <v>44385</v>
      </c>
      <c r="C105" s="54" t="s">
        <v>1721</v>
      </c>
      <c r="D105" s="54">
        <v>7209946815</v>
      </c>
      <c r="E105" s="54" t="s">
        <v>1805</v>
      </c>
      <c r="G105" s="57">
        <v>35013</v>
      </c>
      <c r="I105" s="54">
        <v>2</v>
      </c>
      <c r="J105" s="54">
        <f>3700+400</f>
        <v>4100</v>
      </c>
      <c r="K105" s="54">
        <f>2000+2100</f>
        <v>4100</v>
      </c>
      <c r="L105" s="54">
        <f t="shared" si="5"/>
        <v>0</v>
      </c>
      <c r="M105" s="54">
        <f>3100+400</f>
        <v>3500</v>
      </c>
      <c r="N105" s="54">
        <f>2000+1500</f>
        <v>3500</v>
      </c>
      <c r="O105" s="54">
        <f t="shared" si="4"/>
        <v>0</v>
      </c>
    </row>
    <row r="106" spans="1:18">
      <c r="A106" s="56">
        <v>44389</v>
      </c>
      <c r="B106" s="54">
        <v>2187460921</v>
      </c>
      <c r="C106" s="54" t="s">
        <v>1722</v>
      </c>
      <c r="D106" s="54">
        <v>9711146659</v>
      </c>
      <c r="G106" s="57">
        <v>35855</v>
      </c>
      <c r="I106" s="54" t="s">
        <v>1540</v>
      </c>
      <c r="J106" s="54">
        <f>5000+500</f>
        <v>5500</v>
      </c>
      <c r="K106" s="54">
        <f>2500+3000</f>
        <v>5500</v>
      </c>
      <c r="L106" s="54">
        <f t="shared" si="5"/>
        <v>0</v>
      </c>
      <c r="M106" s="54">
        <v>4400</v>
      </c>
      <c r="N106" s="54">
        <v>2000</v>
      </c>
      <c r="O106" s="54">
        <f t="shared" si="4"/>
        <v>2400</v>
      </c>
    </row>
    <row r="107" spans="1:18">
      <c r="A107" s="56">
        <v>44387</v>
      </c>
      <c r="B107" s="110"/>
      <c r="C107" s="110" t="s">
        <v>1723</v>
      </c>
      <c r="D107" s="110"/>
      <c r="E107" s="110"/>
      <c r="G107" s="57">
        <v>27760</v>
      </c>
      <c r="I107" s="54" t="s">
        <v>930</v>
      </c>
      <c r="J107" s="54">
        <v>2000</v>
      </c>
      <c r="K107" s="54">
        <v>2000</v>
      </c>
      <c r="L107" s="54">
        <f t="shared" si="5"/>
        <v>0</v>
      </c>
      <c r="M107" s="54">
        <v>1400</v>
      </c>
      <c r="N107" s="54">
        <v>1400</v>
      </c>
      <c r="O107" s="54">
        <f t="shared" si="4"/>
        <v>0</v>
      </c>
    </row>
    <row r="108" spans="1:18">
      <c r="A108" s="56">
        <v>44389</v>
      </c>
      <c r="B108" s="54">
        <v>2199487021</v>
      </c>
      <c r="C108" s="54" t="s">
        <v>1724</v>
      </c>
      <c r="D108" s="54">
        <v>8272990701</v>
      </c>
      <c r="G108" s="57">
        <v>34675</v>
      </c>
      <c r="I108" s="54" t="s">
        <v>1540</v>
      </c>
      <c r="J108" s="54">
        <v>5000</v>
      </c>
      <c r="K108" s="54">
        <v>2500</v>
      </c>
      <c r="L108" s="54">
        <f t="shared" si="5"/>
        <v>2500</v>
      </c>
      <c r="M108" s="54">
        <v>4400</v>
      </c>
      <c r="N108" s="54">
        <v>0</v>
      </c>
      <c r="O108" s="54">
        <f t="shared" si="4"/>
        <v>4400</v>
      </c>
    </row>
    <row r="109" spans="1:18">
      <c r="A109" s="112">
        <v>44398</v>
      </c>
      <c r="B109" s="111"/>
      <c r="C109" s="111" t="s">
        <v>808</v>
      </c>
      <c r="D109" s="111">
        <v>9431345961</v>
      </c>
      <c r="E109" s="111"/>
      <c r="F109" s="88"/>
      <c r="G109" s="73" t="s">
        <v>1727</v>
      </c>
      <c r="H109" s="71"/>
      <c r="I109" s="71" t="s">
        <v>930</v>
      </c>
      <c r="J109" s="71">
        <v>4400</v>
      </c>
      <c r="K109" s="71">
        <v>4400</v>
      </c>
      <c r="L109" s="71">
        <f t="shared" si="5"/>
        <v>0</v>
      </c>
      <c r="M109" s="71">
        <v>3400</v>
      </c>
      <c r="N109" s="71">
        <v>3400</v>
      </c>
      <c r="O109" s="71">
        <f t="shared" si="4"/>
        <v>0</v>
      </c>
      <c r="P109" s="71"/>
      <c r="Q109" s="71"/>
      <c r="R109" s="71"/>
    </row>
    <row r="110" spans="1:18">
      <c r="A110" s="56">
        <v>44398</v>
      </c>
      <c r="C110" s="54" t="s">
        <v>1726</v>
      </c>
      <c r="D110" s="54">
        <v>9065733224</v>
      </c>
      <c r="E110" s="54" t="s">
        <v>1787</v>
      </c>
      <c r="G110" s="57">
        <v>30368</v>
      </c>
      <c r="I110" s="54" t="s">
        <v>930</v>
      </c>
      <c r="J110" s="54">
        <v>3500</v>
      </c>
      <c r="K110" s="54">
        <v>3500</v>
      </c>
      <c r="L110" s="54">
        <f t="shared" si="5"/>
        <v>0</v>
      </c>
      <c r="M110" s="54">
        <v>2500</v>
      </c>
      <c r="N110" s="54">
        <v>2500</v>
      </c>
      <c r="O110" s="54">
        <f t="shared" si="4"/>
        <v>0</v>
      </c>
    </row>
    <row r="111" spans="1:18">
      <c r="A111" s="56">
        <v>44402</v>
      </c>
      <c r="B111" s="110"/>
      <c r="C111" s="110" t="s">
        <v>1729</v>
      </c>
      <c r="D111" s="110"/>
      <c r="E111" s="110"/>
      <c r="I111" s="54" t="s">
        <v>930</v>
      </c>
      <c r="J111" s="54">
        <v>1850</v>
      </c>
      <c r="K111" s="54">
        <v>1850</v>
      </c>
      <c r="L111" s="54">
        <f t="shared" si="5"/>
        <v>0</v>
      </c>
      <c r="M111" s="54">
        <v>1500</v>
      </c>
      <c r="N111" s="54">
        <v>1500</v>
      </c>
      <c r="O111" s="54">
        <f t="shared" si="4"/>
        <v>0</v>
      </c>
    </row>
    <row r="112" spans="1:18">
      <c r="A112" s="56">
        <v>44402</v>
      </c>
      <c r="B112" s="110"/>
      <c r="C112" s="110" t="s">
        <v>1728</v>
      </c>
      <c r="D112" s="110">
        <v>7004939998</v>
      </c>
      <c r="E112" s="110"/>
      <c r="G112" s="57">
        <v>26191</v>
      </c>
      <c r="I112" s="54" t="s">
        <v>930</v>
      </c>
      <c r="J112" s="54">
        <v>2900</v>
      </c>
      <c r="K112" s="54">
        <v>2900</v>
      </c>
      <c r="L112" s="54">
        <f t="shared" ref="L112:L130" si="6">J112-K112</f>
        <v>0</v>
      </c>
      <c r="M112" s="54">
        <f>1100+1400</f>
        <v>2500</v>
      </c>
      <c r="N112" s="54">
        <v>0</v>
      </c>
      <c r="O112" s="54">
        <f t="shared" si="4"/>
        <v>2500</v>
      </c>
    </row>
    <row r="113" spans="1:15">
      <c r="A113" s="56">
        <v>44416</v>
      </c>
      <c r="C113" s="54" t="s">
        <v>1738</v>
      </c>
      <c r="D113" s="54">
        <v>8076886229</v>
      </c>
      <c r="E113" s="54" t="s">
        <v>1786</v>
      </c>
      <c r="G113" s="57">
        <v>37044</v>
      </c>
      <c r="I113" s="54" t="s">
        <v>1739</v>
      </c>
      <c r="J113" s="54">
        <v>4200</v>
      </c>
      <c r="K113" s="54">
        <f>2000+2200</f>
        <v>4200</v>
      </c>
      <c r="L113" s="54">
        <f t="shared" si="6"/>
        <v>0</v>
      </c>
      <c r="M113" s="54">
        <v>3800</v>
      </c>
      <c r="N113" s="54">
        <v>2000</v>
      </c>
      <c r="O113" s="54">
        <f t="shared" ref="O113:O130" si="7">M113-N113</f>
        <v>1800</v>
      </c>
    </row>
    <row r="114" spans="1:15">
      <c r="A114" s="56">
        <v>44416</v>
      </c>
      <c r="B114" s="110"/>
      <c r="C114" s="110" t="s">
        <v>1740</v>
      </c>
      <c r="D114" s="110">
        <v>8603319592</v>
      </c>
      <c r="E114" s="110"/>
      <c r="G114" s="57">
        <v>25586</v>
      </c>
      <c r="I114" s="54" t="s">
        <v>930</v>
      </c>
      <c r="L114" s="54">
        <f t="shared" si="6"/>
        <v>0</v>
      </c>
      <c r="M114" s="54">
        <v>3800</v>
      </c>
      <c r="O114" s="54">
        <f t="shared" si="7"/>
        <v>3800</v>
      </c>
    </row>
    <row r="115" spans="1:15">
      <c r="A115" s="56">
        <v>44416</v>
      </c>
      <c r="C115" s="54" t="s">
        <v>1741</v>
      </c>
      <c r="D115" s="54">
        <v>6202909827</v>
      </c>
      <c r="E115" s="54" t="s">
        <v>1808</v>
      </c>
      <c r="G115" s="57">
        <v>37787</v>
      </c>
      <c r="I115" s="54" t="s">
        <v>1540</v>
      </c>
      <c r="J115" s="54">
        <v>5700</v>
      </c>
      <c r="K115" s="54">
        <f>2500+3200</f>
        <v>5700</v>
      </c>
      <c r="L115" s="54">
        <f t="shared" si="6"/>
        <v>0</v>
      </c>
      <c r="M115" s="54">
        <v>5100</v>
      </c>
      <c r="N115" s="54">
        <v>2500</v>
      </c>
      <c r="O115" s="54">
        <f t="shared" si="7"/>
        <v>2600</v>
      </c>
    </row>
    <row r="116" spans="1:15">
      <c r="A116" s="56">
        <v>44443</v>
      </c>
      <c r="B116" s="54">
        <v>2969875721</v>
      </c>
      <c r="C116" s="54" t="s">
        <v>1760</v>
      </c>
      <c r="D116" s="54">
        <v>9065339731</v>
      </c>
      <c r="G116" s="57">
        <v>36803</v>
      </c>
      <c r="I116" s="54" t="s">
        <v>1540</v>
      </c>
      <c r="J116" s="54">
        <v>5700</v>
      </c>
      <c r="K116" s="54">
        <v>2900</v>
      </c>
      <c r="L116" s="54">
        <f t="shared" si="6"/>
        <v>2800</v>
      </c>
      <c r="M116" s="54">
        <v>5000</v>
      </c>
      <c r="N116" s="54">
        <v>3500</v>
      </c>
      <c r="O116" s="54">
        <f t="shared" si="7"/>
        <v>1500</v>
      </c>
    </row>
    <row r="117" spans="1:15">
      <c r="A117" s="56">
        <v>44449</v>
      </c>
      <c r="B117" s="54">
        <v>3069356821</v>
      </c>
      <c r="C117" s="54" t="s">
        <v>1772</v>
      </c>
      <c r="D117" s="54">
        <v>6203157028</v>
      </c>
      <c r="G117" s="57">
        <v>37525</v>
      </c>
      <c r="I117" s="54" t="s">
        <v>1540</v>
      </c>
      <c r="J117" s="54">
        <v>5700</v>
      </c>
      <c r="K117" s="54">
        <v>3000</v>
      </c>
      <c r="L117" s="54">
        <f t="shared" si="6"/>
        <v>2700</v>
      </c>
      <c r="M117" s="54">
        <v>5100</v>
      </c>
      <c r="N117" s="54">
        <v>2500</v>
      </c>
      <c r="O117" s="54">
        <f t="shared" si="7"/>
        <v>2600</v>
      </c>
    </row>
    <row r="118" spans="1:15">
      <c r="A118" s="56">
        <v>44449</v>
      </c>
      <c r="B118" s="54">
        <v>3074618521</v>
      </c>
      <c r="C118" s="54" t="s">
        <v>1771</v>
      </c>
      <c r="D118" s="54">
        <v>7903010419</v>
      </c>
      <c r="G118" s="57">
        <v>33465</v>
      </c>
      <c r="I118" s="54" t="s">
        <v>1540</v>
      </c>
      <c r="J118" s="54">
        <v>5700</v>
      </c>
      <c r="K118" s="54">
        <v>3000</v>
      </c>
      <c r="L118" s="54">
        <f t="shared" si="6"/>
        <v>2700</v>
      </c>
      <c r="M118" s="54">
        <v>5100</v>
      </c>
      <c r="N118" s="54">
        <v>2500</v>
      </c>
      <c r="O118" s="54">
        <f t="shared" si="7"/>
        <v>2600</v>
      </c>
    </row>
    <row r="119" spans="1:15">
      <c r="A119" s="56">
        <v>44454</v>
      </c>
      <c r="C119" s="54" t="s">
        <v>1773</v>
      </c>
      <c r="D119" s="54">
        <v>6202186630</v>
      </c>
      <c r="G119" s="57">
        <v>28156</v>
      </c>
      <c r="I119" s="54" t="s">
        <v>930</v>
      </c>
      <c r="J119" s="54">
        <v>1700</v>
      </c>
      <c r="K119" s="54">
        <v>1700</v>
      </c>
      <c r="L119" s="54">
        <f t="shared" si="6"/>
        <v>0</v>
      </c>
      <c r="M119" s="54">
        <v>1200</v>
      </c>
      <c r="N119" s="54">
        <v>0</v>
      </c>
      <c r="O119" s="54">
        <f t="shared" si="7"/>
        <v>1200</v>
      </c>
    </row>
    <row r="120" spans="1:15">
      <c r="A120" s="56">
        <v>44455</v>
      </c>
      <c r="B120" s="54">
        <v>3156054221</v>
      </c>
      <c r="C120" s="54" t="s">
        <v>1777</v>
      </c>
      <c r="D120" s="54">
        <v>9304033860</v>
      </c>
      <c r="G120" s="57">
        <v>37198</v>
      </c>
      <c r="I120" s="54" t="s">
        <v>1540</v>
      </c>
      <c r="J120" s="54">
        <v>5700</v>
      </c>
      <c r="K120" s="54">
        <v>2500</v>
      </c>
      <c r="L120" s="54">
        <f t="shared" si="6"/>
        <v>3200</v>
      </c>
      <c r="M120" s="54">
        <v>5100</v>
      </c>
      <c r="N120" s="54">
        <v>2500</v>
      </c>
      <c r="O120" s="54">
        <f t="shared" si="7"/>
        <v>2600</v>
      </c>
    </row>
    <row r="121" spans="1:15">
      <c r="A121" s="56">
        <v>44457</v>
      </c>
      <c r="B121" s="54">
        <v>3188289721</v>
      </c>
      <c r="C121" s="54" t="s">
        <v>1778</v>
      </c>
      <c r="D121" s="54">
        <v>8409949983</v>
      </c>
      <c r="G121" s="57">
        <v>37824</v>
      </c>
      <c r="I121" s="54" t="s">
        <v>1540</v>
      </c>
      <c r="J121" s="54">
        <v>5700</v>
      </c>
      <c r="K121" s="54">
        <v>3000</v>
      </c>
      <c r="L121" s="54">
        <f t="shared" si="6"/>
        <v>2700</v>
      </c>
      <c r="M121" s="54">
        <v>5100</v>
      </c>
      <c r="N121" s="54">
        <v>2500</v>
      </c>
      <c r="O121" s="54">
        <f t="shared" si="7"/>
        <v>2600</v>
      </c>
    </row>
    <row r="122" spans="1:15">
      <c r="A122" s="56">
        <v>44457</v>
      </c>
      <c r="B122" s="54" t="s">
        <v>1779</v>
      </c>
      <c r="C122" s="54" t="s">
        <v>1780</v>
      </c>
      <c r="D122" s="54">
        <v>8653845274</v>
      </c>
      <c r="G122" s="57">
        <v>29707</v>
      </c>
      <c r="I122" s="54" t="s">
        <v>1781</v>
      </c>
      <c r="J122" s="54">
        <v>2000</v>
      </c>
      <c r="K122" s="54">
        <v>1500</v>
      </c>
      <c r="L122" s="54">
        <f t="shared" si="6"/>
        <v>500</v>
      </c>
      <c r="M122" s="54">
        <v>1500</v>
      </c>
      <c r="N122" s="54">
        <v>1500</v>
      </c>
      <c r="O122" s="54">
        <f t="shared" si="7"/>
        <v>0</v>
      </c>
    </row>
    <row r="123" spans="1:15">
      <c r="A123" s="56">
        <v>44462</v>
      </c>
      <c r="C123" s="54" t="s">
        <v>420</v>
      </c>
      <c r="D123" s="54">
        <v>9835356289</v>
      </c>
      <c r="E123" s="54" t="s">
        <v>1803</v>
      </c>
      <c r="G123" s="57">
        <v>31070</v>
      </c>
      <c r="I123" s="54" t="s">
        <v>1782</v>
      </c>
      <c r="J123" s="54">
        <v>4500</v>
      </c>
      <c r="K123" s="54">
        <v>2500</v>
      </c>
      <c r="L123" s="54">
        <f t="shared" si="6"/>
        <v>2000</v>
      </c>
      <c r="M123" s="54">
        <v>3900</v>
      </c>
      <c r="N123" s="54">
        <v>2000</v>
      </c>
      <c r="O123" s="54">
        <f t="shared" si="7"/>
        <v>1900</v>
      </c>
    </row>
    <row r="124" spans="1:15">
      <c r="A124" s="56">
        <v>44462</v>
      </c>
      <c r="B124" s="54">
        <v>3277993021</v>
      </c>
      <c r="C124" s="54" t="s">
        <v>1783</v>
      </c>
      <c r="D124" s="54">
        <v>6201105757</v>
      </c>
      <c r="E124" s="54" t="s">
        <v>1806</v>
      </c>
      <c r="G124" s="57">
        <v>44462</v>
      </c>
      <c r="I124" s="54" t="s">
        <v>1540</v>
      </c>
      <c r="J124" s="54">
        <v>5500</v>
      </c>
      <c r="K124" s="54">
        <v>3000</v>
      </c>
      <c r="L124" s="54">
        <f t="shared" si="6"/>
        <v>2500</v>
      </c>
      <c r="M124" s="54">
        <v>5100</v>
      </c>
      <c r="N124" s="54">
        <v>2500</v>
      </c>
      <c r="O124" s="54">
        <f t="shared" si="7"/>
        <v>2600</v>
      </c>
    </row>
    <row r="125" spans="1:15">
      <c r="C125" s="54" t="s">
        <v>1794</v>
      </c>
      <c r="D125" s="54">
        <v>7209198771</v>
      </c>
      <c r="E125" s="54" t="s">
        <v>1796</v>
      </c>
      <c r="G125" s="57">
        <v>20475</v>
      </c>
      <c r="I125" s="54" t="s">
        <v>930</v>
      </c>
      <c r="J125" s="54">
        <v>2000</v>
      </c>
      <c r="K125" s="54">
        <v>2000</v>
      </c>
      <c r="L125" s="54">
        <f t="shared" si="6"/>
        <v>0</v>
      </c>
      <c r="M125" s="54">
        <v>1300</v>
      </c>
      <c r="N125" s="54">
        <v>1300</v>
      </c>
      <c r="O125" s="54">
        <f t="shared" si="7"/>
        <v>0</v>
      </c>
    </row>
    <row r="126" spans="1:15">
      <c r="A126" s="56">
        <v>44474</v>
      </c>
      <c r="B126" s="54">
        <v>3443911421</v>
      </c>
      <c r="C126" s="54" t="s">
        <v>1798</v>
      </c>
      <c r="D126" s="54">
        <v>9899267972</v>
      </c>
      <c r="E126" s="54" t="s">
        <v>341</v>
      </c>
      <c r="G126" s="57">
        <v>37817</v>
      </c>
      <c r="I126" s="54" t="s">
        <v>1540</v>
      </c>
      <c r="J126" s="54">
        <v>5500</v>
      </c>
      <c r="K126" s="54">
        <v>2000</v>
      </c>
      <c r="L126" s="54">
        <f t="shared" si="6"/>
        <v>3500</v>
      </c>
      <c r="M126" s="54">
        <v>4800</v>
      </c>
      <c r="N126" s="54">
        <v>2500</v>
      </c>
      <c r="O126" s="54">
        <f t="shared" si="7"/>
        <v>2300</v>
      </c>
    </row>
    <row r="127" spans="1:15">
      <c r="A127" s="56">
        <v>44479</v>
      </c>
      <c r="B127" s="54">
        <v>3518415621</v>
      </c>
      <c r="C127" s="54" t="s">
        <v>1802</v>
      </c>
      <c r="D127" s="54" t="s">
        <v>572</v>
      </c>
      <c r="E127" s="54" t="s">
        <v>341</v>
      </c>
      <c r="G127" s="57">
        <v>34609</v>
      </c>
      <c r="I127" s="54" t="s">
        <v>1540</v>
      </c>
      <c r="J127" s="54">
        <v>5800</v>
      </c>
      <c r="K127" s="54">
        <v>3000</v>
      </c>
      <c r="L127" s="54">
        <f t="shared" si="6"/>
        <v>2800</v>
      </c>
      <c r="M127" s="54">
        <v>5100</v>
      </c>
      <c r="N127" s="54">
        <v>2500</v>
      </c>
      <c r="O127" s="54">
        <f t="shared" si="7"/>
        <v>2600</v>
      </c>
    </row>
    <row r="128" spans="1:15">
      <c r="A128" s="56">
        <v>44483</v>
      </c>
      <c r="B128" s="54">
        <v>3572358621</v>
      </c>
      <c r="C128" s="54" t="s">
        <v>1804</v>
      </c>
      <c r="D128" s="54">
        <v>7209994300</v>
      </c>
      <c r="E128" s="54" t="s">
        <v>341</v>
      </c>
      <c r="G128" s="57">
        <v>37803</v>
      </c>
      <c r="I128" s="54" t="s">
        <v>1540</v>
      </c>
      <c r="J128" s="54">
        <v>5800</v>
      </c>
      <c r="K128" s="54">
        <v>3000</v>
      </c>
      <c r="L128" s="54">
        <f t="shared" si="6"/>
        <v>2800</v>
      </c>
      <c r="M128" s="54">
        <v>5100</v>
      </c>
      <c r="N128" s="54">
        <v>2500</v>
      </c>
      <c r="O128" s="54">
        <f t="shared" si="7"/>
        <v>2600</v>
      </c>
    </row>
    <row r="129" spans="1:15">
      <c r="A129" s="56">
        <v>44493</v>
      </c>
      <c r="B129" s="54">
        <v>3685956321</v>
      </c>
      <c r="C129" s="54" t="s">
        <v>1632</v>
      </c>
      <c r="D129" s="54">
        <v>9798159111</v>
      </c>
      <c r="G129" s="57">
        <v>25623</v>
      </c>
      <c r="I129" s="54" t="s">
        <v>1540</v>
      </c>
      <c r="J129" s="54">
        <v>5800</v>
      </c>
      <c r="K129" s="54">
        <v>3000</v>
      </c>
      <c r="L129" s="54">
        <f t="shared" si="6"/>
        <v>2800</v>
      </c>
      <c r="M129" s="54">
        <v>5100</v>
      </c>
      <c r="O129" s="54">
        <f t="shared" si="7"/>
        <v>5100</v>
      </c>
    </row>
    <row r="130" spans="1:15">
      <c r="A130" s="56">
        <v>44493</v>
      </c>
      <c r="B130" s="54">
        <v>3686003321</v>
      </c>
      <c r="C130" s="54" t="s">
        <v>1807</v>
      </c>
      <c r="D130" s="54">
        <v>9386818489</v>
      </c>
      <c r="G130" s="57">
        <v>25625</v>
      </c>
      <c r="I130" s="54" t="s">
        <v>1540</v>
      </c>
      <c r="J130" s="54">
        <v>5800</v>
      </c>
      <c r="K130" s="54">
        <v>3000</v>
      </c>
      <c r="L130" s="54">
        <f t="shared" si="6"/>
        <v>2800</v>
      </c>
      <c r="M130" s="54">
        <v>5100</v>
      </c>
      <c r="O130" s="54">
        <f t="shared" si="7"/>
        <v>5100</v>
      </c>
    </row>
    <row r="134" spans="1:15">
      <c r="M134" s="54">
        <f>3275+1500+3475-120*15</f>
        <v>6450</v>
      </c>
    </row>
  </sheetData>
  <sheetProtection selectLockedCells="1" selectUnlockedCells="1"/>
  <customSheetViews>
    <customSheetView guid="{CFF18104-9957-4B22-A0BF-E0E9089CC41B}" scale="85" topLeftCell="C1">
      <pane ySplit="2" topLeftCell="A84" activePane="bottomLeft" state="frozen"/>
      <selection pane="bottomLeft" activeCell="E101" sqref="E101"/>
      <pageMargins left="0.7" right="0.7" top="0.75" bottom="0.75" header="0.3" footer="0.3"/>
      <pageSetup orientation="portrait" r:id="rId1"/>
    </customSheetView>
    <customSheetView guid="{1DB3B8BB-FF13-43E4-91E2-4D5FE1537F47}">
      <selection activeCell="B11" sqref="B11"/>
      <pageMargins left="0.7" right="0.7" top="0.75" bottom="0.75" header="0.3" footer="0.3"/>
      <pageSetup orientation="portrait" horizontalDpi="0" verticalDpi="0" r:id="rId2"/>
    </customSheetView>
    <customSheetView guid="{9FBD6FCD-ABF0-44CA-B044-9B9EEA555F2A}">
      <selection activeCell="C8" sqref="C8"/>
      <pageMargins left="0.7" right="0.7" top="0.75" bottom="0.75" header="0.3" footer="0.3"/>
    </customSheetView>
    <customSheetView guid="{76DB48ED-F9D5-46EE-8B68-22302006932B}">
      <selection activeCell="C8" sqref="C8"/>
      <pageMargins left="0.7" right="0.7" top="0.75" bottom="0.75" header="0.3" footer="0.3"/>
    </customSheetView>
    <customSheetView guid="{17BB0635-933F-4031-AA1B-02B47946C686}" topLeftCell="A4">
      <selection activeCell="G13" sqref="G13"/>
      <pageMargins left="0.7" right="0.7" top="0.75" bottom="0.75" header="0.3" footer="0.3"/>
      <pageSetup orientation="portrait" horizontalDpi="0" verticalDpi="0" r:id="rId3"/>
    </customSheetView>
    <customSheetView guid="{3AED7B35-86CA-4B6C-A2EC-CD4DE422B896}" scale="85">
      <pane ySplit="2" topLeftCell="A102" activePane="bottomLeft" state="frozen"/>
      <selection pane="bottomLeft" activeCell="C117" sqref="C117"/>
      <pageMargins left="0.7" right="0.7" top="0.75" bottom="0.75" header="0.3" footer="0.3"/>
      <pageSetup orientation="portrait" r:id="rId4"/>
    </customSheetView>
    <customSheetView guid="{E64C861B-828F-4357-A2C1-687220A83D03}" scale="85" showPageBreaks="1">
      <pane ySplit="2" topLeftCell="A87" activePane="bottomLeft" state="frozen"/>
      <selection pane="bottomLeft" activeCell="C105" sqref="C105"/>
      <pageMargins left="0.7" right="0.7" top="0.75" bottom="0.75" header="0.3" footer="0.3"/>
      <pageSetup orientation="portrait" r:id="rId5"/>
    </customSheetView>
  </customSheetViews>
  <conditionalFormatting sqref="C3">
    <cfRule type="expression" dxfId="6" priority="12">
      <formula>"L4&lt;1"</formula>
    </cfRule>
    <cfRule type="colorScale" priority="13">
      <colorScale>
        <cfvo type="formula" val="&quot;if(L4=0)&quot;"/>
        <cfvo type="max"/>
        <color rgb="FF00B050"/>
        <color rgb="FFFFEF9C"/>
      </colorScale>
    </cfRule>
  </conditionalFormatting>
  <conditionalFormatting sqref="C5:D6">
    <cfRule type="expression" dxfId="5" priority="10">
      <formula>O5&lt;1</formula>
    </cfRule>
  </conditionalFormatting>
  <conditionalFormatting sqref="C8:D8">
    <cfRule type="expression" dxfId="4" priority="9">
      <formula>O8&lt;1</formula>
    </cfRule>
  </conditionalFormatting>
  <conditionalFormatting sqref="C18:D18">
    <cfRule type="expression" dxfId="3" priority="8">
      <formula>O18&lt;1</formula>
    </cfRule>
  </conditionalFormatting>
  <conditionalFormatting sqref="C20:D20">
    <cfRule type="expression" dxfId="2" priority="7">
      <formula>O20&lt;1</formula>
    </cfRule>
  </conditionalFormatting>
  <conditionalFormatting sqref="E56:E84">
    <cfRule type="cellIs" dxfId="1" priority="1" operator="equal">
      <formula>"RECEIVED"</formula>
    </cfRule>
    <cfRule type="cellIs" dxfId="0" priority="2" operator="equal">
      <formula>#REF!="RECEIVED"</formula>
    </cfRule>
  </conditionalFormatting>
  <hyperlinks>
    <hyperlink ref="E32" r:id="rId6" xr:uid="{00000000-0004-0000-0900-000000000000}"/>
    <hyperlink ref="E36" r:id="rId7" xr:uid="{00000000-0004-0000-0900-000001000000}"/>
    <hyperlink ref="E37" r:id="rId8" xr:uid="{00000000-0004-0000-0900-000002000000}"/>
    <hyperlink ref="E38" r:id="rId9" xr:uid="{00000000-0004-0000-0900-000003000000}"/>
    <hyperlink ref="F44" r:id="rId10" display="https://sarathi.parivahan.gov.in/sarathiservicecov19/applViewStages.do?applNum=3352289120&amp;dateOfBirth=01-12-1994" xr:uid="{F145CF65-C9A4-44EA-91F3-1E0B736802DD}"/>
    <hyperlink ref="F23" r:id="rId11" display="https://sarathi.parivahan.gov.in/sarathiservicecov28/applViewStages.do?applNum=1083441220&amp;dateOfBirth=10-01-1988" xr:uid="{FE8BD98C-E443-4B5F-B972-45E9D723D125}"/>
    <hyperlink ref="F39" r:id="rId12" display="https://sarathi.parivahan.gov.in/sarathiservicecov3/applViewStages.do?applNum=3352316220&amp;dateOfBirth=01-01-1975" xr:uid="{5E80E1BE-952C-40F3-90CD-75945B87BE6D}"/>
    <hyperlink ref="F34" r:id="rId13" display="https://sarathi.parivahan.gov.in/sarathiservicecov3/applViewStages.do?applNum=3352360720&amp;dateOfBirth=12-09-1979" xr:uid="{9BE941D1-B5D3-47F4-85DA-440E574C48C2}"/>
  </hyperlinks>
  <pageMargins left="0.7" right="0.7" top="0.75" bottom="0.75" header="0.3" footer="0.3"/>
  <pageSetup orientation="portrait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C5D9-DE4F-4DD3-ACA1-9F101EBB32FE}">
  <dimension ref="G8:G18"/>
  <sheetViews>
    <sheetView workbookViewId="0">
      <selection activeCell="G19" sqref="G19"/>
    </sheetView>
  </sheetViews>
  <sheetFormatPr defaultRowHeight="14.4"/>
  <sheetData>
    <row r="8" spans="7:7">
      <c r="G8">
        <v>1900</v>
      </c>
    </row>
    <row r="9" spans="7:7">
      <c r="G9">
        <v>2100</v>
      </c>
    </row>
    <row r="10" spans="7:7">
      <c r="G10">
        <v>2000</v>
      </c>
    </row>
    <row r="11" spans="7:7">
      <c r="G11">
        <v>1800</v>
      </c>
    </row>
    <row r="12" spans="7:7">
      <c r="G12">
        <v>2100</v>
      </c>
    </row>
    <row r="13" spans="7:7">
      <c r="G13">
        <v>2100</v>
      </c>
    </row>
    <row r="14" spans="7:7">
      <c r="G14">
        <v>1200</v>
      </c>
    </row>
    <row r="15" spans="7:7">
      <c r="G15">
        <v>1600</v>
      </c>
    </row>
    <row r="16" spans="7:7">
      <c r="G16">
        <v>5200</v>
      </c>
    </row>
    <row r="17" spans="7:7">
      <c r="G17" s="16">
        <f>SUM(G8:G16)</f>
        <v>20000</v>
      </c>
    </row>
    <row r="18" spans="7:7">
      <c r="G18">
        <v>5000</v>
      </c>
    </row>
  </sheetData>
  <customSheetViews>
    <customSheetView guid="{CFF18104-9957-4B22-A0BF-E0E9089CC41B}">
      <selection activeCell="G19" sqref="G19"/>
      <pageMargins left="0.7" right="0.7" top="0.75" bottom="0.75" header="0.3" footer="0.3"/>
      <pageSetup paperSize="9" orientation="portrait" horizontalDpi="4294967293" verticalDpi="0" r:id="rId1"/>
    </customSheetView>
    <customSheetView guid="{3AED7B35-86CA-4B6C-A2EC-CD4DE422B896}">
      <selection activeCell="G19" sqref="G19"/>
      <pageMargins left="0.7" right="0.7" top="0.75" bottom="0.75" header="0.3" footer="0.3"/>
      <pageSetup paperSize="9" orientation="portrait" horizontalDpi="4294967293" verticalDpi="0" r:id="rId2"/>
    </customSheetView>
    <customSheetView guid="{E64C861B-828F-4357-A2C1-687220A83D03}" showPageBreaks="1">
      <selection activeCell="G19" sqref="G19"/>
      <pageMargins left="0.7" right="0.7" top="0.75" bottom="0.75" header="0.3" footer="0.3"/>
      <pageSetup paperSize="9" orientation="portrait" horizontalDpi="4294967293" verticalDpi="0" r:id="rId3"/>
    </customSheetView>
  </customSheetViews>
  <pageMargins left="0.7" right="0.7" top="0.75" bottom="0.75" header="0.3" footer="0.3"/>
  <pageSetup paperSize="9" orientation="portrait" horizontalDpi="4294967293" verticalDpi="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workbookViewId="0">
      <selection activeCell="B16" sqref="B16"/>
    </sheetView>
  </sheetViews>
  <sheetFormatPr defaultRowHeight="14.4"/>
  <cols>
    <col min="1" max="1" width="20.33203125" customWidth="1"/>
    <col min="2" max="2" width="34" customWidth="1"/>
    <col min="3" max="3" width="21.5546875" customWidth="1"/>
    <col min="4" max="4" width="12.44140625" customWidth="1"/>
    <col min="5" max="5" width="11" bestFit="1" customWidth="1"/>
    <col min="8" max="8" width="11.5546875" customWidth="1"/>
    <col min="9" max="9" width="19" customWidth="1"/>
    <col min="10" max="10" width="17" customWidth="1"/>
    <col min="11" max="11" width="11" bestFit="1" customWidth="1"/>
  </cols>
  <sheetData>
    <row r="1" spans="1:11">
      <c r="A1" s="2"/>
      <c r="I1" t="s">
        <v>1502</v>
      </c>
      <c r="J1" t="s">
        <v>1503</v>
      </c>
    </row>
    <row r="2" spans="1:11">
      <c r="A2" s="2" t="s">
        <v>925</v>
      </c>
      <c r="B2" s="14" t="s">
        <v>923</v>
      </c>
      <c r="C2" t="s">
        <v>924</v>
      </c>
      <c r="E2" s="2">
        <v>43860</v>
      </c>
      <c r="H2" s="2">
        <v>44160</v>
      </c>
      <c r="I2" t="s">
        <v>1501</v>
      </c>
      <c r="J2" t="s">
        <v>404</v>
      </c>
      <c r="K2">
        <v>9905150414</v>
      </c>
    </row>
    <row r="3" spans="1:11">
      <c r="B3" s="14" t="s">
        <v>938</v>
      </c>
      <c r="C3" t="s">
        <v>939</v>
      </c>
      <c r="H3" s="2">
        <v>44263</v>
      </c>
      <c r="I3" t="s">
        <v>1702</v>
      </c>
      <c r="J3" t="s">
        <v>1703</v>
      </c>
      <c r="K3">
        <v>7209611697</v>
      </c>
    </row>
    <row r="4" spans="1:11">
      <c r="B4" s="14" t="s">
        <v>1028</v>
      </c>
      <c r="C4" t="s">
        <v>1029</v>
      </c>
      <c r="D4" s="16"/>
    </row>
    <row r="5" spans="1:11">
      <c r="A5" s="2"/>
      <c r="B5" s="14" t="s">
        <v>1030</v>
      </c>
      <c r="C5" t="s">
        <v>1031</v>
      </c>
    </row>
    <row r="6" spans="1:11">
      <c r="A6" s="2"/>
      <c r="B6" s="14" t="s">
        <v>1032</v>
      </c>
      <c r="C6" t="s">
        <v>1031</v>
      </c>
      <c r="D6">
        <v>9199535912</v>
      </c>
      <c r="E6" t="s">
        <v>257</v>
      </c>
    </row>
    <row r="7" spans="1:11">
      <c r="A7" s="2"/>
      <c r="B7" s="14" t="s">
        <v>1223</v>
      </c>
      <c r="C7" s="14" t="s">
        <v>1224</v>
      </c>
    </row>
    <row r="8" spans="1:11">
      <c r="A8" s="2"/>
      <c r="B8" s="14" t="s">
        <v>1300</v>
      </c>
      <c r="C8" s="14" t="s">
        <v>1301</v>
      </c>
    </row>
    <row r="9" spans="1:11">
      <c r="A9" s="2"/>
      <c r="B9" s="14" t="s">
        <v>1303</v>
      </c>
      <c r="C9" s="14" t="s">
        <v>1302</v>
      </c>
    </row>
    <row r="10" spans="1:11">
      <c r="B10" s="14" t="s">
        <v>1393</v>
      </c>
      <c r="C10" s="14" t="s">
        <v>1394</v>
      </c>
    </row>
    <row r="11" spans="1:11">
      <c r="B11" s="14" t="s">
        <v>1273</v>
      </c>
      <c r="C11" s="14" t="s">
        <v>1416</v>
      </c>
    </row>
    <row r="12" spans="1:11">
      <c r="B12" s="14" t="s">
        <v>1701</v>
      </c>
      <c r="C12" s="14" t="s">
        <v>1698</v>
      </c>
    </row>
    <row r="13" spans="1:11">
      <c r="B13" s="14" t="s">
        <v>1699</v>
      </c>
      <c r="C13" s="14" t="s">
        <v>1700</v>
      </c>
    </row>
    <row r="14" spans="1:11">
      <c r="B14" s="14" t="s">
        <v>1707</v>
      </c>
      <c r="C14" s="14" t="s">
        <v>1504</v>
      </c>
      <c r="D14">
        <v>9031395170</v>
      </c>
    </row>
    <row r="15" spans="1:11">
      <c r="B15" s="14" t="s">
        <v>1711</v>
      </c>
      <c r="C15" s="14" t="s">
        <v>1504</v>
      </c>
      <c r="D15">
        <v>9162478021</v>
      </c>
    </row>
    <row r="16" spans="1:11">
      <c r="A16" t="s">
        <v>1732</v>
      </c>
      <c r="B16" t="s">
        <v>1731</v>
      </c>
      <c r="C16" t="s">
        <v>1504</v>
      </c>
      <c r="D16">
        <v>9835927917</v>
      </c>
      <c r="E16" t="s">
        <v>1759</v>
      </c>
    </row>
    <row r="17" spans="6:6">
      <c r="F17">
        <f>3221*1.18</f>
        <v>3800.7799999999997</v>
      </c>
    </row>
  </sheetData>
  <customSheetViews>
    <customSheetView guid="{CFF18104-9957-4B22-A0BF-E0E9089CC41B}">
      <selection activeCell="B16" sqref="B16"/>
      <pageMargins left="0.7" right="0.7" top="0.75" bottom="0.75" header="0.3" footer="0.3"/>
      <pageSetup paperSize="9" orientation="portrait" r:id="rId1"/>
    </customSheetView>
    <customSheetView guid="{1DB3B8BB-FF13-43E4-91E2-4D5FE1537F47}">
      <selection activeCell="D15" sqref="D15"/>
      <pageMargins left="0.7" right="0.7" top="0.75" bottom="0.75" header="0.3" footer="0.3"/>
      <pageSetup paperSize="9" orientation="portrait" verticalDpi="0" r:id="rId2"/>
    </customSheetView>
    <customSheetView guid="{3AED7B35-86CA-4B6C-A2EC-CD4DE422B896}">
      <selection activeCell="B21" sqref="B21"/>
      <pageMargins left="0.7" right="0.7" top="0.75" bottom="0.75" header="0.3" footer="0.3"/>
      <pageSetup paperSize="9" orientation="portrait" r:id="rId3"/>
    </customSheetView>
    <customSheetView guid="{E64C861B-828F-4357-A2C1-687220A83D03}" showPageBreaks="1">
      <selection activeCell="B16" sqref="B16"/>
      <pageMargins left="0.7" right="0.7" top="0.75" bottom="0.75" header="0.3" footer="0.3"/>
      <pageSetup paperSize="9" orientation="portrait" r:id="rId4"/>
    </customSheetView>
  </customSheetViews>
  <hyperlinks>
    <hyperlink ref="B2" r:id="rId5" xr:uid="{00000000-0004-0000-0A00-000000000000}"/>
    <hyperlink ref="B3" r:id="rId6" xr:uid="{00000000-0004-0000-0A00-000001000000}"/>
    <hyperlink ref="B4" r:id="rId7" xr:uid="{00000000-0004-0000-0A00-000002000000}"/>
    <hyperlink ref="B5" r:id="rId8" xr:uid="{00000000-0004-0000-0A00-000003000000}"/>
    <hyperlink ref="B6" r:id="rId9" xr:uid="{00000000-0004-0000-0A00-000004000000}"/>
    <hyperlink ref="B7" r:id="rId10" xr:uid="{00000000-0004-0000-0A00-000005000000}"/>
    <hyperlink ref="C7" r:id="rId11" xr:uid="{00000000-0004-0000-0A00-000006000000}"/>
    <hyperlink ref="B8" r:id="rId12" xr:uid="{00000000-0004-0000-0A00-000007000000}"/>
    <hyperlink ref="C8" r:id="rId13" xr:uid="{00000000-0004-0000-0A00-000008000000}"/>
    <hyperlink ref="C9" r:id="rId14" xr:uid="{00000000-0004-0000-0A00-000009000000}"/>
    <hyperlink ref="B9" r:id="rId15" xr:uid="{00000000-0004-0000-0A00-00000A000000}"/>
    <hyperlink ref="B10" r:id="rId16" xr:uid="{E842FCF2-AFA9-4B27-9A4A-35FEA77D04B8}"/>
    <hyperlink ref="C10" r:id="rId17" xr:uid="{89B2FDEB-6836-4248-8706-4507E111629A}"/>
    <hyperlink ref="C11" r:id="rId18" xr:uid="{CB5FDBE3-D4F6-4F9E-A7AA-86F02735FC60}"/>
    <hyperlink ref="B11" r:id="rId19" display="mailto:bbpdamit@gmail.com" xr:uid="{2662F5BB-2828-4E5C-9BC9-908B21EF23EA}"/>
    <hyperlink ref="B12" r:id="rId20" xr:uid="{F39D1EA2-F200-4FA5-8ABE-21957679062A}"/>
    <hyperlink ref="C12" r:id="rId21" xr:uid="{BF103117-7D8B-4FC3-8453-16569F00CFA2}"/>
    <hyperlink ref="B13" r:id="rId22" xr:uid="{946169B6-D85A-47EB-932D-5690A2BF6628}"/>
    <hyperlink ref="C13" r:id="rId23" xr:uid="{B00E44CE-F5E8-48D1-BDB0-1792C8B981E3}"/>
    <hyperlink ref="B14" r:id="rId24" xr:uid="{CCA7A358-0716-4C3C-9066-A8D2C446F920}"/>
    <hyperlink ref="C14" r:id="rId25" xr:uid="{D93E9F41-C18B-45A2-BCE4-ACC0D779E51F}"/>
    <hyperlink ref="B15" r:id="rId26" xr:uid="{75503B50-D05B-44DA-BEDF-2F35DFE4756B}"/>
    <hyperlink ref="C15" r:id="rId27" xr:uid="{F10794F9-29E7-44D1-8F71-B155EF2CC8CA}"/>
  </hyperlinks>
  <pageMargins left="0.7" right="0.7" top="0.75" bottom="0.75" header="0.3" footer="0.3"/>
  <pageSetup paperSize="9" orientation="portrait" r:id="rId2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5"/>
  <sheetViews>
    <sheetView workbookViewId="0">
      <pane ySplit="2" topLeftCell="A3" activePane="bottomLeft" state="frozen"/>
      <selection pane="bottomLeft" activeCell="E21" sqref="E21"/>
    </sheetView>
  </sheetViews>
  <sheetFormatPr defaultRowHeight="14.4"/>
  <cols>
    <col min="1" max="1" width="10.33203125" customWidth="1"/>
    <col min="2" max="2" width="22.109375" customWidth="1"/>
    <col min="3" max="3" width="11.5546875" customWidth="1"/>
    <col min="4" max="4" width="18.6640625" customWidth="1"/>
    <col min="5" max="5" width="25.88671875" customWidth="1"/>
    <col min="6" max="6" width="12.6640625" customWidth="1"/>
  </cols>
  <sheetData>
    <row r="2" spans="1:6">
      <c r="C2" s="3" t="s">
        <v>276</v>
      </c>
    </row>
    <row r="3" spans="1:6">
      <c r="A3" s="23">
        <v>43469</v>
      </c>
      <c r="B3" t="s">
        <v>309</v>
      </c>
      <c r="C3" s="2">
        <v>26567</v>
      </c>
      <c r="D3">
        <v>9031723901</v>
      </c>
      <c r="E3" t="s">
        <v>417</v>
      </c>
      <c r="F3" t="s">
        <v>391</v>
      </c>
    </row>
    <row r="4" spans="1:6">
      <c r="A4" s="23">
        <v>43380</v>
      </c>
      <c r="B4" t="s">
        <v>393</v>
      </c>
      <c r="C4" s="2">
        <v>36047</v>
      </c>
      <c r="D4">
        <v>7209866505</v>
      </c>
      <c r="E4" t="s">
        <v>392</v>
      </c>
      <c r="F4" t="s">
        <v>391</v>
      </c>
    </row>
    <row r="5" spans="1:6">
      <c r="A5" s="23">
        <v>43380</v>
      </c>
      <c r="B5" t="s">
        <v>395</v>
      </c>
      <c r="C5" s="2">
        <v>32874</v>
      </c>
      <c r="D5">
        <v>7759928837</v>
      </c>
      <c r="E5" t="s">
        <v>394</v>
      </c>
      <c r="F5" t="s">
        <v>391</v>
      </c>
    </row>
    <row r="6" spans="1:6">
      <c r="A6" s="23">
        <v>43381</v>
      </c>
      <c r="B6" t="s">
        <v>397</v>
      </c>
      <c r="C6" s="2">
        <v>38536</v>
      </c>
      <c r="D6">
        <v>9470386166</v>
      </c>
      <c r="E6" t="s">
        <v>396</v>
      </c>
      <c r="F6" t="s">
        <v>391</v>
      </c>
    </row>
    <row r="7" spans="1:6">
      <c r="A7" s="23">
        <v>43434</v>
      </c>
      <c r="B7" t="s">
        <v>408</v>
      </c>
      <c r="C7" s="2">
        <v>33225</v>
      </c>
      <c r="D7">
        <v>8235699862</v>
      </c>
      <c r="E7" t="s">
        <v>407</v>
      </c>
      <c r="F7" t="s">
        <v>405</v>
      </c>
    </row>
    <row r="8" spans="1:6">
      <c r="A8" s="23">
        <v>43460</v>
      </c>
      <c r="B8" t="s">
        <v>411</v>
      </c>
      <c r="C8" s="2">
        <v>26679</v>
      </c>
      <c r="D8">
        <v>9031737312</v>
      </c>
      <c r="E8" t="s">
        <v>410</v>
      </c>
      <c r="F8" t="s">
        <v>533</v>
      </c>
    </row>
    <row r="9" spans="1:6">
      <c r="A9" s="23">
        <v>43469</v>
      </c>
      <c r="B9" t="s">
        <v>413</v>
      </c>
      <c r="C9" s="2">
        <v>26299</v>
      </c>
      <c r="D9">
        <v>7464087566</v>
      </c>
      <c r="E9" t="s">
        <v>412</v>
      </c>
      <c r="F9" t="s">
        <v>391</v>
      </c>
    </row>
    <row r="10" spans="1:6">
      <c r="A10" s="23">
        <v>43469</v>
      </c>
      <c r="B10" t="s">
        <v>415</v>
      </c>
      <c r="C10" s="2">
        <v>34700</v>
      </c>
      <c r="D10" t="s">
        <v>416</v>
      </c>
      <c r="E10" t="s">
        <v>414</v>
      </c>
      <c r="F10" t="s">
        <v>533</v>
      </c>
    </row>
    <row r="11" spans="1:6">
      <c r="A11" s="23">
        <v>43474</v>
      </c>
      <c r="B11" t="s">
        <v>419</v>
      </c>
      <c r="C11" s="2">
        <v>35087</v>
      </c>
      <c r="D11">
        <v>7209181167</v>
      </c>
      <c r="E11" t="s">
        <v>418</v>
      </c>
      <c r="F11" t="s">
        <v>391</v>
      </c>
    </row>
    <row r="12" spans="1:6">
      <c r="A12" s="23">
        <v>43516</v>
      </c>
      <c r="B12" t="s">
        <v>298</v>
      </c>
      <c r="C12" s="2">
        <v>34700</v>
      </c>
      <c r="D12">
        <v>9263294720</v>
      </c>
      <c r="E12" t="s">
        <v>464</v>
      </c>
      <c r="F12" t="s">
        <v>533</v>
      </c>
    </row>
    <row r="13" spans="1:6">
      <c r="A13" s="2">
        <v>43524</v>
      </c>
      <c r="B13" t="s">
        <v>466</v>
      </c>
      <c r="C13" s="2">
        <v>40419</v>
      </c>
      <c r="D13">
        <v>9973516071</v>
      </c>
      <c r="E13" t="s">
        <v>465</v>
      </c>
      <c r="F13" t="s">
        <v>405</v>
      </c>
    </row>
    <row r="14" spans="1:6">
      <c r="A14" s="2">
        <v>43524</v>
      </c>
      <c r="B14" t="s">
        <v>468</v>
      </c>
      <c r="C14" s="2">
        <v>37782</v>
      </c>
      <c r="D14">
        <v>9279831153</v>
      </c>
      <c r="E14" t="s">
        <v>467</v>
      </c>
      <c r="F14" t="s">
        <v>533</v>
      </c>
    </row>
    <row r="15" spans="1:6">
      <c r="A15" s="2">
        <v>43542</v>
      </c>
      <c r="B15" t="s">
        <v>479</v>
      </c>
      <c r="C15" s="2">
        <v>26705</v>
      </c>
      <c r="D15">
        <v>9234378840</v>
      </c>
      <c r="E15" t="s">
        <v>478</v>
      </c>
      <c r="F15" t="s">
        <v>533</v>
      </c>
    </row>
    <row r="16" spans="1:6">
      <c r="A16" s="2">
        <v>43544</v>
      </c>
      <c r="B16" t="s">
        <v>480</v>
      </c>
      <c r="C16" s="2">
        <v>33239</v>
      </c>
      <c r="D16">
        <v>9264262741</v>
      </c>
      <c r="E16" t="s">
        <v>495</v>
      </c>
      <c r="F16" t="s">
        <v>533</v>
      </c>
    </row>
    <row r="17" spans="1:5">
      <c r="A17" s="2">
        <v>43630</v>
      </c>
      <c r="B17" t="s">
        <v>573</v>
      </c>
      <c r="C17" s="2">
        <v>33970</v>
      </c>
      <c r="D17">
        <v>7870963162</v>
      </c>
      <c r="E17" t="s">
        <v>574</v>
      </c>
    </row>
    <row r="18" spans="1:5">
      <c r="A18" s="2">
        <v>43645</v>
      </c>
      <c r="B18" t="s">
        <v>1000</v>
      </c>
      <c r="C18" s="2">
        <v>30317</v>
      </c>
      <c r="D18">
        <v>9798478996</v>
      </c>
      <c r="E18" t="s">
        <v>1001</v>
      </c>
    </row>
    <row r="19" spans="1:5">
      <c r="A19" s="2">
        <v>43650</v>
      </c>
      <c r="B19" t="s">
        <v>593</v>
      </c>
      <c r="C19" s="2">
        <v>26149</v>
      </c>
      <c r="D19">
        <v>7209935119</v>
      </c>
      <c r="E19" t="s">
        <v>592</v>
      </c>
    </row>
    <row r="20" spans="1:5">
      <c r="A20" s="2">
        <v>43762</v>
      </c>
      <c r="B20" t="s">
        <v>764</v>
      </c>
      <c r="C20" s="2">
        <v>28771</v>
      </c>
      <c r="D20">
        <v>8797665064</v>
      </c>
      <c r="E20" t="s">
        <v>763</v>
      </c>
    </row>
    <row r="21" spans="1:5">
      <c r="A21" s="2">
        <v>43812</v>
      </c>
      <c r="B21" t="s">
        <v>813</v>
      </c>
      <c r="C21" s="2">
        <v>35744</v>
      </c>
      <c r="D21">
        <v>8809398991</v>
      </c>
      <c r="E21" t="s">
        <v>814</v>
      </c>
    </row>
    <row r="22" spans="1:5">
      <c r="A22" s="2">
        <v>43846</v>
      </c>
      <c r="B22" t="s">
        <v>845</v>
      </c>
      <c r="C22" s="2">
        <v>35065</v>
      </c>
      <c r="E22" t="s">
        <v>882</v>
      </c>
    </row>
    <row r="23" spans="1:5">
      <c r="A23" s="2">
        <v>43846</v>
      </c>
      <c r="B23" t="s">
        <v>297</v>
      </c>
      <c r="C23" s="2">
        <v>36161</v>
      </c>
      <c r="D23">
        <v>6207569001</v>
      </c>
      <c r="E23" t="s">
        <v>883</v>
      </c>
    </row>
    <row r="24" spans="1:5">
      <c r="A24" s="2">
        <v>43998</v>
      </c>
      <c r="B24" t="s">
        <v>1023</v>
      </c>
      <c r="C24" s="2">
        <v>27991</v>
      </c>
      <c r="D24">
        <v>9279787031</v>
      </c>
      <c r="E24" t="s">
        <v>1022</v>
      </c>
    </row>
    <row r="25" spans="1:5">
      <c r="A25" s="2">
        <v>43572</v>
      </c>
      <c r="B25" t="s">
        <v>1026</v>
      </c>
      <c r="C25" s="2">
        <v>29587</v>
      </c>
      <c r="D25">
        <v>8409701579</v>
      </c>
      <c r="E25" t="s">
        <v>1027</v>
      </c>
    </row>
  </sheetData>
  <customSheetViews>
    <customSheetView guid="{CFF18104-9957-4B22-A0BF-E0E9089CC41B}">
      <pane ySplit="2" topLeftCell="A3" activePane="bottomLeft" state="frozen"/>
      <selection pane="bottomLeft" activeCell="E21" sqref="E21"/>
      <pageMargins left="0.7" right="0.7" top="0.75" bottom="0.75" header="0.3" footer="0.3"/>
      <pageSetup paperSize="9" orientation="portrait" r:id="rId1"/>
    </customSheetView>
    <customSheetView guid="{3AED7B35-86CA-4B6C-A2EC-CD4DE422B896}">
      <pane ySplit="2" topLeftCell="A3" activePane="bottomLeft" state="frozen"/>
      <selection pane="bottomLeft" activeCell="E21" sqref="E21"/>
      <pageMargins left="0.7" right="0.7" top="0.75" bottom="0.75" header="0.3" footer="0.3"/>
      <pageSetup paperSize="9" orientation="portrait" r:id="rId2"/>
    </customSheetView>
    <customSheetView guid="{E64C861B-828F-4357-A2C1-687220A83D03}" showPageBreaks="1">
      <pane ySplit="2" topLeftCell="A3" activePane="bottomLeft" state="frozen"/>
      <selection pane="bottomLeft" activeCell="E21" sqref="E21"/>
      <pageMargins left="0.7" right="0.7" top="0.75" bottom="0.75" header="0.3" footer="0.3"/>
      <pageSetup paperSize="9" orientation="portrait" r:id="rId3"/>
    </customSheetView>
  </customSheetView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 exp</vt:lpstr>
      <vt:lpstr>rates</vt:lpstr>
      <vt:lpstr>Insurance</vt:lpstr>
      <vt:lpstr>PSYM</vt:lpstr>
      <vt:lpstr>ITR</vt:lpstr>
      <vt:lpstr>DL</vt:lpstr>
      <vt:lpstr>Sheet2</vt:lpstr>
      <vt:lpstr>misc</vt:lpstr>
      <vt:lpstr>Dis card</vt:lpstr>
    </vt:vector>
  </TitlesOfParts>
  <Company>nweb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Sanjay Kumar</cp:lastModifiedBy>
  <cp:lastPrinted>2021-09-11T11:58:29Z</cp:lastPrinted>
  <dcterms:created xsi:type="dcterms:W3CDTF">2013-11-19T12:43:53Z</dcterms:created>
  <dcterms:modified xsi:type="dcterms:W3CDTF">2025-07-14T09:08:25Z</dcterms:modified>
</cp:coreProperties>
</file>